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چاه\قرارداد ها\آبفا مشهد 1404\صورت وضعیت شماره 2 - Copy\"/>
    </mc:Choice>
  </mc:AlternateContent>
  <bookViews>
    <workbookView xWindow="-108" yWindow="-108" windowWidth="23256" windowHeight="12456"/>
  </bookViews>
  <sheets>
    <sheet name="Sheet1" sheetId="1" r:id="rId1"/>
  </sheets>
  <definedNames>
    <definedName name="_xlnm.Print_Area" localSheetId="0">Sheet1!$A$1:$T$22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7" i="1" l="1"/>
  <c r="E3" i="1" l="1"/>
  <c r="T3" i="1" l="1"/>
  <c r="H3" i="1" l="1"/>
  <c r="E13" i="1" l="1"/>
  <c r="H13" i="1" s="1"/>
  <c r="E12" i="1"/>
  <c r="H12" i="1" s="1"/>
  <c r="E11" i="1"/>
  <c r="H11" i="1" s="1"/>
  <c r="E10" i="1"/>
  <c r="H10" i="1" s="1"/>
  <c r="E9" i="1"/>
  <c r="H9" i="1" s="1"/>
  <c r="T8" i="1"/>
  <c r="E8" i="1"/>
  <c r="H8" i="1" s="1"/>
  <c r="T5" i="1"/>
  <c r="E6" i="1" l="1"/>
  <c r="H6" i="1" s="1"/>
  <c r="E5" i="1"/>
  <c r="H5" i="1" s="1"/>
  <c r="E7" i="1"/>
  <c r="H7" i="1" s="1"/>
  <c r="T4" i="1" l="1"/>
  <c r="E4" i="1" s="1"/>
  <c r="H4" i="1" s="1"/>
  <c r="H14" i="1" s="1"/>
  <c r="H15" i="1" s="1"/>
  <c r="T12" i="1"/>
  <c r="T11" i="1"/>
  <c r="T10" i="1"/>
  <c r="T9" i="1"/>
  <c r="T6" i="1"/>
  <c r="T7" i="1" l="1"/>
</calcChain>
</file>

<file path=xl/sharedStrings.xml><?xml version="1.0" encoding="utf-8"?>
<sst xmlns="http://schemas.openxmlformats.org/spreadsheetml/2006/main" count="51" uniqueCount="44">
  <si>
    <t xml:space="preserve">شرح عملیات کلی </t>
  </si>
  <si>
    <t xml:space="preserve">ویدئو متری </t>
  </si>
  <si>
    <t xml:space="preserve">عملیات احیا و بهسازی </t>
  </si>
  <si>
    <t xml:space="preserve">متر </t>
  </si>
  <si>
    <t>چاه</t>
  </si>
  <si>
    <t>مورد</t>
  </si>
  <si>
    <t>واحد</t>
  </si>
  <si>
    <t xml:space="preserve">اضافه بها به ردیف 4 به ازای تزریق هر کیلو گرم اسید بیش از 1000 کیلو گرم </t>
  </si>
  <si>
    <t>کیلوگرم</t>
  </si>
  <si>
    <t xml:space="preserve">مقدار </t>
  </si>
  <si>
    <t xml:space="preserve">عملیات ترمیم جدار </t>
  </si>
  <si>
    <t>اضافه بها به ردیف 2 به ازای هر متر بیش از 150 متر</t>
  </si>
  <si>
    <t>اضافه بها به ردیف 2 به ازای هر متراضافه تر تزریق بیش از 150 متر</t>
  </si>
  <si>
    <t xml:space="preserve">رفع دفرمگی جدار چاه صاف کردن چاه و باز کردن مسیر عملیات به ازای هر مورد در تخریب های دوم و بیشتر </t>
  </si>
  <si>
    <t>مقدار کل</t>
  </si>
  <si>
    <t>ویدئومتری</t>
  </si>
  <si>
    <t>نماینده پیمانکار</t>
  </si>
  <si>
    <t>رئیس اداره تجهیزات و تعمیرات مکانیکی</t>
  </si>
  <si>
    <t xml:space="preserve">مبلغ واحد قبل از اعمال ضرایب </t>
  </si>
  <si>
    <t>ضرایب پیمان</t>
  </si>
  <si>
    <t>مبلغ کل پس از اعمال ضرایب پیمان</t>
  </si>
  <si>
    <t>مبلغ کل پس از اعمال ضریب بالاسری (1.41)</t>
  </si>
  <si>
    <t xml:space="preserve">مبلغ کل قبل از اعمال ضریب بالاسری </t>
  </si>
  <si>
    <r>
      <t>خلاصه کارهای انجام شده صورت وضعیت شماره</t>
    </r>
    <r>
      <rPr>
        <b/>
        <sz val="20"/>
        <color rgb="FFFF0000"/>
        <rFont val="B Titr"/>
        <charset val="178"/>
      </rPr>
      <t xml:space="preserve"> دو</t>
    </r>
    <r>
      <rPr>
        <b/>
        <sz val="16"/>
        <color theme="1"/>
        <rFont val="B Titr"/>
        <charset val="178"/>
      </rPr>
      <t xml:space="preserve"> </t>
    </r>
    <r>
      <rPr>
        <b/>
        <u/>
        <sz val="26"/>
        <color rgb="FFFF0000"/>
        <rFont val="B Badr"/>
        <charset val="178"/>
      </rPr>
      <t>2</t>
    </r>
    <r>
      <rPr>
        <b/>
        <sz val="16"/>
        <color theme="1"/>
        <rFont val="B Titr"/>
        <charset val="178"/>
      </rPr>
      <t xml:space="preserve"> قرارداد 1404/159725 مورخ 1404/10/23 با موضوع عملیات احیا و بهسازی تعداد 70 حلقه چاه آب شرب </t>
    </r>
  </si>
  <si>
    <t>امام رضا 29</t>
  </si>
  <si>
    <t>اسلام آباد 5</t>
  </si>
  <si>
    <t>طلاب1</t>
  </si>
  <si>
    <t>گلشهر3</t>
  </si>
  <si>
    <t>زاک 16</t>
  </si>
  <si>
    <t>سپاد4</t>
  </si>
  <si>
    <t>منزل آباد 37</t>
  </si>
  <si>
    <t>فناوری 1</t>
  </si>
  <si>
    <t>سیمانشهر 1</t>
  </si>
  <si>
    <t>صدف 2</t>
  </si>
  <si>
    <t xml:space="preserve">انجام عملیات احیای فزیکی </t>
  </si>
  <si>
    <t xml:space="preserve">عملیات خرید و تزریق مواد شیمیایی متناسب به میزان 150 متر </t>
  </si>
  <si>
    <t>حمل و نقل تجهیزات استقرار و آماده سازی ماشین آلات و برچیدن کارگاه جهت انجام عملیات ترمیم جدار چاه ها</t>
  </si>
  <si>
    <t>رفع دفرمگی جدار چاه صاف کردن چاه و باز کردن مسیر عملیات به ازای اولین تخریب</t>
  </si>
  <si>
    <t>هزینه اولین نصب لوله در محل آسیب دیده</t>
  </si>
  <si>
    <t xml:space="preserve">هزینه دومین نصب و بعدی نصب لوله در محل آسیب دیده به ازای هر مورد </t>
  </si>
  <si>
    <t>انجام عملیات ویدئو متری  چاه تا هر عمق و ارائه گزارش  کارشناسی</t>
  </si>
  <si>
    <t>جمع مبلغ قابل پرداخت</t>
  </si>
  <si>
    <t>.</t>
  </si>
  <si>
    <t>هزینه تجهیز کارگاه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</si>
</sst>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(* #,##0.00_);_(* \(#,##0.00\);_(* &quot;-&quot;??_);_(@_)"/>
    <numFmt numFmtId="164" formatCode="_(* #,##0_);_(* \(#,##0\);_(* &quot;-&quot;??_);_(@_)"/>
    <numFmt numFmtId="165" formatCode="#,##0.000"/>
    <numFmt numFmtId="166" formatCode="#,##0.0"/>
    <numFmt numFmtId="167" formatCode="#,##0.0000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B Titr"/>
      <charset val="178"/>
    </font>
    <font>
      <sz val="11"/>
      <color theme="1"/>
      <name val="Calibri"/>
      <family val="2"/>
      <scheme val="minor"/>
    </font>
    <font>
      <b/>
      <sz val="14"/>
      <color theme="1"/>
      <name val="B Nazanin"/>
      <charset val="178"/>
    </font>
    <font>
      <b/>
      <sz val="14"/>
      <color theme="1"/>
      <name val="B Titr"/>
      <charset val="178"/>
    </font>
    <font>
      <b/>
      <sz val="13"/>
      <color theme="1"/>
      <name val="B Titr"/>
      <charset val="178"/>
    </font>
    <font>
      <b/>
      <sz val="12"/>
      <color theme="1"/>
      <name val="B Titr"/>
      <charset val="178"/>
    </font>
    <font>
      <b/>
      <sz val="16"/>
      <color theme="1"/>
      <name val="B Titr"/>
      <charset val="178"/>
    </font>
    <font>
      <b/>
      <u/>
      <sz val="26"/>
      <color rgb="FFFF0000"/>
      <name val="B Badr"/>
      <charset val="178"/>
    </font>
    <font>
      <b/>
      <sz val="20"/>
      <color rgb="FFFF0000"/>
      <name val="B Titr"/>
      <charset val="178"/>
    </font>
    <font>
      <b/>
      <sz val="14"/>
      <color theme="1"/>
      <name val="B Koodak"/>
      <charset val="178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59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vertical="top" wrapText="1"/>
    </xf>
    <xf numFmtId="0" fontId="3" fillId="0" borderId="0" xfId="0" applyFont="1" applyAlignment="1">
      <alignment vertical="top"/>
    </xf>
    <xf numFmtId="0" fontId="4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66" fontId="7" fillId="0" borderId="1" xfId="0" applyNumberFormat="1" applyFont="1" applyBorder="1" applyAlignment="1">
      <alignment horizontal="center" vertical="center"/>
    </xf>
    <xf numFmtId="165" fontId="7" fillId="0" borderId="1" xfId="0" applyNumberFormat="1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167" fontId="7" fillId="0" borderId="1" xfId="0" applyNumberFormat="1" applyFont="1" applyBorder="1" applyAlignment="1">
      <alignment horizontal="center" vertical="center"/>
    </xf>
    <xf numFmtId="37" fontId="7" fillId="0" borderId="1" xfId="1" applyNumberFormat="1" applyFont="1" applyBorder="1" applyAlignment="1">
      <alignment horizontal="center" vertical="center"/>
    </xf>
    <xf numFmtId="164" fontId="7" fillId="0" borderId="1" xfId="1" applyNumberFormat="1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166" fontId="7" fillId="0" borderId="18" xfId="0" applyNumberFormat="1" applyFont="1" applyBorder="1" applyAlignment="1">
      <alignment horizontal="center" vertical="center"/>
    </xf>
    <xf numFmtId="165" fontId="7" fillId="0" borderId="18" xfId="0" applyNumberFormat="1" applyFont="1" applyBorder="1" applyAlignment="1">
      <alignment horizontal="center" vertical="center"/>
    </xf>
    <xf numFmtId="164" fontId="7" fillId="0" borderId="18" xfId="0" applyNumberFormat="1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 wrapText="1"/>
    </xf>
    <xf numFmtId="3" fontId="7" fillId="0" borderId="20" xfId="0" applyNumberFormat="1" applyFont="1" applyBorder="1" applyAlignment="1">
      <alignment horizontal="right" vertical="center"/>
    </xf>
    <xf numFmtId="3" fontId="7" fillId="0" borderId="21" xfId="0" applyNumberFormat="1" applyFont="1" applyBorder="1" applyAlignment="1">
      <alignment horizontal="right" vertical="center"/>
    </xf>
    <xf numFmtId="3" fontId="7" fillId="0" borderId="22" xfId="0" applyNumberFormat="1" applyFont="1" applyBorder="1" applyAlignment="1">
      <alignment horizontal="right" vertical="center"/>
    </xf>
    <xf numFmtId="0" fontId="4" fillId="0" borderId="10" xfId="0" applyFont="1" applyBorder="1" applyAlignment="1">
      <alignment horizontal="center" vertical="top" wrapText="1"/>
    </xf>
    <xf numFmtId="0" fontId="4" fillId="0" borderId="11" xfId="0" applyFont="1" applyBorder="1" applyAlignment="1">
      <alignment horizontal="center" vertical="top" wrapText="1"/>
    </xf>
    <xf numFmtId="0" fontId="4" fillId="0" borderId="15" xfId="0" applyFont="1" applyBorder="1" applyAlignment="1">
      <alignment horizontal="center" vertical="top" wrapText="1"/>
    </xf>
    <xf numFmtId="0" fontId="4" fillId="0" borderId="12" xfId="0" applyFont="1" applyBorder="1" applyAlignment="1">
      <alignment horizontal="center" vertical="top" wrapText="1"/>
    </xf>
    <xf numFmtId="0" fontId="4" fillId="0" borderId="0" xfId="0" applyFont="1" applyBorder="1" applyAlignment="1">
      <alignment horizontal="center" vertical="top" wrapText="1"/>
    </xf>
    <xf numFmtId="0" fontId="4" fillId="0" borderId="16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  <xf numFmtId="0" fontId="4" fillId="0" borderId="14" xfId="0" applyFont="1" applyBorder="1" applyAlignment="1">
      <alignment horizontal="center" vertical="top" wrapText="1"/>
    </xf>
    <xf numFmtId="0" fontId="4" fillId="0" borderId="17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top"/>
    </xf>
    <xf numFmtId="0" fontId="4" fillId="0" borderId="11" xfId="0" applyFont="1" applyBorder="1" applyAlignment="1">
      <alignment horizontal="center" vertical="top"/>
    </xf>
    <xf numFmtId="0" fontId="4" fillId="0" borderId="15" xfId="0" applyFont="1" applyBorder="1" applyAlignment="1">
      <alignment horizontal="center" vertical="top"/>
    </xf>
    <xf numFmtId="0" fontId="4" fillId="0" borderId="12" xfId="0" applyFont="1" applyBorder="1" applyAlignment="1">
      <alignment horizontal="center" vertical="top"/>
    </xf>
    <xf numFmtId="0" fontId="4" fillId="0" borderId="0" xfId="0" applyFont="1" applyBorder="1" applyAlignment="1">
      <alignment horizontal="center" vertical="top"/>
    </xf>
    <xf numFmtId="0" fontId="4" fillId="0" borderId="16" xfId="0" applyFont="1" applyBorder="1" applyAlignment="1">
      <alignment horizontal="center" vertical="top"/>
    </xf>
    <xf numFmtId="0" fontId="4" fillId="0" borderId="13" xfId="0" applyFont="1" applyBorder="1" applyAlignment="1">
      <alignment horizontal="center" vertical="top"/>
    </xf>
    <xf numFmtId="0" fontId="4" fillId="0" borderId="14" xfId="0" applyFont="1" applyBorder="1" applyAlignment="1">
      <alignment horizontal="center" vertical="top"/>
    </xf>
    <xf numFmtId="0" fontId="4" fillId="0" borderId="17" xfId="0" applyFont="1" applyBorder="1" applyAlignment="1">
      <alignment horizontal="center" vertical="top"/>
    </xf>
    <xf numFmtId="0" fontId="7" fillId="0" borderId="0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15240</xdr:colOff>
      <xdr:row>14</xdr:row>
      <xdr:rowOff>121920</xdr:rowOff>
    </xdr:from>
    <xdr:to>
      <xdr:col>20</xdr:col>
      <xdr:colOff>121920</xdr:colOff>
      <xdr:row>14</xdr:row>
      <xdr:rowOff>738596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07A965B-75BC-42BF-9775-417DBED83B9C}"/>
            </a:ext>
          </a:extLst>
        </xdr:cNvPr>
        <xdr:cNvSpPr txBox="1"/>
      </xdr:nvSpPr>
      <xdr:spPr>
        <a:xfrm>
          <a:off x="10224759840" y="10317480"/>
          <a:ext cx="7391400" cy="6166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 rtl="1"/>
          <a:r>
            <a:rPr lang="fa-IR" sz="1600" b="1">
              <a:cs typeface="B Titr" panose="00000700000000000000" pitchFamily="2" charset="-78"/>
            </a:rPr>
            <a:t>یازده میلیارد و دویست و بیست و یک میلیون و نهصد و بیست و شش هزار و چهارصد و هشتاد و نه </a:t>
          </a:r>
          <a:r>
            <a:rPr lang="fa-IR" sz="1600" b="1" baseline="0">
              <a:cs typeface="B Titr" panose="00000700000000000000" pitchFamily="2" charset="-78"/>
            </a:rPr>
            <a:t>ریال</a:t>
          </a:r>
          <a:endParaRPr lang="en-US" sz="1600" b="1">
            <a:cs typeface="B Titr" panose="00000700000000000000" pitchFamily="2" charset="-78"/>
          </a:endParaRPr>
        </a:p>
      </xdr:txBody>
    </xdr:sp>
    <xdr:clientData/>
  </xdr:twoCellAnchor>
  <xdr:twoCellAnchor>
    <xdr:from>
      <xdr:col>7</xdr:col>
      <xdr:colOff>1828800</xdr:colOff>
      <xdr:row>13</xdr:row>
      <xdr:rowOff>45720</xdr:rowOff>
    </xdr:from>
    <xdr:to>
      <xdr:col>19</xdr:col>
      <xdr:colOff>533400</xdr:colOff>
      <xdr:row>14</xdr:row>
      <xdr:rowOff>45720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D07A965B-75BC-42BF-9775-417DBED83B9C}"/>
            </a:ext>
          </a:extLst>
        </xdr:cNvPr>
        <xdr:cNvSpPr txBox="1"/>
      </xdr:nvSpPr>
      <xdr:spPr>
        <a:xfrm>
          <a:off x="10224957960" y="9372600"/>
          <a:ext cx="7254240" cy="868680"/>
        </a:xfrm>
        <a:prstGeom prst="rect">
          <a:avLst/>
        </a:prstGeom>
        <a:noFill/>
        <a:ln w="9525" cmpd="sng">
          <a:noFill/>
        </a:ln>
        <a:effectLst/>
      </xdr:spPr>
      <xdr:txBody>
        <a:bodyPr vertOverflow="clip" horzOverflow="clip" wrap="square" rtlCol="0" anchor="ctr"/>
        <a:lstStyle/>
        <a:p>
          <a:pPr marL="0" marR="0" lvl="0" indent="0" algn="r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fa-IR" sz="16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B Titr" panose="00000700000000000000" pitchFamily="2" charset="-78"/>
            </a:rPr>
            <a:t>هفت میلیارد و نهصد و پنجاه و هشت میلیون و هشتصد و سیزده هزار و یکصد و سیزده ریال</a:t>
          </a:r>
          <a:endParaRPr kumimoji="0" lang="en-US" sz="16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B Titr" panose="00000700000000000000" pitchFamily="2" charset="-78"/>
          </a:endParaRPr>
        </a:p>
      </xdr:txBody>
    </xdr:sp>
    <xdr:clientData/>
  </xdr:twoCellAnchor>
  <xdr:twoCellAnchor>
    <xdr:from>
      <xdr:col>8</xdr:col>
      <xdr:colOff>15240</xdr:colOff>
      <xdr:row>15</xdr:row>
      <xdr:rowOff>121920</xdr:rowOff>
    </xdr:from>
    <xdr:to>
      <xdr:col>20</xdr:col>
      <xdr:colOff>121920</xdr:colOff>
      <xdr:row>15</xdr:row>
      <xdr:rowOff>738596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D07A965B-75BC-42BF-9775-417DBED83B9C}"/>
            </a:ext>
          </a:extLst>
        </xdr:cNvPr>
        <xdr:cNvSpPr txBox="1"/>
      </xdr:nvSpPr>
      <xdr:spPr>
        <a:xfrm>
          <a:off x="10224759840" y="10317480"/>
          <a:ext cx="7391400" cy="6166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 rtl="1"/>
          <a:r>
            <a:rPr lang="fa-IR" sz="1600" b="1">
              <a:cs typeface="B Titr" panose="00000700000000000000" pitchFamily="2" charset="-78"/>
            </a:rPr>
            <a:t>چهارصد</a:t>
          </a:r>
          <a:r>
            <a:rPr lang="fa-IR" sz="1600" b="1" baseline="0">
              <a:cs typeface="B Titr" panose="00000700000000000000" pitchFamily="2" charset="-78"/>
            </a:rPr>
            <a:t> و هفتاد و دو میلیون و پانصد و شصت و هفت هزار و یکصد و بیست و شش ریال</a:t>
          </a:r>
          <a:endParaRPr lang="en-US" sz="1600" b="1">
            <a:cs typeface="B Titr" panose="00000700000000000000" pitchFamily="2" charset="-78"/>
          </a:endParaRPr>
        </a:p>
      </xdr:txBody>
    </xdr:sp>
    <xdr:clientData/>
  </xdr:twoCellAnchor>
  <xdr:twoCellAnchor>
    <xdr:from>
      <xdr:col>8</xdr:col>
      <xdr:colOff>15240</xdr:colOff>
      <xdr:row>16</xdr:row>
      <xdr:rowOff>121920</xdr:rowOff>
    </xdr:from>
    <xdr:to>
      <xdr:col>20</xdr:col>
      <xdr:colOff>121920</xdr:colOff>
      <xdr:row>16</xdr:row>
      <xdr:rowOff>738596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D07A965B-75BC-42BF-9775-417DBED83B9C}"/>
            </a:ext>
          </a:extLst>
        </xdr:cNvPr>
        <xdr:cNvSpPr txBox="1"/>
      </xdr:nvSpPr>
      <xdr:spPr>
        <a:xfrm>
          <a:off x="10224759840" y="11186160"/>
          <a:ext cx="7391400" cy="6166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 rtl="1"/>
          <a:r>
            <a:rPr lang="fa-IR" sz="1600" b="1">
              <a:cs typeface="B Titr" panose="00000700000000000000" pitchFamily="2" charset="-78"/>
            </a:rPr>
            <a:t>یازده میلیارد و ششصد و نود و چهار میلیون و چهارصد و نود و سه هزار و ششصد و پانزده </a:t>
          </a:r>
          <a:r>
            <a:rPr lang="fa-IR" sz="1600" b="1" baseline="0">
              <a:cs typeface="B Titr" panose="00000700000000000000" pitchFamily="2" charset="-78"/>
            </a:rPr>
            <a:t>ریال</a:t>
          </a:r>
          <a:endParaRPr lang="en-US" sz="1600" b="1">
            <a:cs typeface="B Titr" panose="00000700000000000000" pitchFamily="2" charset="-78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24"/>
  <sheetViews>
    <sheetView rightToLeft="1" tabSelected="1" view="pageBreakPreview" topLeftCell="A6" zoomScale="50" zoomScaleNormal="60" zoomScaleSheetLayoutView="50" workbookViewId="0">
      <selection activeCell="Y22" sqref="Y22"/>
    </sheetView>
  </sheetViews>
  <sheetFormatPr defaultColWidth="9.109375" defaultRowHeight="22.2" x14ac:dyDescent="0.3"/>
  <cols>
    <col min="1" max="1" width="12.109375" style="2" customWidth="1"/>
    <col min="2" max="2" width="9.109375" style="1"/>
    <col min="3" max="3" width="91.44140625" style="2" customWidth="1"/>
    <col min="4" max="4" width="7.6640625" style="1" customWidth="1"/>
    <col min="5" max="5" width="11.44140625" style="1" bestFit="1" customWidth="1"/>
    <col min="6" max="6" width="23.109375" style="1" customWidth="1"/>
    <col min="7" max="7" width="12.33203125" style="1" customWidth="1"/>
    <col min="8" max="8" width="27.21875" style="1" bestFit="1" customWidth="1"/>
    <col min="9" max="9" width="8.109375" style="1" customWidth="1"/>
    <col min="10" max="10" width="9.44140625" style="1" bestFit="1" customWidth="1"/>
    <col min="11" max="11" width="8.21875" style="1" customWidth="1"/>
    <col min="12" max="12" width="8.109375" style="1" customWidth="1"/>
    <col min="13" max="13" width="9.21875" style="1" customWidth="1"/>
    <col min="14" max="15" width="8.21875" style="1" customWidth="1"/>
    <col min="16" max="16" width="8.6640625" style="1" customWidth="1"/>
    <col min="17" max="17" width="10" style="1" customWidth="1"/>
    <col min="18" max="18" width="8.44140625" style="1" customWidth="1"/>
    <col min="19" max="19" width="10.21875" style="1" customWidth="1"/>
    <col min="20" max="20" width="8.77734375" style="1" customWidth="1"/>
    <col min="21" max="16384" width="9.109375" style="1"/>
  </cols>
  <sheetData>
    <row r="1" spans="1:24" ht="58.8" customHeight="1" thickBot="1" x14ac:dyDescent="0.35">
      <c r="A1" s="52" t="s">
        <v>23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</row>
    <row r="2" spans="1:24" ht="81" x14ac:dyDescent="0.3">
      <c r="A2" s="53" t="s">
        <v>0</v>
      </c>
      <c r="B2" s="54"/>
      <c r="C2" s="54"/>
      <c r="D2" s="8" t="s">
        <v>6</v>
      </c>
      <c r="E2" s="8" t="s">
        <v>9</v>
      </c>
      <c r="F2" s="6" t="s">
        <v>18</v>
      </c>
      <c r="G2" s="6" t="s">
        <v>19</v>
      </c>
      <c r="H2" s="6" t="s">
        <v>20</v>
      </c>
      <c r="I2" s="6" t="s">
        <v>24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8" t="s">
        <v>32</v>
      </c>
      <c r="R2" s="8" t="s">
        <v>33</v>
      </c>
      <c r="S2" s="8" t="s">
        <v>15</v>
      </c>
      <c r="T2" s="10" t="s">
        <v>14</v>
      </c>
    </row>
    <row r="3" spans="1:24" ht="54" customHeight="1" x14ac:dyDescent="0.3">
      <c r="A3" s="9" t="s">
        <v>1</v>
      </c>
      <c r="B3" s="5">
        <v>1</v>
      </c>
      <c r="C3" s="26" t="s">
        <v>40</v>
      </c>
      <c r="D3" s="7" t="s">
        <v>5</v>
      </c>
      <c r="E3" s="13">
        <f>S3</f>
        <v>41</v>
      </c>
      <c r="F3" s="14">
        <v>26950354.600000001</v>
      </c>
      <c r="G3" s="15">
        <v>1.546</v>
      </c>
      <c r="H3" s="16">
        <f>F3*E3*G3</f>
        <v>1708275176.6756003</v>
      </c>
      <c r="I3" s="13"/>
      <c r="J3" s="13"/>
      <c r="K3" s="13"/>
      <c r="L3" s="13"/>
      <c r="M3" s="13"/>
      <c r="N3" s="13"/>
      <c r="O3" s="13"/>
      <c r="P3" s="13"/>
      <c r="Q3" s="13"/>
      <c r="R3" s="13"/>
      <c r="S3" s="13">
        <v>41</v>
      </c>
      <c r="T3" s="17">
        <f>S3</f>
        <v>41</v>
      </c>
    </row>
    <row r="4" spans="1:24" ht="54" customHeight="1" x14ac:dyDescent="0.3">
      <c r="A4" s="56" t="s">
        <v>2</v>
      </c>
      <c r="B4" s="5">
        <v>2</v>
      </c>
      <c r="C4" s="26" t="s">
        <v>34</v>
      </c>
      <c r="D4" s="7" t="s">
        <v>4</v>
      </c>
      <c r="E4" s="13">
        <f>T4</f>
        <v>10</v>
      </c>
      <c r="F4" s="14">
        <v>319148936.19999999</v>
      </c>
      <c r="G4" s="18">
        <v>0.83620000000000005</v>
      </c>
      <c r="H4" s="16">
        <f>F4*E4*G4</f>
        <v>2668723404.5044003</v>
      </c>
      <c r="I4" s="13">
        <v>1</v>
      </c>
      <c r="J4" s="13">
        <v>1</v>
      </c>
      <c r="K4" s="13">
        <v>1</v>
      </c>
      <c r="L4" s="13">
        <v>1</v>
      </c>
      <c r="M4" s="13">
        <v>1</v>
      </c>
      <c r="N4" s="13">
        <v>1</v>
      </c>
      <c r="O4" s="13">
        <v>1</v>
      </c>
      <c r="P4" s="13">
        <v>1</v>
      </c>
      <c r="Q4" s="13">
        <v>1</v>
      </c>
      <c r="R4" s="13">
        <v>1</v>
      </c>
      <c r="S4" s="13">
        <v>0</v>
      </c>
      <c r="T4" s="17">
        <f>SUM(I4:S4)</f>
        <v>10</v>
      </c>
    </row>
    <row r="5" spans="1:24" ht="54" customHeight="1" x14ac:dyDescent="0.3">
      <c r="A5" s="57"/>
      <c r="B5" s="5">
        <v>3</v>
      </c>
      <c r="C5" s="26" t="s">
        <v>11</v>
      </c>
      <c r="D5" s="7" t="s">
        <v>3</v>
      </c>
      <c r="E5" s="13">
        <f t="shared" ref="E5:E13" si="0">SUM(I5:S5)</f>
        <v>633</v>
      </c>
      <c r="F5" s="14">
        <v>2127659.6</v>
      </c>
      <c r="G5" s="18">
        <v>0.83620000000000005</v>
      </c>
      <c r="H5" s="16">
        <f>F5*E5*G5</f>
        <v>1126201290.1101601</v>
      </c>
      <c r="I5" s="13">
        <v>85</v>
      </c>
      <c r="J5" s="13">
        <v>24</v>
      </c>
      <c r="K5" s="13">
        <v>19</v>
      </c>
      <c r="L5" s="13">
        <v>0</v>
      </c>
      <c r="M5" s="13">
        <v>83</v>
      </c>
      <c r="N5" s="13">
        <v>77</v>
      </c>
      <c r="O5" s="13">
        <v>86</v>
      </c>
      <c r="P5" s="13">
        <v>94</v>
      </c>
      <c r="Q5" s="13">
        <v>100</v>
      </c>
      <c r="R5" s="13">
        <v>65</v>
      </c>
      <c r="S5" s="13">
        <v>0</v>
      </c>
      <c r="T5" s="17">
        <f>SUM(I5:R5)</f>
        <v>633</v>
      </c>
    </row>
    <row r="6" spans="1:24" ht="54" customHeight="1" x14ac:dyDescent="0.3">
      <c r="A6" s="57"/>
      <c r="B6" s="5">
        <v>4</v>
      </c>
      <c r="C6" s="26" t="s">
        <v>35</v>
      </c>
      <c r="D6" s="7" t="s">
        <v>4</v>
      </c>
      <c r="E6" s="13">
        <f t="shared" si="0"/>
        <v>6</v>
      </c>
      <c r="F6" s="14">
        <v>113475177.3</v>
      </c>
      <c r="G6" s="18">
        <v>0.83620000000000005</v>
      </c>
      <c r="H6" s="16">
        <f>F6*E6*G6</f>
        <v>569327659.54955995</v>
      </c>
      <c r="I6" s="13">
        <v>1</v>
      </c>
      <c r="J6" s="13">
        <v>1</v>
      </c>
      <c r="K6" s="13">
        <v>0</v>
      </c>
      <c r="L6" s="13">
        <v>1</v>
      </c>
      <c r="M6" s="13">
        <v>0</v>
      </c>
      <c r="N6" s="13">
        <v>1</v>
      </c>
      <c r="O6" s="13">
        <v>1</v>
      </c>
      <c r="P6" s="13">
        <v>0</v>
      </c>
      <c r="Q6" s="13">
        <v>0</v>
      </c>
      <c r="R6" s="13">
        <v>1</v>
      </c>
      <c r="S6" s="13">
        <v>0</v>
      </c>
      <c r="T6" s="17">
        <f t="shared" ref="T6:T12" si="1">SUM(I6:S6)</f>
        <v>6</v>
      </c>
    </row>
    <row r="7" spans="1:24" ht="54" customHeight="1" x14ac:dyDescent="0.3">
      <c r="A7" s="57"/>
      <c r="B7" s="5">
        <v>5</v>
      </c>
      <c r="C7" s="26" t="s">
        <v>12</v>
      </c>
      <c r="D7" s="7" t="s">
        <v>3</v>
      </c>
      <c r="E7" s="13">
        <f t="shared" si="0"/>
        <v>337</v>
      </c>
      <c r="F7" s="14">
        <v>756501.2</v>
      </c>
      <c r="G7" s="18">
        <v>0.83620000000000005</v>
      </c>
      <c r="H7" s="16">
        <f>F7*E7*G7</f>
        <v>213181584.25928</v>
      </c>
      <c r="I7" s="13">
        <v>85</v>
      </c>
      <c r="J7" s="13">
        <v>24</v>
      </c>
      <c r="K7" s="13">
        <v>0</v>
      </c>
      <c r="L7" s="13">
        <v>0</v>
      </c>
      <c r="M7" s="13">
        <v>0</v>
      </c>
      <c r="N7" s="13">
        <v>77</v>
      </c>
      <c r="O7" s="13">
        <v>86</v>
      </c>
      <c r="P7" s="13">
        <v>0</v>
      </c>
      <c r="Q7" s="13">
        <v>0</v>
      </c>
      <c r="R7" s="13">
        <v>65</v>
      </c>
      <c r="S7" s="13">
        <v>0</v>
      </c>
      <c r="T7" s="17">
        <f t="shared" si="1"/>
        <v>337</v>
      </c>
      <c r="V7" s="1" t="s">
        <v>42</v>
      </c>
    </row>
    <row r="8" spans="1:24" ht="54" customHeight="1" x14ac:dyDescent="0.3">
      <c r="A8" s="58"/>
      <c r="B8" s="5">
        <v>6</v>
      </c>
      <c r="C8" s="26" t="s">
        <v>7</v>
      </c>
      <c r="D8" s="7" t="s">
        <v>8</v>
      </c>
      <c r="E8" s="13">
        <f t="shared" si="0"/>
        <v>15800</v>
      </c>
      <c r="F8" s="14">
        <v>63829.8</v>
      </c>
      <c r="G8" s="18">
        <v>0.83620000000000005</v>
      </c>
      <c r="H8" s="16">
        <f t="shared" ref="H8:H13" si="2">F8*G8*E8</f>
        <v>843316764.40800011</v>
      </c>
      <c r="I8" s="13">
        <v>2500</v>
      </c>
      <c r="J8" s="13">
        <v>1300</v>
      </c>
      <c r="K8" s="13">
        <v>0</v>
      </c>
      <c r="L8" s="13">
        <v>4000</v>
      </c>
      <c r="M8" s="13">
        <v>0</v>
      </c>
      <c r="N8" s="13">
        <v>3000</v>
      </c>
      <c r="O8" s="13">
        <v>3000</v>
      </c>
      <c r="P8" s="13">
        <v>0</v>
      </c>
      <c r="Q8" s="13">
        <v>0</v>
      </c>
      <c r="R8" s="13">
        <v>2000</v>
      </c>
      <c r="S8" s="13">
        <v>0</v>
      </c>
      <c r="T8" s="17">
        <f t="shared" si="1"/>
        <v>15800</v>
      </c>
      <c r="X8" s="1">
        <v>3</v>
      </c>
    </row>
    <row r="9" spans="1:24" ht="54" customHeight="1" x14ac:dyDescent="0.3">
      <c r="A9" s="55" t="s">
        <v>10</v>
      </c>
      <c r="B9" s="5">
        <v>7</v>
      </c>
      <c r="C9" s="26" t="s">
        <v>36</v>
      </c>
      <c r="D9" s="7" t="s">
        <v>5</v>
      </c>
      <c r="E9" s="13">
        <f t="shared" si="0"/>
        <v>1</v>
      </c>
      <c r="F9" s="14">
        <v>85106383</v>
      </c>
      <c r="G9" s="15">
        <v>1</v>
      </c>
      <c r="H9" s="19">
        <f t="shared" si="2"/>
        <v>85106383</v>
      </c>
      <c r="I9" s="13">
        <v>0</v>
      </c>
      <c r="J9" s="13">
        <v>0</v>
      </c>
      <c r="K9" s="13">
        <v>1</v>
      </c>
      <c r="L9" s="13">
        <v>0</v>
      </c>
      <c r="M9" s="13">
        <v>0</v>
      </c>
      <c r="N9" s="13">
        <v>0</v>
      </c>
      <c r="O9" s="13">
        <v>0</v>
      </c>
      <c r="P9" s="13">
        <v>0</v>
      </c>
      <c r="Q9" s="13">
        <v>0</v>
      </c>
      <c r="R9" s="13">
        <v>0</v>
      </c>
      <c r="S9" s="13">
        <v>0</v>
      </c>
      <c r="T9" s="17">
        <f t="shared" si="1"/>
        <v>1</v>
      </c>
    </row>
    <row r="10" spans="1:24" ht="54" customHeight="1" x14ac:dyDescent="0.3">
      <c r="A10" s="55"/>
      <c r="B10" s="5">
        <v>8</v>
      </c>
      <c r="C10" s="26" t="s">
        <v>37</v>
      </c>
      <c r="D10" s="7" t="s">
        <v>5</v>
      </c>
      <c r="E10" s="13">
        <f t="shared" si="0"/>
        <v>1</v>
      </c>
      <c r="F10" s="14">
        <v>248226950.40000001</v>
      </c>
      <c r="G10" s="15">
        <v>1</v>
      </c>
      <c r="H10" s="19">
        <f t="shared" si="2"/>
        <v>248226950.40000001</v>
      </c>
      <c r="I10" s="13">
        <v>0</v>
      </c>
      <c r="J10" s="13">
        <v>0</v>
      </c>
      <c r="K10" s="13">
        <v>1</v>
      </c>
      <c r="L10" s="13">
        <v>0</v>
      </c>
      <c r="M10" s="13">
        <v>0</v>
      </c>
      <c r="N10" s="13">
        <v>0</v>
      </c>
      <c r="O10" s="13">
        <v>0</v>
      </c>
      <c r="P10" s="13">
        <v>0</v>
      </c>
      <c r="Q10" s="13">
        <v>0</v>
      </c>
      <c r="R10" s="13">
        <v>0</v>
      </c>
      <c r="S10" s="13">
        <v>0</v>
      </c>
      <c r="T10" s="17">
        <f t="shared" si="1"/>
        <v>1</v>
      </c>
    </row>
    <row r="11" spans="1:24" ht="54" customHeight="1" x14ac:dyDescent="0.3">
      <c r="A11" s="55"/>
      <c r="B11" s="5">
        <v>9</v>
      </c>
      <c r="C11" s="26" t="s">
        <v>13</v>
      </c>
      <c r="D11" s="7" t="s">
        <v>5</v>
      </c>
      <c r="E11" s="13">
        <f t="shared" si="0"/>
        <v>2</v>
      </c>
      <c r="F11" s="14">
        <v>106382978.7</v>
      </c>
      <c r="G11" s="15">
        <v>1</v>
      </c>
      <c r="H11" s="20">
        <f t="shared" si="2"/>
        <v>212765957.40000001</v>
      </c>
      <c r="I11" s="13">
        <v>0</v>
      </c>
      <c r="J11" s="13">
        <v>0</v>
      </c>
      <c r="K11" s="13">
        <v>2</v>
      </c>
      <c r="L11" s="13">
        <v>0</v>
      </c>
      <c r="M11" s="13">
        <v>0</v>
      </c>
      <c r="N11" s="13">
        <v>0</v>
      </c>
      <c r="O11" s="13">
        <v>0</v>
      </c>
      <c r="P11" s="13">
        <v>0</v>
      </c>
      <c r="Q11" s="13">
        <v>0</v>
      </c>
      <c r="R11" s="13">
        <v>0</v>
      </c>
      <c r="S11" s="13">
        <v>0</v>
      </c>
      <c r="T11" s="17">
        <f t="shared" si="1"/>
        <v>2</v>
      </c>
    </row>
    <row r="12" spans="1:24" ht="54" customHeight="1" x14ac:dyDescent="0.3">
      <c r="A12" s="55"/>
      <c r="B12" s="5">
        <v>10</v>
      </c>
      <c r="C12" s="26" t="s">
        <v>38</v>
      </c>
      <c r="D12" s="7" t="s">
        <v>5</v>
      </c>
      <c r="E12" s="13">
        <f t="shared" si="0"/>
        <v>1</v>
      </c>
      <c r="F12" s="14">
        <v>283687943.30000001</v>
      </c>
      <c r="G12" s="15">
        <v>1</v>
      </c>
      <c r="H12" s="16">
        <f t="shared" si="2"/>
        <v>283687943.30000001</v>
      </c>
      <c r="I12" s="13">
        <v>0</v>
      </c>
      <c r="J12" s="13">
        <v>0</v>
      </c>
      <c r="K12" s="13">
        <v>1</v>
      </c>
      <c r="L12" s="13">
        <v>0</v>
      </c>
      <c r="M12" s="13">
        <v>0</v>
      </c>
      <c r="N12" s="13">
        <v>0</v>
      </c>
      <c r="O12" s="13">
        <v>0</v>
      </c>
      <c r="P12" s="13">
        <v>0</v>
      </c>
      <c r="Q12" s="13">
        <v>0</v>
      </c>
      <c r="R12" s="13">
        <v>0</v>
      </c>
      <c r="S12" s="13">
        <v>0</v>
      </c>
      <c r="T12" s="17">
        <f t="shared" si="1"/>
        <v>1</v>
      </c>
    </row>
    <row r="13" spans="1:24" ht="54" customHeight="1" thickBot="1" x14ac:dyDescent="0.35">
      <c r="A13" s="56"/>
      <c r="B13" s="11">
        <v>11</v>
      </c>
      <c r="C13" s="27" t="s">
        <v>39</v>
      </c>
      <c r="D13" s="12" t="s">
        <v>5</v>
      </c>
      <c r="E13" s="21">
        <f t="shared" si="0"/>
        <v>0</v>
      </c>
      <c r="F13" s="22">
        <v>244171265.59999999</v>
      </c>
      <c r="G13" s="23">
        <v>1</v>
      </c>
      <c r="H13" s="24">
        <f t="shared" si="2"/>
        <v>0</v>
      </c>
      <c r="I13" s="13">
        <v>0</v>
      </c>
      <c r="J13" s="13">
        <v>0</v>
      </c>
      <c r="K13" s="21">
        <v>0</v>
      </c>
      <c r="L13" s="13">
        <v>0</v>
      </c>
      <c r="M13" s="13">
        <v>0</v>
      </c>
      <c r="N13" s="13">
        <v>0</v>
      </c>
      <c r="O13" s="13">
        <v>0</v>
      </c>
      <c r="P13" s="13">
        <v>0</v>
      </c>
      <c r="Q13" s="13">
        <v>0</v>
      </c>
      <c r="R13" s="13">
        <v>0</v>
      </c>
      <c r="S13" s="21">
        <v>0</v>
      </c>
      <c r="T13" s="25">
        <v>0</v>
      </c>
    </row>
    <row r="14" spans="1:24" ht="41.4" customHeight="1" thickBot="1" x14ac:dyDescent="0.35">
      <c r="A14" s="28" t="s">
        <v>22</v>
      </c>
      <c r="B14" s="29"/>
      <c r="C14" s="29"/>
      <c r="D14" s="29"/>
      <c r="E14" s="29"/>
      <c r="F14" s="29"/>
      <c r="G14" s="29"/>
      <c r="H14" s="31">
        <f>INT(SUM(H3:H13))</f>
        <v>7958813113</v>
      </c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3"/>
    </row>
    <row r="15" spans="1:24" ht="41.4" customHeight="1" thickBot="1" x14ac:dyDescent="0.35">
      <c r="A15" s="28" t="s">
        <v>21</v>
      </c>
      <c r="B15" s="29"/>
      <c r="C15" s="29"/>
      <c r="D15" s="29"/>
      <c r="E15" s="29"/>
      <c r="F15" s="29"/>
      <c r="G15" s="30"/>
      <c r="H15" s="31">
        <f>H14*1.41</f>
        <v>11221926489.33</v>
      </c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3"/>
    </row>
    <row r="16" spans="1:24" ht="41.4" customHeight="1" thickBot="1" x14ac:dyDescent="0.35">
      <c r="A16" s="28" t="s">
        <v>43</v>
      </c>
      <c r="B16" s="29"/>
      <c r="C16" s="29"/>
      <c r="D16" s="29"/>
      <c r="E16" s="29"/>
      <c r="F16" s="29"/>
      <c r="G16" s="30"/>
      <c r="H16" s="31">
        <v>472567126.14600003</v>
      </c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3"/>
    </row>
    <row r="17" spans="1:20" ht="41.4" customHeight="1" thickBot="1" x14ac:dyDescent="0.35">
      <c r="A17" s="28" t="s">
        <v>41</v>
      </c>
      <c r="B17" s="29"/>
      <c r="C17" s="29"/>
      <c r="D17" s="29"/>
      <c r="E17" s="29"/>
      <c r="F17" s="29"/>
      <c r="G17" s="30"/>
      <c r="H17" s="31">
        <f>SUM(H15:T16)</f>
        <v>11694493615.476</v>
      </c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3"/>
    </row>
    <row r="18" spans="1:20" ht="22.2" customHeight="1" x14ac:dyDescent="0.3">
      <c r="A18" s="34" t="s">
        <v>16</v>
      </c>
      <c r="B18" s="35"/>
      <c r="C18" s="35"/>
      <c r="D18" s="35"/>
      <c r="E18" s="35"/>
      <c r="F18" s="35"/>
      <c r="G18" s="36"/>
      <c r="H18" s="43" t="s">
        <v>17</v>
      </c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5"/>
    </row>
    <row r="19" spans="1:20" ht="22.2" customHeight="1" x14ac:dyDescent="0.3">
      <c r="A19" s="37"/>
      <c r="B19" s="38"/>
      <c r="C19" s="38"/>
      <c r="D19" s="38"/>
      <c r="E19" s="38"/>
      <c r="F19" s="38"/>
      <c r="G19" s="39"/>
      <c r="H19" s="46"/>
      <c r="I19" s="47"/>
      <c r="J19" s="47"/>
      <c r="K19" s="47"/>
      <c r="L19" s="47"/>
      <c r="M19" s="47"/>
      <c r="N19" s="47"/>
      <c r="O19" s="47"/>
      <c r="P19" s="47"/>
      <c r="Q19" s="47"/>
      <c r="R19" s="47"/>
      <c r="S19" s="47"/>
      <c r="T19" s="48"/>
    </row>
    <row r="20" spans="1:20" ht="22.2" customHeight="1" x14ac:dyDescent="0.3">
      <c r="A20" s="37"/>
      <c r="B20" s="38"/>
      <c r="C20" s="38"/>
      <c r="D20" s="38"/>
      <c r="E20" s="38"/>
      <c r="F20" s="38"/>
      <c r="G20" s="39"/>
      <c r="H20" s="46"/>
      <c r="I20" s="47"/>
      <c r="J20" s="47"/>
      <c r="K20" s="47"/>
      <c r="L20" s="47"/>
      <c r="M20" s="47"/>
      <c r="N20" s="47"/>
      <c r="O20" s="47"/>
      <c r="P20" s="47"/>
      <c r="Q20" s="47"/>
      <c r="R20" s="47"/>
      <c r="S20" s="47"/>
      <c r="T20" s="48"/>
    </row>
    <row r="21" spans="1:20" ht="22.2" customHeight="1" x14ac:dyDescent="0.3">
      <c r="A21" s="37"/>
      <c r="B21" s="38"/>
      <c r="C21" s="38"/>
      <c r="D21" s="38"/>
      <c r="E21" s="38"/>
      <c r="F21" s="38"/>
      <c r="G21" s="39"/>
      <c r="H21" s="46"/>
      <c r="I21" s="47"/>
      <c r="J21" s="47"/>
      <c r="K21" s="47"/>
      <c r="L21" s="47"/>
      <c r="M21" s="47"/>
      <c r="N21" s="47"/>
      <c r="O21" s="47"/>
      <c r="P21" s="47"/>
      <c r="Q21" s="47"/>
      <c r="R21" s="47"/>
      <c r="S21" s="47"/>
      <c r="T21" s="48"/>
    </row>
    <row r="22" spans="1:20" ht="157.80000000000001" customHeight="1" thickBot="1" x14ac:dyDescent="0.35">
      <c r="A22" s="40"/>
      <c r="B22" s="41"/>
      <c r="C22" s="41"/>
      <c r="D22" s="41"/>
      <c r="E22" s="41"/>
      <c r="F22" s="41"/>
      <c r="G22" s="42"/>
      <c r="H22" s="49"/>
      <c r="I22" s="50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1"/>
    </row>
    <row r="23" spans="1:20" ht="22.2" customHeight="1" x14ac:dyDescent="0.3">
      <c r="A23" s="3"/>
      <c r="B23" s="3"/>
      <c r="C23" s="3"/>
      <c r="D23" s="3"/>
      <c r="E23" s="3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</row>
    <row r="24" spans="1:20" ht="22.2" customHeight="1" x14ac:dyDescent="0.3">
      <c r="A24" s="3"/>
      <c r="B24" s="3"/>
      <c r="C24" s="3"/>
      <c r="D24" s="3"/>
      <c r="E24" s="3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</row>
  </sheetData>
  <mergeCells count="14">
    <mergeCell ref="A15:G15"/>
    <mergeCell ref="H15:T15"/>
    <mergeCell ref="A18:G22"/>
    <mergeCell ref="H18:T22"/>
    <mergeCell ref="A1:T1"/>
    <mergeCell ref="A2:C2"/>
    <mergeCell ref="A9:A13"/>
    <mergeCell ref="A4:A8"/>
    <mergeCell ref="A14:G14"/>
    <mergeCell ref="H14:T14"/>
    <mergeCell ref="A16:G16"/>
    <mergeCell ref="H16:T16"/>
    <mergeCell ref="A17:G17"/>
    <mergeCell ref="H17:T17"/>
  </mergeCells>
  <printOptions horizontalCentered="1" verticalCentered="1"/>
  <pageMargins left="0" right="0" top="0" bottom="0" header="0" footer="0"/>
  <pageSetup scale="46" fitToHeight="0" pageOrder="overThenDown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Takin sazeh 2</dc:creator>
  <cp:lastModifiedBy>My Asus</cp:lastModifiedBy>
  <cp:lastPrinted>2026-03-09T07:33:03Z</cp:lastPrinted>
  <dcterms:created xsi:type="dcterms:W3CDTF">2024-07-20T07:42:08Z</dcterms:created>
  <dcterms:modified xsi:type="dcterms:W3CDTF">2026-03-09T07:37:04Z</dcterms:modified>
</cp:coreProperties>
</file>