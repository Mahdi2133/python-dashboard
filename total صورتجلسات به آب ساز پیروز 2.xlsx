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20.107\new asadi share\پوشه کشیدن و نصب\به آب ساز پمپاژ\"/>
    </mc:Choice>
  </mc:AlternateContent>
  <bookViews>
    <workbookView xWindow="0" yWindow="0" windowWidth="21570" windowHeight="8055" tabRatio="1000" firstSheet="2" activeTab="18"/>
  </bookViews>
  <sheets>
    <sheet name="مفتح 29 (بازه شیخ)" sheetId="60" r:id="rId1"/>
    <sheet name="امامیه 17" sheetId="59" r:id="rId2"/>
    <sheet name="اسلام آباد 4" sheetId="58" r:id="rId3"/>
    <sheet name="فناوری 1 مجدد" sheetId="63" r:id="rId4"/>
    <sheet name="فناوری 1" sheetId="57" r:id="rId5"/>
    <sheet name="انتهای اقدسیه" sheetId="62" r:id="rId6"/>
    <sheet name="اسلام آباد5" sheetId="55" r:id="rId7"/>
    <sheet name="شهرک راه آهن(مجدد)" sheetId="54" r:id="rId8"/>
    <sheet name="شهرک راه آهن" sheetId="61" r:id="rId9"/>
    <sheet name="ناظریه 10" sheetId="53" r:id="rId10"/>
    <sheet name="حجاب 3" sheetId="52" r:id="rId11"/>
    <sheet name="عبادی 30" sheetId="51" r:id="rId12"/>
    <sheet name="بهار" sheetId="50" r:id="rId13"/>
    <sheet name="رضا 11" sheetId="49" r:id="rId14"/>
    <sheet name="کورده 13" sheetId="48" r:id="rId15"/>
    <sheet name="کورده 3" sheetId="47" r:id="rId16"/>
    <sheet name="اسلام 13" sheetId="45" r:id="rId17"/>
    <sheet name="شهرک امام" sheetId="36" r:id="rId18"/>
    <sheet name="total" sheetId="44" r:id="rId1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44" l="1"/>
  <c r="M16" i="44" l="1"/>
  <c r="L16" i="44"/>
  <c r="M14" i="44"/>
  <c r="M15" i="44" s="1"/>
  <c r="M5" i="44"/>
  <c r="L4" i="44"/>
  <c r="M4" i="44"/>
  <c r="L12" i="44"/>
  <c r="J12" i="63" l="1"/>
  <c r="I12" i="63"/>
  <c r="F12" i="63" s="1"/>
  <c r="J11" i="63"/>
  <c r="I11" i="63"/>
  <c r="F11" i="63"/>
  <c r="E11" i="63"/>
  <c r="D11" i="63" s="1"/>
  <c r="C11" i="63" s="1"/>
  <c r="J10" i="63"/>
  <c r="I10" i="63"/>
  <c r="F10" i="63" s="1"/>
  <c r="G10" i="63"/>
  <c r="J9" i="63"/>
  <c r="I9" i="63"/>
  <c r="F9" i="63" s="1"/>
  <c r="G9" i="63"/>
  <c r="J8" i="63"/>
  <c r="I8" i="63"/>
  <c r="G8" i="63"/>
  <c r="F8" i="63"/>
  <c r="E8" i="63"/>
  <c r="D8" i="63" s="1"/>
  <c r="C8" i="63" s="1"/>
  <c r="E10" i="63" l="1"/>
  <c r="D10" i="63" s="1"/>
  <c r="C10" i="63" s="1"/>
  <c r="E9" i="63"/>
  <c r="D9" i="63" s="1"/>
  <c r="C9" i="63" s="1"/>
  <c r="E12" i="63"/>
  <c r="D12" i="63" s="1"/>
  <c r="C12" i="63" s="1"/>
  <c r="J12" i="62" l="1"/>
  <c r="I12" i="62"/>
  <c r="F12" i="62" s="1"/>
  <c r="G12" i="62"/>
  <c r="J11" i="62"/>
  <c r="I11" i="62"/>
  <c r="F11" i="62" s="1"/>
  <c r="G11" i="62"/>
  <c r="J10" i="62"/>
  <c r="I10" i="62"/>
  <c r="F10" i="62" s="1"/>
  <c r="G10" i="62"/>
  <c r="J9" i="62"/>
  <c r="I9" i="62"/>
  <c r="E9" i="62" s="1"/>
  <c r="G9" i="62"/>
  <c r="J8" i="62"/>
  <c r="I8" i="62"/>
  <c r="F8" i="62" s="1"/>
  <c r="G8" i="62"/>
  <c r="J12" i="61"/>
  <c r="I12" i="61"/>
  <c r="F12" i="61" s="1"/>
  <c r="G12" i="61"/>
  <c r="J11" i="61"/>
  <c r="I11" i="61"/>
  <c r="F11" i="61" s="1"/>
  <c r="G11" i="61"/>
  <c r="J10" i="61"/>
  <c r="I10" i="61"/>
  <c r="F10" i="61" s="1"/>
  <c r="G10" i="61"/>
  <c r="J9" i="61"/>
  <c r="I9" i="61"/>
  <c r="F9" i="61" s="1"/>
  <c r="G9" i="61"/>
  <c r="J8" i="61"/>
  <c r="I8" i="61"/>
  <c r="E8" i="61" s="1"/>
  <c r="G8" i="61"/>
  <c r="J12" i="60"/>
  <c r="I12" i="60"/>
  <c r="E12" i="60" s="1"/>
  <c r="G12" i="60"/>
  <c r="J11" i="60"/>
  <c r="I11" i="60"/>
  <c r="F11" i="60" s="1"/>
  <c r="G11" i="60"/>
  <c r="J10" i="60"/>
  <c r="I10" i="60"/>
  <c r="F10" i="60" s="1"/>
  <c r="G10" i="60"/>
  <c r="J9" i="60"/>
  <c r="I9" i="60"/>
  <c r="F9" i="60" s="1"/>
  <c r="G9" i="60"/>
  <c r="J8" i="60"/>
  <c r="I8" i="60"/>
  <c r="F8" i="60" s="1"/>
  <c r="G8" i="60"/>
  <c r="J12" i="59"/>
  <c r="I12" i="59"/>
  <c r="E12" i="59" s="1"/>
  <c r="G12" i="59"/>
  <c r="J11" i="59"/>
  <c r="I11" i="59"/>
  <c r="F11" i="59" s="1"/>
  <c r="G11" i="59"/>
  <c r="J10" i="59"/>
  <c r="I10" i="59"/>
  <c r="E10" i="59" s="1"/>
  <c r="G10" i="59"/>
  <c r="J9" i="59"/>
  <c r="I9" i="59"/>
  <c r="F9" i="59" s="1"/>
  <c r="G9" i="59"/>
  <c r="J8" i="59"/>
  <c r="I8" i="59"/>
  <c r="E8" i="59" s="1"/>
  <c r="G8" i="59"/>
  <c r="J12" i="58"/>
  <c r="I12" i="58"/>
  <c r="F12" i="58" s="1"/>
  <c r="G12" i="58"/>
  <c r="J11" i="58"/>
  <c r="I11" i="58"/>
  <c r="F11" i="58" s="1"/>
  <c r="G11" i="58"/>
  <c r="J10" i="58"/>
  <c r="I10" i="58"/>
  <c r="F10" i="58" s="1"/>
  <c r="G10" i="58"/>
  <c r="J9" i="58"/>
  <c r="I9" i="58"/>
  <c r="E9" i="58" s="1"/>
  <c r="G9" i="58"/>
  <c r="J8" i="58"/>
  <c r="I8" i="58"/>
  <c r="F8" i="58" s="1"/>
  <c r="G8" i="58"/>
  <c r="J12" i="57"/>
  <c r="I12" i="57"/>
  <c r="E12" i="57" s="1"/>
  <c r="F12" i="57"/>
  <c r="J11" i="57"/>
  <c r="I11" i="57"/>
  <c r="F11" i="57" s="1"/>
  <c r="J10" i="57"/>
  <c r="I10" i="57"/>
  <c r="F10" i="57" s="1"/>
  <c r="G10" i="57"/>
  <c r="J9" i="57"/>
  <c r="I9" i="57"/>
  <c r="F9" i="57" s="1"/>
  <c r="G9" i="57"/>
  <c r="J8" i="57"/>
  <c r="I8" i="57"/>
  <c r="E8" i="57" s="1"/>
  <c r="G8" i="57"/>
  <c r="J12" i="55"/>
  <c r="I12" i="55"/>
  <c r="F12" i="55" s="1"/>
  <c r="G12" i="55"/>
  <c r="J11" i="55"/>
  <c r="I11" i="55"/>
  <c r="F11" i="55" s="1"/>
  <c r="G11" i="55"/>
  <c r="J10" i="55"/>
  <c r="I10" i="55"/>
  <c r="F10" i="55" s="1"/>
  <c r="G10" i="55"/>
  <c r="J9" i="55"/>
  <c r="I9" i="55"/>
  <c r="F9" i="55" s="1"/>
  <c r="G9" i="55"/>
  <c r="J8" i="55"/>
  <c r="I8" i="55"/>
  <c r="E8" i="55" s="1"/>
  <c r="G8" i="55"/>
  <c r="J12" i="54"/>
  <c r="I12" i="54"/>
  <c r="E12" i="54" s="1"/>
  <c r="G12" i="54"/>
  <c r="J11" i="54"/>
  <c r="I11" i="54"/>
  <c r="F11" i="54" s="1"/>
  <c r="G11" i="54"/>
  <c r="J10" i="54"/>
  <c r="I10" i="54"/>
  <c r="F10" i="54" s="1"/>
  <c r="G10" i="54"/>
  <c r="J9" i="54"/>
  <c r="I9" i="54"/>
  <c r="G9" i="54"/>
  <c r="F9" i="54"/>
  <c r="E9" i="54"/>
  <c r="J8" i="54"/>
  <c r="I8" i="54"/>
  <c r="F8" i="54" s="1"/>
  <c r="G8" i="54"/>
  <c r="F10" i="59" l="1"/>
  <c r="D10" i="59" s="1"/>
  <c r="C10" i="59" s="1"/>
  <c r="D12" i="57"/>
  <c r="C12" i="57" s="1"/>
  <c r="E11" i="57"/>
  <c r="D11" i="57" s="1"/>
  <c r="C11" i="57" s="1"/>
  <c r="E9" i="61"/>
  <c r="D9" i="61" s="1"/>
  <c r="C9" i="61" s="1"/>
  <c r="F9" i="58"/>
  <c r="D9" i="58" s="1"/>
  <c r="C9" i="58" s="1"/>
  <c r="F9" i="62"/>
  <c r="D9" i="62" s="1"/>
  <c r="C9" i="62" s="1"/>
  <c r="E10" i="62"/>
  <c r="D10" i="62" s="1"/>
  <c r="C10" i="62" s="1"/>
  <c r="E12" i="62"/>
  <c r="D12" i="62" s="1"/>
  <c r="C12" i="62" s="1"/>
  <c r="F12" i="54"/>
  <c r="D12" i="54" s="1"/>
  <c r="C12" i="54" s="1"/>
  <c r="E12" i="61"/>
  <c r="D12" i="61" s="1"/>
  <c r="C12" i="61" s="1"/>
  <c r="E9" i="60"/>
  <c r="D9" i="60" s="1"/>
  <c r="C9" i="60" s="1"/>
  <c r="E9" i="59"/>
  <c r="D9" i="59" s="1"/>
  <c r="C9" i="59" s="1"/>
  <c r="E10" i="60"/>
  <c r="D10" i="60" s="1"/>
  <c r="C10" i="60" s="1"/>
  <c r="E9" i="55"/>
  <c r="D9" i="55" s="1"/>
  <c r="C9" i="55" s="1"/>
  <c r="E12" i="58"/>
  <c r="D12" i="58" s="1"/>
  <c r="C12" i="58" s="1"/>
  <c r="E8" i="62"/>
  <c r="D8" i="62" s="1"/>
  <c r="C8" i="62" s="1"/>
  <c r="E8" i="58"/>
  <c r="D8" i="58" s="1"/>
  <c r="C8" i="58" s="1"/>
  <c r="E10" i="58"/>
  <c r="D10" i="58" s="1"/>
  <c r="C10" i="58" s="1"/>
  <c r="E9" i="57"/>
  <c r="D9" i="57" s="1"/>
  <c r="C9" i="57" s="1"/>
  <c r="F8" i="57"/>
  <c r="D8" i="57" s="1"/>
  <c r="C8" i="57" s="1"/>
  <c r="F8" i="61"/>
  <c r="D8" i="61" s="1"/>
  <c r="C8" i="61" s="1"/>
  <c r="E11" i="62"/>
  <c r="D11" i="62" s="1"/>
  <c r="C11" i="62" s="1"/>
  <c r="E11" i="61"/>
  <c r="D11" i="61" s="1"/>
  <c r="C11" i="61" s="1"/>
  <c r="E10" i="61"/>
  <c r="D10" i="61" s="1"/>
  <c r="C10" i="61" s="1"/>
  <c r="E8" i="60"/>
  <c r="D8" i="60" s="1"/>
  <c r="C8" i="60" s="1"/>
  <c r="E11" i="60"/>
  <c r="D11" i="60" s="1"/>
  <c r="C11" i="60" s="1"/>
  <c r="F12" i="60"/>
  <c r="D12" i="60" s="1"/>
  <c r="C12" i="60" s="1"/>
  <c r="F8" i="59"/>
  <c r="D8" i="59" s="1"/>
  <c r="C8" i="59" s="1"/>
  <c r="E11" i="59"/>
  <c r="D11" i="59" s="1"/>
  <c r="C11" i="59" s="1"/>
  <c r="F12" i="59"/>
  <c r="D12" i="59" s="1"/>
  <c r="C12" i="59" s="1"/>
  <c r="E11" i="58"/>
  <c r="D11" i="58" s="1"/>
  <c r="C11" i="58" s="1"/>
  <c r="E10" i="57"/>
  <c r="D10" i="57" s="1"/>
  <c r="C10" i="57" s="1"/>
  <c r="E10" i="55"/>
  <c r="D10" i="55" s="1"/>
  <c r="C10" i="55" s="1"/>
  <c r="E12" i="55"/>
  <c r="D12" i="55" s="1"/>
  <c r="C12" i="55" s="1"/>
  <c r="F8" i="55"/>
  <c r="D8" i="55" s="1"/>
  <c r="C8" i="55" s="1"/>
  <c r="E11" i="55"/>
  <c r="D11" i="55" s="1"/>
  <c r="C11" i="55" s="1"/>
  <c r="D9" i="54"/>
  <c r="C9" i="54" s="1"/>
  <c r="E11" i="54"/>
  <c r="D11" i="54" s="1"/>
  <c r="C11" i="54" s="1"/>
  <c r="E8" i="54"/>
  <c r="D8" i="54" s="1"/>
  <c r="C8" i="54" s="1"/>
  <c r="E10" i="54"/>
  <c r="D10" i="54" s="1"/>
  <c r="C10" i="54" s="1"/>
  <c r="E13" i="44"/>
  <c r="E9" i="44"/>
  <c r="H12" i="44"/>
  <c r="P15" i="44" l="1"/>
  <c r="J12" i="53"/>
  <c r="I12" i="53"/>
  <c r="E12" i="53" s="1"/>
  <c r="G12" i="53"/>
  <c r="J11" i="53"/>
  <c r="I11" i="53"/>
  <c r="F11" i="53" s="1"/>
  <c r="G11" i="53"/>
  <c r="J10" i="53"/>
  <c r="I10" i="53"/>
  <c r="F10" i="53" s="1"/>
  <c r="G10" i="53"/>
  <c r="J9" i="53"/>
  <c r="I9" i="53"/>
  <c r="E9" i="53" s="1"/>
  <c r="G9" i="53"/>
  <c r="J8" i="53"/>
  <c r="I8" i="53"/>
  <c r="F8" i="53" s="1"/>
  <c r="G8" i="53"/>
  <c r="O12" i="44"/>
  <c r="J12" i="52"/>
  <c r="I12" i="52"/>
  <c r="F12" i="52" s="1"/>
  <c r="G12" i="52"/>
  <c r="J11" i="52"/>
  <c r="I11" i="52"/>
  <c r="F11" i="52" s="1"/>
  <c r="G11" i="52"/>
  <c r="J10" i="52"/>
  <c r="I10" i="52"/>
  <c r="E10" i="52" s="1"/>
  <c r="G10" i="52"/>
  <c r="J9" i="52"/>
  <c r="I9" i="52"/>
  <c r="F9" i="52" s="1"/>
  <c r="G9" i="52"/>
  <c r="J8" i="52"/>
  <c r="I8" i="52"/>
  <c r="F8" i="52" s="1"/>
  <c r="G8" i="52"/>
  <c r="J12" i="51"/>
  <c r="I12" i="51"/>
  <c r="E12" i="51" s="1"/>
  <c r="G12" i="51"/>
  <c r="J11" i="51"/>
  <c r="I11" i="51"/>
  <c r="F11" i="51" s="1"/>
  <c r="G11" i="51"/>
  <c r="J10" i="51"/>
  <c r="I10" i="51"/>
  <c r="F10" i="51" s="1"/>
  <c r="G10" i="51"/>
  <c r="J9" i="51"/>
  <c r="I9" i="51"/>
  <c r="F9" i="51" s="1"/>
  <c r="G9" i="51"/>
  <c r="J8" i="51"/>
  <c r="I8" i="51"/>
  <c r="E8" i="51" s="1"/>
  <c r="G8" i="51"/>
  <c r="M12" i="44"/>
  <c r="J12" i="50"/>
  <c r="I12" i="50"/>
  <c r="E12" i="50" s="1"/>
  <c r="G12" i="50"/>
  <c r="J11" i="50"/>
  <c r="I11" i="50"/>
  <c r="F11" i="50" s="1"/>
  <c r="G11" i="50"/>
  <c r="J10" i="50"/>
  <c r="I10" i="50"/>
  <c r="F10" i="50" s="1"/>
  <c r="G10" i="50"/>
  <c r="J9" i="50"/>
  <c r="I9" i="50"/>
  <c r="F9" i="50" s="1"/>
  <c r="G9" i="50"/>
  <c r="J8" i="50"/>
  <c r="I8" i="50"/>
  <c r="F8" i="50" s="1"/>
  <c r="G8" i="50"/>
  <c r="J12" i="49"/>
  <c r="I12" i="49"/>
  <c r="E12" i="49" s="1"/>
  <c r="G12" i="49"/>
  <c r="J11" i="49"/>
  <c r="I11" i="49"/>
  <c r="F11" i="49" s="1"/>
  <c r="G11" i="49"/>
  <c r="J10" i="49"/>
  <c r="I10" i="49"/>
  <c r="F10" i="49" s="1"/>
  <c r="G10" i="49"/>
  <c r="J9" i="49"/>
  <c r="I9" i="49"/>
  <c r="E9" i="49" s="1"/>
  <c r="G9" i="49"/>
  <c r="J8" i="49"/>
  <c r="I8" i="49"/>
  <c r="F8" i="49" s="1"/>
  <c r="G8" i="49"/>
  <c r="K12" i="44"/>
  <c r="J12" i="48"/>
  <c r="I12" i="48"/>
  <c r="E12" i="48" s="1"/>
  <c r="G12" i="48"/>
  <c r="J11" i="48"/>
  <c r="I11" i="48"/>
  <c r="F11" i="48" s="1"/>
  <c r="G11" i="48"/>
  <c r="J10" i="48"/>
  <c r="I10" i="48"/>
  <c r="F10" i="48" s="1"/>
  <c r="G10" i="48"/>
  <c r="J9" i="48"/>
  <c r="I9" i="48"/>
  <c r="E9" i="48" s="1"/>
  <c r="G9" i="48"/>
  <c r="F9" i="48"/>
  <c r="J8" i="48"/>
  <c r="I8" i="48"/>
  <c r="F8" i="48" s="1"/>
  <c r="G8" i="48"/>
  <c r="J16" i="44"/>
  <c r="K16" i="44" s="1"/>
  <c r="J14" i="44"/>
  <c r="K14" i="44" s="1"/>
  <c r="J8" i="44"/>
  <c r="K8" i="44" s="1"/>
  <c r="J6" i="44"/>
  <c r="K6" i="44" s="1"/>
  <c r="J5" i="44"/>
  <c r="K5" i="44" s="1"/>
  <c r="J4" i="44"/>
  <c r="J12" i="47"/>
  <c r="I12" i="47"/>
  <c r="E12" i="47" s="1"/>
  <c r="G12" i="47"/>
  <c r="J11" i="47"/>
  <c r="I11" i="47"/>
  <c r="F11" i="47" s="1"/>
  <c r="G11" i="47"/>
  <c r="J10" i="47"/>
  <c r="I10" i="47"/>
  <c r="F10" i="47" s="1"/>
  <c r="G10" i="47"/>
  <c r="J9" i="47"/>
  <c r="I9" i="47"/>
  <c r="F9" i="47" s="1"/>
  <c r="G9" i="47"/>
  <c r="J8" i="47"/>
  <c r="I8" i="47"/>
  <c r="E8" i="47" s="1"/>
  <c r="G8" i="47"/>
  <c r="M6" i="44" l="1"/>
  <c r="N6" i="44" s="1"/>
  <c r="O6" i="44" s="1"/>
  <c r="M8" i="44"/>
  <c r="N8" i="44" s="1"/>
  <c r="O8" i="44" s="1"/>
  <c r="L8" i="44"/>
  <c r="K15" i="44"/>
  <c r="L14" i="44"/>
  <c r="L15" i="44" s="1"/>
  <c r="L6" i="44"/>
  <c r="F6" i="44" s="1"/>
  <c r="G6" i="44" s="1"/>
  <c r="N5" i="44"/>
  <c r="O5" i="44" s="1"/>
  <c r="L5" i="44"/>
  <c r="F5" i="44" s="1"/>
  <c r="G5" i="44" s="1"/>
  <c r="N16" i="44"/>
  <c r="O16" i="44" s="1"/>
  <c r="E11" i="53"/>
  <c r="D11" i="53" s="1"/>
  <c r="C11" i="53" s="1"/>
  <c r="E11" i="47"/>
  <c r="D11" i="47" s="1"/>
  <c r="C11" i="47" s="1"/>
  <c r="E8" i="53"/>
  <c r="D8" i="53" s="1"/>
  <c r="C8" i="53" s="1"/>
  <c r="F12" i="47"/>
  <c r="D12" i="47" s="1"/>
  <c r="C12" i="47" s="1"/>
  <c r="F12" i="49"/>
  <c r="D12" i="49" s="1"/>
  <c r="C12" i="49" s="1"/>
  <c r="F12" i="50"/>
  <c r="F12" i="51"/>
  <c r="D12" i="51" s="1"/>
  <c r="C12" i="51" s="1"/>
  <c r="E12" i="52"/>
  <c r="D12" i="52" s="1"/>
  <c r="C12" i="52" s="1"/>
  <c r="F9" i="53"/>
  <c r="D9" i="53" s="1"/>
  <c r="C9" i="53" s="1"/>
  <c r="F12" i="53"/>
  <c r="F8" i="47"/>
  <c r="D8" i="47" s="1"/>
  <c r="C8" i="47" s="1"/>
  <c r="D9" i="48"/>
  <c r="C9" i="48" s="1"/>
  <c r="F12" i="48"/>
  <c r="K4" i="44"/>
  <c r="D12" i="53"/>
  <c r="C12" i="53" s="1"/>
  <c r="E10" i="53"/>
  <c r="D10" i="53" s="1"/>
  <c r="C10" i="53" s="1"/>
  <c r="E9" i="52"/>
  <c r="D9" i="52" s="1"/>
  <c r="C9" i="52" s="1"/>
  <c r="E8" i="52"/>
  <c r="D8" i="52" s="1"/>
  <c r="C8" i="52" s="1"/>
  <c r="F10" i="52"/>
  <c r="D10" i="52" s="1"/>
  <c r="C10" i="52" s="1"/>
  <c r="E11" i="52"/>
  <c r="D11" i="52" s="1"/>
  <c r="C11" i="52" s="1"/>
  <c r="E11" i="51"/>
  <c r="D11" i="51" s="1"/>
  <c r="C11" i="51" s="1"/>
  <c r="E9" i="51"/>
  <c r="D9" i="51" s="1"/>
  <c r="C9" i="51" s="1"/>
  <c r="F8" i="51"/>
  <c r="D8" i="51" s="1"/>
  <c r="C8" i="51" s="1"/>
  <c r="E10" i="51"/>
  <c r="D10" i="51" s="1"/>
  <c r="C10" i="51" s="1"/>
  <c r="D12" i="50"/>
  <c r="C12" i="50" s="1"/>
  <c r="E11" i="50"/>
  <c r="D11" i="50" s="1"/>
  <c r="C11" i="50" s="1"/>
  <c r="E9" i="50"/>
  <c r="E8" i="50"/>
  <c r="D8" i="50" s="1"/>
  <c r="C8" i="50" s="1"/>
  <c r="D9" i="50"/>
  <c r="C9" i="50" s="1"/>
  <c r="E10" i="50"/>
  <c r="D10" i="50" s="1"/>
  <c r="C10" i="50" s="1"/>
  <c r="F9" i="49"/>
  <c r="D9" i="49" s="1"/>
  <c r="C9" i="49" s="1"/>
  <c r="E11" i="49"/>
  <c r="D11" i="49" s="1"/>
  <c r="C11" i="49" s="1"/>
  <c r="E8" i="49"/>
  <c r="D8" i="49" s="1"/>
  <c r="C8" i="49" s="1"/>
  <c r="E10" i="49"/>
  <c r="D10" i="49" s="1"/>
  <c r="C10" i="49" s="1"/>
  <c r="D12" i="48"/>
  <c r="C12" i="48" s="1"/>
  <c r="E11" i="48"/>
  <c r="D11" i="48" s="1"/>
  <c r="C11" i="48" s="1"/>
  <c r="E8" i="48"/>
  <c r="D8" i="48" s="1"/>
  <c r="C8" i="48" s="1"/>
  <c r="E10" i="48"/>
  <c r="D10" i="48" s="1"/>
  <c r="C10" i="48" s="1"/>
  <c r="E9" i="47"/>
  <c r="D9" i="47" s="1"/>
  <c r="C9" i="47" s="1"/>
  <c r="E10" i="47"/>
  <c r="D10" i="47" s="1"/>
  <c r="C10" i="47" s="1"/>
  <c r="J12" i="45"/>
  <c r="I12" i="45"/>
  <c r="F12" i="45" s="1"/>
  <c r="G12" i="45"/>
  <c r="J11" i="45"/>
  <c r="I11" i="45"/>
  <c r="F11" i="45" s="1"/>
  <c r="G11" i="45"/>
  <c r="J10" i="45"/>
  <c r="I10" i="45"/>
  <c r="E10" i="45" s="1"/>
  <c r="G10" i="45"/>
  <c r="J9" i="45"/>
  <c r="I9" i="45"/>
  <c r="F9" i="45" s="1"/>
  <c r="G9" i="45"/>
  <c r="J8" i="45"/>
  <c r="I8" i="45"/>
  <c r="F8" i="45" s="1"/>
  <c r="G8" i="45"/>
  <c r="F7" i="44"/>
  <c r="G7" i="44" s="1"/>
  <c r="F9" i="44"/>
  <c r="G9" i="44" s="1"/>
  <c r="F10" i="44"/>
  <c r="F11" i="44"/>
  <c r="G11" i="44" s="1"/>
  <c r="F13" i="44"/>
  <c r="G13" i="44" s="1"/>
  <c r="F16" i="44"/>
  <c r="G16" i="44" s="1"/>
  <c r="F12" i="44"/>
  <c r="E15" i="44"/>
  <c r="E12" i="44"/>
  <c r="E10" i="44"/>
  <c r="F8" i="44" l="1"/>
  <c r="G8" i="44" s="1"/>
  <c r="N4" i="44"/>
  <c r="L17" i="44"/>
  <c r="L18" i="44" s="1"/>
  <c r="G12" i="44"/>
  <c r="G10" i="44"/>
  <c r="H17" i="44"/>
  <c r="H18" i="44" s="1"/>
  <c r="I17" i="44"/>
  <c r="I18" i="44" s="1"/>
  <c r="Q17" i="44"/>
  <c r="Q18" i="44" s="1"/>
  <c r="P17" i="44"/>
  <c r="P18" i="44" s="1"/>
  <c r="J17" i="44"/>
  <c r="J18" i="44" s="1"/>
  <c r="O4" i="44"/>
  <c r="F4" i="44" s="1"/>
  <c r="G4" i="44" s="1"/>
  <c r="K17" i="44"/>
  <c r="K18" i="44" s="1"/>
  <c r="F10" i="45"/>
  <c r="D10" i="45" s="1"/>
  <c r="C10" i="45" s="1"/>
  <c r="E9" i="45"/>
  <c r="D9" i="45" s="1"/>
  <c r="C9" i="45" s="1"/>
  <c r="E8" i="45"/>
  <c r="D8" i="45" s="1"/>
  <c r="C8" i="45" s="1"/>
  <c r="E12" i="45"/>
  <c r="D12" i="45" s="1"/>
  <c r="C12" i="45" s="1"/>
  <c r="E11" i="45"/>
  <c r="D11" i="45" s="1"/>
  <c r="C11" i="45" s="1"/>
  <c r="G9" i="36"/>
  <c r="G10" i="36"/>
  <c r="G11" i="36"/>
  <c r="G12" i="36"/>
  <c r="G8" i="36"/>
  <c r="I9" i="36"/>
  <c r="E9" i="36" s="1"/>
  <c r="I10" i="36"/>
  <c r="E10" i="36" s="1"/>
  <c r="I11" i="36"/>
  <c r="E11" i="36" s="1"/>
  <c r="I12" i="36"/>
  <c r="F12" i="36" s="1"/>
  <c r="I8" i="36"/>
  <c r="F8" i="36" s="1"/>
  <c r="J9" i="36"/>
  <c r="J10" i="36"/>
  <c r="J11" i="36"/>
  <c r="J12" i="36"/>
  <c r="J8" i="36"/>
  <c r="M17" i="44" l="1"/>
  <c r="M18" i="44" s="1"/>
  <c r="N14" i="44"/>
  <c r="E12" i="36"/>
  <c r="D12" i="36" s="1"/>
  <c r="C12" i="36" s="1"/>
  <c r="F11" i="36"/>
  <c r="D11" i="36" s="1"/>
  <c r="C11" i="36" s="1"/>
  <c r="F10" i="36"/>
  <c r="D10" i="36" s="1"/>
  <c r="C10" i="36" s="1"/>
  <c r="F9" i="36"/>
  <c r="D9" i="36" s="1"/>
  <c r="C9" i="36" s="1"/>
  <c r="E8" i="36"/>
  <c r="D8" i="36" s="1"/>
  <c r="C8" i="36" s="1"/>
  <c r="O14" i="44" l="1"/>
  <c r="N17" i="44"/>
  <c r="N18" i="44" s="1"/>
  <c r="O15" i="44" l="1"/>
  <c r="O17" i="44" s="1"/>
  <c r="O18" i="44" s="1"/>
  <c r="F14" i="44"/>
  <c r="G14" i="44" s="1"/>
  <c r="F15" i="44" l="1"/>
  <c r="G15" i="44" s="1"/>
</calcChain>
</file>

<file path=xl/sharedStrings.xml><?xml version="1.0" encoding="utf-8"?>
<sst xmlns="http://schemas.openxmlformats.org/spreadsheetml/2006/main" count="631" uniqueCount="187">
  <si>
    <t>ردیف</t>
  </si>
  <si>
    <t>واحد</t>
  </si>
  <si>
    <t>مقدار</t>
  </si>
  <si>
    <t>شماره</t>
  </si>
  <si>
    <t>حلقه چاه</t>
  </si>
  <si>
    <t>کیلومتر</t>
  </si>
  <si>
    <t>ساعت</t>
  </si>
  <si>
    <t>نماینده پیمانکار</t>
  </si>
  <si>
    <t>راندمان</t>
  </si>
  <si>
    <t>افت محاسبه ای</t>
  </si>
  <si>
    <t>افت شبکه</t>
  </si>
  <si>
    <t>افت سفره</t>
  </si>
  <si>
    <t>Sp. Cap</t>
  </si>
  <si>
    <t xml:space="preserve">آبدهی
(l/s) </t>
  </si>
  <si>
    <t>دبی متر مکعب بر دقیقه</t>
  </si>
  <si>
    <t>افت</t>
  </si>
  <si>
    <t>سطح پويايي
(m)</t>
  </si>
  <si>
    <t>دور موتور</t>
  </si>
  <si>
    <t>سطح ایستایی</t>
  </si>
  <si>
    <t xml:space="preserve">كارکرد 1 </t>
  </si>
  <si>
    <t>كارکرد 2</t>
  </si>
  <si>
    <t>كارکرد 3</t>
  </si>
  <si>
    <t>كارکرد 4</t>
  </si>
  <si>
    <t>كارکرد 5</t>
  </si>
  <si>
    <t>شرکت به آب ساز پیروز</t>
  </si>
  <si>
    <t>نماینده دفتر پشتیبانی برق و تجهیزات</t>
  </si>
  <si>
    <t>نماینده مرکز آبرسانی:</t>
  </si>
  <si>
    <t>ضریب افت شبکه:</t>
  </si>
  <si>
    <t>ضریب افت سفره:</t>
  </si>
  <si>
    <t>ساعت خاموشی: 0 ساعت</t>
  </si>
  <si>
    <t>ساعت پایان: 13:00</t>
  </si>
  <si>
    <t>ساعت شروع: 11:00</t>
  </si>
  <si>
    <t>اضافه بها به ردیف 61002 جهت تعیین ضرایب هیدرودینامیک با پمپ توربینی 6 یا 8 اینچ برای عمق بیش از 200 متر</t>
  </si>
  <si>
    <t>متر</t>
  </si>
  <si>
    <t xml:space="preserve">شرح عملیات </t>
  </si>
  <si>
    <t xml:space="preserve">بهای واحد (ریال) </t>
  </si>
  <si>
    <t>بهای کل (ریال)</t>
  </si>
  <si>
    <t>تجهیز و برچیدن کارگاه برای آزمایش پمپاژ یا چاه پیمایی.</t>
  </si>
  <si>
    <t xml:space="preserve">حمل وسایل و متعلقات آزمایش پمپاژ و پرسنل مربوط در جاده های آسفالتی برای هر دستگاه </t>
  </si>
  <si>
    <t xml:space="preserve">حمل وسایل و متعلقات آزمایش پمپاژ و پرسنل مربوط در جاده های خاکی برای هر دستگاه </t>
  </si>
  <si>
    <t>تهیه، ریختن و کوبیدن شن شسته دانه بندی شده از نوع رودخانه ای دور لوله جدار، به ابعاد لازم</t>
  </si>
  <si>
    <t>مترمکعب</t>
  </si>
  <si>
    <t>تهیه، نصب و بیرون کشیدن موتور پمپ آزمایش توربینی 8 اینچ با قدرت کافی و تجهیزات لازم تا عمق 200 متر</t>
  </si>
  <si>
    <t xml:space="preserve">حلقه چاه </t>
  </si>
  <si>
    <t>60819*</t>
  </si>
  <si>
    <t>اضافه بها به ردیف 60806 جهت تهیه، نصب و بیرون کشیدن موتور پمپ آزمایش توربینی 8 اینچ با قدرت کافی و تجهیزات لازم برای عمق بیش از 200 متر(به ازای هر متر بیش از 200 متر)</t>
  </si>
  <si>
    <t>60820*</t>
  </si>
  <si>
    <t>اضافه بها به ردیف 60806 جهت نصب و بیرون کشیدن لوله ترمی تا هرعمقی جهت اندازه گیری سطوح دینامیک</t>
  </si>
  <si>
    <t>شست و شوی چاه با موتورپمپ آزمایشی توربینی 6 یا 8 اینچ، با قدرت کافی، تا عمق 200 متر</t>
  </si>
  <si>
    <t>ساعت‌</t>
  </si>
  <si>
    <t>60907*</t>
  </si>
  <si>
    <t>اضافه بها به ردیف 60902 جهت شست و شوی چاه با موتور پمپ آزمایش توربینی 8 اینچ با قدرت کافی و تجهیزات لازم برای عمق بیش از 200 متر</t>
  </si>
  <si>
    <t>60908*</t>
  </si>
  <si>
    <t>خاموش بودن مجاز دستگاه پمپاژ (با تایید کارفرما به دلیل مشکلات شهری یا اجتماعی)</t>
  </si>
  <si>
    <t>آزمایش پمپاژ چاه برای تعیین ضرایب هیدرودینامیک با پمپ توربینی 6 یا 8 اینچ، تا عمق 200 متر</t>
  </si>
  <si>
    <t>61009*</t>
  </si>
  <si>
    <t>61010*</t>
  </si>
  <si>
    <t>نصب تاکومتر  به همراه لاگر battery powered، به همراه ارائه دیتای برداشت شده، داده  تاکومتر بایستی به صورت آنلاین از طریق اینترنت قابل دسترسی(مشاهده و دانلود) باشد. خرید سیم کارت، شارژ آن و ایجاد دسترسی به شبکه اینترنت بر عهده پیمانکار می باشد</t>
  </si>
  <si>
    <t>صورتجلسه (آزمایش پمپاژ چاه شهرک امام) بر اساس فهرست بهای چاه سال 1404</t>
  </si>
  <si>
    <t>شماره و تاریخ قرارداد: 1404125201 و 1404/08/20</t>
  </si>
  <si>
    <t>تاریخ شروع کار: 1404/08/20</t>
  </si>
  <si>
    <t>تاریخ اتمام کار:1404/08/30</t>
  </si>
  <si>
    <t>ساعت پایان: 11:00</t>
  </si>
  <si>
    <t>عمق نصب پمپ: 245 متر</t>
  </si>
  <si>
    <t>نصب لوله ترمی: انجام نشد</t>
  </si>
  <si>
    <t>تاریخ اتمام کار:1404/08/26</t>
  </si>
  <si>
    <t>کل ساعت کارکرد:146 ساعت</t>
  </si>
  <si>
    <t>عمق نصب پمپ: 248 متر</t>
  </si>
  <si>
    <t>صورتجلسه (آزمایش پمپاژ چاه اسلام 13) بر اساس فهرست بهای چاه سال 1404</t>
  </si>
  <si>
    <t>صورتجلسه (آزمایش پمپاژ چاه کورده 3) بر اساس فهرست بهای چاه سال 1404</t>
  </si>
  <si>
    <t>ساعت شروع: 19:00</t>
  </si>
  <si>
    <t>ساعت پایان: 17:00</t>
  </si>
  <si>
    <t>کل ساعت کارکرد:238 ساعت</t>
  </si>
  <si>
    <t>صورتجلسه (آزمایش پمپاژ چاه کورده 13) بر اساس فهرست بهای چاه سال 1404</t>
  </si>
  <si>
    <t>تاریخ شروع کار: 1404/08/26</t>
  </si>
  <si>
    <t>تاریخ اتمام کار:1404/09/4</t>
  </si>
  <si>
    <t>ساعت شروع: 16:00</t>
  </si>
  <si>
    <t>ساعت پایان: 14:30</t>
  </si>
  <si>
    <t>عمق نصب پمپ: 230 متر</t>
  </si>
  <si>
    <t>کل ساعت کارکرد:139 ساعت</t>
  </si>
  <si>
    <t>ساعت خاموشی مورد تایید: 0 ساعت</t>
  </si>
  <si>
    <t>ساعت خاموشی مورد تایید: 53 ساعت</t>
  </si>
  <si>
    <t>صورتجلسه (آزمایش پمپاژ چاه رضا 11) بر اساس فهرست بهای چاه سال 1404</t>
  </si>
  <si>
    <t>ساعت پایان: 15:00</t>
  </si>
  <si>
    <t>عمق نصب پمپ: 247 متر</t>
  </si>
  <si>
    <t>ساعت شروع: 20:00</t>
  </si>
  <si>
    <t>صورتجلسه (آزمایش پمپاژ چاه بهار) بر اساس فهرست بهای چاه سال 1404</t>
  </si>
  <si>
    <t>تاریخ شروع کار: 1404/10/2</t>
  </si>
  <si>
    <t>تاریخ اتمام کار:1404/10/5</t>
  </si>
  <si>
    <t>ساعت شروع: 12:30</t>
  </si>
  <si>
    <t>ساعت پایان: 12:30</t>
  </si>
  <si>
    <t>کل ساعت کارکرد:72 ساعت</t>
  </si>
  <si>
    <t>صورتجلسه (آزمایش پمپاژ چاه عبادی 30) بر اساس فهرست بهای چاه سال 1404</t>
  </si>
  <si>
    <t>تاریخ شروع کار: 1404/9/23</t>
  </si>
  <si>
    <t>تاریخ اتمام کار:1404/10/2</t>
  </si>
  <si>
    <t>ساعت شروع: 16:30</t>
  </si>
  <si>
    <t>ساعت پایان: 13:30</t>
  </si>
  <si>
    <t>کل ساعت کارکرد:196 ساعت</t>
  </si>
  <si>
    <t>عمق نصب پمپ: 215 متر</t>
  </si>
  <si>
    <t>صورتجلسه (آزمایش پمپاژ چاه حجاب 3) بر اساس فهرست بهای چاه سال 1404</t>
  </si>
  <si>
    <t>تاریخ شروع کار: 1404/10/8</t>
  </si>
  <si>
    <t>تاریخ اتمام کار:1404/10/13</t>
  </si>
  <si>
    <t>کل ساعت کارکرد:122 ساعت</t>
  </si>
  <si>
    <t>عمق نصب پمپ: 235 متر</t>
  </si>
  <si>
    <t>صورتجلسه (آزمایش پمپاژ چاه ناظریه 10) بر اساس فهرست بهای چاه سال 1404</t>
  </si>
  <si>
    <t>تاریخ شروع کار: 1404/8/22</t>
  </si>
  <si>
    <t>تاریخ اتمام کار:1404/8/26</t>
  </si>
  <si>
    <t>ساعت شروع: 15:00</t>
  </si>
  <si>
    <t>ساعت پایان: 11:30</t>
  </si>
  <si>
    <t>کل ساعت کارکرد:92 ساعت</t>
  </si>
  <si>
    <t>عمق نصب پمپ: 232 متر</t>
  </si>
  <si>
    <t>ضریب پیمان</t>
  </si>
  <si>
    <t>مبلغ هر چاه قبل از اعمال ضرایب</t>
  </si>
  <si>
    <t>ضریب منطقه</t>
  </si>
  <si>
    <t>ضریب بالاسری</t>
  </si>
  <si>
    <t>مبلغ هر چاه پس از اعمال ضرایب</t>
  </si>
  <si>
    <t>مبلغ کل(ریال)</t>
  </si>
  <si>
    <t>صورتجلسه (شهرک راه آهن(مجدد)) بر اساس فهرست بهای چاه سال 1404</t>
  </si>
  <si>
    <t>تاریخ شروع کار: 1404/10/15</t>
  </si>
  <si>
    <t>تاریخ اتمام کار:1404/10/20</t>
  </si>
  <si>
    <t>ساعت شروع: 18:00</t>
  </si>
  <si>
    <t>ساعت پایان: 14:00</t>
  </si>
  <si>
    <t>عمق نصب پمپ: 225 متر</t>
  </si>
  <si>
    <t>کل ساعت کارکرد:116 ساعت</t>
  </si>
  <si>
    <t>صورتجلسه (اسلام آباد5) بر اساس فهرست بهای چاه سال 1404</t>
  </si>
  <si>
    <t>تاریخ شروع کار: 1404/12/17</t>
  </si>
  <si>
    <t>تاریخ اتمام کار:1404/12/21</t>
  </si>
  <si>
    <t>ساعت شروع: 10:00</t>
  </si>
  <si>
    <t>عمق نصب پمپ: 175 متر</t>
  </si>
  <si>
    <t>شرکت به آب ساز پیروز(محمدزاده)</t>
  </si>
  <si>
    <t>شرکت به آب ساز پیروز(حمید صفرپور)</t>
  </si>
  <si>
    <t>صورتجلسه (فناوری 1) بر اساس فهرست بهای چاه سال 1404</t>
  </si>
  <si>
    <t>شرکت به آب ساز پیروز(حامد صفرپور)</t>
  </si>
  <si>
    <t>صورتجلسه (اسلام آباد 4) بر اساس فهرست بهای چاه سال 1404</t>
  </si>
  <si>
    <t>عمق نصب پمپ: 244 متر</t>
  </si>
  <si>
    <t>عمق نصب پمپ: 145 متر</t>
  </si>
  <si>
    <t>کل ساعت کارکرد:41:12 ساعت(دیتالاگر)</t>
  </si>
  <si>
    <t>ساعت خاموشی مورد تایید: 1:06ساعت</t>
  </si>
  <si>
    <t>صورتجلسه (امامیه 17) بر اساس فهرست بهای چاه سال 1404</t>
  </si>
  <si>
    <t>کل ساعت کارکرد: 207:40 ساعت(دیتالاگر)</t>
  </si>
  <si>
    <t>صورتجلسه (مفتح 29 (بازه شیخ)) بر اساس فهرست بهای چاه سال 1404</t>
  </si>
  <si>
    <t>کل ساعت کارکرد: 109:25 ساعت(دیتالاگر)</t>
  </si>
  <si>
    <t>کل ساعت کارکرد:438:53 ساعت(دیتالاگر)</t>
  </si>
  <si>
    <t>تاریخ شروع کار: 1404/9/6</t>
  </si>
  <si>
    <t>تاریخ اتمام کار:1404/09/18</t>
  </si>
  <si>
    <t>ساعت شروع: 13:00</t>
  </si>
  <si>
    <t>کل ساعت کارکرد:226 ساعت</t>
  </si>
  <si>
    <t>ساعت خاموشی مورد تایید: 58 ساعت</t>
  </si>
  <si>
    <t>کل ساعت کارکرد: 96:42 ساعت (دیتا لاگر)</t>
  </si>
  <si>
    <t>ساعت خاموشی مورد تایید: 2:31 ساعت</t>
  </si>
  <si>
    <t>صورتجلسه (انتهای اقدسیه) بر اساس فهرست بهای چاه سال 1404</t>
  </si>
  <si>
    <t>کل ساعت کارکرد: 318:41 ساعت (دیتا لاگر)</t>
  </si>
  <si>
    <t>ساعت خاموشی مورد تایید: 16:41 ساعت</t>
  </si>
  <si>
    <t>شهرک راه آهن</t>
  </si>
  <si>
    <t>شهرک راه آهن (مجدد)</t>
  </si>
  <si>
    <t>اسلام 5</t>
  </si>
  <si>
    <t>انتهای اقدسیه</t>
  </si>
  <si>
    <t>فناوری 1</t>
  </si>
  <si>
    <t>اسلام 4</t>
  </si>
  <si>
    <t>امامیه 17</t>
  </si>
  <si>
    <t>مفتح 29 (بازه شیخ)</t>
  </si>
  <si>
    <t>رضا 46</t>
  </si>
  <si>
    <t>عمق نصب پمپ: 213.5 متر</t>
  </si>
  <si>
    <t>تاریخ شروع کار: 1404/10/06</t>
  </si>
  <si>
    <t>تاریخ اتمام کار:1404/10/11</t>
  </si>
  <si>
    <t>ساعت شروع: 21:00</t>
  </si>
  <si>
    <t>تاریخ شروع کار: 1404/09/25</t>
  </si>
  <si>
    <t>تاریخ اتمام کار:1404/09/27</t>
  </si>
  <si>
    <t>ساعت خاموشی مورد تایید: 0ساعت</t>
  </si>
  <si>
    <t>تاریخ شروع کار: 1405/01/15</t>
  </si>
  <si>
    <t>تاریخ اتمام کار:1405/01/29</t>
  </si>
  <si>
    <t>ساعت شروع: 18:20</t>
  </si>
  <si>
    <t>بیست ساعت به ساعت کار پمپاژ اضافه شود</t>
  </si>
  <si>
    <t>صورتجلسه (فناوری 1 مجدد) بر اساس فهرست بهای چاه سال 1404</t>
  </si>
  <si>
    <t>ساعت شروع: 11:30</t>
  </si>
  <si>
    <t>تاریخ شروع کار: 1404/09/09</t>
  </si>
  <si>
    <t>عمق نصب پمپ:  222  متر</t>
  </si>
  <si>
    <t>صورتجلسه (شهرک راه آهن) بر اساس فهرست بهای چاه سال 1404</t>
  </si>
  <si>
    <t>ساعت خاموشی مورد تایید: 55:27 ساعت</t>
  </si>
  <si>
    <t>کل ساعت کارکردروشن:252:17 ساعت(دیتالاگر)</t>
  </si>
  <si>
    <t>عمق نصب پمپ:248  متر</t>
  </si>
  <si>
    <t>تاریخ شروع کار: 1404/10/19</t>
  </si>
  <si>
    <t>ساعت شروع: 14:00</t>
  </si>
  <si>
    <t>تاریخ اتمام کار:1404/11/04</t>
  </si>
  <si>
    <t>کل ساعت کارکرد:220:51 ساعت</t>
  </si>
  <si>
    <t>کل ساعت کارکرد:135:22 ساعت</t>
  </si>
  <si>
    <t>فناوری 1 مجدد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</si>
</sst>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 Mitra"/>
      <charset val="178"/>
    </font>
    <font>
      <b/>
      <sz val="12"/>
      <name val="B Mitra"/>
      <charset val="178"/>
    </font>
    <font>
      <sz val="12"/>
      <name val="B Mitra"/>
      <charset val="178"/>
    </font>
    <font>
      <sz val="11"/>
      <color theme="1"/>
      <name val="B Nazanin"/>
      <charset val="178"/>
    </font>
    <font>
      <b/>
      <sz val="11"/>
      <name val="B Mitra"/>
      <charset val="178"/>
    </font>
    <font>
      <b/>
      <sz val="12"/>
      <name val="B Badr"/>
      <charset val="178"/>
    </font>
    <font>
      <b/>
      <sz val="14"/>
      <name val="B Badr"/>
      <charset val="178"/>
    </font>
    <font>
      <sz val="11"/>
      <color theme="1"/>
      <name val="B Badr"/>
      <charset val="178"/>
    </font>
    <font>
      <sz val="18"/>
      <color theme="1"/>
      <name val="B Badr"/>
      <charset val="178"/>
    </font>
    <font>
      <b/>
      <sz val="22"/>
      <name val="B Badr"/>
      <charset val="178"/>
    </font>
    <font>
      <sz val="14"/>
      <name val="B Mitra"/>
      <charset val="178"/>
    </font>
    <font>
      <sz val="14"/>
      <name val="B Badr"/>
      <charset val="178"/>
    </font>
    <font>
      <b/>
      <sz val="16"/>
      <name val="B Mitra"/>
      <charset val="178"/>
    </font>
    <font>
      <sz val="10"/>
      <color theme="1"/>
      <name val="Calibri"/>
      <family val="2"/>
      <scheme val="minor"/>
    </font>
    <font>
      <b/>
      <sz val="16"/>
      <name val="B Badr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Border="1" applyAlignment="1"/>
    <xf numFmtId="164" fontId="3" fillId="3" borderId="1" xfId="1" applyNumberFormat="1" applyFont="1" applyFill="1" applyBorder="1" applyAlignment="1" applyProtection="1">
      <alignment horizontal="center" vertical="center" readingOrder="2"/>
      <protection locked="0"/>
    </xf>
    <xf numFmtId="1" fontId="4" fillId="2" borderId="1" xfId="1" applyNumberFormat="1" applyFont="1" applyFill="1" applyBorder="1" applyAlignment="1" applyProtection="1">
      <alignment horizontal="center" vertical="center" readingOrder="2"/>
      <protection locked="0"/>
    </xf>
    <xf numFmtId="1" fontId="4" fillId="3" borderId="1" xfId="1" applyNumberFormat="1" applyFont="1" applyFill="1" applyBorder="1" applyAlignment="1" applyProtection="1">
      <alignment horizontal="center" vertical="center" readingOrder="2"/>
      <protection locked="0"/>
    </xf>
    <xf numFmtId="0" fontId="4" fillId="2" borderId="1" xfId="1" applyFont="1" applyFill="1" applyBorder="1" applyAlignment="1" applyProtection="1">
      <alignment horizontal="center" vertical="center" readingOrder="2"/>
      <protection locked="0"/>
    </xf>
    <xf numFmtId="0" fontId="0" fillId="0" borderId="0" xfId="0" applyBorder="1"/>
    <xf numFmtId="0" fontId="4" fillId="0" borderId="1" xfId="1" applyFont="1" applyBorder="1" applyAlignment="1" applyProtection="1">
      <alignment horizontal="center" vertical="center" readingOrder="2"/>
      <protection locked="0"/>
    </xf>
    <xf numFmtId="164" fontId="3" fillId="2" borderId="1" xfId="1" applyNumberFormat="1" applyFont="1" applyFill="1" applyBorder="1" applyAlignment="1" applyProtection="1">
      <alignment horizontal="center" vertical="center" readingOrder="2"/>
      <protection locked="0"/>
    </xf>
    <xf numFmtId="166" fontId="3" fillId="4" borderId="1" xfId="1" applyNumberFormat="1" applyFont="1" applyFill="1" applyBorder="1" applyAlignment="1" applyProtection="1">
      <alignment horizontal="center" vertical="center" readingOrder="2"/>
      <protection locked="0"/>
    </xf>
    <xf numFmtId="164" fontId="3" fillId="4" borderId="1" xfId="1" applyNumberFormat="1" applyFont="1" applyFill="1" applyBorder="1" applyAlignment="1" applyProtection="1">
      <alignment horizontal="center" vertical="center" readingOrder="2"/>
      <protection locked="0"/>
    </xf>
    <xf numFmtId="10" fontId="3" fillId="4" borderId="1" xfId="1" applyNumberFormat="1" applyFont="1" applyFill="1" applyBorder="1" applyAlignment="1" applyProtection="1">
      <alignment horizontal="center" vertical="center" readingOrder="2"/>
      <protection locked="0"/>
    </xf>
    <xf numFmtId="2" fontId="4" fillId="5" borderId="1" xfId="1" applyNumberFormat="1" applyFont="1" applyFill="1" applyBorder="1" applyAlignment="1" applyProtection="1">
      <alignment horizontal="center" vertical="center" readingOrder="2"/>
      <protection locked="0"/>
    </xf>
    <xf numFmtId="165" fontId="3" fillId="4" borderId="1" xfId="1" applyNumberFormat="1" applyFont="1" applyFill="1" applyBorder="1" applyAlignment="1" applyProtection="1">
      <alignment horizontal="center" vertical="center" readingOrder="2"/>
      <protection locked="0"/>
    </xf>
    <xf numFmtId="0" fontId="6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3" fontId="7" fillId="2" borderId="1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2" fillId="2" borderId="1" xfId="0" applyFont="1" applyFill="1" applyBorder="1" applyAlignment="1">
      <alignment horizontal="center" vertical="center" wrapText="1" readingOrder="2"/>
    </xf>
    <xf numFmtId="3" fontId="12" fillId="2" borderId="1" xfId="0" applyNumberFormat="1" applyFont="1" applyFill="1" applyBorder="1" applyAlignment="1">
      <alignment horizontal="center" vertical="center" wrapText="1" readingOrder="2"/>
    </xf>
    <xf numFmtId="3" fontId="13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 readingOrder="2"/>
    </xf>
    <xf numFmtId="3" fontId="1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5" fillId="0" borderId="0" xfId="0" applyFont="1" applyBorder="1" applyAlignment="1">
      <alignment horizontal="center"/>
    </xf>
    <xf numFmtId="0" fontId="2" fillId="2" borderId="1" xfId="1" applyFont="1" applyFill="1" applyBorder="1" applyAlignment="1" applyProtection="1">
      <alignment horizontal="center" vertical="center" wrapText="1" readingOrder="2"/>
    </xf>
    <xf numFmtId="0" fontId="2" fillId="3" borderId="1" xfId="1" applyFont="1" applyFill="1" applyBorder="1" applyAlignment="1" applyProtection="1">
      <alignment horizontal="center" vertical="center" readingOrder="2"/>
      <protection locked="0"/>
    </xf>
    <xf numFmtId="0" fontId="2" fillId="3" borderId="1" xfId="1" applyFont="1" applyFill="1" applyBorder="1" applyAlignment="1" applyProtection="1">
      <alignment horizontal="center" vertical="center" wrapText="1" readingOrder="2"/>
    </xf>
    <xf numFmtId="0" fontId="2" fillId="3" borderId="1" xfId="1" applyFont="1" applyFill="1" applyBorder="1" applyAlignment="1" applyProtection="1">
      <alignment horizontal="center" vertical="center" wrapText="1" readingOrder="2"/>
      <protection hidden="1"/>
    </xf>
    <xf numFmtId="0" fontId="2" fillId="2" borderId="1" xfId="1" applyFont="1" applyFill="1" applyBorder="1" applyAlignment="1" applyProtection="1">
      <alignment horizontal="center" vertical="center" readingOrder="2"/>
    </xf>
    <xf numFmtId="0" fontId="3" fillId="3" borderId="1" xfId="1" applyFont="1" applyFill="1" applyBorder="1" applyAlignment="1" applyProtection="1">
      <alignment horizontal="center" vertical="center" readingOrder="2"/>
      <protection locked="0"/>
    </xf>
    <xf numFmtId="0" fontId="2" fillId="2" borderId="1" xfId="1" applyFont="1" applyFill="1" applyBorder="1" applyAlignment="1" applyProtection="1">
      <alignment horizontal="center" vertical="center" readingOrder="2"/>
      <protection locked="0"/>
    </xf>
    <xf numFmtId="0" fontId="0" fillId="0" borderId="0" xfId="0" applyBorder="1" applyAlignment="1">
      <alignment horizontal="center"/>
    </xf>
    <xf numFmtId="0" fontId="15" fillId="0" borderId="0" xfId="0" applyFont="1" applyBorder="1" applyAlignment="1">
      <alignment horizontal="right"/>
    </xf>
    <xf numFmtId="3" fontId="11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0849142658E-2"/>
          <c:y val="3.0576260306830409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373879135219298"/>
                  <c:y val="-6.2529444294958353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'مفتح 29 (بازه شیخ)'!$I$8:$I$12</c:f>
              <c:numCache>
                <c:formatCode>0.000</c:formatCode>
                <c:ptCount val="5"/>
                <c:pt idx="0">
                  <c:v>0.45</c:v>
                </c:pt>
                <c:pt idx="1">
                  <c:v>0.69</c:v>
                </c:pt>
                <c:pt idx="2">
                  <c:v>0.81</c:v>
                </c:pt>
                <c:pt idx="3">
                  <c:v>0.84</c:v>
                </c:pt>
                <c:pt idx="4">
                  <c:v>0</c:v>
                </c:pt>
              </c:numCache>
            </c:numRef>
          </c:xVal>
          <c:yVal>
            <c:numRef>
              <c:f>'مفتح 29 (بازه شیخ)'!$J$8:$J$12</c:f>
              <c:numCache>
                <c:formatCode>0.0</c:formatCode>
                <c:ptCount val="5"/>
                <c:pt idx="0">
                  <c:v>47</c:v>
                </c:pt>
                <c:pt idx="1">
                  <c:v>76.5</c:v>
                </c:pt>
                <c:pt idx="2">
                  <c:v>101.5</c:v>
                </c:pt>
                <c:pt idx="3">
                  <c:v>139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C-4830-A24F-07D4BCCF9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'مفتح 29 (بازه شیخ)'!$I$8:$I$12</c:f>
              <c:numCache>
                <c:formatCode>0.000</c:formatCode>
                <c:ptCount val="5"/>
                <c:pt idx="0">
                  <c:v>0.45</c:v>
                </c:pt>
                <c:pt idx="1">
                  <c:v>0.69</c:v>
                </c:pt>
                <c:pt idx="2">
                  <c:v>0.81</c:v>
                </c:pt>
                <c:pt idx="3">
                  <c:v>0.84</c:v>
                </c:pt>
                <c:pt idx="4">
                  <c:v>0</c:v>
                </c:pt>
              </c:numCache>
            </c:numRef>
          </c:xVal>
          <c:yVal>
            <c:numRef>
              <c:f>'مفتح 29 (بازه شیخ)'!$C$8:$C$12</c:f>
              <c:numCache>
                <c:formatCode>0.00%</c:formatCode>
                <c:ptCount val="5"/>
                <c:pt idx="0">
                  <c:v>0.25104986140169638</c:v>
                </c:pt>
                <c:pt idx="1">
                  <c:v>0.17939307733173446</c:v>
                </c:pt>
                <c:pt idx="2">
                  <c:v>0.15698857149692128</c:v>
                </c:pt>
                <c:pt idx="3">
                  <c:v>0.15223538018871396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C-4830-A24F-07D4BCCF9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'امامیه 17'!$I$8:$I$12</c:f>
              <c:numCache>
                <c:formatCode>0.000</c:formatCode>
                <c:ptCount val="5"/>
                <c:pt idx="0">
                  <c:v>0.48</c:v>
                </c:pt>
                <c:pt idx="1">
                  <c:v>1.02</c:v>
                </c:pt>
                <c:pt idx="2">
                  <c:v>1.38</c:v>
                </c:pt>
                <c:pt idx="3">
                  <c:v>1.8</c:v>
                </c:pt>
                <c:pt idx="4">
                  <c:v>2.16</c:v>
                </c:pt>
              </c:numCache>
            </c:numRef>
          </c:xVal>
          <c:yVal>
            <c:numRef>
              <c:f>'امامیه 17'!$J$8:$J$12</c:f>
              <c:numCache>
                <c:formatCode>0.0</c:formatCode>
                <c:ptCount val="5"/>
                <c:pt idx="0">
                  <c:v>4.8000000000000114</c:v>
                </c:pt>
                <c:pt idx="1">
                  <c:v>10.800000000000011</c:v>
                </c:pt>
                <c:pt idx="2">
                  <c:v>14.800000000000011</c:v>
                </c:pt>
                <c:pt idx="3">
                  <c:v>19.800000000000011</c:v>
                </c:pt>
                <c:pt idx="4">
                  <c:v>24.300000000000011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4-466E-BB07-551299CB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'امامیه 17'!$I$8:$I$12</c:f>
              <c:numCache>
                <c:formatCode>0.000</c:formatCode>
                <c:ptCount val="5"/>
                <c:pt idx="0">
                  <c:v>0.48</c:v>
                </c:pt>
                <c:pt idx="1">
                  <c:v>1.02</c:v>
                </c:pt>
                <c:pt idx="2">
                  <c:v>1.38</c:v>
                </c:pt>
                <c:pt idx="3">
                  <c:v>1.8</c:v>
                </c:pt>
                <c:pt idx="4">
                  <c:v>2.16</c:v>
                </c:pt>
              </c:numCache>
            </c:numRef>
          </c:xVal>
          <c:yVal>
            <c:numRef>
              <c:f>'امامیه 17'!$C$8:$C$12</c:f>
              <c:numCache>
                <c:formatCode>0.00%</c:formatCode>
                <c:ptCount val="5"/>
                <c:pt idx="0">
                  <c:v>0.96933572957024872</c:v>
                </c:pt>
                <c:pt idx="1">
                  <c:v>0.93701136349359182</c:v>
                </c:pt>
                <c:pt idx="2">
                  <c:v>0.916633425960377</c:v>
                </c:pt>
                <c:pt idx="3">
                  <c:v>0.89395169419033549</c:v>
                </c:pt>
                <c:pt idx="4">
                  <c:v>0.87538507339736371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4-466E-BB07-551299CB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'اسلام آباد 4'!$I$8:$I$12</c:f>
              <c:numCache>
                <c:formatCode>0.000</c:formatCode>
                <c:ptCount val="5"/>
                <c:pt idx="0">
                  <c:v>0.51</c:v>
                </c:pt>
                <c:pt idx="1">
                  <c:v>0.66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'اسلام آباد 4'!$J$8:$J$12</c:f>
              <c:numCache>
                <c:formatCode>0.0</c:formatCode>
                <c:ptCount val="5"/>
                <c:pt idx="0">
                  <c:v>11</c:v>
                </c:pt>
                <c:pt idx="1">
                  <c:v>17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47-4F15-8930-A6EDAAFE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'اسلام آباد 4'!$I$8:$I$12</c:f>
              <c:numCache>
                <c:formatCode>0.000</c:formatCode>
                <c:ptCount val="5"/>
                <c:pt idx="0">
                  <c:v>0.51</c:v>
                </c:pt>
                <c:pt idx="1">
                  <c:v>0.66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'اسلام آباد 4'!$C$8:$C$12</c:f>
              <c:numCache>
                <c:formatCode>0.00%</c:formatCode>
                <c:ptCount val="5"/>
                <c:pt idx="0">
                  <c:v>0.21905836923735719</c:v>
                </c:pt>
                <c:pt idx="1">
                  <c:v>0.17814131867494076</c:v>
                </c:pt>
                <c:pt idx="2">
                  <c:v>0.16018870775020255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47-4F15-8930-A6EDAAFE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'فناوری 1 مجدد'!$I$8:$I$12</c:f>
              <c:numCache>
                <c:formatCode>0.000</c:formatCode>
                <c:ptCount val="5"/>
                <c:pt idx="0">
                  <c:v>0.84</c:v>
                </c:pt>
                <c:pt idx="1">
                  <c:v>1.1399999999999999</c:v>
                </c:pt>
                <c:pt idx="2">
                  <c:v>1.56</c:v>
                </c:pt>
                <c:pt idx="3">
                  <c:v>1.8</c:v>
                </c:pt>
                <c:pt idx="4">
                  <c:v>0</c:v>
                </c:pt>
              </c:numCache>
            </c:numRef>
          </c:xVal>
          <c:yVal>
            <c:numRef>
              <c:f>'فناوری 1 مجدد'!$J$8:$J$12</c:f>
              <c:numCache>
                <c:formatCode>0.0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19.5</c:v>
                </c:pt>
                <c:pt idx="3">
                  <c:v>22.599999999999994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1-40C0-999B-F1C8146F9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'فناوری 1 مجدد'!$I$8:$I$12</c:f>
              <c:numCache>
                <c:formatCode>0.000</c:formatCode>
                <c:ptCount val="5"/>
                <c:pt idx="0">
                  <c:v>0.84</c:v>
                </c:pt>
                <c:pt idx="1">
                  <c:v>1.1399999999999999</c:v>
                </c:pt>
                <c:pt idx="2">
                  <c:v>1.56</c:v>
                </c:pt>
                <c:pt idx="3">
                  <c:v>1.8</c:v>
                </c:pt>
                <c:pt idx="4">
                  <c:v>0</c:v>
                </c:pt>
              </c:numCache>
            </c:numRef>
          </c:xVal>
          <c:yVal>
            <c:numRef>
              <c:f>'فناوری 1 مجدد'!$C$8:$C$12</c:f>
              <c:numCache>
                <c:formatCode>0.00%</c:formatCode>
                <c:ptCount val="5"/>
                <c:pt idx="0">
                  <c:v>0.95962056254004224</c:v>
                </c:pt>
                <c:pt idx="1">
                  <c:v>0.94597839277239093</c:v>
                </c:pt>
                <c:pt idx="2">
                  <c:v>0.92751827716925084</c:v>
                </c:pt>
                <c:pt idx="3">
                  <c:v>0.91728954995153855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81-40C0-999B-F1C8146F9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'فناوری 1'!$I$8:$I$12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'فناوری 1'!$J$8:$J$12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C2-40A4-9616-6103B2451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'فناوری 1'!$I$8:$I$12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'فناوری 1'!$C$8:$C$12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C2-40A4-9616-6103B2451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'انتهای اقدسیه'!$I$8:$I$12</c:f>
              <c:numCache>
                <c:formatCode>0.000</c:formatCode>
                <c:ptCount val="5"/>
                <c:pt idx="0">
                  <c:v>0.96</c:v>
                </c:pt>
                <c:pt idx="1">
                  <c:v>1.3560000000000001</c:v>
                </c:pt>
                <c:pt idx="2">
                  <c:v>1.8</c:v>
                </c:pt>
                <c:pt idx="3">
                  <c:v>2.2799999999999998</c:v>
                </c:pt>
                <c:pt idx="4">
                  <c:v>0</c:v>
                </c:pt>
              </c:numCache>
            </c:numRef>
          </c:xVal>
          <c:yVal>
            <c:numRef>
              <c:f>'انتهای اقدسیه'!$J$8:$J$12</c:f>
              <c:numCache>
                <c:formatCode>0.0</c:formatCode>
                <c:ptCount val="5"/>
                <c:pt idx="0">
                  <c:v>14.300000000000011</c:v>
                </c:pt>
                <c:pt idx="1">
                  <c:v>21.300000000000011</c:v>
                </c:pt>
                <c:pt idx="2">
                  <c:v>28.300000000000011</c:v>
                </c:pt>
                <c:pt idx="3">
                  <c:v>36.300000000000011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C-4C1E-AAD0-EFF8F2F94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'انتهای اقدسیه'!$I$8:$I$12</c:f>
              <c:numCache>
                <c:formatCode>0.000</c:formatCode>
                <c:ptCount val="5"/>
                <c:pt idx="0">
                  <c:v>0.96</c:v>
                </c:pt>
                <c:pt idx="1">
                  <c:v>1.3560000000000001</c:v>
                </c:pt>
                <c:pt idx="2">
                  <c:v>1.8</c:v>
                </c:pt>
                <c:pt idx="3">
                  <c:v>2.2799999999999998</c:v>
                </c:pt>
                <c:pt idx="4">
                  <c:v>0</c:v>
                </c:pt>
              </c:numCache>
            </c:numRef>
          </c:xVal>
          <c:yVal>
            <c:numRef>
              <c:f>'انتهای اقدسیه'!$C$8:$C$12</c:f>
              <c:numCache>
                <c:formatCode>0.00%</c:formatCode>
                <c:ptCount val="5"/>
                <c:pt idx="0">
                  <c:v>0.96680542306019579</c:v>
                </c:pt>
                <c:pt idx="1">
                  <c:v>0.95374600506243945</c:v>
                </c:pt>
                <c:pt idx="2">
                  <c:v>0.93951691485824995</c:v>
                </c:pt>
                <c:pt idx="3">
                  <c:v>0.92460413863439961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DC-4C1E-AAD0-EFF8F2F94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'اسلام آباد5'!$I$8:$I$12</c:f>
              <c:numCache>
                <c:formatCode>0.000</c:formatCode>
                <c:ptCount val="5"/>
                <c:pt idx="0">
                  <c:v>1.02</c:v>
                </c:pt>
                <c:pt idx="1">
                  <c:v>1.26</c:v>
                </c:pt>
                <c:pt idx="2">
                  <c:v>1.5</c:v>
                </c:pt>
                <c:pt idx="3">
                  <c:v>1.56</c:v>
                </c:pt>
                <c:pt idx="4">
                  <c:v>0</c:v>
                </c:pt>
              </c:numCache>
            </c:numRef>
          </c:xVal>
          <c:yVal>
            <c:numRef>
              <c:f>'اسلام آباد5'!$J$8:$J$12</c:f>
              <c:numCache>
                <c:formatCode>0.0</c:formatCode>
                <c:ptCount val="5"/>
                <c:pt idx="0">
                  <c:v>41.900000000000006</c:v>
                </c:pt>
                <c:pt idx="1">
                  <c:v>52.900000000000006</c:v>
                </c:pt>
                <c:pt idx="2">
                  <c:v>65.900000000000006</c:v>
                </c:pt>
                <c:pt idx="3">
                  <c:v>68.900000000000006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A-429C-8CB9-1F43098E7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'اسلام آباد5'!$I$8:$I$12</c:f>
              <c:numCache>
                <c:formatCode>0.000</c:formatCode>
                <c:ptCount val="5"/>
                <c:pt idx="0">
                  <c:v>1.02</c:v>
                </c:pt>
                <c:pt idx="1">
                  <c:v>1.26</c:v>
                </c:pt>
                <c:pt idx="2">
                  <c:v>1.5</c:v>
                </c:pt>
                <c:pt idx="3">
                  <c:v>1.56</c:v>
                </c:pt>
                <c:pt idx="4">
                  <c:v>0</c:v>
                </c:pt>
              </c:numCache>
            </c:numRef>
          </c:xVal>
          <c:yVal>
            <c:numRef>
              <c:f>'اسلام آباد5'!$C$8:$C$12</c:f>
              <c:numCache>
                <c:formatCode>0.00%</c:formatCode>
                <c:ptCount val="5"/>
                <c:pt idx="0">
                  <c:v>0.84508599459252343</c:v>
                </c:pt>
                <c:pt idx="1">
                  <c:v>0.81536562861593975</c:v>
                </c:pt>
                <c:pt idx="2">
                  <c:v>0.78766468132124023</c:v>
                </c:pt>
                <c:pt idx="3">
                  <c:v>0.78103106214212181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4A-429C-8CB9-1F43098E7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'شهرک راه آهن(مجدد)'!$I$8:$I$12</c:f>
              <c:numCache>
                <c:formatCode>0.000</c:formatCode>
                <c:ptCount val="5"/>
                <c:pt idx="0">
                  <c:v>0.66</c:v>
                </c:pt>
                <c:pt idx="1">
                  <c:v>0.84</c:v>
                </c:pt>
                <c:pt idx="2">
                  <c:v>1.0920000000000001</c:v>
                </c:pt>
                <c:pt idx="3">
                  <c:v>1.32</c:v>
                </c:pt>
                <c:pt idx="4">
                  <c:v>0</c:v>
                </c:pt>
              </c:numCache>
            </c:numRef>
          </c:xVal>
          <c:yVal>
            <c:numRef>
              <c:f>'شهرک راه آهن(مجدد)'!$J$8:$J$12</c:f>
              <c:numCache>
                <c:formatCode>0.0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59</c:v>
                </c:pt>
                <c:pt idx="3">
                  <c:v>72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9-45E3-9B31-F62210967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'شهرک راه آهن(مجدد)'!$I$8:$I$12</c:f>
              <c:numCache>
                <c:formatCode>0.000</c:formatCode>
                <c:ptCount val="5"/>
                <c:pt idx="0">
                  <c:v>0.66</c:v>
                </c:pt>
                <c:pt idx="1">
                  <c:v>0.84</c:v>
                </c:pt>
                <c:pt idx="2">
                  <c:v>1.0920000000000001</c:v>
                </c:pt>
                <c:pt idx="3">
                  <c:v>1.32</c:v>
                </c:pt>
                <c:pt idx="4">
                  <c:v>0</c:v>
                </c:pt>
              </c:numCache>
            </c:numRef>
          </c:xVal>
          <c:yVal>
            <c:numRef>
              <c:f>'شهرک راه آهن(مجدد)'!$C$8:$C$12</c:f>
              <c:numCache>
                <c:formatCode>0.00%</c:formatCode>
                <c:ptCount val="5"/>
                <c:pt idx="0">
                  <c:v>0.97281687647119375</c:v>
                </c:pt>
                <c:pt idx="1">
                  <c:v>0.96565789523860157</c:v>
                </c:pt>
                <c:pt idx="2">
                  <c:v>0.95581053161596052</c:v>
                </c:pt>
                <c:pt idx="3">
                  <c:v>0.94707248803811972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9-45E3-9B31-F62210967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'شهرک راه آهن'!$I$8:$I$12</c:f>
              <c:numCache>
                <c:formatCode>0.000</c:formatCode>
                <c:ptCount val="5"/>
                <c:pt idx="0">
                  <c:v>0.6</c:v>
                </c:pt>
                <c:pt idx="1">
                  <c:v>0.80400000000000005</c:v>
                </c:pt>
                <c:pt idx="2">
                  <c:v>1.0398000000000001</c:v>
                </c:pt>
                <c:pt idx="3">
                  <c:v>1.3620000000000001</c:v>
                </c:pt>
                <c:pt idx="4">
                  <c:v>0</c:v>
                </c:pt>
              </c:numCache>
            </c:numRef>
          </c:xVal>
          <c:yVal>
            <c:numRef>
              <c:f>'شهرک راه آهن'!$J$8:$J$12</c:f>
              <c:numCache>
                <c:formatCode>0.0</c:formatCode>
                <c:ptCount val="5"/>
                <c:pt idx="0">
                  <c:v>35</c:v>
                </c:pt>
                <c:pt idx="1">
                  <c:v>47</c:v>
                </c:pt>
                <c:pt idx="2">
                  <c:v>61</c:v>
                </c:pt>
                <c:pt idx="3">
                  <c:v>80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D-46DF-9987-B3D630E5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'شهرک راه آهن'!$I$8:$I$12</c:f>
              <c:numCache>
                <c:formatCode>0.000</c:formatCode>
                <c:ptCount val="5"/>
                <c:pt idx="0">
                  <c:v>0.6</c:v>
                </c:pt>
                <c:pt idx="1">
                  <c:v>0.80400000000000005</c:v>
                </c:pt>
                <c:pt idx="2">
                  <c:v>1.0398000000000001</c:v>
                </c:pt>
                <c:pt idx="3">
                  <c:v>1.3620000000000001</c:v>
                </c:pt>
                <c:pt idx="4">
                  <c:v>0</c:v>
                </c:pt>
              </c:numCache>
            </c:numRef>
          </c:xVal>
          <c:yVal>
            <c:numRef>
              <c:f>'شهرک راه آهن'!$C$8:$C$12</c:f>
              <c:numCache>
                <c:formatCode>0.00%</c:formatCode>
                <c:ptCount val="5"/>
                <c:pt idx="0">
                  <c:v>0.99496226839743207</c:v>
                </c:pt>
                <c:pt idx="1">
                  <c:v>0.9932609824355555</c:v>
                </c:pt>
                <c:pt idx="2">
                  <c:v>0.99130173085948159</c:v>
                </c:pt>
                <c:pt idx="3">
                  <c:v>0.98863704850696099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D-46DF-9987-B3D630E5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'ناظریه 10'!$I$8:$I$12</c:f>
              <c:numCache>
                <c:formatCode>0.000</c:formatCode>
                <c:ptCount val="5"/>
                <c:pt idx="0">
                  <c:v>0.42</c:v>
                </c:pt>
                <c:pt idx="1">
                  <c:v>0.6</c:v>
                </c:pt>
                <c:pt idx="2">
                  <c:v>0.96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'ناظریه 10'!$J$8:$J$12</c:f>
              <c:numCache>
                <c:formatCode>0.0</c:formatCode>
                <c:ptCount val="5"/>
                <c:pt idx="0">
                  <c:v>20</c:v>
                </c:pt>
                <c:pt idx="1">
                  <c:v>29</c:v>
                </c:pt>
                <c:pt idx="2">
                  <c:v>63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2-470D-B5BD-FE07513FB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'ناظریه 10'!$I$8:$I$12</c:f>
              <c:numCache>
                <c:formatCode>0.000</c:formatCode>
                <c:ptCount val="5"/>
                <c:pt idx="0">
                  <c:v>0.42</c:v>
                </c:pt>
                <c:pt idx="1">
                  <c:v>0.6</c:v>
                </c:pt>
                <c:pt idx="2">
                  <c:v>0.96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'ناظریه 10'!$C$8:$C$12</c:f>
              <c:numCache>
                <c:formatCode>0.00%</c:formatCode>
                <c:ptCount val="5"/>
                <c:pt idx="0">
                  <c:v>0.62215625353113735</c:v>
                </c:pt>
                <c:pt idx="1">
                  <c:v>0.53544932041543425</c:v>
                </c:pt>
                <c:pt idx="2">
                  <c:v>0.41873511192814961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2-470D-B5BD-FE07513FB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'حجاب 3'!$I$8:$I$12</c:f>
              <c:numCache>
                <c:formatCode>0.000</c:formatCode>
                <c:ptCount val="5"/>
                <c:pt idx="0">
                  <c:v>0.42</c:v>
                </c:pt>
                <c:pt idx="1">
                  <c:v>0.56999999999999995</c:v>
                </c:pt>
                <c:pt idx="2">
                  <c:v>0.84599999999999997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'حجاب 3'!$J$8:$J$12</c:f>
              <c:numCache>
                <c:formatCode>0.0</c:formatCode>
                <c:ptCount val="5"/>
                <c:pt idx="0">
                  <c:v>25</c:v>
                </c:pt>
                <c:pt idx="1">
                  <c:v>35</c:v>
                </c:pt>
                <c:pt idx="2">
                  <c:v>52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E7-409A-ACCF-1794B1F6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'حجاب 3'!$I$8:$I$12</c:f>
              <c:numCache>
                <c:formatCode>0.000</c:formatCode>
                <c:ptCount val="5"/>
                <c:pt idx="0">
                  <c:v>0.42</c:v>
                </c:pt>
                <c:pt idx="1">
                  <c:v>0.56999999999999995</c:v>
                </c:pt>
                <c:pt idx="2">
                  <c:v>0.84599999999999997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'حجاب 3'!$C$8:$C$12</c:f>
              <c:numCache>
                <c:formatCode>0.00%</c:formatCode>
                <c:ptCount val="5"/>
                <c:pt idx="0">
                  <c:v>0.97929665965838486</c:v>
                </c:pt>
                <c:pt idx="1">
                  <c:v>0.97210883818480209</c:v>
                </c:pt>
                <c:pt idx="2">
                  <c:v>0.95915526018360997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E7-409A-ACCF-1794B1F6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'عبادی 30'!$I$8:$I$12</c:f>
              <c:numCache>
                <c:formatCode>0.000</c:formatCode>
                <c:ptCount val="5"/>
                <c:pt idx="0">
                  <c:v>0.3</c:v>
                </c:pt>
                <c:pt idx="1">
                  <c:v>0.40799999999999997</c:v>
                </c:pt>
                <c:pt idx="2">
                  <c:v>0.54</c:v>
                </c:pt>
                <c:pt idx="3">
                  <c:v>0.72</c:v>
                </c:pt>
                <c:pt idx="4">
                  <c:v>0</c:v>
                </c:pt>
              </c:numCache>
            </c:numRef>
          </c:xVal>
          <c:yVal>
            <c:numRef>
              <c:f>'عبادی 30'!$J$8:$J$12</c:f>
              <c:numCache>
                <c:formatCode>0.0</c:formatCode>
                <c:ptCount val="5"/>
                <c:pt idx="0">
                  <c:v>40</c:v>
                </c:pt>
                <c:pt idx="1">
                  <c:v>55</c:v>
                </c:pt>
                <c:pt idx="2">
                  <c:v>73</c:v>
                </c:pt>
                <c:pt idx="3">
                  <c:v>98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4-4E59-B156-2571BE03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'عبادی 30'!$I$8:$I$12</c:f>
              <c:numCache>
                <c:formatCode>0.000</c:formatCode>
                <c:ptCount val="5"/>
                <c:pt idx="0">
                  <c:v>0.3</c:v>
                </c:pt>
                <c:pt idx="1">
                  <c:v>0.40799999999999997</c:v>
                </c:pt>
                <c:pt idx="2">
                  <c:v>0.54</c:v>
                </c:pt>
                <c:pt idx="3">
                  <c:v>0.72</c:v>
                </c:pt>
                <c:pt idx="4">
                  <c:v>0</c:v>
                </c:pt>
              </c:numCache>
            </c:numRef>
          </c:xVal>
          <c:yVal>
            <c:numRef>
              <c:f>'عبادی 30'!$C$8:$C$12</c:f>
              <c:numCache>
                <c:formatCode>0.00%</c:formatCode>
                <c:ptCount val="5"/>
                <c:pt idx="0">
                  <c:v>0.98776871590716886</c:v>
                </c:pt>
                <c:pt idx="1">
                  <c:v>0.98343837879558571</c:v>
                </c:pt>
                <c:pt idx="2">
                  <c:v>0.97819703127652302</c:v>
                </c:pt>
                <c:pt idx="3">
                  <c:v>0.9711391259468023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84-4E59-B156-2571BE03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بهار!$I$8:$I$12</c:f>
              <c:numCache>
                <c:formatCode>0.000</c:formatCode>
                <c:ptCount val="5"/>
                <c:pt idx="0">
                  <c:v>0.12</c:v>
                </c:pt>
                <c:pt idx="1">
                  <c:v>0.24</c:v>
                </c:pt>
                <c:pt idx="2">
                  <c:v>0.3</c:v>
                </c:pt>
                <c:pt idx="3">
                  <c:v>0.312</c:v>
                </c:pt>
                <c:pt idx="4">
                  <c:v>0</c:v>
                </c:pt>
              </c:numCache>
            </c:numRef>
          </c:xVal>
          <c:yVal>
            <c:numRef>
              <c:f>بهار!$J$8:$J$12</c:f>
              <c:numCache>
                <c:formatCode>0.0</c:formatCode>
                <c:ptCount val="5"/>
                <c:pt idx="0">
                  <c:v>24</c:v>
                </c:pt>
                <c:pt idx="1">
                  <c:v>55</c:v>
                </c:pt>
                <c:pt idx="2">
                  <c:v>82</c:v>
                </c:pt>
                <c:pt idx="3">
                  <c:v>114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C-4FA6-9B2E-FD85D0BEA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بهار!$I$8:$I$12</c:f>
              <c:numCache>
                <c:formatCode>0.000</c:formatCode>
                <c:ptCount val="5"/>
                <c:pt idx="0">
                  <c:v>0.12</c:v>
                </c:pt>
                <c:pt idx="1">
                  <c:v>0.24</c:v>
                </c:pt>
                <c:pt idx="2">
                  <c:v>0.3</c:v>
                </c:pt>
                <c:pt idx="3">
                  <c:v>0.312</c:v>
                </c:pt>
                <c:pt idx="4">
                  <c:v>0</c:v>
                </c:pt>
              </c:numCache>
            </c:numRef>
          </c:xVal>
          <c:yVal>
            <c:numRef>
              <c:f>بهار!$C$8:$C$12</c:f>
              <c:numCache>
                <c:formatCode>0.00%</c:formatCode>
                <c:ptCount val="5"/>
                <c:pt idx="0">
                  <c:v>0.23482485085831734</c:v>
                </c:pt>
                <c:pt idx="1">
                  <c:v>0.13303203989275572</c:v>
                </c:pt>
                <c:pt idx="2">
                  <c:v>0.10933463378692498</c:v>
                </c:pt>
                <c:pt idx="3">
                  <c:v>0.10557341057136853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4C-4FA6-9B2E-FD85D0BEA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'رضا 11'!$I$8:$I$12</c:f>
              <c:numCache>
                <c:formatCode>0.000</c:formatCode>
                <c:ptCount val="5"/>
                <c:pt idx="0">
                  <c:v>0.48</c:v>
                </c:pt>
                <c:pt idx="1">
                  <c:v>0.78</c:v>
                </c:pt>
                <c:pt idx="2">
                  <c:v>1.02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'رضا 11'!$J$8:$J$12</c:f>
              <c:numCache>
                <c:formatCode>0.0</c:formatCode>
                <c:ptCount val="5"/>
                <c:pt idx="0">
                  <c:v>25</c:v>
                </c:pt>
                <c:pt idx="1">
                  <c:v>42</c:v>
                </c:pt>
                <c:pt idx="2">
                  <c:v>55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8-4D37-84DA-B59468112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'رضا 11'!$I$8:$I$12</c:f>
              <c:numCache>
                <c:formatCode>0.000</c:formatCode>
                <c:ptCount val="5"/>
                <c:pt idx="0">
                  <c:v>0.48</c:v>
                </c:pt>
                <c:pt idx="1">
                  <c:v>0.78</c:v>
                </c:pt>
                <c:pt idx="2">
                  <c:v>1.02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'رضا 11'!$C$8:$C$12</c:f>
              <c:numCache>
                <c:formatCode>0.00%</c:formatCode>
                <c:ptCount val="5"/>
                <c:pt idx="0">
                  <c:v>0.97518168746698342</c:v>
                </c:pt>
                <c:pt idx="1">
                  <c:v>0.96028625964631842</c:v>
                </c:pt>
                <c:pt idx="2">
                  <c:v>0.94869359165426947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8-4D37-84DA-B59468112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'کورده 13'!$I$8:$I$12</c:f>
              <c:numCache>
                <c:formatCode>0.000</c:formatCode>
                <c:ptCount val="5"/>
                <c:pt idx="0">
                  <c:v>1.05</c:v>
                </c:pt>
                <c:pt idx="1">
                  <c:v>1.38</c:v>
                </c:pt>
                <c:pt idx="2">
                  <c:v>1.68</c:v>
                </c:pt>
                <c:pt idx="3">
                  <c:v>2.2200000000000002</c:v>
                </c:pt>
                <c:pt idx="4">
                  <c:v>2.46</c:v>
                </c:pt>
              </c:numCache>
            </c:numRef>
          </c:xVal>
          <c:yVal>
            <c:numRef>
              <c:f>'کورده 13'!$J$8:$J$12</c:f>
              <c:numCache>
                <c:formatCode>0.0</c:formatCode>
                <c:ptCount val="5"/>
                <c:pt idx="0">
                  <c:v>28</c:v>
                </c:pt>
                <c:pt idx="1">
                  <c:v>37</c:v>
                </c:pt>
                <c:pt idx="2">
                  <c:v>46</c:v>
                </c:pt>
                <c:pt idx="3">
                  <c:v>61</c:v>
                </c:pt>
                <c:pt idx="4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C-4FA9-85E6-C7266499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'کورده 13'!$I$8:$I$12</c:f>
              <c:numCache>
                <c:formatCode>0.000</c:formatCode>
                <c:ptCount val="5"/>
                <c:pt idx="0">
                  <c:v>1.05</c:v>
                </c:pt>
                <c:pt idx="1">
                  <c:v>1.38</c:v>
                </c:pt>
                <c:pt idx="2">
                  <c:v>1.68</c:v>
                </c:pt>
                <c:pt idx="3">
                  <c:v>2.2200000000000002</c:v>
                </c:pt>
                <c:pt idx="4">
                  <c:v>2.46</c:v>
                </c:pt>
              </c:numCache>
            </c:numRef>
          </c:xVal>
          <c:yVal>
            <c:numRef>
              <c:f>'کورده 13'!$C$8:$C$12</c:f>
              <c:numCache>
                <c:formatCode>0.00%</c:formatCode>
                <c:ptCount val="5"/>
                <c:pt idx="0">
                  <c:v>0.97485585477329872</c:v>
                </c:pt>
                <c:pt idx="1">
                  <c:v>0.96721251048427892</c:v>
                </c:pt>
                <c:pt idx="2">
                  <c:v>0.96036728606620558</c:v>
                </c:pt>
                <c:pt idx="3">
                  <c:v>0.94828697613510748</c:v>
                </c:pt>
                <c:pt idx="4">
                  <c:v>0.94301495936767699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8C-4FA9-85E6-C7266499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'کورده 3'!$I$8:$I$12</c:f>
              <c:numCache>
                <c:formatCode>0.000</c:formatCode>
                <c:ptCount val="5"/>
                <c:pt idx="0">
                  <c:v>0.3</c:v>
                </c:pt>
                <c:pt idx="1">
                  <c:v>0.48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'کورده 3'!$J$8:$J$12</c:f>
              <c:numCache>
                <c:formatCode>0.0</c:formatCode>
                <c:ptCount val="5"/>
                <c:pt idx="0">
                  <c:v>40.900000000000006</c:v>
                </c:pt>
                <c:pt idx="1">
                  <c:v>66.900000000000006</c:v>
                </c:pt>
                <c:pt idx="2">
                  <c:v>96.9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5-42DB-A057-7230054AE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'کورده 3'!$I$8:$I$12</c:f>
              <c:numCache>
                <c:formatCode>0.000</c:formatCode>
                <c:ptCount val="5"/>
                <c:pt idx="0">
                  <c:v>0.3</c:v>
                </c:pt>
                <c:pt idx="1">
                  <c:v>0.48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'کورده 3'!$C$8:$C$12</c:f>
              <c:numCache>
                <c:formatCode>0.00%</c:formatCode>
                <c:ptCount val="5"/>
                <c:pt idx="0">
                  <c:v>0.76807946942744521</c:v>
                </c:pt>
                <c:pt idx="1">
                  <c:v>0.67425528356412145</c:v>
                </c:pt>
                <c:pt idx="2">
                  <c:v>0.62348134507545538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C5-42DB-A057-7230054AE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'اسلام 13'!$I$8:$I$12</c:f>
              <c:numCache>
                <c:formatCode>0.000</c:formatCode>
                <c:ptCount val="5"/>
                <c:pt idx="0">
                  <c:v>0.87</c:v>
                </c:pt>
                <c:pt idx="1">
                  <c:v>1.0920000000000001</c:v>
                </c:pt>
                <c:pt idx="2">
                  <c:v>1.41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'اسلام 13'!$J$8:$J$12</c:f>
              <c:numCache>
                <c:formatCode>0.0</c:formatCode>
                <c:ptCount val="5"/>
                <c:pt idx="0">
                  <c:v>39</c:v>
                </c:pt>
                <c:pt idx="1">
                  <c:v>49</c:v>
                </c:pt>
                <c:pt idx="2">
                  <c:v>64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C-49AA-BCE5-F809E240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'اسلام 13'!$I$8:$I$12</c:f>
              <c:numCache>
                <c:formatCode>0.000</c:formatCode>
                <c:ptCount val="5"/>
                <c:pt idx="0">
                  <c:v>0.87</c:v>
                </c:pt>
                <c:pt idx="1">
                  <c:v>1.0920000000000001</c:v>
                </c:pt>
                <c:pt idx="2">
                  <c:v>1.41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'اسلام 13'!$C$8:$C$12</c:f>
              <c:numCache>
                <c:formatCode>0.00%</c:formatCode>
                <c:ptCount val="5"/>
                <c:pt idx="0">
                  <c:v>0.97695162026190252</c:v>
                </c:pt>
                <c:pt idx="1">
                  <c:v>0.97123945924595079</c:v>
                </c:pt>
                <c:pt idx="2">
                  <c:v>0.9631725784635744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C-49AA-BCE5-F809E240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</c:trendlineLbl>
          </c:trendline>
          <c:xVal>
            <c:numRef>
              <c:f>'شهرک امام'!$I$8:$I$12</c:f>
              <c:numCache>
                <c:formatCode>0.000</c:formatCode>
                <c:ptCount val="5"/>
                <c:pt idx="0">
                  <c:v>0.3</c:v>
                </c:pt>
                <c:pt idx="1">
                  <c:v>0.432</c:v>
                </c:pt>
                <c:pt idx="2">
                  <c:v>0.52200000000000002</c:v>
                </c:pt>
                <c:pt idx="3">
                  <c:v>0.61799999999999999</c:v>
                </c:pt>
                <c:pt idx="4">
                  <c:v>0</c:v>
                </c:pt>
              </c:numCache>
            </c:numRef>
          </c:xVal>
          <c:yVal>
            <c:numRef>
              <c:f>'شهرک امام'!$J$8:$J$12</c:f>
              <c:numCache>
                <c:formatCode>0.0</c:formatCode>
                <c:ptCount val="5"/>
                <c:pt idx="0">
                  <c:v>38</c:v>
                </c:pt>
                <c:pt idx="1">
                  <c:v>80</c:v>
                </c:pt>
                <c:pt idx="2">
                  <c:v>99</c:v>
                </c:pt>
                <c:pt idx="3">
                  <c:v>141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9-45E3-8DA1-27548AD6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'شهرک امام'!$I$8:$I$12</c:f>
              <c:numCache>
                <c:formatCode>0.000</c:formatCode>
                <c:ptCount val="5"/>
                <c:pt idx="0">
                  <c:v>0.3</c:v>
                </c:pt>
                <c:pt idx="1">
                  <c:v>0.432</c:v>
                </c:pt>
                <c:pt idx="2">
                  <c:v>0.52200000000000002</c:v>
                </c:pt>
                <c:pt idx="3">
                  <c:v>0.61799999999999999</c:v>
                </c:pt>
                <c:pt idx="4">
                  <c:v>0</c:v>
                </c:pt>
              </c:numCache>
            </c:numRef>
          </c:xVal>
          <c:yVal>
            <c:numRef>
              <c:f>'شهرک امام'!$C$8:$C$12</c:f>
              <c:numCache>
                <c:formatCode>0.00%</c:formatCode>
                <c:ptCount val="5"/>
                <c:pt idx="0">
                  <c:v>0.35106253352878775</c:v>
                </c:pt>
                <c:pt idx="1">
                  <c:v>0.27308725182564653</c:v>
                </c:pt>
                <c:pt idx="2">
                  <c:v>0.23717016506115318</c:v>
                </c:pt>
                <c:pt idx="3">
                  <c:v>0.2079909951327194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9-45E3-8DA1-27548AD6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3850819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3855467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3850819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R16" sqref="R16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13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140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132</v>
      </c>
      <c r="D2" s="26"/>
      <c r="E2" s="26"/>
      <c r="F2" s="1" t="s">
        <v>27</v>
      </c>
      <c r="G2" s="1"/>
      <c r="H2" s="27">
        <v>147.39619999999999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163</v>
      </c>
      <c r="D3" s="26"/>
      <c r="E3" s="26"/>
      <c r="F3" s="1" t="s">
        <v>28</v>
      </c>
      <c r="G3" s="1"/>
      <c r="H3" s="27">
        <v>22.2334</v>
      </c>
      <c r="I3" s="27"/>
      <c r="J3" s="26" t="s">
        <v>164</v>
      </c>
      <c r="K3" s="26"/>
      <c r="L3" s="26"/>
      <c r="M3" s="26"/>
      <c r="N3" s="26"/>
    </row>
    <row r="4" spans="3:14" ht="21" customHeight="1" x14ac:dyDescent="0.25">
      <c r="C4" s="26" t="s">
        <v>165</v>
      </c>
      <c r="D4" s="26"/>
      <c r="E4" s="26"/>
      <c r="F4" s="26" t="s">
        <v>64</v>
      </c>
      <c r="G4" s="26"/>
      <c r="H4" s="26"/>
      <c r="I4" s="1"/>
      <c r="J4" s="26" t="s">
        <v>30</v>
      </c>
      <c r="K4" s="26"/>
      <c r="L4" s="26"/>
      <c r="M4" s="26"/>
      <c r="N4" s="26"/>
    </row>
    <row r="5" spans="3:14" ht="21" customHeight="1" x14ac:dyDescent="0.25">
      <c r="C5" s="26" t="s">
        <v>141</v>
      </c>
      <c r="D5" s="26"/>
      <c r="E5" s="26"/>
      <c r="F5" s="26" t="s">
        <v>80</v>
      </c>
      <c r="G5" s="26"/>
      <c r="H5" s="26"/>
      <c r="I5" s="26"/>
      <c r="J5" s="26" t="s">
        <v>162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74.5</v>
      </c>
      <c r="N7" s="33"/>
    </row>
    <row r="8" spans="3:14" ht="18.75" x14ac:dyDescent="0.25">
      <c r="C8" s="11">
        <f>IF(D8&lt;&gt;0,F8/D8,1)</f>
        <v>0.25104986140169638</v>
      </c>
      <c r="D8" s="12">
        <f>E8+F8</f>
        <v>39.852760499999995</v>
      </c>
      <c r="E8" s="12">
        <f>$H$2*I8*I8</f>
        <v>29.847730499999997</v>
      </c>
      <c r="F8" s="12">
        <f>$H$3*I8</f>
        <v>10.00503</v>
      </c>
      <c r="G8" s="13">
        <f>H8/(K8-$M$7)</f>
        <v>0.15957446808510639</v>
      </c>
      <c r="H8" s="8">
        <v>7.5</v>
      </c>
      <c r="I8" s="9">
        <f>H8*60/1000</f>
        <v>0.45</v>
      </c>
      <c r="J8" s="10">
        <f>IF(K8-$M$7&lt;0,0,K8-$M$7)</f>
        <v>47</v>
      </c>
      <c r="K8" s="3">
        <v>121.5</v>
      </c>
      <c r="L8" s="7">
        <v>1000</v>
      </c>
      <c r="M8" s="29" t="s">
        <v>19</v>
      </c>
      <c r="N8" s="29"/>
    </row>
    <row r="9" spans="3:14" ht="18.75" x14ac:dyDescent="0.25">
      <c r="C9" s="11">
        <f>IF(D9&lt;&gt;0,F9/D9,1)</f>
        <v>0.17939307733173446</v>
      </c>
      <c r="D9" s="12">
        <f t="shared" ref="D9:D12" si="0">E9+F9</f>
        <v>85.516376819999977</v>
      </c>
      <c r="E9" s="12">
        <f t="shared" ref="E9:E12" si="1">$H$2*I9*I9</f>
        <v>70.175330819999985</v>
      </c>
      <c r="F9" s="12">
        <f t="shared" ref="F9:F12" si="2">$H$3*I9</f>
        <v>15.341045999999999</v>
      </c>
      <c r="G9" s="13">
        <f t="shared" ref="G9:G12" si="3">H9/(K9-$M$7)</f>
        <v>0.15032679738562091</v>
      </c>
      <c r="H9" s="8">
        <v>11.5</v>
      </c>
      <c r="I9" s="9">
        <f t="shared" ref="I9:I12" si="4">H9*60/1000</f>
        <v>0.69</v>
      </c>
      <c r="J9" s="10">
        <f t="shared" ref="J9:J12" si="5">IF(K9-$M$7&lt;0,0,K9-$M$7)</f>
        <v>76.5</v>
      </c>
      <c r="K9" s="3">
        <v>151</v>
      </c>
      <c r="L9" s="5">
        <v>1100</v>
      </c>
      <c r="M9" s="29" t="s">
        <v>20</v>
      </c>
      <c r="N9" s="29"/>
    </row>
    <row r="10" spans="3:14" ht="18.75" x14ac:dyDescent="0.25">
      <c r="C10" s="11">
        <f>IF(D10&lt;&gt;0,F10/D10,1)</f>
        <v>0.15698857149692128</v>
      </c>
      <c r="D10" s="12">
        <f t="shared" si="0"/>
        <v>114.71570082000001</v>
      </c>
      <c r="E10" s="12">
        <f t="shared" si="1"/>
        <v>96.706646820000003</v>
      </c>
      <c r="F10" s="12">
        <f t="shared" si="2"/>
        <v>18.009054000000003</v>
      </c>
      <c r="G10" s="13">
        <f t="shared" si="3"/>
        <v>0.13300492610837439</v>
      </c>
      <c r="H10" s="8">
        <v>13.5</v>
      </c>
      <c r="I10" s="9">
        <f t="shared" si="4"/>
        <v>0.81</v>
      </c>
      <c r="J10" s="10">
        <f t="shared" si="5"/>
        <v>101.5</v>
      </c>
      <c r="K10" s="3">
        <v>176</v>
      </c>
      <c r="L10" s="7">
        <v>1200</v>
      </c>
      <c r="M10" s="29" t="s">
        <v>21</v>
      </c>
      <c r="N10" s="29"/>
    </row>
    <row r="11" spans="3:14" ht="18.75" x14ac:dyDescent="0.25">
      <c r="C11" s="11">
        <f>IF(D11&lt;&gt;0,F11/D11,1)</f>
        <v>0.15223538018871396</v>
      </c>
      <c r="D11" s="12">
        <f>E11+F11</f>
        <v>122.67881471999999</v>
      </c>
      <c r="E11" s="12">
        <f t="shared" si="1"/>
        <v>104.00275871999999</v>
      </c>
      <c r="F11" s="12">
        <f>$H$3*I11</f>
        <v>18.676055999999999</v>
      </c>
      <c r="G11" s="13">
        <f t="shared" si="3"/>
        <v>0.10071942446043165</v>
      </c>
      <c r="H11" s="2">
        <v>14</v>
      </c>
      <c r="I11" s="9">
        <f t="shared" si="4"/>
        <v>0.84</v>
      </c>
      <c r="J11" s="10">
        <f t="shared" si="5"/>
        <v>139</v>
      </c>
      <c r="K11" s="4">
        <v>213.5</v>
      </c>
      <c r="L11" s="5">
        <v>1300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Q5" sqref="Q5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13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138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132</v>
      </c>
      <c r="D2" s="26"/>
      <c r="E2" s="26"/>
      <c r="F2" s="1" t="s">
        <v>27</v>
      </c>
      <c r="G2" s="1"/>
      <c r="H2" s="27">
        <v>0.64880000000000004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175</v>
      </c>
      <c r="D3" s="26"/>
      <c r="E3" s="26"/>
      <c r="F3" s="1" t="s">
        <v>28</v>
      </c>
      <c r="G3" s="1"/>
      <c r="H3" s="27">
        <v>9.8445</v>
      </c>
      <c r="I3" s="27"/>
      <c r="J3" s="26" t="s">
        <v>144</v>
      </c>
      <c r="K3" s="26"/>
      <c r="L3" s="26"/>
      <c r="M3" s="26"/>
      <c r="N3" s="26"/>
    </row>
    <row r="4" spans="3:14" ht="21" customHeight="1" x14ac:dyDescent="0.25">
      <c r="C4" s="26" t="s">
        <v>174</v>
      </c>
      <c r="D4" s="26"/>
      <c r="E4" s="26"/>
      <c r="F4" s="26" t="s">
        <v>64</v>
      </c>
      <c r="G4" s="26"/>
      <c r="H4" s="26"/>
      <c r="I4" s="1"/>
      <c r="J4" s="26" t="s">
        <v>108</v>
      </c>
      <c r="K4" s="26"/>
      <c r="L4" s="26"/>
      <c r="M4" s="26"/>
      <c r="N4" s="26"/>
    </row>
    <row r="5" spans="3:14" ht="21" customHeight="1" x14ac:dyDescent="0.25">
      <c r="C5" s="26" t="s">
        <v>139</v>
      </c>
      <c r="D5" s="26"/>
      <c r="E5" s="26"/>
      <c r="F5" s="26" t="s">
        <v>168</v>
      </c>
      <c r="G5" s="26"/>
      <c r="H5" s="26"/>
      <c r="I5" s="26"/>
      <c r="J5" s="26" t="s">
        <v>176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168.2</v>
      </c>
      <c r="N7" s="33"/>
    </row>
    <row r="8" spans="3:14" ht="18.75" x14ac:dyDescent="0.25">
      <c r="C8" s="11">
        <f>IF(D8&lt;&gt;0,F8/D8,1)</f>
        <v>0.96933572957024872</v>
      </c>
      <c r="D8" s="12">
        <f>E8+F8</f>
        <v>4.8748435200000007</v>
      </c>
      <c r="E8" s="12">
        <f>$H$2*I8*I8</f>
        <v>0.14948352000000001</v>
      </c>
      <c r="F8" s="12">
        <f>$H$3*I8</f>
        <v>4.7253600000000002</v>
      </c>
      <c r="G8" s="13">
        <f>H8/(K8-$M$7)</f>
        <v>1.6666666666666627</v>
      </c>
      <c r="H8" s="8">
        <v>8</v>
      </c>
      <c r="I8" s="9">
        <f>H8*60/1000</f>
        <v>0.48</v>
      </c>
      <c r="J8" s="10">
        <f>IF(K8-$M$7&lt;0,0,K8-$M$7)</f>
        <v>4.8000000000000114</v>
      </c>
      <c r="K8" s="3">
        <v>173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0.93701136349359182</v>
      </c>
      <c r="D9" s="12">
        <f t="shared" ref="D9:D12" si="0">E9+F9</f>
        <v>10.71640152</v>
      </c>
      <c r="E9" s="12">
        <f t="shared" ref="E9:E12" si="1">$H$2*I9*I9</f>
        <v>0.67501152000000009</v>
      </c>
      <c r="F9" s="12">
        <f t="shared" ref="F9:F12" si="2">$H$3*I9</f>
        <v>10.04139</v>
      </c>
      <c r="G9" s="13">
        <f t="shared" ref="G9:G12" si="3">H9/(K9-$M$7)</f>
        <v>1.5740740740740724</v>
      </c>
      <c r="H9" s="8">
        <v>17</v>
      </c>
      <c r="I9" s="9">
        <f t="shared" ref="I9:I12" si="4">H9*60/1000</f>
        <v>1.02</v>
      </c>
      <c r="J9" s="10">
        <f t="shared" ref="J9:J12" si="5">IF(K9-$M$7&lt;0,0,K9-$M$7)</f>
        <v>10.800000000000011</v>
      </c>
      <c r="K9" s="3">
        <v>179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0.916633425960377</v>
      </c>
      <c r="D10" s="12">
        <f t="shared" si="0"/>
        <v>14.82098472</v>
      </c>
      <c r="E10" s="12">
        <f t="shared" si="1"/>
        <v>1.23557472</v>
      </c>
      <c r="F10" s="12">
        <f t="shared" si="2"/>
        <v>13.58541</v>
      </c>
      <c r="G10" s="13">
        <f t="shared" si="3"/>
        <v>1.5540540540540528</v>
      </c>
      <c r="H10" s="8">
        <v>23</v>
      </c>
      <c r="I10" s="9">
        <f t="shared" si="4"/>
        <v>1.38</v>
      </c>
      <c r="J10" s="10">
        <f t="shared" si="5"/>
        <v>14.800000000000011</v>
      </c>
      <c r="K10" s="3">
        <v>183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0.89395169419033549</v>
      </c>
      <c r="D11" s="12">
        <f>E11+F11</f>
        <v>19.822212000000004</v>
      </c>
      <c r="E11" s="12">
        <f t="shared" si="1"/>
        <v>2.1021120000000004</v>
      </c>
      <c r="F11" s="12">
        <f>$H$3*I11</f>
        <v>17.720100000000002</v>
      </c>
      <c r="G11" s="13">
        <f t="shared" si="3"/>
        <v>1.5151515151515142</v>
      </c>
      <c r="H11" s="2">
        <v>30</v>
      </c>
      <c r="I11" s="9">
        <f t="shared" si="4"/>
        <v>1.8</v>
      </c>
      <c r="J11" s="10">
        <f t="shared" si="5"/>
        <v>19.800000000000011</v>
      </c>
      <c r="K11" s="4">
        <v>188</v>
      </c>
      <c r="L11" s="5">
        <v>1400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0.87538507339736371</v>
      </c>
      <c r="D12" s="12">
        <f t="shared" si="0"/>
        <v>24.291161280000004</v>
      </c>
      <c r="E12" s="12">
        <f t="shared" si="1"/>
        <v>3.0270412800000006</v>
      </c>
      <c r="F12" s="12">
        <f t="shared" si="2"/>
        <v>21.264120000000002</v>
      </c>
      <c r="G12" s="13">
        <f t="shared" si="3"/>
        <v>1.4814814814814807</v>
      </c>
      <c r="H12" s="2">
        <v>36</v>
      </c>
      <c r="I12" s="9">
        <f t="shared" si="4"/>
        <v>2.16</v>
      </c>
      <c r="J12" s="10">
        <f t="shared" si="5"/>
        <v>24.300000000000011</v>
      </c>
      <c r="K12" s="4">
        <v>192.5</v>
      </c>
      <c r="L12" s="5">
        <v>1500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S5" sqref="S5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133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132</v>
      </c>
      <c r="D2" s="26"/>
      <c r="E2" s="26"/>
      <c r="F2" s="1" t="s">
        <v>27</v>
      </c>
      <c r="G2" s="1"/>
      <c r="H2" s="27">
        <v>32.612000000000002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166</v>
      </c>
      <c r="D3" s="26"/>
      <c r="E3" s="26"/>
      <c r="F3" s="1" t="s">
        <v>28</v>
      </c>
      <c r="G3" s="1"/>
      <c r="H3" s="27">
        <v>4.6654</v>
      </c>
      <c r="I3" s="27"/>
      <c r="J3" s="26" t="s">
        <v>167</v>
      </c>
      <c r="K3" s="26"/>
      <c r="L3" s="26"/>
      <c r="M3" s="26"/>
      <c r="N3" s="26"/>
    </row>
    <row r="4" spans="3:14" ht="21" customHeight="1" x14ac:dyDescent="0.25">
      <c r="C4" s="26" t="s">
        <v>120</v>
      </c>
      <c r="D4" s="26"/>
      <c r="E4" s="26"/>
      <c r="F4" s="26" t="s">
        <v>64</v>
      </c>
      <c r="G4" s="26"/>
      <c r="H4" s="26"/>
      <c r="I4" s="1"/>
      <c r="J4" s="26" t="s">
        <v>30</v>
      </c>
      <c r="K4" s="26"/>
      <c r="L4" s="26"/>
      <c r="M4" s="26"/>
      <c r="N4" s="26"/>
    </row>
    <row r="5" spans="3:14" ht="21" customHeight="1" x14ac:dyDescent="0.25">
      <c r="C5" s="26" t="s">
        <v>136</v>
      </c>
      <c r="D5" s="26"/>
      <c r="E5" s="26"/>
      <c r="F5" s="26" t="s">
        <v>137</v>
      </c>
      <c r="G5" s="26"/>
      <c r="H5" s="26"/>
      <c r="I5" s="26"/>
      <c r="J5" s="26" t="s">
        <v>135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122</v>
      </c>
      <c r="N7" s="33"/>
    </row>
    <row r="8" spans="3:14" ht="18.75" x14ac:dyDescent="0.25">
      <c r="C8" s="11">
        <f>IF(D8&lt;&gt;0,F8/D8,1)</f>
        <v>0.21905836923735719</v>
      </c>
      <c r="D8" s="12">
        <f>E8+F8</f>
        <v>10.861735200000002</v>
      </c>
      <c r="E8" s="12">
        <f>$H$2*I8*I8</f>
        <v>8.4823812000000007</v>
      </c>
      <c r="F8" s="12">
        <f>$H$3*I8</f>
        <v>2.3793540000000002</v>
      </c>
      <c r="G8" s="13">
        <f>H8/(K8-$M$7)</f>
        <v>0.77272727272727271</v>
      </c>
      <c r="H8" s="8">
        <v>8.5</v>
      </c>
      <c r="I8" s="9">
        <f>H8*60/1000</f>
        <v>0.51</v>
      </c>
      <c r="J8" s="10">
        <f>IF(K8-$M$7&lt;0,0,K8-$M$7)</f>
        <v>11</v>
      </c>
      <c r="K8" s="3">
        <v>133</v>
      </c>
      <c r="L8" s="7">
        <v>1000</v>
      </c>
      <c r="M8" s="29" t="s">
        <v>19</v>
      </c>
      <c r="N8" s="29"/>
    </row>
    <row r="9" spans="3:14" ht="18.75" x14ac:dyDescent="0.25">
      <c r="C9" s="11">
        <f>IF(D9&lt;&gt;0,F9/D9,1)</f>
        <v>0.17814131867494076</v>
      </c>
      <c r="D9" s="12">
        <f t="shared" ref="D9:D12" si="0">E9+F9</f>
        <v>17.284951200000002</v>
      </c>
      <c r="E9" s="12">
        <f t="shared" ref="E9:E12" si="1">$H$2*I9*I9</f>
        <v>14.205787200000003</v>
      </c>
      <c r="F9" s="12">
        <f t="shared" ref="F9:F12" si="2">$H$3*I9</f>
        <v>3.079164</v>
      </c>
      <c r="G9" s="13">
        <f t="shared" ref="G9:G12" si="3">H9/(K9-$M$7)</f>
        <v>0.6470588235294118</v>
      </c>
      <c r="H9" s="8">
        <v>11</v>
      </c>
      <c r="I9" s="9">
        <f t="shared" ref="I9:I12" si="4">H9*60/1000</f>
        <v>0.66</v>
      </c>
      <c r="J9" s="10">
        <f t="shared" ref="J9:J12" si="5">IF(K9-$M$7&lt;0,0,K9-$M$7)</f>
        <v>17</v>
      </c>
      <c r="K9" s="3">
        <v>139</v>
      </c>
      <c r="L9" s="5">
        <v>1050</v>
      </c>
      <c r="M9" s="29" t="s">
        <v>20</v>
      </c>
      <c r="N9" s="29"/>
    </row>
    <row r="10" spans="3:14" ht="18.75" x14ac:dyDescent="0.25">
      <c r="C10" s="11">
        <f>IF(D10&lt;&gt;0,F10/D10,1)</f>
        <v>0.16018870775020255</v>
      </c>
      <c r="D10" s="12">
        <f t="shared" si="0"/>
        <v>21.843300000000003</v>
      </c>
      <c r="E10" s="12">
        <f t="shared" si="1"/>
        <v>18.344250000000002</v>
      </c>
      <c r="F10" s="12">
        <f t="shared" si="2"/>
        <v>3.49905</v>
      </c>
      <c r="G10" s="13">
        <f t="shared" si="3"/>
        <v>0.56818181818181823</v>
      </c>
      <c r="H10" s="8">
        <v>12.5</v>
      </c>
      <c r="I10" s="9">
        <f t="shared" si="4"/>
        <v>0.75</v>
      </c>
      <c r="J10" s="10">
        <f t="shared" si="5"/>
        <v>22</v>
      </c>
      <c r="K10" s="3">
        <v>144</v>
      </c>
      <c r="L10" s="7">
        <v>1100</v>
      </c>
      <c r="M10" s="29" t="s">
        <v>21</v>
      </c>
      <c r="N10" s="29"/>
    </row>
    <row r="11" spans="3:14" ht="18.75" x14ac:dyDescent="0.25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/>
      <c r="L11" s="5"/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P20" sqref="P20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12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173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132</v>
      </c>
      <c r="D2" s="26"/>
      <c r="E2" s="26"/>
      <c r="F2" s="1" t="s">
        <v>27</v>
      </c>
      <c r="G2" s="1"/>
      <c r="H2" s="27">
        <v>0.57857999999999998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169</v>
      </c>
      <c r="D3" s="26"/>
      <c r="E3" s="26"/>
      <c r="F3" s="1" t="s">
        <v>28</v>
      </c>
      <c r="G3" s="1"/>
      <c r="H3" s="27">
        <v>11.55</v>
      </c>
      <c r="I3" s="27"/>
      <c r="J3" s="26" t="s">
        <v>170</v>
      </c>
      <c r="K3" s="26"/>
      <c r="L3" s="26"/>
      <c r="M3" s="26"/>
      <c r="N3" s="26"/>
    </row>
    <row r="4" spans="3:14" ht="21" customHeight="1" x14ac:dyDescent="0.25">
      <c r="C4" s="26" t="s">
        <v>171</v>
      </c>
      <c r="D4" s="26"/>
      <c r="E4" s="26"/>
      <c r="F4" s="35" t="s">
        <v>172</v>
      </c>
      <c r="G4" s="35"/>
      <c r="H4" s="35"/>
      <c r="I4" s="35"/>
      <c r="J4" s="26" t="s">
        <v>121</v>
      </c>
      <c r="K4" s="26"/>
      <c r="L4" s="26"/>
      <c r="M4" s="26"/>
      <c r="N4" s="26"/>
    </row>
    <row r="5" spans="3:14" ht="21" customHeight="1" x14ac:dyDescent="0.25">
      <c r="C5" s="36" t="s">
        <v>179</v>
      </c>
      <c r="D5" s="36"/>
      <c r="E5" s="36"/>
      <c r="F5" s="26" t="s">
        <v>178</v>
      </c>
      <c r="G5" s="26"/>
      <c r="H5" s="26"/>
      <c r="I5" s="26"/>
      <c r="J5" s="26" t="s">
        <v>134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149</v>
      </c>
      <c r="N7" s="33"/>
    </row>
    <row r="8" spans="3:14" ht="18.75" x14ac:dyDescent="0.25">
      <c r="C8" s="11">
        <f>IF(D8&lt;&gt;0,F8/D8,1)</f>
        <v>0.95962056254004224</v>
      </c>
      <c r="D8" s="12">
        <f>E8+F8</f>
        <v>10.110246048</v>
      </c>
      <c r="E8" s="12">
        <f>$H$2*I8*I8</f>
        <v>0.40824604799999997</v>
      </c>
      <c r="F8" s="12">
        <f>$H$3*I8</f>
        <v>9.702</v>
      </c>
      <c r="G8" s="13">
        <f>H8/(K8-$M$7)</f>
        <v>1.4</v>
      </c>
      <c r="H8" s="3">
        <v>14</v>
      </c>
      <c r="I8" s="9">
        <f>H8*60/1000</f>
        <v>0.84</v>
      </c>
      <c r="J8" s="10">
        <f>IF(K8-$M$7&lt;0,0,K8-$M$7)</f>
        <v>10</v>
      </c>
      <c r="K8" s="3">
        <v>159</v>
      </c>
      <c r="L8" s="7">
        <v>1000</v>
      </c>
      <c r="M8" s="29" t="s">
        <v>19</v>
      </c>
      <c r="N8" s="29"/>
    </row>
    <row r="9" spans="3:14" ht="18.75" x14ac:dyDescent="0.25">
      <c r="C9" s="11">
        <f>IF(D9&lt;&gt;0,F9/D9,1)</f>
        <v>0.94597839277239093</v>
      </c>
      <c r="D9" s="12">
        <f t="shared" ref="D9:D12" si="0">E9+F9</f>
        <v>13.918922567999999</v>
      </c>
      <c r="E9" s="12">
        <f t="shared" ref="E9:E12" si="1">$H$2*I9*I9</f>
        <v>0.7519225679999999</v>
      </c>
      <c r="F9" s="12">
        <f t="shared" ref="F9:F12" si="2">$H$3*I9</f>
        <v>13.167</v>
      </c>
      <c r="G9" s="13">
        <f t="shared" ref="G9:G10" si="3">H9/(K9-$M$7)</f>
        <v>1.3571428571428572</v>
      </c>
      <c r="H9" s="3">
        <v>19</v>
      </c>
      <c r="I9" s="9">
        <f t="shared" ref="I9:I12" si="4">H9*60/1000</f>
        <v>1.1399999999999999</v>
      </c>
      <c r="J9" s="10">
        <f t="shared" ref="J9:J12" si="5">IF(K9-$M$7&lt;0,0,K9-$M$7)</f>
        <v>14</v>
      </c>
      <c r="K9" s="3">
        <v>163</v>
      </c>
      <c r="L9" s="5">
        <v>1100</v>
      </c>
      <c r="M9" s="29" t="s">
        <v>20</v>
      </c>
      <c r="N9" s="29"/>
    </row>
    <row r="10" spans="3:14" ht="18.75" x14ac:dyDescent="0.25">
      <c r="C10" s="11">
        <f>IF(D10&lt;&gt;0,F10/D10,1)</f>
        <v>0.92751827716925084</v>
      </c>
      <c r="D10" s="12">
        <f t="shared" si="0"/>
        <v>19.426032288000002</v>
      </c>
      <c r="E10" s="12">
        <f t="shared" si="1"/>
        <v>1.408032288</v>
      </c>
      <c r="F10" s="12">
        <f t="shared" si="2"/>
        <v>18.018000000000001</v>
      </c>
      <c r="G10" s="13">
        <f t="shared" si="3"/>
        <v>1.3333333333333333</v>
      </c>
      <c r="H10" s="3">
        <v>26</v>
      </c>
      <c r="I10" s="9">
        <f t="shared" si="4"/>
        <v>1.56</v>
      </c>
      <c r="J10" s="10">
        <f t="shared" si="5"/>
        <v>19.5</v>
      </c>
      <c r="K10" s="3">
        <v>168.5</v>
      </c>
      <c r="L10" s="7">
        <v>1200</v>
      </c>
      <c r="M10" s="29" t="s">
        <v>21</v>
      </c>
      <c r="N10" s="29"/>
    </row>
    <row r="11" spans="3:14" ht="18.75" x14ac:dyDescent="0.25">
      <c r="C11" s="11">
        <f>IF(D11&lt;&gt;0,F11/D11,1)</f>
        <v>0.91728954995153855</v>
      </c>
      <c r="D11" s="12">
        <f>E11+F11</f>
        <v>22.664599200000001</v>
      </c>
      <c r="E11" s="12">
        <f t="shared" si="1"/>
        <v>1.8745992</v>
      </c>
      <c r="F11" s="12">
        <f>$H$3*I11</f>
        <v>20.790000000000003</v>
      </c>
      <c r="G11" s="13">
        <v>0</v>
      </c>
      <c r="H11" s="3">
        <v>30</v>
      </c>
      <c r="I11" s="9">
        <f t="shared" si="4"/>
        <v>1.8</v>
      </c>
      <c r="J11" s="10">
        <f t="shared" si="5"/>
        <v>22.599999999999994</v>
      </c>
      <c r="K11" s="3">
        <v>171.6</v>
      </c>
      <c r="L11" s="5">
        <v>1300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C1:I1"/>
    <mergeCell ref="C2:E2"/>
    <mergeCell ref="H2:I2"/>
    <mergeCell ref="J2:N2"/>
    <mergeCell ref="C3:E3"/>
    <mergeCell ref="H3:I3"/>
    <mergeCell ref="J3:N3"/>
    <mergeCell ref="H6:H7"/>
    <mergeCell ref="M8:N8"/>
    <mergeCell ref="C4:E4"/>
    <mergeCell ref="F4:I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L6:L7"/>
    <mergeCell ref="M6:N6"/>
    <mergeCell ref="M7:N7"/>
    <mergeCell ref="M9:N9"/>
    <mergeCell ref="M10:N10"/>
    <mergeCell ref="M11:N11"/>
    <mergeCell ref="M12:N12"/>
    <mergeCell ref="C32:E32"/>
    <mergeCell ref="F32:I32"/>
    <mergeCell ref="K32:M32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T8" sqref="T8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12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131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132</v>
      </c>
      <c r="D2" s="26"/>
      <c r="E2" s="26"/>
      <c r="F2" s="1" t="s">
        <v>27</v>
      </c>
      <c r="G2" s="1"/>
      <c r="H2" s="27">
        <v>0.57857999999999998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169</v>
      </c>
      <c r="D3" s="26"/>
      <c r="E3" s="26"/>
      <c r="F3" s="1" t="s">
        <v>28</v>
      </c>
      <c r="G3" s="1"/>
      <c r="H3" s="27">
        <v>11.55</v>
      </c>
      <c r="I3" s="27"/>
      <c r="J3" s="26" t="s">
        <v>170</v>
      </c>
      <c r="K3" s="26"/>
      <c r="L3" s="26"/>
      <c r="M3" s="26"/>
      <c r="N3" s="26"/>
    </row>
    <row r="4" spans="3:14" ht="21" customHeight="1" x14ac:dyDescent="0.25">
      <c r="C4" s="26" t="s">
        <v>171</v>
      </c>
      <c r="D4" s="26"/>
      <c r="E4" s="26"/>
      <c r="F4" s="35" t="s">
        <v>172</v>
      </c>
      <c r="G4" s="35"/>
      <c r="H4" s="35"/>
      <c r="I4" s="35"/>
      <c r="J4" s="26" t="s">
        <v>121</v>
      </c>
      <c r="K4" s="26"/>
      <c r="L4" s="26"/>
      <c r="M4" s="26"/>
      <c r="N4" s="26"/>
    </row>
    <row r="5" spans="3:14" ht="21" customHeight="1" x14ac:dyDescent="0.25">
      <c r="C5" s="26" t="s">
        <v>142</v>
      </c>
      <c r="D5" s="26"/>
      <c r="E5" s="26"/>
      <c r="F5" s="26" t="s">
        <v>80</v>
      </c>
      <c r="G5" s="26"/>
      <c r="H5" s="26"/>
      <c r="I5" s="26"/>
      <c r="J5" s="26" t="s">
        <v>134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149</v>
      </c>
      <c r="N7" s="33"/>
    </row>
    <row r="8" spans="3:14" ht="18.75" x14ac:dyDescent="0.25">
      <c r="C8" s="11">
        <f>IF(D8&lt;&gt;0,F8/D8,1)</f>
        <v>1</v>
      </c>
      <c r="D8" s="12">
        <f>E8+F8</f>
        <v>0</v>
      </c>
      <c r="E8" s="12">
        <f>$H$2*I8*I8</f>
        <v>0</v>
      </c>
      <c r="F8" s="12">
        <f>$H$3*I8</f>
        <v>0</v>
      </c>
      <c r="G8" s="13">
        <f>H8/(K8-$M$7)</f>
        <v>0</v>
      </c>
      <c r="H8" s="3">
        <v>0</v>
      </c>
      <c r="I8" s="9">
        <f>H8*60/1000</f>
        <v>0</v>
      </c>
      <c r="J8" s="10">
        <f>IF(K8-$M$7&lt;0,0,K8-$M$7)</f>
        <v>0</v>
      </c>
      <c r="K8" s="3">
        <v>0</v>
      </c>
      <c r="L8" s="7">
        <v>0</v>
      </c>
      <c r="M8" s="29" t="s">
        <v>19</v>
      </c>
      <c r="N8" s="29"/>
    </row>
    <row r="9" spans="3:14" ht="18.75" x14ac:dyDescent="0.25">
      <c r="C9" s="11">
        <f>IF(D9&lt;&gt;0,F9/D9,1)</f>
        <v>1</v>
      </c>
      <c r="D9" s="12">
        <f t="shared" ref="D9:D12" si="0">E9+F9</f>
        <v>0</v>
      </c>
      <c r="E9" s="12">
        <f t="shared" ref="E9:E12" si="1">$H$2*I9*I9</f>
        <v>0</v>
      </c>
      <c r="F9" s="12">
        <f t="shared" ref="F9:F12" si="2">$H$3*I9</f>
        <v>0</v>
      </c>
      <c r="G9" s="13">
        <f t="shared" ref="G9:G10" si="3">H9/(K9-$M$7)</f>
        <v>0</v>
      </c>
      <c r="H9" s="3">
        <v>0</v>
      </c>
      <c r="I9" s="9">
        <f t="shared" ref="I9:I12" si="4">H9*60/1000</f>
        <v>0</v>
      </c>
      <c r="J9" s="10">
        <f t="shared" ref="J9:J12" si="5">IF(K9-$M$7&lt;0,0,K9-$M$7)</f>
        <v>0</v>
      </c>
      <c r="K9" s="3">
        <v>0</v>
      </c>
      <c r="L9" s="5">
        <v>0</v>
      </c>
      <c r="M9" s="29" t="s">
        <v>20</v>
      </c>
      <c r="N9" s="29"/>
    </row>
    <row r="10" spans="3:14" ht="18.75" x14ac:dyDescent="0.25">
      <c r="C10" s="11">
        <f>IF(D10&lt;&gt;0,F10/D10,1)</f>
        <v>1</v>
      </c>
      <c r="D10" s="12">
        <f t="shared" si="0"/>
        <v>0</v>
      </c>
      <c r="E10" s="12">
        <f t="shared" si="1"/>
        <v>0</v>
      </c>
      <c r="F10" s="12">
        <f t="shared" si="2"/>
        <v>0</v>
      </c>
      <c r="G10" s="13">
        <f t="shared" si="3"/>
        <v>0</v>
      </c>
      <c r="H10" s="3">
        <v>0</v>
      </c>
      <c r="I10" s="9">
        <f t="shared" si="4"/>
        <v>0</v>
      </c>
      <c r="J10" s="10">
        <f t="shared" si="5"/>
        <v>0</v>
      </c>
      <c r="K10" s="3">
        <v>0</v>
      </c>
      <c r="L10" s="7">
        <v>0</v>
      </c>
      <c r="M10" s="29" t="s">
        <v>21</v>
      </c>
      <c r="N10" s="29"/>
    </row>
    <row r="11" spans="3:14" ht="18.75" x14ac:dyDescent="0.25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v>0</v>
      </c>
      <c r="H11" s="3">
        <v>0</v>
      </c>
      <c r="I11" s="9">
        <f t="shared" si="4"/>
        <v>0</v>
      </c>
      <c r="J11" s="10">
        <f t="shared" si="5"/>
        <v>0</v>
      </c>
      <c r="K11" s="3">
        <v>0</v>
      </c>
      <c r="L11" s="5">
        <v>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J4:N4"/>
    <mergeCell ref="C5:E5"/>
    <mergeCell ref="F5:I5"/>
    <mergeCell ref="J5:N5"/>
    <mergeCell ref="F4:I4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J5" sqref="J5:N5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11" customWidth="1"/>
    <col min="5" max="5" width="12.1406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150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130</v>
      </c>
      <c r="D2" s="26"/>
      <c r="E2" s="26"/>
      <c r="F2" s="1" t="s">
        <v>27</v>
      </c>
      <c r="G2" s="1"/>
      <c r="H2" s="27">
        <v>0.52759999999999996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181</v>
      </c>
      <c r="D3" s="26"/>
      <c r="E3" s="26"/>
      <c r="F3" s="1" t="s">
        <v>28</v>
      </c>
      <c r="G3" s="1"/>
      <c r="H3" s="27">
        <v>14.751899999999999</v>
      </c>
      <c r="I3" s="27"/>
      <c r="J3" s="26" t="s">
        <v>183</v>
      </c>
      <c r="K3" s="26"/>
      <c r="L3" s="26"/>
      <c r="M3" s="26"/>
      <c r="N3" s="26"/>
    </row>
    <row r="4" spans="3:14" ht="21" customHeight="1" x14ac:dyDescent="0.25">
      <c r="C4" s="26" t="s">
        <v>182</v>
      </c>
      <c r="D4" s="26"/>
      <c r="E4" s="26"/>
      <c r="F4" s="26" t="s">
        <v>64</v>
      </c>
      <c r="G4" s="26"/>
      <c r="H4" s="26"/>
      <c r="I4" s="1"/>
      <c r="J4" s="26" t="s">
        <v>62</v>
      </c>
      <c r="K4" s="26"/>
      <c r="L4" s="26"/>
      <c r="M4" s="26"/>
      <c r="N4" s="26"/>
    </row>
    <row r="5" spans="3:14" ht="21" customHeight="1" x14ac:dyDescent="0.25">
      <c r="C5" s="26" t="s">
        <v>151</v>
      </c>
      <c r="D5" s="26"/>
      <c r="E5" s="26"/>
      <c r="F5" s="26" t="s">
        <v>152</v>
      </c>
      <c r="G5" s="26"/>
      <c r="H5" s="26"/>
      <c r="I5" s="26"/>
      <c r="J5" s="26" t="s">
        <v>180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158.69999999999999</v>
      </c>
      <c r="N7" s="33"/>
    </row>
    <row r="8" spans="3:14" ht="18.75" x14ac:dyDescent="0.25">
      <c r="C8" s="11">
        <f>IF(D8&lt;&gt;0,F8/D8,1)</f>
        <v>0.96680542306019579</v>
      </c>
      <c r="D8" s="12">
        <f>E8+F8</f>
        <v>14.64806016</v>
      </c>
      <c r="E8" s="12">
        <f>$H$2*I8*I8</f>
        <v>0.48623615999999992</v>
      </c>
      <c r="F8" s="12">
        <f>$H$3*I8</f>
        <v>14.161823999999999</v>
      </c>
      <c r="G8" s="13">
        <f>H8/(K8-$M$7)</f>
        <v>1.1188811188811181</v>
      </c>
      <c r="H8" s="8">
        <v>16</v>
      </c>
      <c r="I8" s="9">
        <f>H8*60/1000</f>
        <v>0.96</v>
      </c>
      <c r="J8" s="10">
        <f>IF(K8-$M$7&lt;0,0,K8-$M$7)</f>
        <v>14.300000000000011</v>
      </c>
      <c r="K8" s="3">
        <v>173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0.95374600506243945</v>
      </c>
      <c r="D9" s="12">
        <f t="shared" ref="D9:D12" si="0">E9+F9</f>
        <v>20.973693513600001</v>
      </c>
      <c r="E9" s="12">
        <f t="shared" ref="E9:E12" si="1">$H$2*I9*I9</f>
        <v>0.97011711360000008</v>
      </c>
      <c r="F9" s="12">
        <f t="shared" ref="F9:F12" si="2">$H$3*I9</f>
        <v>20.0035764</v>
      </c>
      <c r="G9" s="13">
        <f t="shared" ref="G9:G12" si="3">H9/(K9-$M$7)</f>
        <v>1.0610328638497648</v>
      </c>
      <c r="H9" s="8">
        <v>22.6</v>
      </c>
      <c r="I9" s="9">
        <f t="shared" ref="I9:I12" si="4">H9*60/1000</f>
        <v>1.3560000000000001</v>
      </c>
      <c r="J9" s="10">
        <f t="shared" ref="J9:J12" si="5">IF(K9-$M$7&lt;0,0,K9-$M$7)</f>
        <v>21.300000000000011</v>
      </c>
      <c r="K9" s="3">
        <v>180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0.93951691485824995</v>
      </c>
      <c r="D10" s="12">
        <f t="shared" si="0"/>
        <v>28.262843999999998</v>
      </c>
      <c r="E10" s="12">
        <f t="shared" si="1"/>
        <v>1.7094240000000001</v>
      </c>
      <c r="F10" s="12">
        <f t="shared" si="2"/>
        <v>26.553419999999999</v>
      </c>
      <c r="G10" s="13">
        <f t="shared" si="3"/>
        <v>1.0600706713780914</v>
      </c>
      <c r="H10" s="8">
        <v>30</v>
      </c>
      <c r="I10" s="9">
        <f t="shared" si="4"/>
        <v>1.8</v>
      </c>
      <c r="J10" s="10">
        <f t="shared" si="5"/>
        <v>28.300000000000011</v>
      </c>
      <c r="K10" s="3">
        <v>187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0.92460413863439961</v>
      </c>
      <c r="D11" s="12">
        <f>E11+F11</f>
        <v>36.37700783999999</v>
      </c>
      <c r="E11" s="12">
        <f t="shared" si="1"/>
        <v>2.7426758399999991</v>
      </c>
      <c r="F11" s="12">
        <f>$H$3*I11</f>
        <v>33.634331999999993</v>
      </c>
      <c r="G11" s="13">
        <f t="shared" si="3"/>
        <v>1.0468319559228647</v>
      </c>
      <c r="H11" s="2">
        <v>38</v>
      </c>
      <c r="I11" s="9">
        <f t="shared" si="4"/>
        <v>2.2799999999999998</v>
      </c>
      <c r="J11" s="10">
        <f t="shared" si="5"/>
        <v>36.300000000000011</v>
      </c>
      <c r="K11" s="4">
        <v>195</v>
      </c>
      <c r="L11" s="5">
        <v>1400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3" zoomScale="115" zoomScaleNormal="115" workbookViewId="0">
      <selection activeCell="P26" sqref="P26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12.1406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124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130</v>
      </c>
      <c r="D2" s="26"/>
      <c r="E2" s="26"/>
      <c r="F2" s="1" t="s">
        <v>27</v>
      </c>
      <c r="G2" s="1"/>
      <c r="H2" s="27">
        <v>6.2008000000000001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125</v>
      </c>
      <c r="D3" s="26"/>
      <c r="E3" s="26"/>
      <c r="F3" s="1" t="s">
        <v>28</v>
      </c>
      <c r="G3" s="1"/>
      <c r="H3" s="27">
        <v>34.503100000000003</v>
      </c>
      <c r="I3" s="27"/>
      <c r="J3" s="26" t="s">
        <v>126</v>
      </c>
      <c r="K3" s="26"/>
      <c r="L3" s="26"/>
      <c r="M3" s="26"/>
      <c r="N3" s="26"/>
    </row>
    <row r="4" spans="3:14" ht="21" customHeight="1" x14ac:dyDescent="0.25">
      <c r="C4" s="26" t="s">
        <v>127</v>
      </c>
      <c r="D4" s="26"/>
      <c r="E4" s="26"/>
      <c r="F4" s="26" t="s">
        <v>64</v>
      </c>
      <c r="G4" s="26"/>
      <c r="H4" s="26"/>
      <c r="I4" s="1"/>
      <c r="J4" s="26" t="s">
        <v>96</v>
      </c>
      <c r="K4" s="26"/>
      <c r="L4" s="26"/>
      <c r="M4" s="26"/>
      <c r="N4" s="26"/>
    </row>
    <row r="5" spans="3:14" ht="21" customHeight="1" x14ac:dyDescent="0.25">
      <c r="C5" s="26" t="s">
        <v>148</v>
      </c>
      <c r="D5" s="26"/>
      <c r="E5" s="26"/>
      <c r="F5" s="26" t="s">
        <v>149</v>
      </c>
      <c r="G5" s="26"/>
      <c r="H5" s="26"/>
      <c r="I5" s="26"/>
      <c r="J5" s="26" t="s">
        <v>128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106.1</v>
      </c>
      <c r="N7" s="33"/>
    </row>
    <row r="8" spans="3:14" ht="18.75" x14ac:dyDescent="0.25">
      <c r="C8" s="11">
        <f>IF(D8&lt;&gt;0,F8/D8,1)</f>
        <v>0.84508599459252343</v>
      </c>
      <c r="D8" s="12">
        <f>E8+F8</f>
        <v>41.64447432</v>
      </c>
      <c r="E8" s="12">
        <f>$H$2*I8*I8</f>
        <v>6.4513123200000004</v>
      </c>
      <c r="F8" s="12">
        <f>$H$3*I8</f>
        <v>35.193162000000001</v>
      </c>
      <c r="G8" s="13">
        <f>H8/(K8-$M$7)</f>
        <v>0.40572792362768489</v>
      </c>
      <c r="H8" s="8">
        <v>17</v>
      </c>
      <c r="I8" s="9">
        <f>H8*60/1000</f>
        <v>1.02</v>
      </c>
      <c r="J8" s="10">
        <f>IF(K8-$M$7&lt;0,0,K8-$M$7)</f>
        <v>41.900000000000006</v>
      </c>
      <c r="K8" s="3">
        <v>148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0.81536562861593975</v>
      </c>
      <c r="D9" s="12">
        <f t="shared" ref="D9:D12" si="0">E9+F9</f>
        <v>53.31829608000001</v>
      </c>
      <c r="E9" s="12">
        <f t="shared" ref="E9:E12" si="1">$H$2*I9*I9</f>
        <v>9.8443900800000002</v>
      </c>
      <c r="F9" s="12">
        <f t="shared" ref="F9:F12" si="2">$H$3*I9</f>
        <v>43.473906000000007</v>
      </c>
      <c r="G9" s="13">
        <f t="shared" ref="G9:G12" si="3">H9/(K9-$M$7)</f>
        <v>0.39697542533081281</v>
      </c>
      <c r="H9" s="8">
        <v>21</v>
      </c>
      <c r="I9" s="9">
        <f t="shared" ref="I9:I12" si="4">H9*60/1000</f>
        <v>1.26</v>
      </c>
      <c r="J9" s="10">
        <f t="shared" ref="J9:J12" si="5">IF(K9-$M$7&lt;0,0,K9-$M$7)</f>
        <v>52.900000000000006</v>
      </c>
      <c r="K9" s="3">
        <v>159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0.78766468132124023</v>
      </c>
      <c r="D10" s="12">
        <f t="shared" si="0"/>
        <v>65.706450000000004</v>
      </c>
      <c r="E10" s="12">
        <f t="shared" si="1"/>
        <v>13.951799999999999</v>
      </c>
      <c r="F10" s="12">
        <f t="shared" si="2"/>
        <v>51.754650000000005</v>
      </c>
      <c r="G10" s="13">
        <f t="shared" si="3"/>
        <v>0.37936267071320179</v>
      </c>
      <c r="H10" s="8">
        <v>25</v>
      </c>
      <c r="I10" s="9">
        <f t="shared" si="4"/>
        <v>1.5</v>
      </c>
      <c r="J10" s="10">
        <f t="shared" si="5"/>
        <v>65.900000000000006</v>
      </c>
      <c r="K10" s="3">
        <v>172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0.78103106214212181</v>
      </c>
      <c r="D11" s="12">
        <f>E11+F11</f>
        <v>68.915102880000006</v>
      </c>
      <c r="E11" s="12">
        <f t="shared" si="1"/>
        <v>15.090266880000001</v>
      </c>
      <c r="F11" s="12">
        <f>$H$3*I11</f>
        <v>53.824836000000005</v>
      </c>
      <c r="G11" s="13">
        <f t="shared" si="3"/>
        <v>0.37735849056603771</v>
      </c>
      <c r="H11" s="2">
        <v>26</v>
      </c>
      <c r="I11" s="9">
        <f t="shared" si="4"/>
        <v>1.56</v>
      </c>
      <c r="J11" s="10">
        <f t="shared" si="5"/>
        <v>68.900000000000006</v>
      </c>
      <c r="K11" s="4">
        <v>175</v>
      </c>
      <c r="L11" s="5">
        <v>1400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L11" sqref="L11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117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129</v>
      </c>
      <c r="D2" s="26"/>
      <c r="E2" s="26"/>
      <c r="F2" s="1" t="s">
        <v>27</v>
      </c>
      <c r="G2" s="1"/>
      <c r="H2" s="27">
        <v>2.1871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118</v>
      </c>
      <c r="D3" s="26"/>
      <c r="E3" s="26"/>
      <c r="F3" s="1" t="s">
        <v>28</v>
      </c>
      <c r="G3" s="1"/>
      <c r="H3" s="27">
        <v>51.658799999999999</v>
      </c>
      <c r="I3" s="27"/>
      <c r="J3" s="26" t="s">
        <v>119</v>
      </c>
      <c r="K3" s="26"/>
      <c r="L3" s="26"/>
      <c r="M3" s="26"/>
      <c r="N3" s="26"/>
    </row>
    <row r="4" spans="3:14" ht="21" customHeight="1" x14ac:dyDescent="0.25">
      <c r="C4" s="26" t="s">
        <v>120</v>
      </c>
      <c r="D4" s="26"/>
      <c r="E4" s="26"/>
      <c r="F4" s="26" t="s">
        <v>64</v>
      </c>
      <c r="G4" s="26"/>
      <c r="H4" s="26"/>
      <c r="I4" s="1"/>
      <c r="J4" s="26" t="s">
        <v>121</v>
      </c>
      <c r="K4" s="26"/>
      <c r="L4" s="26"/>
      <c r="M4" s="26"/>
      <c r="N4" s="26"/>
    </row>
    <row r="5" spans="3:14" ht="21" customHeight="1" x14ac:dyDescent="0.25">
      <c r="C5" s="26" t="s">
        <v>123</v>
      </c>
      <c r="D5" s="26"/>
      <c r="E5" s="26"/>
      <c r="F5" s="26" t="s">
        <v>80</v>
      </c>
      <c r="G5" s="26"/>
      <c r="H5" s="26"/>
      <c r="I5" s="26"/>
      <c r="J5" s="26" t="s">
        <v>122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130</v>
      </c>
      <c r="N7" s="33"/>
    </row>
    <row r="8" spans="3:14" ht="18.75" x14ac:dyDescent="0.25">
      <c r="C8" s="11">
        <f>IF(D8&lt;&gt;0,F8/D8,1)</f>
        <v>0.97281687647119375</v>
      </c>
      <c r="D8" s="12">
        <f>E8+F8</f>
        <v>35.047508759999999</v>
      </c>
      <c r="E8" s="12">
        <f>$H$2*I8*I8</f>
        <v>0.95270076000000004</v>
      </c>
      <c r="F8" s="12">
        <f>$H$3*I8</f>
        <v>34.094808</v>
      </c>
      <c r="G8" s="13">
        <f>H8/(K8-$M$7)</f>
        <v>0.31428571428571428</v>
      </c>
      <c r="H8" s="8">
        <v>11</v>
      </c>
      <c r="I8" s="9">
        <f>H8*60/1000</f>
        <v>0.66</v>
      </c>
      <c r="J8" s="10">
        <f>IF(K8-$M$7&lt;0,0,K8-$M$7)</f>
        <v>35</v>
      </c>
      <c r="K8" s="3">
        <v>165</v>
      </c>
      <c r="L8" s="7">
        <v>1000</v>
      </c>
      <c r="M8" s="29" t="s">
        <v>19</v>
      </c>
      <c r="N8" s="29"/>
    </row>
    <row r="9" spans="3:14" ht="18.75" x14ac:dyDescent="0.25">
      <c r="C9" s="11">
        <f>IF(D9&lt;&gt;0,F9/D9,1)</f>
        <v>0.96565789523860157</v>
      </c>
      <c r="D9" s="12">
        <f t="shared" ref="D9:D12" si="0">E9+F9</f>
        <v>44.936609759999996</v>
      </c>
      <c r="E9" s="12">
        <f t="shared" ref="E9:E12" si="1">$H$2*I9*I9</f>
        <v>1.5432177599999999</v>
      </c>
      <c r="F9" s="12">
        <f t="shared" ref="F9:F12" si="2">$H$3*I9</f>
        <v>43.393391999999999</v>
      </c>
      <c r="G9" s="13">
        <f t="shared" ref="G9:G12" si="3">H9/(K9-$M$7)</f>
        <v>0.31111111111111112</v>
      </c>
      <c r="H9" s="8">
        <v>14</v>
      </c>
      <c r="I9" s="9">
        <f t="shared" ref="I9:I12" si="4">H9*60/1000</f>
        <v>0.84</v>
      </c>
      <c r="J9" s="10">
        <f t="shared" ref="J9:J12" si="5">IF(K9-$M$7&lt;0,0,K9-$M$7)</f>
        <v>45</v>
      </c>
      <c r="K9" s="3">
        <v>175</v>
      </c>
      <c r="L9" s="5">
        <v>1100</v>
      </c>
      <c r="M9" s="29" t="s">
        <v>20</v>
      </c>
      <c r="N9" s="29"/>
    </row>
    <row r="10" spans="3:14" ht="18.75" x14ac:dyDescent="0.25">
      <c r="C10" s="11">
        <f>IF(D10&lt;&gt;0,F10/D10,1)</f>
        <v>0.95581053161596052</v>
      </c>
      <c r="D10" s="12">
        <f t="shared" si="0"/>
        <v>59.019447614400008</v>
      </c>
      <c r="E10" s="12">
        <f t="shared" si="1"/>
        <v>2.6080380144000004</v>
      </c>
      <c r="F10" s="12">
        <f t="shared" si="2"/>
        <v>56.411409600000006</v>
      </c>
      <c r="G10" s="13">
        <f t="shared" si="3"/>
        <v>0.30847457627118641</v>
      </c>
      <c r="H10" s="8">
        <v>18.2</v>
      </c>
      <c r="I10" s="9">
        <f t="shared" si="4"/>
        <v>1.0920000000000001</v>
      </c>
      <c r="J10" s="10">
        <f t="shared" si="5"/>
        <v>59</v>
      </c>
      <c r="K10" s="3">
        <v>189</v>
      </c>
      <c r="L10" s="7">
        <v>1200</v>
      </c>
      <c r="M10" s="29" t="s">
        <v>21</v>
      </c>
      <c r="N10" s="29"/>
    </row>
    <row r="11" spans="3:14" ht="18.75" x14ac:dyDescent="0.25">
      <c r="C11" s="11">
        <f>IF(D11&lt;&gt;0,F11/D11,1)</f>
        <v>0.94707248803811972</v>
      </c>
      <c r="D11" s="12">
        <f>E11+F11</f>
        <v>72.000419039999997</v>
      </c>
      <c r="E11" s="12">
        <f t="shared" si="1"/>
        <v>3.8108030400000001</v>
      </c>
      <c r="F11" s="12">
        <f>$H$3*I11</f>
        <v>68.189616000000001</v>
      </c>
      <c r="G11" s="13">
        <f t="shared" si="3"/>
        <v>0.30555555555555558</v>
      </c>
      <c r="H11" s="2">
        <v>22</v>
      </c>
      <c r="I11" s="9">
        <f t="shared" si="4"/>
        <v>1.32</v>
      </c>
      <c r="J11" s="10">
        <f t="shared" si="5"/>
        <v>72</v>
      </c>
      <c r="K11" s="4">
        <v>202</v>
      </c>
      <c r="L11" s="5">
        <v>1300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Q29" sqref="Q29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177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129</v>
      </c>
      <c r="D2" s="26"/>
      <c r="E2" s="26"/>
      <c r="F2" s="1" t="s">
        <v>27</v>
      </c>
      <c r="G2" s="1"/>
      <c r="H2" s="27">
        <v>0.49020000000000002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143</v>
      </c>
      <c r="D3" s="26"/>
      <c r="E3" s="26"/>
      <c r="F3" s="1" t="s">
        <v>28</v>
      </c>
      <c r="G3" s="1"/>
      <c r="H3" s="27">
        <v>58.089300000000001</v>
      </c>
      <c r="I3" s="27"/>
      <c r="J3" s="26" t="s">
        <v>144</v>
      </c>
      <c r="K3" s="26"/>
      <c r="L3" s="26"/>
      <c r="M3" s="26"/>
      <c r="N3" s="26"/>
    </row>
    <row r="4" spans="3:14" ht="21" customHeight="1" x14ac:dyDescent="0.25">
      <c r="C4" s="26" t="s">
        <v>145</v>
      </c>
      <c r="D4" s="26"/>
      <c r="E4" s="26"/>
      <c r="F4" s="26" t="s">
        <v>64</v>
      </c>
      <c r="G4" s="26"/>
      <c r="H4" s="26"/>
      <c r="I4" s="1"/>
      <c r="J4" s="26" t="s">
        <v>96</v>
      </c>
      <c r="K4" s="26"/>
      <c r="L4" s="26"/>
      <c r="M4" s="26"/>
      <c r="N4" s="26"/>
    </row>
    <row r="5" spans="3:14" ht="21" customHeight="1" x14ac:dyDescent="0.25">
      <c r="C5" s="26" t="s">
        <v>146</v>
      </c>
      <c r="D5" s="26"/>
      <c r="E5" s="26"/>
      <c r="F5" s="26" t="s">
        <v>147</v>
      </c>
      <c r="G5" s="26"/>
      <c r="H5" s="26"/>
      <c r="I5" s="26"/>
      <c r="J5" s="26" t="s">
        <v>122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130</v>
      </c>
      <c r="N7" s="33"/>
    </row>
    <row r="8" spans="3:14" ht="18.75" x14ac:dyDescent="0.25">
      <c r="C8" s="11">
        <f>IF(D8&lt;&gt;0,F8/D8,1)</f>
        <v>0.99496226839743207</v>
      </c>
      <c r="D8" s="12">
        <f>E8+F8</f>
        <v>35.030051999999998</v>
      </c>
      <c r="E8" s="12">
        <f>$H$2*I8*I8</f>
        <v>0.17647199999999999</v>
      </c>
      <c r="F8" s="12">
        <f>$H$3*I8</f>
        <v>34.853580000000001</v>
      </c>
      <c r="G8" s="13">
        <f>H8/(K8-$M$7)</f>
        <v>0.2857142857142857</v>
      </c>
      <c r="H8" s="8">
        <v>10</v>
      </c>
      <c r="I8" s="9">
        <f>H8*60/1000</f>
        <v>0.6</v>
      </c>
      <c r="J8" s="10">
        <f>IF(K8-$M$7&lt;0,0,K8-$M$7)</f>
        <v>35</v>
      </c>
      <c r="K8" s="3">
        <v>165</v>
      </c>
      <c r="L8" s="7">
        <v>1000</v>
      </c>
      <c r="M8" s="29" t="s">
        <v>19</v>
      </c>
      <c r="N8" s="29"/>
    </row>
    <row r="9" spans="3:14" ht="18.75" x14ac:dyDescent="0.25">
      <c r="C9" s="11">
        <f>IF(D9&lt;&gt;0,F9/D9,1)</f>
        <v>0.9932609824355555</v>
      </c>
      <c r="D9" s="12">
        <f t="shared" ref="D9:D12" si="0">E9+F9</f>
        <v>47.020670323200001</v>
      </c>
      <c r="E9" s="12">
        <f t="shared" ref="E9:E12" si="1">$H$2*I9*I9</f>
        <v>0.31687312320000005</v>
      </c>
      <c r="F9" s="12">
        <f t="shared" ref="F9:F12" si="2">$H$3*I9</f>
        <v>46.703797200000004</v>
      </c>
      <c r="G9" s="13">
        <f t="shared" ref="G9:G12" si="3">H9/(K9-$M$7)</f>
        <v>0.28510638297872343</v>
      </c>
      <c r="H9" s="8">
        <v>13.4</v>
      </c>
      <c r="I9" s="9">
        <f t="shared" ref="I9:I12" si="4">H9*60/1000</f>
        <v>0.80400000000000005</v>
      </c>
      <c r="J9" s="10">
        <f t="shared" ref="J9:J12" si="5">IF(K9-$M$7&lt;0,0,K9-$M$7)</f>
        <v>47</v>
      </c>
      <c r="K9" s="3">
        <v>177</v>
      </c>
      <c r="L9" s="5">
        <v>1100</v>
      </c>
      <c r="M9" s="29" t="s">
        <v>20</v>
      </c>
      <c r="N9" s="29"/>
    </row>
    <row r="10" spans="3:14" ht="18.75" x14ac:dyDescent="0.25">
      <c r="C10" s="11">
        <f>IF(D10&lt;&gt;0,F10/D10,1)</f>
        <v>0.99130173085948159</v>
      </c>
      <c r="D10" s="12">
        <f t="shared" si="0"/>
        <v>60.931250556408003</v>
      </c>
      <c r="E10" s="12">
        <f t="shared" si="1"/>
        <v>0.52999641640799999</v>
      </c>
      <c r="F10" s="12">
        <f t="shared" si="2"/>
        <v>60.401254140000006</v>
      </c>
      <c r="G10" s="13">
        <f t="shared" si="3"/>
        <v>0.28409836065573768</v>
      </c>
      <c r="H10" s="8">
        <v>17.329999999999998</v>
      </c>
      <c r="I10" s="9">
        <f t="shared" si="4"/>
        <v>1.0398000000000001</v>
      </c>
      <c r="J10" s="10">
        <f t="shared" si="5"/>
        <v>61</v>
      </c>
      <c r="K10" s="3">
        <v>191</v>
      </c>
      <c r="L10" s="7">
        <v>1200</v>
      </c>
      <c r="M10" s="29" t="s">
        <v>21</v>
      </c>
      <c r="N10" s="29"/>
    </row>
    <row r="11" spans="3:14" ht="18.75" x14ac:dyDescent="0.25">
      <c r="C11" s="11">
        <f>IF(D11&lt;&gt;0,F11/D11,1)</f>
        <v>0.98863704850696099</v>
      </c>
      <c r="D11" s="12">
        <f>E11+F11</f>
        <v>80.026969168800008</v>
      </c>
      <c r="E11" s="12">
        <f t="shared" si="1"/>
        <v>0.90934256880000008</v>
      </c>
      <c r="F11" s="12">
        <f>$H$3*I11</f>
        <v>79.117626600000008</v>
      </c>
      <c r="G11" s="13">
        <f t="shared" si="3"/>
        <v>0.28375</v>
      </c>
      <c r="H11" s="2">
        <v>22.7</v>
      </c>
      <c r="I11" s="9">
        <f t="shared" si="4"/>
        <v>1.3620000000000001</v>
      </c>
      <c r="J11" s="10">
        <f t="shared" si="5"/>
        <v>80</v>
      </c>
      <c r="K11" s="4">
        <v>210</v>
      </c>
      <c r="L11" s="5">
        <v>1300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R16" sqref="R16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104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39.5212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105</v>
      </c>
      <c r="D3" s="26"/>
      <c r="E3" s="26"/>
      <c r="F3" s="1" t="s">
        <v>28</v>
      </c>
      <c r="G3" s="1"/>
      <c r="H3" s="27">
        <v>27.331700000000001</v>
      </c>
      <c r="I3" s="27"/>
      <c r="J3" s="26" t="s">
        <v>106</v>
      </c>
      <c r="K3" s="26"/>
      <c r="L3" s="26"/>
      <c r="M3" s="26"/>
      <c r="N3" s="26"/>
    </row>
    <row r="4" spans="3:14" ht="21" customHeight="1" x14ac:dyDescent="0.25">
      <c r="C4" s="26" t="s">
        <v>107</v>
      </c>
      <c r="D4" s="26"/>
      <c r="E4" s="26"/>
      <c r="F4" s="26" t="s">
        <v>64</v>
      </c>
      <c r="G4" s="26"/>
      <c r="H4" s="26"/>
      <c r="I4" s="1"/>
      <c r="J4" s="26" t="s">
        <v>108</v>
      </c>
      <c r="K4" s="26"/>
      <c r="L4" s="26"/>
      <c r="M4" s="26"/>
      <c r="N4" s="26"/>
    </row>
    <row r="5" spans="3:14" ht="21" customHeight="1" x14ac:dyDescent="0.25">
      <c r="C5" s="26" t="s">
        <v>109</v>
      </c>
      <c r="D5" s="26"/>
      <c r="E5" s="26"/>
      <c r="F5" s="26" t="s">
        <v>80</v>
      </c>
      <c r="G5" s="26"/>
      <c r="H5" s="26"/>
      <c r="I5" s="26"/>
      <c r="J5" s="26" t="s">
        <v>110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169</v>
      </c>
      <c r="N7" s="33"/>
    </row>
    <row r="8" spans="3:14" ht="18.75" x14ac:dyDescent="0.25">
      <c r="C8" s="11">
        <f>IF(D8&lt;&gt;0,F8/D8,1)</f>
        <v>0.62215625353113735</v>
      </c>
      <c r="D8" s="12">
        <f>E8+F8</f>
        <v>18.450853680000002</v>
      </c>
      <c r="E8" s="12">
        <f>$H$2*I8*I8</f>
        <v>6.9715396800000002</v>
      </c>
      <c r="F8" s="12">
        <f>$H$3*I8</f>
        <v>11.479314</v>
      </c>
      <c r="G8" s="13">
        <f>H8/(K8-$M$7)</f>
        <v>0.35</v>
      </c>
      <c r="H8" s="8">
        <v>7</v>
      </c>
      <c r="I8" s="9">
        <f>H8*60/1000</f>
        <v>0.42</v>
      </c>
      <c r="J8" s="10">
        <f>IF(K8-$M$7&lt;0,0,K8-$M$7)</f>
        <v>20</v>
      </c>
      <c r="K8" s="3">
        <v>189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0.53544932041543425</v>
      </c>
      <c r="D9" s="12">
        <f t="shared" ref="D9:D12" si="0">E9+F9</f>
        <v>30.626652</v>
      </c>
      <c r="E9" s="12">
        <f t="shared" ref="E9:E12" si="1">$H$2*I9*I9</f>
        <v>14.227632</v>
      </c>
      <c r="F9" s="12">
        <f t="shared" ref="F9:F12" si="2">$H$3*I9</f>
        <v>16.39902</v>
      </c>
      <c r="G9" s="13">
        <f t="shared" ref="G9:G12" si="3">H9/(K9-$M$7)</f>
        <v>0.34482758620689657</v>
      </c>
      <c r="H9" s="8">
        <v>10</v>
      </c>
      <c r="I9" s="9">
        <f t="shared" ref="I9:I12" si="4">H9*60/1000</f>
        <v>0.6</v>
      </c>
      <c r="J9" s="10">
        <f t="shared" ref="J9:J12" si="5">IF(K9-$M$7&lt;0,0,K9-$M$7)</f>
        <v>29</v>
      </c>
      <c r="K9" s="3">
        <v>198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0.41873511192814961</v>
      </c>
      <c r="D10" s="12">
        <f t="shared" si="0"/>
        <v>62.661169919999992</v>
      </c>
      <c r="E10" s="12">
        <f t="shared" si="1"/>
        <v>36.422737919999996</v>
      </c>
      <c r="F10" s="12">
        <f t="shared" si="2"/>
        <v>26.238432</v>
      </c>
      <c r="G10" s="13">
        <f t="shared" si="3"/>
        <v>0.25396825396825395</v>
      </c>
      <c r="H10" s="8">
        <v>16</v>
      </c>
      <c r="I10" s="9">
        <f t="shared" si="4"/>
        <v>0.96</v>
      </c>
      <c r="J10" s="10">
        <f t="shared" si="5"/>
        <v>63</v>
      </c>
      <c r="K10" s="3">
        <v>232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Q10" sqref="Q10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99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2.9725999999999999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100</v>
      </c>
      <c r="D3" s="26"/>
      <c r="E3" s="26"/>
      <c r="F3" s="1" t="s">
        <v>28</v>
      </c>
      <c r="G3" s="1"/>
      <c r="H3" s="27">
        <v>59.055399999999999</v>
      </c>
      <c r="I3" s="27"/>
      <c r="J3" s="26" t="s">
        <v>101</v>
      </c>
      <c r="K3" s="26"/>
      <c r="L3" s="26"/>
      <c r="M3" s="26"/>
      <c r="N3" s="26"/>
    </row>
    <row r="4" spans="3:14" ht="21" customHeight="1" x14ac:dyDescent="0.25">
      <c r="C4" s="26" t="s">
        <v>31</v>
      </c>
      <c r="D4" s="26"/>
      <c r="E4" s="26"/>
      <c r="F4" s="26" t="s">
        <v>64</v>
      </c>
      <c r="G4" s="26"/>
      <c r="H4" s="26"/>
      <c r="I4" s="1"/>
      <c r="J4" s="26" t="s">
        <v>30</v>
      </c>
      <c r="K4" s="26"/>
      <c r="L4" s="26"/>
      <c r="M4" s="26"/>
      <c r="N4" s="26"/>
    </row>
    <row r="5" spans="3:14" ht="21" customHeight="1" x14ac:dyDescent="0.25">
      <c r="C5" s="26" t="s">
        <v>102</v>
      </c>
      <c r="D5" s="26"/>
      <c r="E5" s="26"/>
      <c r="F5" s="26" t="s">
        <v>80</v>
      </c>
      <c r="G5" s="26"/>
      <c r="H5" s="26"/>
      <c r="I5" s="26"/>
      <c r="J5" s="26" t="s">
        <v>103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140</v>
      </c>
      <c r="N7" s="33"/>
    </row>
    <row r="8" spans="3:14" ht="18.75" x14ac:dyDescent="0.25">
      <c r="C8" s="11">
        <f>IF(D8&lt;&gt;0,F8/D8,1)</f>
        <v>0.97929665965838486</v>
      </c>
      <c r="D8" s="12">
        <f>E8+F8</f>
        <v>25.327634639999999</v>
      </c>
      <c r="E8" s="12">
        <f>$H$2*I8*I8</f>
        <v>0.52436663999999999</v>
      </c>
      <c r="F8" s="12">
        <f>$H$3*I8</f>
        <v>24.803267999999999</v>
      </c>
      <c r="G8" s="13">
        <f>H8/(K8-$M$7)</f>
        <v>0.28000000000000003</v>
      </c>
      <c r="H8" s="8">
        <v>7</v>
      </c>
      <c r="I8" s="9">
        <f>H8*60/1000</f>
        <v>0.42</v>
      </c>
      <c r="J8" s="10">
        <f>IF(K8-$M$7&lt;0,0,K8-$M$7)</f>
        <v>25</v>
      </c>
      <c r="K8" s="3">
        <v>165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0.97210883818480209</v>
      </c>
      <c r="D9" s="12">
        <f t="shared" ref="D9:D12" si="0">E9+F9</f>
        <v>34.627375739999998</v>
      </c>
      <c r="E9" s="12">
        <f t="shared" ref="E9:E12" si="1">$H$2*I9*I9</f>
        <v>0.96579773999999985</v>
      </c>
      <c r="F9" s="12">
        <f t="shared" ref="F9:F12" si="2">$H$3*I9</f>
        <v>33.661577999999999</v>
      </c>
      <c r="G9" s="13">
        <f t="shared" ref="G9:G12" si="3">H9/(K9-$M$7)</f>
        <v>0.27142857142857141</v>
      </c>
      <c r="H9" s="8">
        <v>9.5</v>
      </c>
      <c r="I9" s="9">
        <f t="shared" ref="I9:I12" si="4">H9*60/1000</f>
        <v>0.56999999999999995</v>
      </c>
      <c r="J9" s="10">
        <f t="shared" ref="J9:J12" si="5">IF(K9-$M$7&lt;0,0,K9-$M$7)</f>
        <v>35</v>
      </c>
      <c r="K9" s="3">
        <v>175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0.95915526018360997</v>
      </c>
      <c r="D10" s="12">
        <f t="shared" si="0"/>
        <v>52.088405781599995</v>
      </c>
      <c r="E10" s="12">
        <f t="shared" si="1"/>
        <v>2.1275373815999998</v>
      </c>
      <c r="F10" s="12">
        <f t="shared" si="2"/>
        <v>49.960868399999995</v>
      </c>
      <c r="G10" s="13">
        <f t="shared" si="3"/>
        <v>0.27115384615384613</v>
      </c>
      <c r="H10" s="8">
        <v>14.1</v>
      </c>
      <c r="I10" s="9">
        <f t="shared" si="4"/>
        <v>0.84599999999999997</v>
      </c>
      <c r="J10" s="10">
        <f t="shared" si="5"/>
        <v>52</v>
      </c>
      <c r="K10" s="3">
        <v>192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P29" sqref="P29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92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5.4573999999999998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93</v>
      </c>
      <c r="D3" s="26"/>
      <c r="E3" s="26"/>
      <c r="F3" s="1" t="s">
        <v>28</v>
      </c>
      <c r="G3" s="1"/>
      <c r="H3" s="27">
        <v>132.21789999999999</v>
      </c>
      <c r="I3" s="27"/>
      <c r="J3" s="26" t="s">
        <v>94</v>
      </c>
      <c r="K3" s="26"/>
      <c r="L3" s="26"/>
      <c r="M3" s="26"/>
      <c r="N3" s="26"/>
    </row>
    <row r="4" spans="3:14" ht="21" customHeight="1" x14ac:dyDescent="0.25">
      <c r="C4" s="26" t="s">
        <v>95</v>
      </c>
      <c r="D4" s="26"/>
      <c r="E4" s="26"/>
      <c r="F4" s="26" t="s">
        <v>64</v>
      </c>
      <c r="G4" s="26"/>
      <c r="H4" s="26"/>
      <c r="I4" s="1"/>
      <c r="J4" s="26" t="s">
        <v>96</v>
      </c>
      <c r="K4" s="26"/>
      <c r="L4" s="26"/>
      <c r="M4" s="26"/>
      <c r="N4" s="26"/>
    </row>
    <row r="5" spans="3:14" ht="21" customHeight="1" x14ac:dyDescent="0.25">
      <c r="C5" s="26" t="s">
        <v>97</v>
      </c>
      <c r="D5" s="26"/>
      <c r="E5" s="26"/>
      <c r="F5" s="26" t="s">
        <v>80</v>
      </c>
      <c r="G5" s="26"/>
      <c r="H5" s="26"/>
      <c r="I5" s="26"/>
      <c r="J5" s="26" t="s">
        <v>98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60</v>
      </c>
      <c r="N7" s="33"/>
    </row>
    <row r="8" spans="3:14" ht="18.75" x14ac:dyDescent="0.25">
      <c r="C8" s="11">
        <f>IF(D8&lt;&gt;0,F8/D8,1)</f>
        <v>0.98776871590716886</v>
      </c>
      <c r="D8" s="12">
        <f>E8+F8</f>
        <v>40.156535999999996</v>
      </c>
      <c r="E8" s="12">
        <f>$H$2*I8*I8</f>
        <v>0.49116599999999994</v>
      </c>
      <c r="F8" s="12">
        <f>$H$3*I8</f>
        <v>39.665369999999996</v>
      </c>
      <c r="G8" s="13">
        <f>H8/(K8-$M$7)</f>
        <v>0.125</v>
      </c>
      <c r="H8" s="8">
        <v>5</v>
      </c>
      <c r="I8" s="9">
        <f>H8*60/1000</f>
        <v>0.3</v>
      </c>
      <c r="J8" s="10">
        <f>IF(K8-$M$7&lt;0,0,K8-$M$7)</f>
        <v>40</v>
      </c>
      <c r="K8" s="3">
        <v>100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0.98343837879558571</v>
      </c>
      <c r="D9" s="12">
        <f t="shared" ref="D9:D12" si="0">E9+F9</f>
        <v>54.853363833599992</v>
      </c>
      <c r="E9" s="12">
        <f t="shared" ref="E9:E12" si="1">$H$2*I9*I9</f>
        <v>0.90846063359999973</v>
      </c>
      <c r="F9" s="12">
        <f t="shared" ref="F9:F12" si="2">$H$3*I9</f>
        <v>53.944903199999992</v>
      </c>
      <c r="G9" s="13">
        <f t="shared" ref="G9:G12" si="3">H9/(K9-$M$7)</f>
        <v>0.12363636363636363</v>
      </c>
      <c r="H9" s="8">
        <v>6.8</v>
      </c>
      <c r="I9" s="9">
        <f t="shared" ref="I9:I12" si="4">H9*60/1000</f>
        <v>0.40799999999999997</v>
      </c>
      <c r="J9" s="10">
        <f t="shared" ref="J9:J12" si="5">IF(K9-$M$7&lt;0,0,K9-$M$7)</f>
        <v>55</v>
      </c>
      <c r="K9" s="3">
        <v>115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0.97819703127652302</v>
      </c>
      <c r="D10" s="12">
        <f t="shared" si="0"/>
        <v>72.989043840000008</v>
      </c>
      <c r="E10" s="12">
        <f t="shared" si="1"/>
        <v>1.59137784</v>
      </c>
      <c r="F10" s="12">
        <f t="shared" si="2"/>
        <v>71.397666000000001</v>
      </c>
      <c r="G10" s="13">
        <f t="shared" si="3"/>
        <v>0.12328767123287671</v>
      </c>
      <c r="H10" s="8">
        <v>9</v>
      </c>
      <c r="I10" s="9">
        <f t="shared" si="4"/>
        <v>0.54</v>
      </c>
      <c r="J10" s="10">
        <f t="shared" si="5"/>
        <v>73</v>
      </c>
      <c r="K10" s="3">
        <v>133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0.9711391259468023</v>
      </c>
      <c r="D11" s="12">
        <f>E11+F11</f>
        <v>98.026004159999985</v>
      </c>
      <c r="E11" s="12">
        <f t="shared" si="1"/>
        <v>2.8291161599999999</v>
      </c>
      <c r="F11" s="12">
        <f>$H$3*I11</f>
        <v>95.196887999999987</v>
      </c>
      <c r="G11" s="13">
        <f t="shared" si="3"/>
        <v>0.12244897959183673</v>
      </c>
      <c r="H11" s="2">
        <v>12</v>
      </c>
      <c r="I11" s="9">
        <f t="shared" si="4"/>
        <v>0.72</v>
      </c>
      <c r="J11" s="10">
        <f t="shared" si="5"/>
        <v>98</v>
      </c>
      <c r="K11" s="4">
        <v>158</v>
      </c>
      <c r="L11" s="5">
        <v>1400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S10" sqref="S10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86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924.50779999999997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87</v>
      </c>
      <c r="D3" s="26"/>
      <c r="E3" s="26"/>
      <c r="F3" s="1" t="s">
        <v>28</v>
      </c>
      <c r="G3" s="1"/>
      <c r="H3" s="27">
        <v>34.046700000000001</v>
      </c>
      <c r="I3" s="27"/>
      <c r="J3" s="26" t="s">
        <v>88</v>
      </c>
      <c r="K3" s="26"/>
      <c r="L3" s="26"/>
      <c r="M3" s="26"/>
      <c r="N3" s="26"/>
    </row>
    <row r="4" spans="3:14" ht="21" customHeight="1" x14ac:dyDescent="0.25">
      <c r="C4" s="26" t="s">
        <v>89</v>
      </c>
      <c r="D4" s="26"/>
      <c r="E4" s="26"/>
      <c r="F4" s="26" t="s">
        <v>64</v>
      </c>
      <c r="G4" s="26"/>
      <c r="H4" s="26"/>
      <c r="I4" s="1"/>
      <c r="J4" s="26" t="s">
        <v>90</v>
      </c>
      <c r="K4" s="26"/>
      <c r="L4" s="26"/>
      <c r="M4" s="26"/>
      <c r="N4" s="26"/>
    </row>
    <row r="5" spans="3:14" ht="21" customHeight="1" x14ac:dyDescent="0.25">
      <c r="C5" s="26" t="s">
        <v>91</v>
      </c>
      <c r="D5" s="26"/>
      <c r="E5" s="26"/>
      <c r="F5" s="26" t="s">
        <v>80</v>
      </c>
      <c r="G5" s="26"/>
      <c r="H5" s="26"/>
      <c r="I5" s="26"/>
      <c r="J5" s="26" t="s">
        <v>67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94</v>
      </c>
      <c r="N7" s="33"/>
    </row>
    <row r="8" spans="3:14" ht="18.75" x14ac:dyDescent="0.25">
      <c r="C8" s="11">
        <f>IF(D8&lt;&gt;0,F8/D8,1)</f>
        <v>0.23482485085831734</v>
      </c>
      <c r="D8" s="12">
        <f>E8+F8</f>
        <v>17.398516319999999</v>
      </c>
      <c r="E8" s="12">
        <f>$H$2*I8*I8</f>
        <v>13.312912319999999</v>
      </c>
      <c r="F8" s="12">
        <f>$H$3*I8</f>
        <v>4.085604</v>
      </c>
      <c r="G8" s="13">
        <f>H8/(K8-$M$7)</f>
        <v>8.3333333333333329E-2</v>
      </c>
      <c r="H8" s="8">
        <v>2</v>
      </c>
      <c r="I8" s="9">
        <f>H8*60/1000</f>
        <v>0.12</v>
      </c>
      <c r="J8" s="10">
        <f>IF(K8-$M$7&lt;0,0,K8-$M$7)</f>
        <v>24</v>
      </c>
      <c r="K8" s="3">
        <v>118</v>
      </c>
      <c r="L8" s="7">
        <v>1000</v>
      </c>
      <c r="M8" s="29" t="s">
        <v>19</v>
      </c>
      <c r="N8" s="29"/>
    </row>
    <row r="9" spans="3:14" ht="18.75" x14ac:dyDescent="0.25">
      <c r="C9" s="11">
        <f>IF(D9&lt;&gt;0,F9/D9,1)</f>
        <v>0.13303203989275572</v>
      </c>
      <c r="D9" s="12">
        <f t="shared" ref="D9:D12" si="0">E9+F9</f>
        <v>61.422857279999995</v>
      </c>
      <c r="E9" s="12">
        <f t="shared" ref="E9:E12" si="1">$H$2*I9*I9</f>
        <v>53.251649279999995</v>
      </c>
      <c r="F9" s="12">
        <f t="shared" ref="F9:F12" si="2">$H$3*I9</f>
        <v>8.171208</v>
      </c>
      <c r="G9" s="13">
        <f t="shared" ref="G9:G12" si="3">H9/(K9-$M$7)</f>
        <v>7.2727272727272724E-2</v>
      </c>
      <c r="H9" s="8">
        <v>4</v>
      </c>
      <c r="I9" s="9">
        <f t="shared" ref="I9:I12" si="4">H9*60/1000</f>
        <v>0.24</v>
      </c>
      <c r="J9" s="10">
        <f t="shared" ref="J9:J12" si="5">IF(K9-$M$7&lt;0,0,K9-$M$7)</f>
        <v>55</v>
      </c>
      <c r="K9" s="3">
        <v>149</v>
      </c>
      <c r="L9" s="5">
        <v>1100</v>
      </c>
      <c r="M9" s="29" t="s">
        <v>20</v>
      </c>
      <c r="N9" s="29"/>
    </row>
    <row r="10" spans="3:14" ht="18.75" x14ac:dyDescent="0.25">
      <c r="C10" s="11">
        <f>IF(D10&lt;&gt;0,F10/D10,1)</f>
        <v>0.10933463378692498</v>
      </c>
      <c r="D10" s="12">
        <f t="shared" si="0"/>
        <v>93.41971199999999</v>
      </c>
      <c r="E10" s="12">
        <f t="shared" si="1"/>
        <v>83.205701999999988</v>
      </c>
      <c r="F10" s="12">
        <f t="shared" si="2"/>
        <v>10.21401</v>
      </c>
      <c r="G10" s="13">
        <f t="shared" si="3"/>
        <v>6.097560975609756E-2</v>
      </c>
      <c r="H10" s="8">
        <v>5</v>
      </c>
      <c r="I10" s="9">
        <f t="shared" si="4"/>
        <v>0.3</v>
      </c>
      <c r="J10" s="10">
        <f t="shared" si="5"/>
        <v>82</v>
      </c>
      <c r="K10" s="3">
        <v>176</v>
      </c>
      <c r="L10" s="7">
        <v>1200</v>
      </c>
      <c r="M10" s="29" t="s">
        <v>21</v>
      </c>
      <c r="N10" s="29"/>
    </row>
    <row r="11" spans="3:14" ht="18.75" x14ac:dyDescent="0.25">
      <c r="C11" s="11">
        <f>IF(D11&lt;&gt;0,F11/D11,1)</f>
        <v>0.10557341057136853</v>
      </c>
      <c r="D11" s="12">
        <f>E11+F11</f>
        <v>100.6178576832</v>
      </c>
      <c r="E11" s="12">
        <f t="shared" si="1"/>
        <v>89.9952872832</v>
      </c>
      <c r="F11" s="12">
        <f>$H$3*I11</f>
        <v>10.622570400000001</v>
      </c>
      <c r="G11" s="13">
        <f t="shared" si="3"/>
        <v>4.5614035087719301E-2</v>
      </c>
      <c r="H11" s="2">
        <v>5.2</v>
      </c>
      <c r="I11" s="9">
        <f t="shared" si="4"/>
        <v>0.312</v>
      </c>
      <c r="J11" s="10">
        <f t="shared" si="5"/>
        <v>114</v>
      </c>
      <c r="K11" s="4">
        <v>208</v>
      </c>
      <c r="L11" s="5">
        <v>1300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F4" sqref="F4:H4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82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2.7193999999999998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60</v>
      </c>
      <c r="D3" s="26"/>
      <c r="E3" s="26"/>
      <c r="F3" s="1" t="s">
        <v>28</v>
      </c>
      <c r="G3" s="1"/>
      <c r="H3" s="27">
        <v>51.289400000000001</v>
      </c>
      <c r="I3" s="27"/>
      <c r="J3" s="26" t="s">
        <v>65</v>
      </c>
      <c r="K3" s="26"/>
      <c r="L3" s="26"/>
      <c r="M3" s="26"/>
      <c r="N3" s="26"/>
    </row>
    <row r="4" spans="3:14" ht="21" customHeight="1" x14ac:dyDescent="0.25">
      <c r="C4" s="26" t="s">
        <v>85</v>
      </c>
      <c r="D4" s="26"/>
      <c r="E4" s="26"/>
      <c r="F4" s="26" t="s">
        <v>64</v>
      </c>
      <c r="G4" s="26"/>
      <c r="H4" s="26"/>
      <c r="I4" s="1"/>
      <c r="J4" s="26" t="s">
        <v>83</v>
      </c>
      <c r="K4" s="26"/>
      <c r="L4" s="26"/>
      <c r="M4" s="26"/>
      <c r="N4" s="26"/>
    </row>
    <row r="5" spans="3:14" ht="21" customHeight="1" x14ac:dyDescent="0.25">
      <c r="C5" s="26" t="s">
        <v>79</v>
      </c>
      <c r="D5" s="26"/>
      <c r="E5" s="26"/>
      <c r="F5" s="26" t="s">
        <v>80</v>
      </c>
      <c r="G5" s="26"/>
      <c r="H5" s="26"/>
      <c r="I5" s="26"/>
      <c r="J5" s="26" t="s">
        <v>84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187</v>
      </c>
      <c r="N7" s="33"/>
    </row>
    <row r="8" spans="3:14" ht="18.75" x14ac:dyDescent="0.25">
      <c r="C8" s="11">
        <f>IF(D8&lt;&gt;0,F8/D8,1)</f>
        <v>0.97518168746698342</v>
      </c>
      <c r="D8" s="12">
        <f>E8+F8</f>
        <v>25.245461759999998</v>
      </c>
      <c r="E8" s="12">
        <f>$H$2*I8*I8</f>
        <v>0.62654975999999984</v>
      </c>
      <c r="F8" s="12">
        <f>$H$3*I8</f>
        <v>24.618911999999998</v>
      </c>
      <c r="G8" s="13">
        <f>H8/(K8-$M$7)</f>
        <v>0.32</v>
      </c>
      <c r="H8" s="8">
        <v>8</v>
      </c>
      <c r="I8" s="9">
        <f>H8*60/1000</f>
        <v>0.48</v>
      </c>
      <c r="J8" s="10">
        <f>IF(K8-$M$7&lt;0,0,K8-$M$7)</f>
        <v>25</v>
      </c>
      <c r="K8" s="3">
        <v>212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0.96028625964631842</v>
      </c>
      <c r="D9" s="12">
        <f t="shared" ref="D9:D12" si="0">E9+F9</f>
        <v>41.660214960000005</v>
      </c>
      <c r="E9" s="12">
        <f t="shared" ref="E9:E12" si="1">$H$2*I9*I9</f>
        <v>1.6544829599999999</v>
      </c>
      <c r="F9" s="12">
        <f t="shared" ref="F9:F12" si="2">$H$3*I9</f>
        <v>40.005732000000002</v>
      </c>
      <c r="G9" s="13">
        <f t="shared" ref="G9:G12" si="3">H9/(K9-$M$7)</f>
        <v>0.30952380952380953</v>
      </c>
      <c r="H9" s="8">
        <v>13</v>
      </c>
      <c r="I9" s="9">
        <f t="shared" ref="I9:I12" si="4">H9*60/1000</f>
        <v>0.78</v>
      </c>
      <c r="J9" s="10">
        <f t="shared" ref="J9:J12" si="5">IF(K9-$M$7&lt;0,0,K9-$M$7)</f>
        <v>42</v>
      </c>
      <c r="K9" s="3">
        <v>229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0.94869359165426947</v>
      </c>
      <c r="D10" s="12">
        <f t="shared" si="0"/>
        <v>55.144451759999995</v>
      </c>
      <c r="E10" s="12">
        <f t="shared" si="1"/>
        <v>2.8292637599999999</v>
      </c>
      <c r="F10" s="12">
        <f t="shared" si="2"/>
        <v>52.315187999999999</v>
      </c>
      <c r="G10" s="13">
        <f t="shared" si="3"/>
        <v>0.30909090909090908</v>
      </c>
      <c r="H10" s="8">
        <v>17</v>
      </c>
      <c r="I10" s="9">
        <f t="shared" si="4"/>
        <v>1.02</v>
      </c>
      <c r="J10" s="10">
        <f t="shared" si="5"/>
        <v>55</v>
      </c>
      <c r="K10" s="3">
        <v>242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C5" sqref="C5:E5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73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0.64070000000000005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60</v>
      </c>
      <c r="D3" s="26"/>
      <c r="E3" s="26"/>
      <c r="F3" s="1" t="s">
        <v>28</v>
      </c>
      <c r="G3" s="1"/>
      <c r="H3" s="27">
        <v>26.0824</v>
      </c>
      <c r="I3" s="27"/>
      <c r="J3" s="26" t="s">
        <v>61</v>
      </c>
      <c r="K3" s="26"/>
      <c r="L3" s="26"/>
      <c r="M3" s="26"/>
      <c r="N3" s="26"/>
    </row>
    <row r="4" spans="3:14" ht="21" customHeight="1" x14ac:dyDescent="0.25">
      <c r="C4" s="26" t="s">
        <v>31</v>
      </c>
      <c r="D4" s="26"/>
      <c r="E4" s="26"/>
      <c r="F4" s="26" t="s">
        <v>64</v>
      </c>
      <c r="G4" s="26"/>
      <c r="H4" s="26"/>
      <c r="I4" s="1"/>
      <c r="J4" s="26" t="s">
        <v>62</v>
      </c>
      <c r="K4" s="26"/>
      <c r="L4" s="26"/>
      <c r="M4" s="26"/>
      <c r="N4" s="26"/>
    </row>
    <row r="5" spans="3:14" ht="21" customHeight="1" x14ac:dyDescent="0.25">
      <c r="C5" s="26" t="s">
        <v>184</v>
      </c>
      <c r="D5" s="26"/>
      <c r="E5" s="26"/>
      <c r="F5" s="26" t="s">
        <v>29</v>
      </c>
      <c r="G5" s="26"/>
      <c r="H5" s="26"/>
      <c r="I5" s="26"/>
      <c r="J5" s="26" t="s">
        <v>63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107</v>
      </c>
      <c r="N7" s="33"/>
    </row>
    <row r="8" spans="3:14" ht="18.75" x14ac:dyDescent="0.25">
      <c r="C8" s="11">
        <f>IF(D8&lt;&gt;0,F8/D8,1)</f>
        <v>0.97485585477329872</v>
      </c>
      <c r="D8" s="12">
        <f>E8+F8</f>
        <v>28.09289175</v>
      </c>
      <c r="E8" s="12">
        <f>$H$2*I8*I8</f>
        <v>0.70637175000000008</v>
      </c>
      <c r="F8" s="12">
        <f>$H$3*I8</f>
        <v>27.386520000000001</v>
      </c>
      <c r="G8" s="13">
        <f>H8/(K8-$M$7)</f>
        <v>0.625</v>
      </c>
      <c r="H8" s="8">
        <v>17.5</v>
      </c>
      <c r="I8" s="9">
        <f>H8*60/1000</f>
        <v>1.05</v>
      </c>
      <c r="J8" s="10">
        <f>IF(K8-$M$7&lt;0,0,K8-$M$7)</f>
        <v>28</v>
      </c>
      <c r="K8" s="3">
        <v>135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0.96721251048427892</v>
      </c>
      <c r="D9" s="12">
        <f t="shared" ref="D9:D12" si="0">E9+F9</f>
        <v>37.213861079999994</v>
      </c>
      <c r="E9" s="12">
        <f t="shared" ref="E9:E12" si="1">$H$2*I9*I9</f>
        <v>1.2201490799999999</v>
      </c>
      <c r="F9" s="12">
        <f t="shared" ref="F9:F12" si="2">$H$3*I9</f>
        <v>35.993711999999995</v>
      </c>
      <c r="G9" s="13">
        <f t="shared" ref="G9:G12" si="3">H9/(K9-$M$7)</f>
        <v>0.6216216216216216</v>
      </c>
      <c r="H9" s="8">
        <v>23</v>
      </c>
      <c r="I9" s="9">
        <f t="shared" ref="I9:I12" si="4">H9*60/1000</f>
        <v>1.38</v>
      </c>
      <c r="J9" s="10">
        <f t="shared" ref="J9:J12" si="5">IF(K9-$M$7&lt;0,0,K9-$M$7)</f>
        <v>37</v>
      </c>
      <c r="K9" s="3">
        <v>144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0.96036728606620558</v>
      </c>
      <c r="D10" s="12">
        <f t="shared" si="0"/>
        <v>45.626743680000004</v>
      </c>
      <c r="E10" s="12">
        <f t="shared" si="1"/>
        <v>1.8083116799999999</v>
      </c>
      <c r="F10" s="12">
        <f t="shared" si="2"/>
        <v>43.818432000000001</v>
      </c>
      <c r="G10" s="13">
        <f t="shared" si="3"/>
        <v>0.60869565217391308</v>
      </c>
      <c r="H10" s="8">
        <v>28</v>
      </c>
      <c r="I10" s="9">
        <f t="shared" si="4"/>
        <v>1.68</v>
      </c>
      <c r="J10" s="10">
        <f t="shared" si="5"/>
        <v>46</v>
      </c>
      <c r="K10" s="3">
        <v>153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0.94828697613510748</v>
      </c>
      <c r="D11" s="12">
        <f>E11+F11</f>
        <v>61.060553880000001</v>
      </c>
      <c r="E11" s="12">
        <f t="shared" si="1"/>
        <v>3.1576258800000012</v>
      </c>
      <c r="F11" s="12">
        <f>$H$3*I11</f>
        <v>57.902928000000003</v>
      </c>
      <c r="G11" s="13">
        <f t="shared" si="3"/>
        <v>0.60655737704918034</v>
      </c>
      <c r="H11" s="2">
        <v>37</v>
      </c>
      <c r="I11" s="9">
        <f t="shared" si="4"/>
        <v>2.2200000000000002</v>
      </c>
      <c r="J11" s="10">
        <f t="shared" si="5"/>
        <v>61</v>
      </c>
      <c r="K11" s="4">
        <v>168</v>
      </c>
      <c r="L11" s="5">
        <v>1400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0.94301495936767699</v>
      </c>
      <c r="D12" s="12">
        <f t="shared" si="0"/>
        <v>68.039964120000008</v>
      </c>
      <c r="E12" s="12">
        <f t="shared" si="1"/>
        <v>3.8772601199999999</v>
      </c>
      <c r="F12" s="12">
        <f t="shared" si="2"/>
        <v>64.162704000000005</v>
      </c>
      <c r="G12" s="13">
        <f t="shared" si="3"/>
        <v>0.6029411764705882</v>
      </c>
      <c r="H12" s="2">
        <v>41</v>
      </c>
      <c r="I12" s="9">
        <f t="shared" si="4"/>
        <v>2.46</v>
      </c>
      <c r="J12" s="10">
        <f t="shared" si="5"/>
        <v>68</v>
      </c>
      <c r="K12" s="4">
        <v>175</v>
      </c>
      <c r="L12" s="5">
        <v>1500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P5" sqref="P5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69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99.5745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60</v>
      </c>
      <c r="D3" s="26"/>
      <c r="E3" s="26"/>
      <c r="F3" s="1" t="s">
        <v>28</v>
      </c>
      <c r="G3" s="1"/>
      <c r="H3" s="27">
        <v>98.931899999999999</v>
      </c>
      <c r="I3" s="27"/>
      <c r="J3" s="26" t="s">
        <v>61</v>
      </c>
      <c r="K3" s="26"/>
      <c r="L3" s="26"/>
      <c r="M3" s="26"/>
      <c r="N3" s="26"/>
    </row>
    <row r="4" spans="3:14" ht="21" customHeight="1" x14ac:dyDescent="0.25">
      <c r="C4" s="26" t="s">
        <v>70</v>
      </c>
      <c r="D4" s="26"/>
      <c r="E4" s="26"/>
      <c r="F4" s="26" t="s">
        <v>64</v>
      </c>
      <c r="G4" s="26"/>
      <c r="H4" s="26"/>
      <c r="I4" s="1"/>
      <c r="J4" s="26" t="s">
        <v>71</v>
      </c>
      <c r="K4" s="26"/>
      <c r="L4" s="26"/>
      <c r="M4" s="26"/>
      <c r="N4" s="26"/>
    </row>
    <row r="5" spans="3:14" ht="21" customHeight="1" x14ac:dyDescent="0.25">
      <c r="C5" s="26" t="s">
        <v>72</v>
      </c>
      <c r="D5" s="26"/>
      <c r="E5" s="26"/>
      <c r="F5" s="26" t="s">
        <v>29</v>
      </c>
      <c r="G5" s="26"/>
      <c r="H5" s="26"/>
      <c r="I5" s="26"/>
      <c r="J5" s="26" t="s">
        <v>63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148.1</v>
      </c>
      <c r="N7" s="33"/>
    </row>
    <row r="8" spans="3:14" ht="18.75" x14ac:dyDescent="0.25">
      <c r="C8" s="11">
        <f>IF(D8&lt;&gt;0,F8/D8,1)</f>
        <v>0.76807946942744521</v>
      </c>
      <c r="D8" s="12">
        <f>E8+F8</f>
        <v>38.641274999999993</v>
      </c>
      <c r="E8" s="12">
        <f>$H$2*I8*I8</f>
        <v>8.9617049999999985</v>
      </c>
      <c r="F8" s="12">
        <f>$H$3*I8</f>
        <v>29.679569999999998</v>
      </c>
      <c r="G8" s="13">
        <f>H8/(K8-$M$7)</f>
        <v>0.12224938875305622</v>
      </c>
      <c r="H8" s="8">
        <v>5</v>
      </c>
      <c r="I8" s="9">
        <f>H8*60/1000</f>
        <v>0.3</v>
      </c>
      <c r="J8" s="10">
        <f>IF(K8-$M$7&lt;0,0,K8-$M$7)</f>
        <v>40.900000000000006</v>
      </c>
      <c r="K8" s="3">
        <v>189</v>
      </c>
      <c r="L8" s="7">
        <v>1050</v>
      </c>
      <c r="M8" s="29" t="s">
        <v>19</v>
      </c>
      <c r="N8" s="29"/>
    </row>
    <row r="9" spans="3:14" ht="18.75" x14ac:dyDescent="0.25">
      <c r="C9" s="11">
        <f>IF(D9&lt;&gt;0,F9/D9,1)</f>
        <v>0.67425528356412145</v>
      </c>
      <c r="D9" s="12">
        <f t="shared" ref="D9:D12" si="0">E9+F9</f>
        <v>70.429276799999997</v>
      </c>
      <c r="E9" s="12">
        <f t="shared" ref="E9:E12" si="1">$H$2*I9*I9</f>
        <v>22.941964800000001</v>
      </c>
      <c r="F9" s="12">
        <f t="shared" ref="F9:F12" si="2">$H$3*I9</f>
        <v>47.487311999999996</v>
      </c>
      <c r="G9" s="13">
        <f t="shared" ref="G9:G12" si="3">H9/(K9-$M$7)</f>
        <v>0.11958146487294469</v>
      </c>
      <c r="H9" s="8">
        <v>8</v>
      </c>
      <c r="I9" s="9">
        <f t="shared" ref="I9:I12" si="4">H9*60/1000</f>
        <v>0.48</v>
      </c>
      <c r="J9" s="10">
        <f t="shared" ref="J9:J12" si="5">IF(K9-$M$7&lt;0,0,K9-$M$7)</f>
        <v>66.900000000000006</v>
      </c>
      <c r="K9" s="3">
        <v>215</v>
      </c>
      <c r="L9" s="5">
        <v>1150</v>
      </c>
      <c r="M9" s="29" t="s">
        <v>20</v>
      </c>
      <c r="N9" s="29"/>
    </row>
    <row r="10" spans="3:14" ht="18.75" x14ac:dyDescent="0.25">
      <c r="C10" s="11">
        <f>IF(D10&lt;&gt;0,F10/D10,1)</f>
        <v>0.62348134507545538</v>
      </c>
      <c r="D10" s="12">
        <f t="shared" si="0"/>
        <v>95.20595999999999</v>
      </c>
      <c r="E10" s="12">
        <f t="shared" si="1"/>
        <v>35.846819999999994</v>
      </c>
      <c r="F10" s="12">
        <f t="shared" si="2"/>
        <v>59.359139999999996</v>
      </c>
      <c r="G10" s="13">
        <f t="shared" si="3"/>
        <v>0.10319917440660474</v>
      </c>
      <c r="H10" s="8">
        <v>10</v>
      </c>
      <c r="I10" s="9">
        <f t="shared" si="4"/>
        <v>0.6</v>
      </c>
      <c r="J10" s="10">
        <f t="shared" si="5"/>
        <v>96.9</v>
      </c>
      <c r="K10" s="3">
        <v>245</v>
      </c>
      <c r="L10" s="7">
        <v>1250</v>
      </c>
      <c r="M10" s="29" t="s">
        <v>21</v>
      </c>
      <c r="N10" s="29"/>
    </row>
    <row r="11" spans="3:14" ht="18.75" x14ac:dyDescent="0.25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U15" sqref="U15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68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1.1848000000000001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60</v>
      </c>
      <c r="D3" s="26"/>
      <c r="E3" s="26"/>
      <c r="F3" s="1" t="s">
        <v>28</v>
      </c>
      <c r="G3" s="1"/>
      <c r="H3" s="27">
        <v>43.691499999999998</v>
      </c>
      <c r="I3" s="27"/>
      <c r="J3" s="26" t="s">
        <v>65</v>
      </c>
      <c r="K3" s="26"/>
      <c r="L3" s="26"/>
      <c r="M3" s="26"/>
      <c r="N3" s="26"/>
    </row>
    <row r="4" spans="3:14" ht="21" customHeight="1" x14ac:dyDescent="0.25">
      <c r="C4" s="26" t="s">
        <v>31</v>
      </c>
      <c r="D4" s="26"/>
      <c r="E4" s="26"/>
      <c r="F4" s="26" t="s">
        <v>64</v>
      </c>
      <c r="G4" s="26"/>
      <c r="H4" s="26"/>
      <c r="I4" s="1"/>
      <c r="J4" s="26" t="s">
        <v>30</v>
      </c>
      <c r="K4" s="26"/>
      <c r="L4" s="26"/>
      <c r="M4" s="26"/>
      <c r="N4" s="26"/>
    </row>
    <row r="5" spans="3:14" ht="21" customHeight="1" x14ac:dyDescent="0.25">
      <c r="C5" s="26" t="s">
        <v>66</v>
      </c>
      <c r="D5" s="26"/>
      <c r="E5" s="26"/>
      <c r="F5" s="26" t="s">
        <v>29</v>
      </c>
      <c r="G5" s="26"/>
      <c r="H5" s="26"/>
      <c r="I5" s="26"/>
      <c r="J5" s="26" t="s">
        <v>67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95</v>
      </c>
      <c r="N7" s="33"/>
    </row>
    <row r="8" spans="3:14" ht="18.75" x14ac:dyDescent="0.25">
      <c r="C8" s="11">
        <f>IF(D8&lt;&gt;0,F8/D8,1)</f>
        <v>0.97695162026190252</v>
      </c>
      <c r="D8" s="12">
        <f>E8+F8</f>
        <v>38.908380119999997</v>
      </c>
      <c r="E8" s="12">
        <f>$H$2*I8*I8</f>
        <v>0.89677512000000015</v>
      </c>
      <c r="F8" s="12">
        <f>$H$3*I8</f>
        <v>38.011604999999996</v>
      </c>
      <c r="G8" s="13">
        <f>H8/(K8-$M$7)</f>
        <v>0.37179487179487181</v>
      </c>
      <c r="H8" s="8">
        <v>14.5</v>
      </c>
      <c r="I8" s="9">
        <f>H8*60/1000</f>
        <v>0.87</v>
      </c>
      <c r="J8" s="10">
        <f>IF(K8-$M$7&lt;0,0,K8-$M$7)</f>
        <v>39</v>
      </c>
      <c r="K8" s="3">
        <v>134</v>
      </c>
      <c r="L8" s="7">
        <v>1100</v>
      </c>
      <c r="M8" s="29" t="s">
        <v>19</v>
      </c>
      <c r="N8" s="29"/>
    </row>
    <row r="9" spans="3:14" ht="18.75" x14ac:dyDescent="0.25">
      <c r="C9" s="11">
        <f>IF(D9&lt;&gt;0,F9/D9,1)</f>
        <v>0.97123945924595079</v>
      </c>
      <c r="D9" s="12">
        <f t="shared" ref="D9:D12" si="0">E9+F9</f>
        <v>49.123949347199996</v>
      </c>
      <c r="E9" s="12">
        <f t="shared" ref="E9:E12" si="1">$H$2*I9*I9</f>
        <v>1.4128313472000003</v>
      </c>
      <c r="F9" s="12">
        <f t="shared" ref="F9:F12" si="2">$H$3*I9</f>
        <v>47.711117999999999</v>
      </c>
      <c r="G9" s="13">
        <f t="shared" ref="G9:G12" si="3">H9/(K9-$M$7)</f>
        <v>0.37142857142857144</v>
      </c>
      <c r="H9" s="8">
        <v>18.2</v>
      </c>
      <c r="I9" s="9">
        <f t="shared" ref="I9:I12" si="4">H9*60/1000</f>
        <v>1.0920000000000001</v>
      </c>
      <c r="J9" s="10">
        <f t="shared" ref="J9:J12" si="5">IF(K9-$M$7&lt;0,0,K9-$M$7)</f>
        <v>49</v>
      </c>
      <c r="K9" s="3">
        <v>144</v>
      </c>
      <c r="L9" s="5">
        <v>1200</v>
      </c>
      <c r="M9" s="29" t="s">
        <v>20</v>
      </c>
      <c r="N9" s="29"/>
    </row>
    <row r="10" spans="3:14" ht="18.75" x14ac:dyDescent="0.25">
      <c r="C10" s="11">
        <f>IF(D10&lt;&gt;0,F10/D10,1)</f>
        <v>0.9631725784635744</v>
      </c>
      <c r="D10" s="12">
        <f t="shared" si="0"/>
        <v>63.960515879999996</v>
      </c>
      <c r="E10" s="12">
        <f t="shared" si="1"/>
        <v>2.3555008800000001</v>
      </c>
      <c r="F10" s="12">
        <f t="shared" si="2"/>
        <v>61.605014999999995</v>
      </c>
      <c r="G10" s="13">
        <f t="shared" si="3"/>
        <v>0.3671875</v>
      </c>
      <c r="H10" s="8">
        <v>23.5</v>
      </c>
      <c r="I10" s="9">
        <f t="shared" si="4"/>
        <v>1.41</v>
      </c>
      <c r="J10" s="10">
        <f t="shared" si="5"/>
        <v>64</v>
      </c>
      <c r="K10" s="3">
        <v>159</v>
      </c>
      <c r="L10" s="7">
        <v>1300</v>
      </c>
      <c r="M10" s="29" t="s">
        <v>21</v>
      </c>
      <c r="N10" s="29"/>
    </row>
    <row r="11" spans="3:14" ht="18.75" x14ac:dyDescent="0.25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C1:I1"/>
    <mergeCell ref="C2:E2"/>
    <mergeCell ref="H2:I2"/>
    <mergeCell ref="J2:N2"/>
    <mergeCell ref="C3:E3"/>
    <mergeCell ref="H3:I3"/>
    <mergeCell ref="J3:N3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L6:L7"/>
    <mergeCell ref="M6:N6"/>
    <mergeCell ref="M7:N7"/>
    <mergeCell ref="M9:N9"/>
    <mergeCell ref="M10:N10"/>
    <mergeCell ref="M11:N11"/>
    <mergeCell ref="M12:N12"/>
    <mergeCell ref="C32:E32"/>
    <mergeCell ref="F32:I32"/>
    <mergeCell ref="K32:M32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O32"/>
  <sheetViews>
    <sheetView rightToLeft="1" topLeftCell="B1" zoomScale="115" zoomScaleNormal="115" workbookViewId="0">
      <selection activeCell="G9" sqref="G9"/>
    </sheetView>
  </sheetViews>
  <sheetFormatPr defaultRowHeight="15" x14ac:dyDescent="0.25"/>
  <cols>
    <col min="1" max="1" width="2.42578125" hidden="1" customWidth="1"/>
    <col min="2" max="2" width="2" customWidth="1"/>
    <col min="3" max="3" width="8.42578125" bestFit="1" customWidth="1"/>
    <col min="4" max="4" width="7.85546875" customWidth="1"/>
    <col min="5" max="5" width="9.42578125" customWidth="1"/>
    <col min="6" max="6" width="7.5703125" customWidth="1"/>
    <col min="7" max="7" width="7.42578125" bestFit="1" customWidth="1"/>
    <col min="8" max="8" width="5" bestFit="1" customWidth="1"/>
    <col min="9" max="9" width="11.42578125" customWidth="1"/>
    <col min="10" max="10" width="10.28515625" bestFit="1" customWidth="1"/>
    <col min="12" max="12" width="6.85546875" bestFit="1" customWidth="1"/>
    <col min="14" max="14" width="4.42578125" customWidth="1"/>
  </cols>
  <sheetData>
    <row r="1" spans="3:14" x14ac:dyDescent="0.25">
      <c r="C1" s="25" t="s">
        <v>58</v>
      </c>
      <c r="D1" s="25"/>
      <c r="E1" s="25"/>
      <c r="F1" s="25"/>
      <c r="G1" s="25"/>
      <c r="H1" s="25"/>
      <c r="I1" s="25"/>
    </row>
    <row r="2" spans="3:14" ht="21" customHeight="1" x14ac:dyDescent="0.45">
      <c r="C2" s="26" t="s">
        <v>24</v>
      </c>
      <c r="D2" s="26"/>
      <c r="E2" s="26"/>
      <c r="F2" s="1" t="s">
        <v>27</v>
      </c>
      <c r="G2" s="1"/>
      <c r="H2" s="27">
        <v>290.07760000000002</v>
      </c>
      <c r="I2" s="27"/>
      <c r="J2" s="26" t="s">
        <v>59</v>
      </c>
      <c r="K2" s="26"/>
      <c r="L2" s="26"/>
      <c r="M2" s="26"/>
      <c r="N2" s="26"/>
    </row>
    <row r="3" spans="3:14" ht="21" customHeight="1" x14ac:dyDescent="0.45">
      <c r="C3" s="26" t="s">
        <v>74</v>
      </c>
      <c r="D3" s="26"/>
      <c r="E3" s="26"/>
      <c r="F3" s="1" t="s">
        <v>28</v>
      </c>
      <c r="G3" s="1"/>
      <c r="H3" s="27">
        <v>47.0779</v>
      </c>
      <c r="I3" s="27"/>
      <c r="J3" s="26" t="s">
        <v>75</v>
      </c>
      <c r="K3" s="26"/>
      <c r="L3" s="26"/>
      <c r="M3" s="26"/>
      <c r="N3" s="26"/>
    </row>
    <row r="4" spans="3:14" ht="21" customHeight="1" x14ac:dyDescent="0.25">
      <c r="C4" s="26" t="s">
        <v>76</v>
      </c>
      <c r="D4" s="26"/>
      <c r="E4" s="26"/>
      <c r="F4" s="26" t="s">
        <v>64</v>
      </c>
      <c r="G4" s="26"/>
      <c r="H4" s="26"/>
      <c r="I4" s="1"/>
      <c r="J4" s="26" t="s">
        <v>77</v>
      </c>
      <c r="K4" s="26"/>
      <c r="L4" s="26"/>
      <c r="M4" s="26"/>
      <c r="N4" s="26"/>
    </row>
    <row r="5" spans="3:14" ht="21" customHeight="1" x14ac:dyDescent="0.25">
      <c r="C5" s="26" t="s">
        <v>185</v>
      </c>
      <c r="D5" s="26"/>
      <c r="E5" s="26"/>
      <c r="F5" s="26" t="s">
        <v>81</v>
      </c>
      <c r="G5" s="26"/>
      <c r="H5" s="26"/>
      <c r="I5" s="26"/>
      <c r="J5" s="26" t="s">
        <v>78</v>
      </c>
      <c r="K5" s="26"/>
      <c r="L5" s="26"/>
      <c r="M5" s="26"/>
      <c r="N5" s="26"/>
    </row>
    <row r="6" spans="3:14" ht="15.75" x14ac:dyDescent="0.25">
      <c r="C6" s="30" t="s">
        <v>8</v>
      </c>
      <c r="D6" s="30" t="s">
        <v>9</v>
      </c>
      <c r="E6" s="30" t="s">
        <v>10</v>
      </c>
      <c r="F6" s="30" t="s">
        <v>11</v>
      </c>
      <c r="G6" s="30" t="s">
        <v>12</v>
      </c>
      <c r="H6" s="28" t="s">
        <v>13</v>
      </c>
      <c r="I6" s="31" t="s">
        <v>14</v>
      </c>
      <c r="J6" s="30" t="s">
        <v>15</v>
      </c>
      <c r="K6" s="28" t="s">
        <v>16</v>
      </c>
      <c r="L6" s="28" t="s">
        <v>17</v>
      </c>
      <c r="M6" s="32" t="s">
        <v>18</v>
      </c>
      <c r="N6" s="32"/>
    </row>
    <row r="7" spans="3:14" ht="18.75" x14ac:dyDescent="0.25">
      <c r="C7" s="30"/>
      <c r="D7" s="30"/>
      <c r="E7" s="30"/>
      <c r="F7" s="30"/>
      <c r="G7" s="30"/>
      <c r="H7" s="28"/>
      <c r="I7" s="31"/>
      <c r="J7" s="30"/>
      <c r="K7" s="28"/>
      <c r="L7" s="28"/>
      <c r="M7" s="33">
        <v>84</v>
      </c>
      <c r="N7" s="33"/>
    </row>
    <row r="8" spans="3:14" ht="18.75" x14ac:dyDescent="0.25">
      <c r="C8" s="11">
        <f>IF(D8&lt;&gt;0,F8/D8,1)</f>
        <v>0.35106253352878775</v>
      </c>
      <c r="D8" s="12">
        <f>E8+F8</f>
        <v>40.230353999999998</v>
      </c>
      <c r="E8" s="12">
        <f>$H$2*I8*I8</f>
        <v>26.106984000000001</v>
      </c>
      <c r="F8" s="12">
        <f>$H$3*I8</f>
        <v>14.12337</v>
      </c>
      <c r="G8" s="13">
        <f>H8/(K8-$M$7)</f>
        <v>0.13157894736842105</v>
      </c>
      <c r="H8" s="8">
        <v>5</v>
      </c>
      <c r="I8" s="9">
        <f>H8*60/1000</f>
        <v>0.3</v>
      </c>
      <c r="J8" s="10">
        <f>IF(K8-$M$7&lt;0,0,K8-$M$7)</f>
        <v>38</v>
      </c>
      <c r="K8" s="3">
        <v>122</v>
      </c>
      <c r="L8" s="7">
        <v>1000</v>
      </c>
      <c r="M8" s="29" t="s">
        <v>19</v>
      </c>
      <c r="N8" s="29"/>
    </row>
    <row r="9" spans="3:14" ht="18.75" x14ac:dyDescent="0.25">
      <c r="C9" s="11">
        <f>IF(D9&lt;&gt;0,F9/D9,1)</f>
        <v>0.27308725182564653</v>
      </c>
      <c r="D9" s="12">
        <f t="shared" ref="D9:D12" si="0">E9+F9</f>
        <v>74.4730948224</v>
      </c>
      <c r="E9" s="12">
        <f t="shared" ref="E9:E12" si="1">$H$2*I9*I9</f>
        <v>54.135442022399999</v>
      </c>
      <c r="F9" s="12">
        <f t="shared" ref="F9:F12" si="2">$H$3*I9</f>
        <v>20.337652800000001</v>
      </c>
      <c r="G9" s="13">
        <f t="shared" ref="G9:G12" si="3">H9/(K9-$M$7)</f>
        <v>0.09</v>
      </c>
      <c r="H9" s="8">
        <v>7.2</v>
      </c>
      <c r="I9" s="9">
        <f t="shared" ref="I9:I12" si="4">H9*60/1000</f>
        <v>0.432</v>
      </c>
      <c r="J9" s="10">
        <f t="shared" ref="J9:J12" si="5">IF(K9-$M$7&lt;0,0,K9-$M$7)</f>
        <v>80</v>
      </c>
      <c r="K9" s="3">
        <v>164</v>
      </c>
      <c r="L9" s="5">
        <v>1050</v>
      </c>
      <c r="M9" s="29" t="s">
        <v>20</v>
      </c>
      <c r="N9" s="29"/>
    </row>
    <row r="10" spans="3:14" ht="18.75" x14ac:dyDescent="0.25">
      <c r="C10" s="11">
        <f>IF(D10&lt;&gt;0,F10/D10,1)</f>
        <v>0.23717016506115318</v>
      </c>
      <c r="D10" s="12">
        <f t="shared" si="0"/>
        <v>103.61616855840001</v>
      </c>
      <c r="E10" s="12">
        <f t="shared" si="1"/>
        <v>79.041504758400009</v>
      </c>
      <c r="F10" s="12">
        <f t="shared" si="2"/>
        <v>24.5746638</v>
      </c>
      <c r="G10" s="13">
        <f t="shared" si="3"/>
        <v>8.7878787878787876E-2</v>
      </c>
      <c r="H10" s="8">
        <v>8.6999999999999993</v>
      </c>
      <c r="I10" s="9">
        <f t="shared" si="4"/>
        <v>0.52200000000000002</v>
      </c>
      <c r="J10" s="10">
        <f t="shared" si="5"/>
        <v>99</v>
      </c>
      <c r="K10" s="3">
        <v>183</v>
      </c>
      <c r="L10" s="7">
        <v>1100</v>
      </c>
      <c r="M10" s="29" t="s">
        <v>21</v>
      </c>
      <c r="N10" s="29"/>
    </row>
    <row r="11" spans="3:14" ht="18.75" x14ac:dyDescent="0.25">
      <c r="C11" s="11">
        <f>IF(D11&lt;&gt;0,F11/D11,1)</f>
        <v>0.2079909951327194</v>
      </c>
      <c r="D11" s="12">
        <f>E11+F11</f>
        <v>139.88173950239999</v>
      </c>
      <c r="E11" s="12">
        <f t="shared" si="1"/>
        <v>110.7875973024</v>
      </c>
      <c r="F11" s="12">
        <f>$H$3*I11</f>
        <v>29.0941422</v>
      </c>
      <c r="G11" s="13">
        <f t="shared" si="3"/>
        <v>7.304964539007093E-2</v>
      </c>
      <c r="H11" s="2">
        <v>10.3</v>
      </c>
      <c r="I11" s="9">
        <f t="shared" si="4"/>
        <v>0.61799999999999999</v>
      </c>
      <c r="J11" s="10">
        <f t="shared" si="5"/>
        <v>141</v>
      </c>
      <c r="K11" s="4">
        <v>225</v>
      </c>
      <c r="L11" s="5">
        <v>1150</v>
      </c>
      <c r="M11" s="29" t="s">
        <v>22</v>
      </c>
      <c r="N11" s="29"/>
    </row>
    <row r="12" spans="3:14" ht="18.75" x14ac:dyDescent="0.25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4" t="s">
        <v>23</v>
      </c>
      <c r="N12" s="34"/>
    </row>
    <row r="32" spans="3:15" ht="21.75" customHeight="1" x14ac:dyDescent="0.25">
      <c r="C32" s="26" t="s">
        <v>7</v>
      </c>
      <c r="D32" s="26"/>
      <c r="E32" s="26"/>
      <c r="F32" s="26" t="s">
        <v>25</v>
      </c>
      <c r="G32" s="26"/>
      <c r="H32" s="26"/>
      <c r="I32" s="26"/>
      <c r="J32" s="6"/>
      <c r="K32" s="26" t="s">
        <v>26</v>
      </c>
      <c r="L32" s="26"/>
      <c r="M32" s="26"/>
      <c r="N32" s="6"/>
      <c r="O32" s="6"/>
    </row>
  </sheetData>
  <mergeCells count="33">
    <mergeCell ref="C1:I1"/>
    <mergeCell ref="C2:E2"/>
    <mergeCell ref="J2:N2"/>
    <mergeCell ref="C3:E3"/>
    <mergeCell ref="J3:N3"/>
    <mergeCell ref="H2:I2"/>
    <mergeCell ref="H3:I3"/>
    <mergeCell ref="H6:H7"/>
    <mergeCell ref="M8:N8"/>
    <mergeCell ref="C4:E4"/>
    <mergeCell ref="J4:N4"/>
    <mergeCell ref="C5:E5"/>
    <mergeCell ref="F5:I5"/>
    <mergeCell ref="J5:N5"/>
    <mergeCell ref="F4:H4"/>
    <mergeCell ref="C6:C7"/>
    <mergeCell ref="D6:D7"/>
    <mergeCell ref="E6:E7"/>
    <mergeCell ref="F6:F7"/>
    <mergeCell ref="G6:G7"/>
    <mergeCell ref="I6:I7"/>
    <mergeCell ref="J6:J7"/>
    <mergeCell ref="K6:K7"/>
    <mergeCell ref="L6:L7"/>
    <mergeCell ref="M6:N6"/>
    <mergeCell ref="M7:N7"/>
    <mergeCell ref="M9:N9"/>
    <mergeCell ref="M10:N10"/>
    <mergeCell ref="M11:N11"/>
    <mergeCell ref="M12:N12"/>
    <mergeCell ref="C32:E32"/>
    <mergeCell ref="F32:I32"/>
    <mergeCell ref="K32:M32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rightToLeft="1" tabSelected="1" zoomScale="90" zoomScaleNormal="9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19" sqref="H19:J19"/>
    </sheetView>
  </sheetViews>
  <sheetFormatPr defaultRowHeight="15" x14ac:dyDescent="0.25"/>
  <cols>
    <col min="3" max="3" width="28.28515625" customWidth="1"/>
    <col min="5" max="5" width="14.5703125" customWidth="1"/>
    <col min="6" max="6" width="7.28515625" bestFit="1" customWidth="1"/>
    <col min="7" max="7" width="17.7109375" customWidth="1"/>
    <col min="8" max="8" width="16" bestFit="1" customWidth="1"/>
    <col min="9" max="9" width="21.140625" bestFit="1" customWidth="1"/>
    <col min="10" max="15" width="16" bestFit="1" customWidth="1"/>
    <col min="16" max="16" width="21.85546875" bestFit="1" customWidth="1"/>
    <col min="17" max="17" width="17.140625" customWidth="1"/>
  </cols>
  <sheetData>
    <row r="1" spans="1:17" ht="33" customHeight="1" x14ac:dyDescent="0.25">
      <c r="A1" s="14" t="s">
        <v>0</v>
      </c>
      <c r="B1" s="15" t="s">
        <v>3</v>
      </c>
      <c r="C1" s="15" t="s">
        <v>34</v>
      </c>
      <c r="D1" s="15" t="s">
        <v>1</v>
      </c>
      <c r="E1" s="15" t="s">
        <v>35</v>
      </c>
      <c r="F1" s="15" t="s">
        <v>2</v>
      </c>
      <c r="G1" s="15" t="s">
        <v>36</v>
      </c>
      <c r="H1" s="14" t="s">
        <v>153</v>
      </c>
      <c r="I1" s="14" t="s">
        <v>154</v>
      </c>
      <c r="J1" s="14" t="s">
        <v>155</v>
      </c>
      <c r="K1" s="14" t="s">
        <v>156</v>
      </c>
      <c r="L1" s="14" t="s">
        <v>157</v>
      </c>
      <c r="M1" s="14" t="s">
        <v>186</v>
      </c>
      <c r="N1" s="14" t="s">
        <v>158</v>
      </c>
      <c r="O1" s="14" t="s">
        <v>159</v>
      </c>
      <c r="P1" s="14" t="s">
        <v>160</v>
      </c>
      <c r="Q1" s="14" t="s">
        <v>161</v>
      </c>
    </row>
    <row r="2" spans="1:17" ht="33" customHeight="1" x14ac:dyDescent="0.25">
      <c r="A2" s="14"/>
      <c r="B2" s="15"/>
      <c r="C2" s="15"/>
      <c r="D2" s="15"/>
      <c r="E2" s="15"/>
      <c r="F2" s="15"/>
      <c r="G2" s="15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33" customHeight="1" x14ac:dyDescent="0.25">
      <c r="A3" s="14"/>
      <c r="B3" s="15"/>
      <c r="C3" s="15"/>
      <c r="D3" s="15"/>
      <c r="E3" s="15"/>
      <c r="F3" s="15"/>
      <c r="G3" s="15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60" customHeight="1" x14ac:dyDescent="0.25">
      <c r="A4" s="16">
        <v>1</v>
      </c>
      <c r="B4" s="16">
        <v>10401</v>
      </c>
      <c r="C4" s="20" t="s">
        <v>37</v>
      </c>
      <c r="D4" s="16" t="s">
        <v>4</v>
      </c>
      <c r="E4" s="21">
        <v>72699000</v>
      </c>
      <c r="F4" s="15">
        <f t="shared" ref="F4:F16" si="0">SUM(H4:U4)</f>
        <v>10</v>
      </c>
      <c r="G4" s="17">
        <f>F4*E4</f>
        <v>726990000</v>
      </c>
      <c r="H4" s="23">
        <v>1</v>
      </c>
      <c r="I4" s="23">
        <v>1</v>
      </c>
      <c r="J4" s="23">
        <f t="shared" ref="J4:O6" si="1">I4</f>
        <v>1</v>
      </c>
      <c r="K4" s="23">
        <f t="shared" si="1"/>
        <v>1</v>
      </c>
      <c r="L4" s="23">
        <f>H4</f>
        <v>1</v>
      </c>
      <c r="M4" s="23">
        <f>H4</f>
        <v>1</v>
      </c>
      <c r="N4" s="23">
        <f t="shared" si="1"/>
        <v>1</v>
      </c>
      <c r="O4" s="23">
        <f t="shared" si="1"/>
        <v>1</v>
      </c>
      <c r="P4" s="23">
        <v>1</v>
      </c>
      <c r="Q4" s="23">
        <v>1</v>
      </c>
    </row>
    <row r="5" spans="1:17" ht="60" customHeight="1" x14ac:dyDescent="0.25">
      <c r="A5" s="16">
        <v>2</v>
      </c>
      <c r="B5" s="16">
        <v>10901</v>
      </c>
      <c r="C5" s="20" t="s">
        <v>38</v>
      </c>
      <c r="D5" s="16" t="s">
        <v>5</v>
      </c>
      <c r="E5" s="22">
        <v>219500</v>
      </c>
      <c r="F5" s="15">
        <f t="shared" si="0"/>
        <v>1500</v>
      </c>
      <c r="G5" s="17">
        <f t="shared" ref="G5:G14" si="2">F5*E5</f>
        <v>329250000</v>
      </c>
      <c r="H5" s="23">
        <v>150</v>
      </c>
      <c r="I5" s="23">
        <v>150</v>
      </c>
      <c r="J5" s="23">
        <f t="shared" si="1"/>
        <v>150</v>
      </c>
      <c r="K5" s="23">
        <f t="shared" si="1"/>
        <v>150</v>
      </c>
      <c r="L5" s="23">
        <f>K5</f>
        <v>150</v>
      </c>
      <c r="M5" s="23">
        <f>H5</f>
        <v>150</v>
      </c>
      <c r="N5" s="23">
        <f t="shared" si="1"/>
        <v>150</v>
      </c>
      <c r="O5" s="23">
        <f t="shared" si="1"/>
        <v>150</v>
      </c>
      <c r="P5" s="23">
        <v>150</v>
      </c>
      <c r="Q5" s="23">
        <v>150</v>
      </c>
    </row>
    <row r="6" spans="1:17" ht="60" customHeight="1" x14ac:dyDescent="0.25">
      <c r="A6" s="16">
        <v>3</v>
      </c>
      <c r="B6" s="16">
        <v>10902</v>
      </c>
      <c r="C6" s="20" t="s">
        <v>39</v>
      </c>
      <c r="D6" s="16" t="s">
        <v>5</v>
      </c>
      <c r="E6" s="22">
        <v>285500</v>
      </c>
      <c r="F6" s="15">
        <f t="shared" si="0"/>
        <v>0</v>
      </c>
      <c r="G6" s="17">
        <f t="shared" si="2"/>
        <v>0</v>
      </c>
      <c r="H6" s="23">
        <v>0</v>
      </c>
      <c r="I6" s="23">
        <v>0</v>
      </c>
      <c r="J6" s="23">
        <f t="shared" si="1"/>
        <v>0</v>
      </c>
      <c r="K6" s="23">
        <f t="shared" si="1"/>
        <v>0</v>
      </c>
      <c r="L6" s="23">
        <f>K6</f>
        <v>0</v>
      </c>
      <c r="M6" s="23">
        <f>K6</f>
        <v>0</v>
      </c>
      <c r="N6" s="23">
        <f t="shared" si="1"/>
        <v>0</v>
      </c>
      <c r="O6" s="23">
        <f t="shared" si="1"/>
        <v>0</v>
      </c>
      <c r="P6" s="23">
        <v>0</v>
      </c>
      <c r="Q6" s="23">
        <v>0</v>
      </c>
    </row>
    <row r="7" spans="1:17" ht="60" customHeight="1" x14ac:dyDescent="0.25">
      <c r="A7" s="16">
        <v>4</v>
      </c>
      <c r="B7" s="16">
        <v>60401</v>
      </c>
      <c r="C7" s="20" t="s">
        <v>40</v>
      </c>
      <c r="D7" s="16" t="s">
        <v>41</v>
      </c>
      <c r="E7" s="22">
        <v>18004000</v>
      </c>
      <c r="F7" s="15">
        <f t="shared" si="0"/>
        <v>18</v>
      </c>
      <c r="G7" s="17">
        <f t="shared" si="2"/>
        <v>324072000</v>
      </c>
      <c r="H7" s="23">
        <v>0</v>
      </c>
      <c r="I7" s="23">
        <v>0</v>
      </c>
      <c r="J7" s="23">
        <v>0</v>
      </c>
      <c r="K7" s="23">
        <v>6</v>
      </c>
      <c r="L7" s="23">
        <v>0</v>
      </c>
      <c r="M7" s="23">
        <v>12</v>
      </c>
      <c r="N7" s="23">
        <v>0</v>
      </c>
      <c r="O7" s="23">
        <v>0</v>
      </c>
      <c r="P7" s="23">
        <v>0</v>
      </c>
      <c r="Q7" s="23">
        <v>0</v>
      </c>
    </row>
    <row r="8" spans="1:17" ht="60" customHeight="1" x14ac:dyDescent="0.25">
      <c r="A8" s="16">
        <v>5</v>
      </c>
      <c r="B8" s="16">
        <v>60806</v>
      </c>
      <c r="C8" s="20" t="s">
        <v>42</v>
      </c>
      <c r="D8" s="16" t="s">
        <v>43</v>
      </c>
      <c r="E8" s="22">
        <v>490849000</v>
      </c>
      <c r="F8" s="15">
        <f t="shared" si="0"/>
        <v>10</v>
      </c>
      <c r="G8" s="17">
        <f t="shared" si="2"/>
        <v>4908490000</v>
      </c>
      <c r="H8" s="23">
        <v>1</v>
      </c>
      <c r="I8" s="23">
        <v>1</v>
      </c>
      <c r="J8" s="23">
        <f t="shared" ref="J8:O8" si="3">I8</f>
        <v>1</v>
      </c>
      <c r="K8" s="23">
        <f t="shared" si="3"/>
        <v>1</v>
      </c>
      <c r="L8" s="23">
        <f>K8</f>
        <v>1</v>
      </c>
      <c r="M8" s="23">
        <f>K8</f>
        <v>1</v>
      </c>
      <c r="N8" s="23">
        <f t="shared" si="3"/>
        <v>1</v>
      </c>
      <c r="O8" s="23">
        <f t="shared" si="3"/>
        <v>1</v>
      </c>
      <c r="P8" s="23">
        <v>1</v>
      </c>
      <c r="Q8" s="23">
        <v>1</v>
      </c>
    </row>
    <row r="9" spans="1:17" ht="60" customHeight="1" x14ac:dyDescent="0.25">
      <c r="A9" s="16">
        <v>6</v>
      </c>
      <c r="B9" s="16" t="s">
        <v>44</v>
      </c>
      <c r="C9" s="20" t="s">
        <v>45</v>
      </c>
      <c r="D9" s="16" t="s">
        <v>33</v>
      </c>
      <c r="E9" s="22">
        <f>E8/200</f>
        <v>2454245</v>
      </c>
      <c r="F9" s="15">
        <f t="shared" si="0"/>
        <v>241.5</v>
      </c>
      <c r="G9" s="17">
        <f t="shared" si="2"/>
        <v>592700167.5</v>
      </c>
      <c r="H9" s="23">
        <v>25</v>
      </c>
      <c r="I9" s="23">
        <v>25</v>
      </c>
      <c r="J9" s="23">
        <v>0</v>
      </c>
      <c r="K9" s="23">
        <v>48</v>
      </c>
      <c r="L9" s="23">
        <v>44</v>
      </c>
      <c r="M9" s="23">
        <v>44</v>
      </c>
      <c r="N9" s="23">
        <v>0</v>
      </c>
      <c r="O9" s="23">
        <v>22</v>
      </c>
      <c r="P9" s="23">
        <v>13.5</v>
      </c>
      <c r="Q9" s="23">
        <v>20</v>
      </c>
    </row>
    <row r="10" spans="1:17" ht="60" customHeight="1" x14ac:dyDescent="0.25">
      <c r="A10" s="16">
        <v>7</v>
      </c>
      <c r="B10" s="16" t="s">
        <v>46</v>
      </c>
      <c r="C10" s="20" t="s">
        <v>47</v>
      </c>
      <c r="D10" s="16" t="s">
        <v>43</v>
      </c>
      <c r="E10" s="22">
        <f>E8*0.1</f>
        <v>49084900</v>
      </c>
      <c r="F10" s="15">
        <f t="shared" si="0"/>
        <v>0</v>
      </c>
      <c r="G10" s="17">
        <f t="shared" si="2"/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</row>
    <row r="11" spans="1:17" ht="60" customHeight="1" x14ac:dyDescent="0.25">
      <c r="A11" s="16">
        <v>8</v>
      </c>
      <c r="B11" s="16">
        <v>60902</v>
      </c>
      <c r="C11" s="20" t="s">
        <v>48</v>
      </c>
      <c r="D11" s="16" t="s">
        <v>49</v>
      </c>
      <c r="E11" s="22">
        <v>17084000</v>
      </c>
      <c r="F11" s="15">
        <f t="shared" si="0"/>
        <v>1775.5</v>
      </c>
      <c r="G11" s="18">
        <f t="shared" si="2"/>
        <v>30332642000</v>
      </c>
      <c r="H11" s="23">
        <v>220</v>
      </c>
      <c r="I11" s="23">
        <v>110</v>
      </c>
      <c r="J11" s="23">
        <v>91</v>
      </c>
      <c r="K11" s="23">
        <v>313</v>
      </c>
      <c r="L11" s="23">
        <v>433</v>
      </c>
      <c r="M11" s="23">
        <v>267</v>
      </c>
      <c r="N11" s="23">
        <v>36</v>
      </c>
      <c r="O11" s="23">
        <v>202</v>
      </c>
      <c r="P11" s="23">
        <v>103.5</v>
      </c>
      <c r="Q11" s="23">
        <v>0</v>
      </c>
    </row>
    <row r="12" spans="1:17" ht="60" customHeight="1" x14ac:dyDescent="0.25">
      <c r="A12" s="16">
        <v>9</v>
      </c>
      <c r="B12" s="16" t="s">
        <v>50</v>
      </c>
      <c r="C12" s="20" t="s">
        <v>51</v>
      </c>
      <c r="D12" s="16" t="s">
        <v>49</v>
      </c>
      <c r="E12" s="22">
        <f>E11*0.01</f>
        <v>170840</v>
      </c>
      <c r="F12" s="15">
        <f t="shared" si="0"/>
        <v>1648.5</v>
      </c>
      <c r="G12" s="17">
        <f t="shared" si="2"/>
        <v>281629740</v>
      </c>
      <c r="H12" s="23">
        <f>H11</f>
        <v>220</v>
      </c>
      <c r="I12" s="23">
        <v>110</v>
      </c>
      <c r="J12" s="23">
        <v>0</v>
      </c>
      <c r="K12" s="23">
        <f t="shared" ref="K12:O12" si="4">K11</f>
        <v>313</v>
      </c>
      <c r="L12" s="23">
        <f t="shared" ref="L12" si="5">L11</f>
        <v>433</v>
      </c>
      <c r="M12" s="23">
        <f t="shared" si="4"/>
        <v>267</v>
      </c>
      <c r="N12" s="23">
        <v>0</v>
      </c>
      <c r="O12" s="23">
        <f t="shared" si="4"/>
        <v>202</v>
      </c>
      <c r="P12" s="23">
        <v>103.5</v>
      </c>
      <c r="Q12" s="23">
        <v>0</v>
      </c>
    </row>
    <row r="13" spans="1:17" ht="60" customHeight="1" x14ac:dyDescent="0.25">
      <c r="A13" s="16">
        <v>10</v>
      </c>
      <c r="B13" s="16" t="s">
        <v>52</v>
      </c>
      <c r="C13" s="20" t="s">
        <v>53</v>
      </c>
      <c r="D13" s="16" t="s">
        <v>49</v>
      </c>
      <c r="E13" s="22">
        <f>E11*0.15</f>
        <v>2562600</v>
      </c>
      <c r="F13" s="15">
        <f t="shared" si="0"/>
        <v>1</v>
      </c>
      <c r="G13" s="24">
        <f t="shared" si="2"/>
        <v>2562600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1</v>
      </c>
      <c r="O13" s="23">
        <v>0</v>
      </c>
      <c r="P13" s="23">
        <v>0</v>
      </c>
      <c r="Q13" s="23">
        <v>0</v>
      </c>
    </row>
    <row r="14" spans="1:17" ht="60" customHeight="1" x14ac:dyDescent="0.25">
      <c r="A14" s="16">
        <v>11</v>
      </c>
      <c r="B14" s="16">
        <v>61002</v>
      </c>
      <c r="C14" s="20" t="s">
        <v>54</v>
      </c>
      <c r="D14" s="16" t="s">
        <v>6</v>
      </c>
      <c r="E14" s="22">
        <v>18228000</v>
      </c>
      <c r="F14" s="15">
        <f t="shared" si="0"/>
        <v>54</v>
      </c>
      <c r="G14" s="17">
        <f t="shared" si="2"/>
        <v>984312000</v>
      </c>
      <c r="H14" s="23">
        <v>6</v>
      </c>
      <c r="I14" s="23">
        <v>6</v>
      </c>
      <c r="J14" s="23">
        <f t="shared" ref="J14:O14" si="6">I14</f>
        <v>6</v>
      </c>
      <c r="K14" s="23">
        <f t="shared" si="6"/>
        <v>6</v>
      </c>
      <c r="L14" s="23">
        <f>K14</f>
        <v>6</v>
      </c>
      <c r="M14" s="23">
        <f>H14</f>
        <v>6</v>
      </c>
      <c r="N14" s="23">
        <f t="shared" si="6"/>
        <v>6</v>
      </c>
      <c r="O14" s="23">
        <f t="shared" si="6"/>
        <v>6</v>
      </c>
      <c r="P14" s="23">
        <v>6</v>
      </c>
      <c r="Q14" s="23">
        <v>0</v>
      </c>
    </row>
    <row r="15" spans="1:17" ht="60" customHeight="1" x14ac:dyDescent="0.25">
      <c r="A15" s="16">
        <v>12</v>
      </c>
      <c r="B15" s="16" t="s">
        <v>55</v>
      </c>
      <c r="C15" s="20" t="s">
        <v>32</v>
      </c>
      <c r="D15" s="16" t="s">
        <v>49</v>
      </c>
      <c r="E15" s="22">
        <f>E14/100</f>
        <v>182280</v>
      </c>
      <c r="F15" s="15">
        <f t="shared" si="0"/>
        <v>42</v>
      </c>
      <c r="G15" s="17">
        <f>F15*E15</f>
        <v>7655760</v>
      </c>
      <c r="H15" s="23">
        <v>6</v>
      </c>
      <c r="I15" s="23">
        <v>6</v>
      </c>
      <c r="J15" s="23">
        <v>0</v>
      </c>
      <c r="K15" s="23">
        <f t="shared" ref="K15:P15" si="7">K14</f>
        <v>6</v>
      </c>
      <c r="L15" s="23">
        <f t="shared" ref="L15" si="8">L14</f>
        <v>6</v>
      </c>
      <c r="M15" s="23">
        <f>M14</f>
        <v>6</v>
      </c>
      <c r="N15" s="23">
        <v>0</v>
      </c>
      <c r="O15" s="23">
        <f t="shared" si="7"/>
        <v>6</v>
      </c>
      <c r="P15" s="23">
        <f t="shared" si="7"/>
        <v>6</v>
      </c>
      <c r="Q15" s="23">
        <v>0</v>
      </c>
    </row>
    <row r="16" spans="1:17" ht="60" customHeight="1" x14ac:dyDescent="0.25">
      <c r="A16" s="16">
        <v>13</v>
      </c>
      <c r="B16" s="16" t="s">
        <v>56</v>
      </c>
      <c r="C16" s="20" t="s">
        <v>57</v>
      </c>
      <c r="D16" s="16" t="s">
        <v>43</v>
      </c>
      <c r="E16" s="22">
        <v>50000000</v>
      </c>
      <c r="F16" s="15">
        <f t="shared" si="0"/>
        <v>10</v>
      </c>
      <c r="G16" s="17">
        <f>F16*E16</f>
        <v>500000000</v>
      </c>
      <c r="H16" s="23">
        <v>1</v>
      </c>
      <c r="I16" s="23">
        <v>1</v>
      </c>
      <c r="J16" s="23">
        <f t="shared" ref="J16:O16" si="9">I16</f>
        <v>1</v>
      </c>
      <c r="K16" s="23">
        <f t="shared" si="9"/>
        <v>1</v>
      </c>
      <c r="L16" s="23">
        <f>H16</f>
        <v>1</v>
      </c>
      <c r="M16" s="23">
        <f>H16</f>
        <v>1</v>
      </c>
      <c r="N16" s="23">
        <f t="shared" si="9"/>
        <v>1</v>
      </c>
      <c r="O16" s="23">
        <f t="shared" si="9"/>
        <v>1</v>
      </c>
      <c r="P16" s="23">
        <v>1</v>
      </c>
      <c r="Q16" s="23">
        <v>1</v>
      </c>
    </row>
    <row r="17" spans="1:17" ht="74.25" customHeight="1" x14ac:dyDescent="0.25">
      <c r="A17" s="38" t="s">
        <v>111</v>
      </c>
      <c r="B17" s="38"/>
      <c r="C17" s="15">
        <v>0.80969999999999998</v>
      </c>
      <c r="D17" s="16" t="s">
        <v>114</v>
      </c>
      <c r="E17" s="16">
        <v>1.3</v>
      </c>
      <c r="F17" s="38" t="s">
        <v>112</v>
      </c>
      <c r="G17" s="38"/>
      <c r="H17" s="18">
        <f>H4*$E$4+H5*$E$5+H6*$E$6+H7*$E$7+H8*$E$8+H9*$E$9+H10*$E$10+H11*$E$11+H12*$E$12+H13*$E$13+H14*$E$14+H15*$E$15+H16*$E$16</f>
        <v>4614355605</v>
      </c>
      <c r="I17" s="18">
        <f t="shared" ref="I17:Q17" si="10">I4*$E$4+I5*$E$5+I6*$E$6+I7*$E$7+I8*$E$8+I9*$E$9+I10*$E$10+I11*$E$11+I12*$E$12+I13*$E$13+I14*$E$14+I15*$E$15+I16*$E$16</f>
        <v>2716323205</v>
      </c>
      <c r="J17" s="18">
        <f t="shared" si="10"/>
        <v>2310485000</v>
      </c>
      <c r="K17" s="18">
        <f t="shared" si="10"/>
        <v>6383527360</v>
      </c>
      <c r="L17" s="18">
        <f t="shared" ref="L17" si="11">L4*$E$4+L5*$E$5+L6*$E$6+L7*$E$7+L8*$E$8+L9*$E$9+L10*$E$10+L11*$E$11+L12*$E$12+L13*$E$13+L14*$E$14+L15*$E$15+L16*$E$16</f>
        <v>8336267180</v>
      </c>
      <c r="M17" s="18">
        <f t="shared" si="10"/>
        <v>5688011740</v>
      </c>
      <c r="N17" s="18">
        <f t="shared" si="10"/>
        <v>1373427600</v>
      </c>
      <c r="O17" s="18">
        <f t="shared" si="10"/>
        <v>4296405750</v>
      </c>
      <c r="P17" s="18">
        <f t="shared" si="10"/>
        <v>2575942927.5</v>
      </c>
      <c r="Q17" s="18">
        <f t="shared" si="10"/>
        <v>695557900</v>
      </c>
    </row>
    <row r="18" spans="1:17" ht="48" customHeight="1" x14ac:dyDescent="0.25">
      <c r="A18" s="38" t="s">
        <v>113</v>
      </c>
      <c r="B18" s="38"/>
      <c r="C18" s="15">
        <v>1.03</v>
      </c>
      <c r="D18" s="19"/>
      <c r="E18" s="19"/>
      <c r="F18" s="38" t="s">
        <v>115</v>
      </c>
      <c r="G18" s="38"/>
      <c r="H18" s="18">
        <f>H17*$E$17*$C$17*$C$18</f>
        <v>5002830358.980422</v>
      </c>
      <c r="I18" s="18">
        <f t="shared" ref="I18:Q18" si="12">I17*$E$17*$C$17*$C$18</f>
        <v>2945005837.8795018</v>
      </c>
      <c r="J18" s="18">
        <f t="shared" si="12"/>
        <v>2505000804.3255</v>
      </c>
      <c r="K18" s="18">
        <f t="shared" si="12"/>
        <v>6920945676.4418888</v>
      </c>
      <c r="L18" s="18">
        <f t="shared" ref="L18" si="13">L17*$E$17*$C$17*$C$18</f>
        <v>9038083342.2299938</v>
      </c>
      <c r="M18" s="18">
        <f t="shared" si="12"/>
        <v>6166875778.7706413</v>
      </c>
      <c r="N18" s="18">
        <f t="shared" si="12"/>
        <v>1489054134.81708</v>
      </c>
      <c r="O18" s="18">
        <f t="shared" si="12"/>
        <v>4658112846.2027245</v>
      </c>
      <c r="P18" s="18">
        <f t="shared" si="12"/>
        <v>2792807183.4632483</v>
      </c>
      <c r="Q18" s="18">
        <f t="shared" si="12"/>
        <v>754115737.15257001</v>
      </c>
    </row>
    <row r="19" spans="1:17" ht="42" x14ac:dyDescent="0.25">
      <c r="F19" s="39" t="s">
        <v>116</v>
      </c>
      <c r="G19" s="39"/>
      <c r="H19" s="37">
        <f>SUM(H18:Q18)</f>
        <v>42272831700.263573</v>
      </c>
      <c r="I19" s="37"/>
      <c r="J19" s="37"/>
    </row>
  </sheetData>
  <mergeCells count="6">
    <mergeCell ref="H19:J19"/>
    <mergeCell ref="A17:B17"/>
    <mergeCell ref="F17:G17"/>
    <mergeCell ref="A18:B18"/>
    <mergeCell ref="F18:G18"/>
    <mergeCell ref="F19:G19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مفتح 29 (بازه شیخ)</vt:lpstr>
      <vt:lpstr>امامیه 17</vt:lpstr>
      <vt:lpstr>اسلام آباد 4</vt:lpstr>
      <vt:lpstr>فناوری 1 مجدد</vt:lpstr>
      <vt:lpstr>فناوری 1</vt:lpstr>
      <vt:lpstr>انتهای اقدسیه</vt:lpstr>
      <vt:lpstr>اسلام آباد5</vt:lpstr>
      <vt:lpstr>شهرک راه آهن(مجدد)</vt:lpstr>
      <vt:lpstr>شهرک راه آهن</vt:lpstr>
      <vt:lpstr>ناظریه 10</vt:lpstr>
      <vt:lpstr>حجاب 3</vt:lpstr>
      <vt:lpstr>عبادی 30</vt:lpstr>
      <vt:lpstr>بهار</vt:lpstr>
      <vt:lpstr>رضا 11</vt:lpstr>
      <vt:lpstr>کورده 13</vt:lpstr>
      <vt:lpstr>کورده 3</vt:lpstr>
      <vt:lpstr>اسلام 13</vt:lpstr>
      <vt:lpstr>شهرک امام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فرهاد اسدی</cp:lastModifiedBy>
  <cp:lastPrinted>2026-05-03T07:33:05Z</cp:lastPrinted>
  <dcterms:created xsi:type="dcterms:W3CDTF">2023-06-28T08:54:52Z</dcterms:created>
  <dcterms:modified xsi:type="dcterms:W3CDTF">2026-05-05T12:08:24Z</dcterms:modified>
</cp:coreProperties>
</file>