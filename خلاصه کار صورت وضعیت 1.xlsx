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بهسازی تکین سازه 1403\تکین سازه\159725\"/>
    </mc:Choice>
  </mc:AlternateContent>
  <bookViews>
    <workbookView xWindow="-105" yWindow="-105" windowWidth="23250" windowHeight="12450"/>
  </bookViews>
  <sheets>
    <sheet name="Sheet1 (2)" sheetId="2" r:id="rId1"/>
    <sheet name="Sheet1" sheetId="1" r:id="rId2"/>
  </sheets>
  <definedNames>
    <definedName name="_xlnm.Print_Area" localSheetId="1">Sheet1!$A$1:$AC$20</definedName>
    <definedName name="_xlnm.Print_Area" localSheetId="0">'Sheet1 (2)'!$A$1:$AC$20</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3" i="2" l="1"/>
  <c r="H13" i="2" s="1"/>
  <c r="AC12" i="2"/>
  <c r="E12" i="2"/>
  <c r="H12" i="2" s="1"/>
  <c r="AC11" i="2"/>
  <c r="E11" i="2"/>
  <c r="H11" i="2" s="1"/>
  <c r="AC10" i="2"/>
  <c r="E10" i="2"/>
  <c r="H10" i="2" s="1"/>
  <c r="AC9" i="2"/>
  <c r="E9" i="2"/>
  <c r="H9" i="2" s="1"/>
  <c r="AC8" i="2"/>
  <c r="E8" i="2"/>
  <c r="H8" i="2" s="1"/>
  <c r="AC7" i="2"/>
  <c r="E7" i="2"/>
  <c r="H7" i="2" s="1"/>
  <c r="AC6" i="2"/>
  <c r="E6" i="2"/>
  <c r="H6" i="2" s="1"/>
  <c r="AC5" i="2"/>
  <c r="E5" i="2"/>
  <c r="H5" i="2" s="1"/>
  <c r="AC4" i="2"/>
  <c r="E4" i="2" s="1"/>
  <c r="H4" i="2" s="1"/>
  <c r="H3" i="2"/>
  <c r="I14" i="2" l="1"/>
  <c r="I15" i="2" s="1"/>
  <c r="H3" i="1"/>
  <c r="E13" i="1" l="1"/>
  <c r="H13" i="1" s="1"/>
  <c r="E12" i="1"/>
  <c r="H12" i="1" s="1"/>
  <c r="E11" i="1"/>
  <c r="H11" i="1" s="1"/>
  <c r="E10" i="1"/>
  <c r="H10" i="1" s="1"/>
  <c r="E9" i="1"/>
  <c r="H9" i="1" s="1"/>
  <c r="AC8" i="1"/>
  <c r="E8" i="1"/>
  <c r="H8" i="1" s="1"/>
  <c r="AC5" i="1"/>
  <c r="E6" i="1" l="1"/>
  <c r="H6" i="1" s="1"/>
  <c r="E5" i="1"/>
  <c r="H5" i="1" s="1"/>
  <c r="E7" i="1"/>
  <c r="H7" i="1" s="1"/>
  <c r="AC4" i="1" l="1"/>
  <c r="E4" i="1" s="1"/>
  <c r="H4" i="1" s="1"/>
  <c r="I14" i="1" s="1"/>
  <c r="I15" i="1" s="1"/>
  <c r="AC12" i="1"/>
  <c r="AC11" i="1"/>
  <c r="AC10" i="1"/>
  <c r="AC9" i="1"/>
  <c r="AC6" i="1"/>
  <c r="AC7" i="1" l="1"/>
</calcChain>
</file>

<file path=xl/sharedStrings.xml><?xml version="1.0" encoding="utf-8"?>
<sst xmlns="http://schemas.openxmlformats.org/spreadsheetml/2006/main" count="114" uniqueCount="50">
  <si>
    <t xml:space="preserve">شرح عملیات کلی </t>
  </si>
  <si>
    <t xml:space="preserve">ویدئو متری </t>
  </si>
  <si>
    <t xml:space="preserve">عملیات احیا و بهسازی </t>
  </si>
  <si>
    <t xml:space="preserve">متر </t>
  </si>
  <si>
    <t>چاه</t>
  </si>
  <si>
    <t>مورد</t>
  </si>
  <si>
    <t>واحد</t>
  </si>
  <si>
    <t xml:space="preserve">اضافه بها به ردیف 4 به ازای تزریق هر کیلو گرم اسید بیش از 1000 کیلو گرم </t>
  </si>
  <si>
    <t>کیلوگرم</t>
  </si>
  <si>
    <t xml:space="preserve">مقدار </t>
  </si>
  <si>
    <t xml:space="preserve">عملیات ترمیم جدار </t>
  </si>
  <si>
    <t>انجام عملیات ویدئو متری  چاه تا هر عمق توسط چهار دوربین هزمان با کیفیت فول HD ، درج همزمان عمق کنار تصویر،اسم چاه و گزارش کامل کارشناسی</t>
  </si>
  <si>
    <t>انجام عملیات احیای فزیکی (شامل حمل و نقل  تجهیزات استقرار و آماده سازی  ماشین آلات شامل جرثقیل 4 تن و کامیون  یا جرثقیل 10 تن و برچیدن کار گاه جهت انجام عملیات احیا چاه ها شامل حمل و نقل ،وینچ برس زنی در چاه های با جدار فلزی و پیستون زنی وینچ تزریق هوای فشرده به علاوه ی باکس مواد شیمیایی و باکس کپسول های هوای فشرده )با رعایت کلیه دستور العمل ها و موارد ایمنی انجام عملیات برس زنی  با قابلیت تنظیم فشار تا حداکثر 20 کیلو گرم بر سانتی متر مربع به  روی جدار با برس پلی آمید و اماده سازی اولیه چاه  توسط برس زنی جهت حذف رسوبات داخلی جدار تا حد امکان ، انجام عملیات پیستون زنی با پیستون 200 تا 500 کیلو گرمی (به تناسب چاه ) و از سایز 12 تا 16 اینچ و استفاده از منجیت لابه لایه ی متناظر با پکینگ کامل جدار (پیستون بایستی کاملا چسبیده به جدار باشد )جهت ایجاد تلاطم مناسب احیای چاه تا هر عمق به روش ضربه هوای فشرده و سیستم NITRO PULSEشامل سه تفنگ ضربه ی هوای یک لیتری ، و نیم لیتری و دو ونیم لیتری ، به همراه وینچ تمام اتوماتیک با قابلیت کنترل سرعت و فرکانس و باکس های هوای فشرده می باشد که با فشارهای مختلف از 40 تا100بار و قابلیت تنظیم زمان انفجار در عمق های متفاوت ضربه  انفجاری ایجاد می کند که این انفجار تا عمق یک متری پشت لوله جدار نفوذ میکند وذرات ریز دانه را به داخل زمین هدایت می کند و رسوبات سیمانته پشت جدار را می شکند و نهایتا ضریب هیدرولیکی چاه را افزایش می دهد.)</t>
  </si>
  <si>
    <t>اضافه بها به ردیف 2 به ازای هر متر بیش از 150 متر</t>
  </si>
  <si>
    <t xml:space="preserve">عملیات خرید و تزریق مواد شیمیایی متناسب توسط وینچ مخصوص تزریق مواد شیمیایی (اسید کلریدریک به میزان 1000کیلو گرم)به همراه کنترل پنل تنظیم سرعت تزریق به کمک پمپ و لوله در محل مشبکها  و کنترل PH و پارامتر های چاه به میزان 150 متر </t>
  </si>
  <si>
    <t>اضافه بها به ردیف 2 به ازای هر متراضافه تر تزریق بیش از 150 متر</t>
  </si>
  <si>
    <t>حمل و نقل تجهیزات استقرار و آماده سازی ماشین آلات و برچیدن کارگاه جهت انجام عملیات ترمیم جدار چاه ها با رعایت کلیه دستور العمل ها و موارد ایمنی (شامل حمل و نقل ربات ترمیم جدار ،وینچ مخصوص اتوماتیک و کنترل پنل دستگاه و وصله های ترمیمی توسط جرثقیل  هفت تن )</t>
  </si>
  <si>
    <t>رفع دفرمگی جدار چاه صاف کردن چاه و باز کردن مسیر عملیات به ازای اولین تخریب (محل تخریب شده در لوله جدار را هم قطر کیسینگ چاه می نماید)</t>
  </si>
  <si>
    <t xml:space="preserve">رفع دفرمگی جدار چاه صاف کردن چاه و باز کردن مسیر عملیات به ازای هر مورد در تخریب های دوم و بیشتر </t>
  </si>
  <si>
    <t>هزینه اولین نصب لوله در محل آسیب دیده با تکنولوژی Autofrettage(یک لوله مانیسمان  بدون درز پیش تعبیه شده توسط این تکنولوژی در محل گسیختگی نصب می شود.)</t>
  </si>
  <si>
    <t xml:space="preserve">هزینه دومین نصب و بعدی نصب لوله در محل آسیب دیده با تکنولوژی Autofrettage به ازای هر مورد </t>
  </si>
  <si>
    <t>مقدار کل</t>
  </si>
  <si>
    <t>ویدئومتری</t>
  </si>
  <si>
    <t>نماینده پیمانکار</t>
  </si>
  <si>
    <t>رئیس اداره تجهیزات و تعمیرات مکانیکی</t>
  </si>
  <si>
    <t xml:space="preserve">مبلغ واحد قبل از اعمال ضرایب </t>
  </si>
  <si>
    <t>امام رضا 54</t>
  </si>
  <si>
    <t>کورده 3</t>
  </si>
  <si>
    <t>امام رضا 2</t>
  </si>
  <si>
    <t>کورده 13</t>
  </si>
  <si>
    <t>شهرک امام</t>
  </si>
  <si>
    <t>ناظریه 10</t>
  </si>
  <si>
    <t>امام رضا 11</t>
  </si>
  <si>
    <t>اسلام آباد 13</t>
  </si>
  <si>
    <t>امرغان</t>
  </si>
  <si>
    <t>شهرک راه آهن</t>
  </si>
  <si>
    <t>امامیه 17</t>
  </si>
  <si>
    <t>اسلام آباد 4</t>
  </si>
  <si>
    <t>حجاب 3</t>
  </si>
  <si>
    <t>بازه شیخ 3</t>
  </si>
  <si>
    <t>فناوری 1</t>
  </si>
  <si>
    <t>شهرک راه آهن مجدد</t>
  </si>
  <si>
    <t>انتهای اقدسیه</t>
  </si>
  <si>
    <t>ششصد دستگاه</t>
  </si>
  <si>
    <t>بوستان ادب</t>
  </si>
  <si>
    <r>
      <t>خلاصه کارهای انجام شده صورت وضعیت شماره</t>
    </r>
    <r>
      <rPr>
        <b/>
        <sz val="20"/>
        <color rgb="FFFF0000"/>
        <rFont val="B Titr"/>
        <charset val="178"/>
      </rPr>
      <t xml:space="preserve"> یک</t>
    </r>
    <r>
      <rPr>
        <b/>
        <sz val="16"/>
        <color theme="1"/>
        <rFont val="B Titr"/>
        <charset val="178"/>
      </rPr>
      <t xml:space="preserve"> </t>
    </r>
    <r>
      <rPr>
        <b/>
        <u/>
        <sz val="26"/>
        <color rgb="FFFF0000"/>
        <rFont val="B Badr"/>
        <charset val="178"/>
      </rPr>
      <t>1</t>
    </r>
    <r>
      <rPr>
        <b/>
        <sz val="16"/>
        <color theme="1"/>
        <rFont val="B Titr"/>
        <charset val="178"/>
      </rPr>
      <t xml:space="preserve"> قرارداد 1404/159725 مورخ 1404/10/23 با موضوع عملیات احیا و بهسازی تعداد 70 حلقه چاه آب شرب </t>
    </r>
  </si>
  <si>
    <t>مبلغ کل پس از اعمال ضرایب پیمان</t>
  </si>
  <si>
    <t>مبلغ کل پس از اعمال ضریب بالاسری (1.41)</t>
  </si>
  <si>
    <t xml:space="preserve">مبلغ کل قبل از اعمال ضریب بالاسری </t>
  </si>
  <si>
    <t>ضرایب جزء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</si>
</sst>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0.000"/>
    <numFmt numFmtId="167" formatCode="#,##0.0"/>
    <numFmt numFmtId="168" formatCode="#,##0.0000"/>
  </numFmts>
  <fonts count="11" x14ac:knownFonts="1">
    <font>
      <sz val="11"/>
      <color theme="1"/>
      <name val="Arial"/>
      <family val="2"/>
      <scheme val="minor"/>
    </font>
    <font>
      <b/>
      <sz val="11"/>
      <color theme="1"/>
      <name val="B Titr"/>
      <charset val="178"/>
    </font>
    <font>
      <sz val="11"/>
      <color theme="1"/>
      <name val="Arial"/>
      <family val="2"/>
      <scheme val="minor"/>
    </font>
    <font>
      <b/>
      <sz val="14"/>
      <color theme="1"/>
      <name val="B Nazanin"/>
      <charset val="178"/>
    </font>
    <font>
      <b/>
      <sz val="14"/>
      <color theme="1"/>
      <name val="B Titr"/>
      <charset val="178"/>
    </font>
    <font>
      <b/>
      <sz val="13"/>
      <color theme="1"/>
      <name val="B Titr"/>
      <charset val="178"/>
    </font>
    <font>
      <b/>
      <sz val="12"/>
      <color theme="1"/>
      <name val="B Titr"/>
      <charset val="178"/>
    </font>
    <font>
      <b/>
      <sz val="13"/>
      <color theme="1"/>
      <name val="B Koodak"/>
      <charset val="178"/>
    </font>
    <font>
      <b/>
      <sz val="16"/>
      <color theme="1"/>
      <name val="B Titr"/>
      <charset val="178"/>
    </font>
    <font>
      <b/>
      <u/>
      <sz val="26"/>
      <color rgb="FFFF0000"/>
      <name val="B Badr"/>
      <charset val="178"/>
    </font>
    <font>
      <b/>
      <sz val="20"/>
      <color rgb="FFFF0000"/>
      <name val="B Titr"/>
      <charset val="178"/>
    </font>
  </fonts>
  <fills count="2">
    <fill>
      <patternFill patternType="none"/>
    </fill>
    <fill>
      <patternFill patternType="gray125"/>
    </fill>
  </fills>
  <borders count="2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style="medium">
        <color indexed="64"/>
      </top>
      <bottom/>
      <diagonal/>
    </border>
    <border>
      <left/>
      <right style="medium">
        <color indexed="64"/>
      </right>
      <top style="medium">
        <color indexed="64"/>
      </top>
      <bottom/>
      <diagonal/>
    </border>
    <border>
      <left style="thin">
        <color indexed="64"/>
      </left>
      <right/>
      <top/>
      <bottom/>
      <diagonal/>
    </border>
    <border>
      <left/>
      <right style="medium">
        <color indexed="64"/>
      </right>
      <top/>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164" fontId="2" fillId="0" borderId="0" applyFont="0" applyFill="0" applyBorder="0" applyAlignment="0" applyProtection="0"/>
  </cellStyleXfs>
  <cellXfs count="59">
    <xf numFmtId="0" fontId="0" fillId="0" borderId="0" xfId="0"/>
    <xf numFmtId="0" fontId="1" fillId="0" borderId="0" xfId="0" applyFont="1" applyAlignment="1">
      <alignment horizontal="center" vertical="center"/>
    </xf>
    <xf numFmtId="0" fontId="1" fillId="0" borderId="0" xfId="0" applyFont="1" applyAlignment="1">
      <alignment horizontal="center" vertical="center" wrapText="1"/>
    </xf>
    <xf numFmtId="0" fontId="3" fillId="0" borderId="0" xfId="0" applyFont="1" applyAlignment="1">
      <alignment vertical="top" wrapText="1"/>
    </xf>
    <xf numFmtId="0" fontId="3" fillId="0" borderId="0" xfId="0" applyFont="1" applyAlignment="1">
      <alignment vertical="top"/>
    </xf>
    <xf numFmtId="165" fontId="4" fillId="0" borderId="1" xfId="0" applyNumberFormat="1" applyFont="1" applyBorder="1" applyAlignment="1">
      <alignment horizontal="center" vertical="center"/>
    </xf>
    <xf numFmtId="165" fontId="4" fillId="0" borderId="1" xfId="1" applyNumberFormat="1" applyFont="1" applyBorder="1" applyAlignment="1">
      <alignment horizontal="center" vertical="center"/>
    </xf>
    <xf numFmtId="0" fontId="4" fillId="0" borderId="1" xfId="0" applyFont="1" applyBorder="1" applyAlignment="1">
      <alignment horizontal="center" vertical="center"/>
    </xf>
    <xf numFmtId="167" fontId="4" fillId="0" borderId="1" xfId="0" applyNumberFormat="1" applyFont="1" applyBorder="1" applyAlignment="1">
      <alignment horizontal="center" vertical="center"/>
    </xf>
    <xf numFmtId="166" fontId="4" fillId="0" borderId="1" xfId="0" applyNumberFormat="1" applyFont="1" applyBorder="1" applyAlignment="1">
      <alignment horizontal="center" vertical="center"/>
    </xf>
    <xf numFmtId="168" fontId="4" fillId="0" borderId="1" xfId="0" applyNumberFormat="1" applyFont="1" applyBorder="1" applyAlignment="1">
      <alignment horizontal="center" vertical="center"/>
    </xf>
    <xf numFmtId="0" fontId="5" fillId="0" borderId="3" xfId="0" applyFont="1" applyBorder="1" applyAlignment="1">
      <alignment horizontal="center" vertical="center" wrapText="1"/>
    </xf>
    <xf numFmtId="0" fontId="6" fillId="0" borderId="1" xfId="0" applyFont="1" applyBorder="1" applyAlignment="1">
      <alignment horizontal="center" vertical="center"/>
    </xf>
    <xf numFmtId="0" fontId="7" fillId="0" borderId="1" xfId="0" applyFont="1" applyBorder="1" applyAlignment="1">
      <alignment horizontal="center" vertical="center" wrapText="1"/>
    </xf>
    <xf numFmtId="0" fontId="5" fillId="0" borderId="3" xfId="0" applyFont="1" applyBorder="1" applyAlignment="1">
      <alignment horizontal="center" vertical="center"/>
    </xf>
    <xf numFmtId="0" fontId="4" fillId="0" borderId="4" xfId="0" applyFont="1" applyBorder="1" applyAlignment="1">
      <alignment horizontal="center" vertical="center" wrapText="1"/>
    </xf>
    <xf numFmtId="0" fontId="5" fillId="0" borderId="8" xfId="0" applyFont="1" applyBorder="1" applyAlignment="1">
      <alignment horizontal="center" vertical="center"/>
    </xf>
    <xf numFmtId="0" fontId="4" fillId="0" borderId="9" xfId="0" applyFont="1" applyBorder="1" applyAlignment="1">
      <alignment horizontal="center" vertical="center"/>
    </xf>
    <xf numFmtId="0" fontId="4" fillId="0" borderId="24" xfId="0" applyFont="1" applyBorder="1" applyAlignment="1">
      <alignment horizontal="center" vertical="center"/>
    </xf>
    <xf numFmtId="0" fontId="4" fillId="0" borderId="25" xfId="0" applyFont="1" applyBorder="1" applyAlignment="1">
      <alignment horizontal="center" vertical="center"/>
    </xf>
    <xf numFmtId="0" fontId="7" fillId="0" borderId="24" xfId="0" applyFont="1" applyBorder="1" applyAlignment="1">
      <alignment horizontal="center" vertical="center" wrapText="1"/>
    </xf>
    <xf numFmtId="0" fontId="6" fillId="0" borderId="24" xfId="0" applyFont="1" applyBorder="1" applyAlignment="1">
      <alignment horizontal="center" vertical="center"/>
    </xf>
    <xf numFmtId="167" fontId="4" fillId="0" borderId="24" xfId="0" applyNumberFormat="1" applyFont="1" applyBorder="1" applyAlignment="1">
      <alignment horizontal="center" vertical="center"/>
    </xf>
    <xf numFmtId="166" fontId="4" fillId="0" borderId="24" xfId="0" applyNumberFormat="1" applyFont="1" applyBorder="1" applyAlignment="1">
      <alignment horizontal="center" vertical="center"/>
    </xf>
    <xf numFmtId="165" fontId="4" fillId="0" borderId="24" xfId="0" applyNumberFormat="1" applyFont="1" applyBorder="1" applyAlignment="1">
      <alignment horizontal="center" vertical="center"/>
    </xf>
    <xf numFmtId="37" fontId="4" fillId="0" borderId="1" xfId="1" applyNumberFormat="1" applyFont="1" applyBorder="1" applyAlignment="1">
      <alignment horizontal="center" vertical="center"/>
    </xf>
    <xf numFmtId="0" fontId="5" fillId="0" borderId="3" xfId="0" applyFont="1" applyBorder="1" applyAlignment="1">
      <alignment horizontal="center" vertical="center"/>
    </xf>
    <xf numFmtId="0" fontId="4" fillId="0" borderId="4" xfId="0" applyFont="1" applyBorder="1" applyAlignment="1">
      <alignment horizontal="center" vertical="center" wrapText="1"/>
    </xf>
    <xf numFmtId="0" fontId="4" fillId="0" borderId="10" xfId="0" applyFont="1" applyBorder="1" applyAlignment="1">
      <alignment horizontal="center" vertical="top" wrapText="1"/>
    </xf>
    <xf numFmtId="0" fontId="4" fillId="0" borderId="11" xfId="0" applyFont="1" applyBorder="1" applyAlignment="1">
      <alignment horizontal="center" vertical="top" wrapText="1"/>
    </xf>
    <xf numFmtId="0" fontId="4" fillId="0" borderId="12" xfId="0" applyFont="1" applyBorder="1" applyAlignment="1">
      <alignment horizontal="center" vertical="top" wrapText="1"/>
    </xf>
    <xf numFmtId="0" fontId="4" fillId="0" borderId="13" xfId="0" applyFont="1" applyBorder="1" applyAlignment="1">
      <alignment horizontal="center" vertical="top" wrapText="1"/>
    </xf>
    <xf numFmtId="0" fontId="4" fillId="0" borderId="0" xfId="0" applyFont="1" applyBorder="1" applyAlignment="1">
      <alignment horizontal="center" vertical="top" wrapText="1"/>
    </xf>
    <xf numFmtId="0" fontId="4" fillId="0" borderId="14" xfId="0" applyFont="1" applyBorder="1" applyAlignment="1">
      <alignment horizontal="center" vertical="top" wrapText="1"/>
    </xf>
    <xf numFmtId="0" fontId="4" fillId="0" borderId="15" xfId="0" applyFont="1" applyBorder="1" applyAlignment="1">
      <alignment horizontal="center" vertical="top" wrapText="1"/>
    </xf>
    <xf numFmtId="0" fontId="4" fillId="0" borderId="16" xfId="0" applyFont="1" applyBorder="1" applyAlignment="1">
      <alignment horizontal="center" vertical="top" wrapText="1"/>
    </xf>
    <xf numFmtId="0" fontId="4" fillId="0" borderId="17" xfId="0" applyFont="1" applyBorder="1" applyAlignment="1">
      <alignment horizontal="center" vertical="top" wrapText="1"/>
    </xf>
    <xf numFmtId="0" fontId="4" fillId="0" borderId="18" xfId="0" applyFont="1" applyBorder="1" applyAlignment="1">
      <alignment horizontal="center" vertical="top"/>
    </xf>
    <xf numFmtId="0" fontId="4" fillId="0" borderId="11" xfId="0" applyFont="1" applyBorder="1" applyAlignment="1">
      <alignment horizontal="center" vertical="top"/>
    </xf>
    <xf numFmtId="0" fontId="4" fillId="0" borderId="19" xfId="0" applyFont="1" applyBorder="1" applyAlignment="1">
      <alignment horizontal="center" vertical="top"/>
    </xf>
    <xf numFmtId="0" fontId="4" fillId="0" borderId="20" xfId="0" applyFont="1" applyBorder="1" applyAlignment="1">
      <alignment horizontal="center" vertical="top"/>
    </xf>
    <xf numFmtId="0" fontId="4" fillId="0" borderId="0" xfId="0" applyFont="1" applyBorder="1" applyAlignment="1">
      <alignment horizontal="center" vertical="top"/>
    </xf>
    <xf numFmtId="0" fontId="4" fillId="0" borderId="21" xfId="0" applyFont="1" applyBorder="1" applyAlignment="1">
      <alignment horizontal="center" vertical="top"/>
    </xf>
    <xf numFmtId="0" fontId="4" fillId="0" borderId="22" xfId="0" applyFont="1" applyBorder="1" applyAlignment="1">
      <alignment horizontal="center" vertical="top"/>
    </xf>
    <xf numFmtId="0" fontId="4" fillId="0" borderId="16" xfId="0" applyFont="1" applyBorder="1" applyAlignment="1">
      <alignment horizontal="center" vertical="top"/>
    </xf>
    <xf numFmtId="0" fontId="4" fillId="0" borderId="23" xfId="0" applyFont="1" applyBorder="1" applyAlignment="1">
      <alignment horizontal="center" vertical="top"/>
    </xf>
    <xf numFmtId="0" fontId="8" fillId="0" borderId="0" xfId="0" applyFont="1" applyBorder="1" applyAlignment="1">
      <alignment horizontal="center" vertical="center" wrapTex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27" xfId="0" applyFont="1" applyBorder="1" applyAlignment="1">
      <alignment horizontal="center" vertical="center" wrapText="1"/>
    </xf>
    <xf numFmtId="0" fontId="4" fillId="0" borderId="28" xfId="0" applyFont="1" applyBorder="1" applyAlignment="1">
      <alignment horizontal="center" vertical="center" wrapText="1"/>
    </xf>
    <xf numFmtId="3" fontId="4" fillId="0" borderId="26" xfId="0" applyNumberFormat="1" applyFont="1" applyBorder="1" applyAlignment="1">
      <alignment horizontal="center" vertical="center"/>
    </xf>
    <xf numFmtId="3" fontId="4" fillId="0" borderId="27" xfId="0" applyNumberFormat="1" applyFont="1" applyBorder="1" applyAlignment="1">
      <alignment horizontal="center" vertical="center"/>
    </xf>
    <xf numFmtId="3" fontId="4" fillId="0" borderId="28" xfId="0" applyNumberFormat="1" applyFont="1" applyBorder="1"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19</xdr:col>
      <xdr:colOff>579119</xdr:colOff>
      <xdr:row>14</xdr:row>
      <xdr:rowOff>121920</xdr:rowOff>
    </xdr:from>
    <xdr:to>
      <xdr:col>29</xdr:col>
      <xdr:colOff>121920</xdr:colOff>
      <xdr:row>14</xdr:row>
      <xdr:rowOff>738596</xdr:rowOff>
    </xdr:to>
    <xdr:sp macro="" textlink="">
      <xdr:nvSpPr>
        <xdr:cNvPr id="2" name="TextBox 1">
          <a:extLst>
            <a:ext uri="{FF2B5EF4-FFF2-40B4-BE49-F238E27FC236}">
              <a16:creationId xmlns:a16="http://schemas.microsoft.com/office/drawing/2014/main" id="{D07A965B-75BC-42BF-9775-417DBED83B9C}"/>
            </a:ext>
          </a:extLst>
        </xdr:cNvPr>
        <xdr:cNvSpPr txBox="1"/>
      </xdr:nvSpPr>
      <xdr:spPr>
        <a:xfrm>
          <a:off x="11371918455" y="14933295"/>
          <a:ext cx="6467476" cy="616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rtl="1"/>
          <a:r>
            <a:rPr lang="fa-IR" sz="1400" b="1">
              <a:cs typeface="B Titr" panose="00000700000000000000" pitchFamily="2" charset="-78"/>
            </a:rPr>
            <a:t>بیست</a:t>
          </a:r>
          <a:r>
            <a:rPr lang="fa-IR" sz="1400" b="1" baseline="0">
              <a:cs typeface="B Titr" panose="00000700000000000000" pitchFamily="2" charset="-78"/>
            </a:rPr>
            <a:t> و پنج میلیارد و دویست و هفت میلیون و یکصد و بیست و دو هزار و یکصد و ده ریال</a:t>
          </a:r>
          <a:endParaRPr lang="en-US" sz="1400" b="1">
            <a:cs typeface="B Titr" panose="00000700000000000000" pitchFamily="2" charset="-78"/>
          </a:endParaRPr>
        </a:p>
      </xdr:txBody>
    </xdr:sp>
    <xdr:clientData/>
  </xdr:twoCellAnchor>
  <xdr:twoCellAnchor>
    <xdr:from>
      <xdr:col>19</xdr:col>
      <xdr:colOff>594360</xdr:colOff>
      <xdr:row>13</xdr:row>
      <xdr:rowOff>91440</xdr:rowOff>
    </xdr:from>
    <xdr:to>
      <xdr:col>28</xdr:col>
      <xdr:colOff>594360</xdr:colOff>
      <xdr:row>13</xdr:row>
      <xdr:rowOff>708116</xdr:rowOff>
    </xdr:to>
    <xdr:sp macro="" textlink="">
      <xdr:nvSpPr>
        <xdr:cNvPr id="3" name="TextBox 2">
          <a:extLst>
            <a:ext uri="{FF2B5EF4-FFF2-40B4-BE49-F238E27FC236}">
              <a16:creationId xmlns:a16="http://schemas.microsoft.com/office/drawing/2014/main" id="{D07A965B-75BC-42BF-9775-417DBED83B9C}"/>
            </a:ext>
          </a:extLst>
        </xdr:cNvPr>
        <xdr:cNvSpPr txBox="1"/>
      </xdr:nvSpPr>
      <xdr:spPr>
        <a:xfrm>
          <a:off x="11372112765" y="14045565"/>
          <a:ext cx="6257925" cy="616676"/>
        </a:xfrm>
        <a:prstGeom prst="rect">
          <a:avLst/>
        </a:prstGeom>
        <a:noFill/>
        <a:ln w="9525" cmpd="sng">
          <a:noFill/>
        </a:ln>
        <a:effectLst/>
      </xdr:spPr>
      <xdr:txBody>
        <a:bodyPr vertOverflow="clip" horzOverflow="clip" wrap="square" rtlCol="0"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fa-IR" sz="1250" b="1" i="0" u="none" strike="noStrike" kern="0" cap="none" spc="0" normalizeH="0" baseline="0" noProof="0">
              <a:ln>
                <a:noFill/>
              </a:ln>
              <a:solidFill>
                <a:sysClr val="windowText" lastClr="000000"/>
              </a:solidFill>
              <a:effectLst/>
              <a:uLnTx/>
              <a:uFillTx/>
              <a:latin typeface="Calibri" panose="020F0502020204030204"/>
              <a:ea typeface="+mn-ea"/>
              <a:cs typeface="B Titr" panose="00000700000000000000" pitchFamily="2" charset="-78"/>
            </a:rPr>
            <a:t>هفده میلیارد و هشتصد و هفتاد و هفت میلیون و سیصد و نود و یک هزار و پانصد و شصت و هشت ریال</a:t>
          </a:r>
          <a:endParaRPr kumimoji="0" lang="en-US" sz="1250" b="1" i="0" u="none" strike="noStrike" kern="0" cap="none" spc="0" normalizeH="0" baseline="0" noProof="0">
            <a:ln>
              <a:noFill/>
            </a:ln>
            <a:solidFill>
              <a:sysClr val="windowText" lastClr="000000"/>
            </a:solidFill>
            <a:effectLst/>
            <a:uLnTx/>
            <a:uFillTx/>
            <a:latin typeface="Calibri" panose="020F0502020204030204"/>
            <a:ea typeface="+mn-ea"/>
            <a:cs typeface="B Titr" panose="00000700000000000000" pitchFamily="2" charset="-7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19</xdr:col>
      <xdr:colOff>579119</xdr:colOff>
      <xdr:row>14</xdr:row>
      <xdr:rowOff>121920</xdr:rowOff>
    </xdr:from>
    <xdr:to>
      <xdr:col>29</xdr:col>
      <xdr:colOff>121920</xdr:colOff>
      <xdr:row>14</xdr:row>
      <xdr:rowOff>738596</xdr:rowOff>
    </xdr:to>
    <xdr:sp macro="" textlink="">
      <xdr:nvSpPr>
        <xdr:cNvPr id="2" name="TextBox 1">
          <a:extLst>
            <a:ext uri="{FF2B5EF4-FFF2-40B4-BE49-F238E27FC236}">
              <a16:creationId xmlns:a16="http://schemas.microsoft.com/office/drawing/2014/main" id="{D07A965B-75BC-42BF-9775-417DBED83B9C}"/>
            </a:ext>
          </a:extLst>
        </xdr:cNvPr>
        <xdr:cNvSpPr txBox="1"/>
      </xdr:nvSpPr>
      <xdr:spPr>
        <a:xfrm>
          <a:off x="10218511440" y="15392400"/>
          <a:ext cx="5806441" cy="616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rtl="1"/>
          <a:r>
            <a:rPr lang="fa-IR" sz="1400" b="1">
              <a:cs typeface="B Titr" panose="00000700000000000000" pitchFamily="2" charset="-78"/>
            </a:rPr>
            <a:t>بیست</a:t>
          </a:r>
          <a:r>
            <a:rPr lang="fa-IR" sz="1400" b="1" baseline="0">
              <a:cs typeface="B Titr" panose="00000700000000000000" pitchFamily="2" charset="-78"/>
            </a:rPr>
            <a:t> و پنج میلیارد و دویست و هفت میلیون و یکصد و بیست و دو هزار و یکصد و ده ریال</a:t>
          </a:r>
          <a:endParaRPr lang="en-US" sz="1400" b="1">
            <a:cs typeface="B Titr" panose="00000700000000000000" pitchFamily="2" charset="-78"/>
          </a:endParaRPr>
        </a:p>
      </xdr:txBody>
    </xdr:sp>
    <xdr:clientData/>
  </xdr:twoCellAnchor>
  <xdr:twoCellAnchor>
    <xdr:from>
      <xdr:col>19</xdr:col>
      <xdr:colOff>594360</xdr:colOff>
      <xdr:row>13</xdr:row>
      <xdr:rowOff>91440</xdr:rowOff>
    </xdr:from>
    <xdr:to>
      <xdr:col>28</xdr:col>
      <xdr:colOff>594360</xdr:colOff>
      <xdr:row>13</xdr:row>
      <xdr:rowOff>708116</xdr:rowOff>
    </xdr:to>
    <xdr:sp macro="" textlink="">
      <xdr:nvSpPr>
        <xdr:cNvPr id="6" name="TextBox 5">
          <a:extLst>
            <a:ext uri="{FF2B5EF4-FFF2-40B4-BE49-F238E27FC236}">
              <a16:creationId xmlns:a16="http://schemas.microsoft.com/office/drawing/2014/main" id="{D07A965B-75BC-42BF-9775-417DBED83B9C}"/>
            </a:ext>
          </a:extLst>
        </xdr:cNvPr>
        <xdr:cNvSpPr txBox="1"/>
      </xdr:nvSpPr>
      <xdr:spPr>
        <a:xfrm>
          <a:off x="10218648600" y="14493240"/>
          <a:ext cx="5654040" cy="616676"/>
        </a:xfrm>
        <a:prstGeom prst="rect">
          <a:avLst/>
        </a:prstGeom>
        <a:noFill/>
        <a:ln w="9525" cmpd="sng">
          <a:noFill/>
        </a:ln>
        <a:effectLst/>
      </xdr:spPr>
      <xdr:txBody>
        <a:bodyPr vertOverflow="clip" horzOverflow="clip" wrap="square" rtlCol="0"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fa-IR" sz="1250" b="1" i="0" u="none" strike="noStrike" kern="0" cap="none" spc="0" normalizeH="0" baseline="0" noProof="0">
              <a:ln>
                <a:noFill/>
              </a:ln>
              <a:solidFill>
                <a:sysClr val="windowText" lastClr="000000"/>
              </a:solidFill>
              <a:effectLst/>
              <a:uLnTx/>
              <a:uFillTx/>
              <a:latin typeface="Calibri" panose="020F0502020204030204"/>
              <a:ea typeface="+mn-ea"/>
              <a:cs typeface="B Titr" panose="00000700000000000000" pitchFamily="2" charset="-78"/>
            </a:rPr>
            <a:t>هفده میلیارد و هشتصد و هفتاد و هفت میلیون و سیصد و نود و یک هزار و پانصد و شصت و هشت ریال</a:t>
          </a:r>
          <a:endParaRPr kumimoji="0" lang="en-US" sz="1250" b="1" i="0" u="none" strike="noStrike" kern="0" cap="none" spc="0" normalizeH="0" baseline="0" noProof="0">
            <a:ln>
              <a:noFill/>
            </a:ln>
            <a:solidFill>
              <a:sysClr val="windowText" lastClr="000000"/>
            </a:solidFill>
            <a:effectLst/>
            <a:uLnTx/>
            <a:uFillTx/>
            <a:latin typeface="Calibri" panose="020F0502020204030204"/>
            <a:ea typeface="+mn-ea"/>
            <a:cs typeface="B Titr" panose="00000700000000000000" pitchFamily="2" charset="-78"/>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22"/>
  <sheetViews>
    <sheetView rightToLeft="1" tabSelected="1" view="pageBreakPreview" topLeftCell="G1" zoomScale="85" zoomScaleNormal="60" zoomScaleSheetLayoutView="85" workbookViewId="0">
      <selection activeCell="Z3" sqref="Z3:AA13"/>
    </sheetView>
  </sheetViews>
  <sheetFormatPr defaultColWidth="9.125" defaultRowHeight="22.5" x14ac:dyDescent="0.2"/>
  <cols>
    <col min="1" max="1" width="12.125" style="2" customWidth="1"/>
    <col min="2" max="2" width="9.125" style="1"/>
    <col min="3" max="3" width="91.5" style="2" customWidth="1"/>
    <col min="4" max="4" width="7.625" style="1" customWidth="1"/>
    <col min="5" max="5" width="7.75" style="1" customWidth="1"/>
    <col min="6" max="6" width="23.125" style="1" customWidth="1"/>
    <col min="7" max="7" width="12.375" style="1" customWidth="1"/>
    <col min="8" max="8" width="22.5" style="1" customWidth="1"/>
    <col min="9" max="9" width="8.125" style="1" customWidth="1"/>
    <col min="10" max="10" width="6.625" style="1" customWidth="1"/>
    <col min="11" max="11" width="8.25" style="1" customWidth="1"/>
    <col min="12" max="12" width="8.125" style="1" customWidth="1"/>
    <col min="13" max="13" width="9.25" style="1" customWidth="1"/>
    <col min="14" max="15" width="8.25" style="1" customWidth="1"/>
    <col min="16" max="16" width="8.625" style="1" customWidth="1"/>
    <col min="17" max="17" width="7.375" style="1" customWidth="1"/>
    <col min="18" max="19" width="8.5" style="1" customWidth="1"/>
    <col min="20" max="20" width="9.5" style="1" customWidth="1"/>
    <col min="21" max="21" width="6.5" style="1" customWidth="1"/>
    <col min="22" max="22" width="8.625" style="1" customWidth="1"/>
    <col min="23" max="23" width="8.25" style="1" customWidth="1"/>
    <col min="24" max="24" width="11.125" style="1" customWidth="1"/>
    <col min="25" max="25" width="8.375" style="1" customWidth="1"/>
    <col min="26" max="27" width="9.75" style="1" customWidth="1"/>
    <col min="28" max="28" width="10.25" style="1" customWidth="1"/>
    <col min="29" max="29" width="8.75" style="1" customWidth="1"/>
    <col min="30" max="16384" width="9.125" style="1"/>
  </cols>
  <sheetData>
    <row r="1" spans="1:33" ht="58.9" customHeight="1" thickBot="1" x14ac:dyDescent="0.25">
      <c r="A1" s="46" t="s">
        <v>45</v>
      </c>
      <c r="B1" s="46"/>
      <c r="C1" s="46"/>
      <c r="D1" s="46"/>
      <c r="E1" s="46"/>
      <c r="F1" s="46"/>
      <c r="G1" s="46"/>
      <c r="H1" s="46"/>
      <c r="I1" s="46"/>
      <c r="J1" s="46"/>
      <c r="K1" s="46"/>
      <c r="L1" s="46"/>
      <c r="M1" s="46"/>
      <c r="N1" s="46"/>
      <c r="O1" s="46"/>
      <c r="P1" s="46"/>
      <c r="Q1" s="46"/>
      <c r="R1" s="46"/>
      <c r="S1" s="46"/>
      <c r="T1" s="46"/>
      <c r="U1" s="46"/>
      <c r="V1" s="46"/>
      <c r="W1" s="46"/>
      <c r="X1" s="46"/>
      <c r="Y1" s="46"/>
      <c r="Z1" s="46"/>
      <c r="AA1" s="46"/>
      <c r="AB1" s="46"/>
      <c r="AC1" s="46"/>
    </row>
    <row r="2" spans="1:33" ht="52.5" x14ac:dyDescent="0.2">
      <c r="A2" s="47" t="s">
        <v>0</v>
      </c>
      <c r="B2" s="48"/>
      <c r="C2" s="48"/>
      <c r="D2" s="26" t="s">
        <v>6</v>
      </c>
      <c r="E2" s="26" t="s">
        <v>9</v>
      </c>
      <c r="F2" s="11" t="s">
        <v>25</v>
      </c>
      <c r="G2" s="11" t="s">
        <v>49</v>
      </c>
      <c r="H2" s="11" t="s">
        <v>46</v>
      </c>
      <c r="I2" s="11" t="s">
        <v>26</v>
      </c>
      <c r="J2" s="11" t="s">
        <v>27</v>
      </c>
      <c r="K2" s="11" t="s">
        <v>28</v>
      </c>
      <c r="L2" s="11" t="s">
        <v>29</v>
      </c>
      <c r="M2" s="11" t="s">
        <v>30</v>
      </c>
      <c r="N2" s="11" t="s">
        <v>31</v>
      </c>
      <c r="O2" s="11" t="s">
        <v>32</v>
      </c>
      <c r="P2" s="11" t="s">
        <v>33</v>
      </c>
      <c r="Q2" s="26" t="s">
        <v>34</v>
      </c>
      <c r="R2" s="11" t="s">
        <v>35</v>
      </c>
      <c r="S2" s="26" t="s">
        <v>36</v>
      </c>
      <c r="T2" s="11" t="s">
        <v>37</v>
      </c>
      <c r="U2" s="11" t="s">
        <v>38</v>
      </c>
      <c r="V2" s="11" t="s">
        <v>39</v>
      </c>
      <c r="W2" s="26" t="s">
        <v>40</v>
      </c>
      <c r="X2" s="11" t="s">
        <v>41</v>
      </c>
      <c r="Y2" s="11" t="s">
        <v>42</v>
      </c>
      <c r="Z2" s="11" t="s">
        <v>43</v>
      </c>
      <c r="AA2" s="11" t="s">
        <v>44</v>
      </c>
      <c r="AB2" s="26" t="s">
        <v>22</v>
      </c>
      <c r="AC2" s="16" t="s">
        <v>21</v>
      </c>
    </row>
    <row r="3" spans="1:33" ht="90" customHeight="1" x14ac:dyDescent="0.2">
      <c r="A3" s="27" t="s">
        <v>1</v>
      </c>
      <c r="B3" s="7">
        <v>1</v>
      </c>
      <c r="C3" s="13" t="s">
        <v>11</v>
      </c>
      <c r="D3" s="12" t="s">
        <v>5</v>
      </c>
      <c r="E3" s="7">
        <v>0</v>
      </c>
      <c r="F3" s="8">
        <v>26950354.600000001</v>
      </c>
      <c r="G3" s="9">
        <v>1.546</v>
      </c>
      <c r="H3" s="5">
        <f>F3*E3*G3</f>
        <v>0</v>
      </c>
      <c r="I3" s="7"/>
      <c r="J3" s="7"/>
      <c r="K3" s="7"/>
      <c r="L3" s="7"/>
      <c r="M3" s="7"/>
      <c r="N3" s="7"/>
      <c r="O3" s="7"/>
      <c r="P3" s="7"/>
      <c r="Q3" s="7"/>
      <c r="R3" s="7"/>
      <c r="S3" s="7"/>
      <c r="T3" s="7"/>
      <c r="U3" s="7"/>
      <c r="V3" s="7"/>
      <c r="W3" s="7"/>
      <c r="X3" s="7"/>
      <c r="Y3" s="7">
        <v>0</v>
      </c>
      <c r="Z3" s="7"/>
      <c r="AA3" s="7"/>
      <c r="AB3" s="7"/>
      <c r="AC3" s="17"/>
    </row>
    <row r="4" spans="1:33" ht="336" customHeight="1" x14ac:dyDescent="0.2">
      <c r="A4" s="50" t="s">
        <v>2</v>
      </c>
      <c r="B4" s="7">
        <v>2</v>
      </c>
      <c r="C4" s="13" t="s">
        <v>12</v>
      </c>
      <c r="D4" s="12" t="s">
        <v>4</v>
      </c>
      <c r="E4" s="7">
        <f>AC4</f>
        <v>1</v>
      </c>
      <c r="F4" s="8">
        <v>319148936.19999999</v>
      </c>
      <c r="G4" s="10">
        <v>0.83620000000000005</v>
      </c>
      <c r="H4" s="5">
        <f>F4*E4*G4</f>
        <v>266872340.45044002</v>
      </c>
      <c r="I4" s="7"/>
      <c r="J4" s="7"/>
      <c r="K4" s="7"/>
      <c r="L4" s="7"/>
      <c r="M4" s="7"/>
      <c r="N4" s="7"/>
      <c r="O4" s="7"/>
      <c r="P4" s="7"/>
      <c r="Q4" s="7"/>
      <c r="R4" s="7"/>
      <c r="S4" s="7"/>
      <c r="T4" s="7"/>
      <c r="U4" s="7"/>
      <c r="V4" s="7"/>
      <c r="W4" s="7"/>
      <c r="X4" s="7"/>
      <c r="Y4" s="7">
        <v>1</v>
      </c>
      <c r="Z4" s="7"/>
      <c r="AA4" s="7"/>
      <c r="AB4" s="7"/>
      <c r="AC4" s="17">
        <f>SUM(I4:AB4)</f>
        <v>1</v>
      </c>
    </row>
    <row r="5" spans="1:33" ht="61.15" customHeight="1" x14ac:dyDescent="0.2">
      <c r="A5" s="51"/>
      <c r="B5" s="7">
        <v>3</v>
      </c>
      <c r="C5" s="13" t="s">
        <v>13</v>
      </c>
      <c r="D5" s="12" t="s">
        <v>3</v>
      </c>
      <c r="E5" s="7">
        <f t="shared" ref="E5:E13" si="0">SUM(I5:AB5)</f>
        <v>95</v>
      </c>
      <c r="F5" s="8">
        <v>2127659.6</v>
      </c>
      <c r="G5" s="10">
        <v>0.83620000000000005</v>
      </c>
      <c r="H5" s="5">
        <f>F5*E5*G5</f>
        <v>169019150.96440002</v>
      </c>
      <c r="I5" s="7"/>
      <c r="J5" s="7"/>
      <c r="K5" s="7"/>
      <c r="L5" s="7"/>
      <c r="M5" s="7"/>
      <c r="N5" s="7"/>
      <c r="O5" s="7"/>
      <c r="P5" s="7"/>
      <c r="Q5" s="7"/>
      <c r="R5" s="7"/>
      <c r="S5" s="7"/>
      <c r="T5" s="7"/>
      <c r="U5" s="7"/>
      <c r="V5" s="7"/>
      <c r="W5" s="7"/>
      <c r="X5" s="7"/>
      <c r="Y5" s="7">
        <v>95</v>
      </c>
      <c r="Z5" s="7"/>
      <c r="AA5" s="7"/>
      <c r="AB5" s="7"/>
      <c r="AC5" s="17">
        <f>SUM(I5:Y5)</f>
        <v>95</v>
      </c>
    </row>
    <row r="6" spans="1:33" ht="87" customHeight="1" x14ac:dyDescent="0.2">
      <c r="A6" s="51"/>
      <c r="B6" s="7">
        <v>4</v>
      </c>
      <c r="C6" s="13" t="s">
        <v>14</v>
      </c>
      <c r="D6" s="12" t="s">
        <v>4</v>
      </c>
      <c r="E6" s="7">
        <f t="shared" si="0"/>
        <v>1</v>
      </c>
      <c r="F6" s="8">
        <v>113475177.3</v>
      </c>
      <c r="G6" s="10">
        <v>0.83620000000000005</v>
      </c>
      <c r="H6" s="5">
        <f>F6*E6*G6</f>
        <v>94887943.258259997</v>
      </c>
      <c r="I6" s="7"/>
      <c r="J6" s="7"/>
      <c r="K6" s="7"/>
      <c r="L6" s="7"/>
      <c r="M6" s="7"/>
      <c r="N6" s="7"/>
      <c r="O6" s="7"/>
      <c r="P6" s="7"/>
      <c r="Q6" s="7"/>
      <c r="R6" s="7"/>
      <c r="S6" s="7"/>
      <c r="T6" s="7"/>
      <c r="U6" s="7"/>
      <c r="V6" s="7"/>
      <c r="W6" s="7"/>
      <c r="X6" s="7"/>
      <c r="Y6" s="7">
        <v>1</v>
      </c>
      <c r="Z6" s="7"/>
      <c r="AA6" s="7"/>
      <c r="AB6" s="7"/>
      <c r="AC6" s="17">
        <f t="shared" ref="AC6:AC12" si="1">SUM(I6:AB6)</f>
        <v>1</v>
      </c>
    </row>
    <row r="7" spans="1:33" ht="49.9" customHeight="1" x14ac:dyDescent="0.2">
      <c r="A7" s="51"/>
      <c r="B7" s="7">
        <v>5</v>
      </c>
      <c r="C7" s="13" t="s">
        <v>15</v>
      </c>
      <c r="D7" s="12" t="s">
        <v>3</v>
      </c>
      <c r="E7" s="7">
        <f t="shared" si="0"/>
        <v>95</v>
      </c>
      <c r="F7" s="8">
        <v>756501.2</v>
      </c>
      <c r="G7" s="10">
        <v>0.83620000000000005</v>
      </c>
      <c r="H7" s="5">
        <f>F7*E7*G7</f>
        <v>60095698.826800004</v>
      </c>
      <c r="I7" s="7"/>
      <c r="J7" s="7"/>
      <c r="K7" s="7"/>
      <c r="L7" s="7"/>
      <c r="M7" s="7"/>
      <c r="N7" s="7"/>
      <c r="O7" s="7"/>
      <c r="P7" s="7"/>
      <c r="Q7" s="7"/>
      <c r="R7" s="7"/>
      <c r="S7" s="7"/>
      <c r="T7" s="7"/>
      <c r="U7" s="7"/>
      <c r="V7" s="7"/>
      <c r="W7" s="7"/>
      <c r="X7" s="7"/>
      <c r="Y7" s="7">
        <v>95</v>
      </c>
      <c r="Z7" s="7"/>
      <c r="AA7" s="7"/>
      <c r="AB7" s="7"/>
      <c r="AC7" s="17">
        <f t="shared" si="1"/>
        <v>95</v>
      </c>
    </row>
    <row r="8" spans="1:33" ht="49.9" customHeight="1" x14ac:dyDescent="0.2">
      <c r="A8" s="52"/>
      <c r="B8" s="7">
        <v>6</v>
      </c>
      <c r="C8" s="13" t="s">
        <v>7</v>
      </c>
      <c r="D8" s="12" t="s">
        <v>8</v>
      </c>
      <c r="E8" s="7">
        <f t="shared" si="0"/>
        <v>3000</v>
      </c>
      <c r="F8" s="8">
        <v>63829.8</v>
      </c>
      <c r="G8" s="10">
        <v>0.83620000000000005</v>
      </c>
      <c r="H8" s="5">
        <f t="shared" ref="H8:H13" si="2">F8*G8*E8</f>
        <v>160123436.28000003</v>
      </c>
      <c r="I8" s="7"/>
      <c r="J8" s="7"/>
      <c r="K8" s="7"/>
      <c r="L8" s="7"/>
      <c r="M8" s="7"/>
      <c r="N8" s="7"/>
      <c r="O8" s="7"/>
      <c r="P8" s="7"/>
      <c r="Q8" s="7"/>
      <c r="R8" s="7"/>
      <c r="S8" s="7"/>
      <c r="T8" s="7"/>
      <c r="U8" s="7"/>
      <c r="V8" s="7"/>
      <c r="W8" s="7"/>
      <c r="X8" s="7"/>
      <c r="Y8" s="7">
        <v>3000</v>
      </c>
      <c r="Z8" s="7"/>
      <c r="AA8" s="7"/>
      <c r="AB8" s="7"/>
      <c r="AC8" s="17">
        <f t="shared" si="1"/>
        <v>3000</v>
      </c>
      <c r="AG8" s="1">
        <v>3</v>
      </c>
    </row>
    <row r="9" spans="1:33" ht="94.9" customHeight="1" x14ac:dyDescent="0.2">
      <c r="A9" s="49" t="s">
        <v>10</v>
      </c>
      <c r="B9" s="7">
        <v>7</v>
      </c>
      <c r="C9" s="13" t="s">
        <v>16</v>
      </c>
      <c r="D9" s="12" t="s">
        <v>5</v>
      </c>
      <c r="E9" s="7">
        <f t="shared" si="0"/>
        <v>0</v>
      </c>
      <c r="F9" s="8">
        <v>85106383</v>
      </c>
      <c r="G9" s="9">
        <v>1</v>
      </c>
      <c r="H9" s="25">
        <f t="shared" si="2"/>
        <v>0</v>
      </c>
      <c r="I9" s="7"/>
      <c r="J9" s="7"/>
      <c r="K9" s="7"/>
      <c r="L9" s="7"/>
      <c r="M9" s="7"/>
      <c r="N9" s="7"/>
      <c r="O9" s="7"/>
      <c r="P9" s="7"/>
      <c r="Q9" s="7"/>
      <c r="R9" s="7"/>
      <c r="S9" s="7"/>
      <c r="T9" s="7"/>
      <c r="U9" s="7"/>
      <c r="V9" s="7"/>
      <c r="W9" s="7"/>
      <c r="X9" s="7"/>
      <c r="Y9" s="7">
        <v>0</v>
      </c>
      <c r="Z9" s="7"/>
      <c r="AA9" s="7"/>
      <c r="AB9" s="7"/>
      <c r="AC9" s="17">
        <f t="shared" si="1"/>
        <v>0</v>
      </c>
    </row>
    <row r="10" spans="1:33" ht="55.9" customHeight="1" x14ac:dyDescent="0.2">
      <c r="A10" s="49"/>
      <c r="B10" s="7">
        <v>8</v>
      </c>
      <c r="C10" s="13" t="s">
        <v>17</v>
      </c>
      <c r="D10" s="12" t="s">
        <v>5</v>
      </c>
      <c r="E10" s="7">
        <f t="shared" si="0"/>
        <v>0</v>
      </c>
      <c r="F10" s="8">
        <v>248226950.40000001</v>
      </c>
      <c r="G10" s="9">
        <v>1</v>
      </c>
      <c r="H10" s="25">
        <f t="shared" si="2"/>
        <v>0</v>
      </c>
      <c r="I10" s="7"/>
      <c r="J10" s="7"/>
      <c r="K10" s="7"/>
      <c r="L10" s="7"/>
      <c r="M10" s="7"/>
      <c r="N10" s="7"/>
      <c r="O10" s="7"/>
      <c r="P10" s="7"/>
      <c r="Q10" s="7"/>
      <c r="R10" s="7"/>
      <c r="S10" s="7"/>
      <c r="T10" s="7"/>
      <c r="U10" s="7"/>
      <c r="V10" s="7"/>
      <c r="W10" s="7"/>
      <c r="X10" s="7"/>
      <c r="Y10" s="7">
        <v>0</v>
      </c>
      <c r="Z10" s="7"/>
      <c r="AA10" s="7"/>
      <c r="AB10" s="7"/>
      <c r="AC10" s="17">
        <f t="shared" si="1"/>
        <v>0</v>
      </c>
    </row>
    <row r="11" spans="1:33" ht="55.9" customHeight="1" x14ac:dyDescent="0.2">
      <c r="A11" s="49"/>
      <c r="B11" s="7">
        <v>9</v>
      </c>
      <c r="C11" s="13" t="s">
        <v>18</v>
      </c>
      <c r="D11" s="12" t="s">
        <v>5</v>
      </c>
      <c r="E11" s="7">
        <f t="shared" si="0"/>
        <v>0</v>
      </c>
      <c r="F11" s="8">
        <v>106382978.7</v>
      </c>
      <c r="G11" s="9">
        <v>1</v>
      </c>
      <c r="H11" s="6">
        <f t="shared" si="2"/>
        <v>0</v>
      </c>
      <c r="I11" s="7"/>
      <c r="J11" s="7"/>
      <c r="K11" s="7"/>
      <c r="L11" s="7"/>
      <c r="M11" s="7"/>
      <c r="N11" s="7"/>
      <c r="O11" s="7"/>
      <c r="P11" s="7"/>
      <c r="Q11" s="7"/>
      <c r="R11" s="7"/>
      <c r="S11" s="7"/>
      <c r="T11" s="7"/>
      <c r="U11" s="7"/>
      <c r="V11" s="7"/>
      <c r="W11" s="7"/>
      <c r="X11" s="7"/>
      <c r="Y11" s="7">
        <v>0</v>
      </c>
      <c r="Z11" s="7"/>
      <c r="AA11" s="7"/>
      <c r="AB11" s="7"/>
      <c r="AC11" s="17">
        <f t="shared" si="1"/>
        <v>0</v>
      </c>
    </row>
    <row r="12" spans="1:33" ht="55.9" customHeight="1" x14ac:dyDescent="0.2">
      <c r="A12" s="49"/>
      <c r="B12" s="7">
        <v>10</v>
      </c>
      <c r="C12" s="13" t="s">
        <v>19</v>
      </c>
      <c r="D12" s="12" t="s">
        <v>5</v>
      </c>
      <c r="E12" s="7">
        <f t="shared" si="0"/>
        <v>0</v>
      </c>
      <c r="F12" s="8">
        <v>283687943.30000001</v>
      </c>
      <c r="G12" s="9">
        <v>1</v>
      </c>
      <c r="H12" s="5">
        <f t="shared" si="2"/>
        <v>0</v>
      </c>
      <c r="I12" s="7"/>
      <c r="J12" s="7"/>
      <c r="K12" s="7"/>
      <c r="L12" s="7"/>
      <c r="M12" s="7"/>
      <c r="N12" s="7"/>
      <c r="O12" s="7"/>
      <c r="P12" s="7"/>
      <c r="Q12" s="7"/>
      <c r="R12" s="7"/>
      <c r="S12" s="7"/>
      <c r="T12" s="7"/>
      <c r="U12" s="7"/>
      <c r="V12" s="7"/>
      <c r="W12" s="7"/>
      <c r="X12" s="7"/>
      <c r="Y12" s="7">
        <v>0</v>
      </c>
      <c r="Z12" s="7"/>
      <c r="AA12" s="7"/>
      <c r="AB12" s="7"/>
      <c r="AC12" s="17">
        <f t="shared" si="1"/>
        <v>0</v>
      </c>
    </row>
    <row r="13" spans="1:33" ht="54" customHeight="1" thickBot="1" x14ac:dyDescent="0.25">
      <c r="A13" s="50"/>
      <c r="B13" s="18">
        <v>11</v>
      </c>
      <c r="C13" s="20" t="s">
        <v>20</v>
      </c>
      <c r="D13" s="21" t="s">
        <v>5</v>
      </c>
      <c r="E13" s="18">
        <f t="shared" si="0"/>
        <v>0</v>
      </c>
      <c r="F13" s="22">
        <v>244171265.59999999</v>
      </c>
      <c r="G13" s="23">
        <v>1</v>
      </c>
      <c r="H13" s="24">
        <f t="shared" si="2"/>
        <v>0</v>
      </c>
      <c r="I13" s="18"/>
      <c r="J13" s="18"/>
      <c r="K13" s="18"/>
      <c r="L13" s="18"/>
      <c r="M13" s="18"/>
      <c r="N13" s="18"/>
      <c r="O13" s="18"/>
      <c r="P13" s="18"/>
      <c r="Q13" s="18"/>
      <c r="R13" s="18"/>
      <c r="S13" s="18"/>
      <c r="T13" s="18"/>
      <c r="U13" s="18"/>
      <c r="V13" s="18"/>
      <c r="W13" s="18"/>
      <c r="X13" s="18"/>
      <c r="Y13" s="18">
        <v>0</v>
      </c>
      <c r="Z13" s="18"/>
      <c r="AA13" s="18"/>
      <c r="AB13" s="18"/>
      <c r="AC13" s="19">
        <v>0</v>
      </c>
    </row>
    <row r="14" spans="1:33" ht="67.900000000000006" customHeight="1" thickBot="1" x14ac:dyDescent="0.25">
      <c r="A14" s="53" t="s">
        <v>48</v>
      </c>
      <c r="B14" s="54"/>
      <c r="C14" s="54"/>
      <c r="D14" s="54"/>
      <c r="E14" s="54"/>
      <c r="F14" s="54"/>
      <c r="G14" s="54"/>
      <c r="H14" s="55"/>
      <c r="I14" s="56">
        <f>INT(SUM(H3:H13))</f>
        <v>750998569</v>
      </c>
      <c r="J14" s="57"/>
      <c r="K14" s="57"/>
      <c r="L14" s="57"/>
      <c r="M14" s="57"/>
      <c r="N14" s="57"/>
      <c r="O14" s="57"/>
      <c r="P14" s="57"/>
      <c r="Q14" s="57"/>
      <c r="R14" s="57"/>
      <c r="S14" s="57"/>
      <c r="T14" s="57"/>
      <c r="U14" s="57"/>
      <c r="V14" s="57"/>
      <c r="W14" s="57"/>
      <c r="X14" s="57"/>
      <c r="Y14" s="57"/>
      <c r="Z14" s="57"/>
      <c r="AA14" s="57"/>
      <c r="AB14" s="57"/>
      <c r="AC14" s="58"/>
    </row>
    <row r="15" spans="1:33" ht="67.900000000000006" customHeight="1" thickBot="1" x14ac:dyDescent="0.25">
      <c r="A15" s="53" t="s">
        <v>47</v>
      </c>
      <c r="B15" s="54"/>
      <c r="C15" s="54"/>
      <c r="D15" s="54"/>
      <c r="E15" s="54"/>
      <c r="F15" s="54"/>
      <c r="G15" s="54"/>
      <c r="H15" s="55"/>
      <c r="I15" s="57">
        <f>I14*1.41</f>
        <v>1058907982.29</v>
      </c>
      <c r="J15" s="57"/>
      <c r="K15" s="57"/>
      <c r="L15" s="57"/>
      <c r="M15" s="57"/>
      <c r="N15" s="57"/>
      <c r="O15" s="57"/>
      <c r="P15" s="57"/>
      <c r="Q15" s="57"/>
      <c r="R15" s="57"/>
      <c r="S15" s="57"/>
      <c r="T15" s="57"/>
      <c r="U15" s="57"/>
      <c r="V15" s="57"/>
      <c r="W15" s="57"/>
      <c r="X15" s="57"/>
      <c r="Y15" s="57"/>
      <c r="Z15" s="57"/>
      <c r="AA15" s="57"/>
      <c r="AB15" s="57"/>
      <c r="AC15" s="58"/>
    </row>
    <row r="16" spans="1:33" ht="22.15" customHeight="1" x14ac:dyDescent="0.2">
      <c r="A16" s="28" t="s">
        <v>23</v>
      </c>
      <c r="B16" s="29"/>
      <c r="C16" s="29"/>
      <c r="D16" s="29"/>
      <c r="E16" s="29"/>
      <c r="F16" s="29"/>
      <c r="G16" s="29"/>
      <c r="H16" s="30"/>
      <c r="I16" s="37" t="s">
        <v>24</v>
      </c>
      <c r="J16" s="38"/>
      <c r="K16" s="38"/>
      <c r="L16" s="38"/>
      <c r="M16" s="38"/>
      <c r="N16" s="38"/>
      <c r="O16" s="38"/>
      <c r="P16" s="38"/>
      <c r="Q16" s="38"/>
      <c r="R16" s="38"/>
      <c r="S16" s="38"/>
      <c r="T16" s="38"/>
      <c r="U16" s="38"/>
      <c r="V16" s="38"/>
      <c r="W16" s="38"/>
      <c r="X16" s="38"/>
      <c r="Y16" s="38"/>
      <c r="Z16" s="38"/>
      <c r="AA16" s="38"/>
      <c r="AB16" s="38"/>
      <c r="AC16" s="39"/>
    </row>
    <row r="17" spans="1:29" ht="22.15" customHeight="1" x14ac:dyDescent="0.2">
      <c r="A17" s="31"/>
      <c r="B17" s="32"/>
      <c r="C17" s="32"/>
      <c r="D17" s="32"/>
      <c r="E17" s="32"/>
      <c r="F17" s="32"/>
      <c r="G17" s="32"/>
      <c r="H17" s="33"/>
      <c r="I17" s="40"/>
      <c r="J17" s="41"/>
      <c r="K17" s="41"/>
      <c r="L17" s="41"/>
      <c r="M17" s="41"/>
      <c r="N17" s="41"/>
      <c r="O17" s="41"/>
      <c r="P17" s="41"/>
      <c r="Q17" s="41"/>
      <c r="R17" s="41"/>
      <c r="S17" s="41"/>
      <c r="T17" s="41"/>
      <c r="U17" s="41"/>
      <c r="V17" s="41"/>
      <c r="W17" s="41"/>
      <c r="X17" s="41"/>
      <c r="Y17" s="41"/>
      <c r="Z17" s="41"/>
      <c r="AA17" s="41"/>
      <c r="AB17" s="41"/>
      <c r="AC17" s="42"/>
    </row>
    <row r="18" spans="1:29" ht="22.15" customHeight="1" x14ac:dyDescent="0.2">
      <c r="A18" s="31"/>
      <c r="B18" s="32"/>
      <c r="C18" s="32"/>
      <c r="D18" s="32"/>
      <c r="E18" s="32"/>
      <c r="F18" s="32"/>
      <c r="G18" s="32"/>
      <c r="H18" s="33"/>
      <c r="I18" s="40"/>
      <c r="J18" s="41"/>
      <c r="K18" s="41"/>
      <c r="L18" s="41"/>
      <c r="M18" s="41"/>
      <c r="N18" s="41"/>
      <c r="O18" s="41"/>
      <c r="P18" s="41"/>
      <c r="Q18" s="41"/>
      <c r="R18" s="41"/>
      <c r="S18" s="41"/>
      <c r="T18" s="41"/>
      <c r="U18" s="41"/>
      <c r="V18" s="41"/>
      <c r="W18" s="41"/>
      <c r="X18" s="41"/>
      <c r="Y18" s="41"/>
      <c r="Z18" s="41"/>
      <c r="AA18" s="41"/>
      <c r="AB18" s="41"/>
      <c r="AC18" s="42"/>
    </row>
    <row r="19" spans="1:29" ht="22.15" customHeight="1" x14ac:dyDescent="0.2">
      <c r="A19" s="31"/>
      <c r="B19" s="32"/>
      <c r="C19" s="32"/>
      <c r="D19" s="32"/>
      <c r="E19" s="32"/>
      <c r="F19" s="32"/>
      <c r="G19" s="32"/>
      <c r="H19" s="33"/>
      <c r="I19" s="40"/>
      <c r="J19" s="41"/>
      <c r="K19" s="41"/>
      <c r="L19" s="41"/>
      <c r="M19" s="41"/>
      <c r="N19" s="41"/>
      <c r="O19" s="41"/>
      <c r="P19" s="41"/>
      <c r="Q19" s="41"/>
      <c r="R19" s="41"/>
      <c r="S19" s="41"/>
      <c r="T19" s="41"/>
      <c r="U19" s="41"/>
      <c r="V19" s="41"/>
      <c r="W19" s="41"/>
      <c r="X19" s="41"/>
      <c r="Y19" s="41"/>
      <c r="Z19" s="41"/>
      <c r="AA19" s="41"/>
      <c r="AB19" s="41"/>
      <c r="AC19" s="42"/>
    </row>
    <row r="20" spans="1:29" ht="157.9" customHeight="1" thickBot="1" x14ac:dyDescent="0.25">
      <c r="A20" s="34"/>
      <c r="B20" s="35"/>
      <c r="C20" s="35"/>
      <c r="D20" s="35"/>
      <c r="E20" s="35"/>
      <c r="F20" s="35"/>
      <c r="G20" s="35"/>
      <c r="H20" s="36"/>
      <c r="I20" s="43"/>
      <c r="J20" s="44"/>
      <c r="K20" s="44"/>
      <c r="L20" s="44"/>
      <c r="M20" s="44"/>
      <c r="N20" s="44"/>
      <c r="O20" s="44"/>
      <c r="P20" s="44"/>
      <c r="Q20" s="44"/>
      <c r="R20" s="44"/>
      <c r="S20" s="44"/>
      <c r="T20" s="44"/>
      <c r="U20" s="44"/>
      <c r="V20" s="44"/>
      <c r="W20" s="44"/>
      <c r="X20" s="44"/>
      <c r="Y20" s="44"/>
      <c r="Z20" s="44"/>
      <c r="AA20" s="44"/>
      <c r="AB20" s="44"/>
      <c r="AC20" s="45"/>
    </row>
    <row r="21" spans="1:29" ht="22.15" customHeight="1" x14ac:dyDescent="0.2">
      <c r="A21" s="3"/>
      <c r="B21" s="3"/>
      <c r="C21" s="3"/>
      <c r="D21" s="3"/>
      <c r="E21" s="3"/>
      <c r="F21" s="4"/>
      <c r="G21" s="4"/>
      <c r="H21" s="4"/>
      <c r="I21" s="4"/>
      <c r="J21" s="4"/>
      <c r="K21" s="4"/>
      <c r="L21" s="4"/>
      <c r="M21" s="4"/>
      <c r="N21" s="4"/>
      <c r="O21" s="4"/>
      <c r="P21" s="4"/>
      <c r="Q21" s="4"/>
      <c r="R21" s="4"/>
      <c r="S21" s="4"/>
      <c r="T21" s="4"/>
      <c r="U21" s="4"/>
      <c r="V21" s="4"/>
      <c r="W21" s="4"/>
      <c r="X21" s="4"/>
      <c r="Y21" s="4"/>
      <c r="Z21" s="4"/>
      <c r="AA21" s="4"/>
      <c r="AB21" s="4"/>
      <c r="AC21" s="4"/>
    </row>
    <row r="22" spans="1:29" ht="22.15" customHeight="1" x14ac:dyDescent="0.2">
      <c r="A22" s="3"/>
      <c r="B22" s="3"/>
      <c r="C22" s="3"/>
      <c r="D22" s="3"/>
      <c r="E22" s="3"/>
      <c r="F22" s="4"/>
      <c r="G22" s="4"/>
      <c r="H22" s="4"/>
      <c r="I22" s="4"/>
      <c r="J22" s="4"/>
      <c r="K22" s="4"/>
      <c r="L22" s="4"/>
      <c r="M22" s="4"/>
      <c r="N22" s="4"/>
      <c r="O22" s="4"/>
      <c r="P22" s="4"/>
      <c r="Q22" s="4"/>
      <c r="R22" s="4"/>
      <c r="S22" s="4"/>
      <c r="T22" s="4"/>
      <c r="U22" s="4"/>
      <c r="V22" s="4"/>
      <c r="W22" s="4"/>
      <c r="X22" s="4"/>
      <c r="Y22" s="4"/>
      <c r="Z22" s="4"/>
      <c r="AA22" s="4"/>
      <c r="AB22" s="4"/>
      <c r="AC22" s="4"/>
    </row>
  </sheetData>
  <mergeCells count="10">
    <mergeCell ref="A15:H15"/>
    <mergeCell ref="I15:AC15"/>
    <mergeCell ref="A16:H20"/>
    <mergeCell ref="I16:AC20"/>
    <mergeCell ref="A1:AC1"/>
    <mergeCell ref="A2:C2"/>
    <mergeCell ref="A4:A8"/>
    <mergeCell ref="A9:A13"/>
    <mergeCell ref="A14:H14"/>
    <mergeCell ref="I14:AC14"/>
  </mergeCells>
  <printOptions horizontalCentered="1" verticalCentered="1"/>
  <pageMargins left="0.1" right="0.1" top="0.1" bottom="0.1" header="0.1" footer="0.1"/>
  <pageSetup paperSize="9" scale="36"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22"/>
  <sheetViews>
    <sheetView rightToLeft="1" view="pageBreakPreview" zoomScale="50" zoomScaleNormal="60" zoomScaleSheetLayoutView="50" workbookViewId="0">
      <selection activeCell="H4" sqref="H4"/>
    </sheetView>
  </sheetViews>
  <sheetFormatPr defaultColWidth="9.125" defaultRowHeight="22.5" x14ac:dyDescent="0.2"/>
  <cols>
    <col min="1" max="1" width="12.125" style="2" customWidth="1"/>
    <col min="2" max="2" width="9.125" style="1"/>
    <col min="3" max="3" width="91.5" style="2" customWidth="1"/>
    <col min="4" max="4" width="7.625" style="1" customWidth="1"/>
    <col min="5" max="5" width="7.75" style="1" customWidth="1"/>
    <col min="6" max="6" width="23.125" style="1" customWidth="1"/>
    <col min="7" max="7" width="12.375" style="1" customWidth="1"/>
    <col min="8" max="8" width="22.5" style="1" customWidth="1"/>
    <col min="9" max="9" width="8.125" style="1" customWidth="1"/>
    <col min="10" max="10" width="6.625" style="1" customWidth="1"/>
    <col min="11" max="11" width="8.25" style="1" customWidth="1"/>
    <col min="12" max="12" width="8.125" style="1" customWidth="1"/>
    <col min="13" max="13" width="9.25" style="1" customWidth="1"/>
    <col min="14" max="15" width="8.25" style="1" customWidth="1"/>
    <col min="16" max="16" width="8.625" style="1" customWidth="1"/>
    <col min="17" max="17" width="7.375" style="1" customWidth="1"/>
    <col min="18" max="19" width="8.5" style="1" customWidth="1"/>
    <col min="20" max="20" width="9.5" style="1" customWidth="1"/>
    <col min="21" max="21" width="6.5" style="1" customWidth="1"/>
    <col min="22" max="22" width="8.625" style="1" customWidth="1"/>
    <col min="23" max="23" width="8.25" style="1" customWidth="1"/>
    <col min="24" max="24" width="11.125" style="1" customWidth="1"/>
    <col min="25" max="25" width="8.375" style="1" customWidth="1"/>
    <col min="26" max="27" width="9.75" style="1" customWidth="1"/>
    <col min="28" max="28" width="10.25" style="1" customWidth="1"/>
    <col min="29" max="29" width="8.75" style="1" customWidth="1"/>
    <col min="30" max="16384" width="9.125" style="1"/>
  </cols>
  <sheetData>
    <row r="1" spans="1:33" ht="58.9" customHeight="1" thickBot="1" x14ac:dyDescent="0.25">
      <c r="A1" s="46" t="s">
        <v>45</v>
      </c>
      <c r="B1" s="46"/>
      <c r="C1" s="46"/>
      <c r="D1" s="46"/>
      <c r="E1" s="46"/>
      <c r="F1" s="46"/>
      <c r="G1" s="46"/>
      <c r="H1" s="46"/>
      <c r="I1" s="46"/>
      <c r="J1" s="46"/>
      <c r="K1" s="46"/>
      <c r="L1" s="46"/>
      <c r="M1" s="46"/>
      <c r="N1" s="46"/>
      <c r="O1" s="46"/>
      <c r="P1" s="46"/>
      <c r="Q1" s="46"/>
      <c r="R1" s="46"/>
      <c r="S1" s="46"/>
      <c r="T1" s="46"/>
      <c r="U1" s="46"/>
      <c r="V1" s="46"/>
      <c r="W1" s="46"/>
      <c r="X1" s="46"/>
      <c r="Y1" s="46"/>
      <c r="Z1" s="46"/>
      <c r="AA1" s="46"/>
      <c r="AB1" s="46"/>
      <c r="AC1" s="46"/>
    </row>
    <row r="2" spans="1:33" ht="52.5" x14ac:dyDescent="0.2">
      <c r="A2" s="47" t="s">
        <v>0</v>
      </c>
      <c r="B2" s="48"/>
      <c r="C2" s="48"/>
      <c r="D2" s="14" t="s">
        <v>6</v>
      </c>
      <c r="E2" s="14" t="s">
        <v>9</v>
      </c>
      <c r="F2" s="11" t="s">
        <v>25</v>
      </c>
      <c r="G2" s="11" t="s">
        <v>49</v>
      </c>
      <c r="H2" s="11" t="s">
        <v>46</v>
      </c>
      <c r="I2" s="11" t="s">
        <v>26</v>
      </c>
      <c r="J2" s="11" t="s">
        <v>27</v>
      </c>
      <c r="K2" s="11" t="s">
        <v>28</v>
      </c>
      <c r="L2" s="11" t="s">
        <v>29</v>
      </c>
      <c r="M2" s="11" t="s">
        <v>30</v>
      </c>
      <c r="N2" s="11" t="s">
        <v>31</v>
      </c>
      <c r="O2" s="11" t="s">
        <v>32</v>
      </c>
      <c r="P2" s="11" t="s">
        <v>33</v>
      </c>
      <c r="Q2" s="14" t="s">
        <v>34</v>
      </c>
      <c r="R2" s="11" t="s">
        <v>35</v>
      </c>
      <c r="S2" s="14" t="s">
        <v>36</v>
      </c>
      <c r="T2" s="11" t="s">
        <v>37</v>
      </c>
      <c r="U2" s="11" t="s">
        <v>38</v>
      </c>
      <c r="V2" s="11" t="s">
        <v>39</v>
      </c>
      <c r="W2" s="14" t="s">
        <v>40</v>
      </c>
      <c r="X2" s="11" t="s">
        <v>41</v>
      </c>
      <c r="Y2" s="11" t="s">
        <v>42</v>
      </c>
      <c r="Z2" s="11" t="s">
        <v>43</v>
      </c>
      <c r="AA2" s="11" t="s">
        <v>44</v>
      </c>
      <c r="AB2" s="14" t="s">
        <v>22</v>
      </c>
      <c r="AC2" s="16" t="s">
        <v>21</v>
      </c>
    </row>
    <row r="3" spans="1:33" ht="90" customHeight="1" x14ac:dyDescent="0.2">
      <c r="A3" s="15" t="s">
        <v>1</v>
      </c>
      <c r="B3" s="7">
        <v>1</v>
      </c>
      <c r="C3" s="13" t="s">
        <v>11</v>
      </c>
      <c r="D3" s="12" t="s">
        <v>5</v>
      </c>
      <c r="E3" s="7">
        <v>106</v>
      </c>
      <c r="F3" s="8">
        <v>26950354.600000001</v>
      </c>
      <c r="G3" s="9">
        <v>1.546</v>
      </c>
      <c r="H3" s="5">
        <f>F3*E3*G3</f>
        <v>4416516310.4296007</v>
      </c>
      <c r="I3" s="7">
        <v>0</v>
      </c>
      <c r="J3" s="7">
        <v>0</v>
      </c>
      <c r="K3" s="7">
        <v>0</v>
      </c>
      <c r="L3" s="7">
        <v>0</v>
      </c>
      <c r="M3" s="7">
        <v>0</v>
      </c>
      <c r="N3" s="7">
        <v>0</v>
      </c>
      <c r="O3" s="7">
        <v>0</v>
      </c>
      <c r="P3" s="7">
        <v>0</v>
      </c>
      <c r="Q3" s="7">
        <v>0</v>
      </c>
      <c r="R3" s="7">
        <v>0</v>
      </c>
      <c r="S3" s="7">
        <v>0</v>
      </c>
      <c r="T3" s="7">
        <v>0</v>
      </c>
      <c r="U3" s="7">
        <v>0</v>
      </c>
      <c r="V3" s="7">
        <v>0</v>
      </c>
      <c r="W3" s="7">
        <v>0</v>
      </c>
      <c r="X3" s="7">
        <v>0</v>
      </c>
      <c r="Y3" s="7">
        <v>0</v>
      </c>
      <c r="Z3" s="7">
        <v>0</v>
      </c>
      <c r="AA3" s="7">
        <v>0</v>
      </c>
      <c r="AB3" s="7">
        <v>106</v>
      </c>
      <c r="AC3" s="17"/>
    </row>
    <row r="4" spans="1:33" ht="336" customHeight="1" x14ac:dyDescent="0.2">
      <c r="A4" s="50" t="s">
        <v>2</v>
      </c>
      <c r="B4" s="7">
        <v>2</v>
      </c>
      <c r="C4" s="13" t="s">
        <v>12</v>
      </c>
      <c r="D4" s="12" t="s">
        <v>4</v>
      </c>
      <c r="E4" s="7">
        <f>AC4</f>
        <v>17</v>
      </c>
      <c r="F4" s="8">
        <v>319148936.19999999</v>
      </c>
      <c r="G4" s="10">
        <v>0.83620000000000005</v>
      </c>
      <c r="H4" s="5">
        <f>F4*E4*G4</f>
        <v>4536829787.6574802</v>
      </c>
      <c r="I4" s="7">
        <v>1</v>
      </c>
      <c r="J4" s="7">
        <v>1</v>
      </c>
      <c r="K4" s="7">
        <v>1</v>
      </c>
      <c r="L4" s="7">
        <v>1</v>
      </c>
      <c r="M4" s="7">
        <v>1</v>
      </c>
      <c r="N4" s="7">
        <v>1</v>
      </c>
      <c r="O4" s="7">
        <v>1</v>
      </c>
      <c r="P4" s="7">
        <v>1</v>
      </c>
      <c r="Q4" s="7">
        <v>1</v>
      </c>
      <c r="R4" s="7">
        <v>1</v>
      </c>
      <c r="S4" s="7">
        <v>1</v>
      </c>
      <c r="T4" s="7">
        <v>1</v>
      </c>
      <c r="U4" s="7">
        <v>1</v>
      </c>
      <c r="V4" s="7">
        <v>1</v>
      </c>
      <c r="W4" s="7">
        <v>1</v>
      </c>
      <c r="X4" s="7">
        <v>1</v>
      </c>
      <c r="Y4" s="7">
        <v>1</v>
      </c>
      <c r="Z4" s="7">
        <v>0</v>
      </c>
      <c r="AA4" s="7">
        <v>0</v>
      </c>
      <c r="AB4" s="7">
        <v>0</v>
      </c>
      <c r="AC4" s="17">
        <f>SUM(I4:AB4)</f>
        <v>17</v>
      </c>
    </row>
    <row r="5" spans="1:33" ht="61.15" customHeight="1" x14ac:dyDescent="0.2">
      <c r="A5" s="51"/>
      <c r="B5" s="7">
        <v>3</v>
      </c>
      <c r="C5" s="13" t="s">
        <v>13</v>
      </c>
      <c r="D5" s="12" t="s">
        <v>3</v>
      </c>
      <c r="E5" s="7">
        <f t="shared" ref="E5:E13" si="0">SUM(I5:AB5)</f>
        <v>1326</v>
      </c>
      <c r="F5" s="8">
        <v>2127659.6</v>
      </c>
      <c r="G5" s="10">
        <v>0.83620000000000005</v>
      </c>
      <c r="H5" s="5">
        <f>F5*E5*G5</f>
        <v>2359151517.6715202</v>
      </c>
      <c r="I5" s="7">
        <v>67</v>
      </c>
      <c r="J5" s="7">
        <v>78</v>
      </c>
      <c r="K5" s="7">
        <v>64</v>
      </c>
      <c r="L5" s="7">
        <v>91</v>
      </c>
      <c r="M5" s="7">
        <v>78</v>
      </c>
      <c r="N5" s="7">
        <v>84</v>
      </c>
      <c r="O5" s="7">
        <v>102</v>
      </c>
      <c r="P5" s="7">
        <v>99</v>
      </c>
      <c r="Q5" s="7">
        <v>85</v>
      </c>
      <c r="R5" s="7">
        <v>80</v>
      </c>
      <c r="S5" s="7">
        <v>79</v>
      </c>
      <c r="T5" s="7">
        <v>0</v>
      </c>
      <c r="U5" s="7">
        <v>85</v>
      </c>
      <c r="V5" s="7">
        <v>65</v>
      </c>
      <c r="W5" s="7">
        <v>94</v>
      </c>
      <c r="X5" s="7">
        <v>80</v>
      </c>
      <c r="Y5" s="7">
        <v>95</v>
      </c>
      <c r="Z5" s="7">
        <v>0</v>
      </c>
      <c r="AA5" s="7">
        <v>0</v>
      </c>
      <c r="AB5" s="7">
        <v>0</v>
      </c>
      <c r="AC5" s="17">
        <f>SUM(I5:Y5)</f>
        <v>1326</v>
      </c>
    </row>
    <row r="6" spans="1:33" ht="87" customHeight="1" x14ac:dyDescent="0.2">
      <c r="A6" s="51"/>
      <c r="B6" s="7">
        <v>4</v>
      </c>
      <c r="C6" s="13" t="s">
        <v>14</v>
      </c>
      <c r="D6" s="12" t="s">
        <v>4</v>
      </c>
      <c r="E6" s="7">
        <f t="shared" si="0"/>
        <v>16</v>
      </c>
      <c r="F6" s="8">
        <v>113475177.3</v>
      </c>
      <c r="G6" s="10">
        <v>0.83620000000000005</v>
      </c>
      <c r="H6" s="5">
        <f>F6*E6*G6</f>
        <v>1518207092.1321599</v>
      </c>
      <c r="I6" s="7">
        <v>1</v>
      </c>
      <c r="J6" s="7">
        <v>1</v>
      </c>
      <c r="K6" s="7">
        <v>1</v>
      </c>
      <c r="L6" s="7">
        <v>1</v>
      </c>
      <c r="M6" s="7">
        <v>1</v>
      </c>
      <c r="N6" s="7">
        <v>1</v>
      </c>
      <c r="O6" s="7">
        <v>1</v>
      </c>
      <c r="P6" s="7">
        <v>1</v>
      </c>
      <c r="Q6" s="7">
        <v>1</v>
      </c>
      <c r="R6" s="7">
        <v>1</v>
      </c>
      <c r="S6" s="7">
        <v>1</v>
      </c>
      <c r="T6" s="7">
        <v>1</v>
      </c>
      <c r="U6" s="7">
        <v>1</v>
      </c>
      <c r="V6" s="7">
        <v>1</v>
      </c>
      <c r="W6" s="7">
        <v>1</v>
      </c>
      <c r="X6" s="7">
        <v>0</v>
      </c>
      <c r="Y6" s="7">
        <v>1</v>
      </c>
      <c r="Z6" s="7">
        <v>0</v>
      </c>
      <c r="AA6" s="7">
        <v>0</v>
      </c>
      <c r="AB6" s="7">
        <v>0</v>
      </c>
      <c r="AC6" s="17">
        <f t="shared" ref="AC6:AC12" si="1">SUM(I6:AB6)</f>
        <v>16</v>
      </c>
    </row>
    <row r="7" spans="1:33" ht="49.9" customHeight="1" x14ac:dyDescent="0.2">
      <c r="A7" s="51"/>
      <c r="B7" s="7">
        <v>5</v>
      </c>
      <c r="C7" s="13" t="s">
        <v>15</v>
      </c>
      <c r="D7" s="12" t="s">
        <v>3</v>
      </c>
      <c r="E7" s="7">
        <f t="shared" si="0"/>
        <v>1326</v>
      </c>
      <c r="F7" s="8">
        <v>756501.2</v>
      </c>
      <c r="G7" s="10">
        <v>0.83620000000000005</v>
      </c>
      <c r="H7" s="5">
        <f>F7*E7*G7</f>
        <v>838809438.36143994</v>
      </c>
      <c r="I7" s="7">
        <v>67</v>
      </c>
      <c r="J7" s="7">
        <v>78</v>
      </c>
      <c r="K7" s="7">
        <v>64</v>
      </c>
      <c r="L7" s="7">
        <v>91</v>
      </c>
      <c r="M7" s="7">
        <v>78</v>
      </c>
      <c r="N7" s="7">
        <v>84</v>
      </c>
      <c r="O7" s="7">
        <v>102</v>
      </c>
      <c r="P7" s="7">
        <v>99</v>
      </c>
      <c r="Q7" s="7">
        <v>85</v>
      </c>
      <c r="R7" s="7">
        <v>80</v>
      </c>
      <c r="S7" s="7">
        <v>79</v>
      </c>
      <c r="T7" s="7">
        <v>0</v>
      </c>
      <c r="U7" s="7">
        <v>85</v>
      </c>
      <c r="V7" s="7">
        <v>65</v>
      </c>
      <c r="W7" s="7">
        <v>94</v>
      </c>
      <c r="X7" s="7">
        <v>80</v>
      </c>
      <c r="Y7" s="7">
        <v>95</v>
      </c>
      <c r="Z7" s="7">
        <v>0</v>
      </c>
      <c r="AA7" s="7">
        <v>0</v>
      </c>
      <c r="AB7" s="7">
        <v>0</v>
      </c>
      <c r="AC7" s="17">
        <f t="shared" si="1"/>
        <v>1326</v>
      </c>
    </row>
    <row r="8" spans="1:33" ht="49.9" customHeight="1" x14ac:dyDescent="0.2">
      <c r="A8" s="52"/>
      <c r="B8" s="7">
        <v>6</v>
      </c>
      <c r="C8" s="13" t="s">
        <v>7</v>
      </c>
      <c r="D8" s="12" t="s">
        <v>8</v>
      </c>
      <c r="E8" s="7">
        <f t="shared" si="0"/>
        <v>50800</v>
      </c>
      <c r="F8" s="8">
        <v>63829.8</v>
      </c>
      <c r="G8" s="10">
        <v>0.83620000000000005</v>
      </c>
      <c r="H8" s="5">
        <f t="shared" ref="H8:H13" si="2">F8*G8*E8</f>
        <v>2711423521.0080004</v>
      </c>
      <c r="I8" s="7">
        <v>4500</v>
      </c>
      <c r="J8" s="7">
        <v>2400</v>
      </c>
      <c r="K8" s="7">
        <v>2700</v>
      </c>
      <c r="L8" s="7">
        <v>4500</v>
      </c>
      <c r="M8" s="7">
        <v>4500</v>
      </c>
      <c r="N8" s="7">
        <v>1700</v>
      </c>
      <c r="O8" s="7">
        <v>1500</v>
      </c>
      <c r="P8" s="7">
        <v>5000</v>
      </c>
      <c r="Q8" s="7">
        <v>5000</v>
      </c>
      <c r="R8" s="7">
        <v>5000</v>
      </c>
      <c r="S8" s="7">
        <v>1500</v>
      </c>
      <c r="T8" s="7">
        <v>0</v>
      </c>
      <c r="U8" s="7">
        <v>3000</v>
      </c>
      <c r="V8" s="7">
        <v>4000</v>
      </c>
      <c r="W8" s="7">
        <v>2500</v>
      </c>
      <c r="X8" s="7">
        <v>0</v>
      </c>
      <c r="Y8" s="7">
        <v>3000</v>
      </c>
      <c r="Z8" s="7">
        <v>0</v>
      </c>
      <c r="AA8" s="7">
        <v>0</v>
      </c>
      <c r="AB8" s="7">
        <v>0</v>
      </c>
      <c r="AC8" s="17">
        <f t="shared" si="1"/>
        <v>50800</v>
      </c>
      <c r="AG8" s="1">
        <v>3</v>
      </c>
    </row>
    <row r="9" spans="1:33" ht="94.9" customHeight="1" x14ac:dyDescent="0.2">
      <c r="A9" s="49" t="s">
        <v>10</v>
      </c>
      <c r="B9" s="7">
        <v>7</v>
      </c>
      <c r="C9" s="13" t="s">
        <v>16</v>
      </c>
      <c r="D9" s="12" t="s">
        <v>5</v>
      </c>
      <c r="E9" s="7">
        <f t="shared" si="0"/>
        <v>3</v>
      </c>
      <c r="F9" s="8">
        <v>85106383</v>
      </c>
      <c r="G9" s="9">
        <v>1</v>
      </c>
      <c r="H9" s="25">
        <f t="shared" si="2"/>
        <v>255319149</v>
      </c>
      <c r="I9" s="7">
        <v>0</v>
      </c>
      <c r="J9" s="7">
        <v>0</v>
      </c>
      <c r="K9" s="7">
        <v>0</v>
      </c>
      <c r="L9" s="7">
        <v>0</v>
      </c>
      <c r="M9" s="7">
        <v>0</v>
      </c>
      <c r="N9" s="7">
        <v>0</v>
      </c>
      <c r="O9" s="7">
        <v>0</v>
      </c>
      <c r="P9" s="7">
        <v>0</v>
      </c>
      <c r="Q9" s="7">
        <v>0</v>
      </c>
      <c r="R9" s="7">
        <v>0</v>
      </c>
      <c r="S9" s="7">
        <v>0</v>
      </c>
      <c r="T9" s="7">
        <v>0</v>
      </c>
      <c r="U9" s="7">
        <v>0</v>
      </c>
      <c r="V9" s="7">
        <v>0</v>
      </c>
      <c r="W9" s="7">
        <v>0</v>
      </c>
      <c r="X9" s="7">
        <v>0</v>
      </c>
      <c r="Y9" s="7">
        <v>0</v>
      </c>
      <c r="Z9" s="7">
        <v>2</v>
      </c>
      <c r="AA9" s="7">
        <v>1</v>
      </c>
      <c r="AB9" s="7">
        <v>0</v>
      </c>
      <c r="AC9" s="17">
        <f t="shared" si="1"/>
        <v>3</v>
      </c>
    </row>
    <row r="10" spans="1:33" ht="55.9" customHeight="1" x14ac:dyDescent="0.2">
      <c r="A10" s="49"/>
      <c r="B10" s="7">
        <v>8</v>
      </c>
      <c r="C10" s="13" t="s">
        <v>17</v>
      </c>
      <c r="D10" s="12" t="s">
        <v>5</v>
      </c>
      <c r="E10" s="7">
        <f t="shared" si="0"/>
        <v>3</v>
      </c>
      <c r="F10" s="8">
        <v>248226950.40000001</v>
      </c>
      <c r="G10" s="9">
        <v>1</v>
      </c>
      <c r="H10" s="25">
        <f t="shared" si="2"/>
        <v>744680851.20000005</v>
      </c>
      <c r="I10" s="7">
        <v>0</v>
      </c>
      <c r="J10" s="7">
        <v>0</v>
      </c>
      <c r="K10" s="7">
        <v>0</v>
      </c>
      <c r="L10" s="7">
        <v>0</v>
      </c>
      <c r="M10" s="7">
        <v>0</v>
      </c>
      <c r="N10" s="7">
        <v>0</v>
      </c>
      <c r="O10" s="7">
        <v>0</v>
      </c>
      <c r="P10" s="7">
        <v>0</v>
      </c>
      <c r="Q10" s="7">
        <v>0</v>
      </c>
      <c r="R10" s="7">
        <v>0</v>
      </c>
      <c r="S10" s="7">
        <v>0</v>
      </c>
      <c r="T10" s="7">
        <v>0</v>
      </c>
      <c r="U10" s="7">
        <v>0</v>
      </c>
      <c r="V10" s="7">
        <v>0</v>
      </c>
      <c r="W10" s="7">
        <v>0</v>
      </c>
      <c r="X10" s="7">
        <v>0</v>
      </c>
      <c r="Y10" s="7">
        <v>0</v>
      </c>
      <c r="Z10" s="7">
        <v>2</v>
      </c>
      <c r="AA10" s="7">
        <v>1</v>
      </c>
      <c r="AB10" s="7">
        <v>0</v>
      </c>
      <c r="AC10" s="17">
        <f t="shared" si="1"/>
        <v>3</v>
      </c>
    </row>
    <row r="11" spans="1:33" ht="55.9" customHeight="1" x14ac:dyDescent="0.2">
      <c r="A11" s="49"/>
      <c r="B11" s="7">
        <v>9</v>
      </c>
      <c r="C11" s="13" t="s">
        <v>18</v>
      </c>
      <c r="D11" s="12" t="s">
        <v>5</v>
      </c>
      <c r="E11" s="7">
        <f t="shared" si="0"/>
        <v>2</v>
      </c>
      <c r="F11" s="8">
        <v>106382978.7</v>
      </c>
      <c r="G11" s="9">
        <v>1</v>
      </c>
      <c r="H11" s="6">
        <f t="shared" si="2"/>
        <v>212765957.40000001</v>
      </c>
      <c r="I11" s="7">
        <v>0</v>
      </c>
      <c r="J11" s="7">
        <v>0</v>
      </c>
      <c r="K11" s="7">
        <v>0</v>
      </c>
      <c r="L11" s="7">
        <v>0</v>
      </c>
      <c r="M11" s="7">
        <v>0</v>
      </c>
      <c r="N11" s="7">
        <v>0</v>
      </c>
      <c r="O11" s="7">
        <v>0</v>
      </c>
      <c r="P11" s="7">
        <v>0</v>
      </c>
      <c r="Q11" s="7">
        <v>0</v>
      </c>
      <c r="R11" s="7">
        <v>0</v>
      </c>
      <c r="S11" s="7">
        <v>0</v>
      </c>
      <c r="T11" s="7">
        <v>0</v>
      </c>
      <c r="U11" s="7">
        <v>0</v>
      </c>
      <c r="V11" s="7">
        <v>0</v>
      </c>
      <c r="W11" s="7">
        <v>0</v>
      </c>
      <c r="X11" s="7">
        <v>0</v>
      </c>
      <c r="Y11" s="7">
        <v>0</v>
      </c>
      <c r="Z11" s="7">
        <v>1</v>
      </c>
      <c r="AA11" s="7">
        <v>1</v>
      </c>
      <c r="AB11" s="7">
        <v>0</v>
      </c>
      <c r="AC11" s="17">
        <f t="shared" si="1"/>
        <v>2</v>
      </c>
    </row>
    <row r="12" spans="1:33" ht="55.9" customHeight="1" x14ac:dyDescent="0.2">
      <c r="A12" s="49"/>
      <c r="B12" s="7">
        <v>10</v>
      </c>
      <c r="C12" s="13" t="s">
        <v>19</v>
      </c>
      <c r="D12" s="12" t="s">
        <v>5</v>
      </c>
      <c r="E12" s="7">
        <f t="shared" si="0"/>
        <v>1</v>
      </c>
      <c r="F12" s="8">
        <v>283687943.30000001</v>
      </c>
      <c r="G12" s="9">
        <v>1</v>
      </c>
      <c r="H12" s="5">
        <f t="shared" si="2"/>
        <v>283687943.30000001</v>
      </c>
      <c r="I12" s="7">
        <v>0</v>
      </c>
      <c r="J12" s="7">
        <v>0</v>
      </c>
      <c r="K12" s="7">
        <v>0</v>
      </c>
      <c r="L12" s="7">
        <v>0</v>
      </c>
      <c r="M12" s="7">
        <v>0</v>
      </c>
      <c r="N12" s="7">
        <v>0</v>
      </c>
      <c r="O12" s="7">
        <v>0</v>
      </c>
      <c r="P12" s="7">
        <v>0</v>
      </c>
      <c r="Q12" s="7">
        <v>0</v>
      </c>
      <c r="R12" s="7">
        <v>0</v>
      </c>
      <c r="S12" s="7">
        <v>0</v>
      </c>
      <c r="T12" s="7">
        <v>0</v>
      </c>
      <c r="U12" s="7">
        <v>0</v>
      </c>
      <c r="V12" s="7">
        <v>0</v>
      </c>
      <c r="W12" s="7">
        <v>0</v>
      </c>
      <c r="X12" s="7">
        <v>0</v>
      </c>
      <c r="Y12" s="7">
        <v>0</v>
      </c>
      <c r="Z12" s="7">
        <v>1</v>
      </c>
      <c r="AA12" s="7">
        <v>0</v>
      </c>
      <c r="AB12" s="7">
        <v>0</v>
      </c>
      <c r="AC12" s="17">
        <f t="shared" si="1"/>
        <v>1</v>
      </c>
    </row>
    <row r="13" spans="1:33" ht="54" customHeight="1" thickBot="1" x14ac:dyDescent="0.25">
      <c r="A13" s="50"/>
      <c r="B13" s="18">
        <v>11</v>
      </c>
      <c r="C13" s="20" t="s">
        <v>20</v>
      </c>
      <c r="D13" s="21" t="s">
        <v>5</v>
      </c>
      <c r="E13" s="18">
        <f t="shared" si="0"/>
        <v>0</v>
      </c>
      <c r="F13" s="22">
        <v>244171265.59999999</v>
      </c>
      <c r="G13" s="23">
        <v>1</v>
      </c>
      <c r="H13" s="24">
        <f t="shared" si="2"/>
        <v>0</v>
      </c>
      <c r="I13" s="18">
        <v>0</v>
      </c>
      <c r="J13" s="18">
        <v>0</v>
      </c>
      <c r="K13" s="18">
        <v>0</v>
      </c>
      <c r="L13" s="18">
        <v>0</v>
      </c>
      <c r="M13" s="18">
        <v>0</v>
      </c>
      <c r="N13" s="18">
        <v>0</v>
      </c>
      <c r="O13" s="18">
        <v>0</v>
      </c>
      <c r="P13" s="18">
        <v>0</v>
      </c>
      <c r="Q13" s="18">
        <v>0</v>
      </c>
      <c r="R13" s="18">
        <v>0</v>
      </c>
      <c r="S13" s="18">
        <v>0</v>
      </c>
      <c r="T13" s="18">
        <v>0</v>
      </c>
      <c r="U13" s="18">
        <v>0</v>
      </c>
      <c r="V13" s="18">
        <v>0</v>
      </c>
      <c r="W13" s="18">
        <v>0</v>
      </c>
      <c r="X13" s="18">
        <v>0</v>
      </c>
      <c r="Y13" s="18">
        <v>0</v>
      </c>
      <c r="Z13" s="18">
        <v>0</v>
      </c>
      <c r="AA13" s="18">
        <v>0</v>
      </c>
      <c r="AB13" s="18">
        <v>0</v>
      </c>
      <c r="AC13" s="19">
        <v>0</v>
      </c>
    </row>
    <row r="14" spans="1:33" ht="67.900000000000006" customHeight="1" thickBot="1" x14ac:dyDescent="0.25">
      <c r="A14" s="53" t="s">
        <v>48</v>
      </c>
      <c r="B14" s="54"/>
      <c r="C14" s="54"/>
      <c r="D14" s="54"/>
      <c r="E14" s="54"/>
      <c r="F14" s="54"/>
      <c r="G14" s="54"/>
      <c r="H14" s="55"/>
      <c r="I14" s="56">
        <f>INT(SUM(H3:H13))</f>
        <v>17877391568</v>
      </c>
      <c r="J14" s="57"/>
      <c r="K14" s="57"/>
      <c r="L14" s="57"/>
      <c r="M14" s="57"/>
      <c r="N14" s="57"/>
      <c r="O14" s="57"/>
      <c r="P14" s="57"/>
      <c r="Q14" s="57"/>
      <c r="R14" s="57"/>
      <c r="S14" s="57"/>
      <c r="T14" s="57"/>
      <c r="U14" s="57"/>
      <c r="V14" s="57"/>
      <c r="W14" s="57"/>
      <c r="X14" s="57"/>
      <c r="Y14" s="57"/>
      <c r="Z14" s="57"/>
      <c r="AA14" s="57"/>
      <c r="AB14" s="57"/>
      <c r="AC14" s="58"/>
    </row>
    <row r="15" spans="1:33" ht="67.900000000000006" customHeight="1" thickBot="1" x14ac:dyDescent="0.25">
      <c r="A15" s="53" t="s">
        <v>47</v>
      </c>
      <c r="B15" s="54"/>
      <c r="C15" s="54"/>
      <c r="D15" s="54"/>
      <c r="E15" s="54"/>
      <c r="F15" s="54"/>
      <c r="G15" s="54"/>
      <c r="H15" s="55"/>
      <c r="I15" s="57">
        <f>I14*1.41</f>
        <v>25207122110.879997</v>
      </c>
      <c r="J15" s="57"/>
      <c r="K15" s="57"/>
      <c r="L15" s="57"/>
      <c r="M15" s="57"/>
      <c r="N15" s="57"/>
      <c r="O15" s="57"/>
      <c r="P15" s="57"/>
      <c r="Q15" s="57"/>
      <c r="R15" s="57"/>
      <c r="S15" s="57"/>
      <c r="T15" s="57"/>
      <c r="U15" s="57"/>
      <c r="V15" s="57"/>
      <c r="W15" s="57"/>
      <c r="X15" s="57"/>
      <c r="Y15" s="57"/>
      <c r="Z15" s="57"/>
      <c r="AA15" s="57"/>
      <c r="AB15" s="57"/>
      <c r="AC15" s="58"/>
    </row>
    <row r="16" spans="1:33" ht="22.15" customHeight="1" x14ac:dyDescent="0.2">
      <c r="A16" s="28" t="s">
        <v>23</v>
      </c>
      <c r="B16" s="29"/>
      <c r="C16" s="29"/>
      <c r="D16" s="29"/>
      <c r="E16" s="29"/>
      <c r="F16" s="29"/>
      <c r="G16" s="29"/>
      <c r="H16" s="30"/>
      <c r="I16" s="37" t="s">
        <v>24</v>
      </c>
      <c r="J16" s="38"/>
      <c r="K16" s="38"/>
      <c r="L16" s="38"/>
      <c r="M16" s="38"/>
      <c r="N16" s="38"/>
      <c r="O16" s="38"/>
      <c r="P16" s="38"/>
      <c r="Q16" s="38"/>
      <c r="R16" s="38"/>
      <c r="S16" s="38"/>
      <c r="T16" s="38"/>
      <c r="U16" s="38"/>
      <c r="V16" s="38"/>
      <c r="W16" s="38"/>
      <c r="X16" s="38"/>
      <c r="Y16" s="38"/>
      <c r="Z16" s="38"/>
      <c r="AA16" s="38"/>
      <c r="AB16" s="38"/>
      <c r="AC16" s="39"/>
    </row>
    <row r="17" spans="1:29" ht="22.15" customHeight="1" x14ac:dyDescent="0.2">
      <c r="A17" s="31"/>
      <c r="B17" s="32"/>
      <c r="C17" s="32"/>
      <c r="D17" s="32"/>
      <c r="E17" s="32"/>
      <c r="F17" s="32"/>
      <c r="G17" s="32"/>
      <c r="H17" s="33"/>
      <c r="I17" s="40"/>
      <c r="J17" s="41"/>
      <c r="K17" s="41"/>
      <c r="L17" s="41"/>
      <c r="M17" s="41"/>
      <c r="N17" s="41"/>
      <c r="O17" s="41"/>
      <c r="P17" s="41"/>
      <c r="Q17" s="41"/>
      <c r="R17" s="41"/>
      <c r="S17" s="41"/>
      <c r="T17" s="41"/>
      <c r="U17" s="41"/>
      <c r="V17" s="41"/>
      <c r="W17" s="41"/>
      <c r="X17" s="41"/>
      <c r="Y17" s="41"/>
      <c r="Z17" s="41"/>
      <c r="AA17" s="41"/>
      <c r="AB17" s="41"/>
      <c r="AC17" s="42"/>
    </row>
    <row r="18" spans="1:29" ht="22.15" customHeight="1" x14ac:dyDescent="0.2">
      <c r="A18" s="31"/>
      <c r="B18" s="32"/>
      <c r="C18" s="32"/>
      <c r="D18" s="32"/>
      <c r="E18" s="32"/>
      <c r="F18" s="32"/>
      <c r="G18" s="32"/>
      <c r="H18" s="33"/>
      <c r="I18" s="40"/>
      <c r="J18" s="41"/>
      <c r="K18" s="41"/>
      <c r="L18" s="41"/>
      <c r="M18" s="41"/>
      <c r="N18" s="41"/>
      <c r="O18" s="41"/>
      <c r="P18" s="41"/>
      <c r="Q18" s="41"/>
      <c r="R18" s="41"/>
      <c r="S18" s="41"/>
      <c r="T18" s="41"/>
      <c r="U18" s="41"/>
      <c r="V18" s="41"/>
      <c r="W18" s="41"/>
      <c r="X18" s="41"/>
      <c r="Y18" s="41"/>
      <c r="Z18" s="41"/>
      <c r="AA18" s="41"/>
      <c r="AB18" s="41"/>
      <c r="AC18" s="42"/>
    </row>
    <row r="19" spans="1:29" ht="22.15" customHeight="1" x14ac:dyDescent="0.2">
      <c r="A19" s="31"/>
      <c r="B19" s="32"/>
      <c r="C19" s="32"/>
      <c r="D19" s="32"/>
      <c r="E19" s="32"/>
      <c r="F19" s="32"/>
      <c r="G19" s="32"/>
      <c r="H19" s="33"/>
      <c r="I19" s="40"/>
      <c r="J19" s="41"/>
      <c r="K19" s="41"/>
      <c r="L19" s="41"/>
      <c r="M19" s="41"/>
      <c r="N19" s="41"/>
      <c r="O19" s="41"/>
      <c r="P19" s="41"/>
      <c r="Q19" s="41"/>
      <c r="R19" s="41"/>
      <c r="S19" s="41"/>
      <c r="T19" s="41"/>
      <c r="U19" s="41"/>
      <c r="V19" s="41"/>
      <c r="W19" s="41"/>
      <c r="X19" s="41"/>
      <c r="Y19" s="41"/>
      <c r="Z19" s="41"/>
      <c r="AA19" s="41"/>
      <c r="AB19" s="41"/>
      <c r="AC19" s="42"/>
    </row>
    <row r="20" spans="1:29" ht="157.9" customHeight="1" thickBot="1" x14ac:dyDescent="0.25">
      <c r="A20" s="34"/>
      <c r="B20" s="35"/>
      <c r="C20" s="35"/>
      <c r="D20" s="35"/>
      <c r="E20" s="35"/>
      <c r="F20" s="35"/>
      <c r="G20" s="35"/>
      <c r="H20" s="36"/>
      <c r="I20" s="43"/>
      <c r="J20" s="44"/>
      <c r="K20" s="44"/>
      <c r="L20" s="44"/>
      <c r="M20" s="44"/>
      <c r="N20" s="44"/>
      <c r="O20" s="44"/>
      <c r="P20" s="44"/>
      <c r="Q20" s="44"/>
      <c r="R20" s="44"/>
      <c r="S20" s="44"/>
      <c r="T20" s="44"/>
      <c r="U20" s="44"/>
      <c r="V20" s="44"/>
      <c r="W20" s="44"/>
      <c r="X20" s="44"/>
      <c r="Y20" s="44"/>
      <c r="Z20" s="44"/>
      <c r="AA20" s="44"/>
      <c r="AB20" s="44"/>
      <c r="AC20" s="45"/>
    </row>
    <row r="21" spans="1:29" ht="22.15" customHeight="1" x14ac:dyDescent="0.2">
      <c r="A21" s="3"/>
      <c r="B21" s="3"/>
      <c r="C21" s="3"/>
      <c r="D21" s="3"/>
      <c r="E21" s="3"/>
      <c r="F21" s="4"/>
      <c r="G21" s="4"/>
      <c r="H21" s="4"/>
      <c r="I21" s="4"/>
      <c r="J21" s="4"/>
      <c r="K21" s="4"/>
      <c r="L21" s="4"/>
      <c r="M21" s="4"/>
      <c r="N21" s="4"/>
      <c r="O21" s="4"/>
      <c r="P21" s="4"/>
      <c r="Q21" s="4"/>
      <c r="R21" s="4"/>
      <c r="S21" s="4"/>
      <c r="T21" s="4"/>
      <c r="U21" s="4"/>
      <c r="V21" s="4"/>
      <c r="W21" s="4"/>
      <c r="X21" s="4"/>
      <c r="Y21" s="4"/>
      <c r="Z21" s="4"/>
      <c r="AA21" s="4"/>
      <c r="AB21" s="4"/>
      <c r="AC21" s="4"/>
    </row>
    <row r="22" spans="1:29" ht="22.15" customHeight="1" x14ac:dyDescent="0.2">
      <c r="A22" s="3"/>
      <c r="B22" s="3"/>
      <c r="C22" s="3"/>
      <c r="D22" s="3"/>
      <c r="E22" s="3"/>
      <c r="F22" s="4"/>
      <c r="G22" s="4"/>
      <c r="H22" s="4"/>
      <c r="I22" s="4"/>
      <c r="J22" s="4"/>
      <c r="K22" s="4"/>
      <c r="L22" s="4"/>
      <c r="M22" s="4"/>
      <c r="N22" s="4"/>
      <c r="O22" s="4"/>
      <c r="P22" s="4"/>
      <c r="Q22" s="4"/>
      <c r="R22" s="4"/>
      <c r="S22" s="4"/>
      <c r="T22" s="4"/>
      <c r="U22" s="4"/>
      <c r="V22" s="4"/>
      <c r="W22" s="4"/>
      <c r="X22" s="4"/>
      <c r="Y22" s="4"/>
      <c r="Z22" s="4"/>
      <c r="AA22" s="4"/>
      <c r="AB22" s="4"/>
      <c r="AC22" s="4"/>
    </row>
  </sheetData>
  <mergeCells count="10">
    <mergeCell ref="A16:H20"/>
    <mergeCell ref="I16:AC20"/>
    <mergeCell ref="A1:AC1"/>
    <mergeCell ref="A2:C2"/>
    <mergeCell ref="A9:A13"/>
    <mergeCell ref="A4:A8"/>
    <mergeCell ref="A14:H14"/>
    <mergeCell ref="I14:AC14"/>
    <mergeCell ref="A15:H15"/>
    <mergeCell ref="I15:AC15"/>
  </mergeCells>
  <printOptions horizontalCentered="1" verticalCentered="1"/>
  <pageMargins left="0.1" right="0.1" top="0.1" bottom="0.1" header="0.1" footer="0.1"/>
  <pageSetup paperSize="9" scale="36"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Sheet1 (2)</vt:lpstr>
      <vt:lpstr>Sheet1</vt:lpstr>
      <vt:lpstr>Sheet1!Print_Area</vt:lpstr>
      <vt:lpstr>'Sheet1 (2)'!Print_Area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Takin sazeh 2</dc:creator>
  <cp:lastModifiedBy>امین بزرگمهر</cp:lastModifiedBy>
  <cp:lastPrinted>2026-01-21T06:36:30Z</cp:lastPrinted>
  <dcterms:created xsi:type="dcterms:W3CDTF">2024-07-20T07:42:08Z</dcterms:created>
  <dcterms:modified xsi:type="dcterms:W3CDTF">2026-03-09T09:03:59Z</dcterms:modified>
</cp:coreProperties>
</file>