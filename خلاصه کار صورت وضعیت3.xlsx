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بهسازی تکین سازه 1403\تکین سازه\159725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_xlnm.Print_Area" localSheetId="0">Sheet1!$A$1:$Z$21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H15" i="1" s="1"/>
  <c r="H16" i="1" s="1"/>
  <c r="Z4" i="1"/>
  <c r="Z3" i="1"/>
  <c r="Z5" i="1" l="1"/>
  <c r="E3" i="1" l="1"/>
  <c r="H3" i="1" l="1"/>
  <c r="E13" i="1" l="1"/>
  <c r="H13" i="1" s="1"/>
  <c r="E12" i="1"/>
  <c r="H12" i="1" s="1"/>
  <c r="E11" i="1"/>
  <c r="H11" i="1" s="1"/>
  <c r="E10" i="1"/>
  <c r="H10" i="1" s="1"/>
  <c r="E9" i="1"/>
  <c r="H9" i="1" s="1"/>
  <c r="Z8" i="1"/>
  <c r="E8" i="1"/>
  <c r="H8" i="1" s="1"/>
  <c r="E6" i="1" l="1"/>
  <c r="H6" i="1" s="1"/>
  <c r="E5" i="1"/>
  <c r="H5" i="1" s="1"/>
  <c r="E7" i="1"/>
  <c r="H7" i="1" s="1"/>
  <c r="E4" i="1" l="1"/>
  <c r="H4" i="1" s="1"/>
  <c r="Z12" i="1"/>
  <c r="Z11" i="1"/>
  <c r="Z10" i="1"/>
  <c r="Z9" i="1"/>
  <c r="Z6" i="1"/>
  <c r="Z7" i="1" l="1"/>
</calcChain>
</file>

<file path=xl/sharedStrings.xml><?xml version="1.0" encoding="utf-8"?>
<sst xmlns="http://schemas.openxmlformats.org/spreadsheetml/2006/main" count="56" uniqueCount="49">
  <si>
    <t xml:space="preserve">شرح عملیات کلی </t>
  </si>
  <si>
    <t xml:space="preserve">ویدئو متری </t>
  </si>
  <si>
    <t xml:space="preserve">عملیات احیا و بهسازی </t>
  </si>
  <si>
    <t xml:space="preserve">متر </t>
  </si>
  <si>
    <t>چاه</t>
  </si>
  <si>
    <t>مورد</t>
  </si>
  <si>
    <t>واحد</t>
  </si>
  <si>
    <t xml:space="preserve">اضافه بها به ردیف 4 به ازای تزریق هر کیلو گرم اسید بیش از 1000 کیلو گرم </t>
  </si>
  <si>
    <t>کیلوگرم</t>
  </si>
  <si>
    <t xml:space="preserve">مقدار </t>
  </si>
  <si>
    <t xml:space="preserve">عملیات ترمیم جدار </t>
  </si>
  <si>
    <t>اضافه بها به ردیف 2 به ازای هر متر بیش از 150 متر</t>
  </si>
  <si>
    <t>اضافه بها به ردیف 2 به ازای هر متراضافه تر تزریق بیش از 150 متر</t>
  </si>
  <si>
    <t xml:space="preserve">رفع دفرمگی جدار چاه صاف کردن چاه و باز کردن مسیر عملیات به ازای هر مورد در تخریب های دوم و بیشتر </t>
  </si>
  <si>
    <t>مقدار کل</t>
  </si>
  <si>
    <t>ویدئومتری</t>
  </si>
  <si>
    <t>نماینده پیمانکار</t>
  </si>
  <si>
    <t>رئیس اداره تجهیزات و تعمیرات مکانیکی</t>
  </si>
  <si>
    <t xml:space="preserve">مبلغ واحد قبل از اعمال ضرایب </t>
  </si>
  <si>
    <t>ضرایب پیمان</t>
  </si>
  <si>
    <t>مبلغ کل پس از اعمال ضرایب پیمان</t>
  </si>
  <si>
    <t>مبلغ کل پس از اعمال ضریب بالاسری (1.41)</t>
  </si>
  <si>
    <t xml:space="preserve">مبلغ کل قبل از اعمال ضریب بالاسری </t>
  </si>
  <si>
    <t xml:space="preserve">انجام عملیات احیای فزیکی </t>
  </si>
  <si>
    <t xml:space="preserve">عملیات خرید و تزریق مواد شیمیایی متناسب به میزان 150 متر </t>
  </si>
  <si>
    <t>حمل و نقل تجهیزات استقرار و آماده سازی ماشین آلات و برچیدن کارگاه جهت انجام عملیات ترمیم جدار چاه ها</t>
  </si>
  <si>
    <t>رفع دفرمگی جدار چاه صاف کردن چاه و باز کردن مسیر عملیات به ازای اولین تخریب</t>
  </si>
  <si>
    <t>هزینه اولین نصب لوله در محل آسیب دیده</t>
  </si>
  <si>
    <t xml:space="preserve">هزینه دومین نصب و بعدی نصب لوله در محل آسیب دیده به ازای هر مورد </t>
  </si>
  <si>
    <t>انجام عملیات ویدئو متری  چاه تا هر عمق و ارائه گزارش  کارشناسی</t>
  </si>
  <si>
    <t>جمع مبلغ قابل پرداخت</t>
  </si>
  <si>
    <t>.</t>
  </si>
  <si>
    <t>رجائی 7</t>
  </si>
  <si>
    <t>باغون آباد2</t>
  </si>
  <si>
    <t>سیدی 8</t>
  </si>
  <si>
    <t>درآبد 6</t>
  </si>
  <si>
    <t>امام رضا 26</t>
  </si>
  <si>
    <t>چمران 2</t>
  </si>
  <si>
    <t>انصار المهدی</t>
  </si>
  <si>
    <t>رستمی 12</t>
  </si>
  <si>
    <t>رازی</t>
  </si>
  <si>
    <t>روستای کشف</t>
  </si>
  <si>
    <t>کشف 9</t>
  </si>
  <si>
    <t>فرهنگیان1</t>
  </si>
  <si>
    <t>درآبد 6 رزرو</t>
  </si>
  <si>
    <r>
      <t>خلاصه کارهای انجام شده صورت وضعیت شماره</t>
    </r>
    <r>
      <rPr>
        <b/>
        <sz val="18"/>
        <color rgb="FFFF0000"/>
        <rFont val="B Titr"/>
        <charset val="178"/>
      </rPr>
      <t xml:space="preserve"> سه</t>
    </r>
    <r>
      <rPr>
        <b/>
        <sz val="18"/>
        <color theme="1"/>
        <rFont val="B Titr"/>
        <charset val="178"/>
      </rPr>
      <t xml:space="preserve"> </t>
    </r>
    <r>
      <rPr>
        <b/>
        <u/>
        <sz val="18"/>
        <color rgb="FFFF0000"/>
        <rFont val="B Badr"/>
        <charset val="178"/>
      </rPr>
      <t>3</t>
    </r>
    <r>
      <rPr>
        <b/>
        <sz val="18"/>
        <color theme="1"/>
        <rFont val="B Titr"/>
        <charset val="178"/>
      </rPr>
      <t xml:space="preserve"> قرارداد 1404/159725 مورخ 1404/10/23 با موضوع عملیات احیا و بهسازی تعداد 70 حلقه چاه آب شرب </t>
    </r>
  </si>
  <si>
    <t>امام علی 1</t>
  </si>
  <si>
    <t>باهنر 5</t>
  </si>
  <si>
    <t>قدس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</si>
</sst>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#,##0.000"/>
    <numFmt numFmtId="167" formatCode="#,##0.0"/>
    <numFmt numFmtId="168" formatCode="#,##0.0000"/>
  </numFmts>
  <fonts count="9" x14ac:knownFonts="1">
    <font>
      <sz val="11"/>
      <color theme="1"/>
      <name val="Arial"/>
      <family val="2"/>
      <scheme val="minor"/>
    </font>
    <font>
      <b/>
      <sz val="11"/>
      <color theme="1"/>
      <name val="B Titr"/>
      <charset val="178"/>
    </font>
    <font>
      <sz val="11"/>
      <color theme="1"/>
      <name val="Arial"/>
      <family val="2"/>
      <scheme val="minor"/>
    </font>
    <font>
      <b/>
      <sz val="14"/>
      <color theme="1"/>
      <name val="B Nazanin"/>
      <charset val="178"/>
    </font>
    <font>
      <b/>
      <sz val="14"/>
      <color theme="1"/>
      <name val="B Titr"/>
      <charset val="178"/>
    </font>
    <font>
      <b/>
      <sz val="16"/>
      <color theme="1"/>
      <name val="B Titr"/>
      <charset val="178"/>
    </font>
    <font>
      <b/>
      <sz val="18"/>
      <color theme="1"/>
      <name val="B Titr"/>
      <charset val="178"/>
    </font>
    <font>
      <b/>
      <sz val="18"/>
      <color rgb="FFFF0000"/>
      <name val="B Titr"/>
      <charset val="178"/>
    </font>
    <font>
      <b/>
      <u/>
      <sz val="18"/>
      <color rgb="FFFF0000"/>
      <name val="B Badr"/>
      <charset val="17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37" fontId="5" fillId="0" borderId="1" xfId="1" applyNumberFormat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67" fontId="5" fillId="0" borderId="18" xfId="0" applyNumberFormat="1" applyFont="1" applyBorder="1" applyAlignment="1">
      <alignment horizontal="center" vertical="center"/>
    </xf>
    <xf numFmtId="166" fontId="5" fillId="0" borderId="18" xfId="0" applyNumberFormat="1" applyFont="1" applyBorder="1" applyAlignment="1">
      <alignment horizontal="center" vertical="center"/>
    </xf>
    <xf numFmtId="165" fontId="5" fillId="0" borderId="18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3" fontId="6" fillId="0" borderId="20" xfId="0" applyNumberFormat="1" applyFont="1" applyBorder="1" applyAlignment="1">
      <alignment horizontal="right" vertical="center"/>
    </xf>
    <xf numFmtId="3" fontId="6" fillId="0" borderId="21" xfId="0" applyNumberFormat="1" applyFont="1" applyBorder="1" applyAlignment="1">
      <alignment horizontal="right" vertical="center"/>
    </xf>
    <xf numFmtId="3" fontId="6" fillId="0" borderId="22" xfId="0" applyNumberFormat="1" applyFont="1" applyBorder="1" applyAlignment="1">
      <alignment horizontal="right" vertical="center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6" fillId="0" borderId="15" xfId="0" applyFont="1" applyBorder="1" applyAlignment="1">
      <alignment horizontal="center" vertical="top"/>
    </xf>
    <xf numFmtId="0" fontId="6" fillId="0" borderId="12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16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4" xfId="0" applyFont="1" applyBorder="1" applyAlignment="1">
      <alignment horizontal="center" vertical="top"/>
    </xf>
    <xf numFmtId="0" fontId="6" fillId="0" borderId="17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31115</xdr:colOff>
      <xdr:row>14</xdr:row>
      <xdr:rowOff>42545</xdr:rowOff>
    </xdr:from>
    <xdr:to>
      <xdr:col>26</xdr:col>
      <xdr:colOff>137795</xdr:colOff>
      <xdr:row>14</xdr:row>
      <xdr:rowOff>621121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7A965B-75BC-42BF-9775-417DBED83B9C}"/>
            </a:ext>
          </a:extLst>
        </xdr:cNvPr>
        <xdr:cNvSpPr txBox="1"/>
      </xdr:nvSpPr>
      <xdr:spPr>
        <a:xfrm>
          <a:off x="11425925205" y="10345420"/>
          <a:ext cx="13378180" cy="5785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800" b="1">
              <a:cs typeface="B Titr" panose="00000700000000000000" pitchFamily="2" charset="-78"/>
            </a:rPr>
            <a:t>بیست میلیارد و چهل و یک میلیون و سیصد و چهل و چهار هزار و هفتصد و سی و شش ریال</a:t>
          </a:r>
        </a:p>
      </xdr:txBody>
    </xdr:sp>
    <xdr:clientData/>
  </xdr:twoCellAnchor>
  <xdr:twoCellAnchor>
    <xdr:from>
      <xdr:col>7</xdr:col>
      <xdr:colOff>1828800</xdr:colOff>
      <xdr:row>13</xdr:row>
      <xdr:rowOff>45720</xdr:rowOff>
    </xdr:from>
    <xdr:to>
      <xdr:col>25</xdr:col>
      <xdr:colOff>533400</xdr:colOff>
      <xdr:row>14</xdr:row>
      <xdr:rowOff>45720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07A965B-75BC-42BF-9775-417DBED83B9C}"/>
            </a:ext>
          </a:extLst>
        </xdr:cNvPr>
        <xdr:cNvSpPr txBox="1"/>
      </xdr:nvSpPr>
      <xdr:spPr>
        <a:xfrm>
          <a:off x="10224957960" y="9372600"/>
          <a:ext cx="7254240" cy="86868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a-IR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B Titr" panose="00000700000000000000" pitchFamily="2" charset="-78"/>
            </a:rPr>
            <a:t>چهارده میلیارد و دویست و سیزده میلیون و هفتصد و نوزده هزار و ششصد و هفتاد و یک ریال</a:t>
          </a:r>
        </a:p>
      </xdr:txBody>
    </xdr:sp>
    <xdr:clientData/>
  </xdr:twoCellAnchor>
  <xdr:twoCellAnchor>
    <xdr:from>
      <xdr:col>8</xdr:col>
      <xdr:colOff>15240</xdr:colOff>
      <xdr:row>15</xdr:row>
      <xdr:rowOff>0</xdr:rowOff>
    </xdr:from>
    <xdr:to>
      <xdr:col>26</xdr:col>
      <xdr:colOff>121920</xdr:colOff>
      <xdr:row>15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07A965B-75BC-42BF-9775-417DBED83B9C}"/>
            </a:ext>
          </a:extLst>
        </xdr:cNvPr>
        <xdr:cNvSpPr txBox="1"/>
      </xdr:nvSpPr>
      <xdr:spPr>
        <a:xfrm>
          <a:off x="10224759840" y="10317480"/>
          <a:ext cx="7391400" cy="616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600" b="1" baseline="0">
              <a:cs typeface="B Titr" panose="00000700000000000000" pitchFamily="2" charset="-78"/>
            </a:rPr>
            <a:t>ریال</a:t>
          </a:r>
          <a:endParaRPr lang="en-US" sz="1600" b="1">
            <a:cs typeface="B Titr" panose="00000700000000000000" pitchFamily="2" charset="-78"/>
          </a:endParaRPr>
        </a:p>
      </xdr:txBody>
    </xdr:sp>
    <xdr:clientData/>
  </xdr:twoCellAnchor>
  <xdr:twoCellAnchor>
    <xdr:from>
      <xdr:col>8</xdr:col>
      <xdr:colOff>15240</xdr:colOff>
      <xdr:row>15</xdr:row>
      <xdr:rowOff>121920</xdr:rowOff>
    </xdr:from>
    <xdr:to>
      <xdr:col>26</xdr:col>
      <xdr:colOff>121920</xdr:colOff>
      <xdr:row>15</xdr:row>
      <xdr:rowOff>525236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07A965B-75BC-42BF-9775-417DBED83B9C}"/>
            </a:ext>
          </a:extLst>
        </xdr:cNvPr>
        <xdr:cNvSpPr txBox="1"/>
      </xdr:nvSpPr>
      <xdr:spPr>
        <a:xfrm>
          <a:off x="10221010800" y="10165080"/>
          <a:ext cx="11612880" cy="4033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rtl="1"/>
          <a:r>
            <a:rPr lang="fa-IR" sz="1800" b="1">
              <a:solidFill>
                <a:schemeClr val="dk1"/>
              </a:solidFill>
              <a:effectLst/>
              <a:latin typeface="+mn-lt"/>
              <a:ea typeface="+mn-ea"/>
              <a:cs typeface="B Titr" panose="00000700000000000000" pitchFamily="2" charset="-78"/>
            </a:rPr>
            <a:t>هجده میلیارد</a:t>
          </a:r>
          <a:r>
            <a:rPr lang="fa-IR" sz="1800" b="1" baseline="0">
              <a:solidFill>
                <a:schemeClr val="dk1"/>
              </a:solidFill>
              <a:effectLst/>
              <a:latin typeface="+mn-lt"/>
              <a:ea typeface="+mn-ea"/>
              <a:cs typeface="B Titr" panose="00000700000000000000" pitchFamily="2" charset="-78"/>
            </a:rPr>
            <a:t> و پانصد و هفتاد و یک میلیون سیصد و چهل و چهار هزار و هفتصد و سی و هفت ریال</a:t>
          </a:r>
          <a:endParaRPr lang="en-US" sz="1800">
            <a:effectLst/>
            <a:cs typeface="B Titr" panose="00000700000000000000" pitchFamily="2" charset="-78"/>
          </a:endParaRPr>
        </a:p>
        <a:p>
          <a:pPr algn="r" rtl="1"/>
          <a:endParaRPr lang="en-US" sz="1600" b="1">
            <a:cs typeface="B Titr" panose="00000700000000000000" pitchFamily="2" charset="-7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3"/>
  <sheetViews>
    <sheetView rightToLeft="1" tabSelected="1" topLeftCell="B1" zoomScale="60" zoomScaleNormal="60" zoomScaleSheetLayoutView="50" workbookViewId="0">
      <selection activeCell="H15" sqref="H15:Z15"/>
    </sheetView>
  </sheetViews>
  <sheetFormatPr defaultColWidth="9.125" defaultRowHeight="22.5" x14ac:dyDescent="0.2"/>
  <cols>
    <col min="1" max="1" width="12.125" style="2" customWidth="1"/>
    <col min="2" max="2" width="9.125" style="1"/>
    <col min="3" max="3" width="91.5" style="2" customWidth="1"/>
    <col min="4" max="4" width="7.625" style="1" customWidth="1"/>
    <col min="5" max="5" width="11.5" style="1" bestFit="1" customWidth="1"/>
    <col min="6" max="6" width="23.125" style="1" customWidth="1"/>
    <col min="7" max="7" width="12.375" style="1" customWidth="1"/>
    <col min="8" max="8" width="27.25" style="1" bestFit="1" customWidth="1"/>
    <col min="9" max="9" width="8.125" style="1" customWidth="1"/>
    <col min="10" max="10" width="9.5" style="1" bestFit="1" customWidth="1"/>
    <col min="11" max="11" width="8.25" style="1" customWidth="1"/>
    <col min="12" max="12" width="8.125" style="1" customWidth="1"/>
    <col min="13" max="13" width="9.25" style="1" customWidth="1"/>
    <col min="14" max="14" width="8.25" style="1" customWidth="1"/>
    <col min="15" max="15" width="9.75" style="1" customWidth="1"/>
    <col min="16" max="16" width="8.25" style="1" customWidth="1"/>
    <col min="17" max="17" width="8.625" style="1" customWidth="1"/>
    <col min="18" max="18" width="11.5" style="1" customWidth="1"/>
    <col min="19" max="19" width="8.625" style="1" customWidth="1"/>
    <col min="20" max="24" width="10.5" style="1" customWidth="1"/>
    <col min="25" max="25" width="12" style="1" customWidth="1"/>
    <col min="26" max="26" width="11.625" style="1" customWidth="1"/>
    <col min="27" max="16384" width="9.125" style="1"/>
  </cols>
  <sheetData>
    <row r="1" spans="1:28" ht="58.9" customHeight="1" thickBot="1" x14ac:dyDescent="0.25">
      <c r="A1" s="50" t="s">
        <v>45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8" s="18" customFormat="1" ht="64.5" x14ac:dyDescent="0.2">
      <c r="A2" s="51" t="s">
        <v>0</v>
      </c>
      <c r="B2" s="52"/>
      <c r="C2" s="52"/>
      <c r="D2" s="19" t="s">
        <v>6</v>
      </c>
      <c r="E2" s="19" t="s">
        <v>9</v>
      </c>
      <c r="F2" s="20" t="s">
        <v>18</v>
      </c>
      <c r="G2" s="20" t="s">
        <v>19</v>
      </c>
      <c r="H2" s="20" t="s">
        <v>20</v>
      </c>
      <c r="I2" s="20" t="s">
        <v>32</v>
      </c>
      <c r="J2" s="20" t="s">
        <v>33</v>
      </c>
      <c r="K2" s="20" t="s">
        <v>34</v>
      </c>
      <c r="L2" s="20" t="s">
        <v>35</v>
      </c>
      <c r="M2" s="20" t="s">
        <v>36</v>
      </c>
      <c r="N2" s="20" t="s">
        <v>37</v>
      </c>
      <c r="O2" s="20" t="s">
        <v>38</v>
      </c>
      <c r="P2" s="20" t="s">
        <v>40</v>
      </c>
      <c r="Q2" s="20" t="s">
        <v>39</v>
      </c>
      <c r="R2" s="20" t="s">
        <v>41</v>
      </c>
      <c r="S2" s="20" t="s">
        <v>42</v>
      </c>
      <c r="T2" s="20" t="s">
        <v>43</v>
      </c>
      <c r="U2" s="20" t="s">
        <v>44</v>
      </c>
      <c r="V2" s="20" t="s">
        <v>46</v>
      </c>
      <c r="W2" s="20" t="s">
        <v>47</v>
      </c>
      <c r="X2" s="20" t="s">
        <v>48</v>
      </c>
      <c r="Y2" s="19" t="s">
        <v>15</v>
      </c>
      <c r="Z2" s="21" t="s">
        <v>14</v>
      </c>
    </row>
    <row r="3" spans="1:28" ht="57.6" customHeight="1" x14ac:dyDescent="0.2">
      <c r="A3" s="22" t="s">
        <v>1</v>
      </c>
      <c r="B3" s="5">
        <v>1</v>
      </c>
      <c r="C3" s="23" t="s">
        <v>29</v>
      </c>
      <c r="D3" s="5" t="s">
        <v>5</v>
      </c>
      <c r="E3" s="5">
        <f>Y3</f>
        <v>65</v>
      </c>
      <c r="F3" s="6">
        <v>26950354.600000001</v>
      </c>
      <c r="G3" s="7">
        <v>1.546</v>
      </c>
      <c r="H3" s="8">
        <f>F3*E3*G3</f>
        <v>2708241133.7540002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65</v>
      </c>
      <c r="Z3" s="9">
        <f>Y3</f>
        <v>65</v>
      </c>
    </row>
    <row r="4" spans="1:28" ht="57.6" customHeight="1" x14ac:dyDescent="0.2">
      <c r="A4" s="54" t="s">
        <v>2</v>
      </c>
      <c r="B4" s="5">
        <v>2</v>
      </c>
      <c r="C4" s="23" t="s">
        <v>23</v>
      </c>
      <c r="D4" s="5" t="s">
        <v>4</v>
      </c>
      <c r="E4" s="5">
        <f>Z4</f>
        <v>13</v>
      </c>
      <c r="F4" s="6">
        <v>319148936.19999999</v>
      </c>
      <c r="G4" s="10">
        <v>0.83620000000000005</v>
      </c>
      <c r="H4" s="8">
        <f>F4*E4*G4</f>
        <v>3469340425.85572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1</v>
      </c>
      <c r="U4" s="5">
        <v>1</v>
      </c>
      <c r="V4" s="5">
        <v>2</v>
      </c>
      <c r="W4" s="5">
        <v>1</v>
      </c>
      <c r="X4" s="5">
        <v>1</v>
      </c>
      <c r="Y4" s="5">
        <v>0</v>
      </c>
      <c r="Z4" s="9">
        <f>SUM(I4:Y4)</f>
        <v>13</v>
      </c>
    </row>
    <row r="5" spans="1:28" ht="57.6" customHeight="1" x14ac:dyDescent="0.2">
      <c r="A5" s="55"/>
      <c r="B5" s="5">
        <v>3</v>
      </c>
      <c r="C5" s="23" t="s">
        <v>11</v>
      </c>
      <c r="D5" s="5" t="s">
        <v>3</v>
      </c>
      <c r="E5" s="5">
        <f t="shared" ref="E5:E13" si="0">SUM(I5:Y5)</f>
        <v>560</v>
      </c>
      <c r="F5" s="6">
        <v>2127659.6</v>
      </c>
      <c r="G5" s="10">
        <v>0.83620000000000005</v>
      </c>
      <c r="H5" s="8">
        <f>F5*E5*G5</f>
        <v>996323416.21120012</v>
      </c>
      <c r="I5" s="5">
        <v>50</v>
      </c>
      <c r="J5" s="5">
        <v>49</v>
      </c>
      <c r="K5" s="5">
        <v>26</v>
      </c>
      <c r="L5" s="5">
        <v>0</v>
      </c>
      <c r="M5" s="5">
        <v>56</v>
      </c>
      <c r="N5" s="5">
        <v>0</v>
      </c>
      <c r="O5" s="5">
        <v>0</v>
      </c>
      <c r="P5" s="5">
        <v>0</v>
      </c>
      <c r="Q5" s="5">
        <v>0</v>
      </c>
      <c r="R5" s="5">
        <v>100</v>
      </c>
      <c r="S5" s="5">
        <v>46</v>
      </c>
      <c r="T5" s="5">
        <v>69</v>
      </c>
      <c r="U5" s="5">
        <v>27</v>
      </c>
      <c r="V5" s="5">
        <v>26</v>
      </c>
      <c r="W5" s="5">
        <v>68</v>
      </c>
      <c r="X5" s="5">
        <v>43</v>
      </c>
      <c r="Y5" s="5">
        <v>0</v>
      </c>
      <c r="Z5" s="9">
        <f>SUM(I5:X5)</f>
        <v>560</v>
      </c>
    </row>
    <row r="6" spans="1:28" ht="57.6" customHeight="1" x14ac:dyDescent="0.2">
      <c r="A6" s="55"/>
      <c r="B6" s="5">
        <v>4</v>
      </c>
      <c r="C6" s="23" t="s">
        <v>24</v>
      </c>
      <c r="D6" s="5" t="s">
        <v>4</v>
      </c>
      <c r="E6" s="5">
        <f t="shared" si="0"/>
        <v>10</v>
      </c>
      <c r="F6" s="6">
        <v>113475177.3</v>
      </c>
      <c r="G6" s="10">
        <v>0.83620000000000005</v>
      </c>
      <c r="H6" s="8">
        <f>F6*E6*G6</f>
        <v>948879432.58260012</v>
      </c>
      <c r="I6" s="5">
        <v>1</v>
      </c>
      <c r="J6" s="5">
        <v>1</v>
      </c>
      <c r="K6" s="5">
        <v>0</v>
      </c>
      <c r="L6" s="5">
        <v>0</v>
      </c>
      <c r="M6" s="5">
        <v>1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0</v>
      </c>
      <c r="Z6" s="9">
        <f t="shared" ref="Z6:Z12" si="1">SUM(I6:Y6)</f>
        <v>10</v>
      </c>
    </row>
    <row r="7" spans="1:28" ht="57.6" customHeight="1" x14ac:dyDescent="0.2">
      <c r="A7" s="55"/>
      <c r="B7" s="5">
        <v>5</v>
      </c>
      <c r="C7" s="23" t="s">
        <v>12</v>
      </c>
      <c r="D7" s="5" t="s">
        <v>3</v>
      </c>
      <c r="E7" s="5">
        <f t="shared" si="0"/>
        <v>521</v>
      </c>
      <c r="F7" s="6">
        <v>756501.2</v>
      </c>
      <c r="G7" s="10">
        <v>0.83620000000000005</v>
      </c>
      <c r="H7" s="8">
        <f>F7*E7*G7</f>
        <v>329577464.09224004</v>
      </c>
      <c r="I7" s="5">
        <v>50</v>
      </c>
      <c r="J7" s="5">
        <v>49</v>
      </c>
      <c r="K7" s="5">
        <v>0</v>
      </c>
      <c r="L7" s="5">
        <v>0</v>
      </c>
      <c r="M7" s="5">
        <v>56</v>
      </c>
      <c r="N7" s="5">
        <v>0</v>
      </c>
      <c r="O7" s="5">
        <v>0</v>
      </c>
      <c r="P7" s="5">
        <v>0</v>
      </c>
      <c r="Q7" s="5">
        <v>0</v>
      </c>
      <c r="R7" s="5">
        <v>100</v>
      </c>
      <c r="S7" s="5">
        <v>46</v>
      </c>
      <c r="T7" s="5">
        <v>69</v>
      </c>
      <c r="U7" s="5">
        <v>27</v>
      </c>
      <c r="V7" s="5">
        <v>13</v>
      </c>
      <c r="W7" s="5">
        <v>68</v>
      </c>
      <c r="X7" s="5">
        <v>43</v>
      </c>
      <c r="Y7" s="5">
        <v>0</v>
      </c>
      <c r="Z7" s="9">
        <f t="shared" si="1"/>
        <v>521</v>
      </c>
      <c r="AB7" s="1" t="s">
        <v>31</v>
      </c>
    </row>
    <row r="8" spans="1:28" ht="57.6" customHeight="1" x14ac:dyDescent="0.2">
      <c r="A8" s="56"/>
      <c r="B8" s="5">
        <v>6</v>
      </c>
      <c r="C8" s="23" t="s">
        <v>7</v>
      </c>
      <c r="D8" s="5" t="s">
        <v>8</v>
      </c>
      <c r="E8" s="5">
        <f t="shared" si="0"/>
        <v>33000</v>
      </c>
      <c r="F8" s="6">
        <v>63829.8</v>
      </c>
      <c r="G8" s="10">
        <v>0.83620000000000005</v>
      </c>
      <c r="H8" s="8">
        <f t="shared" ref="H8:H13" si="2">F8*G8*E8</f>
        <v>1761357799.0800002</v>
      </c>
      <c r="I8" s="5">
        <v>4000</v>
      </c>
      <c r="J8" s="5">
        <v>4000</v>
      </c>
      <c r="K8" s="5">
        <v>0</v>
      </c>
      <c r="L8" s="5">
        <v>0</v>
      </c>
      <c r="M8" s="5">
        <v>2500</v>
      </c>
      <c r="N8" s="5">
        <v>0</v>
      </c>
      <c r="O8" s="5">
        <v>0</v>
      </c>
      <c r="P8" s="5">
        <v>0</v>
      </c>
      <c r="Q8" s="5">
        <v>0</v>
      </c>
      <c r="R8" s="5">
        <v>3000</v>
      </c>
      <c r="S8" s="5">
        <v>3500</v>
      </c>
      <c r="T8" s="5">
        <v>4500</v>
      </c>
      <c r="U8" s="5">
        <v>3000</v>
      </c>
      <c r="V8" s="5">
        <v>1500</v>
      </c>
      <c r="W8" s="5">
        <v>4000</v>
      </c>
      <c r="X8" s="5">
        <v>3000</v>
      </c>
      <c r="Y8" s="5">
        <v>0</v>
      </c>
      <c r="Z8" s="9">
        <f t="shared" si="1"/>
        <v>33000</v>
      </c>
    </row>
    <row r="9" spans="1:28" ht="57.6" customHeight="1" x14ac:dyDescent="0.2">
      <c r="A9" s="53" t="s">
        <v>10</v>
      </c>
      <c r="B9" s="5">
        <v>7</v>
      </c>
      <c r="C9" s="23" t="s">
        <v>25</v>
      </c>
      <c r="D9" s="5" t="s">
        <v>5</v>
      </c>
      <c r="E9" s="5">
        <f t="shared" si="0"/>
        <v>7</v>
      </c>
      <c r="F9" s="6">
        <v>85106383</v>
      </c>
      <c r="G9" s="7">
        <v>1</v>
      </c>
      <c r="H9" s="11">
        <f t="shared" si="2"/>
        <v>595744681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1</v>
      </c>
      <c r="O9" s="5">
        <v>1</v>
      </c>
      <c r="P9" s="5">
        <v>1</v>
      </c>
      <c r="Q9" s="5">
        <v>2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1</v>
      </c>
      <c r="Y9" s="5">
        <v>0</v>
      </c>
      <c r="Z9" s="9">
        <f t="shared" si="1"/>
        <v>7</v>
      </c>
    </row>
    <row r="10" spans="1:28" ht="57.6" customHeight="1" x14ac:dyDescent="0.2">
      <c r="A10" s="53"/>
      <c r="B10" s="5">
        <v>8</v>
      </c>
      <c r="C10" s="23" t="s">
        <v>26</v>
      </c>
      <c r="D10" s="5" t="s">
        <v>5</v>
      </c>
      <c r="E10" s="5">
        <f t="shared" si="0"/>
        <v>6</v>
      </c>
      <c r="F10" s="6">
        <v>248226950.40000001</v>
      </c>
      <c r="G10" s="7">
        <v>1</v>
      </c>
      <c r="H10" s="11">
        <f t="shared" si="2"/>
        <v>1489361702.4000001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1</v>
      </c>
      <c r="O10" s="5">
        <v>1</v>
      </c>
      <c r="P10" s="5">
        <v>1</v>
      </c>
      <c r="Q10" s="5">
        <v>1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1</v>
      </c>
      <c r="Y10" s="5">
        <v>0</v>
      </c>
      <c r="Z10" s="9">
        <f t="shared" si="1"/>
        <v>6</v>
      </c>
    </row>
    <row r="11" spans="1:28" ht="57.6" customHeight="1" x14ac:dyDescent="0.2">
      <c r="A11" s="53"/>
      <c r="B11" s="5">
        <v>9</v>
      </c>
      <c r="C11" s="23" t="s">
        <v>13</v>
      </c>
      <c r="D11" s="5" t="s">
        <v>5</v>
      </c>
      <c r="E11" s="5">
        <f t="shared" si="0"/>
        <v>10</v>
      </c>
      <c r="F11" s="6">
        <v>106382978.7</v>
      </c>
      <c r="G11" s="7">
        <v>1</v>
      </c>
      <c r="H11" s="12">
        <f t="shared" si="2"/>
        <v>1063829787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4</v>
      </c>
      <c r="O11" s="5">
        <v>4</v>
      </c>
      <c r="P11" s="5">
        <v>1</v>
      </c>
      <c r="Q11" s="5">
        <v>1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9">
        <f t="shared" si="1"/>
        <v>10</v>
      </c>
    </row>
    <row r="12" spans="1:28" ht="57.6" customHeight="1" x14ac:dyDescent="0.2">
      <c r="A12" s="53"/>
      <c r="B12" s="5">
        <v>10</v>
      </c>
      <c r="C12" s="23" t="s">
        <v>27</v>
      </c>
      <c r="D12" s="5" t="s">
        <v>5</v>
      </c>
      <c r="E12" s="5">
        <f t="shared" si="0"/>
        <v>3</v>
      </c>
      <c r="F12" s="6">
        <v>283687943.30000001</v>
      </c>
      <c r="G12" s="7">
        <v>1</v>
      </c>
      <c r="H12" s="8">
        <f t="shared" si="2"/>
        <v>851063829.9000001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1</v>
      </c>
      <c r="O12" s="5">
        <v>0</v>
      </c>
      <c r="P12" s="5">
        <v>0</v>
      </c>
      <c r="Q12" s="5">
        <v>1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  <c r="Y12" s="5">
        <v>0</v>
      </c>
      <c r="Z12" s="9">
        <f t="shared" si="1"/>
        <v>3</v>
      </c>
    </row>
    <row r="13" spans="1:28" ht="57.6" customHeight="1" thickBot="1" x14ac:dyDescent="0.25">
      <c r="A13" s="54"/>
      <c r="B13" s="13">
        <v>11</v>
      </c>
      <c r="C13" s="24" t="s">
        <v>28</v>
      </c>
      <c r="D13" s="13" t="s">
        <v>5</v>
      </c>
      <c r="E13" s="13">
        <f t="shared" si="0"/>
        <v>0</v>
      </c>
      <c r="F13" s="14">
        <v>244171265.59999999</v>
      </c>
      <c r="G13" s="15">
        <v>1</v>
      </c>
      <c r="H13" s="16">
        <f t="shared" si="2"/>
        <v>0</v>
      </c>
      <c r="I13" s="5">
        <v>0</v>
      </c>
      <c r="J13" s="5">
        <v>0</v>
      </c>
      <c r="K13" s="13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7">
        <v>0</v>
      </c>
    </row>
    <row r="14" spans="1:28" s="25" customFormat="1" ht="55.9" customHeight="1" thickBot="1" x14ac:dyDescent="0.25">
      <c r="A14" s="26" t="s">
        <v>22</v>
      </c>
      <c r="B14" s="27"/>
      <c r="C14" s="27"/>
      <c r="D14" s="27"/>
      <c r="E14" s="27"/>
      <c r="F14" s="27"/>
      <c r="G14" s="27"/>
      <c r="H14" s="29">
        <f>INT(SUM(H3:H13))</f>
        <v>14213719671</v>
      </c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1"/>
    </row>
    <row r="15" spans="1:28" s="25" customFormat="1" ht="55.9" customHeight="1" thickBot="1" x14ac:dyDescent="0.25">
      <c r="A15" s="26" t="s">
        <v>21</v>
      </c>
      <c r="B15" s="27"/>
      <c r="C15" s="27"/>
      <c r="D15" s="27"/>
      <c r="E15" s="27"/>
      <c r="F15" s="27"/>
      <c r="G15" s="28"/>
      <c r="H15" s="29">
        <f>H14*1.41</f>
        <v>20041344736.110001</v>
      </c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1"/>
    </row>
    <row r="16" spans="1:28" s="25" customFormat="1" ht="55.9" customHeight="1" thickBot="1" x14ac:dyDescent="0.25">
      <c r="A16" s="26" t="s">
        <v>30</v>
      </c>
      <c r="B16" s="27"/>
      <c r="C16" s="27"/>
      <c r="D16" s="27"/>
      <c r="E16" s="27"/>
      <c r="F16" s="27"/>
      <c r="G16" s="28"/>
      <c r="H16" s="29">
        <f>SUM(H15:Z15)</f>
        <v>20041344736.110001</v>
      </c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1"/>
    </row>
    <row r="17" spans="1:26" ht="22.15" customHeight="1" x14ac:dyDescent="0.2">
      <c r="A17" s="32" t="s">
        <v>16</v>
      </c>
      <c r="B17" s="33"/>
      <c r="C17" s="33"/>
      <c r="D17" s="33"/>
      <c r="E17" s="33"/>
      <c r="F17" s="33"/>
      <c r="G17" s="34"/>
      <c r="H17" s="41" t="s">
        <v>17</v>
      </c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3"/>
    </row>
    <row r="18" spans="1:26" ht="22.15" customHeight="1" x14ac:dyDescent="0.2">
      <c r="A18" s="35"/>
      <c r="B18" s="36"/>
      <c r="C18" s="36"/>
      <c r="D18" s="36"/>
      <c r="E18" s="36"/>
      <c r="F18" s="36"/>
      <c r="G18" s="37"/>
      <c r="H18" s="44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6"/>
    </row>
    <row r="19" spans="1:26" ht="22.15" customHeight="1" x14ac:dyDescent="0.2">
      <c r="A19" s="35"/>
      <c r="B19" s="36"/>
      <c r="C19" s="36"/>
      <c r="D19" s="36"/>
      <c r="E19" s="36"/>
      <c r="F19" s="36"/>
      <c r="G19" s="37"/>
      <c r="H19" s="44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6"/>
    </row>
    <row r="20" spans="1:26" ht="22.15" customHeight="1" x14ac:dyDescent="0.2">
      <c r="A20" s="35"/>
      <c r="B20" s="36"/>
      <c r="C20" s="36"/>
      <c r="D20" s="36"/>
      <c r="E20" s="36"/>
      <c r="F20" s="36"/>
      <c r="G20" s="37"/>
      <c r="H20" s="44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6"/>
    </row>
    <row r="21" spans="1:26" ht="245.45" customHeight="1" thickBot="1" x14ac:dyDescent="0.25">
      <c r="A21" s="38"/>
      <c r="B21" s="39"/>
      <c r="C21" s="39"/>
      <c r="D21" s="39"/>
      <c r="E21" s="39"/>
      <c r="F21" s="39"/>
      <c r="G21" s="40"/>
      <c r="H21" s="47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9"/>
    </row>
    <row r="22" spans="1:26" ht="22.15" customHeight="1" x14ac:dyDescent="0.2">
      <c r="A22" s="3"/>
      <c r="B22" s="3"/>
      <c r="C22" s="3"/>
      <c r="D22" s="3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2.15" customHeight="1" x14ac:dyDescent="0.2">
      <c r="A23" s="3"/>
      <c r="B23" s="3"/>
      <c r="C23" s="3"/>
      <c r="D23" s="3"/>
      <c r="E23" s="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</sheetData>
  <mergeCells count="12">
    <mergeCell ref="A15:G15"/>
    <mergeCell ref="H15:Z15"/>
    <mergeCell ref="A17:G21"/>
    <mergeCell ref="H17:Z21"/>
    <mergeCell ref="A1:Z1"/>
    <mergeCell ref="A2:C2"/>
    <mergeCell ref="A9:A13"/>
    <mergeCell ref="A4:A8"/>
    <mergeCell ref="A14:G14"/>
    <mergeCell ref="H14:Z14"/>
    <mergeCell ref="A16:G16"/>
    <mergeCell ref="H16:Z16"/>
  </mergeCells>
  <printOptions horizontalCentered="1" verticalCentered="1"/>
  <pageMargins left="0" right="0" top="0" bottom="0" header="0" footer="0"/>
  <pageSetup paperSize="9" scale="35" pageOrder="overThenDown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Takin sazeh 2</dc:creator>
  <cp:lastModifiedBy>امین بزرگمهر</cp:lastModifiedBy>
  <cp:lastPrinted>2026-05-30T07:12:45Z</cp:lastPrinted>
  <dcterms:created xsi:type="dcterms:W3CDTF">2024-07-20T07:42:08Z</dcterms:created>
  <dcterms:modified xsi:type="dcterms:W3CDTF">2026-06-06T09:20:59Z</dcterms:modified>
</cp:coreProperties>
</file>