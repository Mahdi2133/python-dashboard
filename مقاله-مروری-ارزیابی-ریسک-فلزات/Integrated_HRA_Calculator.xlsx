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RV" sheetId="3" state="visible" r:id="rId3"/>
    <sheet xmlns:r="http://schemas.openxmlformats.org/officeDocument/2006/relationships" name="Water_Air" sheetId="4" state="visible" r:id="rId4"/>
    <sheet xmlns:r="http://schemas.openxmlformats.org/officeDocument/2006/relationships" name="Food" sheetId="5" state="visible" r:id="rId5"/>
    <sheet xmlns:r="http://schemas.openxmlformats.org/officeDocument/2006/relationships" name="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Integrated aggregate-exposure calculator for metals (water + diet + air)</t>
        </is>
      </c>
    </row>
    <row r="2">
      <c r="A2" s="2" t="inlineStr">
        <is>
          <t>Implements Equations 1-9 of the revised manuscript (Section 4). Yellow cells are inputs; all other numbers are live formulas.</t>
        </is>
      </c>
    </row>
    <row r="3">
      <c r="A3" s="2" t="inlineStr">
        <is>
          <t>Prefilled with the Honghu Lake illustration (Zhang et al. 2017; lake water + fish; no air). Replace with your own co-located data.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Inputs      - population exposure parameters (BW, water intake, EF, ED, lifetime, inhalation rate, route-to-route factor).</t>
        </is>
      </c>
    </row>
    <row r="7">
      <c r="A7" s="2" t="inlineStr">
        <is>
          <t>TRV         - toxicity reference values (verified Oct 2026). Check the live agency entry before publication.</t>
        </is>
      </c>
    </row>
    <row r="8">
      <c r="A8" s="2" t="inlineStr">
        <is>
          <t>Water_Air   - concentration in treated tap water (µg/L) and ambient PM10 (ng/m3) for each metal.</t>
        </is>
      </c>
    </row>
    <row r="9">
      <c r="A9" s="2" t="inlineStr">
        <is>
          <t>Food        - one row per metal x food group: concentration as eaten (µg/kg wet wt), intake (kg/d), species fraction S, relative bioavailability RBA.</t>
        </is>
      </c>
    </row>
    <row r="10">
      <c r="A10" s="2" t="inlineStr">
        <is>
          <t>Results     - route doses, HQs, aggregate HI, source shares, MOE, ILCR and context-specific water value per metal.</t>
        </is>
      </c>
    </row>
    <row r="11">
      <c r="A11" s="2" t="inlineStr"/>
    </row>
    <row r="12">
      <c r="A12" s="3" t="inlineStr">
        <is>
          <t>Rules</t>
        </is>
      </c>
    </row>
    <row r="13">
      <c r="A13" s="2" t="inlineStr">
        <is>
          <t>1. All media must describe the same population, place and period.</t>
        </is>
      </c>
    </row>
    <row r="14">
      <c r="A14" s="2" t="inlineStr">
        <is>
          <t>2. Food concentrations must be wet weight as eaten: C_ww = C_dw x (1 - moisture).</t>
        </is>
      </c>
    </row>
    <row r="15">
      <c r="A15" s="2" t="inlineStr">
        <is>
          <t>3. For As enter inorganic As (or total As with S = iAs/tAs); for Cr choose CrVI or CrIII (or run both); for fish Hg use MeHg.</t>
        </is>
      </c>
    </row>
    <row r="16">
      <c r="A16" s="2" t="inlineStr">
        <is>
          <t>4. Pb and iAs: read the MOE columns (no threshold). MOE &lt;= 1 = concern; for Pb SBP/CKD, MOE &gt;= 10 reassuring.</t>
        </is>
      </c>
    </row>
    <row r="17">
      <c r="A17" s="2" t="inlineStr">
        <is>
          <t>5. Non-detects: LOD/2 only if &lt; 15% ND; otherwise estimate the mean by Kaplan-Meier/ROS before entering.</t>
        </is>
      </c>
    </row>
    <row r="18">
      <c r="A18" s="2" t="inlineStr">
        <is>
          <t>6. This sheet is deterministic. For P95 and Pr(HI&gt;1) use the Python Monte Carlo script (integrated_hra.py).</t>
        </is>
      </c>
    </row>
    <row r="19">
      <c r="A19" s="2" t="inlineStr"/>
    </row>
    <row r="20">
      <c r="A20" s="3" t="inlineStr">
        <is>
          <t>راهنمای فارسی</t>
        </is>
      </c>
    </row>
    <row r="21">
      <c r="A21" s="2" t="inlineStr">
        <is>
          <t>سلول‌های زرد ورودی هستند. داده‌های آب، غذا و هوا باید از یک جمعیت، یک مکان و یک بازه زمانی باشند.</t>
        </is>
      </c>
    </row>
    <row r="22">
      <c r="A22" s="2" t="inlineStr">
        <is>
          <t>غلظت غذا باید بر پایه وزن تر (همان‌طور که خورده می‌شود) باشد. برای آرسنیک فقط شکل معدنی و برای کروم شکل شش‌ظرفیتی/سه‌ظرفیتی را جدا وارد کنید.</t>
        </is>
      </c>
    </row>
    <row r="23">
      <c r="A23" s="2" t="inlineStr">
        <is>
          <t>برای سرب و آرسنیک معدنی به ستون MOE نگاه کنید؛ HI برای فلزات آستانه‌دار است. ستون سهم منابع (f) سهم واقعی آب/غذا/هوا را نشان می‌دهد.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8" customWidth="1" min="4" max="4"/>
    <col width="60" customWidth="1" min="5" max="5"/>
  </cols>
  <sheetData>
    <row r="1">
      <c r="A1" s="4" t="inlineStr">
        <is>
          <t>Parameter</t>
        </is>
      </c>
      <c r="B1" s="4" t="inlineStr">
        <is>
          <t>Symbol</t>
        </is>
      </c>
      <c r="C1" s="4" t="inlineStr">
        <is>
          <t>Value</t>
        </is>
      </c>
      <c r="D1" s="4" t="inlineStr">
        <is>
          <t>Unit</t>
        </is>
      </c>
      <c r="E1" s="4" t="inlineStr">
        <is>
          <t>Note / source</t>
        </is>
      </c>
    </row>
    <row r="2">
      <c r="A2" t="inlineStr">
        <is>
          <t>Body weight</t>
        </is>
      </c>
      <c r="B2" t="inlineStr">
        <is>
          <t>BW</t>
        </is>
      </c>
      <c r="C2" s="5" t="n">
        <v>61.6</v>
      </c>
      <c r="D2" t="inlineStr">
        <is>
          <t>kg</t>
        </is>
      </c>
      <c r="E2" t="inlineStr">
        <is>
          <t>Population-specific (Honghu: Zhang 2017). WHO default 60; EPA 80</t>
        </is>
      </c>
    </row>
    <row r="3">
      <c r="A3" t="inlineStr">
        <is>
          <t>Drinking-water intake</t>
        </is>
      </c>
      <c r="B3" t="inlineStr">
        <is>
          <t>IRw</t>
        </is>
      </c>
      <c r="C3" s="5" t="n">
        <v>2</v>
      </c>
      <c r="D3" t="inlineStr">
        <is>
          <t>L/d</t>
        </is>
      </c>
      <c r="E3" t="inlineStr">
        <is>
          <t>WHO default 2 L/d</t>
        </is>
      </c>
    </row>
    <row r="4">
      <c r="A4" t="inlineStr">
        <is>
          <t>Exposure frequency</t>
        </is>
      </c>
      <c r="B4" t="inlineStr">
        <is>
          <t>EF</t>
        </is>
      </c>
      <c r="C4" s="5" t="n">
        <v>365</v>
      </c>
      <c r="D4" t="inlineStr">
        <is>
          <t>d/y</t>
        </is>
      </c>
      <c r="E4" t="inlineStr">
        <is>
          <t>EPA residential 350</t>
        </is>
      </c>
    </row>
    <row r="5">
      <c r="A5" t="inlineStr">
        <is>
          <t>Exposure duration</t>
        </is>
      </c>
      <c r="B5" t="inlineStr">
        <is>
          <t>ED</t>
        </is>
      </c>
      <c r="C5" s="5" t="n">
        <v>30</v>
      </c>
      <c r="D5" t="inlineStr">
        <is>
          <t>y</t>
        </is>
      </c>
      <c r="E5" t="inlineStr">
        <is>
          <t>EPA residential 26</t>
        </is>
      </c>
    </row>
    <row r="6">
      <c r="A6" t="inlineStr">
        <is>
          <t>Averaging time, threshold effects</t>
        </is>
      </c>
      <c r="B6" t="inlineStr">
        <is>
          <t>AT_nc</t>
        </is>
      </c>
      <c r="C6">
        <f>C5*365</f>
        <v/>
      </c>
      <c r="D6" t="inlineStr">
        <is>
          <t>d</t>
        </is>
      </c>
      <c r="E6" t="inlineStr">
        <is>
          <t>ED x 365</t>
        </is>
      </c>
    </row>
    <row r="7">
      <c r="A7" t="inlineStr">
        <is>
          <t>Lifetime</t>
        </is>
      </c>
      <c r="B7" t="inlineStr">
        <is>
          <t>LT</t>
        </is>
      </c>
      <c r="C7" s="5" t="n">
        <v>70</v>
      </c>
      <c r="D7" t="inlineStr">
        <is>
          <t>y</t>
        </is>
      </c>
      <c r="E7" t="inlineStr">
        <is>
          <t>EPA 70 y</t>
        </is>
      </c>
    </row>
    <row r="8">
      <c r="A8" t="inlineStr">
        <is>
          <t>Averaging time, cancer</t>
        </is>
      </c>
      <c r="B8" t="inlineStr">
        <is>
          <t>AT_c</t>
        </is>
      </c>
      <c r="C8">
        <f>C7*365</f>
        <v/>
      </c>
      <c r="D8" t="inlineStr">
        <is>
          <t>d</t>
        </is>
      </c>
      <c r="E8" t="inlineStr">
        <is>
          <t>LT x 365</t>
        </is>
      </c>
    </row>
    <row r="9">
      <c r="A9" t="inlineStr">
        <is>
          <t>Fraction of day exposed to ambient air</t>
        </is>
      </c>
      <c r="B9" t="inlineStr">
        <is>
          <t>ET</t>
        </is>
      </c>
      <c r="C9" s="5" t="n">
        <v>1</v>
      </c>
      <c r="D9" t="inlineStr">
        <is>
          <t>-</t>
        </is>
      </c>
      <c r="E9" t="inlineStr">
        <is>
          <t>24 h / 24 h residential</t>
        </is>
      </c>
    </row>
    <row r="10">
      <c r="A10" t="inlineStr">
        <is>
          <t>Inhalation rate (MOE only)</t>
        </is>
      </c>
      <c r="B10" t="inlineStr">
        <is>
          <t>InhR</t>
        </is>
      </c>
      <c r="C10" s="5" t="n">
        <v>20</v>
      </c>
      <c r="D10" t="inlineStr">
        <is>
          <t>m3/d</t>
        </is>
      </c>
      <c r="E10" t="inlineStr">
        <is>
          <t>Adult default</t>
        </is>
      </c>
    </row>
    <row r="11">
      <c r="A11" t="inlineStr">
        <is>
          <t>Route-to-route factor F_inh/F_oral (MOE only)</t>
        </is>
      </c>
      <c r="B11" t="inlineStr">
        <is>
          <t>RR</t>
        </is>
      </c>
      <c r="C11" s="5" t="n">
        <v>2</v>
      </c>
      <c r="D11" t="inlineStr">
        <is>
          <t>-</t>
        </is>
      </c>
      <c r="E11" t="inlineStr">
        <is>
          <t>ECHA R.8 default</t>
        </is>
      </c>
    </row>
    <row r="12">
      <c r="A12" t="inlineStr">
        <is>
          <t>Allocation floor</t>
        </is>
      </c>
      <c r="B12" t="inlineStr">
        <is>
          <t>P_min</t>
        </is>
      </c>
      <c r="C12" s="5" t="n">
        <v>0.2</v>
      </c>
      <c r="D12" t="inlineStr">
        <is>
          <t>-</t>
        </is>
      </c>
      <c r="E12" t="inlineStr">
        <is>
          <t>WHO/EPA</t>
        </is>
      </c>
    </row>
    <row r="13">
      <c r="A13" t="inlineStr">
        <is>
          <t>Allocation ceiling</t>
        </is>
      </c>
      <c r="B13" t="inlineStr">
        <is>
          <t>P_max</t>
        </is>
      </c>
      <c r="C13" s="5" t="n">
        <v>0.8</v>
      </c>
      <c r="D13" t="inlineStr">
        <is>
          <t>-</t>
        </is>
      </c>
      <c r="E13" t="inlineStr">
        <is>
          <t>WHO/EPA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3" customWidth="1" min="5" max="5"/>
    <col width="12" customWidth="1" min="6" max="6"/>
    <col width="12" customWidth="1" min="7" max="7"/>
    <col width="26" customWidth="1" min="8" max="8"/>
    <col width="12" customWidth="1" min="9" max="9"/>
    <col width="22" customWidth="1" min="10" max="10"/>
    <col width="14" customWidth="1" min="11" max="11"/>
    <col width="70" customWidth="1" min="12" max="12"/>
  </cols>
  <sheetData>
    <row r="1">
      <c r="A1" s="4" t="inlineStr">
        <is>
          <t>Metal key</t>
        </is>
      </c>
      <c r="B1" s="4" t="inlineStr">
        <is>
          <t>RfD water (µg/kg/d)</t>
        </is>
      </c>
      <c r="C1" s="4" t="inlineStr">
        <is>
          <t>RfD food (µg/kg/d)</t>
        </is>
      </c>
      <c r="D1" s="4" t="inlineStr">
        <is>
          <t>RfC (µg/m3)</t>
        </is>
      </c>
      <c r="E1" s="4" t="inlineStr">
        <is>
          <t>Oral CSF (per µg/kg/d)</t>
        </is>
      </c>
      <c r="F1" s="4" t="inlineStr">
        <is>
          <t>IUR (per µg/m3)</t>
        </is>
      </c>
      <c r="G1" s="4" t="inlineStr">
        <is>
          <t>BMDL 1 (µg/kg/d)</t>
        </is>
      </c>
      <c r="H1" s="4" t="inlineStr">
        <is>
          <t>BMDL 1 end-point</t>
        </is>
      </c>
      <c r="I1" s="4" t="inlineStr">
        <is>
          <t>BMDL 2 (µg/kg/d)</t>
        </is>
      </c>
      <c r="J1" s="4" t="inlineStr">
        <is>
          <t>BMDL 2 end-point</t>
        </is>
      </c>
      <c r="K1" s="4" t="inlineStr">
        <is>
          <t>Target organ</t>
        </is>
      </c>
      <c r="L1" s="4" t="inlineStr">
        <is>
          <t>Source</t>
        </is>
      </c>
    </row>
    <row r="2">
      <c r="A2" t="inlineStr">
        <is>
          <t>iAs</t>
        </is>
      </c>
      <c r="B2" s="5" t="n">
        <v>0.06</v>
      </c>
      <c r="C2" s="5" t="n">
        <v>0.06</v>
      </c>
      <c r="D2" s="5" t="n">
        <v>0.015</v>
      </c>
      <c r="E2" s="5" t="n">
        <v>0.032</v>
      </c>
      <c r="F2" s="5" t="n">
        <v>0.0043</v>
      </c>
      <c r="G2" s="5" t="n">
        <v>0.06</v>
      </c>
      <c r="H2" s="5" t="inlineStr">
        <is>
          <t>skin cancer BMDL05 (EFSA 2024)</t>
        </is>
      </c>
      <c r="I2" s="5" t="n"/>
      <c r="J2" s="5" t="n"/>
      <c r="K2" s="5" t="inlineStr">
        <is>
          <t>skin/vascular</t>
        </is>
      </c>
      <c r="L2" s="5" t="inlineStr">
        <is>
          <t>IRIS 2025 RfD 6e-5 mg/kg-d, CSF 32 per mg/kg-d (linear only &lt;0.2 µg/kg/d); OEHHA REL; IRIS IUR</t>
        </is>
      </c>
    </row>
    <row r="3">
      <c r="A3" t="inlineStr">
        <is>
          <t>Cd</t>
        </is>
      </c>
      <c r="B3" s="5" t="n">
        <v>0.5</v>
      </c>
      <c r="C3" s="5" t="n">
        <v>1</v>
      </c>
      <c r="D3" s="5" t="n">
        <v>0.01</v>
      </c>
      <c r="E3" s="5" t="n"/>
      <c r="F3" s="5" t="n">
        <v>0.0018</v>
      </c>
      <c r="G3" s="5" t="n"/>
      <c r="H3" s="5" t="n"/>
      <c r="I3" s="5" t="n"/>
      <c r="J3" s="5" t="n"/>
      <c r="K3" s="5" t="inlineStr">
        <is>
          <t>kidney</t>
        </is>
      </c>
      <c r="L3" s="5" t="inlineStr">
        <is>
          <t>IRIS (water/food); ATSDR inhalation MRL; IRIS IUR</t>
        </is>
      </c>
    </row>
    <row r="4">
      <c r="A4" t="inlineStr">
        <is>
          <t>CrVI</t>
        </is>
      </c>
      <c r="B4" s="5" t="n">
        <v>0.9</v>
      </c>
      <c r="C4" s="5" t="n">
        <v>0.9</v>
      </c>
      <c r="D4" s="5" t="n">
        <v>0.03</v>
      </c>
      <c r="E4" s="5" t="n">
        <v>0.00026</v>
      </c>
      <c r="F4" s="5" t="n">
        <v>0.018</v>
      </c>
      <c r="G4" s="5" t="n"/>
      <c r="H4" s="5" t="n"/>
      <c r="I4" s="5" t="n"/>
      <c r="J4" s="5" t="n"/>
      <c r="K4" s="5" t="inlineStr">
        <is>
          <t>GI tract</t>
        </is>
      </c>
      <c r="L4" s="5" t="inlineStr">
        <is>
          <t>IRIS 2024 (OSF lifetime with ADAFs)</t>
        </is>
      </c>
    </row>
    <row r="5">
      <c r="A5" t="inlineStr">
        <is>
          <t>CrIII</t>
        </is>
      </c>
      <c r="B5" s="5" t="n">
        <v>1500</v>
      </c>
      <c r="C5" s="5" t="n">
        <v>1500</v>
      </c>
      <c r="D5" s="5" t="n"/>
      <c r="E5" s="5" t="n"/>
      <c r="F5" s="5" t="n"/>
      <c r="G5" s="5" t="n"/>
      <c r="H5" s="5" t="n"/>
      <c r="I5" s="5" t="n"/>
      <c r="J5" s="5" t="n"/>
      <c r="K5" s="5" t="inlineStr">
        <is>
          <t>none</t>
        </is>
      </c>
      <c r="L5" s="5" t="inlineStr">
        <is>
          <t>IRIS</t>
        </is>
      </c>
    </row>
    <row r="6">
      <c r="A6" t="inlineStr">
        <is>
          <t>Cu</t>
        </is>
      </c>
      <c r="B6" s="5" t="n">
        <v>40</v>
      </c>
      <c r="C6" s="5" t="n">
        <v>40</v>
      </c>
      <c r="D6" s="5" t="n"/>
      <c r="E6" s="5" t="n"/>
      <c r="F6" s="5" t="n"/>
      <c r="G6" s="5" t="n"/>
      <c r="H6" s="5" t="n"/>
      <c r="I6" s="5" t="n"/>
      <c r="J6" s="5" t="n"/>
      <c r="K6" s="5" t="inlineStr">
        <is>
          <t>GI/liver</t>
        </is>
      </c>
      <c r="L6" s="5" t="inlineStr">
        <is>
          <t>HEAST (EFSA ADI 70)</t>
        </is>
      </c>
    </row>
    <row r="7">
      <c r="A7" t="inlineStr">
        <is>
          <t>Pb</t>
        </is>
      </c>
      <c r="B7" s="5" t="n"/>
      <c r="C7" s="5" t="n"/>
      <c r="D7" s="5" t="n"/>
      <c r="E7" s="5" t="n">
        <v>8.5e-06</v>
      </c>
      <c r="F7" s="5" t="n">
        <v>1.2e-05</v>
      </c>
      <c r="G7" s="5" t="n">
        <v>1.5</v>
      </c>
      <c r="H7" s="5" t="inlineStr">
        <is>
          <t>SBP BMDL01 (EFSA 2010)</t>
        </is>
      </c>
      <c r="I7" s="5" t="n">
        <v>0.63</v>
      </c>
      <c r="J7" s="5" t="inlineStr">
        <is>
          <t>CKD BMDL10 (EFSA 2010)</t>
        </is>
      </c>
      <c r="K7" s="5" t="inlineStr">
        <is>
          <t>kidney/CV/CNS</t>
        </is>
      </c>
      <c r="L7" s="5" t="inlineStr">
        <is>
          <t>No RfD; children: neurodevelopment BMDL01 0.50; OEHHA CSF/IUR</t>
        </is>
      </c>
    </row>
    <row r="8">
      <c r="A8" t="inlineStr">
        <is>
          <t>MeHg</t>
        </is>
      </c>
      <c r="B8" s="5" t="n">
        <v>0.1</v>
      </c>
      <c r="C8" s="5" t="n">
        <v>0.1</v>
      </c>
      <c r="D8" s="5" t="n"/>
      <c r="E8" s="5" t="n"/>
      <c r="F8" s="5" t="n"/>
      <c r="G8" s="5" t="n"/>
      <c r="H8" s="5" t="n"/>
      <c r="I8" s="5" t="n"/>
      <c r="J8" s="5" t="n"/>
      <c r="K8" s="5" t="inlineStr">
        <is>
          <t>nervous system</t>
        </is>
      </c>
      <c r="L8" s="5" t="inlineStr">
        <is>
          <t>IRIS 2001</t>
        </is>
      </c>
    </row>
    <row r="9">
      <c r="A9" t="inlineStr">
        <is>
          <t>Ni</t>
        </is>
      </c>
      <c r="B9" s="5" t="n">
        <v>20</v>
      </c>
      <c r="C9" s="5" t="n">
        <v>20</v>
      </c>
      <c r="D9" s="5" t="n">
        <v>0.09</v>
      </c>
      <c r="E9" s="5" t="n"/>
      <c r="F9" s="5" t="n"/>
      <c r="G9" s="5" t="n"/>
      <c r="H9" s="5" t="n"/>
      <c r="I9" s="5" t="n"/>
      <c r="J9" s="5" t="n"/>
      <c r="K9" s="5" t="inlineStr">
        <is>
          <t>reproductive</t>
        </is>
      </c>
      <c r="L9" s="5" t="inlineStr">
        <is>
          <t>IRIS soluble salts; ATSDR inhalation MRL (EFSA TDI 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45" customWidth="1" min="4" max="4"/>
  </cols>
  <sheetData>
    <row r="1">
      <c r="A1" s="4" t="inlineStr">
        <is>
          <t>Metal key</t>
        </is>
      </c>
      <c r="B1" s="4" t="inlineStr">
        <is>
          <t>C water (µg/L)</t>
        </is>
      </c>
      <c r="C1" s="4" t="inlineStr">
        <is>
          <t>C air PM10 (ng/m3)</t>
        </is>
      </c>
      <c r="D1" s="4" t="inlineStr">
        <is>
          <t>Note</t>
        </is>
      </c>
    </row>
    <row r="2">
      <c r="A2" t="inlineStr">
        <is>
          <t>iAs</t>
        </is>
      </c>
      <c r="B2" s="5" t="n">
        <v>0.99</v>
      </c>
      <c r="C2" s="5" t="n"/>
      <c r="D2" t="inlineStr">
        <is>
          <t>Honghu Lake water (assumed all inorganic)</t>
        </is>
      </c>
    </row>
    <row r="3">
      <c r="A3" t="inlineStr">
        <is>
          <t>Cd</t>
        </is>
      </c>
      <c r="B3" s="5" t="n">
        <v>0.14</v>
      </c>
      <c r="C3" s="5" t="n"/>
      <c r="D3" t="inlineStr"/>
    </row>
    <row r="4">
      <c r="A4" t="inlineStr">
        <is>
          <t>CrVI</t>
        </is>
      </c>
      <c r="B4" s="5" t="n">
        <v>1.63</v>
      </c>
      <c r="C4" s="5" t="n"/>
      <c r="D4" t="inlineStr">
        <is>
          <t>upper bound: all Cr as Cr(VI)</t>
        </is>
      </c>
    </row>
    <row r="5">
      <c r="A5" t="inlineStr">
        <is>
          <t>CrIII</t>
        </is>
      </c>
      <c r="B5" s="5" t="n">
        <v>1.63</v>
      </c>
      <c r="C5" s="5" t="n"/>
      <c r="D5" t="inlineStr">
        <is>
          <t>lower bound: all Cr as Cr(III)</t>
        </is>
      </c>
    </row>
    <row r="6">
      <c r="A6" t="inlineStr">
        <is>
          <t>Cu</t>
        </is>
      </c>
      <c r="B6" s="5" t="n">
        <v>3.09</v>
      </c>
      <c r="C6" s="5" t="n"/>
      <c r="D6" t="inlineStr"/>
    </row>
    <row r="7">
      <c r="A7" t="inlineStr">
        <is>
          <t>Pb</t>
        </is>
      </c>
      <c r="B7" s="5" t="n">
        <v>3.42</v>
      </c>
      <c r="C7" s="5" t="n"/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4" customWidth="1" min="4" max="4"/>
    <col width="14" customWidth="1" min="5" max="5"/>
    <col width="8" customWidth="1" min="6" max="6"/>
    <col width="16" customWidth="1" min="7" max="7"/>
  </cols>
  <sheetData>
    <row r="1">
      <c r="A1" s="4" t="inlineStr">
        <is>
          <t>Metal key</t>
        </is>
      </c>
      <c r="B1" s="4" t="inlineStr">
        <is>
          <t>Food group</t>
        </is>
      </c>
      <c r="C1" s="4" t="inlineStr">
        <is>
          <t>C as eaten (µg/kg ww)</t>
        </is>
      </c>
      <c r="D1" s="4" t="inlineStr">
        <is>
          <t>Intake IR (kg/d)</t>
        </is>
      </c>
      <c r="E1" s="4" t="inlineStr">
        <is>
          <t>Species fraction S</t>
        </is>
      </c>
      <c r="F1" s="4" t="inlineStr">
        <is>
          <t>RBA</t>
        </is>
      </c>
      <c r="G1" s="4" t="inlineStr">
        <is>
          <t>C·S·RBA·IR (µg/d)</t>
        </is>
      </c>
    </row>
    <row r="2">
      <c r="A2" s="5" t="inlineStr">
        <is>
          <t>iAs</t>
        </is>
      </c>
      <c r="B2" s="5" t="inlineStr">
        <is>
          <t>fish muscle</t>
        </is>
      </c>
      <c r="C2" s="5" t="n">
        <v>1.3333</v>
      </c>
      <c r="D2" s="5" t="n">
        <v>0.0543</v>
      </c>
      <c r="E2" s="5" t="n">
        <v>1</v>
      </c>
      <c r="F2" s="5" t="n">
        <v>1</v>
      </c>
      <c r="G2">
        <f>IF(A2="","",C2*IF(E2="",1,E2)*IF(F2="",1,F2)*D2)</f>
        <v/>
      </c>
    </row>
    <row r="3">
      <c r="A3" s="5" t="inlineStr">
        <is>
          <t>Cd</t>
        </is>
      </c>
      <c r="B3" s="5" t="inlineStr">
        <is>
          <t>fish muscle</t>
        </is>
      </c>
      <c r="C3" s="5" t="n">
        <v>6.6222</v>
      </c>
      <c r="D3" s="5" t="n">
        <v>0.0543</v>
      </c>
      <c r="E3" s="5" t="n">
        <v>1</v>
      </c>
      <c r="F3" s="5" t="n">
        <v>1</v>
      </c>
      <c r="G3">
        <f>IF(A3="","",C3*IF(E3="",1,E3)*IF(F3="",1,F3)*D3)</f>
        <v/>
      </c>
    </row>
    <row r="4">
      <c r="A4" s="5" t="inlineStr">
        <is>
          <t>CrVI</t>
        </is>
      </c>
      <c r="B4" s="5" t="inlineStr">
        <is>
          <t>fish muscle</t>
        </is>
      </c>
      <c r="C4" s="5" t="n">
        <v>1012.9111</v>
      </c>
      <c r="D4" s="5" t="n">
        <v>0.0543</v>
      </c>
      <c r="E4" s="5" t="n">
        <v>1</v>
      </c>
      <c r="F4" s="5" t="n">
        <v>1</v>
      </c>
      <c r="G4">
        <f>IF(A4="","",C4*IF(E4="",1,E4)*IF(F4="",1,F4)*D4)</f>
        <v/>
      </c>
    </row>
    <row r="5">
      <c r="A5" s="5" t="inlineStr">
        <is>
          <t>CrIII</t>
        </is>
      </c>
      <c r="B5" s="5" t="inlineStr">
        <is>
          <t>fish muscle</t>
        </is>
      </c>
      <c r="C5" s="5" t="n">
        <v>1012.9111</v>
      </c>
      <c r="D5" s="5" t="n">
        <v>0.0543</v>
      </c>
      <c r="E5" s="5" t="n">
        <v>1</v>
      </c>
      <c r="F5" s="5" t="n">
        <v>1</v>
      </c>
      <c r="G5">
        <f>IF(A5="","",C5*IF(E5="",1,E5)*IF(F5="",1,F5)*D5)</f>
        <v/>
      </c>
    </row>
    <row r="6">
      <c r="A6" s="5" t="inlineStr">
        <is>
          <t>Cu</t>
        </is>
      </c>
      <c r="B6" s="5" t="inlineStr">
        <is>
          <t>fish muscle</t>
        </is>
      </c>
      <c r="C6" s="5" t="n">
        <v>879.2444</v>
      </c>
      <c r="D6" s="5" t="n">
        <v>0.0543</v>
      </c>
      <c r="E6" s="5" t="n">
        <v>1</v>
      </c>
      <c r="F6" s="5" t="n">
        <v>1</v>
      </c>
      <c r="G6">
        <f>IF(A6="","",C6*IF(E6="",1,E6)*IF(F6="",1,F6)*D6)</f>
        <v/>
      </c>
    </row>
    <row r="7">
      <c r="A7" s="5" t="inlineStr">
        <is>
          <t>Pb</t>
        </is>
      </c>
      <c r="B7" s="5" t="inlineStr">
        <is>
          <t>fish muscle</t>
        </is>
      </c>
      <c r="C7" s="5" t="n">
        <v>103.5667</v>
      </c>
      <c r="D7" s="5" t="n">
        <v>0.0543</v>
      </c>
      <c r="E7" s="5" t="n">
        <v>1</v>
      </c>
      <c r="F7" s="5" t="n">
        <v>1</v>
      </c>
      <c r="G7">
        <f>IF(A7="","",C7*IF(E7="",1,E7)*IF(F7="",1,F7)*D7)</f>
        <v/>
      </c>
    </row>
    <row r="8">
      <c r="A8" s="5" t="n"/>
      <c r="B8" s="5" t="n"/>
      <c r="C8" s="5" t="n"/>
      <c r="D8" s="5" t="n"/>
      <c r="E8" s="5" t="n"/>
      <c r="F8" s="5" t="n"/>
      <c r="G8">
        <f>IF(A8="","",C8*IF(E8="",1,E8)*IF(F8="",1,F8)*D8)</f>
        <v/>
      </c>
    </row>
    <row r="9">
      <c r="A9" s="5" t="n"/>
      <c r="B9" s="5" t="n"/>
      <c r="C9" s="5" t="n"/>
      <c r="D9" s="5" t="n"/>
      <c r="E9" s="5" t="n"/>
      <c r="F9" s="5" t="n"/>
      <c r="G9">
        <f>IF(A9="","",C9*IF(E9="",1,E9)*IF(F9="",1,F9)*D9)</f>
        <v/>
      </c>
    </row>
    <row r="10">
      <c r="A10" s="5" t="n"/>
      <c r="B10" s="5" t="n"/>
      <c r="C10" s="5" t="n"/>
      <c r="D10" s="5" t="n"/>
      <c r="E10" s="5" t="n"/>
      <c r="F10" s="5" t="n"/>
      <c r="G10">
        <f>IF(A10="","",C10*IF(E10="",1,E10)*IF(F10="",1,F10)*D10)</f>
        <v/>
      </c>
    </row>
    <row r="11">
      <c r="A11" s="5" t="n"/>
      <c r="B11" s="5" t="n"/>
      <c r="C11" s="5" t="n"/>
      <c r="D11" s="5" t="n"/>
      <c r="E11" s="5" t="n"/>
      <c r="F11" s="5" t="n"/>
      <c r="G11">
        <f>IF(A11="","",C11*IF(E11="",1,E11)*IF(F11="",1,F11)*D11)</f>
        <v/>
      </c>
    </row>
    <row r="12">
      <c r="A12" s="5" t="n"/>
      <c r="B12" s="5" t="n"/>
      <c r="C12" s="5" t="n"/>
      <c r="D12" s="5" t="n"/>
      <c r="E12" s="5" t="n"/>
      <c r="F12" s="5" t="n"/>
      <c r="G12">
        <f>IF(A12="","",C12*IF(E12="",1,E12)*IF(F12="",1,F12)*D12)</f>
        <v/>
      </c>
    </row>
    <row r="13">
      <c r="A13" s="5" t="n"/>
      <c r="B13" s="5" t="n"/>
      <c r="C13" s="5" t="n"/>
      <c r="D13" s="5" t="n"/>
      <c r="E13" s="5" t="n"/>
      <c r="F13" s="5" t="n"/>
      <c r="G13">
        <f>IF(A13="","",C13*IF(E13="",1,E13)*IF(F13="",1,F13)*D13)</f>
        <v/>
      </c>
    </row>
    <row r="14">
      <c r="A14" s="5" t="n"/>
      <c r="B14" s="5" t="n"/>
      <c r="C14" s="5" t="n"/>
      <c r="D14" s="5" t="n"/>
      <c r="E14" s="5" t="n"/>
      <c r="F14" s="5" t="n"/>
      <c r="G14">
        <f>IF(A14="","",C14*IF(E14="",1,E14)*IF(F14="",1,F14)*D14)</f>
        <v/>
      </c>
    </row>
    <row r="15">
      <c r="A15" s="5" t="n"/>
      <c r="B15" s="5" t="n"/>
      <c r="C15" s="5" t="n"/>
      <c r="D15" s="5" t="n"/>
      <c r="E15" s="5" t="n"/>
      <c r="F15" s="5" t="n"/>
      <c r="G15">
        <f>IF(A15="","",C15*IF(E15="",1,E15)*IF(F15="",1,F15)*D15)</f>
        <v/>
      </c>
    </row>
    <row r="16">
      <c r="A16" s="5" t="n"/>
      <c r="B16" s="5" t="n"/>
      <c r="C16" s="5" t="n"/>
      <c r="D16" s="5" t="n"/>
      <c r="E16" s="5" t="n"/>
      <c r="F16" s="5" t="n"/>
      <c r="G16">
        <f>IF(A16="","",C16*IF(E16="",1,E16)*IF(F16="",1,F16)*D16)</f>
        <v/>
      </c>
    </row>
    <row r="17">
      <c r="A17" s="5" t="n"/>
      <c r="B17" s="5" t="n"/>
      <c r="C17" s="5" t="n"/>
      <c r="D17" s="5" t="n"/>
      <c r="E17" s="5" t="n"/>
      <c r="F17" s="5" t="n"/>
      <c r="G17">
        <f>IF(A17="","",C17*IF(E17="",1,E17)*IF(F17="",1,F17)*D17)</f>
        <v/>
      </c>
    </row>
    <row r="18">
      <c r="A18" s="5" t="n"/>
      <c r="B18" s="5" t="n"/>
      <c r="C18" s="5" t="n"/>
      <c r="D18" s="5" t="n"/>
      <c r="E18" s="5" t="n"/>
      <c r="F18" s="5" t="n"/>
      <c r="G18">
        <f>IF(A18="","",C18*IF(E18="",1,E18)*IF(F18="",1,F18)*D18)</f>
        <v/>
      </c>
    </row>
    <row r="19">
      <c r="A19" s="5" t="n"/>
      <c r="B19" s="5" t="n"/>
      <c r="C19" s="5" t="n"/>
      <c r="D19" s="5" t="n"/>
      <c r="E19" s="5" t="n"/>
      <c r="F19" s="5" t="n"/>
      <c r="G19">
        <f>IF(A19="","",C19*IF(E19="",1,E19)*IF(F19="",1,F19)*D19)</f>
        <v/>
      </c>
    </row>
    <row r="20">
      <c r="A20" s="5" t="n"/>
      <c r="B20" s="5" t="n"/>
      <c r="C20" s="5" t="n"/>
      <c r="D20" s="5" t="n"/>
      <c r="E20" s="5" t="n"/>
      <c r="F20" s="5" t="n"/>
      <c r="G20">
        <f>IF(A20="","",C20*IF(E20="",1,E20)*IF(F20="",1,F20)*D20)</f>
        <v/>
      </c>
    </row>
    <row r="21">
      <c r="A21" s="5" t="n"/>
      <c r="B21" s="5" t="n"/>
      <c r="C21" s="5" t="n"/>
      <c r="D21" s="5" t="n"/>
      <c r="E21" s="5" t="n"/>
      <c r="F21" s="5" t="n"/>
      <c r="G21">
        <f>IF(A21="","",C21*IF(E21="",1,E21)*IF(F21="",1,F21)*D21)</f>
        <v/>
      </c>
    </row>
    <row r="22">
      <c r="A22" s="5" t="n"/>
      <c r="B22" s="5" t="n"/>
      <c r="C22" s="5" t="n"/>
      <c r="D22" s="5" t="n"/>
      <c r="E22" s="5" t="n"/>
      <c r="F22" s="5" t="n"/>
      <c r="G22">
        <f>IF(A22="","",C22*IF(E22="",1,E22)*IF(F22="",1,F22)*D22)</f>
        <v/>
      </c>
    </row>
    <row r="23">
      <c r="A23" s="5" t="n"/>
      <c r="B23" s="5" t="n"/>
      <c r="C23" s="5" t="n"/>
      <c r="D23" s="5" t="n"/>
      <c r="E23" s="5" t="n"/>
      <c r="F23" s="5" t="n"/>
      <c r="G23">
        <f>IF(A23="","",C23*IF(E23="",1,E23)*IF(F23="",1,F23)*D23)</f>
        <v/>
      </c>
    </row>
    <row r="24">
      <c r="A24" s="5" t="n"/>
      <c r="B24" s="5" t="n"/>
      <c r="C24" s="5" t="n"/>
      <c r="D24" s="5" t="n"/>
      <c r="E24" s="5" t="n"/>
      <c r="F24" s="5" t="n"/>
      <c r="G24">
        <f>IF(A24="","",C24*IF(E24="",1,E24)*IF(F24="",1,F24)*D24)</f>
        <v/>
      </c>
    </row>
    <row r="25">
      <c r="A25" s="5" t="n"/>
      <c r="B25" s="5" t="n"/>
      <c r="C25" s="5" t="n"/>
      <c r="D25" s="5" t="n"/>
      <c r="E25" s="5" t="n"/>
      <c r="F25" s="5" t="n"/>
      <c r="G25">
        <f>IF(A25="","",C25*IF(E25="",1,E25)*IF(F25="",1,F25)*D25)</f>
        <v/>
      </c>
    </row>
    <row r="26">
      <c r="A26" s="5" t="n"/>
      <c r="B26" s="5" t="n"/>
      <c r="C26" s="5" t="n"/>
      <c r="D26" s="5" t="n"/>
      <c r="E26" s="5" t="n"/>
      <c r="F26" s="5" t="n"/>
      <c r="G26">
        <f>IF(A26="","",C26*IF(E26="",1,E26)*IF(F26="",1,F26)*D26)</f>
        <v/>
      </c>
    </row>
    <row r="27">
      <c r="A27" s="5" t="n"/>
      <c r="B27" s="5" t="n"/>
      <c r="C27" s="5" t="n"/>
      <c r="D27" s="5" t="n"/>
      <c r="E27" s="5" t="n"/>
      <c r="F27" s="5" t="n"/>
      <c r="G27">
        <f>IF(A27="","",C27*IF(E27="",1,E27)*IF(F27="",1,F27)*D27)</f>
        <v/>
      </c>
    </row>
    <row r="28">
      <c r="A28" s="5" t="n"/>
      <c r="B28" s="5" t="n"/>
      <c r="C28" s="5" t="n"/>
      <c r="D28" s="5" t="n"/>
      <c r="E28" s="5" t="n"/>
      <c r="F28" s="5" t="n"/>
      <c r="G28">
        <f>IF(A28="","",C28*IF(E28="",1,E28)*IF(F28="",1,F28)*D28)</f>
        <v/>
      </c>
    </row>
    <row r="29">
      <c r="A29" s="5" t="n"/>
      <c r="B29" s="5" t="n"/>
      <c r="C29" s="5" t="n"/>
      <c r="D29" s="5" t="n"/>
      <c r="E29" s="5" t="n"/>
      <c r="F29" s="5" t="n"/>
      <c r="G29">
        <f>IF(A29="","",C29*IF(E29="",1,E29)*IF(F29="",1,F29)*D29)</f>
        <v/>
      </c>
    </row>
    <row r="30">
      <c r="A30" s="5" t="n"/>
      <c r="B30" s="5" t="n"/>
      <c r="C30" s="5" t="n"/>
      <c r="D30" s="5" t="n"/>
      <c r="E30" s="5" t="n"/>
      <c r="F30" s="5" t="n"/>
      <c r="G30">
        <f>IF(A30="","",C30*IF(E30="",1,E30)*IF(F30="",1,F30)*D30)</f>
        <v/>
      </c>
    </row>
    <row r="31">
      <c r="A31" s="5" t="n"/>
      <c r="B31" s="5" t="n"/>
      <c r="C31" s="5" t="n"/>
      <c r="D31" s="5" t="n"/>
      <c r="E31" s="5" t="n"/>
      <c r="F31" s="5" t="n"/>
      <c r="G31">
        <f>IF(A31="","",C31*IF(E31="",1,E31)*IF(F31="",1,F31)*D31)</f>
        <v/>
      </c>
    </row>
    <row r="32">
      <c r="A32" s="5" t="n"/>
      <c r="B32" s="5" t="n"/>
      <c r="C32" s="5" t="n"/>
      <c r="D32" s="5" t="n"/>
      <c r="E32" s="5" t="n"/>
      <c r="F32" s="5" t="n"/>
      <c r="G32">
        <f>IF(A32="","",C32*IF(E32="",1,E32)*IF(F32="",1,F32)*D32)</f>
        <v/>
      </c>
    </row>
    <row r="33">
      <c r="A33" s="5" t="n"/>
      <c r="B33" s="5" t="n"/>
      <c r="C33" s="5" t="n"/>
      <c r="D33" s="5" t="n"/>
      <c r="E33" s="5" t="n"/>
      <c r="F33" s="5" t="n"/>
      <c r="G33">
        <f>IF(A33="","",C33*IF(E33="",1,E33)*IF(F33="",1,F33)*D33)</f>
        <v/>
      </c>
    </row>
    <row r="34">
      <c r="A34" s="5" t="n"/>
      <c r="B34" s="5" t="n"/>
      <c r="C34" s="5" t="n"/>
      <c r="D34" s="5" t="n"/>
      <c r="E34" s="5" t="n"/>
      <c r="F34" s="5" t="n"/>
      <c r="G34">
        <f>IF(A34="","",C34*IF(E34="",1,E34)*IF(F34="",1,F34)*D34)</f>
        <v/>
      </c>
    </row>
    <row r="35">
      <c r="A35" s="5" t="n"/>
      <c r="B35" s="5" t="n"/>
      <c r="C35" s="5" t="n"/>
      <c r="D35" s="5" t="n"/>
      <c r="E35" s="5" t="n"/>
      <c r="F35" s="5" t="n"/>
      <c r="G35">
        <f>IF(A35="","",C35*IF(E35="",1,E35)*IF(F35="",1,F35)*D35)</f>
        <v/>
      </c>
    </row>
    <row r="36">
      <c r="A36" s="5" t="n"/>
      <c r="B36" s="5" t="n"/>
      <c r="C36" s="5" t="n"/>
      <c r="D36" s="5" t="n"/>
      <c r="E36" s="5" t="n"/>
      <c r="F36" s="5" t="n"/>
      <c r="G36">
        <f>IF(A36="","",C36*IF(E36="",1,E36)*IF(F36="",1,F36)*D36)</f>
        <v/>
      </c>
    </row>
    <row r="37">
      <c r="A37" s="5" t="n"/>
      <c r="B37" s="5" t="n"/>
      <c r="C37" s="5" t="n"/>
      <c r="D37" s="5" t="n"/>
      <c r="E37" s="5" t="n"/>
      <c r="F37" s="5" t="n"/>
      <c r="G37">
        <f>IF(A37="","",C37*IF(E37="",1,E37)*IF(F37="",1,F37)*D37)</f>
        <v/>
      </c>
    </row>
    <row r="38">
      <c r="A38" s="5" t="n"/>
      <c r="B38" s="5" t="n"/>
      <c r="C38" s="5" t="n"/>
      <c r="D38" s="5" t="n"/>
      <c r="E38" s="5" t="n"/>
      <c r="F38" s="5" t="n"/>
      <c r="G38">
        <f>IF(A38="","",C38*IF(E38="",1,E38)*IF(F38="",1,F38)*D38)</f>
        <v/>
      </c>
    </row>
    <row r="39">
      <c r="A39" s="5" t="n"/>
      <c r="B39" s="5" t="n"/>
      <c r="C39" s="5" t="n"/>
      <c r="D39" s="5" t="n"/>
      <c r="E39" s="5" t="n"/>
      <c r="F39" s="5" t="n"/>
      <c r="G39">
        <f>IF(A39="","",C39*IF(E39="",1,E39)*IF(F39="",1,F39)*D39)</f>
        <v/>
      </c>
    </row>
    <row r="40">
      <c r="A40" s="5" t="n"/>
      <c r="B40" s="5" t="n"/>
      <c r="C40" s="5" t="n"/>
      <c r="D40" s="5" t="n"/>
      <c r="E40" s="5" t="n"/>
      <c r="F40" s="5" t="n"/>
      <c r="G40">
        <f>IF(A40="","",C40*IF(E40="",1,E40)*IF(F40="",1,F40)*D40)</f>
        <v/>
      </c>
    </row>
    <row r="41">
      <c r="A41" s="5" t="n"/>
      <c r="B41" s="5" t="n"/>
      <c r="C41" s="5" t="n"/>
      <c r="D41" s="5" t="n"/>
      <c r="E41" s="5" t="n"/>
      <c r="F41" s="5" t="n"/>
      <c r="G41">
        <f>IF(A41="","",C41*IF(E41="",1,E41)*IF(F41="",1,F41)*D41)</f>
        <v/>
      </c>
    </row>
    <row r="42">
      <c r="A42" s="5" t="n"/>
      <c r="B42" s="5" t="n"/>
      <c r="C42" s="5" t="n"/>
      <c r="D42" s="5" t="n"/>
      <c r="E42" s="5" t="n"/>
      <c r="F42" s="5" t="n"/>
      <c r="G42">
        <f>IF(A42="","",C42*IF(E42="",1,E42)*IF(F42="",1,F42)*D42)</f>
        <v/>
      </c>
    </row>
    <row r="43">
      <c r="A43" s="5" t="n"/>
      <c r="B43" s="5" t="n"/>
      <c r="C43" s="5" t="n"/>
      <c r="D43" s="5" t="n"/>
      <c r="E43" s="5" t="n"/>
      <c r="F43" s="5" t="n"/>
      <c r="G43">
        <f>IF(A43="","",C43*IF(E43="",1,E43)*IF(F43="",1,F43)*D43)</f>
        <v/>
      </c>
    </row>
    <row r="44">
      <c r="A44" s="5" t="n"/>
      <c r="B44" s="5" t="n"/>
      <c r="C44" s="5" t="n"/>
      <c r="D44" s="5" t="n"/>
      <c r="E44" s="5" t="n"/>
      <c r="F44" s="5" t="n"/>
      <c r="G44">
        <f>IF(A44="","",C44*IF(E44="",1,E44)*IF(F44="",1,F44)*D44)</f>
        <v/>
      </c>
    </row>
    <row r="45">
      <c r="A45" s="5" t="n"/>
      <c r="B45" s="5" t="n"/>
      <c r="C45" s="5" t="n"/>
      <c r="D45" s="5" t="n"/>
      <c r="E45" s="5" t="n"/>
      <c r="F45" s="5" t="n"/>
      <c r="G45">
        <f>IF(A45="","",C45*IF(E45="",1,E45)*IF(F45="",1,F45)*D45)</f>
        <v/>
      </c>
    </row>
    <row r="46">
      <c r="A46" s="5" t="n"/>
      <c r="B46" s="5" t="n"/>
      <c r="C46" s="5" t="n"/>
      <c r="D46" s="5" t="n"/>
      <c r="E46" s="5" t="n"/>
      <c r="F46" s="5" t="n"/>
      <c r="G46">
        <f>IF(A46="","",C46*IF(E46="",1,E46)*IF(F46="",1,F46)*D46)</f>
        <v/>
      </c>
    </row>
    <row r="47">
      <c r="A47" s="5" t="n"/>
      <c r="B47" s="5" t="n"/>
      <c r="C47" s="5" t="n"/>
      <c r="D47" s="5" t="n"/>
      <c r="E47" s="5" t="n"/>
      <c r="F47" s="5" t="n"/>
      <c r="G47">
        <f>IF(A47="","",C47*IF(E47="",1,E47)*IF(F47="",1,F47)*D47)</f>
        <v/>
      </c>
    </row>
    <row r="48">
      <c r="A48" s="5" t="n"/>
      <c r="B48" s="5" t="n"/>
      <c r="C48" s="5" t="n"/>
      <c r="D48" s="5" t="n"/>
      <c r="E48" s="5" t="n"/>
      <c r="F48" s="5" t="n"/>
      <c r="G48">
        <f>IF(A48="","",C48*IF(E48="",1,E48)*IF(F48="",1,F48)*D48)</f>
        <v/>
      </c>
    </row>
    <row r="49">
      <c r="A49" s="5" t="n"/>
      <c r="B49" s="5" t="n"/>
      <c r="C49" s="5" t="n"/>
      <c r="D49" s="5" t="n"/>
      <c r="E49" s="5" t="n"/>
      <c r="F49" s="5" t="n"/>
      <c r="G49">
        <f>IF(A49="","",C49*IF(E49="",1,E49)*IF(F49="",1,F49)*D49)</f>
        <v/>
      </c>
    </row>
    <row r="50">
      <c r="A50" s="5" t="n"/>
      <c r="B50" s="5" t="n"/>
      <c r="C50" s="5" t="n"/>
      <c r="D50" s="5" t="n"/>
      <c r="E50" s="5" t="n"/>
      <c r="F50" s="5" t="n"/>
      <c r="G50">
        <f>IF(A50="","",C50*IF(E50="",1,E50)*IF(F50="",1,F50)*D50)</f>
        <v/>
      </c>
    </row>
    <row r="51">
      <c r="A51" s="5" t="n"/>
      <c r="B51" s="5" t="n"/>
      <c r="C51" s="5" t="n"/>
      <c r="D51" s="5" t="n"/>
      <c r="E51" s="5" t="n"/>
      <c r="F51" s="5" t="n"/>
      <c r="G51">
        <f>IF(A51="","",C51*IF(E51="",1,E51)*IF(F51="",1,F51)*D51)</f>
        <v/>
      </c>
    </row>
    <row r="52">
      <c r="A52" s="5" t="n"/>
      <c r="B52" s="5" t="n"/>
      <c r="C52" s="5" t="n"/>
      <c r="D52" s="5" t="n"/>
      <c r="E52" s="5" t="n"/>
      <c r="F52" s="5" t="n"/>
      <c r="G52">
        <f>IF(A52="","",C52*IF(E52="",1,E52)*IF(F52="",1,F52)*D52)</f>
        <v/>
      </c>
    </row>
    <row r="53">
      <c r="A53" s="5" t="n"/>
      <c r="B53" s="5" t="n"/>
      <c r="C53" s="5" t="n"/>
      <c r="D53" s="5" t="n"/>
      <c r="E53" s="5" t="n"/>
      <c r="F53" s="5" t="n"/>
      <c r="G53">
        <f>IF(A53="","",C53*IF(E53="",1,E53)*IF(F53="",1,F53)*D53)</f>
        <v/>
      </c>
    </row>
    <row r="54">
      <c r="A54" s="5" t="n"/>
      <c r="B54" s="5" t="n"/>
      <c r="C54" s="5" t="n"/>
      <c r="D54" s="5" t="n"/>
      <c r="E54" s="5" t="n"/>
      <c r="F54" s="5" t="n"/>
      <c r="G54">
        <f>IF(A54="","",C54*IF(E54="",1,E54)*IF(F54="",1,F54)*D54)</f>
        <v/>
      </c>
    </row>
    <row r="55">
      <c r="A55" s="5" t="n"/>
      <c r="B55" s="5" t="n"/>
      <c r="C55" s="5" t="n"/>
      <c r="D55" s="5" t="n"/>
      <c r="E55" s="5" t="n"/>
      <c r="F55" s="5" t="n"/>
      <c r="G55">
        <f>IF(A55="","",C55*IF(E55="",1,E55)*IF(F55="",1,F55)*D55)</f>
        <v/>
      </c>
    </row>
    <row r="56">
      <c r="A56" s="5" t="n"/>
      <c r="B56" s="5" t="n"/>
      <c r="C56" s="5" t="n"/>
      <c r="D56" s="5" t="n"/>
      <c r="E56" s="5" t="n"/>
      <c r="F56" s="5" t="n"/>
      <c r="G56">
        <f>IF(A56="","",C56*IF(E56="",1,E56)*IF(F56="",1,F56)*D56)</f>
        <v/>
      </c>
    </row>
    <row r="57">
      <c r="A57" s="5" t="n"/>
      <c r="B57" s="5" t="n"/>
      <c r="C57" s="5" t="n"/>
      <c r="D57" s="5" t="n"/>
      <c r="E57" s="5" t="n"/>
      <c r="F57" s="5" t="n"/>
      <c r="G57">
        <f>IF(A57="","",C57*IF(E57="",1,E57)*IF(F57="",1,F57)*D57)</f>
        <v/>
      </c>
    </row>
    <row r="58">
      <c r="A58" s="5" t="n"/>
      <c r="B58" s="5" t="n"/>
      <c r="C58" s="5" t="n"/>
      <c r="D58" s="5" t="n"/>
      <c r="E58" s="5" t="n"/>
      <c r="F58" s="5" t="n"/>
      <c r="G58">
        <f>IF(A58="","",C58*IF(E58="",1,E58)*IF(F58="",1,F58)*D58)</f>
        <v/>
      </c>
    </row>
    <row r="59">
      <c r="A59" s="5" t="n"/>
      <c r="B59" s="5" t="n"/>
      <c r="C59" s="5" t="n"/>
      <c r="D59" s="5" t="n"/>
      <c r="E59" s="5" t="n"/>
      <c r="F59" s="5" t="n"/>
      <c r="G59">
        <f>IF(A59="","",C59*IF(E59="",1,E59)*IF(F59="",1,F59)*D59)</f>
        <v/>
      </c>
    </row>
    <row r="60">
      <c r="A60" s="5" t="n"/>
      <c r="B60" s="5" t="n"/>
      <c r="C60" s="5" t="n"/>
      <c r="D60" s="5" t="n"/>
      <c r="E60" s="5" t="n"/>
      <c r="F60" s="5" t="n"/>
      <c r="G60">
        <f>IF(A60="","",C60*IF(E60="",1,E60)*IF(F60="",1,F60)*D60)</f>
        <v/>
      </c>
    </row>
    <row r="61">
      <c r="A61" s="5" t="n"/>
      <c r="B61" s="5" t="n"/>
      <c r="C61" s="5" t="n"/>
      <c r="D61" s="5" t="n"/>
      <c r="E61" s="5" t="n"/>
      <c r="F61" s="5" t="n"/>
      <c r="G61">
        <f>IF(A61="","",C61*IF(E61="",1,E61)*IF(F61="",1,F61)*D61)</f>
        <v/>
      </c>
    </row>
    <row r="62">
      <c r="A62" s="5" t="n"/>
      <c r="B62" s="5" t="n"/>
      <c r="C62" s="5" t="n"/>
      <c r="D62" s="5" t="n"/>
      <c r="E62" s="5" t="n"/>
      <c r="F62" s="5" t="n"/>
      <c r="G62">
        <f>IF(A62="","",C62*IF(E62="",1,E62)*IF(F62="",1,F62)*D62)</f>
        <v/>
      </c>
    </row>
    <row r="63">
      <c r="A63" s="5" t="n"/>
      <c r="B63" s="5" t="n"/>
      <c r="C63" s="5" t="n"/>
      <c r="D63" s="5" t="n"/>
      <c r="E63" s="5" t="n"/>
      <c r="F63" s="5" t="n"/>
      <c r="G63">
        <f>IF(A63="","",C63*IF(E63="",1,E63)*IF(F63="",1,F63)*D63)</f>
        <v/>
      </c>
    </row>
    <row r="64">
      <c r="A64" s="5" t="n"/>
      <c r="B64" s="5" t="n"/>
      <c r="C64" s="5" t="n"/>
      <c r="D64" s="5" t="n"/>
      <c r="E64" s="5" t="n"/>
      <c r="F64" s="5" t="n"/>
      <c r="G64">
        <f>IF(A64="","",C64*IF(E64="",1,E64)*IF(F64="",1,F64)*D64)</f>
        <v/>
      </c>
    </row>
    <row r="65">
      <c r="A65" s="5" t="n"/>
      <c r="B65" s="5" t="n"/>
      <c r="C65" s="5" t="n"/>
      <c r="D65" s="5" t="n"/>
      <c r="E65" s="5" t="n"/>
      <c r="F65" s="5" t="n"/>
      <c r="G65">
        <f>IF(A65="","",C65*IF(E65="",1,E65)*IF(F65="",1,F65)*D65)</f>
        <v/>
      </c>
    </row>
    <row r="66">
      <c r="A66" s="5" t="n"/>
      <c r="B66" s="5" t="n"/>
      <c r="C66" s="5" t="n"/>
      <c r="D66" s="5" t="n"/>
      <c r="E66" s="5" t="n"/>
      <c r="F66" s="5" t="n"/>
      <c r="G66">
        <f>IF(A66="","",C66*IF(E66="",1,E66)*IF(F66="",1,F66)*D66)</f>
        <v/>
      </c>
    </row>
    <row r="67">
      <c r="A67" s="5" t="n"/>
      <c r="B67" s="5" t="n"/>
      <c r="C67" s="5" t="n"/>
      <c r="D67" s="5" t="n"/>
      <c r="E67" s="5" t="n"/>
      <c r="F67" s="5" t="n"/>
      <c r="G67">
        <f>IF(A67="","",C67*IF(E67="",1,E67)*IF(F67="",1,F67)*D67)</f>
        <v/>
      </c>
    </row>
    <row r="68">
      <c r="A68" s="5" t="n"/>
      <c r="B68" s="5" t="n"/>
      <c r="C68" s="5" t="n"/>
      <c r="D68" s="5" t="n"/>
      <c r="E68" s="5" t="n"/>
      <c r="F68" s="5" t="n"/>
      <c r="G68">
        <f>IF(A68="","",C68*IF(E68="",1,E68)*IF(F68="",1,F68)*D68)</f>
        <v/>
      </c>
    </row>
    <row r="69">
      <c r="A69" s="5" t="n"/>
      <c r="B69" s="5" t="n"/>
      <c r="C69" s="5" t="n"/>
      <c r="D69" s="5" t="n"/>
      <c r="E69" s="5" t="n"/>
      <c r="F69" s="5" t="n"/>
      <c r="G69">
        <f>IF(A69="","",C69*IF(E69="",1,E69)*IF(F69="",1,F69)*D69)</f>
        <v/>
      </c>
    </row>
    <row r="70">
      <c r="A70" s="5" t="n"/>
      <c r="B70" s="5" t="n"/>
      <c r="C70" s="5" t="n"/>
      <c r="D70" s="5" t="n"/>
      <c r="E70" s="5" t="n"/>
      <c r="F70" s="5" t="n"/>
      <c r="G70">
        <f>IF(A70="","",C70*IF(E70="",1,E70)*IF(F70="",1,F70)*D70)</f>
        <v/>
      </c>
    </row>
    <row r="71">
      <c r="A71" s="5" t="n"/>
      <c r="B71" s="5" t="n"/>
      <c r="C71" s="5" t="n"/>
      <c r="D71" s="5" t="n"/>
      <c r="E71" s="5" t="n"/>
      <c r="F71" s="5" t="n"/>
      <c r="G71">
        <f>IF(A71="","",C71*IF(E71="",1,E71)*IF(F71="",1,F71)*D71)</f>
        <v/>
      </c>
    </row>
    <row r="72">
      <c r="A72" s="5" t="n"/>
      <c r="B72" s="5" t="n"/>
      <c r="C72" s="5" t="n"/>
      <c r="D72" s="5" t="n"/>
      <c r="E72" s="5" t="n"/>
      <c r="F72" s="5" t="n"/>
      <c r="G72">
        <f>IF(A72="","",C72*IF(E72="",1,E72)*IF(F72="",1,F72)*D72)</f>
        <v/>
      </c>
    </row>
    <row r="73">
      <c r="A73" s="5" t="n"/>
      <c r="B73" s="5" t="n"/>
      <c r="C73" s="5" t="n"/>
      <c r="D73" s="5" t="n"/>
      <c r="E73" s="5" t="n"/>
      <c r="F73" s="5" t="n"/>
      <c r="G73">
        <f>IF(A73="","",C73*IF(E73="",1,E73)*IF(F73="",1,F73)*D73)</f>
        <v/>
      </c>
    </row>
    <row r="74">
      <c r="A74" s="5" t="n"/>
      <c r="B74" s="5" t="n"/>
      <c r="C74" s="5" t="n"/>
      <c r="D74" s="5" t="n"/>
      <c r="E74" s="5" t="n"/>
      <c r="F74" s="5" t="n"/>
      <c r="G74">
        <f>IF(A74="","",C74*IF(E74="",1,E74)*IF(F74="",1,F74)*D74)</f>
        <v/>
      </c>
    </row>
    <row r="75">
      <c r="A75" s="5" t="n"/>
      <c r="B75" s="5" t="n"/>
      <c r="C75" s="5" t="n"/>
      <c r="D75" s="5" t="n"/>
      <c r="E75" s="5" t="n"/>
      <c r="F75" s="5" t="n"/>
      <c r="G75">
        <f>IF(A75="","",C75*IF(E75="",1,E75)*IF(F75="",1,F75)*D75)</f>
        <v/>
      </c>
    </row>
    <row r="76">
      <c r="A76" s="5" t="n"/>
      <c r="B76" s="5" t="n"/>
      <c r="C76" s="5" t="n"/>
      <c r="D76" s="5" t="n"/>
      <c r="E76" s="5" t="n"/>
      <c r="F76" s="5" t="n"/>
      <c r="G76">
        <f>IF(A76="","",C76*IF(E76="",1,E76)*IF(F76="",1,F76)*D76)</f>
        <v/>
      </c>
    </row>
    <row r="77">
      <c r="A77" s="5" t="n"/>
      <c r="B77" s="5" t="n"/>
      <c r="C77" s="5" t="n"/>
      <c r="D77" s="5" t="n"/>
      <c r="E77" s="5" t="n"/>
      <c r="F77" s="5" t="n"/>
      <c r="G77">
        <f>IF(A77="","",C77*IF(E77="",1,E77)*IF(F77="",1,F77)*D77)</f>
        <v/>
      </c>
    </row>
    <row r="78">
      <c r="A78" s="5" t="n"/>
      <c r="B78" s="5" t="n"/>
      <c r="C78" s="5" t="n"/>
      <c r="D78" s="5" t="n"/>
      <c r="E78" s="5" t="n"/>
      <c r="F78" s="5" t="n"/>
      <c r="G78">
        <f>IF(A78="","",C78*IF(E78="",1,E78)*IF(F78="",1,F78)*D78)</f>
        <v/>
      </c>
    </row>
    <row r="79">
      <c r="A79" s="5" t="n"/>
      <c r="B79" s="5" t="n"/>
      <c r="C79" s="5" t="n"/>
      <c r="D79" s="5" t="n"/>
      <c r="E79" s="5" t="n"/>
      <c r="F79" s="5" t="n"/>
      <c r="G79">
        <f>IF(A79="","",C79*IF(E79="",1,E79)*IF(F79="",1,F79)*D79)</f>
        <v/>
      </c>
    </row>
    <row r="80">
      <c r="A80" s="5" t="n"/>
      <c r="B80" s="5" t="n"/>
      <c r="C80" s="5" t="n"/>
      <c r="D80" s="5" t="n"/>
      <c r="E80" s="5" t="n"/>
      <c r="F80" s="5" t="n"/>
      <c r="G80">
        <f>IF(A80="","",C80*IF(E80="",1,E80)*IF(F80="",1,F80)*D80)</f>
        <v/>
      </c>
    </row>
    <row r="81">
      <c r="A81" s="5" t="n"/>
      <c r="B81" s="5" t="n"/>
      <c r="C81" s="5" t="n"/>
      <c r="D81" s="5" t="n"/>
      <c r="E81" s="5" t="n"/>
      <c r="F81" s="5" t="n"/>
      <c r="G81">
        <f>IF(A81="","",C81*IF(E81="",1,E81)*IF(F81="",1,F81)*D81)</f>
        <v/>
      </c>
    </row>
    <row r="82">
      <c r="A82" s="5" t="n"/>
      <c r="B82" s="5" t="n"/>
      <c r="C82" s="5" t="n"/>
      <c r="D82" s="5" t="n"/>
      <c r="E82" s="5" t="n"/>
      <c r="F82" s="5" t="n"/>
      <c r="G82">
        <f>IF(A82="","",C82*IF(E82="",1,E82)*IF(F82="",1,F82)*D82)</f>
        <v/>
      </c>
    </row>
    <row r="83">
      <c r="A83" s="5" t="n"/>
      <c r="B83" s="5" t="n"/>
      <c r="C83" s="5" t="n"/>
      <c r="D83" s="5" t="n"/>
      <c r="E83" s="5" t="n"/>
      <c r="F83" s="5" t="n"/>
      <c r="G83">
        <f>IF(A83="","",C83*IF(E83="",1,E83)*IF(F83="",1,F83)*D83)</f>
        <v/>
      </c>
    </row>
    <row r="84">
      <c r="A84" s="5" t="n"/>
      <c r="B84" s="5" t="n"/>
      <c r="C84" s="5" t="n"/>
      <c r="D84" s="5" t="n"/>
      <c r="E84" s="5" t="n"/>
      <c r="F84" s="5" t="n"/>
      <c r="G84">
        <f>IF(A84="","",C84*IF(E84="",1,E84)*IF(F84="",1,F84)*D84)</f>
        <v/>
      </c>
    </row>
    <row r="85">
      <c r="A85" s="5" t="n"/>
      <c r="B85" s="5" t="n"/>
      <c r="C85" s="5" t="n"/>
      <c r="D85" s="5" t="n"/>
      <c r="E85" s="5" t="n"/>
      <c r="F85" s="5" t="n"/>
      <c r="G85">
        <f>IF(A85="","",C85*IF(E85="",1,E85)*IF(F85="",1,F85)*D85)</f>
        <v/>
      </c>
    </row>
    <row r="86">
      <c r="A86" s="5" t="n"/>
      <c r="B86" s="5" t="n"/>
      <c r="C86" s="5" t="n"/>
      <c r="D86" s="5" t="n"/>
      <c r="E86" s="5" t="n"/>
      <c r="F86" s="5" t="n"/>
      <c r="G86">
        <f>IF(A86="","",C86*IF(E86="",1,E86)*IF(F86="",1,F86)*D86)</f>
        <v/>
      </c>
    </row>
    <row r="87">
      <c r="A87" s="5" t="n"/>
      <c r="B87" s="5" t="n"/>
      <c r="C87" s="5" t="n"/>
      <c r="D87" s="5" t="n"/>
      <c r="E87" s="5" t="n"/>
      <c r="F87" s="5" t="n"/>
      <c r="G87">
        <f>IF(A87="","",C87*IF(E87="",1,E87)*IF(F87="",1,F87)*D87)</f>
        <v/>
      </c>
    </row>
    <row r="88">
      <c r="A88" s="5" t="n"/>
      <c r="B88" s="5" t="n"/>
      <c r="C88" s="5" t="n"/>
      <c r="D88" s="5" t="n"/>
      <c r="E88" s="5" t="n"/>
      <c r="F88" s="5" t="n"/>
      <c r="G88">
        <f>IF(A88="","",C88*IF(E88="",1,E88)*IF(F88="",1,F88)*D88)</f>
        <v/>
      </c>
    </row>
    <row r="89">
      <c r="A89" s="5" t="n"/>
      <c r="B89" s="5" t="n"/>
      <c r="C89" s="5" t="n"/>
      <c r="D89" s="5" t="n"/>
      <c r="E89" s="5" t="n"/>
      <c r="F89" s="5" t="n"/>
      <c r="G89">
        <f>IF(A89="","",C89*IF(E89="",1,E89)*IF(F89="",1,F89)*D89)</f>
        <v/>
      </c>
    </row>
    <row r="90">
      <c r="A90" s="5" t="n"/>
      <c r="B90" s="5" t="n"/>
      <c r="C90" s="5" t="n"/>
      <c r="D90" s="5" t="n"/>
      <c r="E90" s="5" t="n"/>
      <c r="F90" s="5" t="n"/>
      <c r="G90">
        <f>IF(A90="","",C90*IF(E90="",1,E90)*IF(F90="",1,F90)*D90)</f>
        <v/>
      </c>
    </row>
    <row r="91">
      <c r="A91" s="5" t="n"/>
      <c r="B91" s="5" t="n"/>
      <c r="C91" s="5" t="n"/>
      <c r="D91" s="5" t="n"/>
      <c r="E91" s="5" t="n"/>
      <c r="F91" s="5" t="n"/>
      <c r="G91">
        <f>IF(A91="","",C91*IF(E91="",1,E91)*IF(F91="",1,F91)*D91)</f>
        <v/>
      </c>
    </row>
    <row r="92">
      <c r="A92" s="5" t="n"/>
      <c r="B92" s="5" t="n"/>
      <c r="C92" s="5" t="n"/>
      <c r="D92" s="5" t="n"/>
      <c r="E92" s="5" t="n"/>
      <c r="F92" s="5" t="n"/>
      <c r="G92">
        <f>IF(A92="","",C92*IF(E92="",1,E92)*IF(F92="",1,F92)*D92)</f>
        <v/>
      </c>
    </row>
    <row r="93">
      <c r="A93" s="5" t="n"/>
      <c r="B93" s="5" t="n"/>
      <c r="C93" s="5" t="n"/>
      <c r="D93" s="5" t="n"/>
      <c r="E93" s="5" t="n"/>
      <c r="F93" s="5" t="n"/>
      <c r="G93">
        <f>IF(A93="","",C93*IF(E93="",1,E93)*IF(F93="",1,F93)*D93)</f>
        <v/>
      </c>
    </row>
    <row r="94">
      <c r="A94" s="5" t="n"/>
      <c r="B94" s="5" t="n"/>
      <c r="C94" s="5" t="n"/>
      <c r="D94" s="5" t="n"/>
      <c r="E94" s="5" t="n"/>
      <c r="F94" s="5" t="n"/>
      <c r="G94">
        <f>IF(A94="","",C94*IF(E94="",1,E94)*IF(F94="",1,F94)*D94)</f>
        <v/>
      </c>
    </row>
    <row r="95">
      <c r="A95" s="5" t="n"/>
      <c r="B95" s="5" t="n"/>
      <c r="C95" s="5" t="n"/>
      <c r="D95" s="5" t="n"/>
      <c r="E95" s="5" t="n"/>
      <c r="F95" s="5" t="n"/>
      <c r="G95">
        <f>IF(A95="","",C95*IF(E95="",1,E95)*IF(F95="",1,F95)*D95)</f>
        <v/>
      </c>
    </row>
    <row r="96">
      <c r="A96" s="5" t="n"/>
      <c r="B96" s="5" t="n"/>
      <c r="C96" s="5" t="n"/>
      <c r="D96" s="5" t="n"/>
      <c r="E96" s="5" t="n"/>
      <c r="F96" s="5" t="n"/>
      <c r="G96">
        <f>IF(A96="","",C96*IF(E96="",1,E96)*IF(F96="",1,F96)*D96)</f>
        <v/>
      </c>
    </row>
    <row r="97">
      <c r="A97" s="5" t="n"/>
      <c r="B97" s="5" t="n"/>
      <c r="C97" s="5" t="n"/>
      <c r="D97" s="5" t="n"/>
      <c r="E97" s="5" t="n"/>
      <c r="F97" s="5" t="n"/>
      <c r="G97">
        <f>IF(A97="","",C97*IF(E97="",1,E97)*IF(F97="",1,F97)*D97)</f>
        <v/>
      </c>
    </row>
    <row r="98">
      <c r="A98" s="5" t="n"/>
      <c r="B98" s="5" t="n"/>
      <c r="C98" s="5" t="n"/>
      <c r="D98" s="5" t="n"/>
      <c r="E98" s="5" t="n"/>
      <c r="F98" s="5" t="n"/>
      <c r="G98">
        <f>IF(A98="","",C98*IF(E98="",1,E98)*IF(F98="",1,F98)*D98)</f>
        <v/>
      </c>
    </row>
    <row r="99">
      <c r="A99" s="5" t="n"/>
      <c r="B99" s="5" t="n"/>
      <c r="C99" s="5" t="n"/>
      <c r="D99" s="5" t="n"/>
      <c r="E99" s="5" t="n"/>
      <c r="F99" s="5" t="n"/>
      <c r="G99">
        <f>IF(A99="","",C99*IF(E99="",1,E99)*IF(F99="",1,F99)*D99)</f>
        <v/>
      </c>
    </row>
    <row r="100">
      <c r="A100" s="5" t="n"/>
      <c r="B100" s="5" t="n"/>
      <c r="C100" s="5" t="n"/>
      <c r="D100" s="5" t="n"/>
      <c r="E100" s="5" t="n"/>
      <c r="F100" s="5" t="n"/>
      <c r="G100">
        <f>IF(A100="","",C100*IF(E100="",1,E100)*IF(F100="",1,F100)*D100)</f>
        <v/>
      </c>
    </row>
    <row r="101">
      <c r="A101" s="5" t="n"/>
      <c r="B101" s="5" t="n"/>
      <c r="C101" s="5" t="n"/>
      <c r="D101" s="5" t="n"/>
      <c r="E101" s="5" t="n"/>
      <c r="F101" s="5" t="n"/>
      <c r="G101">
        <f>IF(A101="","",C101*IF(E101="",1,E101)*IF(F101="",1,F101)*D101)</f>
        <v/>
      </c>
    </row>
    <row r="102">
      <c r="A102" s="5" t="n"/>
      <c r="B102" s="5" t="n"/>
      <c r="C102" s="5" t="n"/>
      <c r="D102" s="5" t="n"/>
      <c r="E102" s="5" t="n"/>
      <c r="F102" s="5" t="n"/>
      <c r="G102">
        <f>IF(A102="","",C102*IF(E102="",1,E102)*IF(F102="",1,F102)*D102)</f>
        <v/>
      </c>
    </row>
    <row r="103">
      <c r="A103" s="5" t="n"/>
      <c r="B103" s="5" t="n"/>
      <c r="C103" s="5" t="n"/>
      <c r="D103" s="5" t="n"/>
      <c r="E103" s="5" t="n"/>
      <c r="F103" s="5" t="n"/>
      <c r="G103">
        <f>IF(A103="","",C103*IF(E103="",1,E103)*IF(F103="",1,F103)*D103)</f>
        <v/>
      </c>
    </row>
    <row r="104">
      <c r="A104" s="5" t="n"/>
      <c r="B104" s="5" t="n"/>
      <c r="C104" s="5" t="n"/>
      <c r="D104" s="5" t="n"/>
      <c r="E104" s="5" t="n"/>
      <c r="F104" s="5" t="n"/>
      <c r="G104">
        <f>IF(A104="","",C104*IF(E104="",1,E104)*IF(F104="",1,F104)*D104)</f>
        <v/>
      </c>
    </row>
    <row r="105">
      <c r="A105" s="5" t="n"/>
      <c r="B105" s="5" t="n"/>
      <c r="C105" s="5" t="n"/>
      <c r="D105" s="5" t="n"/>
      <c r="E105" s="5" t="n"/>
      <c r="F105" s="5" t="n"/>
      <c r="G105">
        <f>IF(A105="","",C105*IF(E105="",1,E105)*IF(F105="",1,F105)*D105)</f>
        <v/>
      </c>
    </row>
    <row r="106">
      <c r="A106" s="5" t="n"/>
      <c r="B106" s="5" t="n"/>
      <c r="C106" s="5" t="n"/>
      <c r="D106" s="5" t="n"/>
      <c r="E106" s="5" t="n"/>
      <c r="F106" s="5" t="n"/>
      <c r="G106">
        <f>IF(A106="","",C106*IF(E106="",1,E106)*IF(F106="",1,F106)*D106)</f>
        <v/>
      </c>
    </row>
    <row r="107">
      <c r="A107" s="5" t="n"/>
      <c r="B107" s="5" t="n"/>
      <c r="C107" s="5" t="n"/>
      <c r="D107" s="5" t="n"/>
      <c r="E107" s="5" t="n"/>
      <c r="F107" s="5" t="n"/>
      <c r="G107">
        <f>IF(A107="","",C107*IF(E107="",1,E107)*IF(F107="",1,F107)*D107)</f>
        <v/>
      </c>
    </row>
    <row r="108">
      <c r="A108" s="5" t="n"/>
      <c r="B108" s="5" t="n"/>
      <c r="C108" s="5" t="n"/>
      <c r="D108" s="5" t="n"/>
      <c r="E108" s="5" t="n"/>
      <c r="F108" s="5" t="n"/>
      <c r="G108">
        <f>IF(A108="","",C108*IF(E108="",1,E108)*IF(F108="",1,F108)*D108)</f>
        <v/>
      </c>
    </row>
    <row r="109">
      <c r="A109" s="5" t="n"/>
      <c r="B109" s="5" t="n"/>
      <c r="C109" s="5" t="n"/>
      <c r="D109" s="5" t="n"/>
      <c r="E109" s="5" t="n"/>
      <c r="F109" s="5" t="n"/>
      <c r="G109">
        <f>IF(A109="","",C109*IF(E109="",1,E109)*IF(F109="",1,F109)*D109)</f>
        <v/>
      </c>
    </row>
    <row r="110">
      <c r="A110" s="5" t="n"/>
      <c r="B110" s="5" t="n"/>
      <c r="C110" s="5" t="n"/>
      <c r="D110" s="5" t="n"/>
      <c r="E110" s="5" t="n"/>
      <c r="F110" s="5" t="n"/>
      <c r="G110">
        <f>IF(A110="","",C110*IF(E110="",1,E110)*IF(F110="",1,F110)*D110)</f>
        <v/>
      </c>
    </row>
    <row r="111">
      <c r="A111" s="5" t="n"/>
      <c r="B111" s="5" t="n"/>
      <c r="C111" s="5" t="n"/>
      <c r="D111" s="5" t="n"/>
      <c r="E111" s="5" t="n"/>
      <c r="F111" s="5" t="n"/>
      <c r="G111">
        <f>IF(A111="","",C111*IF(E111="",1,E111)*IF(F111="",1,F111)*D111)</f>
        <v/>
      </c>
    </row>
    <row r="112">
      <c r="A112" s="5" t="n"/>
      <c r="B112" s="5" t="n"/>
      <c r="C112" s="5" t="n"/>
      <c r="D112" s="5" t="n"/>
      <c r="E112" s="5" t="n"/>
      <c r="F112" s="5" t="n"/>
      <c r="G112">
        <f>IF(A112="","",C112*IF(E112="",1,E112)*IF(F112="",1,F112)*D112)</f>
        <v/>
      </c>
    </row>
    <row r="113">
      <c r="A113" s="5" t="n"/>
      <c r="B113" s="5" t="n"/>
      <c r="C113" s="5" t="n"/>
      <c r="D113" s="5" t="n"/>
      <c r="E113" s="5" t="n"/>
      <c r="F113" s="5" t="n"/>
      <c r="G113">
        <f>IF(A113="","",C113*IF(E113="",1,E113)*IF(F113="",1,F113)*D113)</f>
        <v/>
      </c>
    </row>
    <row r="114">
      <c r="A114" s="5" t="n"/>
      <c r="B114" s="5" t="n"/>
      <c r="C114" s="5" t="n"/>
      <c r="D114" s="5" t="n"/>
      <c r="E114" s="5" t="n"/>
      <c r="F114" s="5" t="n"/>
      <c r="G114">
        <f>IF(A114="","",C114*IF(E114="",1,E114)*IF(F114="",1,F114)*D114)</f>
        <v/>
      </c>
    </row>
    <row r="115">
      <c r="A115" s="5" t="n"/>
      <c r="B115" s="5" t="n"/>
      <c r="C115" s="5" t="n"/>
      <c r="D115" s="5" t="n"/>
      <c r="E115" s="5" t="n"/>
      <c r="F115" s="5" t="n"/>
      <c r="G115">
        <f>IF(A115="","",C115*IF(E115="",1,E115)*IF(F115="",1,F115)*D115)</f>
        <v/>
      </c>
    </row>
    <row r="116">
      <c r="A116" s="5" t="n"/>
      <c r="B116" s="5" t="n"/>
      <c r="C116" s="5" t="n"/>
      <c r="D116" s="5" t="n"/>
      <c r="E116" s="5" t="n"/>
      <c r="F116" s="5" t="n"/>
      <c r="G116">
        <f>IF(A116="","",C116*IF(E116="",1,E116)*IF(F116="",1,F116)*D116)</f>
        <v/>
      </c>
    </row>
    <row r="117">
      <c r="A117" s="5" t="n"/>
      <c r="B117" s="5" t="n"/>
      <c r="C117" s="5" t="n"/>
      <c r="D117" s="5" t="n"/>
      <c r="E117" s="5" t="n"/>
      <c r="F117" s="5" t="n"/>
      <c r="G117">
        <f>IF(A117="","",C117*IF(E117="",1,E117)*IF(F117="",1,F117)*D117)</f>
        <v/>
      </c>
    </row>
    <row r="118">
      <c r="A118" s="5" t="n"/>
      <c r="B118" s="5" t="n"/>
      <c r="C118" s="5" t="n"/>
      <c r="D118" s="5" t="n"/>
      <c r="E118" s="5" t="n"/>
      <c r="F118" s="5" t="n"/>
      <c r="G118">
        <f>IF(A118="","",C118*IF(E118="",1,E118)*IF(F118="",1,F118)*D118)</f>
        <v/>
      </c>
    </row>
    <row r="119">
      <c r="A119" s="5" t="n"/>
      <c r="B119" s="5" t="n"/>
      <c r="C119" s="5" t="n"/>
      <c r="D119" s="5" t="n"/>
      <c r="E119" s="5" t="n"/>
      <c r="F119" s="5" t="n"/>
      <c r="G119">
        <f>IF(A119="","",C119*IF(E119="",1,E119)*IF(F119="",1,F119)*D119)</f>
        <v/>
      </c>
    </row>
    <row r="120">
      <c r="A120" s="5" t="n"/>
      <c r="B120" s="5" t="n"/>
      <c r="C120" s="5" t="n"/>
      <c r="D120" s="5" t="n"/>
      <c r="E120" s="5" t="n"/>
      <c r="F120" s="5" t="n"/>
      <c r="G120">
        <f>IF(A120="","",C120*IF(E120="",1,E120)*IF(F120="",1,F120)*D120)</f>
        <v/>
      </c>
    </row>
    <row r="121">
      <c r="A121" s="5" t="n"/>
      <c r="B121" s="5" t="n"/>
      <c r="C121" s="5" t="n"/>
      <c r="D121" s="5" t="n"/>
      <c r="E121" s="5" t="n"/>
      <c r="F121" s="5" t="n"/>
      <c r="G121">
        <f>IF(A121="","",C121*IF(E121="",1,E121)*IF(F121="",1,F121)*D121)</f>
        <v/>
      </c>
    </row>
    <row r="122">
      <c r="A122" s="5" t="n"/>
      <c r="B122" s="5" t="n"/>
      <c r="C122" s="5" t="n"/>
      <c r="D122" s="5" t="n"/>
      <c r="E122" s="5" t="n"/>
      <c r="F122" s="5" t="n"/>
      <c r="G122">
        <f>IF(A122="","",C122*IF(E122="",1,E122)*IF(F122="",1,F122)*D122)</f>
        <v/>
      </c>
    </row>
    <row r="123">
      <c r="A123" s="5" t="n"/>
      <c r="B123" s="5" t="n"/>
      <c r="C123" s="5" t="n"/>
      <c r="D123" s="5" t="n"/>
      <c r="E123" s="5" t="n"/>
      <c r="F123" s="5" t="n"/>
      <c r="G123">
        <f>IF(A123="","",C123*IF(E123="",1,E123)*IF(F123="",1,F123)*D123)</f>
        <v/>
      </c>
    </row>
    <row r="124">
      <c r="A124" s="5" t="n"/>
      <c r="B124" s="5" t="n"/>
      <c r="C124" s="5" t="n"/>
      <c r="D124" s="5" t="n"/>
      <c r="E124" s="5" t="n"/>
      <c r="F124" s="5" t="n"/>
      <c r="G124">
        <f>IF(A124="","",C124*IF(E124="",1,E124)*IF(F124="",1,F124)*D124)</f>
        <v/>
      </c>
    </row>
    <row r="125">
      <c r="A125" s="5" t="n"/>
      <c r="B125" s="5" t="n"/>
      <c r="C125" s="5" t="n"/>
      <c r="D125" s="5" t="n"/>
      <c r="E125" s="5" t="n"/>
      <c r="F125" s="5" t="n"/>
      <c r="G125">
        <f>IF(A125="","",C125*IF(E125="",1,E125)*IF(F125="",1,F125)*D125)</f>
        <v/>
      </c>
    </row>
    <row r="126">
      <c r="A126" s="5" t="n"/>
      <c r="B126" s="5" t="n"/>
      <c r="C126" s="5" t="n"/>
      <c r="D126" s="5" t="n"/>
      <c r="E126" s="5" t="n"/>
      <c r="F126" s="5" t="n"/>
      <c r="G126">
        <f>IF(A126="","",C126*IF(E126="",1,E126)*IF(F126="",1,F126)*D126)</f>
        <v/>
      </c>
    </row>
    <row r="127">
      <c r="A127" s="5" t="n"/>
      <c r="B127" s="5" t="n"/>
      <c r="C127" s="5" t="n"/>
      <c r="D127" s="5" t="n"/>
      <c r="E127" s="5" t="n"/>
      <c r="F127" s="5" t="n"/>
      <c r="G127">
        <f>IF(A127="","",C127*IF(E127="",1,E127)*IF(F127="",1,F127)*D127)</f>
        <v/>
      </c>
    </row>
    <row r="128">
      <c r="A128" s="5" t="n"/>
      <c r="B128" s="5" t="n"/>
      <c r="C128" s="5" t="n"/>
      <c r="D128" s="5" t="n"/>
      <c r="E128" s="5" t="n"/>
      <c r="F128" s="5" t="n"/>
      <c r="G128">
        <f>IF(A128="","",C128*IF(E128="",1,E128)*IF(F128="",1,F128)*D128)</f>
        <v/>
      </c>
    </row>
    <row r="129">
      <c r="A129" s="5" t="n"/>
      <c r="B129" s="5" t="n"/>
      <c r="C129" s="5" t="n"/>
      <c r="D129" s="5" t="n"/>
      <c r="E129" s="5" t="n"/>
      <c r="F129" s="5" t="n"/>
      <c r="G129">
        <f>IF(A129="","",C129*IF(E129="",1,E129)*IF(F129="",1,F129)*D129)</f>
        <v/>
      </c>
    </row>
    <row r="130">
      <c r="A130" s="5" t="n"/>
      <c r="B130" s="5" t="n"/>
      <c r="C130" s="5" t="n"/>
      <c r="D130" s="5" t="n"/>
      <c r="E130" s="5" t="n"/>
      <c r="F130" s="5" t="n"/>
      <c r="G130">
        <f>IF(A130="","",C130*IF(E130="",1,E130)*IF(F130="",1,F130)*D130)</f>
        <v/>
      </c>
    </row>
    <row r="131">
      <c r="A131" s="5" t="n"/>
      <c r="B131" s="5" t="n"/>
      <c r="C131" s="5" t="n"/>
      <c r="D131" s="5" t="n"/>
      <c r="E131" s="5" t="n"/>
      <c r="F131" s="5" t="n"/>
      <c r="G131">
        <f>IF(A131="","",C131*IF(E131="",1,E131)*IF(F131="",1,F131)*D131)</f>
        <v/>
      </c>
    </row>
    <row r="132">
      <c r="A132" s="5" t="n"/>
      <c r="B132" s="5" t="n"/>
      <c r="C132" s="5" t="n"/>
      <c r="D132" s="5" t="n"/>
      <c r="E132" s="5" t="n"/>
      <c r="F132" s="5" t="n"/>
      <c r="G132">
        <f>IF(A132="","",C132*IF(E132="",1,E132)*IF(F132="",1,F132)*D132)</f>
        <v/>
      </c>
    </row>
    <row r="133">
      <c r="A133" s="5" t="n"/>
      <c r="B133" s="5" t="n"/>
      <c r="C133" s="5" t="n"/>
      <c r="D133" s="5" t="n"/>
      <c r="E133" s="5" t="n"/>
      <c r="F133" s="5" t="n"/>
      <c r="G133">
        <f>IF(A133="","",C133*IF(E133="",1,E133)*IF(F133="",1,F133)*D133)</f>
        <v/>
      </c>
    </row>
    <row r="134">
      <c r="A134" s="5" t="n"/>
      <c r="B134" s="5" t="n"/>
      <c r="C134" s="5" t="n"/>
      <c r="D134" s="5" t="n"/>
      <c r="E134" s="5" t="n"/>
      <c r="F134" s="5" t="n"/>
      <c r="G134">
        <f>IF(A134="","",C134*IF(E134="",1,E134)*IF(F134="",1,F134)*D134)</f>
        <v/>
      </c>
    </row>
    <row r="135">
      <c r="A135" s="5" t="n"/>
      <c r="B135" s="5" t="n"/>
      <c r="C135" s="5" t="n"/>
      <c r="D135" s="5" t="n"/>
      <c r="E135" s="5" t="n"/>
      <c r="F135" s="5" t="n"/>
      <c r="G135">
        <f>IF(A135="","",C135*IF(E135="",1,E135)*IF(F135="",1,F135)*D135)</f>
        <v/>
      </c>
    </row>
    <row r="136">
      <c r="A136" s="5" t="n"/>
      <c r="B136" s="5" t="n"/>
      <c r="C136" s="5" t="n"/>
      <c r="D136" s="5" t="n"/>
      <c r="E136" s="5" t="n"/>
      <c r="F136" s="5" t="n"/>
      <c r="G136">
        <f>IF(A136="","",C136*IF(E136="",1,E136)*IF(F136="",1,F136)*D136)</f>
        <v/>
      </c>
    </row>
    <row r="137">
      <c r="A137" s="5" t="n"/>
      <c r="B137" s="5" t="n"/>
      <c r="C137" s="5" t="n"/>
      <c r="D137" s="5" t="n"/>
      <c r="E137" s="5" t="n"/>
      <c r="F137" s="5" t="n"/>
      <c r="G137">
        <f>IF(A137="","",C137*IF(E137="",1,E137)*IF(F137="",1,F137)*D137)</f>
        <v/>
      </c>
    </row>
    <row r="138">
      <c r="A138" s="5" t="n"/>
      <c r="B138" s="5" t="n"/>
      <c r="C138" s="5" t="n"/>
      <c r="D138" s="5" t="n"/>
      <c r="E138" s="5" t="n"/>
      <c r="F138" s="5" t="n"/>
      <c r="G138">
        <f>IF(A138="","",C138*IF(E138="",1,E138)*IF(F138="",1,F138)*D138)</f>
        <v/>
      </c>
    </row>
    <row r="139">
      <c r="A139" s="5" t="n"/>
      <c r="B139" s="5" t="n"/>
      <c r="C139" s="5" t="n"/>
      <c r="D139" s="5" t="n"/>
      <c r="E139" s="5" t="n"/>
      <c r="F139" s="5" t="n"/>
      <c r="G139">
        <f>IF(A139="","",C139*IF(E139="",1,E139)*IF(F139="",1,F139)*D139)</f>
        <v/>
      </c>
    </row>
    <row r="140">
      <c r="A140" s="5" t="n"/>
      <c r="B140" s="5" t="n"/>
      <c r="C140" s="5" t="n"/>
      <c r="D140" s="5" t="n"/>
      <c r="E140" s="5" t="n"/>
      <c r="F140" s="5" t="n"/>
      <c r="G140">
        <f>IF(A140="","",C140*IF(E140="",1,E140)*IF(F140="",1,F140)*D140)</f>
        <v/>
      </c>
    </row>
    <row r="141">
      <c r="A141" s="5" t="n"/>
      <c r="B141" s="5" t="n"/>
      <c r="C141" s="5" t="n"/>
      <c r="D141" s="5" t="n"/>
      <c r="E141" s="5" t="n"/>
      <c r="F141" s="5" t="n"/>
      <c r="G141">
        <f>IF(A141="","",C141*IF(E141="",1,E141)*IF(F141="",1,F141)*D141)</f>
        <v/>
      </c>
    </row>
    <row r="142">
      <c r="A142" s="5" t="n"/>
      <c r="B142" s="5" t="n"/>
      <c r="C142" s="5" t="n"/>
      <c r="D142" s="5" t="n"/>
      <c r="E142" s="5" t="n"/>
      <c r="F142" s="5" t="n"/>
      <c r="G142">
        <f>IF(A142="","",C142*IF(E142="",1,E142)*IF(F142="",1,F142)*D142)</f>
        <v/>
      </c>
    </row>
    <row r="143">
      <c r="A143" s="5" t="n"/>
      <c r="B143" s="5" t="n"/>
      <c r="C143" s="5" t="n"/>
      <c r="D143" s="5" t="n"/>
      <c r="E143" s="5" t="n"/>
      <c r="F143" s="5" t="n"/>
      <c r="G143">
        <f>IF(A143="","",C143*IF(E143="",1,E143)*IF(F143="",1,F143)*D143)</f>
        <v/>
      </c>
    </row>
    <row r="144">
      <c r="A144" s="5" t="n"/>
      <c r="B144" s="5" t="n"/>
      <c r="C144" s="5" t="n"/>
      <c r="D144" s="5" t="n"/>
      <c r="E144" s="5" t="n"/>
      <c r="F144" s="5" t="n"/>
      <c r="G144">
        <f>IF(A144="","",C144*IF(E144="",1,E144)*IF(F144="",1,F144)*D144)</f>
        <v/>
      </c>
    </row>
    <row r="145">
      <c r="A145" s="5" t="n"/>
      <c r="B145" s="5" t="n"/>
      <c r="C145" s="5" t="n"/>
      <c r="D145" s="5" t="n"/>
      <c r="E145" s="5" t="n"/>
      <c r="F145" s="5" t="n"/>
      <c r="G145">
        <f>IF(A145="","",C145*IF(E145="",1,E145)*IF(F145="",1,F145)*D145)</f>
        <v/>
      </c>
    </row>
    <row r="146">
      <c r="A146" s="5" t="n"/>
      <c r="B146" s="5" t="n"/>
      <c r="C146" s="5" t="n"/>
      <c r="D146" s="5" t="n"/>
      <c r="E146" s="5" t="n"/>
      <c r="F146" s="5" t="n"/>
      <c r="G146">
        <f>IF(A146="","",C146*IF(E146="",1,E146)*IF(F146="",1,F146)*D146)</f>
        <v/>
      </c>
    </row>
    <row r="147">
      <c r="A147" s="5" t="n"/>
      <c r="B147" s="5" t="n"/>
      <c r="C147" s="5" t="n"/>
      <c r="D147" s="5" t="n"/>
      <c r="E147" s="5" t="n"/>
      <c r="F147" s="5" t="n"/>
      <c r="G147">
        <f>IF(A147="","",C147*IF(E147="",1,E147)*IF(F147="",1,F147)*D147)</f>
        <v/>
      </c>
    </row>
    <row r="148">
      <c r="A148" s="5" t="n"/>
      <c r="B148" s="5" t="n"/>
      <c r="C148" s="5" t="n"/>
      <c r="D148" s="5" t="n"/>
      <c r="E148" s="5" t="n"/>
      <c r="F148" s="5" t="n"/>
      <c r="G148">
        <f>IF(A148="","",C148*IF(E148="",1,E148)*IF(F148="",1,F148)*D148)</f>
        <v/>
      </c>
    </row>
    <row r="149">
      <c r="A149" s="5" t="n"/>
      <c r="B149" s="5" t="n"/>
      <c r="C149" s="5" t="n"/>
      <c r="D149" s="5" t="n"/>
      <c r="E149" s="5" t="n"/>
      <c r="F149" s="5" t="n"/>
      <c r="G149">
        <f>IF(A149="","",C149*IF(E149="",1,E149)*IF(F149="",1,F149)*D149)</f>
        <v/>
      </c>
    </row>
    <row r="150">
      <c r="A150" s="5" t="n"/>
      <c r="B150" s="5" t="n"/>
      <c r="C150" s="5" t="n"/>
      <c r="D150" s="5" t="n"/>
      <c r="E150" s="5" t="n"/>
      <c r="F150" s="5" t="n"/>
      <c r="G150">
        <f>IF(A150="","",C150*IF(E150="",1,E150)*IF(F150="",1,F150)*D150)</f>
        <v/>
      </c>
    </row>
    <row r="151">
      <c r="A151" s="5" t="n"/>
      <c r="B151" s="5" t="n"/>
      <c r="C151" s="5" t="n"/>
      <c r="D151" s="5" t="n"/>
      <c r="E151" s="5" t="n"/>
      <c r="F151" s="5" t="n"/>
      <c r="G151">
        <f>IF(A151="","",C151*IF(E151="",1,E151)*IF(F151="",1,F151)*D151)</f>
        <v/>
      </c>
    </row>
    <row r="152">
      <c r="A152" s="5" t="n"/>
      <c r="B152" s="5" t="n"/>
      <c r="C152" s="5" t="n"/>
      <c r="D152" s="5" t="n"/>
      <c r="E152" s="5" t="n"/>
      <c r="F152" s="5" t="n"/>
      <c r="G152">
        <f>IF(A152="","",C152*IF(E152="",1,E152)*IF(F152="",1,F152)*D152)</f>
        <v/>
      </c>
    </row>
    <row r="153">
      <c r="A153" s="5" t="n"/>
      <c r="B153" s="5" t="n"/>
      <c r="C153" s="5" t="n"/>
      <c r="D153" s="5" t="n"/>
      <c r="E153" s="5" t="n"/>
      <c r="F153" s="5" t="n"/>
      <c r="G153">
        <f>IF(A153="","",C153*IF(E153="",1,E153)*IF(F153="",1,F153)*D153)</f>
        <v/>
      </c>
    </row>
    <row r="154">
      <c r="A154" s="5" t="n"/>
      <c r="B154" s="5" t="n"/>
      <c r="C154" s="5" t="n"/>
      <c r="D154" s="5" t="n"/>
      <c r="E154" s="5" t="n"/>
      <c r="F154" s="5" t="n"/>
      <c r="G154">
        <f>IF(A154="","",C154*IF(E154="",1,E154)*IF(F154="",1,F154)*D154)</f>
        <v/>
      </c>
    </row>
    <row r="155">
      <c r="A155" s="5" t="n"/>
      <c r="B155" s="5" t="n"/>
      <c r="C155" s="5" t="n"/>
      <c r="D155" s="5" t="n"/>
      <c r="E155" s="5" t="n"/>
      <c r="F155" s="5" t="n"/>
      <c r="G155">
        <f>IF(A155="","",C155*IF(E155="",1,E155)*IF(F155="",1,F155)*D155)</f>
        <v/>
      </c>
    </row>
    <row r="156">
      <c r="A156" s="5" t="n"/>
      <c r="B156" s="5" t="n"/>
      <c r="C156" s="5" t="n"/>
      <c r="D156" s="5" t="n"/>
      <c r="E156" s="5" t="n"/>
      <c r="F156" s="5" t="n"/>
      <c r="G156">
        <f>IF(A156="","",C156*IF(E156="",1,E156)*IF(F156="",1,F156)*D156)</f>
        <v/>
      </c>
    </row>
    <row r="157">
      <c r="A157" s="5" t="n"/>
      <c r="B157" s="5" t="n"/>
      <c r="C157" s="5" t="n"/>
      <c r="D157" s="5" t="n"/>
      <c r="E157" s="5" t="n"/>
      <c r="F157" s="5" t="n"/>
      <c r="G157">
        <f>IF(A157="","",C157*IF(E157="",1,E157)*IF(F157="",1,F157)*D157)</f>
        <v/>
      </c>
    </row>
    <row r="158">
      <c r="A158" s="5" t="n"/>
      <c r="B158" s="5" t="n"/>
      <c r="C158" s="5" t="n"/>
      <c r="D158" s="5" t="n"/>
      <c r="E158" s="5" t="n"/>
      <c r="F158" s="5" t="n"/>
      <c r="G158">
        <f>IF(A158="","",C158*IF(E158="",1,E158)*IF(F158="",1,F158)*D158)</f>
        <v/>
      </c>
    </row>
    <row r="159">
      <c r="A159" s="5" t="n"/>
      <c r="B159" s="5" t="n"/>
      <c r="C159" s="5" t="n"/>
      <c r="D159" s="5" t="n"/>
      <c r="E159" s="5" t="n"/>
      <c r="F159" s="5" t="n"/>
      <c r="G159">
        <f>IF(A159="","",C159*IF(E159="",1,E159)*IF(F159="",1,F159)*D159)</f>
        <v/>
      </c>
    </row>
    <row r="160">
      <c r="A160" s="5" t="n"/>
      <c r="B160" s="5" t="n"/>
      <c r="C160" s="5" t="n"/>
      <c r="D160" s="5" t="n"/>
      <c r="E160" s="5" t="n"/>
      <c r="F160" s="5" t="n"/>
      <c r="G160">
        <f>IF(A160="","",C160*IF(E160="",1,E160)*IF(F160="",1,F160)*D160)</f>
        <v/>
      </c>
    </row>
    <row r="161">
      <c r="A161" s="5" t="n"/>
      <c r="B161" s="5" t="n"/>
      <c r="C161" s="5" t="n"/>
      <c r="D161" s="5" t="n"/>
      <c r="E161" s="5" t="n"/>
      <c r="F161" s="5" t="n"/>
      <c r="G161">
        <f>IF(A161="","",C161*IF(E161="",1,E161)*IF(F161="",1,F161)*D161)</f>
        <v/>
      </c>
    </row>
    <row r="162">
      <c r="A162" s="5" t="n"/>
      <c r="B162" s="5" t="n"/>
      <c r="C162" s="5" t="n"/>
      <c r="D162" s="5" t="n"/>
      <c r="E162" s="5" t="n"/>
      <c r="F162" s="5" t="n"/>
      <c r="G162">
        <f>IF(A162="","",C162*IF(E162="",1,E162)*IF(F162="",1,F162)*D162)</f>
        <v/>
      </c>
    </row>
    <row r="163">
      <c r="A163" s="5" t="n"/>
      <c r="B163" s="5" t="n"/>
      <c r="C163" s="5" t="n"/>
      <c r="D163" s="5" t="n"/>
      <c r="E163" s="5" t="n"/>
      <c r="F163" s="5" t="n"/>
      <c r="G163">
        <f>IF(A163="","",C163*IF(E163="",1,E163)*IF(F163="",1,F163)*D163)</f>
        <v/>
      </c>
    </row>
    <row r="164">
      <c r="A164" s="5" t="n"/>
      <c r="B164" s="5" t="n"/>
      <c r="C164" s="5" t="n"/>
      <c r="D164" s="5" t="n"/>
      <c r="E164" s="5" t="n"/>
      <c r="F164" s="5" t="n"/>
      <c r="G164">
        <f>IF(A164="","",C164*IF(E164="",1,E164)*IF(F164="",1,F164)*D164)</f>
        <v/>
      </c>
    </row>
    <row r="165">
      <c r="A165" s="5" t="n"/>
      <c r="B165" s="5" t="n"/>
      <c r="C165" s="5" t="n"/>
      <c r="D165" s="5" t="n"/>
      <c r="E165" s="5" t="n"/>
      <c r="F165" s="5" t="n"/>
      <c r="G165">
        <f>IF(A165="","",C165*IF(E165="",1,E165)*IF(F165="",1,F165)*D165)</f>
        <v/>
      </c>
    </row>
    <row r="166">
      <c r="A166" s="5" t="n"/>
      <c r="B166" s="5" t="n"/>
      <c r="C166" s="5" t="n"/>
      <c r="D166" s="5" t="n"/>
      <c r="E166" s="5" t="n"/>
      <c r="F166" s="5" t="n"/>
      <c r="G166">
        <f>IF(A166="","",C166*IF(E166="",1,E166)*IF(F166="",1,F166)*D166)</f>
        <v/>
      </c>
    </row>
    <row r="167">
      <c r="A167" s="5" t="n"/>
      <c r="B167" s="5" t="n"/>
      <c r="C167" s="5" t="n"/>
      <c r="D167" s="5" t="n"/>
      <c r="E167" s="5" t="n"/>
      <c r="F167" s="5" t="n"/>
      <c r="G167">
        <f>IF(A167="","",C167*IF(E167="",1,E167)*IF(F167="",1,F167)*D167)</f>
        <v/>
      </c>
    </row>
    <row r="168">
      <c r="A168" s="5" t="n"/>
      <c r="B168" s="5" t="n"/>
      <c r="C168" s="5" t="n"/>
      <c r="D168" s="5" t="n"/>
      <c r="E168" s="5" t="n"/>
      <c r="F168" s="5" t="n"/>
      <c r="G168">
        <f>IF(A168="","",C168*IF(E168="",1,E168)*IF(F168="",1,F168)*D168)</f>
        <v/>
      </c>
    </row>
    <row r="169">
      <c r="A169" s="5" t="n"/>
      <c r="B169" s="5" t="n"/>
      <c r="C169" s="5" t="n"/>
      <c r="D169" s="5" t="n"/>
      <c r="E169" s="5" t="n"/>
      <c r="F169" s="5" t="n"/>
      <c r="G169">
        <f>IF(A169="","",C169*IF(E169="",1,E169)*IF(F169="",1,F169)*D169)</f>
        <v/>
      </c>
    </row>
    <row r="170">
      <c r="A170" s="5" t="n"/>
      <c r="B170" s="5" t="n"/>
      <c r="C170" s="5" t="n"/>
      <c r="D170" s="5" t="n"/>
      <c r="E170" s="5" t="n"/>
      <c r="F170" s="5" t="n"/>
      <c r="G170">
        <f>IF(A170="","",C170*IF(E170="",1,E170)*IF(F170="",1,F170)*D170)</f>
        <v/>
      </c>
    </row>
    <row r="171">
      <c r="A171" s="5" t="n"/>
      <c r="B171" s="5" t="n"/>
      <c r="C171" s="5" t="n"/>
      <c r="D171" s="5" t="n"/>
      <c r="E171" s="5" t="n"/>
      <c r="F171" s="5" t="n"/>
      <c r="G171">
        <f>IF(A171="","",C171*IF(E171="",1,E171)*IF(F171="",1,F171)*D171)</f>
        <v/>
      </c>
    </row>
    <row r="172">
      <c r="A172" s="5" t="n"/>
      <c r="B172" s="5" t="n"/>
      <c r="C172" s="5" t="n"/>
      <c r="D172" s="5" t="n"/>
      <c r="E172" s="5" t="n"/>
      <c r="F172" s="5" t="n"/>
      <c r="G172">
        <f>IF(A172="","",C172*IF(E172="",1,E172)*IF(F172="",1,F172)*D172)</f>
        <v/>
      </c>
    </row>
    <row r="173">
      <c r="A173" s="5" t="n"/>
      <c r="B173" s="5" t="n"/>
      <c r="C173" s="5" t="n"/>
      <c r="D173" s="5" t="n"/>
      <c r="E173" s="5" t="n"/>
      <c r="F173" s="5" t="n"/>
      <c r="G173">
        <f>IF(A173="","",C173*IF(E173="",1,E173)*IF(F173="",1,F173)*D173)</f>
        <v/>
      </c>
    </row>
    <row r="174">
      <c r="A174" s="5" t="n"/>
      <c r="B174" s="5" t="n"/>
      <c r="C174" s="5" t="n"/>
      <c r="D174" s="5" t="n"/>
      <c r="E174" s="5" t="n"/>
      <c r="F174" s="5" t="n"/>
      <c r="G174">
        <f>IF(A174="","",C174*IF(E174="",1,E174)*IF(F174="",1,F174)*D174)</f>
        <v/>
      </c>
    </row>
    <row r="175">
      <c r="A175" s="5" t="n"/>
      <c r="B175" s="5" t="n"/>
      <c r="C175" s="5" t="n"/>
      <c r="D175" s="5" t="n"/>
      <c r="E175" s="5" t="n"/>
      <c r="F175" s="5" t="n"/>
      <c r="G175">
        <f>IF(A175="","",C175*IF(E175="",1,E175)*IF(F175="",1,F175)*D175)</f>
        <v/>
      </c>
    </row>
    <row r="176">
      <c r="A176" s="5" t="n"/>
      <c r="B176" s="5" t="n"/>
      <c r="C176" s="5" t="n"/>
      <c r="D176" s="5" t="n"/>
      <c r="E176" s="5" t="n"/>
      <c r="F176" s="5" t="n"/>
      <c r="G176">
        <f>IF(A176="","",C176*IF(E176="",1,E176)*IF(F176="",1,F176)*D176)</f>
        <v/>
      </c>
    </row>
    <row r="177">
      <c r="A177" s="5" t="n"/>
      <c r="B177" s="5" t="n"/>
      <c r="C177" s="5" t="n"/>
      <c r="D177" s="5" t="n"/>
      <c r="E177" s="5" t="n"/>
      <c r="F177" s="5" t="n"/>
      <c r="G177">
        <f>IF(A177="","",C177*IF(E177="",1,E177)*IF(F177="",1,F177)*D177)</f>
        <v/>
      </c>
    </row>
    <row r="178">
      <c r="A178" s="5" t="n"/>
      <c r="B178" s="5" t="n"/>
      <c r="C178" s="5" t="n"/>
      <c r="D178" s="5" t="n"/>
      <c r="E178" s="5" t="n"/>
      <c r="F178" s="5" t="n"/>
      <c r="G178">
        <f>IF(A178="","",C178*IF(E178="",1,E178)*IF(F178="",1,F178)*D178)</f>
        <v/>
      </c>
    </row>
    <row r="179">
      <c r="A179" s="5" t="n"/>
      <c r="B179" s="5" t="n"/>
      <c r="C179" s="5" t="n"/>
      <c r="D179" s="5" t="n"/>
      <c r="E179" s="5" t="n"/>
      <c r="F179" s="5" t="n"/>
      <c r="G179">
        <f>IF(A179="","",C179*IF(E179="",1,E179)*IF(F179="",1,F179)*D179)</f>
        <v/>
      </c>
    </row>
    <row r="180">
      <c r="A180" s="5" t="n"/>
      <c r="B180" s="5" t="n"/>
      <c r="C180" s="5" t="n"/>
      <c r="D180" s="5" t="n"/>
      <c r="E180" s="5" t="n"/>
      <c r="F180" s="5" t="n"/>
      <c r="G180">
        <f>IF(A180="","",C180*IF(E180="",1,E180)*IF(F180="",1,F180)*D180)</f>
        <v/>
      </c>
    </row>
    <row r="181">
      <c r="A181" s="5" t="n"/>
      <c r="B181" s="5" t="n"/>
      <c r="C181" s="5" t="n"/>
      <c r="D181" s="5" t="n"/>
      <c r="E181" s="5" t="n"/>
      <c r="F181" s="5" t="n"/>
      <c r="G181">
        <f>IF(A181="","",C181*IF(E181="",1,E181)*IF(F181="",1,F181)*D181)</f>
        <v/>
      </c>
    </row>
    <row r="182">
      <c r="A182" s="5" t="n"/>
      <c r="B182" s="5" t="n"/>
      <c r="C182" s="5" t="n"/>
      <c r="D182" s="5" t="n"/>
      <c r="E182" s="5" t="n"/>
      <c r="F182" s="5" t="n"/>
      <c r="G182">
        <f>IF(A182="","",C182*IF(E182="",1,E182)*IF(F182="",1,F182)*D182)</f>
        <v/>
      </c>
    </row>
    <row r="183">
      <c r="A183" s="5" t="n"/>
      <c r="B183" s="5" t="n"/>
      <c r="C183" s="5" t="n"/>
      <c r="D183" s="5" t="n"/>
      <c r="E183" s="5" t="n"/>
      <c r="F183" s="5" t="n"/>
      <c r="G183">
        <f>IF(A183="","",C183*IF(E183="",1,E183)*IF(F183="",1,F183)*D183)</f>
        <v/>
      </c>
    </row>
    <row r="184">
      <c r="A184" s="5" t="n"/>
      <c r="B184" s="5" t="n"/>
      <c r="C184" s="5" t="n"/>
      <c r="D184" s="5" t="n"/>
      <c r="E184" s="5" t="n"/>
      <c r="F184" s="5" t="n"/>
      <c r="G184">
        <f>IF(A184="","",C184*IF(E184="",1,E184)*IF(F184="",1,F184)*D184)</f>
        <v/>
      </c>
    </row>
    <row r="185">
      <c r="A185" s="5" t="n"/>
      <c r="B185" s="5" t="n"/>
      <c r="C185" s="5" t="n"/>
      <c r="D185" s="5" t="n"/>
      <c r="E185" s="5" t="n"/>
      <c r="F185" s="5" t="n"/>
      <c r="G185">
        <f>IF(A185="","",C185*IF(E185="",1,E185)*IF(F185="",1,F185)*D185)</f>
        <v/>
      </c>
    </row>
    <row r="186">
      <c r="A186" s="5" t="n"/>
      <c r="B186" s="5" t="n"/>
      <c r="C186" s="5" t="n"/>
      <c r="D186" s="5" t="n"/>
      <c r="E186" s="5" t="n"/>
      <c r="F186" s="5" t="n"/>
      <c r="G186">
        <f>IF(A186="","",C186*IF(E186="",1,E186)*IF(F186="",1,F186)*D186)</f>
        <v/>
      </c>
    </row>
    <row r="187">
      <c r="A187" s="5" t="n"/>
      <c r="B187" s="5" t="n"/>
      <c r="C187" s="5" t="n"/>
      <c r="D187" s="5" t="n"/>
      <c r="E187" s="5" t="n"/>
      <c r="F187" s="5" t="n"/>
      <c r="G187">
        <f>IF(A187="","",C187*IF(E187="",1,E187)*IF(F187="",1,F187)*D187)</f>
        <v/>
      </c>
    </row>
    <row r="188">
      <c r="A188" s="5" t="n"/>
      <c r="B188" s="5" t="n"/>
      <c r="C188" s="5" t="n"/>
      <c r="D188" s="5" t="n"/>
      <c r="E188" s="5" t="n"/>
      <c r="F188" s="5" t="n"/>
      <c r="G188">
        <f>IF(A188="","",C188*IF(E188="",1,E188)*IF(F188="",1,F188)*D188)</f>
        <v/>
      </c>
    </row>
    <row r="189">
      <c r="A189" s="5" t="n"/>
      <c r="B189" s="5" t="n"/>
      <c r="C189" s="5" t="n"/>
      <c r="D189" s="5" t="n"/>
      <c r="E189" s="5" t="n"/>
      <c r="F189" s="5" t="n"/>
      <c r="G189">
        <f>IF(A189="","",C189*IF(E189="",1,E189)*IF(F189="",1,F189)*D189)</f>
        <v/>
      </c>
    </row>
    <row r="190">
      <c r="A190" s="5" t="n"/>
      <c r="B190" s="5" t="n"/>
      <c r="C190" s="5" t="n"/>
      <c r="D190" s="5" t="n"/>
      <c r="E190" s="5" t="n"/>
      <c r="F190" s="5" t="n"/>
      <c r="G190">
        <f>IF(A190="","",C190*IF(E190="",1,E190)*IF(F190="",1,F190)*D190)</f>
        <v/>
      </c>
    </row>
    <row r="191">
      <c r="A191" s="5" t="n"/>
      <c r="B191" s="5" t="n"/>
      <c r="C191" s="5" t="n"/>
      <c r="D191" s="5" t="n"/>
      <c r="E191" s="5" t="n"/>
      <c r="F191" s="5" t="n"/>
      <c r="G191">
        <f>IF(A191="","",C191*IF(E191="",1,E191)*IF(F191="",1,F191)*D191)</f>
        <v/>
      </c>
    </row>
    <row r="192">
      <c r="A192" s="5" t="n"/>
      <c r="B192" s="5" t="n"/>
      <c r="C192" s="5" t="n"/>
      <c r="D192" s="5" t="n"/>
      <c r="E192" s="5" t="n"/>
      <c r="F192" s="5" t="n"/>
      <c r="G192">
        <f>IF(A192="","",C192*IF(E192="",1,E192)*IF(F192="",1,F192)*D192)</f>
        <v/>
      </c>
    </row>
    <row r="193">
      <c r="A193" s="5" t="n"/>
      <c r="B193" s="5" t="n"/>
      <c r="C193" s="5" t="n"/>
      <c r="D193" s="5" t="n"/>
      <c r="E193" s="5" t="n"/>
      <c r="F193" s="5" t="n"/>
      <c r="G193">
        <f>IF(A193="","",C193*IF(E193="",1,E193)*IF(F193="",1,F193)*D193)</f>
        <v/>
      </c>
    </row>
    <row r="194">
      <c r="A194" s="5" t="n"/>
      <c r="B194" s="5" t="n"/>
      <c r="C194" s="5" t="n"/>
      <c r="D194" s="5" t="n"/>
      <c r="E194" s="5" t="n"/>
      <c r="F194" s="5" t="n"/>
      <c r="G194">
        <f>IF(A194="","",C194*IF(E194="",1,E194)*IF(F194="",1,F194)*D194)</f>
        <v/>
      </c>
    </row>
    <row r="195">
      <c r="A195" s="5" t="n"/>
      <c r="B195" s="5" t="n"/>
      <c r="C195" s="5" t="n"/>
      <c r="D195" s="5" t="n"/>
      <c r="E195" s="5" t="n"/>
      <c r="F195" s="5" t="n"/>
      <c r="G195">
        <f>IF(A195="","",C195*IF(E195="",1,E195)*IF(F195="",1,F195)*D195)</f>
        <v/>
      </c>
    </row>
    <row r="196">
      <c r="A196" s="5" t="n"/>
      <c r="B196" s="5" t="n"/>
      <c r="C196" s="5" t="n"/>
      <c r="D196" s="5" t="n"/>
      <c r="E196" s="5" t="n"/>
      <c r="F196" s="5" t="n"/>
      <c r="G196">
        <f>IF(A196="","",C196*IF(E196="",1,E196)*IF(F196="",1,F196)*D196)</f>
        <v/>
      </c>
    </row>
    <row r="197">
      <c r="A197" s="5" t="n"/>
      <c r="B197" s="5" t="n"/>
      <c r="C197" s="5" t="n"/>
      <c r="D197" s="5" t="n"/>
      <c r="E197" s="5" t="n"/>
      <c r="F197" s="5" t="n"/>
      <c r="G197">
        <f>IF(A197="","",C197*IF(E197="",1,E197)*IF(F197="",1,F197)*D197)</f>
        <v/>
      </c>
    </row>
    <row r="198">
      <c r="A198" s="5" t="n"/>
      <c r="B198" s="5" t="n"/>
      <c r="C198" s="5" t="n"/>
      <c r="D198" s="5" t="n"/>
      <c r="E198" s="5" t="n"/>
      <c r="F198" s="5" t="n"/>
      <c r="G198">
        <f>IF(A198="","",C198*IF(E198="",1,E198)*IF(F198="",1,F198)*D198)</f>
        <v/>
      </c>
    </row>
    <row r="199">
      <c r="A199" s="5" t="n"/>
      <c r="B199" s="5" t="n"/>
      <c r="C199" s="5" t="n"/>
      <c r="D199" s="5" t="n"/>
      <c r="E199" s="5" t="n"/>
      <c r="F199" s="5" t="n"/>
      <c r="G199">
        <f>IF(A199="","",C199*IF(E199="",1,E199)*IF(F199="",1,F199)*D199)</f>
        <v/>
      </c>
    </row>
    <row r="200">
      <c r="A200" s="5" t="n"/>
      <c r="B200" s="5" t="n"/>
      <c r="C200" s="5" t="n"/>
      <c r="D200" s="5" t="n"/>
      <c r="E200" s="5" t="n"/>
      <c r="F200" s="5" t="n"/>
      <c r="G200">
        <f>IF(A200="","",C200*IF(E200="",1,E200)*IF(F200="",1,F200)*D200)</f>
        <v/>
      </c>
    </row>
    <row r="201">
      <c r="A201" s="5" t="n"/>
      <c r="B201" s="5" t="n"/>
      <c r="C201" s="5" t="n"/>
      <c r="D201" s="5" t="n"/>
      <c r="E201" s="5" t="n"/>
      <c r="F201" s="5" t="n"/>
      <c r="G201">
        <f>IF(A201="","",C201*IF(E201="",1,E201)*IF(F201="",1,F201)*D201)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</cols>
  <sheetData>
    <row r="1">
      <c r="A1" s="4" t="inlineStr">
        <is>
          <t>Metal key</t>
        </is>
      </c>
      <c r="B1" s="4" t="inlineStr">
        <is>
          <t>D_w (µg/kg/d)</t>
        </is>
      </c>
      <c r="C1" s="4" t="inlineStr">
        <is>
          <t>D_f (µg/kg/d)</t>
        </is>
      </c>
      <c r="D1" s="4" t="inlineStr">
        <is>
          <t>EC_a (µg/m3)</t>
        </is>
      </c>
      <c r="E1" s="4" t="inlineStr">
        <is>
          <t>HQ water</t>
        </is>
      </c>
      <c r="F1" s="4" t="inlineStr">
        <is>
          <t>HQ food</t>
        </is>
      </c>
      <c r="G1" s="4" t="inlineStr">
        <is>
          <t>HQ air</t>
        </is>
      </c>
      <c r="H1" s="4" t="inlineStr">
        <is>
          <t>HI_agg</t>
        </is>
      </c>
      <c r="I1" s="4" t="inlineStr">
        <is>
          <t>share water</t>
        </is>
      </c>
      <c r="J1" s="4" t="inlineStr">
        <is>
          <t>share food</t>
        </is>
      </c>
      <c r="K1" s="4" t="inlineStr">
        <is>
          <t>share air</t>
        </is>
      </c>
      <c r="L1" s="4" t="inlineStr">
        <is>
          <t>D_a,eq (µg/kg/d)</t>
        </is>
      </c>
      <c r="M1" s="4" t="inlineStr">
        <is>
          <t>MOE (BMDL 1)</t>
        </is>
      </c>
      <c r="N1" s="4" t="inlineStr">
        <is>
          <t>MOE (BMDL 2)</t>
        </is>
      </c>
      <c r="O1" s="4" t="inlineStr">
        <is>
          <t>ILCR oral</t>
        </is>
      </c>
      <c r="P1" s="4" t="inlineStr">
        <is>
          <t>ILCR inhalation</t>
        </is>
      </c>
      <c r="Q1" s="4" t="inlineStr">
        <is>
          <t>ILCR total</t>
        </is>
      </c>
      <c r="R1" s="4" t="inlineStr">
        <is>
          <t>P_w (allocation)</t>
        </is>
      </c>
      <c r="S1" s="4" t="inlineStr">
        <is>
          <t>C*_w context water value (µg/L)</t>
        </is>
      </c>
      <c r="T1" s="4" t="inlineStr">
        <is>
          <t>Target organ</t>
        </is>
      </c>
    </row>
    <row r="2">
      <c r="A2">
        <f>Water_Air!A2</f>
        <v/>
      </c>
      <c r="B2" s="6">
        <f>Water_Air!B2*Inputs!$C$3/Inputs!$C$2*(Inputs!$C$4*Inputs!$C$5/Inputs!$C$6)</f>
        <v/>
      </c>
      <c r="C2" s="6">
        <f>SUMIF(Food!$A$2:$A$201,$A2,Food!$G$2:$G$201)/Inputs!$C$2*(Inputs!$C$4*Inputs!$C$5/Inputs!$C$6)</f>
        <v/>
      </c>
      <c r="D2" s="6">
        <f>N(Water_Air!C2)/1000*Inputs!$C$9*(Inputs!$C$4*Inputs!$C$5/Inputs!$C$6)</f>
        <v/>
      </c>
      <c r="E2" s="6">
        <f>IF(N(INDEX(TRV!$B$2:$B$9,MATCH($A2,TRV!$A$2:$A$9,0)))&gt;0,B2/INDEX(TRV!$B$2:$B$9,MATCH($A2,TRV!$A$2:$A$9,0)),"")</f>
        <v/>
      </c>
      <c r="F2" s="6">
        <f>IF(N(INDEX(TRV!$C$2:$C$9,MATCH($A2,TRV!$A$2:$A$9,0)))&gt;0,C2/INDEX(TRV!$C$2:$C$9,MATCH($A2,TRV!$A$2:$A$9,0)),"")</f>
        <v/>
      </c>
      <c r="G2" s="6">
        <f>IF(N(INDEX(TRV!$D$2:$D$9,MATCH($A2,TRV!$A$2:$A$9,0)))&gt;0,D2/INDEX(TRV!$D$2:$D$9,MATCH($A2,TRV!$A$2:$A$9,0)),"")</f>
        <v/>
      </c>
      <c r="H2" s="6">
        <f>IF(COUNT(E2:G2)=0,"",SUM(E2:G2))</f>
        <v/>
      </c>
      <c r="I2" s="7">
        <f>IF(H2="","",N(E2)/H2)</f>
        <v/>
      </c>
      <c r="J2" s="7">
        <f>IF(H2="","",N(F2)/H2)</f>
        <v/>
      </c>
      <c r="K2" s="7">
        <f>IF(H2="","",N(G2)/H2)</f>
        <v/>
      </c>
      <c r="L2" s="6">
        <f>N(Water_Air!C2)/1000*Inputs!$C$10/Inputs!$C$2*(Inputs!$C$4*Inputs!$C$5/Inputs!$C$6)*Inputs!$C$11</f>
        <v/>
      </c>
      <c r="M2" s="6">
        <f>IF(N(INDEX(TRV!$G$2:$G$9,MATCH($A2,TRV!$A$2:$A$9,0)))&gt;0,INDEX(TRV!$G$2:$G$9,MATCH($A2,TRV!$A$2:$A$9,0))/(B2+C2+L2),"")</f>
        <v/>
      </c>
      <c r="N2" s="6">
        <f>IF(N(INDEX(TRV!$I$2:$I$9,MATCH($A2,TRV!$A$2:$A$9,0)))&gt;0,INDEX(TRV!$I$2:$I$9,MATCH($A2,TRV!$A$2:$A$9,0))/(B2+C2+L2),"")</f>
        <v/>
      </c>
      <c r="O2" s="8">
        <f>(B2+C2)*(Inputs!$C$6/Inputs!$C$8)*N(INDEX(TRV!$E$2:$E$9,MATCH($A2,TRV!$A$2:$A$9,0)))</f>
        <v/>
      </c>
      <c r="P2" s="8">
        <f>D2*(Inputs!$C$6/Inputs!$C$8)*N(INDEX(TRV!$F$2:$F$9,MATCH($A2,TRV!$A$2:$A$9,0)))</f>
        <v/>
      </c>
      <c r="Q2" s="8">
        <f>O2+P2</f>
        <v/>
      </c>
      <c r="R2" s="7">
        <f>IF(N(INDEX(TRV!$B$2:$B$9,MATCH($A2,TRV!$A$2:$A$9,0)))&gt;0,MIN(Inputs!$C$13,MAX(Inputs!$C$12,1-N(F2)-N(G2))),"")</f>
        <v/>
      </c>
      <c r="S2" s="6">
        <f>IF(R2="","",INDEX(TRV!$B$2:$B$9,MATCH($A2,TRV!$A$2:$A$9,0))*Inputs!$C$2*R2/(Inputs!$C$3*(Inputs!$C$4*Inputs!$C$5/Inputs!$C$6)))</f>
        <v/>
      </c>
      <c r="T2">
        <f>INDEX(TRV!$K$2:$K$9,MATCH($A2,TRV!$A$2:$A$9,0))</f>
        <v/>
      </c>
    </row>
    <row r="3">
      <c r="A3">
        <f>Water_Air!A3</f>
        <v/>
      </c>
      <c r="B3" s="6">
        <f>Water_Air!B3*Inputs!$C$3/Inputs!$C$2*(Inputs!$C$4*Inputs!$C$5/Inputs!$C$6)</f>
        <v/>
      </c>
      <c r="C3" s="6">
        <f>SUMIF(Food!$A$2:$A$201,$A3,Food!$G$2:$G$201)/Inputs!$C$2*(Inputs!$C$4*Inputs!$C$5/Inputs!$C$6)</f>
        <v/>
      </c>
      <c r="D3" s="6">
        <f>N(Water_Air!C3)/1000*Inputs!$C$9*(Inputs!$C$4*Inputs!$C$5/Inputs!$C$6)</f>
        <v/>
      </c>
      <c r="E3" s="6">
        <f>IF(N(INDEX(TRV!$B$2:$B$9,MATCH($A3,TRV!$A$2:$A$9,0)))&gt;0,B3/INDEX(TRV!$B$2:$B$9,MATCH($A3,TRV!$A$2:$A$9,0)),"")</f>
        <v/>
      </c>
      <c r="F3" s="6">
        <f>IF(N(INDEX(TRV!$C$2:$C$9,MATCH($A3,TRV!$A$2:$A$9,0)))&gt;0,C3/INDEX(TRV!$C$2:$C$9,MATCH($A3,TRV!$A$2:$A$9,0)),"")</f>
        <v/>
      </c>
      <c r="G3" s="6">
        <f>IF(N(INDEX(TRV!$D$2:$D$9,MATCH($A3,TRV!$A$2:$A$9,0)))&gt;0,D3/INDEX(TRV!$D$2:$D$9,MATCH($A3,TRV!$A$2:$A$9,0)),"")</f>
        <v/>
      </c>
      <c r="H3" s="6">
        <f>IF(COUNT(E3:G3)=0,"",SUM(E3:G3))</f>
        <v/>
      </c>
      <c r="I3" s="7">
        <f>IF(H3="","",N(E3)/H3)</f>
        <v/>
      </c>
      <c r="J3" s="7">
        <f>IF(H3="","",N(F3)/H3)</f>
        <v/>
      </c>
      <c r="K3" s="7">
        <f>IF(H3="","",N(G3)/H3)</f>
        <v/>
      </c>
      <c r="L3" s="6">
        <f>N(Water_Air!C3)/1000*Inputs!$C$10/Inputs!$C$2*(Inputs!$C$4*Inputs!$C$5/Inputs!$C$6)*Inputs!$C$11</f>
        <v/>
      </c>
      <c r="M3" s="6">
        <f>IF(N(INDEX(TRV!$G$2:$G$9,MATCH($A3,TRV!$A$2:$A$9,0)))&gt;0,INDEX(TRV!$G$2:$G$9,MATCH($A3,TRV!$A$2:$A$9,0))/(B3+C3+L3),"")</f>
        <v/>
      </c>
      <c r="N3" s="6">
        <f>IF(N(INDEX(TRV!$I$2:$I$9,MATCH($A3,TRV!$A$2:$A$9,0)))&gt;0,INDEX(TRV!$I$2:$I$9,MATCH($A3,TRV!$A$2:$A$9,0))/(B3+C3+L3),"")</f>
        <v/>
      </c>
      <c r="O3" s="8">
        <f>(B3+C3)*(Inputs!$C$6/Inputs!$C$8)*N(INDEX(TRV!$E$2:$E$9,MATCH($A3,TRV!$A$2:$A$9,0)))</f>
        <v/>
      </c>
      <c r="P3" s="8">
        <f>D3*(Inputs!$C$6/Inputs!$C$8)*N(INDEX(TRV!$F$2:$F$9,MATCH($A3,TRV!$A$2:$A$9,0)))</f>
        <v/>
      </c>
      <c r="Q3" s="8">
        <f>O3+P3</f>
        <v/>
      </c>
      <c r="R3" s="7">
        <f>IF(N(INDEX(TRV!$B$2:$B$9,MATCH($A3,TRV!$A$2:$A$9,0)))&gt;0,MIN(Inputs!$C$13,MAX(Inputs!$C$12,1-N(F3)-N(G3))),"")</f>
        <v/>
      </c>
      <c r="S3" s="6">
        <f>IF(R3="","",INDEX(TRV!$B$2:$B$9,MATCH($A3,TRV!$A$2:$A$9,0))*Inputs!$C$2*R3/(Inputs!$C$3*(Inputs!$C$4*Inputs!$C$5/Inputs!$C$6)))</f>
        <v/>
      </c>
      <c r="T3">
        <f>INDEX(TRV!$K$2:$K$9,MATCH($A3,TRV!$A$2:$A$9,0))</f>
        <v/>
      </c>
    </row>
    <row r="4">
      <c r="A4">
        <f>Water_Air!A4</f>
        <v/>
      </c>
      <c r="B4" s="6">
        <f>Water_Air!B4*Inputs!$C$3/Inputs!$C$2*(Inputs!$C$4*Inputs!$C$5/Inputs!$C$6)</f>
        <v/>
      </c>
      <c r="C4" s="6">
        <f>SUMIF(Food!$A$2:$A$201,$A4,Food!$G$2:$G$201)/Inputs!$C$2*(Inputs!$C$4*Inputs!$C$5/Inputs!$C$6)</f>
        <v/>
      </c>
      <c r="D4" s="6">
        <f>N(Water_Air!C4)/1000*Inputs!$C$9*(Inputs!$C$4*Inputs!$C$5/Inputs!$C$6)</f>
        <v/>
      </c>
      <c r="E4" s="6">
        <f>IF(N(INDEX(TRV!$B$2:$B$9,MATCH($A4,TRV!$A$2:$A$9,0)))&gt;0,B4/INDEX(TRV!$B$2:$B$9,MATCH($A4,TRV!$A$2:$A$9,0)),"")</f>
        <v/>
      </c>
      <c r="F4" s="6">
        <f>IF(N(INDEX(TRV!$C$2:$C$9,MATCH($A4,TRV!$A$2:$A$9,0)))&gt;0,C4/INDEX(TRV!$C$2:$C$9,MATCH($A4,TRV!$A$2:$A$9,0)),"")</f>
        <v/>
      </c>
      <c r="G4" s="6">
        <f>IF(N(INDEX(TRV!$D$2:$D$9,MATCH($A4,TRV!$A$2:$A$9,0)))&gt;0,D4/INDEX(TRV!$D$2:$D$9,MATCH($A4,TRV!$A$2:$A$9,0)),"")</f>
        <v/>
      </c>
      <c r="H4" s="6">
        <f>IF(COUNT(E4:G4)=0,"",SUM(E4:G4))</f>
        <v/>
      </c>
      <c r="I4" s="7">
        <f>IF(H4="","",N(E4)/H4)</f>
        <v/>
      </c>
      <c r="J4" s="7">
        <f>IF(H4="","",N(F4)/H4)</f>
        <v/>
      </c>
      <c r="K4" s="7">
        <f>IF(H4="","",N(G4)/H4)</f>
        <v/>
      </c>
      <c r="L4" s="6">
        <f>N(Water_Air!C4)/1000*Inputs!$C$10/Inputs!$C$2*(Inputs!$C$4*Inputs!$C$5/Inputs!$C$6)*Inputs!$C$11</f>
        <v/>
      </c>
      <c r="M4" s="6">
        <f>IF(N(INDEX(TRV!$G$2:$G$9,MATCH($A4,TRV!$A$2:$A$9,0)))&gt;0,INDEX(TRV!$G$2:$G$9,MATCH($A4,TRV!$A$2:$A$9,0))/(B4+C4+L4),"")</f>
        <v/>
      </c>
      <c r="N4" s="6">
        <f>IF(N(INDEX(TRV!$I$2:$I$9,MATCH($A4,TRV!$A$2:$A$9,0)))&gt;0,INDEX(TRV!$I$2:$I$9,MATCH($A4,TRV!$A$2:$A$9,0))/(B4+C4+L4),"")</f>
        <v/>
      </c>
      <c r="O4" s="8">
        <f>(B4+C4)*(Inputs!$C$6/Inputs!$C$8)*N(INDEX(TRV!$E$2:$E$9,MATCH($A4,TRV!$A$2:$A$9,0)))</f>
        <v/>
      </c>
      <c r="P4" s="8">
        <f>D4*(Inputs!$C$6/Inputs!$C$8)*N(INDEX(TRV!$F$2:$F$9,MATCH($A4,TRV!$A$2:$A$9,0)))</f>
        <v/>
      </c>
      <c r="Q4" s="8">
        <f>O4+P4</f>
        <v/>
      </c>
      <c r="R4" s="7">
        <f>IF(N(INDEX(TRV!$B$2:$B$9,MATCH($A4,TRV!$A$2:$A$9,0)))&gt;0,MIN(Inputs!$C$13,MAX(Inputs!$C$12,1-N(F4)-N(G4))),"")</f>
        <v/>
      </c>
      <c r="S4" s="6">
        <f>IF(R4="","",INDEX(TRV!$B$2:$B$9,MATCH($A4,TRV!$A$2:$A$9,0))*Inputs!$C$2*R4/(Inputs!$C$3*(Inputs!$C$4*Inputs!$C$5/Inputs!$C$6)))</f>
        <v/>
      </c>
      <c r="T4">
        <f>INDEX(TRV!$K$2:$K$9,MATCH($A4,TRV!$A$2:$A$9,0))</f>
        <v/>
      </c>
    </row>
    <row r="5">
      <c r="A5">
        <f>Water_Air!A5</f>
        <v/>
      </c>
      <c r="B5" s="6">
        <f>Water_Air!B5*Inputs!$C$3/Inputs!$C$2*(Inputs!$C$4*Inputs!$C$5/Inputs!$C$6)</f>
        <v/>
      </c>
      <c r="C5" s="6">
        <f>SUMIF(Food!$A$2:$A$201,$A5,Food!$G$2:$G$201)/Inputs!$C$2*(Inputs!$C$4*Inputs!$C$5/Inputs!$C$6)</f>
        <v/>
      </c>
      <c r="D5" s="6">
        <f>N(Water_Air!C5)/1000*Inputs!$C$9*(Inputs!$C$4*Inputs!$C$5/Inputs!$C$6)</f>
        <v/>
      </c>
      <c r="E5" s="6">
        <f>IF(N(INDEX(TRV!$B$2:$B$9,MATCH($A5,TRV!$A$2:$A$9,0)))&gt;0,B5/INDEX(TRV!$B$2:$B$9,MATCH($A5,TRV!$A$2:$A$9,0)),"")</f>
        <v/>
      </c>
      <c r="F5" s="6">
        <f>IF(N(INDEX(TRV!$C$2:$C$9,MATCH($A5,TRV!$A$2:$A$9,0)))&gt;0,C5/INDEX(TRV!$C$2:$C$9,MATCH($A5,TRV!$A$2:$A$9,0)),"")</f>
        <v/>
      </c>
      <c r="G5" s="6">
        <f>IF(N(INDEX(TRV!$D$2:$D$9,MATCH($A5,TRV!$A$2:$A$9,0)))&gt;0,D5/INDEX(TRV!$D$2:$D$9,MATCH($A5,TRV!$A$2:$A$9,0)),"")</f>
        <v/>
      </c>
      <c r="H5" s="6">
        <f>IF(COUNT(E5:G5)=0,"",SUM(E5:G5))</f>
        <v/>
      </c>
      <c r="I5" s="7">
        <f>IF(H5="","",N(E5)/H5)</f>
        <v/>
      </c>
      <c r="J5" s="7">
        <f>IF(H5="","",N(F5)/H5)</f>
        <v/>
      </c>
      <c r="K5" s="7">
        <f>IF(H5="","",N(G5)/H5)</f>
        <v/>
      </c>
      <c r="L5" s="6">
        <f>N(Water_Air!C5)/1000*Inputs!$C$10/Inputs!$C$2*(Inputs!$C$4*Inputs!$C$5/Inputs!$C$6)*Inputs!$C$11</f>
        <v/>
      </c>
      <c r="M5" s="6">
        <f>IF(N(INDEX(TRV!$G$2:$G$9,MATCH($A5,TRV!$A$2:$A$9,0)))&gt;0,INDEX(TRV!$G$2:$G$9,MATCH($A5,TRV!$A$2:$A$9,0))/(B5+C5+L5),"")</f>
        <v/>
      </c>
      <c r="N5" s="6">
        <f>IF(N(INDEX(TRV!$I$2:$I$9,MATCH($A5,TRV!$A$2:$A$9,0)))&gt;0,INDEX(TRV!$I$2:$I$9,MATCH($A5,TRV!$A$2:$A$9,0))/(B5+C5+L5),"")</f>
        <v/>
      </c>
      <c r="O5" s="8">
        <f>(B5+C5)*(Inputs!$C$6/Inputs!$C$8)*N(INDEX(TRV!$E$2:$E$9,MATCH($A5,TRV!$A$2:$A$9,0)))</f>
        <v/>
      </c>
      <c r="P5" s="8">
        <f>D5*(Inputs!$C$6/Inputs!$C$8)*N(INDEX(TRV!$F$2:$F$9,MATCH($A5,TRV!$A$2:$A$9,0)))</f>
        <v/>
      </c>
      <c r="Q5" s="8">
        <f>O5+P5</f>
        <v/>
      </c>
      <c r="R5" s="7">
        <f>IF(N(INDEX(TRV!$B$2:$B$9,MATCH($A5,TRV!$A$2:$A$9,0)))&gt;0,MIN(Inputs!$C$13,MAX(Inputs!$C$12,1-N(F5)-N(G5))),"")</f>
        <v/>
      </c>
      <c r="S5" s="6">
        <f>IF(R5="","",INDEX(TRV!$B$2:$B$9,MATCH($A5,TRV!$A$2:$A$9,0))*Inputs!$C$2*R5/(Inputs!$C$3*(Inputs!$C$4*Inputs!$C$5/Inputs!$C$6)))</f>
        <v/>
      </c>
      <c r="T5">
        <f>INDEX(TRV!$K$2:$K$9,MATCH($A5,TRV!$A$2:$A$9,0))</f>
        <v/>
      </c>
    </row>
    <row r="6">
      <c r="A6">
        <f>Water_Air!A6</f>
        <v/>
      </c>
      <c r="B6" s="6">
        <f>Water_Air!B6*Inputs!$C$3/Inputs!$C$2*(Inputs!$C$4*Inputs!$C$5/Inputs!$C$6)</f>
        <v/>
      </c>
      <c r="C6" s="6">
        <f>SUMIF(Food!$A$2:$A$201,$A6,Food!$G$2:$G$201)/Inputs!$C$2*(Inputs!$C$4*Inputs!$C$5/Inputs!$C$6)</f>
        <v/>
      </c>
      <c r="D6" s="6">
        <f>N(Water_Air!C6)/1000*Inputs!$C$9*(Inputs!$C$4*Inputs!$C$5/Inputs!$C$6)</f>
        <v/>
      </c>
      <c r="E6" s="6">
        <f>IF(N(INDEX(TRV!$B$2:$B$9,MATCH($A6,TRV!$A$2:$A$9,0)))&gt;0,B6/INDEX(TRV!$B$2:$B$9,MATCH($A6,TRV!$A$2:$A$9,0)),"")</f>
        <v/>
      </c>
      <c r="F6" s="6">
        <f>IF(N(INDEX(TRV!$C$2:$C$9,MATCH($A6,TRV!$A$2:$A$9,0)))&gt;0,C6/INDEX(TRV!$C$2:$C$9,MATCH($A6,TRV!$A$2:$A$9,0)),"")</f>
        <v/>
      </c>
      <c r="G6" s="6">
        <f>IF(N(INDEX(TRV!$D$2:$D$9,MATCH($A6,TRV!$A$2:$A$9,0)))&gt;0,D6/INDEX(TRV!$D$2:$D$9,MATCH($A6,TRV!$A$2:$A$9,0)),"")</f>
        <v/>
      </c>
      <c r="H6" s="6">
        <f>IF(COUNT(E6:G6)=0,"",SUM(E6:G6))</f>
        <v/>
      </c>
      <c r="I6" s="7">
        <f>IF(H6="","",N(E6)/H6)</f>
        <v/>
      </c>
      <c r="J6" s="7">
        <f>IF(H6="","",N(F6)/H6)</f>
        <v/>
      </c>
      <c r="K6" s="7">
        <f>IF(H6="","",N(G6)/H6)</f>
        <v/>
      </c>
      <c r="L6" s="6">
        <f>N(Water_Air!C6)/1000*Inputs!$C$10/Inputs!$C$2*(Inputs!$C$4*Inputs!$C$5/Inputs!$C$6)*Inputs!$C$11</f>
        <v/>
      </c>
      <c r="M6" s="6">
        <f>IF(N(INDEX(TRV!$G$2:$G$9,MATCH($A6,TRV!$A$2:$A$9,0)))&gt;0,INDEX(TRV!$G$2:$G$9,MATCH($A6,TRV!$A$2:$A$9,0))/(B6+C6+L6),"")</f>
        <v/>
      </c>
      <c r="N6" s="6">
        <f>IF(N(INDEX(TRV!$I$2:$I$9,MATCH($A6,TRV!$A$2:$A$9,0)))&gt;0,INDEX(TRV!$I$2:$I$9,MATCH($A6,TRV!$A$2:$A$9,0))/(B6+C6+L6),"")</f>
        <v/>
      </c>
      <c r="O6" s="8">
        <f>(B6+C6)*(Inputs!$C$6/Inputs!$C$8)*N(INDEX(TRV!$E$2:$E$9,MATCH($A6,TRV!$A$2:$A$9,0)))</f>
        <v/>
      </c>
      <c r="P6" s="8">
        <f>D6*(Inputs!$C$6/Inputs!$C$8)*N(INDEX(TRV!$F$2:$F$9,MATCH($A6,TRV!$A$2:$A$9,0)))</f>
        <v/>
      </c>
      <c r="Q6" s="8">
        <f>O6+P6</f>
        <v/>
      </c>
      <c r="R6" s="7">
        <f>IF(N(INDEX(TRV!$B$2:$B$9,MATCH($A6,TRV!$A$2:$A$9,0)))&gt;0,MIN(Inputs!$C$13,MAX(Inputs!$C$12,1-N(F6)-N(G6))),"")</f>
        <v/>
      </c>
      <c r="S6" s="6">
        <f>IF(R6="","",INDEX(TRV!$B$2:$B$9,MATCH($A6,TRV!$A$2:$A$9,0))*Inputs!$C$2*R6/(Inputs!$C$3*(Inputs!$C$4*Inputs!$C$5/Inputs!$C$6)))</f>
        <v/>
      </c>
      <c r="T6">
        <f>INDEX(TRV!$K$2:$K$9,MATCH($A6,TRV!$A$2:$A$9,0))</f>
        <v/>
      </c>
    </row>
    <row r="7">
      <c r="A7">
        <f>Water_Air!A7</f>
        <v/>
      </c>
      <c r="B7" s="6">
        <f>Water_Air!B7*Inputs!$C$3/Inputs!$C$2*(Inputs!$C$4*Inputs!$C$5/Inputs!$C$6)</f>
        <v/>
      </c>
      <c r="C7" s="6">
        <f>SUMIF(Food!$A$2:$A$201,$A7,Food!$G$2:$G$201)/Inputs!$C$2*(Inputs!$C$4*Inputs!$C$5/Inputs!$C$6)</f>
        <v/>
      </c>
      <c r="D7" s="6">
        <f>N(Water_Air!C7)/1000*Inputs!$C$9*(Inputs!$C$4*Inputs!$C$5/Inputs!$C$6)</f>
        <v/>
      </c>
      <c r="E7" s="6">
        <f>IF(N(INDEX(TRV!$B$2:$B$9,MATCH($A7,TRV!$A$2:$A$9,0)))&gt;0,B7/INDEX(TRV!$B$2:$B$9,MATCH($A7,TRV!$A$2:$A$9,0)),"")</f>
        <v/>
      </c>
      <c r="F7" s="6">
        <f>IF(N(INDEX(TRV!$C$2:$C$9,MATCH($A7,TRV!$A$2:$A$9,0)))&gt;0,C7/INDEX(TRV!$C$2:$C$9,MATCH($A7,TRV!$A$2:$A$9,0)),"")</f>
        <v/>
      </c>
      <c r="G7" s="6">
        <f>IF(N(INDEX(TRV!$D$2:$D$9,MATCH($A7,TRV!$A$2:$A$9,0)))&gt;0,D7/INDEX(TRV!$D$2:$D$9,MATCH($A7,TRV!$A$2:$A$9,0)),"")</f>
        <v/>
      </c>
      <c r="H7" s="6">
        <f>IF(COUNT(E7:G7)=0,"",SUM(E7:G7))</f>
        <v/>
      </c>
      <c r="I7" s="7">
        <f>IF(H7="","",N(E7)/H7)</f>
        <v/>
      </c>
      <c r="J7" s="7">
        <f>IF(H7="","",N(F7)/H7)</f>
        <v/>
      </c>
      <c r="K7" s="7">
        <f>IF(H7="","",N(G7)/H7)</f>
        <v/>
      </c>
      <c r="L7" s="6">
        <f>N(Water_Air!C7)/1000*Inputs!$C$10/Inputs!$C$2*(Inputs!$C$4*Inputs!$C$5/Inputs!$C$6)*Inputs!$C$11</f>
        <v/>
      </c>
      <c r="M7" s="6">
        <f>IF(N(INDEX(TRV!$G$2:$G$9,MATCH($A7,TRV!$A$2:$A$9,0)))&gt;0,INDEX(TRV!$G$2:$G$9,MATCH($A7,TRV!$A$2:$A$9,0))/(B7+C7+L7),"")</f>
        <v/>
      </c>
      <c r="N7" s="6">
        <f>IF(N(INDEX(TRV!$I$2:$I$9,MATCH($A7,TRV!$A$2:$A$9,0)))&gt;0,INDEX(TRV!$I$2:$I$9,MATCH($A7,TRV!$A$2:$A$9,0))/(B7+C7+L7),"")</f>
        <v/>
      </c>
      <c r="O7" s="8">
        <f>(B7+C7)*(Inputs!$C$6/Inputs!$C$8)*N(INDEX(TRV!$E$2:$E$9,MATCH($A7,TRV!$A$2:$A$9,0)))</f>
        <v/>
      </c>
      <c r="P7" s="8">
        <f>D7*(Inputs!$C$6/Inputs!$C$8)*N(INDEX(TRV!$F$2:$F$9,MATCH($A7,TRV!$A$2:$A$9,0)))</f>
        <v/>
      </c>
      <c r="Q7" s="8">
        <f>O7+P7</f>
        <v/>
      </c>
      <c r="R7" s="7">
        <f>IF(N(INDEX(TRV!$B$2:$B$9,MATCH($A7,TRV!$A$2:$A$9,0)))&gt;0,MIN(Inputs!$C$13,MAX(Inputs!$C$12,1-N(F7)-N(G7))),"")</f>
        <v/>
      </c>
      <c r="S7" s="6">
        <f>IF(R7="","",INDEX(TRV!$B$2:$B$9,MATCH($A7,TRV!$A$2:$A$9,0))*Inputs!$C$2*R7/(Inputs!$C$3*(Inputs!$C$4*Inputs!$C$5/Inputs!$C$6)))</f>
        <v/>
      </c>
      <c r="T7">
        <f>INDEX(TRV!$K$2:$K$9,MATCH($A7,TRV!$A$2:$A$9,0))</f>
        <v/>
      </c>
    </row>
    <row r="10">
      <c r="A10" s="9" t="inlineStr">
        <is>
          <t>Cumulative screening HI (all threshold metals, Cr counted once as CrVI):</t>
        </is>
      </c>
      <c r="H10">
        <f>SUMPRODUCT((A2:A7&lt;&gt;"CrIII")*N(+H2:H7))</f>
        <v/>
      </c>
    </row>
    <row r="11">
      <c r="A11" s="9" t="inlineStr">
        <is>
          <t>Target-organ HI (kidney):</t>
        </is>
      </c>
      <c r="H11">
        <f>SUMIF(T2:T7,"kidney",H2:H7)</f>
        <v/>
      </c>
    </row>
    <row r="13">
      <c r="A13" t="inlineStr">
        <is>
          <t>Read HI for threshold metals; MOE for Pb and iAs (concern if &lt;= 1); ILCR acceptable range 1E-6 to 1E-4. Shares = empirical source contribution f_m (Eq. 8). C*_w = context-specific drinking-water value (Eq. 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2026-10-09T20:25:03Z</dcterms:created>
  <dcterms:modified xmlns:dcterms="http://purl.org/dc/terms/" xmlns:xsi="http://www.w3.org/2001/XMLSchema-instance" xsi:type="dcterms:W3CDTF">2026-10-09T20:25:03Z</dcterms:modified>
</cp:coreProperties>
</file>