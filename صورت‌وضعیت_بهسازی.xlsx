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ehdi Nasri\Desktop\Water supply\"/>
    </mc:Choice>
  </mc:AlternateContent>
  <xr:revisionPtr revIDLastSave="0" documentId="13_ncr:1_{60745627-296D-44AF-A654-C5D1EDD50713}" xr6:coauthVersionLast="47" xr6:coauthVersionMax="47" xr10:uidLastSave="{00000000-0000-0000-0000-000000000000}"/>
  <bookViews>
    <workbookView xWindow="-120" yWindow="-120" windowWidth="20730" windowHeight="11160" tabRatio="568" xr2:uid="{00000000-000D-0000-FFFF-FFFF00000000}"/>
  </bookViews>
  <sheets>
    <sheet name="1404159725 (3)" sheetId="4" r:id="rId1"/>
    <sheet name="1404159725 (2)" sheetId="2" r:id="rId2"/>
  </sheets>
  <definedNames>
    <definedName name="_xlnm.Print_Area" localSheetId="1">'1404159725 (2)'!$A$1:$AK$21</definedName>
    <definedName name="_xlnm.Print_Area" localSheetId="0">'1404159725 (3)'!$A$1:$AM$19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4" l="1"/>
  <c r="Q4" i="4" s="1"/>
  <c r="P5" i="4"/>
  <c r="Q5" i="4" s="1"/>
  <c r="P6" i="4"/>
  <c r="Q6" i="4" s="1"/>
  <c r="P7" i="4"/>
  <c r="Q7" i="4" s="1"/>
  <c r="P8" i="4"/>
  <c r="Q8" i="4" s="1"/>
  <c r="P9" i="4"/>
  <c r="Q9" i="4" s="1"/>
  <c r="P10" i="4"/>
  <c r="Q10" i="4" s="1"/>
  <c r="P11" i="4"/>
  <c r="Q11" i="4" s="1"/>
  <c r="P12" i="4"/>
  <c r="Q12" i="4" s="1"/>
  <c r="P13" i="4"/>
  <c r="Q13" i="4" s="1"/>
  <c r="P3" i="4"/>
  <c r="Q3" i="4" s="1"/>
  <c r="BY4" i="4"/>
  <c r="F4" i="4" s="1"/>
  <c r="BY5" i="4"/>
  <c r="F5" i="4" s="1"/>
  <c r="BY6" i="4"/>
  <c r="F6" i="4" s="1"/>
  <c r="BY7" i="4"/>
  <c r="F7" i="4" s="1"/>
  <c r="BY8" i="4"/>
  <c r="F8" i="4" s="1"/>
  <c r="BY9" i="4"/>
  <c r="F9" i="4" s="1"/>
  <c r="BY10" i="4"/>
  <c r="F10" i="4" s="1"/>
  <c r="BY11" i="4"/>
  <c r="F11" i="4" s="1"/>
  <c r="BY12" i="4"/>
  <c r="F12" i="4" s="1"/>
  <c r="BY13" i="4"/>
  <c r="F13" i="4" s="1"/>
  <c r="BY3" i="4"/>
  <c r="F3" i="4" s="1"/>
  <c r="Q14" i="4" l="1"/>
  <c r="Q15" i="4" s="1"/>
  <c r="N13" i="4"/>
  <c r="O13" i="4" s="1"/>
  <c r="L13" i="4"/>
  <c r="M13" i="4" s="1"/>
  <c r="J13" i="4"/>
  <c r="K13" i="4" s="1"/>
  <c r="I13" i="4"/>
  <c r="I12" i="4"/>
  <c r="N12" i="4"/>
  <c r="L12" i="4"/>
  <c r="M12" i="4" s="1"/>
  <c r="J12" i="4"/>
  <c r="K12" i="4" s="1"/>
  <c r="I11" i="4"/>
  <c r="N11" i="4"/>
  <c r="L11" i="4"/>
  <c r="M11" i="4" s="1"/>
  <c r="J11" i="4"/>
  <c r="K11" i="4" s="1"/>
  <c r="N10" i="4"/>
  <c r="L10" i="4"/>
  <c r="J10" i="4"/>
  <c r="K10" i="4" s="1"/>
  <c r="I10" i="4"/>
  <c r="I9" i="4"/>
  <c r="N9" i="4"/>
  <c r="L9" i="4"/>
  <c r="M9" i="4" s="1"/>
  <c r="J9" i="4"/>
  <c r="K9" i="4" s="1"/>
  <c r="I8" i="4"/>
  <c r="N8" i="4"/>
  <c r="L8" i="4"/>
  <c r="M8" i="4" s="1"/>
  <c r="J8" i="4"/>
  <c r="K8" i="4" s="1"/>
  <c r="I7" i="4"/>
  <c r="N7" i="4"/>
  <c r="L7" i="4"/>
  <c r="M7" i="4" s="1"/>
  <c r="J7" i="4"/>
  <c r="K7" i="4" s="1"/>
  <c r="I6" i="4"/>
  <c r="N6" i="4"/>
  <c r="O6" i="4" s="1"/>
  <c r="L6" i="4"/>
  <c r="J6" i="4"/>
  <c r="K6" i="4" s="1"/>
  <c r="N5" i="4"/>
  <c r="L5" i="4"/>
  <c r="J5" i="4"/>
  <c r="K5" i="4" s="1"/>
  <c r="I5" i="4"/>
  <c r="I4" i="4"/>
  <c r="N4" i="4"/>
  <c r="L4" i="4"/>
  <c r="M4" i="4" s="1"/>
  <c r="J4" i="4"/>
  <c r="K4" i="4" s="1"/>
  <c r="I3" i="4"/>
  <c r="N3" i="4"/>
  <c r="L3" i="4"/>
  <c r="M3" i="4" s="1"/>
  <c r="J3" i="4"/>
  <c r="K3" i="4" s="1"/>
  <c r="R3" i="4" l="1"/>
  <c r="R4" i="4"/>
  <c r="R7" i="4"/>
  <c r="R8" i="4"/>
  <c r="R11" i="4"/>
  <c r="R12" i="4"/>
  <c r="O9" i="4"/>
  <c r="S9" i="4" s="1"/>
  <c r="R9" i="4"/>
  <c r="O5" i="4"/>
  <c r="R5" i="4"/>
  <c r="O10" i="4"/>
  <c r="R10" i="4"/>
  <c r="R6" i="4"/>
  <c r="Q17" i="4"/>
  <c r="M10" i="4"/>
  <c r="K14" i="4"/>
  <c r="K15" i="4" s="1"/>
  <c r="O4" i="4"/>
  <c r="S4" i="4" s="1"/>
  <c r="M6" i="4"/>
  <c r="S6" i="4" s="1"/>
  <c r="O8" i="4"/>
  <c r="S8" i="4" s="1"/>
  <c r="O12" i="4"/>
  <c r="S12" i="4" s="1"/>
  <c r="T14" i="4"/>
  <c r="T15" i="4" s="1"/>
  <c r="R13" i="4"/>
  <c r="O3" i="4"/>
  <c r="S3" i="4" s="1"/>
  <c r="M5" i="4"/>
  <c r="O7" i="4"/>
  <c r="S7" i="4" s="1"/>
  <c r="O11" i="4"/>
  <c r="S11" i="4" s="1"/>
  <c r="BN13" i="2"/>
  <c r="N13" i="2"/>
  <c r="L13" i="2"/>
  <c r="M13" i="2" s="1"/>
  <c r="J13" i="2"/>
  <c r="K13" i="2" s="1"/>
  <c r="F13" i="2"/>
  <c r="I13" i="2" s="1"/>
  <c r="BN12" i="2"/>
  <c r="F12" i="2" s="1"/>
  <c r="I12" i="2" s="1"/>
  <c r="N12" i="2"/>
  <c r="L12" i="2"/>
  <c r="M12" i="2" s="1"/>
  <c r="J12" i="2"/>
  <c r="K12" i="2" s="1"/>
  <c r="BN11" i="2"/>
  <c r="F11" i="2" s="1"/>
  <c r="I11" i="2" s="1"/>
  <c r="N11" i="2"/>
  <c r="O11" i="2" s="1"/>
  <c r="L11" i="2"/>
  <c r="M11" i="2" s="1"/>
  <c r="J11" i="2"/>
  <c r="K11" i="2" s="1"/>
  <c r="BN10" i="2"/>
  <c r="F10" i="2" s="1"/>
  <c r="I10" i="2" s="1"/>
  <c r="O10" i="2"/>
  <c r="Q10" i="2" s="1"/>
  <c r="N10" i="2"/>
  <c r="L10" i="2"/>
  <c r="M10" i="2" s="1"/>
  <c r="J10" i="2"/>
  <c r="K10" i="2" s="1"/>
  <c r="BN9" i="2"/>
  <c r="F9" i="2" s="1"/>
  <c r="I9" i="2" s="1"/>
  <c r="N9" i="2"/>
  <c r="L9" i="2"/>
  <c r="M9" i="2" s="1"/>
  <c r="J9" i="2"/>
  <c r="K9" i="2" s="1"/>
  <c r="BN8" i="2"/>
  <c r="N8" i="2"/>
  <c r="L8" i="2"/>
  <c r="M8" i="2" s="1"/>
  <c r="J8" i="2"/>
  <c r="K8" i="2" s="1"/>
  <c r="F8" i="2"/>
  <c r="I8" i="2" s="1"/>
  <c r="BN7" i="2"/>
  <c r="F7" i="2" s="1"/>
  <c r="I7" i="2" s="1"/>
  <c r="N7" i="2"/>
  <c r="P7" i="2" s="1"/>
  <c r="L7" i="2"/>
  <c r="M7" i="2" s="1"/>
  <c r="J7" i="2"/>
  <c r="K7" i="2" s="1"/>
  <c r="BN6" i="2"/>
  <c r="F6" i="2" s="1"/>
  <c r="I6" i="2" s="1"/>
  <c r="N6" i="2"/>
  <c r="P6" i="2" s="1"/>
  <c r="L6" i="2"/>
  <c r="M6" i="2" s="1"/>
  <c r="J6" i="2"/>
  <c r="K6" i="2" s="1"/>
  <c r="BN5" i="2"/>
  <c r="F5" i="2" s="1"/>
  <c r="I5" i="2" s="1"/>
  <c r="N5" i="2"/>
  <c r="O5" i="2" s="1"/>
  <c r="L5" i="2"/>
  <c r="M5" i="2" s="1"/>
  <c r="J5" i="2"/>
  <c r="K5" i="2" s="1"/>
  <c r="BN4" i="2"/>
  <c r="F4" i="2" s="1"/>
  <c r="I4" i="2" s="1"/>
  <c r="N4" i="2"/>
  <c r="O4" i="2" s="1"/>
  <c r="L4" i="2"/>
  <c r="M4" i="2" s="1"/>
  <c r="J4" i="2"/>
  <c r="K4" i="2" s="1"/>
  <c r="BN3" i="2"/>
  <c r="N3" i="2"/>
  <c r="L3" i="2"/>
  <c r="M3" i="2" s="1"/>
  <c r="J3" i="2"/>
  <c r="K3" i="2" s="1"/>
  <c r="F3" i="2"/>
  <c r="I3" i="2" s="1"/>
  <c r="K14" i="2" l="1"/>
  <c r="P3" i="2"/>
  <c r="P13" i="2"/>
  <c r="P12" i="2"/>
  <c r="P8" i="2"/>
  <c r="R14" i="2"/>
  <c r="R15" i="2" s="1"/>
  <c r="Q5" i="2"/>
  <c r="P9" i="2"/>
  <c r="S10" i="4"/>
  <c r="S5" i="4"/>
  <c r="K17" i="4"/>
  <c r="O14" i="4"/>
  <c r="M14" i="4"/>
  <c r="M15" i="4" s="1"/>
  <c r="S14" i="4"/>
  <c r="S15" i="4" s="1"/>
  <c r="M14" i="2"/>
  <c r="M15" i="2" s="1"/>
  <c r="Q4" i="2"/>
  <c r="Q11" i="2"/>
  <c r="P5" i="2"/>
  <c r="P11" i="2"/>
  <c r="O3" i="2"/>
  <c r="P4" i="2"/>
  <c r="O9" i="2"/>
  <c r="Q9" i="2" s="1"/>
  <c r="P10" i="2"/>
  <c r="O8" i="2"/>
  <c r="Q8" i="2" s="1"/>
  <c r="O7" i="2"/>
  <c r="Q7" i="2" s="1"/>
  <c r="O13" i="2"/>
  <c r="O6" i="2"/>
  <c r="Q6" i="2" s="1"/>
  <c r="O12" i="2"/>
  <c r="Q12" i="2" s="1"/>
  <c r="O14" i="2" l="1"/>
  <c r="O15" i="2" s="1"/>
  <c r="M17" i="4"/>
  <c r="M18" i="4"/>
  <c r="Q3" i="2"/>
  <c r="Q14" i="2" s="1"/>
  <c r="Q15" i="2" s="1"/>
  <c r="Q16" i="2" s="1"/>
  <c r="K15" i="2"/>
  <c r="K18" i="4" s="1"/>
  <c r="O15" i="4"/>
  <c r="O17" i="4" l="1"/>
  <c r="S17" i="4" s="1"/>
  <c r="O18" i="4"/>
  <c r="Q18" i="4" s="1"/>
  <c r="Q19" i="4" s="1"/>
</calcChain>
</file>

<file path=xl/sharedStrings.xml><?xml version="1.0" encoding="utf-8"?>
<sst xmlns="http://schemas.openxmlformats.org/spreadsheetml/2006/main" count="252" uniqueCount="93">
  <si>
    <t xml:space="preserve">شرح عملیات کلی </t>
  </si>
  <si>
    <t xml:space="preserve">ویدئو متری </t>
  </si>
  <si>
    <t xml:space="preserve">عملیات احیا و بهسازی </t>
  </si>
  <si>
    <t xml:space="preserve">متر </t>
  </si>
  <si>
    <t>چاه</t>
  </si>
  <si>
    <t>مورد</t>
  </si>
  <si>
    <t>واحد</t>
  </si>
  <si>
    <t>کیلوگرم</t>
  </si>
  <si>
    <t xml:space="preserve">مقدار </t>
  </si>
  <si>
    <t xml:space="preserve">عملیات ترمیم جدار </t>
  </si>
  <si>
    <t>مقدار کل</t>
  </si>
  <si>
    <t>ویدئومتری</t>
  </si>
  <si>
    <t>نماینده پیمانکار</t>
  </si>
  <si>
    <t>رئیس اداره تجهیزات و تعمیرات مکانیکی</t>
  </si>
  <si>
    <t xml:space="preserve">مبلغ واحد قبل از اعمال ضرایب </t>
  </si>
  <si>
    <t>امام رضا 54</t>
  </si>
  <si>
    <t>کورده 3</t>
  </si>
  <si>
    <t>امام رضا 2</t>
  </si>
  <si>
    <t>کورده 13</t>
  </si>
  <si>
    <t>شهرک امام</t>
  </si>
  <si>
    <t>ناظریه 10</t>
  </si>
  <si>
    <t>امام رضا 11</t>
  </si>
  <si>
    <t>اسلام آباد 13</t>
  </si>
  <si>
    <t>امرغان</t>
  </si>
  <si>
    <t>شهرک راه آهن</t>
  </si>
  <si>
    <t>امامیه 17</t>
  </si>
  <si>
    <t>اسلام آباد 4</t>
  </si>
  <si>
    <t>حجاب 3</t>
  </si>
  <si>
    <t>بازه شیخ 3</t>
  </si>
  <si>
    <t>فناوری 1</t>
  </si>
  <si>
    <t>شهرک راه آهن مجدد</t>
  </si>
  <si>
    <t>انتهای اقدسیه</t>
  </si>
  <si>
    <t>ششصد دستگاه</t>
  </si>
  <si>
    <t>بوستان ادب</t>
  </si>
  <si>
    <t>مبلغ کل پس از اعمال ضرایب پیمان</t>
  </si>
  <si>
    <t>مبلغ کل پس از اعمال ضریب بالاسری (1.41)</t>
  </si>
  <si>
    <t xml:space="preserve">مبلغ کل قبل از اعمال ضریب بالاسری </t>
  </si>
  <si>
    <t>ضرایب جزء</t>
  </si>
  <si>
    <t>وشعیت 1</t>
  </si>
  <si>
    <t>امام رضا 29</t>
  </si>
  <si>
    <t>اسلام آباد 5</t>
  </si>
  <si>
    <t>طلاب1</t>
  </si>
  <si>
    <t>گلشهر3</t>
  </si>
  <si>
    <t>زاک 16</t>
  </si>
  <si>
    <t>سپاد4</t>
  </si>
  <si>
    <t>منزل آباد 37</t>
  </si>
  <si>
    <t>سیمانشهر 1</t>
  </si>
  <si>
    <t>صدف 2</t>
  </si>
  <si>
    <t>وضعیت 2</t>
  </si>
  <si>
    <t>رجائی 7</t>
  </si>
  <si>
    <t>باغون آباد2</t>
  </si>
  <si>
    <t>سیدی 8</t>
  </si>
  <si>
    <t>درآبد 6</t>
  </si>
  <si>
    <t>امام رضا 26</t>
  </si>
  <si>
    <t>چمران 2</t>
  </si>
  <si>
    <t>انصار المهدی</t>
  </si>
  <si>
    <t>رازی</t>
  </si>
  <si>
    <t>رستمی 12</t>
  </si>
  <si>
    <t>روستای کشف</t>
  </si>
  <si>
    <t>کشف 9</t>
  </si>
  <si>
    <t>فرهنگیان1</t>
  </si>
  <si>
    <t>درآبد 6 رزرو</t>
  </si>
  <si>
    <t>امام علی 1</t>
  </si>
  <si>
    <t>باهنر 5</t>
  </si>
  <si>
    <t>قدس 3</t>
  </si>
  <si>
    <t>وضعیت 3</t>
  </si>
  <si>
    <t>جمع</t>
  </si>
  <si>
    <t>تجهیز کارگاه</t>
  </si>
  <si>
    <r>
      <t>انجام عملیات</t>
    </r>
    <r>
      <rPr>
        <b/>
        <sz val="14"/>
        <color rgb="FFFF0000"/>
        <rFont val="B Koodak"/>
        <charset val="178"/>
      </rPr>
      <t xml:space="preserve"> احیای فزیکی</t>
    </r>
    <r>
      <rPr>
        <b/>
        <sz val="13"/>
        <color theme="1"/>
        <rFont val="B Koodak"/>
        <charset val="178"/>
      </rPr>
      <t xml:space="preserve"> (شامل حمل و نقل  تجهیزات استقرار و آماده سازی  ماشین آلات شامل جرثقیل 4 تن و کامیون  یا جرثقیل 10 تن و برچیدن کار گاه جهت انجام عملیات احیا چاه ها شامل حمل و نقل ،وینچ برس زنی در چاه های با جدار فلزی و پیستون زنی وینچ تزریق هوای فشرده به علاوه ی باکس مواد شیمیایی و باکس کپسول های هوای فشرده )با رعایت کلیه دستور العمل ها و موارد ایمنی انجام عملیات برس زنی  با قابلیت تنظیم فشار تا حداکثر 20 کیلو گرم بر سانتی متر مربع به  روی جدار با برس پلی آمید و اماده سازی اولیه چاه  توسط برس زنی جهت حذف رسوبات داخلی جدار تا حد امکان ، انجام عملیات پیستون زنی با پیستون 200 تا 500 کیلو گرمی (به تناسب چاه ) و از سایز 12 تا 16 اینچ و استفاده از منجیت لابه لایه ی متناظر با پکینگ کامل جدار (پیستون بایستی کاملا چسبیده به جدار باشد )جهت ایجاد تلاطم مناسب احیای چاه تا هر عمق به روش ضربه هوای فشرده و سیستم NITRO PULSEشامل سه تفنگ ضربه ی هوای یک لیتری ، و نیم لیتری و دو ونیم لیتری ، به همراه وینچ تمام اتوماتیک با قابلیت کنترل سرعت و فرکانس و باکس های هوای فشرده می باشد که با فشارهای مختلف از 40 تا100بار و قابلیت تنظیم زمان انفجار در عمق های متفاوت ضربه  انفجاری ایجاد می کند که این انفجار تا عمق یک متری پشت لوله جدار نفوذ میکند وذرات ریز دانه را به داخل زمین هدایت می کند و رسوبات سیمانته پشت جدار را می شکند و نهایتا ضریب هیدرولیکی چاه را افزایش می دهد.)</t>
    </r>
  </si>
  <si>
    <r>
      <t xml:space="preserve">انجام عملیات </t>
    </r>
    <r>
      <rPr>
        <b/>
        <sz val="13"/>
        <color rgb="FFFF0000"/>
        <rFont val="B Koodak"/>
        <charset val="178"/>
      </rPr>
      <t>ویدئو متری</t>
    </r>
    <r>
      <rPr>
        <b/>
        <sz val="13"/>
        <color theme="1"/>
        <rFont val="B Koodak"/>
        <charset val="178"/>
      </rPr>
      <t xml:space="preserve">  چاه تا هر عمق توسط چهار دوربین هزمان با کیفیت فول HD ، درج همزمان عمق کنار تصویر،اسم چاه و گزارش کامل کارشناسی</t>
    </r>
  </si>
  <si>
    <r>
      <rPr>
        <b/>
        <sz val="14"/>
        <color rgb="FFFF0000"/>
        <rFont val="B Koodak"/>
        <charset val="178"/>
      </rPr>
      <t>اضافه بها به ردیف 2 ب</t>
    </r>
    <r>
      <rPr>
        <b/>
        <sz val="13"/>
        <color theme="1"/>
        <rFont val="B Koodak"/>
        <charset val="178"/>
      </rPr>
      <t>ه ازای هر متر بیش از 150 متر</t>
    </r>
  </si>
  <si>
    <r>
      <t xml:space="preserve">عملیات خرید و </t>
    </r>
    <r>
      <rPr>
        <b/>
        <sz val="14"/>
        <color rgb="FFFF0000"/>
        <rFont val="B Koodak"/>
        <charset val="178"/>
      </rPr>
      <t>تزریق مواد شیمیایی</t>
    </r>
    <r>
      <rPr>
        <b/>
        <sz val="13"/>
        <color theme="1"/>
        <rFont val="B Koodak"/>
        <charset val="178"/>
      </rPr>
      <t xml:space="preserve"> متناسب توسط وینچ مخصوص تزریق مواد شیمیایی (اسید کلریدریک به میزان 1000کیلو گرم)به همراه کنترل پنل تنظیم سرعت تزریق به کمک پمپ و لوله در محل مشبکها  و کنترل PH و پارامتر های چاه به میزان 150 متر </t>
    </r>
  </si>
  <si>
    <r>
      <rPr>
        <b/>
        <sz val="13"/>
        <color rgb="FFFF0000"/>
        <rFont val="B Koodak"/>
        <charset val="178"/>
      </rPr>
      <t>اضافه بها به ردیف 2 ب</t>
    </r>
    <r>
      <rPr>
        <b/>
        <sz val="13"/>
        <color theme="1"/>
        <rFont val="B Koodak"/>
        <charset val="178"/>
      </rPr>
      <t>ه ازای هر متراضافه تر تزریق بیش از 150 متر</t>
    </r>
  </si>
  <si>
    <r>
      <rPr>
        <b/>
        <sz val="13"/>
        <color rgb="FFFF0000"/>
        <rFont val="B Koodak"/>
        <charset val="178"/>
      </rPr>
      <t xml:space="preserve">اضافه بها به ردیف 4 </t>
    </r>
    <r>
      <rPr>
        <b/>
        <sz val="13"/>
        <color theme="1"/>
        <rFont val="B Koodak"/>
        <charset val="178"/>
      </rPr>
      <t xml:space="preserve">به ازای تزریق هر کیلو گرم اسید بیش از 1000 کیلو گرم </t>
    </r>
  </si>
  <si>
    <r>
      <rPr>
        <b/>
        <sz val="13"/>
        <color rgb="FFFF0000"/>
        <rFont val="B Koodak"/>
        <charset val="178"/>
      </rPr>
      <t xml:space="preserve">رفع دفرمگی </t>
    </r>
    <r>
      <rPr>
        <b/>
        <sz val="13"/>
        <color theme="1"/>
        <rFont val="B Koodak"/>
        <charset val="178"/>
      </rPr>
      <t>جدار چاه صاف کردن چاه و باز کردن مسیر عملیات به ازای اولین تخریب (محل تخریب شده در لوله جدار را هم قطر کیسینگ چاه می نماید)</t>
    </r>
  </si>
  <si>
    <r>
      <rPr>
        <b/>
        <sz val="13"/>
        <color rgb="FFFF0000"/>
        <rFont val="B Koodak"/>
        <charset val="178"/>
      </rPr>
      <t xml:space="preserve">حمل و نقل تجهیزات استقرار </t>
    </r>
    <r>
      <rPr>
        <b/>
        <sz val="13"/>
        <color theme="1"/>
        <rFont val="B Koodak"/>
        <charset val="178"/>
      </rPr>
      <t>و آماده سازی ماشین آلات و برچیدن کارگاه جهت انجام عملیات ترمیم جدار چاه ها با رعایت کلیه دستور العمل ها و موارد ایمنی (شامل حمل و نقل ربات ترمیم جدار ،وینچ مخصوص اتوماتیک و کنترل پنل دستگاه و وصله های ترمیمی توسط جرثقیل  هفت تن )</t>
    </r>
  </si>
  <si>
    <r>
      <rPr>
        <b/>
        <sz val="13"/>
        <color rgb="FFFF0000"/>
        <rFont val="B Koodak"/>
        <charset val="178"/>
      </rPr>
      <t xml:space="preserve">رفع دفرمگی جدار چاه </t>
    </r>
    <r>
      <rPr>
        <b/>
        <sz val="13"/>
        <color theme="1"/>
        <rFont val="B Koodak"/>
        <charset val="178"/>
      </rPr>
      <t xml:space="preserve">صاف کردن چاه و باز کردن مسیر عملیات به ازای هر مورد </t>
    </r>
    <r>
      <rPr>
        <b/>
        <sz val="13"/>
        <color rgb="FFFF0000"/>
        <rFont val="B Koodak"/>
        <charset val="178"/>
      </rPr>
      <t xml:space="preserve">در تخریب های دوم و بیشتر </t>
    </r>
  </si>
  <si>
    <r>
      <rPr>
        <b/>
        <sz val="13"/>
        <color rgb="FFFF0000"/>
        <rFont val="B Koodak"/>
        <charset val="178"/>
      </rPr>
      <t xml:space="preserve">هزینه اولین نصب لوله در محل آسیب دیده </t>
    </r>
    <r>
      <rPr>
        <b/>
        <sz val="13"/>
        <color theme="1"/>
        <rFont val="B Koodak"/>
        <charset val="178"/>
      </rPr>
      <t>با تکنولوژی Autofrettage(یک لوله مانیسمان  بدون درز پیش تعبیه شده توسط این تکنولوژی در محل گسیختگی نصب می شود.)</t>
    </r>
  </si>
  <si>
    <r>
      <rPr>
        <b/>
        <sz val="13"/>
        <color rgb="FFFF0000"/>
        <rFont val="B Koodak"/>
        <charset val="178"/>
      </rPr>
      <t xml:space="preserve">هزینه دومین نصب و بعدی نصب لوله </t>
    </r>
    <r>
      <rPr>
        <b/>
        <sz val="13"/>
        <color theme="1"/>
        <rFont val="B Koodak"/>
        <charset val="178"/>
      </rPr>
      <t xml:space="preserve">در محل آسیب دیده با تکنولوژی Autofrettage به ازای هر مورد </t>
    </r>
  </si>
  <si>
    <t>تعداد قرارداد</t>
  </si>
  <si>
    <t>ضریب پیمان</t>
  </si>
  <si>
    <t>کسر می شود از بابت اضافه پرداخت به دلیل اعمال ضرایب جزء</t>
  </si>
  <si>
    <t>مبلغ وضعیت</t>
  </si>
  <si>
    <t>ناظریه 7</t>
  </si>
  <si>
    <t>ناظریه 4</t>
  </si>
  <si>
    <t>زاک 9</t>
  </si>
  <si>
    <t>باهنر 4</t>
  </si>
  <si>
    <t>نیروگاه 2</t>
  </si>
  <si>
    <t>رضا 32</t>
  </si>
  <si>
    <t>فارابی</t>
  </si>
  <si>
    <t>وضعیت 4</t>
  </si>
  <si>
    <t>به دلیل اضافه پرداخت در ضرایب جزء این مبلغ از وضعیت 4 کسر می شود</t>
  </si>
  <si>
    <t>وضعیت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</si>
</sst>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0"/>
    <numFmt numFmtId="168" formatCode="_ * #,##0.00_-_ر_ي_ا_ل_ ;_ * #,##0.00\-_ر_ي_ا_ل_ ;_ * &quot;-&quot;??_-_ر_ي_ا_ل_ ;_ @_ "/>
    <numFmt numFmtId="169" formatCode="_ * #,##0_-_ر_ي_ا_ل_ ;_ * #,##0\-_ر_ي_ا_ل_ ;_ * &quot;-&quot;_-_ر_ي_ا_ل_ ;_ @_ "/>
  </numFmts>
  <fonts count="13" x14ac:knownFonts="1">
    <font>
      <sz val="11"/>
      <color theme="1"/>
      <name val="Calibri"/>
      <family val="2"/>
      <scheme val="minor"/>
    </font>
    <font>
      <b/>
      <sz val="11"/>
      <color theme="1"/>
      <name val="B Titr"/>
      <charset val="178"/>
    </font>
    <font>
      <sz val="11"/>
      <color theme="1"/>
      <name val="Calibri"/>
      <family val="2"/>
      <scheme val="minor"/>
    </font>
    <font>
      <b/>
      <sz val="14"/>
      <color theme="1"/>
      <name val="B Nazanin"/>
      <charset val="178"/>
    </font>
    <font>
      <b/>
      <sz val="14"/>
      <color theme="1"/>
      <name val="B Titr"/>
      <charset val="178"/>
    </font>
    <font>
      <b/>
      <sz val="12"/>
      <color theme="1"/>
      <name val="B Titr"/>
      <charset val="178"/>
    </font>
    <font>
      <b/>
      <sz val="13"/>
      <color theme="1"/>
      <name val="B Koodak"/>
      <charset val="178"/>
    </font>
    <font>
      <b/>
      <sz val="16"/>
      <color theme="1"/>
      <name val="B Titr"/>
      <charset val="178"/>
    </font>
    <font>
      <b/>
      <sz val="14"/>
      <color rgb="FFFF0000"/>
      <name val="B Koodak"/>
      <charset val="178"/>
    </font>
    <font>
      <b/>
      <sz val="13"/>
      <color rgb="FFFF0000"/>
      <name val="B Koodak"/>
      <charset val="178"/>
    </font>
    <font>
      <b/>
      <sz val="10"/>
      <color theme="1"/>
      <name val="B Titr"/>
      <charset val="178"/>
    </font>
    <font>
      <b/>
      <sz val="8"/>
      <color theme="1"/>
      <name val="B Titr"/>
      <charset val="178"/>
    </font>
    <font>
      <b/>
      <sz val="12"/>
      <color rgb="FFFF0000"/>
      <name val="B Titr"/>
      <charset val="178"/>
    </font>
  </fonts>
  <fills count="3">
    <fill>
      <patternFill patternType="none"/>
    </fill>
    <fill>
      <patternFill patternType="gray125"/>
    </fill>
    <fill>
      <patternFill patternType="solid">
        <fgColor theme="7"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3" fontId="2" fillId="0" borderId="0" applyFont="0" applyFill="0" applyBorder="0" applyAlignment="0" applyProtection="0"/>
  </cellStyleXfs>
  <cellXfs count="84">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vertical="top" wrapText="1"/>
    </xf>
    <xf numFmtId="0" fontId="3" fillId="0" borderId="0" xfId="0" applyFont="1" applyAlignment="1">
      <alignment vertical="top"/>
    </xf>
    <xf numFmtId="164" fontId="4" fillId="0" borderId="1" xfId="0" applyNumberFormat="1" applyFont="1" applyBorder="1" applyAlignment="1">
      <alignment horizontal="center" vertical="center"/>
    </xf>
    <xf numFmtId="164" fontId="4" fillId="0" borderId="1" xfId="1" applyNumberFormat="1" applyFont="1" applyBorder="1" applyAlignment="1">
      <alignment horizontal="center" vertical="center"/>
    </xf>
    <xf numFmtId="0" fontId="4" fillId="0" borderId="1" xfId="0" applyFont="1" applyBorder="1" applyAlignment="1">
      <alignment horizontal="center" vertical="center"/>
    </xf>
    <xf numFmtId="166" fontId="4"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37" fontId="4" fillId="0" borderId="1" xfId="1" applyNumberFormat="1" applyFont="1" applyBorder="1" applyAlignment="1">
      <alignment horizontal="center" vertical="center"/>
    </xf>
    <xf numFmtId="0" fontId="7" fillId="0" borderId="0" xfId="0" applyFont="1" applyAlignment="1">
      <alignmen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3" fontId="4" fillId="0" borderId="3" xfId="0" applyNumberFormat="1" applyFont="1" applyBorder="1" applyAlignment="1">
      <alignment horizontal="center" vertical="center"/>
    </xf>
    <xf numFmtId="0" fontId="4" fillId="0" borderId="3" xfId="0" applyFont="1" applyBorder="1" applyAlignment="1">
      <alignment horizontal="center" vertical="top" wrapText="1"/>
    </xf>
    <xf numFmtId="0" fontId="4" fillId="0" borderId="0" xfId="0" applyFont="1" applyAlignment="1">
      <alignment horizontal="center" vertical="top" wrapText="1"/>
    </xf>
    <xf numFmtId="0" fontId="4" fillId="0" borderId="8" xfId="0" applyFont="1" applyBorder="1" applyAlignment="1">
      <alignment horizontal="center" vertical="top" wrapText="1"/>
    </xf>
    <xf numFmtId="0" fontId="5" fillId="0" borderId="0" xfId="0" applyFont="1" applyAlignment="1">
      <alignment horizontal="center" vertical="center"/>
    </xf>
    <xf numFmtId="0" fontId="6" fillId="0" borderId="1" xfId="0" applyFont="1" applyBorder="1" applyAlignment="1">
      <alignment horizontal="center" vertical="top"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7" xfId="0" applyFont="1" applyBorder="1" applyAlignment="1">
      <alignment horizontal="center" vertical="center" wrapText="1"/>
    </xf>
    <xf numFmtId="0" fontId="5" fillId="0" borderId="17" xfId="0" applyFont="1" applyBorder="1" applyAlignment="1">
      <alignment horizontal="center" vertical="center"/>
    </xf>
    <xf numFmtId="0" fontId="10" fillId="0" borderId="17" xfId="0" applyFont="1" applyBorder="1" applyAlignment="1">
      <alignment horizontal="center" vertical="center"/>
    </xf>
    <xf numFmtId="168" fontId="4" fillId="0" borderId="1" xfId="0" applyNumberFormat="1" applyFont="1" applyBorder="1" applyAlignment="1">
      <alignment horizontal="center" vertical="center" wrapText="1"/>
    </xf>
    <xf numFmtId="168" fontId="4" fillId="0" borderId="0" xfId="0" applyNumberFormat="1" applyFont="1" applyAlignment="1">
      <alignment horizontal="center" vertical="center" wrapText="1"/>
    </xf>
    <xf numFmtId="168" fontId="5" fillId="0" borderId="1" xfId="0" applyNumberFormat="1" applyFont="1" applyBorder="1" applyAlignment="1">
      <alignment horizontal="center" vertical="center"/>
    </xf>
    <xf numFmtId="168" fontId="5" fillId="0" borderId="1" xfId="0" applyNumberFormat="1" applyFont="1" applyBorder="1" applyAlignment="1">
      <alignment horizontal="center" vertical="center" wrapText="1"/>
    </xf>
    <xf numFmtId="168" fontId="1" fillId="0" borderId="1" xfId="0" applyNumberFormat="1" applyFont="1" applyBorder="1" applyAlignment="1">
      <alignment horizontal="center" vertical="center"/>
    </xf>
    <xf numFmtId="168" fontId="5" fillId="0" borderId="0" xfId="0" applyNumberFormat="1" applyFont="1" applyAlignment="1">
      <alignment horizontal="center" vertical="center" wrapText="1"/>
    </xf>
    <xf numFmtId="164" fontId="5" fillId="0" borderId="1" xfId="0" applyNumberFormat="1" applyFont="1" applyBorder="1" applyAlignment="1">
      <alignment horizontal="center" vertical="center"/>
    </xf>
    <xf numFmtId="169" fontId="5" fillId="0" borderId="0" xfId="0" applyNumberFormat="1" applyFont="1" applyAlignment="1">
      <alignment horizontal="center" vertical="center" wrapText="1"/>
    </xf>
    <xf numFmtId="169" fontId="12" fillId="0" borderId="0" xfId="0" applyNumberFormat="1" applyFont="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6" xfId="0" applyFont="1" applyBorder="1" applyAlignment="1">
      <alignment horizontal="center" vertical="center" wrapText="1"/>
    </xf>
    <xf numFmtId="3" fontId="4" fillId="0" borderId="8" xfId="0" applyNumberFormat="1" applyFont="1" applyBorder="1" applyAlignment="1">
      <alignment horizontal="center" vertical="center"/>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3" fontId="4" fillId="0" borderId="14"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18" xfId="0" applyFont="1" applyBorder="1" applyAlignment="1">
      <alignment horizontal="center" vertical="center"/>
    </xf>
    <xf numFmtId="169" fontId="5" fillId="0" borderId="1" xfId="0" applyNumberFormat="1" applyFont="1" applyBorder="1" applyAlignment="1">
      <alignment horizontal="center" vertical="center" wrapText="1"/>
    </xf>
    <xf numFmtId="169" fontId="12" fillId="2" borderId="19"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3" fontId="4" fillId="0" borderId="14" xfId="0" applyNumberFormat="1" applyFont="1" applyBorder="1" applyAlignment="1">
      <alignment horizontal="center" vertical="center"/>
    </xf>
    <xf numFmtId="0" fontId="1" fillId="0" borderId="0" xfId="0" applyFont="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6" xfId="0" applyFont="1" applyBorder="1" applyAlignment="1">
      <alignment horizontal="center" vertical="center" wrapText="1"/>
    </xf>
    <xf numFmtId="3" fontId="4" fillId="0" borderId="8" xfId="0" applyNumberFormat="1" applyFont="1" applyBorder="1" applyAlignment="1">
      <alignment horizontal="center" vertical="center"/>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0" xfId="0" applyFont="1" applyAlignment="1">
      <alignment horizontal="center" vertical="top"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4" fillId="0" borderId="9" xfId="0" applyFont="1" applyBorder="1" applyAlignment="1">
      <alignment horizontal="center" vertical="top" wrapText="1"/>
    </xf>
    <xf numFmtId="0" fontId="4" fillId="0" borderId="10" xfId="0" applyFont="1" applyBorder="1" applyAlignment="1">
      <alignment horizontal="center" vertical="top"/>
    </xf>
    <xf numFmtId="0" fontId="4" fillId="0" borderId="3" xfId="0" applyFont="1" applyBorder="1" applyAlignment="1">
      <alignment horizontal="center" vertical="top"/>
    </xf>
    <xf numFmtId="0" fontId="4" fillId="0" borderId="11" xfId="0" applyFont="1" applyBorder="1" applyAlignment="1">
      <alignment horizontal="center" vertical="top"/>
    </xf>
    <xf numFmtId="0" fontId="4" fillId="0" borderId="0" xfId="0" applyFont="1" applyAlignment="1">
      <alignment horizontal="center" vertical="top"/>
    </xf>
    <xf numFmtId="0" fontId="4" fillId="0" borderId="12" xfId="0" applyFont="1" applyBorder="1" applyAlignment="1">
      <alignment horizontal="center" vertical="top"/>
    </xf>
    <xf numFmtId="0" fontId="4" fillId="0" borderId="8" xfId="0" applyFont="1" applyBorder="1" applyAlignment="1">
      <alignment horizontal="center"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50</xdr:col>
      <xdr:colOff>15240</xdr:colOff>
      <xdr:row>19</xdr:row>
      <xdr:rowOff>0</xdr:rowOff>
    </xdr:from>
    <xdr:to>
      <xdr:col>67</xdr:col>
      <xdr:colOff>121920</xdr:colOff>
      <xdr:row>19</xdr:row>
      <xdr:rowOff>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346191430" y="8782050"/>
          <a:ext cx="989838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600" b="1" baseline="0">
              <a:cs typeface="B Titr" panose="00000700000000000000" pitchFamily="2" charset="-78"/>
            </a:rPr>
            <a:t>ریال</a:t>
          </a:r>
          <a:endParaRPr lang="en-US" sz="1600" b="1">
            <a:cs typeface="B Titr" panose="00000700000000000000" pitchFamily="2"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579119</xdr:colOff>
      <xdr:row>14</xdr:row>
      <xdr:rowOff>121920</xdr:rowOff>
    </xdr:from>
    <xdr:to>
      <xdr:col>37</xdr:col>
      <xdr:colOff>121920</xdr:colOff>
      <xdr:row>14</xdr:row>
      <xdr:rowOff>738596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961389780" y="7894320"/>
          <a:ext cx="3705226" cy="378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400" b="1">
              <a:cs typeface="B Titr" panose="00000700000000000000" pitchFamily="2" charset="-78"/>
            </a:rPr>
            <a:t>بیست</a:t>
          </a:r>
          <a:r>
            <a:rPr lang="fa-IR" sz="1400" b="1" baseline="0">
              <a:cs typeface="B Titr" panose="00000700000000000000" pitchFamily="2" charset="-78"/>
            </a:rPr>
            <a:t> و پنج میلیارد و دویست و هفت میلیون و یکصد و بیست و دو هزار و یکصد و ده ریال</a:t>
          </a:r>
          <a:endParaRPr lang="en-US" sz="1400" b="1">
            <a:cs typeface="B Titr" panose="00000700000000000000" pitchFamily="2" charset="-78"/>
          </a:endParaRPr>
        </a:p>
      </xdr:txBody>
    </xdr:sp>
    <xdr:clientData/>
  </xdr:twoCellAnchor>
  <xdr:twoCellAnchor>
    <xdr:from>
      <xdr:col>28</xdr:col>
      <xdr:colOff>594360</xdr:colOff>
      <xdr:row>13</xdr:row>
      <xdr:rowOff>91440</xdr:rowOff>
    </xdr:from>
    <xdr:to>
      <xdr:col>37</xdr:col>
      <xdr:colOff>0</xdr:colOff>
      <xdr:row>13</xdr:row>
      <xdr:rowOff>708116</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9961511700" y="7359015"/>
          <a:ext cx="3577590" cy="416651"/>
        </a:xfrm>
        <a:prstGeom prst="rect">
          <a:avLst/>
        </a:prstGeom>
        <a:noFill/>
        <a:ln w="9525" cmpd="sng">
          <a:noFill/>
        </a:ln>
        <a:effectLst/>
      </xdr:spPr>
      <xdr:txBody>
        <a:bodyPr vertOverflow="clip" horzOverflow="clip" wrap="square" rtlCol="0"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fa-IR" sz="125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rPr>
            <a:t>هفده میلیارد و هشتصد و هفتاد و هفت میلیون و سیصد و نود و یک هزار و پانصد و شصت و هشت ریال</a:t>
          </a:r>
          <a:endParaRPr kumimoji="0" lang="en-US" sz="125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endParaRPr>
        </a:p>
      </xdr:txBody>
    </xdr:sp>
    <xdr:clientData/>
  </xdr:twoCellAnchor>
  <xdr:twoCellAnchor>
    <xdr:from>
      <xdr:col>36</xdr:col>
      <xdr:colOff>1828800</xdr:colOff>
      <xdr:row>13</xdr:row>
      <xdr:rowOff>45720</xdr:rowOff>
    </xdr:from>
    <xdr:to>
      <xdr:col>48</xdr:col>
      <xdr:colOff>533400</xdr:colOff>
      <xdr:row>14</xdr:row>
      <xdr:rowOff>45720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956139600" y="7313295"/>
          <a:ext cx="5372100" cy="504825"/>
        </a:xfrm>
        <a:prstGeom prst="rect">
          <a:avLst/>
        </a:prstGeom>
        <a:noFill/>
        <a:ln w="9525" cmpd="sng">
          <a:noFill/>
        </a:ln>
        <a:effectLst/>
      </xdr:spPr>
      <xdr:txBody>
        <a:bodyPr vertOverflow="clip" horzOverflow="clip" wrap="square" rtlCol="0"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fa-IR" sz="160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rPr>
            <a:t>هفت میلیارد و نهصد و پنجاه و هشت میلیون و هشتصد و سیزده هزار و یکصد و سیزده ریال</a:t>
          </a:r>
          <a:endParaRPr kumimoji="0" lang="en-US" sz="160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endParaRPr>
        </a:p>
      </xdr:txBody>
    </xdr:sp>
    <xdr:clientData/>
  </xdr:twoCellAnchor>
  <xdr:twoCellAnchor>
    <xdr:from>
      <xdr:col>48</xdr:col>
      <xdr:colOff>15240</xdr:colOff>
      <xdr:row>14</xdr:row>
      <xdr:rowOff>121920</xdr:rowOff>
    </xdr:from>
    <xdr:to>
      <xdr:col>66</xdr:col>
      <xdr:colOff>121920</xdr:colOff>
      <xdr:row>14</xdr:row>
      <xdr:rowOff>738596</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9947940480" y="7894320"/>
          <a:ext cx="8631555" cy="378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800" b="1">
              <a:cs typeface="B Titr" panose="00000700000000000000" pitchFamily="2" charset="-78"/>
            </a:rPr>
            <a:t>هجده میلیارد</a:t>
          </a:r>
          <a:r>
            <a:rPr lang="fa-IR" sz="1800" b="1" baseline="0">
              <a:cs typeface="B Titr" panose="00000700000000000000" pitchFamily="2" charset="-78"/>
            </a:rPr>
            <a:t> و پانصد و هفتاد و یک میلیون سیصد و چهل و چهار هزار و هفتصد و سی و هفت ریال</a:t>
          </a:r>
          <a:endParaRPr lang="en-US" sz="1800" b="1">
            <a:cs typeface="B Titr" panose="00000700000000000000" pitchFamily="2" charset="-78"/>
          </a:endParaRPr>
        </a:p>
      </xdr:txBody>
    </xdr:sp>
    <xdr:clientData/>
  </xdr:twoCellAnchor>
  <xdr:twoCellAnchor>
    <xdr:from>
      <xdr:col>47</xdr:col>
      <xdr:colOff>1828800</xdr:colOff>
      <xdr:row>13</xdr:row>
      <xdr:rowOff>45720</xdr:rowOff>
    </xdr:from>
    <xdr:to>
      <xdr:col>65</xdr:col>
      <xdr:colOff>533400</xdr:colOff>
      <xdr:row>14</xdr:row>
      <xdr:rowOff>45720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9948443400" y="7313295"/>
          <a:ext cx="8143875" cy="504825"/>
        </a:xfrm>
        <a:prstGeom prst="rect">
          <a:avLst/>
        </a:prstGeom>
        <a:noFill/>
        <a:ln w="9525" cmpd="sng">
          <a:noFill/>
        </a:ln>
        <a:effectLst/>
      </xdr:spPr>
      <xdr:txBody>
        <a:bodyPr vertOverflow="clip" horzOverflow="clip" wrap="square" rtlCol="0" anchor="ctr"/>
        <a:lstStyle/>
        <a:p>
          <a:pPr marL="0" marR="0" lvl="0" indent="0" algn="r" defTabSz="914400" rtl="1" eaLnBrk="1" fontAlgn="auto" latinLnBrk="0" hangingPunct="1">
            <a:lnSpc>
              <a:spcPct val="100000"/>
            </a:lnSpc>
            <a:spcBef>
              <a:spcPts val="0"/>
            </a:spcBef>
            <a:spcAft>
              <a:spcPts val="0"/>
            </a:spcAft>
            <a:buClrTx/>
            <a:buSzTx/>
            <a:buFontTx/>
            <a:buNone/>
            <a:tabLst/>
            <a:defRPr/>
          </a:pPr>
          <a:r>
            <a:rPr kumimoji="0" lang="fa-IR" sz="180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rPr>
            <a:t>سیزده میلیارد و یکصد و هفتاد و یک میلیون و یکصد و شصت و شش هزار و چهارصد و هشتاد ریال</a:t>
          </a:r>
          <a:endParaRPr kumimoji="0" lang="en-US" sz="1800" b="1" i="0" u="none" strike="noStrike" kern="0" cap="none" spc="0" normalizeH="0" baseline="0" noProof="0">
            <a:ln>
              <a:noFill/>
            </a:ln>
            <a:solidFill>
              <a:sysClr val="windowText" lastClr="000000"/>
            </a:solidFill>
            <a:effectLst/>
            <a:uLnTx/>
            <a:uFillTx/>
            <a:latin typeface="Calibri" panose="020F0502020204030204"/>
            <a:ea typeface="+mn-ea"/>
            <a:cs typeface="B Titr" panose="00000700000000000000" pitchFamily="2" charset="-78"/>
          </a:endParaRPr>
        </a:p>
      </xdr:txBody>
    </xdr:sp>
    <xdr:clientData/>
  </xdr:twoCellAnchor>
  <xdr:twoCellAnchor>
    <xdr:from>
      <xdr:col>48</xdr:col>
      <xdr:colOff>15240</xdr:colOff>
      <xdr:row>16</xdr:row>
      <xdr:rowOff>0</xdr:rowOff>
    </xdr:from>
    <xdr:to>
      <xdr:col>66</xdr:col>
      <xdr:colOff>121920</xdr:colOff>
      <xdr:row>16</xdr:row>
      <xdr:rowOff>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9947940480" y="8782050"/>
          <a:ext cx="8631555"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600" b="1" baseline="0">
              <a:cs typeface="B Titr" panose="00000700000000000000" pitchFamily="2" charset="-78"/>
            </a:rPr>
            <a:t>ریال</a:t>
          </a:r>
          <a:endParaRPr lang="en-US" sz="1600" b="1">
            <a:cs typeface="B Titr" panose="00000700000000000000" pitchFamily="2" charset="-78"/>
          </a:endParaRPr>
        </a:p>
      </xdr:txBody>
    </xdr:sp>
    <xdr:clientData/>
  </xdr:twoCellAnchor>
  <xdr:twoCellAnchor>
    <xdr:from>
      <xdr:col>48</xdr:col>
      <xdr:colOff>15240</xdr:colOff>
      <xdr:row>16</xdr:row>
      <xdr:rowOff>121920</xdr:rowOff>
    </xdr:from>
    <xdr:to>
      <xdr:col>66</xdr:col>
      <xdr:colOff>121920</xdr:colOff>
      <xdr:row>16</xdr:row>
      <xdr:rowOff>525236</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9947940480" y="8903970"/>
          <a:ext cx="8631555" cy="15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1"/>
          <a:r>
            <a:rPr lang="fa-IR" sz="1800" b="1">
              <a:solidFill>
                <a:schemeClr val="dk1"/>
              </a:solidFill>
              <a:effectLst/>
              <a:latin typeface="+mn-lt"/>
              <a:ea typeface="+mn-ea"/>
              <a:cs typeface="B Titr" panose="00000700000000000000" pitchFamily="2" charset="-78"/>
            </a:rPr>
            <a:t>هجده میلیارد</a:t>
          </a:r>
          <a:r>
            <a:rPr lang="fa-IR" sz="1800" b="1" baseline="0">
              <a:solidFill>
                <a:schemeClr val="dk1"/>
              </a:solidFill>
              <a:effectLst/>
              <a:latin typeface="+mn-lt"/>
              <a:ea typeface="+mn-ea"/>
              <a:cs typeface="B Titr" panose="00000700000000000000" pitchFamily="2" charset="-78"/>
            </a:rPr>
            <a:t> و پانصد و هفتاد و یک میلیون سیصد و چهل و چهار هزار و هفتصد و سی و هفت ریال</a:t>
          </a:r>
          <a:endParaRPr lang="en-US" sz="1800">
            <a:effectLst/>
            <a:cs typeface="B Titr" panose="00000700000000000000" pitchFamily="2" charset="-78"/>
          </a:endParaRPr>
        </a:p>
        <a:p>
          <a:pPr algn="r" rtl="1"/>
          <a:endParaRPr lang="en-US" sz="1600" b="1">
            <a:cs typeface="B Titr" panose="00000700000000000000" pitchFamily="2" charset="-78"/>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Y23"/>
  <sheetViews>
    <sheetView rightToLeft="1" tabSelected="1" zoomScale="85" zoomScaleNormal="85" zoomScaleSheetLayoutView="50" workbookViewId="0">
      <selection activeCell="A6" sqref="A6"/>
    </sheetView>
  </sheetViews>
  <sheetFormatPr defaultColWidth="9.140625" defaultRowHeight="22.5" x14ac:dyDescent="0.25"/>
  <cols>
    <col min="1" max="1" width="12.140625" style="2" customWidth="1"/>
    <col min="2" max="2" width="9.140625" style="1"/>
    <col min="3" max="3" width="91.42578125" style="2" customWidth="1"/>
    <col min="4" max="4" width="9.28515625" style="2" bestFit="1" customWidth="1"/>
    <col min="5" max="5" width="7.5703125" style="1" customWidth="1"/>
    <col min="6" max="6" width="10.5703125" style="1" bestFit="1" customWidth="1"/>
    <col min="7" max="7" width="20.5703125" style="1" customWidth="1"/>
    <col min="8" max="8" width="11" style="1" customWidth="1"/>
    <col min="9" max="9" width="23" style="1" bestFit="1" customWidth="1"/>
    <col min="10" max="10" width="6.7109375" style="1" customWidth="1"/>
    <col min="11" max="11" width="25.7109375" style="1" customWidth="1"/>
    <col min="12" max="12" width="6.7109375" style="1" customWidth="1"/>
    <col min="13" max="13" width="25.7109375" style="1" customWidth="1"/>
    <col min="14" max="14" width="6.7109375" style="1" customWidth="1"/>
    <col min="15" max="15" width="25.7109375" style="1" customWidth="1"/>
    <col min="16" max="16" width="6.7109375" style="1" customWidth="1"/>
    <col min="17" max="17" width="25.7109375" style="1" customWidth="1"/>
    <col min="18" max="18" width="8.5703125" style="1" customWidth="1"/>
    <col min="19" max="19" width="25.7109375" style="1" customWidth="1"/>
    <col min="20" max="20" width="21.28515625" style="1" bestFit="1" customWidth="1"/>
    <col min="21" max="67" width="6.7109375" style="1" customWidth="1"/>
    <col min="68" max="75" width="9.140625" style="1"/>
    <col min="76" max="76" width="7.42578125" style="1" customWidth="1"/>
    <col min="77" max="16384" width="9.140625" style="1"/>
  </cols>
  <sheetData>
    <row r="1" spans="1:77" ht="58.9" customHeight="1" x14ac:dyDescent="0.25">
      <c r="A1" s="14"/>
      <c r="B1" s="14"/>
      <c r="C1" s="14"/>
      <c r="D1" s="14"/>
      <c r="E1" s="14"/>
      <c r="F1" s="14"/>
      <c r="G1" s="14"/>
      <c r="H1" s="14"/>
      <c r="I1" s="14"/>
      <c r="J1" s="23">
        <v>1</v>
      </c>
      <c r="K1" s="45" t="s">
        <v>66</v>
      </c>
      <c r="L1" s="23">
        <v>2</v>
      </c>
      <c r="M1" s="45" t="s">
        <v>66</v>
      </c>
      <c r="N1" s="23">
        <v>3</v>
      </c>
      <c r="O1" s="45" t="s">
        <v>66</v>
      </c>
      <c r="P1" s="23">
        <v>4</v>
      </c>
      <c r="Q1" s="45" t="s">
        <v>66</v>
      </c>
      <c r="R1" s="45" t="s">
        <v>66</v>
      </c>
      <c r="S1" s="45" t="s">
        <v>66</v>
      </c>
      <c r="T1" s="46" t="s">
        <v>92</v>
      </c>
      <c r="U1" s="46" t="s">
        <v>92</v>
      </c>
      <c r="V1" s="46" t="s">
        <v>92</v>
      </c>
      <c r="W1" s="46" t="s">
        <v>92</v>
      </c>
      <c r="X1" s="46" t="s">
        <v>92</v>
      </c>
      <c r="Y1" s="46" t="s">
        <v>92</v>
      </c>
      <c r="Z1" s="46" t="s">
        <v>92</v>
      </c>
      <c r="AA1" s="46" t="s">
        <v>92</v>
      </c>
      <c r="AB1" s="46" t="s">
        <v>92</v>
      </c>
      <c r="AC1" s="46" t="s">
        <v>92</v>
      </c>
      <c r="AD1" s="46" t="s">
        <v>92</v>
      </c>
      <c r="AE1" s="46" t="s">
        <v>92</v>
      </c>
      <c r="AF1" s="46" t="s">
        <v>92</v>
      </c>
      <c r="AG1" s="46" t="s">
        <v>92</v>
      </c>
      <c r="AH1" s="46" t="s">
        <v>92</v>
      </c>
      <c r="AI1" s="46" t="s">
        <v>92</v>
      </c>
      <c r="AJ1" s="46" t="s">
        <v>92</v>
      </c>
      <c r="AK1" s="46" t="s">
        <v>92</v>
      </c>
      <c r="AL1" s="46" t="s">
        <v>92</v>
      </c>
      <c r="AM1" s="46" t="s">
        <v>92</v>
      </c>
      <c r="AN1" s="1" t="s">
        <v>48</v>
      </c>
      <c r="AO1" s="1" t="s">
        <v>48</v>
      </c>
      <c r="AP1" s="1" t="s">
        <v>48</v>
      </c>
      <c r="AQ1" s="1" t="s">
        <v>48</v>
      </c>
      <c r="AR1" s="1" t="s">
        <v>48</v>
      </c>
      <c r="AS1" s="1" t="s">
        <v>48</v>
      </c>
      <c r="AT1" s="1" t="s">
        <v>48</v>
      </c>
      <c r="AU1" s="1" t="s">
        <v>48</v>
      </c>
      <c r="AV1" s="1" t="s">
        <v>48</v>
      </c>
      <c r="AW1" s="1" t="s">
        <v>48</v>
      </c>
      <c r="AX1" s="1" t="s">
        <v>48</v>
      </c>
      <c r="AY1" s="1" t="s">
        <v>65</v>
      </c>
      <c r="AZ1" s="1" t="s">
        <v>65</v>
      </c>
      <c r="BA1" s="1" t="s">
        <v>65</v>
      </c>
      <c r="BB1" s="1" t="s">
        <v>65</v>
      </c>
      <c r="BC1" s="1" t="s">
        <v>65</v>
      </c>
      <c r="BD1" s="1" t="s">
        <v>65</v>
      </c>
      <c r="BE1" s="1" t="s">
        <v>65</v>
      </c>
      <c r="BF1" s="1" t="s">
        <v>65</v>
      </c>
      <c r="BG1" s="1" t="s">
        <v>65</v>
      </c>
      <c r="BH1" s="1" t="s">
        <v>65</v>
      </c>
      <c r="BI1" s="1" t="s">
        <v>65</v>
      </c>
      <c r="BJ1" s="1" t="s">
        <v>65</v>
      </c>
      <c r="BK1" s="1" t="s">
        <v>65</v>
      </c>
      <c r="BL1" s="1" t="s">
        <v>65</v>
      </c>
      <c r="BM1" s="1" t="s">
        <v>65</v>
      </c>
      <c r="BN1" s="1" t="s">
        <v>65</v>
      </c>
      <c r="BO1" s="1" t="s">
        <v>65</v>
      </c>
      <c r="BP1" s="52" t="s">
        <v>90</v>
      </c>
      <c r="BQ1" s="52" t="s">
        <v>90</v>
      </c>
      <c r="BR1" s="52" t="s">
        <v>90</v>
      </c>
      <c r="BS1" s="52" t="s">
        <v>90</v>
      </c>
      <c r="BT1" s="52" t="s">
        <v>90</v>
      </c>
      <c r="BU1" s="52" t="s">
        <v>90</v>
      </c>
      <c r="BV1" s="52" t="s">
        <v>90</v>
      </c>
      <c r="BW1" s="52" t="s">
        <v>90</v>
      </c>
      <c r="BX1" s="52" t="s">
        <v>90</v>
      </c>
      <c r="BY1" s="52" t="s">
        <v>90</v>
      </c>
    </row>
    <row r="2" spans="1:77" s="21" customFormat="1" ht="76.5" customHeight="1" x14ac:dyDescent="0.25">
      <c r="A2" s="11"/>
      <c r="B2" s="11"/>
      <c r="C2" s="11" t="s">
        <v>0</v>
      </c>
      <c r="D2" s="23" t="s">
        <v>79</v>
      </c>
      <c r="E2" s="11" t="s">
        <v>6</v>
      </c>
      <c r="F2" s="11" t="s">
        <v>8</v>
      </c>
      <c r="G2" s="23" t="s">
        <v>14</v>
      </c>
      <c r="H2" s="23" t="s">
        <v>80</v>
      </c>
      <c r="I2" s="23" t="s">
        <v>34</v>
      </c>
      <c r="J2" s="11"/>
      <c r="K2" s="11"/>
      <c r="L2" s="11"/>
      <c r="M2" s="11"/>
      <c r="N2" s="11"/>
      <c r="O2" s="11"/>
      <c r="P2" s="11"/>
      <c r="Q2" s="11"/>
      <c r="R2" s="11"/>
      <c r="S2" s="23" t="s">
        <v>66</v>
      </c>
      <c r="T2" s="29" t="s">
        <v>15</v>
      </c>
      <c r="U2" s="27" t="s">
        <v>16</v>
      </c>
      <c r="V2" s="27" t="s">
        <v>17</v>
      </c>
      <c r="W2" s="27" t="s">
        <v>18</v>
      </c>
      <c r="X2" s="27" t="s">
        <v>19</v>
      </c>
      <c r="Y2" s="27" t="s">
        <v>20</v>
      </c>
      <c r="Z2" s="27" t="s">
        <v>21</v>
      </c>
      <c r="AA2" s="27" t="s">
        <v>22</v>
      </c>
      <c r="AB2" s="28" t="s">
        <v>23</v>
      </c>
      <c r="AC2" s="27" t="s">
        <v>24</v>
      </c>
      <c r="AD2" s="28" t="s">
        <v>25</v>
      </c>
      <c r="AE2" s="27" t="s">
        <v>26</v>
      </c>
      <c r="AF2" s="27" t="s">
        <v>27</v>
      </c>
      <c r="AG2" s="27" t="s">
        <v>28</v>
      </c>
      <c r="AH2" s="28" t="s">
        <v>29</v>
      </c>
      <c r="AI2" s="27" t="s">
        <v>30</v>
      </c>
      <c r="AJ2" s="27" t="s">
        <v>31</v>
      </c>
      <c r="AK2" s="27" t="s">
        <v>32</v>
      </c>
      <c r="AL2" s="27" t="s">
        <v>33</v>
      </c>
      <c r="AM2" s="28" t="s">
        <v>11</v>
      </c>
      <c r="AN2" s="27" t="s">
        <v>39</v>
      </c>
      <c r="AO2" s="27" t="s">
        <v>40</v>
      </c>
      <c r="AP2" s="27" t="s">
        <v>41</v>
      </c>
      <c r="AQ2" s="27" t="s">
        <v>42</v>
      </c>
      <c r="AR2" s="27" t="s">
        <v>43</v>
      </c>
      <c r="AS2" s="27" t="s">
        <v>44</v>
      </c>
      <c r="AT2" s="27" t="s">
        <v>45</v>
      </c>
      <c r="AU2" s="27" t="s">
        <v>29</v>
      </c>
      <c r="AV2" s="28" t="s">
        <v>46</v>
      </c>
      <c r="AW2" s="28" t="s">
        <v>47</v>
      </c>
      <c r="AX2" s="28" t="s">
        <v>11</v>
      </c>
      <c r="AY2" s="27" t="s">
        <v>49</v>
      </c>
      <c r="AZ2" s="27" t="s">
        <v>50</v>
      </c>
      <c r="BA2" s="27" t="s">
        <v>51</v>
      </c>
      <c r="BB2" s="27" t="s">
        <v>52</v>
      </c>
      <c r="BC2" s="27" t="s">
        <v>53</v>
      </c>
      <c r="BD2" s="27" t="s">
        <v>54</v>
      </c>
      <c r="BE2" s="27" t="s">
        <v>55</v>
      </c>
      <c r="BF2" s="27" t="s">
        <v>56</v>
      </c>
      <c r="BG2" s="27" t="s">
        <v>57</v>
      </c>
      <c r="BH2" s="27" t="s">
        <v>58</v>
      </c>
      <c r="BI2" s="27" t="s">
        <v>59</v>
      </c>
      <c r="BJ2" s="27" t="s">
        <v>60</v>
      </c>
      <c r="BK2" s="27" t="s">
        <v>61</v>
      </c>
      <c r="BL2" s="27" t="s">
        <v>62</v>
      </c>
      <c r="BM2" s="27" t="s">
        <v>63</v>
      </c>
      <c r="BN2" s="27" t="s">
        <v>64</v>
      </c>
      <c r="BO2" s="28" t="s">
        <v>11</v>
      </c>
      <c r="BP2" s="27" t="s">
        <v>83</v>
      </c>
      <c r="BQ2" s="27" t="s">
        <v>84</v>
      </c>
      <c r="BR2" s="27" t="s">
        <v>85</v>
      </c>
      <c r="BS2" s="27" t="s">
        <v>29</v>
      </c>
      <c r="BT2" s="27" t="s">
        <v>86</v>
      </c>
      <c r="BU2" s="27" t="s">
        <v>87</v>
      </c>
      <c r="BV2" s="27" t="s">
        <v>88</v>
      </c>
      <c r="BW2" s="27" t="s">
        <v>89</v>
      </c>
      <c r="BX2" s="28" t="s">
        <v>11</v>
      </c>
      <c r="BY2" s="51" t="s">
        <v>10</v>
      </c>
    </row>
    <row r="3" spans="1:77" ht="39.950000000000003" customHeight="1" x14ac:dyDescent="0.25">
      <c r="A3" s="24" t="s">
        <v>1</v>
      </c>
      <c r="B3" s="7">
        <v>1</v>
      </c>
      <c r="C3" s="22" t="s">
        <v>69</v>
      </c>
      <c r="D3" s="22">
        <v>320</v>
      </c>
      <c r="E3" s="11" t="s">
        <v>5</v>
      </c>
      <c r="F3" s="7">
        <f>BY3</f>
        <v>233</v>
      </c>
      <c r="G3" s="8">
        <v>26950354.600000001</v>
      </c>
      <c r="H3" s="9">
        <v>0.93799999999999994</v>
      </c>
      <c r="I3" s="5">
        <f>G3*F3*H3</f>
        <v>5890107799.2483997</v>
      </c>
      <c r="J3" s="7">
        <f t="shared" ref="J3:J13" si="0">SUM(T3:AM3)</f>
        <v>106</v>
      </c>
      <c r="K3" s="34">
        <f t="shared" ref="K3:K13" si="1">J3*G3*H3</f>
        <v>2679619857.1688004</v>
      </c>
      <c r="L3" s="11">
        <f t="shared" ref="L3:L13" si="2">SUM(AN3:AX3)</f>
        <v>41</v>
      </c>
      <c r="M3" s="34">
        <f t="shared" ref="M3:M13" si="3">L3*G3*H3</f>
        <v>1036456737.2068001</v>
      </c>
      <c r="N3" s="11">
        <f t="shared" ref="N3:N13" si="4">SUM(AY3:BO3)</f>
        <v>65</v>
      </c>
      <c r="O3" s="34">
        <f t="shared" ref="O3:O13" si="5">N3*G3*H3</f>
        <v>1643163119.9619999</v>
      </c>
      <c r="P3" s="11">
        <f>SUM(BP3:BX3)</f>
        <v>21</v>
      </c>
      <c r="Q3" s="34">
        <f>P3*G3*H3</f>
        <v>530868084.91079998</v>
      </c>
      <c r="R3" s="11">
        <f>N3+L3+J3+P3</f>
        <v>233</v>
      </c>
      <c r="S3" s="38">
        <f t="shared" ref="S3:S11" si="6">O3+M3+K3+Q3</f>
        <v>5890107799.2484007</v>
      </c>
      <c r="T3" s="30">
        <v>0</v>
      </c>
      <c r="U3" s="11">
        <v>0</v>
      </c>
      <c r="V3" s="11">
        <v>0</v>
      </c>
      <c r="W3" s="11">
        <v>0</v>
      </c>
      <c r="X3" s="11">
        <v>0</v>
      </c>
      <c r="Y3" s="11">
        <v>0</v>
      </c>
      <c r="Z3" s="11">
        <v>0</v>
      </c>
      <c r="AA3" s="11">
        <v>0</v>
      </c>
      <c r="AB3" s="11">
        <v>0</v>
      </c>
      <c r="AC3" s="11">
        <v>0</v>
      </c>
      <c r="AD3" s="11">
        <v>0</v>
      </c>
      <c r="AE3" s="11">
        <v>0</v>
      </c>
      <c r="AF3" s="11">
        <v>0</v>
      </c>
      <c r="AG3" s="11">
        <v>0</v>
      </c>
      <c r="AH3" s="11">
        <v>0</v>
      </c>
      <c r="AI3" s="11">
        <v>0</v>
      </c>
      <c r="AJ3" s="11">
        <v>0</v>
      </c>
      <c r="AK3" s="11">
        <v>0</v>
      </c>
      <c r="AL3" s="11">
        <v>0</v>
      </c>
      <c r="AM3" s="11">
        <v>106</v>
      </c>
      <c r="AN3" s="11">
        <v>0</v>
      </c>
      <c r="AO3" s="11">
        <v>0</v>
      </c>
      <c r="AP3" s="11">
        <v>0</v>
      </c>
      <c r="AQ3" s="11">
        <v>0</v>
      </c>
      <c r="AR3" s="11">
        <v>0</v>
      </c>
      <c r="AS3" s="11">
        <v>0</v>
      </c>
      <c r="AT3" s="11">
        <v>0</v>
      </c>
      <c r="AU3" s="11">
        <v>0</v>
      </c>
      <c r="AV3" s="11">
        <v>0</v>
      </c>
      <c r="AW3" s="11">
        <v>0</v>
      </c>
      <c r="AX3" s="11">
        <v>41</v>
      </c>
      <c r="AY3" s="11">
        <v>0</v>
      </c>
      <c r="AZ3" s="11">
        <v>0</v>
      </c>
      <c r="BA3" s="11">
        <v>0</v>
      </c>
      <c r="BB3" s="11">
        <v>0</v>
      </c>
      <c r="BC3" s="11">
        <v>0</v>
      </c>
      <c r="BD3" s="11">
        <v>0</v>
      </c>
      <c r="BE3" s="11">
        <v>0</v>
      </c>
      <c r="BF3" s="11">
        <v>0</v>
      </c>
      <c r="BG3" s="11">
        <v>0</v>
      </c>
      <c r="BH3" s="11">
        <v>0</v>
      </c>
      <c r="BI3" s="11">
        <v>0</v>
      </c>
      <c r="BJ3" s="11">
        <v>0</v>
      </c>
      <c r="BK3" s="11">
        <v>0</v>
      </c>
      <c r="BL3" s="11">
        <v>0</v>
      </c>
      <c r="BM3" s="11">
        <v>0</v>
      </c>
      <c r="BN3" s="11">
        <v>0</v>
      </c>
      <c r="BO3" s="11">
        <v>65</v>
      </c>
      <c r="BP3" s="11">
        <v>0</v>
      </c>
      <c r="BQ3" s="11">
        <v>0</v>
      </c>
      <c r="BR3" s="11">
        <v>0</v>
      </c>
      <c r="BS3" s="11">
        <v>0</v>
      </c>
      <c r="BT3" s="11">
        <v>0</v>
      </c>
      <c r="BU3" s="11">
        <v>0</v>
      </c>
      <c r="BV3" s="11">
        <v>0</v>
      </c>
      <c r="BW3" s="11">
        <v>0</v>
      </c>
      <c r="BX3" s="11">
        <v>21</v>
      </c>
      <c r="BY3" s="11">
        <f>SUM(T3:BX3)</f>
        <v>233</v>
      </c>
    </row>
    <row r="4" spans="1:77" ht="39.950000000000003" customHeight="1" x14ac:dyDescent="0.25">
      <c r="A4" s="24" t="s">
        <v>2</v>
      </c>
      <c r="B4" s="7">
        <v>2</v>
      </c>
      <c r="C4" s="22" t="s">
        <v>68</v>
      </c>
      <c r="D4" s="22">
        <v>70</v>
      </c>
      <c r="E4" s="11" t="s">
        <v>4</v>
      </c>
      <c r="F4" s="7">
        <f t="shared" ref="F4:F13" si="7">BY4</f>
        <v>47</v>
      </c>
      <c r="G4" s="8">
        <v>319148936.19999999</v>
      </c>
      <c r="H4" s="9">
        <v>0.93799999999999994</v>
      </c>
      <c r="I4" s="5">
        <f>G4*F4*H4</f>
        <v>14070000001.313198</v>
      </c>
      <c r="J4" s="7">
        <f t="shared" si="0"/>
        <v>17</v>
      </c>
      <c r="K4" s="36">
        <f t="shared" si="1"/>
        <v>5089148936.6451998</v>
      </c>
      <c r="L4" s="11">
        <f t="shared" si="2"/>
        <v>10</v>
      </c>
      <c r="M4" s="36">
        <f t="shared" si="3"/>
        <v>2993617021.5559998</v>
      </c>
      <c r="N4" s="11">
        <f t="shared" si="4"/>
        <v>13</v>
      </c>
      <c r="O4" s="36">
        <f t="shared" si="5"/>
        <v>3891702128.0227995</v>
      </c>
      <c r="P4" s="11">
        <f t="shared" ref="P4:P13" si="8">SUM(BP4:BX4)</f>
        <v>7</v>
      </c>
      <c r="Q4" s="34">
        <f t="shared" ref="Q4:Q13" si="9">P4*G4*H4</f>
        <v>2095531915.0892</v>
      </c>
      <c r="R4" s="11">
        <f t="shared" ref="R4:R12" si="10">N4+L4+J4+P4</f>
        <v>47</v>
      </c>
      <c r="S4" s="38">
        <f t="shared" si="6"/>
        <v>14070000001.313198</v>
      </c>
      <c r="T4" s="30">
        <v>1</v>
      </c>
      <c r="U4" s="11">
        <v>1</v>
      </c>
      <c r="V4" s="11">
        <v>1</v>
      </c>
      <c r="W4" s="11">
        <v>1</v>
      </c>
      <c r="X4" s="11">
        <v>1</v>
      </c>
      <c r="Y4" s="11">
        <v>1</v>
      </c>
      <c r="Z4" s="11">
        <v>1</v>
      </c>
      <c r="AA4" s="11">
        <v>1</v>
      </c>
      <c r="AB4" s="11">
        <v>1</v>
      </c>
      <c r="AC4" s="11">
        <v>1</v>
      </c>
      <c r="AD4" s="11">
        <v>1</v>
      </c>
      <c r="AE4" s="11">
        <v>1</v>
      </c>
      <c r="AF4" s="11">
        <v>1</v>
      </c>
      <c r="AG4" s="11">
        <v>1</v>
      </c>
      <c r="AH4" s="11">
        <v>1</v>
      </c>
      <c r="AI4" s="11">
        <v>1</v>
      </c>
      <c r="AJ4" s="11">
        <v>1</v>
      </c>
      <c r="AK4" s="11">
        <v>0</v>
      </c>
      <c r="AL4" s="11">
        <v>0</v>
      </c>
      <c r="AM4" s="11">
        <v>0</v>
      </c>
      <c r="AN4" s="11">
        <v>1</v>
      </c>
      <c r="AO4" s="11">
        <v>1</v>
      </c>
      <c r="AP4" s="11">
        <v>1</v>
      </c>
      <c r="AQ4" s="11">
        <v>1</v>
      </c>
      <c r="AR4" s="11">
        <v>1</v>
      </c>
      <c r="AS4" s="11">
        <v>1</v>
      </c>
      <c r="AT4" s="11">
        <v>1</v>
      </c>
      <c r="AU4" s="11">
        <v>1</v>
      </c>
      <c r="AV4" s="11">
        <v>1</v>
      </c>
      <c r="AW4" s="11">
        <v>1</v>
      </c>
      <c r="AX4" s="11">
        <v>0</v>
      </c>
      <c r="AY4" s="11">
        <v>1</v>
      </c>
      <c r="AZ4" s="11">
        <v>1</v>
      </c>
      <c r="BA4" s="11">
        <v>1</v>
      </c>
      <c r="BB4" s="11">
        <v>1</v>
      </c>
      <c r="BC4" s="11">
        <v>1</v>
      </c>
      <c r="BD4" s="11">
        <v>0</v>
      </c>
      <c r="BE4" s="11">
        <v>0</v>
      </c>
      <c r="BF4" s="11">
        <v>0</v>
      </c>
      <c r="BG4" s="11">
        <v>0</v>
      </c>
      <c r="BH4" s="11">
        <v>1</v>
      </c>
      <c r="BI4" s="11">
        <v>1</v>
      </c>
      <c r="BJ4" s="11">
        <v>1</v>
      </c>
      <c r="BK4" s="11">
        <v>1</v>
      </c>
      <c r="BL4" s="11">
        <v>2</v>
      </c>
      <c r="BM4" s="11">
        <v>1</v>
      </c>
      <c r="BN4" s="11">
        <v>1</v>
      </c>
      <c r="BO4" s="11">
        <v>0</v>
      </c>
      <c r="BP4" s="11">
        <v>1</v>
      </c>
      <c r="BQ4" s="11">
        <v>1</v>
      </c>
      <c r="BR4" s="11">
        <v>1</v>
      </c>
      <c r="BS4" s="11">
        <v>1</v>
      </c>
      <c r="BT4" s="11">
        <v>0</v>
      </c>
      <c r="BU4" s="11">
        <v>1</v>
      </c>
      <c r="BV4" s="11">
        <v>1</v>
      </c>
      <c r="BW4" s="11">
        <v>1</v>
      </c>
      <c r="BX4" s="11">
        <v>0</v>
      </c>
      <c r="BY4" s="11">
        <f t="shared" ref="BY4:BY13" si="11">SUM(T4:BX4)</f>
        <v>47</v>
      </c>
    </row>
    <row r="5" spans="1:77" ht="39.950000000000003" customHeight="1" x14ac:dyDescent="0.25">
      <c r="A5" s="24"/>
      <c r="B5" s="7">
        <v>3</v>
      </c>
      <c r="C5" s="12" t="s">
        <v>70</v>
      </c>
      <c r="D5" s="12">
        <v>4500</v>
      </c>
      <c r="E5" s="11" t="s">
        <v>3</v>
      </c>
      <c r="F5" s="7">
        <f t="shared" si="7"/>
        <v>3070</v>
      </c>
      <c r="G5" s="8">
        <v>2127659.6</v>
      </c>
      <c r="H5" s="9">
        <v>0.93799999999999994</v>
      </c>
      <c r="I5" s="5">
        <f>G5*F5*H5</f>
        <v>6126936243.7360001</v>
      </c>
      <c r="J5" s="25">
        <f t="shared" si="0"/>
        <v>1326</v>
      </c>
      <c r="K5" s="34">
        <f t="shared" si="1"/>
        <v>2646357478.5647998</v>
      </c>
      <c r="L5" s="11">
        <f t="shared" si="2"/>
        <v>633</v>
      </c>
      <c r="M5" s="34">
        <f t="shared" si="3"/>
        <v>1263306398.1383998</v>
      </c>
      <c r="N5" s="11">
        <f t="shared" si="4"/>
        <v>560</v>
      </c>
      <c r="O5" s="34">
        <f t="shared" si="5"/>
        <v>1117617034.688</v>
      </c>
      <c r="P5" s="11">
        <f t="shared" si="8"/>
        <v>551</v>
      </c>
      <c r="Q5" s="34">
        <f t="shared" si="9"/>
        <v>1099655332.3448</v>
      </c>
      <c r="R5" s="11">
        <f t="shared" si="10"/>
        <v>3070</v>
      </c>
      <c r="S5" s="38">
        <f t="shared" si="6"/>
        <v>6126936243.7359991</v>
      </c>
      <c r="T5" s="30">
        <v>67</v>
      </c>
      <c r="U5" s="11">
        <v>78</v>
      </c>
      <c r="V5" s="11">
        <v>64</v>
      </c>
      <c r="W5" s="11">
        <v>91</v>
      </c>
      <c r="X5" s="11">
        <v>78</v>
      </c>
      <c r="Y5" s="11">
        <v>84</v>
      </c>
      <c r="Z5" s="11">
        <v>102</v>
      </c>
      <c r="AA5" s="11">
        <v>99</v>
      </c>
      <c r="AB5" s="11">
        <v>85</v>
      </c>
      <c r="AC5" s="11">
        <v>80</v>
      </c>
      <c r="AD5" s="11">
        <v>79</v>
      </c>
      <c r="AE5" s="11">
        <v>0</v>
      </c>
      <c r="AF5" s="11">
        <v>85</v>
      </c>
      <c r="AG5" s="11">
        <v>65</v>
      </c>
      <c r="AH5" s="11">
        <v>94</v>
      </c>
      <c r="AI5" s="11">
        <v>80</v>
      </c>
      <c r="AJ5" s="11">
        <v>95</v>
      </c>
      <c r="AK5" s="11">
        <v>0</v>
      </c>
      <c r="AL5" s="11">
        <v>0</v>
      </c>
      <c r="AM5" s="11">
        <v>0</v>
      </c>
      <c r="AN5" s="11">
        <v>85</v>
      </c>
      <c r="AO5" s="11">
        <v>24</v>
      </c>
      <c r="AP5" s="11">
        <v>19</v>
      </c>
      <c r="AQ5" s="11">
        <v>0</v>
      </c>
      <c r="AR5" s="11">
        <v>83</v>
      </c>
      <c r="AS5" s="11">
        <v>77</v>
      </c>
      <c r="AT5" s="11">
        <v>86</v>
      </c>
      <c r="AU5" s="11">
        <v>94</v>
      </c>
      <c r="AV5" s="11">
        <v>100</v>
      </c>
      <c r="AW5" s="11">
        <v>65</v>
      </c>
      <c r="AX5" s="11">
        <v>0</v>
      </c>
      <c r="AY5" s="11">
        <v>50</v>
      </c>
      <c r="AZ5" s="11">
        <v>49</v>
      </c>
      <c r="BA5" s="11">
        <v>26</v>
      </c>
      <c r="BB5" s="11">
        <v>0</v>
      </c>
      <c r="BC5" s="11">
        <v>56</v>
      </c>
      <c r="BD5" s="11">
        <v>0</v>
      </c>
      <c r="BE5" s="11">
        <v>0</v>
      </c>
      <c r="BF5" s="11">
        <v>0</v>
      </c>
      <c r="BG5" s="11">
        <v>0</v>
      </c>
      <c r="BH5" s="11">
        <v>100</v>
      </c>
      <c r="BI5" s="11">
        <v>46</v>
      </c>
      <c r="BJ5" s="11">
        <v>69</v>
      </c>
      <c r="BK5" s="11">
        <v>27</v>
      </c>
      <c r="BL5" s="11">
        <v>26</v>
      </c>
      <c r="BM5" s="11">
        <v>68</v>
      </c>
      <c r="BN5" s="11">
        <v>43</v>
      </c>
      <c r="BO5" s="11">
        <v>0</v>
      </c>
      <c r="BP5" s="11">
        <v>76</v>
      </c>
      <c r="BQ5" s="11">
        <v>88</v>
      </c>
      <c r="BR5" s="11">
        <v>74</v>
      </c>
      <c r="BS5" s="11">
        <v>94</v>
      </c>
      <c r="BT5" s="11">
        <v>0</v>
      </c>
      <c r="BU5" s="11">
        <v>98</v>
      </c>
      <c r="BV5" s="11">
        <v>45</v>
      </c>
      <c r="BW5" s="11">
        <v>76</v>
      </c>
      <c r="BX5" s="11">
        <v>0</v>
      </c>
      <c r="BY5" s="11">
        <f t="shared" si="11"/>
        <v>3070</v>
      </c>
    </row>
    <row r="6" spans="1:77" ht="39.950000000000003" customHeight="1" x14ac:dyDescent="0.25">
      <c r="A6" s="24"/>
      <c r="B6" s="7">
        <v>4</v>
      </c>
      <c r="C6" s="12" t="s">
        <v>71</v>
      </c>
      <c r="D6" s="12">
        <v>70</v>
      </c>
      <c r="E6" s="11" t="s">
        <v>4</v>
      </c>
      <c r="F6" s="7">
        <f t="shared" si="7"/>
        <v>38</v>
      </c>
      <c r="G6" s="8">
        <v>113475177.3</v>
      </c>
      <c r="H6" s="9">
        <v>0.93799999999999994</v>
      </c>
      <c r="I6" s="5">
        <f>G6*F6*H6</f>
        <v>4044709219.6811996</v>
      </c>
      <c r="J6" s="7">
        <f t="shared" si="0"/>
        <v>16</v>
      </c>
      <c r="K6" s="34">
        <f t="shared" si="1"/>
        <v>1703035460.9183998</v>
      </c>
      <c r="L6" s="11">
        <f t="shared" si="2"/>
        <v>6</v>
      </c>
      <c r="M6" s="34">
        <f t="shared" si="3"/>
        <v>638638297.84439993</v>
      </c>
      <c r="N6" s="11">
        <f t="shared" si="4"/>
        <v>10</v>
      </c>
      <c r="O6" s="34">
        <f t="shared" si="5"/>
        <v>1064397163.0739999</v>
      </c>
      <c r="P6" s="11">
        <f t="shared" si="8"/>
        <v>6</v>
      </c>
      <c r="Q6" s="34">
        <f t="shared" si="9"/>
        <v>638638297.84439993</v>
      </c>
      <c r="R6" s="11">
        <f t="shared" si="10"/>
        <v>38</v>
      </c>
      <c r="S6" s="38">
        <f t="shared" si="6"/>
        <v>4044709219.6811996</v>
      </c>
      <c r="T6" s="30">
        <v>1</v>
      </c>
      <c r="U6" s="11">
        <v>1</v>
      </c>
      <c r="V6" s="11">
        <v>1</v>
      </c>
      <c r="W6" s="11">
        <v>1</v>
      </c>
      <c r="X6" s="11">
        <v>1</v>
      </c>
      <c r="Y6" s="11">
        <v>1</v>
      </c>
      <c r="Z6" s="11">
        <v>1</v>
      </c>
      <c r="AA6" s="11">
        <v>1</v>
      </c>
      <c r="AB6" s="11">
        <v>1</v>
      </c>
      <c r="AC6" s="11">
        <v>1</v>
      </c>
      <c r="AD6" s="11">
        <v>1</v>
      </c>
      <c r="AE6" s="11">
        <v>1</v>
      </c>
      <c r="AF6" s="11">
        <v>1</v>
      </c>
      <c r="AG6" s="11">
        <v>1</v>
      </c>
      <c r="AH6" s="11">
        <v>1</v>
      </c>
      <c r="AI6" s="11">
        <v>0</v>
      </c>
      <c r="AJ6" s="11">
        <v>1</v>
      </c>
      <c r="AK6" s="11">
        <v>0</v>
      </c>
      <c r="AL6" s="11">
        <v>0</v>
      </c>
      <c r="AM6" s="11">
        <v>0</v>
      </c>
      <c r="AN6" s="11">
        <v>1</v>
      </c>
      <c r="AO6" s="11">
        <v>1</v>
      </c>
      <c r="AP6" s="11">
        <v>0</v>
      </c>
      <c r="AQ6" s="11">
        <v>1</v>
      </c>
      <c r="AR6" s="11">
        <v>0</v>
      </c>
      <c r="AS6" s="11">
        <v>1</v>
      </c>
      <c r="AT6" s="11">
        <v>1</v>
      </c>
      <c r="AU6" s="11">
        <v>0</v>
      </c>
      <c r="AV6" s="11">
        <v>0</v>
      </c>
      <c r="AW6" s="11">
        <v>1</v>
      </c>
      <c r="AX6" s="11">
        <v>0</v>
      </c>
      <c r="AY6" s="11">
        <v>1</v>
      </c>
      <c r="AZ6" s="11">
        <v>1</v>
      </c>
      <c r="BA6" s="11">
        <v>0</v>
      </c>
      <c r="BB6" s="11">
        <v>0</v>
      </c>
      <c r="BC6" s="11">
        <v>1</v>
      </c>
      <c r="BD6" s="11">
        <v>0</v>
      </c>
      <c r="BE6" s="11">
        <v>0</v>
      </c>
      <c r="BF6" s="11">
        <v>0</v>
      </c>
      <c r="BG6" s="11">
        <v>0</v>
      </c>
      <c r="BH6" s="11">
        <v>1</v>
      </c>
      <c r="BI6" s="11">
        <v>1</v>
      </c>
      <c r="BJ6" s="11">
        <v>1</v>
      </c>
      <c r="BK6" s="11">
        <v>1</v>
      </c>
      <c r="BL6" s="11">
        <v>1</v>
      </c>
      <c r="BM6" s="11">
        <v>1</v>
      </c>
      <c r="BN6" s="11">
        <v>1</v>
      </c>
      <c r="BO6" s="11">
        <v>0</v>
      </c>
      <c r="BP6" s="11">
        <v>1</v>
      </c>
      <c r="BQ6" s="11">
        <v>1</v>
      </c>
      <c r="BR6" s="11">
        <v>1</v>
      </c>
      <c r="BS6" s="11">
        <v>0</v>
      </c>
      <c r="BT6" s="11">
        <v>0</v>
      </c>
      <c r="BU6" s="11">
        <v>1</v>
      </c>
      <c r="BV6" s="11">
        <v>1</v>
      </c>
      <c r="BW6" s="11">
        <v>1</v>
      </c>
      <c r="BX6" s="11">
        <v>0</v>
      </c>
      <c r="BY6" s="11">
        <f t="shared" si="11"/>
        <v>38</v>
      </c>
    </row>
    <row r="7" spans="1:77" ht="39.950000000000003" customHeight="1" x14ac:dyDescent="0.25">
      <c r="A7" s="24"/>
      <c r="B7" s="7">
        <v>5</v>
      </c>
      <c r="C7" s="12" t="s">
        <v>72</v>
      </c>
      <c r="D7" s="12">
        <v>4500</v>
      </c>
      <c r="E7" s="11" t="s">
        <v>3</v>
      </c>
      <c r="F7" s="7">
        <f t="shared" si="7"/>
        <v>2641</v>
      </c>
      <c r="G7" s="8">
        <v>756501.2</v>
      </c>
      <c r="H7" s="9">
        <v>0.93799999999999994</v>
      </c>
      <c r="I7" s="5">
        <f>G7*F7*H7</f>
        <v>1874048649.7095997</v>
      </c>
      <c r="J7" s="25">
        <f t="shared" si="0"/>
        <v>1326</v>
      </c>
      <c r="K7" s="34">
        <f t="shared" si="1"/>
        <v>940927114.54559982</v>
      </c>
      <c r="L7" s="11">
        <f t="shared" si="2"/>
        <v>337</v>
      </c>
      <c r="M7" s="34">
        <f t="shared" si="3"/>
        <v>239134568.32719997</v>
      </c>
      <c r="N7" s="11">
        <f t="shared" si="4"/>
        <v>521</v>
      </c>
      <c r="O7" s="34">
        <f t="shared" si="5"/>
        <v>369700623.43759996</v>
      </c>
      <c r="P7" s="11">
        <f t="shared" si="8"/>
        <v>457</v>
      </c>
      <c r="Q7" s="34">
        <f t="shared" si="9"/>
        <v>324286343.39919996</v>
      </c>
      <c r="R7" s="11">
        <f t="shared" si="10"/>
        <v>2641</v>
      </c>
      <c r="S7" s="38">
        <f t="shared" si="6"/>
        <v>1874048649.7095997</v>
      </c>
      <c r="T7" s="30">
        <v>67</v>
      </c>
      <c r="U7" s="11">
        <v>78</v>
      </c>
      <c r="V7" s="11">
        <v>64</v>
      </c>
      <c r="W7" s="11">
        <v>91</v>
      </c>
      <c r="X7" s="11">
        <v>78</v>
      </c>
      <c r="Y7" s="11">
        <v>84</v>
      </c>
      <c r="Z7" s="11">
        <v>102</v>
      </c>
      <c r="AA7" s="11">
        <v>99</v>
      </c>
      <c r="AB7" s="11">
        <v>85</v>
      </c>
      <c r="AC7" s="11">
        <v>80</v>
      </c>
      <c r="AD7" s="11">
        <v>79</v>
      </c>
      <c r="AE7" s="11">
        <v>0</v>
      </c>
      <c r="AF7" s="11">
        <v>85</v>
      </c>
      <c r="AG7" s="11">
        <v>65</v>
      </c>
      <c r="AH7" s="11">
        <v>94</v>
      </c>
      <c r="AI7" s="11">
        <v>80</v>
      </c>
      <c r="AJ7" s="11">
        <v>95</v>
      </c>
      <c r="AK7" s="11">
        <v>0</v>
      </c>
      <c r="AL7" s="11">
        <v>0</v>
      </c>
      <c r="AM7" s="11">
        <v>0</v>
      </c>
      <c r="AN7" s="11">
        <v>85</v>
      </c>
      <c r="AO7" s="11">
        <v>24</v>
      </c>
      <c r="AP7" s="11">
        <v>0</v>
      </c>
      <c r="AQ7" s="11">
        <v>0</v>
      </c>
      <c r="AR7" s="11">
        <v>0</v>
      </c>
      <c r="AS7" s="11">
        <v>77</v>
      </c>
      <c r="AT7" s="11">
        <v>86</v>
      </c>
      <c r="AU7" s="11">
        <v>0</v>
      </c>
      <c r="AV7" s="11">
        <v>0</v>
      </c>
      <c r="AW7" s="11">
        <v>65</v>
      </c>
      <c r="AX7" s="11">
        <v>0</v>
      </c>
      <c r="AY7" s="11">
        <v>50</v>
      </c>
      <c r="AZ7" s="11">
        <v>49</v>
      </c>
      <c r="BA7" s="11">
        <v>0</v>
      </c>
      <c r="BB7" s="11">
        <v>0</v>
      </c>
      <c r="BC7" s="11">
        <v>56</v>
      </c>
      <c r="BD7" s="11">
        <v>0</v>
      </c>
      <c r="BE7" s="11">
        <v>0</v>
      </c>
      <c r="BF7" s="11">
        <v>0</v>
      </c>
      <c r="BG7" s="11">
        <v>0</v>
      </c>
      <c r="BH7" s="11">
        <v>100</v>
      </c>
      <c r="BI7" s="11">
        <v>46</v>
      </c>
      <c r="BJ7" s="11">
        <v>69</v>
      </c>
      <c r="BK7" s="11">
        <v>27</v>
      </c>
      <c r="BL7" s="11">
        <v>13</v>
      </c>
      <c r="BM7" s="11">
        <v>68</v>
      </c>
      <c r="BN7" s="11">
        <v>43</v>
      </c>
      <c r="BO7" s="11">
        <v>0</v>
      </c>
      <c r="BP7" s="11">
        <v>76</v>
      </c>
      <c r="BQ7" s="11">
        <v>88</v>
      </c>
      <c r="BR7" s="11">
        <v>74</v>
      </c>
      <c r="BS7" s="11">
        <v>0</v>
      </c>
      <c r="BT7" s="11">
        <v>0</v>
      </c>
      <c r="BU7" s="11">
        <v>98</v>
      </c>
      <c r="BV7" s="11">
        <v>45</v>
      </c>
      <c r="BW7" s="11">
        <v>76</v>
      </c>
      <c r="BX7" s="11">
        <v>0</v>
      </c>
      <c r="BY7" s="11">
        <f t="shared" si="11"/>
        <v>2641</v>
      </c>
    </row>
    <row r="8" spans="1:77" ht="39.950000000000003" customHeight="1" x14ac:dyDescent="0.25">
      <c r="A8" s="24"/>
      <c r="B8" s="7">
        <v>6</v>
      </c>
      <c r="C8" s="12" t="s">
        <v>73</v>
      </c>
      <c r="D8" s="12">
        <v>889000</v>
      </c>
      <c r="E8" s="11" t="s">
        <v>7</v>
      </c>
      <c r="F8" s="7">
        <f t="shared" si="7"/>
        <v>115600</v>
      </c>
      <c r="G8" s="8">
        <v>63829.8</v>
      </c>
      <c r="H8" s="9">
        <v>0.93799999999999994</v>
      </c>
      <c r="I8" s="5">
        <f t="shared" ref="I8:I13" si="12">G8*H8*F8</f>
        <v>6921243937.4399996</v>
      </c>
      <c r="J8" s="25">
        <f t="shared" si="0"/>
        <v>50800</v>
      </c>
      <c r="K8" s="34">
        <f t="shared" si="1"/>
        <v>3041515501.9199996</v>
      </c>
      <c r="L8" s="11">
        <f t="shared" si="2"/>
        <v>15800</v>
      </c>
      <c r="M8" s="34">
        <f t="shared" si="3"/>
        <v>945983167.91999996</v>
      </c>
      <c r="N8" s="25">
        <f t="shared" si="4"/>
        <v>33000</v>
      </c>
      <c r="O8" s="34">
        <f t="shared" si="5"/>
        <v>1975787629.1999998</v>
      </c>
      <c r="P8" s="11">
        <f t="shared" si="8"/>
        <v>16000</v>
      </c>
      <c r="Q8" s="34">
        <f t="shared" si="9"/>
        <v>957957638.39999998</v>
      </c>
      <c r="R8" s="11">
        <f t="shared" si="10"/>
        <v>115600</v>
      </c>
      <c r="S8" s="38">
        <f t="shared" si="6"/>
        <v>6921243937.4399986</v>
      </c>
      <c r="T8" s="31">
        <v>4500</v>
      </c>
      <c r="U8" s="26">
        <v>2400</v>
      </c>
      <c r="V8" s="26">
        <v>2700</v>
      </c>
      <c r="W8" s="26">
        <v>4500</v>
      </c>
      <c r="X8" s="26">
        <v>4500</v>
      </c>
      <c r="Y8" s="26">
        <v>1700</v>
      </c>
      <c r="Z8" s="26">
        <v>1500</v>
      </c>
      <c r="AA8" s="26">
        <v>5000</v>
      </c>
      <c r="AB8" s="26">
        <v>5000</v>
      </c>
      <c r="AC8" s="26">
        <v>5000</v>
      </c>
      <c r="AD8" s="26">
        <v>1500</v>
      </c>
      <c r="AE8" s="26">
        <v>0</v>
      </c>
      <c r="AF8" s="26">
        <v>3000</v>
      </c>
      <c r="AG8" s="26">
        <v>4000</v>
      </c>
      <c r="AH8" s="26">
        <v>2500</v>
      </c>
      <c r="AI8" s="26">
        <v>0</v>
      </c>
      <c r="AJ8" s="26">
        <v>3000</v>
      </c>
      <c r="AK8" s="26">
        <v>0</v>
      </c>
      <c r="AL8" s="26">
        <v>0</v>
      </c>
      <c r="AM8" s="26">
        <v>0</v>
      </c>
      <c r="AN8" s="26">
        <v>2500</v>
      </c>
      <c r="AO8" s="26">
        <v>1300</v>
      </c>
      <c r="AP8" s="26">
        <v>0</v>
      </c>
      <c r="AQ8" s="26">
        <v>4000</v>
      </c>
      <c r="AR8" s="26">
        <v>0</v>
      </c>
      <c r="AS8" s="26">
        <v>3000</v>
      </c>
      <c r="AT8" s="26">
        <v>3000</v>
      </c>
      <c r="AU8" s="26">
        <v>0</v>
      </c>
      <c r="AV8" s="26">
        <v>0</v>
      </c>
      <c r="AW8" s="26">
        <v>2000</v>
      </c>
      <c r="AX8" s="26">
        <v>0</v>
      </c>
      <c r="AY8" s="26">
        <v>4000</v>
      </c>
      <c r="AZ8" s="26">
        <v>4000</v>
      </c>
      <c r="BA8" s="26">
        <v>0</v>
      </c>
      <c r="BB8" s="26">
        <v>0</v>
      </c>
      <c r="BC8" s="26">
        <v>2500</v>
      </c>
      <c r="BD8" s="26">
        <v>0</v>
      </c>
      <c r="BE8" s="26">
        <v>0</v>
      </c>
      <c r="BF8" s="26">
        <v>0</v>
      </c>
      <c r="BG8" s="26">
        <v>0</v>
      </c>
      <c r="BH8" s="26">
        <v>3000</v>
      </c>
      <c r="BI8" s="26">
        <v>3500</v>
      </c>
      <c r="BJ8" s="26">
        <v>4500</v>
      </c>
      <c r="BK8" s="26">
        <v>3000</v>
      </c>
      <c r="BL8" s="26">
        <v>1500</v>
      </c>
      <c r="BM8" s="26">
        <v>4000</v>
      </c>
      <c r="BN8" s="26">
        <v>3000</v>
      </c>
      <c r="BO8" s="26">
        <v>0</v>
      </c>
      <c r="BP8" s="26">
        <v>1000</v>
      </c>
      <c r="BQ8" s="26">
        <v>2000</v>
      </c>
      <c r="BR8" s="26">
        <v>2000</v>
      </c>
      <c r="BS8" s="26">
        <v>0</v>
      </c>
      <c r="BT8" s="26">
        <v>0</v>
      </c>
      <c r="BU8" s="26">
        <v>2000</v>
      </c>
      <c r="BV8" s="26">
        <v>3000</v>
      </c>
      <c r="BW8" s="26">
        <v>6000</v>
      </c>
      <c r="BX8" s="11">
        <v>0</v>
      </c>
      <c r="BY8" s="11">
        <f t="shared" si="11"/>
        <v>115600</v>
      </c>
    </row>
    <row r="9" spans="1:77" ht="39.950000000000003" customHeight="1" x14ac:dyDescent="0.25">
      <c r="A9" s="24" t="s">
        <v>9</v>
      </c>
      <c r="B9" s="7">
        <v>7</v>
      </c>
      <c r="C9" s="12" t="s">
        <v>75</v>
      </c>
      <c r="D9" s="12">
        <v>6</v>
      </c>
      <c r="E9" s="11" t="s">
        <v>5</v>
      </c>
      <c r="F9" s="7">
        <f t="shared" si="7"/>
        <v>12</v>
      </c>
      <c r="G9" s="8">
        <v>85106383</v>
      </c>
      <c r="H9" s="9">
        <v>0.93799999999999994</v>
      </c>
      <c r="I9" s="13">
        <f t="shared" si="12"/>
        <v>957957447.04799986</v>
      </c>
      <c r="J9" s="7">
        <f t="shared" si="0"/>
        <v>3</v>
      </c>
      <c r="K9" s="34">
        <f t="shared" si="1"/>
        <v>239489361.76199999</v>
      </c>
      <c r="L9" s="11">
        <f t="shared" si="2"/>
        <v>1</v>
      </c>
      <c r="M9" s="34">
        <f t="shared" si="3"/>
        <v>79829787.253999993</v>
      </c>
      <c r="N9" s="11">
        <f t="shared" si="4"/>
        <v>7</v>
      </c>
      <c r="O9" s="34">
        <f t="shared" si="5"/>
        <v>558808510.778</v>
      </c>
      <c r="P9" s="11">
        <f t="shared" si="8"/>
        <v>1</v>
      </c>
      <c r="Q9" s="34">
        <f t="shared" si="9"/>
        <v>79829787.253999993</v>
      </c>
      <c r="R9" s="11">
        <f t="shared" si="10"/>
        <v>12</v>
      </c>
      <c r="S9" s="38">
        <f t="shared" si="6"/>
        <v>957957447.04799986</v>
      </c>
      <c r="T9" s="30">
        <v>0</v>
      </c>
      <c r="U9" s="11">
        <v>0</v>
      </c>
      <c r="V9" s="11">
        <v>0</v>
      </c>
      <c r="W9" s="11">
        <v>0</v>
      </c>
      <c r="X9" s="11">
        <v>0</v>
      </c>
      <c r="Y9" s="11">
        <v>0</v>
      </c>
      <c r="Z9" s="11">
        <v>0</v>
      </c>
      <c r="AA9" s="11">
        <v>0</v>
      </c>
      <c r="AB9" s="11">
        <v>0</v>
      </c>
      <c r="AC9" s="11">
        <v>0</v>
      </c>
      <c r="AD9" s="11">
        <v>0</v>
      </c>
      <c r="AE9" s="11">
        <v>0</v>
      </c>
      <c r="AF9" s="11">
        <v>0</v>
      </c>
      <c r="AG9" s="11">
        <v>0</v>
      </c>
      <c r="AH9" s="11">
        <v>0</v>
      </c>
      <c r="AI9" s="11">
        <v>0</v>
      </c>
      <c r="AJ9" s="11">
        <v>0</v>
      </c>
      <c r="AK9" s="11">
        <v>2</v>
      </c>
      <c r="AL9" s="11">
        <v>1</v>
      </c>
      <c r="AM9" s="11">
        <v>0</v>
      </c>
      <c r="AN9" s="11">
        <v>0</v>
      </c>
      <c r="AO9" s="11">
        <v>0</v>
      </c>
      <c r="AP9" s="11">
        <v>1</v>
      </c>
      <c r="AQ9" s="11">
        <v>0</v>
      </c>
      <c r="AR9" s="11">
        <v>0</v>
      </c>
      <c r="AS9" s="11">
        <v>0</v>
      </c>
      <c r="AT9" s="11">
        <v>0</v>
      </c>
      <c r="AU9" s="11">
        <v>0</v>
      </c>
      <c r="AV9" s="11">
        <v>0</v>
      </c>
      <c r="AW9" s="11">
        <v>0</v>
      </c>
      <c r="AX9" s="11">
        <v>0</v>
      </c>
      <c r="AY9" s="11">
        <v>0</v>
      </c>
      <c r="AZ9" s="11">
        <v>0</v>
      </c>
      <c r="BA9" s="11">
        <v>0</v>
      </c>
      <c r="BB9" s="11">
        <v>0</v>
      </c>
      <c r="BC9" s="11">
        <v>0</v>
      </c>
      <c r="BD9" s="11">
        <v>1</v>
      </c>
      <c r="BE9" s="11">
        <v>1</v>
      </c>
      <c r="BF9" s="11">
        <v>1</v>
      </c>
      <c r="BG9" s="11">
        <v>2</v>
      </c>
      <c r="BH9" s="11">
        <v>0</v>
      </c>
      <c r="BI9" s="11">
        <v>0</v>
      </c>
      <c r="BJ9" s="11">
        <v>0</v>
      </c>
      <c r="BK9" s="11">
        <v>0</v>
      </c>
      <c r="BL9" s="11">
        <v>1</v>
      </c>
      <c r="BM9" s="11">
        <v>0</v>
      </c>
      <c r="BN9" s="11">
        <v>1</v>
      </c>
      <c r="BO9" s="11">
        <v>0</v>
      </c>
      <c r="BP9" s="11">
        <v>0</v>
      </c>
      <c r="BQ9" s="11">
        <v>0</v>
      </c>
      <c r="BR9" s="11">
        <v>0</v>
      </c>
      <c r="BS9" s="11">
        <v>0</v>
      </c>
      <c r="BT9" s="11">
        <v>1</v>
      </c>
      <c r="BU9" s="11">
        <v>0</v>
      </c>
      <c r="BV9" s="11">
        <v>0</v>
      </c>
      <c r="BW9" s="11">
        <v>0</v>
      </c>
      <c r="BX9" s="11">
        <v>0</v>
      </c>
      <c r="BY9" s="11">
        <f t="shared" si="11"/>
        <v>12</v>
      </c>
    </row>
    <row r="10" spans="1:77" ht="39.950000000000003" customHeight="1" x14ac:dyDescent="0.25">
      <c r="A10" s="24"/>
      <c r="B10" s="7">
        <v>8</v>
      </c>
      <c r="C10" s="12" t="s">
        <v>74</v>
      </c>
      <c r="D10" s="12">
        <v>6</v>
      </c>
      <c r="E10" s="11" t="s">
        <v>5</v>
      </c>
      <c r="F10" s="7">
        <f t="shared" si="7"/>
        <v>11</v>
      </c>
      <c r="G10" s="8">
        <v>248226950.40000001</v>
      </c>
      <c r="H10" s="9">
        <v>0.93799999999999994</v>
      </c>
      <c r="I10" s="13">
        <f t="shared" si="12"/>
        <v>2561205674.2272</v>
      </c>
      <c r="J10" s="7">
        <f t="shared" si="0"/>
        <v>3</v>
      </c>
      <c r="K10" s="34">
        <f t="shared" si="1"/>
        <v>698510638.42560005</v>
      </c>
      <c r="L10" s="11">
        <f t="shared" si="2"/>
        <v>1</v>
      </c>
      <c r="M10" s="34">
        <f t="shared" si="3"/>
        <v>232836879.4752</v>
      </c>
      <c r="N10" s="11">
        <f t="shared" si="4"/>
        <v>6</v>
      </c>
      <c r="O10" s="34">
        <f t="shared" si="5"/>
        <v>1397021276.8512001</v>
      </c>
      <c r="P10" s="11">
        <f t="shared" si="8"/>
        <v>1</v>
      </c>
      <c r="Q10" s="34">
        <f t="shared" si="9"/>
        <v>232836879.4752</v>
      </c>
      <c r="R10" s="11">
        <f t="shared" si="10"/>
        <v>11</v>
      </c>
      <c r="S10" s="38">
        <f t="shared" si="6"/>
        <v>2561205674.2272</v>
      </c>
      <c r="T10" s="30">
        <v>0</v>
      </c>
      <c r="U10" s="11">
        <v>0</v>
      </c>
      <c r="V10" s="11">
        <v>0</v>
      </c>
      <c r="W10" s="11">
        <v>0</v>
      </c>
      <c r="X10" s="11">
        <v>0</v>
      </c>
      <c r="Y10" s="11">
        <v>0</v>
      </c>
      <c r="Z10" s="11">
        <v>0</v>
      </c>
      <c r="AA10" s="11">
        <v>0</v>
      </c>
      <c r="AB10" s="11">
        <v>0</v>
      </c>
      <c r="AC10" s="11">
        <v>0</v>
      </c>
      <c r="AD10" s="11">
        <v>0</v>
      </c>
      <c r="AE10" s="11">
        <v>0</v>
      </c>
      <c r="AF10" s="11">
        <v>0</v>
      </c>
      <c r="AG10" s="11">
        <v>0</v>
      </c>
      <c r="AH10" s="11">
        <v>0</v>
      </c>
      <c r="AI10" s="11">
        <v>0</v>
      </c>
      <c r="AJ10" s="11">
        <v>0</v>
      </c>
      <c r="AK10" s="11">
        <v>2</v>
      </c>
      <c r="AL10" s="11">
        <v>1</v>
      </c>
      <c r="AM10" s="11">
        <v>0</v>
      </c>
      <c r="AN10" s="11">
        <v>0</v>
      </c>
      <c r="AO10" s="11">
        <v>0</v>
      </c>
      <c r="AP10" s="11">
        <v>1</v>
      </c>
      <c r="AQ10" s="11">
        <v>0</v>
      </c>
      <c r="AR10" s="11">
        <v>0</v>
      </c>
      <c r="AS10" s="11">
        <v>0</v>
      </c>
      <c r="AT10" s="11">
        <v>0</v>
      </c>
      <c r="AU10" s="11">
        <v>0</v>
      </c>
      <c r="AV10" s="11">
        <v>0</v>
      </c>
      <c r="AW10" s="11">
        <v>0</v>
      </c>
      <c r="AX10" s="11">
        <v>0</v>
      </c>
      <c r="AY10" s="11">
        <v>0</v>
      </c>
      <c r="AZ10" s="11">
        <v>0</v>
      </c>
      <c r="BA10" s="11">
        <v>0</v>
      </c>
      <c r="BB10" s="11">
        <v>0</v>
      </c>
      <c r="BC10" s="11">
        <v>0</v>
      </c>
      <c r="BD10" s="11">
        <v>1</v>
      </c>
      <c r="BE10" s="11">
        <v>1</v>
      </c>
      <c r="BF10" s="11">
        <v>1</v>
      </c>
      <c r="BG10" s="11">
        <v>1</v>
      </c>
      <c r="BH10" s="11">
        <v>0</v>
      </c>
      <c r="BI10" s="11">
        <v>0</v>
      </c>
      <c r="BJ10" s="11">
        <v>0</v>
      </c>
      <c r="BK10" s="11">
        <v>0</v>
      </c>
      <c r="BL10" s="11">
        <v>1</v>
      </c>
      <c r="BM10" s="11">
        <v>0</v>
      </c>
      <c r="BN10" s="11">
        <v>1</v>
      </c>
      <c r="BO10" s="11">
        <v>0</v>
      </c>
      <c r="BP10" s="11">
        <v>0</v>
      </c>
      <c r="BQ10" s="11">
        <v>0</v>
      </c>
      <c r="BR10" s="11">
        <v>0</v>
      </c>
      <c r="BS10" s="11">
        <v>0</v>
      </c>
      <c r="BT10" s="11">
        <v>1</v>
      </c>
      <c r="BU10" s="11">
        <v>0</v>
      </c>
      <c r="BV10" s="11">
        <v>0</v>
      </c>
      <c r="BW10" s="11">
        <v>0</v>
      </c>
      <c r="BX10" s="11">
        <v>0</v>
      </c>
      <c r="BY10" s="11">
        <f t="shared" si="11"/>
        <v>11</v>
      </c>
    </row>
    <row r="11" spans="1:77" ht="39.950000000000003" customHeight="1" x14ac:dyDescent="0.25">
      <c r="A11" s="24"/>
      <c r="B11" s="7">
        <v>9</v>
      </c>
      <c r="C11" s="12" t="s">
        <v>76</v>
      </c>
      <c r="D11" s="12">
        <v>4</v>
      </c>
      <c r="E11" s="11" t="s">
        <v>5</v>
      </c>
      <c r="F11" s="7">
        <f t="shared" si="7"/>
        <v>14</v>
      </c>
      <c r="G11" s="8">
        <v>106382978.7</v>
      </c>
      <c r="H11" s="9">
        <v>0.93799999999999994</v>
      </c>
      <c r="I11" s="6">
        <f t="shared" si="12"/>
        <v>1397021276.2883999</v>
      </c>
      <c r="J11" s="7">
        <f t="shared" si="0"/>
        <v>2</v>
      </c>
      <c r="K11" s="34">
        <f t="shared" si="1"/>
        <v>199574468.04119998</v>
      </c>
      <c r="L11" s="11">
        <f t="shared" si="2"/>
        <v>2</v>
      </c>
      <c r="M11" s="34">
        <f t="shared" si="3"/>
        <v>199574468.04119998</v>
      </c>
      <c r="N11" s="11">
        <f t="shared" si="4"/>
        <v>10</v>
      </c>
      <c r="O11" s="34">
        <f t="shared" si="5"/>
        <v>997872340.20599997</v>
      </c>
      <c r="P11" s="11">
        <f t="shared" si="8"/>
        <v>0</v>
      </c>
      <c r="Q11" s="34">
        <f t="shared" si="9"/>
        <v>0</v>
      </c>
      <c r="R11" s="11">
        <f t="shared" si="10"/>
        <v>14</v>
      </c>
      <c r="S11" s="38">
        <f t="shared" si="6"/>
        <v>1397021276.2883999</v>
      </c>
      <c r="T11" s="30">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1</v>
      </c>
      <c r="AL11" s="11">
        <v>1</v>
      </c>
      <c r="AM11" s="11">
        <v>0</v>
      </c>
      <c r="AN11" s="11">
        <v>0</v>
      </c>
      <c r="AO11" s="11">
        <v>0</v>
      </c>
      <c r="AP11" s="11">
        <v>2</v>
      </c>
      <c r="AQ11" s="11">
        <v>0</v>
      </c>
      <c r="AR11" s="11">
        <v>0</v>
      </c>
      <c r="AS11" s="11">
        <v>0</v>
      </c>
      <c r="AT11" s="11">
        <v>0</v>
      </c>
      <c r="AU11" s="11">
        <v>0</v>
      </c>
      <c r="AV11" s="11">
        <v>0</v>
      </c>
      <c r="AW11" s="11">
        <v>0</v>
      </c>
      <c r="AX11" s="11">
        <v>0</v>
      </c>
      <c r="AY11" s="11">
        <v>0</v>
      </c>
      <c r="AZ11" s="11">
        <v>0</v>
      </c>
      <c r="BA11" s="11">
        <v>0</v>
      </c>
      <c r="BB11" s="11">
        <v>0</v>
      </c>
      <c r="BC11" s="11">
        <v>0</v>
      </c>
      <c r="BD11" s="11">
        <v>4</v>
      </c>
      <c r="BE11" s="11">
        <v>4</v>
      </c>
      <c r="BF11" s="11">
        <v>1</v>
      </c>
      <c r="BG11" s="11">
        <v>1</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f t="shared" si="11"/>
        <v>14</v>
      </c>
    </row>
    <row r="12" spans="1:77" ht="39.950000000000003" customHeight="1" x14ac:dyDescent="0.25">
      <c r="A12" s="24"/>
      <c r="B12" s="7">
        <v>10</v>
      </c>
      <c r="C12" s="12" t="s">
        <v>77</v>
      </c>
      <c r="D12" s="12">
        <v>6</v>
      </c>
      <c r="E12" s="11" t="s">
        <v>5</v>
      </c>
      <c r="F12" s="7">
        <f t="shared" si="7"/>
        <v>6</v>
      </c>
      <c r="G12" s="8">
        <v>283687943.30000001</v>
      </c>
      <c r="H12" s="9">
        <v>0.93799999999999994</v>
      </c>
      <c r="I12" s="5">
        <f t="shared" si="12"/>
        <v>1596595744.8924</v>
      </c>
      <c r="J12" s="7">
        <f t="shared" si="0"/>
        <v>1</v>
      </c>
      <c r="K12" s="34">
        <f t="shared" si="1"/>
        <v>266099290.8154</v>
      </c>
      <c r="L12" s="11">
        <f t="shared" si="2"/>
        <v>1</v>
      </c>
      <c r="M12" s="34">
        <f t="shared" si="3"/>
        <v>266099290.8154</v>
      </c>
      <c r="N12" s="11">
        <f t="shared" si="4"/>
        <v>3</v>
      </c>
      <c r="O12" s="34">
        <f t="shared" si="5"/>
        <v>798297872.44620001</v>
      </c>
      <c r="P12" s="11">
        <f t="shared" si="8"/>
        <v>1</v>
      </c>
      <c r="Q12" s="34">
        <f t="shared" si="9"/>
        <v>266099290.8154</v>
      </c>
      <c r="R12" s="11">
        <f t="shared" si="10"/>
        <v>6</v>
      </c>
      <c r="S12" s="38">
        <f>O12+M12+K12+Q12</f>
        <v>1596595744.8924003</v>
      </c>
      <c r="T12" s="30">
        <v>0</v>
      </c>
      <c r="U12" s="11">
        <v>0</v>
      </c>
      <c r="V12" s="11">
        <v>0</v>
      </c>
      <c r="W12" s="11">
        <v>0</v>
      </c>
      <c r="X12" s="11">
        <v>0</v>
      </c>
      <c r="Y12" s="11">
        <v>0</v>
      </c>
      <c r="Z12" s="11">
        <v>0</v>
      </c>
      <c r="AA12" s="11">
        <v>0</v>
      </c>
      <c r="AB12" s="11">
        <v>0</v>
      </c>
      <c r="AC12" s="11">
        <v>0</v>
      </c>
      <c r="AD12" s="11">
        <v>0</v>
      </c>
      <c r="AE12" s="11">
        <v>0</v>
      </c>
      <c r="AF12" s="11">
        <v>0</v>
      </c>
      <c r="AG12" s="11">
        <v>0</v>
      </c>
      <c r="AH12" s="11">
        <v>0</v>
      </c>
      <c r="AI12" s="11">
        <v>0</v>
      </c>
      <c r="AJ12" s="11">
        <v>0</v>
      </c>
      <c r="AK12" s="11">
        <v>1</v>
      </c>
      <c r="AL12" s="11">
        <v>0</v>
      </c>
      <c r="AM12" s="11">
        <v>0</v>
      </c>
      <c r="AN12" s="11">
        <v>0</v>
      </c>
      <c r="AO12" s="11">
        <v>0</v>
      </c>
      <c r="AP12" s="11">
        <v>1</v>
      </c>
      <c r="AQ12" s="11">
        <v>0</v>
      </c>
      <c r="AR12" s="11">
        <v>0</v>
      </c>
      <c r="AS12" s="11">
        <v>0</v>
      </c>
      <c r="AT12" s="11">
        <v>0</v>
      </c>
      <c r="AU12" s="11">
        <v>0</v>
      </c>
      <c r="AV12" s="11">
        <v>0</v>
      </c>
      <c r="AW12" s="11">
        <v>0</v>
      </c>
      <c r="AX12" s="11">
        <v>0</v>
      </c>
      <c r="AY12" s="11">
        <v>0</v>
      </c>
      <c r="AZ12" s="11">
        <v>0</v>
      </c>
      <c r="BA12" s="11">
        <v>0</v>
      </c>
      <c r="BB12" s="11">
        <v>0</v>
      </c>
      <c r="BC12" s="11">
        <v>0</v>
      </c>
      <c r="BD12" s="11">
        <v>1</v>
      </c>
      <c r="BE12" s="11">
        <v>0</v>
      </c>
      <c r="BF12" s="11">
        <v>0</v>
      </c>
      <c r="BG12" s="11">
        <v>1</v>
      </c>
      <c r="BH12" s="11">
        <v>0</v>
      </c>
      <c r="BI12" s="11">
        <v>0</v>
      </c>
      <c r="BJ12" s="11">
        <v>0</v>
      </c>
      <c r="BK12" s="11">
        <v>0</v>
      </c>
      <c r="BL12" s="11">
        <v>0</v>
      </c>
      <c r="BM12" s="11">
        <v>0</v>
      </c>
      <c r="BN12" s="11">
        <v>1</v>
      </c>
      <c r="BO12" s="11">
        <v>0</v>
      </c>
      <c r="BP12" s="11">
        <v>0</v>
      </c>
      <c r="BQ12" s="11">
        <v>0</v>
      </c>
      <c r="BR12" s="11">
        <v>0</v>
      </c>
      <c r="BS12" s="11">
        <v>0</v>
      </c>
      <c r="BT12" s="11">
        <v>1</v>
      </c>
      <c r="BU12" s="11">
        <v>0</v>
      </c>
      <c r="BV12" s="11">
        <v>0</v>
      </c>
      <c r="BW12" s="11">
        <v>0</v>
      </c>
      <c r="BX12" s="11">
        <v>0</v>
      </c>
      <c r="BY12" s="11">
        <f t="shared" si="11"/>
        <v>6</v>
      </c>
    </row>
    <row r="13" spans="1:77" ht="39.950000000000003" customHeight="1" x14ac:dyDescent="0.25">
      <c r="A13" s="24"/>
      <c r="B13" s="7">
        <v>11</v>
      </c>
      <c r="C13" s="12" t="s">
        <v>78</v>
      </c>
      <c r="D13" s="12">
        <v>4</v>
      </c>
      <c r="E13" s="11" t="s">
        <v>5</v>
      </c>
      <c r="F13" s="7">
        <f t="shared" si="7"/>
        <v>0</v>
      </c>
      <c r="G13" s="8">
        <v>244171265.59999999</v>
      </c>
      <c r="H13" s="9">
        <v>0.93799999999999994</v>
      </c>
      <c r="I13" s="5">
        <f t="shared" si="12"/>
        <v>0</v>
      </c>
      <c r="J13" s="7">
        <f t="shared" si="0"/>
        <v>0</v>
      </c>
      <c r="K13" s="34">
        <f t="shared" si="1"/>
        <v>0</v>
      </c>
      <c r="L13" s="11">
        <f t="shared" si="2"/>
        <v>0</v>
      </c>
      <c r="M13" s="34">
        <f t="shared" si="3"/>
        <v>0</v>
      </c>
      <c r="N13" s="11">
        <f t="shared" si="4"/>
        <v>0</v>
      </c>
      <c r="O13" s="34">
        <f t="shared" si="5"/>
        <v>0</v>
      </c>
      <c r="P13" s="11">
        <f t="shared" si="8"/>
        <v>0</v>
      </c>
      <c r="Q13" s="34">
        <f t="shared" si="9"/>
        <v>0</v>
      </c>
      <c r="R13" s="11">
        <f>N13+L13+J13</f>
        <v>0</v>
      </c>
      <c r="S13" s="38"/>
      <c r="T13" s="30">
        <v>0</v>
      </c>
      <c r="U13" s="11">
        <v>0</v>
      </c>
      <c r="V13" s="11">
        <v>0</v>
      </c>
      <c r="W13" s="11">
        <v>0</v>
      </c>
      <c r="X13" s="11">
        <v>0</v>
      </c>
      <c r="Y13" s="11">
        <v>0</v>
      </c>
      <c r="Z13" s="11">
        <v>0</v>
      </c>
      <c r="AA13" s="11">
        <v>0</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f t="shared" si="11"/>
        <v>0</v>
      </c>
    </row>
    <row r="14" spans="1:77" ht="39.950000000000003" customHeight="1" thickBot="1" x14ac:dyDescent="0.3">
      <c r="A14" s="41" t="s">
        <v>36</v>
      </c>
      <c r="B14" s="42"/>
      <c r="C14" s="42"/>
      <c r="D14" s="42"/>
      <c r="E14" s="42"/>
      <c r="F14" s="42"/>
      <c r="G14" s="42"/>
      <c r="H14" s="42"/>
      <c r="I14" s="43"/>
      <c r="J14" s="32"/>
      <c r="K14" s="35">
        <f>SUM(K3:K13)</f>
        <v>17504278108.806995</v>
      </c>
      <c r="L14" s="35"/>
      <c r="M14" s="35">
        <f t="shared" ref="M14" si="13">SUM(M3:M13)</f>
        <v>7895476616.578599</v>
      </c>
      <c r="N14" s="35"/>
      <c r="O14" s="35">
        <f>SUM(O3:O13)</f>
        <v>13814367698.665798</v>
      </c>
      <c r="P14" s="35"/>
      <c r="Q14" s="35">
        <f>SUM(Q3:Q13)</f>
        <v>6225703569.532999</v>
      </c>
      <c r="R14" s="35"/>
      <c r="S14" s="35">
        <f>SUM(S3:S13)</f>
        <v>45439825993.584396</v>
      </c>
      <c r="T14" s="44">
        <f>INT(SUM(I3:I13))</f>
        <v>45439825993</v>
      </c>
      <c r="U14" s="44"/>
      <c r="V14" s="44"/>
      <c r="W14" s="44"/>
      <c r="X14" s="44"/>
      <c r="Y14" s="44"/>
      <c r="Z14" s="44"/>
      <c r="AA14" s="44"/>
      <c r="AB14" s="44"/>
      <c r="AC14" s="44"/>
      <c r="AD14" s="44"/>
      <c r="AE14" s="44"/>
      <c r="AF14" s="44"/>
      <c r="AG14" s="44"/>
      <c r="AH14" s="44"/>
      <c r="AI14" s="44"/>
      <c r="AJ14" s="44"/>
      <c r="AK14" s="44"/>
      <c r="AL14" s="44"/>
      <c r="AM14" s="44"/>
    </row>
    <row r="15" spans="1:77" ht="39.950000000000003" customHeight="1" thickBot="1" x14ac:dyDescent="0.3">
      <c r="A15" s="47" t="s">
        <v>35</v>
      </c>
      <c r="B15" s="48"/>
      <c r="C15" s="48"/>
      <c r="D15" s="48"/>
      <c r="E15" s="48"/>
      <c r="F15" s="48"/>
      <c r="G15" s="48"/>
      <c r="H15" s="48"/>
      <c r="I15" s="49"/>
      <c r="J15" s="32"/>
      <c r="K15" s="35">
        <f>K14*1.41</f>
        <v>24681032133.417862</v>
      </c>
      <c r="L15" s="35"/>
      <c r="M15" s="35">
        <f t="shared" ref="M15:O15" si="14">M14*1.41</f>
        <v>11132622029.375824</v>
      </c>
      <c r="N15" s="35"/>
      <c r="O15" s="35">
        <f t="shared" si="14"/>
        <v>19478258455.118774</v>
      </c>
      <c r="P15" s="35"/>
      <c r="Q15" s="53">
        <f t="shared" ref="Q15" si="15">Q14*1.41</f>
        <v>8778242033.0415287</v>
      </c>
      <c r="R15" s="35"/>
      <c r="S15" s="35">
        <f>S14*1.41</f>
        <v>64070154650.953995</v>
      </c>
      <c r="T15" s="50">
        <f>T14*1.41</f>
        <v>64070154650.129997</v>
      </c>
      <c r="U15" s="50"/>
      <c r="V15" s="50"/>
      <c r="W15" s="50"/>
      <c r="X15" s="50"/>
      <c r="Y15" s="50"/>
      <c r="Z15" s="50"/>
      <c r="AA15" s="50"/>
      <c r="AB15" s="50"/>
      <c r="AC15" s="50"/>
      <c r="AD15" s="50"/>
      <c r="AE15" s="50"/>
      <c r="AF15" s="50"/>
      <c r="AG15" s="50"/>
      <c r="AH15" s="50"/>
      <c r="AI15" s="50"/>
      <c r="AJ15" s="50"/>
      <c r="AK15" s="50"/>
      <c r="AL15" s="50"/>
      <c r="AM15" s="50"/>
    </row>
    <row r="16" spans="1:77" ht="39.950000000000003" customHeight="1" thickBot="1" x14ac:dyDescent="0.3">
      <c r="A16" s="15"/>
      <c r="B16" s="16"/>
      <c r="C16" s="16"/>
      <c r="D16" s="48" t="s">
        <v>67</v>
      </c>
      <c r="E16" s="48"/>
      <c r="F16" s="48"/>
      <c r="G16" s="48"/>
      <c r="H16" s="48"/>
      <c r="I16" s="48"/>
      <c r="J16" s="33"/>
      <c r="K16" s="37"/>
      <c r="L16" s="37"/>
      <c r="M16" s="37">
        <v>472567126</v>
      </c>
      <c r="N16" s="37"/>
      <c r="O16" s="37"/>
      <c r="P16" s="37"/>
      <c r="Q16" s="37"/>
      <c r="R16" s="37"/>
      <c r="S16" s="37"/>
      <c r="T16" s="17"/>
      <c r="U16" s="17"/>
      <c r="V16" s="17"/>
      <c r="W16" s="17"/>
      <c r="X16" s="17"/>
      <c r="Y16" s="17"/>
      <c r="Z16" s="17"/>
      <c r="AA16" s="17"/>
      <c r="AB16" s="17"/>
      <c r="AC16" s="17"/>
      <c r="AD16" s="17"/>
      <c r="AE16" s="17"/>
      <c r="AF16" s="17"/>
      <c r="AG16" s="17"/>
      <c r="AH16" s="17"/>
      <c r="AI16" s="17"/>
      <c r="AJ16" s="17"/>
      <c r="AK16" s="17"/>
      <c r="AL16" s="17"/>
      <c r="AM16" s="17"/>
    </row>
    <row r="17" spans="1:67" ht="39.950000000000003" customHeight="1" thickBot="1" x14ac:dyDescent="0.3">
      <c r="A17" s="15"/>
      <c r="B17" s="16"/>
      <c r="C17" s="16"/>
      <c r="D17" s="48" t="s">
        <v>82</v>
      </c>
      <c r="E17" s="48"/>
      <c r="F17" s="48"/>
      <c r="G17" s="48"/>
      <c r="H17" s="48"/>
      <c r="I17" s="48"/>
      <c r="J17" s="33"/>
      <c r="K17" s="39">
        <f>ROUNDDOWN(K15+K16,0)</f>
        <v>24681032133</v>
      </c>
      <c r="L17" s="39"/>
      <c r="M17" s="39">
        <f>ROUNDDOWN(M15+M16,0)</f>
        <v>11605189155</v>
      </c>
      <c r="N17" s="39"/>
      <c r="O17" s="39">
        <f>ROUNDDOWN(O15+O16,0)</f>
        <v>19478258455</v>
      </c>
      <c r="P17" s="39"/>
      <c r="Q17" s="39">
        <f>ROUNDDOWN(Q15+Q16,0)</f>
        <v>8778242033</v>
      </c>
      <c r="R17" s="39"/>
      <c r="S17" s="39">
        <f>O17+M17+K17+Q17</f>
        <v>64542721776</v>
      </c>
      <c r="T17" s="17"/>
      <c r="U17" s="17"/>
      <c r="V17" s="17"/>
      <c r="W17" s="17"/>
      <c r="X17" s="17"/>
      <c r="Y17" s="17"/>
      <c r="Z17" s="17"/>
      <c r="AA17" s="17"/>
      <c r="AB17" s="17"/>
      <c r="AC17" s="17"/>
      <c r="AD17" s="17"/>
      <c r="AE17" s="17"/>
      <c r="AF17" s="17"/>
      <c r="AG17" s="17"/>
      <c r="AH17" s="17"/>
      <c r="AI17" s="17"/>
      <c r="AJ17" s="17"/>
      <c r="AK17" s="17"/>
      <c r="AL17" s="17"/>
      <c r="AM17" s="17"/>
    </row>
    <row r="18" spans="1:67" ht="39.950000000000003" customHeight="1" thickBot="1" x14ac:dyDescent="0.3">
      <c r="A18" s="47" t="s">
        <v>81</v>
      </c>
      <c r="B18" s="48"/>
      <c r="C18" s="48"/>
      <c r="D18" s="48"/>
      <c r="E18" s="48"/>
      <c r="F18" s="48"/>
      <c r="G18" s="48"/>
      <c r="H18" s="48"/>
      <c r="I18" s="48"/>
      <c r="J18" s="33"/>
      <c r="K18" s="39">
        <f>ROUNDDOWN('1404159725 (2)'!K15-'1404159725 (3)'!K15,0)</f>
        <v>526089977</v>
      </c>
      <c r="L18" s="39"/>
      <c r="M18" s="39">
        <f>ROUNDDOWN('1404159725 (2)'!M15-'1404159725 (3)'!M15,0)</f>
        <v>89304460</v>
      </c>
      <c r="N18" s="39"/>
      <c r="O18" s="39">
        <f>ROUNDDOWN('1404159725 (2)'!O15-'1404159725 (3)'!O15,0)</f>
        <v>563086282</v>
      </c>
      <c r="P18" s="39"/>
      <c r="Q18" s="40">
        <f>O18+M18+K18</f>
        <v>1178480719</v>
      </c>
      <c r="R18" s="37"/>
      <c r="T18" s="17"/>
      <c r="U18" s="17"/>
      <c r="V18" s="17"/>
      <c r="W18" s="17"/>
      <c r="X18" s="17"/>
      <c r="Y18" s="17"/>
      <c r="Z18" s="17"/>
      <c r="AA18" s="17"/>
      <c r="AB18" s="17"/>
      <c r="AC18" s="17"/>
      <c r="AD18" s="17"/>
      <c r="AE18" s="17"/>
      <c r="AF18" s="17"/>
      <c r="AG18" s="17"/>
      <c r="AH18" s="17"/>
      <c r="AI18" s="17"/>
      <c r="AJ18" s="17"/>
      <c r="AK18" s="17"/>
      <c r="AL18" s="17"/>
      <c r="AM18" s="17"/>
    </row>
    <row r="19" spans="1:67" ht="39.950000000000003" customHeight="1" thickBot="1" x14ac:dyDescent="0.3">
      <c r="A19" s="47" t="s">
        <v>91</v>
      </c>
      <c r="B19" s="48"/>
      <c r="C19" s="48"/>
      <c r="D19" s="48"/>
      <c r="E19" s="48"/>
      <c r="F19" s="48"/>
      <c r="G19" s="48"/>
      <c r="H19" s="48"/>
      <c r="I19" s="48"/>
      <c r="J19" s="33"/>
      <c r="K19" s="39"/>
      <c r="L19" s="39"/>
      <c r="M19" s="39"/>
      <c r="N19" s="39"/>
      <c r="O19" s="39"/>
      <c r="P19" s="39"/>
      <c r="Q19" s="54">
        <f>Q17-Q18</f>
        <v>7599761314</v>
      </c>
      <c r="R19" s="37"/>
      <c r="S19" s="40"/>
      <c r="T19" s="17"/>
      <c r="U19" s="17"/>
      <c r="V19" s="17"/>
      <c r="W19" s="17"/>
      <c r="X19" s="17"/>
      <c r="Y19" s="17"/>
      <c r="Z19" s="17"/>
      <c r="AA19" s="17"/>
      <c r="AB19" s="17"/>
      <c r="AC19" s="17"/>
      <c r="AD19" s="17"/>
      <c r="AE19" s="17"/>
      <c r="AF19" s="17"/>
      <c r="AG19" s="17"/>
      <c r="AH19" s="17"/>
      <c r="AI19" s="17"/>
      <c r="AJ19" s="17"/>
      <c r="AK19" s="17"/>
      <c r="AL19" s="17"/>
      <c r="AM19" s="17"/>
    </row>
    <row r="20" spans="1:67" ht="22.15" customHeight="1" x14ac:dyDescent="0.25">
      <c r="A20" s="3"/>
      <c r="B20" s="3"/>
      <c r="C20" s="3"/>
      <c r="D20" s="3"/>
      <c r="E20" s="3"/>
      <c r="F20" s="3"/>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spans="1:67" ht="22.15" customHeight="1" x14ac:dyDescent="0.25">
      <c r="A21" s="3"/>
      <c r="B21" s="3"/>
      <c r="C21" s="3"/>
      <c r="D21" s="3"/>
      <c r="E21" s="3"/>
      <c r="F21" s="3"/>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Y21" s="4"/>
      <c r="AZ21" s="4"/>
      <c r="BA21" s="4"/>
      <c r="BB21" s="4"/>
      <c r="BC21" s="4"/>
      <c r="BD21" s="4"/>
      <c r="BE21" s="4"/>
      <c r="BF21" s="4"/>
      <c r="BG21" s="4"/>
      <c r="BH21" s="4"/>
      <c r="BI21" s="4"/>
      <c r="BJ21" s="4"/>
      <c r="BK21" s="4"/>
      <c r="BL21" s="4"/>
      <c r="BM21" s="4"/>
      <c r="BN21" s="4"/>
      <c r="BO21" s="4"/>
    </row>
    <row r="22" spans="1:67" ht="24" x14ac:dyDescent="0.25">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row>
    <row r="23" spans="1:67" ht="24" x14ac:dyDescent="0.25">
      <c r="AN23" s="4"/>
      <c r="AO23" s="4"/>
      <c r="AP23" s="4"/>
      <c r="AQ23" s="4"/>
      <c r="AR23" s="4"/>
      <c r="AS23" s="4"/>
      <c r="AT23" s="4"/>
      <c r="AU23" s="4"/>
      <c r="AV23" s="4"/>
      <c r="AW23" s="4"/>
      <c r="AX23" s="4"/>
    </row>
  </sheetData>
  <printOptions horizontalCentered="1" verticalCentered="1"/>
  <pageMargins left="0.1" right="0.1" top="0.1" bottom="0.1" header="0.1" footer="0.1"/>
  <pageSetup paperSize="9" scale="2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N25"/>
  <sheetViews>
    <sheetView rightToLeft="1" topLeftCell="H10" zoomScale="85" zoomScaleNormal="85" zoomScaleSheetLayoutView="50" workbookViewId="0">
      <selection activeCell="Q16" sqref="Q16"/>
    </sheetView>
  </sheetViews>
  <sheetFormatPr defaultColWidth="9.140625" defaultRowHeight="22.5" x14ac:dyDescent="0.25"/>
  <cols>
    <col min="1" max="1" width="12.140625" style="2" customWidth="1"/>
    <col min="2" max="2" width="9.140625" style="1"/>
    <col min="3" max="3" width="91.42578125" style="2" customWidth="1"/>
    <col min="4" max="4" width="9.28515625" style="2" bestFit="1" customWidth="1"/>
    <col min="5" max="5" width="7.5703125" style="1" customWidth="1"/>
    <col min="6" max="6" width="10.5703125" style="1" bestFit="1" customWidth="1"/>
    <col min="7" max="7" width="20.5703125" style="1" customWidth="1"/>
    <col min="8" max="8" width="11" style="1" customWidth="1"/>
    <col min="9" max="9" width="23" style="1" bestFit="1" customWidth="1"/>
    <col min="10" max="10" width="6.7109375" style="1" customWidth="1"/>
    <col min="11" max="11" width="25.7109375" style="1" customWidth="1"/>
    <col min="12" max="12" width="6.7109375" style="1" customWidth="1"/>
    <col min="13" max="13" width="25.7109375" style="1" customWidth="1"/>
    <col min="14" max="14" width="6.7109375" style="1" customWidth="1"/>
    <col min="15" max="15" width="25.7109375" style="1" customWidth="1"/>
    <col min="16" max="16" width="8.5703125" style="1" customWidth="1"/>
    <col min="17" max="17" width="25.7109375" style="1" customWidth="1"/>
    <col min="18" max="65" width="6.7109375" style="1" customWidth="1"/>
    <col min="66" max="66" width="13.7109375" style="1" customWidth="1"/>
    <col min="67" max="16384" width="9.140625" style="1"/>
  </cols>
  <sheetData>
    <row r="1" spans="1:66" ht="58.9" customHeight="1" x14ac:dyDescent="0.25">
      <c r="A1" s="14"/>
      <c r="B1" s="14"/>
      <c r="C1" s="14"/>
      <c r="D1" s="14"/>
      <c r="E1" s="14"/>
      <c r="F1" s="14"/>
      <c r="G1" s="14"/>
      <c r="H1" s="14"/>
      <c r="I1" s="14"/>
      <c r="J1" s="55">
        <v>1</v>
      </c>
      <c r="K1" s="55"/>
      <c r="L1" s="55">
        <v>2</v>
      </c>
      <c r="M1" s="55"/>
      <c r="N1" s="55">
        <v>3</v>
      </c>
      <c r="O1" s="55"/>
      <c r="P1" s="67" t="s">
        <v>66</v>
      </c>
      <c r="Q1" s="67"/>
      <c r="R1" s="68" t="s">
        <v>38</v>
      </c>
      <c r="S1" s="68"/>
      <c r="T1" s="68"/>
      <c r="U1" s="68"/>
      <c r="V1" s="68"/>
      <c r="W1" s="68"/>
      <c r="X1" s="68"/>
      <c r="Y1" s="68"/>
      <c r="Z1" s="68"/>
      <c r="AA1" s="68"/>
      <c r="AB1" s="68"/>
      <c r="AC1" s="68"/>
      <c r="AD1" s="68"/>
      <c r="AE1" s="68"/>
      <c r="AF1" s="68"/>
      <c r="AG1" s="68"/>
      <c r="AH1" s="68"/>
      <c r="AI1" s="68"/>
      <c r="AJ1" s="68"/>
      <c r="AK1" s="68"/>
      <c r="AL1" s="60" t="s">
        <v>48</v>
      </c>
      <c r="AM1" s="60"/>
      <c r="AN1" s="60"/>
      <c r="AO1" s="60"/>
      <c r="AP1" s="60"/>
      <c r="AQ1" s="60"/>
      <c r="AR1" s="60"/>
      <c r="AS1" s="60"/>
      <c r="AT1" s="60"/>
      <c r="AU1" s="60"/>
      <c r="AV1" s="60"/>
      <c r="AW1" s="60" t="s">
        <v>65</v>
      </c>
      <c r="AX1" s="60"/>
      <c r="AY1" s="60"/>
      <c r="AZ1" s="60"/>
      <c r="BA1" s="60"/>
      <c r="BB1" s="60"/>
      <c r="BC1" s="60"/>
      <c r="BD1" s="60"/>
      <c r="BE1" s="60"/>
      <c r="BF1" s="60"/>
      <c r="BG1" s="60"/>
      <c r="BH1" s="60"/>
      <c r="BI1" s="60"/>
      <c r="BJ1" s="60"/>
      <c r="BK1" s="60"/>
      <c r="BL1" s="60"/>
      <c r="BM1" s="60"/>
    </row>
    <row r="2" spans="1:66" s="21" customFormat="1" ht="76.5" customHeight="1" x14ac:dyDescent="0.25">
      <c r="A2" s="61" t="s">
        <v>0</v>
      </c>
      <c r="B2" s="61"/>
      <c r="C2" s="61"/>
      <c r="D2" s="23" t="s">
        <v>79</v>
      </c>
      <c r="E2" s="11" t="s">
        <v>6</v>
      </c>
      <c r="F2" s="11" t="s">
        <v>8</v>
      </c>
      <c r="G2" s="23" t="s">
        <v>14</v>
      </c>
      <c r="H2" s="23" t="s">
        <v>37</v>
      </c>
      <c r="I2" s="23" t="s">
        <v>34</v>
      </c>
      <c r="J2" s="11"/>
      <c r="K2" s="11"/>
      <c r="L2" s="11"/>
      <c r="M2" s="11"/>
      <c r="N2" s="11"/>
      <c r="O2" s="11"/>
      <c r="P2" s="11"/>
      <c r="Q2" s="23" t="s">
        <v>66</v>
      </c>
      <c r="R2" s="29" t="s">
        <v>15</v>
      </c>
      <c r="S2" s="27" t="s">
        <v>16</v>
      </c>
      <c r="T2" s="27" t="s">
        <v>17</v>
      </c>
      <c r="U2" s="27" t="s">
        <v>18</v>
      </c>
      <c r="V2" s="27" t="s">
        <v>19</v>
      </c>
      <c r="W2" s="27" t="s">
        <v>20</v>
      </c>
      <c r="X2" s="27" t="s">
        <v>21</v>
      </c>
      <c r="Y2" s="27" t="s">
        <v>22</v>
      </c>
      <c r="Z2" s="28" t="s">
        <v>23</v>
      </c>
      <c r="AA2" s="27" t="s">
        <v>24</v>
      </c>
      <c r="AB2" s="28" t="s">
        <v>25</v>
      </c>
      <c r="AC2" s="27" t="s">
        <v>26</v>
      </c>
      <c r="AD2" s="27" t="s">
        <v>27</v>
      </c>
      <c r="AE2" s="27" t="s">
        <v>28</v>
      </c>
      <c r="AF2" s="28" t="s">
        <v>29</v>
      </c>
      <c r="AG2" s="27" t="s">
        <v>30</v>
      </c>
      <c r="AH2" s="27" t="s">
        <v>31</v>
      </c>
      <c r="AI2" s="27" t="s">
        <v>32</v>
      </c>
      <c r="AJ2" s="27" t="s">
        <v>33</v>
      </c>
      <c r="AK2" s="28" t="s">
        <v>11</v>
      </c>
      <c r="AL2" s="27" t="s">
        <v>39</v>
      </c>
      <c r="AM2" s="27" t="s">
        <v>40</v>
      </c>
      <c r="AN2" s="27" t="s">
        <v>41</v>
      </c>
      <c r="AO2" s="27" t="s">
        <v>42</v>
      </c>
      <c r="AP2" s="27" t="s">
        <v>43</v>
      </c>
      <c r="AQ2" s="27" t="s">
        <v>44</v>
      </c>
      <c r="AR2" s="27" t="s">
        <v>45</v>
      </c>
      <c r="AS2" s="27" t="s">
        <v>29</v>
      </c>
      <c r="AT2" s="28" t="s">
        <v>46</v>
      </c>
      <c r="AU2" s="28" t="s">
        <v>47</v>
      </c>
      <c r="AV2" s="28" t="s">
        <v>11</v>
      </c>
      <c r="AW2" s="27" t="s">
        <v>49</v>
      </c>
      <c r="AX2" s="27" t="s">
        <v>50</v>
      </c>
      <c r="AY2" s="27" t="s">
        <v>51</v>
      </c>
      <c r="AZ2" s="27" t="s">
        <v>52</v>
      </c>
      <c r="BA2" s="27" t="s">
        <v>53</v>
      </c>
      <c r="BB2" s="27" t="s">
        <v>54</v>
      </c>
      <c r="BC2" s="27" t="s">
        <v>55</v>
      </c>
      <c r="BD2" s="27" t="s">
        <v>56</v>
      </c>
      <c r="BE2" s="27" t="s">
        <v>57</v>
      </c>
      <c r="BF2" s="27" t="s">
        <v>58</v>
      </c>
      <c r="BG2" s="27" t="s">
        <v>59</v>
      </c>
      <c r="BH2" s="27" t="s">
        <v>60</v>
      </c>
      <c r="BI2" s="27" t="s">
        <v>61</v>
      </c>
      <c r="BJ2" s="27" t="s">
        <v>62</v>
      </c>
      <c r="BK2" s="27" t="s">
        <v>63</v>
      </c>
      <c r="BL2" s="27" t="s">
        <v>64</v>
      </c>
      <c r="BM2" s="28" t="s">
        <v>11</v>
      </c>
      <c r="BN2" s="11" t="s">
        <v>10</v>
      </c>
    </row>
    <row r="3" spans="1:66" ht="39.950000000000003" customHeight="1" x14ac:dyDescent="0.25">
      <c r="A3" s="24" t="s">
        <v>1</v>
      </c>
      <c r="B3" s="7">
        <v>1</v>
      </c>
      <c r="C3" s="22" t="s">
        <v>69</v>
      </c>
      <c r="D3" s="22">
        <v>320</v>
      </c>
      <c r="E3" s="11" t="s">
        <v>5</v>
      </c>
      <c r="F3" s="7">
        <f>BN3</f>
        <v>212</v>
      </c>
      <c r="G3" s="8">
        <v>26950354.600000001</v>
      </c>
      <c r="H3" s="9">
        <v>1.546</v>
      </c>
      <c r="I3" s="5">
        <f>G3*F3*H3</f>
        <v>8833032620.8592014</v>
      </c>
      <c r="J3" s="7">
        <f t="shared" ref="J3:J13" si="0">SUM(R3:AK3)</f>
        <v>106</v>
      </c>
      <c r="K3" s="34">
        <f t="shared" ref="K3:K13" si="1">J3*G3*H3</f>
        <v>4416516310.4296007</v>
      </c>
      <c r="L3" s="11">
        <f t="shared" ref="L3:L13" si="2">SUM(AL3:AV3)</f>
        <v>41</v>
      </c>
      <c r="M3" s="34">
        <f t="shared" ref="M3:M13" si="3">L3*G3*H3</f>
        <v>1708275176.6756003</v>
      </c>
      <c r="N3" s="11">
        <f t="shared" ref="N3:N13" si="4">SUM(AW3:BM3)</f>
        <v>65</v>
      </c>
      <c r="O3" s="34">
        <f t="shared" ref="O3:O13" si="5">N3*G3*H3</f>
        <v>2708241133.7540002</v>
      </c>
      <c r="P3" s="11">
        <f t="shared" ref="P3:P12" si="6">N3+L3+J3</f>
        <v>212</v>
      </c>
      <c r="Q3" s="38">
        <f t="shared" ref="Q3:Q12" si="7">O3+M3+K3</f>
        <v>8833032620.8592014</v>
      </c>
      <c r="R3" s="30">
        <v>0</v>
      </c>
      <c r="S3" s="11">
        <v>0</v>
      </c>
      <c r="T3" s="11">
        <v>0</v>
      </c>
      <c r="U3" s="11">
        <v>0</v>
      </c>
      <c r="V3" s="11">
        <v>0</v>
      </c>
      <c r="W3" s="11">
        <v>0</v>
      </c>
      <c r="X3" s="11">
        <v>0</v>
      </c>
      <c r="Y3" s="11">
        <v>0</v>
      </c>
      <c r="Z3" s="11">
        <v>0</v>
      </c>
      <c r="AA3" s="11">
        <v>0</v>
      </c>
      <c r="AB3" s="11">
        <v>0</v>
      </c>
      <c r="AC3" s="11">
        <v>0</v>
      </c>
      <c r="AD3" s="11">
        <v>0</v>
      </c>
      <c r="AE3" s="11">
        <v>0</v>
      </c>
      <c r="AF3" s="11">
        <v>0</v>
      </c>
      <c r="AG3" s="11">
        <v>0</v>
      </c>
      <c r="AH3" s="11">
        <v>0</v>
      </c>
      <c r="AI3" s="11">
        <v>0</v>
      </c>
      <c r="AJ3" s="11">
        <v>0</v>
      </c>
      <c r="AK3" s="11">
        <v>106</v>
      </c>
      <c r="AL3" s="11"/>
      <c r="AM3" s="11"/>
      <c r="AN3" s="11"/>
      <c r="AO3" s="11"/>
      <c r="AP3" s="11"/>
      <c r="AQ3" s="11"/>
      <c r="AR3" s="11"/>
      <c r="AS3" s="11"/>
      <c r="AT3" s="11"/>
      <c r="AU3" s="11"/>
      <c r="AV3" s="11">
        <v>41</v>
      </c>
      <c r="AW3" s="11">
        <v>0</v>
      </c>
      <c r="AX3" s="11">
        <v>0</v>
      </c>
      <c r="AY3" s="11">
        <v>0</v>
      </c>
      <c r="AZ3" s="11">
        <v>0</v>
      </c>
      <c r="BA3" s="11">
        <v>0</v>
      </c>
      <c r="BB3" s="11">
        <v>0</v>
      </c>
      <c r="BC3" s="11">
        <v>0</v>
      </c>
      <c r="BD3" s="11">
        <v>0</v>
      </c>
      <c r="BE3" s="11">
        <v>0</v>
      </c>
      <c r="BF3" s="11">
        <v>0</v>
      </c>
      <c r="BG3" s="11">
        <v>0</v>
      </c>
      <c r="BH3" s="11">
        <v>0</v>
      </c>
      <c r="BI3" s="11">
        <v>0</v>
      </c>
      <c r="BJ3" s="11">
        <v>0</v>
      </c>
      <c r="BK3" s="11">
        <v>0</v>
      </c>
      <c r="BL3" s="11">
        <v>0</v>
      </c>
      <c r="BM3" s="11">
        <v>65</v>
      </c>
      <c r="BN3" s="11">
        <f>SUM(R3:BM3)</f>
        <v>212</v>
      </c>
    </row>
    <row r="4" spans="1:66" ht="39.950000000000003" customHeight="1" x14ac:dyDescent="0.25">
      <c r="A4" s="62" t="s">
        <v>2</v>
      </c>
      <c r="B4" s="7">
        <v>2</v>
      </c>
      <c r="C4" s="22" t="s">
        <v>68</v>
      </c>
      <c r="D4" s="22">
        <v>70</v>
      </c>
      <c r="E4" s="11" t="s">
        <v>4</v>
      </c>
      <c r="F4" s="7">
        <f t="shared" ref="F4:F13" si="8">BN4</f>
        <v>40</v>
      </c>
      <c r="G4" s="8">
        <v>319148936.19999999</v>
      </c>
      <c r="H4" s="10">
        <v>0.83620000000000005</v>
      </c>
      <c r="I4" s="5">
        <f>G4*F4*H4</f>
        <v>10674893618.017601</v>
      </c>
      <c r="J4" s="7">
        <f t="shared" si="0"/>
        <v>17</v>
      </c>
      <c r="K4" s="36">
        <f t="shared" si="1"/>
        <v>4536829787.6574802</v>
      </c>
      <c r="L4" s="11">
        <f t="shared" si="2"/>
        <v>10</v>
      </c>
      <c r="M4" s="36">
        <f t="shared" si="3"/>
        <v>2668723404.5044003</v>
      </c>
      <c r="N4" s="11">
        <f t="shared" si="4"/>
        <v>13</v>
      </c>
      <c r="O4" s="36">
        <f t="shared" si="5"/>
        <v>3469340425.85572</v>
      </c>
      <c r="P4" s="11">
        <f t="shared" si="6"/>
        <v>40</v>
      </c>
      <c r="Q4" s="38">
        <f t="shared" si="7"/>
        <v>10674893618.017601</v>
      </c>
      <c r="R4" s="30">
        <v>1</v>
      </c>
      <c r="S4" s="11">
        <v>1</v>
      </c>
      <c r="T4" s="11">
        <v>1</v>
      </c>
      <c r="U4" s="11">
        <v>1</v>
      </c>
      <c r="V4" s="11">
        <v>1</v>
      </c>
      <c r="W4" s="11">
        <v>1</v>
      </c>
      <c r="X4" s="11">
        <v>1</v>
      </c>
      <c r="Y4" s="11">
        <v>1</v>
      </c>
      <c r="Z4" s="11">
        <v>1</v>
      </c>
      <c r="AA4" s="11">
        <v>1</v>
      </c>
      <c r="AB4" s="11">
        <v>1</v>
      </c>
      <c r="AC4" s="11">
        <v>1</v>
      </c>
      <c r="AD4" s="11">
        <v>1</v>
      </c>
      <c r="AE4" s="11">
        <v>1</v>
      </c>
      <c r="AF4" s="11">
        <v>1</v>
      </c>
      <c r="AG4" s="11">
        <v>1</v>
      </c>
      <c r="AH4" s="11">
        <v>1</v>
      </c>
      <c r="AI4" s="11">
        <v>0</v>
      </c>
      <c r="AJ4" s="11">
        <v>0</v>
      </c>
      <c r="AK4" s="11">
        <v>0</v>
      </c>
      <c r="AL4" s="11">
        <v>1</v>
      </c>
      <c r="AM4" s="11">
        <v>1</v>
      </c>
      <c r="AN4" s="11">
        <v>1</v>
      </c>
      <c r="AO4" s="11">
        <v>1</v>
      </c>
      <c r="AP4" s="11">
        <v>1</v>
      </c>
      <c r="AQ4" s="11">
        <v>1</v>
      </c>
      <c r="AR4" s="11">
        <v>1</v>
      </c>
      <c r="AS4" s="11">
        <v>1</v>
      </c>
      <c r="AT4" s="11">
        <v>1</v>
      </c>
      <c r="AU4" s="11">
        <v>1</v>
      </c>
      <c r="AV4" s="11">
        <v>0</v>
      </c>
      <c r="AW4" s="11">
        <v>1</v>
      </c>
      <c r="AX4" s="11">
        <v>1</v>
      </c>
      <c r="AY4" s="11">
        <v>1</v>
      </c>
      <c r="AZ4" s="11">
        <v>1</v>
      </c>
      <c r="BA4" s="11">
        <v>1</v>
      </c>
      <c r="BB4" s="11">
        <v>0</v>
      </c>
      <c r="BC4" s="11">
        <v>0</v>
      </c>
      <c r="BD4" s="11">
        <v>0</v>
      </c>
      <c r="BE4" s="11">
        <v>0</v>
      </c>
      <c r="BF4" s="11">
        <v>1</v>
      </c>
      <c r="BG4" s="11">
        <v>1</v>
      </c>
      <c r="BH4" s="11">
        <v>1</v>
      </c>
      <c r="BI4" s="11">
        <v>1</v>
      </c>
      <c r="BJ4" s="11">
        <v>2</v>
      </c>
      <c r="BK4" s="11">
        <v>1</v>
      </c>
      <c r="BL4" s="11">
        <v>1</v>
      </c>
      <c r="BM4" s="11">
        <v>0</v>
      </c>
      <c r="BN4" s="11">
        <f t="shared" ref="BN4:BN13" si="9">SUM(R4:BM4)</f>
        <v>40</v>
      </c>
    </row>
    <row r="5" spans="1:66" ht="39.950000000000003" customHeight="1" x14ac:dyDescent="0.25">
      <c r="A5" s="62"/>
      <c r="B5" s="7">
        <v>3</v>
      </c>
      <c r="C5" s="12" t="s">
        <v>70</v>
      </c>
      <c r="D5" s="12">
        <v>4500</v>
      </c>
      <c r="E5" s="11" t="s">
        <v>3</v>
      </c>
      <c r="F5" s="7">
        <f t="shared" si="8"/>
        <v>2519</v>
      </c>
      <c r="G5" s="8">
        <v>2127659.6</v>
      </c>
      <c r="H5" s="10">
        <v>0.83620000000000005</v>
      </c>
      <c r="I5" s="5">
        <f>G5*F5*H5</f>
        <v>4481676223.9928808</v>
      </c>
      <c r="J5" s="25">
        <f t="shared" si="0"/>
        <v>1326</v>
      </c>
      <c r="K5" s="34">
        <f t="shared" si="1"/>
        <v>2359151517.6715202</v>
      </c>
      <c r="L5" s="11">
        <f t="shared" si="2"/>
        <v>633</v>
      </c>
      <c r="M5" s="34">
        <f t="shared" si="3"/>
        <v>1126201290.1101601</v>
      </c>
      <c r="N5" s="11">
        <f t="shared" si="4"/>
        <v>560</v>
      </c>
      <c r="O5" s="34">
        <f t="shared" si="5"/>
        <v>996323416.21120012</v>
      </c>
      <c r="P5" s="11">
        <f t="shared" si="6"/>
        <v>2519</v>
      </c>
      <c r="Q5" s="38">
        <f t="shared" si="7"/>
        <v>4481676223.9928799</v>
      </c>
      <c r="R5" s="30">
        <v>67</v>
      </c>
      <c r="S5" s="11">
        <v>78</v>
      </c>
      <c r="T5" s="11">
        <v>64</v>
      </c>
      <c r="U5" s="11">
        <v>91</v>
      </c>
      <c r="V5" s="11">
        <v>78</v>
      </c>
      <c r="W5" s="11">
        <v>84</v>
      </c>
      <c r="X5" s="11">
        <v>102</v>
      </c>
      <c r="Y5" s="11">
        <v>99</v>
      </c>
      <c r="Z5" s="11">
        <v>85</v>
      </c>
      <c r="AA5" s="11">
        <v>80</v>
      </c>
      <c r="AB5" s="11">
        <v>79</v>
      </c>
      <c r="AC5" s="11">
        <v>0</v>
      </c>
      <c r="AD5" s="11">
        <v>85</v>
      </c>
      <c r="AE5" s="11">
        <v>65</v>
      </c>
      <c r="AF5" s="11">
        <v>94</v>
      </c>
      <c r="AG5" s="11">
        <v>80</v>
      </c>
      <c r="AH5" s="11">
        <v>95</v>
      </c>
      <c r="AI5" s="11">
        <v>0</v>
      </c>
      <c r="AJ5" s="11">
        <v>0</v>
      </c>
      <c r="AK5" s="11">
        <v>0</v>
      </c>
      <c r="AL5" s="11">
        <v>85</v>
      </c>
      <c r="AM5" s="11">
        <v>24</v>
      </c>
      <c r="AN5" s="11">
        <v>19</v>
      </c>
      <c r="AO5" s="11">
        <v>0</v>
      </c>
      <c r="AP5" s="11">
        <v>83</v>
      </c>
      <c r="AQ5" s="11">
        <v>77</v>
      </c>
      <c r="AR5" s="11">
        <v>86</v>
      </c>
      <c r="AS5" s="11">
        <v>94</v>
      </c>
      <c r="AT5" s="11">
        <v>100</v>
      </c>
      <c r="AU5" s="11">
        <v>65</v>
      </c>
      <c r="AV5" s="11">
        <v>0</v>
      </c>
      <c r="AW5" s="11">
        <v>50</v>
      </c>
      <c r="AX5" s="11">
        <v>49</v>
      </c>
      <c r="AY5" s="11">
        <v>26</v>
      </c>
      <c r="AZ5" s="11">
        <v>0</v>
      </c>
      <c r="BA5" s="11">
        <v>56</v>
      </c>
      <c r="BB5" s="11">
        <v>0</v>
      </c>
      <c r="BC5" s="11">
        <v>0</v>
      </c>
      <c r="BD5" s="11">
        <v>0</v>
      </c>
      <c r="BE5" s="11">
        <v>0</v>
      </c>
      <c r="BF5" s="11">
        <v>100</v>
      </c>
      <c r="BG5" s="11">
        <v>46</v>
      </c>
      <c r="BH5" s="11">
        <v>69</v>
      </c>
      <c r="BI5" s="11">
        <v>27</v>
      </c>
      <c r="BJ5" s="11">
        <v>26</v>
      </c>
      <c r="BK5" s="11">
        <v>68</v>
      </c>
      <c r="BL5" s="11">
        <v>43</v>
      </c>
      <c r="BM5" s="11">
        <v>0</v>
      </c>
      <c r="BN5" s="11">
        <f t="shared" si="9"/>
        <v>2519</v>
      </c>
    </row>
    <row r="6" spans="1:66" ht="39.950000000000003" customHeight="1" x14ac:dyDescent="0.25">
      <c r="A6" s="62"/>
      <c r="B6" s="7">
        <v>4</v>
      </c>
      <c r="C6" s="12" t="s">
        <v>71</v>
      </c>
      <c r="D6" s="12">
        <v>70</v>
      </c>
      <c r="E6" s="11" t="s">
        <v>4</v>
      </c>
      <c r="F6" s="7">
        <f t="shared" si="8"/>
        <v>32</v>
      </c>
      <c r="G6" s="8">
        <v>113475177.3</v>
      </c>
      <c r="H6" s="10">
        <v>0.83620000000000005</v>
      </c>
      <c r="I6" s="5">
        <f>G6*F6*H6</f>
        <v>3036414184.2643199</v>
      </c>
      <c r="J6" s="7">
        <f t="shared" si="0"/>
        <v>16</v>
      </c>
      <c r="K6" s="34">
        <f t="shared" si="1"/>
        <v>1518207092.1321599</v>
      </c>
      <c r="L6" s="11">
        <f t="shared" si="2"/>
        <v>6</v>
      </c>
      <c r="M6" s="34">
        <f t="shared" si="3"/>
        <v>569327659.54955995</v>
      </c>
      <c r="N6" s="11">
        <f t="shared" si="4"/>
        <v>10</v>
      </c>
      <c r="O6" s="34">
        <f t="shared" si="5"/>
        <v>948879432.58260012</v>
      </c>
      <c r="P6" s="11">
        <f t="shared" si="6"/>
        <v>32</v>
      </c>
      <c r="Q6" s="38">
        <f t="shared" si="7"/>
        <v>3036414184.2643204</v>
      </c>
      <c r="R6" s="30">
        <v>1</v>
      </c>
      <c r="S6" s="11">
        <v>1</v>
      </c>
      <c r="T6" s="11">
        <v>1</v>
      </c>
      <c r="U6" s="11">
        <v>1</v>
      </c>
      <c r="V6" s="11">
        <v>1</v>
      </c>
      <c r="W6" s="11">
        <v>1</v>
      </c>
      <c r="X6" s="11">
        <v>1</v>
      </c>
      <c r="Y6" s="11">
        <v>1</v>
      </c>
      <c r="Z6" s="11">
        <v>1</v>
      </c>
      <c r="AA6" s="11">
        <v>1</v>
      </c>
      <c r="AB6" s="11">
        <v>1</v>
      </c>
      <c r="AC6" s="11">
        <v>1</v>
      </c>
      <c r="AD6" s="11">
        <v>1</v>
      </c>
      <c r="AE6" s="11">
        <v>1</v>
      </c>
      <c r="AF6" s="11">
        <v>1</v>
      </c>
      <c r="AG6" s="11">
        <v>0</v>
      </c>
      <c r="AH6" s="11">
        <v>1</v>
      </c>
      <c r="AI6" s="11">
        <v>0</v>
      </c>
      <c r="AJ6" s="11">
        <v>0</v>
      </c>
      <c r="AK6" s="11">
        <v>0</v>
      </c>
      <c r="AL6" s="11">
        <v>1</v>
      </c>
      <c r="AM6" s="11">
        <v>1</v>
      </c>
      <c r="AN6" s="11">
        <v>0</v>
      </c>
      <c r="AO6" s="11">
        <v>1</v>
      </c>
      <c r="AP6" s="11">
        <v>0</v>
      </c>
      <c r="AQ6" s="11">
        <v>1</v>
      </c>
      <c r="AR6" s="11">
        <v>1</v>
      </c>
      <c r="AS6" s="11">
        <v>0</v>
      </c>
      <c r="AT6" s="11">
        <v>0</v>
      </c>
      <c r="AU6" s="11">
        <v>1</v>
      </c>
      <c r="AV6" s="11">
        <v>0</v>
      </c>
      <c r="AW6" s="11">
        <v>1</v>
      </c>
      <c r="AX6" s="11">
        <v>1</v>
      </c>
      <c r="AY6" s="11">
        <v>0</v>
      </c>
      <c r="AZ6" s="11">
        <v>0</v>
      </c>
      <c r="BA6" s="11">
        <v>1</v>
      </c>
      <c r="BB6" s="11">
        <v>0</v>
      </c>
      <c r="BC6" s="11">
        <v>0</v>
      </c>
      <c r="BD6" s="11">
        <v>0</v>
      </c>
      <c r="BE6" s="11">
        <v>0</v>
      </c>
      <c r="BF6" s="11">
        <v>1</v>
      </c>
      <c r="BG6" s="11">
        <v>1</v>
      </c>
      <c r="BH6" s="11">
        <v>1</v>
      </c>
      <c r="BI6" s="11">
        <v>1</v>
      </c>
      <c r="BJ6" s="11">
        <v>1</v>
      </c>
      <c r="BK6" s="11">
        <v>1</v>
      </c>
      <c r="BL6" s="11">
        <v>1</v>
      </c>
      <c r="BM6" s="11">
        <v>0</v>
      </c>
      <c r="BN6" s="11">
        <f t="shared" si="9"/>
        <v>32</v>
      </c>
    </row>
    <row r="7" spans="1:66" ht="39.950000000000003" customHeight="1" x14ac:dyDescent="0.25">
      <c r="A7" s="62"/>
      <c r="B7" s="7">
        <v>5</v>
      </c>
      <c r="C7" s="12" t="s">
        <v>72</v>
      </c>
      <c r="D7" s="12">
        <v>4500</v>
      </c>
      <c r="E7" s="11" t="s">
        <v>3</v>
      </c>
      <c r="F7" s="7">
        <f t="shared" si="8"/>
        <v>2184</v>
      </c>
      <c r="G7" s="8">
        <v>756501.2</v>
      </c>
      <c r="H7" s="10">
        <v>0.83620000000000005</v>
      </c>
      <c r="I7" s="5">
        <f>G7*F7*H7</f>
        <v>1381568486.71296</v>
      </c>
      <c r="J7" s="25">
        <f t="shared" si="0"/>
        <v>1326</v>
      </c>
      <c r="K7" s="34">
        <f t="shared" si="1"/>
        <v>838809438.36143994</v>
      </c>
      <c r="L7" s="11">
        <f t="shared" si="2"/>
        <v>337</v>
      </c>
      <c r="M7" s="34">
        <f t="shared" si="3"/>
        <v>213181584.25928</v>
      </c>
      <c r="N7" s="11">
        <f t="shared" si="4"/>
        <v>521</v>
      </c>
      <c r="O7" s="34">
        <f t="shared" si="5"/>
        <v>329577464.09224004</v>
      </c>
      <c r="P7" s="11">
        <f t="shared" si="6"/>
        <v>2184</v>
      </c>
      <c r="Q7" s="38">
        <f t="shared" si="7"/>
        <v>1381568486.71296</v>
      </c>
      <c r="R7" s="30">
        <v>67</v>
      </c>
      <c r="S7" s="11">
        <v>78</v>
      </c>
      <c r="T7" s="11">
        <v>64</v>
      </c>
      <c r="U7" s="11">
        <v>91</v>
      </c>
      <c r="V7" s="11">
        <v>78</v>
      </c>
      <c r="W7" s="11">
        <v>84</v>
      </c>
      <c r="X7" s="11">
        <v>102</v>
      </c>
      <c r="Y7" s="11">
        <v>99</v>
      </c>
      <c r="Z7" s="11">
        <v>85</v>
      </c>
      <c r="AA7" s="11">
        <v>80</v>
      </c>
      <c r="AB7" s="11">
        <v>79</v>
      </c>
      <c r="AC7" s="11">
        <v>0</v>
      </c>
      <c r="AD7" s="11">
        <v>85</v>
      </c>
      <c r="AE7" s="11">
        <v>65</v>
      </c>
      <c r="AF7" s="11">
        <v>94</v>
      </c>
      <c r="AG7" s="11">
        <v>80</v>
      </c>
      <c r="AH7" s="11">
        <v>95</v>
      </c>
      <c r="AI7" s="11">
        <v>0</v>
      </c>
      <c r="AJ7" s="11">
        <v>0</v>
      </c>
      <c r="AK7" s="11">
        <v>0</v>
      </c>
      <c r="AL7" s="11">
        <v>85</v>
      </c>
      <c r="AM7" s="11">
        <v>24</v>
      </c>
      <c r="AN7" s="11">
        <v>0</v>
      </c>
      <c r="AO7" s="11">
        <v>0</v>
      </c>
      <c r="AP7" s="11">
        <v>0</v>
      </c>
      <c r="AQ7" s="11">
        <v>77</v>
      </c>
      <c r="AR7" s="11">
        <v>86</v>
      </c>
      <c r="AS7" s="11">
        <v>0</v>
      </c>
      <c r="AT7" s="11">
        <v>0</v>
      </c>
      <c r="AU7" s="11">
        <v>65</v>
      </c>
      <c r="AV7" s="11">
        <v>0</v>
      </c>
      <c r="AW7" s="11">
        <v>50</v>
      </c>
      <c r="AX7" s="11">
        <v>49</v>
      </c>
      <c r="AY7" s="11">
        <v>0</v>
      </c>
      <c r="AZ7" s="11">
        <v>0</v>
      </c>
      <c r="BA7" s="11">
        <v>56</v>
      </c>
      <c r="BB7" s="11">
        <v>0</v>
      </c>
      <c r="BC7" s="11">
        <v>0</v>
      </c>
      <c r="BD7" s="11">
        <v>0</v>
      </c>
      <c r="BE7" s="11">
        <v>0</v>
      </c>
      <c r="BF7" s="11">
        <v>100</v>
      </c>
      <c r="BG7" s="11">
        <v>46</v>
      </c>
      <c r="BH7" s="11">
        <v>69</v>
      </c>
      <c r="BI7" s="11">
        <v>27</v>
      </c>
      <c r="BJ7" s="11">
        <v>13</v>
      </c>
      <c r="BK7" s="11">
        <v>68</v>
      </c>
      <c r="BL7" s="11">
        <v>43</v>
      </c>
      <c r="BM7" s="11">
        <v>0</v>
      </c>
      <c r="BN7" s="11">
        <f t="shared" si="9"/>
        <v>2184</v>
      </c>
    </row>
    <row r="8" spans="1:66" ht="39.950000000000003" customHeight="1" x14ac:dyDescent="0.25">
      <c r="A8" s="62"/>
      <c r="B8" s="7">
        <v>6</v>
      </c>
      <c r="C8" s="12" t="s">
        <v>73</v>
      </c>
      <c r="D8" s="12">
        <v>889000</v>
      </c>
      <c r="E8" s="11" t="s">
        <v>7</v>
      </c>
      <c r="F8" s="7">
        <f t="shared" si="8"/>
        <v>99600</v>
      </c>
      <c r="G8" s="8">
        <v>63829.8</v>
      </c>
      <c r="H8" s="10">
        <v>0.83620000000000005</v>
      </c>
      <c r="I8" s="5">
        <f t="shared" ref="I8:I13" si="10">G8*H8*F8</f>
        <v>5316098084.4960003</v>
      </c>
      <c r="J8" s="25">
        <f t="shared" si="0"/>
        <v>50800</v>
      </c>
      <c r="K8" s="34">
        <f t="shared" si="1"/>
        <v>2711423521.0080004</v>
      </c>
      <c r="L8" s="11">
        <f t="shared" si="2"/>
        <v>15800</v>
      </c>
      <c r="M8" s="34">
        <f t="shared" si="3"/>
        <v>843316764.40800011</v>
      </c>
      <c r="N8" s="25">
        <f t="shared" si="4"/>
        <v>33000</v>
      </c>
      <c r="O8" s="34">
        <f t="shared" si="5"/>
        <v>1761357799.0800002</v>
      </c>
      <c r="P8" s="11">
        <f t="shared" si="6"/>
        <v>99600</v>
      </c>
      <c r="Q8" s="38">
        <f t="shared" si="7"/>
        <v>5316098084.4960003</v>
      </c>
      <c r="R8" s="31">
        <v>4500</v>
      </c>
      <c r="S8" s="26">
        <v>2400</v>
      </c>
      <c r="T8" s="26">
        <v>2700</v>
      </c>
      <c r="U8" s="26">
        <v>4500</v>
      </c>
      <c r="V8" s="26">
        <v>4500</v>
      </c>
      <c r="W8" s="26">
        <v>1700</v>
      </c>
      <c r="X8" s="26">
        <v>1500</v>
      </c>
      <c r="Y8" s="26">
        <v>5000</v>
      </c>
      <c r="Z8" s="26">
        <v>5000</v>
      </c>
      <c r="AA8" s="26">
        <v>5000</v>
      </c>
      <c r="AB8" s="26">
        <v>1500</v>
      </c>
      <c r="AC8" s="26">
        <v>0</v>
      </c>
      <c r="AD8" s="26">
        <v>3000</v>
      </c>
      <c r="AE8" s="26">
        <v>4000</v>
      </c>
      <c r="AF8" s="26">
        <v>2500</v>
      </c>
      <c r="AG8" s="26">
        <v>0</v>
      </c>
      <c r="AH8" s="26">
        <v>3000</v>
      </c>
      <c r="AI8" s="26">
        <v>0</v>
      </c>
      <c r="AJ8" s="26">
        <v>0</v>
      </c>
      <c r="AK8" s="26">
        <v>0</v>
      </c>
      <c r="AL8" s="26">
        <v>2500</v>
      </c>
      <c r="AM8" s="26">
        <v>1300</v>
      </c>
      <c r="AN8" s="26">
        <v>0</v>
      </c>
      <c r="AO8" s="26">
        <v>4000</v>
      </c>
      <c r="AP8" s="26">
        <v>0</v>
      </c>
      <c r="AQ8" s="26">
        <v>3000</v>
      </c>
      <c r="AR8" s="26">
        <v>3000</v>
      </c>
      <c r="AS8" s="26">
        <v>0</v>
      </c>
      <c r="AT8" s="26">
        <v>0</v>
      </c>
      <c r="AU8" s="26">
        <v>2000</v>
      </c>
      <c r="AV8" s="26">
        <v>0</v>
      </c>
      <c r="AW8" s="26">
        <v>4000</v>
      </c>
      <c r="AX8" s="26">
        <v>4000</v>
      </c>
      <c r="AY8" s="26">
        <v>0</v>
      </c>
      <c r="AZ8" s="26">
        <v>0</v>
      </c>
      <c r="BA8" s="26">
        <v>2500</v>
      </c>
      <c r="BB8" s="26">
        <v>0</v>
      </c>
      <c r="BC8" s="26">
        <v>0</v>
      </c>
      <c r="BD8" s="26">
        <v>0</v>
      </c>
      <c r="BE8" s="26">
        <v>0</v>
      </c>
      <c r="BF8" s="26">
        <v>3000</v>
      </c>
      <c r="BG8" s="26">
        <v>3500</v>
      </c>
      <c r="BH8" s="26">
        <v>4500</v>
      </c>
      <c r="BI8" s="26">
        <v>3000</v>
      </c>
      <c r="BJ8" s="26">
        <v>1500</v>
      </c>
      <c r="BK8" s="26">
        <v>4000</v>
      </c>
      <c r="BL8" s="26">
        <v>3000</v>
      </c>
      <c r="BM8" s="26">
        <v>0</v>
      </c>
      <c r="BN8" s="11">
        <f t="shared" si="9"/>
        <v>99600</v>
      </c>
    </row>
    <row r="9" spans="1:66" ht="39.950000000000003" customHeight="1" x14ac:dyDescent="0.25">
      <c r="A9" s="62" t="s">
        <v>9</v>
      </c>
      <c r="B9" s="7">
        <v>7</v>
      </c>
      <c r="C9" s="12" t="s">
        <v>75</v>
      </c>
      <c r="D9" s="12">
        <v>6</v>
      </c>
      <c r="E9" s="11" t="s">
        <v>5</v>
      </c>
      <c r="F9" s="7">
        <f t="shared" si="8"/>
        <v>11</v>
      </c>
      <c r="G9" s="8">
        <v>85106383</v>
      </c>
      <c r="H9" s="9">
        <v>1</v>
      </c>
      <c r="I9" s="13">
        <f t="shared" si="10"/>
        <v>936170213</v>
      </c>
      <c r="J9" s="7">
        <f t="shared" si="0"/>
        <v>3</v>
      </c>
      <c r="K9" s="34">
        <f t="shared" si="1"/>
        <v>255319149</v>
      </c>
      <c r="L9" s="11">
        <f t="shared" si="2"/>
        <v>1</v>
      </c>
      <c r="M9" s="34">
        <f t="shared" si="3"/>
        <v>85106383</v>
      </c>
      <c r="N9" s="11">
        <f t="shared" si="4"/>
        <v>7</v>
      </c>
      <c r="O9" s="34">
        <f t="shared" si="5"/>
        <v>595744681</v>
      </c>
      <c r="P9" s="11">
        <f t="shared" si="6"/>
        <v>11</v>
      </c>
      <c r="Q9" s="38">
        <f t="shared" si="7"/>
        <v>936170213</v>
      </c>
      <c r="R9" s="30">
        <v>0</v>
      </c>
      <c r="S9" s="11">
        <v>0</v>
      </c>
      <c r="T9" s="11">
        <v>0</v>
      </c>
      <c r="U9" s="11">
        <v>0</v>
      </c>
      <c r="V9" s="11">
        <v>0</v>
      </c>
      <c r="W9" s="11">
        <v>0</v>
      </c>
      <c r="X9" s="11">
        <v>0</v>
      </c>
      <c r="Y9" s="11">
        <v>0</v>
      </c>
      <c r="Z9" s="11">
        <v>0</v>
      </c>
      <c r="AA9" s="11">
        <v>0</v>
      </c>
      <c r="AB9" s="11">
        <v>0</v>
      </c>
      <c r="AC9" s="11">
        <v>0</v>
      </c>
      <c r="AD9" s="11">
        <v>0</v>
      </c>
      <c r="AE9" s="11">
        <v>0</v>
      </c>
      <c r="AF9" s="11">
        <v>0</v>
      </c>
      <c r="AG9" s="11">
        <v>0</v>
      </c>
      <c r="AH9" s="11">
        <v>0</v>
      </c>
      <c r="AI9" s="11">
        <v>2</v>
      </c>
      <c r="AJ9" s="11">
        <v>1</v>
      </c>
      <c r="AK9" s="11">
        <v>0</v>
      </c>
      <c r="AL9" s="11">
        <v>0</v>
      </c>
      <c r="AM9" s="11">
        <v>0</v>
      </c>
      <c r="AN9" s="11">
        <v>1</v>
      </c>
      <c r="AO9" s="11">
        <v>0</v>
      </c>
      <c r="AP9" s="11">
        <v>0</v>
      </c>
      <c r="AQ9" s="11">
        <v>0</v>
      </c>
      <c r="AR9" s="11">
        <v>0</v>
      </c>
      <c r="AS9" s="11">
        <v>0</v>
      </c>
      <c r="AT9" s="11">
        <v>0</v>
      </c>
      <c r="AU9" s="11">
        <v>0</v>
      </c>
      <c r="AV9" s="11">
        <v>0</v>
      </c>
      <c r="AW9" s="11">
        <v>0</v>
      </c>
      <c r="AX9" s="11">
        <v>0</v>
      </c>
      <c r="AY9" s="11">
        <v>0</v>
      </c>
      <c r="AZ9" s="11">
        <v>0</v>
      </c>
      <c r="BA9" s="11">
        <v>0</v>
      </c>
      <c r="BB9" s="11">
        <v>1</v>
      </c>
      <c r="BC9" s="11">
        <v>1</v>
      </c>
      <c r="BD9" s="11">
        <v>1</v>
      </c>
      <c r="BE9" s="11">
        <v>2</v>
      </c>
      <c r="BF9" s="11">
        <v>0</v>
      </c>
      <c r="BG9" s="11">
        <v>0</v>
      </c>
      <c r="BH9" s="11">
        <v>0</v>
      </c>
      <c r="BI9" s="11">
        <v>0</v>
      </c>
      <c r="BJ9" s="11">
        <v>1</v>
      </c>
      <c r="BK9" s="11">
        <v>0</v>
      </c>
      <c r="BL9" s="11">
        <v>1</v>
      </c>
      <c r="BM9" s="11">
        <v>0</v>
      </c>
      <c r="BN9" s="11">
        <f t="shared" si="9"/>
        <v>11</v>
      </c>
    </row>
    <row r="10" spans="1:66" ht="39.950000000000003" customHeight="1" x14ac:dyDescent="0.25">
      <c r="A10" s="62"/>
      <c r="B10" s="7">
        <v>8</v>
      </c>
      <c r="C10" s="12" t="s">
        <v>74</v>
      </c>
      <c r="D10" s="12">
        <v>6</v>
      </c>
      <c r="E10" s="11" t="s">
        <v>5</v>
      </c>
      <c r="F10" s="7">
        <f t="shared" si="8"/>
        <v>10</v>
      </c>
      <c r="G10" s="8">
        <v>248226950.40000001</v>
      </c>
      <c r="H10" s="9">
        <v>1</v>
      </c>
      <c r="I10" s="13">
        <f t="shared" si="10"/>
        <v>2482269504</v>
      </c>
      <c r="J10" s="7">
        <f t="shared" si="0"/>
        <v>3</v>
      </c>
      <c r="K10" s="34">
        <f t="shared" si="1"/>
        <v>744680851.20000005</v>
      </c>
      <c r="L10" s="11">
        <f t="shared" si="2"/>
        <v>1</v>
      </c>
      <c r="M10" s="34">
        <f t="shared" si="3"/>
        <v>248226950.40000001</v>
      </c>
      <c r="N10" s="11">
        <f t="shared" si="4"/>
        <v>6</v>
      </c>
      <c r="O10" s="34">
        <f t="shared" si="5"/>
        <v>1489361702.4000001</v>
      </c>
      <c r="P10" s="11">
        <f t="shared" si="6"/>
        <v>10</v>
      </c>
      <c r="Q10" s="38">
        <f t="shared" si="7"/>
        <v>2482269504</v>
      </c>
      <c r="R10" s="30">
        <v>0</v>
      </c>
      <c r="S10" s="11">
        <v>0</v>
      </c>
      <c r="T10" s="11">
        <v>0</v>
      </c>
      <c r="U10" s="11">
        <v>0</v>
      </c>
      <c r="V10" s="11">
        <v>0</v>
      </c>
      <c r="W10" s="11">
        <v>0</v>
      </c>
      <c r="X10" s="11">
        <v>0</v>
      </c>
      <c r="Y10" s="11">
        <v>0</v>
      </c>
      <c r="Z10" s="11">
        <v>0</v>
      </c>
      <c r="AA10" s="11">
        <v>0</v>
      </c>
      <c r="AB10" s="11">
        <v>0</v>
      </c>
      <c r="AC10" s="11">
        <v>0</v>
      </c>
      <c r="AD10" s="11">
        <v>0</v>
      </c>
      <c r="AE10" s="11">
        <v>0</v>
      </c>
      <c r="AF10" s="11">
        <v>0</v>
      </c>
      <c r="AG10" s="11">
        <v>0</v>
      </c>
      <c r="AH10" s="11">
        <v>0</v>
      </c>
      <c r="AI10" s="11">
        <v>2</v>
      </c>
      <c r="AJ10" s="11">
        <v>1</v>
      </c>
      <c r="AK10" s="11">
        <v>0</v>
      </c>
      <c r="AL10" s="11">
        <v>0</v>
      </c>
      <c r="AM10" s="11">
        <v>0</v>
      </c>
      <c r="AN10" s="11">
        <v>1</v>
      </c>
      <c r="AO10" s="11">
        <v>0</v>
      </c>
      <c r="AP10" s="11">
        <v>0</v>
      </c>
      <c r="AQ10" s="11">
        <v>0</v>
      </c>
      <c r="AR10" s="11">
        <v>0</v>
      </c>
      <c r="AS10" s="11">
        <v>0</v>
      </c>
      <c r="AT10" s="11">
        <v>0</v>
      </c>
      <c r="AU10" s="11">
        <v>0</v>
      </c>
      <c r="AV10" s="11">
        <v>0</v>
      </c>
      <c r="AW10" s="11">
        <v>0</v>
      </c>
      <c r="AX10" s="11">
        <v>0</v>
      </c>
      <c r="AY10" s="11">
        <v>0</v>
      </c>
      <c r="AZ10" s="11">
        <v>0</v>
      </c>
      <c r="BA10" s="11">
        <v>0</v>
      </c>
      <c r="BB10" s="11">
        <v>1</v>
      </c>
      <c r="BC10" s="11">
        <v>1</v>
      </c>
      <c r="BD10" s="11">
        <v>1</v>
      </c>
      <c r="BE10" s="11">
        <v>1</v>
      </c>
      <c r="BF10" s="11">
        <v>0</v>
      </c>
      <c r="BG10" s="11">
        <v>0</v>
      </c>
      <c r="BH10" s="11">
        <v>0</v>
      </c>
      <c r="BI10" s="11">
        <v>0</v>
      </c>
      <c r="BJ10" s="11">
        <v>1</v>
      </c>
      <c r="BK10" s="11">
        <v>0</v>
      </c>
      <c r="BL10" s="11">
        <v>1</v>
      </c>
      <c r="BM10" s="11">
        <v>0</v>
      </c>
      <c r="BN10" s="11">
        <f t="shared" si="9"/>
        <v>10</v>
      </c>
    </row>
    <row r="11" spans="1:66" ht="39.950000000000003" customHeight="1" x14ac:dyDescent="0.25">
      <c r="A11" s="62"/>
      <c r="B11" s="7">
        <v>9</v>
      </c>
      <c r="C11" s="12" t="s">
        <v>76</v>
      </c>
      <c r="D11" s="12">
        <v>4</v>
      </c>
      <c r="E11" s="11" t="s">
        <v>5</v>
      </c>
      <c r="F11" s="7">
        <f t="shared" si="8"/>
        <v>14</v>
      </c>
      <c r="G11" s="8">
        <v>106382978.7</v>
      </c>
      <c r="H11" s="9">
        <v>1</v>
      </c>
      <c r="I11" s="6">
        <f t="shared" si="10"/>
        <v>1489361701.8</v>
      </c>
      <c r="J11" s="7">
        <f t="shared" si="0"/>
        <v>2</v>
      </c>
      <c r="K11" s="34">
        <f t="shared" si="1"/>
        <v>212765957.40000001</v>
      </c>
      <c r="L11" s="11">
        <f t="shared" si="2"/>
        <v>2</v>
      </c>
      <c r="M11" s="34">
        <f t="shared" si="3"/>
        <v>212765957.40000001</v>
      </c>
      <c r="N11" s="11">
        <f t="shared" si="4"/>
        <v>10</v>
      </c>
      <c r="O11" s="34">
        <f t="shared" si="5"/>
        <v>1063829787</v>
      </c>
      <c r="P11" s="11">
        <f t="shared" si="6"/>
        <v>14</v>
      </c>
      <c r="Q11" s="38">
        <f t="shared" si="7"/>
        <v>1489361701.8000002</v>
      </c>
      <c r="R11" s="30">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1</v>
      </c>
      <c r="AJ11" s="11">
        <v>1</v>
      </c>
      <c r="AK11" s="11">
        <v>0</v>
      </c>
      <c r="AL11" s="11">
        <v>0</v>
      </c>
      <c r="AM11" s="11">
        <v>0</v>
      </c>
      <c r="AN11" s="11">
        <v>2</v>
      </c>
      <c r="AO11" s="11">
        <v>0</v>
      </c>
      <c r="AP11" s="11">
        <v>0</v>
      </c>
      <c r="AQ11" s="11">
        <v>0</v>
      </c>
      <c r="AR11" s="11">
        <v>0</v>
      </c>
      <c r="AS11" s="11">
        <v>0</v>
      </c>
      <c r="AT11" s="11">
        <v>0</v>
      </c>
      <c r="AU11" s="11">
        <v>0</v>
      </c>
      <c r="AV11" s="11">
        <v>0</v>
      </c>
      <c r="AW11" s="11">
        <v>0</v>
      </c>
      <c r="AX11" s="11">
        <v>0</v>
      </c>
      <c r="AY11" s="11">
        <v>0</v>
      </c>
      <c r="AZ11" s="11">
        <v>0</v>
      </c>
      <c r="BA11" s="11">
        <v>0</v>
      </c>
      <c r="BB11" s="11">
        <v>4</v>
      </c>
      <c r="BC11" s="11">
        <v>4</v>
      </c>
      <c r="BD11" s="11">
        <v>1</v>
      </c>
      <c r="BE11" s="11">
        <v>1</v>
      </c>
      <c r="BF11" s="11">
        <v>0</v>
      </c>
      <c r="BG11" s="11">
        <v>0</v>
      </c>
      <c r="BH11" s="11">
        <v>0</v>
      </c>
      <c r="BI11" s="11">
        <v>0</v>
      </c>
      <c r="BJ11" s="11">
        <v>0</v>
      </c>
      <c r="BK11" s="11">
        <v>0</v>
      </c>
      <c r="BL11" s="11">
        <v>0</v>
      </c>
      <c r="BM11" s="11">
        <v>0</v>
      </c>
      <c r="BN11" s="11">
        <f t="shared" si="9"/>
        <v>14</v>
      </c>
    </row>
    <row r="12" spans="1:66" ht="39.950000000000003" customHeight="1" x14ac:dyDescent="0.25">
      <c r="A12" s="62"/>
      <c r="B12" s="7">
        <v>10</v>
      </c>
      <c r="C12" s="12" t="s">
        <v>77</v>
      </c>
      <c r="D12" s="12">
        <v>6</v>
      </c>
      <c r="E12" s="11" t="s">
        <v>5</v>
      </c>
      <c r="F12" s="7">
        <f t="shared" si="8"/>
        <v>5</v>
      </c>
      <c r="G12" s="8">
        <v>283687943.30000001</v>
      </c>
      <c r="H12" s="9">
        <v>1</v>
      </c>
      <c r="I12" s="5">
        <f t="shared" si="10"/>
        <v>1418439716.5</v>
      </c>
      <c r="J12" s="7">
        <f t="shared" si="0"/>
        <v>1</v>
      </c>
      <c r="K12" s="34">
        <f t="shared" si="1"/>
        <v>283687943.30000001</v>
      </c>
      <c r="L12" s="11">
        <f t="shared" si="2"/>
        <v>1</v>
      </c>
      <c r="M12" s="34">
        <f t="shared" si="3"/>
        <v>283687943.30000001</v>
      </c>
      <c r="N12" s="11">
        <f t="shared" si="4"/>
        <v>3</v>
      </c>
      <c r="O12" s="34">
        <f t="shared" si="5"/>
        <v>851063829.9000001</v>
      </c>
      <c r="P12" s="11">
        <f t="shared" si="6"/>
        <v>5</v>
      </c>
      <c r="Q12" s="38">
        <f t="shared" si="7"/>
        <v>1418439716.5</v>
      </c>
      <c r="R12" s="30">
        <v>0</v>
      </c>
      <c r="S12" s="11">
        <v>0</v>
      </c>
      <c r="T12" s="11">
        <v>0</v>
      </c>
      <c r="U12" s="11">
        <v>0</v>
      </c>
      <c r="V12" s="11">
        <v>0</v>
      </c>
      <c r="W12" s="11">
        <v>0</v>
      </c>
      <c r="X12" s="11">
        <v>0</v>
      </c>
      <c r="Y12" s="11">
        <v>0</v>
      </c>
      <c r="Z12" s="11">
        <v>0</v>
      </c>
      <c r="AA12" s="11">
        <v>0</v>
      </c>
      <c r="AB12" s="11">
        <v>0</v>
      </c>
      <c r="AC12" s="11">
        <v>0</v>
      </c>
      <c r="AD12" s="11">
        <v>0</v>
      </c>
      <c r="AE12" s="11">
        <v>0</v>
      </c>
      <c r="AF12" s="11">
        <v>0</v>
      </c>
      <c r="AG12" s="11">
        <v>0</v>
      </c>
      <c r="AH12" s="11">
        <v>0</v>
      </c>
      <c r="AI12" s="11">
        <v>1</v>
      </c>
      <c r="AJ12" s="11">
        <v>0</v>
      </c>
      <c r="AK12" s="11">
        <v>0</v>
      </c>
      <c r="AL12" s="11">
        <v>0</v>
      </c>
      <c r="AM12" s="11">
        <v>0</v>
      </c>
      <c r="AN12" s="11">
        <v>1</v>
      </c>
      <c r="AO12" s="11">
        <v>0</v>
      </c>
      <c r="AP12" s="11">
        <v>0</v>
      </c>
      <c r="AQ12" s="11">
        <v>0</v>
      </c>
      <c r="AR12" s="11">
        <v>0</v>
      </c>
      <c r="AS12" s="11">
        <v>0</v>
      </c>
      <c r="AT12" s="11">
        <v>0</v>
      </c>
      <c r="AU12" s="11">
        <v>0</v>
      </c>
      <c r="AV12" s="11">
        <v>0</v>
      </c>
      <c r="AW12" s="11">
        <v>0</v>
      </c>
      <c r="AX12" s="11">
        <v>0</v>
      </c>
      <c r="AY12" s="11">
        <v>0</v>
      </c>
      <c r="AZ12" s="11">
        <v>0</v>
      </c>
      <c r="BA12" s="11">
        <v>0</v>
      </c>
      <c r="BB12" s="11">
        <v>1</v>
      </c>
      <c r="BC12" s="11">
        <v>0</v>
      </c>
      <c r="BD12" s="11">
        <v>0</v>
      </c>
      <c r="BE12" s="11">
        <v>1</v>
      </c>
      <c r="BF12" s="11">
        <v>0</v>
      </c>
      <c r="BG12" s="11">
        <v>0</v>
      </c>
      <c r="BH12" s="11">
        <v>0</v>
      </c>
      <c r="BI12" s="11">
        <v>0</v>
      </c>
      <c r="BJ12" s="11">
        <v>0</v>
      </c>
      <c r="BK12" s="11">
        <v>0</v>
      </c>
      <c r="BL12" s="11">
        <v>1</v>
      </c>
      <c r="BM12" s="11">
        <v>0</v>
      </c>
      <c r="BN12" s="11">
        <f t="shared" si="9"/>
        <v>5</v>
      </c>
    </row>
    <row r="13" spans="1:66" ht="39.950000000000003" customHeight="1" x14ac:dyDescent="0.25">
      <c r="A13" s="62"/>
      <c r="B13" s="7">
        <v>11</v>
      </c>
      <c r="C13" s="12" t="s">
        <v>78</v>
      </c>
      <c r="D13" s="12">
        <v>4</v>
      </c>
      <c r="E13" s="11" t="s">
        <v>5</v>
      </c>
      <c r="F13" s="7">
        <f t="shared" si="8"/>
        <v>0</v>
      </c>
      <c r="G13" s="8">
        <v>244171265.59999999</v>
      </c>
      <c r="H13" s="9">
        <v>1</v>
      </c>
      <c r="I13" s="5">
        <f t="shared" si="10"/>
        <v>0</v>
      </c>
      <c r="J13" s="7">
        <f t="shared" si="0"/>
        <v>0</v>
      </c>
      <c r="K13" s="34">
        <f t="shared" si="1"/>
        <v>0</v>
      </c>
      <c r="L13" s="11">
        <f t="shared" si="2"/>
        <v>0</v>
      </c>
      <c r="M13" s="34">
        <f t="shared" si="3"/>
        <v>0</v>
      </c>
      <c r="N13" s="11">
        <f t="shared" si="4"/>
        <v>0</v>
      </c>
      <c r="O13" s="34">
        <f t="shared" si="5"/>
        <v>0</v>
      </c>
      <c r="P13" s="11">
        <f>N13+L13+J13</f>
        <v>0</v>
      </c>
      <c r="Q13" s="38"/>
      <c r="R13" s="30">
        <v>0</v>
      </c>
      <c r="S13" s="11">
        <v>0</v>
      </c>
      <c r="T13" s="11">
        <v>0</v>
      </c>
      <c r="U13" s="11">
        <v>0</v>
      </c>
      <c r="V13" s="11">
        <v>0</v>
      </c>
      <c r="W13" s="11">
        <v>0</v>
      </c>
      <c r="X13" s="11">
        <v>0</v>
      </c>
      <c r="Y13" s="11">
        <v>0</v>
      </c>
      <c r="Z13" s="11">
        <v>0</v>
      </c>
      <c r="AA13" s="11">
        <v>0</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f t="shared" si="9"/>
        <v>0</v>
      </c>
    </row>
    <row r="14" spans="1:66" ht="39.950000000000003" customHeight="1" thickBot="1" x14ac:dyDescent="0.3">
      <c r="A14" s="63" t="s">
        <v>36</v>
      </c>
      <c r="B14" s="64"/>
      <c r="C14" s="64"/>
      <c r="D14" s="64"/>
      <c r="E14" s="64"/>
      <c r="F14" s="64"/>
      <c r="G14" s="64"/>
      <c r="H14" s="64"/>
      <c r="I14" s="65"/>
      <c r="J14" s="32"/>
      <c r="K14" s="35">
        <f>SUM(K3:K13)</f>
        <v>17877391568.160206</v>
      </c>
      <c r="L14" s="35"/>
      <c r="M14" s="35">
        <f t="shared" ref="M14" si="11">SUM(M3:M13)</f>
        <v>7958813113.6069994</v>
      </c>
      <c r="N14" s="35"/>
      <c r="O14" s="35">
        <f>SUM(O3:O13)</f>
        <v>14213719671.875761</v>
      </c>
      <c r="P14" s="35"/>
      <c r="Q14" s="35">
        <f>SUM(Q3:Q13)</f>
        <v>40049924353.642967</v>
      </c>
      <c r="R14" s="66">
        <f>INT(SUM(I3:I13))</f>
        <v>40049924353</v>
      </c>
      <c r="S14" s="66"/>
      <c r="T14" s="66"/>
      <c r="U14" s="66"/>
      <c r="V14" s="66"/>
      <c r="W14" s="66"/>
      <c r="X14" s="66"/>
      <c r="Y14" s="66"/>
      <c r="Z14" s="66"/>
      <c r="AA14" s="66"/>
      <c r="AB14" s="66"/>
      <c r="AC14" s="66"/>
      <c r="AD14" s="66"/>
      <c r="AE14" s="66"/>
      <c r="AF14" s="66"/>
      <c r="AG14" s="66"/>
      <c r="AH14" s="66"/>
      <c r="AI14" s="66"/>
      <c r="AJ14" s="66"/>
      <c r="AK14" s="66"/>
    </row>
    <row r="15" spans="1:66" ht="39.950000000000003" customHeight="1" thickBot="1" x14ac:dyDescent="0.3">
      <c r="A15" s="56" t="s">
        <v>35</v>
      </c>
      <c r="B15" s="57"/>
      <c r="C15" s="57"/>
      <c r="D15" s="57"/>
      <c r="E15" s="57"/>
      <c r="F15" s="57"/>
      <c r="G15" s="57"/>
      <c r="H15" s="57"/>
      <c r="I15" s="58"/>
      <c r="J15" s="32"/>
      <c r="K15" s="35">
        <f>K14*1.41</f>
        <v>25207122111.105888</v>
      </c>
      <c r="L15" s="35"/>
      <c r="M15" s="35">
        <f t="shared" ref="M15:O15" si="12">M14*1.41</f>
        <v>11221926490.185869</v>
      </c>
      <c r="N15" s="35"/>
      <c r="O15" s="35">
        <f t="shared" si="12"/>
        <v>20041344737.344822</v>
      </c>
      <c r="P15" s="35"/>
      <c r="Q15" s="35">
        <f>Q14*1.41</f>
        <v>56470393338.636581</v>
      </c>
      <c r="R15" s="59">
        <f>R14*1.41</f>
        <v>56470393337.729996</v>
      </c>
      <c r="S15" s="59"/>
      <c r="T15" s="59"/>
      <c r="U15" s="59"/>
      <c r="V15" s="59"/>
      <c r="W15" s="59"/>
      <c r="X15" s="59"/>
      <c r="Y15" s="59"/>
      <c r="Z15" s="59"/>
      <c r="AA15" s="59"/>
      <c r="AB15" s="59"/>
      <c r="AC15" s="59"/>
      <c r="AD15" s="59"/>
      <c r="AE15" s="59"/>
      <c r="AF15" s="59"/>
      <c r="AG15" s="59"/>
      <c r="AH15" s="59"/>
      <c r="AI15" s="59"/>
      <c r="AJ15" s="59"/>
      <c r="AK15" s="59"/>
    </row>
    <row r="16" spans="1:66" ht="39.950000000000003" customHeight="1" thickBot="1" x14ac:dyDescent="0.3">
      <c r="A16" s="15"/>
      <c r="B16" s="16"/>
      <c r="C16" s="16"/>
      <c r="D16" s="16"/>
      <c r="E16" s="57" t="s">
        <v>67</v>
      </c>
      <c r="F16" s="57"/>
      <c r="G16" s="57"/>
      <c r="H16" s="57"/>
      <c r="I16" s="57"/>
      <c r="J16" s="33"/>
      <c r="K16" s="37"/>
      <c r="L16" s="37"/>
      <c r="M16" s="37">
        <v>472567126</v>
      </c>
      <c r="N16" s="37"/>
      <c r="O16" s="37"/>
      <c r="P16" s="37"/>
      <c r="Q16" s="37">
        <f>Q15+M16</f>
        <v>56942960464.636581</v>
      </c>
      <c r="R16" s="17"/>
      <c r="S16" s="17"/>
      <c r="T16" s="17"/>
      <c r="U16" s="17"/>
      <c r="V16" s="17"/>
      <c r="W16" s="17"/>
      <c r="X16" s="17"/>
      <c r="Y16" s="17"/>
      <c r="Z16" s="17"/>
      <c r="AA16" s="17"/>
      <c r="AB16" s="17"/>
      <c r="AC16" s="17"/>
      <c r="AD16" s="17"/>
      <c r="AE16" s="17"/>
      <c r="AF16" s="17"/>
      <c r="AG16" s="17"/>
      <c r="AH16" s="17"/>
      <c r="AI16" s="17"/>
      <c r="AJ16" s="17"/>
      <c r="AK16" s="17"/>
    </row>
    <row r="17" spans="1:66" ht="22.15" customHeight="1" x14ac:dyDescent="0.25">
      <c r="A17" s="69" t="s">
        <v>12</v>
      </c>
      <c r="B17" s="70"/>
      <c r="C17" s="70"/>
      <c r="D17" s="70"/>
      <c r="E17" s="70"/>
      <c r="F17" s="70"/>
      <c r="G17" s="70"/>
      <c r="H17" s="70"/>
      <c r="I17" s="71"/>
      <c r="J17" s="18"/>
      <c r="K17" s="18"/>
      <c r="L17" s="18"/>
      <c r="M17" s="18"/>
      <c r="N17" s="18"/>
      <c r="O17" s="18"/>
      <c r="P17" s="18"/>
      <c r="Q17" s="18"/>
      <c r="R17" s="78" t="s">
        <v>13</v>
      </c>
      <c r="S17" s="79"/>
      <c r="T17" s="79"/>
      <c r="U17" s="79"/>
      <c r="V17" s="79"/>
      <c r="W17" s="79"/>
      <c r="X17" s="79"/>
      <c r="Y17" s="79"/>
      <c r="Z17" s="79"/>
      <c r="AA17" s="79"/>
      <c r="AB17" s="79"/>
      <c r="AC17" s="79"/>
      <c r="AD17" s="79"/>
      <c r="AE17" s="79"/>
      <c r="AF17" s="79"/>
      <c r="AG17" s="79"/>
      <c r="AH17" s="79"/>
      <c r="AI17" s="79"/>
      <c r="AJ17" s="79"/>
      <c r="AK17" s="79"/>
    </row>
    <row r="18" spans="1:66" ht="22.15" customHeight="1" x14ac:dyDescent="0.25">
      <c r="A18" s="72"/>
      <c r="B18" s="73"/>
      <c r="C18" s="73"/>
      <c r="D18" s="73"/>
      <c r="E18" s="73"/>
      <c r="F18" s="73"/>
      <c r="G18" s="73"/>
      <c r="H18" s="73"/>
      <c r="I18" s="74"/>
      <c r="J18" s="19"/>
      <c r="K18" s="19"/>
      <c r="L18" s="19"/>
      <c r="M18" s="19"/>
      <c r="N18" s="19"/>
      <c r="O18" s="19"/>
      <c r="P18" s="19"/>
      <c r="Q18" s="19"/>
      <c r="R18" s="80"/>
      <c r="S18" s="81"/>
      <c r="T18" s="81"/>
      <c r="U18" s="81"/>
      <c r="V18" s="81"/>
      <c r="W18" s="81"/>
      <c r="X18" s="81"/>
      <c r="Y18" s="81"/>
      <c r="Z18" s="81"/>
      <c r="AA18" s="81"/>
      <c r="AB18" s="81"/>
      <c r="AC18" s="81"/>
      <c r="AD18" s="81"/>
      <c r="AE18" s="81"/>
      <c r="AF18" s="81"/>
      <c r="AG18" s="81"/>
      <c r="AH18" s="81"/>
      <c r="AI18" s="81"/>
      <c r="AJ18" s="81"/>
      <c r="AK18" s="81"/>
    </row>
    <row r="19" spans="1:66" ht="22.15" customHeight="1" x14ac:dyDescent="0.25">
      <c r="A19" s="72"/>
      <c r="B19" s="73"/>
      <c r="C19" s="73"/>
      <c r="D19" s="73"/>
      <c r="E19" s="73"/>
      <c r="F19" s="73"/>
      <c r="G19" s="73"/>
      <c r="H19" s="73"/>
      <c r="I19" s="74"/>
      <c r="J19" s="19"/>
      <c r="K19" s="19"/>
      <c r="L19" s="19"/>
      <c r="M19" s="19"/>
      <c r="N19" s="19"/>
      <c r="O19" s="19"/>
      <c r="P19" s="19"/>
      <c r="Q19" s="19"/>
      <c r="R19" s="80"/>
      <c r="S19" s="81"/>
      <c r="T19" s="81"/>
      <c r="U19" s="81"/>
      <c r="V19" s="81"/>
      <c r="W19" s="81"/>
      <c r="X19" s="81"/>
      <c r="Y19" s="81"/>
      <c r="Z19" s="81"/>
      <c r="AA19" s="81"/>
      <c r="AB19" s="81"/>
      <c r="AC19" s="81"/>
      <c r="AD19" s="81"/>
      <c r="AE19" s="81"/>
      <c r="AF19" s="81"/>
      <c r="AG19" s="81"/>
      <c r="AH19" s="81"/>
      <c r="AI19" s="81"/>
      <c r="AJ19" s="81"/>
      <c r="AK19" s="81"/>
    </row>
    <row r="20" spans="1:66" ht="22.15" customHeight="1" x14ac:dyDescent="0.25">
      <c r="A20" s="72"/>
      <c r="B20" s="73"/>
      <c r="C20" s="73"/>
      <c r="D20" s="73"/>
      <c r="E20" s="73"/>
      <c r="F20" s="73"/>
      <c r="G20" s="73"/>
      <c r="H20" s="73"/>
      <c r="I20" s="74"/>
      <c r="J20" s="19"/>
      <c r="K20" s="19"/>
      <c r="L20" s="19"/>
      <c r="M20" s="19"/>
      <c r="N20" s="19"/>
      <c r="O20" s="19"/>
      <c r="P20" s="19"/>
      <c r="Q20" s="19"/>
      <c r="R20" s="80"/>
      <c r="S20" s="81"/>
      <c r="T20" s="81"/>
      <c r="U20" s="81"/>
      <c r="V20" s="81"/>
      <c r="W20" s="81"/>
      <c r="X20" s="81"/>
      <c r="Y20" s="81"/>
      <c r="Z20" s="81"/>
      <c r="AA20" s="81"/>
      <c r="AB20" s="81"/>
      <c r="AC20" s="81"/>
      <c r="AD20" s="81"/>
      <c r="AE20" s="81"/>
      <c r="AF20" s="81"/>
      <c r="AG20" s="81"/>
      <c r="AH20" s="81"/>
      <c r="AI20" s="81"/>
      <c r="AJ20" s="81"/>
      <c r="AK20" s="81"/>
    </row>
    <row r="21" spans="1:66" ht="157.9" customHeight="1" thickBot="1" x14ac:dyDescent="0.3">
      <c r="A21" s="75"/>
      <c r="B21" s="76"/>
      <c r="C21" s="76"/>
      <c r="D21" s="76"/>
      <c r="E21" s="76"/>
      <c r="F21" s="76"/>
      <c r="G21" s="76"/>
      <c r="H21" s="76"/>
      <c r="I21" s="77"/>
      <c r="J21" s="20"/>
      <c r="K21" s="20"/>
      <c r="L21" s="20"/>
      <c r="M21" s="20"/>
      <c r="N21" s="20"/>
      <c r="O21" s="20"/>
      <c r="P21" s="20"/>
      <c r="Q21" s="20"/>
      <c r="R21" s="82"/>
      <c r="S21" s="83"/>
      <c r="T21" s="83"/>
      <c r="U21" s="83"/>
      <c r="V21" s="83"/>
      <c r="W21" s="83"/>
      <c r="X21" s="83"/>
      <c r="Y21" s="83"/>
      <c r="Z21" s="83"/>
      <c r="AA21" s="83"/>
      <c r="AB21" s="83"/>
      <c r="AC21" s="83"/>
      <c r="AD21" s="83"/>
      <c r="AE21" s="83"/>
      <c r="AF21" s="83"/>
      <c r="AG21" s="83"/>
      <c r="AH21" s="83"/>
      <c r="AI21" s="83"/>
      <c r="AJ21" s="83"/>
      <c r="AK21" s="83"/>
    </row>
    <row r="22" spans="1:66" ht="22.15" customHeight="1" x14ac:dyDescent="0.25">
      <c r="A22" s="3"/>
      <c r="B22" s="3"/>
      <c r="C22" s="3"/>
      <c r="D22" s="3"/>
      <c r="E22" s="3"/>
      <c r="F22" s="3"/>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row>
    <row r="23" spans="1:66" ht="22.15" customHeight="1" x14ac:dyDescent="0.25">
      <c r="A23" s="3"/>
      <c r="B23" s="3"/>
      <c r="C23" s="3"/>
      <c r="D23" s="3"/>
      <c r="E23" s="3"/>
      <c r="F23" s="3"/>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W23" s="4"/>
      <c r="AX23" s="4"/>
      <c r="AY23" s="4"/>
      <c r="AZ23" s="4"/>
      <c r="BA23" s="4"/>
      <c r="BB23" s="4"/>
      <c r="BC23" s="4"/>
      <c r="BD23" s="4"/>
      <c r="BE23" s="4"/>
      <c r="BF23" s="4"/>
      <c r="BG23" s="4"/>
      <c r="BH23" s="4"/>
      <c r="BI23" s="4"/>
      <c r="BJ23" s="4"/>
      <c r="BK23" s="4"/>
      <c r="BL23" s="4"/>
      <c r="BM23" s="4"/>
      <c r="BN23" s="4"/>
    </row>
    <row r="24" spans="1:66" ht="24" x14ac:dyDescent="0.25">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ht="24" x14ac:dyDescent="0.25">
      <c r="AL25" s="4"/>
      <c r="AM25" s="4"/>
      <c r="AN25" s="4"/>
      <c r="AO25" s="4"/>
      <c r="AP25" s="4"/>
      <c r="AQ25" s="4"/>
      <c r="AR25" s="4"/>
      <c r="AS25" s="4"/>
      <c r="AT25" s="4"/>
      <c r="AU25" s="4"/>
      <c r="AV25" s="4"/>
    </row>
  </sheetData>
  <mergeCells count="17">
    <mergeCell ref="A15:I15"/>
    <mergeCell ref="R15:AK15"/>
    <mergeCell ref="E16:I16"/>
    <mergeCell ref="A17:I21"/>
    <mergeCell ref="R17:AK21"/>
    <mergeCell ref="AW1:BM1"/>
    <mergeCell ref="A2:C2"/>
    <mergeCell ref="A4:A8"/>
    <mergeCell ref="A9:A13"/>
    <mergeCell ref="A14:I14"/>
    <mergeCell ref="R14:AK14"/>
    <mergeCell ref="J1:K1"/>
    <mergeCell ref="L1:M1"/>
    <mergeCell ref="N1:O1"/>
    <mergeCell ref="P1:Q1"/>
    <mergeCell ref="R1:AK1"/>
    <mergeCell ref="AL1:AV1"/>
  </mergeCells>
  <printOptions horizontalCentered="1" verticalCentered="1"/>
  <pageMargins left="0.1" right="0.1" top="0.1" bottom="0.1" header="0.1" footer="0.1"/>
  <pageSetup paperSize="9" scale="2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1404159725 (3)</vt:lpstr>
      <vt:lpstr>1404159725 (2)</vt:lpstr>
      <vt:lpstr>'1404159725 (2)'!Print_Area</vt:lpstr>
      <vt:lpstr>'1404159725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Takin sazeh 2</dc:creator>
  <cp:lastModifiedBy>mahdi nassri</cp:lastModifiedBy>
  <cp:lastPrinted>2026-06-21T08:15:31Z</cp:lastPrinted>
  <dcterms:created xsi:type="dcterms:W3CDTF">2024-07-20T07:42:08Z</dcterms:created>
  <dcterms:modified xsi:type="dcterms:W3CDTF">2026-07-07T18:20:39Z</dcterms:modified>
</cp:coreProperties>
</file>