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پمپاژ حامد صفر پور\قابل پرداخت صفر پور\"/>
    </mc:Choice>
  </mc:AlternateContent>
  <bookViews>
    <workbookView xWindow="-120" yWindow="-120" windowWidth="21840" windowHeight="13140" tabRatio="873" activeTab="4"/>
  </bookViews>
  <sheets>
    <sheet name="حجت 1" sheetId="44" r:id="rId1"/>
    <sheet name="سپاد3" sheetId="43" r:id="rId2"/>
    <sheet name="اسلام آباد12" sheetId="42" r:id="rId3"/>
    <sheet name="امام رضا19" sheetId="41" r:id="rId4"/>
    <sheet name="total" sheetId="8" r:id="rId5"/>
    <sheet name="Sheet1" sheetId="45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2" i="8" l="1"/>
  <c r="N9" i="8"/>
  <c r="N13" i="8" s="1"/>
  <c r="N17" i="8" s="1"/>
  <c r="K13" i="8"/>
  <c r="J9" i="8" l="1"/>
  <c r="J13" i="8" s="1"/>
  <c r="M12" i="8"/>
  <c r="M13" i="8" s="1"/>
  <c r="M17" i="8" s="1"/>
  <c r="L12" i="8"/>
  <c r="J12" i="8"/>
  <c r="L9" i="8"/>
  <c r="L13" i="8" s="1"/>
  <c r="H7" i="8"/>
  <c r="I7" i="8" s="1"/>
  <c r="J17" i="8" l="1"/>
  <c r="J12" i="44" l="1"/>
  <c r="I12" i="44"/>
  <c r="G12" i="44"/>
  <c r="F12" i="44"/>
  <c r="E12" i="44"/>
  <c r="D12" i="44"/>
  <c r="C12" i="44" s="1"/>
  <c r="J11" i="44"/>
  <c r="I11" i="44"/>
  <c r="G11" i="44"/>
  <c r="F11" i="44"/>
  <c r="D11" i="44" s="1"/>
  <c r="C11" i="44" s="1"/>
  <c r="E11" i="44"/>
  <c r="J10" i="44"/>
  <c r="I10" i="44"/>
  <c r="G10" i="44"/>
  <c r="F10" i="44"/>
  <c r="D10" i="44" s="1"/>
  <c r="C10" i="44" s="1"/>
  <c r="E10" i="44"/>
  <c r="J9" i="44"/>
  <c r="I9" i="44"/>
  <c r="G9" i="44"/>
  <c r="F9" i="44"/>
  <c r="E9" i="44"/>
  <c r="D9" i="44" s="1"/>
  <c r="C9" i="44" s="1"/>
  <c r="J8" i="44"/>
  <c r="I8" i="44"/>
  <c r="G8" i="44"/>
  <c r="F8" i="44"/>
  <c r="D8" i="44" s="1"/>
  <c r="C8" i="44" s="1"/>
  <c r="E8" i="44"/>
  <c r="K17" i="8" l="1"/>
  <c r="I17" i="8" s="1"/>
  <c r="L17" i="8"/>
  <c r="H4" i="8"/>
  <c r="I4" i="8" s="1"/>
  <c r="H5" i="8"/>
  <c r="I5" i="8" s="1"/>
  <c r="H6" i="8"/>
  <c r="I6" i="8" s="1"/>
  <c r="H8" i="8"/>
  <c r="I8" i="8" s="1"/>
  <c r="H9" i="8"/>
  <c r="I9" i="8" s="1"/>
  <c r="H11" i="8"/>
  <c r="I11" i="8" s="1"/>
  <c r="H12" i="8"/>
  <c r="I12" i="8" s="1"/>
  <c r="H3" i="8"/>
  <c r="I3" i="8" s="1"/>
  <c r="J18" i="8" l="1"/>
  <c r="C5" i="45" s="1"/>
  <c r="E5" i="45" s="1"/>
  <c r="J14" i="43"/>
  <c r="I14" i="43"/>
  <c r="G14" i="43"/>
  <c r="F14" i="43"/>
  <c r="E14" i="43"/>
  <c r="D14" i="43" s="1"/>
  <c r="C14" i="43" s="1"/>
  <c r="J13" i="43"/>
  <c r="I13" i="43"/>
  <c r="G13" i="43"/>
  <c r="F13" i="43"/>
  <c r="E13" i="43"/>
  <c r="D13" i="43" s="1"/>
  <c r="C13" i="43" s="1"/>
  <c r="J12" i="43"/>
  <c r="I12" i="43"/>
  <c r="F12" i="43" s="1"/>
  <c r="G12" i="43"/>
  <c r="J11" i="43"/>
  <c r="I11" i="43"/>
  <c r="F11" i="43" s="1"/>
  <c r="G11" i="43"/>
  <c r="J10" i="43"/>
  <c r="I10" i="43"/>
  <c r="E10" i="43" s="1"/>
  <c r="G10" i="43"/>
  <c r="J9" i="43"/>
  <c r="I9" i="43"/>
  <c r="F9" i="43" s="1"/>
  <c r="G9" i="43"/>
  <c r="J8" i="43"/>
  <c r="I8" i="43"/>
  <c r="F8" i="43" s="1"/>
  <c r="G8" i="43"/>
  <c r="J14" i="42"/>
  <c r="I14" i="42"/>
  <c r="G14" i="42"/>
  <c r="F14" i="42"/>
  <c r="E14" i="42"/>
  <c r="J13" i="42"/>
  <c r="I13" i="42"/>
  <c r="F13" i="42" s="1"/>
  <c r="G13" i="42"/>
  <c r="J12" i="42"/>
  <c r="I12" i="42"/>
  <c r="F12" i="42" s="1"/>
  <c r="G12" i="42"/>
  <c r="J11" i="42"/>
  <c r="I11" i="42"/>
  <c r="E11" i="42" s="1"/>
  <c r="G11" i="42"/>
  <c r="F11" i="42"/>
  <c r="J10" i="42"/>
  <c r="I10" i="42"/>
  <c r="E10" i="42" s="1"/>
  <c r="G10" i="42"/>
  <c r="J9" i="42"/>
  <c r="I9" i="42"/>
  <c r="F9" i="42" s="1"/>
  <c r="G9" i="42"/>
  <c r="J8" i="42"/>
  <c r="I8" i="42"/>
  <c r="F8" i="42" s="1"/>
  <c r="G8" i="42"/>
  <c r="J13" i="41"/>
  <c r="I13" i="41"/>
  <c r="E13" i="41" s="1"/>
  <c r="G13" i="41"/>
  <c r="J14" i="41"/>
  <c r="I14" i="41"/>
  <c r="G14" i="41"/>
  <c r="F14" i="41"/>
  <c r="E14" i="41"/>
  <c r="D14" i="41" s="1"/>
  <c r="C14" i="41" s="1"/>
  <c r="J12" i="41"/>
  <c r="I12" i="41"/>
  <c r="F12" i="41" s="1"/>
  <c r="G12" i="41"/>
  <c r="J11" i="41"/>
  <c r="I11" i="41"/>
  <c r="E11" i="41" s="1"/>
  <c r="G11" i="41"/>
  <c r="J10" i="41"/>
  <c r="I10" i="41"/>
  <c r="F10" i="41" s="1"/>
  <c r="G10" i="41"/>
  <c r="J9" i="41"/>
  <c r="I9" i="41"/>
  <c r="E9" i="41" s="1"/>
  <c r="G9" i="41"/>
  <c r="J8" i="41"/>
  <c r="I8" i="41"/>
  <c r="F8" i="41" s="1"/>
  <c r="G8" i="41"/>
  <c r="F10" i="43" l="1"/>
  <c r="D10" i="43" s="1"/>
  <c r="C10" i="43" s="1"/>
  <c r="E9" i="43"/>
  <c r="D9" i="43" s="1"/>
  <c r="C9" i="43" s="1"/>
  <c r="E11" i="43"/>
  <c r="D11" i="43" s="1"/>
  <c r="C11" i="43" s="1"/>
  <c r="E8" i="43"/>
  <c r="D8" i="43" s="1"/>
  <c r="C8" i="43" s="1"/>
  <c r="E12" i="43"/>
  <c r="D12" i="43" s="1"/>
  <c r="C12" i="43" s="1"/>
  <c r="D14" i="42"/>
  <c r="C14" i="42" s="1"/>
  <c r="E13" i="42"/>
  <c r="D13" i="42" s="1"/>
  <c r="C13" i="42" s="1"/>
  <c r="D11" i="42"/>
  <c r="C11" i="42" s="1"/>
  <c r="F10" i="42"/>
  <c r="D10" i="42" s="1"/>
  <c r="C10" i="42" s="1"/>
  <c r="E9" i="42"/>
  <c r="D9" i="42" s="1"/>
  <c r="C9" i="42" s="1"/>
  <c r="E8" i="42"/>
  <c r="D8" i="42" s="1"/>
  <c r="C8" i="42" s="1"/>
  <c r="E12" i="42"/>
  <c r="D12" i="42" s="1"/>
  <c r="C12" i="42" s="1"/>
  <c r="F13" i="41"/>
  <c r="D13" i="41" s="1"/>
  <c r="C13" i="41" s="1"/>
  <c r="E12" i="41"/>
  <c r="D12" i="41" s="1"/>
  <c r="C12" i="41" s="1"/>
  <c r="F9" i="41"/>
  <c r="D9" i="41" s="1"/>
  <c r="C9" i="41" s="1"/>
  <c r="E8" i="41"/>
  <c r="D8" i="41" s="1"/>
  <c r="C8" i="41" s="1"/>
  <c r="E10" i="41"/>
  <c r="D10" i="41" s="1"/>
  <c r="C10" i="41" s="1"/>
  <c r="F11" i="41"/>
  <c r="D11" i="41" s="1"/>
  <c r="C11" i="41" s="1"/>
</calcChain>
</file>

<file path=xl/sharedStrings.xml><?xml version="1.0" encoding="utf-8"?>
<sst xmlns="http://schemas.openxmlformats.org/spreadsheetml/2006/main" count="197" uniqueCount="111">
  <si>
    <t>ردیف</t>
  </si>
  <si>
    <t>شرح عملیات</t>
  </si>
  <si>
    <t>واحد</t>
  </si>
  <si>
    <t>بهای واحد(ریال)</t>
  </si>
  <si>
    <t>مقدار</t>
  </si>
  <si>
    <t>بهای کل(ریال)</t>
  </si>
  <si>
    <t>شماره</t>
  </si>
  <si>
    <t>حلقه چاه</t>
  </si>
  <si>
    <t>کیلومتر</t>
  </si>
  <si>
    <t>ساعت</t>
  </si>
  <si>
    <t>جمع کل</t>
  </si>
  <si>
    <t>ضریب بالا سری</t>
  </si>
  <si>
    <t>ضریب منطقه ای</t>
  </si>
  <si>
    <t>جمع کل پس از اعمال ضرایب (ریال)</t>
  </si>
  <si>
    <t>ضریب پیمان</t>
  </si>
  <si>
    <t>نماینده کارفرما</t>
  </si>
  <si>
    <t>نماینده دستگاه نظارت</t>
  </si>
  <si>
    <t>نماینده پیمانکار</t>
  </si>
  <si>
    <t>ساعت پایان: 12:00</t>
  </si>
  <si>
    <t>ساعت شروع: 18:00</t>
  </si>
  <si>
    <t>راندمان</t>
  </si>
  <si>
    <t>افت محاسبه ای</t>
  </si>
  <si>
    <t>افت شبکه</t>
  </si>
  <si>
    <t>افت سفره</t>
  </si>
  <si>
    <t>Sp. Cap</t>
  </si>
  <si>
    <t xml:space="preserve">آبدهی
(l/s) </t>
  </si>
  <si>
    <t>دبی متر مکعب بر دقیقه</t>
  </si>
  <si>
    <t>افت</t>
  </si>
  <si>
    <t>سطح پويايي
(m)</t>
  </si>
  <si>
    <t>دور موتور</t>
  </si>
  <si>
    <t>سطح ایستایی</t>
  </si>
  <si>
    <t xml:space="preserve">كارکرد 1 </t>
  </si>
  <si>
    <t>كارکرد 2</t>
  </si>
  <si>
    <t>كارکرد 3</t>
  </si>
  <si>
    <t>كارکرد 4</t>
  </si>
  <si>
    <t>كارکرد 5</t>
  </si>
  <si>
    <t>نماینده دفتر پشتیبانی برق و تجهیزات</t>
  </si>
  <si>
    <t>نصب لوله ترمی: انجام شد</t>
  </si>
  <si>
    <t>نماینده مرکز آبرسانی:</t>
  </si>
  <si>
    <t>ضریب افت شبکه:</t>
  </si>
  <si>
    <t>ضریب افت سفره:</t>
  </si>
  <si>
    <t>ساعت خاموشی: 0 ساعت</t>
  </si>
  <si>
    <t>كارکرد 6</t>
  </si>
  <si>
    <t>كارکرد 7</t>
  </si>
  <si>
    <t>ساعت شروع: 11:00</t>
  </si>
  <si>
    <t>ساعت شروع: 14:00</t>
  </si>
  <si>
    <t>متر</t>
  </si>
  <si>
    <t xml:space="preserve">مبلغ ناویژه وضعیت </t>
  </si>
  <si>
    <t>صورتجلسه (آزمایش پمپاژ چاه حجت1) بر اساس فهرست بهای چاه سال 1404</t>
  </si>
  <si>
    <t>عمق نصب پمپ: 240 متر</t>
  </si>
  <si>
    <t>صورتجلسه (آزمایش پمپاژ چاه سپاد3) بر اساس فهرست بهای چاه سال 1404</t>
  </si>
  <si>
    <t>سیدمحمد حسینی- حامد صفرپور</t>
  </si>
  <si>
    <t>سیدمحمد حسینی - حامد صفرپور</t>
  </si>
  <si>
    <t>عمق نصب پمپ: 244 متر</t>
  </si>
  <si>
    <t>کل ساعت کارکرد:239.5ساعت</t>
  </si>
  <si>
    <t>عمق نصب پمپ: 234 متر</t>
  </si>
  <si>
    <t>تاریخ اتمام کار:1404/05/29</t>
  </si>
  <si>
    <t>شماره و تاریخ قرارداد: 140471155 و 1404/05/19</t>
  </si>
  <si>
    <t>تاریخ شروع کار: 1404/05/19</t>
  </si>
  <si>
    <t>صورتجلسه (آزمایش پمپاژ چاه اسلام آباد12 ) بر اساس فهرست بهای چاه سال 1404</t>
  </si>
  <si>
    <t>عمق نصب پمپ: 126.5 متر</t>
  </si>
  <si>
    <t>کل ساعت کارکرد:73 ساعت</t>
  </si>
  <si>
    <r>
      <t>کل ساعت کارکرد:</t>
    </r>
    <r>
      <rPr>
        <sz val="11"/>
        <color rgb="FFFF0000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scheme val="minor"/>
      </rPr>
      <t>114 ساعت</t>
    </r>
  </si>
  <si>
    <t>صورتجلسه (آزمایش پمپاژ چاه امام رضا19 ) بر اساس فهرست بهای چاه سال 1404</t>
  </si>
  <si>
    <t>نصب لوله ترمی و سطح سنج لاگدار: انجام نشد</t>
  </si>
  <si>
    <t>تاریخ اتمام کار:1404/06/5</t>
  </si>
  <si>
    <t>ساعت پایان: 18:00</t>
  </si>
  <si>
    <t>کل ساعت کارکرد:408 ساعت</t>
  </si>
  <si>
    <t>ساعت پایان: 13:30</t>
  </si>
  <si>
    <t>تاریخ شروع کار: 1404/05/29</t>
  </si>
  <si>
    <t>تاریخ اتمام کار:1404/06/01</t>
  </si>
  <si>
    <t>تاریخ شروع کار: 1404/06/02</t>
  </si>
  <si>
    <t>تاریخ اتمام کار:1404/06/07</t>
  </si>
  <si>
    <t>ساعت شروع: 18:30</t>
  </si>
  <si>
    <t>ساعت پایان: 12:30</t>
  </si>
  <si>
    <t>امام رضا19</t>
  </si>
  <si>
    <t>اسلام آباد12</t>
  </si>
  <si>
    <t>سپاد3</t>
  </si>
  <si>
    <t>حجت 1</t>
  </si>
  <si>
    <t>صورت وضعیت</t>
  </si>
  <si>
    <t>مبلغ صورت وضعیت قبلی (ریال)</t>
  </si>
  <si>
    <t>مبلغ صورت وضعیت تاکنون (ریال)</t>
  </si>
  <si>
    <t>توضیحات</t>
  </si>
  <si>
    <t>کارکرد 1</t>
  </si>
  <si>
    <t>پیمانکار</t>
  </si>
  <si>
    <t>مبلغ ناویژه وضعیت (ریال)</t>
  </si>
  <si>
    <t>شماره و تاریخ قرارداد: 140471155 و 1404/05/19- وضعیت 1- موضوع آزمایش پمپاژ چاه های تحت پوشش شرکت آب و فاضلاب مشهد</t>
  </si>
  <si>
    <t>وزارت نیرو</t>
  </si>
  <si>
    <t>شرکت آب و فاضلاب مشهد(سهامی خاص)</t>
  </si>
  <si>
    <t>پیمانکار: شخص حقیقی سید محمد حسینی</t>
  </si>
  <si>
    <t xml:space="preserve"> تجهيز و برچيدن کارگاه براي آزمايش پمپاژ يا چاه پيمايي.</t>
  </si>
  <si>
    <t xml:space="preserve"> حمل وسايل و متعلقات آزمايش پمپاژ و پرسنل مربوط در جاده هاي آسفالتي براي هر دستگاه.</t>
  </si>
  <si>
    <t xml:space="preserve"> حمل وسايل و متعلقات آزمايش پمپاژ و پرسنل مربوط در جاده هاي خاکي براي هر دستگاه.</t>
  </si>
  <si>
    <t xml:space="preserve"> تهيه، نصب و بيرون کشيدن موتور پمپ آزمايش توربيني 8 اينچ، با قدرت کافي و تجهيزات لازم، تا عمق 200 متر.</t>
  </si>
  <si>
    <t>اضافه بها به ردیف 060806 جهت تهیه، نصب و بیرون کشیدن موتور پمپ آزمایشی توربینی 8 اینچ برای عمق بیشتر از 200 متر</t>
  </si>
  <si>
    <t xml:space="preserve"> شست و شوي چاه با موتور پمپ آزمايشي توربيني 6 يا 8 اينچ، با قدرت کافي، تا عمق 200 متر.</t>
  </si>
  <si>
    <t xml:space="preserve">اضافه بها به ردیف 60902 جهت شست و شوی چاه  برای عمق بیش از 200 متر_x000D_
</t>
  </si>
  <si>
    <t xml:space="preserve"> آزمايش پمپاژ چاه براي تعيين ضرايب هيدروديناميک، با پمپ توربيني 6 يا 8 اينچ، تا عمق 200 متر.</t>
  </si>
  <si>
    <t xml:space="preserve">اضافه بها به ردیف 061002 جهت تعیین ضرایب هیدرودینامیک برای عمق بیش از 200 متر_x000D_
</t>
  </si>
  <si>
    <t>010401</t>
  </si>
  <si>
    <t>010901</t>
  </si>
  <si>
    <t>010902</t>
  </si>
  <si>
    <t>060806</t>
  </si>
  <si>
    <t>060819</t>
  </si>
  <si>
    <t>060902</t>
  </si>
  <si>
    <t>060907</t>
  </si>
  <si>
    <t>061002</t>
  </si>
  <si>
    <t>061009</t>
  </si>
  <si>
    <t>شماره و تاریخ قرارداد: 140471155 و 1404/05/19- صورت وضعیت شماره 1و 2</t>
  </si>
  <si>
    <t>امامیه 16</t>
  </si>
  <si>
    <t>خاموش بودن مجاز دستگاه پمپاژ (با تایید کارفرما به دلیل مشکلات شهری و اجتماعی)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</si>
</sst>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#,##0.0000"/>
    <numFmt numFmtId="165" formatCode="0.0"/>
    <numFmt numFmtId="166" formatCode="0.0000"/>
    <numFmt numFmtId="167" formatCode="0.000"/>
  </numFmts>
  <fonts count="23"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4"/>
      <color theme="1"/>
      <name val="Arial"/>
      <family val="2"/>
      <scheme val="minor"/>
    </font>
    <font>
      <b/>
      <sz val="11"/>
      <color theme="1"/>
      <name val="2  Titr"/>
      <charset val="178"/>
    </font>
    <font>
      <sz val="10"/>
      <color theme="1"/>
      <name val="B Nazanin"/>
      <charset val="178"/>
    </font>
    <font>
      <sz val="11"/>
      <color theme="1"/>
      <name val="B Badr"/>
      <charset val="178"/>
    </font>
    <font>
      <sz val="12"/>
      <color theme="1"/>
      <name val="B Badr"/>
      <charset val="178"/>
    </font>
    <font>
      <sz val="14"/>
      <color theme="1"/>
      <name val="Arial"/>
      <family val="2"/>
    </font>
    <font>
      <sz val="18"/>
      <color theme="1"/>
      <name val="Arial"/>
      <family val="2"/>
      <scheme val="minor"/>
    </font>
    <font>
      <b/>
      <sz val="16"/>
      <color theme="1"/>
      <name val="B Badr"/>
      <charset val="178"/>
    </font>
    <font>
      <b/>
      <sz val="18"/>
      <color theme="1"/>
      <name val="B Badr"/>
      <charset val="178"/>
    </font>
    <font>
      <sz val="16"/>
      <color theme="1"/>
      <name val="B Badr"/>
      <charset val="178"/>
    </font>
    <font>
      <sz val="10"/>
      <name val="Arial"/>
      <family val="2"/>
    </font>
    <font>
      <b/>
      <sz val="10"/>
      <name val="B Mitra"/>
      <charset val="178"/>
    </font>
    <font>
      <b/>
      <sz val="12"/>
      <name val="B Mitra"/>
      <charset val="178"/>
    </font>
    <font>
      <sz val="12"/>
      <name val="B Mitra"/>
      <charset val="178"/>
    </font>
    <font>
      <sz val="11"/>
      <color theme="1"/>
      <name val="B Nazanin"/>
      <charset val="178"/>
    </font>
    <font>
      <sz val="11"/>
      <color rgb="FFFF0000"/>
      <name val="Arial"/>
      <family val="2"/>
      <scheme val="minor"/>
    </font>
    <font>
      <sz val="26"/>
      <color theme="1"/>
      <name val="Arial"/>
      <family val="2"/>
      <scheme val="minor"/>
    </font>
    <font>
      <b/>
      <sz val="20"/>
      <color theme="1"/>
      <name val="B Badr"/>
      <charset val="178"/>
    </font>
    <font>
      <sz val="14"/>
      <color theme="1"/>
      <name val="B Badr"/>
      <charset val="178"/>
    </font>
    <font>
      <b/>
      <sz val="26"/>
      <color theme="1"/>
      <name val="B Badr"/>
      <charset val="178"/>
    </font>
    <font>
      <b/>
      <sz val="36"/>
      <color theme="1"/>
      <name val="B Badr"/>
      <charset val="178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5" tint="0.59999389629810485"/>
        <bgColor rgb="FF000000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2" fillId="0" borderId="0"/>
  </cellStyleXfs>
  <cellXfs count="72">
    <xf numFmtId="0" fontId="0" fillId="0" borderId="0" xfId="0"/>
    <xf numFmtId="0" fontId="0" fillId="0" borderId="1" xfId="0" applyBorder="1"/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0" fillId="0" borderId="4" xfId="0" applyBorder="1"/>
    <xf numFmtId="0" fontId="0" fillId="0" borderId="1" xfId="0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4" xfId="0" applyFont="1" applyBorder="1"/>
    <xf numFmtId="0" fontId="1" fillId="0" borderId="1" xfId="0" applyFont="1" applyBorder="1"/>
    <xf numFmtId="0" fontId="0" fillId="0" borderId="5" xfId="0" applyBorder="1"/>
    <xf numFmtId="0" fontId="0" fillId="0" borderId="6" xfId="0" applyBorder="1"/>
    <xf numFmtId="3" fontId="0" fillId="0" borderId="0" xfId="0" applyNumberFormat="1"/>
    <xf numFmtId="0" fontId="3" fillId="0" borderId="7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3" fontId="10" fillId="0" borderId="8" xfId="0" applyNumberFormat="1" applyFont="1" applyBorder="1" applyAlignment="1">
      <alignment horizontal="center" vertical="center" wrapText="1"/>
    </xf>
    <xf numFmtId="4" fontId="9" fillId="0" borderId="8" xfId="0" applyNumberFormat="1" applyFont="1" applyBorder="1" applyAlignment="1">
      <alignment horizontal="center" vertical="center"/>
    </xf>
    <xf numFmtId="164" fontId="9" fillId="0" borderId="8" xfId="0" applyNumberFormat="1" applyFont="1" applyBorder="1" applyAlignment="1">
      <alignment horizontal="center" vertical="center"/>
    </xf>
    <xf numFmtId="165" fontId="14" fillId="3" borderId="1" xfId="1" applyNumberFormat="1" applyFont="1" applyFill="1" applyBorder="1" applyAlignment="1" applyProtection="1">
      <alignment horizontal="center" vertical="center" readingOrder="2"/>
      <protection locked="0"/>
    </xf>
    <xf numFmtId="1" fontId="15" fillId="2" borderId="1" xfId="1" applyNumberFormat="1" applyFont="1" applyFill="1" applyBorder="1" applyAlignment="1" applyProtection="1">
      <alignment horizontal="center" vertical="center" readingOrder="2"/>
      <protection locked="0"/>
    </xf>
    <xf numFmtId="1" fontId="15" fillId="3" borderId="1" xfId="1" applyNumberFormat="1" applyFont="1" applyFill="1" applyBorder="1" applyAlignment="1" applyProtection="1">
      <alignment horizontal="center" vertical="center" readingOrder="2"/>
      <protection locked="0"/>
    </xf>
    <xf numFmtId="0" fontId="15" fillId="2" borderId="1" xfId="1" applyFont="1" applyFill="1" applyBorder="1" applyAlignment="1" applyProtection="1">
      <alignment horizontal="center" vertical="center" readingOrder="2"/>
      <protection locked="0"/>
    </xf>
    <xf numFmtId="0" fontId="15" fillId="3" borderId="1" xfId="1" applyFont="1" applyFill="1" applyBorder="1" applyAlignment="1" applyProtection="1">
      <alignment horizontal="center" vertical="center" readingOrder="2"/>
      <protection locked="0"/>
    </xf>
    <xf numFmtId="0" fontId="15" fillId="0" borderId="1" xfId="1" applyFont="1" applyBorder="1" applyAlignment="1" applyProtection="1">
      <alignment horizontal="center" vertical="center" readingOrder="2"/>
      <protection locked="0"/>
    </xf>
    <xf numFmtId="165" fontId="14" fillId="2" borderId="1" xfId="1" applyNumberFormat="1" applyFont="1" applyFill="1" applyBorder="1" applyAlignment="1" applyProtection="1">
      <alignment horizontal="center" vertical="center" readingOrder="2"/>
      <protection locked="0"/>
    </xf>
    <xf numFmtId="167" fontId="14" fillId="4" borderId="1" xfId="1" applyNumberFormat="1" applyFont="1" applyFill="1" applyBorder="1" applyAlignment="1" applyProtection="1">
      <alignment horizontal="center" vertical="center" readingOrder="2"/>
      <protection locked="0"/>
    </xf>
    <xf numFmtId="165" fontId="14" fillId="4" borderId="1" xfId="1" applyNumberFormat="1" applyFont="1" applyFill="1" applyBorder="1" applyAlignment="1" applyProtection="1">
      <alignment horizontal="center" vertical="center" readingOrder="2"/>
      <protection locked="0"/>
    </xf>
    <xf numFmtId="10" fontId="14" fillId="4" borderId="1" xfId="1" applyNumberFormat="1" applyFont="1" applyFill="1" applyBorder="1" applyAlignment="1" applyProtection="1">
      <alignment horizontal="center" vertical="center" readingOrder="2"/>
      <protection locked="0"/>
    </xf>
    <xf numFmtId="2" fontId="15" fillId="5" borderId="1" xfId="1" applyNumberFormat="1" applyFont="1" applyFill="1" applyBorder="1" applyAlignment="1" applyProtection="1">
      <alignment horizontal="center" vertical="center" readingOrder="2"/>
      <protection locked="0"/>
    </xf>
    <xf numFmtId="166" fontId="14" fillId="4" borderId="1" xfId="1" applyNumberFormat="1" applyFont="1" applyFill="1" applyBorder="1" applyAlignment="1" applyProtection="1">
      <alignment horizontal="center" vertical="center" readingOrder="2"/>
      <protection locked="0"/>
    </xf>
    <xf numFmtId="4" fontId="9" fillId="0" borderId="1" xfId="0" applyNumberFormat="1" applyFont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vertical="center"/>
    </xf>
    <xf numFmtId="3" fontId="10" fillId="0" borderId="1" xfId="0" applyNumberFormat="1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/>
    </xf>
    <xf numFmtId="3" fontId="9" fillId="0" borderId="1" xfId="0" applyNumberFormat="1" applyFont="1" applyBorder="1" applyAlignment="1">
      <alignment horizontal="center" vertical="center" wrapText="1"/>
    </xf>
    <xf numFmtId="3" fontId="19" fillId="0" borderId="9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/>
    </xf>
    <xf numFmtId="0" fontId="7" fillId="0" borderId="1" xfId="0" applyFont="1" applyBorder="1" applyAlignment="1">
      <alignment horizontal="right" vertical="center"/>
    </xf>
    <xf numFmtId="0" fontId="20" fillId="0" borderId="1" xfId="0" applyFont="1" applyBorder="1" applyAlignment="1">
      <alignment horizontal="center" vertical="center"/>
    </xf>
    <xf numFmtId="3" fontId="20" fillId="0" borderId="1" xfId="0" applyNumberFormat="1" applyFont="1" applyBorder="1" applyAlignment="1">
      <alignment horizontal="center" vertical="center"/>
    </xf>
    <xf numFmtId="2" fontId="11" fillId="0" borderId="1" xfId="0" applyNumberFormat="1" applyFont="1" applyBorder="1" applyAlignment="1">
      <alignment horizontal="center" vertical="center" wrapText="1"/>
    </xf>
    <xf numFmtId="0" fontId="20" fillId="0" borderId="10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3" fontId="21" fillId="0" borderId="6" xfId="0" applyNumberFormat="1" applyFont="1" applyBorder="1" applyAlignment="1">
      <alignment horizontal="center" vertical="center" textRotation="90"/>
    </xf>
    <xf numFmtId="3" fontId="21" fillId="0" borderId="1" xfId="0" applyNumberFormat="1" applyFont="1" applyBorder="1" applyAlignment="1">
      <alignment horizontal="center" vertical="center" textRotation="90"/>
    </xf>
    <xf numFmtId="0" fontId="13" fillId="3" borderId="1" xfId="1" applyFont="1" applyFill="1" applyBorder="1" applyAlignment="1" applyProtection="1">
      <alignment horizontal="center" vertical="center" readingOrder="2"/>
      <protection locked="0"/>
    </xf>
    <xf numFmtId="0" fontId="13" fillId="2" borderId="1" xfId="1" applyFont="1" applyFill="1" applyBorder="1" applyAlignment="1" applyProtection="1">
      <alignment horizontal="center" vertical="center" readingOrder="2"/>
      <protection locked="0"/>
    </xf>
    <xf numFmtId="0" fontId="0" fillId="0" borderId="0" xfId="0" applyAlignment="1">
      <alignment horizontal="right"/>
    </xf>
    <xf numFmtId="0" fontId="13" fillId="2" borderId="1" xfId="1" applyFont="1" applyFill="1" applyBorder="1" applyAlignment="1">
      <alignment horizontal="center" vertical="center" wrapText="1" readingOrder="2"/>
    </xf>
    <xf numFmtId="0" fontId="13" fillId="2" borderId="1" xfId="1" applyFont="1" applyFill="1" applyBorder="1" applyAlignment="1">
      <alignment horizontal="center" vertical="center" readingOrder="2"/>
    </xf>
    <xf numFmtId="0" fontId="14" fillId="3" borderId="1" xfId="1" applyFont="1" applyFill="1" applyBorder="1" applyAlignment="1" applyProtection="1">
      <alignment horizontal="center" vertical="center" readingOrder="2"/>
      <protection locked="0"/>
    </xf>
    <xf numFmtId="0" fontId="13" fillId="3" borderId="1" xfId="1" applyFont="1" applyFill="1" applyBorder="1" applyAlignment="1">
      <alignment horizontal="center" vertical="center" wrapText="1" readingOrder="2"/>
    </xf>
    <xf numFmtId="0" fontId="13" fillId="3" borderId="1" xfId="1" applyFont="1" applyFill="1" applyBorder="1" applyAlignment="1" applyProtection="1">
      <alignment horizontal="center" vertical="center" wrapText="1" readingOrder="2"/>
      <protection hidden="1"/>
    </xf>
    <xf numFmtId="0" fontId="0" fillId="6" borderId="0" xfId="0" applyFill="1" applyAlignment="1">
      <alignment horizontal="right"/>
    </xf>
    <xf numFmtId="0" fontId="16" fillId="6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16" fillId="7" borderId="0" xfId="0" applyFont="1" applyFill="1" applyAlignment="1">
      <alignment horizontal="center"/>
    </xf>
    <xf numFmtId="0" fontId="16" fillId="0" borderId="0" xfId="0" applyFont="1" applyAlignment="1">
      <alignment horizontal="center"/>
    </xf>
    <xf numFmtId="0" fontId="18" fillId="6" borderId="0" xfId="0" applyFont="1" applyFill="1" applyBorder="1" applyAlignment="1">
      <alignment horizontal="center"/>
    </xf>
    <xf numFmtId="3" fontId="22" fillId="0" borderId="1" xfId="0" applyNumberFormat="1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0" fillId="2" borderId="0" xfId="0" applyFont="1" applyFill="1" applyBorder="1" applyAlignment="1">
      <alignment horizontal="center" vertical="center" wrapText="1"/>
    </xf>
    <xf numFmtId="0" fontId="2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2">
    <cellStyle name="Normal" xfId="0" builtinId="0"/>
    <cellStyle name="Normal 2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794017483351784E-2"/>
          <c:y val="3.4428794992175271E-2"/>
          <c:w val="0.829679009132123"/>
          <c:h val="0.89488817418949396"/>
        </c:manualLayout>
      </c:layout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intercept val="0"/>
            <c:dispRSqr val="0"/>
            <c:dispEq val="1"/>
            <c:trendlineLbl>
              <c:layout>
                <c:manualLayout>
                  <c:x val="-0.34478905414600952"/>
                  <c:y val="-6.2648577378531925E-2"/>
                </c:manualLayout>
              </c:layout>
              <c:numFmt formatCode="0.000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 algn="ctr" rtl="1">
                    <a:defRPr sz="1100" b="1" i="0" u="none" strike="noStrike" baseline="0">
                      <a:solidFill>
                        <a:srgbClr val="333333"/>
                      </a:solidFill>
                      <a:latin typeface="Trebuchet MS"/>
                      <a:ea typeface="Trebuchet MS"/>
                      <a:cs typeface="Trebuchet MS"/>
                    </a:defRPr>
                  </a:pPr>
                  <a:endParaRPr lang="fa-IR"/>
                </a:p>
              </c:txPr>
            </c:trendlineLbl>
          </c:trendline>
          <c:xVal>
            <c:numRef>
              <c:f>'حجت 1'!$I$8:$I$12</c:f>
              <c:numCache>
                <c:formatCode>0.000</c:formatCode>
                <c:ptCount val="5"/>
                <c:pt idx="0">
                  <c:v>0.63</c:v>
                </c:pt>
                <c:pt idx="1">
                  <c:v>0.78</c:v>
                </c:pt>
                <c:pt idx="2">
                  <c:v>0.96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'حجت 1'!$J$8:$J$12</c:f>
              <c:numCache>
                <c:formatCode>0.0</c:formatCode>
                <c:ptCount val="5"/>
                <c:pt idx="0">
                  <c:v>44.900000000000006</c:v>
                </c:pt>
                <c:pt idx="1">
                  <c:v>61.900000000000006</c:v>
                </c:pt>
                <c:pt idx="2">
                  <c:v>84.9</c:v>
                </c:pt>
                <c:pt idx="3">
                  <c:v>0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D58-4FE0-BB75-94659025AA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7647136"/>
        <c:axId val="1"/>
      </c:scatterChart>
      <c:scatterChart>
        <c:scatterStyle val="lineMarker"/>
        <c:varyColors val="0"/>
        <c:ser>
          <c:idx val="1"/>
          <c:order val="1"/>
          <c:tx>
            <c:v>راندمان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'حجت 1'!$I$8:$I$12</c:f>
              <c:numCache>
                <c:formatCode>0.000</c:formatCode>
                <c:ptCount val="5"/>
                <c:pt idx="0">
                  <c:v>0.63</c:v>
                </c:pt>
                <c:pt idx="1">
                  <c:v>0.78</c:v>
                </c:pt>
                <c:pt idx="2">
                  <c:v>0.96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'حجت 1'!$C$8:$C$12</c:f>
              <c:numCache>
                <c:formatCode>0.00%</c:formatCode>
                <c:ptCount val="5"/>
                <c:pt idx="0">
                  <c:v>0.54366970385285407</c:v>
                </c:pt>
                <c:pt idx="1">
                  <c:v>0.49038891379148597</c:v>
                </c:pt>
                <c:pt idx="2">
                  <c:v>0.43878649894371574</c:v>
                </c:pt>
                <c:pt idx="3">
                  <c:v>1</c:v>
                </c:pt>
                <c:pt idx="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D58-4FE0-BB75-94659025AA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"/>
        <c:axId val="4"/>
      </c:scatterChart>
      <c:valAx>
        <c:axId val="1007647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Trebuchet MS"/>
                <a:ea typeface="Trebuchet MS"/>
                <a:cs typeface="Trebuchet MS"/>
              </a:defRPr>
            </a:pPr>
            <a:endParaRPr lang="fa-IR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Trebuchet MS"/>
                <a:ea typeface="Trebuchet MS"/>
                <a:cs typeface="Trebuchet MS"/>
              </a:defRPr>
            </a:pPr>
            <a:endParaRPr lang="fa-IR"/>
          </a:p>
        </c:txPr>
        <c:crossAx val="1007647136"/>
        <c:crosses val="autoZero"/>
        <c:crossBetween val="midCat"/>
      </c:valAx>
      <c:valAx>
        <c:axId val="3"/>
        <c:scaling>
          <c:orientation val="minMax"/>
        </c:scaling>
        <c:delete val="1"/>
        <c:axPos val="b"/>
        <c:numFmt formatCode="0.000" sourceLinked="1"/>
        <c:majorTickMark val="out"/>
        <c:minorTickMark val="none"/>
        <c:tickLblPos val="nextTo"/>
        <c:crossAx val="4"/>
        <c:crosses val="autoZero"/>
        <c:crossBetween val="midCat"/>
      </c:valAx>
      <c:valAx>
        <c:axId val="4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Trebuchet MS"/>
                <a:ea typeface="Trebuchet MS"/>
                <a:cs typeface="Trebuchet MS"/>
              </a:defRPr>
            </a:pPr>
            <a:endParaRPr lang="fa-IR"/>
          </a:p>
        </c:txPr>
        <c:crossAx val="3"/>
        <c:crosses val="max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Trebuchet MS"/>
          <a:ea typeface="Trebuchet MS"/>
          <a:cs typeface="Trebuchet MS"/>
        </a:defRPr>
      </a:pPr>
      <a:endParaRPr lang="fa-IR"/>
    </a:p>
  </c:txPr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794017483351784E-2"/>
          <c:y val="3.4428794992175271E-2"/>
          <c:w val="0.829679009132123"/>
          <c:h val="0.89488817418949396"/>
        </c:manualLayout>
      </c:layout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intercept val="0"/>
            <c:dispRSqr val="0"/>
            <c:dispEq val="1"/>
            <c:trendlineLbl>
              <c:layout>
                <c:manualLayout>
                  <c:x val="-0.34478905414600952"/>
                  <c:y val="-6.2648577378531925E-2"/>
                </c:manualLayout>
              </c:layout>
              <c:numFmt formatCode="0.000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 algn="ctr" rtl="1">
                    <a:defRPr sz="1100" b="1" i="0" u="none" strike="noStrike" baseline="0">
                      <a:solidFill>
                        <a:srgbClr val="333333"/>
                      </a:solidFill>
                      <a:latin typeface="Trebuchet MS"/>
                      <a:ea typeface="Trebuchet MS"/>
                      <a:cs typeface="Trebuchet MS"/>
                    </a:defRPr>
                  </a:pPr>
                  <a:endParaRPr lang="fa-IR"/>
                </a:p>
              </c:txPr>
            </c:trendlineLbl>
          </c:trendline>
          <c:xVal>
            <c:numRef>
              <c:f>سپاد3!$I$8:$I$14</c:f>
              <c:numCache>
                <c:formatCode>0.000</c:formatCode>
                <c:ptCount val="7"/>
                <c:pt idx="0">
                  <c:v>1.32</c:v>
                </c:pt>
                <c:pt idx="1">
                  <c:v>1.56</c:v>
                </c:pt>
                <c:pt idx="2">
                  <c:v>1.8</c:v>
                </c:pt>
                <c:pt idx="3">
                  <c:v>2.2200000000000002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xVal>
          <c:yVal>
            <c:numRef>
              <c:f>سپاد3!$J$8:$J$14</c:f>
              <c:numCache>
                <c:formatCode>0.0</c:formatCode>
                <c:ptCount val="7"/>
                <c:pt idx="0">
                  <c:v>31</c:v>
                </c:pt>
                <c:pt idx="1">
                  <c:v>39</c:v>
                </c:pt>
                <c:pt idx="2">
                  <c:v>51</c:v>
                </c:pt>
                <c:pt idx="3">
                  <c:v>79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BD0-4E54-B8CC-EF8D2F5CA4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7647136"/>
        <c:axId val="1"/>
      </c:scatterChart>
      <c:scatterChart>
        <c:scatterStyle val="lineMarker"/>
        <c:varyColors val="0"/>
        <c:ser>
          <c:idx val="1"/>
          <c:order val="1"/>
          <c:tx>
            <c:v>راندمان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سپاد3!$I$8:$I$14</c:f>
              <c:numCache>
                <c:formatCode>0.000</c:formatCode>
                <c:ptCount val="7"/>
                <c:pt idx="0">
                  <c:v>1.32</c:v>
                </c:pt>
                <c:pt idx="1">
                  <c:v>1.56</c:v>
                </c:pt>
                <c:pt idx="2">
                  <c:v>1.8</c:v>
                </c:pt>
                <c:pt idx="3">
                  <c:v>2.2200000000000002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xVal>
          <c:yVal>
            <c:numRef>
              <c:f>سپاد3!$C$8:$C$14</c:f>
              <c:numCache>
                <c:formatCode>0.00%</c:formatCode>
                <c:ptCount val="7"/>
                <c:pt idx="0">
                  <c:v>0.13408988460477098</c:v>
                </c:pt>
                <c:pt idx="1">
                  <c:v>0.11585057783689</c:v>
                </c:pt>
                <c:pt idx="2">
                  <c:v>0.10197907881977734</c:v>
                </c:pt>
                <c:pt idx="3">
                  <c:v>8.4312407462597688E-2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BD0-4E54-B8CC-EF8D2F5CA4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"/>
        <c:axId val="4"/>
      </c:scatterChart>
      <c:valAx>
        <c:axId val="1007647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Trebuchet MS"/>
                <a:ea typeface="Trebuchet MS"/>
                <a:cs typeface="Trebuchet MS"/>
              </a:defRPr>
            </a:pPr>
            <a:endParaRPr lang="fa-IR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Trebuchet MS"/>
                <a:ea typeface="Trebuchet MS"/>
                <a:cs typeface="Trebuchet MS"/>
              </a:defRPr>
            </a:pPr>
            <a:endParaRPr lang="fa-IR"/>
          </a:p>
        </c:txPr>
        <c:crossAx val="1007647136"/>
        <c:crosses val="autoZero"/>
        <c:crossBetween val="midCat"/>
      </c:valAx>
      <c:valAx>
        <c:axId val="3"/>
        <c:scaling>
          <c:orientation val="minMax"/>
        </c:scaling>
        <c:delete val="1"/>
        <c:axPos val="b"/>
        <c:numFmt formatCode="0.000" sourceLinked="1"/>
        <c:majorTickMark val="out"/>
        <c:minorTickMark val="none"/>
        <c:tickLblPos val="nextTo"/>
        <c:crossAx val="4"/>
        <c:crosses val="autoZero"/>
        <c:crossBetween val="midCat"/>
      </c:valAx>
      <c:valAx>
        <c:axId val="4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Trebuchet MS"/>
                <a:ea typeface="Trebuchet MS"/>
                <a:cs typeface="Trebuchet MS"/>
              </a:defRPr>
            </a:pPr>
            <a:endParaRPr lang="fa-IR"/>
          </a:p>
        </c:txPr>
        <c:crossAx val="3"/>
        <c:crosses val="max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Trebuchet MS"/>
          <a:ea typeface="Trebuchet MS"/>
          <a:cs typeface="Trebuchet MS"/>
        </a:defRPr>
      </a:pPr>
      <a:endParaRPr lang="fa-IR"/>
    </a:p>
  </c:txPr>
  <c:printSettings>
    <c:headerFooter/>
    <c:pageMargins b="0.75" l="0.7" r="0.7" t="0.75" header="0.3" footer="0.3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794017483351784E-2"/>
          <c:y val="3.4428794992175271E-2"/>
          <c:w val="0.829679009132123"/>
          <c:h val="0.89488817418949396"/>
        </c:manualLayout>
      </c:layout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intercept val="0"/>
            <c:dispRSqr val="0"/>
            <c:dispEq val="1"/>
            <c:trendlineLbl>
              <c:layout>
                <c:manualLayout>
                  <c:x val="-0.36048715698358413"/>
                  <c:y val="-7.0641224112380954E-2"/>
                </c:manualLayout>
              </c:layout>
              <c:numFmt formatCode="0.000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 algn="ctr" rtl="1">
                    <a:defRPr sz="1100" b="1" i="0" u="none" strike="noStrike" baseline="0">
                      <a:solidFill>
                        <a:srgbClr val="333333"/>
                      </a:solidFill>
                      <a:latin typeface="Trebuchet MS"/>
                      <a:ea typeface="Trebuchet MS"/>
                      <a:cs typeface="Trebuchet MS"/>
                    </a:defRPr>
                  </a:pPr>
                  <a:endParaRPr lang="fa-IR"/>
                </a:p>
              </c:txPr>
            </c:trendlineLbl>
          </c:trendline>
          <c:xVal>
            <c:numRef>
              <c:f>'اسلام آباد12'!$I$8:$I$14</c:f>
              <c:numCache>
                <c:formatCode>0.000</c:formatCode>
                <c:ptCount val="7"/>
                <c:pt idx="0">
                  <c:v>0.36</c:v>
                </c:pt>
                <c:pt idx="1">
                  <c:v>0.48</c:v>
                </c:pt>
                <c:pt idx="2">
                  <c:v>0.58799999999999997</c:v>
                </c:pt>
                <c:pt idx="3">
                  <c:v>0.66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xVal>
          <c:yVal>
            <c:numRef>
              <c:f>'اسلام آباد12'!$J$8:$J$14</c:f>
              <c:numCache>
                <c:formatCode>0.0</c:formatCode>
                <c:ptCount val="7"/>
                <c:pt idx="0">
                  <c:v>5</c:v>
                </c:pt>
                <c:pt idx="1">
                  <c:v>8</c:v>
                </c:pt>
                <c:pt idx="2">
                  <c:v>12</c:v>
                </c:pt>
                <c:pt idx="3">
                  <c:v>15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7C3-4C2B-8D14-6ADE5D823B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7647136"/>
        <c:axId val="1"/>
      </c:scatterChart>
      <c:scatterChart>
        <c:scatterStyle val="lineMarker"/>
        <c:varyColors val="0"/>
        <c:ser>
          <c:idx val="1"/>
          <c:order val="1"/>
          <c:tx>
            <c:v>راندمان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'اسلام آباد12'!$I$8:$I$14</c:f>
              <c:numCache>
                <c:formatCode>0.000</c:formatCode>
                <c:ptCount val="7"/>
                <c:pt idx="0">
                  <c:v>0.36</c:v>
                </c:pt>
                <c:pt idx="1">
                  <c:v>0.48</c:v>
                </c:pt>
                <c:pt idx="2">
                  <c:v>0.58799999999999997</c:v>
                </c:pt>
                <c:pt idx="3">
                  <c:v>0.66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xVal>
          <c:yVal>
            <c:numRef>
              <c:f>'اسلام آباد12'!$C$8:$C$14</c:f>
              <c:numCache>
                <c:formatCode>0.00%</c:formatCode>
                <c:ptCount val="7"/>
                <c:pt idx="0">
                  <c:v>0.17620654868586272</c:v>
                </c:pt>
                <c:pt idx="1">
                  <c:v>0.13824482226567847</c:v>
                </c:pt>
                <c:pt idx="2">
                  <c:v>0.11579312427745</c:v>
                </c:pt>
                <c:pt idx="3">
                  <c:v>0.10448094803633887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7C3-4C2B-8D14-6ADE5D823B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"/>
        <c:axId val="4"/>
      </c:scatterChart>
      <c:valAx>
        <c:axId val="1007647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Trebuchet MS"/>
                <a:ea typeface="Trebuchet MS"/>
                <a:cs typeface="Trebuchet MS"/>
              </a:defRPr>
            </a:pPr>
            <a:endParaRPr lang="fa-IR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Trebuchet MS"/>
                <a:ea typeface="Trebuchet MS"/>
                <a:cs typeface="Trebuchet MS"/>
              </a:defRPr>
            </a:pPr>
            <a:endParaRPr lang="fa-IR"/>
          </a:p>
        </c:txPr>
        <c:crossAx val="1007647136"/>
        <c:crosses val="autoZero"/>
        <c:crossBetween val="midCat"/>
      </c:valAx>
      <c:valAx>
        <c:axId val="3"/>
        <c:scaling>
          <c:orientation val="minMax"/>
        </c:scaling>
        <c:delete val="1"/>
        <c:axPos val="b"/>
        <c:numFmt formatCode="0.000" sourceLinked="1"/>
        <c:majorTickMark val="out"/>
        <c:minorTickMark val="none"/>
        <c:tickLblPos val="nextTo"/>
        <c:crossAx val="4"/>
        <c:crosses val="autoZero"/>
        <c:crossBetween val="midCat"/>
      </c:valAx>
      <c:valAx>
        <c:axId val="4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Trebuchet MS"/>
                <a:ea typeface="Trebuchet MS"/>
                <a:cs typeface="Trebuchet MS"/>
              </a:defRPr>
            </a:pPr>
            <a:endParaRPr lang="fa-IR"/>
          </a:p>
        </c:txPr>
        <c:crossAx val="3"/>
        <c:crosses val="max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Trebuchet MS"/>
          <a:ea typeface="Trebuchet MS"/>
          <a:cs typeface="Trebuchet MS"/>
        </a:defRPr>
      </a:pPr>
      <a:endParaRPr lang="fa-IR"/>
    </a:p>
  </c:txPr>
  <c:printSettings>
    <c:headerFooter/>
    <c:pageMargins b="0.75" l="0.7" r="0.7" t="0.75" header="0.3" footer="0.3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4493075040154292E-2"/>
          <c:y val="3.8114782883276646E-2"/>
          <c:w val="0.829679009132123"/>
          <c:h val="0.89488817418949396"/>
        </c:manualLayout>
      </c:layout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intercept val="0"/>
            <c:dispRSqr val="0"/>
            <c:dispEq val="1"/>
            <c:trendlineLbl>
              <c:layout>
                <c:manualLayout>
                  <c:x val="-0.34478905414600952"/>
                  <c:y val="-6.2648577378531925E-2"/>
                </c:manualLayout>
              </c:layout>
              <c:numFmt formatCode="0.000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 algn="ctr" rtl="1">
                    <a:defRPr sz="1100" b="1" i="0" u="none" strike="noStrike" baseline="0">
                      <a:solidFill>
                        <a:srgbClr val="333333"/>
                      </a:solidFill>
                      <a:latin typeface="Trebuchet MS"/>
                      <a:ea typeface="Trebuchet MS"/>
                      <a:cs typeface="Trebuchet MS"/>
                    </a:defRPr>
                  </a:pPr>
                  <a:endParaRPr lang="fa-IR"/>
                </a:p>
              </c:txPr>
            </c:trendlineLbl>
          </c:trendline>
          <c:xVal>
            <c:numRef>
              <c:f>'امام رضا19'!$I$8:$I$14</c:f>
              <c:numCache>
                <c:formatCode>0.000</c:formatCode>
                <c:ptCount val="7"/>
                <c:pt idx="0">
                  <c:v>0.33</c:v>
                </c:pt>
                <c:pt idx="1">
                  <c:v>0.51</c:v>
                </c:pt>
                <c:pt idx="2">
                  <c:v>0.69</c:v>
                </c:pt>
                <c:pt idx="3">
                  <c:v>0.9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xVal>
          <c:yVal>
            <c:numRef>
              <c:f>'امام رضا19'!$J$8:$J$14</c:f>
              <c:numCache>
                <c:formatCode>0.0</c:formatCode>
                <c:ptCount val="7"/>
                <c:pt idx="0">
                  <c:v>5</c:v>
                </c:pt>
                <c:pt idx="1">
                  <c:v>10</c:v>
                </c:pt>
                <c:pt idx="2">
                  <c:v>16</c:v>
                </c:pt>
                <c:pt idx="3">
                  <c:v>24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282-449C-8DF7-5AC6C4D46B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7647136"/>
        <c:axId val="1"/>
      </c:scatterChart>
      <c:scatterChart>
        <c:scatterStyle val="lineMarker"/>
        <c:varyColors val="0"/>
        <c:ser>
          <c:idx val="1"/>
          <c:order val="1"/>
          <c:tx>
            <c:v>راندمان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'امام رضا19'!$I$8:$I$14</c:f>
              <c:numCache>
                <c:formatCode>0.000</c:formatCode>
                <c:ptCount val="7"/>
                <c:pt idx="0">
                  <c:v>0.33</c:v>
                </c:pt>
                <c:pt idx="1">
                  <c:v>0.51</c:v>
                </c:pt>
                <c:pt idx="2">
                  <c:v>0.69</c:v>
                </c:pt>
                <c:pt idx="3">
                  <c:v>0.9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xVal>
          <c:yVal>
            <c:numRef>
              <c:f>'امام رضا19'!$C$8:$C$14</c:f>
              <c:numCache>
                <c:formatCode>0.00%</c:formatCode>
                <c:ptCount val="7"/>
                <c:pt idx="0">
                  <c:v>0.6095718230146846</c:v>
                </c:pt>
                <c:pt idx="1">
                  <c:v>0.50254864876829897</c:v>
                </c:pt>
                <c:pt idx="2">
                  <c:v>0.42749321046634747</c:v>
                </c:pt>
                <c:pt idx="3">
                  <c:v>0.36405911462314983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282-449C-8DF7-5AC6C4D46B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"/>
        <c:axId val="4"/>
      </c:scatterChart>
      <c:valAx>
        <c:axId val="1007647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Trebuchet MS"/>
                <a:ea typeface="Trebuchet MS"/>
                <a:cs typeface="Trebuchet MS"/>
              </a:defRPr>
            </a:pPr>
            <a:endParaRPr lang="fa-IR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Trebuchet MS"/>
                <a:ea typeface="Trebuchet MS"/>
                <a:cs typeface="Trebuchet MS"/>
              </a:defRPr>
            </a:pPr>
            <a:endParaRPr lang="fa-IR"/>
          </a:p>
        </c:txPr>
        <c:crossAx val="1007647136"/>
        <c:crosses val="autoZero"/>
        <c:crossBetween val="midCat"/>
      </c:valAx>
      <c:valAx>
        <c:axId val="3"/>
        <c:scaling>
          <c:orientation val="minMax"/>
        </c:scaling>
        <c:delete val="1"/>
        <c:axPos val="b"/>
        <c:numFmt formatCode="0.000" sourceLinked="1"/>
        <c:majorTickMark val="out"/>
        <c:minorTickMark val="none"/>
        <c:tickLblPos val="nextTo"/>
        <c:crossAx val="4"/>
        <c:crosses val="autoZero"/>
        <c:crossBetween val="midCat"/>
      </c:valAx>
      <c:valAx>
        <c:axId val="4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Trebuchet MS"/>
                <a:ea typeface="Trebuchet MS"/>
                <a:cs typeface="Trebuchet MS"/>
              </a:defRPr>
            </a:pPr>
            <a:endParaRPr lang="fa-IR"/>
          </a:p>
        </c:txPr>
        <c:crossAx val="3"/>
        <c:crosses val="max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Trebuchet MS"/>
          <a:ea typeface="Trebuchet MS"/>
          <a:cs typeface="Trebuchet MS"/>
        </a:defRPr>
      </a:pPr>
      <a:endParaRPr lang="fa-IR"/>
    </a:p>
  </c:txPr>
  <c:printSettings>
    <c:headerFooter/>
    <c:pageMargins b="0.75" l="0.7" r="0.7" t="0.75" header="0.3" footer="0.3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464820</xdr:colOff>
      <xdr:row>5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2A866E5-FB35-48BF-91FD-2C07A04D25C4}"/>
            </a:ext>
          </a:extLst>
        </xdr:cNvPr>
        <xdr:cNvSpPr txBox="1"/>
      </xdr:nvSpPr>
      <xdr:spPr>
        <a:xfrm>
          <a:off x="9981344590" y="1257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154D323-D88F-408D-963C-DF375CC0FF89}"/>
            </a:ext>
          </a:extLst>
        </xdr:cNvPr>
        <xdr:cNvSpPr txBox="1"/>
      </xdr:nvSpPr>
      <xdr:spPr>
        <a:xfrm>
          <a:off x="9981809410" y="1257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9</xdr:col>
      <xdr:colOff>464820</xdr:colOff>
      <xdr:row>31</xdr:row>
      <xdr:rowOff>0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FE9E67A2-C78F-4B4B-8453-D1D2D386A7E4}"/>
            </a:ext>
          </a:extLst>
        </xdr:cNvPr>
        <xdr:cNvSpPr txBox="1"/>
      </xdr:nvSpPr>
      <xdr:spPr>
        <a:xfrm>
          <a:off x="9981344590" y="62674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twoCellAnchor>
    <xdr:from>
      <xdr:col>1</xdr:col>
      <xdr:colOff>149086</xdr:colOff>
      <xdr:row>12</xdr:row>
      <xdr:rowOff>107673</xdr:rowOff>
    </xdr:from>
    <xdr:to>
      <xdr:col>13</xdr:col>
      <xdr:colOff>323021</xdr:colOff>
      <xdr:row>30</xdr:row>
      <xdr:rowOff>124239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7AE606D-ED18-4CB4-8768-EAC06E7416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464820</xdr:colOff>
      <xdr:row>5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1229100540" y="1247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1229565360" y="1247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9</xdr:col>
      <xdr:colOff>464820</xdr:colOff>
      <xdr:row>33</xdr:row>
      <xdr:rowOff>0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11229100540" y="6791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twoCellAnchor>
    <xdr:from>
      <xdr:col>1</xdr:col>
      <xdr:colOff>149086</xdr:colOff>
      <xdr:row>14</xdr:row>
      <xdr:rowOff>107673</xdr:rowOff>
    </xdr:from>
    <xdr:to>
      <xdr:col>13</xdr:col>
      <xdr:colOff>323021</xdr:colOff>
      <xdr:row>32</xdr:row>
      <xdr:rowOff>124239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464820</xdr:colOff>
      <xdr:row>5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11229100540" y="1247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11229565360" y="1247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9</xdr:col>
      <xdr:colOff>464820</xdr:colOff>
      <xdr:row>33</xdr:row>
      <xdr:rowOff>0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11229100540" y="6791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twoCellAnchor>
    <xdr:from>
      <xdr:col>1</xdr:col>
      <xdr:colOff>149086</xdr:colOff>
      <xdr:row>14</xdr:row>
      <xdr:rowOff>107673</xdr:rowOff>
    </xdr:from>
    <xdr:to>
      <xdr:col>13</xdr:col>
      <xdr:colOff>323021</xdr:colOff>
      <xdr:row>32</xdr:row>
      <xdr:rowOff>124239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464820</xdr:colOff>
      <xdr:row>5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11229100540" y="1247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11229565360" y="1247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9</xdr:col>
      <xdr:colOff>464820</xdr:colOff>
      <xdr:row>33</xdr:row>
      <xdr:rowOff>0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 txBox="1"/>
      </xdr:nvSpPr>
      <xdr:spPr>
        <a:xfrm>
          <a:off x="11229100540" y="6553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twoCellAnchor>
    <xdr:from>
      <xdr:col>1</xdr:col>
      <xdr:colOff>149086</xdr:colOff>
      <xdr:row>14</xdr:row>
      <xdr:rowOff>107673</xdr:rowOff>
    </xdr:from>
    <xdr:to>
      <xdr:col>13</xdr:col>
      <xdr:colOff>323021</xdr:colOff>
      <xdr:row>32</xdr:row>
      <xdr:rowOff>124239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464820</xdr:colOff>
      <xdr:row>13</xdr:row>
      <xdr:rowOff>240030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 txBox="1"/>
      </xdr:nvSpPr>
      <xdr:spPr>
        <a:xfrm>
          <a:off x="9981735115" y="439293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10</xdr:col>
      <xdr:colOff>464820</xdr:colOff>
      <xdr:row>13</xdr:row>
      <xdr:rowOff>240030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 txBox="1"/>
      </xdr:nvSpPr>
      <xdr:spPr>
        <a:xfrm>
          <a:off x="11256793028" y="7992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11</xdr:col>
      <xdr:colOff>464820</xdr:colOff>
      <xdr:row>13</xdr:row>
      <xdr:rowOff>240030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 txBox="1"/>
      </xdr:nvSpPr>
      <xdr:spPr>
        <a:xfrm>
          <a:off x="11256793028" y="7992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12</xdr:col>
      <xdr:colOff>464820</xdr:colOff>
      <xdr:row>13</xdr:row>
      <xdr:rowOff>240030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 txBox="1"/>
      </xdr:nvSpPr>
      <xdr:spPr>
        <a:xfrm>
          <a:off x="11256793028" y="7992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13</xdr:col>
      <xdr:colOff>0</xdr:colOff>
      <xdr:row>13</xdr:row>
      <xdr:rowOff>240030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SpPr txBox="1"/>
      </xdr:nvSpPr>
      <xdr:spPr>
        <a:xfrm>
          <a:off x="11256793028" y="7992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13</xdr:col>
      <xdr:colOff>0</xdr:colOff>
      <xdr:row>13</xdr:row>
      <xdr:rowOff>240030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SpPr txBox="1"/>
      </xdr:nvSpPr>
      <xdr:spPr>
        <a:xfrm>
          <a:off x="11256793028" y="7992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13</xdr:col>
      <xdr:colOff>0</xdr:colOff>
      <xdr:row>13</xdr:row>
      <xdr:rowOff>240030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SpPr txBox="1"/>
      </xdr:nvSpPr>
      <xdr:spPr>
        <a:xfrm>
          <a:off x="11256793028" y="7992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13</xdr:col>
      <xdr:colOff>0</xdr:colOff>
      <xdr:row>13</xdr:row>
      <xdr:rowOff>240030</xdr:rowOff>
    </xdr:from>
    <xdr:ext cx="65" cy="17222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SpPr txBox="1"/>
      </xdr:nvSpPr>
      <xdr:spPr>
        <a:xfrm>
          <a:off x="11256793028" y="7992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10</xdr:col>
      <xdr:colOff>464820</xdr:colOff>
      <xdr:row>13</xdr:row>
      <xdr:rowOff>240030</xdr:rowOff>
    </xdr:from>
    <xdr:ext cx="65" cy="17222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SpPr txBox="1"/>
      </xdr:nvSpPr>
      <xdr:spPr>
        <a:xfrm>
          <a:off x="11256793028" y="7992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11</xdr:col>
      <xdr:colOff>464820</xdr:colOff>
      <xdr:row>13</xdr:row>
      <xdr:rowOff>240030</xdr:rowOff>
    </xdr:from>
    <xdr:ext cx="65" cy="17222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800-00000B000000}"/>
            </a:ext>
          </a:extLst>
        </xdr:cNvPr>
        <xdr:cNvSpPr txBox="1"/>
      </xdr:nvSpPr>
      <xdr:spPr>
        <a:xfrm>
          <a:off x="11256793028" y="7992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12</xdr:col>
      <xdr:colOff>464820</xdr:colOff>
      <xdr:row>13</xdr:row>
      <xdr:rowOff>240030</xdr:rowOff>
    </xdr:from>
    <xdr:ext cx="65" cy="172227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000000-0008-0000-0800-00000C000000}"/>
            </a:ext>
          </a:extLst>
        </xdr:cNvPr>
        <xdr:cNvSpPr txBox="1"/>
      </xdr:nvSpPr>
      <xdr:spPr>
        <a:xfrm>
          <a:off x="11256793028" y="7992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13</xdr:col>
      <xdr:colOff>0</xdr:colOff>
      <xdr:row>13</xdr:row>
      <xdr:rowOff>240030</xdr:rowOff>
    </xdr:from>
    <xdr:ext cx="65" cy="17222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0800-00000D000000}"/>
            </a:ext>
          </a:extLst>
        </xdr:cNvPr>
        <xdr:cNvSpPr txBox="1"/>
      </xdr:nvSpPr>
      <xdr:spPr>
        <a:xfrm>
          <a:off x="11256793028" y="7992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13</xdr:col>
      <xdr:colOff>0</xdr:colOff>
      <xdr:row>13</xdr:row>
      <xdr:rowOff>240030</xdr:rowOff>
    </xdr:from>
    <xdr:ext cx="65" cy="172227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800-00000E000000}"/>
            </a:ext>
          </a:extLst>
        </xdr:cNvPr>
        <xdr:cNvSpPr txBox="1"/>
      </xdr:nvSpPr>
      <xdr:spPr>
        <a:xfrm>
          <a:off x="11256793028" y="7992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13</xdr:col>
      <xdr:colOff>0</xdr:colOff>
      <xdr:row>13</xdr:row>
      <xdr:rowOff>240030</xdr:rowOff>
    </xdr:from>
    <xdr:ext cx="65" cy="172227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800-00000F000000}"/>
            </a:ext>
          </a:extLst>
        </xdr:cNvPr>
        <xdr:cNvSpPr txBox="1"/>
      </xdr:nvSpPr>
      <xdr:spPr>
        <a:xfrm>
          <a:off x="11256793028" y="7992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13</xdr:col>
      <xdr:colOff>0</xdr:colOff>
      <xdr:row>13</xdr:row>
      <xdr:rowOff>240030</xdr:rowOff>
    </xdr:from>
    <xdr:ext cx="65" cy="172227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0000000-0008-0000-0800-000010000000}"/>
            </a:ext>
          </a:extLst>
        </xdr:cNvPr>
        <xdr:cNvSpPr txBox="1"/>
      </xdr:nvSpPr>
      <xdr:spPr>
        <a:xfrm>
          <a:off x="11256793028" y="7992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10</xdr:col>
      <xdr:colOff>464820</xdr:colOff>
      <xdr:row>13</xdr:row>
      <xdr:rowOff>240030</xdr:rowOff>
    </xdr:from>
    <xdr:ext cx="65" cy="172227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00000000-0008-0000-0800-000011000000}"/>
            </a:ext>
          </a:extLst>
        </xdr:cNvPr>
        <xdr:cNvSpPr txBox="1"/>
      </xdr:nvSpPr>
      <xdr:spPr>
        <a:xfrm>
          <a:off x="11194155557" y="801691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11</xdr:col>
      <xdr:colOff>464820</xdr:colOff>
      <xdr:row>13</xdr:row>
      <xdr:rowOff>240030</xdr:rowOff>
    </xdr:from>
    <xdr:ext cx="65" cy="172227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0000000-0008-0000-0800-000012000000}"/>
            </a:ext>
          </a:extLst>
        </xdr:cNvPr>
        <xdr:cNvSpPr txBox="1"/>
      </xdr:nvSpPr>
      <xdr:spPr>
        <a:xfrm>
          <a:off x="11194155557" y="801691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12</xdr:col>
      <xdr:colOff>464820</xdr:colOff>
      <xdr:row>13</xdr:row>
      <xdr:rowOff>240030</xdr:rowOff>
    </xdr:from>
    <xdr:ext cx="65" cy="172227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800-000013000000}"/>
            </a:ext>
          </a:extLst>
        </xdr:cNvPr>
        <xdr:cNvSpPr txBox="1"/>
      </xdr:nvSpPr>
      <xdr:spPr>
        <a:xfrm>
          <a:off x="11194155557" y="801691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13</xdr:col>
      <xdr:colOff>0</xdr:colOff>
      <xdr:row>13</xdr:row>
      <xdr:rowOff>240030</xdr:rowOff>
    </xdr:from>
    <xdr:ext cx="65" cy="172227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0000000-0008-0000-0800-000014000000}"/>
            </a:ext>
          </a:extLst>
        </xdr:cNvPr>
        <xdr:cNvSpPr txBox="1"/>
      </xdr:nvSpPr>
      <xdr:spPr>
        <a:xfrm>
          <a:off x="11194155557" y="801691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13</xdr:col>
      <xdr:colOff>0</xdr:colOff>
      <xdr:row>13</xdr:row>
      <xdr:rowOff>240030</xdr:rowOff>
    </xdr:from>
    <xdr:ext cx="65" cy="172227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SpPr txBox="1"/>
      </xdr:nvSpPr>
      <xdr:spPr>
        <a:xfrm>
          <a:off x="11194155557" y="801691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13</xdr:col>
      <xdr:colOff>0</xdr:colOff>
      <xdr:row>13</xdr:row>
      <xdr:rowOff>240030</xdr:rowOff>
    </xdr:from>
    <xdr:ext cx="65" cy="172227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00000000-0008-0000-0800-000016000000}"/>
            </a:ext>
          </a:extLst>
        </xdr:cNvPr>
        <xdr:cNvSpPr txBox="1"/>
      </xdr:nvSpPr>
      <xdr:spPr>
        <a:xfrm>
          <a:off x="11194155557" y="801691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13</xdr:col>
      <xdr:colOff>0</xdr:colOff>
      <xdr:row>13</xdr:row>
      <xdr:rowOff>240030</xdr:rowOff>
    </xdr:from>
    <xdr:ext cx="65" cy="172227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00000000-0008-0000-0800-000017000000}"/>
            </a:ext>
          </a:extLst>
        </xdr:cNvPr>
        <xdr:cNvSpPr txBox="1"/>
      </xdr:nvSpPr>
      <xdr:spPr>
        <a:xfrm>
          <a:off x="11194155557" y="801691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13</xdr:col>
      <xdr:colOff>0</xdr:colOff>
      <xdr:row>13</xdr:row>
      <xdr:rowOff>240030</xdr:rowOff>
    </xdr:from>
    <xdr:ext cx="65" cy="172227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 txBox="1"/>
      </xdr:nvSpPr>
      <xdr:spPr>
        <a:xfrm>
          <a:off x="11230329265" y="607885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13</xdr:col>
      <xdr:colOff>0</xdr:colOff>
      <xdr:row>13</xdr:row>
      <xdr:rowOff>240030</xdr:rowOff>
    </xdr:from>
    <xdr:ext cx="65" cy="172227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 txBox="1"/>
      </xdr:nvSpPr>
      <xdr:spPr>
        <a:xfrm>
          <a:off x="11229291040" y="607885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13</xdr:col>
      <xdr:colOff>0</xdr:colOff>
      <xdr:row>13</xdr:row>
      <xdr:rowOff>240030</xdr:rowOff>
    </xdr:from>
    <xdr:ext cx="65" cy="172227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SpPr txBox="1"/>
      </xdr:nvSpPr>
      <xdr:spPr>
        <a:xfrm>
          <a:off x="11229291040" y="607885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13</xdr:col>
      <xdr:colOff>0</xdr:colOff>
      <xdr:row>13</xdr:row>
      <xdr:rowOff>240030</xdr:rowOff>
    </xdr:from>
    <xdr:ext cx="65" cy="172227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00000000-0008-0000-0800-000011000000}"/>
            </a:ext>
          </a:extLst>
        </xdr:cNvPr>
        <xdr:cNvSpPr txBox="1"/>
      </xdr:nvSpPr>
      <xdr:spPr>
        <a:xfrm>
          <a:off x="11229291040" y="607885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13</xdr:col>
      <xdr:colOff>464820</xdr:colOff>
      <xdr:row>13</xdr:row>
      <xdr:rowOff>240030</xdr:rowOff>
    </xdr:from>
    <xdr:ext cx="65" cy="172227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 txBox="1"/>
      </xdr:nvSpPr>
      <xdr:spPr>
        <a:xfrm>
          <a:off x="11230329265" y="607885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14</xdr:col>
      <xdr:colOff>0</xdr:colOff>
      <xdr:row>13</xdr:row>
      <xdr:rowOff>240030</xdr:rowOff>
    </xdr:from>
    <xdr:ext cx="65" cy="172227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 txBox="1"/>
      </xdr:nvSpPr>
      <xdr:spPr>
        <a:xfrm>
          <a:off x="11229291040" y="607885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14</xdr:col>
      <xdr:colOff>0</xdr:colOff>
      <xdr:row>13</xdr:row>
      <xdr:rowOff>240030</xdr:rowOff>
    </xdr:from>
    <xdr:ext cx="65" cy="172227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SpPr txBox="1"/>
      </xdr:nvSpPr>
      <xdr:spPr>
        <a:xfrm>
          <a:off x="11229291040" y="607885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14</xdr:col>
      <xdr:colOff>0</xdr:colOff>
      <xdr:row>13</xdr:row>
      <xdr:rowOff>240030</xdr:rowOff>
    </xdr:from>
    <xdr:ext cx="65" cy="172227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00000000-0008-0000-0800-000011000000}"/>
            </a:ext>
          </a:extLst>
        </xdr:cNvPr>
        <xdr:cNvSpPr txBox="1"/>
      </xdr:nvSpPr>
      <xdr:spPr>
        <a:xfrm>
          <a:off x="11229291040" y="607885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rightToLeft="1" topLeftCell="B16" zoomScale="115" zoomScaleNormal="115" workbookViewId="0">
      <selection activeCell="P8" sqref="P8"/>
    </sheetView>
  </sheetViews>
  <sheetFormatPr defaultRowHeight="14.25"/>
  <cols>
    <col min="1" max="1" width="2.375" hidden="1" customWidth="1"/>
    <col min="2" max="2" width="2" customWidth="1"/>
    <col min="3" max="3" width="8.375" bestFit="1" customWidth="1"/>
    <col min="4" max="4" width="7.875" customWidth="1"/>
    <col min="5" max="5" width="9.375" customWidth="1"/>
    <col min="6" max="6" width="7.625" customWidth="1"/>
    <col min="7" max="7" width="7.375" bestFit="1" customWidth="1"/>
    <col min="8" max="8" width="5.75" bestFit="1" customWidth="1"/>
    <col min="9" max="9" width="11.375" customWidth="1"/>
    <col min="10" max="10" width="10.25" bestFit="1" customWidth="1"/>
    <col min="12" max="12" width="6.875" bestFit="1" customWidth="1"/>
    <col min="14" max="14" width="4.375" customWidth="1"/>
  </cols>
  <sheetData>
    <row r="1" spans="3:14">
      <c r="C1" s="47" t="s">
        <v>48</v>
      </c>
      <c r="D1" s="47"/>
      <c r="E1" s="47"/>
      <c r="F1" s="47"/>
      <c r="G1" s="47"/>
      <c r="H1" s="47"/>
      <c r="I1" s="47"/>
    </row>
    <row r="2" spans="3:14" ht="21" customHeight="1">
      <c r="C2" s="53" t="s">
        <v>51</v>
      </c>
      <c r="D2" s="53"/>
      <c r="E2" s="53"/>
      <c r="F2" t="s">
        <v>39</v>
      </c>
      <c r="H2" s="54">
        <v>51.7318</v>
      </c>
      <c r="I2" s="54"/>
      <c r="J2" s="53" t="s">
        <v>57</v>
      </c>
      <c r="K2" s="53"/>
      <c r="L2" s="53"/>
      <c r="M2" s="53"/>
      <c r="N2" s="53"/>
    </row>
    <row r="3" spans="3:14" ht="21" customHeight="1">
      <c r="C3" s="47" t="s">
        <v>58</v>
      </c>
      <c r="D3" s="47"/>
      <c r="E3" s="47"/>
      <c r="F3" t="s">
        <v>40</v>
      </c>
      <c r="H3" s="54">
        <v>38.828800000000001</v>
      </c>
      <c r="I3" s="54"/>
      <c r="J3" s="47" t="s">
        <v>65</v>
      </c>
      <c r="K3" s="47"/>
      <c r="L3" s="47"/>
      <c r="M3" s="47"/>
      <c r="N3" s="47"/>
    </row>
    <row r="4" spans="3:14" ht="21" customHeight="1">
      <c r="C4" s="47" t="s">
        <v>19</v>
      </c>
      <c r="D4" s="47"/>
      <c r="E4" s="47"/>
      <c r="F4" s="47" t="s">
        <v>37</v>
      </c>
      <c r="G4" s="47"/>
      <c r="H4" s="47"/>
      <c r="J4" s="47" t="s">
        <v>66</v>
      </c>
      <c r="K4" s="47"/>
      <c r="L4" s="47"/>
      <c r="M4" s="47"/>
      <c r="N4" s="47"/>
    </row>
    <row r="5" spans="3:14" ht="21" customHeight="1">
      <c r="C5" s="47" t="s">
        <v>67</v>
      </c>
      <c r="D5" s="47"/>
      <c r="E5" s="47"/>
      <c r="F5" s="47" t="s">
        <v>41</v>
      </c>
      <c r="G5" s="47"/>
      <c r="H5" s="47"/>
      <c r="I5" s="47"/>
      <c r="J5" s="47" t="s">
        <v>49</v>
      </c>
      <c r="K5" s="47"/>
      <c r="L5" s="47"/>
      <c r="M5" s="47"/>
      <c r="N5" s="47"/>
    </row>
    <row r="6" spans="3:14" ht="15.75">
      <c r="C6" s="51" t="s">
        <v>20</v>
      </c>
      <c r="D6" s="51" t="s">
        <v>21</v>
      </c>
      <c r="E6" s="51" t="s">
        <v>22</v>
      </c>
      <c r="F6" s="51" t="s">
        <v>23</v>
      </c>
      <c r="G6" s="51" t="s">
        <v>24</v>
      </c>
      <c r="H6" s="48" t="s">
        <v>25</v>
      </c>
      <c r="I6" s="52" t="s">
        <v>26</v>
      </c>
      <c r="J6" s="51" t="s">
        <v>27</v>
      </c>
      <c r="K6" s="48" t="s">
        <v>28</v>
      </c>
      <c r="L6" s="48" t="s">
        <v>29</v>
      </c>
      <c r="M6" s="49" t="s">
        <v>30</v>
      </c>
      <c r="N6" s="49"/>
    </row>
    <row r="7" spans="3:14" ht="18.75">
      <c r="C7" s="51"/>
      <c r="D7" s="51"/>
      <c r="E7" s="51"/>
      <c r="F7" s="51"/>
      <c r="G7" s="51"/>
      <c r="H7" s="48"/>
      <c r="I7" s="52"/>
      <c r="J7" s="51"/>
      <c r="K7" s="48"/>
      <c r="L7" s="48"/>
      <c r="M7" s="50">
        <v>95.1</v>
      </c>
      <c r="N7" s="50"/>
    </row>
    <row r="8" spans="3:14" ht="18.75">
      <c r="C8" s="27">
        <f>IF(D8&lt;&gt;0,F8/D8,1)</f>
        <v>0.54366970385285407</v>
      </c>
      <c r="D8" s="28">
        <f>E8+F8</f>
        <v>44.994495420000007</v>
      </c>
      <c r="E8" s="28">
        <f>$H$2*I8*I8</f>
        <v>20.532351420000001</v>
      </c>
      <c r="F8" s="28">
        <f>$H$3*I8</f>
        <v>24.462144000000002</v>
      </c>
      <c r="G8" s="29">
        <f>H8/(K8-$M$7)</f>
        <v>0.23385300668151446</v>
      </c>
      <c r="H8" s="24">
        <v>10.5</v>
      </c>
      <c r="I8" s="25">
        <f>H8*60/1000</f>
        <v>0.63</v>
      </c>
      <c r="J8" s="26">
        <f>IF(K8-$M$7&lt;0,0,K8-$M$7)</f>
        <v>44.900000000000006</v>
      </c>
      <c r="K8" s="19">
        <v>140</v>
      </c>
      <c r="L8" s="23">
        <v>950</v>
      </c>
      <c r="M8" s="45" t="s">
        <v>31</v>
      </c>
      <c r="N8" s="45"/>
    </row>
    <row r="9" spans="3:14" ht="18.75">
      <c r="C9" s="27">
        <f>IF(D9&lt;&gt;0,F9/D9,1)</f>
        <v>0.49038891379148597</v>
      </c>
      <c r="D9" s="28">
        <f t="shared" ref="D9:D12" si="0">E9+F9</f>
        <v>61.760091120000006</v>
      </c>
      <c r="E9" s="28">
        <f t="shared" ref="E9:E12" si="1">$H$2*I9*I9</f>
        <v>31.473627120000003</v>
      </c>
      <c r="F9" s="28">
        <f t="shared" ref="F9:F12" si="2">$H$3*I9</f>
        <v>30.286464000000002</v>
      </c>
      <c r="G9" s="29">
        <f t="shared" ref="G9:G12" si="3">H9/(K9-$M$7)</f>
        <v>0.21001615508885296</v>
      </c>
      <c r="H9" s="24">
        <v>13</v>
      </c>
      <c r="I9" s="25">
        <f t="shared" ref="I9:I12" si="4">H9*60/1000</f>
        <v>0.78</v>
      </c>
      <c r="J9" s="26">
        <f t="shared" ref="J9:J12" si="5">IF(K9-$M$7&lt;0,0,K9-$M$7)</f>
        <v>61.900000000000006</v>
      </c>
      <c r="K9" s="19">
        <v>157</v>
      </c>
      <c r="L9" s="21">
        <v>1050</v>
      </c>
      <c r="M9" s="45" t="s">
        <v>32</v>
      </c>
      <c r="N9" s="45"/>
    </row>
    <row r="10" spans="3:14" ht="18.75">
      <c r="C10" s="27">
        <f>IF(D10&lt;&gt;0,F10/D10,1)</f>
        <v>0.43878649894371574</v>
      </c>
      <c r="D10" s="28">
        <f t="shared" si="0"/>
        <v>84.951674879999985</v>
      </c>
      <c r="E10" s="28">
        <f t="shared" si="1"/>
        <v>47.676026879999995</v>
      </c>
      <c r="F10" s="28">
        <f t="shared" si="2"/>
        <v>37.275647999999997</v>
      </c>
      <c r="G10" s="29">
        <f t="shared" si="3"/>
        <v>0.18845700824499409</v>
      </c>
      <c r="H10" s="24">
        <v>16</v>
      </c>
      <c r="I10" s="25">
        <f t="shared" si="4"/>
        <v>0.96</v>
      </c>
      <c r="J10" s="26">
        <f t="shared" si="5"/>
        <v>84.9</v>
      </c>
      <c r="K10" s="19">
        <v>180</v>
      </c>
      <c r="L10" s="23">
        <v>1100</v>
      </c>
      <c r="M10" s="45" t="s">
        <v>33</v>
      </c>
      <c r="N10" s="45"/>
    </row>
    <row r="11" spans="3:14" ht="18.75">
      <c r="C11" s="27">
        <f>IF(D11&lt;&gt;0,F11/D11,1)</f>
        <v>1</v>
      </c>
      <c r="D11" s="28">
        <f>E11+F11</f>
        <v>0</v>
      </c>
      <c r="E11" s="28">
        <f t="shared" si="1"/>
        <v>0</v>
      </c>
      <c r="F11" s="28">
        <f>$H$3*I11</f>
        <v>0</v>
      </c>
      <c r="G11" s="29">
        <f t="shared" si="3"/>
        <v>0</v>
      </c>
      <c r="H11" s="18">
        <v>0</v>
      </c>
      <c r="I11" s="25">
        <f t="shared" si="4"/>
        <v>0</v>
      </c>
      <c r="J11" s="26">
        <f t="shared" si="5"/>
        <v>0</v>
      </c>
      <c r="K11" s="20">
        <v>0</v>
      </c>
      <c r="L11" s="21">
        <v>0</v>
      </c>
      <c r="M11" s="45" t="s">
        <v>34</v>
      </c>
      <c r="N11" s="45"/>
    </row>
    <row r="12" spans="3:14" ht="18.75">
      <c r="C12" s="27">
        <f t="shared" ref="C12" si="6">IF(D12&lt;&gt;0,F12/D12,1)</f>
        <v>1</v>
      </c>
      <c r="D12" s="28">
        <f t="shared" si="0"/>
        <v>0</v>
      </c>
      <c r="E12" s="28">
        <f t="shared" si="1"/>
        <v>0</v>
      </c>
      <c r="F12" s="28">
        <f t="shared" si="2"/>
        <v>0</v>
      </c>
      <c r="G12" s="29">
        <f t="shared" si="3"/>
        <v>0</v>
      </c>
      <c r="H12" s="22">
        <v>0</v>
      </c>
      <c r="I12" s="25">
        <f t="shared" si="4"/>
        <v>0</v>
      </c>
      <c r="J12" s="26">
        <f t="shared" si="5"/>
        <v>0</v>
      </c>
      <c r="K12" s="20">
        <v>0</v>
      </c>
      <c r="L12" s="21">
        <v>0</v>
      </c>
      <c r="M12" s="46" t="s">
        <v>35</v>
      </c>
      <c r="N12" s="46"/>
    </row>
    <row r="32" spans="3:13" ht="21.75" customHeight="1">
      <c r="C32" s="47" t="s">
        <v>17</v>
      </c>
      <c r="D32" s="47"/>
      <c r="E32" s="47"/>
      <c r="F32" s="47" t="s">
        <v>36</v>
      </c>
      <c r="G32" s="47"/>
      <c r="H32" s="47"/>
      <c r="I32" s="47"/>
      <c r="K32" s="47" t="s">
        <v>38</v>
      </c>
      <c r="L32" s="47"/>
      <c r="M32" s="47"/>
    </row>
  </sheetData>
  <mergeCells count="33">
    <mergeCell ref="C1:I1"/>
    <mergeCell ref="C2:E2"/>
    <mergeCell ref="H2:I2"/>
    <mergeCell ref="J2:N2"/>
    <mergeCell ref="C3:E3"/>
    <mergeCell ref="H3:I3"/>
    <mergeCell ref="J3:N3"/>
    <mergeCell ref="H6:H7"/>
    <mergeCell ref="M8:N8"/>
    <mergeCell ref="C4:E4"/>
    <mergeCell ref="F4:H4"/>
    <mergeCell ref="J4:N4"/>
    <mergeCell ref="C5:E5"/>
    <mergeCell ref="F5:I5"/>
    <mergeCell ref="J5:N5"/>
    <mergeCell ref="C6:C7"/>
    <mergeCell ref="D6:D7"/>
    <mergeCell ref="E6:E7"/>
    <mergeCell ref="F6:F7"/>
    <mergeCell ref="G6:G7"/>
    <mergeCell ref="I6:I7"/>
    <mergeCell ref="J6:J7"/>
    <mergeCell ref="K6:K7"/>
    <mergeCell ref="L6:L7"/>
    <mergeCell ref="M6:N6"/>
    <mergeCell ref="M7:N7"/>
    <mergeCell ref="M9:N9"/>
    <mergeCell ref="M10:N10"/>
    <mergeCell ref="M11:N11"/>
    <mergeCell ref="M12:N12"/>
    <mergeCell ref="C32:E32"/>
    <mergeCell ref="F32:I32"/>
    <mergeCell ref="K32:M32"/>
  </mergeCells>
  <pageMargins left="0.70866141732283472" right="0.70866141732283472" top="0.74803149606299213" bottom="0.74803149606299213" header="0.31496062992125984" footer="0.31496062992125984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4"/>
  <sheetViews>
    <sheetView rightToLeft="1" topLeftCell="B1" zoomScale="145" zoomScaleNormal="145" workbookViewId="0">
      <selection activeCell="P4" sqref="P4"/>
    </sheetView>
  </sheetViews>
  <sheetFormatPr defaultRowHeight="14.25"/>
  <cols>
    <col min="1" max="1" width="2.375" hidden="1" customWidth="1"/>
    <col min="2" max="2" width="2" customWidth="1"/>
    <col min="3" max="3" width="8.375" bestFit="1" customWidth="1"/>
    <col min="4" max="4" width="7.875" customWidth="1"/>
    <col min="5" max="5" width="9.375" customWidth="1"/>
    <col min="6" max="6" width="7.625" customWidth="1"/>
    <col min="7" max="7" width="7.375" bestFit="1" customWidth="1"/>
    <col min="8" max="8" width="5.75" bestFit="1" customWidth="1"/>
    <col min="9" max="9" width="11.375" customWidth="1"/>
    <col min="10" max="10" width="10.25" bestFit="1" customWidth="1"/>
    <col min="12" max="12" width="6.875" bestFit="1" customWidth="1"/>
    <col min="14" max="14" width="4.375" customWidth="1"/>
  </cols>
  <sheetData>
    <row r="1" spans="3:14">
      <c r="C1" s="47" t="s">
        <v>50</v>
      </c>
      <c r="D1" s="47"/>
      <c r="E1" s="47"/>
      <c r="F1" s="47"/>
      <c r="G1" s="47"/>
      <c r="H1" s="47"/>
      <c r="I1" s="47"/>
    </row>
    <row r="2" spans="3:14" ht="21" customHeight="1">
      <c r="C2" s="47" t="s">
        <v>52</v>
      </c>
      <c r="D2" s="47"/>
      <c r="E2" s="47"/>
      <c r="F2" t="s">
        <v>39</v>
      </c>
      <c r="H2" s="54">
        <v>14.529299999999999</v>
      </c>
      <c r="I2" s="54"/>
      <c r="J2" s="53" t="s">
        <v>57</v>
      </c>
      <c r="K2" s="53"/>
      <c r="L2" s="53"/>
      <c r="M2" s="53"/>
      <c r="N2" s="53"/>
    </row>
    <row r="3" spans="3:14" ht="21" customHeight="1">
      <c r="C3" s="47" t="s">
        <v>58</v>
      </c>
      <c r="D3" s="47"/>
      <c r="E3" s="47"/>
      <c r="F3" t="s">
        <v>40</v>
      </c>
      <c r="H3" s="54">
        <v>2.9699</v>
      </c>
      <c r="I3" s="54"/>
      <c r="J3" s="47" t="s">
        <v>56</v>
      </c>
      <c r="K3" s="47"/>
      <c r="L3" s="47"/>
      <c r="M3" s="47"/>
      <c r="N3" s="47"/>
    </row>
    <row r="4" spans="3:14" ht="21" customHeight="1">
      <c r="C4" s="47" t="s">
        <v>45</v>
      </c>
      <c r="D4" s="47"/>
      <c r="E4" s="47"/>
      <c r="F4" s="55" t="s">
        <v>64</v>
      </c>
      <c r="G4" s="55"/>
      <c r="H4" s="55"/>
      <c r="I4" s="55"/>
      <c r="J4" s="56" t="s">
        <v>68</v>
      </c>
      <c r="K4" s="56"/>
      <c r="L4" s="56"/>
      <c r="M4" s="56"/>
      <c r="N4" s="56"/>
    </row>
    <row r="5" spans="3:14" ht="21" customHeight="1">
      <c r="C5" s="47" t="s">
        <v>54</v>
      </c>
      <c r="D5" s="47"/>
      <c r="E5" s="47"/>
      <c r="F5" s="47" t="s">
        <v>41</v>
      </c>
      <c r="G5" s="47"/>
      <c r="H5" s="47"/>
      <c r="I5" s="47"/>
      <c r="J5" s="47" t="s">
        <v>53</v>
      </c>
      <c r="K5" s="47"/>
      <c r="L5" s="47"/>
      <c r="M5" s="47"/>
      <c r="N5" s="47"/>
    </row>
    <row r="6" spans="3:14" ht="15.75">
      <c r="C6" s="51" t="s">
        <v>20</v>
      </c>
      <c r="D6" s="51" t="s">
        <v>21</v>
      </c>
      <c r="E6" s="51" t="s">
        <v>22</v>
      </c>
      <c r="F6" s="51" t="s">
        <v>23</v>
      </c>
      <c r="G6" s="51" t="s">
        <v>24</v>
      </c>
      <c r="H6" s="48" t="s">
        <v>25</v>
      </c>
      <c r="I6" s="52" t="s">
        <v>26</v>
      </c>
      <c r="J6" s="51" t="s">
        <v>27</v>
      </c>
      <c r="K6" s="48" t="s">
        <v>28</v>
      </c>
      <c r="L6" s="48" t="s">
        <v>29</v>
      </c>
      <c r="M6" s="49" t="s">
        <v>30</v>
      </c>
      <c r="N6" s="49"/>
    </row>
    <row r="7" spans="3:14" ht="18.75">
      <c r="C7" s="51"/>
      <c r="D7" s="51"/>
      <c r="E7" s="51"/>
      <c r="F7" s="51"/>
      <c r="G7" s="51"/>
      <c r="H7" s="48"/>
      <c r="I7" s="52"/>
      <c r="J7" s="51"/>
      <c r="K7" s="48"/>
      <c r="L7" s="48"/>
      <c r="M7" s="50">
        <v>80</v>
      </c>
      <c r="N7" s="50"/>
    </row>
    <row r="8" spans="3:14" ht="18.75">
      <c r="C8" s="27">
        <f>IF(D8&lt;&gt;0,F8/D8,1)</f>
        <v>0.13408988460477098</v>
      </c>
      <c r="D8" s="28">
        <f>E8+F8</f>
        <v>29.236120320000001</v>
      </c>
      <c r="E8" s="28">
        <f>$H$2*I8*I8</f>
        <v>25.315852320000001</v>
      </c>
      <c r="F8" s="28">
        <f>$H$3*I8</f>
        <v>3.9202680000000001</v>
      </c>
      <c r="G8" s="29">
        <f>H8/(K8-$M$7)</f>
        <v>0.70967741935483875</v>
      </c>
      <c r="H8" s="24">
        <v>22</v>
      </c>
      <c r="I8" s="25">
        <f>H8*60/1000</f>
        <v>1.32</v>
      </c>
      <c r="J8" s="26">
        <f>IF(K8-$M$7&lt;0,0,K8-$M$7)</f>
        <v>31</v>
      </c>
      <c r="K8" s="19">
        <v>111</v>
      </c>
      <c r="L8" s="23">
        <v>1000</v>
      </c>
      <c r="M8" s="45" t="s">
        <v>31</v>
      </c>
      <c r="N8" s="45"/>
    </row>
    <row r="9" spans="3:14" ht="18.75">
      <c r="C9" s="27">
        <f>IF(D9&lt;&gt;0,F9/D9,1)</f>
        <v>0.11585057783689</v>
      </c>
      <c r="D9" s="28">
        <f t="shared" ref="D9:D14" si="0">E9+F9</f>
        <v>39.991548479999999</v>
      </c>
      <c r="E9" s="28">
        <f t="shared" ref="E9:E14" si="1">$H$2*I9*I9</f>
        <v>35.358504480000001</v>
      </c>
      <c r="F9" s="28">
        <f t="shared" ref="F9:F14" si="2">$H$3*I9</f>
        <v>4.6330439999999999</v>
      </c>
      <c r="G9" s="29">
        <f t="shared" ref="G9:G14" si="3">H9/(K9-$M$7)</f>
        <v>0.66666666666666663</v>
      </c>
      <c r="H9" s="24">
        <v>26</v>
      </c>
      <c r="I9" s="25">
        <f t="shared" ref="I9:I14" si="4">H9*60/1000</f>
        <v>1.56</v>
      </c>
      <c r="J9" s="26">
        <f t="shared" ref="J9:J14" si="5">IF(K9-$M$7&lt;0,0,K9-$M$7)</f>
        <v>39</v>
      </c>
      <c r="K9" s="19">
        <v>119</v>
      </c>
      <c r="L9" s="21">
        <v>1100</v>
      </c>
      <c r="M9" s="45" t="s">
        <v>32</v>
      </c>
      <c r="N9" s="45"/>
    </row>
    <row r="10" spans="3:14" ht="18.75">
      <c r="C10" s="27">
        <f>IF(D10&lt;&gt;0,F10/D10,1)</f>
        <v>0.10197907881977734</v>
      </c>
      <c r="D10" s="28">
        <f t="shared" si="0"/>
        <v>52.420751999999993</v>
      </c>
      <c r="E10" s="28">
        <f t="shared" si="1"/>
        <v>47.074931999999997</v>
      </c>
      <c r="F10" s="28">
        <f t="shared" si="2"/>
        <v>5.3458199999999998</v>
      </c>
      <c r="G10" s="29">
        <f t="shared" si="3"/>
        <v>0.58823529411764708</v>
      </c>
      <c r="H10" s="24">
        <v>30</v>
      </c>
      <c r="I10" s="25">
        <f t="shared" si="4"/>
        <v>1.8</v>
      </c>
      <c r="J10" s="26">
        <f t="shared" si="5"/>
        <v>51</v>
      </c>
      <c r="K10" s="19">
        <v>131</v>
      </c>
      <c r="L10" s="23">
        <v>1200</v>
      </c>
      <c r="M10" s="45" t="s">
        <v>33</v>
      </c>
      <c r="N10" s="45"/>
    </row>
    <row r="11" spans="3:14" ht="18.75">
      <c r="C11" s="27">
        <f>IF(D11&lt;&gt;0,F11/D11,1)</f>
        <v>8.4312407462597688E-2</v>
      </c>
      <c r="D11" s="28">
        <f>E11+F11</f>
        <v>78.199380120000001</v>
      </c>
      <c r="E11" s="28">
        <f t="shared" si="1"/>
        <v>71.606202120000006</v>
      </c>
      <c r="F11" s="28">
        <f>$H$3*I11</f>
        <v>6.5931780000000009</v>
      </c>
      <c r="G11" s="29">
        <f t="shared" si="3"/>
        <v>0.46835443037974683</v>
      </c>
      <c r="H11" s="18">
        <v>37</v>
      </c>
      <c r="I11" s="25">
        <f t="shared" si="4"/>
        <v>2.2200000000000002</v>
      </c>
      <c r="J11" s="26">
        <f t="shared" si="5"/>
        <v>79</v>
      </c>
      <c r="K11" s="20">
        <v>159</v>
      </c>
      <c r="L11" s="21">
        <v>1300</v>
      </c>
      <c r="M11" s="45" t="s">
        <v>34</v>
      </c>
      <c r="N11" s="45"/>
    </row>
    <row r="12" spans="3:14" ht="18.75">
      <c r="C12" s="27">
        <f t="shared" ref="C12:C14" si="6">IF(D12&lt;&gt;0,F12/D12,1)</f>
        <v>1</v>
      </c>
      <c r="D12" s="28">
        <f t="shared" ref="D12:D13" si="7">E12+F12</f>
        <v>0</v>
      </c>
      <c r="E12" s="28">
        <f t="shared" si="1"/>
        <v>0</v>
      </c>
      <c r="F12" s="28">
        <f t="shared" ref="F12:F13" si="8">$H$3*I12</f>
        <v>0</v>
      </c>
      <c r="G12" s="29">
        <f t="shared" si="3"/>
        <v>0</v>
      </c>
      <c r="H12" s="22">
        <v>0</v>
      </c>
      <c r="I12" s="25">
        <f t="shared" si="4"/>
        <v>0</v>
      </c>
      <c r="J12" s="26">
        <f t="shared" si="5"/>
        <v>0</v>
      </c>
      <c r="K12" s="20">
        <v>0</v>
      </c>
      <c r="L12" s="21">
        <v>0</v>
      </c>
      <c r="M12" s="46" t="s">
        <v>35</v>
      </c>
      <c r="N12" s="46"/>
    </row>
    <row r="13" spans="3:14" ht="18.75">
      <c r="C13" s="27">
        <f t="shared" si="6"/>
        <v>1</v>
      </c>
      <c r="D13" s="28">
        <f t="shared" si="7"/>
        <v>0</v>
      </c>
      <c r="E13" s="28">
        <f t="shared" si="1"/>
        <v>0</v>
      </c>
      <c r="F13" s="28">
        <f t="shared" si="8"/>
        <v>0</v>
      </c>
      <c r="G13" s="29">
        <f t="shared" si="3"/>
        <v>0</v>
      </c>
      <c r="H13" s="22">
        <v>0</v>
      </c>
      <c r="I13" s="25">
        <f t="shared" si="4"/>
        <v>0</v>
      </c>
      <c r="J13" s="26">
        <f t="shared" si="5"/>
        <v>0</v>
      </c>
      <c r="K13" s="20">
        <v>0</v>
      </c>
      <c r="L13" s="21">
        <v>0</v>
      </c>
      <c r="M13" s="46" t="s">
        <v>42</v>
      </c>
      <c r="N13" s="46"/>
    </row>
    <row r="14" spans="3:14" ht="18.75">
      <c r="C14" s="27">
        <f t="shared" si="6"/>
        <v>1</v>
      </c>
      <c r="D14" s="28">
        <f t="shared" si="0"/>
        <v>0</v>
      </c>
      <c r="E14" s="28">
        <f t="shared" si="1"/>
        <v>0</v>
      </c>
      <c r="F14" s="28">
        <f t="shared" si="2"/>
        <v>0</v>
      </c>
      <c r="G14" s="29">
        <f t="shared" si="3"/>
        <v>0</v>
      </c>
      <c r="H14" s="22">
        <v>0</v>
      </c>
      <c r="I14" s="25">
        <f t="shared" si="4"/>
        <v>0</v>
      </c>
      <c r="J14" s="26">
        <f t="shared" si="5"/>
        <v>0</v>
      </c>
      <c r="K14" s="20">
        <v>0</v>
      </c>
      <c r="L14" s="21">
        <v>0</v>
      </c>
      <c r="M14" s="46" t="s">
        <v>43</v>
      </c>
      <c r="N14" s="46"/>
    </row>
    <row r="34" spans="3:13" ht="21.75" customHeight="1">
      <c r="C34" s="47" t="s">
        <v>17</v>
      </c>
      <c r="D34" s="47"/>
      <c r="E34" s="47"/>
      <c r="F34" s="47" t="s">
        <v>36</v>
      </c>
      <c r="G34" s="47"/>
      <c r="H34" s="47"/>
      <c r="I34" s="47"/>
      <c r="K34" s="47" t="s">
        <v>38</v>
      </c>
      <c r="L34" s="47"/>
      <c r="M34" s="47"/>
    </row>
  </sheetData>
  <mergeCells count="35">
    <mergeCell ref="M14:N14"/>
    <mergeCell ref="C34:E34"/>
    <mergeCell ref="F34:I34"/>
    <mergeCell ref="K34:M34"/>
    <mergeCell ref="M8:N8"/>
    <mergeCell ref="M9:N9"/>
    <mergeCell ref="M10:N10"/>
    <mergeCell ref="M11:N11"/>
    <mergeCell ref="M12:N12"/>
    <mergeCell ref="M13:N13"/>
    <mergeCell ref="C5:E5"/>
    <mergeCell ref="F5:I5"/>
    <mergeCell ref="J5:N5"/>
    <mergeCell ref="M6:N6"/>
    <mergeCell ref="M7:N7"/>
    <mergeCell ref="H6:H7"/>
    <mergeCell ref="C6:C7"/>
    <mergeCell ref="D6:D7"/>
    <mergeCell ref="E6:E7"/>
    <mergeCell ref="L6:L7"/>
    <mergeCell ref="F6:F7"/>
    <mergeCell ref="G6:G7"/>
    <mergeCell ref="I6:I7"/>
    <mergeCell ref="J6:J7"/>
    <mergeCell ref="K6:K7"/>
    <mergeCell ref="C4:E4"/>
    <mergeCell ref="F4:I4"/>
    <mergeCell ref="J4:N4"/>
    <mergeCell ref="C1:I1"/>
    <mergeCell ref="C2:E2"/>
    <mergeCell ref="H2:I2"/>
    <mergeCell ref="J2:N2"/>
    <mergeCell ref="C3:E3"/>
    <mergeCell ref="H3:I3"/>
    <mergeCell ref="J3:N3"/>
  </mergeCells>
  <pageMargins left="0.70866141732283472" right="0.70866141732283472" top="0.74803149606299213" bottom="0.74803149606299213" header="0.31496062992125984" footer="0.31496062992125984"/>
  <pageSetup scale="94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34"/>
  <sheetViews>
    <sheetView rightToLeft="1" topLeftCell="B1" zoomScale="115" zoomScaleNormal="115" workbookViewId="0">
      <selection activeCell="Q10" sqref="Q10"/>
    </sheetView>
  </sheetViews>
  <sheetFormatPr defaultRowHeight="14.25"/>
  <cols>
    <col min="1" max="1" width="2.375" hidden="1" customWidth="1"/>
    <col min="2" max="2" width="2" customWidth="1"/>
    <col min="3" max="3" width="8.375" bestFit="1" customWidth="1"/>
    <col min="4" max="4" width="7.875" customWidth="1"/>
    <col min="5" max="5" width="9.375" customWidth="1"/>
    <col min="6" max="6" width="7.625" customWidth="1"/>
    <col min="7" max="7" width="7.375" bestFit="1" customWidth="1"/>
    <col min="8" max="8" width="5.75" bestFit="1" customWidth="1"/>
    <col min="9" max="9" width="11.375" customWidth="1"/>
    <col min="10" max="10" width="10.25" bestFit="1" customWidth="1"/>
    <col min="12" max="12" width="6.875" bestFit="1" customWidth="1"/>
    <col min="14" max="14" width="4.375" customWidth="1"/>
  </cols>
  <sheetData>
    <row r="1" spans="3:14">
      <c r="C1" t="s">
        <v>59</v>
      </c>
    </row>
    <row r="2" spans="3:14" ht="21" customHeight="1">
      <c r="C2" s="47" t="s">
        <v>52</v>
      </c>
      <c r="D2" s="47"/>
      <c r="E2" s="47"/>
      <c r="F2" t="s">
        <v>39</v>
      </c>
      <c r="H2" s="57">
        <v>30.7041</v>
      </c>
      <c r="I2" s="57"/>
      <c r="J2" s="53" t="s">
        <v>57</v>
      </c>
      <c r="K2" s="53"/>
      <c r="L2" s="53"/>
      <c r="M2" s="53"/>
      <c r="N2" s="53"/>
    </row>
    <row r="3" spans="3:14" ht="21" customHeight="1">
      <c r="C3" s="47" t="s">
        <v>69</v>
      </c>
      <c r="D3" s="47"/>
      <c r="E3" s="47"/>
      <c r="F3" t="s">
        <v>40</v>
      </c>
      <c r="H3" s="57">
        <v>2.3643000000000001</v>
      </c>
      <c r="I3" s="57"/>
      <c r="J3" s="47" t="s">
        <v>70</v>
      </c>
      <c r="K3" s="47"/>
      <c r="L3" s="47"/>
      <c r="M3" s="47"/>
      <c r="N3" s="47"/>
    </row>
    <row r="4" spans="3:14" ht="21" customHeight="1">
      <c r="C4" s="47" t="s">
        <v>44</v>
      </c>
      <c r="D4" s="47"/>
      <c r="E4" s="47"/>
      <c r="F4" s="55" t="s">
        <v>64</v>
      </c>
      <c r="G4" s="55"/>
      <c r="H4" s="55"/>
      <c r="I4" s="55"/>
      <c r="J4" s="56" t="s">
        <v>18</v>
      </c>
      <c r="K4" s="56"/>
      <c r="L4" s="56"/>
      <c r="M4" s="56"/>
      <c r="N4" s="56"/>
    </row>
    <row r="5" spans="3:14" ht="21" customHeight="1">
      <c r="C5" s="47" t="s">
        <v>61</v>
      </c>
      <c r="D5" s="47"/>
      <c r="E5" s="47"/>
      <c r="F5" s="47" t="s">
        <v>41</v>
      </c>
      <c r="G5" s="47"/>
      <c r="H5" s="47"/>
      <c r="I5" s="47"/>
      <c r="J5" s="47" t="s">
        <v>60</v>
      </c>
      <c r="K5" s="47"/>
      <c r="L5" s="47"/>
      <c r="M5" s="47"/>
      <c r="N5" s="47"/>
    </row>
    <row r="6" spans="3:14" ht="15.75">
      <c r="C6" s="51" t="s">
        <v>20</v>
      </c>
      <c r="D6" s="51" t="s">
        <v>21</v>
      </c>
      <c r="E6" s="51" t="s">
        <v>22</v>
      </c>
      <c r="F6" s="51" t="s">
        <v>23</v>
      </c>
      <c r="G6" s="51" t="s">
        <v>24</v>
      </c>
      <c r="H6" s="48" t="s">
        <v>25</v>
      </c>
      <c r="I6" s="52" t="s">
        <v>26</v>
      </c>
      <c r="J6" s="51" t="s">
        <v>27</v>
      </c>
      <c r="K6" s="48" t="s">
        <v>28</v>
      </c>
      <c r="L6" s="48" t="s">
        <v>29</v>
      </c>
      <c r="M6" s="49" t="s">
        <v>30</v>
      </c>
      <c r="N6" s="49"/>
    </row>
    <row r="7" spans="3:14" ht="18.75">
      <c r="C7" s="51"/>
      <c r="D7" s="51"/>
      <c r="E7" s="51"/>
      <c r="F7" s="51"/>
      <c r="G7" s="51"/>
      <c r="H7" s="48"/>
      <c r="I7" s="52"/>
      <c r="J7" s="51"/>
      <c r="K7" s="48"/>
      <c r="L7" s="48"/>
      <c r="M7" s="50">
        <v>100</v>
      </c>
      <c r="N7" s="50"/>
    </row>
    <row r="8" spans="3:14" ht="18.75">
      <c r="C8" s="27">
        <f>IF(D8&lt;&gt;0,F8/D8,1)</f>
        <v>0.17620654868586272</v>
      </c>
      <c r="D8" s="28">
        <f>E8+F8</f>
        <v>4.8303993599999995</v>
      </c>
      <c r="E8" s="28">
        <f>$H$2*I8*I8</f>
        <v>3.9792513599999997</v>
      </c>
      <c r="F8" s="28">
        <f>$H$3*I8</f>
        <v>0.85114800000000002</v>
      </c>
      <c r="G8" s="29">
        <f>H8/(K8-$M$7)</f>
        <v>1.2</v>
      </c>
      <c r="H8" s="24">
        <v>6</v>
      </c>
      <c r="I8" s="25">
        <f>H8*60/1000</f>
        <v>0.36</v>
      </c>
      <c r="J8" s="26">
        <f>IF(K8-$M$7&lt;0,0,K8-$M$7)</f>
        <v>5</v>
      </c>
      <c r="K8" s="19">
        <v>105</v>
      </c>
      <c r="L8" s="23">
        <v>1000</v>
      </c>
      <c r="M8" s="45" t="s">
        <v>31</v>
      </c>
      <c r="N8" s="45"/>
    </row>
    <row r="9" spans="3:14" ht="18.75">
      <c r="C9" s="27">
        <f>IF(D9&lt;&gt;0,F9/D9,1)</f>
        <v>0.13824482226567847</v>
      </c>
      <c r="D9" s="28">
        <f t="shared" ref="D9:D14" si="0">E9+F9</f>
        <v>8.2090886399999992</v>
      </c>
      <c r="E9" s="28">
        <f t="shared" ref="E9:E14" si="1">$H$2*I9*I9</f>
        <v>7.0742246399999997</v>
      </c>
      <c r="F9" s="28">
        <f t="shared" ref="F9:F14" si="2">$H$3*I9</f>
        <v>1.1348640000000001</v>
      </c>
      <c r="G9" s="29">
        <f t="shared" ref="G9:G14" si="3">H9/(K9-$M$7)</f>
        <v>1</v>
      </c>
      <c r="H9" s="24">
        <v>8</v>
      </c>
      <c r="I9" s="25">
        <f t="shared" ref="I9:I14" si="4">H9*60/1000</f>
        <v>0.48</v>
      </c>
      <c r="J9" s="26">
        <f t="shared" ref="J9:J14" si="5">IF(K9-$M$7&lt;0,0,K9-$M$7)</f>
        <v>8</v>
      </c>
      <c r="K9" s="19">
        <v>108</v>
      </c>
      <c r="L9" s="21">
        <v>1100</v>
      </c>
      <c r="M9" s="45" t="s">
        <v>32</v>
      </c>
      <c r="N9" s="45"/>
    </row>
    <row r="10" spans="3:14" ht="18.75">
      <c r="C10" s="27">
        <f>IF(D10&lt;&gt;0,F10/D10,1)</f>
        <v>0.11579312427745</v>
      </c>
      <c r="D10" s="28">
        <f t="shared" si="0"/>
        <v>12.005966750400001</v>
      </c>
      <c r="E10" s="28">
        <f t="shared" si="1"/>
        <v>10.6157583504</v>
      </c>
      <c r="F10" s="28">
        <f t="shared" si="2"/>
        <v>1.3902083999999999</v>
      </c>
      <c r="G10" s="29">
        <f t="shared" si="3"/>
        <v>0.81666666666666676</v>
      </c>
      <c r="H10" s="24">
        <v>9.8000000000000007</v>
      </c>
      <c r="I10" s="25">
        <f t="shared" si="4"/>
        <v>0.58799999999999997</v>
      </c>
      <c r="J10" s="26">
        <f t="shared" si="5"/>
        <v>12</v>
      </c>
      <c r="K10" s="19">
        <v>112</v>
      </c>
      <c r="L10" s="23">
        <v>1200</v>
      </c>
      <c r="M10" s="45" t="s">
        <v>33</v>
      </c>
      <c r="N10" s="45"/>
    </row>
    <row r="11" spans="3:14" ht="18.75">
      <c r="C11" s="27">
        <f>IF(D11&lt;&gt;0,F11/D11,1)</f>
        <v>0.10448094803633887</v>
      </c>
      <c r="D11" s="28">
        <f>E11+F11</f>
        <v>14.93514396</v>
      </c>
      <c r="E11" s="28">
        <f t="shared" si="1"/>
        <v>13.37470596</v>
      </c>
      <c r="F11" s="28">
        <f>$H$3*I11</f>
        <v>1.5604380000000002</v>
      </c>
      <c r="G11" s="29">
        <f t="shared" si="3"/>
        <v>0.73333333333333328</v>
      </c>
      <c r="H11" s="18">
        <v>11</v>
      </c>
      <c r="I11" s="25">
        <f t="shared" si="4"/>
        <v>0.66</v>
      </c>
      <c r="J11" s="26">
        <f t="shared" si="5"/>
        <v>15</v>
      </c>
      <c r="K11" s="20">
        <v>115</v>
      </c>
      <c r="L11" s="21">
        <v>1300</v>
      </c>
      <c r="M11" s="45" t="s">
        <v>34</v>
      </c>
      <c r="N11" s="45"/>
    </row>
    <row r="12" spans="3:14" ht="18.75">
      <c r="C12" s="27">
        <f t="shared" ref="C12:C14" si="6">IF(D12&lt;&gt;0,F12/D12,1)</f>
        <v>1</v>
      </c>
      <c r="D12" s="28">
        <f t="shared" ref="D12:D13" si="7">E12+F12</f>
        <v>0</v>
      </c>
      <c r="E12" s="28">
        <f t="shared" si="1"/>
        <v>0</v>
      </c>
      <c r="F12" s="28">
        <f t="shared" ref="F12:F13" si="8">$H$3*I12</f>
        <v>0</v>
      </c>
      <c r="G12" s="29">
        <f t="shared" si="3"/>
        <v>0</v>
      </c>
      <c r="H12" s="22">
        <v>0</v>
      </c>
      <c r="I12" s="25">
        <f t="shared" si="4"/>
        <v>0</v>
      </c>
      <c r="J12" s="26">
        <f t="shared" si="5"/>
        <v>0</v>
      </c>
      <c r="K12" s="20">
        <v>0</v>
      </c>
      <c r="L12" s="21">
        <v>0</v>
      </c>
      <c r="M12" s="46" t="s">
        <v>35</v>
      </c>
      <c r="N12" s="46"/>
    </row>
    <row r="13" spans="3:14" ht="18.75">
      <c r="C13" s="27">
        <f t="shared" si="6"/>
        <v>1</v>
      </c>
      <c r="D13" s="28">
        <f t="shared" si="7"/>
        <v>0</v>
      </c>
      <c r="E13" s="28">
        <f t="shared" si="1"/>
        <v>0</v>
      </c>
      <c r="F13" s="28">
        <f t="shared" si="8"/>
        <v>0</v>
      </c>
      <c r="G13" s="29">
        <f t="shared" si="3"/>
        <v>0</v>
      </c>
      <c r="H13" s="22">
        <v>0</v>
      </c>
      <c r="I13" s="25">
        <f t="shared" si="4"/>
        <v>0</v>
      </c>
      <c r="J13" s="26">
        <f t="shared" si="5"/>
        <v>0</v>
      </c>
      <c r="K13" s="20">
        <v>0</v>
      </c>
      <c r="L13" s="21">
        <v>0</v>
      </c>
      <c r="M13" s="46" t="s">
        <v>42</v>
      </c>
      <c r="N13" s="46"/>
    </row>
    <row r="14" spans="3:14" ht="18.75">
      <c r="C14" s="27">
        <f t="shared" si="6"/>
        <v>1</v>
      </c>
      <c r="D14" s="28">
        <f t="shared" si="0"/>
        <v>0</v>
      </c>
      <c r="E14" s="28">
        <f t="shared" si="1"/>
        <v>0</v>
      </c>
      <c r="F14" s="28">
        <f t="shared" si="2"/>
        <v>0</v>
      </c>
      <c r="G14" s="29">
        <f t="shared" si="3"/>
        <v>0</v>
      </c>
      <c r="H14" s="22">
        <v>0</v>
      </c>
      <c r="I14" s="25">
        <f t="shared" si="4"/>
        <v>0</v>
      </c>
      <c r="J14" s="26">
        <f t="shared" si="5"/>
        <v>0</v>
      </c>
      <c r="K14" s="20">
        <v>0</v>
      </c>
      <c r="L14" s="21">
        <v>0</v>
      </c>
      <c r="M14" s="46" t="s">
        <v>43</v>
      </c>
      <c r="N14" s="46"/>
    </row>
    <row r="34" spans="3:13" ht="21.75" customHeight="1">
      <c r="C34" s="47" t="s">
        <v>17</v>
      </c>
      <c r="D34" s="47"/>
      <c r="E34" s="47"/>
      <c r="F34" s="47" t="s">
        <v>36</v>
      </c>
      <c r="G34" s="47"/>
      <c r="H34" s="47"/>
      <c r="I34" s="47"/>
      <c r="K34" s="47" t="s">
        <v>38</v>
      </c>
      <c r="L34" s="47"/>
      <c r="M34" s="47"/>
    </row>
  </sheetData>
  <mergeCells count="34">
    <mergeCell ref="M14:N14"/>
    <mergeCell ref="C34:E34"/>
    <mergeCell ref="F34:I34"/>
    <mergeCell ref="K34:M34"/>
    <mergeCell ref="M8:N8"/>
    <mergeCell ref="M9:N9"/>
    <mergeCell ref="M10:N10"/>
    <mergeCell ref="M11:N11"/>
    <mergeCell ref="M12:N12"/>
    <mergeCell ref="M13:N13"/>
    <mergeCell ref="C5:E5"/>
    <mergeCell ref="F5:I5"/>
    <mergeCell ref="J5:N5"/>
    <mergeCell ref="M6:N6"/>
    <mergeCell ref="M7:N7"/>
    <mergeCell ref="H6:H7"/>
    <mergeCell ref="C6:C7"/>
    <mergeCell ref="D6:D7"/>
    <mergeCell ref="E6:E7"/>
    <mergeCell ref="L6:L7"/>
    <mergeCell ref="F6:F7"/>
    <mergeCell ref="G6:G7"/>
    <mergeCell ref="I6:I7"/>
    <mergeCell ref="J6:J7"/>
    <mergeCell ref="K6:K7"/>
    <mergeCell ref="C4:E4"/>
    <mergeCell ref="F4:I4"/>
    <mergeCell ref="J4:N4"/>
    <mergeCell ref="C2:E2"/>
    <mergeCell ref="H2:I2"/>
    <mergeCell ref="J2:N2"/>
    <mergeCell ref="C3:E3"/>
    <mergeCell ref="H3:I3"/>
    <mergeCell ref="J3:N3"/>
  </mergeCells>
  <pageMargins left="0.70866141732283472" right="0.70866141732283472" top="0.74803149606299213" bottom="0.74803149606299213" header="0.31496062992125984" footer="0.31496062992125984"/>
  <pageSetup scale="94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34"/>
  <sheetViews>
    <sheetView rightToLeft="1" topLeftCell="C1" zoomScale="115" zoomScaleNormal="115" workbookViewId="0">
      <selection activeCell="J2" sqref="J2:N2"/>
    </sheetView>
  </sheetViews>
  <sheetFormatPr defaultRowHeight="14.25"/>
  <cols>
    <col min="1" max="1" width="2.375" hidden="1" customWidth="1"/>
    <col min="2" max="2" width="2" customWidth="1"/>
    <col min="3" max="3" width="8.375" bestFit="1" customWidth="1"/>
    <col min="4" max="4" width="7.875" customWidth="1"/>
    <col min="5" max="5" width="9.375" customWidth="1"/>
    <col min="6" max="6" width="7.625" customWidth="1"/>
    <col min="7" max="7" width="7.375" bestFit="1" customWidth="1"/>
    <col min="8" max="8" width="5.75" bestFit="1" customWidth="1"/>
    <col min="9" max="9" width="11.375" customWidth="1"/>
    <col min="10" max="10" width="10.25" bestFit="1" customWidth="1"/>
    <col min="12" max="12" width="6.875" bestFit="1" customWidth="1"/>
    <col min="14" max="14" width="4.375" customWidth="1"/>
  </cols>
  <sheetData>
    <row r="1" spans="3:14">
      <c r="C1" t="s">
        <v>63</v>
      </c>
    </row>
    <row r="2" spans="3:14" ht="21" customHeight="1">
      <c r="C2" s="47" t="s">
        <v>52</v>
      </c>
      <c r="D2" s="47"/>
      <c r="E2" s="47"/>
      <c r="F2" t="s">
        <v>39</v>
      </c>
      <c r="H2" s="58">
        <v>18.948</v>
      </c>
      <c r="I2" s="58"/>
      <c r="J2" s="53" t="s">
        <v>57</v>
      </c>
      <c r="K2" s="53"/>
      <c r="L2" s="53"/>
      <c r="M2" s="53"/>
      <c r="N2" s="53"/>
    </row>
    <row r="3" spans="3:14" ht="21" customHeight="1">
      <c r="C3" s="47" t="s">
        <v>71</v>
      </c>
      <c r="D3" s="47"/>
      <c r="E3" s="47"/>
      <c r="F3" t="s">
        <v>40</v>
      </c>
      <c r="H3" s="58">
        <v>9.7624999999999993</v>
      </c>
      <c r="I3" s="58"/>
      <c r="J3" s="47" t="s">
        <v>72</v>
      </c>
      <c r="K3" s="47"/>
      <c r="L3" s="47"/>
      <c r="M3" s="47"/>
      <c r="N3" s="47"/>
    </row>
    <row r="4" spans="3:14" ht="21" customHeight="1">
      <c r="C4" s="47" t="s">
        <v>73</v>
      </c>
      <c r="D4" s="47"/>
      <c r="E4" s="47"/>
      <c r="F4" s="55" t="s">
        <v>64</v>
      </c>
      <c r="G4" s="55"/>
      <c r="H4" s="55"/>
      <c r="I4" s="55"/>
      <c r="J4" s="56" t="s">
        <v>74</v>
      </c>
      <c r="K4" s="56"/>
      <c r="L4" s="56"/>
      <c r="M4" s="56"/>
      <c r="N4" s="56"/>
    </row>
    <row r="5" spans="3:14" ht="21" customHeight="1">
      <c r="C5" s="47" t="s">
        <v>62</v>
      </c>
      <c r="D5" s="47"/>
      <c r="E5" s="47"/>
      <c r="F5" s="47" t="s">
        <v>41</v>
      </c>
      <c r="G5" s="47"/>
      <c r="H5" s="47"/>
      <c r="I5" s="47"/>
      <c r="J5" s="47" t="s">
        <v>55</v>
      </c>
      <c r="K5" s="47"/>
      <c r="L5" s="47"/>
      <c r="M5" s="47"/>
      <c r="N5" s="47"/>
    </row>
    <row r="6" spans="3:14" ht="15.75">
      <c r="C6" s="51" t="s">
        <v>20</v>
      </c>
      <c r="D6" s="51" t="s">
        <v>21</v>
      </c>
      <c r="E6" s="51" t="s">
        <v>22</v>
      </c>
      <c r="F6" s="51" t="s">
        <v>23</v>
      </c>
      <c r="G6" s="51" t="s">
        <v>24</v>
      </c>
      <c r="H6" s="48" t="s">
        <v>25</v>
      </c>
      <c r="I6" s="52" t="s">
        <v>26</v>
      </c>
      <c r="J6" s="51" t="s">
        <v>27</v>
      </c>
      <c r="K6" s="48" t="s">
        <v>28</v>
      </c>
      <c r="L6" s="48" t="s">
        <v>29</v>
      </c>
      <c r="M6" s="49" t="s">
        <v>30</v>
      </c>
      <c r="N6" s="49"/>
    </row>
    <row r="7" spans="3:14" ht="18.75">
      <c r="C7" s="51"/>
      <c r="D7" s="51"/>
      <c r="E7" s="51"/>
      <c r="F7" s="51"/>
      <c r="G7" s="51"/>
      <c r="H7" s="48"/>
      <c r="I7" s="52"/>
      <c r="J7" s="51"/>
      <c r="K7" s="48"/>
      <c r="L7" s="48"/>
      <c r="M7" s="50">
        <v>145</v>
      </c>
      <c r="N7" s="50"/>
    </row>
    <row r="8" spans="3:14" ht="18.75">
      <c r="C8" s="27">
        <f>IF(D8&lt;&gt;0,F8/D8,1)</f>
        <v>0.6095718230146846</v>
      </c>
      <c r="D8" s="28">
        <f>E8+F8</f>
        <v>5.2850622000000005</v>
      </c>
      <c r="E8" s="28">
        <f>$H$2*I8*I8</f>
        <v>2.0634372000000005</v>
      </c>
      <c r="F8" s="28">
        <f>$H$3*I8</f>
        <v>3.221625</v>
      </c>
      <c r="G8" s="29">
        <f>H8/(K8-$M$7)</f>
        <v>1.1000000000000001</v>
      </c>
      <c r="H8" s="24">
        <v>5.5</v>
      </c>
      <c r="I8" s="25">
        <f>H8*60/1000</f>
        <v>0.33</v>
      </c>
      <c r="J8" s="26">
        <f>IF(K8-$M$7&lt;0,0,K8-$M$7)</f>
        <v>5</v>
      </c>
      <c r="K8" s="19">
        <v>150</v>
      </c>
      <c r="L8" s="23">
        <v>1050</v>
      </c>
      <c r="M8" s="45" t="s">
        <v>31</v>
      </c>
      <c r="N8" s="45"/>
    </row>
    <row r="9" spans="3:14" ht="18.75">
      <c r="C9" s="27">
        <f>IF(D9&lt;&gt;0,F9/D9,1)</f>
        <v>0.50254864876829897</v>
      </c>
      <c r="D9" s="28">
        <f t="shared" ref="D9:D14" si="0">E9+F9</f>
        <v>9.9072497999999989</v>
      </c>
      <c r="E9" s="28">
        <f t="shared" ref="E9:E14" si="1">$H$2*I9*I9</f>
        <v>4.9283748000000003</v>
      </c>
      <c r="F9" s="28">
        <f t="shared" ref="F9:F14" si="2">$H$3*I9</f>
        <v>4.9788749999999995</v>
      </c>
      <c r="G9" s="29">
        <f t="shared" ref="G9:G14" si="3">H9/(K9-$M$7)</f>
        <v>0.85</v>
      </c>
      <c r="H9" s="24">
        <v>8.5</v>
      </c>
      <c r="I9" s="25">
        <f t="shared" ref="I9:I14" si="4">H9*60/1000</f>
        <v>0.51</v>
      </c>
      <c r="J9" s="26">
        <f t="shared" ref="J9:J14" si="5">IF(K9-$M$7&lt;0,0,K9-$M$7)</f>
        <v>10</v>
      </c>
      <c r="K9" s="19">
        <v>155</v>
      </c>
      <c r="L9" s="21">
        <v>1150</v>
      </c>
      <c r="M9" s="45" t="s">
        <v>32</v>
      </c>
      <c r="N9" s="45"/>
    </row>
    <row r="10" spans="3:14" ht="18.75">
      <c r="C10" s="27">
        <f>IF(D10&lt;&gt;0,F10/D10,1)</f>
        <v>0.42749321046634747</v>
      </c>
      <c r="D10" s="28">
        <f t="shared" si="0"/>
        <v>15.757267799999997</v>
      </c>
      <c r="E10" s="28">
        <f t="shared" si="1"/>
        <v>9.021142799999998</v>
      </c>
      <c r="F10" s="28">
        <f t="shared" si="2"/>
        <v>6.7361249999999986</v>
      </c>
      <c r="G10" s="29">
        <f t="shared" si="3"/>
        <v>0.71875</v>
      </c>
      <c r="H10" s="24">
        <v>11.5</v>
      </c>
      <c r="I10" s="25">
        <f t="shared" si="4"/>
        <v>0.69</v>
      </c>
      <c r="J10" s="26">
        <f t="shared" si="5"/>
        <v>16</v>
      </c>
      <c r="K10" s="19">
        <v>161</v>
      </c>
      <c r="L10" s="23">
        <v>1250</v>
      </c>
      <c r="M10" s="45" t="s">
        <v>33</v>
      </c>
      <c r="N10" s="45"/>
    </row>
    <row r="11" spans="3:14" ht="18.75">
      <c r="C11" s="27">
        <f>IF(D11&lt;&gt;0,F11/D11,1)</f>
        <v>0.36405911462314983</v>
      </c>
      <c r="D11" s="28">
        <f>E11+F11</f>
        <v>24.134129999999999</v>
      </c>
      <c r="E11" s="28">
        <f t="shared" si="1"/>
        <v>15.34788</v>
      </c>
      <c r="F11" s="28">
        <f>$H$3*I11</f>
        <v>8.786249999999999</v>
      </c>
      <c r="G11" s="29">
        <f t="shared" si="3"/>
        <v>0.625</v>
      </c>
      <c r="H11" s="18">
        <v>15</v>
      </c>
      <c r="I11" s="25">
        <f t="shared" si="4"/>
        <v>0.9</v>
      </c>
      <c r="J11" s="26">
        <f t="shared" si="5"/>
        <v>24</v>
      </c>
      <c r="K11" s="20">
        <v>169</v>
      </c>
      <c r="L11" s="21">
        <v>1350</v>
      </c>
      <c r="M11" s="45" t="s">
        <v>34</v>
      </c>
      <c r="N11" s="45"/>
    </row>
    <row r="12" spans="3:14" ht="18.75">
      <c r="C12" s="27">
        <f t="shared" ref="C12:C14" si="6">IF(D12&lt;&gt;0,F12/D12,1)</f>
        <v>1</v>
      </c>
      <c r="D12" s="28">
        <f t="shared" ref="D12:D13" si="7">E12+F12</f>
        <v>0</v>
      </c>
      <c r="E12" s="28">
        <f t="shared" si="1"/>
        <v>0</v>
      </c>
      <c r="F12" s="28">
        <f t="shared" ref="F12:F13" si="8">$H$3*I12</f>
        <v>0</v>
      </c>
      <c r="G12" s="29">
        <f t="shared" si="3"/>
        <v>0</v>
      </c>
      <c r="H12" s="22">
        <v>0</v>
      </c>
      <c r="I12" s="25">
        <f t="shared" si="4"/>
        <v>0</v>
      </c>
      <c r="J12" s="26">
        <f t="shared" si="5"/>
        <v>0</v>
      </c>
      <c r="K12" s="20">
        <v>0</v>
      </c>
      <c r="L12" s="21"/>
      <c r="M12" s="46" t="s">
        <v>35</v>
      </c>
      <c r="N12" s="46"/>
    </row>
    <row r="13" spans="3:14" ht="18.75">
      <c r="C13" s="27">
        <f t="shared" ref="C13" si="9">IF(D13&lt;&gt;0,F13/D13,1)</f>
        <v>1</v>
      </c>
      <c r="D13" s="28">
        <f t="shared" si="7"/>
        <v>0</v>
      </c>
      <c r="E13" s="28">
        <f t="shared" ref="E13" si="10">$H$2*I13*I13</f>
        <v>0</v>
      </c>
      <c r="F13" s="28">
        <f t="shared" si="8"/>
        <v>0</v>
      </c>
      <c r="G13" s="29">
        <f t="shared" ref="G13" si="11">H13/(K13-$M$7)</f>
        <v>0</v>
      </c>
      <c r="H13" s="22">
        <v>0</v>
      </c>
      <c r="I13" s="25">
        <f t="shared" ref="I13" si="12">H13*60/1000</f>
        <v>0</v>
      </c>
      <c r="J13" s="26">
        <f t="shared" ref="J13" si="13">IF(K13-$M$7&lt;0,0,K13-$M$7)</f>
        <v>0</v>
      </c>
      <c r="K13" s="20">
        <v>0</v>
      </c>
      <c r="L13" s="21"/>
      <c r="M13" s="46" t="s">
        <v>42</v>
      </c>
      <c r="N13" s="46"/>
    </row>
    <row r="14" spans="3:14" ht="18.75">
      <c r="C14" s="27">
        <f t="shared" si="6"/>
        <v>1</v>
      </c>
      <c r="D14" s="28">
        <f t="shared" si="0"/>
        <v>0</v>
      </c>
      <c r="E14" s="28">
        <f t="shared" si="1"/>
        <v>0</v>
      </c>
      <c r="F14" s="28">
        <f t="shared" si="2"/>
        <v>0</v>
      </c>
      <c r="G14" s="29">
        <f t="shared" si="3"/>
        <v>0</v>
      </c>
      <c r="H14" s="22">
        <v>0</v>
      </c>
      <c r="I14" s="25">
        <f t="shared" si="4"/>
        <v>0</v>
      </c>
      <c r="J14" s="26">
        <f t="shared" si="5"/>
        <v>0</v>
      </c>
      <c r="K14" s="20">
        <v>0</v>
      </c>
      <c r="L14" s="21">
        <v>0</v>
      </c>
      <c r="M14" s="46" t="s">
        <v>43</v>
      </c>
      <c r="N14" s="46"/>
    </row>
    <row r="34" spans="3:13" ht="21.75" customHeight="1">
      <c r="C34" s="47" t="s">
        <v>17</v>
      </c>
      <c r="D34" s="47"/>
      <c r="E34" s="47"/>
      <c r="F34" s="47" t="s">
        <v>36</v>
      </c>
      <c r="G34" s="47"/>
      <c r="H34" s="47"/>
      <c r="I34" s="47"/>
      <c r="K34" s="47" t="s">
        <v>38</v>
      </c>
      <c r="L34" s="47"/>
      <c r="M34" s="47"/>
    </row>
  </sheetData>
  <mergeCells count="34">
    <mergeCell ref="C34:E34"/>
    <mergeCell ref="F34:I34"/>
    <mergeCell ref="K34:M34"/>
    <mergeCell ref="M13:N13"/>
    <mergeCell ref="M8:N8"/>
    <mergeCell ref="M9:N9"/>
    <mergeCell ref="M10:N10"/>
    <mergeCell ref="M11:N11"/>
    <mergeCell ref="M12:N12"/>
    <mergeCell ref="M14:N14"/>
    <mergeCell ref="C5:E5"/>
    <mergeCell ref="F5:I5"/>
    <mergeCell ref="J5:N5"/>
    <mergeCell ref="M6:N6"/>
    <mergeCell ref="M7:N7"/>
    <mergeCell ref="H6:H7"/>
    <mergeCell ref="C6:C7"/>
    <mergeCell ref="D6:D7"/>
    <mergeCell ref="E6:E7"/>
    <mergeCell ref="L6:L7"/>
    <mergeCell ref="F6:F7"/>
    <mergeCell ref="G6:G7"/>
    <mergeCell ref="I6:I7"/>
    <mergeCell ref="J6:J7"/>
    <mergeCell ref="K6:K7"/>
    <mergeCell ref="C4:E4"/>
    <mergeCell ref="F4:I4"/>
    <mergeCell ref="J4:N4"/>
    <mergeCell ref="C2:E2"/>
    <mergeCell ref="H2:I2"/>
    <mergeCell ref="J2:N2"/>
    <mergeCell ref="C3:E3"/>
    <mergeCell ref="H3:I3"/>
    <mergeCell ref="J3:N3"/>
  </mergeCells>
  <pageMargins left="0.70866141732283472" right="0.70866141732283472" top="0.74803149606299213" bottom="0.74803149606299213" header="0.31496062992125984" footer="0.31496062992125984"/>
  <pageSetup scale="94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"/>
  <sheetViews>
    <sheetView rightToLeft="1" tabSelected="1" topLeftCell="E5" zoomScale="85" zoomScaleNormal="85" workbookViewId="0">
      <selection activeCell="N9" sqref="N9"/>
    </sheetView>
  </sheetViews>
  <sheetFormatPr defaultRowHeight="14.25"/>
  <cols>
    <col min="1" max="1" width="2.375" hidden="1" customWidth="1"/>
    <col min="2" max="2" width="2" customWidth="1"/>
    <col min="3" max="3" width="5.125" customWidth="1"/>
    <col min="4" max="4" width="8.125" bestFit="1" customWidth="1"/>
    <col min="5" max="5" width="73.75" customWidth="1"/>
    <col min="6" max="6" width="7.75" customWidth="1"/>
    <col min="7" max="7" width="15.375" customWidth="1"/>
    <col min="8" max="8" width="9.25" customWidth="1"/>
    <col min="9" max="9" width="21.875" bestFit="1" customWidth="1"/>
    <col min="10" max="10" width="16.125" customWidth="1"/>
    <col min="11" max="11" width="15.125" customWidth="1"/>
    <col min="12" max="12" width="13.125" customWidth="1"/>
    <col min="13" max="13" width="14.5" customWidth="1"/>
    <col min="14" max="14" width="14" bestFit="1" customWidth="1"/>
  </cols>
  <sheetData>
    <row r="1" spans="3:14" ht="33.75" thickBot="1">
      <c r="C1" s="59" t="s">
        <v>108</v>
      </c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</row>
    <row r="2" spans="3:14" ht="37.15" customHeight="1">
      <c r="C2" s="2" t="s">
        <v>0</v>
      </c>
      <c r="D2" s="3" t="s">
        <v>6</v>
      </c>
      <c r="E2" s="3" t="s">
        <v>1</v>
      </c>
      <c r="F2" s="3" t="s">
        <v>2</v>
      </c>
      <c r="G2" s="3" t="s">
        <v>3</v>
      </c>
      <c r="H2" s="3" t="s">
        <v>4</v>
      </c>
      <c r="I2" s="13" t="s">
        <v>5</v>
      </c>
      <c r="J2" s="3" t="s">
        <v>75</v>
      </c>
      <c r="K2" s="3" t="s">
        <v>76</v>
      </c>
      <c r="L2" s="3" t="s">
        <v>77</v>
      </c>
      <c r="M2" s="3" t="s">
        <v>78</v>
      </c>
      <c r="N2" s="42" t="s">
        <v>109</v>
      </c>
    </row>
    <row r="3" spans="3:14" ht="35.25">
      <c r="C3" s="6">
        <v>1</v>
      </c>
      <c r="D3" s="7" t="s">
        <v>99</v>
      </c>
      <c r="E3" s="14" t="s">
        <v>90</v>
      </c>
      <c r="F3" s="5" t="s">
        <v>7</v>
      </c>
      <c r="G3" s="39">
        <v>72699000</v>
      </c>
      <c r="H3" s="40">
        <f t="shared" ref="H3:H12" si="0">SUM(J3:M3)</f>
        <v>4</v>
      </c>
      <c r="I3" s="15">
        <f>H3*G3</f>
        <v>290796000</v>
      </c>
      <c r="J3" s="38">
        <v>1</v>
      </c>
      <c r="K3" s="38">
        <v>1</v>
      </c>
      <c r="L3" s="38">
        <v>1</v>
      </c>
      <c r="M3" s="38">
        <v>1</v>
      </c>
      <c r="N3" s="38">
        <v>1</v>
      </c>
    </row>
    <row r="4" spans="3:14" ht="35.25">
      <c r="C4" s="6">
        <v>2</v>
      </c>
      <c r="D4" s="7" t="s">
        <v>100</v>
      </c>
      <c r="E4" s="14" t="s">
        <v>91</v>
      </c>
      <c r="F4" s="5" t="s">
        <v>8</v>
      </c>
      <c r="G4" s="39">
        <v>219500</v>
      </c>
      <c r="H4" s="40">
        <f t="shared" si="0"/>
        <v>600</v>
      </c>
      <c r="I4" s="15">
        <f t="shared" ref="I4:I12" si="1">H4*G4</f>
        <v>131700000</v>
      </c>
      <c r="J4" s="38">
        <v>150</v>
      </c>
      <c r="K4" s="38">
        <v>150</v>
      </c>
      <c r="L4" s="38">
        <v>150</v>
      </c>
      <c r="M4" s="38">
        <v>150</v>
      </c>
      <c r="N4" s="38">
        <v>150</v>
      </c>
    </row>
    <row r="5" spans="3:14" ht="35.25">
      <c r="C5" s="6">
        <v>3</v>
      </c>
      <c r="D5" s="7" t="s">
        <v>101</v>
      </c>
      <c r="E5" s="14" t="s">
        <v>92</v>
      </c>
      <c r="F5" s="5" t="s">
        <v>8</v>
      </c>
      <c r="G5" s="39">
        <v>285500</v>
      </c>
      <c r="H5" s="40">
        <f t="shared" si="0"/>
        <v>0</v>
      </c>
      <c r="I5" s="15">
        <f t="shared" si="1"/>
        <v>0</v>
      </c>
      <c r="J5" s="38">
        <v>0</v>
      </c>
      <c r="K5" s="38">
        <v>0</v>
      </c>
      <c r="L5" s="38">
        <v>0</v>
      </c>
      <c r="M5" s="38">
        <v>0</v>
      </c>
      <c r="N5" s="38">
        <v>0</v>
      </c>
    </row>
    <row r="6" spans="3:14" ht="60" customHeight="1">
      <c r="C6" s="6">
        <v>4</v>
      </c>
      <c r="D6" s="7" t="s">
        <v>102</v>
      </c>
      <c r="E6" s="14" t="s">
        <v>93</v>
      </c>
      <c r="F6" s="5" t="s">
        <v>7</v>
      </c>
      <c r="G6" s="39">
        <v>490849000</v>
      </c>
      <c r="H6" s="40">
        <f t="shared" si="0"/>
        <v>4</v>
      </c>
      <c r="I6" s="15">
        <f t="shared" si="1"/>
        <v>1963396000</v>
      </c>
      <c r="J6" s="38">
        <v>1</v>
      </c>
      <c r="K6" s="38">
        <v>1</v>
      </c>
      <c r="L6" s="38">
        <v>1</v>
      </c>
      <c r="M6" s="38">
        <v>1</v>
      </c>
      <c r="N6" s="38">
        <v>1</v>
      </c>
    </row>
    <row r="7" spans="3:14" ht="57" customHeight="1">
      <c r="C7" s="6">
        <v>5</v>
      </c>
      <c r="D7" s="7" t="s">
        <v>103</v>
      </c>
      <c r="E7" s="14" t="s">
        <v>94</v>
      </c>
      <c r="F7" s="5" t="s">
        <v>46</v>
      </c>
      <c r="G7" s="39">
        <v>2454245</v>
      </c>
      <c r="H7" s="40">
        <f>SUM(J7:M7)</f>
        <v>118</v>
      </c>
      <c r="I7" s="15">
        <f>H7*G7</f>
        <v>289600910</v>
      </c>
      <c r="J7" s="38">
        <v>34</v>
      </c>
      <c r="K7" s="38">
        <v>0</v>
      </c>
      <c r="L7" s="38">
        <v>44</v>
      </c>
      <c r="M7" s="38">
        <v>40</v>
      </c>
      <c r="N7" s="38">
        <v>36</v>
      </c>
    </row>
    <row r="8" spans="3:14" ht="36">
      <c r="C8" s="6">
        <v>6</v>
      </c>
      <c r="D8" s="7" t="s">
        <v>104</v>
      </c>
      <c r="E8" s="14" t="s">
        <v>95</v>
      </c>
      <c r="F8" s="5" t="s">
        <v>9</v>
      </c>
      <c r="G8" s="39">
        <v>17084000</v>
      </c>
      <c r="H8" s="40">
        <f t="shared" si="0"/>
        <v>557.5</v>
      </c>
      <c r="I8" s="15">
        <f t="shared" si="1"/>
        <v>9524330000</v>
      </c>
      <c r="J8" s="38">
        <v>108</v>
      </c>
      <c r="K8" s="38">
        <v>67</v>
      </c>
      <c r="L8" s="38">
        <v>233.5</v>
      </c>
      <c r="M8" s="38">
        <v>149</v>
      </c>
      <c r="N8" s="38">
        <v>189.66</v>
      </c>
    </row>
    <row r="9" spans="3:14" ht="35.25">
      <c r="C9" s="6">
        <v>7</v>
      </c>
      <c r="D9" s="7" t="s">
        <v>105</v>
      </c>
      <c r="E9" s="37" t="s">
        <v>96</v>
      </c>
      <c r="F9" s="5" t="s">
        <v>9</v>
      </c>
      <c r="G9" s="39">
        <v>1025040</v>
      </c>
      <c r="H9" s="40">
        <f t="shared" si="0"/>
        <v>490.5</v>
      </c>
      <c r="I9" s="15">
        <f t="shared" si="1"/>
        <v>502782120</v>
      </c>
      <c r="J9" s="38">
        <f>J8</f>
        <v>108</v>
      </c>
      <c r="K9" s="38">
        <v>0</v>
      </c>
      <c r="L9" s="38">
        <f>L8</f>
        <v>233.5</v>
      </c>
      <c r="M9" s="38">
        <v>149</v>
      </c>
      <c r="N9" s="38">
        <f>N8</f>
        <v>189.66</v>
      </c>
    </row>
    <row r="10" spans="3:14" ht="35.25">
      <c r="C10" s="6">
        <v>8</v>
      </c>
      <c r="D10" s="7">
        <v>60908</v>
      </c>
      <c r="E10" s="37" t="s">
        <v>110</v>
      </c>
      <c r="F10" s="5" t="s">
        <v>9</v>
      </c>
      <c r="G10" s="39">
        <v>2562600</v>
      </c>
      <c r="H10" s="40"/>
      <c r="I10" s="15"/>
      <c r="J10" s="38">
        <v>0</v>
      </c>
      <c r="K10" s="38">
        <v>0</v>
      </c>
      <c r="L10" s="41">
        <v>0</v>
      </c>
      <c r="M10" s="41">
        <v>0</v>
      </c>
      <c r="N10" s="38">
        <v>104</v>
      </c>
    </row>
    <row r="11" spans="3:14" ht="36">
      <c r="C11" s="6">
        <v>9</v>
      </c>
      <c r="D11" s="7" t="s">
        <v>106</v>
      </c>
      <c r="E11" s="14" t="s">
        <v>97</v>
      </c>
      <c r="F11" s="5" t="s">
        <v>9</v>
      </c>
      <c r="G11" s="39">
        <v>18228000</v>
      </c>
      <c r="H11" s="40">
        <f t="shared" si="0"/>
        <v>24</v>
      </c>
      <c r="I11" s="15">
        <f t="shared" si="1"/>
        <v>437472000</v>
      </c>
      <c r="J11" s="38">
        <v>6</v>
      </c>
      <c r="K11" s="38">
        <v>6</v>
      </c>
      <c r="L11" s="38">
        <v>6</v>
      </c>
      <c r="M11" s="38">
        <v>6</v>
      </c>
      <c r="N11" s="38">
        <v>6</v>
      </c>
    </row>
    <row r="12" spans="3:14" ht="35.25">
      <c r="C12" s="6">
        <v>10</v>
      </c>
      <c r="D12" s="7" t="s">
        <v>107</v>
      </c>
      <c r="E12" s="36" t="s">
        <v>98</v>
      </c>
      <c r="F12" s="5" t="s">
        <v>9</v>
      </c>
      <c r="G12" s="39">
        <v>1093680</v>
      </c>
      <c r="H12" s="40">
        <f t="shared" si="0"/>
        <v>18</v>
      </c>
      <c r="I12" s="15">
        <f t="shared" si="1"/>
        <v>19686240</v>
      </c>
      <c r="J12" s="38">
        <f>J11</f>
        <v>6</v>
      </c>
      <c r="K12" s="38">
        <v>0</v>
      </c>
      <c r="L12" s="38">
        <f>L11</f>
        <v>6</v>
      </c>
      <c r="M12" s="38">
        <f>M11</f>
        <v>6</v>
      </c>
      <c r="N12" s="38">
        <f>N11</f>
        <v>6</v>
      </c>
    </row>
    <row r="13" spans="3:14" ht="35.25">
      <c r="C13" s="8"/>
      <c r="D13" s="9"/>
      <c r="E13" s="62" t="s">
        <v>10</v>
      </c>
      <c r="F13" s="63"/>
      <c r="G13" s="63"/>
      <c r="H13" s="64"/>
      <c r="I13" s="15"/>
      <c r="J13" s="39">
        <f>$G$3*J3+$G$4*J4+$G$5*J5+$G$6*J6+$G$7*J7+$G$8*J8+$G$9*J9+$G$11*J11+$G$12*J12+$G$10*J10</f>
        <v>2751623730</v>
      </c>
      <c r="K13" s="39">
        <f t="shared" ref="K13:M13" si="2">$G$3*K3+$G$4*K4+$G$5*K5+$G$6*K6+$G$7*K7+$G$8*K8+$G$9*K9+$G$11*K11+$G$12*K12+$G$10*K10</f>
        <v>1850469000</v>
      </c>
      <c r="L13" s="39">
        <f t="shared" si="2"/>
        <v>5048850700</v>
      </c>
      <c r="M13" s="39">
        <f t="shared" si="2"/>
        <v>3508819840</v>
      </c>
      <c r="N13" s="39">
        <f>$G$3*N3+$G$4*N4+$G$5*N5+$G$6*N6+$G$7*N7+$G$8*N8+$G$9*N9+$G$11*N11+$G$12*N12+$G$10*N10</f>
        <v>4501826826.3999996</v>
      </c>
    </row>
    <row r="14" spans="3:14" ht="31.5">
      <c r="C14" s="4"/>
      <c r="D14" s="1"/>
      <c r="E14" s="62" t="s">
        <v>11</v>
      </c>
      <c r="F14" s="63"/>
      <c r="G14" s="63"/>
      <c r="H14" s="64"/>
      <c r="I14" s="16">
        <v>1.41</v>
      </c>
      <c r="J14" s="16">
        <v>1.41</v>
      </c>
      <c r="K14" s="30">
        <v>1.41</v>
      </c>
      <c r="L14" s="30">
        <v>1.41</v>
      </c>
      <c r="M14" s="30">
        <v>1.41</v>
      </c>
      <c r="N14" s="30">
        <v>1.41</v>
      </c>
    </row>
    <row r="15" spans="3:14" ht="31.5">
      <c r="C15" s="4"/>
      <c r="D15" s="1"/>
      <c r="E15" s="62" t="s">
        <v>12</v>
      </c>
      <c r="F15" s="63"/>
      <c r="G15" s="63"/>
      <c r="H15" s="64"/>
      <c r="I15" s="16">
        <v>1.03</v>
      </c>
      <c r="J15" s="30">
        <v>1.03</v>
      </c>
      <c r="K15" s="30">
        <v>1.03</v>
      </c>
      <c r="L15" s="30">
        <v>1.03</v>
      </c>
      <c r="M15" s="30">
        <v>1.03</v>
      </c>
      <c r="N15" s="30">
        <v>1.03</v>
      </c>
    </row>
    <row r="16" spans="3:14" ht="23.25" customHeight="1">
      <c r="C16" s="10"/>
      <c r="D16" s="11"/>
      <c r="E16" s="62" t="s">
        <v>14</v>
      </c>
      <c r="F16" s="63"/>
      <c r="G16" s="63"/>
      <c r="H16" s="64"/>
      <c r="I16" s="17">
        <v>0.86609999999999998</v>
      </c>
      <c r="J16" s="31">
        <v>0.86609999999999998</v>
      </c>
      <c r="K16" s="31">
        <v>0.86609999999999998</v>
      </c>
      <c r="L16" s="31">
        <v>0.86609999999999998</v>
      </c>
      <c r="M16" s="31">
        <v>0.86609999999999998</v>
      </c>
      <c r="N16" s="31">
        <v>0.86609999999999998</v>
      </c>
    </row>
    <row r="17" spans="2:14" ht="173.25" customHeight="1">
      <c r="C17" s="10"/>
      <c r="D17" s="11"/>
      <c r="E17" s="62" t="s">
        <v>13</v>
      </c>
      <c r="F17" s="63"/>
      <c r="G17" s="63"/>
      <c r="H17" s="64"/>
      <c r="I17" s="35">
        <f>(SUM(J17:N17))</f>
        <v>22215402031.933201</v>
      </c>
      <c r="J17" s="43">
        <f>ROUND(J13*J14*J15*J16,4)</f>
        <v>3461094220.2206998</v>
      </c>
      <c r="K17" s="43">
        <f t="shared" ref="K17:L17" si="3">ROUND(K13*K14*K15*K16,4)</f>
        <v>2327588431.0671</v>
      </c>
      <c r="L17" s="43">
        <f t="shared" si="3"/>
        <v>6350631369.4013996</v>
      </c>
      <c r="M17" s="43">
        <f>ROUND(M13*M14*M15*M16,4)</f>
        <v>4413523526.3507004</v>
      </c>
      <c r="N17" s="44">
        <f>ROUND(N13*N14*N15*N16,4)</f>
        <v>5662564484.8933001</v>
      </c>
    </row>
    <row r="18" spans="2:14" ht="45.75" customHeight="1">
      <c r="C18" s="66" t="s">
        <v>47</v>
      </c>
      <c r="D18" s="66"/>
      <c r="E18" s="66"/>
      <c r="F18" s="66"/>
      <c r="G18" s="66"/>
      <c r="H18" s="66"/>
      <c r="I18" s="66"/>
      <c r="J18" s="60">
        <f>I17</f>
        <v>22215402031.933201</v>
      </c>
      <c r="K18" s="60"/>
      <c r="L18" s="60"/>
      <c r="M18" s="60"/>
      <c r="N18" s="60"/>
    </row>
    <row r="19" spans="2:14" ht="50.1" customHeight="1">
      <c r="B19" s="65" t="s">
        <v>15</v>
      </c>
      <c r="C19" s="65"/>
      <c r="D19" s="65"/>
      <c r="E19" s="65"/>
      <c r="F19" s="65"/>
      <c r="G19" s="65"/>
      <c r="H19" s="65"/>
      <c r="I19" s="65"/>
      <c r="J19" s="61" t="s">
        <v>16</v>
      </c>
      <c r="K19" s="61"/>
      <c r="L19" s="61"/>
      <c r="M19" s="61"/>
      <c r="N19" s="61"/>
    </row>
    <row r="20" spans="2:14">
      <c r="E20" s="12"/>
    </row>
  </sheetData>
  <mergeCells count="10">
    <mergeCell ref="C1:N1"/>
    <mergeCell ref="J18:N18"/>
    <mergeCell ref="J19:N19"/>
    <mergeCell ref="E17:H17"/>
    <mergeCell ref="E13:H13"/>
    <mergeCell ref="E14:H14"/>
    <mergeCell ref="E15:H15"/>
    <mergeCell ref="E16:H16"/>
    <mergeCell ref="B19:I19"/>
    <mergeCell ref="C18:I18"/>
  </mergeCells>
  <pageMargins left="0" right="0" top="0" bottom="0.74803149606299213" header="0" footer="0.31496062992125984"/>
  <pageSetup paperSize="9" scale="6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rightToLeft="1" workbookViewId="0">
      <selection activeCell="C6" sqref="C6"/>
    </sheetView>
  </sheetViews>
  <sheetFormatPr defaultRowHeight="14.25"/>
  <cols>
    <col min="2" max="2" width="14" bestFit="1" customWidth="1"/>
    <col min="3" max="3" width="18.375" bestFit="1" customWidth="1"/>
    <col min="4" max="4" width="26.875" bestFit="1" customWidth="1"/>
    <col min="5" max="5" width="28.625" bestFit="1" customWidth="1"/>
    <col min="6" max="6" width="11.875" customWidth="1"/>
  </cols>
  <sheetData>
    <row r="1" spans="1:6" ht="43.5" customHeight="1">
      <c r="A1" s="69" t="s">
        <v>87</v>
      </c>
      <c r="B1" s="69"/>
      <c r="C1" s="69"/>
      <c r="D1" s="69"/>
      <c r="E1" s="69"/>
      <c r="F1" s="69"/>
    </row>
    <row r="2" spans="1:6" ht="47.25" customHeight="1">
      <c r="A2" s="70" t="s">
        <v>88</v>
      </c>
      <c r="B2" s="70"/>
      <c r="C2" s="70"/>
      <c r="E2" s="71" t="s">
        <v>89</v>
      </c>
      <c r="F2" s="71"/>
    </row>
    <row r="3" spans="1:6" ht="39.75" customHeight="1">
      <c r="A3" s="67" t="s">
        <v>86</v>
      </c>
      <c r="B3" s="67"/>
      <c r="C3" s="67"/>
      <c r="D3" s="67"/>
      <c r="E3" s="67"/>
      <c r="F3" s="67"/>
    </row>
    <row r="4" spans="1:6" ht="70.5">
      <c r="A4" s="32" t="s">
        <v>0</v>
      </c>
      <c r="B4" s="32" t="s">
        <v>79</v>
      </c>
      <c r="C4" s="32" t="s">
        <v>85</v>
      </c>
      <c r="D4" s="32" t="s">
        <v>80</v>
      </c>
      <c r="E4" s="32" t="s">
        <v>81</v>
      </c>
      <c r="F4" s="32" t="s">
        <v>82</v>
      </c>
    </row>
    <row r="5" spans="1:6" ht="35.25">
      <c r="A5" s="32">
        <v>1</v>
      </c>
      <c r="B5" s="32" t="s">
        <v>83</v>
      </c>
      <c r="C5" s="34" t="e">
        <f>total!#REF!</f>
        <v>#REF!</v>
      </c>
      <c r="D5" s="32">
        <v>0</v>
      </c>
      <c r="E5" s="32" t="e">
        <f>D5+C5</f>
        <v>#REF!</v>
      </c>
      <c r="F5" s="1"/>
    </row>
    <row r="7" spans="1:6" ht="27">
      <c r="A7" s="68" t="s">
        <v>84</v>
      </c>
      <c r="B7" s="68"/>
      <c r="C7" s="68"/>
      <c r="D7" s="33"/>
      <c r="E7" s="68" t="s">
        <v>16</v>
      </c>
      <c r="F7" s="68"/>
    </row>
    <row r="8" spans="1:6" ht="27">
      <c r="A8" s="68"/>
      <c r="B8" s="68"/>
      <c r="C8" s="68"/>
      <c r="D8" s="33"/>
      <c r="E8" s="68"/>
      <c r="F8" s="68"/>
    </row>
  </sheetData>
  <mergeCells count="6">
    <mergeCell ref="A3:F3"/>
    <mergeCell ref="A7:C8"/>
    <mergeCell ref="E7:F8"/>
    <mergeCell ref="A1:F1"/>
    <mergeCell ref="A2:C2"/>
    <mergeCell ref="E2:F2"/>
  </mergeCells>
  <pageMargins left="0.70866141732283472" right="0.70866141732283472" top="0.74803149606299213" bottom="0.74803149606299213" header="0.31496062992125984" footer="0.31496062992125984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حجت 1</vt:lpstr>
      <vt:lpstr>سپاد3</vt:lpstr>
      <vt:lpstr>اسلام آباد12</vt:lpstr>
      <vt:lpstr>امام رضا19</vt:lpstr>
      <vt:lpstr>total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امین بزرگمهر</cp:lastModifiedBy>
  <cp:lastPrinted>2026-03-31T07:09:11Z</cp:lastPrinted>
  <dcterms:created xsi:type="dcterms:W3CDTF">2023-06-28T08:54:52Z</dcterms:created>
  <dcterms:modified xsi:type="dcterms:W3CDTF">2026-03-31T07:09:35Z</dcterms:modified>
</cp:coreProperties>
</file>