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پمپاژ حامد صفر پور\قابل پرداخت صفر پور\"/>
    </mc:Choice>
  </mc:AlternateContent>
  <bookViews>
    <workbookView xWindow="-120" yWindow="-120" windowWidth="21840" windowHeight="13140" tabRatio="873" activeTab="2"/>
  </bookViews>
  <sheets>
    <sheet name="حجاب 5" sheetId="42" r:id="rId1"/>
    <sheet name="امامیه 16" sheetId="41" r:id="rId2"/>
    <sheet name="total" sheetId="8" r:id="rId3"/>
    <sheet name="Sheet1" sheetId="4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8" l="1"/>
  <c r="H9" i="8"/>
  <c r="I10" i="8"/>
  <c r="I8" i="8"/>
  <c r="I7" i="8"/>
  <c r="I6" i="8"/>
  <c r="I4" i="8"/>
  <c r="I3" i="8"/>
  <c r="J18" i="8"/>
  <c r="H4" i="8"/>
  <c r="H5" i="8"/>
  <c r="H6" i="8"/>
  <c r="H7" i="8"/>
  <c r="H8" i="8"/>
  <c r="H10" i="8"/>
  <c r="H11" i="8"/>
  <c r="H12" i="8"/>
  <c r="H3" i="8"/>
  <c r="I5" i="8"/>
  <c r="J12" i="8" l="1"/>
  <c r="J9" i="8"/>
  <c r="Q10" i="42"/>
  <c r="D11" i="41"/>
  <c r="D8" i="41"/>
  <c r="E8" i="41"/>
  <c r="E11" i="41"/>
  <c r="J13" i="8" l="1"/>
  <c r="I9" i="8"/>
  <c r="J17" i="8"/>
  <c r="I11" i="8" l="1"/>
  <c r="I12" i="8"/>
  <c r="C5" i="45" l="1"/>
  <c r="E5" i="45" s="1"/>
  <c r="J14" i="42"/>
  <c r="I14" i="42"/>
  <c r="F14" i="42" s="1"/>
  <c r="G14" i="42"/>
  <c r="J13" i="42"/>
  <c r="I13" i="42"/>
  <c r="F13" i="42" s="1"/>
  <c r="G13" i="42"/>
  <c r="J12" i="42"/>
  <c r="I12" i="42"/>
  <c r="F12" i="42" s="1"/>
  <c r="G12" i="42"/>
  <c r="J11" i="42"/>
  <c r="I11" i="42"/>
  <c r="E11" i="42" s="1"/>
  <c r="G11" i="42"/>
  <c r="J10" i="42"/>
  <c r="I10" i="42"/>
  <c r="E10" i="42" s="1"/>
  <c r="G10" i="42"/>
  <c r="J9" i="42"/>
  <c r="I9" i="42"/>
  <c r="F9" i="42" s="1"/>
  <c r="G9" i="42"/>
  <c r="J8" i="42"/>
  <c r="I8" i="42"/>
  <c r="F8" i="42" s="1"/>
  <c r="G8" i="42"/>
  <c r="K13" i="41"/>
  <c r="J13" i="41"/>
  <c r="F13" i="41" s="1"/>
  <c r="H13" i="41"/>
  <c r="K14" i="41"/>
  <c r="J14" i="41"/>
  <c r="H14" i="41"/>
  <c r="G14" i="41"/>
  <c r="F14" i="41"/>
  <c r="E14" i="41" s="1"/>
  <c r="D14" i="41" s="1"/>
  <c r="K12" i="41"/>
  <c r="J12" i="41"/>
  <c r="G12" i="41" s="1"/>
  <c r="H12" i="41"/>
  <c r="K11" i="41"/>
  <c r="J11" i="41"/>
  <c r="F11" i="41" s="1"/>
  <c r="H11" i="41"/>
  <c r="K10" i="41"/>
  <c r="J10" i="41"/>
  <c r="G10" i="41" s="1"/>
  <c r="H10" i="41"/>
  <c r="K9" i="41"/>
  <c r="J9" i="41"/>
  <c r="F9" i="41" s="1"/>
  <c r="H9" i="41"/>
  <c r="K8" i="41"/>
  <c r="J8" i="41"/>
  <c r="G8" i="41" s="1"/>
  <c r="H8" i="41"/>
  <c r="E14" i="42" l="1"/>
  <c r="D14" i="42" s="1"/>
  <c r="C14" i="42" s="1"/>
  <c r="F11" i="42"/>
  <c r="D11" i="42" s="1"/>
  <c r="C11" i="42" s="1"/>
  <c r="E13" i="42"/>
  <c r="D13" i="42" s="1"/>
  <c r="C13" i="42" s="1"/>
  <c r="F10" i="42"/>
  <c r="D10" i="42" s="1"/>
  <c r="C10" i="42" s="1"/>
  <c r="E9" i="42"/>
  <c r="D9" i="42" s="1"/>
  <c r="C9" i="42" s="1"/>
  <c r="E8" i="42"/>
  <c r="D8" i="42" s="1"/>
  <c r="C8" i="42" s="1"/>
  <c r="E12" i="42"/>
  <c r="D12" i="42" s="1"/>
  <c r="C12" i="42" s="1"/>
  <c r="G13" i="41"/>
  <c r="E13" i="41" s="1"/>
  <c r="D13" i="41" s="1"/>
  <c r="F12" i="41"/>
  <c r="E12" i="41" s="1"/>
  <c r="D12" i="41" s="1"/>
  <c r="G9" i="41"/>
  <c r="E9" i="41" s="1"/>
  <c r="D9" i="41" s="1"/>
  <c r="F8" i="41"/>
  <c r="F10" i="41"/>
  <c r="E10" i="41" s="1"/>
  <c r="D10" i="41" s="1"/>
  <c r="G11" i="41"/>
</calcChain>
</file>

<file path=xl/sharedStrings.xml><?xml version="1.0" encoding="utf-8"?>
<sst xmlns="http://schemas.openxmlformats.org/spreadsheetml/2006/main" count="127" uniqueCount="93">
  <si>
    <t>ردیف</t>
  </si>
  <si>
    <t>شرح عملیات</t>
  </si>
  <si>
    <t>واحد</t>
  </si>
  <si>
    <t>بهای واحد(ریال)</t>
  </si>
  <si>
    <t>مقدار</t>
  </si>
  <si>
    <t>بهای کل(ریال)</t>
  </si>
  <si>
    <t>شماره</t>
  </si>
  <si>
    <t>حلقه چاه</t>
  </si>
  <si>
    <t>کیلومتر</t>
  </si>
  <si>
    <t>ساعت</t>
  </si>
  <si>
    <t>جمع کل</t>
  </si>
  <si>
    <t>ضریب بالا سری</t>
  </si>
  <si>
    <t>ضریب منطقه ای</t>
  </si>
  <si>
    <t>جمع کل پس از اعمال ضرایب (ریال)</t>
  </si>
  <si>
    <t>ضریب پیمان</t>
  </si>
  <si>
    <t>نماینده کارفرما</t>
  </si>
  <si>
    <t>نماینده دستگاه نظارت</t>
  </si>
  <si>
    <t>نماینده پیمانکار</t>
  </si>
  <si>
    <t>راندمان</t>
  </si>
  <si>
    <t>افت محاسبه ای</t>
  </si>
  <si>
    <t>افت شبکه</t>
  </si>
  <si>
    <t>افت سفره</t>
  </si>
  <si>
    <t>Sp. Cap</t>
  </si>
  <si>
    <t xml:space="preserve">آبدهی
(l/s) </t>
  </si>
  <si>
    <t>دبی متر مکعب بر دقیقه</t>
  </si>
  <si>
    <t>افت</t>
  </si>
  <si>
    <t>سطح پويايي
(m)</t>
  </si>
  <si>
    <t>دور موتور</t>
  </si>
  <si>
    <t>سطح ایستایی</t>
  </si>
  <si>
    <t xml:space="preserve">كارکرد 1 </t>
  </si>
  <si>
    <t>كارکرد 2</t>
  </si>
  <si>
    <t>كارکرد 3</t>
  </si>
  <si>
    <t>كارکرد 4</t>
  </si>
  <si>
    <t>كارکرد 5</t>
  </si>
  <si>
    <t>نماینده دفتر پشتیبانی برق و تجهیزات</t>
  </si>
  <si>
    <t>نماینده مرکز آبرسانی:</t>
  </si>
  <si>
    <t>ضریب افت شبکه:</t>
  </si>
  <si>
    <t>ضریب افت سفره:</t>
  </si>
  <si>
    <t>كارکرد 6</t>
  </si>
  <si>
    <t>كارکرد 7</t>
  </si>
  <si>
    <t>ساعت شروع: 14:00</t>
  </si>
  <si>
    <t>متر</t>
  </si>
  <si>
    <t xml:space="preserve">مبلغ ناویژه وضعیت </t>
  </si>
  <si>
    <t>سیدمحمد حسینی - حامد صفرپور</t>
  </si>
  <si>
    <t>شماره و تاریخ قرارداد: 140471155 و 1404/05/19</t>
  </si>
  <si>
    <t>نصب لوله ترمی و سطح سنج لاگدار: انجام نشد</t>
  </si>
  <si>
    <t>صورت وضعیت</t>
  </si>
  <si>
    <t>مبلغ صورت وضعیت قبلی (ریال)</t>
  </si>
  <si>
    <t>مبلغ صورت وضعیت تاکنون (ریال)</t>
  </si>
  <si>
    <t>توضیحات</t>
  </si>
  <si>
    <t>کارکرد 1</t>
  </si>
  <si>
    <t>پیمانکار</t>
  </si>
  <si>
    <t>مبلغ ناویژه وضعیت (ریال)</t>
  </si>
  <si>
    <t>شماره و تاریخ قرارداد: 140471155 و 1404/05/19- وضعیت 1- موضوع آزمایش پمپاژ چاه های تحت پوشش شرکت آب و فاضلاب مشهد</t>
  </si>
  <si>
    <t>وزارت نیرو</t>
  </si>
  <si>
    <t>شرکت آب و فاضلاب مشهد(سهامی خاص)</t>
  </si>
  <si>
    <t>پیمانکار: شخص حقیقی سید محمد حسینی</t>
  </si>
  <si>
    <t xml:space="preserve"> تجهيز و برچيدن کارگاه براي آزمايش پمپاژ يا چاه پيمايي.</t>
  </si>
  <si>
    <t xml:space="preserve"> حمل وسايل و متعلقات آزمايش پمپاژ و پرسنل مربوط در جاده هاي آسفالتي براي هر دستگاه.</t>
  </si>
  <si>
    <t xml:space="preserve"> حمل وسايل و متعلقات آزمايش پمپاژ و پرسنل مربوط در جاده هاي خاکي براي هر دستگاه.</t>
  </si>
  <si>
    <t xml:space="preserve"> تهيه، نصب و بيرون کشيدن موتور پمپ آزمايش توربيني 8 اينچ، با قدرت کافي و تجهيزات لازم، تا عمق 200 متر.</t>
  </si>
  <si>
    <t>اضافه بها به ردیف 060806 جهت تهیه، نصب و بیرون کشیدن موتور پمپ آزمایشی توربینی 8 اینچ برای عمق بیشتر از 200 متر</t>
  </si>
  <si>
    <t xml:space="preserve"> شست و شوي چاه با موتور پمپ آزمايشي توربيني 6 يا 8 اينچ، با قدرت کافي، تا عمق 200 متر.</t>
  </si>
  <si>
    <t xml:space="preserve">اضافه بها به ردیف 60902 جهت شست و شوی چاه  برای عمق بیش از 200 متر_x000D_
</t>
  </si>
  <si>
    <t xml:space="preserve"> آزمايش پمپاژ چاه براي تعيين ضرايب هيدروديناميک، با پمپ توربيني 6 يا 8 اينچ، تا عمق 200 متر.</t>
  </si>
  <si>
    <t xml:space="preserve">اضافه بها به ردیف 061002 جهت تعیین ضرایب هیدرودینامیک برای عمق بیش از 200 متر_x000D_
</t>
  </si>
  <si>
    <t>010401</t>
  </si>
  <si>
    <t>010901</t>
  </si>
  <si>
    <t>010902</t>
  </si>
  <si>
    <t>060806</t>
  </si>
  <si>
    <t>060819</t>
  </si>
  <si>
    <t>060902</t>
  </si>
  <si>
    <t>060907</t>
  </si>
  <si>
    <t>061002</t>
  </si>
  <si>
    <t>061009</t>
  </si>
  <si>
    <t>امامیه 16</t>
  </si>
  <si>
    <t>صورتجلسه (آزمایش پمپاژ چاه امامیه 16 ) بر اساس فهرست بهای چاه سال 1404</t>
  </si>
  <si>
    <t>تاریخ شروع کار: 1404/07/02</t>
  </si>
  <si>
    <t>تاریخ اتمام کار:1404/07/015</t>
  </si>
  <si>
    <t>ساعت پایان: 13:40</t>
  </si>
  <si>
    <t>عمق نصب پمپ: 236 متر</t>
  </si>
  <si>
    <r>
      <t>کل ساعت کارکرد:</t>
    </r>
    <r>
      <rPr>
        <sz val="11"/>
        <color rgb="FFFF0000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311:40 ساعت</t>
    </r>
  </si>
  <si>
    <t>ساعت خاموشی: 104 ساعت</t>
  </si>
  <si>
    <t>خاموش بودن مجاز دستگاه پمپاژ (با تایید کارفرما به دلیل مشکلات شهری و اجتماعی)</t>
  </si>
  <si>
    <t>تاریخ شروع کار: 1404/07/26</t>
  </si>
  <si>
    <t>ساعت شروع: 17:00</t>
  </si>
  <si>
    <t>صورتجلسه (آزمایش پمپاژ چاه حجاب 5 ) بر اساس فهرست بهای چاه سال 1404</t>
  </si>
  <si>
    <t>تاریخ اتمام کار:1404/08/8</t>
  </si>
  <si>
    <t>ساعت پایان: 17:00</t>
  </si>
  <si>
    <t>ساعت خاموشی: 72 ساعت</t>
  </si>
  <si>
    <t>کل ساعت کارکرد:312 ساعت</t>
  </si>
  <si>
    <t>عمق نصب پمپ: 230 متر</t>
  </si>
  <si>
    <t>شماره و تاریخ قرارداد: 140471155 و 1404/05/19- صورت وضعیت شماره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</si>
</sst>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0.0"/>
    <numFmt numFmtId="166" formatCode="0.0000"/>
    <numFmt numFmtId="167" formatCode="0.000"/>
  </numFmts>
  <fonts count="25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2  Titr"/>
      <charset val="178"/>
    </font>
    <font>
      <sz val="10"/>
      <color theme="1"/>
      <name val="B Nazanin"/>
      <charset val="178"/>
    </font>
    <font>
      <sz val="11"/>
      <color theme="1"/>
      <name val="B Badr"/>
      <charset val="178"/>
    </font>
    <font>
      <sz val="12"/>
      <color theme="1"/>
      <name val="B Badr"/>
      <charset val="178"/>
    </font>
    <font>
      <sz val="14"/>
      <color theme="1"/>
      <name val="Arial"/>
      <family val="2"/>
    </font>
    <font>
      <sz val="18"/>
      <color theme="1"/>
      <name val="Arial"/>
      <family val="2"/>
      <scheme val="minor"/>
    </font>
    <font>
      <b/>
      <sz val="16"/>
      <color theme="1"/>
      <name val="B Badr"/>
      <charset val="178"/>
    </font>
    <font>
      <b/>
      <sz val="18"/>
      <color theme="1"/>
      <name val="B Badr"/>
      <charset val="178"/>
    </font>
    <font>
      <sz val="16"/>
      <color theme="1"/>
      <name val="B Badr"/>
      <charset val="178"/>
    </font>
    <font>
      <sz val="10"/>
      <name val="Arial"/>
      <family val="2"/>
    </font>
    <font>
      <b/>
      <sz val="10"/>
      <name val="B Mitra"/>
      <charset val="178"/>
    </font>
    <font>
      <b/>
      <sz val="12"/>
      <name val="B Mitra"/>
      <charset val="178"/>
    </font>
    <font>
      <sz val="12"/>
      <name val="B Mitra"/>
      <charset val="178"/>
    </font>
    <font>
      <sz val="11"/>
      <color theme="1"/>
      <name val="B Nazanin"/>
      <charset val="178"/>
    </font>
    <font>
      <sz val="11"/>
      <color rgb="FFFF0000"/>
      <name val="Arial"/>
      <family val="2"/>
      <scheme val="minor"/>
    </font>
    <font>
      <sz val="26"/>
      <color theme="1"/>
      <name val="Arial"/>
      <family val="2"/>
      <scheme val="minor"/>
    </font>
    <font>
      <sz val="14"/>
      <color theme="1"/>
      <name val="B Badr"/>
      <charset val="178"/>
    </font>
    <font>
      <b/>
      <sz val="24"/>
      <color theme="1"/>
      <name val="B Badr"/>
      <charset val="178"/>
    </font>
    <font>
      <b/>
      <sz val="26"/>
      <color theme="1"/>
      <name val="B Badr"/>
      <charset val="178"/>
    </font>
    <font>
      <b/>
      <sz val="28"/>
      <color theme="1"/>
      <name val="B Badr"/>
      <charset val="178"/>
    </font>
    <font>
      <sz val="20"/>
      <color theme="1"/>
      <name val="B Badr"/>
      <charset val="178"/>
    </font>
    <font>
      <sz val="24"/>
      <color theme="1"/>
      <name val="B Badr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3" fontId="0" fillId="0" borderId="0" xfId="0" applyNumberFormat="1"/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4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5" fontId="14" fillId="3" borderId="1" xfId="1" applyNumberFormat="1" applyFont="1" applyFill="1" applyBorder="1" applyAlignment="1" applyProtection="1">
      <alignment horizontal="center" vertical="center" readingOrder="2"/>
      <protection locked="0"/>
    </xf>
    <xf numFmtId="1" fontId="15" fillId="2" borderId="1" xfId="1" applyNumberFormat="1" applyFont="1" applyFill="1" applyBorder="1" applyAlignment="1" applyProtection="1">
      <alignment horizontal="center" vertical="center" readingOrder="2"/>
      <protection locked="0"/>
    </xf>
    <xf numFmtId="1" fontId="15" fillId="3" borderId="1" xfId="1" applyNumberFormat="1" applyFont="1" applyFill="1" applyBorder="1" applyAlignment="1" applyProtection="1">
      <alignment horizontal="center" vertical="center" readingOrder="2"/>
      <protection locked="0"/>
    </xf>
    <xf numFmtId="0" fontId="15" fillId="2" borderId="1" xfId="1" applyFont="1" applyFill="1" applyBorder="1" applyAlignment="1" applyProtection="1">
      <alignment horizontal="center" vertical="center" readingOrder="2"/>
      <protection locked="0"/>
    </xf>
    <xf numFmtId="0" fontId="15" fillId="3" borderId="1" xfId="1" applyFont="1" applyFill="1" applyBorder="1" applyAlignment="1" applyProtection="1">
      <alignment horizontal="center" vertical="center" readingOrder="2"/>
      <protection locked="0"/>
    </xf>
    <xf numFmtId="0" fontId="15" fillId="0" borderId="1" xfId="1" applyFont="1" applyBorder="1" applyAlignment="1" applyProtection="1">
      <alignment horizontal="center" vertical="center" readingOrder="2"/>
      <protection locked="0"/>
    </xf>
    <xf numFmtId="165" fontId="14" fillId="2" borderId="1" xfId="1" applyNumberFormat="1" applyFont="1" applyFill="1" applyBorder="1" applyAlignment="1" applyProtection="1">
      <alignment horizontal="center" vertical="center" readingOrder="2"/>
      <protection locked="0"/>
    </xf>
    <xf numFmtId="167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165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10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2" fontId="15" fillId="5" borderId="1" xfId="1" applyNumberFormat="1" applyFont="1" applyFill="1" applyBorder="1" applyAlignment="1" applyProtection="1">
      <alignment horizontal="center" vertical="center" readingOrder="2"/>
      <protection locked="0"/>
    </xf>
    <xf numFmtId="166" fontId="14" fillId="4" borderId="1" xfId="1" applyNumberFormat="1" applyFont="1" applyFill="1" applyBorder="1" applyAlignment="1" applyProtection="1">
      <alignment horizontal="center" vertical="center" readingOrder="2"/>
      <protection locked="0"/>
    </xf>
    <xf numFmtId="3" fontId="10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vertical="center" wrapText="1"/>
    </xf>
    <xf numFmtId="3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1" fillId="0" borderId="6" xfId="0" applyNumberFormat="1" applyFont="1" applyBorder="1" applyAlignment="1">
      <alignment horizontal="center" vertical="center"/>
    </xf>
    <xf numFmtId="10" fontId="13" fillId="4" borderId="1" xfId="1" applyNumberFormat="1" applyFont="1" applyFill="1" applyBorder="1" applyAlignment="1" applyProtection="1">
      <alignment horizontal="center" vertical="center" readingOrder="2"/>
      <protection locked="0"/>
    </xf>
    <xf numFmtId="0" fontId="13" fillId="2" borderId="1" xfId="1" applyFont="1" applyFill="1" applyBorder="1" applyAlignment="1" applyProtection="1">
      <alignment horizontal="center" vertical="center" readingOrder="2"/>
      <protection locked="0"/>
    </xf>
    <xf numFmtId="0" fontId="0" fillId="0" borderId="0" xfId="0" applyAlignment="1">
      <alignment horizontal="right"/>
    </xf>
    <xf numFmtId="0" fontId="13" fillId="3" borderId="1" xfId="1" applyFont="1" applyFill="1" applyBorder="1" applyAlignment="1" applyProtection="1">
      <alignment horizontal="center" vertical="center" readingOrder="2"/>
      <protection locked="0"/>
    </xf>
    <xf numFmtId="0" fontId="13" fillId="2" borderId="1" xfId="1" applyFont="1" applyFill="1" applyBorder="1" applyAlignment="1">
      <alignment horizontal="center" vertical="center" readingOrder="2"/>
    </xf>
    <xf numFmtId="0" fontId="14" fillId="3" borderId="1" xfId="1" applyFont="1" applyFill="1" applyBorder="1" applyAlignment="1" applyProtection="1">
      <alignment horizontal="center" vertical="center" readingOrder="2"/>
      <protection locked="0"/>
    </xf>
    <xf numFmtId="0" fontId="13" fillId="2" borderId="1" xfId="1" applyFont="1" applyFill="1" applyBorder="1" applyAlignment="1">
      <alignment horizontal="center" vertical="center" wrapText="1" readingOrder="2"/>
    </xf>
    <xf numFmtId="0" fontId="13" fillId="3" borderId="1" xfId="1" applyFont="1" applyFill="1" applyBorder="1" applyAlignment="1">
      <alignment horizontal="center" vertical="center" wrapText="1" readingOrder="2"/>
    </xf>
    <xf numFmtId="0" fontId="13" fillId="3" borderId="1" xfId="1" applyFont="1" applyFill="1" applyBorder="1" applyAlignment="1" applyProtection="1">
      <alignment horizontal="center" vertical="center" wrapText="1" readingOrder="2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7" borderId="0" xfId="0" applyFont="1" applyFill="1" applyAlignment="1">
      <alignment horizontal="center"/>
    </xf>
    <xf numFmtId="0" fontId="0" fillId="6" borderId="0" xfId="0" applyFill="1" applyAlignment="1">
      <alignment horizontal="right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6048715698358413"/>
                  <c:y val="-7.0641224112380954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'حجاب 5'!$I$8:$I$14</c:f>
              <c:numCache>
                <c:formatCode>0.000</c:formatCode>
                <c:ptCount val="7"/>
                <c:pt idx="0">
                  <c:v>0.24</c:v>
                </c:pt>
                <c:pt idx="1">
                  <c:v>0.48</c:v>
                </c:pt>
                <c:pt idx="2">
                  <c:v>0.66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'حجاب 5'!$J$8:$J$14</c:f>
              <c:numCache>
                <c:formatCode>0.0</c:formatCode>
                <c:ptCount val="7"/>
                <c:pt idx="0">
                  <c:v>8</c:v>
                </c:pt>
                <c:pt idx="1">
                  <c:v>20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3-4C2B-8D14-6ADE5D82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'حجاب 5'!$I$8:$I$14</c:f>
              <c:numCache>
                <c:formatCode>0.000</c:formatCode>
                <c:ptCount val="7"/>
                <c:pt idx="0">
                  <c:v>0.24</c:v>
                </c:pt>
                <c:pt idx="1">
                  <c:v>0.48</c:v>
                </c:pt>
                <c:pt idx="2">
                  <c:v>0.66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'حجاب 5'!$C$8:$C$14</c:f>
              <c:numCache>
                <c:formatCode>0.00%</c:formatCode>
                <c:ptCount val="7"/>
                <c:pt idx="0">
                  <c:v>5.22278070632245E-3</c:v>
                </c:pt>
                <c:pt idx="1">
                  <c:v>2.6182275673730434E-3</c:v>
                </c:pt>
                <c:pt idx="2">
                  <c:v>1.9055261674918711E-3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C3-4C2B-8D14-6ADE5D82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93075040154292E-2"/>
          <c:y val="3.8114782883276646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'امامیه 16'!$J$8:$J$14</c:f>
              <c:numCache>
                <c:formatCode>0.000</c:formatCode>
                <c:ptCount val="7"/>
                <c:pt idx="0">
                  <c:v>0.36</c:v>
                </c:pt>
                <c:pt idx="1">
                  <c:v>0.47399999999999998</c:v>
                </c:pt>
                <c:pt idx="2">
                  <c:v>0.64800000000000002</c:v>
                </c:pt>
                <c:pt idx="3">
                  <c:v>0.89400000000000002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'امامیه 16'!$K$8:$K$14</c:f>
              <c:numCache>
                <c:formatCode>0.0</c:formatCode>
                <c:ptCount val="7"/>
                <c:pt idx="0">
                  <c:v>3.5600000000000023</c:v>
                </c:pt>
                <c:pt idx="1">
                  <c:v>5.5600000000000023</c:v>
                </c:pt>
                <c:pt idx="2">
                  <c:v>8.5600000000000023</c:v>
                </c:pt>
                <c:pt idx="3">
                  <c:v>14.060000000000002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2-449C-8DF7-5AC6C4D4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'امامیه 16'!$J$8:$J$14</c:f>
              <c:numCache>
                <c:formatCode>0.000</c:formatCode>
                <c:ptCount val="7"/>
                <c:pt idx="0">
                  <c:v>0.36</c:v>
                </c:pt>
                <c:pt idx="1">
                  <c:v>0.47399999999999998</c:v>
                </c:pt>
                <c:pt idx="2">
                  <c:v>0.64800000000000002</c:v>
                </c:pt>
                <c:pt idx="3">
                  <c:v>0.89400000000000002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'امامیه 16'!$D$8:$D$14</c:f>
              <c:numCache>
                <c:formatCode>0.00%</c:formatCode>
                <c:ptCount val="7"/>
                <c:pt idx="0">
                  <c:v>0.64085487042690936</c:v>
                </c:pt>
                <c:pt idx="1">
                  <c:v>0.57541350091760868</c:v>
                </c:pt>
                <c:pt idx="2">
                  <c:v>0.49782246070381597</c:v>
                </c:pt>
                <c:pt idx="3">
                  <c:v>0.41811281723993171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2-449C-8DF7-5AC6C4D4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29100540" y="6791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14</xdr:row>
      <xdr:rowOff>107673</xdr:rowOff>
    </xdr:from>
    <xdr:to>
      <xdr:col>13</xdr:col>
      <xdr:colOff>323021</xdr:colOff>
      <xdr:row>32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464820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229100540" y="65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2</xdr:col>
      <xdr:colOff>149086</xdr:colOff>
      <xdr:row>14</xdr:row>
      <xdr:rowOff>107673</xdr:rowOff>
    </xdr:from>
    <xdr:to>
      <xdr:col>14</xdr:col>
      <xdr:colOff>323021</xdr:colOff>
      <xdr:row>32</xdr:row>
      <xdr:rowOff>124239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13</xdr:row>
      <xdr:rowOff>240030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981735115" y="43929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11256793028" y="7992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10</xdr:col>
      <xdr:colOff>0</xdr:colOff>
      <xdr:row>13</xdr:row>
      <xdr:rowOff>240030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1194155557" y="80169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rightToLeft="1" topLeftCell="B1" zoomScale="115" zoomScaleNormal="115" workbookViewId="0">
      <selection activeCell="Q11" sqref="Q11"/>
    </sheetView>
  </sheetViews>
  <sheetFormatPr defaultRowHeight="14.25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375" customWidth="1"/>
    <col min="6" max="6" width="7.625" customWidth="1"/>
    <col min="7" max="7" width="7.375" bestFit="1" customWidth="1"/>
    <col min="8" max="8" width="5.75" bestFit="1" customWidth="1"/>
    <col min="9" max="9" width="11.375" customWidth="1"/>
    <col min="10" max="10" width="10.25" bestFit="1" customWidth="1"/>
    <col min="12" max="12" width="6.875" bestFit="1" customWidth="1"/>
    <col min="14" max="14" width="4.375" customWidth="1"/>
  </cols>
  <sheetData>
    <row r="1" spans="3:17">
      <c r="C1" t="s">
        <v>86</v>
      </c>
    </row>
    <row r="2" spans="3:17" ht="21" customHeight="1">
      <c r="C2" s="52" t="s">
        <v>43</v>
      </c>
      <c r="D2" s="52"/>
      <c r="E2" s="52"/>
      <c r="F2" t="s">
        <v>36</v>
      </c>
      <c r="H2" s="61">
        <v>98.250200000000007</v>
      </c>
      <c r="I2" s="61"/>
      <c r="J2" s="62" t="s">
        <v>44</v>
      </c>
      <c r="K2" s="62"/>
      <c r="L2" s="62"/>
      <c r="M2" s="62"/>
      <c r="N2" s="62"/>
    </row>
    <row r="3" spans="3:17" ht="21" customHeight="1">
      <c r="C3" s="52" t="s">
        <v>84</v>
      </c>
      <c r="D3" s="52"/>
      <c r="E3" s="52"/>
      <c r="F3" t="s">
        <v>37</v>
      </c>
      <c r="H3" s="61">
        <v>0.12379999999999999</v>
      </c>
      <c r="I3" s="61"/>
      <c r="J3" s="52" t="s">
        <v>87</v>
      </c>
      <c r="K3" s="52"/>
      <c r="L3" s="52"/>
      <c r="M3" s="52"/>
      <c r="N3" s="52"/>
    </row>
    <row r="4" spans="3:17" ht="21" customHeight="1">
      <c r="C4" s="52" t="s">
        <v>85</v>
      </c>
      <c r="D4" s="52"/>
      <c r="E4" s="52"/>
      <c r="F4" s="59" t="s">
        <v>45</v>
      </c>
      <c r="G4" s="59"/>
      <c r="H4" s="59"/>
      <c r="I4" s="59"/>
      <c r="J4" s="60" t="s">
        <v>88</v>
      </c>
      <c r="K4" s="60"/>
      <c r="L4" s="60"/>
      <c r="M4" s="60"/>
      <c r="N4" s="60"/>
    </row>
    <row r="5" spans="3:17" ht="21" customHeight="1">
      <c r="C5" s="52" t="s">
        <v>90</v>
      </c>
      <c r="D5" s="52"/>
      <c r="E5" s="52"/>
      <c r="F5" s="52" t="s">
        <v>89</v>
      </c>
      <c r="G5" s="52"/>
      <c r="H5" s="52"/>
      <c r="I5" s="52"/>
      <c r="J5" s="52" t="s">
        <v>91</v>
      </c>
      <c r="K5" s="52"/>
      <c r="L5" s="52"/>
      <c r="M5" s="52"/>
      <c r="N5" s="52"/>
    </row>
    <row r="6" spans="3:17" ht="15.75">
      <c r="C6" s="57" t="s">
        <v>18</v>
      </c>
      <c r="D6" s="57" t="s">
        <v>19</v>
      </c>
      <c r="E6" s="57" t="s">
        <v>20</v>
      </c>
      <c r="F6" s="57" t="s">
        <v>21</v>
      </c>
      <c r="G6" s="57" t="s">
        <v>22</v>
      </c>
      <c r="H6" s="56" t="s">
        <v>23</v>
      </c>
      <c r="I6" s="58" t="s">
        <v>24</v>
      </c>
      <c r="J6" s="57" t="s">
        <v>25</v>
      </c>
      <c r="K6" s="56" t="s">
        <v>26</v>
      </c>
      <c r="L6" s="56" t="s">
        <v>27</v>
      </c>
      <c r="M6" s="54" t="s">
        <v>28</v>
      </c>
      <c r="N6" s="54"/>
    </row>
    <row r="7" spans="3:17" ht="18.75">
      <c r="C7" s="57"/>
      <c r="D7" s="57"/>
      <c r="E7" s="57"/>
      <c r="F7" s="57"/>
      <c r="G7" s="57"/>
      <c r="H7" s="56"/>
      <c r="I7" s="58"/>
      <c r="J7" s="57"/>
      <c r="K7" s="56"/>
      <c r="L7" s="56"/>
      <c r="M7" s="55">
        <v>101</v>
      </c>
      <c r="N7" s="55"/>
    </row>
    <row r="8" spans="3:17" ht="18.75">
      <c r="C8" s="29">
        <f>IF(D8&lt;&gt;0,F8/D8,1)</f>
        <v>5.22278070632245E-3</v>
      </c>
      <c r="D8" s="30">
        <f>E8+F8</f>
        <v>5.6889235200000003</v>
      </c>
      <c r="E8" s="30">
        <f>$H$2*I8*I8</f>
        <v>5.6592115200000004</v>
      </c>
      <c r="F8" s="30">
        <f>$H$3*I8</f>
        <v>2.9711999999999999E-2</v>
      </c>
      <c r="G8" s="31">
        <f>H8/(K8-$M$7)</f>
        <v>0.5</v>
      </c>
      <c r="H8" s="26">
        <v>4</v>
      </c>
      <c r="I8" s="27">
        <f>H8*60/1000</f>
        <v>0.24</v>
      </c>
      <c r="J8" s="28">
        <f>IF(K8-$M$7&lt;0,0,K8-$M$7)</f>
        <v>8</v>
      </c>
      <c r="K8" s="21">
        <v>109</v>
      </c>
      <c r="L8" s="25">
        <v>1000</v>
      </c>
      <c r="M8" s="53" t="s">
        <v>29</v>
      </c>
      <c r="N8" s="53"/>
    </row>
    <row r="9" spans="3:17" ht="18.75">
      <c r="C9" s="29">
        <f>IF(D9&lt;&gt;0,F9/D9,1)</f>
        <v>2.6182275673730434E-3</v>
      </c>
      <c r="D9" s="30">
        <f t="shared" ref="D9:D14" si="0">E9+F9</f>
        <v>22.696270080000001</v>
      </c>
      <c r="E9" s="30">
        <f t="shared" ref="E9:E14" si="1">$H$2*I9*I9</f>
        <v>22.636846080000002</v>
      </c>
      <c r="F9" s="30">
        <f t="shared" ref="F9:F14" si="2">$H$3*I9</f>
        <v>5.9423999999999998E-2</v>
      </c>
      <c r="G9" s="31">
        <f t="shared" ref="G9:G14" si="3">H9/(K9-$M$7)</f>
        <v>0.4</v>
      </c>
      <c r="H9" s="26">
        <v>8</v>
      </c>
      <c r="I9" s="27">
        <f t="shared" ref="I9:I14" si="4">H9*60/1000</f>
        <v>0.48</v>
      </c>
      <c r="J9" s="28">
        <f t="shared" ref="J9:J14" si="5">IF(K9-$M$7&lt;0,0,K9-$M$7)</f>
        <v>20</v>
      </c>
      <c r="K9" s="21">
        <v>121</v>
      </c>
      <c r="L9" s="23">
        <v>1100</v>
      </c>
      <c r="M9" s="53" t="s">
        <v>30</v>
      </c>
      <c r="N9" s="53"/>
    </row>
    <row r="10" spans="3:17" ht="18.75">
      <c r="C10" s="29">
        <f>IF(D10&lt;&gt;0,F10/D10,1)</f>
        <v>1.9055261674918711E-3</v>
      </c>
      <c r="D10" s="30">
        <f t="shared" si="0"/>
        <v>42.879495120000009</v>
      </c>
      <c r="E10" s="30">
        <f t="shared" si="1"/>
        <v>42.79778712000001</v>
      </c>
      <c r="F10" s="30">
        <f t="shared" si="2"/>
        <v>8.1708000000000003E-2</v>
      </c>
      <c r="G10" s="31">
        <f t="shared" si="3"/>
        <v>0.25</v>
      </c>
      <c r="H10" s="26">
        <v>11</v>
      </c>
      <c r="I10" s="27">
        <f t="shared" si="4"/>
        <v>0.66</v>
      </c>
      <c r="J10" s="28">
        <f t="shared" si="5"/>
        <v>44</v>
      </c>
      <c r="K10" s="21">
        <v>145</v>
      </c>
      <c r="L10" s="25">
        <v>1200</v>
      </c>
      <c r="M10" s="53" t="s">
        <v>31</v>
      </c>
      <c r="N10" s="53"/>
      <c r="Q10">
        <f>312-72-6</f>
        <v>234</v>
      </c>
    </row>
    <row r="11" spans="3:17" ht="18.75">
      <c r="C11" s="29">
        <f>IF(D11&lt;&gt;0,F11/D11,1)</f>
        <v>1</v>
      </c>
      <c r="D11" s="30">
        <f>E11+F11</f>
        <v>0</v>
      </c>
      <c r="E11" s="30">
        <f t="shared" si="1"/>
        <v>0</v>
      </c>
      <c r="F11" s="30">
        <f>$H$3*I11</f>
        <v>0</v>
      </c>
      <c r="G11" s="31">
        <f t="shared" si="3"/>
        <v>0</v>
      </c>
      <c r="H11" s="20">
        <v>0</v>
      </c>
      <c r="I11" s="27">
        <f t="shared" si="4"/>
        <v>0</v>
      </c>
      <c r="J11" s="28">
        <f t="shared" si="5"/>
        <v>0</v>
      </c>
      <c r="K11" s="22">
        <v>0</v>
      </c>
      <c r="L11" s="23">
        <v>0</v>
      </c>
      <c r="M11" s="53" t="s">
        <v>32</v>
      </c>
      <c r="N11" s="53"/>
    </row>
    <row r="12" spans="3:17" ht="18.75">
      <c r="C12" s="29">
        <f t="shared" ref="C12:C14" si="6">IF(D12&lt;&gt;0,F12/D12,1)</f>
        <v>1</v>
      </c>
      <c r="D12" s="30">
        <f t="shared" ref="D12:D13" si="7">E12+F12</f>
        <v>0</v>
      </c>
      <c r="E12" s="30">
        <f t="shared" si="1"/>
        <v>0</v>
      </c>
      <c r="F12" s="30">
        <f t="shared" ref="F12:F13" si="8">$H$3*I12</f>
        <v>0</v>
      </c>
      <c r="G12" s="31">
        <f t="shared" si="3"/>
        <v>0</v>
      </c>
      <c r="H12" s="24">
        <v>0</v>
      </c>
      <c r="I12" s="27">
        <f t="shared" si="4"/>
        <v>0</v>
      </c>
      <c r="J12" s="28">
        <f t="shared" si="5"/>
        <v>0</v>
      </c>
      <c r="K12" s="22">
        <v>0</v>
      </c>
      <c r="L12" s="23">
        <v>0</v>
      </c>
      <c r="M12" s="51" t="s">
        <v>33</v>
      </c>
      <c r="N12" s="51"/>
    </row>
    <row r="13" spans="3:17" ht="18.75">
      <c r="C13" s="29">
        <f t="shared" si="6"/>
        <v>1</v>
      </c>
      <c r="D13" s="30">
        <f t="shared" si="7"/>
        <v>0</v>
      </c>
      <c r="E13" s="30">
        <f t="shared" si="1"/>
        <v>0</v>
      </c>
      <c r="F13" s="30">
        <f t="shared" si="8"/>
        <v>0</v>
      </c>
      <c r="G13" s="31">
        <f t="shared" si="3"/>
        <v>0</v>
      </c>
      <c r="H13" s="24">
        <v>0</v>
      </c>
      <c r="I13" s="27">
        <f t="shared" si="4"/>
        <v>0</v>
      </c>
      <c r="J13" s="28">
        <f t="shared" si="5"/>
        <v>0</v>
      </c>
      <c r="K13" s="22">
        <v>0</v>
      </c>
      <c r="L13" s="23">
        <v>0</v>
      </c>
      <c r="M13" s="51" t="s">
        <v>38</v>
      </c>
      <c r="N13" s="51"/>
    </row>
    <row r="14" spans="3:17" ht="18.75">
      <c r="C14" s="29">
        <f t="shared" si="6"/>
        <v>1</v>
      </c>
      <c r="D14" s="30">
        <f t="shared" si="0"/>
        <v>0</v>
      </c>
      <c r="E14" s="30">
        <f t="shared" si="1"/>
        <v>0</v>
      </c>
      <c r="F14" s="30">
        <f t="shared" si="2"/>
        <v>0</v>
      </c>
      <c r="G14" s="31">
        <f t="shared" si="3"/>
        <v>0</v>
      </c>
      <c r="H14" s="24">
        <v>0</v>
      </c>
      <c r="I14" s="27">
        <f t="shared" si="4"/>
        <v>0</v>
      </c>
      <c r="J14" s="28">
        <f t="shared" si="5"/>
        <v>0</v>
      </c>
      <c r="K14" s="22">
        <v>0</v>
      </c>
      <c r="L14" s="23">
        <v>0</v>
      </c>
      <c r="M14" s="51" t="s">
        <v>39</v>
      </c>
      <c r="N14" s="51"/>
    </row>
    <row r="34" spans="3:13" ht="21.75" customHeight="1">
      <c r="C34" s="52" t="s">
        <v>17</v>
      </c>
      <c r="D34" s="52"/>
      <c r="E34" s="52"/>
      <c r="F34" s="52" t="s">
        <v>34</v>
      </c>
      <c r="G34" s="52"/>
      <c r="H34" s="52"/>
      <c r="I34" s="52"/>
      <c r="K34" s="52" t="s">
        <v>35</v>
      </c>
      <c r="L34" s="52"/>
      <c r="M34" s="52"/>
    </row>
  </sheetData>
  <mergeCells count="34">
    <mergeCell ref="C4:E4"/>
    <mergeCell ref="F4:I4"/>
    <mergeCell ref="J4:N4"/>
    <mergeCell ref="C2:E2"/>
    <mergeCell ref="H2:I2"/>
    <mergeCell ref="J2:N2"/>
    <mergeCell ref="C3:E3"/>
    <mergeCell ref="H3:I3"/>
    <mergeCell ref="J3:N3"/>
    <mergeCell ref="C5:E5"/>
    <mergeCell ref="F5:I5"/>
    <mergeCell ref="J5:N5"/>
    <mergeCell ref="M6:N6"/>
    <mergeCell ref="M7:N7"/>
    <mergeCell ref="H6:H7"/>
    <mergeCell ref="C6:C7"/>
    <mergeCell ref="D6:D7"/>
    <mergeCell ref="E6:E7"/>
    <mergeCell ref="L6:L7"/>
    <mergeCell ref="F6:F7"/>
    <mergeCell ref="G6:G7"/>
    <mergeCell ref="I6:I7"/>
    <mergeCell ref="J6:J7"/>
    <mergeCell ref="K6:K7"/>
    <mergeCell ref="M14:N14"/>
    <mergeCell ref="C34:E34"/>
    <mergeCell ref="F34:I34"/>
    <mergeCell ref="K34:M34"/>
    <mergeCell ref="M8:N8"/>
    <mergeCell ref="M9:N9"/>
    <mergeCell ref="M10:N10"/>
    <mergeCell ref="M11:N11"/>
    <mergeCell ref="M12:N12"/>
    <mergeCell ref="M13:N13"/>
  </mergeCells>
  <pageMargins left="0.70866141732283472" right="0.70866141732283472" top="0.74803149606299213" bottom="0.74803149606299213" header="0.31496062992125984" footer="0.31496062992125984"/>
  <pageSetup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rightToLeft="1" topLeftCell="B1" zoomScale="115" zoomScaleNormal="115" workbookViewId="0">
      <selection activeCell="Q12" sqref="Q12"/>
    </sheetView>
  </sheetViews>
  <sheetFormatPr defaultRowHeight="14.25"/>
  <cols>
    <col min="1" max="1" width="2.375" hidden="1" customWidth="1"/>
    <col min="2" max="2" width="2.375" customWidth="1"/>
    <col min="3" max="3" width="2.25" customWidth="1"/>
    <col min="4" max="4" width="8.375" bestFit="1" customWidth="1"/>
    <col min="5" max="5" width="7.875" customWidth="1"/>
    <col min="6" max="6" width="9.375" customWidth="1"/>
    <col min="7" max="7" width="7.625" customWidth="1"/>
    <col min="8" max="8" width="10.375" customWidth="1"/>
    <col min="9" max="9" width="5.75" bestFit="1" customWidth="1"/>
    <col min="10" max="10" width="13.25" customWidth="1"/>
    <col min="11" max="11" width="13.125" customWidth="1"/>
    <col min="12" max="12" width="13.25" customWidth="1"/>
    <col min="13" max="13" width="4.875" customWidth="1"/>
    <col min="15" max="15" width="1.75" customWidth="1"/>
  </cols>
  <sheetData>
    <row r="1" spans="4:15">
      <c r="D1" t="s">
        <v>76</v>
      </c>
    </row>
    <row r="2" spans="4:15" ht="21" customHeight="1">
      <c r="D2" s="52" t="s">
        <v>43</v>
      </c>
      <c r="E2" s="52"/>
      <c r="F2" s="52"/>
      <c r="G2" t="s">
        <v>36</v>
      </c>
      <c r="I2" s="63">
        <v>10.245799999999999</v>
      </c>
      <c r="J2" s="63"/>
      <c r="K2" s="62" t="s">
        <v>44</v>
      </c>
      <c r="L2" s="62"/>
      <c r="M2" s="62"/>
      <c r="N2" s="62"/>
      <c r="O2" s="62"/>
    </row>
    <row r="3" spans="4:15" ht="21" customHeight="1">
      <c r="D3" s="52" t="s">
        <v>77</v>
      </c>
      <c r="E3" s="52"/>
      <c r="F3" s="52"/>
      <c r="G3" t="s">
        <v>37</v>
      </c>
      <c r="I3" s="63">
        <v>6.5816999999999997</v>
      </c>
      <c r="J3" s="63"/>
      <c r="K3" s="52" t="s">
        <v>78</v>
      </c>
      <c r="L3" s="52"/>
      <c r="M3" s="52"/>
      <c r="N3" s="52"/>
      <c r="O3" s="52"/>
    </row>
    <row r="4" spans="4:15" ht="21" customHeight="1">
      <c r="D4" s="52" t="s">
        <v>40</v>
      </c>
      <c r="E4" s="52"/>
      <c r="F4" s="52"/>
      <c r="G4" s="59" t="s">
        <v>45</v>
      </c>
      <c r="H4" s="59"/>
      <c r="I4" s="59"/>
      <c r="J4" s="59"/>
      <c r="K4" s="60" t="s">
        <v>79</v>
      </c>
      <c r="L4" s="60"/>
      <c r="M4" s="60"/>
      <c r="N4" s="60"/>
      <c r="O4" s="60"/>
    </row>
    <row r="5" spans="4:15" ht="21" customHeight="1">
      <c r="D5" s="52" t="s">
        <v>81</v>
      </c>
      <c r="E5" s="52"/>
      <c r="F5" s="52"/>
      <c r="G5" s="52" t="s">
        <v>82</v>
      </c>
      <c r="H5" s="52"/>
      <c r="I5" s="52"/>
      <c r="J5" s="52"/>
      <c r="K5" s="52" t="s">
        <v>80</v>
      </c>
      <c r="L5" s="52"/>
      <c r="M5" s="52"/>
      <c r="N5" s="52"/>
      <c r="O5" s="52"/>
    </row>
    <row r="6" spans="4:15" ht="15.75">
      <c r="D6" s="57" t="s">
        <v>18</v>
      </c>
      <c r="E6" s="57" t="s">
        <v>19</v>
      </c>
      <c r="F6" s="57" t="s">
        <v>20</v>
      </c>
      <c r="G6" s="57" t="s">
        <v>21</v>
      </c>
      <c r="H6" s="57" t="s">
        <v>22</v>
      </c>
      <c r="I6" s="56" t="s">
        <v>23</v>
      </c>
      <c r="J6" s="58" t="s">
        <v>24</v>
      </c>
      <c r="K6" s="57" t="s">
        <v>25</v>
      </c>
      <c r="L6" s="56" t="s">
        <v>26</v>
      </c>
      <c r="M6" s="56" t="s">
        <v>27</v>
      </c>
      <c r="N6" s="54" t="s">
        <v>28</v>
      </c>
      <c r="O6" s="54"/>
    </row>
    <row r="7" spans="4:15" ht="18.75">
      <c r="D7" s="57"/>
      <c r="E7" s="57"/>
      <c r="F7" s="57"/>
      <c r="G7" s="57"/>
      <c r="H7" s="57"/>
      <c r="I7" s="56"/>
      <c r="J7" s="58"/>
      <c r="K7" s="57"/>
      <c r="L7" s="56"/>
      <c r="M7" s="56"/>
      <c r="N7" s="55">
        <v>160.44</v>
      </c>
      <c r="O7" s="55"/>
    </row>
    <row r="8" spans="4:15" ht="18.75">
      <c r="D8" s="50">
        <f>IF(E8&lt;&gt;0,G8/E8,1)</f>
        <v>0.64085487042690936</v>
      </c>
      <c r="E8" s="30">
        <f>F8+G8</f>
        <v>3.6972676799999995</v>
      </c>
      <c r="F8" s="30">
        <f>$I$2*J8*J8</f>
        <v>1.3278556799999999</v>
      </c>
      <c r="G8" s="30">
        <f>$I$3*J8</f>
        <v>2.3694119999999996</v>
      </c>
      <c r="H8" s="31">
        <f>I8/(L8-$N$7)</f>
        <v>1.6853932584269653</v>
      </c>
      <c r="I8" s="26">
        <v>6</v>
      </c>
      <c r="J8" s="27">
        <f>I8*60/1000</f>
        <v>0.36</v>
      </c>
      <c r="K8" s="28">
        <f>IF(L8-$N$7&lt;0,0,L8-$N$7)</f>
        <v>3.5600000000000023</v>
      </c>
      <c r="L8" s="21">
        <v>164</v>
      </c>
      <c r="M8" s="25">
        <v>1230</v>
      </c>
      <c r="N8" s="53" t="s">
        <v>29</v>
      </c>
      <c r="O8" s="53"/>
    </row>
    <row r="9" spans="4:15" ht="18.75">
      <c r="D9" s="50">
        <f>IF(E9&lt;&gt;0,G9/E9,1)</f>
        <v>0.57541350091760868</v>
      </c>
      <c r="E9" s="30">
        <f t="shared" ref="E9:E14" si="0">F9+G9</f>
        <v>5.4217111607999993</v>
      </c>
      <c r="F9" s="30">
        <f t="shared" ref="F9:F14" si="1">$I$2*J9*J9</f>
        <v>2.3019853607999998</v>
      </c>
      <c r="G9" s="30">
        <f t="shared" ref="G9:G14" si="2">$I$3*J9</f>
        <v>3.1197257999999999</v>
      </c>
      <c r="H9" s="31">
        <f t="shared" ref="H9:H14" si="3">I9/(L9-$N$7)</f>
        <v>1.4208633093525174</v>
      </c>
      <c r="I9" s="26">
        <v>7.9</v>
      </c>
      <c r="J9" s="27">
        <f t="shared" ref="J9:J14" si="4">I9*60/1000</f>
        <v>0.47399999999999998</v>
      </c>
      <c r="K9" s="28">
        <f t="shared" ref="K9:K14" si="5">IF(L9-$N$7&lt;0,0,L9-$N$7)</f>
        <v>5.5600000000000023</v>
      </c>
      <c r="L9" s="21">
        <v>166</v>
      </c>
      <c r="M9" s="23">
        <v>1300</v>
      </c>
      <c r="N9" s="53" t="s">
        <v>30</v>
      </c>
      <c r="O9" s="53"/>
    </row>
    <row r="10" spans="4:15" ht="18.75">
      <c r="D10" s="50">
        <f>IF(E10&lt;&gt;0,G10/E10,1)</f>
        <v>0.49782246070381597</v>
      </c>
      <c r="E10" s="30">
        <f t="shared" si="0"/>
        <v>8.5671940032000009</v>
      </c>
      <c r="F10" s="30">
        <f t="shared" si="1"/>
        <v>4.3022524031999998</v>
      </c>
      <c r="G10" s="30">
        <f t="shared" si="2"/>
        <v>4.2649416000000002</v>
      </c>
      <c r="H10" s="31">
        <f t="shared" si="3"/>
        <v>1.261682242990654</v>
      </c>
      <c r="I10" s="26">
        <v>10.8</v>
      </c>
      <c r="J10" s="27">
        <f t="shared" si="4"/>
        <v>0.64800000000000002</v>
      </c>
      <c r="K10" s="28">
        <f t="shared" si="5"/>
        <v>8.5600000000000023</v>
      </c>
      <c r="L10" s="21">
        <v>169</v>
      </c>
      <c r="M10" s="25">
        <v>1400</v>
      </c>
      <c r="N10" s="53" t="s">
        <v>31</v>
      </c>
      <c r="O10" s="53"/>
    </row>
    <row r="11" spans="4:15" ht="18.75">
      <c r="D11" s="50">
        <f>IF(E11&lt;&gt;0,G11/E11,1)</f>
        <v>0.41811281723993171</v>
      </c>
      <c r="E11" s="30">
        <f>F11+G11</f>
        <v>14.0728520088</v>
      </c>
      <c r="F11" s="30">
        <f t="shared" si="1"/>
        <v>8.1888122087999999</v>
      </c>
      <c r="G11" s="30">
        <f>$I$3*J11</f>
        <v>5.8840398</v>
      </c>
      <c r="H11" s="31">
        <f t="shared" si="3"/>
        <v>1.0597439544807965</v>
      </c>
      <c r="I11" s="20">
        <v>14.9</v>
      </c>
      <c r="J11" s="27">
        <f t="shared" si="4"/>
        <v>0.89400000000000002</v>
      </c>
      <c r="K11" s="28">
        <f t="shared" si="5"/>
        <v>14.060000000000002</v>
      </c>
      <c r="L11" s="22">
        <v>174.5</v>
      </c>
      <c r="M11" s="23">
        <v>1450</v>
      </c>
      <c r="N11" s="53" t="s">
        <v>32</v>
      </c>
      <c r="O11" s="53"/>
    </row>
    <row r="12" spans="4:15" ht="18.75">
      <c r="D12" s="50">
        <f t="shared" ref="D12:D14" si="6">IF(E12&lt;&gt;0,G12/E12,1)</f>
        <v>1</v>
      </c>
      <c r="E12" s="30">
        <f t="shared" ref="E12:E13" si="7">F12+G12</f>
        <v>0</v>
      </c>
      <c r="F12" s="30">
        <f t="shared" si="1"/>
        <v>0</v>
      </c>
      <c r="G12" s="30">
        <f t="shared" ref="G12:G13" si="8">$I$3*J12</f>
        <v>0</v>
      </c>
      <c r="H12" s="31">
        <f t="shared" si="3"/>
        <v>0</v>
      </c>
      <c r="I12" s="24">
        <v>0</v>
      </c>
      <c r="J12" s="27">
        <f t="shared" si="4"/>
        <v>0</v>
      </c>
      <c r="K12" s="28">
        <f t="shared" si="5"/>
        <v>0</v>
      </c>
      <c r="L12" s="22">
        <v>0</v>
      </c>
      <c r="M12" s="23"/>
      <c r="N12" s="51" t="s">
        <v>33</v>
      </c>
      <c r="O12" s="51"/>
    </row>
    <row r="13" spans="4:15" ht="18.75">
      <c r="D13" s="50">
        <f t="shared" ref="D13" si="9">IF(E13&lt;&gt;0,G13/E13,1)</f>
        <v>1</v>
      </c>
      <c r="E13" s="30">
        <f t="shared" si="7"/>
        <v>0</v>
      </c>
      <c r="F13" s="30">
        <f t="shared" ref="F13" si="10">$I$2*J13*J13</f>
        <v>0</v>
      </c>
      <c r="G13" s="30">
        <f t="shared" si="8"/>
        <v>0</v>
      </c>
      <c r="H13" s="31">
        <f t="shared" ref="H13" si="11">I13/(L13-$N$7)</f>
        <v>0</v>
      </c>
      <c r="I13" s="24">
        <v>0</v>
      </c>
      <c r="J13" s="27">
        <f t="shared" ref="J13" si="12">I13*60/1000</f>
        <v>0</v>
      </c>
      <c r="K13" s="28">
        <f t="shared" ref="K13" si="13">IF(L13-$N$7&lt;0,0,L13-$N$7)</f>
        <v>0</v>
      </c>
      <c r="L13" s="22">
        <v>0</v>
      </c>
      <c r="M13" s="23"/>
      <c r="N13" s="51" t="s">
        <v>38</v>
      </c>
      <c r="O13" s="51"/>
    </row>
    <row r="14" spans="4:15" ht="18.75">
      <c r="D14" s="50">
        <f t="shared" si="6"/>
        <v>1</v>
      </c>
      <c r="E14" s="30">
        <f t="shared" si="0"/>
        <v>0</v>
      </c>
      <c r="F14" s="30">
        <f t="shared" si="1"/>
        <v>0</v>
      </c>
      <c r="G14" s="30">
        <f t="shared" si="2"/>
        <v>0</v>
      </c>
      <c r="H14" s="31">
        <f t="shared" si="3"/>
        <v>0</v>
      </c>
      <c r="I14" s="24">
        <v>0</v>
      </c>
      <c r="J14" s="27">
        <f t="shared" si="4"/>
        <v>0</v>
      </c>
      <c r="K14" s="28">
        <f t="shared" si="5"/>
        <v>0</v>
      </c>
      <c r="L14" s="22">
        <v>0</v>
      </c>
      <c r="M14" s="23">
        <v>0</v>
      </c>
      <c r="N14" s="51" t="s">
        <v>39</v>
      </c>
      <c r="O14" s="51"/>
    </row>
    <row r="34" spans="4:14" ht="21.75" customHeight="1">
      <c r="D34" s="52" t="s">
        <v>17</v>
      </c>
      <c r="E34" s="52"/>
      <c r="F34" s="52"/>
      <c r="G34" s="52" t="s">
        <v>34</v>
      </c>
      <c r="H34" s="52"/>
      <c r="I34" s="52"/>
      <c r="J34" s="52"/>
      <c r="L34" s="52" t="s">
        <v>35</v>
      </c>
      <c r="M34" s="52"/>
      <c r="N34" s="52"/>
    </row>
  </sheetData>
  <mergeCells count="34">
    <mergeCell ref="D4:F4"/>
    <mergeCell ref="G4:J4"/>
    <mergeCell ref="K4:O4"/>
    <mergeCell ref="D2:F2"/>
    <mergeCell ref="I2:J2"/>
    <mergeCell ref="K2:O2"/>
    <mergeCell ref="D3:F3"/>
    <mergeCell ref="I3:J3"/>
    <mergeCell ref="K3:O3"/>
    <mergeCell ref="D5:F5"/>
    <mergeCell ref="G5:J5"/>
    <mergeCell ref="K5:O5"/>
    <mergeCell ref="N6:O6"/>
    <mergeCell ref="N7:O7"/>
    <mergeCell ref="I6:I7"/>
    <mergeCell ref="D6:D7"/>
    <mergeCell ref="E6:E7"/>
    <mergeCell ref="F6:F7"/>
    <mergeCell ref="M6:M7"/>
    <mergeCell ref="G6:G7"/>
    <mergeCell ref="H6:H7"/>
    <mergeCell ref="J6:J7"/>
    <mergeCell ref="K6:K7"/>
    <mergeCell ref="L6:L7"/>
    <mergeCell ref="D34:F34"/>
    <mergeCell ref="G34:J34"/>
    <mergeCell ref="L34:N34"/>
    <mergeCell ref="N13:O13"/>
    <mergeCell ref="N8:O8"/>
    <mergeCell ref="N9:O9"/>
    <mergeCell ref="N10:O10"/>
    <mergeCell ref="N11:O11"/>
    <mergeCell ref="N12:O12"/>
    <mergeCell ref="N14:O14"/>
  </mergeCells>
  <pageMargins left="0.70866141732283472" right="0.70866141732283472" top="0.74803149606299213" bottom="0.74803149606299213" header="0.31496062992125984" footer="0.31496062992125984"/>
  <pageSetup scale="9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rightToLeft="1" tabSelected="1" topLeftCell="B4" zoomScale="85" zoomScaleNormal="85" workbookViewId="0">
      <selection activeCell="H8" sqref="H8"/>
    </sheetView>
  </sheetViews>
  <sheetFormatPr defaultRowHeight="14.25"/>
  <cols>
    <col min="1" max="1" width="2.375" hidden="1" customWidth="1"/>
    <col min="2" max="2" width="2" customWidth="1"/>
    <col min="3" max="3" width="5.125" customWidth="1"/>
    <col min="4" max="4" width="8.125" bestFit="1" customWidth="1"/>
    <col min="5" max="5" width="88.625" customWidth="1"/>
    <col min="6" max="6" width="7.75" customWidth="1"/>
    <col min="7" max="7" width="16.25" bestFit="1" customWidth="1"/>
    <col min="8" max="8" width="9.25" customWidth="1"/>
    <col min="9" max="9" width="23.75" bestFit="1" customWidth="1"/>
    <col min="10" max="10" width="27.375" bestFit="1" customWidth="1"/>
  </cols>
  <sheetData>
    <row r="1" spans="3:10" ht="33.75" thickBot="1">
      <c r="C1" s="66" t="s">
        <v>92</v>
      </c>
      <c r="D1" s="66"/>
      <c r="E1" s="66"/>
      <c r="F1" s="66"/>
      <c r="G1" s="66"/>
      <c r="H1" s="66"/>
      <c r="I1" s="66"/>
      <c r="J1" s="66"/>
    </row>
    <row r="2" spans="3:10" ht="37.15" customHeight="1">
      <c r="C2" s="2" t="s">
        <v>0</v>
      </c>
      <c r="D2" s="3" t="s">
        <v>6</v>
      </c>
      <c r="E2" s="3" t="s">
        <v>1</v>
      </c>
      <c r="F2" s="3" t="s">
        <v>2</v>
      </c>
      <c r="G2" s="3" t="s">
        <v>3</v>
      </c>
      <c r="H2" s="3" t="s">
        <v>4</v>
      </c>
      <c r="I2" s="15" t="s">
        <v>5</v>
      </c>
      <c r="J2" s="3" t="s">
        <v>75</v>
      </c>
    </row>
    <row r="3" spans="3:10" ht="45.75">
      <c r="C3" s="7">
        <v>1</v>
      </c>
      <c r="D3" s="8" t="s">
        <v>66</v>
      </c>
      <c r="E3" s="16" t="s">
        <v>57</v>
      </c>
      <c r="F3" s="6" t="s">
        <v>7</v>
      </c>
      <c r="G3" s="42">
        <v>72699000</v>
      </c>
      <c r="H3" s="38">
        <f>SUM(J3:J3)</f>
        <v>1</v>
      </c>
      <c r="I3" s="17">
        <f t="shared" ref="I3:I10" si="0">H3*G3</f>
        <v>72699000</v>
      </c>
      <c r="J3" s="43">
        <v>1</v>
      </c>
    </row>
    <row r="4" spans="3:10" ht="45.75">
      <c r="C4" s="7">
        <v>2</v>
      </c>
      <c r="D4" s="8" t="s">
        <v>67</v>
      </c>
      <c r="E4" s="16" t="s">
        <v>58</v>
      </c>
      <c r="F4" s="6" t="s">
        <v>8</v>
      </c>
      <c r="G4" s="42">
        <v>219500</v>
      </c>
      <c r="H4" s="38">
        <f t="shared" ref="H4:H12" si="1">SUM(J4:J4)</f>
        <v>150</v>
      </c>
      <c r="I4" s="17">
        <f t="shared" si="0"/>
        <v>32925000</v>
      </c>
      <c r="J4" s="43">
        <v>150</v>
      </c>
    </row>
    <row r="5" spans="3:10" ht="45.75">
      <c r="C5" s="7">
        <v>3</v>
      </c>
      <c r="D5" s="8" t="s">
        <v>68</v>
      </c>
      <c r="E5" s="16" t="s">
        <v>59</v>
      </c>
      <c r="F5" s="6" t="s">
        <v>8</v>
      </c>
      <c r="G5" s="42">
        <v>285500</v>
      </c>
      <c r="H5" s="38">
        <f t="shared" si="1"/>
        <v>0</v>
      </c>
      <c r="I5" s="17">
        <f t="shared" si="0"/>
        <v>0</v>
      </c>
      <c r="J5" s="43">
        <v>0</v>
      </c>
    </row>
    <row r="6" spans="3:10" ht="45.75">
      <c r="C6" s="7">
        <v>4</v>
      </c>
      <c r="D6" s="8" t="s">
        <v>69</v>
      </c>
      <c r="E6" s="16" t="s">
        <v>60</v>
      </c>
      <c r="F6" s="6" t="s">
        <v>7</v>
      </c>
      <c r="G6" s="42">
        <v>490849000</v>
      </c>
      <c r="H6" s="38">
        <f t="shared" si="1"/>
        <v>1</v>
      </c>
      <c r="I6" s="17">
        <f t="shared" si="0"/>
        <v>490849000</v>
      </c>
      <c r="J6" s="43">
        <v>1</v>
      </c>
    </row>
    <row r="7" spans="3:10" ht="45.75">
      <c r="C7" s="7">
        <v>5</v>
      </c>
      <c r="D7" s="8" t="s">
        <v>70</v>
      </c>
      <c r="E7" s="16" t="s">
        <v>61</v>
      </c>
      <c r="F7" s="6" t="s">
        <v>41</v>
      </c>
      <c r="G7" s="42">
        <v>2454245</v>
      </c>
      <c r="H7" s="38">
        <f t="shared" si="1"/>
        <v>36</v>
      </c>
      <c r="I7" s="17">
        <f t="shared" si="0"/>
        <v>88352820</v>
      </c>
      <c r="J7" s="43">
        <v>36</v>
      </c>
    </row>
    <row r="8" spans="3:10" ht="45.75">
      <c r="C8" s="7">
        <v>6</v>
      </c>
      <c r="D8" s="8" t="s">
        <v>71</v>
      </c>
      <c r="E8" s="16" t="s">
        <v>62</v>
      </c>
      <c r="F8" s="6" t="s">
        <v>9</v>
      </c>
      <c r="G8" s="42">
        <v>17084000</v>
      </c>
      <c r="H8" s="38">
        <f t="shared" si="1"/>
        <v>189.66</v>
      </c>
      <c r="I8" s="17">
        <f t="shared" si="0"/>
        <v>3240151440</v>
      </c>
      <c r="J8" s="43">
        <v>189.66</v>
      </c>
    </row>
    <row r="9" spans="3:10" ht="45.75">
      <c r="C9" s="7">
        <v>7</v>
      </c>
      <c r="D9" s="8" t="s">
        <v>72</v>
      </c>
      <c r="E9" s="37" t="s">
        <v>63</v>
      </c>
      <c r="F9" s="6" t="s">
        <v>9</v>
      </c>
      <c r="G9" s="42">
        <v>1025040</v>
      </c>
      <c r="H9" s="38">
        <f>SUM(J9:J9)</f>
        <v>189.66</v>
      </c>
      <c r="I9" s="17">
        <f t="shared" si="0"/>
        <v>194409086.40000001</v>
      </c>
      <c r="J9" s="43">
        <f>J8</f>
        <v>189.66</v>
      </c>
    </row>
    <row r="10" spans="3:10" ht="45.75">
      <c r="C10" s="7">
        <v>8</v>
      </c>
      <c r="D10" s="8">
        <v>60908</v>
      </c>
      <c r="E10" s="37" t="s">
        <v>83</v>
      </c>
      <c r="F10" s="6" t="s">
        <v>9</v>
      </c>
      <c r="G10" s="42">
        <v>2562600</v>
      </c>
      <c r="H10" s="38">
        <f t="shared" si="1"/>
        <v>104</v>
      </c>
      <c r="I10" s="17">
        <f t="shared" si="0"/>
        <v>266510400</v>
      </c>
      <c r="J10" s="43">
        <v>104</v>
      </c>
    </row>
    <row r="11" spans="3:10" ht="45.75">
      <c r="C11" s="7">
        <v>9</v>
      </c>
      <c r="D11" s="8" t="s">
        <v>73</v>
      </c>
      <c r="E11" s="16" t="s">
        <v>64</v>
      </c>
      <c r="F11" s="6" t="s">
        <v>9</v>
      </c>
      <c r="G11" s="42">
        <v>18228000</v>
      </c>
      <c r="H11" s="38">
        <f t="shared" si="1"/>
        <v>6</v>
      </c>
      <c r="I11" s="17">
        <f t="shared" ref="I11:I12" si="2">H11*G11</f>
        <v>109368000</v>
      </c>
      <c r="J11" s="43">
        <v>6</v>
      </c>
    </row>
    <row r="12" spans="3:10" ht="45.75">
      <c r="C12" s="7">
        <v>10</v>
      </c>
      <c r="D12" s="8" t="s">
        <v>74</v>
      </c>
      <c r="E12" s="36" t="s">
        <v>65</v>
      </c>
      <c r="F12" s="6" t="s">
        <v>9</v>
      </c>
      <c r="G12" s="42">
        <v>1093680</v>
      </c>
      <c r="H12" s="38">
        <f t="shared" si="1"/>
        <v>6</v>
      </c>
      <c r="I12" s="17">
        <f t="shared" si="2"/>
        <v>6562080</v>
      </c>
      <c r="J12" s="43">
        <f>J11</f>
        <v>6</v>
      </c>
    </row>
    <row r="13" spans="3:10" ht="45.75">
      <c r="C13" s="9"/>
      <c r="D13" s="10"/>
      <c r="E13" s="47" t="s">
        <v>10</v>
      </c>
      <c r="F13" s="1"/>
      <c r="G13" s="1"/>
      <c r="H13" s="1"/>
      <c r="I13" s="17">
        <f>SUM(I3:I12)</f>
        <v>4501826826.3999996</v>
      </c>
      <c r="J13" s="44">
        <f>$G$3*J3+$G$4*J4+$G$5*J5+$G$6*J6+$G$7*J7+$G$8*J8+$G$9*J9+$G$11*J11+$G$12*J12+$G$10*J10</f>
        <v>4501826826.3999996</v>
      </c>
    </row>
    <row r="14" spans="3:10" ht="45.75">
      <c r="C14" s="4"/>
      <c r="D14" s="1"/>
      <c r="E14" s="47" t="s">
        <v>11</v>
      </c>
      <c r="F14" s="1"/>
      <c r="G14" s="5"/>
      <c r="H14" s="1"/>
      <c r="I14" s="18">
        <v>1.41</v>
      </c>
      <c r="J14" s="45">
        <v>1.41</v>
      </c>
    </row>
    <row r="15" spans="3:10" ht="45.75">
      <c r="C15" s="4"/>
      <c r="D15" s="1"/>
      <c r="E15" s="47" t="s">
        <v>12</v>
      </c>
      <c r="F15" s="1"/>
      <c r="G15" s="5"/>
      <c r="H15" s="1"/>
      <c r="I15" s="18">
        <v>1.03</v>
      </c>
      <c r="J15" s="45">
        <v>1.03</v>
      </c>
    </row>
    <row r="16" spans="3:10" ht="23.25" customHeight="1">
      <c r="C16" s="11"/>
      <c r="D16" s="12"/>
      <c r="E16" s="48" t="s">
        <v>14</v>
      </c>
      <c r="F16" s="12"/>
      <c r="G16" s="13"/>
      <c r="H16" s="12"/>
      <c r="I16" s="19">
        <v>0.86609999999999998</v>
      </c>
      <c r="J16" s="46">
        <v>0.86609999999999998</v>
      </c>
    </row>
    <row r="17" spans="2:10" ht="118.5" customHeight="1">
      <c r="C17" s="11"/>
      <c r="D17" s="12"/>
      <c r="E17" s="48" t="s">
        <v>13</v>
      </c>
      <c r="F17" s="12"/>
      <c r="G17" s="35"/>
      <c r="H17" s="12"/>
      <c r="I17" s="40"/>
      <c r="J17" s="49">
        <f>ROUND(J13*J14*J15*J16,4)</f>
        <v>5662564484.8933001</v>
      </c>
    </row>
    <row r="18" spans="2:10" ht="45.75" customHeight="1">
      <c r="C18" s="65" t="s">
        <v>42</v>
      </c>
      <c r="D18" s="65"/>
      <c r="E18" s="65"/>
      <c r="F18" s="65"/>
      <c r="G18" s="65"/>
      <c r="H18" s="65"/>
      <c r="I18" s="65"/>
      <c r="J18" s="41">
        <f>I17</f>
        <v>0</v>
      </c>
    </row>
    <row r="19" spans="2:10" ht="50.1" customHeight="1">
      <c r="B19" s="64" t="s">
        <v>15</v>
      </c>
      <c r="C19" s="64"/>
      <c r="D19" s="64"/>
      <c r="E19" s="64"/>
      <c r="F19" s="64"/>
      <c r="G19" s="64"/>
      <c r="H19" s="64"/>
      <c r="I19" s="64"/>
      <c r="J19" s="39" t="s">
        <v>16</v>
      </c>
    </row>
    <row r="20" spans="2:10">
      <c r="E20" s="14"/>
    </row>
  </sheetData>
  <mergeCells count="3">
    <mergeCell ref="B19:I19"/>
    <mergeCell ref="C18:I18"/>
    <mergeCell ref="C1:J1"/>
  </mergeCells>
  <pageMargins left="0" right="0" top="0" bottom="0.74803149606299213" header="0" footer="0.31496062992125984"/>
  <pageSetup paperSize="9"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workbookViewId="0">
      <selection activeCell="C6" sqref="C6"/>
    </sheetView>
  </sheetViews>
  <sheetFormatPr defaultRowHeight="14.25"/>
  <cols>
    <col min="2" max="2" width="14" bestFit="1" customWidth="1"/>
    <col min="3" max="3" width="18.375" bestFit="1" customWidth="1"/>
    <col min="4" max="4" width="26.875" bestFit="1" customWidth="1"/>
    <col min="5" max="5" width="28.625" bestFit="1" customWidth="1"/>
    <col min="6" max="6" width="11.875" customWidth="1"/>
  </cols>
  <sheetData>
    <row r="1" spans="1:6" ht="43.5" customHeight="1">
      <c r="A1" s="69" t="s">
        <v>54</v>
      </c>
      <c r="B1" s="69"/>
      <c r="C1" s="69"/>
      <c r="D1" s="69"/>
      <c r="E1" s="69"/>
      <c r="F1" s="69"/>
    </row>
    <row r="2" spans="1:6" ht="47.25" customHeight="1">
      <c r="A2" s="70" t="s">
        <v>55</v>
      </c>
      <c r="B2" s="70"/>
      <c r="C2" s="70"/>
      <c r="E2" s="71" t="s">
        <v>56</v>
      </c>
      <c r="F2" s="71"/>
    </row>
    <row r="3" spans="1:6" ht="39.75" customHeight="1">
      <c r="A3" s="67" t="s">
        <v>53</v>
      </c>
      <c r="B3" s="67"/>
      <c r="C3" s="67"/>
      <c r="D3" s="67"/>
      <c r="E3" s="67"/>
      <c r="F3" s="67"/>
    </row>
    <row r="4" spans="1:6" ht="70.5">
      <c r="A4" s="32" t="s">
        <v>0</v>
      </c>
      <c r="B4" s="32" t="s">
        <v>46</v>
      </c>
      <c r="C4" s="32" t="s">
        <v>52</v>
      </c>
      <c r="D4" s="32" t="s">
        <v>47</v>
      </c>
      <c r="E4" s="32" t="s">
        <v>48</v>
      </c>
      <c r="F4" s="32" t="s">
        <v>49</v>
      </c>
    </row>
    <row r="5" spans="1:6" ht="35.25">
      <c r="A5" s="32">
        <v>1</v>
      </c>
      <c r="B5" s="32" t="s">
        <v>50</v>
      </c>
      <c r="C5" s="34" t="e">
        <f>total!#REF!</f>
        <v>#REF!</v>
      </c>
      <c r="D5" s="32">
        <v>0</v>
      </c>
      <c r="E5" s="32" t="e">
        <f>D5+C5</f>
        <v>#REF!</v>
      </c>
      <c r="F5" s="1"/>
    </row>
    <row r="7" spans="1:6" ht="27">
      <c r="A7" s="68" t="s">
        <v>51</v>
      </c>
      <c r="B7" s="68"/>
      <c r="C7" s="68"/>
      <c r="D7" s="33"/>
      <c r="E7" s="68" t="s">
        <v>16</v>
      </c>
      <c r="F7" s="68"/>
    </row>
    <row r="8" spans="1:6" ht="27">
      <c r="A8" s="68"/>
      <c r="B8" s="68"/>
      <c r="C8" s="68"/>
      <c r="D8" s="33"/>
      <c r="E8" s="68"/>
      <c r="F8" s="68"/>
    </row>
  </sheetData>
  <mergeCells count="6">
    <mergeCell ref="A3:F3"/>
    <mergeCell ref="A7:C8"/>
    <mergeCell ref="E7:F8"/>
    <mergeCell ref="A1:F1"/>
    <mergeCell ref="A2:C2"/>
    <mergeCell ref="E2:F2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حجاب 5</vt:lpstr>
      <vt:lpstr>امامیه 16</vt:lpstr>
      <vt:lpstr>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امین بزرگمهر</cp:lastModifiedBy>
  <cp:lastPrinted>2026-03-31T07:09:56Z</cp:lastPrinted>
  <dcterms:created xsi:type="dcterms:W3CDTF">2023-06-28T08:54:52Z</dcterms:created>
  <dcterms:modified xsi:type="dcterms:W3CDTF">2026-03-31T07:11:07Z</dcterms:modified>
</cp:coreProperties>
</file>