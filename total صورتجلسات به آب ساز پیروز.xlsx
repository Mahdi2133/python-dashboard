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به آب ساز پمپاژ\1404125201\"/>
    </mc:Choice>
  </mc:AlternateContent>
  <bookViews>
    <workbookView xWindow="0" yWindow="0" windowWidth="2160" windowHeight="0" tabRatio="873" firstSheet="2" activeTab="7"/>
  </bookViews>
  <sheets>
    <sheet name="مفتح 29 (بازه شیخ)" sheetId="60" r:id="rId1"/>
    <sheet name="امامیه 17" sheetId="59" r:id="rId2"/>
    <sheet name="اسلام آباد 4" sheetId="58" r:id="rId3"/>
    <sheet name="فناوری 1" sheetId="57" r:id="rId4"/>
    <sheet name="امام رضا 29" sheetId="56" r:id="rId5"/>
    <sheet name="اسلام آباد5" sheetId="55" r:id="rId6"/>
    <sheet name="شهرک راه آهن(مجدد)" sheetId="54" r:id="rId7"/>
    <sheet name="شهرک راه آهن" sheetId="61" r:id="rId8"/>
    <sheet name="ناظریه 10" sheetId="53" r:id="rId9"/>
    <sheet name="حجاب 3" sheetId="52" r:id="rId10"/>
    <sheet name="عبادی 30" sheetId="51" r:id="rId11"/>
    <sheet name="بهار" sheetId="50" r:id="rId12"/>
    <sheet name="رضا 11" sheetId="49" r:id="rId13"/>
    <sheet name="کورده 13" sheetId="48" r:id="rId14"/>
    <sheet name="کورده 3" sheetId="47" r:id="rId15"/>
    <sheet name="اسلام 13" sheetId="45" r:id="rId16"/>
    <sheet name="شهرک امام" sheetId="36" r:id="rId17"/>
    <sheet name="total" sheetId="44" r:id="rId18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61" l="1"/>
  <c r="I12" i="61"/>
  <c r="G12" i="61"/>
  <c r="F12" i="61"/>
  <c r="E12" i="61"/>
  <c r="D12" i="61" s="1"/>
  <c r="C12" i="61" s="1"/>
  <c r="J11" i="61"/>
  <c r="I11" i="61"/>
  <c r="F11" i="61" s="1"/>
  <c r="G11" i="61"/>
  <c r="J10" i="61"/>
  <c r="I10" i="61"/>
  <c r="F10" i="61" s="1"/>
  <c r="G10" i="61"/>
  <c r="J9" i="61"/>
  <c r="I9" i="61"/>
  <c r="F9" i="61" s="1"/>
  <c r="G9" i="61"/>
  <c r="E9" i="61"/>
  <c r="D9" i="61" s="1"/>
  <c r="C9" i="61" s="1"/>
  <c r="J8" i="61"/>
  <c r="I8" i="61"/>
  <c r="E8" i="61" s="1"/>
  <c r="D8" i="61" s="1"/>
  <c r="C8" i="61" s="1"/>
  <c r="G8" i="61"/>
  <c r="F8" i="61"/>
  <c r="J12" i="60"/>
  <c r="I12" i="60"/>
  <c r="E12" i="60" s="1"/>
  <c r="G12" i="60"/>
  <c r="J11" i="60"/>
  <c r="I11" i="60"/>
  <c r="F11" i="60" s="1"/>
  <c r="G11" i="60"/>
  <c r="J10" i="60"/>
  <c r="I10" i="60"/>
  <c r="G10" i="60"/>
  <c r="F10" i="60"/>
  <c r="E10" i="60"/>
  <c r="D10" i="60" s="1"/>
  <c r="C10" i="60" s="1"/>
  <c r="J9" i="60"/>
  <c r="I9" i="60"/>
  <c r="G9" i="60"/>
  <c r="F9" i="60"/>
  <c r="E9" i="60"/>
  <c r="D9" i="60" s="1"/>
  <c r="C9" i="60" s="1"/>
  <c r="J8" i="60"/>
  <c r="I8" i="60"/>
  <c r="F8" i="60" s="1"/>
  <c r="G8" i="60"/>
  <c r="J12" i="59"/>
  <c r="I12" i="59"/>
  <c r="E12" i="59" s="1"/>
  <c r="G12" i="59"/>
  <c r="J11" i="59"/>
  <c r="I11" i="59"/>
  <c r="F11" i="59" s="1"/>
  <c r="G11" i="59"/>
  <c r="J10" i="59"/>
  <c r="I10" i="59"/>
  <c r="G10" i="59"/>
  <c r="F10" i="59"/>
  <c r="E10" i="59"/>
  <c r="D10" i="59" s="1"/>
  <c r="C10" i="59" s="1"/>
  <c r="J9" i="59"/>
  <c r="I9" i="59"/>
  <c r="G9" i="59"/>
  <c r="F9" i="59"/>
  <c r="E9" i="59"/>
  <c r="D9" i="59" s="1"/>
  <c r="C9" i="59" s="1"/>
  <c r="J8" i="59"/>
  <c r="I8" i="59"/>
  <c r="E8" i="59" s="1"/>
  <c r="G8" i="59"/>
  <c r="J12" i="58"/>
  <c r="I12" i="58"/>
  <c r="F12" i="58" s="1"/>
  <c r="G12" i="58"/>
  <c r="E12" i="58"/>
  <c r="J11" i="58"/>
  <c r="I11" i="58"/>
  <c r="F11" i="58" s="1"/>
  <c r="G11" i="58"/>
  <c r="J10" i="58"/>
  <c r="I10" i="58"/>
  <c r="G10" i="58"/>
  <c r="F10" i="58"/>
  <c r="E10" i="58"/>
  <c r="D10" i="58" s="1"/>
  <c r="C10" i="58" s="1"/>
  <c r="J9" i="58"/>
  <c r="I9" i="58"/>
  <c r="G9" i="58"/>
  <c r="F9" i="58"/>
  <c r="E9" i="58"/>
  <c r="D9" i="58" s="1"/>
  <c r="C9" i="58" s="1"/>
  <c r="J8" i="58"/>
  <c r="I8" i="58"/>
  <c r="F8" i="58" s="1"/>
  <c r="G8" i="58"/>
  <c r="E8" i="58"/>
  <c r="D8" i="58" s="1"/>
  <c r="C8" i="58" s="1"/>
  <c r="J12" i="57"/>
  <c r="I12" i="57"/>
  <c r="G12" i="57"/>
  <c r="F12" i="57"/>
  <c r="E12" i="57"/>
  <c r="D12" i="57" s="1"/>
  <c r="C12" i="57" s="1"/>
  <c r="J11" i="57"/>
  <c r="I11" i="57"/>
  <c r="F11" i="57" s="1"/>
  <c r="G11" i="57"/>
  <c r="E11" i="57"/>
  <c r="D11" i="57" s="1"/>
  <c r="C11" i="57" s="1"/>
  <c r="J10" i="57"/>
  <c r="I10" i="57"/>
  <c r="F10" i="57" s="1"/>
  <c r="G10" i="57"/>
  <c r="J9" i="57"/>
  <c r="I9" i="57"/>
  <c r="G9" i="57"/>
  <c r="F9" i="57"/>
  <c r="E9" i="57"/>
  <c r="D9" i="57" s="1"/>
  <c r="C9" i="57" s="1"/>
  <c r="J8" i="57"/>
  <c r="I8" i="57"/>
  <c r="E8" i="57" s="1"/>
  <c r="D8" i="57" s="1"/>
  <c r="C8" i="57" s="1"/>
  <c r="G8" i="57"/>
  <c r="F8" i="57"/>
  <c r="J12" i="56"/>
  <c r="I12" i="56"/>
  <c r="G12" i="56"/>
  <c r="F12" i="56"/>
  <c r="E12" i="56"/>
  <c r="D12" i="56" s="1"/>
  <c r="C12" i="56" s="1"/>
  <c r="J11" i="56"/>
  <c r="I11" i="56"/>
  <c r="F11" i="56" s="1"/>
  <c r="G11" i="56"/>
  <c r="J10" i="56"/>
  <c r="I10" i="56"/>
  <c r="F10" i="56" s="1"/>
  <c r="G10" i="56"/>
  <c r="J9" i="56"/>
  <c r="I9" i="56"/>
  <c r="F9" i="56" s="1"/>
  <c r="G9" i="56"/>
  <c r="J8" i="56"/>
  <c r="I8" i="56"/>
  <c r="E8" i="56" s="1"/>
  <c r="G8" i="56"/>
  <c r="J12" i="55"/>
  <c r="I12" i="55"/>
  <c r="F12" i="55" s="1"/>
  <c r="G12" i="55"/>
  <c r="J11" i="55"/>
  <c r="I11" i="55"/>
  <c r="F11" i="55" s="1"/>
  <c r="G11" i="55"/>
  <c r="J10" i="55"/>
  <c r="I10" i="55"/>
  <c r="F10" i="55" s="1"/>
  <c r="G10" i="55"/>
  <c r="J9" i="55"/>
  <c r="I9" i="55"/>
  <c r="F9" i="55" s="1"/>
  <c r="G9" i="55"/>
  <c r="E9" i="55"/>
  <c r="J8" i="55"/>
  <c r="I8" i="55"/>
  <c r="E8" i="55" s="1"/>
  <c r="G8" i="55"/>
  <c r="J12" i="54"/>
  <c r="I12" i="54"/>
  <c r="G12" i="54"/>
  <c r="F12" i="54"/>
  <c r="E12" i="54"/>
  <c r="D12" i="54" s="1"/>
  <c r="C12" i="54" s="1"/>
  <c r="J11" i="54"/>
  <c r="I11" i="54"/>
  <c r="F11" i="54" s="1"/>
  <c r="G11" i="54"/>
  <c r="J10" i="54"/>
  <c r="I10" i="54"/>
  <c r="F10" i="54" s="1"/>
  <c r="G10" i="54"/>
  <c r="J9" i="54"/>
  <c r="I9" i="54"/>
  <c r="G9" i="54"/>
  <c r="F9" i="54"/>
  <c r="E9" i="54"/>
  <c r="J8" i="54"/>
  <c r="I8" i="54"/>
  <c r="F8" i="54" s="1"/>
  <c r="G8" i="54"/>
  <c r="E11" i="61" l="1"/>
  <c r="D11" i="61" s="1"/>
  <c r="C11" i="61" s="1"/>
  <c r="E10" i="61"/>
  <c r="D10" i="61" s="1"/>
  <c r="C10" i="61" s="1"/>
  <c r="E8" i="60"/>
  <c r="D8" i="60" s="1"/>
  <c r="C8" i="60" s="1"/>
  <c r="E11" i="60"/>
  <c r="D11" i="60" s="1"/>
  <c r="C11" i="60" s="1"/>
  <c r="F12" i="60"/>
  <c r="D12" i="60" s="1"/>
  <c r="C12" i="60" s="1"/>
  <c r="F8" i="59"/>
  <c r="D8" i="59" s="1"/>
  <c r="C8" i="59" s="1"/>
  <c r="E11" i="59"/>
  <c r="D11" i="59" s="1"/>
  <c r="C11" i="59" s="1"/>
  <c r="F12" i="59"/>
  <c r="D12" i="59" s="1"/>
  <c r="C12" i="59" s="1"/>
  <c r="D12" i="58"/>
  <c r="C12" i="58" s="1"/>
  <c r="E11" i="58"/>
  <c r="D11" i="58" s="1"/>
  <c r="C11" i="58" s="1"/>
  <c r="E10" i="57"/>
  <c r="D10" i="57" s="1"/>
  <c r="C10" i="57" s="1"/>
  <c r="E11" i="56"/>
  <c r="E9" i="56"/>
  <c r="D9" i="56" s="1"/>
  <c r="C9" i="56" s="1"/>
  <c r="F8" i="56"/>
  <c r="D8" i="56" s="1"/>
  <c r="C8" i="56" s="1"/>
  <c r="D11" i="56"/>
  <c r="C11" i="56" s="1"/>
  <c r="E10" i="56"/>
  <c r="D10" i="56" s="1"/>
  <c r="C10" i="56" s="1"/>
  <c r="E10" i="55"/>
  <c r="D10" i="55" s="1"/>
  <c r="C10" i="55" s="1"/>
  <c r="D9" i="55"/>
  <c r="C9" i="55" s="1"/>
  <c r="E12" i="55"/>
  <c r="D12" i="55" s="1"/>
  <c r="C12" i="55" s="1"/>
  <c r="F8" i="55"/>
  <c r="D8" i="55" s="1"/>
  <c r="C8" i="55" s="1"/>
  <c r="E11" i="55"/>
  <c r="D11" i="55" s="1"/>
  <c r="C11" i="55" s="1"/>
  <c r="D9" i="54"/>
  <c r="C9" i="54" s="1"/>
  <c r="E11" i="54"/>
  <c r="D11" i="54" s="1"/>
  <c r="C11" i="54" s="1"/>
  <c r="E8" i="54"/>
  <c r="D8" i="54" s="1"/>
  <c r="C8" i="54" s="1"/>
  <c r="E10" i="54"/>
  <c r="D10" i="54" s="1"/>
  <c r="C10" i="54" s="1"/>
  <c r="E11" i="44"/>
  <c r="E7" i="44"/>
  <c r="H10" i="44"/>
  <c r="H15" i="44" l="1"/>
  <c r="H16" i="44" s="1"/>
  <c r="F2" i="44"/>
  <c r="G2" i="44" s="1"/>
  <c r="I16" i="44"/>
  <c r="M16" i="44"/>
  <c r="I15" i="44"/>
  <c r="J15" i="44"/>
  <c r="J16" i="44" s="1"/>
  <c r="K15" i="44"/>
  <c r="K16" i="44" s="1"/>
  <c r="L15" i="44"/>
  <c r="L16" i="44" s="1"/>
  <c r="M15" i="44"/>
  <c r="N15" i="44"/>
  <c r="N16" i="44" s="1"/>
  <c r="O15" i="44"/>
  <c r="O16" i="44" s="1"/>
  <c r="P13" i="44" l="1"/>
  <c r="P15" i="44"/>
  <c r="P16" i="44" s="1"/>
  <c r="H17" i="44" s="1"/>
  <c r="J12" i="53"/>
  <c r="I12" i="53"/>
  <c r="G12" i="53"/>
  <c r="F12" i="53"/>
  <c r="E12" i="53"/>
  <c r="J11" i="53"/>
  <c r="I11" i="53"/>
  <c r="F11" i="53" s="1"/>
  <c r="G11" i="53"/>
  <c r="E11" i="53"/>
  <c r="D11" i="53" s="1"/>
  <c r="C11" i="53" s="1"/>
  <c r="J10" i="53"/>
  <c r="I10" i="53"/>
  <c r="F10" i="53" s="1"/>
  <c r="G10" i="53"/>
  <c r="J9" i="53"/>
  <c r="I9" i="53"/>
  <c r="E9" i="53" s="1"/>
  <c r="G9" i="53"/>
  <c r="F9" i="53"/>
  <c r="J8" i="53"/>
  <c r="I8" i="53"/>
  <c r="G8" i="53"/>
  <c r="F8" i="53"/>
  <c r="E8" i="53"/>
  <c r="O14" i="44"/>
  <c r="O12" i="44"/>
  <c r="O13" i="44" s="1"/>
  <c r="O10" i="44"/>
  <c r="O6" i="44"/>
  <c r="O4" i="44"/>
  <c r="O3" i="44"/>
  <c r="O2" i="44"/>
  <c r="J12" i="52"/>
  <c r="I12" i="52"/>
  <c r="F12" i="52" s="1"/>
  <c r="G12" i="52"/>
  <c r="E12" i="52"/>
  <c r="J11" i="52"/>
  <c r="I11" i="52"/>
  <c r="F11" i="52" s="1"/>
  <c r="G11" i="52"/>
  <c r="J10" i="52"/>
  <c r="I10" i="52"/>
  <c r="E10" i="52" s="1"/>
  <c r="G10" i="52"/>
  <c r="J9" i="52"/>
  <c r="I9" i="52"/>
  <c r="F9" i="52" s="1"/>
  <c r="G9" i="52"/>
  <c r="J8" i="52"/>
  <c r="I8" i="52"/>
  <c r="F8" i="52" s="1"/>
  <c r="G8" i="52"/>
  <c r="N14" i="44"/>
  <c r="N13" i="44"/>
  <c r="N12" i="44"/>
  <c r="N10" i="44"/>
  <c r="N6" i="44"/>
  <c r="N4" i="44"/>
  <c r="N3" i="44"/>
  <c r="N2" i="44"/>
  <c r="J12" i="51"/>
  <c r="I12" i="51"/>
  <c r="G12" i="51"/>
  <c r="F12" i="51"/>
  <c r="E12" i="51"/>
  <c r="D12" i="51" s="1"/>
  <c r="C12" i="51" s="1"/>
  <c r="J11" i="51"/>
  <c r="I11" i="51"/>
  <c r="F11" i="51" s="1"/>
  <c r="G11" i="51"/>
  <c r="J10" i="51"/>
  <c r="I10" i="51"/>
  <c r="F10" i="51" s="1"/>
  <c r="G10" i="51"/>
  <c r="J9" i="51"/>
  <c r="I9" i="51"/>
  <c r="F9" i="51" s="1"/>
  <c r="G9" i="51"/>
  <c r="J8" i="51"/>
  <c r="I8" i="51"/>
  <c r="E8" i="51" s="1"/>
  <c r="G8" i="51"/>
  <c r="M14" i="44"/>
  <c r="M12" i="44"/>
  <c r="M13" i="44" s="1"/>
  <c r="M10" i="44"/>
  <c r="M6" i="44"/>
  <c r="M4" i="44"/>
  <c r="M3" i="44"/>
  <c r="M2" i="44"/>
  <c r="J12" i="50"/>
  <c r="I12" i="50"/>
  <c r="G12" i="50"/>
  <c r="F12" i="50"/>
  <c r="E12" i="50"/>
  <c r="J11" i="50"/>
  <c r="I11" i="50"/>
  <c r="F11" i="50" s="1"/>
  <c r="G11" i="50"/>
  <c r="J10" i="50"/>
  <c r="I10" i="50"/>
  <c r="F10" i="50" s="1"/>
  <c r="G10" i="50"/>
  <c r="J9" i="50"/>
  <c r="I9" i="50"/>
  <c r="F9" i="50" s="1"/>
  <c r="G9" i="50"/>
  <c r="J8" i="50"/>
  <c r="I8" i="50"/>
  <c r="F8" i="50" s="1"/>
  <c r="G8" i="50"/>
  <c r="L14" i="44"/>
  <c r="L12" i="44"/>
  <c r="L13" i="44" s="1"/>
  <c r="L10" i="44"/>
  <c r="L6" i="44"/>
  <c r="L4" i="44"/>
  <c r="L3" i="44"/>
  <c r="L2" i="44"/>
  <c r="J12" i="49"/>
  <c r="I12" i="49"/>
  <c r="E12" i="49" s="1"/>
  <c r="G12" i="49"/>
  <c r="F12" i="49"/>
  <c r="J11" i="49"/>
  <c r="I11" i="49"/>
  <c r="F11" i="49" s="1"/>
  <c r="G11" i="49"/>
  <c r="J10" i="49"/>
  <c r="I10" i="49"/>
  <c r="F10" i="49" s="1"/>
  <c r="G10" i="49"/>
  <c r="J9" i="49"/>
  <c r="I9" i="49"/>
  <c r="E9" i="49" s="1"/>
  <c r="G9" i="49"/>
  <c r="J8" i="49"/>
  <c r="I8" i="49"/>
  <c r="F8" i="49" s="1"/>
  <c r="G8" i="49"/>
  <c r="K14" i="44"/>
  <c r="K12" i="44"/>
  <c r="K13" i="44" s="1"/>
  <c r="K10" i="44"/>
  <c r="K6" i="44"/>
  <c r="K4" i="44"/>
  <c r="K3" i="44"/>
  <c r="K2" i="44"/>
  <c r="J12" i="48"/>
  <c r="I12" i="48"/>
  <c r="E12" i="48" s="1"/>
  <c r="G12" i="48"/>
  <c r="F12" i="48"/>
  <c r="J11" i="48"/>
  <c r="I11" i="48"/>
  <c r="F11" i="48" s="1"/>
  <c r="G11" i="48"/>
  <c r="J10" i="48"/>
  <c r="I10" i="48"/>
  <c r="F10" i="48" s="1"/>
  <c r="G10" i="48"/>
  <c r="J9" i="48"/>
  <c r="I9" i="48"/>
  <c r="E9" i="48" s="1"/>
  <c r="D9" i="48" s="1"/>
  <c r="C9" i="48" s="1"/>
  <c r="G9" i="48"/>
  <c r="F9" i="48"/>
  <c r="J8" i="48"/>
  <c r="I8" i="48"/>
  <c r="F8" i="48" s="1"/>
  <c r="G8" i="48"/>
  <c r="J14" i="44"/>
  <c r="J13" i="44"/>
  <c r="J12" i="44"/>
  <c r="J10" i="44"/>
  <c r="J6" i="44"/>
  <c r="J4" i="44"/>
  <c r="J3" i="44"/>
  <c r="J2" i="44"/>
  <c r="J12" i="47"/>
  <c r="I12" i="47"/>
  <c r="G12" i="47"/>
  <c r="F12" i="47"/>
  <c r="E12" i="47"/>
  <c r="D12" i="47" s="1"/>
  <c r="C12" i="47" s="1"/>
  <c r="J11" i="47"/>
  <c r="I11" i="47"/>
  <c r="F11" i="47" s="1"/>
  <c r="G11" i="47"/>
  <c r="E11" i="47"/>
  <c r="D11" i="47" s="1"/>
  <c r="C11" i="47" s="1"/>
  <c r="J10" i="47"/>
  <c r="I10" i="47"/>
  <c r="F10" i="47" s="1"/>
  <c r="G10" i="47"/>
  <c r="J9" i="47"/>
  <c r="I9" i="47"/>
  <c r="F9" i="47" s="1"/>
  <c r="G9" i="47"/>
  <c r="J8" i="47"/>
  <c r="I8" i="47"/>
  <c r="E8" i="47" s="1"/>
  <c r="D8" i="47" s="1"/>
  <c r="C8" i="47" s="1"/>
  <c r="G8" i="47"/>
  <c r="F8" i="47"/>
  <c r="D8" i="53" l="1"/>
  <c r="C8" i="53" s="1"/>
  <c r="D12" i="53"/>
  <c r="C12" i="53" s="1"/>
  <c r="D9" i="53"/>
  <c r="C9" i="53" s="1"/>
  <c r="E10" i="53"/>
  <c r="D10" i="53" s="1"/>
  <c r="C10" i="53" s="1"/>
  <c r="D12" i="52"/>
  <c r="C12" i="52" s="1"/>
  <c r="E9" i="52"/>
  <c r="E8" i="52"/>
  <c r="D8" i="52" s="1"/>
  <c r="C8" i="52" s="1"/>
  <c r="F10" i="52"/>
  <c r="D10" i="52" s="1"/>
  <c r="C10" i="52" s="1"/>
  <c r="D9" i="52"/>
  <c r="C9" i="52" s="1"/>
  <c r="E11" i="52"/>
  <c r="D11" i="52" s="1"/>
  <c r="C11" i="52" s="1"/>
  <c r="E11" i="51"/>
  <c r="D11" i="51" s="1"/>
  <c r="C11" i="51" s="1"/>
  <c r="E9" i="51"/>
  <c r="D9" i="51" s="1"/>
  <c r="C9" i="51" s="1"/>
  <c r="F8" i="51"/>
  <c r="D8" i="51" s="1"/>
  <c r="C8" i="51" s="1"/>
  <c r="E10" i="51"/>
  <c r="D10" i="51" s="1"/>
  <c r="C10" i="51" s="1"/>
  <c r="D12" i="50"/>
  <c r="C12" i="50" s="1"/>
  <c r="E11" i="50"/>
  <c r="D11" i="50" s="1"/>
  <c r="C11" i="50" s="1"/>
  <c r="E9" i="50"/>
  <c r="E8" i="50"/>
  <c r="D8" i="50" s="1"/>
  <c r="C8" i="50" s="1"/>
  <c r="D9" i="50"/>
  <c r="C9" i="50" s="1"/>
  <c r="E10" i="50"/>
  <c r="D10" i="50" s="1"/>
  <c r="C10" i="50" s="1"/>
  <c r="D12" i="49"/>
  <c r="C12" i="49" s="1"/>
  <c r="F9" i="49"/>
  <c r="D9" i="49" s="1"/>
  <c r="C9" i="49" s="1"/>
  <c r="E11" i="49"/>
  <c r="D11" i="49" s="1"/>
  <c r="C11" i="49" s="1"/>
  <c r="E8" i="49"/>
  <c r="D8" i="49" s="1"/>
  <c r="C8" i="49" s="1"/>
  <c r="E10" i="49"/>
  <c r="D10" i="49" s="1"/>
  <c r="C10" i="49" s="1"/>
  <c r="D12" i="48"/>
  <c r="C12" i="48" s="1"/>
  <c r="E11" i="48"/>
  <c r="D11" i="48" s="1"/>
  <c r="C11" i="48" s="1"/>
  <c r="E8" i="48"/>
  <c r="D8" i="48" s="1"/>
  <c r="C8" i="48" s="1"/>
  <c r="E10" i="48"/>
  <c r="D10" i="48" s="1"/>
  <c r="C10" i="48" s="1"/>
  <c r="E9" i="47"/>
  <c r="D9" i="47" s="1"/>
  <c r="C9" i="47" s="1"/>
  <c r="E10" i="47"/>
  <c r="D10" i="47" s="1"/>
  <c r="C10" i="47" s="1"/>
  <c r="J12" i="45"/>
  <c r="I12" i="45"/>
  <c r="F12" i="45" s="1"/>
  <c r="G12" i="45"/>
  <c r="J11" i="45"/>
  <c r="I11" i="45"/>
  <c r="F11" i="45" s="1"/>
  <c r="G11" i="45"/>
  <c r="J10" i="45"/>
  <c r="I10" i="45"/>
  <c r="E10" i="45" s="1"/>
  <c r="G10" i="45"/>
  <c r="J9" i="45"/>
  <c r="I9" i="45"/>
  <c r="F9" i="45" s="1"/>
  <c r="G9" i="45"/>
  <c r="J8" i="45"/>
  <c r="I8" i="45"/>
  <c r="F8" i="45" s="1"/>
  <c r="G8" i="45"/>
  <c r="F3" i="44"/>
  <c r="G3" i="44" s="1"/>
  <c r="F4" i="44"/>
  <c r="G4" i="44" s="1"/>
  <c r="F5" i="44"/>
  <c r="G5" i="44" s="1"/>
  <c r="F6" i="44"/>
  <c r="G6" i="44" s="1"/>
  <c r="F7" i="44"/>
  <c r="G7" i="44" s="1"/>
  <c r="F8" i="44"/>
  <c r="G8" i="44" s="1"/>
  <c r="F9" i="44"/>
  <c r="G9" i="44" s="1"/>
  <c r="F11" i="44"/>
  <c r="G11" i="44" s="1"/>
  <c r="F12" i="44"/>
  <c r="G12" i="44" s="1"/>
  <c r="F13" i="44"/>
  <c r="G13" i="44" s="1"/>
  <c r="F14" i="44"/>
  <c r="G14" i="44" s="1"/>
  <c r="F10" i="44"/>
  <c r="G10" i="44" s="1"/>
  <c r="E13" i="44"/>
  <c r="E10" i="44"/>
  <c r="E8" i="44"/>
  <c r="F10" i="45" l="1"/>
  <c r="D10" i="45" s="1"/>
  <c r="C10" i="45" s="1"/>
  <c r="E9" i="45"/>
  <c r="D9" i="45" s="1"/>
  <c r="C9" i="45" s="1"/>
  <c r="E8" i="45"/>
  <c r="D8" i="45" s="1"/>
  <c r="C8" i="45" s="1"/>
  <c r="E12" i="45"/>
  <c r="D12" i="45" s="1"/>
  <c r="C12" i="45" s="1"/>
  <c r="E11" i="45"/>
  <c r="D11" i="45" s="1"/>
  <c r="C11" i="45" s="1"/>
  <c r="G9" i="36"/>
  <c r="G10" i="36"/>
  <c r="G11" i="36"/>
  <c r="G12" i="36"/>
  <c r="G8" i="36"/>
  <c r="I9" i="36"/>
  <c r="E9" i="36" s="1"/>
  <c r="I10" i="36"/>
  <c r="E10" i="36" s="1"/>
  <c r="I11" i="36"/>
  <c r="E11" i="36" s="1"/>
  <c r="I12" i="36"/>
  <c r="F12" i="36" s="1"/>
  <c r="I8" i="36"/>
  <c r="F8" i="36" s="1"/>
  <c r="J9" i="36"/>
  <c r="J10" i="36"/>
  <c r="J11" i="36"/>
  <c r="J12" i="36"/>
  <c r="J8" i="36"/>
  <c r="E12" i="36" l="1"/>
  <c r="D12" i="36" s="1"/>
  <c r="C12" i="36" s="1"/>
  <c r="F11" i="36"/>
  <c r="D11" i="36" s="1"/>
  <c r="C11" i="36" s="1"/>
  <c r="F10" i="36"/>
  <c r="D10" i="36" s="1"/>
  <c r="C10" i="36" s="1"/>
  <c r="F9" i="36"/>
  <c r="D9" i="36" s="1"/>
  <c r="C9" i="36" s="1"/>
  <c r="E8" i="36"/>
  <c r="D8" i="36" s="1"/>
  <c r="C8" i="36" s="1"/>
</calcChain>
</file>

<file path=xl/sharedStrings.xml><?xml version="1.0" encoding="utf-8"?>
<sst xmlns="http://schemas.openxmlformats.org/spreadsheetml/2006/main" count="598" uniqueCount="174">
  <si>
    <t>ردیف</t>
  </si>
  <si>
    <t>واحد</t>
  </si>
  <si>
    <t>مقدار</t>
  </si>
  <si>
    <t>شماره</t>
  </si>
  <si>
    <t>حلقه چاه</t>
  </si>
  <si>
    <t>کیلومتر</t>
  </si>
  <si>
    <t>ساعت</t>
  </si>
  <si>
    <t>نماینده پیمانکار</t>
  </si>
  <si>
    <t>راندمان</t>
  </si>
  <si>
    <t>افت محاسبه ای</t>
  </si>
  <si>
    <t>افت شبکه</t>
  </si>
  <si>
    <t>افت سفره</t>
  </si>
  <si>
    <t>Sp. Cap</t>
  </si>
  <si>
    <t xml:space="preserve">آبدهی
(l/s) </t>
  </si>
  <si>
    <t>دبی متر مکعب بر دقیقه</t>
  </si>
  <si>
    <t>افت</t>
  </si>
  <si>
    <t>سطح پويايي
(m)</t>
  </si>
  <si>
    <t>دور موتور</t>
  </si>
  <si>
    <t>سطح ایستایی</t>
  </si>
  <si>
    <t xml:space="preserve">كارکرد 1 </t>
  </si>
  <si>
    <t>كارکرد 2</t>
  </si>
  <si>
    <t>كارکرد 3</t>
  </si>
  <si>
    <t>كارکرد 4</t>
  </si>
  <si>
    <t>كارکرد 5</t>
  </si>
  <si>
    <t>شرکت به آب ساز پیروز</t>
  </si>
  <si>
    <t>نماینده دفتر پشتیبانی برق و تجهیزات</t>
  </si>
  <si>
    <t>نماینده مرکز آبرسانی:</t>
  </si>
  <si>
    <t>ضریب افت شبکه:</t>
  </si>
  <si>
    <t>ضریب افت سفره:</t>
  </si>
  <si>
    <t>ساعت خاموشی: 0 ساعت</t>
  </si>
  <si>
    <t>ساعت پایان: 13:00</t>
  </si>
  <si>
    <t>ساعت شروع: 11:00</t>
  </si>
  <si>
    <t>اضافه بها به ردیف 61002 جهت تعیین ضرایب هیدرودینامیک با پمپ توربینی 6 یا 8 اینچ برای عمق بیش از 200 متر</t>
  </si>
  <si>
    <t>متر</t>
  </si>
  <si>
    <t xml:space="preserve">شرح عملیات </t>
  </si>
  <si>
    <t xml:space="preserve">بهای واحد (ریال) </t>
  </si>
  <si>
    <t>بهای کل (ریال)</t>
  </si>
  <si>
    <t>تجهیز و برچیدن کارگاه برای آزمایش پمپاژ یا چاه پیمایی.</t>
  </si>
  <si>
    <t xml:space="preserve">حمل وسایل و متعلقات آزمایش پمپاژ و پرسنل مربوط در جاده های آسفالتی برای هر دستگاه </t>
  </si>
  <si>
    <t xml:space="preserve">حمل وسایل و متعلقات آزمایش پمپاژ و پرسنل مربوط در جاده های خاکی برای هر دستگاه </t>
  </si>
  <si>
    <t>تهیه، ریختن و کوبیدن شن شسته دانه بندی شده از نوع رودخانه ای دور لوله جدار، به ابعاد لازم</t>
  </si>
  <si>
    <t>مترمکعب</t>
  </si>
  <si>
    <t>تهیه، نصب و بیرون کشیدن موتور پمپ آزمایش توربینی 8 اینچ با قدرت کافی و تجهیزات لازم تا عمق 200 متر</t>
  </si>
  <si>
    <t xml:space="preserve">حلقه چاه </t>
  </si>
  <si>
    <t>60819*</t>
  </si>
  <si>
    <t>اضافه بها به ردیف 60806 جهت تهیه، نصب و بیرون کشیدن موتور پمپ آزمایش توربینی 8 اینچ با قدرت کافی و تجهیزات لازم برای عمق بیش از 200 متر(به ازای هر متر بیش از 200 متر)</t>
  </si>
  <si>
    <t>60820*</t>
  </si>
  <si>
    <t>اضافه بها به ردیف 60806 جهت نصب و بیرون کشیدن لوله ترمی تا هرعمقی جهت اندازه گیری سطوح دینامیک</t>
  </si>
  <si>
    <t>شست و شوی چاه با موتورپمپ آزمایشی توربینی 6 یا 8 اینچ، با قدرت کافی، تا عمق 200 متر</t>
  </si>
  <si>
    <t>ساعت‌</t>
  </si>
  <si>
    <t>60907*</t>
  </si>
  <si>
    <t>اضافه بها به ردیف 60902 جهت شست و شوی چاه با موتور پمپ آزمایش توربینی 8 اینچ با قدرت کافی و تجهیزات لازم برای عمق بیش از 200 متر</t>
  </si>
  <si>
    <t>60908*</t>
  </si>
  <si>
    <t>خاموش بودن مجاز دستگاه پمپاژ (با تایید کارفرما به دلیل مشکلات شهری یا اجتماعی)</t>
  </si>
  <si>
    <t>آزمایش پمپاژ چاه برای تعیین ضرایب هیدرودینامیک با پمپ توربینی 6 یا 8 اینچ، تا عمق 200 متر</t>
  </si>
  <si>
    <t>61009*</t>
  </si>
  <si>
    <t>61010*</t>
  </si>
  <si>
    <t>نصب تاکومتر  به همراه لاگر battery powered، به همراه ارائه دیتای برداشت شده، داده  تاکومتر بایستی به صورت آنلاین از طریق اینترنت قابل دسترسی(مشاهده و دانلود) باشد. خرید سیم کارت، شارژ آن و ایجاد دسترسی به شبکه اینترنت بر عهده پیمانکار می باشد</t>
  </si>
  <si>
    <t>صورتجلسه (آزمایش پمپاژ چاه شهرک امام) بر اساس فهرست بهای چاه سال 1404</t>
  </si>
  <si>
    <t>شماره و تاریخ قرارداد: 1404125201 و 1404/08/20</t>
  </si>
  <si>
    <t>تاریخ شروع کار: 1404/08/20</t>
  </si>
  <si>
    <t>تاریخ اتمام کار:1404/08/30</t>
  </si>
  <si>
    <t>ساعت پایان: 11:00</t>
  </si>
  <si>
    <t>کل ساعت کارکرد:240 ساعت</t>
  </si>
  <si>
    <t>عمق نصب پمپ: 245 متر</t>
  </si>
  <si>
    <t>نصب لوله ترمی: انجام نشد</t>
  </si>
  <si>
    <t>شهرک امام</t>
  </si>
  <si>
    <t>تاریخ اتمام کار:1404/08/26</t>
  </si>
  <si>
    <t>کل ساعت کارکرد:146 ساعت</t>
  </si>
  <si>
    <t>عمق نصب پمپ: 248 متر</t>
  </si>
  <si>
    <t>صورتجلسه (آزمایش پمپاژ چاه اسلام 13) بر اساس فهرست بهای چاه سال 1404</t>
  </si>
  <si>
    <t>اسلام 13</t>
  </si>
  <si>
    <t>کورده 3</t>
  </si>
  <si>
    <t>صورتجلسه (آزمایش پمپاژ چاه کورده 3) بر اساس فهرست بهای چاه سال 1404</t>
  </si>
  <si>
    <t>ساعت شروع: 19:00</t>
  </si>
  <si>
    <t>ساعت پایان: 17:00</t>
  </si>
  <si>
    <t>کل ساعت کارکرد:238 ساعت</t>
  </si>
  <si>
    <t>صورتجلسه (آزمایش پمپاژ چاه کورده 13) بر اساس فهرست بهای چاه سال 1404</t>
  </si>
  <si>
    <t>کورده 13</t>
  </si>
  <si>
    <t>تاریخ شروع کار: 1404/08/26</t>
  </si>
  <si>
    <t>تاریخ اتمام کار:1404/09/4</t>
  </si>
  <si>
    <t>ساعت شروع: 16:00</t>
  </si>
  <si>
    <t>ساعت پایان: 14:30</t>
  </si>
  <si>
    <t>عمق نصب پمپ: 230 متر</t>
  </si>
  <si>
    <t>کل ساعت کارکرد:139 ساعت</t>
  </si>
  <si>
    <t>ساعت خاموشی مورد تایید: 0 ساعت</t>
  </si>
  <si>
    <t>ساعت خاموشی مورد تایید: 53 ساعت</t>
  </si>
  <si>
    <t>صورتجلسه (آزمایش پمپاژ چاه رضا 11) بر اساس فهرست بهای چاه سال 1404</t>
  </si>
  <si>
    <t>ساعت پایان: 15:00</t>
  </si>
  <si>
    <t>عمق نصب پمپ: 247 متر</t>
  </si>
  <si>
    <t>ساعت شروع: 20:00</t>
  </si>
  <si>
    <t>رضا 11</t>
  </si>
  <si>
    <t>صورتجلسه (آزمایش پمپاژ چاه بهار) بر اساس فهرست بهای چاه سال 1404</t>
  </si>
  <si>
    <t>تاریخ شروع کار: 1404/10/2</t>
  </si>
  <si>
    <t>تاریخ اتمام کار:1404/10/5</t>
  </si>
  <si>
    <t>ساعت شروع: 12:30</t>
  </si>
  <si>
    <t>ساعت پایان: 12:30</t>
  </si>
  <si>
    <t>کل ساعت کارکرد:72 ساعت</t>
  </si>
  <si>
    <t>بهار</t>
  </si>
  <si>
    <t>صورتجلسه (آزمایش پمپاژ چاه عبادی 30) بر اساس فهرست بهای چاه سال 1404</t>
  </si>
  <si>
    <t>تاریخ شروع کار: 1404/9/23</t>
  </si>
  <si>
    <t>تاریخ اتمام کار:1404/10/2</t>
  </si>
  <si>
    <t>ساعت شروع: 16:30</t>
  </si>
  <si>
    <t>ساعت پایان: 13:30</t>
  </si>
  <si>
    <t>کل ساعت کارکرد:196 ساعت</t>
  </si>
  <si>
    <t>عمق نصب پمپ: 215 متر</t>
  </si>
  <si>
    <t>عبادی 30</t>
  </si>
  <si>
    <t>صورتجلسه (آزمایش پمپاژ چاه حجاب 3) بر اساس فهرست بهای چاه سال 1404</t>
  </si>
  <si>
    <t>حجاب 3</t>
  </si>
  <si>
    <t>تاریخ شروع کار: 1404/10/8</t>
  </si>
  <si>
    <t>تاریخ اتمام کار:1404/10/13</t>
  </si>
  <si>
    <t>کل ساعت کارکرد:122 ساعت</t>
  </si>
  <si>
    <t>عمق نصب پمپ: 235 متر</t>
  </si>
  <si>
    <t>صورتجلسه (آزمایش پمپاژ چاه ناظریه 10) بر اساس فهرست بهای چاه سال 1404</t>
  </si>
  <si>
    <t>تاریخ شروع کار: 1404/8/22</t>
  </si>
  <si>
    <t>تاریخ اتمام کار:1404/8/26</t>
  </si>
  <si>
    <t>ساعت شروع: 15:00</t>
  </si>
  <si>
    <t>ساعت پایان: 11:30</t>
  </si>
  <si>
    <t>کل ساعت کارکرد:92 ساعت</t>
  </si>
  <si>
    <t>عمق نصب پمپ: 232 متر</t>
  </si>
  <si>
    <t>ناظریه 10</t>
  </si>
  <si>
    <t>ضریب پیمان</t>
  </si>
  <si>
    <t>مبلغ هر چاه قبل از اعمال ضرایب</t>
  </si>
  <si>
    <t>ضریب منطقه</t>
  </si>
  <si>
    <t>ضریب بالاسری</t>
  </si>
  <si>
    <t>مبلغ هر چاه پس از اعمال ضرایب</t>
  </si>
  <si>
    <t>مبلغ کل(ریال)</t>
  </si>
  <si>
    <t>صورتجلسه (شهرک راه آهن(مجدد)) بر اساس فهرست بهای چاه سال 1404</t>
  </si>
  <si>
    <t>تاریخ شروع کار: 1404/10/15</t>
  </si>
  <si>
    <t>تاریخ اتمام کار:1404/10/20</t>
  </si>
  <si>
    <t>ساعت شروع: 18:00</t>
  </si>
  <si>
    <t>ساعت پایان: 14:00</t>
  </si>
  <si>
    <t>عمق نصب پمپ: 225 متر</t>
  </si>
  <si>
    <t>کل ساعت کارکرد:116 ساعت</t>
  </si>
  <si>
    <t>صورتجلسه (اسلام آباد5) بر اساس فهرست بهای چاه سال 1404</t>
  </si>
  <si>
    <t>تاریخ شروع کار: 1404/12/17</t>
  </si>
  <si>
    <t>تاریخ اتمام کار:1404/12/21</t>
  </si>
  <si>
    <t>ساعت شروع: 10:00</t>
  </si>
  <si>
    <t>عمق نصب پمپ: 175 متر</t>
  </si>
  <si>
    <t>صورتجلسه (امام رضا 29) بر اساس فهرست بهای چاه سال 1404</t>
  </si>
  <si>
    <t>تاریخ شروع کار: 1405/1/13</t>
  </si>
  <si>
    <t>تاریخ اتمام کار:1405/1/18</t>
  </si>
  <si>
    <t>ساعت خاموشی مورد تایید: 4 ساعت</t>
  </si>
  <si>
    <t>کل ساعت کارکرد:116.5 ساعت</t>
  </si>
  <si>
    <t>ساعت خاموشی مورد تایید: 3 ساعت</t>
  </si>
  <si>
    <t>شرکت به آب ساز پیروز(محمدزاده)</t>
  </si>
  <si>
    <t>شرکت به آب ساز پیروز(حمید صفرپور)</t>
  </si>
  <si>
    <t>کل ساعت کارکرد:97 ساعت (دیتا لاگر)</t>
  </si>
  <si>
    <t>صورتجلسه (فناوری 1) بر اساس فهرست بهای چاه سال 1404</t>
  </si>
  <si>
    <t>شرکت به آب ساز پیروز(حامد صفرپور)</t>
  </si>
  <si>
    <t>صورتجلسه (اسلام آباد 4) بر اساس فهرست بهای چاه سال 1404</t>
  </si>
  <si>
    <t>عمق نصب پمپ: 244 متر</t>
  </si>
  <si>
    <t>عمق نصب پمپ: 145 متر</t>
  </si>
  <si>
    <t>کل ساعت کارکرد:41:12 ساعت(دیتالاگر)</t>
  </si>
  <si>
    <t>ساعت خاموشی مورد تایید: 1:06ساعت</t>
  </si>
  <si>
    <t xml:space="preserve">ساعت شروع: </t>
  </si>
  <si>
    <t xml:space="preserve">ساعت پایان: </t>
  </si>
  <si>
    <t xml:space="preserve">تاریخ شروع کار: </t>
  </si>
  <si>
    <t>تاریخ اتمام کار:</t>
  </si>
  <si>
    <t>صورتجلسه (امامیه 17) بر اساس فهرست بهای چاه سال 1404</t>
  </si>
  <si>
    <t>کل ساعت کارکرد: 207:40 ساعت(دیتالاگر)</t>
  </si>
  <si>
    <t>ساعت خاموشی مورد تایید: 5:33ساعت</t>
  </si>
  <si>
    <t>صورتجلسه (مفتح 29 (بازه شیخ)) بر اساس فهرست بهای چاه سال 1404</t>
  </si>
  <si>
    <t>کل ساعت کارکرد: 109:25 ساعت(دیتالاگر)</t>
  </si>
  <si>
    <t>ساعت خاموشی مورد تایید: 9:31 ساعت</t>
  </si>
  <si>
    <t>عمق نصب پمپ: 213 متر</t>
  </si>
  <si>
    <t>عمق نصب پمپ:    متر</t>
  </si>
  <si>
    <t>کل ساعت کارکرد:438:53 ساعت(دیتالاگر)</t>
  </si>
  <si>
    <t>ساعت خاموشی مورد تایید: 31:26 ساعت</t>
  </si>
  <si>
    <t>تاریخ شروع کار: 1404/9/6</t>
  </si>
  <si>
    <t>تاریخ اتمام کار:1404/09/18</t>
  </si>
  <si>
    <t>ساعت شروع: 13:00</t>
  </si>
  <si>
    <t>کل ساعت کارکرد:226 ساعت</t>
  </si>
  <si>
    <t>ساعت خاموشی مورد تایید: 58 ساعت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</si>
</sst>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0"/>
    <numFmt numFmtId="166" formatCode="0.000"/>
  </numFmts>
  <fonts count="15" x14ac:knownFonts="1"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B Mitra"/>
      <charset val="178"/>
    </font>
    <font>
      <b/>
      <sz val="12"/>
      <name val="B Mitra"/>
      <charset val="178"/>
    </font>
    <font>
      <sz val="12"/>
      <name val="B Mitra"/>
      <charset val="178"/>
    </font>
    <font>
      <sz val="11"/>
      <color theme="1"/>
      <name val="B Nazanin"/>
      <charset val="178"/>
    </font>
    <font>
      <b/>
      <sz val="11"/>
      <name val="B Mitra"/>
      <charset val="178"/>
    </font>
    <font>
      <b/>
      <sz val="12"/>
      <name val="B Badr"/>
      <charset val="178"/>
    </font>
    <font>
      <b/>
      <sz val="14"/>
      <name val="B Badr"/>
      <charset val="178"/>
    </font>
    <font>
      <sz val="11"/>
      <color theme="1"/>
      <name val="B Badr"/>
      <charset val="178"/>
    </font>
    <font>
      <sz val="18"/>
      <color theme="1"/>
      <name val="B Badr"/>
      <charset val="178"/>
    </font>
    <font>
      <b/>
      <sz val="22"/>
      <name val="B Badr"/>
      <charset val="178"/>
    </font>
    <font>
      <sz val="14"/>
      <name val="B Mitra"/>
      <charset val="178"/>
    </font>
    <font>
      <sz val="14"/>
      <name val="B Badr"/>
      <charset val="178"/>
    </font>
    <font>
      <b/>
      <sz val="16"/>
      <name val="B Mitra"/>
      <charset val="17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0" fillId="0" borderId="0" xfId="0" applyBorder="1" applyAlignment="1"/>
    <xf numFmtId="164" fontId="3" fillId="3" borderId="1" xfId="1" applyNumberFormat="1" applyFont="1" applyFill="1" applyBorder="1" applyAlignment="1" applyProtection="1">
      <alignment horizontal="center" vertical="center" readingOrder="2"/>
      <protection locked="0"/>
    </xf>
    <xf numFmtId="1" fontId="4" fillId="2" borderId="1" xfId="1" applyNumberFormat="1" applyFont="1" applyFill="1" applyBorder="1" applyAlignment="1" applyProtection="1">
      <alignment horizontal="center" vertical="center" readingOrder="2"/>
      <protection locked="0"/>
    </xf>
    <xf numFmtId="1" fontId="4" fillId="3" borderId="1" xfId="1" applyNumberFormat="1" applyFont="1" applyFill="1" applyBorder="1" applyAlignment="1" applyProtection="1">
      <alignment horizontal="center" vertical="center" readingOrder="2"/>
      <protection locked="0"/>
    </xf>
    <xf numFmtId="0" fontId="4" fillId="2" borderId="1" xfId="1" applyFont="1" applyFill="1" applyBorder="1" applyAlignment="1" applyProtection="1">
      <alignment horizontal="center" vertical="center" readingOrder="2"/>
      <protection locked="0"/>
    </xf>
    <xf numFmtId="0" fontId="0" fillId="0" borderId="0" xfId="0" applyBorder="1"/>
    <xf numFmtId="0" fontId="4" fillId="0" borderId="1" xfId="1" applyFont="1" applyBorder="1" applyAlignment="1" applyProtection="1">
      <alignment horizontal="center" vertical="center" readingOrder="2"/>
      <protection locked="0"/>
    </xf>
    <xf numFmtId="164" fontId="3" fillId="2" borderId="1" xfId="1" applyNumberFormat="1" applyFont="1" applyFill="1" applyBorder="1" applyAlignment="1" applyProtection="1">
      <alignment horizontal="center" vertical="center" readingOrder="2"/>
      <protection locked="0"/>
    </xf>
    <xf numFmtId="166" fontId="3" fillId="4" borderId="1" xfId="1" applyNumberFormat="1" applyFont="1" applyFill="1" applyBorder="1" applyAlignment="1" applyProtection="1">
      <alignment horizontal="center" vertical="center" readingOrder="2"/>
      <protection locked="0"/>
    </xf>
    <xf numFmtId="164" fontId="3" fillId="4" borderId="1" xfId="1" applyNumberFormat="1" applyFont="1" applyFill="1" applyBorder="1" applyAlignment="1" applyProtection="1">
      <alignment horizontal="center" vertical="center" readingOrder="2"/>
      <protection locked="0"/>
    </xf>
    <xf numFmtId="10" fontId="3" fillId="4" borderId="1" xfId="1" applyNumberFormat="1" applyFont="1" applyFill="1" applyBorder="1" applyAlignment="1" applyProtection="1">
      <alignment horizontal="center" vertical="center" readingOrder="2"/>
      <protection locked="0"/>
    </xf>
    <xf numFmtId="2" fontId="4" fillId="5" borderId="1" xfId="1" applyNumberFormat="1" applyFont="1" applyFill="1" applyBorder="1" applyAlignment="1" applyProtection="1">
      <alignment horizontal="center" vertical="center" readingOrder="2"/>
      <protection locked="0"/>
    </xf>
    <xf numFmtId="165" fontId="3" fillId="4" borderId="1" xfId="1" applyNumberFormat="1" applyFont="1" applyFill="1" applyBorder="1" applyAlignment="1" applyProtection="1">
      <alignment horizontal="center" vertical="center" readingOrder="2"/>
      <protection locked="0"/>
    </xf>
    <xf numFmtId="0" fontId="6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wrapText="1" readingOrder="2"/>
    </xf>
    <xf numFmtId="3" fontId="7" fillId="2" borderId="1" xfId="0" applyNumberFormat="1" applyFont="1" applyFill="1" applyBorder="1" applyAlignment="1">
      <alignment horizontal="center" vertical="center"/>
    </xf>
    <xf numFmtId="3" fontId="8" fillId="2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0" fontId="12" fillId="2" borderId="1" xfId="0" applyFont="1" applyFill="1" applyBorder="1" applyAlignment="1">
      <alignment horizontal="center" vertical="center" wrapText="1" readingOrder="2"/>
    </xf>
    <xf numFmtId="3" fontId="12" fillId="2" borderId="1" xfId="0" applyNumberFormat="1" applyFont="1" applyFill="1" applyBorder="1" applyAlignment="1">
      <alignment horizontal="center" vertical="center" wrapText="1" readingOrder="2"/>
    </xf>
    <xf numFmtId="3" fontId="13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0" fontId="5" fillId="0" borderId="0" xfId="0" applyFont="1" applyBorder="1" applyAlignment="1">
      <alignment horizontal="center"/>
    </xf>
    <xf numFmtId="0" fontId="2" fillId="2" borderId="1" xfId="1" applyFont="1" applyFill="1" applyBorder="1" applyAlignment="1" applyProtection="1">
      <alignment horizontal="center" vertical="center" wrapText="1" readingOrder="2"/>
    </xf>
    <xf numFmtId="0" fontId="2" fillId="3" borderId="1" xfId="1" applyFont="1" applyFill="1" applyBorder="1" applyAlignment="1" applyProtection="1">
      <alignment horizontal="center" vertical="center" readingOrder="2"/>
      <protection locked="0"/>
    </xf>
    <xf numFmtId="0" fontId="2" fillId="3" borderId="1" xfId="1" applyFont="1" applyFill="1" applyBorder="1" applyAlignment="1" applyProtection="1">
      <alignment horizontal="center" vertical="center" wrapText="1" readingOrder="2"/>
    </xf>
    <xf numFmtId="0" fontId="2" fillId="3" borderId="1" xfId="1" applyFont="1" applyFill="1" applyBorder="1" applyAlignment="1" applyProtection="1">
      <alignment horizontal="center" vertical="center" wrapText="1" readingOrder="2"/>
      <protection hidden="1"/>
    </xf>
    <xf numFmtId="0" fontId="2" fillId="2" borderId="1" xfId="1" applyFont="1" applyFill="1" applyBorder="1" applyAlignment="1" applyProtection="1">
      <alignment horizontal="center" vertical="center" readingOrder="2"/>
    </xf>
    <xf numFmtId="0" fontId="3" fillId="3" borderId="1" xfId="1" applyFont="1" applyFill="1" applyBorder="1" applyAlignment="1" applyProtection="1">
      <alignment horizontal="center" vertical="center" readingOrder="2"/>
      <protection locked="0"/>
    </xf>
    <xf numFmtId="0" fontId="2" fillId="2" borderId="1" xfId="1" applyFont="1" applyFill="1" applyBorder="1" applyAlignment="1" applyProtection="1">
      <alignment horizontal="center" vertical="center" readingOrder="2"/>
      <protection locked="0"/>
    </xf>
    <xf numFmtId="3" fontId="11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0849142658E-2"/>
          <c:y val="3.0576260306830409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fa-IR"/>
                </a:p>
              </c:txPr>
            </c:trendlineLbl>
          </c:trendline>
          <c:xVal>
            <c:numRef>
              <c:f>'مفتح 29 (بازه شیخ)'!$I$8:$I$12</c:f>
              <c:numCache>
                <c:formatCode>0.000</c:formatCode>
                <c:ptCount val="5"/>
                <c:pt idx="0">
                  <c:v>0.3</c:v>
                </c:pt>
                <c:pt idx="1">
                  <c:v>0.84</c:v>
                </c:pt>
                <c:pt idx="2">
                  <c:v>1.4279999999999999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'مفتح 29 (بازه شیخ)'!$J$8:$J$12</c:f>
              <c:numCache>
                <c:formatCode>0.0</c:formatCode>
                <c:ptCount val="5"/>
                <c:pt idx="0">
                  <c:v>161</c:v>
                </c:pt>
                <c:pt idx="1">
                  <c:v>189</c:v>
                </c:pt>
                <c:pt idx="2">
                  <c:v>212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0C-4830-A24F-07D4BCCF9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'مفتح 29 (بازه شیخ)'!$I$8:$I$12</c:f>
              <c:numCache>
                <c:formatCode>0.000</c:formatCode>
                <c:ptCount val="5"/>
                <c:pt idx="0">
                  <c:v>0.3</c:v>
                </c:pt>
                <c:pt idx="1">
                  <c:v>0.84</c:v>
                </c:pt>
                <c:pt idx="2">
                  <c:v>1.4279999999999999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'مفتح 29 (بازه شیخ)'!$C$8:$C$12</c:f>
              <c:numCache>
                <c:formatCode>0.00%</c:formatCode>
                <c:ptCount val="5"/>
                <c:pt idx="0">
                  <c:v>0.69744968237774463</c:v>
                </c:pt>
                <c:pt idx="1">
                  <c:v>0.45154340259960479</c:v>
                </c:pt>
                <c:pt idx="2">
                  <c:v>0.32627863401007473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0C-4830-A24F-07D4BCCF9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fa-IR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fa-IR"/>
                </a:p>
              </c:txPr>
            </c:trendlineLbl>
          </c:trendline>
          <c:xVal>
            <c:numRef>
              <c:f>'امامیه 17'!$I$8:$I$12</c:f>
              <c:numCache>
                <c:formatCode>0.000</c:formatCode>
                <c:ptCount val="5"/>
                <c:pt idx="0">
                  <c:v>0.3</c:v>
                </c:pt>
                <c:pt idx="1">
                  <c:v>0.84</c:v>
                </c:pt>
                <c:pt idx="2">
                  <c:v>1.4279999999999999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'امامیه 17'!$J$8:$J$12</c:f>
              <c:numCache>
                <c:formatCode>0.0</c:formatCode>
                <c:ptCount val="5"/>
                <c:pt idx="0">
                  <c:v>161</c:v>
                </c:pt>
                <c:pt idx="1">
                  <c:v>189</c:v>
                </c:pt>
                <c:pt idx="2">
                  <c:v>212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84-466E-BB07-551299CBD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'امامیه 17'!$I$8:$I$12</c:f>
              <c:numCache>
                <c:formatCode>0.000</c:formatCode>
                <c:ptCount val="5"/>
                <c:pt idx="0">
                  <c:v>0.3</c:v>
                </c:pt>
                <c:pt idx="1">
                  <c:v>0.84</c:v>
                </c:pt>
                <c:pt idx="2">
                  <c:v>1.4279999999999999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'امامیه 17'!$C$8:$C$12</c:f>
              <c:numCache>
                <c:formatCode>0.00%</c:formatCode>
                <c:ptCount val="5"/>
                <c:pt idx="0">
                  <c:v>0.69744968237774463</c:v>
                </c:pt>
                <c:pt idx="1">
                  <c:v>0.45154340259960479</c:v>
                </c:pt>
                <c:pt idx="2">
                  <c:v>0.32627863401007473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84-466E-BB07-551299CBD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fa-IR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fa-IR"/>
                </a:p>
              </c:txPr>
            </c:trendlineLbl>
          </c:trendline>
          <c:xVal>
            <c:numRef>
              <c:f>'اسلام آباد 4'!$I$8:$I$12</c:f>
              <c:numCache>
                <c:formatCode>0.000</c:formatCode>
                <c:ptCount val="5"/>
                <c:pt idx="0">
                  <c:v>0.3</c:v>
                </c:pt>
                <c:pt idx="1">
                  <c:v>0.84</c:v>
                </c:pt>
                <c:pt idx="2">
                  <c:v>1.4279999999999999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'اسلام آباد 4'!$J$8:$J$12</c:f>
              <c:numCache>
                <c:formatCode>0.0</c:formatCode>
                <c:ptCount val="5"/>
                <c:pt idx="0">
                  <c:v>21</c:v>
                </c:pt>
                <c:pt idx="1">
                  <c:v>49</c:v>
                </c:pt>
                <c:pt idx="2">
                  <c:v>72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47-4F15-8930-A6EDAAFED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'اسلام آباد 4'!$I$8:$I$12</c:f>
              <c:numCache>
                <c:formatCode>0.000</c:formatCode>
                <c:ptCount val="5"/>
                <c:pt idx="0">
                  <c:v>0.3</c:v>
                </c:pt>
                <c:pt idx="1">
                  <c:v>0.84</c:v>
                </c:pt>
                <c:pt idx="2">
                  <c:v>1.4279999999999999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'اسلام آباد 4'!$C$8:$C$12</c:f>
              <c:numCache>
                <c:formatCode>0.00%</c:formatCode>
                <c:ptCount val="5"/>
                <c:pt idx="0">
                  <c:v>0.69744968237774463</c:v>
                </c:pt>
                <c:pt idx="1">
                  <c:v>0.45154340259960479</c:v>
                </c:pt>
                <c:pt idx="2">
                  <c:v>0.32627863401007473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47-4F15-8930-A6EDAAFED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fa-IR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fa-IR"/>
                </a:p>
              </c:txPr>
            </c:trendlineLbl>
          </c:trendline>
          <c:xVal>
            <c:numRef>
              <c:f>'فناوری 1'!$I$8:$I$12</c:f>
              <c:numCache>
                <c:formatCode>0.000</c:formatCode>
                <c:ptCount val="5"/>
                <c:pt idx="0">
                  <c:v>0.3</c:v>
                </c:pt>
                <c:pt idx="1">
                  <c:v>0.84</c:v>
                </c:pt>
                <c:pt idx="2">
                  <c:v>1.4279999999999999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'فناوری 1'!$J$8:$J$12</c:f>
              <c:numCache>
                <c:formatCode>0.0</c:formatCode>
                <c:ptCount val="5"/>
                <c:pt idx="0">
                  <c:v>161</c:v>
                </c:pt>
                <c:pt idx="1">
                  <c:v>189</c:v>
                </c:pt>
                <c:pt idx="2">
                  <c:v>212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C2-40A4-9616-6103B2451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'فناوری 1'!$I$8:$I$12</c:f>
              <c:numCache>
                <c:formatCode>0.000</c:formatCode>
                <c:ptCount val="5"/>
                <c:pt idx="0">
                  <c:v>0.3</c:v>
                </c:pt>
                <c:pt idx="1">
                  <c:v>0.84</c:v>
                </c:pt>
                <c:pt idx="2">
                  <c:v>1.4279999999999999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'فناوری 1'!$C$8:$C$12</c:f>
              <c:numCache>
                <c:formatCode>0.00%</c:formatCode>
                <c:ptCount val="5"/>
                <c:pt idx="0">
                  <c:v>0.69744968237774463</c:v>
                </c:pt>
                <c:pt idx="1">
                  <c:v>0.45154340259960479</c:v>
                </c:pt>
                <c:pt idx="2">
                  <c:v>0.32627863401007473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C2-40A4-9616-6103B2451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fa-IR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fa-IR"/>
                </a:p>
              </c:txPr>
            </c:trendlineLbl>
          </c:trendline>
          <c:xVal>
            <c:numRef>
              <c:f>'امام رضا 29'!$I$8:$I$12</c:f>
              <c:numCache>
                <c:formatCode>0.000</c:formatCode>
                <c:ptCount val="5"/>
                <c:pt idx="0">
                  <c:v>0.3</c:v>
                </c:pt>
                <c:pt idx="1">
                  <c:v>0.84</c:v>
                </c:pt>
                <c:pt idx="2">
                  <c:v>1.4279999999999999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'امام رضا 29'!$J$8:$J$12</c:f>
              <c:numCache>
                <c:formatCode>0.0</c:formatCode>
                <c:ptCount val="5"/>
                <c:pt idx="0">
                  <c:v>21</c:v>
                </c:pt>
                <c:pt idx="1">
                  <c:v>49</c:v>
                </c:pt>
                <c:pt idx="2">
                  <c:v>72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D6-4DE9-BA5B-D39BF790C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'امام رضا 29'!$I$8:$I$12</c:f>
              <c:numCache>
                <c:formatCode>0.000</c:formatCode>
                <c:ptCount val="5"/>
                <c:pt idx="0">
                  <c:v>0.3</c:v>
                </c:pt>
                <c:pt idx="1">
                  <c:v>0.84</c:v>
                </c:pt>
                <c:pt idx="2">
                  <c:v>1.4279999999999999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'امام رضا 29'!$C$8:$C$12</c:f>
              <c:numCache>
                <c:formatCode>0.00%</c:formatCode>
                <c:ptCount val="5"/>
                <c:pt idx="0">
                  <c:v>0.69744968237774463</c:v>
                </c:pt>
                <c:pt idx="1">
                  <c:v>0.45154340259960479</c:v>
                </c:pt>
                <c:pt idx="2">
                  <c:v>0.32627863401007473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D6-4DE9-BA5B-D39BF790C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fa-IR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fa-IR"/>
                </a:p>
              </c:txPr>
            </c:trendlineLbl>
          </c:trendline>
          <c:xVal>
            <c:numRef>
              <c:f>'اسلام آباد5'!$I$8:$I$12</c:f>
              <c:numCache>
                <c:formatCode>0.000</c:formatCode>
                <c:ptCount val="5"/>
                <c:pt idx="0">
                  <c:v>0.9</c:v>
                </c:pt>
                <c:pt idx="1">
                  <c:v>1.26</c:v>
                </c:pt>
                <c:pt idx="2">
                  <c:v>1.59</c:v>
                </c:pt>
                <c:pt idx="3">
                  <c:v>1.68</c:v>
                </c:pt>
                <c:pt idx="4">
                  <c:v>0</c:v>
                </c:pt>
              </c:numCache>
            </c:numRef>
          </c:xVal>
          <c:yVal>
            <c:numRef>
              <c:f>'اسلام آباد5'!$J$8:$J$12</c:f>
              <c:numCache>
                <c:formatCode>0.0</c:formatCode>
                <c:ptCount val="5"/>
                <c:pt idx="0">
                  <c:v>41.900000000000006</c:v>
                </c:pt>
                <c:pt idx="1">
                  <c:v>52.900000000000006</c:v>
                </c:pt>
                <c:pt idx="2">
                  <c:v>61.900000000000006</c:v>
                </c:pt>
                <c:pt idx="3">
                  <c:v>63.900000000000006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4A-429C-8CB9-1F43098E7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'اسلام آباد5'!$I$8:$I$12</c:f>
              <c:numCache>
                <c:formatCode>0.000</c:formatCode>
                <c:ptCount val="5"/>
                <c:pt idx="0">
                  <c:v>0.9</c:v>
                </c:pt>
                <c:pt idx="1">
                  <c:v>1.26</c:v>
                </c:pt>
                <c:pt idx="2">
                  <c:v>1.59</c:v>
                </c:pt>
                <c:pt idx="3">
                  <c:v>1.68</c:v>
                </c:pt>
                <c:pt idx="4">
                  <c:v>0</c:v>
                </c:pt>
              </c:numCache>
            </c:numRef>
          </c:xVal>
          <c:yVal>
            <c:numRef>
              <c:f>'اسلام آباد5'!$C$8:$C$12</c:f>
              <c:numCache>
                <c:formatCode>0.00%</c:formatCode>
                <c:ptCount val="5"/>
                <c:pt idx="0">
                  <c:v>0.17639386734732992</c:v>
                </c:pt>
                <c:pt idx="1">
                  <c:v>0.13268258956315068</c:v>
                </c:pt>
                <c:pt idx="2">
                  <c:v>0.10812215013610305</c:v>
                </c:pt>
                <c:pt idx="3">
                  <c:v>0.10292606642920703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4A-429C-8CB9-1F43098E7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fa-IR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fa-IR"/>
                </a:p>
              </c:txPr>
            </c:trendlineLbl>
          </c:trendline>
          <c:xVal>
            <c:numRef>
              <c:f>'شهرک راه آهن(مجدد)'!$I$8:$I$12</c:f>
              <c:numCache>
                <c:formatCode>0.000</c:formatCode>
                <c:ptCount val="5"/>
                <c:pt idx="0">
                  <c:v>0.54</c:v>
                </c:pt>
                <c:pt idx="1">
                  <c:v>0.84</c:v>
                </c:pt>
                <c:pt idx="2">
                  <c:v>1.1100000000000001</c:v>
                </c:pt>
                <c:pt idx="3">
                  <c:v>1.41</c:v>
                </c:pt>
                <c:pt idx="4">
                  <c:v>0</c:v>
                </c:pt>
              </c:numCache>
            </c:numRef>
          </c:xVal>
          <c:yVal>
            <c:numRef>
              <c:f>'شهرک راه آهن(مجدد)'!$J$8:$J$12</c:f>
              <c:numCache>
                <c:formatCode>0.0</c:formatCode>
                <c:ptCount val="5"/>
                <c:pt idx="0">
                  <c:v>37</c:v>
                </c:pt>
                <c:pt idx="1">
                  <c:v>45</c:v>
                </c:pt>
                <c:pt idx="2">
                  <c:v>59</c:v>
                </c:pt>
                <c:pt idx="3">
                  <c:v>72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09-45E3-9B31-F62210967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'شهرک راه آهن(مجدد)'!$I$8:$I$12</c:f>
              <c:numCache>
                <c:formatCode>0.000</c:formatCode>
                <c:ptCount val="5"/>
                <c:pt idx="0">
                  <c:v>0.54</c:v>
                </c:pt>
                <c:pt idx="1">
                  <c:v>0.84</c:v>
                </c:pt>
                <c:pt idx="2">
                  <c:v>1.1100000000000001</c:v>
                </c:pt>
                <c:pt idx="3">
                  <c:v>1.41</c:v>
                </c:pt>
                <c:pt idx="4">
                  <c:v>0</c:v>
                </c:pt>
              </c:numCache>
            </c:numRef>
          </c:xVal>
          <c:yVal>
            <c:numRef>
              <c:f>'شهرک راه آهن(مجدد)'!$C$8:$C$12</c:f>
              <c:numCache>
                <c:formatCode>0.00%</c:formatCode>
                <c:ptCount val="5"/>
                <c:pt idx="0">
                  <c:v>0.56153548975299483</c:v>
                </c:pt>
                <c:pt idx="1">
                  <c:v>0.45154340259960479</c:v>
                </c:pt>
                <c:pt idx="2">
                  <c:v>0.38387094019581292</c:v>
                </c:pt>
                <c:pt idx="3">
                  <c:v>0.32907321793314132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09-45E3-9B31-F62210967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fa-IR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fa-IR"/>
                </a:p>
              </c:txPr>
            </c:trendlineLbl>
          </c:trendline>
          <c:xVal>
            <c:numRef>
              <c:f>'شهرک راه آهن'!$I$8:$I$12</c:f>
              <c:numCache>
                <c:formatCode>0.000</c:formatCode>
                <c:ptCount val="5"/>
                <c:pt idx="0">
                  <c:v>0.54</c:v>
                </c:pt>
                <c:pt idx="1">
                  <c:v>0.84</c:v>
                </c:pt>
                <c:pt idx="2">
                  <c:v>1.1100000000000001</c:v>
                </c:pt>
                <c:pt idx="3">
                  <c:v>1.41</c:v>
                </c:pt>
                <c:pt idx="4">
                  <c:v>0</c:v>
                </c:pt>
              </c:numCache>
            </c:numRef>
          </c:xVal>
          <c:yVal>
            <c:numRef>
              <c:f>'شهرک راه آهن'!$J$8:$J$12</c:f>
              <c:numCache>
                <c:formatCode>0.0</c:formatCode>
                <c:ptCount val="5"/>
                <c:pt idx="0">
                  <c:v>37</c:v>
                </c:pt>
                <c:pt idx="1">
                  <c:v>47</c:v>
                </c:pt>
                <c:pt idx="2">
                  <c:v>61</c:v>
                </c:pt>
                <c:pt idx="3">
                  <c:v>75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0D-46DF-9987-B3D630E55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'شهرک راه آهن'!$I$8:$I$12</c:f>
              <c:numCache>
                <c:formatCode>0.000</c:formatCode>
                <c:ptCount val="5"/>
                <c:pt idx="0">
                  <c:v>0.54</c:v>
                </c:pt>
                <c:pt idx="1">
                  <c:v>0.84</c:v>
                </c:pt>
                <c:pt idx="2">
                  <c:v>1.1100000000000001</c:v>
                </c:pt>
                <c:pt idx="3">
                  <c:v>1.41</c:v>
                </c:pt>
                <c:pt idx="4">
                  <c:v>0</c:v>
                </c:pt>
              </c:numCache>
            </c:numRef>
          </c:xVal>
          <c:yVal>
            <c:numRef>
              <c:f>'شهرک راه آهن'!$C$8:$C$12</c:f>
              <c:numCache>
                <c:formatCode>0.00%</c:formatCode>
                <c:ptCount val="5"/>
                <c:pt idx="0">
                  <c:v>0.56153548975299483</c:v>
                </c:pt>
                <c:pt idx="1">
                  <c:v>0.45154340259960479</c:v>
                </c:pt>
                <c:pt idx="2">
                  <c:v>0.38387094019581292</c:v>
                </c:pt>
                <c:pt idx="3">
                  <c:v>0.32907321793314132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0D-46DF-9987-B3D630E55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fa-IR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fa-IR"/>
                </a:p>
              </c:txPr>
            </c:trendlineLbl>
          </c:trendline>
          <c:xVal>
            <c:numRef>
              <c:f>'ناظریه 10'!$I$8:$I$12</c:f>
              <c:numCache>
                <c:formatCode>0.000</c:formatCode>
                <c:ptCount val="5"/>
                <c:pt idx="0">
                  <c:v>0.42</c:v>
                </c:pt>
                <c:pt idx="1">
                  <c:v>0.6</c:v>
                </c:pt>
                <c:pt idx="2">
                  <c:v>0.96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'ناظریه 10'!$J$8:$J$12</c:f>
              <c:numCache>
                <c:formatCode>0.0</c:formatCode>
                <c:ptCount val="5"/>
                <c:pt idx="0">
                  <c:v>20</c:v>
                </c:pt>
                <c:pt idx="1">
                  <c:v>29</c:v>
                </c:pt>
                <c:pt idx="2">
                  <c:v>63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C2-470D-B5BD-FE07513FB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'ناظریه 10'!$I$8:$I$12</c:f>
              <c:numCache>
                <c:formatCode>0.000</c:formatCode>
                <c:ptCount val="5"/>
                <c:pt idx="0">
                  <c:v>0.42</c:v>
                </c:pt>
                <c:pt idx="1">
                  <c:v>0.6</c:v>
                </c:pt>
                <c:pt idx="2">
                  <c:v>0.96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'ناظریه 10'!$C$8:$C$12</c:f>
              <c:numCache>
                <c:formatCode>0.00%</c:formatCode>
                <c:ptCount val="5"/>
                <c:pt idx="0">
                  <c:v>0.62215625353113735</c:v>
                </c:pt>
                <c:pt idx="1">
                  <c:v>0.53544932041543425</c:v>
                </c:pt>
                <c:pt idx="2">
                  <c:v>0.41873511192814961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C2-470D-B5BD-FE07513FB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fa-IR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fa-IR"/>
                </a:p>
              </c:txPr>
            </c:trendlineLbl>
          </c:trendline>
          <c:xVal>
            <c:numRef>
              <c:f>'حجاب 3'!$I$8:$I$12</c:f>
              <c:numCache>
                <c:formatCode>0.000</c:formatCode>
                <c:ptCount val="5"/>
                <c:pt idx="0">
                  <c:v>0.42</c:v>
                </c:pt>
                <c:pt idx="1">
                  <c:v>0.56999999999999995</c:v>
                </c:pt>
                <c:pt idx="2">
                  <c:v>0.84599999999999997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'حجاب 3'!$J$8:$J$12</c:f>
              <c:numCache>
                <c:formatCode>0.0</c:formatCode>
                <c:ptCount val="5"/>
                <c:pt idx="0">
                  <c:v>25</c:v>
                </c:pt>
                <c:pt idx="1">
                  <c:v>35</c:v>
                </c:pt>
                <c:pt idx="2">
                  <c:v>52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E7-409A-ACCF-1794B1F6F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'حجاب 3'!$I$8:$I$12</c:f>
              <c:numCache>
                <c:formatCode>0.000</c:formatCode>
                <c:ptCount val="5"/>
                <c:pt idx="0">
                  <c:v>0.42</c:v>
                </c:pt>
                <c:pt idx="1">
                  <c:v>0.56999999999999995</c:v>
                </c:pt>
                <c:pt idx="2">
                  <c:v>0.84599999999999997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'حجاب 3'!$C$8:$C$12</c:f>
              <c:numCache>
                <c:formatCode>0.00%</c:formatCode>
                <c:ptCount val="5"/>
                <c:pt idx="0">
                  <c:v>0.97929665965838486</c:v>
                </c:pt>
                <c:pt idx="1">
                  <c:v>0.97210883818480209</c:v>
                </c:pt>
                <c:pt idx="2">
                  <c:v>0.95915526018360997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E7-409A-ACCF-1794B1F6F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fa-IR"/>
    </a:p>
  </c:txPr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fa-IR"/>
                </a:p>
              </c:txPr>
            </c:trendlineLbl>
          </c:trendline>
          <c:xVal>
            <c:numRef>
              <c:f>'عبادی 30'!$I$8:$I$12</c:f>
              <c:numCache>
                <c:formatCode>0.000</c:formatCode>
                <c:ptCount val="5"/>
                <c:pt idx="0">
                  <c:v>0.3</c:v>
                </c:pt>
                <c:pt idx="1">
                  <c:v>0.40799999999999997</c:v>
                </c:pt>
                <c:pt idx="2">
                  <c:v>0.54</c:v>
                </c:pt>
                <c:pt idx="3">
                  <c:v>0.72</c:v>
                </c:pt>
                <c:pt idx="4">
                  <c:v>0</c:v>
                </c:pt>
              </c:numCache>
            </c:numRef>
          </c:xVal>
          <c:yVal>
            <c:numRef>
              <c:f>'عبادی 30'!$J$8:$J$12</c:f>
              <c:numCache>
                <c:formatCode>0.0</c:formatCode>
                <c:ptCount val="5"/>
                <c:pt idx="0">
                  <c:v>40</c:v>
                </c:pt>
                <c:pt idx="1">
                  <c:v>55</c:v>
                </c:pt>
                <c:pt idx="2">
                  <c:v>73</c:v>
                </c:pt>
                <c:pt idx="3">
                  <c:v>98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84-4E59-B156-2571BE037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'عبادی 30'!$I$8:$I$12</c:f>
              <c:numCache>
                <c:formatCode>0.000</c:formatCode>
                <c:ptCount val="5"/>
                <c:pt idx="0">
                  <c:v>0.3</c:v>
                </c:pt>
                <c:pt idx="1">
                  <c:v>0.40799999999999997</c:v>
                </c:pt>
                <c:pt idx="2">
                  <c:v>0.54</c:v>
                </c:pt>
                <c:pt idx="3">
                  <c:v>0.72</c:v>
                </c:pt>
                <c:pt idx="4">
                  <c:v>0</c:v>
                </c:pt>
              </c:numCache>
            </c:numRef>
          </c:xVal>
          <c:yVal>
            <c:numRef>
              <c:f>'عبادی 30'!$C$8:$C$12</c:f>
              <c:numCache>
                <c:formatCode>0.00%</c:formatCode>
                <c:ptCount val="5"/>
                <c:pt idx="0">
                  <c:v>0.98776871590716886</c:v>
                </c:pt>
                <c:pt idx="1">
                  <c:v>0.98343837879558571</c:v>
                </c:pt>
                <c:pt idx="2">
                  <c:v>0.97819703127652302</c:v>
                </c:pt>
                <c:pt idx="3">
                  <c:v>0.9711391259468023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84-4E59-B156-2571BE037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fa-IR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fa-IR"/>
                </a:p>
              </c:txPr>
            </c:trendlineLbl>
          </c:trendline>
          <c:xVal>
            <c:numRef>
              <c:f>بهار!$I$8:$I$12</c:f>
              <c:numCache>
                <c:formatCode>0.000</c:formatCode>
                <c:ptCount val="5"/>
                <c:pt idx="0">
                  <c:v>0.12</c:v>
                </c:pt>
                <c:pt idx="1">
                  <c:v>0.24</c:v>
                </c:pt>
                <c:pt idx="2">
                  <c:v>0.3</c:v>
                </c:pt>
                <c:pt idx="3">
                  <c:v>0.312</c:v>
                </c:pt>
                <c:pt idx="4">
                  <c:v>0</c:v>
                </c:pt>
              </c:numCache>
            </c:numRef>
          </c:xVal>
          <c:yVal>
            <c:numRef>
              <c:f>بهار!$J$8:$J$12</c:f>
              <c:numCache>
                <c:formatCode>0.0</c:formatCode>
                <c:ptCount val="5"/>
                <c:pt idx="0">
                  <c:v>24</c:v>
                </c:pt>
                <c:pt idx="1">
                  <c:v>55</c:v>
                </c:pt>
                <c:pt idx="2">
                  <c:v>82</c:v>
                </c:pt>
                <c:pt idx="3">
                  <c:v>114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4C-4FA6-9B2E-FD85D0BEA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بهار!$I$8:$I$12</c:f>
              <c:numCache>
                <c:formatCode>0.000</c:formatCode>
                <c:ptCount val="5"/>
                <c:pt idx="0">
                  <c:v>0.12</c:v>
                </c:pt>
                <c:pt idx="1">
                  <c:v>0.24</c:v>
                </c:pt>
                <c:pt idx="2">
                  <c:v>0.3</c:v>
                </c:pt>
                <c:pt idx="3">
                  <c:v>0.312</c:v>
                </c:pt>
                <c:pt idx="4">
                  <c:v>0</c:v>
                </c:pt>
              </c:numCache>
            </c:numRef>
          </c:xVal>
          <c:yVal>
            <c:numRef>
              <c:f>بهار!$C$8:$C$12</c:f>
              <c:numCache>
                <c:formatCode>0.00%</c:formatCode>
                <c:ptCount val="5"/>
                <c:pt idx="0">
                  <c:v>0.23482485085831734</c:v>
                </c:pt>
                <c:pt idx="1">
                  <c:v>0.13303203989275572</c:v>
                </c:pt>
                <c:pt idx="2">
                  <c:v>0.10933463378692498</c:v>
                </c:pt>
                <c:pt idx="3">
                  <c:v>0.10557341057136853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4C-4FA6-9B2E-FD85D0BEA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fa-IR"/>
    </a:p>
  </c:txPr>
  <c:printSettings>
    <c:headerFooter/>
    <c:pageMargins b="0.75" l="0.7" r="0.7" t="0.75" header="0.3" footer="0.3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fa-IR"/>
                </a:p>
              </c:txPr>
            </c:trendlineLbl>
          </c:trendline>
          <c:xVal>
            <c:numRef>
              <c:f>'رضا 11'!$I$8:$I$12</c:f>
              <c:numCache>
                <c:formatCode>0.000</c:formatCode>
                <c:ptCount val="5"/>
                <c:pt idx="0">
                  <c:v>0.48</c:v>
                </c:pt>
                <c:pt idx="1">
                  <c:v>0.78</c:v>
                </c:pt>
                <c:pt idx="2">
                  <c:v>1.02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'رضا 11'!$J$8:$J$12</c:f>
              <c:numCache>
                <c:formatCode>0.0</c:formatCode>
                <c:ptCount val="5"/>
                <c:pt idx="0">
                  <c:v>25</c:v>
                </c:pt>
                <c:pt idx="1">
                  <c:v>42</c:v>
                </c:pt>
                <c:pt idx="2">
                  <c:v>55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8-4D37-84DA-B59468112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'رضا 11'!$I$8:$I$12</c:f>
              <c:numCache>
                <c:formatCode>0.000</c:formatCode>
                <c:ptCount val="5"/>
                <c:pt idx="0">
                  <c:v>0.48</c:v>
                </c:pt>
                <c:pt idx="1">
                  <c:v>0.78</c:v>
                </c:pt>
                <c:pt idx="2">
                  <c:v>1.02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'رضا 11'!$C$8:$C$12</c:f>
              <c:numCache>
                <c:formatCode>0.00%</c:formatCode>
                <c:ptCount val="5"/>
                <c:pt idx="0">
                  <c:v>0.97518168746698342</c:v>
                </c:pt>
                <c:pt idx="1">
                  <c:v>0.96028625964631842</c:v>
                </c:pt>
                <c:pt idx="2">
                  <c:v>0.94869359165426947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8-4D37-84DA-B59468112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fa-IR"/>
    </a:p>
  </c:txPr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fa-IR"/>
                </a:p>
              </c:txPr>
            </c:trendlineLbl>
          </c:trendline>
          <c:xVal>
            <c:numRef>
              <c:f>'کورده 13'!$I$8:$I$12</c:f>
              <c:numCache>
                <c:formatCode>0.000</c:formatCode>
                <c:ptCount val="5"/>
                <c:pt idx="0">
                  <c:v>1.05</c:v>
                </c:pt>
                <c:pt idx="1">
                  <c:v>1.38</c:v>
                </c:pt>
                <c:pt idx="2">
                  <c:v>1.68</c:v>
                </c:pt>
                <c:pt idx="3">
                  <c:v>2.2200000000000002</c:v>
                </c:pt>
                <c:pt idx="4">
                  <c:v>2.46</c:v>
                </c:pt>
              </c:numCache>
            </c:numRef>
          </c:xVal>
          <c:yVal>
            <c:numRef>
              <c:f>'کورده 13'!$J$8:$J$12</c:f>
              <c:numCache>
                <c:formatCode>0.0</c:formatCode>
                <c:ptCount val="5"/>
                <c:pt idx="0">
                  <c:v>28</c:v>
                </c:pt>
                <c:pt idx="1">
                  <c:v>37</c:v>
                </c:pt>
                <c:pt idx="2">
                  <c:v>46</c:v>
                </c:pt>
                <c:pt idx="3">
                  <c:v>61</c:v>
                </c:pt>
                <c:pt idx="4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8C-4FA9-85E6-C7266499A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'کورده 13'!$I$8:$I$12</c:f>
              <c:numCache>
                <c:formatCode>0.000</c:formatCode>
                <c:ptCount val="5"/>
                <c:pt idx="0">
                  <c:v>1.05</c:v>
                </c:pt>
                <c:pt idx="1">
                  <c:v>1.38</c:v>
                </c:pt>
                <c:pt idx="2">
                  <c:v>1.68</c:v>
                </c:pt>
                <c:pt idx="3">
                  <c:v>2.2200000000000002</c:v>
                </c:pt>
                <c:pt idx="4">
                  <c:v>2.46</c:v>
                </c:pt>
              </c:numCache>
            </c:numRef>
          </c:xVal>
          <c:yVal>
            <c:numRef>
              <c:f>'کورده 13'!$C$8:$C$12</c:f>
              <c:numCache>
                <c:formatCode>0.00%</c:formatCode>
                <c:ptCount val="5"/>
                <c:pt idx="0">
                  <c:v>0.97485585477329872</c:v>
                </c:pt>
                <c:pt idx="1">
                  <c:v>0.96721251048427892</c:v>
                </c:pt>
                <c:pt idx="2">
                  <c:v>0.96036728606620558</c:v>
                </c:pt>
                <c:pt idx="3">
                  <c:v>0.94828697613510748</c:v>
                </c:pt>
                <c:pt idx="4">
                  <c:v>0.94301495936767699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8C-4FA9-85E6-C7266499A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fa-IR"/>
    </a:p>
  </c:txPr>
  <c:printSettings>
    <c:headerFooter/>
    <c:pageMargins b="0.75" l="0.7" r="0.7" t="0.75" header="0.3" footer="0.3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fa-IR"/>
                </a:p>
              </c:txPr>
            </c:trendlineLbl>
          </c:trendline>
          <c:xVal>
            <c:numRef>
              <c:f>'کورده 3'!$I$8:$I$12</c:f>
              <c:numCache>
                <c:formatCode>0.000</c:formatCode>
                <c:ptCount val="5"/>
                <c:pt idx="0">
                  <c:v>0.3</c:v>
                </c:pt>
                <c:pt idx="1">
                  <c:v>0.48</c:v>
                </c:pt>
                <c:pt idx="2">
                  <c:v>0.6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'کورده 3'!$J$8:$J$12</c:f>
              <c:numCache>
                <c:formatCode>0.0</c:formatCode>
                <c:ptCount val="5"/>
                <c:pt idx="0">
                  <c:v>40.900000000000006</c:v>
                </c:pt>
                <c:pt idx="1">
                  <c:v>66.900000000000006</c:v>
                </c:pt>
                <c:pt idx="2">
                  <c:v>96.9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C5-42DB-A057-7230054AE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'کورده 3'!$I$8:$I$12</c:f>
              <c:numCache>
                <c:formatCode>0.000</c:formatCode>
                <c:ptCount val="5"/>
                <c:pt idx="0">
                  <c:v>0.3</c:v>
                </c:pt>
                <c:pt idx="1">
                  <c:v>0.48</c:v>
                </c:pt>
                <c:pt idx="2">
                  <c:v>0.6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'کورده 3'!$C$8:$C$12</c:f>
              <c:numCache>
                <c:formatCode>0.00%</c:formatCode>
                <c:ptCount val="5"/>
                <c:pt idx="0">
                  <c:v>0.76807946942744521</c:v>
                </c:pt>
                <c:pt idx="1">
                  <c:v>0.67425528356412145</c:v>
                </c:pt>
                <c:pt idx="2">
                  <c:v>0.62348134507545538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C5-42DB-A057-7230054AE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fa-IR"/>
    </a:p>
  </c:txPr>
  <c:printSettings>
    <c:headerFooter/>
    <c:pageMargins b="0.75" l="0.7" r="0.7" t="0.75" header="0.3" footer="0.3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fa-IR"/>
                </a:p>
              </c:txPr>
            </c:trendlineLbl>
          </c:trendline>
          <c:xVal>
            <c:numRef>
              <c:f>'اسلام 13'!$I$8:$I$12</c:f>
              <c:numCache>
                <c:formatCode>0.000</c:formatCode>
                <c:ptCount val="5"/>
                <c:pt idx="0">
                  <c:v>0.87</c:v>
                </c:pt>
                <c:pt idx="1">
                  <c:v>1.0920000000000001</c:v>
                </c:pt>
                <c:pt idx="2">
                  <c:v>1.41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'اسلام 13'!$J$8:$J$12</c:f>
              <c:numCache>
                <c:formatCode>0.0</c:formatCode>
                <c:ptCount val="5"/>
                <c:pt idx="0">
                  <c:v>39</c:v>
                </c:pt>
                <c:pt idx="1">
                  <c:v>49</c:v>
                </c:pt>
                <c:pt idx="2">
                  <c:v>64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3C-49AA-BCE5-F809E240F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'اسلام 13'!$I$8:$I$12</c:f>
              <c:numCache>
                <c:formatCode>0.000</c:formatCode>
                <c:ptCount val="5"/>
                <c:pt idx="0">
                  <c:v>0.87</c:v>
                </c:pt>
                <c:pt idx="1">
                  <c:v>1.0920000000000001</c:v>
                </c:pt>
                <c:pt idx="2">
                  <c:v>1.41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'اسلام 13'!$C$8:$C$12</c:f>
              <c:numCache>
                <c:formatCode>0.00%</c:formatCode>
                <c:ptCount val="5"/>
                <c:pt idx="0">
                  <c:v>0.97695162026190252</c:v>
                </c:pt>
                <c:pt idx="1">
                  <c:v>0.97123945924595079</c:v>
                </c:pt>
                <c:pt idx="2">
                  <c:v>0.9631725784635744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3C-49AA-BCE5-F809E240F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fa-IR"/>
    </a:p>
  </c:txPr>
  <c:printSettings>
    <c:headerFooter/>
    <c:pageMargins b="0.75" l="0.7" r="0.7" t="0.75" header="0.3" footer="0.3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794017483351784E-2"/>
          <c:y val="3.4428794992175271E-2"/>
          <c:w val="0.829679009132123"/>
          <c:h val="0.894888174189493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-0.34478905414600952"/>
                  <c:y val="-6.2648577378531925E-2"/>
                </c:manualLayout>
              </c:layout>
              <c:numFmt formatCode="0.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 rtl="1">
                    <a:defRPr sz="1100" b="1" i="0" u="none" strike="noStrike" baseline="0">
                      <a:solidFill>
                        <a:srgbClr val="333333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fa-IR"/>
                </a:p>
              </c:txPr>
            </c:trendlineLbl>
          </c:trendline>
          <c:xVal>
            <c:numRef>
              <c:f>'شهرک امام'!$I$8:$I$12</c:f>
              <c:numCache>
                <c:formatCode>0.000</c:formatCode>
                <c:ptCount val="5"/>
                <c:pt idx="0">
                  <c:v>0.3</c:v>
                </c:pt>
                <c:pt idx="1">
                  <c:v>0.432</c:v>
                </c:pt>
                <c:pt idx="2">
                  <c:v>0.52200000000000002</c:v>
                </c:pt>
                <c:pt idx="3">
                  <c:v>0.61799999999999999</c:v>
                </c:pt>
                <c:pt idx="4">
                  <c:v>0</c:v>
                </c:pt>
              </c:numCache>
            </c:numRef>
          </c:xVal>
          <c:yVal>
            <c:numRef>
              <c:f>'شهرک امام'!$J$8:$J$12</c:f>
              <c:numCache>
                <c:formatCode>0.0</c:formatCode>
                <c:ptCount val="5"/>
                <c:pt idx="0">
                  <c:v>38</c:v>
                </c:pt>
                <c:pt idx="1">
                  <c:v>80</c:v>
                </c:pt>
                <c:pt idx="2">
                  <c:v>99</c:v>
                </c:pt>
                <c:pt idx="3">
                  <c:v>141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29-45E3-8DA1-27548AD63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47136"/>
        <c:axId val="1"/>
      </c:scatterChart>
      <c:scatterChart>
        <c:scatterStyle val="lineMarker"/>
        <c:varyColors val="0"/>
        <c:ser>
          <c:idx val="1"/>
          <c:order val="1"/>
          <c:tx>
            <c:v>راندمان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'شهرک امام'!$I$8:$I$12</c:f>
              <c:numCache>
                <c:formatCode>0.000</c:formatCode>
                <c:ptCount val="5"/>
                <c:pt idx="0">
                  <c:v>0.3</c:v>
                </c:pt>
                <c:pt idx="1">
                  <c:v>0.432</c:v>
                </c:pt>
                <c:pt idx="2">
                  <c:v>0.52200000000000002</c:v>
                </c:pt>
                <c:pt idx="3">
                  <c:v>0.61799999999999999</c:v>
                </c:pt>
                <c:pt idx="4">
                  <c:v>0</c:v>
                </c:pt>
              </c:numCache>
            </c:numRef>
          </c:xVal>
          <c:yVal>
            <c:numRef>
              <c:f>'شهرک امام'!$C$8:$C$12</c:f>
              <c:numCache>
                <c:formatCode>0.00%</c:formatCode>
                <c:ptCount val="5"/>
                <c:pt idx="0">
                  <c:v>0.35106253352878775</c:v>
                </c:pt>
                <c:pt idx="1">
                  <c:v>0.27308725182564653</c:v>
                </c:pt>
                <c:pt idx="2">
                  <c:v>0.23717016506115318</c:v>
                </c:pt>
                <c:pt idx="3">
                  <c:v>0.2079909951327194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29-45E3-8DA1-27548AD63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07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100764713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rebuchet MS"/>
                <a:ea typeface="Trebuchet MS"/>
                <a:cs typeface="Trebuchet MS"/>
              </a:defRPr>
            </a:pPr>
            <a:endParaRPr lang="fa-IR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rebuchet MS"/>
          <a:ea typeface="Trebuchet MS"/>
          <a:cs typeface="Trebuchet MS"/>
        </a:defRPr>
      </a:pPr>
      <a:endParaRPr lang="fa-IR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6315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12</xdr:row>
      <xdr:rowOff>107673</xdr:rowOff>
    </xdr:from>
    <xdr:to>
      <xdr:col>13</xdr:col>
      <xdr:colOff>323021</xdr:colOff>
      <xdr:row>30</xdr:row>
      <xdr:rowOff>124239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6315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12</xdr:row>
      <xdr:rowOff>107673</xdr:rowOff>
    </xdr:from>
    <xdr:to>
      <xdr:col>13</xdr:col>
      <xdr:colOff>323021</xdr:colOff>
      <xdr:row>30</xdr:row>
      <xdr:rowOff>124239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6315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12</xdr:row>
      <xdr:rowOff>107673</xdr:rowOff>
    </xdr:from>
    <xdr:to>
      <xdr:col>13</xdr:col>
      <xdr:colOff>323021</xdr:colOff>
      <xdr:row>30</xdr:row>
      <xdr:rowOff>124239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6315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12</xdr:row>
      <xdr:rowOff>107673</xdr:rowOff>
    </xdr:from>
    <xdr:to>
      <xdr:col>13</xdr:col>
      <xdr:colOff>323021</xdr:colOff>
      <xdr:row>30</xdr:row>
      <xdr:rowOff>124239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6315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12</xdr:row>
      <xdr:rowOff>107673</xdr:rowOff>
    </xdr:from>
    <xdr:to>
      <xdr:col>13</xdr:col>
      <xdr:colOff>323021</xdr:colOff>
      <xdr:row>30</xdr:row>
      <xdr:rowOff>124239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6315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12</xdr:row>
      <xdr:rowOff>107673</xdr:rowOff>
    </xdr:from>
    <xdr:to>
      <xdr:col>13</xdr:col>
      <xdr:colOff>323021</xdr:colOff>
      <xdr:row>30</xdr:row>
      <xdr:rowOff>124239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6315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12</xdr:row>
      <xdr:rowOff>107673</xdr:rowOff>
    </xdr:from>
    <xdr:to>
      <xdr:col>13</xdr:col>
      <xdr:colOff>323021</xdr:colOff>
      <xdr:row>30</xdr:row>
      <xdr:rowOff>124239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3850819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3855467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385081940" y="6315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12</xdr:row>
      <xdr:rowOff>107673</xdr:rowOff>
    </xdr:from>
    <xdr:to>
      <xdr:col>13</xdr:col>
      <xdr:colOff>323021</xdr:colOff>
      <xdr:row>30</xdr:row>
      <xdr:rowOff>124239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6315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12</xdr:row>
      <xdr:rowOff>107673</xdr:rowOff>
    </xdr:from>
    <xdr:to>
      <xdr:col>13</xdr:col>
      <xdr:colOff>323021</xdr:colOff>
      <xdr:row>30</xdr:row>
      <xdr:rowOff>124239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6315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12</xdr:row>
      <xdr:rowOff>107673</xdr:rowOff>
    </xdr:from>
    <xdr:to>
      <xdr:col>13</xdr:col>
      <xdr:colOff>323021</xdr:colOff>
      <xdr:row>30</xdr:row>
      <xdr:rowOff>124239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6315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12</xdr:row>
      <xdr:rowOff>107673</xdr:rowOff>
    </xdr:from>
    <xdr:to>
      <xdr:col>13</xdr:col>
      <xdr:colOff>323021</xdr:colOff>
      <xdr:row>30</xdr:row>
      <xdr:rowOff>124239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6315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12</xdr:row>
      <xdr:rowOff>107673</xdr:rowOff>
    </xdr:from>
    <xdr:to>
      <xdr:col>13</xdr:col>
      <xdr:colOff>323021</xdr:colOff>
      <xdr:row>30</xdr:row>
      <xdr:rowOff>124239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6315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12</xdr:row>
      <xdr:rowOff>107673</xdr:rowOff>
    </xdr:from>
    <xdr:to>
      <xdr:col>13</xdr:col>
      <xdr:colOff>323021</xdr:colOff>
      <xdr:row>30</xdr:row>
      <xdr:rowOff>124239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6315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12</xdr:row>
      <xdr:rowOff>107673</xdr:rowOff>
    </xdr:from>
    <xdr:to>
      <xdr:col>13</xdr:col>
      <xdr:colOff>323021</xdr:colOff>
      <xdr:row>30</xdr:row>
      <xdr:rowOff>124239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6315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12</xdr:row>
      <xdr:rowOff>107673</xdr:rowOff>
    </xdr:from>
    <xdr:to>
      <xdr:col>13</xdr:col>
      <xdr:colOff>323021</xdr:colOff>
      <xdr:row>30</xdr:row>
      <xdr:rowOff>124239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6315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12</xdr:row>
      <xdr:rowOff>107673</xdr:rowOff>
    </xdr:from>
    <xdr:to>
      <xdr:col>13</xdr:col>
      <xdr:colOff>323021</xdr:colOff>
      <xdr:row>30</xdr:row>
      <xdr:rowOff>124239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464820</xdr:colOff>
      <xdr:row>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565360" y="1247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oneCellAnchor>
    <xdr:from>
      <xdr:col>9</xdr:col>
      <xdr:colOff>464820</xdr:colOff>
      <xdr:row>31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5BCC89-9391-47D4-8918-BB731D507891}"/>
            </a:ext>
          </a:extLst>
        </xdr:cNvPr>
        <xdr:cNvSpPr txBox="1"/>
      </xdr:nvSpPr>
      <xdr:spPr>
        <a:xfrm>
          <a:off x="11229100540" y="63150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  <xdr:twoCellAnchor>
    <xdr:from>
      <xdr:col>1</xdr:col>
      <xdr:colOff>149086</xdr:colOff>
      <xdr:row>12</xdr:row>
      <xdr:rowOff>107673</xdr:rowOff>
    </xdr:from>
    <xdr:to>
      <xdr:col>13</xdr:col>
      <xdr:colOff>323021</xdr:colOff>
      <xdr:row>30</xdr:row>
      <xdr:rowOff>124239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rightToLeft="1" topLeftCell="B1" zoomScale="115" zoomScaleNormal="115" workbookViewId="0">
      <selection activeCell="J6" sqref="J6:J7"/>
    </sheetView>
  </sheetViews>
  <sheetFormatPr defaultRowHeight="14.25" x14ac:dyDescent="0.2"/>
  <cols>
    <col min="1" max="1" width="2.375" hidden="1" customWidth="1"/>
    <col min="2" max="2" width="2" customWidth="1"/>
    <col min="3" max="3" width="8.375" bestFit="1" customWidth="1"/>
    <col min="4" max="4" width="7.875" customWidth="1"/>
    <col min="5" max="5" width="13.375" customWidth="1"/>
    <col min="6" max="6" width="7.625" customWidth="1"/>
    <col min="7" max="7" width="7.5" bestFit="1" customWidth="1"/>
    <col min="8" max="8" width="5" bestFit="1" customWidth="1"/>
    <col min="9" max="9" width="11.375" customWidth="1"/>
    <col min="10" max="10" width="10.25" bestFit="1" customWidth="1"/>
    <col min="12" max="12" width="6.875" bestFit="1" customWidth="1"/>
    <col min="14" max="14" width="4.5" customWidth="1"/>
  </cols>
  <sheetData>
    <row r="1" spans="3:14" x14ac:dyDescent="0.2">
      <c r="C1" s="24" t="s">
        <v>162</v>
      </c>
      <c r="D1" s="24"/>
      <c r="E1" s="24"/>
      <c r="F1" s="24"/>
      <c r="G1" s="24"/>
      <c r="H1" s="24"/>
      <c r="I1" s="24"/>
    </row>
    <row r="2" spans="3:14" ht="21" customHeight="1" x14ac:dyDescent="0.45">
      <c r="C2" s="25" t="s">
        <v>149</v>
      </c>
      <c r="D2" s="25"/>
      <c r="E2" s="25"/>
      <c r="F2" s="1" t="s">
        <v>27</v>
      </c>
      <c r="G2" s="1"/>
      <c r="H2" s="26">
        <v>39.5212</v>
      </c>
      <c r="I2" s="26"/>
      <c r="J2" s="25" t="s">
        <v>59</v>
      </c>
      <c r="K2" s="25"/>
      <c r="L2" s="25"/>
      <c r="M2" s="25"/>
      <c r="N2" s="25"/>
    </row>
    <row r="3" spans="3:14" ht="21" customHeight="1" x14ac:dyDescent="0.45">
      <c r="C3" s="25" t="s">
        <v>157</v>
      </c>
      <c r="D3" s="25"/>
      <c r="E3" s="25"/>
      <c r="F3" s="1" t="s">
        <v>28</v>
      </c>
      <c r="G3" s="1"/>
      <c r="H3" s="26">
        <v>27.331700000000001</v>
      </c>
      <c r="I3" s="26"/>
      <c r="J3" s="25" t="s">
        <v>158</v>
      </c>
      <c r="K3" s="25"/>
      <c r="L3" s="25"/>
      <c r="M3" s="25"/>
      <c r="N3" s="25"/>
    </row>
    <row r="4" spans="3:14" ht="21" customHeight="1" x14ac:dyDescent="0.2">
      <c r="C4" s="25" t="s">
        <v>155</v>
      </c>
      <c r="D4" s="25"/>
      <c r="E4" s="25"/>
      <c r="F4" s="25" t="s">
        <v>65</v>
      </c>
      <c r="G4" s="25"/>
      <c r="H4" s="25"/>
      <c r="I4" s="1"/>
      <c r="J4" s="25" t="s">
        <v>156</v>
      </c>
      <c r="K4" s="25"/>
      <c r="L4" s="25"/>
      <c r="M4" s="25"/>
      <c r="N4" s="25"/>
    </row>
    <row r="5" spans="3:14" ht="21" customHeight="1" x14ac:dyDescent="0.2">
      <c r="C5" s="25" t="s">
        <v>163</v>
      </c>
      <c r="D5" s="25"/>
      <c r="E5" s="25"/>
      <c r="F5" s="25" t="s">
        <v>164</v>
      </c>
      <c r="G5" s="25"/>
      <c r="H5" s="25"/>
      <c r="I5" s="25"/>
      <c r="J5" s="25" t="s">
        <v>165</v>
      </c>
      <c r="K5" s="25"/>
      <c r="L5" s="25"/>
      <c r="M5" s="25"/>
      <c r="N5" s="25"/>
    </row>
    <row r="6" spans="3:14" ht="15.75" x14ac:dyDescent="0.2">
      <c r="C6" s="29" t="s">
        <v>8</v>
      </c>
      <c r="D6" s="29" t="s">
        <v>9</v>
      </c>
      <c r="E6" s="29" t="s">
        <v>10</v>
      </c>
      <c r="F6" s="29" t="s">
        <v>11</v>
      </c>
      <c r="G6" s="29" t="s">
        <v>12</v>
      </c>
      <c r="H6" s="27" t="s">
        <v>13</v>
      </c>
      <c r="I6" s="30" t="s">
        <v>14</v>
      </c>
      <c r="J6" s="29" t="s">
        <v>15</v>
      </c>
      <c r="K6" s="27" t="s">
        <v>16</v>
      </c>
      <c r="L6" s="27" t="s">
        <v>17</v>
      </c>
      <c r="M6" s="31" t="s">
        <v>18</v>
      </c>
      <c r="N6" s="31"/>
    </row>
    <row r="7" spans="3:14" ht="18.75" x14ac:dyDescent="0.2">
      <c r="C7" s="29"/>
      <c r="D7" s="29"/>
      <c r="E7" s="29"/>
      <c r="F7" s="29"/>
      <c r="G7" s="29"/>
      <c r="H7" s="27"/>
      <c r="I7" s="30"/>
      <c r="J7" s="29"/>
      <c r="K7" s="27"/>
      <c r="L7" s="27"/>
      <c r="M7" s="32"/>
      <c r="N7" s="32"/>
    </row>
    <row r="8" spans="3:14" ht="18.75" x14ac:dyDescent="0.2">
      <c r="C8" s="11">
        <f>IF(D8&lt;&gt;0,F8/D8,1)</f>
        <v>0.69744968237774463</v>
      </c>
      <c r="D8" s="12">
        <f>E8+F8</f>
        <v>11.756418</v>
      </c>
      <c r="E8" s="12">
        <f>$H$2*I8*I8</f>
        <v>3.556908</v>
      </c>
      <c r="F8" s="12">
        <f>$H$3*I8</f>
        <v>8.1995100000000001</v>
      </c>
      <c r="G8" s="13">
        <f>H8/(K8-$M$7)</f>
        <v>3.1055900621118012E-2</v>
      </c>
      <c r="H8" s="8">
        <v>5</v>
      </c>
      <c r="I8" s="9">
        <f>H8*60/1000</f>
        <v>0.3</v>
      </c>
      <c r="J8" s="10">
        <f>IF(K8-$M$7&lt;0,0,K8-$M$7)</f>
        <v>161</v>
      </c>
      <c r="K8" s="3">
        <v>161</v>
      </c>
      <c r="L8" s="7">
        <v>1150</v>
      </c>
      <c r="M8" s="28" t="s">
        <v>19</v>
      </c>
      <c r="N8" s="28"/>
    </row>
    <row r="9" spans="3:14" ht="18.75" x14ac:dyDescent="0.2">
      <c r="C9" s="11">
        <f>IF(D9&lt;&gt;0,F9/D9,1)</f>
        <v>0.45154340259960479</v>
      </c>
      <c r="D9" s="12">
        <f t="shared" ref="D9:D12" si="0">E9+F9</f>
        <v>50.844786720000002</v>
      </c>
      <c r="E9" s="12">
        <f t="shared" ref="E9:E12" si="1">$H$2*I9*I9</f>
        <v>27.886158720000001</v>
      </c>
      <c r="F9" s="12">
        <f t="shared" ref="F9:F12" si="2">$H$3*I9</f>
        <v>22.958628000000001</v>
      </c>
      <c r="G9" s="13">
        <f t="shared" ref="G9:G12" si="3">H9/(K9-$M$7)</f>
        <v>7.407407407407407E-2</v>
      </c>
      <c r="H9" s="8">
        <v>14</v>
      </c>
      <c r="I9" s="9">
        <f t="shared" ref="I9:I12" si="4">H9*60/1000</f>
        <v>0.84</v>
      </c>
      <c r="J9" s="10">
        <f t="shared" ref="J9:J12" si="5">IF(K9-$M$7&lt;0,0,K9-$M$7)</f>
        <v>189</v>
      </c>
      <c r="K9" s="3">
        <v>189</v>
      </c>
      <c r="L9" s="5">
        <v>1250</v>
      </c>
      <c r="M9" s="28" t="s">
        <v>20</v>
      </c>
      <c r="N9" s="28"/>
    </row>
    <row r="10" spans="3:14" ht="18.75" x14ac:dyDescent="0.2">
      <c r="C10" s="11">
        <f>IF(D10&lt;&gt;0,F10/D10,1)</f>
        <v>0.32627863401007473</v>
      </c>
      <c r="D10" s="12">
        <f t="shared" si="0"/>
        <v>119.6206663008</v>
      </c>
      <c r="E10" s="12">
        <f t="shared" si="1"/>
        <v>80.5909987008</v>
      </c>
      <c r="F10" s="12">
        <f t="shared" si="2"/>
        <v>39.029667600000003</v>
      </c>
      <c r="G10" s="13">
        <f t="shared" si="3"/>
        <v>0.11226415094339623</v>
      </c>
      <c r="H10" s="8">
        <v>23.8</v>
      </c>
      <c r="I10" s="9">
        <f t="shared" si="4"/>
        <v>1.4279999999999999</v>
      </c>
      <c r="J10" s="10">
        <f t="shared" si="5"/>
        <v>212</v>
      </c>
      <c r="K10" s="3">
        <v>212</v>
      </c>
      <c r="L10" s="7">
        <v>1350</v>
      </c>
      <c r="M10" s="28" t="s">
        <v>21</v>
      </c>
      <c r="N10" s="28"/>
    </row>
    <row r="11" spans="3:14" ht="18.75" x14ac:dyDescent="0.2">
      <c r="C11" s="11">
        <f>IF(D11&lt;&gt;0,F11/D11,1)</f>
        <v>1</v>
      </c>
      <c r="D11" s="12">
        <f>E11+F11</f>
        <v>0</v>
      </c>
      <c r="E11" s="12">
        <f t="shared" si="1"/>
        <v>0</v>
      </c>
      <c r="F11" s="12">
        <f>$H$3*I11</f>
        <v>0</v>
      </c>
      <c r="G11" s="13" t="e">
        <f t="shared" si="3"/>
        <v>#DIV/0!</v>
      </c>
      <c r="H11" s="2">
        <v>0</v>
      </c>
      <c r="I11" s="9">
        <f t="shared" si="4"/>
        <v>0</v>
      </c>
      <c r="J11" s="10">
        <f t="shared" si="5"/>
        <v>0</v>
      </c>
      <c r="K11" s="4"/>
      <c r="L11" s="5"/>
      <c r="M11" s="28" t="s">
        <v>22</v>
      </c>
      <c r="N11" s="28"/>
    </row>
    <row r="12" spans="3:14" ht="18.75" x14ac:dyDescent="0.2">
      <c r="C12" s="11">
        <f t="shared" ref="C12" si="6">IF(D12&lt;&gt;0,F12/D12,1)</f>
        <v>1</v>
      </c>
      <c r="D12" s="12">
        <f t="shared" si="0"/>
        <v>0</v>
      </c>
      <c r="E12" s="12">
        <f t="shared" si="1"/>
        <v>0</v>
      </c>
      <c r="F12" s="12">
        <f t="shared" si="2"/>
        <v>0</v>
      </c>
      <c r="G12" s="13" t="e">
        <f t="shared" si="3"/>
        <v>#DIV/0!</v>
      </c>
      <c r="H12" s="2">
        <v>0</v>
      </c>
      <c r="I12" s="9">
        <f t="shared" si="4"/>
        <v>0</v>
      </c>
      <c r="J12" s="10">
        <f t="shared" si="5"/>
        <v>0</v>
      </c>
      <c r="K12" s="4">
        <v>0</v>
      </c>
      <c r="L12" s="5">
        <v>0</v>
      </c>
      <c r="M12" s="33" t="s">
        <v>23</v>
      </c>
      <c r="N12" s="33"/>
    </row>
    <row r="32" spans="3:15" ht="21.75" customHeight="1" x14ac:dyDescent="0.2">
      <c r="C32" s="25" t="s">
        <v>7</v>
      </c>
      <c r="D32" s="25"/>
      <c r="E32" s="25"/>
      <c r="F32" s="25" t="s">
        <v>25</v>
      </c>
      <c r="G32" s="25"/>
      <c r="H32" s="25"/>
      <c r="I32" s="25"/>
      <c r="J32" s="6"/>
      <c r="K32" s="25" t="s">
        <v>26</v>
      </c>
      <c r="L32" s="25"/>
      <c r="M32" s="25"/>
      <c r="N32" s="6"/>
      <c r="O32" s="6"/>
    </row>
  </sheetData>
  <mergeCells count="33">
    <mergeCell ref="M8:N8"/>
    <mergeCell ref="M9:N9"/>
    <mergeCell ref="M10:N10"/>
    <mergeCell ref="M11:N11"/>
    <mergeCell ref="M12:N12"/>
    <mergeCell ref="C32:E32"/>
    <mergeCell ref="F32:I32"/>
    <mergeCell ref="K32:M32"/>
    <mergeCell ref="I6:I7"/>
    <mergeCell ref="J6:J7"/>
    <mergeCell ref="K6:K7"/>
    <mergeCell ref="L6:L7"/>
    <mergeCell ref="M6:N6"/>
    <mergeCell ref="M7:N7"/>
    <mergeCell ref="C6:C7"/>
    <mergeCell ref="D6:D7"/>
    <mergeCell ref="E6:E7"/>
    <mergeCell ref="F6:F7"/>
    <mergeCell ref="G6:G7"/>
    <mergeCell ref="H6:H7"/>
    <mergeCell ref="C4:E4"/>
    <mergeCell ref="F4:H4"/>
    <mergeCell ref="J4:N4"/>
    <mergeCell ref="C5:E5"/>
    <mergeCell ref="F5:I5"/>
    <mergeCell ref="J5:N5"/>
    <mergeCell ref="C1:I1"/>
    <mergeCell ref="C2:E2"/>
    <mergeCell ref="H2:I2"/>
    <mergeCell ref="J2:N2"/>
    <mergeCell ref="C3:E3"/>
    <mergeCell ref="H3:I3"/>
    <mergeCell ref="J3:N3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rightToLeft="1" topLeftCell="B1" zoomScale="115" zoomScaleNormal="115" workbookViewId="0">
      <selection activeCell="J5" sqref="J5:N5"/>
    </sheetView>
  </sheetViews>
  <sheetFormatPr defaultRowHeight="14.25" x14ac:dyDescent="0.2"/>
  <cols>
    <col min="1" max="1" width="2.375" hidden="1" customWidth="1"/>
    <col min="2" max="2" width="2" customWidth="1"/>
    <col min="3" max="3" width="8.375" bestFit="1" customWidth="1"/>
    <col min="4" max="4" width="7.875" customWidth="1"/>
    <col min="5" max="5" width="13.375" customWidth="1"/>
    <col min="6" max="6" width="7.625" customWidth="1"/>
    <col min="7" max="7" width="7.5" bestFit="1" customWidth="1"/>
    <col min="8" max="8" width="5" bestFit="1" customWidth="1"/>
    <col min="9" max="9" width="11.375" customWidth="1"/>
    <col min="10" max="10" width="10.25" bestFit="1" customWidth="1"/>
    <col min="12" max="12" width="6.875" bestFit="1" customWidth="1"/>
    <col min="14" max="14" width="4.5" customWidth="1"/>
  </cols>
  <sheetData>
    <row r="1" spans="3:14" x14ac:dyDescent="0.2">
      <c r="C1" s="24" t="s">
        <v>159</v>
      </c>
      <c r="D1" s="24"/>
      <c r="E1" s="24"/>
      <c r="F1" s="24"/>
      <c r="G1" s="24"/>
      <c r="H1" s="24"/>
      <c r="I1" s="24"/>
    </row>
    <row r="2" spans="3:14" ht="21" customHeight="1" x14ac:dyDescent="0.45">
      <c r="C2" s="25" t="s">
        <v>149</v>
      </c>
      <c r="D2" s="25"/>
      <c r="E2" s="25"/>
      <c r="F2" s="1" t="s">
        <v>27</v>
      </c>
      <c r="G2" s="1"/>
      <c r="H2" s="26">
        <v>39.5212</v>
      </c>
      <c r="I2" s="26"/>
      <c r="J2" s="25" t="s">
        <v>59</v>
      </c>
      <c r="K2" s="25"/>
      <c r="L2" s="25"/>
      <c r="M2" s="25"/>
      <c r="N2" s="25"/>
    </row>
    <row r="3" spans="3:14" ht="21" customHeight="1" x14ac:dyDescent="0.45">
      <c r="C3" s="25" t="s">
        <v>157</v>
      </c>
      <c r="D3" s="25"/>
      <c r="E3" s="25"/>
      <c r="F3" s="1" t="s">
        <v>28</v>
      </c>
      <c r="G3" s="1"/>
      <c r="H3" s="26">
        <v>27.331700000000001</v>
      </c>
      <c r="I3" s="26"/>
      <c r="J3" s="25" t="s">
        <v>158</v>
      </c>
      <c r="K3" s="25"/>
      <c r="L3" s="25"/>
      <c r="M3" s="25"/>
      <c r="N3" s="25"/>
    </row>
    <row r="4" spans="3:14" ht="21" customHeight="1" x14ac:dyDescent="0.2">
      <c r="C4" s="25" t="s">
        <v>155</v>
      </c>
      <c r="D4" s="25"/>
      <c r="E4" s="25"/>
      <c r="F4" s="25" t="s">
        <v>65</v>
      </c>
      <c r="G4" s="25"/>
      <c r="H4" s="25"/>
      <c r="I4" s="1"/>
      <c r="J4" s="25" t="s">
        <v>156</v>
      </c>
      <c r="K4" s="25"/>
      <c r="L4" s="25"/>
      <c r="M4" s="25"/>
      <c r="N4" s="25"/>
    </row>
    <row r="5" spans="3:14" ht="21" customHeight="1" x14ac:dyDescent="0.2">
      <c r="C5" s="25" t="s">
        <v>160</v>
      </c>
      <c r="D5" s="25"/>
      <c r="E5" s="25"/>
      <c r="F5" s="25" t="s">
        <v>161</v>
      </c>
      <c r="G5" s="25"/>
      <c r="H5" s="25"/>
      <c r="I5" s="25"/>
      <c r="J5" s="25" t="s">
        <v>166</v>
      </c>
      <c r="K5" s="25"/>
      <c r="L5" s="25"/>
      <c r="M5" s="25"/>
      <c r="N5" s="25"/>
    </row>
    <row r="6" spans="3:14" ht="15.75" x14ac:dyDescent="0.2">
      <c r="C6" s="29" t="s">
        <v>8</v>
      </c>
      <c r="D6" s="29" t="s">
        <v>9</v>
      </c>
      <c r="E6" s="29" t="s">
        <v>10</v>
      </c>
      <c r="F6" s="29" t="s">
        <v>11</v>
      </c>
      <c r="G6" s="29" t="s">
        <v>12</v>
      </c>
      <c r="H6" s="27" t="s">
        <v>13</v>
      </c>
      <c r="I6" s="30" t="s">
        <v>14</v>
      </c>
      <c r="J6" s="29" t="s">
        <v>15</v>
      </c>
      <c r="K6" s="27" t="s">
        <v>16</v>
      </c>
      <c r="L6" s="27" t="s">
        <v>17</v>
      </c>
      <c r="M6" s="31" t="s">
        <v>18</v>
      </c>
      <c r="N6" s="31"/>
    </row>
    <row r="7" spans="3:14" ht="18.75" x14ac:dyDescent="0.2">
      <c r="C7" s="29"/>
      <c r="D7" s="29"/>
      <c r="E7" s="29"/>
      <c r="F7" s="29"/>
      <c r="G7" s="29"/>
      <c r="H7" s="27"/>
      <c r="I7" s="30"/>
      <c r="J7" s="29"/>
      <c r="K7" s="27"/>
      <c r="L7" s="27"/>
      <c r="M7" s="32"/>
      <c r="N7" s="32"/>
    </row>
    <row r="8" spans="3:14" ht="18.75" x14ac:dyDescent="0.2">
      <c r="C8" s="11">
        <f>IF(D8&lt;&gt;0,F8/D8,1)</f>
        <v>0.69744968237774463</v>
      </c>
      <c r="D8" s="12">
        <f>E8+F8</f>
        <v>11.756418</v>
      </c>
      <c r="E8" s="12">
        <f>$H$2*I8*I8</f>
        <v>3.556908</v>
      </c>
      <c r="F8" s="12">
        <f>$H$3*I8</f>
        <v>8.1995100000000001</v>
      </c>
      <c r="G8" s="13">
        <f>H8/(K8-$M$7)</f>
        <v>3.1055900621118012E-2</v>
      </c>
      <c r="H8" s="8">
        <v>5</v>
      </c>
      <c r="I8" s="9">
        <f>H8*60/1000</f>
        <v>0.3</v>
      </c>
      <c r="J8" s="10">
        <f>IF(K8-$M$7&lt;0,0,K8-$M$7)</f>
        <v>161</v>
      </c>
      <c r="K8" s="3">
        <v>161</v>
      </c>
      <c r="L8" s="7">
        <v>1150</v>
      </c>
      <c r="M8" s="28" t="s">
        <v>19</v>
      </c>
      <c r="N8" s="28"/>
    </row>
    <row r="9" spans="3:14" ht="18.75" x14ac:dyDescent="0.2">
      <c r="C9" s="11">
        <f>IF(D9&lt;&gt;0,F9/D9,1)</f>
        <v>0.45154340259960479</v>
      </c>
      <c r="D9" s="12">
        <f t="shared" ref="D9:D12" si="0">E9+F9</f>
        <v>50.844786720000002</v>
      </c>
      <c r="E9" s="12">
        <f t="shared" ref="E9:E12" si="1">$H$2*I9*I9</f>
        <v>27.886158720000001</v>
      </c>
      <c r="F9" s="12">
        <f t="shared" ref="F9:F12" si="2">$H$3*I9</f>
        <v>22.958628000000001</v>
      </c>
      <c r="G9" s="13">
        <f t="shared" ref="G9:G12" si="3">H9/(K9-$M$7)</f>
        <v>7.407407407407407E-2</v>
      </c>
      <c r="H9" s="8">
        <v>14</v>
      </c>
      <c r="I9" s="9">
        <f t="shared" ref="I9:I12" si="4">H9*60/1000</f>
        <v>0.84</v>
      </c>
      <c r="J9" s="10">
        <f t="shared" ref="J9:J12" si="5">IF(K9-$M$7&lt;0,0,K9-$M$7)</f>
        <v>189</v>
      </c>
      <c r="K9" s="3">
        <v>189</v>
      </c>
      <c r="L9" s="5">
        <v>1250</v>
      </c>
      <c r="M9" s="28" t="s">
        <v>20</v>
      </c>
      <c r="N9" s="28"/>
    </row>
    <row r="10" spans="3:14" ht="18.75" x14ac:dyDescent="0.2">
      <c r="C10" s="11">
        <f>IF(D10&lt;&gt;0,F10/D10,1)</f>
        <v>0.32627863401007473</v>
      </c>
      <c r="D10" s="12">
        <f t="shared" si="0"/>
        <v>119.6206663008</v>
      </c>
      <c r="E10" s="12">
        <f t="shared" si="1"/>
        <v>80.5909987008</v>
      </c>
      <c r="F10" s="12">
        <f t="shared" si="2"/>
        <v>39.029667600000003</v>
      </c>
      <c r="G10" s="13">
        <f t="shared" si="3"/>
        <v>0.11226415094339623</v>
      </c>
      <c r="H10" s="8">
        <v>23.8</v>
      </c>
      <c r="I10" s="9">
        <f t="shared" si="4"/>
        <v>1.4279999999999999</v>
      </c>
      <c r="J10" s="10">
        <f t="shared" si="5"/>
        <v>212</v>
      </c>
      <c r="K10" s="3">
        <v>212</v>
      </c>
      <c r="L10" s="7">
        <v>1350</v>
      </c>
      <c r="M10" s="28" t="s">
        <v>21</v>
      </c>
      <c r="N10" s="28"/>
    </row>
    <row r="11" spans="3:14" ht="18.75" x14ac:dyDescent="0.2">
      <c r="C11" s="11">
        <f>IF(D11&lt;&gt;0,F11/D11,1)</f>
        <v>1</v>
      </c>
      <c r="D11" s="12">
        <f>E11+F11</f>
        <v>0</v>
      </c>
      <c r="E11" s="12">
        <f t="shared" si="1"/>
        <v>0</v>
      </c>
      <c r="F11" s="12">
        <f>$H$3*I11</f>
        <v>0</v>
      </c>
      <c r="G11" s="13" t="e">
        <f t="shared" si="3"/>
        <v>#DIV/0!</v>
      </c>
      <c r="H11" s="2">
        <v>0</v>
      </c>
      <c r="I11" s="9">
        <f t="shared" si="4"/>
        <v>0</v>
      </c>
      <c r="J11" s="10">
        <f t="shared" si="5"/>
        <v>0</v>
      </c>
      <c r="K11" s="4"/>
      <c r="L11" s="5"/>
      <c r="M11" s="28" t="s">
        <v>22</v>
      </c>
      <c r="N11" s="28"/>
    </row>
    <row r="12" spans="3:14" ht="18.75" x14ac:dyDescent="0.2">
      <c r="C12" s="11">
        <f t="shared" ref="C12" si="6">IF(D12&lt;&gt;0,F12/D12,1)</f>
        <v>1</v>
      </c>
      <c r="D12" s="12">
        <f t="shared" si="0"/>
        <v>0</v>
      </c>
      <c r="E12" s="12">
        <f t="shared" si="1"/>
        <v>0</v>
      </c>
      <c r="F12" s="12">
        <f t="shared" si="2"/>
        <v>0</v>
      </c>
      <c r="G12" s="13" t="e">
        <f t="shared" si="3"/>
        <v>#DIV/0!</v>
      </c>
      <c r="H12" s="2">
        <v>0</v>
      </c>
      <c r="I12" s="9">
        <f t="shared" si="4"/>
        <v>0</v>
      </c>
      <c r="J12" s="10">
        <f t="shared" si="5"/>
        <v>0</v>
      </c>
      <c r="K12" s="4">
        <v>0</v>
      </c>
      <c r="L12" s="5">
        <v>0</v>
      </c>
      <c r="M12" s="33" t="s">
        <v>23</v>
      </c>
      <c r="N12" s="33"/>
    </row>
    <row r="32" spans="3:15" ht="21.75" customHeight="1" x14ac:dyDescent="0.2">
      <c r="C32" s="25" t="s">
        <v>7</v>
      </c>
      <c r="D32" s="25"/>
      <c r="E32" s="25"/>
      <c r="F32" s="25" t="s">
        <v>25</v>
      </c>
      <c r="G32" s="25"/>
      <c r="H32" s="25"/>
      <c r="I32" s="25"/>
      <c r="J32" s="6"/>
      <c r="K32" s="25" t="s">
        <v>26</v>
      </c>
      <c r="L32" s="25"/>
      <c r="M32" s="25"/>
      <c r="N32" s="6"/>
      <c r="O32" s="6"/>
    </row>
  </sheetData>
  <mergeCells count="33">
    <mergeCell ref="M8:N8"/>
    <mergeCell ref="M9:N9"/>
    <mergeCell ref="M10:N10"/>
    <mergeCell ref="M11:N11"/>
    <mergeCell ref="M12:N12"/>
    <mergeCell ref="C32:E32"/>
    <mergeCell ref="F32:I32"/>
    <mergeCell ref="K32:M32"/>
    <mergeCell ref="I6:I7"/>
    <mergeCell ref="J6:J7"/>
    <mergeCell ref="K6:K7"/>
    <mergeCell ref="L6:L7"/>
    <mergeCell ref="M6:N6"/>
    <mergeCell ref="M7:N7"/>
    <mergeCell ref="C6:C7"/>
    <mergeCell ref="D6:D7"/>
    <mergeCell ref="E6:E7"/>
    <mergeCell ref="F6:F7"/>
    <mergeCell ref="G6:G7"/>
    <mergeCell ref="H6:H7"/>
    <mergeCell ref="C4:E4"/>
    <mergeCell ref="F4:H4"/>
    <mergeCell ref="J4:N4"/>
    <mergeCell ref="C5:E5"/>
    <mergeCell ref="F5:I5"/>
    <mergeCell ref="J5:N5"/>
    <mergeCell ref="C1:I1"/>
    <mergeCell ref="C2:E2"/>
    <mergeCell ref="H2:I2"/>
    <mergeCell ref="J2:N2"/>
    <mergeCell ref="C3:E3"/>
    <mergeCell ref="H3:I3"/>
    <mergeCell ref="J3:N3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rightToLeft="1" topLeftCell="B1" zoomScale="115" zoomScaleNormal="115" workbookViewId="0">
      <selection activeCell="K6" sqref="K6:K7"/>
    </sheetView>
  </sheetViews>
  <sheetFormatPr defaultRowHeight="14.25" x14ac:dyDescent="0.2"/>
  <cols>
    <col min="1" max="1" width="2.375" hidden="1" customWidth="1"/>
    <col min="2" max="2" width="2" customWidth="1"/>
    <col min="3" max="3" width="8.375" bestFit="1" customWidth="1"/>
    <col min="4" max="4" width="7.875" customWidth="1"/>
    <col min="5" max="5" width="9.5" customWidth="1"/>
    <col min="6" max="6" width="7.625" customWidth="1"/>
    <col min="7" max="7" width="7.5" bestFit="1" customWidth="1"/>
    <col min="8" max="8" width="5" bestFit="1" customWidth="1"/>
    <col min="9" max="9" width="11.375" customWidth="1"/>
    <col min="10" max="10" width="10.25" bestFit="1" customWidth="1"/>
    <col min="12" max="12" width="6.875" bestFit="1" customWidth="1"/>
    <col min="14" max="14" width="4.5" customWidth="1"/>
  </cols>
  <sheetData>
    <row r="1" spans="3:14" x14ac:dyDescent="0.2">
      <c r="C1" s="24" t="s">
        <v>150</v>
      </c>
      <c r="D1" s="24"/>
      <c r="E1" s="24"/>
      <c r="F1" s="24"/>
      <c r="G1" s="24"/>
      <c r="H1" s="24"/>
      <c r="I1" s="24"/>
    </row>
    <row r="2" spans="3:14" ht="21" customHeight="1" x14ac:dyDescent="0.45">
      <c r="C2" s="25" t="s">
        <v>149</v>
      </c>
      <c r="D2" s="25"/>
      <c r="E2" s="25"/>
      <c r="F2" s="1" t="s">
        <v>27</v>
      </c>
      <c r="G2" s="1"/>
      <c r="H2" s="26">
        <v>39.5212</v>
      </c>
      <c r="I2" s="26"/>
      <c r="J2" s="25" t="s">
        <v>59</v>
      </c>
      <c r="K2" s="25"/>
      <c r="L2" s="25"/>
      <c r="M2" s="25"/>
      <c r="N2" s="25"/>
    </row>
    <row r="3" spans="3:14" ht="21" customHeight="1" x14ac:dyDescent="0.45">
      <c r="C3" s="25" t="s">
        <v>157</v>
      </c>
      <c r="D3" s="25"/>
      <c r="E3" s="25"/>
      <c r="F3" s="1" t="s">
        <v>28</v>
      </c>
      <c r="G3" s="1"/>
      <c r="H3" s="26">
        <v>27.331700000000001</v>
      </c>
      <c r="I3" s="26"/>
      <c r="J3" s="25" t="s">
        <v>158</v>
      </c>
      <c r="K3" s="25"/>
      <c r="L3" s="25"/>
      <c r="M3" s="25"/>
      <c r="N3" s="25"/>
    </row>
    <row r="4" spans="3:14" ht="21" customHeight="1" x14ac:dyDescent="0.2">
      <c r="C4" s="25" t="s">
        <v>155</v>
      </c>
      <c r="D4" s="25"/>
      <c r="E4" s="25"/>
      <c r="F4" s="25" t="s">
        <v>65</v>
      </c>
      <c r="G4" s="25"/>
      <c r="H4" s="25"/>
      <c r="I4" s="1"/>
      <c r="J4" s="25" t="s">
        <v>156</v>
      </c>
      <c r="K4" s="25"/>
      <c r="L4" s="25"/>
      <c r="M4" s="25"/>
      <c r="N4" s="25"/>
    </row>
    <row r="5" spans="3:14" ht="21" customHeight="1" x14ac:dyDescent="0.2">
      <c r="C5" s="25" t="s">
        <v>153</v>
      </c>
      <c r="D5" s="25"/>
      <c r="E5" s="25"/>
      <c r="F5" s="25" t="s">
        <v>154</v>
      </c>
      <c r="G5" s="25"/>
      <c r="H5" s="25"/>
      <c r="I5" s="25"/>
      <c r="J5" s="25" t="s">
        <v>152</v>
      </c>
      <c r="K5" s="25"/>
      <c r="L5" s="25"/>
      <c r="M5" s="25"/>
      <c r="N5" s="25"/>
    </row>
    <row r="6" spans="3:14" ht="15.75" x14ac:dyDescent="0.2">
      <c r="C6" s="29" t="s">
        <v>8</v>
      </c>
      <c r="D6" s="29" t="s">
        <v>9</v>
      </c>
      <c r="E6" s="29" t="s">
        <v>10</v>
      </c>
      <c r="F6" s="29" t="s">
        <v>11</v>
      </c>
      <c r="G6" s="29" t="s">
        <v>12</v>
      </c>
      <c r="H6" s="27" t="s">
        <v>13</v>
      </c>
      <c r="I6" s="30" t="s">
        <v>14</v>
      </c>
      <c r="J6" s="29" t="s">
        <v>15</v>
      </c>
      <c r="K6" s="27" t="s">
        <v>16</v>
      </c>
      <c r="L6" s="27" t="s">
        <v>17</v>
      </c>
      <c r="M6" s="31" t="s">
        <v>18</v>
      </c>
      <c r="N6" s="31"/>
    </row>
    <row r="7" spans="3:14" ht="18.75" x14ac:dyDescent="0.2">
      <c r="C7" s="29"/>
      <c r="D7" s="29"/>
      <c r="E7" s="29"/>
      <c r="F7" s="29"/>
      <c r="G7" s="29"/>
      <c r="H7" s="27"/>
      <c r="I7" s="30"/>
      <c r="J7" s="29"/>
      <c r="K7" s="27"/>
      <c r="L7" s="27"/>
      <c r="M7" s="32">
        <v>140</v>
      </c>
      <c r="N7" s="32"/>
    </row>
    <row r="8" spans="3:14" ht="18.75" x14ac:dyDescent="0.2">
      <c r="C8" s="11">
        <f>IF(D8&lt;&gt;0,F8/D8,1)</f>
        <v>0.69744968237774463</v>
      </c>
      <c r="D8" s="12">
        <f>E8+F8</f>
        <v>11.756418</v>
      </c>
      <c r="E8" s="12">
        <f>$H$2*I8*I8</f>
        <v>3.556908</v>
      </c>
      <c r="F8" s="12">
        <f>$H$3*I8</f>
        <v>8.1995100000000001</v>
      </c>
      <c r="G8" s="13">
        <f>H8/(K8-$M$7)</f>
        <v>0.23809523809523808</v>
      </c>
      <c r="H8" s="8">
        <v>5</v>
      </c>
      <c r="I8" s="9">
        <f>H8*60/1000</f>
        <v>0.3</v>
      </c>
      <c r="J8" s="10">
        <f>IF(K8-$M$7&lt;0,0,K8-$M$7)</f>
        <v>21</v>
      </c>
      <c r="K8" s="3">
        <v>161</v>
      </c>
      <c r="L8" s="7">
        <v>1150</v>
      </c>
      <c r="M8" s="28" t="s">
        <v>19</v>
      </c>
      <c r="N8" s="28"/>
    </row>
    <row r="9" spans="3:14" ht="18.75" x14ac:dyDescent="0.2">
      <c r="C9" s="11">
        <f>IF(D9&lt;&gt;0,F9/D9,1)</f>
        <v>0.45154340259960479</v>
      </c>
      <c r="D9" s="12">
        <f t="shared" ref="D9:D12" si="0">E9+F9</f>
        <v>50.844786720000002</v>
      </c>
      <c r="E9" s="12">
        <f t="shared" ref="E9:E12" si="1">$H$2*I9*I9</f>
        <v>27.886158720000001</v>
      </c>
      <c r="F9" s="12">
        <f t="shared" ref="F9:F12" si="2">$H$3*I9</f>
        <v>22.958628000000001</v>
      </c>
      <c r="G9" s="13">
        <f t="shared" ref="G9:G12" si="3">H9/(K9-$M$7)</f>
        <v>0.2857142857142857</v>
      </c>
      <c r="H9" s="8">
        <v>14</v>
      </c>
      <c r="I9" s="9">
        <f t="shared" ref="I9:I12" si="4">H9*60/1000</f>
        <v>0.84</v>
      </c>
      <c r="J9" s="10">
        <f t="shared" ref="J9:J12" si="5">IF(K9-$M$7&lt;0,0,K9-$M$7)</f>
        <v>49</v>
      </c>
      <c r="K9" s="3">
        <v>189</v>
      </c>
      <c r="L9" s="5">
        <v>1250</v>
      </c>
      <c r="M9" s="28" t="s">
        <v>20</v>
      </c>
      <c r="N9" s="28"/>
    </row>
    <row r="10" spans="3:14" ht="18.75" x14ac:dyDescent="0.2">
      <c r="C10" s="11">
        <f>IF(D10&lt;&gt;0,F10/D10,1)</f>
        <v>0.32627863401007473</v>
      </c>
      <c r="D10" s="12">
        <f t="shared" si="0"/>
        <v>119.6206663008</v>
      </c>
      <c r="E10" s="12">
        <f t="shared" si="1"/>
        <v>80.5909987008</v>
      </c>
      <c r="F10" s="12">
        <f t="shared" si="2"/>
        <v>39.029667600000003</v>
      </c>
      <c r="G10" s="13">
        <f t="shared" si="3"/>
        <v>0.33055555555555555</v>
      </c>
      <c r="H10" s="8">
        <v>23.8</v>
      </c>
      <c r="I10" s="9">
        <f t="shared" si="4"/>
        <v>1.4279999999999999</v>
      </c>
      <c r="J10" s="10">
        <f t="shared" si="5"/>
        <v>72</v>
      </c>
      <c r="K10" s="3">
        <v>212</v>
      </c>
      <c r="L10" s="7">
        <v>1350</v>
      </c>
      <c r="M10" s="28" t="s">
        <v>21</v>
      </c>
      <c r="N10" s="28"/>
    </row>
    <row r="11" spans="3:14" ht="18.75" x14ac:dyDescent="0.2">
      <c r="C11" s="11">
        <f>IF(D11&lt;&gt;0,F11/D11,1)</f>
        <v>1</v>
      </c>
      <c r="D11" s="12">
        <f>E11+F11</f>
        <v>0</v>
      </c>
      <c r="E11" s="12">
        <f t="shared" si="1"/>
        <v>0</v>
      </c>
      <c r="F11" s="12">
        <f>$H$3*I11</f>
        <v>0</v>
      </c>
      <c r="G11" s="13">
        <f t="shared" si="3"/>
        <v>0</v>
      </c>
      <c r="H11" s="2">
        <v>0</v>
      </c>
      <c r="I11" s="9">
        <f t="shared" si="4"/>
        <v>0</v>
      </c>
      <c r="J11" s="10">
        <f t="shared" si="5"/>
        <v>0</v>
      </c>
      <c r="K11" s="4"/>
      <c r="L11" s="5"/>
      <c r="M11" s="28" t="s">
        <v>22</v>
      </c>
      <c r="N11" s="28"/>
    </row>
    <row r="12" spans="3:14" ht="18.75" x14ac:dyDescent="0.2">
      <c r="C12" s="11">
        <f t="shared" ref="C12" si="6">IF(D12&lt;&gt;0,F12/D12,1)</f>
        <v>1</v>
      </c>
      <c r="D12" s="12">
        <f t="shared" si="0"/>
        <v>0</v>
      </c>
      <c r="E12" s="12">
        <f t="shared" si="1"/>
        <v>0</v>
      </c>
      <c r="F12" s="12">
        <f t="shared" si="2"/>
        <v>0</v>
      </c>
      <c r="G12" s="13">
        <f t="shared" si="3"/>
        <v>0</v>
      </c>
      <c r="H12" s="2">
        <v>0</v>
      </c>
      <c r="I12" s="9">
        <f t="shared" si="4"/>
        <v>0</v>
      </c>
      <c r="J12" s="10">
        <f t="shared" si="5"/>
        <v>0</v>
      </c>
      <c r="K12" s="4">
        <v>0</v>
      </c>
      <c r="L12" s="5">
        <v>0</v>
      </c>
      <c r="M12" s="33" t="s">
        <v>23</v>
      </c>
      <c r="N12" s="33"/>
    </row>
    <row r="32" spans="3:15" ht="21.75" customHeight="1" x14ac:dyDescent="0.2">
      <c r="C32" s="25" t="s">
        <v>7</v>
      </c>
      <c r="D32" s="25"/>
      <c r="E32" s="25"/>
      <c r="F32" s="25" t="s">
        <v>25</v>
      </c>
      <c r="G32" s="25"/>
      <c r="H32" s="25"/>
      <c r="I32" s="25"/>
      <c r="J32" s="6"/>
      <c r="K32" s="25" t="s">
        <v>26</v>
      </c>
      <c r="L32" s="25"/>
      <c r="M32" s="25"/>
      <c r="N32" s="6"/>
      <c r="O32" s="6"/>
    </row>
  </sheetData>
  <mergeCells count="33">
    <mergeCell ref="M8:N8"/>
    <mergeCell ref="M9:N9"/>
    <mergeCell ref="M10:N10"/>
    <mergeCell ref="M11:N11"/>
    <mergeCell ref="M12:N12"/>
    <mergeCell ref="C32:E32"/>
    <mergeCell ref="F32:I32"/>
    <mergeCell ref="K32:M32"/>
    <mergeCell ref="I6:I7"/>
    <mergeCell ref="J6:J7"/>
    <mergeCell ref="K6:K7"/>
    <mergeCell ref="L6:L7"/>
    <mergeCell ref="M6:N6"/>
    <mergeCell ref="M7:N7"/>
    <mergeCell ref="C6:C7"/>
    <mergeCell ref="D6:D7"/>
    <mergeCell ref="E6:E7"/>
    <mergeCell ref="F6:F7"/>
    <mergeCell ref="G6:G7"/>
    <mergeCell ref="H6:H7"/>
    <mergeCell ref="C4:E4"/>
    <mergeCell ref="F4:H4"/>
    <mergeCell ref="J4:N4"/>
    <mergeCell ref="C5:E5"/>
    <mergeCell ref="F5:I5"/>
    <mergeCell ref="J5:N5"/>
    <mergeCell ref="C1:I1"/>
    <mergeCell ref="C2:E2"/>
    <mergeCell ref="H2:I2"/>
    <mergeCell ref="J2:N2"/>
    <mergeCell ref="C3:E3"/>
    <mergeCell ref="H3:I3"/>
    <mergeCell ref="J3:N3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rightToLeft="1" topLeftCell="B1" zoomScale="115" zoomScaleNormal="115" workbookViewId="0">
      <selection activeCell="I9" sqref="I9"/>
    </sheetView>
  </sheetViews>
  <sheetFormatPr defaultRowHeight="14.25" x14ac:dyDescent="0.2"/>
  <cols>
    <col min="1" max="1" width="2.375" hidden="1" customWidth="1"/>
    <col min="2" max="2" width="2" customWidth="1"/>
    <col min="3" max="3" width="8.375" bestFit="1" customWidth="1"/>
    <col min="4" max="4" width="7.875" customWidth="1"/>
    <col min="5" max="5" width="12.5" customWidth="1"/>
    <col min="6" max="6" width="7.625" customWidth="1"/>
    <col min="7" max="7" width="7.5" bestFit="1" customWidth="1"/>
    <col min="8" max="8" width="5" bestFit="1" customWidth="1"/>
    <col min="9" max="9" width="11.375" customWidth="1"/>
    <col min="10" max="10" width="10.25" bestFit="1" customWidth="1"/>
    <col min="12" max="12" width="6.875" bestFit="1" customWidth="1"/>
    <col min="14" max="14" width="4.5" customWidth="1"/>
  </cols>
  <sheetData>
    <row r="1" spans="3:14" x14ac:dyDescent="0.2">
      <c r="C1" s="24" t="s">
        <v>148</v>
      </c>
      <c r="D1" s="24"/>
      <c r="E1" s="24"/>
      <c r="F1" s="24"/>
      <c r="G1" s="24"/>
      <c r="H1" s="24"/>
      <c r="I1" s="24"/>
    </row>
    <row r="2" spans="3:14" ht="21" customHeight="1" x14ac:dyDescent="0.45">
      <c r="C2" s="25" t="s">
        <v>149</v>
      </c>
      <c r="D2" s="25"/>
      <c r="E2" s="25"/>
      <c r="F2" s="1" t="s">
        <v>27</v>
      </c>
      <c r="G2" s="1"/>
      <c r="H2" s="26">
        <v>39.5212</v>
      </c>
      <c r="I2" s="26"/>
      <c r="J2" s="25" t="s">
        <v>59</v>
      </c>
      <c r="K2" s="25"/>
      <c r="L2" s="25"/>
      <c r="M2" s="25"/>
      <c r="N2" s="25"/>
    </row>
    <row r="3" spans="3:14" ht="21" customHeight="1" x14ac:dyDescent="0.45">
      <c r="C3" s="25" t="s">
        <v>157</v>
      </c>
      <c r="D3" s="25"/>
      <c r="E3" s="25"/>
      <c r="F3" s="1" t="s">
        <v>28</v>
      </c>
      <c r="G3" s="1"/>
      <c r="H3" s="26">
        <v>27.331700000000001</v>
      </c>
      <c r="I3" s="26"/>
      <c r="J3" s="25" t="s">
        <v>158</v>
      </c>
      <c r="K3" s="25"/>
      <c r="L3" s="25"/>
      <c r="M3" s="25"/>
      <c r="N3" s="25"/>
    </row>
    <row r="4" spans="3:14" ht="21" customHeight="1" x14ac:dyDescent="0.2">
      <c r="C4" s="25" t="s">
        <v>155</v>
      </c>
      <c r="D4" s="25"/>
      <c r="E4" s="25"/>
      <c r="F4" s="25" t="s">
        <v>65</v>
      </c>
      <c r="G4" s="25"/>
      <c r="H4" s="25"/>
      <c r="I4" s="1"/>
      <c r="J4" s="25" t="s">
        <v>156</v>
      </c>
      <c r="K4" s="25"/>
      <c r="L4" s="25"/>
      <c r="M4" s="25"/>
      <c r="N4" s="25"/>
    </row>
    <row r="5" spans="3:14" ht="21" customHeight="1" x14ac:dyDescent="0.2">
      <c r="C5" s="25" t="s">
        <v>167</v>
      </c>
      <c r="D5" s="25"/>
      <c r="E5" s="25"/>
      <c r="F5" s="25" t="s">
        <v>168</v>
      </c>
      <c r="G5" s="25"/>
      <c r="H5" s="25"/>
      <c r="I5" s="25"/>
      <c r="J5" s="25" t="s">
        <v>151</v>
      </c>
      <c r="K5" s="25"/>
      <c r="L5" s="25"/>
      <c r="M5" s="25"/>
      <c r="N5" s="25"/>
    </row>
    <row r="6" spans="3:14" ht="15.75" x14ac:dyDescent="0.2">
      <c r="C6" s="29" t="s">
        <v>8</v>
      </c>
      <c r="D6" s="29" t="s">
        <v>9</v>
      </c>
      <c r="E6" s="29" t="s">
        <v>10</v>
      </c>
      <c r="F6" s="29" t="s">
        <v>11</v>
      </c>
      <c r="G6" s="29" t="s">
        <v>12</v>
      </c>
      <c r="H6" s="27" t="s">
        <v>13</v>
      </c>
      <c r="I6" s="30" t="s">
        <v>14</v>
      </c>
      <c r="J6" s="29" t="s">
        <v>15</v>
      </c>
      <c r="K6" s="27" t="s">
        <v>16</v>
      </c>
      <c r="L6" s="27" t="s">
        <v>17</v>
      </c>
      <c r="M6" s="31" t="s">
        <v>18</v>
      </c>
      <c r="N6" s="31"/>
    </row>
    <row r="7" spans="3:14" ht="18.75" x14ac:dyDescent="0.2">
      <c r="C7" s="29"/>
      <c r="D7" s="29"/>
      <c r="E7" s="29"/>
      <c r="F7" s="29"/>
      <c r="G7" s="29"/>
      <c r="H7" s="27"/>
      <c r="I7" s="30"/>
      <c r="J7" s="29"/>
      <c r="K7" s="27"/>
      <c r="L7" s="27"/>
      <c r="M7" s="32"/>
      <c r="N7" s="32"/>
    </row>
    <row r="8" spans="3:14" ht="18.75" x14ac:dyDescent="0.2">
      <c r="C8" s="11">
        <f>IF(D8&lt;&gt;0,F8/D8,1)</f>
        <v>0.69744968237774463</v>
      </c>
      <c r="D8" s="12">
        <f>E8+F8</f>
        <v>11.756418</v>
      </c>
      <c r="E8" s="12">
        <f>$H$2*I8*I8</f>
        <v>3.556908</v>
      </c>
      <c r="F8" s="12">
        <f>$H$3*I8</f>
        <v>8.1995100000000001</v>
      </c>
      <c r="G8" s="13">
        <f>H8/(K8-$M$7)</f>
        <v>3.1055900621118012E-2</v>
      </c>
      <c r="H8" s="8">
        <v>5</v>
      </c>
      <c r="I8" s="9">
        <f>H8*60/1000</f>
        <v>0.3</v>
      </c>
      <c r="J8" s="10">
        <f>IF(K8-$M$7&lt;0,0,K8-$M$7)</f>
        <v>161</v>
      </c>
      <c r="K8" s="3">
        <v>161</v>
      </c>
      <c r="L8" s="7">
        <v>1150</v>
      </c>
      <c r="M8" s="28" t="s">
        <v>19</v>
      </c>
      <c r="N8" s="28"/>
    </row>
    <row r="9" spans="3:14" ht="18.75" x14ac:dyDescent="0.2">
      <c r="C9" s="11">
        <f>IF(D9&lt;&gt;0,F9/D9,1)</f>
        <v>0.45154340259960479</v>
      </c>
      <c r="D9" s="12">
        <f t="shared" ref="D9:D12" si="0">E9+F9</f>
        <v>50.844786720000002</v>
      </c>
      <c r="E9" s="12">
        <f t="shared" ref="E9:E12" si="1">$H$2*I9*I9</f>
        <v>27.886158720000001</v>
      </c>
      <c r="F9" s="12">
        <f t="shared" ref="F9:F12" si="2">$H$3*I9</f>
        <v>22.958628000000001</v>
      </c>
      <c r="G9" s="13">
        <f t="shared" ref="G9:G12" si="3">H9/(K9-$M$7)</f>
        <v>7.407407407407407E-2</v>
      </c>
      <c r="H9" s="8">
        <v>14</v>
      </c>
      <c r="I9" s="9">
        <f t="shared" ref="I9:I12" si="4">H9*60/1000</f>
        <v>0.84</v>
      </c>
      <c r="J9" s="10">
        <f t="shared" ref="J9:J12" si="5">IF(K9-$M$7&lt;0,0,K9-$M$7)</f>
        <v>189</v>
      </c>
      <c r="K9" s="3">
        <v>189</v>
      </c>
      <c r="L9" s="5">
        <v>1250</v>
      </c>
      <c r="M9" s="28" t="s">
        <v>20</v>
      </c>
      <c r="N9" s="28"/>
    </row>
    <row r="10" spans="3:14" ht="18.75" x14ac:dyDescent="0.2">
      <c r="C10" s="11">
        <f>IF(D10&lt;&gt;0,F10/D10,1)</f>
        <v>0.32627863401007473</v>
      </c>
      <c r="D10" s="12">
        <f t="shared" si="0"/>
        <v>119.6206663008</v>
      </c>
      <c r="E10" s="12">
        <f t="shared" si="1"/>
        <v>80.5909987008</v>
      </c>
      <c r="F10" s="12">
        <f t="shared" si="2"/>
        <v>39.029667600000003</v>
      </c>
      <c r="G10" s="13">
        <f t="shared" si="3"/>
        <v>0.11226415094339623</v>
      </c>
      <c r="H10" s="8">
        <v>23.8</v>
      </c>
      <c r="I10" s="9">
        <f t="shared" si="4"/>
        <v>1.4279999999999999</v>
      </c>
      <c r="J10" s="10">
        <f t="shared" si="5"/>
        <v>212</v>
      </c>
      <c r="K10" s="3">
        <v>212</v>
      </c>
      <c r="L10" s="7">
        <v>1350</v>
      </c>
      <c r="M10" s="28" t="s">
        <v>21</v>
      </c>
      <c r="N10" s="28"/>
    </row>
    <row r="11" spans="3:14" ht="18.75" x14ac:dyDescent="0.2">
      <c r="C11" s="11">
        <f>IF(D11&lt;&gt;0,F11/D11,1)</f>
        <v>1</v>
      </c>
      <c r="D11" s="12">
        <f>E11+F11</f>
        <v>0</v>
      </c>
      <c r="E11" s="12">
        <f t="shared" si="1"/>
        <v>0</v>
      </c>
      <c r="F11" s="12">
        <f>$H$3*I11</f>
        <v>0</v>
      </c>
      <c r="G11" s="13" t="e">
        <f t="shared" si="3"/>
        <v>#DIV/0!</v>
      </c>
      <c r="H11" s="2">
        <v>0</v>
      </c>
      <c r="I11" s="9">
        <f t="shared" si="4"/>
        <v>0</v>
      </c>
      <c r="J11" s="10">
        <f t="shared" si="5"/>
        <v>0</v>
      </c>
      <c r="K11" s="4"/>
      <c r="L11" s="5"/>
      <c r="M11" s="28" t="s">
        <v>22</v>
      </c>
      <c r="N11" s="28"/>
    </row>
    <row r="12" spans="3:14" ht="18.75" x14ac:dyDescent="0.2">
      <c r="C12" s="11">
        <f t="shared" ref="C12" si="6">IF(D12&lt;&gt;0,F12/D12,1)</f>
        <v>1</v>
      </c>
      <c r="D12" s="12">
        <f t="shared" si="0"/>
        <v>0</v>
      </c>
      <c r="E12" s="12">
        <f t="shared" si="1"/>
        <v>0</v>
      </c>
      <c r="F12" s="12">
        <f t="shared" si="2"/>
        <v>0</v>
      </c>
      <c r="G12" s="13" t="e">
        <f t="shared" si="3"/>
        <v>#DIV/0!</v>
      </c>
      <c r="H12" s="2">
        <v>0</v>
      </c>
      <c r="I12" s="9">
        <f t="shared" si="4"/>
        <v>0</v>
      </c>
      <c r="J12" s="10">
        <f t="shared" si="5"/>
        <v>0</v>
      </c>
      <c r="K12" s="4">
        <v>0</v>
      </c>
      <c r="L12" s="5">
        <v>0</v>
      </c>
      <c r="M12" s="33" t="s">
        <v>23</v>
      </c>
      <c r="N12" s="33"/>
    </row>
    <row r="32" spans="3:15" ht="21.75" customHeight="1" x14ac:dyDescent="0.2">
      <c r="C32" s="25" t="s">
        <v>7</v>
      </c>
      <c r="D32" s="25"/>
      <c r="E32" s="25"/>
      <c r="F32" s="25" t="s">
        <v>25</v>
      </c>
      <c r="G32" s="25"/>
      <c r="H32" s="25"/>
      <c r="I32" s="25"/>
      <c r="J32" s="6"/>
      <c r="K32" s="25" t="s">
        <v>26</v>
      </c>
      <c r="L32" s="25"/>
      <c r="M32" s="25"/>
      <c r="N32" s="6"/>
      <c r="O32" s="6"/>
    </row>
  </sheetData>
  <mergeCells count="33">
    <mergeCell ref="M8:N8"/>
    <mergeCell ref="M9:N9"/>
    <mergeCell ref="M10:N10"/>
    <mergeCell ref="M11:N11"/>
    <mergeCell ref="M12:N12"/>
    <mergeCell ref="C32:E32"/>
    <mergeCell ref="F32:I32"/>
    <mergeCell ref="K32:M32"/>
    <mergeCell ref="I6:I7"/>
    <mergeCell ref="J6:J7"/>
    <mergeCell ref="K6:K7"/>
    <mergeCell ref="L6:L7"/>
    <mergeCell ref="M6:N6"/>
    <mergeCell ref="M7:N7"/>
    <mergeCell ref="C6:C7"/>
    <mergeCell ref="D6:D7"/>
    <mergeCell ref="E6:E7"/>
    <mergeCell ref="F6:F7"/>
    <mergeCell ref="G6:G7"/>
    <mergeCell ref="H6:H7"/>
    <mergeCell ref="C4:E4"/>
    <mergeCell ref="F4:H4"/>
    <mergeCell ref="J4:N4"/>
    <mergeCell ref="C5:E5"/>
    <mergeCell ref="F5:I5"/>
    <mergeCell ref="J5:N5"/>
    <mergeCell ref="C1:I1"/>
    <mergeCell ref="C2:E2"/>
    <mergeCell ref="H2:I2"/>
    <mergeCell ref="J2:N2"/>
    <mergeCell ref="C3:E3"/>
    <mergeCell ref="H3:I3"/>
    <mergeCell ref="J3:N3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rightToLeft="1" topLeftCell="B1" zoomScale="115" zoomScaleNormal="115" workbookViewId="0">
      <selection activeCell="H12" sqref="H12"/>
    </sheetView>
  </sheetViews>
  <sheetFormatPr defaultRowHeight="14.25" x14ac:dyDescent="0.2"/>
  <cols>
    <col min="1" max="1" width="2.375" hidden="1" customWidth="1"/>
    <col min="2" max="2" width="2" customWidth="1"/>
    <col min="3" max="3" width="8.375" bestFit="1" customWidth="1"/>
    <col min="4" max="4" width="7.875" customWidth="1"/>
    <col min="5" max="5" width="9.5" customWidth="1"/>
    <col min="6" max="6" width="7.625" customWidth="1"/>
    <col min="7" max="7" width="7.5" bestFit="1" customWidth="1"/>
    <col min="8" max="8" width="5" bestFit="1" customWidth="1"/>
    <col min="9" max="9" width="11.375" customWidth="1"/>
    <col min="10" max="10" width="10.25" bestFit="1" customWidth="1"/>
    <col min="12" max="12" width="6.875" bestFit="1" customWidth="1"/>
    <col min="14" max="14" width="4.5" customWidth="1"/>
  </cols>
  <sheetData>
    <row r="1" spans="3:14" x14ac:dyDescent="0.2">
      <c r="C1" s="24" t="s">
        <v>139</v>
      </c>
      <c r="D1" s="24"/>
      <c r="E1" s="24"/>
      <c r="F1" s="24"/>
      <c r="G1" s="24"/>
      <c r="H1" s="24"/>
      <c r="I1" s="24"/>
    </row>
    <row r="2" spans="3:14" ht="21" customHeight="1" x14ac:dyDescent="0.45">
      <c r="C2" s="25" t="s">
        <v>146</v>
      </c>
      <c r="D2" s="25"/>
      <c r="E2" s="25"/>
      <c r="F2" s="1" t="s">
        <v>27</v>
      </c>
      <c r="G2" s="1"/>
      <c r="H2" s="26">
        <v>39.5212</v>
      </c>
      <c r="I2" s="26"/>
      <c r="J2" s="25" t="s">
        <v>59</v>
      </c>
      <c r="K2" s="25"/>
      <c r="L2" s="25"/>
      <c r="M2" s="25"/>
      <c r="N2" s="25"/>
    </row>
    <row r="3" spans="3:14" ht="21" customHeight="1" x14ac:dyDescent="0.45">
      <c r="C3" s="25" t="s">
        <v>140</v>
      </c>
      <c r="D3" s="25"/>
      <c r="E3" s="25"/>
      <c r="F3" s="1" t="s">
        <v>28</v>
      </c>
      <c r="G3" s="1"/>
      <c r="H3" s="26">
        <v>27.331700000000001</v>
      </c>
      <c r="I3" s="26"/>
      <c r="J3" s="25" t="s">
        <v>141</v>
      </c>
      <c r="K3" s="25"/>
      <c r="L3" s="25"/>
      <c r="M3" s="25"/>
      <c r="N3" s="25"/>
    </row>
    <row r="4" spans="3:14" ht="21" customHeight="1" x14ac:dyDescent="0.2">
      <c r="C4" s="25" t="s">
        <v>31</v>
      </c>
      <c r="D4" s="25"/>
      <c r="E4" s="25"/>
      <c r="F4" s="25" t="s">
        <v>65</v>
      </c>
      <c r="G4" s="25"/>
      <c r="H4" s="25"/>
      <c r="I4" s="1"/>
      <c r="J4" s="25" t="s">
        <v>117</v>
      </c>
      <c r="K4" s="25"/>
      <c r="L4" s="25"/>
      <c r="M4" s="25"/>
      <c r="N4" s="25"/>
    </row>
    <row r="5" spans="3:14" ht="21" customHeight="1" x14ac:dyDescent="0.2">
      <c r="C5" s="25" t="s">
        <v>143</v>
      </c>
      <c r="D5" s="25"/>
      <c r="E5" s="25"/>
      <c r="F5" s="25" t="s">
        <v>142</v>
      </c>
      <c r="G5" s="25"/>
      <c r="H5" s="25"/>
      <c r="I5" s="25"/>
      <c r="J5" s="25" t="s">
        <v>83</v>
      </c>
      <c r="K5" s="25"/>
      <c r="L5" s="25"/>
      <c r="M5" s="25"/>
      <c r="N5" s="25"/>
    </row>
    <row r="6" spans="3:14" ht="15.75" x14ac:dyDescent="0.2">
      <c r="C6" s="29" t="s">
        <v>8</v>
      </c>
      <c r="D6" s="29" t="s">
        <v>9</v>
      </c>
      <c r="E6" s="29" t="s">
        <v>10</v>
      </c>
      <c r="F6" s="29" t="s">
        <v>11</v>
      </c>
      <c r="G6" s="29" t="s">
        <v>12</v>
      </c>
      <c r="H6" s="27" t="s">
        <v>13</v>
      </c>
      <c r="I6" s="30" t="s">
        <v>14</v>
      </c>
      <c r="J6" s="29" t="s">
        <v>15</v>
      </c>
      <c r="K6" s="27" t="s">
        <v>16</v>
      </c>
      <c r="L6" s="27" t="s">
        <v>17</v>
      </c>
      <c r="M6" s="31" t="s">
        <v>18</v>
      </c>
      <c r="N6" s="31"/>
    </row>
    <row r="7" spans="3:14" ht="18.75" x14ac:dyDescent="0.2">
      <c r="C7" s="29"/>
      <c r="D7" s="29"/>
      <c r="E7" s="29"/>
      <c r="F7" s="29"/>
      <c r="G7" s="29"/>
      <c r="H7" s="27"/>
      <c r="I7" s="30"/>
      <c r="J7" s="29"/>
      <c r="K7" s="27"/>
      <c r="L7" s="27"/>
      <c r="M7" s="32">
        <v>140</v>
      </c>
      <c r="N7" s="32"/>
    </row>
    <row r="8" spans="3:14" ht="18.75" x14ac:dyDescent="0.2">
      <c r="C8" s="11">
        <f>IF(D8&lt;&gt;0,F8/D8,1)</f>
        <v>0.69744968237774463</v>
      </c>
      <c r="D8" s="12">
        <f>E8+F8</f>
        <v>11.756418</v>
      </c>
      <c r="E8" s="12">
        <f>$H$2*I8*I8</f>
        <v>3.556908</v>
      </c>
      <c r="F8" s="12">
        <f>$H$3*I8</f>
        <v>8.1995100000000001</v>
      </c>
      <c r="G8" s="13">
        <f>H8/(K8-$M$7)</f>
        <v>0.23809523809523808</v>
      </c>
      <c r="H8" s="8">
        <v>5</v>
      </c>
      <c r="I8" s="9">
        <f>H8*60/1000</f>
        <v>0.3</v>
      </c>
      <c r="J8" s="10">
        <f>IF(K8-$M$7&lt;0,0,K8-$M$7)</f>
        <v>21</v>
      </c>
      <c r="K8" s="3">
        <v>161</v>
      </c>
      <c r="L8" s="7">
        <v>1150</v>
      </c>
      <c r="M8" s="28" t="s">
        <v>19</v>
      </c>
      <c r="N8" s="28"/>
    </row>
    <row r="9" spans="3:14" ht="18.75" x14ac:dyDescent="0.2">
      <c r="C9" s="11">
        <f>IF(D9&lt;&gt;0,F9/D9,1)</f>
        <v>0.45154340259960479</v>
      </c>
      <c r="D9" s="12">
        <f t="shared" ref="D9:D12" si="0">E9+F9</f>
        <v>50.844786720000002</v>
      </c>
      <c r="E9" s="12">
        <f t="shared" ref="E9:E12" si="1">$H$2*I9*I9</f>
        <v>27.886158720000001</v>
      </c>
      <c r="F9" s="12">
        <f t="shared" ref="F9:F12" si="2">$H$3*I9</f>
        <v>22.958628000000001</v>
      </c>
      <c r="G9" s="13">
        <f t="shared" ref="G9:G12" si="3">H9/(K9-$M$7)</f>
        <v>0.2857142857142857</v>
      </c>
      <c r="H9" s="8">
        <v>14</v>
      </c>
      <c r="I9" s="9">
        <f t="shared" ref="I9:I12" si="4">H9*60/1000</f>
        <v>0.84</v>
      </c>
      <c r="J9" s="10">
        <f t="shared" ref="J9:J12" si="5">IF(K9-$M$7&lt;0,0,K9-$M$7)</f>
        <v>49</v>
      </c>
      <c r="K9" s="3">
        <v>189</v>
      </c>
      <c r="L9" s="5">
        <v>1250</v>
      </c>
      <c r="M9" s="28" t="s">
        <v>20</v>
      </c>
      <c r="N9" s="28"/>
    </row>
    <row r="10" spans="3:14" ht="18.75" x14ac:dyDescent="0.2">
      <c r="C10" s="11">
        <f>IF(D10&lt;&gt;0,F10/D10,1)</f>
        <v>0.32627863401007473</v>
      </c>
      <c r="D10" s="12">
        <f t="shared" si="0"/>
        <v>119.6206663008</v>
      </c>
      <c r="E10" s="12">
        <f t="shared" si="1"/>
        <v>80.5909987008</v>
      </c>
      <c r="F10" s="12">
        <f t="shared" si="2"/>
        <v>39.029667600000003</v>
      </c>
      <c r="G10" s="13">
        <f t="shared" si="3"/>
        <v>0.33055555555555555</v>
      </c>
      <c r="H10" s="8">
        <v>23.8</v>
      </c>
      <c r="I10" s="9">
        <f t="shared" si="4"/>
        <v>1.4279999999999999</v>
      </c>
      <c r="J10" s="10">
        <f t="shared" si="5"/>
        <v>72</v>
      </c>
      <c r="K10" s="3">
        <v>212</v>
      </c>
      <c r="L10" s="7">
        <v>1350</v>
      </c>
      <c r="M10" s="28" t="s">
        <v>21</v>
      </c>
      <c r="N10" s="28"/>
    </row>
    <row r="11" spans="3:14" ht="18.75" x14ac:dyDescent="0.2">
      <c r="C11" s="11">
        <f>IF(D11&lt;&gt;0,F11/D11,1)</f>
        <v>1</v>
      </c>
      <c r="D11" s="12">
        <f>E11+F11</f>
        <v>0</v>
      </c>
      <c r="E11" s="12">
        <f t="shared" si="1"/>
        <v>0</v>
      </c>
      <c r="F11" s="12">
        <f>$H$3*I11</f>
        <v>0</v>
      </c>
      <c r="G11" s="13">
        <f t="shared" si="3"/>
        <v>0</v>
      </c>
      <c r="H11" s="2">
        <v>0</v>
      </c>
      <c r="I11" s="9">
        <f t="shared" si="4"/>
        <v>0</v>
      </c>
      <c r="J11" s="10">
        <f t="shared" si="5"/>
        <v>0</v>
      </c>
      <c r="K11" s="4"/>
      <c r="L11" s="5"/>
      <c r="M11" s="28" t="s">
        <v>22</v>
      </c>
      <c r="N11" s="28"/>
    </row>
    <row r="12" spans="3:14" ht="18.75" x14ac:dyDescent="0.2">
      <c r="C12" s="11">
        <f t="shared" ref="C12" si="6">IF(D12&lt;&gt;0,F12/D12,1)</f>
        <v>1</v>
      </c>
      <c r="D12" s="12">
        <f t="shared" si="0"/>
        <v>0</v>
      </c>
      <c r="E12" s="12">
        <f t="shared" si="1"/>
        <v>0</v>
      </c>
      <c r="F12" s="12">
        <f t="shared" si="2"/>
        <v>0</v>
      </c>
      <c r="G12" s="13">
        <f t="shared" si="3"/>
        <v>0</v>
      </c>
      <c r="H12" s="2">
        <v>0</v>
      </c>
      <c r="I12" s="9">
        <f t="shared" si="4"/>
        <v>0</v>
      </c>
      <c r="J12" s="10">
        <f t="shared" si="5"/>
        <v>0</v>
      </c>
      <c r="K12" s="4">
        <v>0</v>
      </c>
      <c r="L12" s="5">
        <v>0</v>
      </c>
      <c r="M12" s="33" t="s">
        <v>23</v>
      </c>
      <c r="N12" s="33"/>
    </row>
    <row r="32" spans="3:15" ht="21.75" customHeight="1" x14ac:dyDescent="0.2">
      <c r="C32" s="25" t="s">
        <v>7</v>
      </c>
      <c r="D32" s="25"/>
      <c r="E32" s="25"/>
      <c r="F32" s="25" t="s">
        <v>25</v>
      </c>
      <c r="G32" s="25"/>
      <c r="H32" s="25"/>
      <c r="I32" s="25"/>
      <c r="J32" s="6"/>
      <c r="K32" s="25" t="s">
        <v>26</v>
      </c>
      <c r="L32" s="25"/>
      <c r="M32" s="25"/>
      <c r="N32" s="6"/>
      <c r="O32" s="6"/>
    </row>
  </sheetData>
  <mergeCells count="33">
    <mergeCell ref="M8:N8"/>
    <mergeCell ref="M9:N9"/>
    <mergeCell ref="M10:N10"/>
    <mergeCell ref="M11:N11"/>
    <mergeCell ref="M12:N12"/>
    <mergeCell ref="C32:E32"/>
    <mergeCell ref="F32:I32"/>
    <mergeCell ref="K32:M32"/>
    <mergeCell ref="I6:I7"/>
    <mergeCell ref="J6:J7"/>
    <mergeCell ref="K6:K7"/>
    <mergeCell ref="L6:L7"/>
    <mergeCell ref="M6:N6"/>
    <mergeCell ref="M7:N7"/>
    <mergeCell ref="C6:C7"/>
    <mergeCell ref="D6:D7"/>
    <mergeCell ref="E6:E7"/>
    <mergeCell ref="F6:F7"/>
    <mergeCell ref="G6:G7"/>
    <mergeCell ref="H6:H7"/>
    <mergeCell ref="C4:E4"/>
    <mergeCell ref="F4:H4"/>
    <mergeCell ref="J4:N4"/>
    <mergeCell ref="C5:E5"/>
    <mergeCell ref="F5:I5"/>
    <mergeCell ref="J5:N5"/>
    <mergeCell ref="C1:I1"/>
    <mergeCell ref="C2:E2"/>
    <mergeCell ref="H2:I2"/>
    <mergeCell ref="J2:N2"/>
    <mergeCell ref="C3:E3"/>
    <mergeCell ref="H3:I3"/>
    <mergeCell ref="J3:N3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rightToLeft="1" topLeftCell="B1" zoomScale="115" zoomScaleNormal="115" workbookViewId="0">
      <selection activeCell="V18" sqref="V18"/>
    </sheetView>
  </sheetViews>
  <sheetFormatPr defaultRowHeight="14.25" x14ac:dyDescent="0.2"/>
  <cols>
    <col min="1" max="1" width="2.375" hidden="1" customWidth="1"/>
    <col min="2" max="2" width="2" customWidth="1"/>
    <col min="3" max="3" width="8.375" bestFit="1" customWidth="1"/>
    <col min="4" max="4" width="7.875" customWidth="1"/>
    <col min="5" max="5" width="9.5" customWidth="1"/>
    <col min="6" max="6" width="7.625" customWidth="1"/>
    <col min="7" max="7" width="7.5" bestFit="1" customWidth="1"/>
    <col min="8" max="8" width="5" bestFit="1" customWidth="1"/>
    <col min="9" max="9" width="11.375" customWidth="1"/>
    <col min="10" max="10" width="10.25" bestFit="1" customWidth="1"/>
    <col min="12" max="12" width="6.875" bestFit="1" customWidth="1"/>
    <col min="14" max="14" width="4.5" customWidth="1"/>
  </cols>
  <sheetData>
    <row r="1" spans="3:14" x14ac:dyDescent="0.2">
      <c r="C1" s="24" t="s">
        <v>134</v>
      </c>
      <c r="D1" s="24"/>
      <c r="E1" s="24"/>
      <c r="F1" s="24"/>
      <c r="G1" s="24"/>
      <c r="H1" s="24"/>
      <c r="I1" s="24"/>
    </row>
    <row r="2" spans="3:14" ht="21" customHeight="1" x14ac:dyDescent="0.45">
      <c r="C2" s="25" t="s">
        <v>146</v>
      </c>
      <c r="D2" s="25"/>
      <c r="E2" s="25"/>
      <c r="F2" s="1" t="s">
        <v>27</v>
      </c>
      <c r="G2" s="1"/>
      <c r="H2" s="26">
        <v>55.864600000000003</v>
      </c>
      <c r="I2" s="26"/>
      <c r="J2" s="25" t="s">
        <v>59</v>
      </c>
      <c r="K2" s="25"/>
      <c r="L2" s="25"/>
      <c r="M2" s="25"/>
      <c r="N2" s="25"/>
    </row>
    <row r="3" spans="3:14" ht="21" customHeight="1" x14ac:dyDescent="0.45">
      <c r="C3" s="25" t="s">
        <v>135</v>
      </c>
      <c r="D3" s="25"/>
      <c r="E3" s="25"/>
      <c r="F3" s="1" t="s">
        <v>28</v>
      </c>
      <c r="G3" s="1"/>
      <c r="H3" s="26">
        <v>10.7682</v>
      </c>
      <c r="I3" s="26"/>
      <c r="J3" s="25" t="s">
        <v>136</v>
      </c>
      <c r="K3" s="25"/>
      <c r="L3" s="25"/>
      <c r="M3" s="25"/>
      <c r="N3" s="25"/>
    </row>
    <row r="4" spans="3:14" ht="21" customHeight="1" x14ac:dyDescent="0.2">
      <c r="C4" s="25" t="s">
        <v>137</v>
      </c>
      <c r="D4" s="25"/>
      <c r="E4" s="25"/>
      <c r="F4" s="25" t="s">
        <v>65</v>
      </c>
      <c r="G4" s="25"/>
      <c r="H4" s="25"/>
      <c r="I4" s="1"/>
      <c r="J4" s="25" t="s">
        <v>103</v>
      </c>
      <c r="K4" s="25"/>
      <c r="L4" s="25"/>
      <c r="M4" s="25"/>
      <c r="N4" s="25"/>
    </row>
    <row r="5" spans="3:14" ht="21" customHeight="1" x14ac:dyDescent="0.2">
      <c r="C5" s="25" t="s">
        <v>147</v>
      </c>
      <c r="D5" s="25"/>
      <c r="E5" s="25"/>
      <c r="F5" s="25" t="s">
        <v>144</v>
      </c>
      <c r="G5" s="25"/>
      <c r="H5" s="25"/>
      <c r="I5" s="25"/>
      <c r="J5" s="25" t="s">
        <v>138</v>
      </c>
      <c r="K5" s="25"/>
      <c r="L5" s="25"/>
      <c r="M5" s="25"/>
      <c r="N5" s="25"/>
    </row>
    <row r="6" spans="3:14" ht="15.75" x14ac:dyDescent="0.2">
      <c r="C6" s="29" t="s">
        <v>8</v>
      </c>
      <c r="D6" s="29" t="s">
        <v>9</v>
      </c>
      <c r="E6" s="29" t="s">
        <v>10</v>
      </c>
      <c r="F6" s="29" t="s">
        <v>11</v>
      </c>
      <c r="G6" s="29" t="s">
        <v>12</v>
      </c>
      <c r="H6" s="27" t="s">
        <v>13</v>
      </c>
      <c r="I6" s="30" t="s">
        <v>14</v>
      </c>
      <c r="J6" s="29" t="s">
        <v>15</v>
      </c>
      <c r="K6" s="27" t="s">
        <v>16</v>
      </c>
      <c r="L6" s="27" t="s">
        <v>17</v>
      </c>
      <c r="M6" s="31" t="s">
        <v>18</v>
      </c>
      <c r="N6" s="31"/>
    </row>
    <row r="7" spans="3:14" ht="18.75" x14ac:dyDescent="0.2">
      <c r="C7" s="29"/>
      <c r="D7" s="29"/>
      <c r="E7" s="29"/>
      <c r="F7" s="29"/>
      <c r="G7" s="29"/>
      <c r="H7" s="27"/>
      <c r="I7" s="30"/>
      <c r="J7" s="29"/>
      <c r="K7" s="27"/>
      <c r="L7" s="27"/>
      <c r="M7" s="32">
        <v>106.1</v>
      </c>
      <c r="N7" s="32"/>
    </row>
    <row r="8" spans="3:14" ht="18.75" x14ac:dyDescent="0.2">
      <c r="C8" s="11">
        <f>IF(D8&lt;&gt;0,F8/D8,1)</f>
        <v>0.17639386734732992</v>
      </c>
      <c r="D8" s="12">
        <f>E8+F8</f>
        <v>54.941706000000003</v>
      </c>
      <c r="E8" s="12">
        <f>$H$2*I8*I8</f>
        <v>45.250326000000001</v>
      </c>
      <c r="F8" s="12">
        <f>$H$3*I8</f>
        <v>9.6913800000000005</v>
      </c>
      <c r="G8" s="13">
        <f>H8/(K8-$M$7)</f>
        <v>0.3579952267303102</v>
      </c>
      <c r="H8" s="8">
        <v>15</v>
      </c>
      <c r="I8" s="9">
        <f>H8*60/1000</f>
        <v>0.9</v>
      </c>
      <c r="J8" s="10">
        <f>IF(K8-$M$7&lt;0,0,K8-$M$7)</f>
        <v>41.900000000000006</v>
      </c>
      <c r="K8" s="3">
        <v>148</v>
      </c>
      <c r="L8" s="7">
        <v>1100</v>
      </c>
      <c r="M8" s="28" t="s">
        <v>19</v>
      </c>
      <c r="N8" s="28"/>
    </row>
    <row r="9" spans="3:14" ht="18.75" x14ac:dyDescent="0.2">
      <c r="C9" s="11">
        <f>IF(D9&lt;&gt;0,F9/D9,1)</f>
        <v>0.13268258956315068</v>
      </c>
      <c r="D9" s="12">
        <f t="shared" ref="D9:D12" si="0">E9+F9</f>
        <v>102.25857096</v>
      </c>
      <c r="E9" s="12">
        <f t="shared" ref="E9:E12" si="1">$H$2*I9*I9</f>
        <v>88.690638960000001</v>
      </c>
      <c r="F9" s="12">
        <f t="shared" ref="F9:F12" si="2">$H$3*I9</f>
        <v>13.567932000000001</v>
      </c>
      <c r="G9" s="13">
        <f t="shared" ref="G9:G12" si="3">H9/(K9-$M$7)</f>
        <v>0.39697542533081281</v>
      </c>
      <c r="H9" s="8">
        <v>21</v>
      </c>
      <c r="I9" s="9">
        <f t="shared" ref="I9:I12" si="4">H9*60/1000</f>
        <v>1.26</v>
      </c>
      <c r="J9" s="10">
        <f t="shared" ref="J9:J12" si="5">IF(K9-$M$7&lt;0,0,K9-$M$7)</f>
        <v>52.900000000000006</v>
      </c>
      <c r="K9" s="3">
        <v>159</v>
      </c>
      <c r="L9" s="5">
        <v>1200</v>
      </c>
      <c r="M9" s="28" t="s">
        <v>20</v>
      </c>
      <c r="N9" s="28"/>
    </row>
    <row r="10" spans="3:14" ht="18.75" x14ac:dyDescent="0.2">
      <c r="C10" s="11">
        <f>IF(D10&lt;&gt;0,F10/D10,1)</f>
        <v>0.10812215013610305</v>
      </c>
      <c r="D10" s="12">
        <f t="shared" si="0"/>
        <v>158.35273326000004</v>
      </c>
      <c r="E10" s="12">
        <f t="shared" si="1"/>
        <v>141.23129526000002</v>
      </c>
      <c r="F10" s="12">
        <f t="shared" si="2"/>
        <v>17.121438000000001</v>
      </c>
      <c r="G10" s="13">
        <f t="shared" si="3"/>
        <v>0.42810985460420026</v>
      </c>
      <c r="H10" s="8">
        <v>26.5</v>
      </c>
      <c r="I10" s="9">
        <f t="shared" si="4"/>
        <v>1.59</v>
      </c>
      <c r="J10" s="10">
        <f t="shared" si="5"/>
        <v>61.900000000000006</v>
      </c>
      <c r="K10" s="3">
        <v>168</v>
      </c>
      <c r="L10" s="7">
        <v>1300</v>
      </c>
      <c r="M10" s="28" t="s">
        <v>21</v>
      </c>
      <c r="N10" s="28"/>
    </row>
    <row r="11" spans="3:14" ht="18.75" x14ac:dyDescent="0.2">
      <c r="C11" s="11">
        <f>IF(D11&lt;&gt;0,F11/D11,1)</f>
        <v>0.10292606642920703</v>
      </c>
      <c r="D11" s="12">
        <f>E11+F11</f>
        <v>175.76282304</v>
      </c>
      <c r="E11" s="12">
        <f t="shared" si="1"/>
        <v>157.67224704</v>
      </c>
      <c r="F11" s="12">
        <f>$H$3*I11</f>
        <v>18.090575999999999</v>
      </c>
      <c r="G11" s="13">
        <f t="shared" si="3"/>
        <v>0.43818466353677615</v>
      </c>
      <c r="H11" s="2">
        <v>28</v>
      </c>
      <c r="I11" s="9">
        <f t="shared" si="4"/>
        <v>1.68</v>
      </c>
      <c r="J11" s="10">
        <f t="shared" si="5"/>
        <v>63.900000000000006</v>
      </c>
      <c r="K11" s="4">
        <v>170</v>
      </c>
      <c r="L11" s="5">
        <v>1400</v>
      </c>
      <c r="M11" s="28" t="s">
        <v>22</v>
      </c>
      <c r="N11" s="28"/>
    </row>
    <row r="12" spans="3:14" ht="18.75" x14ac:dyDescent="0.2">
      <c r="C12" s="11">
        <f t="shared" ref="C12" si="6">IF(D12&lt;&gt;0,F12/D12,1)</f>
        <v>1</v>
      </c>
      <c r="D12" s="12">
        <f t="shared" si="0"/>
        <v>0</v>
      </c>
      <c r="E12" s="12">
        <f t="shared" si="1"/>
        <v>0</v>
      </c>
      <c r="F12" s="12">
        <f t="shared" si="2"/>
        <v>0</v>
      </c>
      <c r="G12" s="13">
        <f t="shared" si="3"/>
        <v>0</v>
      </c>
      <c r="H12" s="2">
        <v>0</v>
      </c>
      <c r="I12" s="9">
        <f t="shared" si="4"/>
        <v>0</v>
      </c>
      <c r="J12" s="10">
        <f t="shared" si="5"/>
        <v>0</v>
      </c>
      <c r="K12" s="4">
        <v>0</v>
      </c>
      <c r="L12" s="5">
        <v>0</v>
      </c>
      <c r="M12" s="33" t="s">
        <v>23</v>
      </c>
      <c r="N12" s="33"/>
    </row>
    <row r="32" spans="3:15" ht="21.75" customHeight="1" x14ac:dyDescent="0.2">
      <c r="C32" s="25" t="s">
        <v>7</v>
      </c>
      <c r="D32" s="25"/>
      <c r="E32" s="25"/>
      <c r="F32" s="25" t="s">
        <v>25</v>
      </c>
      <c r="G32" s="25"/>
      <c r="H32" s="25"/>
      <c r="I32" s="25"/>
      <c r="J32" s="6"/>
      <c r="K32" s="25" t="s">
        <v>26</v>
      </c>
      <c r="L32" s="25"/>
      <c r="M32" s="25"/>
      <c r="N32" s="6"/>
      <c r="O32" s="6"/>
    </row>
  </sheetData>
  <mergeCells count="33">
    <mergeCell ref="M8:N8"/>
    <mergeCell ref="M9:N9"/>
    <mergeCell ref="M10:N10"/>
    <mergeCell ref="M11:N11"/>
    <mergeCell ref="M12:N12"/>
    <mergeCell ref="C32:E32"/>
    <mergeCell ref="F32:I32"/>
    <mergeCell ref="K32:M32"/>
    <mergeCell ref="I6:I7"/>
    <mergeCell ref="J6:J7"/>
    <mergeCell ref="K6:K7"/>
    <mergeCell ref="L6:L7"/>
    <mergeCell ref="M6:N6"/>
    <mergeCell ref="M7:N7"/>
    <mergeCell ref="C6:C7"/>
    <mergeCell ref="D6:D7"/>
    <mergeCell ref="E6:E7"/>
    <mergeCell ref="F6:F7"/>
    <mergeCell ref="G6:G7"/>
    <mergeCell ref="H6:H7"/>
    <mergeCell ref="C4:E4"/>
    <mergeCell ref="F4:H4"/>
    <mergeCell ref="J4:N4"/>
    <mergeCell ref="C5:E5"/>
    <mergeCell ref="F5:I5"/>
    <mergeCell ref="J5:N5"/>
    <mergeCell ref="C1:I1"/>
    <mergeCell ref="C2:E2"/>
    <mergeCell ref="H2:I2"/>
    <mergeCell ref="J2:N2"/>
    <mergeCell ref="C3:E3"/>
    <mergeCell ref="H3:I3"/>
    <mergeCell ref="J3:N3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rightToLeft="1" view="pageLayout" topLeftCell="B1" zoomScaleNormal="115" workbookViewId="0">
      <selection activeCell="D9" sqref="D9"/>
    </sheetView>
  </sheetViews>
  <sheetFormatPr defaultRowHeight="14.25" x14ac:dyDescent="0.2"/>
  <cols>
    <col min="1" max="1" width="2.375" hidden="1" customWidth="1"/>
    <col min="2" max="2" width="2" customWidth="1"/>
    <col min="3" max="3" width="8.375" bestFit="1" customWidth="1"/>
    <col min="4" max="4" width="7.875" customWidth="1"/>
    <col min="5" max="5" width="9.5" customWidth="1"/>
    <col min="6" max="6" width="7.625" customWidth="1"/>
    <col min="7" max="7" width="7.5" bestFit="1" customWidth="1"/>
    <col min="8" max="8" width="5" bestFit="1" customWidth="1"/>
    <col min="9" max="9" width="11.375" customWidth="1"/>
    <col min="10" max="10" width="10.25" bestFit="1" customWidth="1"/>
    <col min="12" max="12" width="6.875" bestFit="1" customWidth="1"/>
    <col min="14" max="14" width="4.5" customWidth="1"/>
  </cols>
  <sheetData>
    <row r="1" spans="3:14" x14ac:dyDescent="0.2">
      <c r="C1" s="24" t="s">
        <v>127</v>
      </c>
      <c r="D1" s="24"/>
      <c r="E1" s="24"/>
      <c r="F1" s="24"/>
      <c r="G1" s="24"/>
      <c r="H1" s="24"/>
      <c r="I1" s="24"/>
    </row>
    <row r="2" spans="3:14" ht="21" customHeight="1" x14ac:dyDescent="0.45">
      <c r="C2" s="25" t="s">
        <v>145</v>
      </c>
      <c r="D2" s="25"/>
      <c r="E2" s="25"/>
      <c r="F2" s="1" t="s">
        <v>27</v>
      </c>
      <c r="G2" s="1"/>
      <c r="H2" s="26">
        <v>39.5212</v>
      </c>
      <c r="I2" s="26"/>
      <c r="J2" s="25" t="s">
        <v>59</v>
      </c>
      <c r="K2" s="25"/>
      <c r="L2" s="25"/>
      <c r="M2" s="25"/>
      <c r="N2" s="25"/>
    </row>
    <row r="3" spans="3:14" ht="21" customHeight="1" x14ac:dyDescent="0.45">
      <c r="C3" s="25" t="s">
        <v>128</v>
      </c>
      <c r="D3" s="25"/>
      <c r="E3" s="25"/>
      <c r="F3" s="1" t="s">
        <v>28</v>
      </c>
      <c r="G3" s="1"/>
      <c r="H3" s="26">
        <v>27.331700000000001</v>
      </c>
      <c r="I3" s="26"/>
      <c r="J3" s="25" t="s">
        <v>129</v>
      </c>
      <c r="K3" s="25"/>
      <c r="L3" s="25"/>
      <c r="M3" s="25"/>
      <c r="N3" s="25"/>
    </row>
    <row r="4" spans="3:14" ht="21" customHeight="1" x14ac:dyDescent="0.2">
      <c r="C4" s="25" t="s">
        <v>130</v>
      </c>
      <c r="D4" s="25"/>
      <c r="E4" s="25"/>
      <c r="F4" s="25" t="s">
        <v>65</v>
      </c>
      <c r="G4" s="25"/>
      <c r="H4" s="25"/>
      <c r="I4" s="1"/>
      <c r="J4" s="25" t="s">
        <v>131</v>
      </c>
      <c r="K4" s="25"/>
      <c r="L4" s="25"/>
      <c r="M4" s="25"/>
      <c r="N4" s="25"/>
    </row>
    <row r="5" spans="3:14" ht="21" customHeight="1" x14ac:dyDescent="0.2">
      <c r="C5" s="25" t="s">
        <v>133</v>
      </c>
      <c r="D5" s="25"/>
      <c r="E5" s="25"/>
      <c r="F5" s="25" t="s">
        <v>85</v>
      </c>
      <c r="G5" s="25"/>
      <c r="H5" s="25"/>
      <c r="I5" s="25"/>
      <c r="J5" s="25" t="s">
        <v>132</v>
      </c>
      <c r="K5" s="25"/>
      <c r="L5" s="25"/>
      <c r="M5" s="25"/>
      <c r="N5" s="25"/>
    </row>
    <row r="6" spans="3:14" ht="15.75" x14ac:dyDescent="0.2">
      <c r="C6" s="29" t="s">
        <v>8</v>
      </c>
      <c r="D6" s="29" t="s">
        <v>9</v>
      </c>
      <c r="E6" s="29" t="s">
        <v>10</v>
      </c>
      <c r="F6" s="29" t="s">
        <v>11</v>
      </c>
      <c r="G6" s="29" t="s">
        <v>12</v>
      </c>
      <c r="H6" s="27" t="s">
        <v>13</v>
      </c>
      <c r="I6" s="30" t="s">
        <v>14</v>
      </c>
      <c r="J6" s="29" t="s">
        <v>15</v>
      </c>
      <c r="K6" s="27" t="s">
        <v>16</v>
      </c>
      <c r="L6" s="27" t="s">
        <v>17</v>
      </c>
      <c r="M6" s="31" t="s">
        <v>18</v>
      </c>
      <c r="N6" s="31"/>
    </row>
    <row r="7" spans="3:14" ht="18.75" x14ac:dyDescent="0.2">
      <c r="C7" s="29"/>
      <c r="D7" s="29"/>
      <c r="E7" s="29"/>
      <c r="F7" s="29"/>
      <c r="G7" s="29"/>
      <c r="H7" s="27"/>
      <c r="I7" s="30"/>
      <c r="J7" s="29"/>
      <c r="K7" s="27"/>
      <c r="L7" s="27"/>
      <c r="M7" s="32">
        <v>130</v>
      </c>
      <c r="N7" s="32"/>
    </row>
    <row r="8" spans="3:14" ht="18.75" x14ac:dyDescent="0.2">
      <c r="C8" s="11">
        <f>IF(D8&lt;&gt;0,F8/D8,1)</f>
        <v>0.56153548975299483</v>
      </c>
      <c r="D8" s="12">
        <f>E8+F8</f>
        <v>26.283499920000004</v>
      </c>
      <c r="E8" s="12">
        <f>$H$2*I8*I8</f>
        <v>11.524381920000003</v>
      </c>
      <c r="F8" s="12">
        <f>$H$3*I8</f>
        <v>14.759118000000003</v>
      </c>
      <c r="G8" s="13">
        <f>H8/(K8-$M$7)</f>
        <v>0.24324324324324326</v>
      </c>
      <c r="H8" s="8">
        <v>9</v>
      </c>
      <c r="I8" s="9">
        <f>H8*60/1000</f>
        <v>0.54</v>
      </c>
      <c r="J8" s="10">
        <f>IF(K8-$M$7&lt;0,0,K8-$M$7)</f>
        <v>37</v>
      </c>
      <c r="K8" s="3">
        <v>167</v>
      </c>
      <c r="L8" s="7">
        <v>1000</v>
      </c>
      <c r="M8" s="28" t="s">
        <v>19</v>
      </c>
      <c r="N8" s="28"/>
    </row>
    <row r="9" spans="3:14" ht="18.75" x14ac:dyDescent="0.2">
      <c r="C9" s="11">
        <f>IF(D9&lt;&gt;0,F9/D9,1)</f>
        <v>0.45154340259960479</v>
      </c>
      <c r="D9" s="12">
        <f t="shared" ref="D9:D12" si="0">E9+F9</f>
        <v>50.844786720000002</v>
      </c>
      <c r="E9" s="12">
        <f t="shared" ref="E9:E12" si="1">$H$2*I9*I9</f>
        <v>27.886158720000001</v>
      </c>
      <c r="F9" s="12">
        <f t="shared" ref="F9:F12" si="2">$H$3*I9</f>
        <v>22.958628000000001</v>
      </c>
      <c r="G9" s="13">
        <f t="shared" ref="G9:G12" si="3">H9/(K9-$M$7)</f>
        <v>0.31111111111111112</v>
      </c>
      <c r="H9" s="8">
        <v>14</v>
      </c>
      <c r="I9" s="9">
        <f t="shared" ref="I9:I12" si="4">H9*60/1000</f>
        <v>0.84</v>
      </c>
      <c r="J9" s="10">
        <f t="shared" ref="J9:J12" si="5">IF(K9-$M$7&lt;0,0,K9-$M$7)</f>
        <v>45</v>
      </c>
      <c r="K9" s="3">
        <v>175</v>
      </c>
      <c r="L9" s="5">
        <v>1100</v>
      </c>
      <c r="M9" s="28" t="s">
        <v>20</v>
      </c>
      <c r="N9" s="28"/>
    </row>
    <row r="10" spans="3:14" ht="18.75" x14ac:dyDescent="0.2">
      <c r="C10" s="11">
        <f>IF(D10&lt;&gt;0,F10/D10,1)</f>
        <v>0.38387094019581292</v>
      </c>
      <c r="D10" s="12">
        <f t="shared" si="0"/>
        <v>79.032257520000002</v>
      </c>
      <c r="E10" s="12">
        <f t="shared" si="1"/>
        <v>48.694070520000004</v>
      </c>
      <c r="F10" s="12">
        <f t="shared" si="2"/>
        <v>30.338187000000005</v>
      </c>
      <c r="G10" s="13">
        <f t="shared" si="3"/>
        <v>0.3135593220338983</v>
      </c>
      <c r="H10" s="8">
        <v>18.5</v>
      </c>
      <c r="I10" s="9">
        <f t="shared" si="4"/>
        <v>1.1100000000000001</v>
      </c>
      <c r="J10" s="10">
        <f t="shared" si="5"/>
        <v>59</v>
      </c>
      <c r="K10" s="3">
        <v>189</v>
      </c>
      <c r="L10" s="7">
        <v>1200</v>
      </c>
      <c r="M10" s="28" t="s">
        <v>21</v>
      </c>
      <c r="N10" s="28"/>
    </row>
    <row r="11" spans="3:14" ht="18.75" x14ac:dyDescent="0.2">
      <c r="C11" s="11">
        <f>IF(D11&lt;&gt;0,F11/D11,1)</f>
        <v>0.32907321793314132</v>
      </c>
      <c r="D11" s="12">
        <f>E11+F11</f>
        <v>117.10979472</v>
      </c>
      <c r="E11" s="12">
        <f t="shared" si="1"/>
        <v>78.572097719999988</v>
      </c>
      <c r="F11" s="12">
        <f>$H$3*I11</f>
        <v>38.537697000000001</v>
      </c>
      <c r="G11" s="13">
        <f t="shared" si="3"/>
        <v>0.3263888888888889</v>
      </c>
      <c r="H11" s="2">
        <v>23.5</v>
      </c>
      <c r="I11" s="9">
        <f t="shared" si="4"/>
        <v>1.41</v>
      </c>
      <c r="J11" s="10">
        <f t="shared" si="5"/>
        <v>72</v>
      </c>
      <c r="K11" s="4">
        <v>202</v>
      </c>
      <c r="L11" s="5">
        <v>1300</v>
      </c>
      <c r="M11" s="28" t="s">
        <v>22</v>
      </c>
      <c r="N11" s="28"/>
    </row>
    <row r="12" spans="3:14" ht="18.75" x14ac:dyDescent="0.2">
      <c r="C12" s="11">
        <f t="shared" ref="C12" si="6">IF(D12&lt;&gt;0,F12/D12,1)</f>
        <v>1</v>
      </c>
      <c r="D12" s="12">
        <f t="shared" si="0"/>
        <v>0</v>
      </c>
      <c r="E12" s="12">
        <f t="shared" si="1"/>
        <v>0</v>
      </c>
      <c r="F12" s="12">
        <f t="shared" si="2"/>
        <v>0</v>
      </c>
      <c r="G12" s="13">
        <f t="shared" si="3"/>
        <v>0</v>
      </c>
      <c r="H12" s="2">
        <v>0</v>
      </c>
      <c r="I12" s="9">
        <f t="shared" si="4"/>
        <v>0</v>
      </c>
      <c r="J12" s="10">
        <f t="shared" si="5"/>
        <v>0</v>
      </c>
      <c r="K12" s="4">
        <v>0</v>
      </c>
      <c r="L12" s="5">
        <v>0</v>
      </c>
      <c r="M12" s="33" t="s">
        <v>23</v>
      </c>
      <c r="N12" s="33"/>
    </row>
    <row r="32" spans="3:15" ht="21.75" customHeight="1" x14ac:dyDescent="0.2">
      <c r="C32" s="25" t="s">
        <v>7</v>
      </c>
      <c r="D32" s="25"/>
      <c r="E32" s="25"/>
      <c r="F32" s="25" t="s">
        <v>25</v>
      </c>
      <c r="G32" s="25"/>
      <c r="H32" s="25"/>
      <c r="I32" s="25"/>
      <c r="J32" s="6"/>
      <c r="K32" s="25" t="s">
        <v>26</v>
      </c>
      <c r="L32" s="25"/>
      <c r="M32" s="25"/>
      <c r="N32" s="6"/>
      <c r="O32" s="6"/>
    </row>
  </sheetData>
  <mergeCells count="33">
    <mergeCell ref="M8:N8"/>
    <mergeCell ref="M9:N9"/>
    <mergeCell ref="M10:N10"/>
    <mergeCell ref="M11:N11"/>
    <mergeCell ref="M12:N12"/>
    <mergeCell ref="C32:E32"/>
    <mergeCell ref="F32:I32"/>
    <mergeCell ref="K32:M32"/>
    <mergeCell ref="I6:I7"/>
    <mergeCell ref="J6:J7"/>
    <mergeCell ref="K6:K7"/>
    <mergeCell ref="L6:L7"/>
    <mergeCell ref="M6:N6"/>
    <mergeCell ref="M7:N7"/>
    <mergeCell ref="C6:C7"/>
    <mergeCell ref="D6:D7"/>
    <mergeCell ref="E6:E7"/>
    <mergeCell ref="F6:F7"/>
    <mergeCell ref="G6:G7"/>
    <mergeCell ref="H6:H7"/>
    <mergeCell ref="C4:E4"/>
    <mergeCell ref="F4:H4"/>
    <mergeCell ref="J4:N4"/>
    <mergeCell ref="C5:E5"/>
    <mergeCell ref="F5:I5"/>
    <mergeCell ref="J5:N5"/>
    <mergeCell ref="C1:I1"/>
    <mergeCell ref="C2:E2"/>
    <mergeCell ref="H2:I2"/>
    <mergeCell ref="J2:N2"/>
    <mergeCell ref="C3:E3"/>
    <mergeCell ref="H3:I3"/>
    <mergeCell ref="J3:N3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rightToLeft="1" tabSelected="1" topLeftCell="B1" zoomScale="115" zoomScaleNormal="115" workbookViewId="0">
      <selection activeCell="H12" sqref="H12"/>
    </sheetView>
  </sheetViews>
  <sheetFormatPr defaultRowHeight="14.25" x14ac:dyDescent="0.2"/>
  <cols>
    <col min="1" max="1" width="2.375" hidden="1" customWidth="1"/>
    <col min="2" max="2" width="2" customWidth="1"/>
    <col min="3" max="3" width="8.375" bestFit="1" customWidth="1"/>
    <col min="4" max="4" width="7.875" customWidth="1"/>
    <col min="5" max="5" width="9.5" customWidth="1"/>
    <col min="6" max="6" width="7.625" customWidth="1"/>
    <col min="7" max="7" width="7.5" bestFit="1" customWidth="1"/>
    <col min="8" max="8" width="5" bestFit="1" customWidth="1"/>
    <col min="9" max="9" width="11.375" customWidth="1"/>
    <col min="10" max="10" width="10.25" bestFit="1" customWidth="1"/>
    <col min="12" max="12" width="6.875" bestFit="1" customWidth="1"/>
    <col min="14" max="14" width="4.5" customWidth="1"/>
  </cols>
  <sheetData>
    <row r="1" spans="3:14" x14ac:dyDescent="0.2">
      <c r="C1" s="24" t="s">
        <v>127</v>
      </c>
      <c r="D1" s="24"/>
      <c r="E1" s="24"/>
      <c r="F1" s="24"/>
      <c r="G1" s="24"/>
      <c r="H1" s="24"/>
      <c r="I1" s="24"/>
    </row>
    <row r="2" spans="3:14" ht="21" customHeight="1" x14ac:dyDescent="0.45">
      <c r="C2" s="25" t="s">
        <v>145</v>
      </c>
      <c r="D2" s="25"/>
      <c r="E2" s="25"/>
      <c r="F2" s="1" t="s">
        <v>27</v>
      </c>
      <c r="G2" s="1"/>
      <c r="H2" s="26">
        <v>39.5212</v>
      </c>
      <c r="I2" s="26"/>
      <c r="J2" s="25" t="s">
        <v>59</v>
      </c>
      <c r="K2" s="25"/>
      <c r="L2" s="25"/>
      <c r="M2" s="25"/>
      <c r="N2" s="25"/>
    </row>
    <row r="3" spans="3:14" ht="21" customHeight="1" x14ac:dyDescent="0.45">
      <c r="C3" s="25" t="s">
        <v>169</v>
      </c>
      <c r="D3" s="25"/>
      <c r="E3" s="25"/>
      <c r="F3" s="1" t="s">
        <v>28</v>
      </c>
      <c r="G3" s="1"/>
      <c r="H3" s="26">
        <v>27.331700000000001</v>
      </c>
      <c r="I3" s="26"/>
      <c r="J3" s="25" t="s">
        <v>170</v>
      </c>
      <c r="K3" s="25"/>
      <c r="L3" s="25"/>
      <c r="M3" s="25"/>
      <c r="N3" s="25"/>
    </row>
    <row r="4" spans="3:14" ht="21" customHeight="1" x14ac:dyDescent="0.2">
      <c r="C4" s="25" t="s">
        <v>171</v>
      </c>
      <c r="D4" s="25"/>
      <c r="E4" s="25"/>
      <c r="F4" s="25" t="s">
        <v>65</v>
      </c>
      <c r="G4" s="25"/>
      <c r="H4" s="25"/>
      <c r="I4" s="1"/>
      <c r="J4" s="25" t="s">
        <v>103</v>
      </c>
      <c r="K4" s="25"/>
      <c r="L4" s="25"/>
      <c r="M4" s="25"/>
      <c r="N4" s="25"/>
    </row>
    <row r="5" spans="3:14" ht="21" customHeight="1" x14ac:dyDescent="0.2">
      <c r="C5" s="25" t="s">
        <v>172</v>
      </c>
      <c r="D5" s="25"/>
      <c r="E5" s="25"/>
      <c r="F5" s="25" t="s">
        <v>173</v>
      </c>
      <c r="G5" s="25"/>
      <c r="H5" s="25"/>
      <c r="I5" s="25"/>
      <c r="J5" s="25" t="s">
        <v>132</v>
      </c>
      <c r="K5" s="25"/>
      <c r="L5" s="25"/>
      <c r="M5" s="25"/>
      <c r="N5" s="25"/>
    </row>
    <row r="6" spans="3:14" ht="15.75" x14ac:dyDescent="0.2">
      <c r="C6" s="29" t="s">
        <v>8</v>
      </c>
      <c r="D6" s="29" t="s">
        <v>9</v>
      </c>
      <c r="E6" s="29" t="s">
        <v>10</v>
      </c>
      <c r="F6" s="29" t="s">
        <v>11</v>
      </c>
      <c r="G6" s="29" t="s">
        <v>12</v>
      </c>
      <c r="H6" s="27" t="s">
        <v>13</v>
      </c>
      <c r="I6" s="30" t="s">
        <v>14</v>
      </c>
      <c r="J6" s="29" t="s">
        <v>15</v>
      </c>
      <c r="K6" s="27" t="s">
        <v>16</v>
      </c>
      <c r="L6" s="27" t="s">
        <v>17</v>
      </c>
      <c r="M6" s="31" t="s">
        <v>18</v>
      </c>
      <c r="N6" s="31"/>
    </row>
    <row r="7" spans="3:14" ht="18.75" x14ac:dyDescent="0.2">
      <c r="C7" s="29"/>
      <c r="D7" s="29"/>
      <c r="E7" s="29"/>
      <c r="F7" s="29"/>
      <c r="G7" s="29"/>
      <c r="H7" s="27"/>
      <c r="I7" s="30"/>
      <c r="J7" s="29"/>
      <c r="K7" s="27"/>
      <c r="L7" s="27"/>
      <c r="M7" s="32">
        <v>130</v>
      </c>
      <c r="N7" s="32"/>
    </row>
    <row r="8" spans="3:14" ht="18.75" x14ac:dyDescent="0.2">
      <c r="C8" s="11">
        <f>IF(D8&lt;&gt;0,F8/D8,1)</f>
        <v>0.56153548975299483</v>
      </c>
      <c r="D8" s="12">
        <f>E8+F8</f>
        <v>26.283499920000004</v>
      </c>
      <c r="E8" s="12">
        <f>$H$2*I8*I8</f>
        <v>11.524381920000003</v>
      </c>
      <c r="F8" s="12">
        <f>$H$3*I8</f>
        <v>14.759118000000003</v>
      </c>
      <c r="G8" s="13">
        <f>H8/(K8-$M$7)</f>
        <v>0.24324324324324326</v>
      </c>
      <c r="H8" s="8">
        <v>9</v>
      </c>
      <c r="I8" s="9">
        <f>H8*60/1000</f>
        <v>0.54</v>
      </c>
      <c r="J8" s="10">
        <f>IF(K8-$M$7&lt;0,0,K8-$M$7)</f>
        <v>37</v>
      </c>
      <c r="K8" s="3">
        <v>167</v>
      </c>
      <c r="L8" s="7">
        <v>1000</v>
      </c>
      <c r="M8" s="28" t="s">
        <v>19</v>
      </c>
      <c r="N8" s="28"/>
    </row>
    <row r="9" spans="3:14" ht="18.75" x14ac:dyDescent="0.2">
      <c r="C9" s="11">
        <f>IF(D9&lt;&gt;0,F9/D9,1)</f>
        <v>0.45154340259960479</v>
      </c>
      <c r="D9" s="12">
        <f t="shared" ref="D9:D12" si="0">E9+F9</f>
        <v>50.844786720000002</v>
      </c>
      <c r="E9" s="12">
        <f t="shared" ref="E9:E12" si="1">$H$2*I9*I9</f>
        <v>27.886158720000001</v>
      </c>
      <c r="F9" s="12">
        <f t="shared" ref="F9:F12" si="2">$H$3*I9</f>
        <v>22.958628000000001</v>
      </c>
      <c r="G9" s="13">
        <f t="shared" ref="G9:G12" si="3">H9/(K9-$M$7)</f>
        <v>0.2978723404255319</v>
      </c>
      <c r="H9" s="8">
        <v>14</v>
      </c>
      <c r="I9" s="9">
        <f t="shared" ref="I9:I12" si="4">H9*60/1000</f>
        <v>0.84</v>
      </c>
      <c r="J9" s="10">
        <f t="shared" ref="J9:J12" si="5">IF(K9-$M$7&lt;0,0,K9-$M$7)</f>
        <v>47</v>
      </c>
      <c r="K9" s="3">
        <v>177</v>
      </c>
      <c r="L9" s="5">
        <v>1100</v>
      </c>
      <c r="M9" s="28" t="s">
        <v>20</v>
      </c>
      <c r="N9" s="28"/>
    </row>
    <row r="10" spans="3:14" ht="18.75" x14ac:dyDescent="0.2">
      <c r="C10" s="11">
        <f>IF(D10&lt;&gt;0,F10/D10,1)</f>
        <v>0.38387094019581292</v>
      </c>
      <c r="D10" s="12">
        <f t="shared" si="0"/>
        <v>79.032257520000002</v>
      </c>
      <c r="E10" s="12">
        <f t="shared" si="1"/>
        <v>48.694070520000004</v>
      </c>
      <c r="F10" s="12">
        <f t="shared" si="2"/>
        <v>30.338187000000005</v>
      </c>
      <c r="G10" s="13">
        <f t="shared" si="3"/>
        <v>0.30327868852459017</v>
      </c>
      <c r="H10" s="8">
        <v>18.5</v>
      </c>
      <c r="I10" s="9">
        <f t="shared" si="4"/>
        <v>1.1100000000000001</v>
      </c>
      <c r="J10" s="10">
        <f t="shared" si="5"/>
        <v>61</v>
      </c>
      <c r="K10" s="3">
        <v>191</v>
      </c>
      <c r="L10" s="7">
        <v>1200</v>
      </c>
      <c r="M10" s="28" t="s">
        <v>21</v>
      </c>
      <c r="N10" s="28"/>
    </row>
    <row r="11" spans="3:14" ht="18.75" x14ac:dyDescent="0.2">
      <c r="C11" s="11">
        <f>IF(D11&lt;&gt;0,F11/D11,1)</f>
        <v>0.32907321793314132</v>
      </c>
      <c r="D11" s="12">
        <f>E11+F11</f>
        <v>117.10979472</v>
      </c>
      <c r="E11" s="12">
        <f t="shared" si="1"/>
        <v>78.572097719999988</v>
      </c>
      <c r="F11" s="12">
        <f>$H$3*I11</f>
        <v>38.537697000000001</v>
      </c>
      <c r="G11" s="13">
        <f t="shared" si="3"/>
        <v>0.31333333333333335</v>
      </c>
      <c r="H11" s="2">
        <v>23.5</v>
      </c>
      <c r="I11" s="9">
        <f t="shared" si="4"/>
        <v>1.41</v>
      </c>
      <c r="J11" s="10">
        <f t="shared" si="5"/>
        <v>75</v>
      </c>
      <c r="K11" s="4">
        <v>205</v>
      </c>
      <c r="L11" s="5">
        <v>1300</v>
      </c>
      <c r="M11" s="28" t="s">
        <v>22</v>
      </c>
      <c r="N11" s="28"/>
    </row>
    <row r="12" spans="3:14" ht="18.75" x14ac:dyDescent="0.2">
      <c r="C12" s="11">
        <f t="shared" ref="C12" si="6">IF(D12&lt;&gt;0,F12/D12,1)</f>
        <v>1</v>
      </c>
      <c r="D12" s="12">
        <f t="shared" si="0"/>
        <v>0</v>
      </c>
      <c r="E12" s="12">
        <f t="shared" si="1"/>
        <v>0</v>
      </c>
      <c r="F12" s="12">
        <f t="shared" si="2"/>
        <v>0</v>
      </c>
      <c r="G12" s="13">
        <f t="shared" si="3"/>
        <v>0</v>
      </c>
      <c r="H12" s="2">
        <v>0</v>
      </c>
      <c r="I12" s="9">
        <f t="shared" si="4"/>
        <v>0</v>
      </c>
      <c r="J12" s="10">
        <f t="shared" si="5"/>
        <v>0</v>
      </c>
      <c r="K12" s="4">
        <v>0</v>
      </c>
      <c r="L12" s="5">
        <v>0</v>
      </c>
      <c r="M12" s="33" t="s">
        <v>23</v>
      </c>
      <c r="N12" s="33"/>
    </row>
    <row r="32" spans="3:15" ht="21.75" customHeight="1" x14ac:dyDescent="0.2">
      <c r="C32" s="25" t="s">
        <v>7</v>
      </c>
      <c r="D32" s="25"/>
      <c r="E32" s="25"/>
      <c r="F32" s="25" t="s">
        <v>25</v>
      </c>
      <c r="G32" s="25"/>
      <c r="H32" s="25"/>
      <c r="I32" s="25"/>
      <c r="J32" s="6"/>
      <c r="K32" s="25" t="s">
        <v>26</v>
      </c>
      <c r="L32" s="25"/>
      <c r="M32" s="25"/>
      <c r="N32" s="6"/>
      <c r="O32" s="6"/>
    </row>
  </sheetData>
  <mergeCells count="33">
    <mergeCell ref="M8:N8"/>
    <mergeCell ref="M9:N9"/>
    <mergeCell ref="M10:N10"/>
    <mergeCell ref="M11:N11"/>
    <mergeCell ref="M12:N12"/>
    <mergeCell ref="C32:E32"/>
    <mergeCell ref="F32:I32"/>
    <mergeCell ref="K32:M32"/>
    <mergeCell ref="I6:I7"/>
    <mergeCell ref="J6:J7"/>
    <mergeCell ref="K6:K7"/>
    <mergeCell ref="L6:L7"/>
    <mergeCell ref="M6:N6"/>
    <mergeCell ref="M7:N7"/>
    <mergeCell ref="C6:C7"/>
    <mergeCell ref="D6:D7"/>
    <mergeCell ref="E6:E7"/>
    <mergeCell ref="F6:F7"/>
    <mergeCell ref="G6:G7"/>
    <mergeCell ref="H6:H7"/>
    <mergeCell ref="C4:E4"/>
    <mergeCell ref="F4:H4"/>
    <mergeCell ref="J4:N4"/>
    <mergeCell ref="C5:E5"/>
    <mergeCell ref="F5:I5"/>
    <mergeCell ref="J5:N5"/>
    <mergeCell ref="C1:I1"/>
    <mergeCell ref="C2:E2"/>
    <mergeCell ref="H2:I2"/>
    <mergeCell ref="J2:N2"/>
    <mergeCell ref="C3:E3"/>
    <mergeCell ref="H3:I3"/>
    <mergeCell ref="J3:N3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rightToLeft="1" topLeftCell="B1" zoomScale="115" zoomScaleNormal="115" workbookViewId="0">
      <selection activeCell="B1" sqref="A1:XFD1048576"/>
    </sheetView>
  </sheetViews>
  <sheetFormatPr defaultRowHeight="14.25" x14ac:dyDescent="0.2"/>
  <cols>
    <col min="1" max="1" width="2.375" hidden="1" customWidth="1"/>
    <col min="2" max="2" width="2" customWidth="1"/>
    <col min="3" max="3" width="8.375" bestFit="1" customWidth="1"/>
    <col min="4" max="4" width="7.875" customWidth="1"/>
    <col min="5" max="5" width="9.5" customWidth="1"/>
    <col min="6" max="6" width="7.625" customWidth="1"/>
    <col min="7" max="7" width="7.5" bestFit="1" customWidth="1"/>
    <col min="8" max="8" width="5" bestFit="1" customWidth="1"/>
    <col min="9" max="9" width="11.375" customWidth="1"/>
    <col min="10" max="10" width="10.25" bestFit="1" customWidth="1"/>
    <col min="12" max="12" width="6.875" bestFit="1" customWidth="1"/>
    <col min="14" max="14" width="4.5" customWidth="1"/>
  </cols>
  <sheetData>
    <row r="1" spans="3:14" x14ac:dyDescent="0.2">
      <c r="C1" s="24" t="s">
        <v>113</v>
      </c>
      <c r="D1" s="24"/>
      <c r="E1" s="24"/>
      <c r="F1" s="24"/>
      <c r="G1" s="24"/>
      <c r="H1" s="24"/>
      <c r="I1" s="24"/>
    </row>
    <row r="2" spans="3:14" ht="21" customHeight="1" x14ac:dyDescent="0.45">
      <c r="C2" s="25" t="s">
        <v>24</v>
      </c>
      <c r="D2" s="25"/>
      <c r="E2" s="25"/>
      <c r="F2" s="1" t="s">
        <v>27</v>
      </c>
      <c r="G2" s="1"/>
      <c r="H2" s="26">
        <v>39.5212</v>
      </c>
      <c r="I2" s="26"/>
      <c r="J2" s="25" t="s">
        <v>59</v>
      </c>
      <c r="K2" s="25"/>
      <c r="L2" s="25"/>
      <c r="M2" s="25"/>
      <c r="N2" s="25"/>
    </row>
    <row r="3" spans="3:14" ht="21" customHeight="1" x14ac:dyDescent="0.45">
      <c r="C3" s="25" t="s">
        <v>114</v>
      </c>
      <c r="D3" s="25"/>
      <c r="E3" s="25"/>
      <c r="F3" s="1" t="s">
        <v>28</v>
      </c>
      <c r="G3" s="1"/>
      <c r="H3" s="26">
        <v>27.331700000000001</v>
      </c>
      <c r="I3" s="26"/>
      <c r="J3" s="25" t="s">
        <v>115</v>
      </c>
      <c r="K3" s="25"/>
      <c r="L3" s="25"/>
      <c r="M3" s="25"/>
      <c r="N3" s="25"/>
    </row>
    <row r="4" spans="3:14" ht="21" customHeight="1" x14ac:dyDescent="0.2">
      <c r="C4" s="25" t="s">
        <v>116</v>
      </c>
      <c r="D4" s="25"/>
      <c r="E4" s="25"/>
      <c r="F4" s="25" t="s">
        <v>65</v>
      </c>
      <c r="G4" s="25"/>
      <c r="H4" s="25"/>
      <c r="I4" s="1"/>
      <c r="J4" s="25" t="s">
        <v>117</v>
      </c>
      <c r="K4" s="25"/>
      <c r="L4" s="25"/>
      <c r="M4" s="25"/>
      <c r="N4" s="25"/>
    </row>
    <row r="5" spans="3:14" ht="21" customHeight="1" x14ac:dyDescent="0.2">
      <c r="C5" s="25" t="s">
        <v>118</v>
      </c>
      <c r="D5" s="25"/>
      <c r="E5" s="25"/>
      <c r="F5" s="25" t="s">
        <v>85</v>
      </c>
      <c r="G5" s="25"/>
      <c r="H5" s="25"/>
      <c r="I5" s="25"/>
      <c r="J5" s="25" t="s">
        <v>119</v>
      </c>
      <c r="K5" s="25"/>
      <c r="L5" s="25"/>
      <c r="M5" s="25"/>
      <c r="N5" s="25"/>
    </row>
    <row r="6" spans="3:14" ht="15.75" x14ac:dyDescent="0.2">
      <c r="C6" s="29" t="s">
        <v>8</v>
      </c>
      <c r="D6" s="29" t="s">
        <v>9</v>
      </c>
      <c r="E6" s="29" t="s">
        <v>10</v>
      </c>
      <c r="F6" s="29" t="s">
        <v>11</v>
      </c>
      <c r="G6" s="29" t="s">
        <v>12</v>
      </c>
      <c r="H6" s="27" t="s">
        <v>13</v>
      </c>
      <c r="I6" s="30" t="s">
        <v>14</v>
      </c>
      <c r="J6" s="29" t="s">
        <v>15</v>
      </c>
      <c r="K6" s="27" t="s">
        <v>16</v>
      </c>
      <c r="L6" s="27" t="s">
        <v>17</v>
      </c>
      <c r="M6" s="31" t="s">
        <v>18</v>
      </c>
      <c r="N6" s="31"/>
    </row>
    <row r="7" spans="3:14" ht="18.75" x14ac:dyDescent="0.2">
      <c r="C7" s="29"/>
      <c r="D7" s="29"/>
      <c r="E7" s="29"/>
      <c r="F7" s="29"/>
      <c r="G7" s="29"/>
      <c r="H7" s="27"/>
      <c r="I7" s="30"/>
      <c r="J7" s="29"/>
      <c r="K7" s="27"/>
      <c r="L7" s="27"/>
      <c r="M7" s="32">
        <v>169</v>
      </c>
      <c r="N7" s="32"/>
    </row>
    <row r="8" spans="3:14" ht="18.75" x14ac:dyDescent="0.2">
      <c r="C8" s="11">
        <f>IF(D8&lt;&gt;0,F8/D8,1)</f>
        <v>0.62215625353113735</v>
      </c>
      <c r="D8" s="12">
        <f>E8+F8</f>
        <v>18.450853680000002</v>
      </c>
      <c r="E8" s="12">
        <f>$H$2*I8*I8</f>
        <v>6.9715396800000002</v>
      </c>
      <c r="F8" s="12">
        <f>$H$3*I8</f>
        <v>11.479314</v>
      </c>
      <c r="G8" s="13">
        <f>H8/(K8-$M$7)</f>
        <v>0.35</v>
      </c>
      <c r="H8" s="8">
        <v>7</v>
      </c>
      <c r="I8" s="9">
        <f>H8*60/1000</f>
        <v>0.42</v>
      </c>
      <c r="J8" s="10">
        <f>IF(K8-$M$7&lt;0,0,K8-$M$7)</f>
        <v>20</v>
      </c>
      <c r="K8" s="3">
        <v>189</v>
      </c>
      <c r="L8" s="7">
        <v>1100</v>
      </c>
      <c r="M8" s="28" t="s">
        <v>19</v>
      </c>
      <c r="N8" s="28"/>
    </row>
    <row r="9" spans="3:14" ht="18.75" x14ac:dyDescent="0.2">
      <c r="C9" s="11">
        <f>IF(D9&lt;&gt;0,F9/D9,1)</f>
        <v>0.53544932041543425</v>
      </c>
      <c r="D9" s="12">
        <f t="shared" ref="D9:D12" si="0">E9+F9</f>
        <v>30.626652</v>
      </c>
      <c r="E9" s="12">
        <f t="shared" ref="E9:E12" si="1">$H$2*I9*I9</f>
        <v>14.227632</v>
      </c>
      <c r="F9" s="12">
        <f t="shared" ref="F9:F12" si="2">$H$3*I9</f>
        <v>16.39902</v>
      </c>
      <c r="G9" s="13">
        <f t="shared" ref="G9:G12" si="3">H9/(K9-$M$7)</f>
        <v>0.34482758620689657</v>
      </c>
      <c r="H9" s="8">
        <v>10</v>
      </c>
      <c r="I9" s="9">
        <f t="shared" ref="I9:I12" si="4">H9*60/1000</f>
        <v>0.6</v>
      </c>
      <c r="J9" s="10">
        <f t="shared" ref="J9:J12" si="5">IF(K9-$M$7&lt;0,0,K9-$M$7)</f>
        <v>29</v>
      </c>
      <c r="K9" s="3">
        <v>198</v>
      </c>
      <c r="L9" s="5">
        <v>1200</v>
      </c>
      <c r="M9" s="28" t="s">
        <v>20</v>
      </c>
      <c r="N9" s="28"/>
    </row>
    <row r="10" spans="3:14" ht="18.75" x14ac:dyDescent="0.2">
      <c r="C10" s="11">
        <f>IF(D10&lt;&gt;0,F10/D10,1)</f>
        <v>0.41873511192814961</v>
      </c>
      <c r="D10" s="12">
        <f t="shared" si="0"/>
        <v>62.661169919999992</v>
      </c>
      <c r="E10" s="12">
        <f t="shared" si="1"/>
        <v>36.422737919999996</v>
      </c>
      <c r="F10" s="12">
        <f t="shared" si="2"/>
        <v>26.238432</v>
      </c>
      <c r="G10" s="13">
        <f t="shared" si="3"/>
        <v>0.25396825396825395</v>
      </c>
      <c r="H10" s="8">
        <v>16</v>
      </c>
      <c r="I10" s="9">
        <f t="shared" si="4"/>
        <v>0.96</v>
      </c>
      <c r="J10" s="10">
        <f t="shared" si="5"/>
        <v>63</v>
      </c>
      <c r="K10" s="3">
        <v>232</v>
      </c>
      <c r="L10" s="7">
        <v>1300</v>
      </c>
      <c r="M10" s="28" t="s">
        <v>21</v>
      </c>
      <c r="N10" s="28"/>
    </row>
    <row r="11" spans="3:14" ht="18.75" x14ac:dyDescent="0.2">
      <c r="C11" s="11">
        <f>IF(D11&lt;&gt;0,F11/D11,1)</f>
        <v>1</v>
      </c>
      <c r="D11" s="12">
        <f>E11+F11</f>
        <v>0</v>
      </c>
      <c r="E11" s="12">
        <f t="shared" si="1"/>
        <v>0</v>
      </c>
      <c r="F11" s="12">
        <f>$H$3*I11</f>
        <v>0</v>
      </c>
      <c r="G11" s="13">
        <f t="shared" si="3"/>
        <v>0</v>
      </c>
      <c r="H11" s="2">
        <v>0</v>
      </c>
      <c r="I11" s="9">
        <f t="shared" si="4"/>
        <v>0</v>
      </c>
      <c r="J11" s="10">
        <f t="shared" si="5"/>
        <v>0</v>
      </c>
      <c r="K11" s="4">
        <v>0</v>
      </c>
      <c r="L11" s="5">
        <v>0</v>
      </c>
      <c r="M11" s="28" t="s">
        <v>22</v>
      </c>
      <c r="N11" s="28"/>
    </row>
    <row r="12" spans="3:14" ht="18.75" x14ac:dyDescent="0.2">
      <c r="C12" s="11">
        <f t="shared" ref="C12" si="6">IF(D12&lt;&gt;0,F12/D12,1)</f>
        <v>1</v>
      </c>
      <c r="D12" s="12">
        <f t="shared" si="0"/>
        <v>0</v>
      </c>
      <c r="E12" s="12">
        <f t="shared" si="1"/>
        <v>0</v>
      </c>
      <c r="F12" s="12">
        <f t="shared" si="2"/>
        <v>0</v>
      </c>
      <c r="G12" s="13">
        <f t="shared" si="3"/>
        <v>0</v>
      </c>
      <c r="H12" s="2">
        <v>0</v>
      </c>
      <c r="I12" s="9">
        <f t="shared" si="4"/>
        <v>0</v>
      </c>
      <c r="J12" s="10">
        <f t="shared" si="5"/>
        <v>0</v>
      </c>
      <c r="K12" s="4">
        <v>0</v>
      </c>
      <c r="L12" s="5">
        <v>0</v>
      </c>
      <c r="M12" s="33" t="s">
        <v>23</v>
      </c>
      <c r="N12" s="33"/>
    </row>
    <row r="32" spans="3:15" ht="21.75" customHeight="1" x14ac:dyDescent="0.2">
      <c r="C32" s="25" t="s">
        <v>7</v>
      </c>
      <c r="D32" s="25"/>
      <c r="E32" s="25"/>
      <c r="F32" s="25" t="s">
        <v>25</v>
      </c>
      <c r="G32" s="25"/>
      <c r="H32" s="25"/>
      <c r="I32" s="25"/>
      <c r="J32" s="6"/>
      <c r="K32" s="25" t="s">
        <v>26</v>
      </c>
      <c r="L32" s="25"/>
      <c r="M32" s="25"/>
      <c r="N32" s="6"/>
      <c r="O32" s="6"/>
    </row>
  </sheetData>
  <mergeCells count="33">
    <mergeCell ref="M11:N11"/>
    <mergeCell ref="M12:N12"/>
    <mergeCell ref="C32:E32"/>
    <mergeCell ref="F32:I32"/>
    <mergeCell ref="K32:M32"/>
    <mergeCell ref="L6:L7"/>
    <mergeCell ref="M6:N6"/>
    <mergeCell ref="M7:N7"/>
    <mergeCell ref="M9:N9"/>
    <mergeCell ref="M10:N10"/>
    <mergeCell ref="H6:H7"/>
    <mergeCell ref="M8:N8"/>
    <mergeCell ref="C4:E4"/>
    <mergeCell ref="F4:H4"/>
    <mergeCell ref="J4:N4"/>
    <mergeCell ref="C5:E5"/>
    <mergeCell ref="F5:I5"/>
    <mergeCell ref="J5:N5"/>
    <mergeCell ref="C6:C7"/>
    <mergeCell ref="D6:D7"/>
    <mergeCell ref="E6:E7"/>
    <mergeCell ref="F6:F7"/>
    <mergeCell ref="G6:G7"/>
    <mergeCell ref="I6:I7"/>
    <mergeCell ref="J6:J7"/>
    <mergeCell ref="K6:K7"/>
    <mergeCell ref="C1:I1"/>
    <mergeCell ref="C2:E2"/>
    <mergeCell ref="H2:I2"/>
    <mergeCell ref="J2:N2"/>
    <mergeCell ref="C3:E3"/>
    <mergeCell ref="H3:I3"/>
    <mergeCell ref="J3:N3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rightToLeft="1" topLeftCell="B1" zoomScale="115" zoomScaleNormal="115" workbookViewId="0">
      <selection activeCell="Q10" sqref="Q10"/>
    </sheetView>
  </sheetViews>
  <sheetFormatPr defaultRowHeight="14.25" x14ac:dyDescent="0.2"/>
  <cols>
    <col min="1" max="1" width="2.375" hidden="1" customWidth="1"/>
    <col min="2" max="2" width="2" customWidth="1"/>
    <col min="3" max="3" width="8.375" bestFit="1" customWidth="1"/>
    <col min="4" max="4" width="7.875" customWidth="1"/>
    <col min="5" max="5" width="9.5" customWidth="1"/>
    <col min="6" max="6" width="7.625" customWidth="1"/>
    <col min="7" max="7" width="7.5" bestFit="1" customWidth="1"/>
    <col min="8" max="8" width="5" bestFit="1" customWidth="1"/>
    <col min="9" max="9" width="11.375" customWidth="1"/>
    <col min="10" max="10" width="10.25" bestFit="1" customWidth="1"/>
    <col min="12" max="12" width="6.875" bestFit="1" customWidth="1"/>
    <col min="14" max="14" width="4.5" customWidth="1"/>
  </cols>
  <sheetData>
    <row r="1" spans="3:14" x14ac:dyDescent="0.2">
      <c r="C1" s="24" t="s">
        <v>107</v>
      </c>
      <c r="D1" s="24"/>
      <c r="E1" s="24"/>
      <c r="F1" s="24"/>
      <c r="G1" s="24"/>
      <c r="H1" s="24"/>
      <c r="I1" s="24"/>
    </row>
    <row r="2" spans="3:14" ht="21" customHeight="1" x14ac:dyDescent="0.45">
      <c r="C2" s="25" t="s">
        <v>24</v>
      </c>
      <c r="D2" s="25"/>
      <c r="E2" s="25"/>
      <c r="F2" s="1" t="s">
        <v>27</v>
      </c>
      <c r="G2" s="1"/>
      <c r="H2" s="26">
        <v>2.9725999999999999</v>
      </c>
      <c r="I2" s="26"/>
      <c r="J2" s="25" t="s">
        <v>59</v>
      </c>
      <c r="K2" s="25"/>
      <c r="L2" s="25"/>
      <c r="M2" s="25"/>
      <c r="N2" s="25"/>
    </row>
    <row r="3" spans="3:14" ht="21" customHeight="1" x14ac:dyDescent="0.45">
      <c r="C3" s="25" t="s">
        <v>109</v>
      </c>
      <c r="D3" s="25"/>
      <c r="E3" s="25"/>
      <c r="F3" s="1" t="s">
        <v>28</v>
      </c>
      <c r="G3" s="1"/>
      <c r="H3" s="26">
        <v>59.055399999999999</v>
      </c>
      <c r="I3" s="26"/>
      <c r="J3" s="25" t="s">
        <v>110</v>
      </c>
      <c r="K3" s="25"/>
      <c r="L3" s="25"/>
      <c r="M3" s="25"/>
      <c r="N3" s="25"/>
    </row>
    <row r="4" spans="3:14" ht="21" customHeight="1" x14ac:dyDescent="0.2">
      <c r="C4" s="25" t="s">
        <v>31</v>
      </c>
      <c r="D4" s="25"/>
      <c r="E4" s="25"/>
      <c r="F4" s="25" t="s">
        <v>65</v>
      </c>
      <c r="G4" s="25"/>
      <c r="H4" s="25"/>
      <c r="I4" s="1"/>
      <c r="J4" s="25" t="s">
        <v>30</v>
      </c>
      <c r="K4" s="25"/>
      <c r="L4" s="25"/>
      <c r="M4" s="25"/>
      <c r="N4" s="25"/>
    </row>
    <row r="5" spans="3:14" ht="21" customHeight="1" x14ac:dyDescent="0.2">
      <c r="C5" s="25" t="s">
        <v>111</v>
      </c>
      <c r="D5" s="25"/>
      <c r="E5" s="25"/>
      <c r="F5" s="25" t="s">
        <v>85</v>
      </c>
      <c r="G5" s="25"/>
      <c r="H5" s="25"/>
      <c r="I5" s="25"/>
      <c r="J5" s="25" t="s">
        <v>112</v>
      </c>
      <c r="K5" s="25"/>
      <c r="L5" s="25"/>
      <c r="M5" s="25"/>
      <c r="N5" s="25"/>
    </row>
    <row r="6" spans="3:14" ht="15.75" x14ac:dyDescent="0.2">
      <c r="C6" s="29" t="s">
        <v>8</v>
      </c>
      <c r="D6" s="29" t="s">
        <v>9</v>
      </c>
      <c r="E6" s="29" t="s">
        <v>10</v>
      </c>
      <c r="F6" s="29" t="s">
        <v>11</v>
      </c>
      <c r="G6" s="29" t="s">
        <v>12</v>
      </c>
      <c r="H6" s="27" t="s">
        <v>13</v>
      </c>
      <c r="I6" s="30" t="s">
        <v>14</v>
      </c>
      <c r="J6" s="29" t="s">
        <v>15</v>
      </c>
      <c r="K6" s="27" t="s">
        <v>16</v>
      </c>
      <c r="L6" s="27" t="s">
        <v>17</v>
      </c>
      <c r="M6" s="31" t="s">
        <v>18</v>
      </c>
      <c r="N6" s="31"/>
    </row>
    <row r="7" spans="3:14" ht="18.75" x14ac:dyDescent="0.2">
      <c r="C7" s="29"/>
      <c r="D7" s="29"/>
      <c r="E7" s="29"/>
      <c r="F7" s="29"/>
      <c r="G7" s="29"/>
      <c r="H7" s="27"/>
      <c r="I7" s="30"/>
      <c r="J7" s="29"/>
      <c r="K7" s="27"/>
      <c r="L7" s="27"/>
      <c r="M7" s="32">
        <v>140</v>
      </c>
      <c r="N7" s="32"/>
    </row>
    <row r="8" spans="3:14" ht="18.75" x14ac:dyDescent="0.2">
      <c r="C8" s="11">
        <f>IF(D8&lt;&gt;0,F8/D8,1)</f>
        <v>0.97929665965838486</v>
      </c>
      <c r="D8" s="12">
        <f>E8+F8</f>
        <v>25.327634639999999</v>
      </c>
      <c r="E8" s="12">
        <f>$H$2*I8*I8</f>
        <v>0.52436663999999999</v>
      </c>
      <c r="F8" s="12">
        <f>$H$3*I8</f>
        <v>24.803267999999999</v>
      </c>
      <c r="G8" s="13">
        <f>H8/(K8-$M$7)</f>
        <v>0.28000000000000003</v>
      </c>
      <c r="H8" s="8">
        <v>7</v>
      </c>
      <c r="I8" s="9">
        <f>H8*60/1000</f>
        <v>0.42</v>
      </c>
      <c r="J8" s="10">
        <f>IF(K8-$M$7&lt;0,0,K8-$M$7)</f>
        <v>25</v>
      </c>
      <c r="K8" s="3">
        <v>165</v>
      </c>
      <c r="L8" s="7">
        <v>1100</v>
      </c>
      <c r="M8" s="28" t="s">
        <v>19</v>
      </c>
      <c r="N8" s="28"/>
    </row>
    <row r="9" spans="3:14" ht="18.75" x14ac:dyDescent="0.2">
      <c r="C9" s="11">
        <f>IF(D9&lt;&gt;0,F9/D9,1)</f>
        <v>0.97210883818480209</v>
      </c>
      <c r="D9" s="12">
        <f t="shared" ref="D9:D12" si="0">E9+F9</f>
        <v>34.627375739999998</v>
      </c>
      <c r="E9" s="12">
        <f t="shared" ref="E9:E12" si="1">$H$2*I9*I9</f>
        <v>0.96579773999999985</v>
      </c>
      <c r="F9" s="12">
        <f t="shared" ref="F9:F12" si="2">$H$3*I9</f>
        <v>33.661577999999999</v>
      </c>
      <c r="G9" s="13">
        <f t="shared" ref="G9:G12" si="3">H9/(K9-$M$7)</f>
        <v>0.27142857142857141</v>
      </c>
      <c r="H9" s="8">
        <v>9.5</v>
      </c>
      <c r="I9" s="9">
        <f t="shared" ref="I9:I12" si="4">H9*60/1000</f>
        <v>0.56999999999999995</v>
      </c>
      <c r="J9" s="10">
        <f t="shared" ref="J9:J12" si="5">IF(K9-$M$7&lt;0,0,K9-$M$7)</f>
        <v>35</v>
      </c>
      <c r="K9" s="3">
        <v>175</v>
      </c>
      <c r="L9" s="5">
        <v>1200</v>
      </c>
      <c r="M9" s="28" t="s">
        <v>20</v>
      </c>
      <c r="N9" s="28"/>
    </row>
    <row r="10" spans="3:14" ht="18.75" x14ac:dyDescent="0.2">
      <c r="C10" s="11">
        <f>IF(D10&lt;&gt;0,F10/D10,1)</f>
        <v>0.95915526018360997</v>
      </c>
      <c r="D10" s="12">
        <f t="shared" si="0"/>
        <v>52.088405781599995</v>
      </c>
      <c r="E10" s="12">
        <f t="shared" si="1"/>
        <v>2.1275373815999998</v>
      </c>
      <c r="F10" s="12">
        <f t="shared" si="2"/>
        <v>49.960868399999995</v>
      </c>
      <c r="G10" s="13">
        <f t="shared" si="3"/>
        <v>0.27115384615384613</v>
      </c>
      <c r="H10" s="8">
        <v>14.1</v>
      </c>
      <c r="I10" s="9">
        <f t="shared" si="4"/>
        <v>0.84599999999999997</v>
      </c>
      <c r="J10" s="10">
        <f t="shared" si="5"/>
        <v>52</v>
      </c>
      <c r="K10" s="3">
        <v>192</v>
      </c>
      <c r="L10" s="7">
        <v>1300</v>
      </c>
      <c r="M10" s="28" t="s">
        <v>21</v>
      </c>
      <c r="N10" s="28"/>
    </row>
    <row r="11" spans="3:14" ht="18.75" x14ac:dyDescent="0.2">
      <c r="C11" s="11">
        <f>IF(D11&lt;&gt;0,F11/D11,1)</f>
        <v>1</v>
      </c>
      <c r="D11" s="12">
        <f>E11+F11</f>
        <v>0</v>
      </c>
      <c r="E11" s="12">
        <f t="shared" si="1"/>
        <v>0</v>
      </c>
      <c r="F11" s="12">
        <f>$H$3*I11</f>
        <v>0</v>
      </c>
      <c r="G11" s="13">
        <f t="shared" si="3"/>
        <v>0</v>
      </c>
      <c r="H11" s="2">
        <v>0</v>
      </c>
      <c r="I11" s="9">
        <f t="shared" si="4"/>
        <v>0</v>
      </c>
      <c r="J11" s="10">
        <f t="shared" si="5"/>
        <v>0</v>
      </c>
      <c r="K11" s="4">
        <v>0</v>
      </c>
      <c r="L11" s="5">
        <v>0</v>
      </c>
      <c r="M11" s="28" t="s">
        <v>22</v>
      </c>
      <c r="N11" s="28"/>
    </row>
    <row r="12" spans="3:14" ht="18.75" x14ac:dyDescent="0.2">
      <c r="C12" s="11">
        <f t="shared" ref="C12" si="6">IF(D12&lt;&gt;0,F12/D12,1)</f>
        <v>1</v>
      </c>
      <c r="D12" s="12">
        <f t="shared" si="0"/>
        <v>0</v>
      </c>
      <c r="E12" s="12">
        <f t="shared" si="1"/>
        <v>0</v>
      </c>
      <c r="F12" s="12">
        <f t="shared" si="2"/>
        <v>0</v>
      </c>
      <c r="G12" s="13">
        <f t="shared" si="3"/>
        <v>0</v>
      </c>
      <c r="H12" s="2">
        <v>0</v>
      </c>
      <c r="I12" s="9">
        <f t="shared" si="4"/>
        <v>0</v>
      </c>
      <c r="J12" s="10">
        <f t="shared" si="5"/>
        <v>0</v>
      </c>
      <c r="K12" s="4">
        <v>0</v>
      </c>
      <c r="L12" s="5">
        <v>0</v>
      </c>
      <c r="M12" s="33" t="s">
        <v>23</v>
      </c>
      <c r="N12" s="33"/>
    </row>
    <row r="32" spans="3:15" ht="21.75" customHeight="1" x14ac:dyDescent="0.2">
      <c r="C32" s="25" t="s">
        <v>7</v>
      </c>
      <c r="D32" s="25"/>
      <c r="E32" s="25"/>
      <c r="F32" s="25" t="s">
        <v>25</v>
      </c>
      <c r="G32" s="25"/>
      <c r="H32" s="25"/>
      <c r="I32" s="25"/>
      <c r="J32" s="6"/>
      <c r="K32" s="25" t="s">
        <v>26</v>
      </c>
      <c r="L32" s="25"/>
      <c r="M32" s="25"/>
      <c r="N32" s="6"/>
      <c r="O32" s="6"/>
    </row>
  </sheetData>
  <mergeCells count="33">
    <mergeCell ref="M11:N11"/>
    <mergeCell ref="M12:N12"/>
    <mergeCell ref="C32:E32"/>
    <mergeCell ref="F32:I32"/>
    <mergeCell ref="K32:M32"/>
    <mergeCell ref="L6:L7"/>
    <mergeCell ref="M6:N6"/>
    <mergeCell ref="M7:N7"/>
    <mergeCell ref="M9:N9"/>
    <mergeCell ref="M10:N10"/>
    <mergeCell ref="H6:H7"/>
    <mergeCell ref="M8:N8"/>
    <mergeCell ref="C4:E4"/>
    <mergeCell ref="F4:H4"/>
    <mergeCell ref="J4:N4"/>
    <mergeCell ref="C5:E5"/>
    <mergeCell ref="F5:I5"/>
    <mergeCell ref="J5:N5"/>
    <mergeCell ref="C6:C7"/>
    <mergeCell ref="D6:D7"/>
    <mergeCell ref="E6:E7"/>
    <mergeCell ref="F6:F7"/>
    <mergeCell ref="G6:G7"/>
    <mergeCell ref="I6:I7"/>
    <mergeCell ref="J6:J7"/>
    <mergeCell ref="K6:K7"/>
    <mergeCell ref="C1:I1"/>
    <mergeCell ref="C2:E2"/>
    <mergeCell ref="H2:I2"/>
    <mergeCell ref="J2:N2"/>
    <mergeCell ref="C3:E3"/>
    <mergeCell ref="H3:I3"/>
    <mergeCell ref="J3:N3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rightToLeft="1" topLeftCell="B1" zoomScale="115" zoomScaleNormal="115" workbookViewId="0">
      <selection activeCell="P29" sqref="P29"/>
    </sheetView>
  </sheetViews>
  <sheetFormatPr defaultRowHeight="14.25" x14ac:dyDescent="0.2"/>
  <cols>
    <col min="1" max="1" width="2.375" hidden="1" customWidth="1"/>
    <col min="2" max="2" width="2" customWidth="1"/>
    <col min="3" max="3" width="8.375" bestFit="1" customWidth="1"/>
    <col min="4" max="4" width="7.875" customWidth="1"/>
    <col min="5" max="5" width="9.5" customWidth="1"/>
    <col min="6" max="6" width="7.625" customWidth="1"/>
    <col min="7" max="7" width="7.5" bestFit="1" customWidth="1"/>
    <col min="8" max="8" width="5" bestFit="1" customWidth="1"/>
    <col min="9" max="9" width="11.375" customWidth="1"/>
    <col min="10" max="10" width="10.25" bestFit="1" customWidth="1"/>
    <col min="12" max="12" width="6.875" bestFit="1" customWidth="1"/>
    <col min="14" max="14" width="4.5" customWidth="1"/>
  </cols>
  <sheetData>
    <row r="1" spans="3:14" x14ac:dyDescent="0.2">
      <c r="C1" s="24" t="s">
        <v>99</v>
      </c>
      <c r="D1" s="24"/>
      <c r="E1" s="24"/>
      <c r="F1" s="24"/>
      <c r="G1" s="24"/>
      <c r="H1" s="24"/>
      <c r="I1" s="24"/>
    </row>
    <row r="2" spans="3:14" ht="21" customHeight="1" x14ac:dyDescent="0.45">
      <c r="C2" s="25" t="s">
        <v>24</v>
      </c>
      <c r="D2" s="25"/>
      <c r="E2" s="25"/>
      <c r="F2" s="1" t="s">
        <v>27</v>
      </c>
      <c r="G2" s="1"/>
      <c r="H2" s="26">
        <v>5.4573999999999998</v>
      </c>
      <c r="I2" s="26"/>
      <c r="J2" s="25" t="s">
        <v>59</v>
      </c>
      <c r="K2" s="25"/>
      <c r="L2" s="25"/>
      <c r="M2" s="25"/>
      <c r="N2" s="25"/>
    </row>
    <row r="3" spans="3:14" ht="21" customHeight="1" x14ac:dyDescent="0.45">
      <c r="C3" s="25" t="s">
        <v>100</v>
      </c>
      <c r="D3" s="25"/>
      <c r="E3" s="25"/>
      <c r="F3" s="1" t="s">
        <v>28</v>
      </c>
      <c r="G3" s="1"/>
      <c r="H3" s="26">
        <v>132.21789999999999</v>
      </c>
      <c r="I3" s="26"/>
      <c r="J3" s="25" t="s">
        <v>101</v>
      </c>
      <c r="K3" s="25"/>
      <c r="L3" s="25"/>
      <c r="M3" s="25"/>
      <c r="N3" s="25"/>
    </row>
    <row r="4" spans="3:14" ht="21" customHeight="1" x14ac:dyDescent="0.2">
      <c r="C4" s="25" t="s">
        <v>102</v>
      </c>
      <c r="D4" s="25"/>
      <c r="E4" s="25"/>
      <c r="F4" s="25" t="s">
        <v>65</v>
      </c>
      <c r="G4" s="25"/>
      <c r="H4" s="25"/>
      <c r="I4" s="1"/>
      <c r="J4" s="25" t="s">
        <v>103</v>
      </c>
      <c r="K4" s="25"/>
      <c r="L4" s="25"/>
      <c r="M4" s="25"/>
      <c r="N4" s="25"/>
    </row>
    <row r="5" spans="3:14" ht="21" customHeight="1" x14ac:dyDescent="0.2">
      <c r="C5" s="25" t="s">
        <v>104</v>
      </c>
      <c r="D5" s="25"/>
      <c r="E5" s="25"/>
      <c r="F5" s="25" t="s">
        <v>85</v>
      </c>
      <c r="G5" s="25"/>
      <c r="H5" s="25"/>
      <c r="I5" s="25"/>
      <c r="J5" s="25" t="s">
        <v>105</v>
      </c>
      <c r="K5" s="25"/>
      <c r="L5" s="25"/>
      <c r="M5" s="25"/>
      <c r="N5" s="25"/>
    </row>
    <row r="6" spans="3:14" ht="15.75" x14ac:dyDescent="0.2">
      <c r="C6" s="29" t="s">
        <v>8</v>
      </c>
      <c r="D6" s="29" t="s">
        <v>9</v>
      </c>
      <c r="E6" s="29" t="s">
        <v>10</v>
      </c>
      <c r="F6" s="29" t="s">
        <v>11</v>
      </c>
      <c r="G6" s="29" t="s">
        <v>12</v>
      </c>
      <c r="H6" s="27" t="s">
        <v>13</v>
      </c>
      <c r="I6" s="30" t="s">
        <v>14</v>
      </c>
      <c r="J6" s="29" t="s">
        <v>15</v>
      </c>
      <c r="K6" s="27" t="s">
        <v>16</v>
      </c>
      <c r="L6" s="27" t="s">
        <v>17</v>
      </c>
      <c r="M6" s="31" t="s">
        <v>18</v>
      </c>
      <c r="N6" s="31"/>
    </row>
    <row r="7" spans="3:14" ht="18.75" x14ac:dyDescent="0.2">
      <c r="C7" s="29"/>
      <c r="D7" s="29"/>
      <c r="E7" s="29"/>
      <c r="F7" s="29"/>
      <c r="G7" s="29"/>
      <c r="H7" s="27"/>
      <c r="I7" s="30"/>
      <c r="J7" s="29"/>
      <c r="K7" s="27"/>
      <c r="L7" s="27"/>
      <c r="M7" s="32">
        <v>60</v>
      </c>
      <c r="N7" s="32"/>
    </row>
    <row r="8" spans="3:14" ht="18.75" x14ac:dyDescent="0.2">
      <c r="C8" s="11">
        <f>IF(D8&lt;&gt;0,F8/D8,1)</f>
        <v>0.98776871590716886</v>
      </c>
      <c r="D8" s="12">
        <f>E8+F8</f>
        <v>40.156535999999996</v>
      </c>
      <c r="E8" s="12">
        <f>$H$2*I8*I8</f>
        <v>0.49116599999999994</v>
      </c>
      <c r="F8" s="12">
        <f>$H$3*I8</f>
        <v>39.665369999999996</v>
      </c>
      <c r="G8" s="13">
        <f>H8/(K8-$M$7)</f>
        <v>0.125</v>
      </c>
      <c r="H8" s="8">
        <v>5</v>
      </c>
      <c r="I8" s="9">
        <f>H8*60/1000</f>
        <v>0.3</v>
      </c>
      <c r="J8" s="10">
        <f>IF(K8-$M$7&lt;0,0,K8-$M$7)</f>
        <v>40</v>
      </c>
      <c r="K8" s="3">
        <v>100</v>
      </c>
      <c r="L8" s="7">
        <v>1100</v>
      </c>
      <c r="M8" s="28" t="s">
        <v>19</v>
      </c>
      <c r="N8" s="28"/>
    </row>
    <row r="9" spans="3:14" ht="18.75" x14ac:dyDescent="0.2">
      <c r="C9" s="11">
        <f>IF(D9&lt;&gt;0,F9/D9,1)</f>
        <v>0.98343837879558571</v>
      </c>
      <c r="D9" s="12">
        <f t="shared" ref="D9:D12" si="0">E9+F9</f>
        <v>54.853363833599992</v>
      </c>
      <c r="E9" s="12">
        <f t="shared" ref="E9:E12" si="1">$H$2*I9*I9</f>
        <v>0.90846063359999973</v>
      </c>
      <c r="F9" s="12">
        <f t="shared" ref="F9:F12" si="2">$H$3*I9</f>
        <v>53.944903199999992</v>
      </c>
      <c r="G9" s="13">
        <f t="shared" ref="G9:G12" si="3">H9/(K9-$M$7)</f>
        <v>0.12363636363636363</v>
      </c>
      <c r="H9" s="8">
        <v>6.8</v>
      </c>
      <c r="I9" s="9">
        <f t="shared" ref="I9:I12" si="4">H9*60/1000</f>
        <v>0.40799999999999997</v>
      </c>
      <c r="J9" s="10">
        <f t="shared" ref="J9:J12" si="5">IF(K9-$M$7&lt;0,0,K9-$M$7)</f>
        <v>55</v>
      </c>
      <c r="K9" s="3">
        <v>115</v>
      </c>
      <c r="L9" s="5">
        <v>1200</v>
      </c>
      <c r="M9" s="28" t="s">
        <v>20</v>
      </c>
      <c r="N9" s="28"/>
    </row>
    <row r="10" spans="3:14" ht="18.75" x14ac:dyDescent="0.2">
      <c r="C10" s="11">
        <f>IF(D10&lt;&gt;0,F10/D10,1)</f>
        <v>0.97819703127652302</v>
      </c>
      <c r="D10" s="12">
        <f t="shared" si="0"/>
        <v>72.989043840000008</v>
      </c>
      <c r="E10" s="12">
        <f t="shared" si="1"/>
        <v>1.59137784</v>
      </c>
      <c r="F10" s="12">
        <f t="shared" si="2"/>
        <v>71.397666000000001</v>
      </c>
      <c r="G10" s="13">
        <f t="shared" si="3"/>
        <v>0.12328767123287671</v>
      </c>
      <c r="H10" s="8">
        <v>9</v>
      </c>
      <c r="I10" s="9">
        <f t="shared" si="4"/>
        <v>0.54</v>
      </c>
      <c r="J10" s="10">
        <f t="shared" si="5"/>
        <v>73</v>
      </c>
      <c r="K10" s="3">
        <v>133</v>
      </c>
      <c r="L10" s="7">
        <v>1300</v>
      </c>
      <c r="M10" s="28" t="s">
        <v>21</v>
      </c>
      <c r="N10" s="28"/>
    </row>
    <row r="11" spans="3:14" ht="18.75" x14ac:dyDescent="0.2">
      <c r="C11" s="11">
        <f>IF(D11&lt;&gt;0,F11/D11,1)</f>
        <v>0.9711391259468023</v>
      </c>
      <c r="D11" s="12">
        <f>E11+F11</f>
        <v>98.026004159999985</v>
      </c>
      <c r="E11" s="12">
        <f t="shared" si="1"/>
        <v>2.8291161599999999</v>
      </c>
      <c r="F11" s="12">
        <f>$H$3*I11</f>
        <v>95.196887999999987</v>
      </c>
      <c r="G11" s="13">
        <f t="shared" si="3"/>
        <v>0.12244897959183673</v>
      </c>
      <c r="H11" s="2">
        <v>12</v>
      </c>
      <c r="I11" s="9">
        <f t="shared" si="4"/>
        <v>0.72</v>
      </c>
      <c r="J11" s="10">
        <f t="shared" si="5"/>
        <v>98</v>
      </c>
      <c r="K11" s="4">
        <v>158</v>
      </c>
      <c r="L11" s="5">
        <v>1400</v>
      </c>
      <c r="M11" s="28" t="s">
        <v>22</v>
      </c>
      <c r="N11" s="28"/>
    </row>
    <row r="12" spans="3:14" ht="18.75" x14ac:dyDescent="0.2">
      <c r="C12" s="11">
        <f t="shared" ref="C12" si="6">IF(D12&lt;&gt;0,F12/D12,1)</f>
        <v>1</v>
      </c>
      <c r="D12" s="12">
        <f t="shared" si="0"/>
        <v>0</v>
      </c>
      <c r="E12" s="12">
        <f t="shared" si="1"/>
        <v>0</v>
      </c>
      <c r="F12" s="12">
        <f t="shared" si="2"/>
        <v>0</v>
      </c>
      <c r="G12" s="13">
        <f t="shared" si="3"/>
        <v>0</v>
      </c>
      <c r="H12" s="2">
        <v>0</v>
      </c>
      <c r="I12" s="9">
        <f t="shared" si="4"/>
        <v>0</v>
      </c>
      <c r="J12" s="10">
        <f t="shared" si="5"/>
        <v>0</v>
      </c>
      <c r="K12" s="4">
        <v>0</v>
      </c>
      <c r="L12" s="5">
        <v>0</v>
      </c>
      <c r="M12" s="33" t="s">
        <v>23</v>
      </c>
      <c r="N12" s="33"/>
    </row>
    <row r="32" spans="3:15" ht="21.75" customHeight="1" x14ac:dyDescent="0.2">
      <c r="C32" s="25" t="s">
        <v>7</v>
      </c>
      <c r="D32" s="25"/>
      <c r="E32" s="25"/>
      <c r="F32" s="25" t="s">
        <v>25</v>
      </c>
      <c r="G32" s="25"/>
      <c r="H32" s="25"/>
      <c r="I32" s="25"/>
      <c r="J32" s="6"/>
      <c r="K32" s="25" t="s">
        <v>26</v>
      </c>
      <c r="L32" s="25"/>
      <c r="M32" s="25"/>
      <c r="N32" s="6"/>
      <c r="O32" s="6"/>
    </row>
  </sheetData>
  <mergeCells count="33">
    <mergeCell ref="M11:N11"/>
    <mergeCell ref="M12:N12"/>
    <mergeCell ref="C32:E32"/>
    <mergeCell ref="F32:I32"/>
    <mergeCell ref="K32:M32"/>
    <mergeCell ref="L6:L7"/>
    <mergeCell ref="M6:N6"/>
    <mergeCell ref="M7:N7"/>
    <mergeCell ref="M9:N9"/>
    <mergeCell ref="M10:N10"/>
    <mergeCell ref="H6:H7"/>
    <mergeCell ref="M8:N8"/>
    <mergeCell ref="C4:E4"/>
    <mergeCell ref="F4:H4"/>
    <mergeCell ref="J4:N4"/>
    <mergeCell ref="C5:E5"/>
    <mergeCell ref="F5:I5"/>
    <mergeCell ref="J5:N5"/>
    <mergeCell ref="C6:C7"/>
    <mergeCell ref="D6:D7"/>
    <mergeCell ref="E6:E7"/>
    <mergeCell ref="F6:F7"/>
    <mergeCell ref="G6:G7"/>
    <mergeCell ref="I6:I7"/>
    <mergeCell ref="J6:J7"/>
    <mergeCell ref="K6:K7"/>
    <mergeCell ref="C1:I1"/>
    <mergeCell ref="C2:E2"/>
    <mergeCell ref="H2:I2"/>
    <mergeCell ref="J2:N2"/>
    <mergeCell ref="C3:E3"/>
    <mergeCell ref="H3:I3"/>
    <mergeCell ref="J3:N3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rightToLeft="1" topLeftCell="B1" zoomScale="115" zoomScaleNormal="115" workbookViewId="0">
      <selection activeCell="S10" sqref="S10"/>
    </sheetView>
  </sheetViews>
  <sheetFormatPr defaultRowHeight="14.25" x14ac:dyDescent="0.2"/>
  <cols>
    <col min="1" max="1" width="2.375" hidden="1" customWidth="1"/>
    <col min="2" max="2" width="2" customWidth="1"/>
    <col min="3" max="3" width="8.375" bestFit="1" customWidth="1"/>
    <col min="4" max="4" width="7.875" customWidth="1"/>
    <col min="5" max="5" width="9.5" customWidth="1"/>
    <col min="6" max="6" width="7.625" customWidth="1"/>
    <col min="7" max="7" width="7.5" bestFit="1" customWidth="1"/>
    <col min="8" max="8" width="5" bestFit="1" customWidth="1"/>
    <col min="9" max="9" width="11.375" customWidth="1"/>
    <col min="10" max="10" width="10.25" bestFit="1" customWidth="1"/>
    <col min="12" max="12" width="6.875" bestFit="1" customWidth="1"/>
    <col min="14" max="14" width="4.5" customWidth="1"/>
  </cols>
  <sheetData>
    <row r="1" spans="3:14" x14ac:dyDescent="0.2">
      <c r="C1" s="24" t="s">
        <v>92</v>
      </c>
      <c r="D1" s="24"/>
      <c r="E1" s="24"/>
      <c r="F1" s="24"/>
      <c r="G1" s="24"/>
      <c r="H1" s="24"/>
      <c r="I1" s="24"/>
    </row>
    <row r="2" spans="3:14" ht="21" customHeight="1" x14ac:dyDescent="0.45">
      <c r="C2" s="25" t="s">
        <v>24</v>
      </c>
      <c r="D2" s="25"/>
      <c r="E2" s="25"/>
      <c r="F2" s="1" t="s">
        <v>27</v>
      </c>
      <c r="G2" s="1"/>
      <c r="H2" s="26">
        <v>924.50779999999997</v>
      </c>
      <c r="I2" s="26"/>
      <c r="J2" s="25" t="s">
        <v>59</v>
      </c>
      <c r="K2" s="25"/>
      <c r="L2" s="25"/>
      <c r="M2" s="25"/>
      <c r="N2" s="25"/>
    </row>
    <row r="3" spans="3:14" ht="21" customHeight="1" x14ac:dyDescent="0.45">
      <c r="C3" s="25" t="s">
        <v>93</v>
      </c>
      <c r="D3" s="25"/>
      <c r="E3" s="25"/>
      <c r="F3" s="1" t="s">
        <v>28</v>
      </c>
      <c r="G3" s="1"/>
      <c r="H3" s="26">
        <v>34.046700000000001</v>
      </c>
      <c r="I3" s="26"/>
      <c r="J3" s="25" t="s">
        <v>94</v>
      </c>
      <c r="K3" s="25"/>
      <c r="L3" s="25"/>
      <c r="M3" s="25"/>
      <c r="N3" s="25"/>
    </row>
    <row r="4" spans="3:14" ht="21" customHeight="1" x14ac:dyDescent="0.2">
      <c r="C4" s="25" t="s">
        <v>95</v>
      </c>
      <c r="D4" s="25"/>
      <c r="E4" s="25"/>
      <c r="F4" s="25" t="s">
        <v>65</v>
      </c>
      <c r="G4" s="25"/>
      <c r="H4" s="25"/>
      <c r="I4" s="1"/>
      <c r="J4" s="25" t="s">
        <v>96</v>
      </c>
      <c r="K4" s="25"/>
      <c r="L4" s="25"/>
      <c r="M4" s="25"/>
      <c r="N4" s="25"/>
    </row>
    <row r="5" spans="3:14" ht="21" customHeight="1" x14ac:dyDescent="0.2">
      <c r="C5" s="25" t="s">
        <v>97</v>
      </c>
      <c r="D5" s="25"/>
      <c r="E5" s="25"/>
      <c r="F5" s="25" t="s">
        <v>85</v>
      </c>
      <c r="G5" s="25"/>
      <c r="H5" s="25"/>
      <c r="I5" s="25"/>
      <c r="J5" s="25" t="s">
        <v>69</v>
      </c>
      <c r="K5" s="25"/>
      <c r="L5" s="25"/>
      <c r="M5" s="25"/>
      <c r="N5" s="25"/>
    </row>
    <row r="6" spans="3:14" ht="15.75" x14ac:dyDescent="0.2">
      <c r="C6" s="29" t="s">
        <v>8</v>
      </c>
      <c r="D6" s="29" t="s">
        <v>9</v>
      </c>
      <c r="E6" s="29" t="s">
        <v>10</v>
      </c>
      <c r="F6" s="29" t="s">
        <v>11</v>
      </c>
      <c r="G6" s="29" t="s">
        <v>12</v>
      </c>
      <c r="H6" s="27" t="s">
        <v>13</v>
      </c>
      <c r="I6" s="30" t="s">
        <v>14</v>
      </c>
      <c r="J6" s="29" t="s">
        <v>15</v>
      </c>
      <c r="K6" s="27" t="s">
        <v>16</v>
      </c>
      <c r="L6" s="27" t="s">
        <v>17</v>
      </c>
      <c r="M6" s="31" t="s">
        <v>18</v>
      </c>
      <c r="N6" s="31"/>
    </row>
    <row r="7" spans="3:14" ht="18.75" x14ac:dyDescent="0.2">
      <c r="C7" s="29"/>
      <c r="D7" s="29"/>
      <c r="E7" s="29"/>
      <c r="F7" s="29"/>
      <c r="G7" s="29"/>
      <c r="H7" s="27"/>
      <c r="I7" s="30"/>
      <c r="J7" s="29"/>
      <c r="K7" s="27"/>
      <c r="L7" s="27"/>
      <c r="M7" s="32">
        <v>94</v>
      </c>
      <c r="N7" s="32"/>
    </row>
    <row r="8" spans="3:14" ht="18.75" x14ac:dyDescent="0.2">
      <c r="C8" s="11">
        <f>IF(D8&lt;&gt;0,F8/D8,1)</f>
        <v>0.23482485085831734</v>
      </c>
      <c r="D8" s="12">
        <f>E8+F8</f>
        <v>17.398516319999999</v>
      </c>
      <c r="E8" s="12">
        <f>$H$2*I8*I8</f>
        <v>13.312912319999999</v>
      </c>
      <c r="F8" s="12">
        <f>$H$3*I8</f>
        <v>4.085604</v>
      </c>
      <c r="G8" s="13">
        <f>H8/(K8-$M$7)</f>
        <v>8.3333333333333329E-2</v>
      </c>
      <c r="H8" s="8">
        <v>2</v>
      </c>
      <c r="I8" s="9">
        <f>H8*60/1000</f>
        <v>0.12</v>
      </c>
      <c r="J8" s="10">
        <f>IF(K8-$M$7&lt;0,0,K8-$M$7)</f>
        <v>24</v>
      </c>
      <c r="K8" s="3">
        <v>118</v>
      </c>
      <c r="L8" s="7">
        <v>1000</v>
      </c>
      <c r="M8" s="28" t="s">
        <v>19</v>
      </c>
      <c r="N8" s="28"/>
    </row>
    <row r="9" spans="3:14" ht="18.75" x14ac:dyDescent="0.2">
      <c r="C9" s="11">
        <f>IF(D9&lt;&gt;0,F9/D9,1)</f>
        <v>0.13303203989275572</v>
      </c>
      <c r="D9" s="12">
        <f t="shared" ref="D9:D12" si="0">E9+F9</f>
        <v>61.422857279999995</v>
      </c>
      <c r="E9" s="12">
        <f t="shared" ref="E9:E12" si="1">$H$2*I9*I9</f>
        <v>53.251649279999995</v>
      </c>
      <c r="F9" s="12">
        <f t="shared" ref="F9:F12" si="2">$H$3*I9</f>
        <v>8.171208</v>
      </c>
      <c r="G9" s="13">
        <f t="shared" ref="G9:G12" si="3">H9/(K9-$M$7)</f>
        <v>7.2727272727272724E-2</v>
      </c>
      <c r="H9" s="8">
        <v>4</v>
      </c>
      <c r="I9" s="9">
        <f t="shared" ref="I9:I12" si="4">H9*60/1000</f>
        <v>0.24</v>
      </c>
      <c r="J9" s="10">
        <f t="shared" ref="J9:J12" si="5">IF(K9-$M$7&lt;0,0,K9-$M$7)</f>
        <v>55</v>
      </c>
      <c r="K9" s="3">
        <v>149</v>
      </c>
      <c r="L9" s="5">
        <v>1100</v>
      </c>
      <c r="M9" s="28" t="s">
        <v>20</v>
      </c>
      <c r="N9" s="28"/>
    </row>
    <row r="10" spans="3:14" ht="18.75" x14ac:dyDescent="0.2">
      <c r="C10" s="11">
        <f>IF(D10&lt;&gt;0,F10/D10,1)</f>
        <v>0.10933463378692498</v>
      </c>
      <c r="D10" s="12">
        <f t="shared" si="0"/>
        <v>93.41971199999999</v>
      </c>
      <c r="E10" s="12">
        <f t="shared" si="1"/>
        <v>83.205701999999988</v>
      </c>
      <c r="F10" s="12">
        <f t="shared" si="2"/>
        <v>10.21401</v>
      </c>
      <c r="G10" s="13">
        <f t="shared" si="3"/>
        <v>6.097560975609756E-2</v>
      </c>
      <c r="H10" s="8">
        <v>5</v>
      </c>
      <c r="I10" s="9">
        <f t="shared" si="4"/>
        <v>0.3</v>
      </c>
      <c r="J10" s="10">
        <f t="shared" si="5"/>
        <v>82</v>
      </c>
      <c r="K10" s="3">
        <v>176</v>
      </c>
      <c r="L10" s="7">
        <v>1200</v>
      </c>
      <c r="M10" s="28" t="s">
        <v>21</v>
      </c>
      <c r="N10" s="28"/>
    </row>
    <row r="11" spans="3:14" ht="18.75" x14ac:dyDescent="0.2">
      <c r="C11" s="11">
        <f>IF(D11&lt;&gt;0,F11/D11,1)</f>
        <v>0.10557341057136853</v>
      </c>
      <c r="D11" s="12">
        <f>E11+F11</f>
        <v>100.6178576832</v>
      </c>
      <c r="E11" s="12">
        <f t="shared" si="1"/>
        <v>89.9952872832</v>
      </c>
      <c r="F11" s="12">
        <f>$H$3*I11</f>
        <v>10.622570400000001</v>
      </c>
      <c r="G11" s="13">
        <f t="shared" si="3"/>
        <v>4.5614035087719301E-2</v>
      </c>
      <c r="H11" s="2">
        <v>5.2</v>
      </c>
      <c r="I11" s="9">
        <f t="shared" si="4"/>
        <v>0.312</v>
      </c>
      <c r="J11" s="10">
        <f t="shared" si="5"/>
        <v>114</v>
      </c>
      <c r="K11" s="4">
        <v>208</v>
      </c>
      <c r="L11" s="5">
        <v>1300</v>
      </c>
      <c r="M11" s="28" t="s">
        <v>22</v>
      </c>
      <c r="N11" s="28"/>
    </row>
    <row r="12" spans="3:14" ht="18.75" x14ac:dyDescent="0.2">
      <c r="C12" s="11">
        <f t="shared" ref="C12" si="6">IF(D12&lt;&gt;0,F12/D12,1)</f>
        <v>1</v>
      </c>
      <c r="D12" s="12">
        <f t="shared" si="0"/>
        <v>0</v>
      </c>
      <c r="E12" s="12">
        <f t="shared" si="1"/>
        <v>0</v>
      </c>
      <c r="F12" s="12">
        <f t="shared" si="2"/>
        <v>0</v>
      </c>
      <c r="G12" s="13">
        <f t="shared" si="3"/>
        <v>0</v>
      </c>
      <c r="H12" s="2">
        <v>0</v>
      </c>
      <c r="I12" s="9">
        <f t="shared" si="4"/>
        <v>0</v>
      </c>
      <c r="J12" s="10">
        <f t="shared" si="5"/>
        <v>0</v>
      </c>
      <c r="K12" s="4">
        <v>0</v>
      </c>
      <c r="L12" s="5">
        <v>0</v>
      </c>
      <c r="M12" s="33" t="s">
        <v>23</v>
      </c>
      <c r="N12" s="33"/>
    </row>
    <row r="32" spans="3:15" ht="21.75" customHeight="1" x14ac:dyDescent="0.2">
      <c r="C32" s="25" t="s">
        <v>7</v>
      </c>
      <c r="D32" s="25"/>
      <c r="E32" s="25"/>
      <c r="F32" s="25" t="s">
        <v>25</v>
      </c>
      <c r="G32" s="25"/>
      <c r="H32" s="25"/>
      <c r="I32" s="25"/>
      <c r="J32" s="6"/>
      <c r="K32" s="25" t="s">
        <v>26</v>
      </c>
      <c r="L32" s="25"/>
      <c r="M32" s="25"/>
      <c r="N32" s="6"/>
      <c r="O32" s="6"/>
    </row>
  </sheetData>
  <mergeCells count="33">
    <mergeCell ref="M11:N11"/>
    <mergeCell ref="M12:N12"/>
    <mergeCell ref="C32:E32"/>
    <mergeCell ref="F32:I32"/>
    <mergeCell ref="K32:M32"/>
    <mergeCell ref="L6:L7"/>
    <mergeCell ref="M6:N6"/>
    <mergeCell ref="M7:N7"/>
    <mergeCell ref="M9:N9"/>
    <mergeCell ref="M10:N10"/>
    <mergeCell ref="H6:H7"/>
    <mergeCell ref="M8:N8"/>
    <mergeCell ref="C4:E4"/>
    <mergeCell ref="F4:H4"/>
    <mergeCell ref="J4:N4"/>
    <mergeCell ref="C5:E5"/>
    <mergeCell ref="F5:I5"/>
    <mergeCell ref="J5:N5"/>
    <mergeCell ref="C6:C7"/>
    <mergeCell ref="D6:D7"/>
    <mergeCell ref="E6:E7"/>
    <mergeCell ref="F6:F7"/>
    <mergeCell ref="G6:G7"/>
    <mergeCell ref="I6:I7"/>
    <mergeCell ref="J6:J7"/>
    <mergeCell ref="K6:K7"/>
    <mergeCell ref="C1:I1"/>
    <mergeCell ref="C2:E2"/>
    <mergeCell ref="H2:I2"/>
    <mergeCell ref="J2:N2"/>
    <mergeCell ref="C3:E3"/>
    <mergeCell ref="H3:I3"/>
    <mergeCell ref="J3:N3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rightToLeft="1" topLeftCell="B1" zoomScale="115" zoomScaleNormal="115" workbookViewId="0">
      <selection activeCell="F4" sqref="F4:H4"/>
    </sheetView>
  </sheetViews>
  <sheetFormatPr defaultRowHeight="14.25" x14ac:dyDescent="0.2"/>
  <cols>
    <col min="1" max="1" width="2.375" hidden="1" customWidth="1"/>
    <col min="2" max="2" width="2" customWidth="1"/>
    <col min="3" max="3" width="8.375" bestFit="1" customWidth="1"/>
    <col min="4" max="4" width="7.875" customWidth="1"/>
    <col min="5" max="5" width="9.5" customWidth="1"/>
    <col min="6" max="6" width="7.625" customWidth="1"/>
    <col min="7" max="7" width="7.5" bestFit="1" customWidth="1"/>
    <col min="8" max="8" width="5" bestFit="1" customWidth="1"/>
    <col min="9" max="9" width="11.375" customWidth="1"/>
    <col min="10" max="10" width="10.25" bestFit="1" customWidth="1"/>
    <col min="12" max="12" width="6.875" bestFit="1" customWidth="1"/>
    <col min="14" max="14" width="4.5" customWidth="1"/>
  </cols>
  <sheetData>
    <row r="1" spans="3:14" x14ac:dyDescent="0.2">
      <c r="C1" s="24" t="s">
        <v>87</v>
      </c>
      <c r="D1" s="24"/>
      <c r="E1" s="24"/>
      <c r="F1" s="24"/>
      <c r="G1" s="24"/>
      <c r="H1" s="24"/>
      <c r="I1" s="24"/>
    </row>
    <row r="2" spans="3:14" ht="21" customHeight="1" x14ac:dyDescent="0.45">
      <c r="C2" s="25" t="s">
        <v>24</v>
      </c>
      <c r="D2" s="25"/>
      <c r="E2" s="25"/>
      <c r="F2" s="1" t="s">
        <v>27</v>
      </c>
      <c r="G2" s="1"/>
      <c r="H2" s="26">
        <v>2.7193999999999998</v>
      </c>
      <c r="I2" s="26"/>
      <c r="J2" s="25" t="s">
        <v>59</v>
      </c>
      <c r="K2" s="25"/>
      <c r="L2" s="25"/>
      <c r="M2" s="25"/>
      <c r="N2" s="25"/>
    </row>
    <row r="3" spans="3:14" ht="21" customHeight="1" x14ac:dyDescent="0.45">
      <c r="C3" s="25" t="s">
        <v>60</v>
      </c>
      <c r="D3" s="25"/>
      <c r="E3" s="25"/>
      <c r="F3" s="1" t="s">
        <v>28</v>
      </c>
      <c r="G3" s="1"/>
      <c r="H3" s="26">
        <v>51.289400000000001</v>
      </c>
      <c r="I3" s="26"/>
      <c r="J3" s="25" t="s">
        <v>67</v>
      </c>
      <c r="K3" s="25"/>
      <c r="L3" s="25"/>
      <c r="M3" s="25"/>
      <c r="N3" s="25"/>
    </row>
    <row r="4" spans="3:14" ht="21" customHeight="1" x14ac:dyDescent="0.2">
      <c r="C4" s="25" t="s">
        <v>90</v>
      </c>
      <c r="D4" s="25"/>
      <c r="E4" s="25"/>
      <c r="F4" s="25" t="s">
        <v>65</v>
      </c>
      <c r="G4" s="25"/>
      <c r="H4" s="25"/>
      <c r="I4" s="1"/>
      <c r="J4" s="25" t="s">
        <v>88</v>
      </c>
      <c r="K4" s="25"/>
      <c r="L4" s="25"/>
      <c r="M4" s="25"/>
      <c r="N4" s="25"/>
    </row>
    <row r="5" spans="3:14" ht="21" customHeight="1" x14ac:dyDescent="0.2">
      <c r="C5" s="25" t="s">
        <v>84</v>
      </c>
      <c r="D5" s="25"/>
      <c r="E5" s="25"/>
      <c r="F5" s="25" t="s">
        <v>85</v>
      </c>
      <c r="G5" s="25"/>
      <c r="H5" s="25"/>
      <c r="I5" s="25"/>
      <c r="J5" s="25" t="s">
        <v>89</v>
      </c>
      <c r="K5" s="25"/>
      <c r="L5" s="25"/>
      <c r="M5" s="25"/>
      <c r="N5" s="25"/>
    </row>
    <row r="6" spans="3:14" ht="15.75" x14ac:dyDescent="0.2">
      <c r="C6" s="29" t="s">
        <v>8</v>
      </c>
      <c r="D6" s="29" t="s">
        <v>9</v>
      </c>
      <c r="E6" s="29" t="s">
        <v>10</v>
      </c>
      <c r="F6" s="29" t="s">
        <v>11</v>
      </c>
      <c r="G6" s="29" t="s">
        <v>12</v>
      </c>
      <c r="H6" s="27" t="s">
        <v>13</v>
      </c>
      <c r="I6" s="30" t="s">
        <v>14</v>
      </c>
      <c r="J6" s="29" t="s">
        <v>15</v>
      </c>
      <c r="K6" s="27" t="s">
        <v>16</v>
      </c>
      <c r="L6" s="27" t="s">
        <v>17</v>
      </c>
      <c r="M6" s="31" t="s">
        <v>18</v>
      </c>
      <c r="N6" s="31"/>
    </row>
    <row r="7" spans="3:14" ht="18.75" x14ac:dyDescent="0.2">
      <c r="C7" s="29"/>
      <c r="D7" s="29"/>
      <c r="E7" s="29"/>
      <c r="F7" s="29"/>
      <c r="G7" s="29"/>
      <c r="H7" s="27"/>
      <c r="I7" s="30"/>
      <c r="J7" s="29"/>
      <c r="K7" s="27"/>
      <c r="L7" s="27"/>
      <c r="M7" s="32">
        <v>187</v>
      </c>
      <c r="N7" s="32"/>
    </row>
    <row r="8" spans="3:14" ht="18.75" x14ac:dyDescent="0.2">
      <c r="C8" s="11">
        <f>IF(D8&lt;&gt;0,F8/D8,1)</f>
        <v>0.97518168746698342</v>
      </c>
      <c r="D8" s="12">
        <f>E8+F8</f>
        <v>25.245461759999998</v>
      </c>
      <c r="E8" s="12">
        <f>$H$2*I8*I8</f>
        <v>0.62654975999999984</v>
      </c>
      <c r="F8" s="12">
        <f>$H$3*I8</f>
        <v>24.618911999999998</v>
      </c>
      <c r="G8" s="13">
        <f>H8/(K8-$M$7)</f>
        <v>0.32</v>
      </c>
      <c r="H8" s="8">
        <v>8</v>
      </c>
      <c r="I8" s="9">
        <f>H8*60/1000</f>
        <v>0.48</v>
      </c>
      <c r="J8" s="10">
        <f>IF(K8-$M$7&lt;0,0,K8-$M$7)</f>
        <v>25</v>
      </c>
      <c r="K8" s="3">
        <v>212</v>
      </c>
      <c r="L8" s="7">
        <v>1100</v>
      </c>
      <c r="M8" s="28" t="s">
        <v>19</v>
      </c>
      <c r="N8" s="28"/>
    </row>
    <row r="9" spans="3:14" ht="18.75" x14ac:dyDescent="0.2">
      <c r="C9" s="11">
        <f>IF(D9&lt;&gt;0,F9/D9,1)</f>
        <v>0.96028625964631842</v>
      </c>
      <c r="D9" s="12">
        <f t="shared" ref="D9:D12" si="0">E9+F9</f>
        <v>41.660214960000005</v>
      </c>
      <c r="E9" s="12">
        <f t="shared" ref="E9:E12" si="1">$H$2*I9*I9</f>
        <v>1.6544829599999999</v>
      </c>
      <c r="F9" s="12">
        <f t="shared" ref="F9:F12" si="2">$H$3*I9</f>
        <v>40.005732000000002</v>
      </c>
      <c r="G9" s="13">
        <f t="shared" ref="G9:G12" si="3">H9/(K9-$M$7)</f>
        <v>0.30952380952380953</v>
      </c>
      <c r="H9" s="8">
        <v>13</v>
      </c>
      <c r="I9" s="9">
        <f t="shared" ref="I9:I12" si="4">H9*60/1000</f>
        <v>0.78</v>
      </c>
      <c r="J9" s="10">
        <f t="shared" ref="J9:J12" si="5">IF(K9-$M$7&lt;0,0,K9-$M$7)</f>
        <v>42</v>
      </c>
      <c r="K9" s="3">
        <v>229</v>
      </c>
      <c r="L9" s="5">
        <v>1200</v>
      </c>
      <c r="M9" s="28" t="s">
        <v>20</v>
      </c>
      <c r="N9" s="28"/>
    </row>
    <row r="10" spans="3:14" ht="18.75" x14ac:dyDescent="0.2">
      <c r="C10" s="11">
        <f>IF(D10&lt;&gt;0,F10/D10,1)</f>
        <v>0.94869359165426947</v>
      </c>
      <c r="D10" s="12">
        <f t="shared" si="0"/>
        <v>55.144451759999995</v>
      </c>
      <c r="E10" s="12">
        <f t="shared" si="1"/>
        <v>2.8292637599999999</v>
      </c>
      <c r="F10" s="12">
        <f t="shared" si="2"/>
        <v>52.315187999999999</v>
      </c>
      <c r="G10" s="13">
        <f t="shared" si="3"/>
        <v>0.30909090909090908</v>
      </c>
      <c r="H10" s="8">
        <v>17</v>
      </c>
      <c r="I10" s="9">
        <f t="shared" si="4"/>
        <v>1.02</v>
      </c>
      <c r="J10" s="10">
        <f t="shared" si="5"/>
        <v>55</v>
      </c>
      <c r="K10" s="3">
        <v>242</v>
      </c>
      <c r="L10" s="7">
        <v>1300</v>
      </c>
      <c r="M10" s="28" t="s">
        <v>21</v>
      </c>
      <c r="N10" s="28"/>
    </row>
    <row r="11" spans="3:14" ht="18.75" x14ac:dyDescent="0.2">
      <c r="C11" s="11">
        <f>IF(D11&lt;&gt;0,F11/D11,1)</f>
        <v>1</v>
      </c>
      <c r="D11" s="12">
        <f>E11+F11</f>
        <v>0</v>
      </c>
      <c r="E11" s="12">
        <f t="shared" si="1"/>
        <v>0</v>
      </c>
      <c r="F11" s="12">
        <f>$H$3*I11</f>
        <v>0</v>
      </c>
      <c r="G11" s="13">
        <f t="shared" si="3"/>
        <v>0</v>
      </c>
      <c r="H11" s="2">
        <v>0</v>
      </c>
      <c r="I11" s="9">
        <f t="shared" si="4"/>
        <v>0</v>
      </c>
      <c r="J11" s="10">
        <f t="shared" si="5"/>
        <v>0</v>
      </c>
      <c r="K11" s="4">
        <v>0</v>
      </c>
      <c r="L11" s="5">
        <v>0</v>
      </c>
      <c r="M11" s="28" t="s">
        <v>22</v>
      </c>
      <c r="N11" s="28"/>
    </row>
    <row r="12" spans="3:14" ht="18.75" x14ac:dyDescent="0.2">
      <c r="C12" s="11">
        <f t="shared" ref="C12" si="6">IF(D12&lt;&gt;0,F12/D12,1)</f>
        <v>1</v>
      </c>
      <c r="D12" s="12">
        <f t="shared" si="0"/>
        <v>0</v>
      </c>
      <c r="E12" s="12">
        <f t="shared" si="1"/>
        <v>0</v>
      </c>
      <c r="F12" s="12">
        <f t="shared" si="2"/>
        <v>0</v>
      </c>
      <c r="G12" s="13">
        <f t="shared" si="3"/>
        <v>0</v>
      </c>
      <c r="H12" s="2">
        <v>0</v>
      </c>
      <c r="I12" s="9">
        <f t="shared" si="4"/>
        <v>0</v>
      </c>
      <c r="J12" s="10">
        <f t="shared" si="5"/>
        <v>0</v>
      </c>
      <c r="K12" s="4">
        <v>0</v>
      </c>
      <c r="L12" s="5">
        <v>0</v>
      </c>
      <c r="M12" s="33" t="s">
        <v>23</v>
      </c>
      <c r="N12" s="33"/>
    </row>
    <row r="32" spans="3:15" ht="21.75" customHeight="1" x14ac:dyDescent="0.2">
      <c r="C32" s="25" t="s">
        <v>7</v>
      </c>
      <c r="D32" s="25"/>
      <c r="E32" s="25"/>
      <c r="F32" s="25" t="s">
        <v>25</v>
      </c>
      <c r="G32" s="25"/>
      <c r="H32" s="25"/>
      <c r="I32" s="25"/>
      <c r="J32" s="6"/>
      <c r="K32" s="25" t="s">
        <v>26</v>
      </c>
      <c r="L32" s="25"/>
      <c r="M32" s="25"/>
      <c r="N32" s="6"/>
      <c r="O32" s="6"/>
    </row>
  </sheetData>
  <mergeCells count="33">
    <mergeCell ref="M11:N11"/>
    <mergeCell ref="M12:N12"/>
    <mergeCell ref="C32:E32"/>
    <mergeCell ref="F32:I32"/>
    <mergeCell ref="K32:M32"/>
    <mergeCell ref="L6:L7"/>
    <mergeCell ref="M6:N6"/>
    <mergeCell ref="M7:N7"/>
    <mergeCell ref="M9:N9"/>
    <mergeCell ref="M10:N10"/>
    <mergeCell ref="H6:H7"/>
    <mergeCell ref="M8:N8"/>
    <mergeCell ref="C4:E4"/>
    <mergeCell ref="F4:H4"/>
    <mergeCell ref="J4:N4"/>
    <mergeCell ref="C5:E5"/>
    <mergeCell ref="F5:I5"/>
    <mergeCell ref="J5:N5"/>
    <mergeCell ref="C6:C7"/>
    <mergeCell ref="D6:D7"/>
    <mergeCell ref="E6:E7"/>
    <mergeCell ref="F6:F7"/>
    <mergeCell ref="G6:G7"/>
    <mergeCell ref="I6:I7"/>
    <mergeCell ref="J6:J7"/>
    <mergeCell ref="K6:K7"/>
    <mergeCell ref="C1:I1"/>
    <mergeCell ref="C2:E2"/>
    <mergeCell ref="H2:I2"/>
    <mergeCell ref="J2:N2"/>
    <mergeCell ref="C3:E3"/>
    <mergeCell ref="H3:I3"/>
    <mergeCell ref="J3:N3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rightToLeft="1" topLeftCell="B4" zoomScale="115" zoomScaleNormal="115" workbookViewId="0">
      <selection activeCell="T8" sqref="T8"/>
    </sheetView>
  </sheetViews>
  <sheetFormatPr defaultRowHeight="14.25" x14ac:dyDescent="0.2"/>
  <cols>
    <col min="1" max="1" width="2.375" hidden="1" customWidth="1"/>
    <col min="2" max="2" width="2" customWidth="1"/>
    <col min="3" max="3" width="8.375" bestFit="1" customWidth="1"/>
    <col min="4" max="4" width="7.875" customWidth="1"/>
    <col min="5" max="5" width="9.5" customWidth="1"/>
    <col min="6" max="6" width="7.625" customWidth="1"/>
    <col min="7" max="7" width="7.5" bestFit="1" customWidth="1"/>
    <col min="8" max="8" width="5" bestFit="1" customWidth="1"/>
    <col min="9" max="9" width="11.375" customWidth="1"/>
    <col min="10" max="10" width="10.25" bestFit="1" customWidth="1"/>
    <col min="12" max="12" width="6.875" bestFit="1" customWidth="1"/>
    <col min="14" max="14" width="4.5" customWidth="1"/>
  </cols>
  <sheetData>
    <row r="1" spans="3:14" x14ac:dyDescent="0.2">
      <c r="C1" s="24" t="s">
        <v>77</v>
      </c>
      <c r="D1" s="24"/>
      <c r="E1" s="24"/>
      <c r="F1" s="24"/>
      <c r="G1" s="24"/>
      <c r="H1" s="24"/>
      <c r="I1" s="24"/>
    </row>
    <row r="2" spans="3:14" ht="21" customHeight="1" x14ac:dyDescent="0.45">
      <c r="C2" s="25" t="s">
        <v>24</v>
      </c>
      <c r="D2" s="25"/>
      <c r="E2" s="25"/>
      <c r="F2" s="1" t="s">
        <v>27</v>
      </c>
      <c r="G2" s="1"/>
      <c r="H2" s="26">
        <v>0.64070000000000005</v>
      </c>
      <c r="I2" s="26"/>
      <c r="J2" s="25" t="s">
        <v>59</v>
      </c>
      <c r="K2" s="25"/>
      <c r="L2" s="25"/>
      <c r="M2" s="25"/>
      <c r="N2" s="25"/>
    </row>
    <row r="3" spans="3:14" ht="21" customHeight="1" x14ac:dyDescent="0.45">
      <c r="C3" s="25" t="s">
        <v>60</v>
      </c>
      <c r="D3" s="25"/>
      <c r="E3" s="25"/>
      <c r="F3" s="1" t="s">
        <v>28</v>
      </c>
      <c r="G3" s="1"/>
      <c r="H3" s="26">
        <v>26.0824</v>
      </c>
      <c r="I3" s="26"/>
      <c r="J3" s="25" t="s">
        <v>61</v>
      </c>
      <c r="K3" s="25"/>
      <c r="L3" s="25"/>
      <c r="M3" s="25"/>
      <c r="N3" s="25"/>
    </row>
    <row r="4" spans="3:14" ht="21" customHeight="1" x14ac:dyDescent="0.2">
      <c r="C4" s="25" t="s">
        <v>31</v>
      </c>
      <c r="D4" s="25"/>
      <c r="E4" s="25"/>
      <c r="F4" s="25" t="s">
        <v>65</v>
      </c>
      <c r="G4" s="25"/>
      <c r="H4" s="25"/>
      <c r="I4" s="1"/>
      <c r="J4" s="25" t="s">
        <v>62</v>
      </c>
      <c r="K4" s="25"/>
      <c r="L4" s="25"/>
      <c r="M4" s="25"/>
      <c r="N4" s="25"/>
    </row>
    <row r="5" spans="3:14" ht="21" customHeight="1" x14ac:dyDescent="0.2">
      <c r="C5" s="25" t="s">
        <v>63</v>
      </c>
      <c r="D5" s="25"/>
      <c r="E5" s="25"/>
      <c r="F5" s="25" t="s">
        <v>29</v>
      </c>
      <c r="G5" s="25"/>
      <c r="H5" s="25"/>
      <c r="I5" s="25"/>
      <c r="J5" s="25" t="s">
        <v>64</v>
      </c>
      <c r="K5" s="25"/>
      <c r="L5" s="25"/>
      <c r="M5" s="25"/>
      <c r="N5" s="25"/>
    </row>
    <row r="6" spans="3:14" ht="15.75" x14ac:dyDescent="0.2">
      <c r="C6" s="29" t="s">
        <v>8</v>
      </c>
      <c r="D6" s="29" t="s">
        <v>9</v>
      </c>
      <c r="E6" s="29" t="s">
        <v>10</v>
      </c>
      <c r="F6" s="29" t="s">
        <v>11</v>
      </c>
      <c r="G6" s="29" t="s">
        <v>12</v>
      </c>
      <c r="H6" s="27" t="s">
        <v>13</v>
      </c>
      <c r="I6" s="30" t="s">
        <v>14</v>
      </c>
      <c r="J6" s="29" t="s">
        <v>15</v>
      </c>
      <c r="K6" s="27" t="s">
        <v>16</v>
      </c>
      <c r="L6" s="27" t="s">
        <v>17</v>
      </c>
      <c r="M6" s="31" t="s">
        <v>18</v>
      </c>
      <c r="N6" s="31"/>
    </row>
    <row r="7" spans="3:14" ht="18.75" x14ac:dyDescent="0.2">
      <c r="C7" s="29"/>
      <c r="D7" s="29"/>
      <c r="E7" s="29"/>
      <c r="F7" s="29"/>
      <c r="G7" s="29"/>
      <c r="H7" s="27"/>
      <c r="I7" s="30"/>
      <c r="J7" s="29"/>
      <c r="K7" s="27"/>
      <c r="L7" s="27"/>
      <c r="M7" s="32">
        <v>107</v>
      </c>
      <c r="N7" s="32"/>
    </row>
    <row r="8" spans="3:14" ht="18.75" x14ac:dyDescent="0.2">
      <c r="C8" s="11">
        <f>IF(D8&lt;&gt;0,F8/D8,1)</f>
        <v>0.97485585477329872</v>
      </c>
      <c r="D8" s="12">
        <f>E8+F8</f>
        <v>28.09289175</v>
      </c>
      <c r="E8" s="12">
        <f>$H$2*I8*I8</f>
        <v>0.70637175000000008</v>
      </c>
      <c r="F8" s="12">
        <f>$H$3*I8</f>
        <v>27.386520000000001</v>
      </c>
      <c r="G8" s="13">
        <f>H8/(K8-$M$7)</f>
        <v>0.625</v>
      </c>
      <c r="H8" s="8">
        <v>17.5</v>
      </c>
      <c r="I8" s="9">
        <f>H8*60/1000</f>
        <v>1.05</v>
      </c>
      <c r="J8" s="10">
        <f>IF(K8-$M$7&lt;0,0,K8-$M$7)</f>
        <v>28</v>
      </c>
      <c r="K8" s="3">
        <v>135</v>
      </c>
      <c r="L8" s="7">
        <v>1100</v>
      </c>
      <c r="M8" s="28" t="s">
        <v>19</v>
      </c>
      <c r="N8" s="28"/>
    </row>
    <row r="9" spans="3:14" ht="18.75" x14ac:dyDescent="0.2">
      <c r="C9" s="11">
        <f>IF(D9&lt;&gt;0,F9/D9,1)</f>
        <v>0.96721251048427892</v>
      </c>
      <c r="D9" s="12">
        <f t="shared" ref="D9:D12" si="0">E9+F9</f>
        <v>37.213861079999994</v>
      </c>
      <c r="E9" s="12">
        <f t="shared" ref="E9:E12" si="1">$H$2*I9*I9</f>
        <v>1.2201490799999999</v>
      </c>
      <c r="F9" s="12">
        <f t="shared" ref="F9:F12" si="2">$H$3*I9</f>
        <v>35.993711999999995</v>
      </c>
      <c r="G9" s="13">
        <f t="shared" ref="G9:G12" si="3">H9/(K9-$M$7)</f>
        <v>0.6216216216216216</v>
      </c>
      <c r="H9" s="8">
        <v>23</v>
      </c>
      <c r="I9" s="9">
        <f t="shared" ref="I9:I12" si="4">H9*60/1000</f>
        <v>1.38</v>
      </c>
      <c r="J9" s="10">
        <f t="shared" ref="J9:J12" si="5">IF(K9-$M$7&lt;0,0,K9-$M$7)</f>
        <v>37</v>
      </c>
      <c r="K9" s="3">
        <v>144</v>
      </c>
      <c r="L9" s="5">
        <v>1200</v>
      </c>
      <c r="M9" s="28" t="s">
        <v>20</v>
      </c>
      <c r="N9" s="28"/>
    </row>
    <row r="10" spans="3:14" ht="18.75" x14ac:dyDescent="0.2">
      <c r="C10" s="11">
        <f>IF(D10&lt;&gt;0,F10/D10,1)</f>
        <v>0.96036728606620558</v>
      </c>
      <c r="D10" s="12">
        <f t="shared" si="0"/>
        <v>45.626743680000004</v>
      </c>
      <c r="E10" s="12">
        <f t="shared" si="1"/>
        <v>1.8083116799999999</v>
      </c>
      <c r="F10" s="12">
        <f t="shared" si="2"/>
        <v>43.818432000000001</v>
      </c>
      <c r="G10" s="13">
        <f t="shared" si="3"/>
        <v>0.60869565217391308</v>
      </c>
      <c r="H10" s="8">
        <v>28</v>
      </c>
      <c r="I10" s="9">
        <f t="shared" si="4"/>
        <v>1.68</v>
      </c>
      <c r="J10" s="10">
        <f t="shared" si="5"/>
        <v>46</v>
      </c>
      <c r="K10" s="3">
        <v>153</v>
      </c>
      <c r="L10" s="7">
        <v>1300</v>
      </c>
      <c r="M10" s="28" t="s">
        <v>21</v>
      </c>
      <c r="N10" s="28"/>
    </row>
    <row r="11" spans="3:14" ht="18.75" x14ac:dyDescent="0.2">
      <c r="C11" s="11">
        <f>IF(D11&lt;&gt;0,F11/D11,1)</f>
        <v>0.94828697613510748</v>
      </c>
      <c r="D11" s="12">
        <f>E11+F11</f>
        <v>61.060553880000001</v>
      </c>
      <c r="E11" s="12">
        <f t="shared" si="1"/>
        <v>3.1576258800000012</v>
      </c>
      <c r="F11" s="12">
        <f>$H$3*I11</f>
        <v>57.902928000000003</v>
      </c>
      <c r="G11" s="13">
        <f t="shared" si="3"/>
        <v>0.60655737704918034</v>
      </c>
      <c r="H11" s="2">
        <v>37</v>
      </c>
      <c r="I11" s="9">
        <f t="shared" si="4"/>
        <v>2.2200000000000002</v>
      </c>
      <c r="J11" s="10">
        <f t="shared" si="5"/>
        <v>61</v>
      </c>
      <c r="K11" s="4">
        <v>168</v>
      </c>
      <c r="L11" s="5">
        <v>1400</v>
      </c>
      <c r="M11" s="28" t="s">
        <v>22</v>
      </c>
      <c r="N11" s="28"/>
    </row>
    <row r="12" spans="3:14" ht="18.75" x14ac:dyDescent="0.2">
      <c r="C12" s="11">
        <f t="shared" ref="C12" si="6">IF(D12&lt;&gt;0,F12/D12,1)</f>
        <v>0.94301495936767699</v>
      </c>
      <c r="D12" s="12">
        <f t="shared" si="0"/>
        <v>68.039964120000008</v>
      </c>
      <c r="E12" s="12">
        <f t="shared" si="1"/>
        <v>3.8772601199999999</v>
      </c>
      <c r="F12" s="12">
        <f t="shared" si="2"/>
        <v>64.162704000000005</v>
      </c>
      <c r="G12" s="13">
        <f t="shared" si="3"/>
        <v>0.6029411764705882</v>
      </c>
      <c r="H12" s="2">
        <v>41</v>
      </c>
      <c r="I12" s="9">
        <f t="shared" si="4"/>
        <v>2.46</v>
      </c>
      <c r="J12" s="10">
        <f t="shared" si="5"/>
        <v>68</v>
      </c>
      <c r="K12" s="4">
        <v>175</v>
      </c>
      <c r="L12" s="5">
        <v>1500</v>
      </c>
      <c r="M12" s="33" t="s">
        <v>23</v>
      </c>
      <c r="N12" s="33"/>
    </row>
    <row r="32" spans="3:15" ht="21.75" customHeight="1" x14ac:dyDescent="0.2">
      <c r="C32" s="25" t="s">
        <v>7</v>
      </c>
      <c r="D32" s="25"/>
      <c r="E32" s="25"/>
      <c r="F32" s="25" t="s">
        <v>25</v>
      </c>
      <c r="G32" s="25"/>
      <c r="H32" s="25"/>
      <c r="I32" s="25"/>
      <c r="J32" s="6"/>
      <c r="K32" s="25" t="s">
        <v>26</v>
      </c>
      <c r="L32" s="25"/>
      <c r="M32" s="25"/>
      <c r="N32" s="6"/>
      <c r="O32" s="6"/>
    </row>
  </sheetData>
  <mergeCells count="33">
    <mergeCell ref="M11:N11"/>
    <mergeCell ref="M12:N12"/>
    <mergeCell ref="C32:E32"/>
    <mergeCell ref="F32:I32"/>
    <mergeCell ref="K32:M32"/>
    <mergeCell ref="L6:L7"/>
    <mergeCell ref="M6:N6"/>
    <mergeCell ref="M7:N7"/>
    <mergeCell ref="M9:N9"/>
    <mergeCell ref="M10:N10"/>
    <mergeCell ref="H6:H7"/>
    <mergeCell ref="M8:N8"/>
    <mergeCell ref="C4:E4"/>
    <mergeCell ref="F4:H4"/>
    <mergeCell ref="J4:N4"/>
    <mergeCell ref="C5:E5"/>
    <mergeCell ref="F5:I5"/>
    <mergeCell ref="J5:N5"/>
    <mergeCell ref="C6:C7"/>
    <mergeCell ref="D6:D7"/>
    <mergeCell ref="E6:E7"/>
    <mergeCell ref="F6:F7"/>
    <mergeCell ref="G6:G7"/>
    <mergeCell ref="I6:I7"/>
    <mergeCell ref="J6:J7"/>
    <mergeCell ref="K6:K7"/>
    <mergeCell ref="C1:I1"/>
    <mergeCell ref="C2:E2"/>
    <mergeCell ref="H2:I2"/>
    <mergeCell ref="J2:N2"/>
    <mergeCell ref="C3:E3"/>
    <mergeCell ref="H3:I3"/>
    <mergeCell ref="J3:N3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rightToLeft="1" topLeftCell="B1" zoomScale="115" zoomScaleNormal="115" workbookViewId="0">
      <selection activeCell="P5" sqref="P5"/>
    </sheetView>
  </sheetViews>
  <sheetFormatPr defaultRowHeight="14.25" x14ac:dyDescent="0.2"/>
  <cols>
    <col min="1" max="1" width="2.375" hidden="1" customWidth="1"/>
    <col min="2" max="2" width="2" customWidth="1"/>
    <col min="3" max="3" width="8.375" bestFit="1" customWidth="1"/>
    <col min="4" max="4" width="7.875" customWidth="1"/>
    <col min="5" max="5" width="9.5" customWidth="1"/>
    <col min="6" max="6" width="7.625" customWidth="1"/>
    <col min="7" max="7" width="7.5" bestFit="1" customWidth="1"/>
    <col min="8" max="8" width="5" bestFit="1" customWidth="1"/>
    <col min="9" max="9" width="11.375" customWidth="1"/>
    <col min="10" max="10" width="10.25" bestFit="1" customWidth="1"/>
    <col min="12" max="12" width="6.875" bestFit="1" customWidth="1"/>
    <col min="14" max="14" width="4.5" customWidth="1"/>
  </cols>
  <sheetData>
    <row r="1" spans="3:14" x14ac:dyDescent="0.2">
      <c r="C1" s="24" t="s">
        <v>73</v>
      </c>
      <c r="D1" s="24"/>
      <c r="E1" s="24"/>
      <c r="F1" s="24"/>
      <c r="G1" s="24"/>
      <c r="H1" s="24"/>
      <c r="I1" s="24"/>
    </row>
    <row r="2" spans="3:14" ht="21" customHeight="1" x14ac:dyDescent="0.45">
      <c r="C2" s="25" t="s">
        <v>24</v>
      </c>
      <c r="D2" s="25"/>
      <c r="E2" s="25"/>
      <c r="F2" s="1" t="s">
        <v>27</v>
      </c>
      <c r="G2" s="1"/>
      <c r="H2" s="26">
        <v>99.5745</v>
      </c>
      <c r="I2" s="26"/>
      <c r="J2" s="25" t="s">
        <v>59</v>
      </c>
      <c r="K2" s="25"/>
      <c r="L2" s="25"/>
      <c r="M2" s="25"/>
      <c r="N2" s="25"/>
    </row>
    <row r="3" spans="3:14" ht="21" customHeight="1" x14ac:dyDescent="0.45">
      <c r="C3" s="25" t="s">
        <v>60</v>
      </c>
      <c r="D3" s="25"/>
      <c r="E3" s="25"/>
      <c r="F3" s="1" t="s">
        <v>28</v>
      </c>
      <c r="G3" s="1"/>
      <c r="H3" s="26">
        <v>98.931899999999999</v>
      </c>
      <c r="I3" s="26"/>
      <c r="J3" s="25" t="s">
        <v>61</v>
      </c>
      <c r="K3" s="25"/>
      <c r="L3" s="25"/>
      <c r="M3" s="25"/>
      <c r="N3" s="25"/>
    </row>
    <row r="4" spans="3:14" ht="21" customHeight="1" x14ac:dyDescent="0.2">
      <c r="C4" s="25" t="s">
        <v>74</v>
      </c>
      <c r="D4" s="25"/>
      <c r="E4" s="25"/>
      <c r="F4" s="25" t="s">
        <v>65</v>
      </c>
      <c r="G4" s="25"/>
      <c r="H4" s="25"/>
      <c r="I4" s="1"/>
      <c r="J4" s="25" t="s">
        <v>75</v>
      </c>
      <c r="K4" s="25"/>
      <c r="L4" s="25"/>
      <c r="M4" s="25"/>
      <c r="N4" s="25"/>
    </row>
    <row r="5" spans="3:14" ht="21" customHeight="1" x14ac:dyDescent="0.2">
      <c r="C5" s="25" t="s">
        <v>76</v>
      </c>
      <c r="D5" s="25"/>
      <c r="E5" s="25"/>
      <c r="F5" s="25" t="s">
        <v>29</v>
      </c>
      <c r="G5" s="25"/>
      <c r="H5" s="25"/>
      <c r="I5" s="25"/>
      <c r="J5" s="25" t="s">
        <v>64</v>
      </c>
      <c r="K5" s="25"/>
      <c r="L5" s="25"/>
      <c r="M5" s="25"/>
      <c r="N5" s="25"/>
    </row>
    <row r="6" spans="3:14" ht="15.75" x14ac:dyDescent="0.2">
      <c r="C6" s="29" t="s">
        <v>8</v>
      </c>
      <c r="D6" s="29" t="s">
        <v>9</v>
      </c>
      <c r="E6" s="29" t="s">
        <v>10</v>
      </c>
      <c r="F6" s="29" t="s">
        <v>11</v>
      </c>
      <c r="G6" s="29" t="s">
        <v>12</v>
      </c>
      <c r="H6" s="27" t="s">
        <v>13</v>
      </c>
      <c r="I6" s="30" t="s">
        <v>14</v>
      </c>
      <c r="J6" s="29" t="s">
        <v>15</v>
      </c>
      <c r="K6" s="27" t="s">
        <v>16</v>
      </c>
      <c r="L6" s="27" t="s">
        <v>17</v>
      </c>
      <c r="M6" s="31" t="s">
        <v>18</v>
      </c>
      <c r="N6" s="31"/>
    </row>
    <row r="7" spans="3:14" ht="18.75" x14ac:dyDescent="0.2">
      <c r="C7" s="29"/>
      <c r="D7" s="29"/>
      <c r="E7" s="29"/>
      <c r="F7" s="29"/>
      <c r="G7" s="29"/>
      <c r="H7" s="27"/>
      <c r="I7" s="30"/>
      <c r="J7" s="29"/>
      <c r="K7" s="27"/>
      <c r="L7" s="27"/>
      <c r="M7" s="32">
        <v>148.1</v>
      </c>
      <c r="N7" s="32"/>
    </row>
    <row r="8" spans="3:14" ht="18.75" x14ac:dyDescent="0.2">
      <c r="C8" s="11">
        <f>IF(D8&lt;&gt;0,F8/D8,1)</f>
        <v>0.76807946942744521</v>
      </c>
      <c r="D8" s="12">
        <f>E8+F8</f>
        <v>38.641274999999993</v>
      </c>
      <c r="E8" s="12">
        <f>$H$2*I8*I8</f>
        <v>8.9617049999999985</v>
      </c>
      <c r="F8" s="12">
        <f>$H$3*I8</f>
        <v>29.679569999999998</v>
      </c>
      <c r="G8" s="13">
        <f>H8/(K8-$M$7)</f>
        <v>0.12224938875305622</v>
      </c>
      <c r="H8" s="8">
        <v>5</v>
      </c>
      <c r="I8" s="9">
        <f>H8*60/1000</f>
        <v>0.3</v>
      </c>
      <c r="J8" s="10">
        <f>IF(K8-$M$7&lt;0,0,K8-$M$7)</f>
        <v>40.900000000000006</v>
      </c>
      <c r="K8" s="3">
        <v>189</v>
      </c>
      <c r="L8" s="7">
        <v>1050</v>
      </c>
      <c r="M8" s="28" t="s">
        <v>19</v>
      </c>
      <c r="N8" s="28"/>
    </row>
    <row r="9" spans="3:14" ht="18.75" x14ac:dyDescent="0.2">
      <c r="C9" s="11">
        <f>IF(D9&lt;&gt;0,F9/D9,1)</f>
        <v>0.67425528356412145</v>
      </c>
      <c r="D9" s="12">
        <f t="shared" ref="D9:D12" si="0">E9+F9</f>
        <v>70.429276799999997</v>
      </c>
      <c r="E9" s="12">
        <f t="shared" ref="E9:E12" si="1">$H$2*I9*I9</f>
        <v>22.941964800000001</v>
      </c>
      <c r="F9" s="12">
        <f t="shared" ref="F9:F12" si="2">$H$3*I9</f>
        <v>47.487311999999996</v>
      </c>
      <c r="G9" s="13">
        <f t="shared" ref="G9:G12" si="3">H9/(K9-$M$7)</f>
        <v>0.11958146487294469</v>
      </c>
      <c r="H9" s="8">
        <v>8</v>
      </c>
      <c r="I9" s="9">
        <f t="shared" ref="I9:I12" si="4">H9*60/1000</f>
        <v>0.48</v>
      </c>
      <c r="J9" s="10">
        <f t="shared" ref="J9:J12" si="5">IF(K9-$M$7&lt;0,0,K9-$M$7)</f>
        <v>66.900000000000006</v>
      </c>
      <c r="K9" s="3">
        <v>215</v>
      </c>
      <c r="L9" s="5">
        <v>1150</v>
      </c>
      <c r="M9" s="28" t="s">
        <v>20</v>
      </c>
      <c r="N9" s="28"/>
    </row>
    <row r="10" spans="3:14" ht="18.75" x14ac:dyDescent="0.2">
      <c r="C10" s="11">
        <f>IF(D10&lt;&gt;0,F10/D10,1)</f>
        <v>0.62348134507545538</v>
      </c>
      <c r="D10" s="12">
        <f t="shared" si="0"/>
        <v>95.20595999999999</v>
      </c>
      <c r="E10" s="12">
        <f t="shared" si="1"/>
        <v>35.846819999999994</v>
      </c>
      <c r="F10" s="12">
        <f t="shared" si="2"/>
        <v>59.359139999999996</v>
      </c>
      <c r="G10" s="13">
        <f t="shared" si="3"/>
        <v>0.10319917440660474</v>
      </c>
      <c r="H10" s="8">
        <v>10</v>
      </c>
      <c r="I10" s="9">
        <f t="shared" si="4"/>
        <v>0.6</v>
      </c>
      <c r="J10" s="10">
        <f t="shared" si="5"/>
        <v>96.9</v>
      </c>
      <c r="K10" s="3">
        <v>245</v>
      </c>
      <c r="L10" s="7">
        <v>1250</v>
      </c>
      <c r="M10" s="28" t="s">
        <v>21</v>
      </c>
      <c r="N10" s="28"/>
    </row>
    <row r="11" spans="3:14" ht="18.75" x14ac:dyDescent="0.2">
      <c r="C11" s="11">
        <f>IF(D11&lt;&gt;0,F11/D11,1)</f>
        <v>1</v>
      </c>
      <c r="D11" s="12">
        <f>E11+F11</f>
        <v>0</v>
      </c>
      <c r="E11" s="12">
        <f t="shared" si="1"/>
        <v>0</v>
      </c>
      <c r="F11" s="12">
        <f>$H$3*I11</f>
        <v>0</v>
      </c>
      <c r="G11" s="13">
        <f t="shared" si="3"/>
        <v>0</v>
      </c>
      <c r="H11" s="2">
        <v>0</v>
      </c>
      <c r="I11" s="9">
        <f t="shared" si="4"/>
        <v>0</v>
      </c>
      <c r="J11" s="10">
        <f t="shared" si="5"/>
        <v>0</v>
      </c>
      <c r="K11" s="4">
        <v>0</v>
      </c>
      <c r="L11" s="5">
        <v>0</v>
      </c>
      <c r="M11" s="28" t="s">
        <v>22</v>
      </c>
      <c r="N11" s="28"/>
    </row>
    <row r="12" spans="3:14" ht="18.75" x14ac:dyDescent="0.2">
      <c r="C12" s="11">
        <f t="shared" ref="C12" si="6">IF(D12&lt;&gt;0,F12/D12,1)</f>
        <v>1</v>
      </c>
      <c r="D12" s="12">
        <f t="shared" si="0"/>
        <v>0</v>
      </c>
      <c r="E12" s="12">
        <f t="shared" si="1"/>
        <v>0</v>
      </c>
      <c r="F12" s="12">
        <f t="shared" si="2"/>
        <v>0</v>
      </c>
      <c r="G12" s="13">
        <f t="shared" si="3"/>
        <v>0</v>
      </c>
      <c r="H12" s="2">
        <v>0</v>
      </c>
      <c r="I12" s="9">
        <f t="shared" si="4"/>
        <v>0</v>
      </c>
      <c r="J12" s="10">
        <f t="shared" si="5"/>
        <v>0</v>
      </c>
      <c r="K12" s="4">
        <v>0</v>
      </c>
      <c r="L12" s="5">
        <v>0</v>
      </c>
      <c r="M12" s="33" t="s">
        <v>23</v>
      </c>
      <c r="N12" s="33"/>
    </row>
    <row r="32" spans="3:15" ht="21.75" customHeight="1" x14ac:dyDescent="0.2">
      <c r="C32" s="25" t="s">
        <v>7</v>
      </c>
      <c r="D32" s="25"/>
      <c r="E32" s="25"/>
      <c r="F32" s="25" t="s">
        <v>25</v>
      </c>
      <c r="G32" s="25"/>
      <c r="H32" s="25"/>
      <c r="I32" s="25"/>
      <c r="J32" s="6"/>
      <c r="K32" s="25" t="s">
        <v>26</v>
      </c>
      <c r="L32" s="25"/>
      <c r="M32" s="25"/>
      <c r="N32" s="6"/>
      <c r="O32" s="6"/>
    </row>
  </sheetData>
  <mergeCells count="33">
    <mergeCell ref="M11:N11"/>
    <mergeCell ref="M12:N12"/>
    <mergeCell ref="C32:E32"/>
    <mergeCell ref="F32:I32"/>
    <mergeCell ref="K32:M32"/>
    <mergeCell ref="L6:L7"/>
    <mergeCell ref="M6:N6"/>
    <mergeCell ref="M7:N7"/>
    <mergeCell ref="M9:N9"/>
    <mergeCell ref="M10:N10"/>
    <mergeCell ref="H6:H7"/>
    <mergeCell ref="M8:N8"/>
    <mergeCell ref="C4:E4"/>
    <mergeCell ref="F4:H4"/>
    <mergeCell ref="J4:N4"/>
    <mergeCell ref="C5:E5"/>
    <mergeCell ref="F5:I5"/>
    <mergeCell ref="J5:N5"/>
    <mergeCell ref="C6:C7"/>
    <mergeCell ref="D6:D7"/>
    <mergeCell ref="E6:E7"/>
    <mergeCell ref="F6:F7"/>
    <mergeCell ref="G6:G7"/>
    <mergeCell ref="I6:I7"/>
    <mergeCell ref="J6:J7"/>
    <mergeCell ref="K6:K7"/>
    <mergeCell ref="C1:I1"/>
    <mergeCell ref="C2:E2"/>
    <mergeCell ref="H2:I2"/>
    <mergeCell ref="J2:N2"/>
    <mergeCell ref="C3:E3"/>
    <mergeCell ref="H3:I3"/>
    <mergeCell ref="J3:N3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rightToLeft="1" topLeftCell="B1" zoomScale="115" zoomScaleNormal="115" workbookViewId="0">
      <selection activeCell="U15" sqref="U15"/>
    </sheetView>
  </sheetViews>
  <sheetFormatPr defaultRowHeight="14.25" x14ac:dyDescent="0.2"/>
  <cols>
    <col min="1" max="1" width="2.375" hidden="1" customWidth="1"/>
    <col min="2" max="2" width="2" customWidth="1"/>
    <col min="3" max="3" width="8.375" bestFit="1" customWidth="1"/>
    <col min="4" max="4" width="7.875" customWidth="1"/>
    <col min="5" max="5" width="9.5" customWidth="1"/>
    <col min="6" max="6" width="7.625" customWidth="1"/>
    <col min="7" max="7" width="7.5" bestFit="1" customWidth="1"/>
    <col min="8" max="8" width="5" bestFit="1" customWidth="1"/>
    <col min="9" max="9" width="11.375" customWidth="1"/>
    <col min="10" max="10" width="10.25" bestFit="1" customWidth="1"/>
    <col min="12" max="12" width="6.875" bestFit="1" customWidth="1"/>
    <col min="14" max="14" width="4.5" customWidth="1"/>
  </cols>
  <sheetData>
    <row r="1" spans="3:14" x14ac:dyDescent="0.2">
      <c r="C1" s="24" t="s">
        <v>70</v>
      </c>
      <c r="D1" s="24"/>
      <c r="E1" s="24"/>
      <c r="F1" s="24"/>
      <c r="G1" s="24"/>
      <c r="H1" s="24"/>
      <c r="I1" s="24"/>
    </row>
    <row r="2" spans="3:14" ht="21" customHeight="1" x14ac:dyDescent="0.45">
      <c r="C2" s="25" t="s">
        <v>24</v>
      </c>
      <c r="D2" s="25"/>
      <c r="E2" s="25"/>
      <c r="F2" s="1" t="s">
        <v>27</v>
      </c>
      <c r="G2" s="1"/>
      <c r="H2" s="26">
        <v>1.1848000000000001</v>
      </c>
      <c r="I2" s="26"/>
      <c r="J2" s="25" t="s">
        <v>59</v>
      </c>
      <c r="K2" s="25"/>
      <c r="L2" s="25"/>
      <c r="M2" s="25"/>
      <c r="N2" s="25"/>
    </row>
    <row r="3" spans="3:14" ht="21" customHeight="1" x14ac:dyDescent="0.45">
      <c r="C3" s="25" t="s">
        <v>60</v>
      </c>
      <c r="D3" s="25"/>
      <c r="E3" s="25"/>
      <c r="F3" s="1" t="s">
        <v>28</v>
      </c>
      <c r="G3" s="1"/>
      <c r="H3" s="26">
        <v>43.691499999999998</v>
      </c>
      <c r="I3" s="26"/>
      <c r="J3" s="25" t="s">
        <v>67</v>
      </c>
      <c r="K3" s="25"/>
      <c r="L3" s="25"/>
      <c r="M3" s="25"/>
      <c r="N3" s="25"/>
    </row>
    <row r="4" spans="3:14" ht="21" customHeight="1" x14ac:dyDescent="0.2">
      <c r="C4" s="25" t="s">
        <v>31</v>
      </c>
      <c r="D4" s="25"/>
      <c r="E4" s="25"/>
      <c r="F4" s="25" t="s">
        <v>65</v>
      </c>
      <c r="G4" s="25"/>
      <c r="H4" s="25"/>
      <c r="I4" s="1"/>
      <c r="J4" s="25" t="s">
        <v>30</v>
      </c>
      <c r="K4" s="25"/>
      <c r="L4" s="25"/>
      <c r="M4" s="25"/>
      <c r="N4" s="25"/>
    </row>
    <row r="5" spans="3:14" ht="21" customHeight="1" x14ac:dyDescent="0.2">
      <c r="C5" s="25" t="s">
        <v>68</v>
      </c>
      <c r="D5" s="25"/>
      <c r="E5" s="25"/>
      <c r="F5" s="25" t="s">
        <v>29</v>
      </c>
      <c r="G5" s="25"/>
      <c r="H5" s="25"/>
      <c r="I5" s="25"/>
      <c r="J5" s="25" t="s">
        <v>69</v>
      </c>
      <c r="K5" s="25"/>
      <c r="L5" s="25"/>
      <c r="M5" s="25"/>
      <c r="N5" s="25"/>
    </row>
    <row r="6" spans="3:14" ht="15.75" x14ac:dyDescent="0.2">
      <c r="C6" s="29" t="s">
        <v>8</v>
      </c>
      <c r="D6" s="29" t="s">
        <v>9</v>
      </c>
      <c r="E6" s="29" t="s">
        <v>10</v>
      </c>
      <c r="F6" s="29" t="s">
        <v>11</v>
      </c>
      <c r="G6" s="29" t="s">
        <v>12</v>
      </c>
      <c r="H6" s="27" t="s">
        <v>13</v>
      </c>
      <c r="I6" s="30" t="s">
        <v>14</v>
      </c>
      <c r="J6" s="29" t="s">
        <v>15</v>
      </c>
      <c r="K6" s="27" t="s">
        <v>16</v>
      </c>
      <c r="L6" s="27" t="s">
        <v>17</v>
      </c>
      <c r="M6" s="31" t="s">
        <v>18</v>
      </c>
      <c r="N6" s="31"/>
    </row>
    <row r="7" spans="3:14" ht="18.75" x14ac:dyDescent="0.2">
      <c r="C7" s="29"/>
      <c r="D7" s="29"/>
      <c r="E7" s="29"/>
      <c r="F7" s="29"/>
      <c r="G7" s="29"/>
      <c r="H7" s="27"/>
      <c r="I7" s="30"/>
      <c r="J7" s="29"/>
      <c r="K7" s="27"/>
      <c r="L7" s="27"/>
      <c r="M7" s="32">
        <v>95</v>
      </c>
      <c r="N7" s="32"/>
    </row>
    <row r="8" spans="3:14" ht="18.75" x14ac:dyDescent="0.2">
      <c r="C8" s="11">
        <f>IF(D8&lt;&gt;0,F8/D8,1)</f>
        <v>0.97695162026190252</v>
      </c>
      <c r="D8" s="12">
        <f>E8+F8</f>
        <v>38.908380119999997</v>
      </c>
      <c r="E8" s="12">
        <f>$H$2*I8*I8</f>
        <v>0.89677512000000015</v>
      </c>
      <c r="F8" s="12">
        <f>$H$3*I8</f>
        <v>38.011604999999996</v>
      </c>
      <c r="G8" s="13">
        <f>H8/(K8-$M$7)</f>
        <v>0.37179487179487181</v>
      </c>
      <c r="H8" s="8">
        <v>14.5</v>
      </c>
      <c r="I8" s="9">
        <f>H8*60/1000</f>
        <v>0.87</v>
      </c>
      <c r="J8" s="10">
        <f>IF(K8-$M$7&lt;0,0,K8-$M$7)</f>
        <v>39</v>
      </c>
      <c r="K8" s="3">
        <v>134</v>
      </c>
      <c r="L8" s="7">
        <v>1100</v>
      </c>
      <c r="M8" s="28" t="s">
        <v>19</v>
      </c>
      <c r="N8" s="28"/>
    </row>
    <row r="9" spans="3:14" ht="18.75" x14ac:dyDescent="0.2">
      <c r="C9" s="11">
        <f>IF(D9&lt;&gt;0,F9/D9,1)</f>
        <v>0.97123945924595079</v>
      </c>
      <c r="D9" s="12">
        <f t="shared" ref="D9:D12" si="0">E9+F9</f>
        <v>49.123949347199996</v>
      </c>
      <c r="E9" s="12">
        <f t="shared" ref="E9:E12" si="1">$H$2*I9*I9</f>
        <v>1.4128313472000003</v>
      </c>
      <c r="F9" s="12">
        <f t="shared" ref="F9:F12" si="2">$H$3*I9</f>
        <v>47.711117999999999</v>
      </c>
      <c r="G9" s="13">
        <f t="shared" ref="G9:G12" si="3">H9/(K9-$M$7)</f>
        <v>0.37142857142857144</v>
      </c>
      <c r="H9" s="8">
        <v>18.2</v>
      </c>
      <c r="I9" s="9">
        <f t="shared" ref="I9:I12" si="4">H9*60/1000</f>
        <v>1.0920000000000001</v>
      </c>
      <c r="J9" s="10">
        <f t="shared" ref="J9:J12" si="5">IF(K9-$M$7&lt;0,0,K9-$M$7)</f>
        <v>49</v>
      </c>
      <c r="K9" s="3">
        <v>144</v>
      </c>
      <c r="L9" s="5">
        <v>1200</v>
      </c>
      <c r="M9" s="28" t="s">
        <v>20</v>
      </c>
      <c r="N9" s="28"/>
    </row>
    <row r="10" spans="3:14" ht="18.75" x14ac:dyDescent="0.2">
      <c r="C10" s="11">
        <f>IF(D10&lt;&gt;0,F10/D10,1)</f>
        <v>0.9631725784635744</v>
      </c>
      <c r="D10" s="12">
        <f t="shared" si="0"/>
        <v>63.960515879999996</v>
      </c>
      <c r="E10" s="12">
        <f t="shared" si="1"/>
        <v>2.3555008800000001</v>
      </c>
      <c r="F10" s="12">
        <f t="shared" si="2"/>
        <v>61.605014999999995</v>
      </c>
      <c r="G10" s="13">
        <f t="shared" si="3"/>
        <v>0.3671875</v>
      </c>
      <c r="H10" s="8">
        <v>23.5</v>
      </c>
      <c r="I10" s="9">
        <f t="shared" si="4"/>
        <v>1.41</v>
      </c>
      <c r="J10" s="10">
        <f t="shared" si="5"/>
        <v>64</v>
      </c>
      <c r="K10" s="3">
        <v>159</v>
      </c>
      <c r="L10" s="7">
        <v>1300</v>
      </c>
      <c r="M10" s="28" t="s">
        <v>21</v>
      </c>
      <c r="N10" s="28"/>
    </row>
    <row r="11" spans="3:14" ht="18.75" x14ac:dyDescent="0.2">
      <c r="C11" s="11">
        <f>IF(D11&lt;&gt;0,F11/D11,1)</f>
        <v>1</v>
      </c>
      <c r="D11" s="12">
        <f>E11+F11</f>
        <v>0</v>
      </c>
      <c r="E11" s="12">
        <f t="shared" si="1"/>
        <v>0</v>
      </c>
      <c r="F11" s="12">
        <f>$H$3*I11</f>
        <v>0</v>
      </c>
      <c r="G11" s="13">
        <f t="shared" si="3"/>
        <v>0</v>
      </c>
      <c r="H11" s="2">
        <v>0</v>
      </c>
      <c r="I11" s="9">
        <f t="shared" si="4"/>
        <v>0</v>
      </c>
      <c r="J11" s="10">
        <f t="shared" si="5"/>
        <v>0</v>
      </c>
      <c r="K11" s="4">
        <v>0</v>
      </c>
      <c r="L11" s="5">
        <v>0</v>
      </c>
      <c r="M11" s="28" t="s">
        <v>22</v>
      </c>
      <c r="N11" s="28"/>
    </row>
    <row r="12" spans="3:14" ht="18.75" x14ac:dyDescent="0.2">
      <c r="C12" s="11">
        <f t="shared" ref="C12" si="6">IF(D12&lt;&gt;0,F12/D12,1)</f>
        <v>1</v>
      </c>
      <c r="D12" s="12">
        <f t="shared" si="0"/>
        <v>0</v>
      </c>
      <c r="E12" s="12">
        <f t="shared" si="1"/>
        <v>0</v>
      </c>
      <c r="F12" s="12">
        <f t="shared" si="2"/>
        <v>0</v>
      </c>
      <c r="G12" s="13">
        <f t="shared" si="3"/>
        <v>0</v>
      </c>
      <c r="H12" s="2">
        <v>0</v>
      </c>
      <c r="I12" s="9">
        <f t="shared" si="4"/>
        <v>0</v>
      </c>
      <c r="J12" s="10">
        <f t="shared" si="5"/>
        <v>0</v>
      </c>
      <c r="K12" s="4">
        <v>0</v>
      </c>
      <c r="L12" s="5">
        <v>0</v>
      </c>
      <c r="M12" s="33" t="s">
        <v>23</v>
      </c>
      <c r="N12" s="33"/>
    </row>
    <row r="32" spans="3:15" ht="21.75" customHeight="1" x14ac:dyDescent="0.2">
      <c r="C32" s="25" t="s">
        <v>7</v>
      </c>
      <c r="D32" s="25"/>
      <c r="E32" s="25"/>
      <c r="F32" s="25" t="s">
        <v>25</v>
      </c>
      <c r="G32" s="25"/>
      <c r="H32" s="25"/>
      <c r="I32" s="25"/>
      <c r="J32" s="6"/>
      <c r="K32" s="25" t="s">
        <v>26</v>
      </c>
      <c r="L32" s="25"/>
      <c r="M32" s="25"/>
      <c r="N32" s="6"/>
      <c r="O32" s="6"/>
    </row>
  </sheetData>
  <mergeCells count="33">
    <mergeCell ref="C1:I1"/>
    <mergeCell ref="C2:E2"/>
    <mergeCell ref="H2:I2"/>
    <mergeCell ref="J2:N2"/>
    <mergeCell ref="C3:E3"/>
    <mergeCell ref="H3:I3"/>
    <mergeCell ref="J3:N3"/>
    <mergeCell ref="H6:H7"/>
    <mergeCell ref="M8:N8"/>
    <mergeCell ref="C4:E4"/>
    <mergeCell ref="F4:H4"/>
    <mergeCell ref="J4:N4"/>
    <mergeCell ref="C5:E5"/>
    <mergeCell ref="F5:I5"/>
    <mergeCell ref="J5:N5"/>
    <mergeCell ref="C6:C7"/>
    <mergeCell ref="D6:D7"/>
    <mergeCell ref="E6:E7"/>
    <mergeCell ref="F6:F7"/>
    <mergeCell ref="G6:G7"/>
    <mergeCell ref="I6:I7"/>
    <mergeCell ref="J6:J7"/>
    <mergeCell ref="K6:K7"/>
    <mergeCell ref="L6:L7"/>
    <mergeCell ref="M6:N6"/>
    <mergeCell ref="M7:N7"/>
    <mergeCell ref="M9:N9"/>
    <mergeCell ref="M10:N10"/>
    <mergeCell ref="M11:N11"/>
    <mergeCell ref="M12:N12"/>
    <mergeCell ref="C32:E32"/>
    <mergeCell ref="F32:I32"/>
    <mergeCell ref="K32:M32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O32"/>
  <sheetViews>
    <sheetView rightToLeft="1" topLeftCell="B1" zoomScale="115" zoomScaleNormal="115" workbookViewId="0">
      <selection activeCell="Q12" sqref="Q12"/>
    </sheetView>
  </sheetViews>
  <sheetFormatPr defaultRowHeight="14.25" x14ac:dyDescent="0.2"/>
  <cols>
    <col min="1" max="1" width="2.375" hidden="1" customWidth="1"/>
    <col min="2" max="2" width="2" customWidth="1"/>
    <col min="3" max="3" width="8.375" bestFit="1" customWidth="1"/>
    <col min="4" max="4" width="7.875" customWidth="1"/>
    <col min="5" max="5" width="9.5" customWidth="1"/>
    <col min="6" max="6" width="7.625" customWidth="1"/>
    <col min="7" max="7" width="7.5" bestFit="1" customWidth="1"/>
    <col min="8" max="8" width="5" bestFit="1" customWidth="1"/>
    <col min="9" max="9" width="11.375" customWidth="1"/>
    <col min="10" max="10" width="10.25" bestFit="1" customWidth="1"/>
    <col min="12" max="12" width="6.875" bestFit="1" customWidth="1"/>
    <col min="14" max="14" width="4.5" customWidth="1"/>
  </cols>
  <sheetData>
    <row r="1" spans="3:14" x14ac:dyDescent="0.2">
      <c r="C1" s="24" t="s">
        <v>58</v>
      </c>
      <c r="D1" s="24"/>
      <c r="E1" s="24"/>
      <c r="F1" s="24"/>
      <c r="G1" s="24"/>
      <c r="H1" s="24"/>
      <c r="I1" s="24"/>
    </row>
    <row r="2" spans="3:14" ht="21" customHeight="1" x14ac:dyDescent="0.45">
      <c r="C2" s="25" t="s">
        <v>24</v>
      </c>
      <c r="D2" s="25"/>
      <c r="E2" s="25"/>
      <c r="F2" s="1" t="s">
        <v>27</v>
      </c>
      <c r="G2" s="1"/>
      <c r="H2" s="26">
        <v>290.07760000000002</v>
      </c>
      <c r="I2" s="26"/>
      <c r="J2" s="25" t="s">
        <v>59</v>
      </c>
      <c r="K2" s="25"/>
      <c r="L2" s="25"/>
      <c r="M2" s="25"/>
      <c r="N2" s="25"/>
    </row>
    <row r="3" spans="3:14" ht="21" customHeight="1" x14ac:dyDescent="0.45">
      <c r="C3" s="25" t="s">
        <v>79</v>
      </c>
      <c r="D3" s="25"/>
      <c r="E3" s="25"/>
      <c r="F3" s="1" t="s">
        <v>28</v>
      </c>
      <c r="G3" s="1"/>
      <c r="H3" s="26">
        <v>47.0779</v>
      </c>
      <c r="I3" s="26"/>
      <c r="J3" s="25" t="s">
        <v>80</v>
      </c>
      <c r="K3" s="25"/>
      <c r="L3" s="25"/>
      <c r="M3" s="25"/>
      <c r="N3" s="25"/>
    </row>
    <row r="4" spans="3:14" ht="21" customHeight="1" x14ac:dyDescent="0.2">
      <c r="C4" s="25" t="s">
        <v>81</v>
      </c>
      <c r="D4" s="25"/>
      <c r="E4" s="25"/>
      <c r="F4" s="25" t="s">
        <v>65</v>
      </c>
      <c r="G4" s="25"/>
      <c r="H4" s="25"/>
      <c r="I4" s="1"/>
      <c r="J4" s="25" t="s">
        <v>82</v>
      </c>
      <c r="K4" s="25"/>
      <c r="L4" s="25"/>
      <c r="M4" s="25"/>
      <c r="N4" s="25"/>
    </row>
    <row r="5" spans="3:14" ht="21" customHeight="1" x14ac:dyDescent="0.2">
      <c r="C5" s="25" t="s">
        <v>84</v>
      </c>
      <c r="D5" s="25"/>
      <c r="E5" s="25"/>
      <c r="F5" s="25" t="s">
        <v>86</v>
      </c>
      <c r="G5" s="25"/>
      <c r="H5" s="25"/>
      <c r="I5" s="25"/>
      <c r="J5" s="25" t="s">
        <v>83</v>
      </c>
      <c r="K5" s="25"/>
      <c r="L5" s="25"/>
      <c r="M5" s="25"/>
      <c r="N5" s="25"/>
    </row>
    <row r="6" spans="3:14" ht="15.75" x14ac:dyDescent="0.2">
      <c r="C6" s="29" t="s">
        <v>8</v>
      </c>
      <c r="D6" s="29" t="s">
        <v>9</v>
      </c>
      <c r="E6" s="29" t="s">
        <v>10</v>
      </c>
      <c r="F6" s="29" t="s">
        <v>11</v>
      </c>
      <c r="G6" s="29" t="s">
        <v>12</v>
      </c>
      <c r="H6" s="27" t="s">
        <v>13</v>
      </c>
      <c r="I6" s="30" t="s">
        <v>14</v>
      </c>
      <c r="J6" s="29" t="s">
        <v>15</v>
      </c>
      <c r="K6" s="27" t="s">
        <v>16</v>
      </c>
      <c r="L6" s="27" t="s">
        <v>17</v>
      </c>
      <c r="M6" s="31" t="s">
        <v>18</v>
      </c>
      <c r="N6" s="31"/>
    </row>
    <row r="7" spans="3:14" ht="18.75" x14ac:dyDescent="0.2">
      <c r="C7" s="29"/>
      <c r="D7" s="29"/>
      <c r="E7" s="29"/>
      <c r="F7" s="29"/>
      <c r="G7" s="29"/>
      <c r="H7" s="27"/>
      <c r="I7" s="30"/>
      <c r="J7" s="29"/>
      <c r="K7" s="27"/>
      <c r="L7" s="27"/>
      <c r="M7" s="32">
        <v>84</v>
      </c>
      <c r="N7" s="32"/>
    </row>
    <row r="8" spans="3:14" ht="18.75" x14ac:dyDescent="0.2">
      <c r="C8" s="11">
        <f>IF(D8&lt;&gt;0,F8/D8,1)</f>
        <v>0.35106253352878775</v>
      </c>
      <c r="D8" s="12">
        <f>E8+F8</f>
        <v>40.230353999999998</v>
      </c>
      <c r="E8" s="12">
        <f>$H$2*I8*I8</f>
        <v>26.106984000000001</v>
      </c>
      <c r="F8" s="12">
        <f>$H$3*I8</f>
        <v>14.12337</v>
      </c>
      <c r="G8" s="13">
        <f>H8/(K8-$M$7)</f>
        <v>0.13157894736842105</v>
      </c>
      <c r="H8" s="8">
        <v>5</v>
      </c>
      <c r="I8" s="9">
        <f>H8*60/1000</f>
        <v>0.3</v>
      </c>
      <c r="J8" s="10">
        <f>IF(K8-$M$7&lt;0,0,K8-$M$7)</f>
        <v>38</v>
      </c>
      <c r="K8" s="3">
        <v>122</v>
      </c>
      <c r="L8" s="7">
        <v>1000</v>
      </c>
      <c r="M8" s="28" t="s">
        <v>19</v>
      </c>
      <c r="N8" s="28"/>
    </row>
    <row r="9" spans="3:14" ht="18.75" x14ac:dyDescent="0.2">
      <c r="C9" s="11">
        <f>IF(D9&lt;&gt;0,F9/D9,1)</f>
        <v>0.27308725182564653</v>
      </c>
      <c r="D9" s="12">
        <f t="shared" ref="D9:D12" si="0">E9+F9</f>
        <v>74.4730948224</v>
      </c>
      <c r="E9" s="12">
        <f t="shared" ref="E9:E12" si="1">$H$2*I9*I9</f>
        <v>54.135442022399999</v>
      </c>
      <c r="F9" s="12">
        <f t="shared" ref="F9:F12" si="2">$H$3*I9</f>
        <v>20.337652800000001</v>
      </c>
      <c r="G9" s="13">
        <f t="shared" ref="G9:G12" si="3">H9/(K9-$M$7)</f>
        <v>0.09</v>
      </c>
      <c r="H9" s="8">
        <v>7.2</v>
      </c>
      <c r="I9" s="9">
        <f t="shared" ref="I9:I12" si="4">H9*60/1000</f>
        <v>0.432</v>
      </c>
      <c r="J9" s="10">
        <f t="shared" ref="J9:J12" si="5">IF(K9-$M$7&lt;0,0,K9-$M$7)</f>
        <v>80</v>
      </c>
      <c r="K9" s="3">
        <v>164</v>
      </c>
      <c r="L9" s="5">
        <v>1050</v>
      </c>
      <c r="M9" s="28" t="s">
        <v>20</v>
      </c>
      <c r="N9" s="28"/>
    </row>
    <row r="10" spans="3:14" ht="18.75" x14ac:dyDescent="0.2">
      <c r="C10" s="11">
        <f>IF(D10&lt;&gt;0,F10/D10,1)</f>
        <v>0.23717016506115318</v>
      </c>
      <c r="D10" s="12">
        <f t="shared" si="0"/>
        <v>103.61616855840001</v>
      </c>
      <c r="E10" s="12">
        <f t="shared" si="1"/>
        <v>79.041504758400009</v>
      </c>
      <c r="F10" s="12">
        <f t="shared" si="2"/>
        <v>24.5746638</v>
      </c>
      <c r="G10" s="13">
        <f t="shared" si="3"/>
        <v>8.7878787878787876E-2</v>
      </c>
      <c r="H10" s="8">
        <v>8.6999999999999993</v>
      </c>
      <c r="I10" s="9">
        <f t="shared" si="4"/>
        <v>0.52200000000000002</v>
      </c>
      <c r="J10" s="10">
        <f t="shared" si="5"/>
        <v>99</v>
      </c>
      <c r="K10" s="3">
        <v>183</v>
      </c>
      <c r="L10" s="7">
        <v>1100</v>
      </c>
      <c r="M10" s="28" t="s">
        <v>21</v>
      </c>
      <c r="N10" s="28"/>
    </row>
    <row r="11" spans="3:14" ht="18.75" x14ac:dyDescent="0.2">
      <c r="C11" s="11">
        <f>IF(D11&lt;&gt;0,F11/D11,1)</f>
        <v>0.2079909951327194</v>
      </c>
      <c r="D11" s="12">
        <f>E11+F11</f>
        <v>139.88173950239999</v>
      </c>
      <c r="E11" s="12">
        <f t="shared" si="1"/>
        <v>110.7875973024</v>
      </c>
      <c r="F11" s="12">
        <f>$H$3*I11</f>
        <v>29.0941422</v>
      </c>
      <c r="G11" s="13">
        <f t="shared" si="3"/>
        <v>7.304964539007093E-2</v>
      </c>
      <c r="H11" s="2">
        <v>10.3</v>
      </c>
      <c r="I11" s="9">
        <f t="shared" si="4"/>
        <v>0.61799999999999999</v>
      </c>
      <c r="J11" s="10">
        <f t="shared" si="5"/>
        <v>141</v>
      </c>
      <c r="K11" s="4">
        <v>225</v>
      </c>
      <c r="L11" s="5">
        <v>1150</v>
      </c>
      <c r="M11" s="28" t="s">
        <v>22</v>
      </c>
      <c r="N11" s="28"/>
    </row>
    <row r="12" spans="3:14" ht="18.75" x14ac:dyDescent="0.2">
      <c r="C12" s="11">
        <f t="shared" ref="C12" si="6">IF(D12&lt;&gt;0,F12/D12,1)</f>
        <v>1</v>
      </c>
      <c r="D12" s="12">
        <f t="shared" si="0"/>
        <v>0</v>
      </c>
      <c r="E12" s="12">
        <f t="shared" si="1"/>
        <v>0</v>
      </c>
      <c r="F12" s="12">
        <f t="shared" si="2"/>
        <v>0</v>
      </c>
      <c r="G12" s="13">
        <f t="shared" si="3"/>
        <v>0</v>
      </c>
      <c r="H12" s="2">
        <v>0</v>
      </c>
      <c r="I12" s="9">
        <f t="shared" si="4"/>
        <v>0</v>
      </c>
      <c r="J12" s="10">
        <f t="shared" si="5"/>
        <v>0</v>
      </c>
      <c r="K12" s="4">
        <v>0</v>
      </c>
      <c r="L12" s="5">
        <v>0</v>
      </c>
      <c r="M12" s="33" t="s">
        <v>23</v>
      </c>
      <c r="N12" s="33"/>
    </row>
    <row r="32" spans="3:15" ht="21.75" customHeight="1" x14ac:dyDescent="0.2">
      <c r="C32" s="25" t="s">
        <v>7</v>
      </c>
      <c r="D32" s="25"/>
      <c r="E32" s="25"/>
      <c r="F32" s="25" t="s">
        <v>25</v>
      </c>
      <c r="G32" s="25"/>
      <c r="H32" s="25"/>
      <c r="I32" s="25"/>
      <c r="J32" s="6"/>
      <c r="K32" s="25" t="s">
        <v>26</v>
      </c>
      <c r="L32" s="25"/>
      <c r="M32" s="25"/>
      <c r="N32" s="6"/>
      <c r="O32" s="6"/>
    </row>
  </sheetData>
  <mergeCells count="33">
    <mergeCell ref="C1:I1"/>
    <mergeCell ref="C2:E2"/>
    <mergeCell ref="J2:N2"/>
    <mergeCell ref="C3:E3"/>
    <mergeCell ref="J3:N3"/>
    <mergeCell ref="H2:I2"/>
    <mergeCell ref="H3:I3"/>
    <mergeCell ref="H6:H7"/>
    <mergeCell ref="M8:N8"/>
    <mergeCell ref="C4:E4"/>
    <mergeCell ref="J4:N4"/>
    <mergeCell ref="C5:E5"/>
    <mergeCell ref="F5:I5"/>
    <mergeCell ref="J5:N5"/>
    <mergeCell ref="F4:H4"/>
    <mergeCell ref="C6:C7"/>
    <mergeCell ref="D6:D7"/>
    <mergeCell ref="E6:E7"/>
    <mergeCell ref="F6:F7"/>
    <mergeCell ref="G6:G7"/>
    <mergeCell ref="I6:I7"/>
    <mergeCell ref="J6:J7"/>
    <mergeCell ref="K6:K7"/>
    <mergeCell ref="L6:L7"/>
    <mergeCell ref="M6:N6"/>
    <mergeCell ref="M7:N7"/>
    <mergeCell ref="M9:N9"/>
    <mergeCell ref="M10:N10"/>
    <mergeCell ref="M11:N11"/>
    <mergeCell ref="M12:N12"/>
    <mergeCell ref="C32:E32"/>
    <mergeCell ref="F32:I32"/>
    <mergeCell ref="K32:M32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7"/>
  <sheetViews>
    <sheetView rightToLeft="1" topLeftCell="D13" workbookViewId="0">
      <selection activeCell="P15" sqref="P15"/>
    </sheetView>
  </sheetViews>
  <sheetFormatPr defaultRowHeight="14.25" x14ac:dyDescent="0.2"/>
  <cols>
    <col min="3" max="3" width="58" customWidth="1"/>
    <col min="5" max="5" width="14.625" customWidth="1"/>
    <col min="6" max="6" width="5.625" bestFit="1" customWidth="1"/>
    <col min="7" max="7" width="15.125" bestFit="1" customWidth="1"/>
    <col min="8" max="8" width="18.375" bestFit="1" customWidth="1"/>
    <col min="9" max="9" width="12.25" customWidth="1"/>
    <col min="10" max="10" width="13.125" customWidth="1"/>
    <col min="11" max="11" width="13.875" customWidth="1"/>
    <col min="12" max="12" width="11.5" customWidth="1"/>
    <col min="13" max="13" width="12" customWidth="1"/>
    <col min="14" max="14" width="11.625" customWidth="1"/>
    <col min="15" max="15" width="12.875" customWidth="1"/>
    <col min="16" max="16" width="10.75" bestFit="1" customWidth="1"/>
  </cols>
  <sheetData>
    <row r="1" spans="1:16" ht="33" customHeight="1" x14ac:dyDescent="0.2">
      <c r="A1" s="14" t="s">
        <v>0</v>
      </c>
      <c r="B1" s="15" t="s">
        <v>3</v>
      </c>
      <c r="C1" s="15" t="s">
        <v>34</v>
      </c>
      <c r="D1" s="15" t="s">
        <v>1</v>
      </c>
      <c r="E1" s="15" t="s">
        <v>35</v>
      </c>
      <c r="F1" s="15" t="s">
        <v>2</v>
      </c>
      <c r="G1" s="15" t="s">
        <v>36</v>
      </c>
      <c r="H1" s="14" t="s">
        <v>66</v>
      </c>
      <c r="I1" s="14" t="s">
        <v>71</v>
      </c>
      <c r="J1" s="14" t="s">
        <v>72</v>
      </c>
      <c r="K1" s="14" t="s">
        <v>78</v>
      </c>
      <c r="L1" s="14" t="s">
        <v>91</v>
      </c>
      <c r="M1" s="14" t="s">
        <v>98</v>
      </c>
      <c r="N1" s="14" t="s">
        <v>106</v>
      </c>
      <c r="O1" s="14" t="s">
        <v>108</v>
      </c>
      <c r="P1" s="14" t="s">
        <v>120</v>
      </c>
    </row>
    <row r="2" spans="1:16" ht="60" customHeight="1" x14ac:dyDescent="0.2">
      <c r="A2" s="16">
        <v>1</v>
      </c>
      <c r="B2" s="16">
        <v>10401</v>
      </c>
      <c r="C2" s="20" t="s">
        <v>37</v>
      </c>
      <c r="D2" s="16" t="s">
        <v>4</v>
      </c>
      <c r="E2" s="21">
        <v>72699000</v>
      </c>
      <c r="F2" s="15">
        <f>SUM(H2:U2)</f>
        <v>9</v>
      </c>
      <c r="G2" s="17">
        <f>F2*E2</f>
        <v>654291000</v>
      </c>
      <c r="H2" s="23">
        <v>1</v>
      </c>
      <c r="I2" s="23">
        <v>1</v>
      </c>
      <c r="J2" s="23">
        <f t="shared" ref="J2:O4" si="0">I2</f>
        <v>1</v>
      </c>
      <c r="K2" s="23">
        <f t="shared" si="0"/>
        <v>1</v>
      </c>
      <c r="L2" s="23">
        <f t="shared" si="0"/>
        <v>1</v>
      </c>
      <c r="M2" s="23">
        <f t="shared" si="0"/>
        <v>1</v>
      </c>
      <c r="N2" s="23">
        <f t="shared" si="0"/>
        <v>1</v>
      </c>
      <c r="O2" s="23">
        <f t="shared" si="0"/>
        <v>1</v>
      </c>
      <c r="P2" s="23">
        <v>1</v>
      </c>
    </row>
    <row r="3" spans="1:16" ht="60" customHeight="1" x14ac:dyDescent="0.2">
      <c r="A3" s="16">
        <v>2</v>
      </c>
      <c r="B3" s="16">
        <v>10901</v>
      </c>
      <c r="C3" s="20" t="s">
        <v>38</v>
      </c>
      <c r="D3" s="16" t="s">
        <v>5</v>
      </c>
      <c r="E3" s="22">
        <v>219500</v>
      </c>
      <c r="F3" s="15">
        <f t="shared" ref="F3:F14" si="1">SUM(H3:U3)</f>
        <v>1350</v>
      </c>
      <c r="G3" s="17">
        <f t="shared" ref="G3:G12" si="2">F3*E3</f>
        <v>296325000</v>
      </c>
      <c r="H3" s="23">
        <v>150</v>
      </c>
      <c r="I3" s="23">
        <v>150</v>
      </c>
      <c r="J3" s="23">
        <f t="shared" si="0"/>
        <v>150</v>
      </c>
      <c r="K3" s="23">
        <f t="shared" si="0"/>
        <v>150</v>
      </c>
      <c r="L3" s="23">
        <f t="shared" si="0"/>
        <v>150</v>
      </c>
      <c r="M3" s="23">
        <f t="shared" si="0"/>
        <v>150</v>
      </c>
      <c r="N3" s="23">
        <f t="shared" si="0"/>
        <v>150</v>
      </c>
      <c r="O3" s="23">
        <f t="shared" si="0"/>
        <v>150</v>
      </c>
      <c r="P3" s="23">
        <v>150</v>
      </c>
    </row>
    <row r="4" spans="1:16" ht="60" customHeight="1" x14ac:dyDescent="0.2">
      <c r="A4" s="16">
        <v>3</v>
      </c>
      <c r="B4" s="16">
        <v>10902</v>
      </c>
      <c r="C4" s="20" t="s">
        <v>39</v>
      </c>
      <c r="D4" s="16" t="s">
        <v>5</v>
      </c>
      <c r="E4" s="22">
        <v>285500</v>
      </c>
      <c r="F4" s="15">
        <f t="shared" si="1"/>
        <v>0</v>
      </c>
      <c r="G4" s="17">
        <f t="shared" si="2"/>
        <v>0</v>
      </c>
      <c r="H4" s="23">
        <v>0</v>
      </c>
      <c r="I4" s="23">
        <v>0</v>
      </c>
      <c r="J4" s="23">
        <f t="shared" si="0"/>
        <v>0</v>
      </c>
      <c r="K4" s="23">
        <f t="shared" si="0"/>
        <v>0</v>
      </c>
      <c r="L4" s="23">
        <f t="shared" si="0"/>
        <v>0</v>
      </c>
      <c r="M4" s="23">
        <f t="shared" si="0"/>
        <v>0</v>
      </c>
      <c r="N4" s="23">
        <f t="shared" si="0"/>
        <v>0</v>
      </c>
      <c r="O4" s="23">
        <f t="shared" si="0"/>
        <v>0</v>
      </c>
      <c r="P4" s="23">
        <v>0</v>
      </c>
    </row>
    <row r="5" spans="1:16" ht="60" customHeight="1" x14ac:dyDescent="0.2">
      <c r="A5" s="16">
        <v>4</v>
      </c>
      <c r="B5" s="16">
        <v>60401</v>
      </c>
      <c r="C5" s="20" t="s">
        <v>40</v>
      </c>
      <c r="D5" s="16" t="s">
        <v>41</v>
      </c>
      <c r="E5" s="22">
        <v>18004000</v>
      </c>
      <c r="F5" s="15">
        <f t="shared" si="1"/>
        <v>21</v>
      </c>
      <c r="G5" s="17">
        <f t="shared" si="2"/>
        <v>378084000</v>
      </c>
      <c r="H5" s="23">
        <v>0</v>
      </c>
      <c r="I5" s="23">
        <v>12</v>
      </c>
      <c r="J5" s="23">
        <v>9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</row>
    <row r="6" spans="1:16" ht="60" customHeight="1" x14ac:dyDescent="0.2">
      <c r="A6" s="16">
        <v>5</v>
      </c>
      <c r="B6" s="16">
        <v>60806</v>
      </c>
      <c r="C6" s="20" t="s">
        <v>42</v>
      </c>
      <c r="D6" s="16" t="s">
        <v>43</v>
      </c>
      <c r="E6" s="22">
        <v>490849000</v>
      </c>
      <c r="F6" s="15">
        <f t="shared" si="1"/>
        <v>9</v>
      </c>
      <c r="G6" s="17">
        <f t="shared" si="2"/>
        <v>4417641000</v>
      </c>
      <c r="H6" s="23">
        <v>1</v>
      </c>
      <c r="I6" s="23">
        <v>1</v>
      </c>
      <c r="J6" s="23">
        <f t="shared" ref="J6:O6" si="3">I6</f>
        <v>1</v>
      </c>
      <c r="K6" s="23">
        <f t="shared" si="3"/>
        <v>1</v>
      </c>
      <c r="L6" s="23">
        <f t="shared" si="3"/>
        <v>1</v>
      </c>
      <c r="M6" s="23">
        <f t="shared" si="3"/>
        <v>1</v>
      </c>
      <c r="N6" s="23">
        <f t="shared" si="3"/>
        <v>1</v>
      </c>
      <c r="O6" s="23">
        <f t="shared" si="3"/>
        <v>1</v>
      </c>
      <c r="P6" s="23">
        <v>1</v>
      </c>
    </row>
    <row r="7" spans="1:16" ht="60" customHeight="1" x14ac:dyDescent="0.2">
      <c r="A7" s="16">
        <v>6</v>
      </c>
      <c r="B7" s="16" t="s">
        <v>44</v>
      </c>
      <c r="C7" s="20" t="s">
        <v>45</v>
      </c>
      <c r="D7" s="16" t="s">
        <v>33</v>
      </c>
      <c r="E7" s="22">
        <f>E6/200</f>
        <v>2454245</v>
      </c>
      <c r="F7" s="15">
        <f t="shared" si="1"/>
        <v>345</v>
      </c>
      <c r="G7" s="17">
        <f t="shared" si="2"/>
        <v>846714525</v>
      </c>
      <c r="H7" s="23">
        <v>30</v>
      </c>
      <c r="I7" s="23">
        <v>48</v>
      </c>
      <c r="J7" s="23">
        <v>45</v>
      </c>
      <c r="K7" s="23">
        <v>45</v>
      </c>
      <c r="L7" s="23">
        <v>47</v>
      </c>
      <c r="M7" s="23">
        <v>48</v>
      </c>
      <c r="N7" s="23">
        <v>15</v>
      </c>
      <c r="O7" s="23">
        <v>35</v>
      </c>
      <c r="P7" s="23">
        <v>32</v>
      </c>
    </row>
    <row r="8" spans="1:16" ht="60" customHeight="1" x14ac:dyDescent="0.2">
      <c r="A8" s="16">
        <v>7</v>
      </c>
      <c r="B8" s="16" t="s">
        <v>46</v>
      </c>
      <c r="C8" s="20" t="s">
        <v>47</v>
      </c>
      <c r="D8" s="16" t="s">
        <v>43</v>
      </c>
      <c r="E8" s="22">
        <f>E6*0.1</f>
        <v>49084900</v>
      </c>
      <c r="F8" s="15">
        <f t="shared" si="1"/>
        <v>0</v>
      </c>
      <c r="G8" s="17">
        <f t="shared" si="2"/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</row>
    <row r="9" spans="1:16" ht="60" customHeight="1" x14ac:dyDescent="0.2">
      <c r="A9" s="16">
        <v>8</v>
      </c>
      <c r="B9" s="16">
        <v>60902</v>
      </c>
      <c r="C9" s="20" t="s">
        <v>48</v>
      </c>
      <c r="D9" s="16" t="s">
        <v>49</v>
      </c>
      <c r="E9" s="22">
        <v>17084000</v>
      </c>
      <c r="F9" s="15">
        <f t="shared" si="1"/>
        <v>1336</v>
      </c>
      <c r="G9" s="18">
        <f t="shared" si="2"/>
        <v>22824224000</v>
      </c>
      <c r="H9" s="23">
        <v>133</v>
      </c>
      <c r="I9" s="23">
        <v>140</v>
      </c>
      <c r="J9" s="23">
        <v>238</v>
      </c>
      <c r="K9" s="23">
        <v>234</v>
      </c>
      <c r="L9" s="23">
        <v>133</v>
      </c>
      <c r="M9" s="23">
        <v>66</v>
      </c>
      <c r="N9" s="23">
        <v>190</v>
      </c>
      <c r="O9" s="23">
        <v>116</v>
      </c>
      <c r="P9" s="23">
        <v>86</v>
      </c>
    </row>
    <row r="10" spans="1:16" ht="60" customHeight="1" x14ac:dyDescent="0.2">
      <c r="A10" s="16">
        <v>9</v>
      </c>
      <c r="B10" s="16" t="s">
        <v>50</v>
      </c>
      <c r="C10" s="20" t="s">
        <v>51</v>
      </c>
      <c r="D10" s="16" t="s">
        <v>49</v>
      </c>
      <c r="E10" s="22">
        <f>E9*0.01</f>
        <v>170840</v>
      </c>
      <c r="F10" s="15">
        <f t="shared" si="1"/>
        <v>1336</v>
      </c>
      <c r="G10" s="17">
        <f t="shared" si="2"/>
        <v>228242240</v>
      </c>
      <c r="H10" s="23">
        <f>H9</f>
        <v>133</v>
      </c>
      <c r="I10" s="23">
        <v>140</v>
      </c>
      <c r="J10" s="23">
        <f t="shared" ref="J10:O10" si="4">J9</f>
        <v>238</v>
      </c>
      <c r="K10" s="23">
        <f t="shared" si="4"/>
        <v>234</v>
      </c>
      <c r="L10" s="23">
        <f t="shared" si="4"/>
        <v>133</v>
      </c>
      <c r="M10" s="23">
        <f t="shared" si="4"/>
        <v>66</v>
      </c>
      <c r="N10" s="23">
        <f t="shared" si="4"/>
        <v>190</v>
      </c>
      <c r="O10" s="23">
        <f t="shared" si="4"/>
        <v>116</v>
      </c>
      <c r="P10" s="23">
        <v>86</v>
      </c>
    </row>
    <row r="11" spans="1:16" ht="60" customHeight="1" x14ac:dyDescent="0.2">
      <c r="A11" s="16">
        <v>10</v>
      </c>
      <c r="B11" s="16" t="s">
        <v>52</v>
      </c>
      <c r="C11" s="20" t="s">
        <v>53</v>
      </c>
      <c r="D11" s="16" t="s">
        <v>49</v>
      </c>
      <c r="E11" s="22">
        <f>E9*0.15</f>
        <v>2562600</v>
      </c>
      <c r="F11" s="15">
        <f t="shared" si="1"/>
        <v>53</v>
      </c>
      <c r="G11" s="17">
        <f t="shared" si="2"/>
        <v>135817800</v>
      </c>
      <c r="H11" s="23">
        <v>53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</row>
    <row r="12" spans="1:16" ht="60" customHeight="1" x14ac:dyDescent="0.2">
      <c r="A12" s="16">
        <v>11</v>
      </c>
      <c r="B12" s="16">
        <v>61002</v>
      </c>
      <c r="C12" s="20" t="s">
        <v>54</v>
      </c>
      <c r="D12" s="16" t="s">
        <v>6</v>
      </c>
      <c r="E12" s="22">
        <v>18228000</v>
      </c>
      <c r="F12" s="15">
        <f t="shared" si="1"/>
        <v>54</v>
      </c>
      <c r="G12" s="17">
        <f t="shared" si="2"/>
        <v>984312000</v>
      </c>
      <c r="H12" s="23">
        <v>6</v>
      </c>
      <c r="I12" s="23">
        <v>6</v>
      </c>
      <c r="J12" s="23">
        <f t="shared" ref="J12:O12" si="5">I12</f>
        <v>6</v>
      </c>
      <c r="K12" s="23">
        <f t="shared" si="5"/>
        <v>6</v>
      </c>
      <c r="L12" s="23">
        <f t="shared" si="5"/>
        <v>6</v>
      </c>
      <c r="M12" s="23">
        <f t="shared" si="5"/>
        <v>6</v>
      </c>
      <c r="N12" s="23">
        <f t="shared" si="5"/>
        <v>6</v>
      </c>
      <c r="O12" s="23">
        <f t="shared" si="5"/>
        <v>6</v>
      </c>
      <c r="P12" s="23">
        <v>6</v>
      </c>
    </row>
    <row r="13" spans="1:16" ht="60" customHeight="1" x14ac:dyDescent="0.2">
      <c r="A13" s="16">
        <v>12</v>
      </c>
      <c r="B13" s="16" t="s">
        <v>55</v>
      </c>
      <c r="C13" s="20" t="s">
        <v>32</v>
      </c>
      <c r="D13" s="16" t="s">
        <v>49</v>
      </c>
      <c r="E13" s="22">
        <f>E12/100</f>
        <v>182280</v>
      </c>
      <c r="F13" s="15">
        <f t="shared" si="1"/>
        <v>54</v>
      </c>
      <c r="G13" s="17">
        <f>F13*E13</f>
        <v>9843120</v>
      </c>
      <c r="H13" s="23">
        <v>6</v>
      </c>
      <c r="I13" s="23">
        <v>6</v>
      </c>
      <c r="J13" s="23">
        <f t="shared" ref="J13:P13" si="6">J12</f>
        <v>6</v>
      </c>
      <c r="K13" s="23">
        <f t="shared" si="6"/>
        <v>6</v>
      </c>
      <c r="L13" s="23">
        <f t="shared" si="6"/>
        <v>6</v>
      </c>
      <c r="M13" s="23">
        <f t="shared" si="6"/>
        <v>6</v>
      </c>
      <c r="N13" s="23">
        <f t="shared" si="6"/>
        <v>6</v>
      </c>
      <c r="O13" s="23">
        <f t="shared" si="6"/>
        <v>6</v>
      </c>
      <c r="P13" s="23">
        <f t="shared" si="6"/>
        <v>6</v>
      </c>
    </row>
    <row r="14" spans="1:16" ht="60" customHeight="1" x14ac:dyDescent="0.2">
      <c r="A14" s="16">
        <v>13</v>
      </c>
      <c r="B14" s="16" t="s">
        <v>56</v>
      </c>
      <c r="C14" s="20" t="s">
        <v>57</v>
      </c>
      <c r="D14" s="16" t="s">
        <v>43</v>
      </c>
      <c r="E14" s="22">
        <v>50000000</v>
      </c>
      <c r="F14" s="15">
        <f t="shared" si="1"/>
        <v>9</v>
      </c>
      <c r="G14" s="17">
        <f>F14*E14</f>
        <v>450000000</v>
      </c>
      <c r="H14" s="23">
        <v>1</v>
      </c>
      <c r="I14" s="23">
        <v>1</v>
      </c>
      <c r="J14" s="23">
        <f t="shared" ref="J14:O14" si="7">I14</f>
        <v>1</v>
      </c>
      <c r="K14" s="23">
        <f t="shared" si="7"/>
        <v>1</v>
      </c>
      <c r="L14" s="23">
        <f t="shared" si="7"/>
        <v>1</v>
      </c>
      <c r="M14" s="23">
        <f t="shared" si="7"/>
        <v>1</v>
      </c>
      <c r="N14" s="23">
        <f t="shared" si="7"/>
        <v>1</v>
      </c>
      <c r="O14" s="23">
        <f t="shared" si="7"/>
        <v>1</v>
      </c>
      <c r="P14" s="23">
        <v>1</v>
      </c>
    </row>
    <row r="15" spans="1:16" ht="59.25" customHeight="1" x14ac:dyDescent="0.2">
      <c r="A15" s="35" t="s">
        <v>121</v>
      </c>
      <c r="B15" s="35"/>
      <c r="C15" s="15">
        <v>0.80969999999999998</v>
      </c>
      <c r="D15" s="16" t="s">
        <v>124</v>
      </c>
      <c r="E15" s="16">
        <v>1.3</v>
      </c>
      <c r="F15" s="35" t="s">
        <v>122</v>
      </c>
      <c r="G15" s="35"/>
      <c r="H15" s="17">
        <f>H2*$E$2+H3*$E$3+H4*$E$4+H5*$E$5+H6*$E$6+H7*$E$7+H8*$E$8+H9*$E$9+H10*$E$10+H11*$E$11+H12*$E$12+H13*$E$13+H14*$E$14</f>
        <v>3261273550</v>
      </c>
      <c r="I15" s="17">
        <f t="shared" ref="I15:P15" si="8">I2*$E$2+I3*$E$3+I4*$E$4+I5*$E$5+I6*$E$6+I7*$E$7+I8*$E$8+I9*$E$9+I10*$E$10+I11*$E$11+I12*$E$12+I13*$E$13+I14*$E$14</f>
        <v>3506464040</v>
      </c>
      <c r="J15" s="17">
        <f t="shared" si="8"/>
        <v>5136063625</v>
      </c>
      <c r="K15" s="17">
        <f t="shared" si="8"/>
        <v>4905008265</v>
      </c>
      <c r="L15" s="17">
        <f t="shared" si="8"/>
        <v>3167177915</v>
      </c>
      <c r="M15" s="17">
        <f t="shared" si="8"/>
        <v>2013557880</v>
      </c>
      <c r="N15" s="17">
        <f t="shared" si="8"/>
        <v>4072167955</v>
      </c>
      <c r="O15" s="17">
        <f t="shared" si="8"/>
        <v>2844394695</v>
      </c>
      <c r="P15" s="17">
        <f t="shared" si="8"/>
        <v>2319386760</v>
      </c>
    </row>
    <row r="16" spans="1:16" ht="23.25" x14ac:dyDescent="0.2">
      <c r="A16" s="35" t="s">
        <v>123</v>
      </c>
      <c r="B16" s="35"/>
      <c r="C16" s="15">
        <v>1.03</v>
      </c>
      <c r="D16" s="19"/>
      <c r="E16" s="19"/>
      <c r="F16" s="35" t="s">
        <v>125</v>
      </c>
      <c r="G16" s="35"/>
      <c r="H16" s="17">
        <f>H15*$E$15*$C$15*$C$16</f>
        <v>3535834626.0094647</v>
      </c>
      <c r="I16" s="17">
        <f t="shared" ref="I16:P16" si="9">I15*$E$15*$C$15*$C$16</f>
        <v>3801667286.5387321</v>
      </c>
      <c r="J16" s="17">
        <f t="shared" si="9"/>
        <v>5568460090.2805872</v>
      </c>
      <c r="K16" s="17">
        <f t="shared" si="9"/>
        <v>5317952572.3162994</v>
      </c>
      <c r="L16" s="17">
        <f t="shared" si="9"/>
        <v>3433817239.4613948</v>
      </c>
      <c r="M16" s="17">
        <f t="shared" si="9"/>
        <v>2183075894.868804</v>
      </c>
      <c r="N16" s="17">
        <f t="shared" si="9"/>
        <v>4414996852.4459267</v>
      </c>
      <c r="O16" s="17">
        <f t="shared" si="9"/>
        <v>3083859448.9010682</v>
      </c>
      <c r="P16" s="17">
        <f t="shared" si="9"/>
        <v>2514651988.3669076</v>
      </c>
    </row>
    <row r="17" spans="6:10" ht="42" x14ac:dyDescent="0.2">
      <c r="F17" s="36" t="s">
        <v>126</v>
      </c>
      <c r="G17" s="36"/>
      <c r="H17" s="34">
        <f>SUM(H16:P16)</f>
        <v>33854315999.18919</v>
      </c>
      <c r="I17" s="34"/>
      <c r="J17" s="34"/>
    </row>
  </sheetData>
  <mergeCells count="6">
    <mergeCell ref="H17:J17"/>
    <mergeCell ref="A15:B15"/>
    <mergeCell ref="F15:G15"/>
    <mergeCell ref="A16:B16"/>
    <mergeCell ref="F16:G16"/>
    <mergeCell ref="F17:G17"/>
  </mergeCells>
  <pageMargins left="0.70866141732283472" right="0.70866141732283472" top="0.74803149606299213" bottom="0.74803149606299213" header="0.31496062992125984" footer="0.31496062992125984"/>
  <pageSetup paperSize="9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مفتح 29 (بازه شیخ)</vt:lpstr>
      <vt:lpstr>امامیه 17</vt:lpstr>
      <vt:lpstr>اسلام آباد 4</vt:lpstr>
      <vt:lpstr>فناوری 1</vt:lpstr>
      <vt:lpstr>امام رضا 29</vt:lpstr>
      <vt:lpstr>اسلام آباد5</vt:lpstr>
      <vt:lpstr>شهرک راه آهن(مجدد)</vt:lpstr>
      <vt:lpstr>شهرک راه آهن</vt:lpstr>
      <vt:lpstr>ناظریه 10</vt:lpstr>
      <vt:lpstr>حجاب 3</vt:lpstr>
      <vt:lpstr>عبادی 30</vt:lpstr>
      <vt:lpstr>بهار</vt:lpstr>
      <vt:lpstr>رضا 11</vt:lpstr>
      <vt:lpstr>کورده 13</vt:lpstr>
      <vt:lpstr>کورده 3</vt:lpstr>
      <vt:lpstr>اسلام 13</vt:lpstr>
      <vt:lpstr>شهرک امام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امین بزرگمهر</cp:lastModifiedBy>
  <cp:lastPrinted>2026-02-25T06:02:41Z</cp:lastPrinted>
  <dcterms:created xsi:type="dcterms:W3CDTF">2023-06-28T08:54:52Z</dcterms:created>
  <dcterms:modified xsi:type="dcterms:W3CDTF">2026-04-19T09:18:06Z</dcterms:modified>
</cp:coreProperties>
</file>