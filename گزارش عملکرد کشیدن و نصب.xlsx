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Mehdi Nasri\Desktop\Water supply\"/>
    </mc:Choice>
  </mc:AlternateContent>
  <xr:revisionPtr revIDLastSave="0" documentId="8_{8F76A613-EA70-4C5C-A222-E4B092475E98}" xr6:coauthVersionLast="47" xr6:coauthVersionMax="47" xr10:uidLastSave="{00000000-0000-0000-0000-000000000000}"/>
  <bookViews>
    <workbookView xWindow="-120" yWindow="-120" windowWidth="20730" windowHeight="11160" xr2:uid="{86EB18B0-86DA-4308-A367-AA44857F9323}"/>
  </bookViews>
  <sheets>
    <sheet name="1405" sheetId="41" r:id="rId1"/>
    <sheet name="1404" sheetId="37" r:id="rId2"/>
    <sheet name="1403" sheetId="36" r:id="rId3"/>
    <sheet name="1402" sheetId="1" r:id="rId4"/>
    <sheet name="1401" sheetId="29" r:id="rId5"/>
    <sheet name="1400" sheetId="30" r:id="rId6"/>
    <sheet name="1399" sheetId="31" r:id="rId7"/>
    <sheet name="1398" sheetId="32" r:id="rId8"/>
    <sheet name="خاص" sheetId="33" r:id="rId9"/>
    <sheet name="رجائی 2" sheetId="34" r:id="rId10"/>
    <sheet name="کشیدن شش ماه اول" sheetId="35" r:id="rId11"/>
    <sheet name="Sheet2" sheetId="43" r:id="rId12"/>
    <sheet name="99-403" sheetId="38" r:id="rId13"/>
    <sheet name="گزارش دمونتاژ الکتروپمپ" sheetId="39" r:id="rId14"/>
    <sheet name="Sheet1" sheetId="42" r:id="rId15"/>
  </sheets>
  <definedNames>
    <definedName name="_xlnm._FilterDatabase" localSheetId="7" hidden="1">'1398'!$A$3:$T$199</definedName>
    <definedName name="_xlnm._FilterDatabase" localSheetId="6" hidden="1">'1399'!$A$3:$U$184</definedName>
    <definedName name="_xlnm._FilterDatabase" localSheetId="5" hidden="1">'1400'!$A$3:$Z$326</definedName>
    <definedName name="_xlnm._FilterDatabase" localSheetId="4" hidden="1">'1401'!$A$7:$AY$514</definedName>
    <definedName name="_xlnm._FilterDatabase" localSheetId="3" hidden="1">'1402'!$A$7:$BK$505</definedName>
    <definedName name="_xlnm._FilterDatabase" localSheetId="2" hidden="1">'1403'!$A$7:$BE$416</definedName>
    <definedName name="_xlnm._FilterDatabase" localSheetId="1" hidden="1">'1404'!$A$1:$AY$590</definedName>
    <definedName name="_xlnm._FilterDatabase" localSheetId="0" hidden="1">'1405'!$A$1:$AZ$702</definedName>
    <definedName name="_xlnm._FilterDatabase" localSheetId="8" hidden="1">خاص!$A$3:$AJ$35</definedName>
    <definedName name="_xlnm._FilterDatabase" localSheetId="10" hidden="1">'کشیدن شش ماه اول'!$A$3:$AY$50</definedName>
  </definedNames>
  <calcPr calcId="191029"/>
</workbook>
</file>

<file path=xl/calcChain.xml><?xml version="1.0" encoding="utf-8"?>
<calcChain xmlns="http://schemas.openxmlformats.org/spreadsheetml/2006/main">
  <c r="AW4" i="35" l="1"/>
  <c r="AX4" i="35" s="1"/>
  <c r="AW5" i="35"/>
  <c r="AX5" i="35" s="1"/>
  <c r="AW6" i="35"/>
  <c r="AX6" i="35"/>
  <c r="AW7" i="35"/>
  <c r="AX7" i="35"/>
  <c r="AW8" i="35"/>
  <c r="AX8" i="35"/>
  <c r="AW9" i="35"/>
  <c r="AX9" i="35"/>
  <c r="AW10" i="35"/>
  <c r="AX10" i="35"/>
  <c r="AW11" i="35"/>
  <c r="AX11" i="35"/>
  <c r="AW12" i="35"/>
  <c r="AX12" i="35"/>
  <c r="AW13" i="35"/>
  <c r="AX13" i="35"/>
  <c r="AW14" i="35"/>
  <c r="AX14" i="35"/>
  <c r="AW15" i="35"/>
  <c r="AX15" i="35"/>
  <c r="AW16" i="35"/>
  <c r="AX16" i="35"/>
  <c r="AW17" i="35"/>
  <c r="AX17" i="35"/>
  <c r="AW18" i="35"/>
  <c r="AX18" i="35"/>
  <c r="AW19" i="35"/>
  <c r="AX19" i="35"/>
  <c r="AW20" i="35"/>
  <c r="AX20" i="35"/>
  <c r="AW21" i="35"/>
  <c r="AX21" i="35"/>
  <c r="AW22" i="35"/>
  <c r="AX22" i="35"/>
  <c r="AW23" i="35"/>
  <c r="AX23" i="35"/>
  <c r="AW24" i="35"/>
  <c r="AX24" i="35"/>
  <c r="AW25" i="35"/>
  <c r="AX25" i="35"/>
  <c r="AW26" i="35"/>
  <c r="AX26" i="35"/>
  <c r="AW27" i="35"/>
  <c r="AX27" i="35"/>
  <c r="AW28" i="35"/>
  <c r="AX28" i="35"/>
  <c r="AW29" i="35"/>
  <c r="AX29" i="35"/>
  <c r="AW30" i="35"/>
  <c r="AX30" i="35"/>
  <c r="AW31" i="35"/>
  <c r="AX31" i="35"/>
  <c r="AW32" i="35"/>
  <c r="AX32" i="35"/>
  <c r="AW33" i="35"/>
  <c r="AX33" i="35"/>
  <c r="AW34" i="35"/>
  <c r="AX34" i="35"/>
  <c r="AW35" i="35"/>
  <c r="AX35" i="35"/>
  <c r="AW36" i="35"/>
  <c r="AX36" i="35"/>
  <c r="AW37" i="35"/>
  <c r="AX37" i="35"/>
  <c r="AW38" i="35"/>
  <c r="AX38" i="35"/>
  <c r="AW39" i="35"/>
  <c r="AX39" i="35"/>
  <c r="AW40" i="35"/>
  <c r="AX40" i="35"/>
  <c r="AW41" i="35"/>
  <c r="AX41" i="35"/>
  <c r="AW42" i="35"/>
  <c r="AX42" i="35"/>
  <c r="AW43" i="35"/>
  <c r="AX43" i="35"/>
  <c r="AW44" i="35"/>
  <c r="AX44" i="35"/>
  <c r="AW45" i="35"/>
  <c r="AX45" i="35"/>
  <c r="AW46" i="35"/>
  <c r="AX46" i="35"/>
  <c r="AW47" i="35"/>
  <c r="AX47" i="35"/>
  <c r="AW48" i="35"/>
  <c r="AX48" i="35"/>
  <c r="AW49" i="35"/>
  <c r="AX49" i="35"/>
  <c r="AW50" i="35"/>
  <c r="AX50" i="35"/>
  <c r="G9" i="34"/>
  <c r="H9" i="34"/>
  <c r="G10" i="34"/>
  <c r="H10" i="34"/>
  <c r="G11" i="34"/>
  <c r="H11" i="34"/>
  <c r="G12" i="34"/>
  <c r="H12" i="34"/>
  <c r="G13" i="34"/>
  <c r="H13" i="34"/>
  <c r="G14" i="34"/>
  <c r="H14" i="34"/>
  <c r="G15" i="34"/>
  <c r="H15" i="34"/>
  <c r="G24" i="34"/>
  <c r="AE5" i="33"/>
  <c r="AF5" i="33" s="1"/>
  <c r="AE8" i="33"/>
  <c r="AF8" i="33" s="1"/>
  <c r="AE11" i="33"/>
  <c r="AF11" i="33" s="1"/>
  <c r="AE14" i="33"/>
  <c r="AF14" i="33" s="1"/>
  <c r="AE17" i="33"/>
  <c r="AF17" i="33" s="1"/>
  <c r="AE20" i="33"/>
  <c r="AF20" i="33" s="1"/>
  <c r="AE23" i="33"/>
  <c r="AF23" i="33" s="1"/>
  <c r="AE26" i="33"/>
  <c r="AF26" i="33" s="1"/>
  <c r="AE29" i="33"/>
  <c r="AF29" i="33" s="1"/>
  <c r="AE32" i="33"/>
  <c r="AF32" i="33" s="1"/>
  <c r="AE35" i="33"/>
  <c r="AF35" i="33" s="1"/>
  <c r="AE38" i="33"/>
  <c r="AF38" i="33" s="1"/>
  <c r="AE40" i="33"/>
  <c r="AF40" i="33" s="1"/>
  <c r="AE41" i="33"/>
  <c r="AF41" i="33" s="1"/>
  <c r="AE42" i="33"/>
  <c r="AF42" i="33" s="1"/>
  <c r="AE47" i="33"/>
  <c r="AF47" i="33" s="1"/>
  <c r="AE50" i="33"/>
  <c r="AF50" i="33" s="1"/>
  <c r="AE53" i="33"/>
  <c r="AF53" i="33" s="1"/>
  <c r="AE56" i="33"/>
  <c r="AF56" i="33" s="1"/>
  <c r="AE62" i="33"/>
  <c r="AF62" i="33" s="1"/>
  <c r="AE65" i="33"/>
  <c r="AF65" i="33" s="1"/>
  <c r="A3" i="29"/>
  <c r="B3" i="29"/>
  <c r="C3" i="29"/>
  <c r="D3" i="29"/>
  <c r="E3" i="29"/>
  <c r="F3" i="29"/>
  <c r="G3" i="29"/>
  <c r="H3" i="29"/>
  <c r="I3" i="29"/>
  <c r="J3" i="29"/>
  <c r="K3" i="29"/>
  <c r="L3" i="29"/>
  <c r="M3" i="29"/>
  <c r="N3" i="29"/>
  <c r="O3" i="29"/>
  <c r="P3" i="29"/>
  <c r="Q3" i="29"/>
  <c r="R3" i="29"/>
  <c r="S3" i="29"/>
  <c r="T3" i="29"/>
  <c r="U3" i="29"/>
  <c r="V3" i="29"/>
  <c r="W3" i="29"/>
  <c r="X3" i="29"/>
  <c r="Y3" i="29"/>
  <c r="Z3" i="29"/>
  <c r="AA3" i="29"/>
  <c r="AB3" i="29"/>
  <c r="AC3" i="29"/>
  <c r="AD3" i="29"/>
  <c r="AD4" i="29" s="1"/>
  <c r="AE3" i="29"/>
  <c r="AF3" i="29"/>
  <c r="AG3" i="29"/>
  <c r="AH3" i="29"/>
  <c r="AI3" i="29"/>
  <c r="AJ3" i="29"/>
  <c r="AK3" i="29"/>
  <c r="AL3" i="29"/>
  <c r="AM3" i="29"/>
  <c r="AN3" i="29"/>
  <c r="AO3" i="29"/>
  <c r="AP3" i="29"/>
  <c r="AP4" i="29" s="1"/>
  <c r="AQ3" i="29"/>
  <c r="AS3" i="29"/>
  <c r="AT3" i="29"/>
  <c r="AU3" i="29"/>
  <c r="AV3" i="29"/>
  <c r="AO4" i="29"/>
  <c r="AW8" i="29"/>
  <c r="AX8" i="29"/>
  <c r="AW9" i="29"/>
  <c r="AX9" i="29"/>
  <c r="AW10" i="29"/>
  <c r="AX10" i="29"/>
  <c r="AW11" i="29"/>
  <c r="AX11" i="29"/>
  <c r="AW12" i="29"/>
  <c r="AX12" i="29"/>
  <c r="AW13" i="29"/>
  <c r="AX13" i="29"/>
  <c r="AW14" i="29"/>
  <c r="AX14" i="29"/>
  <c r="AW15" i="29"/>
  <c r="AX15" i="29"/>
  <c r="AW16" i="29"/>
  <c r="AX16" i="29"/>
  <c r="AW17" i="29"/>
  <c r="AX17" i="29"/>
  <c r="AW18" i="29"/>
  <c r="AX18" i="29"/>
  <c r="AW19" i="29"/>
  <c r="AX19" i="29"/>
  <c r="AW20" i="29"/>
  <c r="AX20" i="29"/>
  <c r="AW21" i="29"/>
  <c r="AX21" i="29"/>
  <c r="AW22" i="29"/>
  <c r="AX22" i="29"/>
  <c r="AW23" i="29"/>
  <c r="AX23" i="29"/>
  <c r="AW24" i="29"/>
  <c r="AX24" i="29"/>
  <c r="AW25" i="29"/>
  <c r="AX25" i="29"/>
  <c r="AW26" i="29"/>
  <c r="AX26" i="29"/>
  <c r="AW27" i="29"/>
  <c r="AX27" i="29"/>
  <c r="AW28" i="29"/>
  <c r="AX28" i="29"/>
  <c r="AW29" i="29"/>
  <c r="AX29" i="29"/>
  <c r="AW30" i="29"/>
  <c r="AX30" i="29"/>
  <c r="AW31" i="29"/>
  <c r="AX31" i="29"/>
  <c r="AW32" i="29"/>
  <c r="AX32" i="29"/>
  <c r="AW33" i="29"/>
  <c r="AX33" i="29"/>
  <c r="AW34" i="29"/>
  <c r="AX34" i="29"/>
  <c r="AW35" i="29"/>
  <c r="AX35" i="29"/>
  <c r="AW36" i="29"/>
  <c r="AX36" i="29"/>
  <c r="AW37" i="29"/>
  <c r="AX37" i="29"/>
  <c r="AW38" i="29"/>
  <c r="AX38" i="29"/>
  <c r="AW39" i="29"/>
  <c r="AX39" i="29"/>
  <c r="AW40" i="29"/>
  <c r="AX40" i="29"/>
  <c r="AW41" i="29"/>
  <c r="AX41" i="29"/>
  <c r="AW42" i="29"/>
  <c r="AX42" i="29"/>
  <c r="AW43" i="29"/>
  <c r="AX43" i="29"/>
  <c r="AW44" i="29"/>
  <c r="AX44" i="29"/>
  <c r="AW45" i="29"/>
  <c r="AX45" i="29"/>
  <c r="AW46" i="29"/>
  <c r="AX46" i="29"/>
  <c r="AW47" i="29"/>
  <c r="AX47" i="29"/>
  <c r="AW48" i="29"/>
  <c r="AX48" i="29"/>
  <c r="AW49" i="29"/>
  <c r="AX49" i="29"/>
  <c r="AW50" i="29"/>
  <c r="AX50" i="29"/>
  <c r="AW51" i="29"/>
  <c r="AX51" i="29"/>
  <c r="AW52" i="29"/>
  <c r="AX52" i="29"/>
  <c r="AW53" i="29"/>
  <c r="AX53" i="29"/>
  <c r="AW54" i="29"/>
  <c r="AX54" i="29"/>
  <c r="AW55" i="29"/>
  <c r="AX55" i="29"/>
  <c r="AW56" i="29"/>
  <c r="AX56" i="29"/>
  <c r="AW57" i="29"/>
  <c r="AX57" i="29"/>
  <c r="AW58" i="29"/>
  <c r="AX58" i="29"/>
  <c r="AW59" i="29"/>
  <c r="AX59" i="29"/>
  <c r="AW60" i="29"/>
  <c r="AX60" i="29"/>
  <c r="AW61" i="29"/>
  <c r="AX61" i="29"/>
  <c r="AW62" i="29"/>
  <c r="AX62" i="29"/>
  <c r="AW63" i="29"/>
  <c r="AX63" i="29"/>
  <c r="AW64" i="29"/>
  <c r="AX64" i="29"/>
  <c r="AW65" i="29"/>
  <c r="AX65" i="29"/>
  <c r="AW66" i="29"/>
  <c r="AX66" i="29"/>
  <c r="AW67" i="29"/>
  <c r="AX67" i="29"/>
  <c r="AW68" i="29"/>
  <c r="AX68" i="29"/>
  <c r="AW69" i="29"/>
  <c r="AX69" i="29"/>
  <c r="AW70" i="29"/>
  <c r="AX70" i="29"/>
  <c r="AW71" i="29"/>
  <c r="AX71" i="29"/>
  <c r="AW72" i="29"/>
  <c r="AX72" i="29"/>
  <c r="AW73" i="29"/>
  <c r="AX73" i="29"/>
  <c r="AW74" i="29"/>
  <c r="AX74" i="29"/>
  <c r="AW75" i="29"/>
  <c r="AX75" i="29"/>
  <c r="AW76" i="29"/>
  <c r="AX76" i="29"/>
  <c r="AW77" i="29"/>
  <c r="AX77" i="29"/>
  <c r="AW78" i="29"/>
  <c r="AX78" i="29"/>
  <c r="AW79" i="29"/>
  <c r="AX79" i="29"/>
  <c r="AW80" i="29"/>
  <c r="AX80" i="29"/>
  <c r="AW81" i="29"/>
  <c r="AX81" i="29"/>
  <c r="AW82" i="29"/>
  <c r="AX82" i="29"/>
  <c r="AW83" i="29"/>
  <c r="AX83" i="29"/>
  <c r="AW84" i="29"/>
  <c r="AX84" i="29"/>
  <c r="AW85" i="29"/>
  <c r="AX85" i="29"/>
  <c r="AW86" i="29"/>
  <c r="AX86" i="29"/>
  <c r="AW87" i="29"/>
  <c r="AX87" i="29"/>
  <c r="AW88" i="29"/>
  <c r="AX88" i="29"/>
  <c r="AW89" i="29"/>
  <c r="AX89" i="29"/>
  <c r="AW90" i="29"/>
  <c r="AX90" i="29"/>
  <c r="AW91" i="29"/>
  <c r="AX91" i="29"/>
  <c r="AW92" i="29"/>
  <c r="AX92" i="29"/>
  <c r="AW93" i="29"/>
  <c r="AX93" i="29"/>
  <c r="AW94" i="29"/>
  <c r="AX94" i="29"/>
  <c r="AW95" i="29"/>
  <c r="AX95" i="29"/>
  <c r="AW96" i="29"/>
  <c r="AX96" i="29"/>
  <c r="AW97" i="29"/>
  <c r="AX97" i="29"/>
  <c r="AW98" i="29"/>
  <c r="AX98" i="29"/>
  <c r="AW99" i="29"/>
  <c r="AX99" i="29"/>
  <c r="AW100" i="29"/>
  <c r="AX100" i="29"/>
  <c r="AW101" i="29"/>
  <c r="AX101" i="29"/>
  <c r="AW102" i="29"/>
  <c r="AX102" i="29"/>
  <c r="AW103" i="29"/>
  <c r="AX103" i="29"/>
  <c r="AW104" i="29"/>
  <c r="AX104" i="29"/>
  <c r="AW105" i="29"/>
  <c r="AX105" i="29"/>
  <c r="AW106" i="29"/>
  <c r="AX106" i="29"/>
  <c r="AW107" i="29"/>
  <c r="AX107" i="29"/>
  <c r="AW108" i="29"/>
  <c r="AX108" i="29"/>
  <c r="AW109" i="29"/>
  <c r="AX109" i="29"/>
  <c r="AW110" i="29"/>
  <c r="AX110" i="29"/>
  <c r="AW111" i="29"/>
  <c r="AX111" i="29"/>
  <c r="AW112" i="29"/>
  <c r="AX112" i="29"/>
  <c r="AW113" i="29"/>
  <c r="AX113" i="29"/>
  <c r="AW114" i="29"/>
  <c r="AX114" i="29"/>
  <c r="AW115" i="29"/>
  <c r="AX115" i="29"/>
  <c r="AW116" i="29"/>
  <c r="AX116" i="29"/>
  <c r="AW117" i="29"/>
  <c r="AX117" i="29"/>
  <c r="AW118" i="29"/>
  <c r="AX118" i="29"/>
  <c r="AW119" i="29"/>
  <c r="AX119" i="29"/>
  <c r="AW120" i="29"/>
  <c r="AX120" i="29"/>
  <c r="AW121" i="29"/>
  <c r="AX121" i="29"/>
  <c r="AW122" i="29"/>
  <c r="AX122" i="29"/>
  <c r="AW123" i="29"/>
  <c r="AX123" i="29"/>
  <c r="AW124" i="29"/>
  <c r="AX124" i="29"/>
  <c r="AW125" i="29"/>
  <c r="AX125" i="29"/>
  <c r="AW126" i="29"/>
  <c r="AX126" i="29"/>
  <c r="AW127" i="29"/>
  <c r="AX127" i="29"/>
  <c r="AW128" i="29"/>
  <c r="AX128" i="29"/>
  <c r="AW129" i="29"/>
  <c r="AX129" i="29"/>
  <c r="AW130" i="29"/>
  <c r="AX130" i="29"/>
  <c r="AW131" i="29"/>
  <c r="AX131" i="29"/>
  <c r="AW132" i="29"/>
  <c r="AX132" i="29"/>
  <c r="AW133" i="29"/>
  <c r="AX133" i="29"/>
  <c r="AW134" i="29"/>
  <c r="AX134" i="29"/>
  <c r="AW135" i="29"/>
  <c r="AX135" i="29"/>
  <c r="AW136" i="29"/>
  <c r="AX136" i="29"/>
  <c r="AW137" i="29"/>
  <c r="AX137" i="29"/>
  <c r="AW138" i="29"/>
  <c r="AX138" i="29"/>
  <c r="AW139" i="29"/>
  <c r="AX139" i="29"/>
  <c r="AW140" i="29"/>
  <c r="AX140" i="29"/>
  <c r="AW141" i="29"/>
  <c r="AX141" i="29"/>
  <c r="AW142" i="29"/>
  <c r="AX142" i="29"/>
  <c r="AW143" i="29"/>
  <c r="AX143" i="29"/>
  <c r="AW144" i="29"/>
  <c r="AX144" i="29"/>
  <c r="AW145" i="29"/>
  <c r="AX145" i="29"/>
  <c r="AW146" i="29"/>
  <c r="AX146" i="29"/>
  <c r="AW147" i="29"/>
  <c r="AX147" i="29"/>
  <c r="AW148" i="29"/>
  <c r="AX148" i="29"/>
  <c r="AW149" i="29"/>
  <c r="AX149" i="29"/>
  <c r="AW150" i="29"/>
  <c r="AX150" i="29"/>
  <c r="AW151" i="29"/>
  <c r="AX151" i="29"/>
  <c r="AW152" i="29"/>
  <c r="AX152" i="29"/>
  <c r="AW153" i="29"/>
  <c r="AX153" i="29"/>
  <c r="AW154" i="29"/>
  <c r="AX154" i="29"/>
  <c r="AW155" i="29"/>
  <c r="AX155" i="29"/>
  <c r="AW156" i="29"/>
  <c r="AX156" i="29"/>
  <c r="AW157" i="29"/>
  <c r="AX157" i="29"/>
  <c r="AW158" i="29"/>
  <c r="AX158" i="29"/>
  <c r="AW159" i="29"/>
  <c r="AX159" i="29"/>
  <c r="AW160" i="29"/>
  <c r="AX160" i="29"/>
  <c r="AW161" i="29"/>
  <c r="AX161" i="29"/>
  <c r="AW162" i="29"/>
  <c r="AX162" i="29"/>
  <c r="AW163" i="29"/>
  <c r="AX163" i="29"/>
  <c r="AW164" i="29"/>
  <c r="AX164" i="29"/>
  <c r="AW165" i="29"/>
  <c r="AX165" i="29"/>
  <c r="AW166" i="29"/>
  <c r="AX166" i="29"/>
  <c r="AW167" i="29"/>
  <c r="AX167" i="29"/>
  <c r="AW168" i="29"/>
  <c r="AX168" i="29"/>
  <c r="AW169" i="29"/>
  <c r="AX169" i="29"/>
  <c r="AW170" i="29"/>
  <c r="AX170" i="29"/>
  <c r="AW171" i="29"/>
  <c r="AX171" i="29"/>
  <c r="AW172" i="29"/>
  <c r="AX172" i="29"/>
  <c r="AW173" i="29"/>
  <c r="AX173" i="29"/>
  <c r="AW174" i="29"/>
  <c r="AX174" i="29"/>
  <c r="AW175" i="29"/>
  <c r="AX175" i="29"/>
  <c r="AW176" i="29"/>
  <c r="AX176" i="29"/>
  <c r="AW177" i="29"/>
  <c r="AX177" i="29"/>
  <c r="AW178" i="29"/>
  <c r="AX178" i="29"/>
  <c r="AW179" i="29"/>
  <c r="AX179" i="29"/>
  <c r="AW180" i="29"/>
  <c r="AX180" i="29"/>
  <c r="AW181" i="29"/>
  <c r="AX181" i="29"/>
  <c r="AW182" i="29"/>
  <c r="AX182" i="29"/>
  <c r="AW183" i="29"/>
  <c r="AX183" i="29"/>
  <c r="AW184" i="29"/>
  <c r="AX184" i="29"/>
  <c r="AW185" i="29"/>
  <c r="AX185" i="29"/>
  <c r="AW186" i="29"/>
  <c r="AX186" i="29"/>
  <c r="AW187" i="29"/>
  <c r="AX187" i="29"/>
  <c r="AW188" i="29"/>
  <c r="AX188" i="29"/>
  <c r="AW189" i="29"/>
  <c r="AX189" i="29"/>
  <c r="AW190" i="29"/>
  <c r="AX190" i="29"/>
  <c r="AW191" i="29"/>
  <c r="AX191" i="29"/>
  <c r="AW192" i="29"/>
  <c r="AX192" i="29"/>
  <c r="AW193" i="29"/>
  <c r="AX193" i="29"/>
  <c r="AW194" i="29"/>
  <c r="AX194" i="29"/>
  <c r="AW195" i="29"/>
  <c r="AX195" i="29"/>
  <c r="AW196" i="29"/>
  <c r="AX196" i="29"/>
  <c r="AW197" i="29"/>
  <c r="AX197" i="29"/>
  <c r="AW198" i="29"/>
  <c r="AX198" i="29"/>
  <c r="AW199" i="29"/>
  <c r="AX199" i="29"/>
  <c r="AW200" i="29"/>
  <c r="AX200" i="29"/>
  <c r="AW201" i="29"/>
  <c r="AX201" i="29"/>
  <c r="AW202" i="29"/>
  <c r="AX202" i="29"/>
  <c r="AW203" i="29"/>
  <c r="AX203" i="29"/>
  <c r="AW204" i="29"/>
  <c r="AX204" i="29"/>
  <c r="AW205" i="29"/>
  <c r="AX205" i="29"/>
  <c r="AW206" i="29"/>
  <c r="AX206" i="29"/>
  <c r="AW207" i="29"/>
  <c r="AX207" i="29"/>
  <c r="AW208" i="29"/>
  <c r="AX208" i="29"/>
  <c r="AW209" i="29"/>
  <c r="AX209" i="29"/>
  <c r="AW210" i="29"/>
  <c r="AX210" i="29"/>
  <c r="AW211" i="29"/>
  <c r="AX211" i="29"/>
  <c r="AW212" i="29"/>
  <c r="AX212" i="29"/>
  <c r="AW213" i="29"/>
  <c r="AX213" i="29"/>
  <c r="AW214" i="29"/>
  <c r="AX214" i="29"/>
  <c r="AW215" i="29"/>
  <c r="AX215" i="29"/>
  <c r="AW216" i="29"/>
  <c r="AX216" i="29"/>
  <c r="AW217" i="29"/>
  <c r="AX217" i="29"/>
  <c r="AW218" i="29"/>
  <c r="AX218" i="29"/>
  <c r="AW219" i="29"/>
  <c r="AX219" i="29"/>
  <c r="AW220" i="29"/>
  <c r="AX220" i="29"/>
  <c r="AW221" i="29"/>
  <c r="AX221" i="29"/>
  <c r="AW222" i="29"/>
  <c r="AX222" i="29"/>
  <c r="AW223" i="29"/>
  <c r="AX223" i="29"/>
  <c r="AW224" i="29"/>
  <c r="AX224" i="29"/>
  <c r="AW225" i="29"/>
  <c r="AX225" i="29"/>
  <c r="AW226" i="29"/>
  <c r="AX226" i="29"/>
  <c r="AW227" i="29"/>
  <c r="AX227" i="29"/>
  <c r="AW228" i="29"/>
  <c r="AX228" i="29"/>
  <c r="AW229" i="29"/>
  <c r="AX229" i="29"/>
  <c r="AW230" i="29"/>
  <c r="AX230" i="29"/>
  <c r="AW231" i="29"/>
  <c r="AX231" i="29"/>
  <c r="AW232" i="29"/>
  <c r="AX232" i="29"/>
  <c r="AW233" i="29"/>
  <c r="AX233" i="29"/>
  <c r="AW234" i="29"/>
  <c r="AX234" i="29"/>
  <c r="AW235" i="29"/>
  <c r="AX235" i="29"/>
  <c r="AW236" i="29"/>
  <c r="AX236" i="29"/>
  <c r="AW237" i="29"/>
  <c r="AX237" i="29"/>
  <c r="AW238" i="29"/>
  <c r="AX238" i="29"/>
  <c r="AW239" i="29"/>
  <c r="AX239" i="29"/>
  <c r="AW240" i="29"/>
  <c r="AX240" i="29"/>
  <c r="AW241" i="29"/>
  <c r="AX241" i="29"/>
  <c r="AW242" i="29"/>
  <c r="AX242" i="29"/>
  <c r="AW243" i="29"/>
  <c r="AX243" i="29"/>
  <c r="AW244" i="29"/>
  <c r="AX244" i="29"/>
  <c r="AW245" i="29"/>
  <c r="AX245" i="29"/>
  <c r="AW246" i="29"/>
  <c r="AX246" i="29"/>
  <c r="AW247" i="29"/>
  <c r="AX247" i="29"/>
  <c r="AW248" i="29"/>
  <c r="AX248" i="29"/>
  <c r="AW249" i="29"/>
  <c r="AX249" i="29"/>
  <c r="AW250" i="29"/>
  <c r="AX250" i="29"/>
  <c r="AW251" i="29"/>
  <c r="AX251" i="29"/>
  <c r="AW252" i="29"/>
  <c r="AX252" i="29"/>
  <c r="AW253" i="29"/>
  <c r="AX253" i="29"/>
  <c r="AW254" i="29"/>
  <c r="AX254" i="29"/>
  <c r="AW255" i="29"/>
  <c r="AX255" i="29"/>
  <c r="AW256" i="29"/>
  <c r="AX256" i="29"/>
  <c r="AW257" i="29"/>
  <c r="AX257" i="29"/>
  <c r="AW258" i="29"/>
  <c r="AX258" i="29"/>
  <c r="AW259" i="29"/>
  <c r="AX259" i="29"/>
  <c r="AW260" i="29"/>
  <c r="AX260" i="29"/>
  <c r="AW261" i="29"/>
  <c r="AX261" i="29"/>
  <c r="AW262" i="29"/>
  <c r="AX262" i="29"/>
  <c r="AW263" i="29"/>
  <c r="AX263" i="29"/>
  <c r="AW264" i="29"/>
  <c r="AX264" i="29"/>
  <c r="AW265" i="29"/>
  <c r="AX265" i="29"/>
  <c r="AW266" i="29"/>
  <c r="AX266" i="29"/>
  <c r="AW267" i="29"/>
  <c r="AX267" i="29"/>
  <c r="AW268" i="29"/>
  <c r="AX268" i="29"/>
  <c r="AW269" i="29"/>
  <c r="AX269" i="29"/>
  <c r="AW270" i="29"/>
  <c r="AX270" i="29"/>
  <c r="AW271" i="29"/>
  <c r="AX271" i="29"/>
  <c r="AW272" i="29"/>
  <c r="AX272" i="29"/>
  <c r="AW273" i="29"/>
  <c r="AX273" i="29"/>
  <c r="AW274" i="29"/>
  <c r="AX274" i="29"/>
  <c r="AW275" i="29"/>
  <c r="AX275" i="29"/>
  <c r="AW276" i="29"/>
  <c r="AX276" i="29"/>
  <c r="AW277" i="29"/>
  <c r="AX277" i="29"/>
  <c r="AW278" i="29"/>
  <c r="AX278" i="29"/>
  <c r="AW279" i="29"/>
  <c r="AX279" i="29"/>
  <c r="AW280" i="29"/>
  <c r="AX280" i="29"/>
  <c r="AW281" i="29"/>
  <c r="AX281" i="29"/>
  <c r="AW282" i="29"/>
  <c r="AX282" i="29"/>
  <c r="AW283" i="29"/>
  <c r="AX283" i="29"/>
  <c r="AW284" i="29"/>
  <c r="AX284" i="29"/>
  <c r="AW285" i="29"/>
  <c r="AX285" i="29"/>
  <c r="AW286" i="29"/>
  <c r="AX286" i="29"/>
  <c r="AW287" i="29"/>
  <c r="AX287" i="29"/>
  <c r="AW288" i="29"/>
  <c r="AX288" i="29"/>
  <c r="AW289" i="29"/>
  <c r="AX289" i="29"/>
  <c r="AW290" i="29"/>
  <c r="AX290" i="29"/>
  <c r="AW291" i="29"/>
  <c r="AX291" i="29"/>
  <c r="AW292" i="29"/>
  <c r="AX292" i="29"/>
  <c r="AW293" i="29"/>
  <c r="AX293" i="29"/>
  <c r="AW294" i="29"/>
  <c r="AX294" i="29"/>
  <c r="AW295" i="29"/>
  <c r="AX295" i="29"/>
  <c r="AW296" i="29"/>
  <c r="AX296" i="29"/>
  <c r="AW297" i="29"/>
  <c r="AX297" i="29"/>
  <c r="AW298" i="29"/>
  <c r="AX298" i="29"/>
  <c r="AW299" i="29"/>
  <c r="AX299" i="29"/>
  <c r="AW300" i="29"/>
  <c r="AX300" i="29"/>
  <c r="AW301" i="29"/>
  <c r="AX301" i="29"/>
  <c r="AW302" i="29"/>
  <c r="AX302" i="29"/>
  <c r="AW303" i="29"/>
  <c r="AX303" i="29"/>
  <c r="AW304" i="29"/>
  <c r="AX304" i="29"/>
  <c r="AW305" i="29"/>
  <c r="AX305" i="29"/>
  <c r="AW306" i="29"/>
  <c r="AX306" i="29"/>
  <c r="AW307" i="29"/>
  <c r="AX307" i="29"/>
  <c r="AW308" i="29"/>
  <c r="AX308" i="29"/>
  <c r="AW309" i="29"/>
  <c r="AX309" i="29"/>
  <c r="AW310" i="29"/>
  <c r="AX310" i="29"/>
  <c r="AW311" i="29"/>
  <c r="AX311" i="29"/>
  <c r="AW312" i="29"/>
  <c r="AX312" i="29"/>
  <c r="AW313" i="29"/>
  <c r="AX313" i="29"/>
  <c r="AW314" i="29"/>
  <c r="AX314" i="29"/>
  <c r="AW315" i="29"/>
  <c r="AX315" i="29"/>
  <c r="AW316" i="29"/>
  <c r="AX316" i="29"/>
  <c r="AW317" i="29"/>
  <c r="AX317" i="29"/>
  <c r="AW318" i="29"/>
  <c r="AX318" i="29"/>
  <c r="AW319" i="29"/>
  <c r="AX319" i="29"/>
  <c r="AW320" i="29"/>
  <c r="AX320" i="29"/>
  <c r="AW321" i="29"/>
  <c r="AX321" i="29"/>
  <c r="AW322" i="29"/>
  <c r="AX322" i="29"/>
  <c r="AW323" i="29"/>
  <c r="AX323" i="29"/>
  <c r="AW324" i="29"/>
  <c r="AX324" i="29"/>
  <c r="AW325" i="29"/>
  <c r="AX325" i="29"/>
  <c r="AW326" i="29"/>
  <c r="AX326" i="29"/>
  <c r="AW327" i="29"/>
  <c r="AX327" i="29"/>
  <c r="AW328" i="29"/>
  <c r="AX328" i="29"/>
  <c r="AW329" i="29"/>
  <c r="AX329" i="29"/>
  <c r="AW330" i="29"/>
  <c r="AX330" i="29"/>
  <c r="AW331" i="29"/>
  <c r="AX331" i="29"/>
  <c r="AW332" i="29"/>
  <c r="AX332" i="29"/>
  <c r="AW333" i="29"/>
  <c r="AX333" i="29"/>
  <c r="AW334" i="29"/>
  <c r="AX334" i="29"/>
  <c r="AW335" i="29"/>
  <c r="AX335" i="29"/>
  <c r="AW336" i="29"/>
  <c r="AX336" i="29"/>
  <c r="AW337" i="29"/>
  <c r="AX337" i="29"/>
  <c r="AW338" i="29"/>
  <c r="AX338" i="29"/>
  <c r="AW339" i="29"/>
  <c r="AX339" i="29"/>
  <c r="AW340" i="29"/>
  <c r="AX340" i="29"/>
  <c r="AW341" i="29"/>
  <c r="AX341" i="29"/>
  <c r="AW342" i="29"/>
  <c r="AX342" i="29"/>
  <c r="AW343" i="29"/>
  <c r="AX343" i="29"/>
  <c r="AW344" i="29"/>
  <c r="AX344" i="29"/>
  <c r="AW345" i="29"/>
  <c r="AX345" i="29"/>
  <c r="AW346" i="29"/>
  <c r="AX346" i="29"/>
  <c r="AW347" i="29"/>
  <c r="AX347" i="29"/>
  <c r="AW348" i="29"/>
  <c r="AX348" i="29"/>
  <c r="AW349" i="29"/>
  <c r="AX349" i="29"/>
  <c r="AW350" i="29"/>
  <c r="AX350" i="29"/>
  <c r="AW351" i="29"/>
  <c r="AX351" i="29"/>
  <c r="AW352" i="29"/>
  <c r="AX352" i="29"/>
  <c r="AW353" i="29"/>
  <c r="AX353" i="29"/>
  <c r="AW354" i="29"/>
  <c r="AX354" i="29"/>
  <c r="AW355" i="29"/>
  <c r="AX355" i="29"/>
  <c r="AW356" i="29"/>
  <c r="AX356" i="29"/>
  <c r="AW357" i="29"/>
  <c r="AX357" i="29"/>
  <c r="AW358" i="29"/>
  <c r="AX358" i="29"/>
  <c r="AW359" i="29"/>
  <c r="AX359" i="29"/>
  <c r="AW360" i="29"/>
  <c r="AX360" i="29"/>
  <c r="AW361" i="29"/>
  <c r="AX361" i="29"/>
  <c r="AW362" i="29"/>
  <c r="AX362" i="29"/>
  <c r="AW363" i="29"/>
  <c r="AX363" i="29"/>
  <c r="AW364" i="29"/>
  <c r="AX364" i="29"/>
  <c r="AW365" i="29"/>
  <c r="AX365" i="29"/>
  <c r="AW366" i="29"/>
  <c r="AX366" i="29"/>
  <c r="AW367" i="29"/>
  <c r="AX367" i="29"/>
  <c r="AW368" i="29"/>
  <c r="AX368" i="29"/>
  <c r="AW369" i="29"/>
  <c r="AX369" i="29"/>
  <c r="AW370" i="29"/>
  <c r="AX370" i="29"/>
  <c r="AW371" i="29"/>
  <c r="AX371" i="29"/>
  <c r="AW372" i="29"/>
  <c r="AX372" i="29"/>
  <c r="AW373" i="29"/>
  <c r="AX373" i="29"/>
  <c r="AW374" i="29"/>
  <c r="AX374" i="29"/>
  <c r="AW375" i="29"/>
  <c r="AX375" i="29"/>
  <c r="AW376" i="29"/>
  <c r="AX376" i="29"/>
  <c r="AW377" i="29"/>
  <c r="AX377" i="29"/>
  <c r="AW378" i="29"/>
  <c r="AX378" i="29"/>
  <c r="AW379" i="29"/>
  <c r="AX379" i="29"/>
  <c r="AW380" i="29"/>
  <c r="AX380" i="29"/>
  <c r="AW381" i="29"/>
  <c r="AX381" i="29"/>
  <c r="AW382" i="29"/>
  <c r="AX382" i="29"/>
  <c r="AW383" i="29"/>
  <c r="AX383" i="29"/>
  <c r="AW384" i="29"/>
  <c r="AX384" i="29"/>
  <c r="AW385" i="29"/>
  <c r="AX385" i="29"/>
  <c r="AW386" i="29"/>
  <c r="AX386" i="29"/>
  <c r="AW387" i="29"/>
  <c r="AX387" i="29"/>
  <c r="AW388" i="29"/>
  <c r="AX388" i="29"/>
  <c r="AW389" i="29"/>
  <c r="AX389" i="29"/>
  <c r="AW390" i="29"/>
  <c r="AX390" i="29"/>
  <c r="AW391" i="29"/>
  <c r="AX391" i="29"/>
  <c r="AW392" i="29"/>
  <c r="AX392" i="29"/>
  <c r="AW393" i="29"/>
  <c r="AX393" i="29"/>
  <c r="AW394" i="29"/>
  <c r="AX394" i="29"/>
  <c r="AW395" i="29"/>
  <c r="AX395" i="29"/>
  <c r="AW396" i="29"/>
  <c r="AX396" i="29"/>
  <c r="AW397" i="29"/>
  <c r="AX397" i="29"/>
  <c r="AW398" i="29"/>
  <c r="AX398" i="29"/>
  <c r="AW399" i="29"/>
  <c r="AX399" i="29"/>
  <c r="AW400" i="29"/>
  <c r="AX400" i="29"/>
  <c r="AW401" i="29"/>
  <c r="AX401" i="29"/>
  <c r="AW402" i="29"/>
  <c r="AX402" i="29"/>
  <c r="AW403" i="29"/>
  <c r="AX403" i="29"/>
  <c r="AW404" i="29"/>
  <c r="AX404" i="29"/>
  <c r="AW405" i="29"/>
  <c r="AX405" i="29"/>
  <c r="AW406" i="29"/>
  <c r="AX406" i="29"/>
  <c r="AW407" i="29"/>
  <c r="AX407" i="29"/>
  <c r="AW408" i="29"/>
  <c r="AX408" i="29"/>
  <c r="AW409" i="29"/>
  <c r="AX409" i="29"/>
  <c r="AW410" i="29"/>
  <c r="AX410" i="29"/>
  <c r="AW411" i="29"/>
  <c r="AX411" i="29"/>
  <c r="AW412" i="29"/>
  <c r="AX412" i="29"/>
  <c r="AW413" i="29"/>
  <c r="AX413" i="29"/>
  <c r="AW414" i="29"/>
  <c r="AX414" i="29"/>
  <c r="AW415" i="29"/>
  <c r="AX415" i="29"/>
  <c r="AW416" i="29"/>
  <c r="AX416" i="29"/>
  <c r="AW417" i="29"/>
  <c r="AX417" i="29"/>
  <c r="AW418" i="29"/>
  <c r="AX418" i="29"/>
  <c r="AW419" i="29"/>
  <c r="AX419" i="29"/>
  <c r="AW420" i="29"/>
  <c r="AX420" i="29"/>
  <c r="AW421" i="29"/>
  <c r="AX421" i="29"/>
  <c r="AW422" i="29"/>
  <c r="AX422" i="29"/>
  <c r="AW423" i="29"/>
  <c r="AX423" i="29"/>
  <c r="AW424" i="29"/>
  <c r="AX424" i="29"/>
  <c r="AW425" i="29"/>
  <c r="AX425" i="29"/>
  <c r="AW426" i="29"/>
  <c r="AX426" i="29"/>
  <c r="AW427" i="29"/>
  <c r="AX427" i="29"/>
  <c r="AW428" i="29"/>
  <c r="AX428" i="29"/>
  <c r="AW429" i="29"/>
  <c r="AX429" i="29"/>
  <c r="AW430" i="29"/>
  <c r="AX430" i="29"/>
  <c r="AW431" i="29"/>
  <c r="AX431" i="29"/>
  <c r="AW432" i="29"/>
  <c r="AX432" i="29"/>
  <c r="AW433" i="29"/>
  <c r="AX433" i="29"/>
  <c r="AW434" i="29"/>
  <c r="AX434" i="29"/>
  <c r="AW435" i="29"/>
  <c r="AX435" i="29"/>
  <c r="AW436" i="29"/>
  <c r="AX436" i="29"/>
  <c r="AW437" i="29"/>
  <c r="AX437" i="29"/>
  <c r="AW438" i="29"/>
  <c r="AX438" i="29"/>
  <c r="AW439" i="29"/>
  <c r="AX439" i="29"/>
  <c r="AW440" i="29"/>
  <c r="AX440" i="29"/>
  <c r="AW441" i="29"/>
  <c r="AX441" i="29"/>
  <c r="AW442" i="29"/>
  <c r="AX442" i="29"/>
  <c r="AW443" i="29"/>
  <c r="AX443" i="29"/>
  <c r="AW444" i="29"/>
  <c r="AX444" i="29"/>
  <c r="AW445" i="29"/>
  <c r="AX445" i="29"/>
  <c r="AW446" i="29"/>
  <c r="AX446" i="29"/>
  <c r="AW447" i="29"/>
  <c r="AX447" i="29"/>
  <c r="AW448" i="29"/>
  <c r="AX448" i="29"/>
  <c r="AW449" i="29"/>
  <c r="AX449" i="29"/>
  <c r="AW450" i="29"/>
  <c r="AX450" i="29"/>
  <c r="AW451" i="29"/>
  <c r="AX451" i="29"/>
  <c r="AW452" i="29"/>
  <c r="AX452" i="29"/>
  <c r="AW453" i="29"/>
  <c r="AX453" i="29"/>
  <c r="AW454" i="29"/>
  <c r="AX454" i="29"/>
  <c r="AW455" i="29"/>
  <c r="AX455" i="29"/>
  <c r="AW456" i="29"/>
  <c r="AX456" i="29"/>
  <c r="AW457" i="29"/>
  <c r="AX457" i="29"/>
  <c r="AW458" i="29"/>
  <c r="AX458" i="29"/>
  <c r="AW459" i="29"/>
  <c r="AX459" i="29"/>
  <c r="AW460" i="29"/>
  <c r="AX460" i="29"/>
  <c r="AW461" i="29"/>
  <c r="AX461" i="29"/>
  <c r="AW462" i="29"/>
  <c r="AX462" i="29"/>
  <c r="AW463" i="29"/>
  <c r="AX463" i="29"/>
  <c r="AW464" i="29"/>
  <c r="AX464" i="29"/>
  <c r="AW465" i="29"/>
  <c r="AX465" i="29"/>
  <c r="AW466" i="29"/>
  <c r="AX466" i="29"/>
  <c r="AW467" i="29"/>
  <c r="AX467" i="29"/>
  <c r="AW468" i="29"/>
  <c r="AX468" i="29"/>
  <c r="AW469" i="29"/>
  <c r="AX469" i="29"/>
  <c r="AW470" i="29"/>
  <c r="AX470" i="29"/>
  <c r="AW471" i="29"/>
  <c r="AX471" i="29"/>
  <c r="AW472" i="29"/>
  <c r="AX472" i="29"/>
  <c r="AW473" i="29"/>
  <c r="AX473" i="29"/>
  <c r="AW474" i="29"/>
  <c r="AX474" i="29"/>
  <c r="AW475" i="29"/>
  <c r="AX475" i="29"/>
  <c r="AW476" i="29"/>
  <c r="AX476" i="29"/>
  <c r="AW477" i="29"/>
  <c r="AX477" i="29"/>
  <c r="AW478" i="29"/>
  <c r="AX478" i="29"/>
  <c r="AW479" i="29"/>
  <c r="AX479" i="29"/>
  <c r="AW480" i="29"/>
  <c r="AX480" i="29"/>
  <c r="AW481" i="29"/>
  <c r="AX481" i="29"/>
  <c r="AW482" i="29"/>
  <c r="AX482" i="29"/>
  <c r="AW483" i="29"/>
  <c r="AX483" i="29"/>
  <c r="AW484" i="29"/>
  <c r="AX484" i="29"/>
  <c r="AW485" i="29"/>
  <c r="AX485" i="29"/>
  <c r="AW486" i="29"/>
  <c r="AX486" i="29"/>
  <c r="AW487" i="29"/>
  <c r="AX487" i="29"/>
  <c r="AW488" i="29"/>
  <c r="AX488" i="29"/>
  <c r="AW489" i="29"/>
  <c r="AX489" i="29"/>
  <c r="AW490" i="29"/>
  <c r="AX490" i="29"/>
  <c r="AW491" i="29"/>
  <c r="AX491" i="29"/>
  <c r="AW492" i="29"/>
  <c r="AX492" i="29"/>
  <c r="AW493" i="29"/>
  <c r="AX493" i="29"/>
  <c r="AW494" i="29"/>
  <c r="AX494" i="29"/>
  <c r="AW495" i="29"/>
  <c r="AX495" i="29"/>
  <c r="AW496" i="29"/>
  <c r="AX496" i="29"/>
  <c r="AW497" i="29"/>
  <c r="AX497" i="29"/>
  <c r="AW498" i="29"/>
  <c r="AX498" i="29"/>
  <c r="AW499" i="29"/>
  <c r="AW500" i="29"/>
  <c r="AW501" i="29"/>
  <c r="AW502" i="29"/>
  <c r="AW3" i="29" s="1"/>
  <c r="AW4" i="29" s="1"/>
  <c r="AW503" i="29"/>
  <c r="AW504" i="29"/>
  <c r="AW505" i="29"/>
  <c r="AW506" i="29"/>
  <c r="AW507" i="29"/>
  <c r="AW508" i="29"/>
  <c r="AW509" i="29"/>
  <c r="AW510" i="29"/>
  <c r="AW511" i="29"/>
  <c r="AW512" i="29"/>
  <c r="AW513" i="29"/>
  <c r="AW514" i="29"/>
  <c r="AX514" i="29" s="1"/>
  <c r="A3" i="1"/>
  <c r="B3" i="1"/>
  <c r="C3" i="1"/>
  <c r="D3" i="1"/>
  <c r="E3" i="1"/>
  <c r="F3" i="1"/>
  <c r="G3" i="1"/>
  <c r="H3" i="1"/>
  <c r="I3" i="1"/>
  <c r="J3" i="1"/>
  <c r="K3" i="1"/>
  <c r="L3" i="1"/>
  <c r="M3" i="1"/>
  <c r="N3" i="1"/>
  <c r="O3" i="1"/>
  <c r="P3" i="1"/>
  <c r="Q3" i="1"/>
  <c r="R3" i="1"/>
  <c r="S3" i="1"/>
  <c r="T3" i="1"/>
  <c r="U3" i="1"/>
  <c r="V3" i="1"/>
  <c r="X3" i="1"/>
  <c r="Y3" i="1"/>
  <c r="Z3" i="1"/>
  <c r="AA3" i="1"/>
  <c r="AB3" i="1"/>
  <c r="AC3" i="1"/>
  <c r="AD3" i="1"/>
  <c r="AE3" i="1"/>
  <c r="AF3" i="1"/>
  <c r="AG3" i="1"/>
  <c r="AH3" i="1"/>
  <c r="AI3" i="1"/>
  <c r="AJ3" i="1"/>
  <c r="AK3" i="1"/>
  <c r="AL3" i="1"/>
  <c r="AM3" i="1"/>
  <c r="AN3" i="1"/>
  <c r="AO3" i="1"/>
  <c r="AP3" i="1"/>
  <c r="AP4" i="1" s="1"/>
  <c r="AQ3" i="1"/>
  <c r="AR3" i="1"/>
  <c r="AT3" i="1"/>
  <c r="AU3" i="1"/>
  <c r="AV3" i="1"/>
  <c r="AW3" i="1"/>
  <c r="AX3" i="1"/>
  <c r="AY3" i="1"/>
  <c r="AZ3" i="1"/>
  <c r="AE4" i="1"/>
  <c r="AQ4" i="1"/>
  <c r="AX4" i="1"/>
  <c r="AY4" i="1"/>
  <c r="AX8" i="1"/>
  <c r="AY8" i="1"/>
  <c r="AX9" i="1"/>
  <c r="AY9" i="1"/>
  <c r="AX10" i="1"/>
  <c r="AY10" i="1"/>
  <c r="AX11" i="1"/>
  <c r="AY11" i="1"/>
  <c r="AX12" i="1"/>
  <c r="AY12" i="1"/>
  <c r="AX13" i="1"/>
  <c r="AY13" i="1"/>
  <c r="AX14" i="1"/>
  <c r="AY14" i="1"/>
  <c r="AX15" i="1"/>
  <c r="AY15" i="1"/>
  <c r="AX16" i="1"/>
  <c r="AY16" i="1"/>
  <c r="AX17" i="1"/>
  <c r="AY17" i="1"/>
  <c r="AX18" i="1"/>
  <c r="AY18" i="1"/>
  <c r="AX19" i="1"/>
  <c r="AY19" i="1"/>
  <c r="AX20" i="1"/>
  <c r="AY20" i="1"/>
  <c r="AX21" i="1"/>
  <c r="AY21" i="1"/>
  <c r="AX22" i="1"/>
  <c r="AY22" i="1"/>
  <c r="AX23" i="1"/>
  <c r="AY23" i="1"/>
  <c r="AX24" i="1"/>
  <c r="AY24" i="1"/>
  <c r="AX25" i="1"/>
  <c r="AY25" i="1"/>
  <c r="AX26" i="1"/>
  <c r="AY26" i="1"/>
  <c r="AX27" i="1"/>
  <c r="AY27" i="1"/>
  <c r="AX28" i="1"/>
  <c r="AY28" i="1"/>
  <c r="AX29" i="1"/>
  <c r="AY29" i="1"/>
  <c r="AX30" i="1"/>
  <c r="AY30" i="1"/>
  <c r="AX31" i="1"/>
  <c r="AY31" i="1"/>
  <c r="AX32" i="1"/>
  <c r="AY32" i="1"/>
  <c r="AX33" i="1"/>
  <c r="AY33" i="1"/>
  <c r="AX34" i="1"/>
  <c r="AY34" i="1"/>
  <c r="AX35" i="1"/>
  <c r="AY35" i="1"/>
  <c r="AX36" i="1"/>
  <c r="AY36" i="1"/>
  <c r="AX37" i="1"/>
  <c r="AY37" i="1"/>
  <c r="AX38" i="1"/>
  <c r="AY38" i="1"/>
  <c r="AX39" i="1"/>
  <c r="AY39" i="1"/>
  <c r="AX40" i="1"/>
  <c r="AY40" i="1"/>
  <c r="AX41" i="1"/>
  <c r="AY41" i="1"/>
  <c r="AX42" i="1"/>
  <c r="AY42" i="1"/>
  <c r="AX43" i="1"/>
  <c r="AY43" i="1"/>
  <c r="AX44" i="1"/>
  <c r="AY44" i="1"/>
  <c r="AX45" i="1"/>
  <c r="AY45" i="1"/>
  <c r="AX46" i="1"/>
  <c r="AY46" i="1"/>
  <c r="AX47" i="1"/>
  <c r="AY47" i="1"/>
  <c r="AX48" i="1"/>
  <c r="AY48" i="1"/>
  <c r="AX49" i="1"/>
  <c r="AY49" i="1"/>
  <c r="AX50" i="1"/>
  <c r="AY50" i="1"/>
  <c r="AX51" i="1"/>
  <c r="AY51" i="1"/>
  <c r="AX52" i="1"/>
  <c r="AY52" i="1"/>
  <c r="AX53" i="1"/>
  <c r="AY53" i="1"/>
  <c r="AX54" i="1"/>
  <c r="AY54" i="1"/>
  <c r="AX55" i="1"/>
  <c r="AY55" i="1"/>
  <c r="AX56" i="1"/>
  <c r="AY56" i="1"/>
  <c r="AX57" i="1"/>
  <c r="AY57" i="1"/>
  <c r="AX58" i="1"/>
  <c r="AY58" i="1"/>
  <c r="AX59" i="1"/>
  <c r="AY59" i="1"/>
  <c r="AX60" i="1"/>
  <c r="AY60" i="1"/>
  <c r="AX61" i="1"/>
  <c r="AY61" i="1"/>
  <c r="AX62" i="1"/>
  <c r="AY62" i="1"/>
  <c r="AX63" i="1"/>
  <c r="AY63" i="1"/>
  <c r="AX64" i="1"/>
  <c r="AY64" i="1"/>
  <c r="AX65" i="1"/>
  <c r="AY65" i="1"/>
  <c r="AX66" i="1"/>
  <c r="AY66" i="1"/>
  <c r="AX67" i="1"/>
  <c r="AY67" i="1"/>
  <c r="AX68" i="1"/>
  <c r="AY68" i="1"/>
  <c r="AX69" i="1"/>
  <c r="AY69" i="1"/>
  <c r="AX70" i="1"/>
  <c r="AY70" i="1"/>
  <c r="AX71" i="1"/>
  <c r="AY71" i="1"/>
  <c r="AX72" i="1"/>
  <c r="AY72" i="1"/>
  <c r="AX73" i="1"/>
  <c r="AY73" i="1"/>
  <c r="AX74" i="1"/>
  <c r="AY74" i="1"/>
  <c r="AX75" i="1"/>
  <c r="AY75" i="1"/>
  <c r="AX76" i="1"/>
  <c r="AY76" i="1"/>
  <c r="AX77" i="1"/>
  <c r="AY77" i="1"/>
  <c r="AX78" i="1"/>
  <c r="AY78" i="1"/>
  <c r="AX79" i="1"/>
  <c r="AY79" i="1"/>
  <c r="AX80" i="1"/>
  <c r="AY80" i="1"/>
  <c r="AX81" i="1"/>
  <c r="AY81" i="1"/>
  <c r="AX82" i="1"/>
  <c r="AY82" i="1"/>
  <c r="AX83" i="1"/>
  <c r="AY83" i="1"/>
  <c r="AX84" i="1"/>
  <c r="AY84" i="1"/>
  <c r="AX85" i="1"/>
  <c r="AY85" i="1"/>
  <c r="AX86" i="1"/>
  <c r="AY86" i="1"/>
  <c r="AX87" i="1"/>
  <c r="AY87" i="1"/>
  <c r="AX88" i="1"/>
  <c r="AY88" i="1"/>
  <c r="AX89" i="1"/>
  <c r="AY89" i="1"/>
  <c r="AY90" i="1"/>
  <c r="AX91" i="1"/>
  <c r="AY91" i="1" s="1"/>
  <c r="AX92" i="1"/>
  <c r="AY92" i="1"/>
  <c r="AX93" i="1"/>
  <c r="AY93" i="1" s="1"/>
  <c r="AX94" i="1"/>
  <c r="AY94" i="1" s="1"/>
  <c r="AX95" i="1"/>
  <c r="AY95" i="1" s="1"/>
  <c r="AX96" i="1"/>
  <c r="AY96" i="1"/>
  <c r="AX97" i="1"/>
  <c r="AY97" i="1" s="1"/>
  <c r="AX98" i="1"/>
  <c r="AY98" i="1" s="1"/>
  <c r="AX99" i="1"/>
  <c r="AY99" i="1" s="1"/>
  <c r="AX100" i="1"/>
  <c r="AY100" i="1"/>
  <c r="AX101" i="1"/>
  <c r="AY101" i="1" s="1"/>
  <c r="AX102" i="1"/>
  <c r="AY102" i="1" s="1"/>
  <c r="AX103" i="1"/>
  <c r="AY103" i="1" s="1"/>
  <c r="AX104" i="1"/>
  <c r="AY104" i="1"/>
  <c r="AX105" i="1"/>
  <c r="AY105" i="1" s="1"/>
  <c r="AX106" i="1"/>
  <c r="AY106" i="1" s="1"/>
  <c r="AX107" i="1"/>
  <c r="AY107" i="1" s="1"/>
  <c r="AX108" i="1"/>
  <c r="AY108" i="1"/>
  <c r="AX109" i="1"/>
  <c r="AY109" i="1" s="1"/>
  <c r="AX110" i="1"/>
  <c r="AY110" i="1" s="1"/>
  <c r="AX111" i="1"/>
  <c r="AY111" i="1" s="1"/>
  <c r="AX112" i="1"/>
  <c r="AY112" i="1"/>
  <c r="AX113" i="1"/>
  <c r="AY113" i="1" s="1"/>
  <c r="AX114" i="1"/>
  <c r="AY114" i="1" s="1"/>
  <c r="AX115" i="1"/>
  <c r="AY115" i="1" s="1"/>
  <c r="AX116" i="1"/>
  <c r="AY116" i="1"/>
  <c r="AX117" i="1"/>
  <c r="AY117" i="1" s="1"/>
  <c r="AX118" i="1"/>
  <c r="AY118" i="1" s="1"/>
  <c r="AX119" i="1"/>
  <c r="AY119" i="1" s="1"/>
  <c r="AX120" i="1"/>
  <c r="AY120" i="1"/>
  <c r="AX121" i="1"/>
  <c r="AY121" i="1" s="1"/>
  <c r="AX122" i="1"/>
  <c r="AY122" i="1" s="1"/>
  <c r="AX123" i="1"/>
  <c r="AY123" i="1" s="1"/>
  <c r="AX124" i="1"/>
  <c r="AY124" i="1"/>
  <c r="AX125" i="1"/>
  <c r="AY125" i="1" s="1"/>
  <c r="AX126" i="1"/>
  <c r="AY126" i="1" s="1"/>
  <c r="AX127" i="1"/>
  <c r="AY127" i="1" s="1"/>
  <c r="AX128" i="1"/>
  <c r="AY128" i="1"/>
  <c r="AX129" i="1"/>
  <c r="AY129" i="1" s="1"/>
  <c r="AX130" i="1"/>
  <c r="AY130" i="1" s="1"/>
  <c r="AX131" i="1"/>
  <c r="AY131" i="1" s="1"/>
  <c r="AX132" i="1"/>
  <c r="AY132" i="1"/>
  <c r="AX133" i="1"/>
  <c r="AY133" i="1" s="1"/>
  <c r="AX134" i="1"/>
  <c r="AY134" i="1" s="1"/>
  <c r="AX135" i="1"/>
  <c r="AY135" i="1" s="1"/>
  <c r="AX136" i="1"/>
  <c r="AY136" i="1"/>
  <c r="AX137" i="1"/>
  <c r="AY137" i="1" s="1"/>
  <c r="AX138" i="1"/>
  <c r="AY138" i="1" s="1"/>
  <c r="AX139" i="1"/>
  <c r="AY139" i="1" s="1"/>
  <c r="AX140" i="1"/>
  <c r="AY140" i="1"/>
  <c r="AX141" i="1"/>
  <c r="AY141" i="1" s="1"/>
  <c r="AX142" i="1"/>
  <c r="AY142" i="1" s="1"/>
  <c r="AX143" i="1"/>
  <c r="AY143" i="1" s="1"/>
  <c r="AX144" i="1"/>
  <c r="AY144" i="1"/>
  <c r="AX145" i="1"/>
  <c r="AY145" i="1" s="1"/>
  <c r="AX146" i="1"/>
  <c r="AY146" i="1" s="1"/>
  <c r="AX147" i="1"/>
  <c r="AY147" i="1" s="1"/>
  <c r="AX148" i="1"/>
  <c r="AY148" i="1"/>
  <c r="AX149" i="1"/>
  <c r="AY149" i="1" s="1"/>
  <c r="AX150" i="1"/>
  <c r="AY150" i="1" s="1"/>
  <c r="AX151" i="1"/>
  <c r="AY151" i="1" s="1"/>
  <c r="AX152" i="1"/>
  <c r="AY152" i="1"/>
  <c r="AX153" i="1"/>
  <c r="AY153" i="1" s="1"/>
  <c r="AX154" i="1"/>
  <c r="AY154" i="1" s="1"/>
  <c r="AX155" i="1"/>
  <c r="AY155" i="1" s="1"/>
  <c r="AX156" i="1"/>
  <c r="AY156" i="1"/>
  <c r="AX157" i="1"/>
  <c r="AY157" i="1" s="1"/>
  <c r="AX158" i="1"/>
  <c r="AY158" i="1" s="1"/>
  <c r="AX159" i="1"/>
  <c r="AY159" i="1" s="1"/>
  <c r="AX160" i="1"/>
  <c r="AY160" i="1"/>
  <c r="AX161" i="1"/>
  <c r="AY161" i="1" s="1"/>
  <c r="AX162" i="1"/>
  <c r="AY162" i="1" s="1"/>
  <c r="AX163" i="1"/>
  <c r="AY163" i="1" s="1"/>
  <c r="AX164" i="1"/>
  <c r="AY164" i="1"/>
  <c r="AX165" i="1"/>
  <c r="AY165" i="1" s="1"/>
  <c r="AX167" i="1"/>
  <c r="AY167" i="1" s="1"/>
  <c r="AX168" i="1"/>
  <c r="AY168" i="1" s="1"/>
  <c r="AX169" i="1"/>
  <c r="AY169" i="1"/>
  <c r="AX170" i="1"/>
  <c r="AY170" i="1" s="1"/>
  <c r="AX171" i="1"/>
  <c r="AY171" i="1" s="1"/>
  <c r="AX172" i="1"/>
  <c r="AY172" i="1" s="1"/>
  <c r="AX173" i="1"/>
  <c r="AY173" i="1"/>
  <c r="AX174" i="1"/>
  <c r="AY174" i="1" s="1"/>
  <c r="AX175" i="1"/>
  <c r="AY175" i="1" s="1"/>
  <c r="AX176" i="1"/>
  <c r="AY176" i="1" s="1"/>
  <c r="AX177" i="1"/>
  <c r="AY177" i="1"/>
  <c r="AX178" i="1"/>
  <c r="AY178" i="1" s="1"/>
  <c r="AX179" i="1"/>
  <c r="AY179" i="1" s="1"/>
  <c r="AX180" i="1"/>
  <c r="AY180" i="1" s="1"/>
  <c r="AX181" i="1"/>
  <c r="AY181" i="1"/>
  <c r="AX182" i="1"/>
  <c r="AY182" i="1" s="1"/>
  <c r="AX183" i="1"/>
  <c r="AY183" i="1" s="1"/>
  <c r="AX184" i="1"/>
  <c r="AY184" i="1" s="1"/>
  <c r="AX185" i="1"/>
  <c r="AY185" i="1"/>
  <c r="AX186" i="1"/>
  <c r="AY186" i="1" s="1"/>
  <c r="AX187" i="1"/>
  <c r="AY187" i="1" s="1"/>
  <c r="AX188" i="1"/>
  <c r="AY188" i="1" s="1"/>
  <c r="AX189" i="1"/>
  <c r="AY189" i="1"/>
  <c r="AX190" i="1"/>
  <c r="AY190" i="1" s="1"/>
  <c r="AX191" i="1"/>
  <c r="AY191" i="1" s="1"/>
  <c r="AX192" i="1"/>
  <c r="AY192" i="1" s="1"/>
  <c r="AX193" i="1"/>
  <c r="AY193" i="1"/>
  <c r="AX194" i="1"/>
  <c r="AY194" i="1" s="1"/>
  <c r="AX195" i="1"/>
  <c r="AY195" i="1" s="1"/>
  <c r="AX196" i="1"/>
  <c r="AY196" i="1" s="1"/>
  <c r="AX197" i="1"/>
  <c r="AY197" i="1"/>
  <c r="AX198" i="1"/>
  <c r="AY198" i="1" s="1"/>
  <c r="AX199" i="1"/>
  <c r="AY199" i="1" s="1"/>
  <c r="AX200" i="1"/>
  <c r="AY200" i="1" s="1"/>
  <c r="AX201" i="1"/>
  <c r="AY201" i="1"/>
  <c r="AX202" i="1"/>
  <c r="AY202" i="1" s="1"/>
  <c r="AX203" i="1"/>
  <c r="AY203" i="1" s="1"/>
  <c r="AX204" i="1"/>
  <c r="AY204" i="1" s="1"/>
  <c r="AX205" i="1"/>
  <c r="AY205" i="1"/>
  <c r="AX206" i="1"/>
  <c r="AY206" i="1" s="1"/>
  <c r="AX207" i="1"/>
  <c r="AY207" i="1" s="1"/>
  <c r="AX208" i="1"/>
  <c r="AY208" i="1" s="1"/>
  <c r="AX209" i="1"/>
  <c r="AY209" i="1"/>
  <c r="AX210" i="1"/>
  <c r="AY210" i="1" s="1"/>
  <c r="AX211" i="1"/>
  <c r="AY211" i="1" s="1"/>
  <c r="AX212" i="1"/>
  <c r="AY212" i="1" s="1"/>
  <c r="AX213" i="1"/>
  <c r="AY213" i="1"/>
  <c r="AX214" i="1"/>
  <c r="AY214" i="1" s="1"/>
  <c r="AX215" i="1"/>
  <c r="AY215" i="1" s="1"/>
  <c r="AX216" i="1"/>
  <c r="AY216" i="1" s="1"/>
  <c r="AX217" i="1"/>
  <c r="AY217" i="1"/>
  <c r="AX218" i="1"/>
  <c r="AY218" i="1" s="1"/>
  <c r="AX219" i="1"/>
  <c r="AY219" i="1" s="1"/>
  <c r="AX220" i="1"/>
  <c r="AY220" i="1" s="1"/>
  <c r="AX221" i="1"/>
  <c r="AY221" i="1"/>
  <c r="AX222" i="1"/>
  <c r="AY222" i="1" s="1"/>
  <c r="AX223" i="1"/>
  <c r="AY223" i="1" s="1"/>
  <c r="AX224" i="1"/>
  <c r="AY224" i="1" s="1"/>
  <c r="AX225" i="1"/>
  <c r="AY225" i="1"/>
  <c r="AX226" i="1"/>
  <c r="AY226" i="1" s="1"/>
  <c r="AX227" i="1"/>
  <c r="AY227" i="1" s="1"/>
  <c r="AX228" i="1"/>
  <c r="AY228" i="1" s="1"/>
  <c r="AX229" i="1"/>
  <c r="AY229" i="1"/>
  <c r="AX230" i="1"/>
  <c r="AY230" i="1" s="1"/>
  <c r="AX231" i="1"/>
  <c r="AY231" i="1" s="1"/>
  <c r="AX232" i="1"/>
  <c r="AY232" i="1" s="1"/>
  <c r="AX233" i="1"/>
  <c r="AY233" i="1"/>
  <c r="AX234" i="1"/>
  <c r="AY234" i="1" s="1"/>
  <c r="AX235" i="1"/>
  <c r="AY235" i="1" s="1"/>
  <c r="AX236" i="1"/>
  <c r="AY236" i="1" s="1"/>
  <c r="AX237" i="1"/>
  <c r="AY237" i="1"/>
  <c r="AX238" i="1"/>
  <c r="AY238" i="1" s="1"/>
  <c r="AX239" i="1"/>
  <c r="AY239" i="1" s="1"/>
  <c r="AX240" i="1"/>
  <c r="AY240" i="1" s="1"/>
  <c r="AX241" i="1"/>
  <c r="AY241" i="1"/>
  <c r="AX242" i="1"/>
  <c r="AY242" i="1" s="1"/>
  <c r="AX243" i="1"/>
  <c r="AY243" i="1" s="1"/>
  <c r="AX244" i="1"/>
  <c r="AY244" i="1" s="1"/>
  <c r="AX245" i="1"/>
  <c r="AY245" i="1"/>
  <c r="AX246" i="1"/>
  <c r="AY246" i="1" s="1"/>
  <c r="AX247" i="1"/>
  <c r="AY247" i="1" s="1"/>
  <c r="AX249" i="1"/>
  <c r="AY249" i="1" s="1"/>
  <c r="AX250" i="1"/>
  <c r="AY250" i="1"/>
  <c r="AX251" i="1"/>
  <c r="AY251" i="1" s="1"/>
  <c r="AX252" i="1"/>
  <c r="AY252" i="1" s="1"/>
  <c r="AX253" i="1"/>
  <c r="AY253" i="1" s="1"/>
  <c r="AX254" i="1"/>
  <c r="AY254" i="1"/>
  <c r="AX255" i="1"/>
  <c r="AY255" i="1" s="1"/>
  <c r="AX256" i="1"/>
  <c r="AY256" i="1" s="1"/>
  <c r="AX257" i="1"/>
  <c r="AY257" i="1" s="1"/>
  <c r="AX258" i="1"/>
  <c r="AY258" i="1"/>
  <c r="AX259" i="1"/>
  <c r="AY259" i="1" s="1"/>
  <c r="AX260" i="1"/>
  <c r="AY260" i="1" s="1"/>
  <c r="AX261" i="1"/>
  <c r="AY261" i="1" s="1"/>
  <c r="AX262" i="1"/>
  <c r="AY262" i="1" s="1"/>
  <c r="AX263" i="1"/>
  <c r="AY263" i="1" s="1"/>
  <c r="AX264" i="1"/>
  <c r="AY264" i="1" s="1"/>
  <c r="AX265" i="1"/>
  <c r="AY265" i="1" s="1"/>
  <c r="AX266" i="1"/>
  <c r="AY266" i="1" s="1"/>
  <c r="AX267" i="1"/>
  <c r="AY267" i="1" s="1"/>
  <c r="AX268" i="1"/>
  <c r="AY268" i="1" s="1"/>
  <c r="AX269" i="1"/>
  <c r="AY269" i="1" s="1"/>
  <c r="AX270" i="1"/>
  <c r="AY270" i="1" s="1"/>
  <c r="AX271" i="1"/>
  <c r="AY271" i="1" s="1"/>
  <c r="AX272" i="1"/>
  <c r="AY272" i="1" s="1"/>
  <c r="AX273" i="1"/>
  <c r="AY273" i="1" s="1"/>
  <c r="AX274" i="1"/>
  <c r="AY274" i="1" s="1"/>
  <c r="AX275" i="1"/>
  <c r="AY275" i="1" s="1"/>
  <c r="AX276" i="1"/>
  <c r="AY276" i="1" s="1"/>
  <c r="AX277" i="1"/>
  <c r="AY277" i="1" s="1"/>
  <c r="AX278" i="1"/>
  <c r="AY278" i="1" s="1"/>
  <c r="AX279" i="1"/>
  <c r="AY279" i="1" s="1"/>
  <c r="AX280" i="1"/>
  <c r="AY280" i="1" s="1"/>
  <c r="AX281" i="1"/>
  <c r="AY281" i="1" s="1"/>
  <c r="AX282" i="1"/>
  <c r="AY282" i="1" s="1"/>
  <c r="AX283" i="1"/>
  <c r="AY283" i="1" s="1"/>
  <c r="AX284" i="1"/>
  <c r="AY284" i="1" s="1"/>
  <c r="AX285" i="1"/>
  <c r="AY285" i="1" s="1"/>
  <c r="AX286" i="1"/>
  <c r="AY286" i="1" s="1"/>
  <c r="AX287" i="1"/>
  <c r="AY287" i="1" s="1"/>
  <c r="AX288" i="1"/>
  <c r="AY288" i="1" s="1"/>
  <c r="AX289" i="1"/>
  <c r="AY289" i="1" s="1"/>
  <c r="AX290" i="1"/>
  <c r="AY290" i="1" s="1"/>
  <c r="AX291" i="1"/>
  <c r="AY291" i="1" s="1"/>
  <c r="AX292" i="1"/>
  <c r="AY292" i="1" s="1"/>
  <c r="AX293" i="1"/>
  <c r="AY293" i="1" s="1"/>
  <c r="AX294" i="1"/>
  <c r="AY294" i="1" s="1"/>
  <c r="AX295" i="1"/>
  <c r="AY295" i="1" s="1"/>
  <c r="AX297" i="1"/>
  <c r="AY297" i="1" s="1"/>
  <c r="AX298" i="1"/>
  <c r="AY298" i="1" s="1"/>
  <c r="AX299" i="1"/>
  <c r="AY299" i="1" s="1"/>
  <c r="AX300" i="1"/>
  <c r="AY300" i="1" s="1"/>
  <c r="AX301" i="1"/>
  <c r="AY301" i="1" s="1"/>
  <c r="AX302" i="1"/>
  <c r="AY302" i="1" s="1"/>
  <c r="AX303" i="1"/>
  <c r="AY303" i="1" s="1"/>
  <c r="AX304" i="1"/>
  <c r="AY304" i="1" s="1"/>
  <c r="AX305" i="1"/>
  <c r="AY305" i="1" s="1"/>
  <c r="AX306" i="1"/>
  <c r="AY306" i="1" s="1"/>
  <c r="AX307" i="1"/>
  <c r="AY307" i="1" s="1"/>
  <c r="AX308" i="1"/>
  <c r="AY308" i="1" s="1"/>
  <c r="AX309" i="1"/>
  <c r="AY309" i="1" s="1"/>
  <c r="AX310" i="1"/>
  <c r="AY310" i="1" s="1"/>
  <c r="AX311" i="1"/>
  <c r="AY311" i="1" s="1"/>
  <c r="AX312" i="1"/>
  <c r="AY312" i="1" s="1"/>
  <c r="AX313" i="1"/>
  <c r="AY313" i="1" s="1"/>
  <c r="AX314" i="1"/>
  <c r="AY314" i="1" s="1"/>
  <c r="AX315" i="1"/>
  <c r="AY315" i="1" s="1"/>
  <c r="AX316" i="1"/>
  <c r="AY316" i="1" s="1"/>
  <c r="AX317" i="1"/>
  <c r="AY317" i="1" s="1"/>
  <c r="AX318" i="1"/>
  <c r="AY318" i="1" s="1"/>
  <c r="AX319" i="1"/>
  <c r="AY319" i="1" s="1"/>
  <c r="AX320" i="1"/>
  <c r="AY320" i="1" s="1"/>
  <c r="AX321" i="1"/>
  <c r="AY321" i="1" s="1"/>
  <c r="AX322" i="1"/>
  <c r="AY322" i="1" s="1"/>
  <c r="AX323" i="1"/>
  <c r="AY323" i="1" s="1"/>
  <c r="AX324" i="1"/>
  <c r="AY324" i="1" s="1"/>
  <c r="AX325" i="1"/>
  <c r="AY325" i="1" s="1"/>
  <c r="AX326" i="1"/>
  <c r="AY326" i="1" s="1"/>
  <c r="AX327" i="1"/>
  <c r="AY327" i="1" s="1"/>
  <c r="AX328" i="1"/>
  <c r="AY328" i="1" s="1"/>
  <c r="AX329" i="1"/>
  <c r="AY329" i="1" s="1"/>
  <c r="AX330" i="1"/>
  <c r="AY330" i="1" s="1"/>
  <c r="AX331" i="1"/>
  <c r="AY331" i="1" s="1"/>
  <c r="AX332" i="1"/>
  <c r="AY332" i="1" s="1"/>
  <c r="AX333" i="1"/>
  <c r="AY333" i="1" s="1"/>
  <c r="AX334" i="1"/>
  <c r="AY334" i="1" s="1"/>
  <c r="AX335" i="1"/>
  <c r="AY335" i="1" s="1"/>
  <c r="AX336" i="1"/>
  <c r="AY336" i="1" s="1"/>
  <c r="AX337" i="1"/>
  <c r="AY337" i="1" s="1"/>
  <c r="AX338" i="1"/>
  <c r="AY338" i="1" s="1"/>
  <c r="AX339" i="1"/>
  <c r="AY339" i="1" s="1"/>
  <c r="AX340" i="1"/>
  <c r="AY340" i="1" s="1"/>
  <c r="AX341" i="1"/>
  <c r="AY341" i="1" s="1"/>
  <c r="AX342" i="1"/>
  <c r="AY342" i="1" s="1"/>
  <c r="AX343" i="1"/>
  <c r="AY343" i="1" s="1"/>
  <c r="AX344" i="1"/>
  <c r="AY344" i="1" s="1"/>
  <c r="AX345" i="1"/>
  <c r="AY345" i="1" s="1"/>
  <c r="AX346" i="1"/>
  <c r="AY346" i="1" s="1"/>
  <c r="AX347" i="1"/>
  <c r="AY347" i="1" s="1"/>
  <c r="AX348" i="1"/>
  <c r="AY348" i="1" s="1"/>
  <c r="AX349" i="1"/>
  <c r="AY349" i="1" s="1"/>
  <c r="AX350" i="1"/>
  <c r="AY350" i="1" s="1"/>
  <c r="AX351" i="1"/>
  <c r="AY351" i="1" s="1"/>
  <c r="AX352" i="1"/>
  <c r="AY352" i="1" s="1"/>
  <c r="AX353" i="1"/>
  <c r="AY353" i="1" s="1"/>
  <c r="AX354" i="1"/>
  <c r="AY354" i="1" s="1"/>
  <c r="AX355" i="1"/>
  <c r="AY355" i="1" s="1"/>
  <c r="AX356" i="1"/>
  <c r="AY356" i="1" s="1"/>
  <c r="AX357" i="1"/>
  <c r="AY357" i="1" s="1"/>
  <c r="AX358" i="1"/>
  <c r="AY358" i="1" s="1"/>
  <c r="AX359" i="1"/>
  <c r="AY359" i="1" s="1"/>
  <c r="AX360" i="1"/>
  <c r="AY360" i="1" s="1"/>
  <c r="AX361" i="1"/>
  <c r="AY361" i="1" s="1"/>
  <c r="AX362" i="1"/>
  <c r="AY362" i="1" s="1"/>
  <c r="AX363" i="1"/>
  <c r="AY363" i="1" s="1"/>
  <c r="AX364" i="1"/>
  <c r="AY364" i="1" s="1"/>
  <c r="AX365" i="1"/>
  <c r="AY365" i="1" s="1"/>
  <c r="AX366" i="1"/>
  <c r="AY366" i="1" s="1"/>
  <c r="AX367" i="1"/>
  <c r="AY367" i="1" s="1"/>
  <c r="AX368" i="1"/>
  <c r="AY368" i="1" s="1"/>
  <c r="AX369" i="1"/>
  <c r="AY369" i="1" s="1"/>
  <c r="AX370" i="1"/>
  <c r="AY370" i="1" s="1"/>
  <c r="AX371" i="1"/>
  <c r="AY371" i="1" s="1"/>
  <c r="AX372" i="1"/>
  <c r="AY372" i="1" s="1"/>
  <c r="AX373" i="1"/>
  <c r="AY373" i="1" s="1"/>
  <c r="AX374" i="1"/>
  <c r="AY374" i="1" s="1"/>
  <c r="AX375" i="1"/>
  <c r="AY375" i="1" s="1"/>
  <c r="AX376" i="1"/>
  <c r="AY376" i="1" s="1"/>
  <c r="AX377" i="1"/>
  <c r="AY377" i="1" s="1"/>
  <c r="AX378" i="1"/>
  <c r="AY378" i="1" s="1"/>
  <c r="AX379" i="1"/>
  <c r="AY379" i="1" s="1"/>
  <c r="AX380" i="1"/>
  <c r="AY380" i="1" s="1"/>
  <c r="AX381" i="1"/>
  <c r="AY381" i="1" s="1"/>
  <c r="AX382" i="1"/>
  <c r="AY382" i="1" s="1"/>
  <c r="AX383" i="1"/>
  <c r="AY383" i="1" s="1"/>
  <c r="AX384" i="1"/>
  <c r="AY384" i="1" s="1"/>
  <c r="AX385" i="1"/>
  <c r="AY385" i="1" s="1"/>
  <c r="AX386" i="1"/>
  <c r="AY386" i="1"/>
  <c r="AX387" i="1"/>
  <c r="AY387" i="1" s="1"/>
  <c r="AX388" i="1"/>
  <c r="AY388" i="1" s="1"/>
  <c r="AX389" i="1"/>
  <c r="AY389" i="1"/>
  <c r="AX390" i="1"/>
  <c r="AY390" i="1" s="1"/>
  <c r="AX391" i="1"/>
  <c r="AY391" i="1" s="1"/>
  <c r="AX392" i="1"/>
  <c r="AY392" i="1" s="1"/>
  <c r="AX393" i="1"/>
  <c r="AY393" i="1"/>
  <c r="AX394" i="1"/>
  <c r="AY394" i="1" s="1"/>
  <c r="AX395" i="1"/>
  <c r="AY395" i="1" s="1"/>
  <c r="AX396" i="1"/>
  <c r="AY396" i="1" s="1"/>
  <c r="AX397" i="1"/>
  <c r="AY397" i="1"/>
  <c r="AX398" i="1"/>
  <c r="AY398" i="1" s="1"/>
  <c r="AX399" i="1"/>
  <c r="AY399" i="1" s="1"/>
  <c r="AX400" i="1"/>
  <c r="AY400" i="1" s="1"/>
  <c r="AX401" i="1"/>
  <c r="AY401" i="1"/>
  <c r="AX402" i="1"/>
  <c r="AY402" i="1" s="1"/>
  <c r="AX403" i="1"/>
  <c r="AY403" i="1" s="1"/>
  <c r="AX404" i="1"/>
  <c r="AY404" i="1" s="1"/>
  <c r="AX405" i="1"/>
  <c r="AY405" i="1"/>
  <c r="AX406" i="1"/>
  <c r="AY406" i="1" s="1"/>
  <c r="AX407" i="1"/>
  <c r="AY407" i="1" s="1"/>
  <c r="AX408" i="1"/>
  <c r="AY408" i="1" s="1"/>
  <c r="AX409" i="1"/>
  <c r="AY409" i="1"/>
  <c r="AX410" i="1"/>
  <c r="AY410" i="1" s="1"/>
  <c r="AX411" i="1"/>
  <c r="AY411" i="1" s="1"/>
  <c r="AX412" i="1"/>
  <c r="AY412" i="1" s="1"/>
  <c r="AX413" i="1"/>
  <c r="AY413" i="1"/>
  <c r="AX414" i="1"/>
  <c r="AY414" i="1" s="1"/>
  <c r="AX415" i="1"/>
  <c r="AY415" i="1" s="1"/>
  <c r="AX416" i="1"/>
  <c r="AY416" i="1" s="1"/>
  <c r="AX417" i="1"/>
  <c r="AY417" i="1"/>
  <c r="AX418" i="1"/>
  <c r="AY418" i="1" s="1"/>
  <c r="AX419" i="1"/>
  <c r="AY419" i="1" s="1"/>
  <c r="AX420" i="1"/>
  <c r="AY420" i="1" s="1"/>
  <c r="AX421" i="1"/>
  <c r="AY421" i="1"/>
  <c r="AX422" i="1"/>
  <c r="AY422" i="1" s="1"/>
  <c r="AX423" i="1"/>
  <c r="AY423" i="1" s="1"/>
  <c r="AX424" i="1"/>
  <c r="AY424" i="1" s="1"/>
  <c r="AX425" i="1"/>
  <c r="AY425" i="1"/>
  <c r="AX426" i="1"/>
  <c r="AY426" i="1" s="1"/>
  <c r="AX427" i="1"/>
  <c r="AY427" i="1" s="1"/>
  <c r="AX428" i="1"/>
  <c r="AY428" i="1" s="1"/>
  <c r="AX429" i="1"/>
  <c r="AY429" i="1"/>
  <c r="AX430" i="1"/>
  <c r="AY430" i="1" s="1"/>
  <c r="AX431" i="1"/>
  <c r="AY431" i="1" s="1"/>
  <c r="AX432" i="1"/>
  <c r="AY432" i="1" s="1"/>
  <c r="AX433" i="1"/>
  <c r="AY433" i="1"/>
  <c r="AX434" i="1"/>
  <c r="AY434" i="1" s="1"/>
  <c r="AX435" i="1"/>
  <c r="AY435" i="1" s="1"/>
  <c r="AX436" i="1"/>
  <c r="AY436" i="1" s="1"/>
  <c r="AX437" i="1"/>
  <c r="AY437" i="1"/>
  <c r="AX438" i="1"/>
  <c r="AY438" i="1" s="1"/>
  <c r="AX439" i="1"/>
  <c r="AY439" i="1" s="1"/>
  <c r="AX440" i="1"/>
  <c r="AY440" i="1" s="1"/>
  <c r="AX441" i="1"/>
  <c r="AY441" i="1"/>
  <c r="AX442" i="1"/>
  <c r="AY442" i="1" s="1"/>
  <c r="AX443" i="1"/>
  <c r="AY443" i="1" s="1"/>
  <c r="AX444" i="1"/>
  <c r="AY444" i="1" s="1"/>
  <c r="AX445" i="1"/>
  <c r="AY445" i="1"/>
  <c r="AX446" i="1"/>
  <c r="AY446" i="1" s="1"/>
  <c r="AX447" i="1"/>
  <c r="AY447" i="1" s="1"/>
  <c r="AX448" i="1"/>
  <c r="AY448" i="1" s="1"/>
  <c r="AX449" i="1"/>
  <c r="AY449" i="1"/>
  <c r="AX450" i="1"/>
  <c r="AY450" i="1" s="1"/>
  <c r="AX451" i="1"/>
  <c r="AY451" i="1" s="1"/>
  <c r="AX452" i="1"/>
  <c r="AY452" i="1" s="1"/>
  <c r="AX453" i="1"/>
  <c r="AY453" i="1"/>
  <c r="AX454" i="1"/>
  <c r="AY454" i="1" s="1"/>
  <c r="AX455" i="1"/>
  <c r="AY455" i="1" s="1"/>
  <c r="AX456" i="1"/>
  <c r="AY456" i="1" s="1"/>
  <c r="AX457" i="1"/>
  <c r="AY457" i="1"/>
  <c r="AX458" i="1"/>
  <c r="AY458" i="1" s="1"/>
  <c r="AX459" i="1"/>
  <c r="AY459" i="1" s="1"/>
  <c r="AX460" i="1"/>
  <c r="AY460" i="1" s="1"/>
  <c r="AX461" i="1"/>
  <c r="AY461" i="1"/>
  <c r="AX462" i="1"/>
  <c r="AY462" i="1" s="1"/>
  <c r="AX463" i="1"/>
  <c r="AY463" i="1" s="1"/>
  <c r="AX464" i="1"/>
  <c r="AY464" i="1" s="1"/>
  <c r="AX465" i="1"/>
  <c r="AY465" i="1"/>
  <c r="AX466" i="1"/>
  <c r="AY466" i="1" s="1"/>
  <c r="AX467" i="1"/>
  <c r="AY467" i="1" s="1"/>
  <c r="AX468" i="1"/>
  <c r="AY468" i="1" s="1"/>
  <c r="AX469" i="1"/>
  <c r="AY469" i="1"/>
  <c r="AX470" i="1"/>
  <c r="AY470" i="1" s="1"/>
  <c r="AX471" i="1"/>
  <c r="AY471" i="1" s="1"/>
  <c r="AX472" i="1"/>
  <c r="AY472" i="1" s="1"/>
  <c r="AX473" i="1"/>
  <c r="AY473" i="1"/>
  <c r="AX474" i="1"/>
  <c r="AY474" i="1" s="1"/>
  <c r="AX475" i="1"/>
  <c r="AY475" i="1" s="1"/>
  <c r="AX476" i="1"/>
  <c r="AY476" i="1" s="1"/>
  <c r="AX477" i="1"/>
  <c r="AY477" i="1"/>
  <c r="AX478" i="1"/>
  <c r="AY478" i="1" s="1"/>
  <c r="AX479" i="1"/>
  <c r="AY479" i="1" s="1"/>
  <c r="AX480" i="1"/>
  <c r="AY480" i="1" s="1"/>
  <c r="AX481" i="1"/>
  <c r="AY481" i="1"/>
  <c r="AX482" i="1"/>
  <c r="AY482" i="1" s="1"/>
  <c r="AX483" i="1"/>
  <c r="AY483" i="1" s="1"/>
  <c r="AX484" i="1"/>
  <c r="AY484" i="1" s="1"/>
  <c r="AX485" i="1"/>
  <c r="AY485" i="1"/>
  <c r="AX486" i="1"/>
  <c r="AY486" i="1" s="1"/>
  <c r="AX487" i="1"/>
  <c r="AY487" i="1" s="1"/>
  <c r="AX488" i="1"/>
  <c r="AY488" i="1" s="1"/>
  <c r="AX489" i="1"/>
  <c r="AY489" i="1"/>
  <c r="AX490" i="1"/>
  <c r="AY490" i="1" s="1"/>
  <c r="AX491" i="1"/>
  <c r="AY491" i="1" s="1"/>
  <c r="AX492" i="1"/>
  <c r="AY492" i="1" s="1"/>
  <c r="AX493" i="1"/>
  <c r="AY493" i="1"/>
  <c r="AX494" i="1"/>
  <c r="AY494" i="1" s="1"/>
  <c r="AX495" i="1"/>
  <c r="AY495" i="1" s="1"/>
  <c r="AX496" i="1"/>
  <c r="AY496" i="1" s="1"/>
  <c r="AX497" i="1"/>
  <c r="AY497" i="1"/>
  <c r="AX498" i="1"/>
  <c r="AY498" i="1" s="1"/>
  <c r="AX499" i="1"/>
  <c r="AY499" i="1" s="1"/>
  <c r="AX500" i="1"/>
  <c r="AY500" i="1" s="1"/>
  <c r="AX501" i="1"/>
  <c r="AY501" i="1"/>
  <c r="AX502" i="1"/>
  <c r="AY502" i="1" s="1"/>
  <c r="AX503" i="1"/>
  <c r="AY503" i="1" s="1"/>
  <c r="AX504" i="1"/>
  <c r="AY504" i="1" s="1"/>
  <c r="AX505" i="1"/>
  <c r="AY505" i="1"/>
  <c r="A3" i="36"/>
  <c r="B3" i="36"/>
  <c r="C3" i="36"/>
  <c r="D3" i="36"/>
  <c r="E3" i="36"/>
  <c r="F3" i="36"/>
  <c r="G3" i="36"/>
  <c r="H3" i="36"/>
  <c r="I3" i="36"/>
  <c r="J3" i="36"/>
  <c r="K3" i="36"/>
  <c r="L3" i="36"/>
  <c r="M3" i="36"/>
  <c r="N3" i="36"/>
  <c r="O3" i="36"/>
  <c r="P3" i="36"/>
  <c r="Q3" i="36"/>
  <c r="R3" i="36"/>
  <c r="S3" i="36"/>
  <c r="T3" i="36"/>
  <c r="U3" i="36"/>
  <c r="V3" i="36"/>
  <c r="W3" i="36"/>
  <c r="X3" i="36"/>
  <c r="Y3" i="36"/>
  <c r="Z3" i="36"/>
  <c r="AA3" i="36"/>
  <c r="AB3" i="36"/>
  <c r="AC3" i="36"/>
  <c r="AD3" i="36"/>
  <c r="AE3" i="36"/>
  <c r="AF3" i="36"/>
  <c r="AG3" i="36"/>
  <c r="AH3" i="36"/>
  <c r="AI3" i="36"/>
  <c r="AJ3" i="36"/>
  <c r="AJ4" i="36" s="1"/>
  <c r="AK3" i="36"/>
  <c r="AL3" i="36"/>
  <c r="AM3" i="36"/>
  <c r="AN3" i="36"/>
  <c r="AO3" i="36"/>
  <c r="AP3" i="36"/>
  <c r="AQ3" i="36"/>
  <c r="AR3" i="36"/>
  <c r="AR4" i="36" s="1"/>
  <c r="AT3" i="36"/>
  <c r="Y4" i="36"/>
  <c r="AK4" i="36"/>
  <c r="AR8" i="36"/>
  <c r="AS8" i="36" s="1"/>
  <c r="AR9" i="36"/>
  <c r="AS9" i="36"/>
  <c r="AR10" i="36"/>
  <c r="AS10" i="36" s="1"/>
  <c r="AR11" i="36"/>
  <c r="AS11" i="36"/>
  <c r="AR12" i="36"/>
  <c r="AS12" i="36" s="1"/>
  <c r="AR13" i="36"/>
  <c r="AS13" i="36"/>
  <c r="AR14" i="36"/>
  <c r="AS14" i="36" s="1"/>
  <c r="AR15" i="36"/>
  <c r="AS15" i="36"/>
  <c r="AR16" i="36"/>
  <c r="AS16" i="36" s="1"/>
  <c r="AR17" i="36"/>
  <c r="AS17" i="36"/>
  <c r="AR18" i="36"/>
  <c r="AS18" i="36" s="1"/>
  <c r="AR19" i="36"/>
  <c r="AS19" i="36"/>
  <c r="AR20" i="36"/>
  <c r="AS20" i="36" s="1"/>
  <c r="AR21" i="36"/>
  <c r="AS21" i="36"/>
  <c r="AR22" i="36"/>
  <c r="AS22" i="36" s="1"/>
  <c r="AR23" i="36"/>
  <c r="AS23" i="36"/>
  <c r="AR24" i="36"/>
  <c r="AS24" i="36" s="1"/>
  <c r="AR25" i="36"/>
  <c r="AS25" i="36"/>
  <c r="AR26" i="36"/>
  <c r="AS26" i="36" s="1"/>
  <c r="AR27" i="36"/>
  <c r="AS27" i="36"/>
  <c r="AR28" i="36"/>
  <c r="AS28" i="36" s="1"/>
  <c r="AR29" i="36"/>
  <c r="AS29" i="36"/>
  <c r="AR30" i="36"/>
  <c r="AS30" i="36" s="1"/>
  <c r="AR31" i="36"/>
  <c r="AS31" i="36"/>
  <c r="AR32" i="36"/>
  <c r="AS32" i="36" s="1"/>
  <c r="AR33" i="36"/>
  <c r="AS33" i="36"/>
  <c r="AR34" i="36"/>
  <c r="AS34" i="36" s="1"/>
  <c r="AR35" i="36"/>
  <c r="AS35" i="36"/>
  <c r="AR36" i="36"/>
  <c r="AS36" i="36" s="1"/>
  <c r="AR37" i="36"/>
  <c r="AS37" i="36"/>
  <c r="AR38" i="36"/>
  <c r="AS38" i="36" s="1"/>
  <c r="AR39" i="36"/>
  <c r="AS39" i="36"/>
  <c r="AR40" i="36"/>
  <c r="AS40" i="36" s="1"/>
  <c r="AR41" i="36"/>
  <c r="AS41" i="36"/>
  <c r="AR42" i="36"/>
  <c r="AS42" i="36" s="1"/>
  <c r="AR43" i="36"/>
  <c r="AS43" i="36"/>
  <c r="AR44" i="36"/>
  <c r="AS44" i="36" s="1"/>
  <c r="AR45" i="36"/>
  <c r="AS45" i="36"/>
  <c r="AR46" i="36"/>
  <c r="AS46" i="36" s="1"/>
  <c r="AR47" i="36"/>
  <c r="AS47" i="36"/>
  <c r="AR48" i="36"/>
  <c r="AS48" i="36" s="1"/>
  <c r="AR49" i="36"/>
  <c r="AS49" i="36"/>
  <c r="AR50" i="36"/>
  <c r="AS50" i="36" s="1"/>
  <c r="AR51" i="36"/>
  <c r="AS51" i="36"/>
  <c r="AR52" i="36"/>
  <c r="AS52" i="36" s="1"/>
  <c r="AR53" i="36"/>
  <c r="AS53" i="36"/>
  <c r="AR54" i="36"/>
  <c r="AS54" i="36" s="1"/>
  <c r="AR55" i="36"/>
  <c r="AS55" i="36"/>
  <c r="AR56" i="36"/>
  <c r="AS56" i="36" s="1"/>
  <c r="AR57" i="36"/>
  <c r="AS57" i="36"/>
  <c r="AR58" i="36"/>
  <c r="AS58" i="36" s="1"/>
  <c r="AR59" i="36"/>
  <c r="AS59" i="36"/>
  <c r="AR60" i="36"/>
  <c r="AS60" i="36" s="1"/>
  <c r="AR61" i="36"/>
  <c r="AS61" i="36"/>
  <c r="AR62" i="36"/>
  <c r="AS62" i="36" s="1"/>
  <c r="AR63" i="36"/>
  <c r="AS63" i="36"/>
  <c r="AR64" i="36"/>
  <c r="AS64" i="36" s="1"/>
  <c r="AR65" i="36"/>
  <c r="AS65" i="36"/>
  <c r="AR66" i="36"/>
  <c r="AS66" i="36" s="1"/>
  <c r="AR67" i="36"/>
  <c r="AS67" i="36"/>
  <c r="AR68" i="36"/>
  <c r="AS68" i="36" s="1"/>
  <c r="AR69" i="36"/>
  <c r="AS69" i="36"/>
  <c r="AR70" i="36"/>
  <c r="AS70" i="36" s="1"/>
  <c r="AR71" i="36"/>
  <c r="AS71" i="36"/>
  <c r="AR72" i="36"/>
  <c r="AS72" i="36" s="1"/>
  <c r="AR73" i="36"/>
  <c r="AS73" i="36"/>
  <c r="AR74" i="36"/>
  <c r="AS74" i="36" s="1"/>
  <c r="AR75" i="36"/>
  <c r="AS75" i="36"/>
  <c r="AR76" i="36"/>
  <c r="AS76" i="36" s="1"/>
  <c r="AR77" i="36"/>
  <c r="AS77" i="36"/>
  <c r="AR78" i="36"/>
  <c r="AS78" i="36" s="1"/>
  <c r="AR79" i="36"/>
  <c r="AS79" i="36"/>
  <c r="AR80" i="36"/>
  <c r="AS80" i="36" s="1"/>
  <c r="AR81" i="36"/>
  <c r="AS81" i="36"/>
  <c r="AR82" i="36"/>
  <c r="AS82" i="36" s="1"/>
  <c r="AR83" i="36"/>
  <c r="AS83" i="36"/>
  <c r="AR84" i="36"/>
  <c r="AS84" i="36" s="1"/>
  <c r="AR85" i="36"/>
  <c r="AS85" i="36"/>
  <c r="AR86" i="36"/>
  <c r="AS86" i="36" s="1"/>
  <c r="AR87" i="36"/>
  <c r="AS87" i="36"/>
  <c r="AR88" i="36"/>
  <c r="AS88" i="36" s="1"/>
  <c r="AR89" i="36"/>
  <c r="AS89" i="36"/>
  <c r="AR90" i="36"/>
  <c r="AS90" i="36" s="1"/>
  <c r="AR91" i="36"/>
  <c r="AS91" i="36"/>
  <c r="AR92" i="36"/>
  <c r="AS92" i="36" s="1"/>
  <c r="AR93" i="36"/>
  <c r="AS93" i="36"/>
  <c r="AR94" i="36"/>
  <c r="AS94" i="36" s="1"/>
  <c r="AR95" i="36"/>
  <c r="AS95" i="36"/>
  <c r="AR96" i="36"/>
  <c r="AS96" i="36" s="1"/>
  <c r="AR97" i="36"/>
  <c r="AS97" i="36"/>
  <c r="AR98" i="36"/>
  <c r="AS98" i="36" s="1"/>
  <c r="AR99" i="36"/>
  <c r="AS99" i="36"/>
  <c r="AR100" i="36"/>
  <c r="AS100" i="36" s="1"/>
  <c r="AR101" i="36"/>
  <c r="AS101" i="36"/>
  <c r="AR102" i="36"/>
  <c r="AS102" i="36" s="1"/>
  <c r="AR103" i="36"/>
  <c r="AS103" i="36"/>
  <c r="AR104" i="36"/>
  <c r="AS104" i="36" s="1"/>
  <c r="AR105" i="36"/>
  <c r="AS105" i="36"/>
  <c r="AR106" i="36"/>
  <c r="AS106" i="36" s="1"/>
  <c r="AR107" i="36"/>
  <c r="AS107" i="36"/>
  <c r="AR108" i="36"/>
  <c r="AS108" i="36" s="1"/>
  <c r="AR109" i="36"/>
  <c r="AS109" i="36"/>
  <c r="AR110" i="36"/>
  <c r="AS110" i="36" s="1"/>
  <c r="AR111" i="36"/>
  <c r="AS111" i="36"/>
  <c r="AR112" i="36"/>
  <c r="AS112" i="36" s="1"/>
  <c r="AR113" i="36"/>
  <c r="AS113" i="36"/>
  <c r="AR114" i="36"/>
  <c r="AS114" i="36" s="1"/>
  <c r="AR115" i="36"/>
  <c r="AS115" i="36"/>
  <c r="AR116" i="36"/>
  <c r="AS116" i="36" s="1"/>
  <c r="AR117" i="36"/>
  <c r="AS117" i="36"/>
  <c r="AR118" i="36"/>
  <c r="AS118" i="36" s="1"/>
  <c r="AR119" i="36"/>
  <c r="AS119" i="36"/>
  <c r="AR120" i="36"/>
  <c r="AS120" i="36" s="1"/>
  <c r="AR121" i="36"/>
  <c r="AS121" i="36"/>
  <c r="AR122" i="36"/>
  <c r="AS122" i="36" s="1"/>
  <c r="AR123" i="36"/>
  <c r="AS123" i="36"/>
  <c r="AR124" i="36"/>
  <c r="AS124" i="36" s="1"/>
  <c r="AR125" i="36"/>
  <c r="AS125" i="36"/>
  <c r="AR126" i="36"/>
  <c r="AS126" i="36" s="1"/>
  <c r="AR127" i="36"/>
  <c r="AS127" i="36"/>
  <c r="AR128" i="36"/>
  <c r="AS128" i="36" s="1"/>
  <c r="AR129" i="36"/>
  <c r="AS129" i="36"/>
  <c r="AR130" i="36"/>
  <c r="AS130" i="36" s="1"/>
  <c r="AR131" i="36"/>
  <c r="AS131" i="36"/>
  <c r="AR132" i="36"/>
  <c r="AS132" i="36" s="1"/>
  <c r="AR133" i="36"/>
  <c r="AS133" i="36"/>
  <c r="AR134" i="36"/>
  <c r="AS134" i="36" s="1"/>
  <c r="AR135" i="36"/>
  <c r="AS135" i="36"/>
  <c r="AR136" i="36"/>
  <c r="AS136" i="36" s="1"/>
  <c r="AR137" i="36"/>
  <c r="AS137" i="36"/>
  <c r="AR138" i="36"/>
  <c r="AS138" i="36" s="1"/>
  <c r="AR139" i="36"/>
  <c r="AS139" i="36"/>
  <c r="AR140" i="36"/>
  <c r="AS140" i="36" s="1"/>
  <c r="AR141" i="36"/>
  <c r="AS141" i="36"/>
  <c r="AR142" i="36"/>
  <c r="AS142" i="36" s="1"/>
  <c r="AR143" i="36"/>
  <c r="AS143" i="36"/>
  <c r="AR144" i="36"/>
  <c r="AS144" i="36" s="1"/>
  <c r="AR145" i="36"/>
  <c r="AS145" i="36"/>
  <c r="AR146" i="36"/>
  <c r="AS146" i="36" s="1"/>
  <c r="AR147" i="36"/>
  <c r="AS147" i="36"/>
  <c r="AR148" i="36"/>
  <c r="AS148" i="36" s="1"/>
  <c r="AR149" i="36"/>
  <c r="AS149" i="36"/>
  <c r="AR150" i="36"/>
  <c r="AS150" i="36" s="1"/>
  <c r="AR151" i="36"/>
  <c r="AS151" i="36"/>
  <c r="AR152" i="36"/>
  <c r="AS152" i="36" s="1"/>
  <c r="AR153" i="36"/>
  <c r="AS153" i="36"/>
  <c r="AR154" i="36"/>
  <c r="AS154" i="36" s="1"/>
  <c r="AR155" i="36"/>
  <c r="AS155" i="36"/>
  <c r="AR156" i="36"/>
  <c r="AS156" i="36" s="1"/>
  <c r="AR157" i="36"/>
  <c r="AS157" i="36"/>
  <c r="AR158" i="36"/>
  <c r="AS158" i="36" s="1"/>
  <c r="AR159" i="36"/>
  <c r="AS159" i="36"/>
  <c r="AR160" i="36"/>
  <c r="AS160" i="36" s="1"/>
  <c r="AR161" i="36"/>
  <c r="AS161" i="36"/>
  <c r="AR162" i="36"/>
  <c r="AS162" i="36" s="1"/>
  <c r="AR163" i="36"/>
  <c r="AS163" i="36"/>
  <c r="AR164" i="36"/>
  <c r="AS164" i="36" s="1"/>
  <c r="AR165" i="36"/>
  <c r="AS165" i="36"/>
  <c r="AR166" i="36"/>
  <c r="AS166" i="36" s="1"/>
  <c r="AR167" i="36"/>
  <c r="AS167" i="36"/>
  <c r="AR168" i="36"/>
  <c r="AS168" i="36"/>
  <c r="AR169" i="36"/>
  <c r="AS169" i="36"/>
  <c r="AR170" i="36"/>
  <c r="AS170" i="36"/>
  <c r="AR171" i="36"/>
  <c r="AS171" i="36"/>
  <c r="AR172" i="36"/>
  <c r="AS172" i="36"/>
  <c r="AR173" i="36"/>
  <c r="AS173" i="36"/>
  <c r="AR174" i="36"/>
  <c r="AS174" i="36"/>
  <c r="AR175" i="36"/>
  <c r="AS175" i="36"/>
  <c r="AR176" i="36"/>
  <c r="AS176" i="36"/>
  <c r="AR177" i="36"/>
  <c r="AS177" i="36"/>
  <c r="AR178" i="36"/>
  <c r="AS178" i="36"/>
  <c r="AR179" i="36"/>
  <c r="AS179" i="36"/>
  <c r="AR180" i="36"/>
  <c r="AS180" i="36"/>
  <c r="AR181" i="36"/>
  <c r="AS181" i="36"/>
  <c r="AR182" i="36"/>
  <c r="AS182" i="36"/>
  <c r="AR183" i="36"/>
  <c r="AS183" i="36"/>
  <c r="AR184" i="36"/>
  <c r="AS184" i="36"/>
  <c r="AR185" i="36"/>
  <c r="AS185" i="36"/>
  <c r="AR186" i="36"/>
  <c r="AS186" i="36"/>
  <c r="AR187" i="36"/>
  <c r="AS187" i="36"/>
  <c r="AR188" i="36"/>
  <c r="AS188" i="36"/>
  <c r="AR189" i="36"/>
  <c r="AS189" i="36"/>
  <c r="AR190" i="36"/>
  <c r="AS190" i="36"/>
  <c r="AR191" i="36"/>
  <c r="AS191" i="36"/>
  <c r="AR192" i="36"/>
  <c r="AS192" i="36"/>
  <c r="AR193" i="36"/>
  <c r="AS193" i="36"/>
  <c r="AR194" i="36"/>
  <c r="AS194" i="36"/>
  <c r="AR195" i="36"/>
  <c r="AS195" i="36"/>
  <c r="AR196" i="36"/>
  <c r="AS196" i="36"/>
  <c r="AR197" i="36"/>
  <c r="AS197" i="36"/>
  <c r="AR198" i="36"/>
  <c r="AS198" i="36"/>
  <c r="AR199" i="36"/>
  <c r="AS199" i="36"/>
  <c r="AR200" i="36"/>
  <c r="AS200" i="36"/>
  <c r="AR201" i="36"/>
  <c r="AS201" i="36"/>
  <c r="AR202" i="36"/>
  <c r="AS202" i="36"/>
  <c r="AR203" i="36"/>
  <c r="AS203" i="36"/>
  <c r="AR204" i="36"/>
  <c r="AS204" i="36"/>
  <c r="AR205" i="36"/>
  <c r="AS205" i="36"/>
  <c r="AR206" i="36"/>
  <c r="AS206" i="36"/>
  <c r="AR207" i="36"/>
  <c r="AS207" i="36"/>
  <c r="AR208" i="36"/>
  <c r="AS208" i="36"/>
  <c r="AR209" i="36"/>
  <c r="AS209" i="36"/>
  <c r="AR210" i="36"/>
  <c r="AS210" i="36" s="1"/>
  <c r="AR211" i="36"/>
  <c r="AS211" i="36"/>
  <c r="AR212" i="36"/>
  <c r="AS212" i="36" s="1"/>
  <c r="AR213" i="36"/>
  <c r="AS213" i="36"/>
  <c r="AR214" i="36"/>
  <c r="AS214" i="36" s="1"/>
  <c r="AR215" i="36"/>
  <c r="AS215" i="36"/>
  <c r="AR216" i="36"/>
  <c r="AS216" i="36" s="1"/>
  <c r="AR217" i="36"/>
  <c r="AS217" i="36"/>
  <c r="AR218" i="36"/>
  <c r="AS218" i="36" s="1"/>
  <c r="AR219" i="36"/>
  <c r="AS219" i="36"/>
  <c r="AR220" i="36"/>
  <c r="AS220" i="36" s="1"/>
  <c r="AR221" i="36"/>
  <c r="AS221" i="36"/>
  <c r="AR222" i="36"/>
  <c r="AS222" i="36" s="1"/>
  <c r="AR223" i="36"/>
  <c r="AS223" i="36"/>
  <c r="AR224" i="36"/>
  <c r="AS224" i="36" s="1"/>
  <c r="AR225" i="36"/>
  <c r="AS225" i="36"/>
  <c r="AR226" i="36"/>
  <c r="AS226" i="36" s="1"/>
  <c r="AR227" i="36"/>
  <c r="AS227" i="36"/>
  <c r="AR228" i="36"/>
  <c r="AS228" i="36" s="1"/>
  <c r="AR229" i="36"/>
  <c r="AS229" i="36"/>
  <c r="AR230" i="36"/>
  <c r="AS230" i="36" s="1"/>
  <c r="AR231" i="36"/>
  <c r="AS231" i="36"/>
  <c r="AR232" i="36"/>
  <c r="AS232" i="36" s="1"/>
  <c r="AR233" i="36"/>
  <c r="AS233" i="36"/>
  <c r="AR234" i="36"/>
  <c r="AS234" i="36" s="1"/>
  <c r="AR235" i="36"/>
  <c r="AS235" i="36"/>
  <c r="AR236" i="36"/>
  <c r="AS236" i="36" s="1"/>
  <c r="AR237" i="36"/>
  <c r="AS237" i="36"/>
  <c r="AR238" i="36"/>
  <c r="AS238" i="36" s="1"/>
  <c r="AR239" i="36"/>
  <c r="AS239" i="36"/>
  <c r="AR240" i="36"/>
  <c r="AS240" i="36" s="1"/>
  <c r="AR241" i="36"/>
  <c r="AS241" i="36"/>
  <c r="AR242" i="36"/>
  <c r="AS242" i="36" s="1"/>
  <c r="AR243" i="36"/>
  <c r="AS243" i="36"/>
  <c r="AR244" i="36"/>
  <c r="AS244" i="36" s="1"/>
  <c r="AR245" i="36"/>
  <c r="AS245" i="36"/>
  <c r="AR246" i="36"/>
  <c r="AS246" i="36" s="1"/>
  <c r="AR247" i="36"/>
  <c r="AS247" i="36"/>
  <c r="AR248" i="36"/>
  <c r="AS248" i="36" s="1"/>
  <c r="AR249" i="36"/>
  <c r="AS249" i="36"/>
  <c r="AR250" i="36"/>
  <c r="AS250" i="36" s="1"/>
  <c r="AR251" i="36"/>
  <c r="AS251" i="36"/>
  <c r="AR252" i="36"/>
  <c r="AS252" i="36" s="1"/>
  <c r="AR253" i="36"/>
  <c r="AS253" i="36"/>
  <c r="AR254" i="36"/>
  <c r="AS254" i="36" s="1"/>
  <c r="AR255" i="36"/>
  <c r="AS255" i="36"/>
  <c r="AR256" i="36"/>
  <c r="AS256" i="36" s="1"/>
  <c r="AR257" i="36"/>
  <c r="AS257" i="36"/>
  <c r="AR258" i="36"/>
  <c r="AS258" i="36" s="1"/>
  <c r="AR259" i="36"/>
  <c r="AS259" i="36"/>
  <c r="AR260" i="36"/>
  <c r="AS260" i="36" s="1"/>
  <c r="AR261" i="36"/>
  <c r="AS261" i="36"/>
  <c r="AR262" i="36"/>
  <c r="AS262" i="36" s="1"/>
  <c r="AR263" i="36"/>
  <c r="AS263" i="36"/>
  <c r="AR264" i="36"/>
  <c r="AS264" i="36" s="1"/>
  <c r="AR265" i="36"/>
  <c r="AS265" i="36"/>
  <c r="AR266" i="36"/>
  <c r="AS266" i="36" s="1"/>
  <c r="AR267" i="36"/>
  <c r="AS267" i="36"/>
  <c r="AR268" i="36"/>
  <c r="AS268" i="36" s="1"/>
  <c r="AR269" i="36"/>
  <c r="AS269" i="36"/>
  <c r="AR270" i="36"/>
  <c r="AS270" i="36" s="1"/>
  <c r="AR271" i="36"/>
  <c r="AS271" i="36"/>
  <c r="AR272" i="36"/>
  <c r="AS272" i="36" s="1"/>
  <c r="AR273" i="36"/>
  <c r="AS273" i="36"/>
  <c r="AR274" i="36"/>
  <c r="AS274" i="36" s="1"/>
  <c r="AR275" i="36"/>
  <c r="AS275" i="36"/>
  <c r="AR276" i="36"/>
  <c r="AS276" i="36" s="1"/>
  <c r="AR277" i="36"/>
  <c r="AS277" i="36"/>
  <c r="AR278" i="36"/>
  <c r="AS278" i="36" s="1"/>
  <c r="AR279" i="36"/>
  <c r="AS279" i="36"/>
  <c r="AR280" i="36"/>
  <c r="AS280" i="36" s="1"/>
  <c r="AR281" i="36"/>
  <c r="AS281" i="36"/>
  <c r="AR282" i="36"/>
  <c r="AS282" i="36" s="1"/>
  <c r="AR283" i="36"/>
  <c r="AS283" i="36"/>
  <c r="AR284" i="36"/>
  <c r="AS284" i="36" s="1"/>
  <c r="AR285" i="36"/>
  <c r="AS285" i="36"/>
  <c r="AR286" i="36"/>
  <c r="AS286" i="36" s="1"/>
  <c r="AR287" i="36"/>
  <c r="AS287" i="36"/>
  <c r="AR288" i="36"/>
  <c r="AS288" i="36" s="1"/>
  <c r="AR289" i="36"/>
  <c r="AS289" i="36"/>
  <c r="AR290" i="36"/>
  <c r="AS290" i="36" s="1"/>
  <c r="AR291" i="36"/>
  <c r="AS291" i="36"/>
  <c r="AR292" i="36"/>
  <c r="AS292" i="36" s="1"/>
  <c r="AR293" i="36"/>
  <c r="AS293" i="36"/>
  <c r="AR294" i="36"/>
  <c r="AS294" i="36" s="1"/>
  <c r="AR295" i="36"/>
  <c r="AS295" i="36"/>
  <c r="AR296" i="36"/>
  <c r="AS296" i="36" s="1"/>
  <c r="AR297" i="36"/>
  <c r="AS297" i="36"/>
  <c r="AR298" i="36"/>
  <c r="AS298" i="36" s="1"/>
  <c r="AR299" i="36"/>
  <c r="AS299" i="36"/>
  <c r="AR300" i="36"/>
  <c r="AS300" i="36" s="1"/>
  <c r="AR301" i="36"/>
  <c r="AS301" i="36"/>
  <c r="AR302" i="36"/>
  <c r="AS302" i="36" s="1"/>
  <c r="AR303" i="36"/>
  <c r="AS303" i="36"/>
  <c r="AR304" i="36"/>
  <c r="AS304" i="36" s="1"/>
  <c r="AR305" i="36"/>
  <c r="AS305" i="36"/>
  <c r="AR306" i="36"/>
  <c r="AS306" i="36" s="1"/>
  <c r="AR307" i="36"/>
  <c r="AS307" i="36"/>
  <c r="AR308" i="36"/>
  <c r="AS308" i="36" s="1"/>
  <c r="AR309" i="36"/>
  <c r="AS309" i="36"/>
  <c r="AR310" i="36"/>
  <c r="AS310" i="36" s="1"/>
  <c r="AR311" i="36"/>
  <c r="AS311" i="36"/>
  <c r="AR312" i="36"/>
  <c r="AS312" i="36" s="1"/>
  <c r="AR313" i="36"/>
  <c r="AS313" i="36"/>
  <c r="AR314" i="36"/>
  <c r="AS314" i="36" s="1"/>
  <c r="AR315" i="36"/>
  <c r="AS315" i="36"/>
  <c r="AR316" i="36"/>
  <c r="AS316" i="36" s="1"/>
  <c r="AR317" i="36"/>
  <c r="AS317" i="36"/>
  <c r="AR318" i="36"/>
  <c r="AS318" i="36" s="1"/>
  <c r="AR319" i="36"/>
  <c r="AS319" i="36"/>
  <c r="AR320" i="36"/>
  <c r="AS320" i="36" s="1"/>
  <c r="AR321" i="36"/>
  <c r="AS321" i="36"/>
  <c r="AR322" i="36"/>
  <c r="AS322" i="36" s="1"/>
  <c r="AR323" i="36"/>
  <c r="AS323" i="36"/>
  <c r="AR324" i="36"/>
  <c r="AS324" i="36" s="1"/>
  <c r="AR325" i="36"/>
  <c r="AS325" i="36"/>
  <c r="AR326" i="36"/>
  <c r="AS326" i="36" s="1"/>
  <c r="AR327" i="36"/>
  <c r="AS327" i="36"/>
  <c r="AR328" i="36"/>
  <c r="AS328" i="36" s="1"/>
  <c r="AR329" i="36"/>
  <c r="AS329" i="36"/>
  <c r="AR330" i="36"/>
  <c r="AS330" i="36" s="1"/>
  <c r="AR331" i="36"/>
  <c r="AS331" i="36"/>
  <c r="AR332" i="36"/>
  <c r="AS332" i="36" s="1"/>
  <c r="AR333" i="36"/>
  <c r="AS333" i="36"/>
  <c r="AR334" i="36"/>
  <c r="AS334" i="36" s="1"/>
  <c r="AR335" i="36"/>
  <c r="AS335" i="36"/>
  <c r="AR336" i="36"/>
  <c r="AS336" i="36" s="1"/>
  <c r="AR337" i="36"/>
  <c r="AS337" i="36"/>
  <c r="AR338" i="36"/>
  <c r="AS338" i="36" s="1"/>
  <c r="AR339" i="36"/>
  <c r="AS339" i="36"/>
  <c r="AR340" i="36"/>
  <c r="AS340" i="36" s="1"/>
  <c r="AR341" i="36"/>
  <c r="AS341" i="36"/>
  <c r="AR342" i="36"/>
  <c r="AS342" i="36" s="1"/>
  <c r="AR343" i="36"/>
  <c r="AS343" i="36"/>
  <c r="AR344" i="36"/>
  <c r="AS344" i="36" s="1"/>
  <c r="AR345" i="36"/>
  <c r="AS345" i="36"/>
  <c r="AR346" i="36"/>
  <c r="AS346" i="36" s="1"/>
  <c r="AR347" i="36"/>
  <c r="AS347" i="36"/>
  <c r="AR348" i="36"/>
  <c r="AS348" i="36" s="1"/>
  <c r="AR349" i="36"/>
  <c r="AS349" i="36"/>
  <c r="AR350" i="36"/>
  <c r="AS350" i="36" s="1"/>
  <c r="AR351" i="36"/>
  <c r="AS351" i="36"/>
  <c r="AR352" i="36"/>
  <c r="AS352" i="36" s="1"/>
  <c r="AR353" i="36"/>
  <c r="AS353" i="36"/>
  <c r="AR354" i="36"/>
  <c r="AS354" i="36" s="1"/>
  <c r="AR355" i="36"/>
  <c r="AS355" i="36"/>
  <c r="AR356" i="36"/>
  <c r="AS356" i="36" s="1"/>
  <c r="AR357" i="36"/>
  <c r="AS357" i="36"/>
  <c r="AR358" i="36"/>
  <c r="AS358" i="36" s="1"/>
  <c r="AR359" i="36"/>
  <c r="AS359" i="36"/>
  <c r="AR360" i="36"/>
  <c r="AS360" i="36" s="1"/>
  <c r="AR361" i="36"/>
  <c r="AS361" i="36"/>
  <c r="AS3" i="36" s="1"/>
  <c r="AR362" i="36"/>
  <c r="AS362" i="36" s="1"/>
  <c r="AR363" i="36"/>
  <c r="AS363" i="36"/>
  <c r="AR364" i="36"/>
  <c r="AS364" i="36" s="1"/>
  <c r="AR365" i="36"/>
  <c r="AS365" i="36"/>
  <c r="AR366" i="36"/>
  <c r="AS366" i="36" s="1"/>
  <c r="AR367" i="36"/>
  <c r="AS367" i="36"/>
  <c r="AR368" i="36"/>
  <c r="AS368" i="36" s="1"/>
  <c r="AR369" i="36"/>
  <c r="AS369" i="36"/>
  <c r="AR370" i="36"/>
  <c r="AS370" i="36" s="1"/>
  <c r="AR371" i="36"/>
  <c r="AS371" i="36"/>
  <c r="AR372" i="36"/>
  <c r="AS372" i="36" s="1"/>
  <c r="AR373" i="36"/>
  <c r="AS373" i="36"/>
  <c r="AR374" i="36"/>
  <c r="AS374" i="36" s="1"/>
  <c r="AS375" i="36"/>
  <c r="AR376" i="36"/>
  <c r="AS376" i="36"/>
  <c r="AR377" i="36"/>
  <c r="AS377" i="36" s="1"/>
  <c r="AR378" i="36"/>
  <c r="AS378" i="36" s="1"/>
  <c r="AR379" i="36"/>
  <c r="AS379" i="36" s="1"/>
  <c r="AR380" i="36"/>
  <c r="AS380" i="36"/>
  <c r="AR381" i="36"/>
  <c r="AS381" i="36" s="1"/>
  <c r="AR382" i="36"/>
  <c r="AS382" i="36" s="1"/>
  <c r="AR383" i="36"/>
  <c r="AS383" i="36" s="1"/>
  <c r="AR384" i="36"/>
  <c r="AS384" i="36"/>
  <c r="AR385" i="36"/>
  <c r="AS385" i="36" s="1"/>
  <c r="AR386" i="36"/>
  <c r="AS386" i="36" s="1"/>
  <c r="AR387" i="36"/>
  <c r="AS387" i="36" s="1"/>
  <c r="AR388" i="36"/>
  <c r="AS388" i="36"/>
  <c r="AR389" i="36"/>
  <c r="AS389" i="36" s="1"/>
  <c r="AR390" i="36"/>
  <c r="AS390" i="36" s="1"/>
  <c r="AR391" i="36"/>
  <c r="AS391" i="36" s="1"/>
  <c r="AR392" i="36"/>
  <c r="AS392" i="36"/>
  <c r="AR393" i="36"/>
  <c r="AS393" i="36" s="1"/>
  <c r="AR394" i="36"/>
  <c r="AS394" i="36" s="1"/>
  <c r="AR395" i="36"/>
  <c r="AS395" i="36" s="1"/>
  <c r="AR396" i="36"/>
  <c r="AS396" i="36"/>
  <c r="AR397" i="36"/>
  <c r="AS397" i="36" s="1"/>
  <c r="AR398" i="36"/>
  <c r="AS398" i="36" s="1"/>
  <c r="AR399" i="36"/>
  <c r="AS399" i="36" s="1"/>
  <c r="AR400" i="36"/>
  <c r="AS400" i="36"/>
  <c r="AR401" i="36"/>
  <c r="AS401" i="36" s="1"/>
  <c r="AR402" i="36"/>
  <c r="AS402" i="36" s="1"/>
  <c r="AR403" i="36"/>
  <c r="AS403" i="36" s="1"/>
  <c r="AR404" i="36"/>
  <c r="AS404" i="36"/>
  <c r="AR405" i="36"/>
  <c r="AS405" i="36" s="1"/>
  <c r="AR406" i="36"/>
  <c r="AS406" i="36" s="1"/>
  <c r="AR407" i="36"/>
  <c r="AS407" i="36" s="1"/>
  <c r="AR408" i="36"/>
  <c r="AS408" i="36"/>
  <c r="AR409" i="36"/>
  <c r="AS409" i="36" s="1"/>
  <c r="AR410" i="36"/>
  <c r="AS410" i="36" s="1"/>
  <c r="AR411" i="36"/>
  <c r="AS411" i="36" s="1"/>
  <c r="AR412" i="36"/>
  <c r="AS412" i="36"/>
  <c r="AR413" i="36"/>
  <c r="AS413" i="36" s="1"/>
  <c r="AR414" i="36"/>
  <c r="AS414" i="36" s="1"/>
  <c r="AR415" i="36"/>
  <c r="AS415" i="36" s="1"/>
  <c r="AR416" i="36"/>
  <c r="AS416" i="36"/>
  <c r="AR3" i="37"/>
  <c r="AV3" i="37" s="1"/>
  <c r="AS3" i="37"/>
  <c r="AW3" i="37"/>
  <c r="AR4" i="37"/>
  <c r="AV4" i="37" s="1"/>
  <c r="AW4" i="37" s="1"/>
  <c r="AS4" i="37"/>
  <c r="AR5" i="37"/>
  <c r="AV5" i="37" s="1"/>
  <c r="AW5" i="37" s="1"/>
  <c r="AS5" i="37"/>
  <c r="AR6" i="37"/>
  <c r="AV6" i="37" s="1"/>
  <c r="AS6" i="37"/>
  <c r="AW6" i="37"/>
  <c r="AR7" i="37"/>
  <c r="AV7" i="37" s="1"/>
  <c r="AS7" i="37"/>
  <c r="AW7" i="37"/>
  <c r="AR8" i="37"/>
  <c r="AV8" i="37" s="1"/>
  <c r="AW8" i="37" s="1"/>
  <c r="AS8" i="37"/>
  <c r="AR9" i="37"/>
  <c r="AV9" i="37" s="1"/>
  <c r="AW9" i="37" s="1"/>
  <c r="AS9" i="37"/>
  <c r="AR10" i="37"/>
  <c r="AV10" i="37" s="1"/>
  <c r="AS10" i="37"/>
  <c r="AW10" i="37"/>
  <c r="AR11" i="37"/>
  <c r="AV11" i="37" s="1"/>
  <c r="AS11" i="37"/>
  <c r="AW11" i="37"/>
  <c r="AR12" i="37"/>
  <c r="AV12" i="37" s="1"/>
  <c r="AW12" i="37" s="1"/>
  <c r="AS12" i="37"/>
  <c r="AR13" i="37"/>
  <c r="AV13" i="37" s="1"/>
  <c r="AW13" i="37" s="1"/>
  <c r="AS13" i="37"/>
  <c r="AR14" i="37"/>
  <c r="AV14" i="37" s="1"/>
  <c r="AS14" i="37"/>
  <c r="AW14" i="37"/>
  <c r="AR15" i="37"/>
  <c r="AV15" i="37" s="1"/>
  <c r="AS15" i="37"/>
  <c r="AW15" i="37"/>
  <c r="AR16" i="37"/>
  <c r="AV16" i="37" s="1"/>
  <c r="AW16" i="37" s="1"/>
  <c r="AS16" i="37"/>
  <c r="AR17" i="37"/>
  <c r="AV17" i="37" s="1"/>
  <c r="AW17" i="37" s="1"/>
  <c r="AS17" i="37"/>
  <c r="AR18" i="37"/>
  <c r="AV18" i="37" s="1"/>
  <c r="AS18" i="37"/>
  <c r="AW18" i="37"/>
  <c r="AR19" i="37"/>
  <c r="AV19" i="37" s="1"/>
  <c r="AS19" i="37"/>
  <c r="AW19" i="37"/>
  <c r="AR20" i="37"/>
  <c r="AV20" i="37" s="1"/>
  <c r="AW20" i="37" s="1"/>
  <c r="AS20" i="37"/>
  <c r="AR21" i="37"/>
  <c r="AV21" i="37" s="1"/>
  <c r="AW21" i="37" s="1"/>
  <c r="AS21" i="37"/>
  <c r="AR22" i="37"/>
  <c r="AV22" i="37" s="1"/>
  <c r="AS22" i="37"/>
  <c r="AW22" i="37"/>
  <c r="AR23" i="37"/>
  <c r="AV23" i="37" s="1"/>
  <c r="AS23" i="37"/>
  <c r="AW23" i="37"/>
  <c r="AR24" i="37"/>
  <c r="AV24" i="37" s="1"/>
  <c r="AW24" i="37" s="1"/>
  <c r="AS24" i="37"/>
  <c r="AR25" i="37"/>
  <c r="AV25" i="37" s="1"/>
  <c r="AW25" i="37" s="1"/>
  <c r="AS25" i="37"/>
  <c r="AR26" i="37"/>
  <c r="AV26" i="37" s="1"/>
  <c r="AS26" i="37"/>
  <c r="AW26" i="37"/>
  <c r="AR27" i="37"/>
  <c r="AV27" i="37" s="1"/>
  <c r="AS27" i="37"/>
  <c r="AW27" i="37"/>
  <c r="AR28" i="37"/>
  <c r="AV28" i="37" s="1"/>
  <c r="AW28" i="37" s="1"/>
  <c r="AS28" i="37"/>
  <c r="AR29" i="37"/>
  <c r="AV29" i="37" s="1"/>
  <c r="AW29" i="37" s="1"/>
  <c r="AS29" i="37"/>
  <c r="AR30" i="37"/>
  <c r="AV30" i="37" s="1"/>
  <c r="AS30" i="37"/>
  <c r="AW30" i="37"/>
  <c r="AR31" i="37"/>
  <c r="AV31" i="37" s="1"/>
  <c r="AS31" i="37"/>
  <c r="AW31" i="37"/>
  <c r="AR32" i="37"/>
  <c r="AV32" i="37" s="1"/>
  <c r="AW32" i="37" s="1"/>
  <c r="AS32" i="37"/>
  <c r="AR33" i="37"/>
  <c r="AV33" i="37" s="1"/>
  <c r="AW33" i="37" s="1"/>
  <c r="AS33" i="37"/>
  <c r="AR34" i="37"/>
  <c r="AV34" i="37" s="1"/>
  <c r="AS34" i="37"/>
  <c r="AW34" i="37"/>
  <c r="AR35" i="37"/>
  <c r="AV35" i="37" s="1"/>
  <c r="AS35" i="37"/>
  <c r="AW35" i="37"/>
  <c r="AR36" i="37"/>
  <c r="AV36" i="37" s="1"/>
  <c r="AW36" i="37" s="1"/>
  <c r="AS36" i="37"/>
  <c r="AR37" i="37"/>
  <c r="AV37" i="37" s="1"/>
  <c r="AW37" i="37" s="1"/>
  <c r="AS37" i="37"/>
  <c r="AR38" i="37"/>
  <c r="AS38" i="37"/>
  <c r="AR39" i="37"/>
  <c r="AS39" i="37"/>
  <c r="AV39" i="37" s="1"/>
  <c r="AW39" i="37" s="1"/>
  <c r="AR40" i="37"/>
  <c r="AS40" i="37"/>
  <c r="AV40" i="37"/>
  <c r="AW40" i="37" s="1"/>
  <c r="AR41" i="37"/>
  <c r="AV41" i="37" s="1"/>
  <c r="AW41" i="37" s="1"/>
  <c r="AS41" i="37"/>
  <c r="AR42" i="37"/>
  <c r="AV42" i="37" s="1"/>
  <c r="AW42" i="37" s="1"/>
  <c r="AS42" i="37"/>
  <c r="AR43" i="37"/>
  <c r="AS43" i="37"/>
  <c r="AV43" i="37" s="1"/>
  <c r="AW43" i="37" s="1"/>
  <c r="AR44" i="37"/>
  <c r="AV44" i="37" s="1"/>
  <c r="AW44" i="37" s="1"/>
  <c r="AS44" i="37"/>
  <c r="AR45" i="37"/>
  <c r="AV45" i="37" s="1"/>
  <c r="AW45" i="37" s="1"/>
  <c r="AS45" i="37"/>
  <c r="AR46" i="37"/>
  <c r="AS46" i="37"/>
  <c r="AV46" i="37"/>
  <c r="AW46" i="37" s="1"/>
  <c r="AR47" i="37"/>
  <c r="AS47" i="37"/>
  <c r="AV47" i="37"/>
  <c r="AW47" i="37" s="1"/>
  <c r="AR48" i="37"/>
  <c r="AV48" i="37" s="1"/>
  <c r="AW48" i="37" s="1"/>
  <c r="AS48" i="37"/>
  <c r="AR49" i="37"/>
  <c r="AV49" i="37" s="1"/>
  <c r="AW49" i="37" s="1"/>
  <c r="AS49" i="37"/>
  <c r="AR50" i="37"/>
  <c r="AS50" i="37"/>
  <c r="AV50" i="37"/>
  <c r="AW50" i="37" s="1"/>
  <c r="AR51" i="37"/>
  <c r="AS51" i="37"/>
  <c r="AV51" i="37"/>
  <c r="AW51" i="37" s="1"/>
  <c r="AR52" i="37"/>
  <c r="AV52" i="37" s="1"/>
  <c r="AW52" i="37" s="1"/>
  <c r="AS52" i="37"/>
  <c r="AR53" i="37"/>
  <c r="AV53" i="37" s="1"/>
  <c r="AW53" i="37" s="1"/>
  <c r="AS53" i="37"/>
  <c r="AR54" i="37"/>
  <c r="AS54" i="37"/>
  <c r="AV54" i="37"/>
  <c r="AW54" i="37" s="1"/>
  <c r="AR55" i="37"/>
  <c r="AS55" i="37"/>
  <c r="AV55" i="37"/>
  <c r="AW55" i="37" s="1"/>
  <c r="AR56" i="37"/>
  <c r="AV56" i="37" s="1"/>
  <c r="AW56" i="37" s="1"/>
  <c r="AS56" i="37"/>
  <c r="AR57" i="37"/>
  <c r="AV57" i="37" s="1"/>
  <c r="AW57" i="37" s="1"/>
  <c r="AS57" i="37"/>
  <c r="AR58" i="37"/>
  <c r="AS58" i="37"/>
  <c r="AV58" i="37"/>
  <c r="AW58" i="37" s="1"/>
  <c r="AR59" i="37"/>
  <c r="AS59" i="37"/>
  <c r="AV59" i="37"/>
  <c r="AW59" i="37" s="1"/>
  <c r="AR60" i="37"/>
  <c r="AV60" i="37" s="1"/>
  <c r="AW60" i="37" s="1"/>
  <c r="AS60" i="37"/>
  <c r="AR61" i="37"/>
  <c r="AV61" i="37" s="1"/>
  <c r="AW61" i="37" s="1"/>
  <c r="AS61" i="37"/>
  <c r="AR62" i="37"/>
  <c r="AS62" i="37"/>
  <c r="AV62" i="37"/>
  <c r="AW62" i="37" s="1"/>
  <c r="AR63" i="37"/>
  <c r="AS63" i="37"/>
  <c r="AV63" i="37"/>
  <c r="AW63" i="37" s="1"/>
  <c r="AR64" i="37"/>
  <c r="AV64" i="37" s="1"/>
  <c r="AW64" i="37" s="1"/>
  <c r="AS64" i="37"/>
  <c r="AR65" i="37"/>
  <c r="AV65" i="37" s="1"/>
  <c r="AW65" i="37" s="1"/>
  <c r="AS65" i="37"/>
  <c r="AR66" i="37"/>
  <c r="AS66" i="37"/>
  <c r="AV66" i="37"/>
  <c r="AW66" i="37" s="1"/>
  <c r="AR67" i="37"/>
  <c r="AS67" i="37"/>
  <c r="AV67" i="37"/>
  <c r="AW67" i="37" s="1"/>
  <c r="AR68" i="37"/>
  <c r="AV68" i="37" s="1"/>
  <c r="AW68" i="37" s="1"/>
  <c r="AS68" i="37"/>
  <c r="AR69" i="37"/>
  <c r="AV69" i="37" s="1"/>
  <c r="AW69" i="37" s="1"/>
  <c r="AS69" i="37"/>
  <c r="AR70" i="37"/>
  <c r="AS70" i="37"/>
  <c r="AV70" i="37"/>
  <c r="AW70" i="37" s="1"/>
  <c r="AR71" i="37"/>
  <c r="AS71" i="37"/>
  <c r="AV71" i="37"/>
  <c r="AW71" i="37" s="1"/>
  <c r="AR72" i="37"/>
  <c r="AV72" i="37" s="1"/>
  <c r="AW72" i="37" s="1"/>
  <c r="AS72" i="37"/>
  <c r="AR73" i="37"/>
  <c r="AV73" i="37" s="1"/>
  <c r="AW73" i="37" s="1"/>
  <c r="AS73" i="37"/>
  <c r="AR74" i="37"/>
  <c r="AS74" i="37"/>
  <c r="AV74" i="37"/>
  <c r="AW74" i="37" s="1"/>
  <c r="AR75" i="37"/>
  <c r="AS75" i="37"/>
  <c r="AV75" i="37"/>
  <c r="AW75" i="37" s="1"/>
  <c r="AR76" i="37"/>
  <c r="AV76" i="37" s="1"/>
  <c r="AW76" i="37" s="1"/>
  <c r="AS76" i="37"/>
  <c r="AR77" i="37"/>
  <c r="AV77" i="37" s="1"/>
  <c r="AW77" i="37" s="1"/>
  <c r="AS77" i="37"/>
  <c r="AR78" i="37"/>
  <c r="AS78" i="37"/>
  <c r="AV78" i="37"/>
  <c r="AW78" i="37" s="1"/>
  <c r="AR79" i="37"/>
  <c r="AS79" i="37"/>
  <c r="AV79" i="37"/>
  <c r="AW79" i="37" s="1"/>
  <c r="AR80" i="37"/>
  <c r="AV80" i="37" s="1"/>
  <c r="AW80" i="37" s="1"/>
  <c r="AS80" i="37"/>
  <c r="AR81" i="37"/>
  <c r="AV81" i="37" s="1"/>
  <c r="AW81" i="37" s="1"/>
  <c r="AS81" i="37"/>
  <c r="AR82" i="37"/>
  <c r="AS82" i="37"/>
  <c r="AV82" i="37"/>
  <c r="AW82" i="37" s="1"/>
  <c r="AR83" i="37"/>
  <c r="AS83" i="37"/>
  <c r="AV83" i="37"/>
  <c r="AW83" i="37" s="1"/>
  <c r="AR84" i="37"/>
  <c r="AV84" i="37" s="1"/>
  <c r="AW84" i="37" s="1"/>
  <c r="AS84" i="37"/>
  <c r="AR85" i="37"/>
  <c r="AV85" i="37" s="1"/>
  <c r="AW85" i="37" s="1"/>
  <c r="AS85" i="37"/>
  <c r="AR86" i="37"/>
  <c r="AS86" i="37"/>
  <c r="AV86" i="37"/>
  <c r="AW86" i="37" s="1"/>
  <c r="AR87" i="37"/>
  <c r="AS87" i="37"/>
  <c r="AV87" i="37"/>
  <c r="AW87" i="37" s="1"/>
  <c r="AR88" i="37"/>
  <c r="AV88" i="37" s="1"/>
  <c r="AW88" i="37" s="1"/>
  <c r="AS88" i="37"/>
  <c r="AR89" i="37"/>
  <c r="AV89" i="37" s="1"/>
  <c r="AW89" i="37" s="1"/>
  <c r="AS89" i="37"/>
  <c r="AR90" i="37"/>
  <c r="AS90" i="37"/>
  <c r="AV90" i="37"/>
  <c r="AW90" i="37" s="1"/>
  <c r="AR91" i="37"/>
  <c r="AS91" i="37"/>
  <c r="AV91" i="37"/>
  <c r="AW91" i="37" s="1"/>
  <c r="AR92" i="37"/>
  <c r="AV92" i="37" s="1"/>
  <c r="AW92" i="37" s="1"/>
  <c r="AS92" i="37"/>
  <c r="AR93" i="37"/>
  <c r="AV93" i="37" s="1"/>
  <c r="AW93" i="37" s="1"/>
  <c r="AS93" i="37"/>
  <c r="AR94" i="37"/>
  <c r="AS94" i="37"/>
  <c r="AV94" i="37"/>
  <c r="AW94" i="37" s="1"/>
  <c r="AR95" i="37"/>
  <c r="AS95" i="37"/>
  <c r="AV95" i="37"/>
  <c r="AW95" i="37" s="1"/>
  <c r="AR96" i="37"/>
  <c r="AV96" i="37" s="1"/>
  <c r="AW96" i="37" s="1"/>
  <c r="AS96" i="37"/>
  <c r="AR97" i="37"/>
  <c r="AV97" i="37" s="1"/>
  <c r="AW97" i="37" s="1"/>
  <c r="AS97" i="37"/>
  <c r="AR98" i="37"/>
  <c r="AS98" i="37"/>
  <c r="AV98" i="37"/>
  <c r="AW98" i="37" s="1"/>
  <c r="AR99" i="37"/>
  <c r="AS99" i="37"/>
  <c r="AV99" i="37"/>
  <c r="AW99" i="37" s="1"/>
  <c r="AR100" i="37"/>
  <c r="AV100" i="37" s="1"/>
  <c r="AW100" i="37" s="1"/>
  <c r="AS100" i="37"/>
  <c r="AR101" i="37"/>
  <c r="AV101" i="37" s="1"/>
  <c r="AW101" i="37" s="1"/>
  <c r="AS101" i="37"/>
  <c r="AR102" i="37"/>
  <c r="AS102" i="37"/>
  <c r="AV102" i="37"/>
  <c r="AW102" i="37" s="1"/>
  <c r="AR103" i="37"/>
  <c r="AS103" i="37"/>
  <c r="AV103" i="37"/>
  <c r="AW103" i="37" s="1"/>
  <c r="AR104" i="37"/>
  <c r="AV104" i="37" s="1"/>
  <c r="AW104" i="37" s="1"/>
  <c r="AS104" i="37"/>
  <c r="AR105" i="37"/>
  <c r="AV105" i="37" s="1"/>
  <c r="AW105" i="37" s="1"/>
  <c r="AS105" i="37"/>
  <c r="AR106" i="37"/>
  <c r="AS106" i="37"/>
  <c r="AV106" i="37"/>
  <c r="AW106" i="37" s="1"/>
  <c r="AR107" i="37"/>
  <c r="AS107" i="37"/>
  <c r="AV107" i="37"/>
  <c r="AW107" i="37" s="1"/>
  <c r="AR108" i="37"/>
  <c r="AV108" i="37" s="1"/>
  <c r="AS108" i="37"/>
  <c r="AW108" i="37"/>
  <c r="AR109" i="37"/>
  <c r="AV109" i="37" s="1"/>
  <c r="AW109" i="37" s="1"/>
  <c r="AS109" i="37"/>
  <c r="AR110" i="37"/>
  <c r="AV110" i="37" s="1"/>
  <c r="AW110" i="37" s="1"/>
  <c r="AS110" i="37"/>
  <c r="AR111" i="37"/>
  <c r="AV111" i="37" s="1"/>
  <c r="AS111" i="37"/>
  <c r="AW111" i="37"/>
  <c r="AR112" i="37"/>
  <c r="AV112" i="37" s="1"/>
  <c r="AS112" i="37"/>
  <c r="AW112" i="37"/>
  <c r="AR113" i="37"/>
  <c r="AV113" i="37" s="1"/>
  <c r="AW113" i="37" s="1"/>
  <c r="AS113" i="37"/>
  <c r="AR114" i="37"/>
  <c r="AV114" i="37" s="1"/>
  <c r="AW114" i="37" s="1"/>
  <c r="AS114" i="37"/>
  <c r="AR115" i="37"/>
  <c r="AV115" i="37" s="1"/>
  <c r="AS115" i="37"/>
  <c r="AW115" i="37"/>
  <c r="AR116" i="37"/>
  <c r="AV116" i="37" s="1"/>
  <c r="AS116" i="37"/>
  <c r="AW116" i="37"/>
  <c r="AR117" i="37"/>
  <c r="AV117" i="37" s="1"/>
  <c r="AW117" i="37" s="1"/>
  <c r="AS117" i="37"/>
  <c r="AR118" i="37"/>
  <c r="AV118" i="37" s="1"/>
  <c r="AW118" i="37" s="1"/>
  <c r="AS118" i="37"/>
  <c r="AR119" i="37"/>
  <c r="AV119" i="37" s="1"/>
  <c r="AS119" i="37"/>
  <c r="AW119" i="37"/>
  <c r="AR120" i="37"/>
  <c r="AV120" i="37" s="1"/>
  <c r="AS120" i="37"/>
  <c r="AW120" i="37"/>
  <c r="AR121" i="37"/>
  <c r="AV121" i="37" s="1"/>
  <c r="AW121" i="37" s="1"/>
  <c r="AS121" i="37"/>
  <c r="AR122" i="37"/>
  <c r="AV122" i="37" s="1"/>
  <c r="AW122" i="37" s="1"/>
  <c r="AS122" i="37"/>
  <c r="AR123" i="37"/>
  <c r="AV123" i="37" s="1"/>
  <c r="AS123" i="37"/>
  <c r="AW123" i="37"/>
  <c r="AR124" i="37"/>
  <c r="AV124" i="37" s="1"/>
  <c r="AS124" i="37"/>
  <c r="AW124" i="37"/>
  <c r="AR125" i="37"/>
  <c r="AV125" i="37" s="1"/>
  <c r="AW125" i="37" s="1"/>
  <c r="AS125" i="37"/>
  <c r="AR126" i="37"/>
  <c r="AV126" i="37" s="1"/>
  <c r="AW126" i="37" s="1"/>
  <c r="AS126" i="37"/>
  <c r="AR127" i="37"/>
  <c r="AV127" i="37" s="1"/>
  <c r="AS127" i="37"/>
  <c r="AW127" i="37"/>
  <c r="AR128" i="37"/>
  <c r="AS128" i="37"/>
  <c r="AR129" i="37"/>
  <c r="AS129" i="37"/>
  <c r="AR130" i="37"/>
  <c r="AV130" i="37" s="1"/>
  <c r="AS130" i="37"/>
  <c r="AW130" i="37"/>
  <c r="AR131" i="37"/>
  <c r="AV131" i="37" s="1"/>
  <c r="AW131" i="37" s="1"/>
  <c r="AS131" i="37"/>
  <c r="AR132" i="37"/>
  <c r="AV132" i="37" s="1"/>
  <c r="AW132" i="37" s="1"/>
  <c r="AS132" i="37"/>
  <c r="AR133" i="37"/>
  <c r="AV133" i="37" s="1"/>
  <c r="AS133" i="37"/>
  <c r="AW133" i="37"/>
  <c r="AR134" i="37"/>
  <c r="AV134" i="37" s="1"/>
  <c r="AS134" i="37"/>
  <c r="AW134" i="37"/>
  <c r="AR135" i="37"/>
  <c r="AV135" i="37" s="1"/>
  <c r="AW135" i="37" s="1"/>
  <c r="AS135" i="37"/>
  <c r="AR136" i="37"/>
  <c r="AV136" i="37" s="1"/>
  <c r="AW136" i="37" s="1"/>
  <c r="AS136" i="37"/>
  <c r="AR137" i="37"/>
  <c r="AV137" i="37" s="1"/>
  <c r="AS137" i="37"/>
  <c r="AW137" i="37"/>
  <c r="AR138" i="37"/>
  <c r="AV138" i="37" s="1"/>
  <c r="AS138" i="37"/>
  <c r="AW138" i="37"/>
  <c r="AR139" i="37"/>
  <c r="AV139" i="37" s="1"/>
  <c r="AW139" i="37" s="1"/>
  <c r="AS139" i="37"/>
  <c r="AR140" i="37"/>
  <c r="AV140" i="37" s="1"/>
  <c r="AW140" i="37" s="1"/>
  <c r="AS140" i="37"/>
  <c r="AR141" i="37"/>
  <c r="AV141" i="37" s="1"/>
  <c r="AS141" i="37"/>
  <c r="AW141" i="37"/>
  <c r="AR142" i="37"/>
  <c r="AV142" i="37" s="1"/>
  <c r="AS142" i="37"/>
  <c r="AW142" i="37"/>
  <c r="AR143" i="37"/>
  <c r="AV143" i="37" s="1"/>
  <c r="AW143" i="37" s="1"/>
  <c r="AS143" i="37"/>
  <c r="AR144" i="37"/>
  <c r="AV144" i="37" s="1"/>
  <c r="AW144" i="37" s="1"/>
  <c r="AS144" i="37"/>
  <c r="AR145" i="37"/>
  <c r="AV145" i="37" s="1"/>
  <c r="AS145" i="37"/>
  <c r="AW145" i="37"/>
  <c r="AR146" i="37"/>
  <c r="AV146" i="37" s="1"/>
  <c r="AS146" i="37"/>
  <c r="AW146" i="37"/>
  <c r="AR147" i="37"/>
  <c r="AV147" i="37" s="1"/>
  <c r="AW147" i="37" s="1"/>
  <c r="AS147" i="37"/>
  <c r="AR148" i="37"/>
  <c r="AV148" i="37" s="1"/>
  <c r="AW148" i="37" s="1"/>
  <c r="AS148" i="37"/>
  <c r="AR149" i="37"/>
  <c r="AV149" i="37" s="1"/>
  <c r="AS149" i="37"/>
  <c r="AW149" i="37"/>
  <c r="AR150" i="37"/>
  <c r="AV150" i="37" s="1"/>
  <c r="AS150" i="37"/>
  <c r="AW150" i="37"/>
  <c r="AR151" i="37"/>
  <c r="AV151" i="37" s="1"/>
  <c r="AW151" i="37" s="1"/>
  <c r="AS151" i="37"/>
  <c r="AR152" i="37"/>
  <c r="AV152" i="37" s="1"/>
  <c r="AW152" i="37" s="1"/>
  <c r="AS152" i="37"/>
  <c r="AR153" i="37"/>
  <c r="AV153" i="37" s="1"/>
  <c r="AS153" i="37"/>
  <c r="AW153" i="37"/>
  <c r="AR154" i="37"/>
  <c r="AV154" i="37" s="1"/>
  <c r="AS154" i="37"/>
  <c r="AW154" i="37"/>
  <c r="AR155" i="37"/>
  <c r="AV155" i="37" s="1"/>
  <c r="AW155" i="37" s="1"/>
  <c r="AS155" i="37"/>
  <c r="AR156" i="37"/>
  <c r="AV156" i="37" s="1"/>
  <c r="AW156" i="37" s="1"/>
  <c r="AS156" i="37"/>
  <c r="AR157" i="37"/>
  <c r="AV157" i="37" s="1"/>
  <c r="AS157" i="37"/>
  <c r="AW157" i="37"/>
  <c r="AR158" i="37"/>
  <c r="AV158" i="37" s="1"/>
  <c r="AS158" i="37"/>
  <c r="AW158" i="37"/>
  <c r="AR159" i="37"/>
  <c r="AV159" i="37" s="1"/>
  <c r="AW159" i="37" s="1"/>
  <c r="AS159" i="37"/>
  <c r="AR160" i="37"/>
  <c r="AV160" i="37" s="1"/>
  <c r="AW160" i="37" s="1"/>
  <c r="AS160" i="37"/>
  <c r="AR161" i="37"/>
  <c r="AV161" i="37" s="1"/>
  <c r="AS161" i="37"/>
  <c r="AW161" i="37"/>
  <c r="AR162" i="37"/>
  <c r="AV162" i="37" s="1"/>
  <c r="AS162" i="37"/>
  <c r="AW162" i="37"/>
  <c r="AR163" i="37"/>
  <c r="AV163" i="37" s="1"/>
  <c r="AW163" i="37" s="1"/>
  <c r="AS163" i="37"/>
  <c r="AR164" i="37"/>
  <c r="AV164" i="37" s="1"/>
  <c r="AW164" i="37" s="1"/>
  <c r="AS164" i="37"/>
  <c r="AR165" i="37"/>
  <c r="AV165" i="37" s="1"/>
  <c r="AS165" i="37"/>
  <c r="AW165" i="37"/>
  <c r="AR166" i="37"/>
  <c r="AV166" i="37" s="1"/>
  <c r="AS166" i="37"/>
  <c r="AW166" i="37"/>
  <c r="AR167" i="37"/>
  <c r="AV167" i="37" s="1"/>
  <c r="AW167" i="37" s="1"/>
  <c r="AS167" i="37"/>
  <c r="AR168" i="37"/>
  <c r="AS168" i="37"/>
  <c r="AR169" i="37"/>
  <c r="AS169" i="37"/>
  <c r="AV169" i="37"/>
  <c r="AW169" i="37" s="1"/>
  <c r="AR170" i="37"/>
  <c r="AS170" i="37"/>
  <c r="AV170" i="37"/>
  <c r="AW170" i="37" s="1"/>
  <c r="AR171" i="37"/>
  <c r="AV171" i="37" s="1"/>
  <c r="AW171" i="37" s="1"/>
  <c r="AS171" i="37"/>
  <c r="AR172" i="37"/>
  <c r="AV172" i="37" s="1"/>
  <c r="AW172" i="37" s="1"/>
  <c r="AS172" i="37"/>
  <c r="AR173" i="37"/>
  <c r="AS173" i="37"/>
  <c r="AV173" i="37"/>
  <c r="AW173" i="37" s="1"/>
  <c r="AR174" i="37"/>
  <c r="AS174" i="37"/>
  <c r="AV174" i="37"/>
  <c r="AW174" i="37" s="1"/>
  <c r="AR175" i="37"/>
  <c r="AV175" i="37" s="1"/>
  <c r="AW175" i="37" s="1"/>
  <c r="AS175" i="37"/>
  <c r="AR176" i="37"/>
  <c r="AV176" i="37" s="1"/>
  <c r="AS176" i="37"/>
  <c r="AR177" i="37"/>
  <c r="AV177" i="37"/>
  <c r="AW177" i="37" s="1"/>
  <c r="AR178" i="37"/>
  <c r="AS178" i="37"/>
  <c r="AV178" i="37"/>
  <c r="AW178" i="37" s="1"/>
  <c r="AR179" i="37"/>
  <c r="AS179" i="37"/>
  <c r="AV179" i="37"/>
  <c r="AW179" i="37" s="1"/>
  <c r="AR180" i="37"/>
  <c r="AS180" i="37"/>
  <c r="AV180" i="37"/>
  <c r="AW180" i="37" s="1"/>
  <c r="AR181" i="37"/>
  <c r="AS181" i="37"/>
  <c r="AV181" i="37"/>
  <c r="AW181" i="37" s="1"/>
  <c r="AR182" i="37"/>
  <c r="AV182" i="37" s="1"/>
  <c r="AW182" i="37" s="1"/>
  <c r="AR183" i="37"/>
  <c r="AV183" i="37" s="1"/>
  <c r="AW183" i="37" s="1"/>
  <c r="AS183" i="37"/>
  <c r="AR184" i="37"/>
  <c r="AV184" i="37" s="1"/>
  <c r="AS184" i="37"/>
  <c r="AW184" i="37"/>
  <c r="AR185" i="37"/>
  <c r="AV185" i="37" s="1"/>
  <c r="AS185" i="37"/>
  <c r="AW185" i="37"/>
  <c r="AR186" i="37"/>
  <c r="AV186" i="37" s="1"/>
  <c r="AW186" i="37" s="1"/>
  <c r="AS186" i="37"/>
  <c r="AR187" i="37"/>
  <c r="AV187" i="37" s="1"/>
  <c r="AW187" i="37" s="1"/>
  <c r="AS187" i="37"/>
  <c r="AR188" i="37"/>
  <c r="AS188" i="37"/>
  <c r="AR189" i="37"/>
  <c r="AV189" i="37" s="1"/>
  <c r="AS189" i="37"/>
  <c r="AW189" i="37"/>
  <c r="AR190" i="37"/>
  <c r="AV190" i="37" s="1"/>
  <c r="AW190" i="37" s="1"/>
  <c r="AS190" i="37"/>
  <c r="AR191" i="37"/>
  <c r="AV191" i="37" s="1"/>
  <c r="AW191" i="37" s="1"/>
  <c r="AS191" i="37"/>
  <c r="AR192" i="37"/>
  <c r="AV192" i="37" s="1"/>
  <c r="AS192" i="37"/>
  <c r="AW192" i="37"/>
  <c r="AR193" i="37"/>
  <c r="AV193" i="37" s="1"/>
  <c r="AS193" i="37"/>
  <c r="AW193" i="37"/>
  <c r="AR194" i="37"/>
  <c r="AV194" i="37" s="1"/>
  <c r="AW194" i="37" s="1"/>
  <c r="AS194" i="37"/>
  <c r="AR195" i="37"/>
  <c r="AV195" i="37" s="1"/>
  <c r="AW195" i="37" s="1"/>
  <c r="AS195" i="37"/>
  <c r="AR196" i="37"/>
  <c r="AV196" i="37" s="1"/>
  <c r="AS196" i="37"/>
  <c r="AW196" i="37"/>
  <c r="AR197" i="37"/>
  <c r="AV197" i="37" s="1"/>
  <c r="AS197" i="37"/>
  <c r="AW197" i="37"/>
  <c r="AR198" i="37"/>
  <c r="AV198" i="37" s="1"/>
  <c r="AW198" i="37" s="1"/>
  <c r="AS198" i="37"/>
  <c r="AR199" i="37"/>
  <c r="AV199" i="37" s="1"/>
  <c r="AW199" i="37" s="1"/>
  <c r="AS199" i="37"/>
  <c r="AR200" i="37"/>
  <c r="AV200" i="37" s="1"/>
  <c r="AS200" i="37"/>
  <c r="AW200" i="37"/>
  <c r="AR201" i="37"/>
  <c r="AV201" i="37" s="1"/>
  <c r="AS201" i="37"/>
  <c r="AW201" i="37"/>
  <c r="AR202" i="37"/>
  <c r="AV202" i="37" s="1"/>
  <c r="AW202" i="37" s="1"/>
  <c r="AS202" i="37"/>
  <c r="AR203" i="37"/>
  <c r="AV203" i="37" s="1"/>
  <c r="AW203" i="37" s="1"/>
  <c r="AS203" i="37"/>
  <c r="AR204" i="37"/>
  <c r="AV204" i="37" s="1"/>
  <c r="AS204" i="37"/>
  <c r="AW204" i="37"/>
  <c r="AR205" i="37"/>
  <c r="AV205" i="37" s="1"/>
  <c r="AS205" i="37"/>
  <c r="AW205" i="37"/>
  <c r="AR206" i="37"/>
  <c r="AS206" i="37"/>
  <c r="AR207" i="37"/>
  <c r="AV207" i="37" s="1"/>
  <c r="AW207" i="37" s="1"/>
  <c r="AS207" i="37"/>
  <c r="AR208" i="37"/>
  <c r="AS208" i="37"/>
  <c r="AR209" i="37"/>
  <c r="AV209" i="37" s="1"/>
  <c r="AS209" i="37"/>
  <c r="AW209" i="37"/>
  <c r="AR210" i="37"/>
  <c r="AS210" i="37"/>
  <c r="AR211" i="37"/>
  <c r="AS211" i="37"/>
  <c r="AR212" i="37"/>
  <c r="AS212" i="37"/>
  <c r="AR213" i="37"/>
  <c r="AS213" i="37"/>
  <c r="AR214" i="37"/>
  <c r="AS214" i="37"/>
  <c r="AR215" i="37"/>
  <c r="AS215" i="37"/>
  <c r="AR216" i="37"/>
  <c r="AS216" i="37"/>
  <c r="AR217" i="37"/>
  <c r="AS217" i="37"/>
  <c r="AR218" i="37"/>
  <c r="AS218" i="37"/>
  <c r="AR219" i="37"/>
  <c r="AS219" i="37"/>
  <c r="AV219" i="37" s="1"/>
  <c r="AW219" i="37" s="1"/>
  <c r="AR220" i="37"/>
  <c r="AS220" i="37"/>
  <c r="AR221" i="37"/>
  <c r="AS221" i="37"/>
  <c r="AR222" i="37"/>
  <c r="AS222" i="37"/>
  <c r="AV222" i="37" s="1"/>
  <c r="AW222" i="37" s="1"/>
  <c r="AR223" i="37"/>
  <c r="AS223" i="37"/>
  <c r="AR224" i="37"/>
  <c r="AS224" i="37"/>
  <c r="AR225" i="37"/>
  <c r="AS225" i="37"/>
  <c r="AV225" i="37"/>
  <c r="AW225" i="37"/>
  <c r="AR226" i="37"/>
  <c r="AS226" i="37"/>
  <c r="AR227" i="37"/>
  <c r="AS227" i="37"/>
  <c r="AR228" i="37"/>
  <c r="AS228" i="37"/>
  <c r="AV228" i="37" s="1"/>
  <c r="AW228" i="37" s="1"/>
  <c r="AR229" i="37"/>
  <c r="AS229" i="37"/>
  <c r="AV229" i="37" s="1"/>
  <c r="AW229" i="37" s="1"/>
  <c r="AR230" i="37"/>
  <c r="AS230" i="37"/>
  <c r="AR231" i="37"/>
  <c r="AS231" i="37"/>
  <c r="AR232" i="37"/>
  <c r="AS232" i="37"/>
  <c r="AV232" i="37" s="1"/>
  <c r="AW232" i="37" s="1"/>
  <c r="AR233" i="37"/>
  <c r="AS233" i="37"/>
  <c r="AV233" i="37" s="1"/>
  <c r="AW233" i="37" s="1"/>
  <c r="AR234" i="37"/>
  <c r="AS234" i="37"/>
  <c r="AV234" i="37" s="1"/>
  <c r="AW234" i="37" s="1"/>
  <c r="AV237" i="37"/>
  <c r="AW237" i="37"/>
  <c r="AV243" i="37"/>
  <c r="AW243" i="37"/>
  <c r="AV245" i="37"/>
  <c r="AW245" i="37"/>
  <c r="AV246" i="37"/>
  <c r="AW246" i="37"/>
  <c r="AV247" i="37"/>
  <c r="AW247" i="37"/>
  <c r="AV248" i="37"/>
  <c r="AW248" i="37"/>
  <c r="AV249" i="37"/>
  <c r="AW249" i="37"/>
  <c r="AV250" i="37"/>
  <c r="AW250" i="37"/>
  <c r="AV251" i="37"/>
  <c r="AW251" i="37"/>
  <c r="AV252" i="37"/>
  <c r="AW252" i="37"/>
  <c r="AV253" i="37"/>
  <c r="AW253" i="37"/>
  <c r="AV254" i="37"/>
  <c r="AW254" i="37"/>
  <c r="AV255" i="37"/>
  <c r="AW255" i="37"/>
  <c r="AV256" i="37"/>
  <c r="AW256" i="37"/>
  <c r="AV257" i="37"/>
  <c r="AW257" i="37"/>
  <c r="AV258" i="37"/>
  <c r="AW258" i="37"/>
  <c r="AV259" i="37"/>
  <c r="AW259" i="37"/>
  <c r="AV260" i="37"/>
  <c r="AW260" i="37"/>
  <c r="AV261" i="37"/>
  <c r="AW261" i="37"/>
  <c r="AV262" i="37"/>
  <c r="AW262" i="37"/>
  <c r="AV263" i="37"/>
  <c r="AW263" i="37"/>
  <c r="AV264" i="37"/>
  <c r="AW264" i="37"/>
  <c r="AV265" i="37"/>
  <c r="AW265" i="37"/>
  <c r="AV266" i="37"/>
  <c r="AW266" i="37"/>
  <c r="AV267" i="37"/>
  <c r="AW267" i="37"/>
  <c r="AV268" i="37"/>
  <c r="AW268" i="37"/>
  <c r="AV269" i="37"/>
  <c r="AW269" i="37"/>
  <c r="AV270" i="37"/>
  <c r="AW270" i="37"/>
  <c r="AV271" i="37"/>
  <c r="AW271" i="37"/>
  <c r="AV272" i="37"/>
  <c r="AW272" i="37"/>
  <c r="AV273" i="37"/>
  <c r="AW273" i="37"/>
  <c r="AV274" i="37"/>
  <c r="AW274" i="37"/>
  <c r="AV275" i="37"/>
  <c r="AW275" i="37"/>
  <c r="AV276" i="37"/>
  <c r="AW276" i="37"/>
  <c r="AV277" i="37"/>
  <c r="AW277" i="37"/>
  <c r="AV278" i="37"/>
  <c r="AW278" i="37"/>
  <c r="AV279" i="37"/>
  <c r="AW279" i="37"/>
  <c r="AV280" i="37"/>
  <c r="AW280" i="37"/>
  <c r="AV281" i="37"/>
  <c r="AW281" i="37"/>
  <c r="AV282" i="37"/>
  <c r="AW282" i="37"/>
  <c r="AV283" i="37"/>
  <c r="AW283" i="37"/>
  <c r="AV284" i="37"/>
  <c r="AW284" i="37"/>
  <c r="AV285" i="37"/>
  <c r="AW285" i="37"/>
  <c r="AV286" i="37"/>
  <c r="AW286" i="37"/>
  <c r="AV287" i="37"/>
  <c r="AW287" i="37"/>
  <c r="AV288" i="37"/>
  <c r="AW288" i="37"/>
  <c r="AV289" i="37"/>
  <c r="AW289" i="37"/>
  <c r="AV290" i="37"/>
  <c r="AW290" i="37"/>
  <c r="AV292" i="37"/>
  <c r="AW292" i="37"/>
  <c r="AV293" i="37"/>
  <c r="AW293" i="37"/>
  <c r="AV294" i="37"/>
  <c r="AW294" i="37"/>
  <c r="AV295" i="37"/>
  <c r="AW295" i="37"/>
  <c r="AV296" i="37"/>
  <c r="AW296" i="37"/>
  <c r="AV298" i="37"/>
  <c r="AW298" i="37"/>
  <c r="AV299" i="37"/>
  <c r="AW299" i="37"/>
  <c r="AV300" i="37"/>
  <c r="AW300" i="37"/>
  <c r="AV301" i="37"/>
  <c r="AW301" i="37"/>
  <c r="AW302" i="37"/>
  <c r="AV303" i="37"/>
  <c r="AW303" i="37" s="1"/>
  <c r="AV305" i="37"/>
  <c r="AW305" i="37"/>
  <c r="AV306" i="37"/>
  <c r="AW306" i="37" s="1"/>
  <c r="AV307" i="37"/>
  <c r="AW307" i="37" s="1"/>
  <c r="AV308" i="37"/>
  <c r="AW308" i="37" s="1"/>
  <c r="AV309" i="37"/>
  <c r="AW309" i="37"/>
  <c r="AV310" i="37"/>
  <c r="AW310" i="37" s="1"/>
  <c r="AV311" i="37"/>
  <c r="AW311" i="37" s="1"/>
  <c r="AV312" i="37"/>
  <c r="AW312" i="37" s="1"/>
  <c r="AV313" i="37"/>
  <c r="AW313" i="37"/>
  <c r="AV314" i="37"/>
  <c r="AW314" i="37" s="1"/>
  <c r="AV315" i="37"/>
  <c r="AW315" i="37" s="1"/>
  <c r="AV316" i="37"/>
  <c r="AW316" i="37" s="1"/>
  <c r="AV319" i="37"/>
  <c r="AW319" i="37"/>
  <c r="AV322" i="37"/>
  <c r="AW322" i="37" s="1"/>
  <c r="AV323" i="37"/>
  <c r="AW323" i="37" s="1"/>
  <c r="AV326" i="37"/>
  <c r="AW326" i="37" s="1"/>
  <c r="AV327" i="37"/>
  <c r="AW327" i="37"/>
  <c r="AV329" i="37"/>
  <c r="AW329" i="37" s="1"/>
  <c r="AV330" i="37"/>
  <c r="AW330" i="37" s="1"/>
  <c r="AV331" i="37"/>
  <c r="AW331" i="37" s="1"/>
  <c r="AV332" i="37"/>
  <c r="AW332" i="37"/>
  <c r="AV337" i="37"/>
  <c r="AW337" i="37" s="1"/>
  <c r="AV338" i="37"/>
  <c r="AW338" i="37" s="1"/>
  <c r="AV342" i="37"/>
  <c r="AW342" i="37" s="1"/>
  <c r="AW347" i="37"/>
  <c r="AV348" i="37"/>
  <c r="AW348" i="37" s="1"/>
  <c r="AV349" i="37"/>
  <c r="AW349" i="37"/>
  <c r="AV350" i="37"/>
  <c r="AW350" i="37" s="1"/>
  <c r="AV351" i="37"/>
  <c r="AW351" i="37"/>
  <c r="AV352" i="37"/>
  <c r="AW352" i="37" s="1"/>
  <c r="AV353" i="37"/>
  <c r="AW353" i="37"/>
  <c r="AV354" i="37"/>
  <c r="AW354" i="37" s="1"/>
  <c r="AV355" i="37"/>
  <c r="AW355" i="37"/>
  <c r="AV356" i="37"/>
  <c r="AW356" i="37" s="1"/>
  <c r="AV358" i="37"/>
  <c r="AW358" i="37"/>
  <c r="AV359" i="37"/>
  <c r="AW359" i="37" s="1"/>
  <c r="AV360" i="37"/>
  <c r="AW360" i="37"/>
  <c r="AV361" i="37"/>
  <c r="AW361" i="37" s="1"/>
  <c r="AV362" i="37"/>
  <c r="AW362" i="37"/>
  <c r="AV363" i="37"/>
  <c r="AW363" i="37" s="1"/>
  <c r="AV364" i="37"/>
  <c r="AW364" i="37"/>
  <c r="AV365" i="37"/>
  <c r="AW365" i="37" s="1"/>
  <c r="AV366" i="37"/>
  <c r="AW366" i="37"/>
  <c r="AV367" i="37"/>
  <c r="AW367" i="37" s="1"/>
  <c r="AV368" i="37"/>
  <c r="AW368" i="37"/>
  <c r="AV369" i="37"/>
  <c r="AW369" i="37" s="1"/>
  <c r="AV370" i="37"/>
  <c r="AW370" i="37"/>
  <c r="AV371" i="37"/>
  <c r="AW371" i="37" s="1"/>
  <c r="AV372" i="37"/>
  <c r="AW372" i="37"/>
  <c r="AV373" i="37"/>
  <c r="AW373" i="37" s="1"/>
  <c r="AV374" i="37"/>
  <c r="AW374" i="37"/>
  <c r="AV375" i="37"/>
  <c r="AW375" i="37" s="1"/>
  <c r="AV376" i="37"/>
  <c r="AW376" i="37"/>
  <c r="AV377" i="37"/>
  <c r="AW377" i="37" s="1"/>
  <c r="AV378" i="37"/>
  <c r="AW378" i="37"/>
  <c r="AV379" i="37"/>
  <c r="AW379" i="37" s="1"/>
  <c r="AV380" i="37"/>
  <c r="AW380" i="37"/>
  <c r="AV381" i="37"/>
  <c r="AW381" i="37" s="1"/>
  <c r="AV382" i="37"/>
  <c r="AW382" i="37"/>
  <c r="AV383" i="37"/>
  <c r="AW383" i="37" s="1"/>
  <c r="AV384" i="37"/>
  <c r="AW384" i="37"/>
  <c r="AV385" i="37"/>
  <c r="AW385" i="37" s="1"/>
  <c r="AV386" i="37"/>
  <c r="AW386" i="37"/>
  <c r="AV387" i="37"/>
  <c r="AW387" i="37" s="1"/>
  <c r="AV388" i="37"/>
  <c r="AW388" i="37"/>
  <c r="AV389" i="37"/>
  <c r="AW389" i="37" s="1"/>
  <c r="AV390" i="37"/>
  <c r="AW390" i="37"/>
  <c r="AV391" i="37"/>
  <c r="AW391" i="37" s="1"/>
  <c r="AV392" i="37"/>
  <c r="AW392" i="37"/>
  <c r="AV393" i="37"/>
  <c r="AW393" i="37" s="1"/>
  <c r="AV394" i="37"/>
  <c r="AW394" i="37"/>
  <c r="AV395" i="37"/>
  <c r="AW395" i="37" s="1"/>
  <c r="AV396" i="37"/>
  <c r="AW396" i="37"/>
  <c r="AV397" i="37"/>
  <c r="AW397" i="37" s="1"/>
  <c r="AV398" i="37"/>
  <c r="AW398" i="37"/>
  <c r="AV399" i="37"/>
  <c r="AW399" i="37" s="1"/>
  <c r="AV400" i="37"/>
  <c r="AW400" i="37"/>
  <c r="AV401" i="37"/>
  <c r="AW401" i="37" s="1"/>
  <c r="AV402" i="37"/>
  <c r="AW402" i="37"/>
  <c r="AV403" i="37"/>
  <c r="AW403" i="37" s="1"/>
  <c r="AV404" i="37"/>
  <c r="AW404" i="37"/>
  <c r="AV405" i="37"/>
  <c r="AW405" i="37" s="1"/>
  <c r="AV406" i="37"/>
  <c r="AW406" i="37"/>
  <c r="AV407" i="37"/>
  <c r="AW407" i="37" s="1"/>
  <c r="AV408" i="37"/>
  <c r="AW408" i="37"/>
  <c r="AV409" i="37"/>
  <c r="AW409" i="37" s="1"/>
  <c r="AV410" i="37"/>
  <c r="AW410" i="37"/>
  <c r="AV411" i="37"/>
  <c r="AW411" i="37" s="1"/>
  <c r="AV412" i="37"/>
  <c r="AW412" i="37"/>
  <c r="AV413" i="37"/>
  <c r="AW413" i="37" s="1"/>
  <c r="AV414" i="37"/>
  <c r="AW414" i="37"/>
  <c r="AV415" i="37"/>
  <c r="AW415" i="37" s="1"/>
  <c r="AV416" i="37"/>
  <c r="AW416" i="37"/>
  <c r="AV417" i="37"/>
  <c r="AW417" i="37" s="1"/>
  <c r="AV418" i="37"/>
  <c r="AW418" i="37"/>
  <c r="AV419" i="37"/>
  <c r="AW419" i="37" s="1"/>
  <c r="AV420" i="37"/>
  <c r="AW420" i="37"/>
  <c r="AV421" i="37"/>
  <c r="AW421" i="37" s="1"/>
  <c r="AV422" i="37"/>
  <c r="AW422" i="37"/>
  <c r="AV423" i="37"/>
  <c r="AW423" i="37" s="1"/>
  <c r="AV424" i="37"/>
  <c r="AW424" i="37"/>
  <c r="AV425" i="37"/>
  <c r="AW425" i="37" s="1"/>
  <c r="AV426" i="37"/>
  <c r="AW426" i="37"/>
  <c r="AV427" i="37"/>
  <c r="AW427" i="37" s="1"/>
  <c r="AV428" i="37"/>
  <c r="AW428" i="37"/>
  <c r="AV429" i="37"/>
  <c r="AW429" i="37" s="1"/>
  <c r="AV430" i="37"/>
  <c r="AW430" i="37"/>
  <c r="AV431" i="37"/>
  <c r="AW431" i="37" s="1"/>
  <c r="AV432" i="37"/>
  <c r="AW432" i="37"/>
  <c r="AV433" i="37"/>
  <c r="AW433" i="37" s="1"/>
  <c r="AV434" i="37"/>
  <c r="AW434" i="37"/>
  <c r="AV435" i="37"/>
  <c r="AW435" i="37" s="1"/>
  <c r="AV436" i="37"/>
  <c r="AW436" i="37"/>
  <c r="AV437" i="37"/>
  <c r="AW437" i="37" s="1"/>
  <c r="AV438" i="37"/>
  <c r="AW438" i="37"/>
  <c r="AV439" i="37"/>
  <c r="AW439" i="37" s="1"/>
  <c r="AV440" i="37"/>
  <c r="AW440" i="37"/>
  <c r="AV441" i="37"/>
  <c r="AW441" i="37" s="1"/>
  <c r="AV442" i="37"/>
  <c r="AW442" i="37"/>
  <c r="AV443" i="37"/>
  <c r="AW443" i="37" s="1"/>
  <c r="AV444" i="37"/>
  <c r="AW444" i="37"/>
  <c r="AV445" i="37"/>
  <c r="AW445" i="37" s="1"/>
  <c r="AV446" i="37"/>
  <c r="AW446" i="37"/>
  <c r="AV447" i="37"/>
  <c r="AW447" i="37" s="1"/>
  <c r="AV448" i="37"/>
  <c r="AW448" i="37"/>
  <c r="AV449" i="37"/>
  <c r="AW449" i="37" s="1"/>
  <c r="AV450" i="37"/>
  <c r="AW450" i="37"/>
  <c r="AV451" i="37"/>
  <c r="AW451" i="37" s="1"/>
  <c r="AV452" i="37"/>
  <c r="AW452" i="37"/>
  <c r="AV453" i="37"/>
  <c r="AW453" i="37" s="1"/>
  <c r="AV454" i="37"/>
  <c r="AW454" i="37"/>
  <c r="AV455" i="37"/>
  <c r="AW455" i="37" s="1"/>
  <c r="AV456" i="37"/>
  <c r="AW456" i="37"/>
  <c r="AV457" i="37"/>
  <c r="AW457" i="37" s="1"/>
  <c r="AV458" i="37"/>
  <c r="AW458" i="37"/>
  <c r="AV459" i="37"/>
  <c r="AW459" i="37" s="1"/>
  <c r="AV460" i="37"/>
  <c r="AW460" i="37"/>
  <c r="AV461" i="37"/>
  <c r="AW461" i="37" s="1"/>
  <c r="AV462" i="37"/>
  <c r="AW462" i="37"/>
  <c r="AV463" i="37"/>
  <c r="AW463" i="37" s="1"/>
  <c r="AV464" i="37"/>
  <c r="AW464" i="37"/>
  <c r="AV465" i="37"/>
  <c r="AW465" i="37" s="1"/>
  <c r="AV466" i="37"/>
  <c r="AW466" i="37"/>
  <c r="AV467" i="37"/>
  <c r="AW467" i="37" s="1"/>
  <c r="AV468" i="37"/>
  <c r="AW468" i="37"/>
  <c r="AV469" i="37"/>
  <c r="AW469" i="37" s="1"/>
  <c r="AV470" i="37"/>
  <c r="AW470" i="37"/>
  <c r="AV471" i="37"/>
  <c r="AW471" i="37" s="1"/>
  <c r="AV472" i="37"/>
  <c r="AW472" i="37"/>
  <c r="AV473" i="37"/>
  <c r="AW473" i="37" s="1"/>
  <c r="AV474" i="37"/>
  <c r="AW474" i="37"/>
  <c r="AV475" i="37"/>
  <c r="AW475" i="37" s="1"/>
  <c r="AV476" i="37"/>
  <c r="AW476" i="37"/>
  <c r="AV477" i="37"/>
  <c r="AW477" i="37" s="1"/>
  <c r="AV478" i="37"/>
  <c r="AW478" i="37"/>
  <c r="AV479" i="37"/>
  <c r="AW479" i="37" s="1"/>
  <c r="AV480" i="37"/>
  <c r="AW480" i="37"/>
  <c r="AV481" i="37"/>
  <c r="AW481" i="37" s="1"/>
  <c r="AV482" i="37"/>
  <c r="AW482" i="37"/>
  <c r="AV483" i="37"/>
  <c r="AW483" i="37" s="1"/>
  <c r="AV484" i="37"/>
  <c r="AW484" i="37"/>
  <c r="AV485" i="37"/>
  <c r="AW485" i="37" s="1"/>
  <c r="AV486" i="37"/>
  <c r="AW486" i="37"/>
  <c r="AV487" i="37"/>
  <c r="AW487" i="37" s="1"/>
  <c r="AV488" i="37"/>
  <c r="AW488" i="37"/>
  <c r="AV489" i="37"/>
  <c r="AW489" i="37" s="1"/>
  <c r="AV490" i="37"/>
  <c r="AW490" i="37"/>
  <c r="AV491" i="37"/>
  <c r="AW491" i="37" s="1"/>
  <c r="AV492" i="37"/>
  <c r="AW492" i="37"/>
  <c r="AV493" i="37"/>
  <c r="AW493" i="37" s="1"/>
  <c r="AV494" i="37"/>
  <c r="AW494" i="37"/>
  <c r="AV495" i="37"/>
  <c r="AW495" i="37" s="1"/>
  <c r="AV496" i="37"/>
  <c r="AW496" i="37"/>
  <c r="AV497" i="37"/>
  <c r="AW497" i="37" s="1"/>
  <c r="AV498" i="37"/>
  <c r="AW498" i="37"/>
  <c r="AV499" i="37"/>
  <c r="AW499" i="37" s="1"/>
  <c r="AV500" i="37"/>
  <c r="AW500" i="37"/>
  <c r="AV501" i="37"/>
  <c r="AW501" i="37" s="1"/>
  <c r="AW502" i="37"/>
  <c r="AV503" i="37"/>
  <c r="AW503" i="37"/>
  <c r="AV504" i="37"/>
  <c r="AW504" i="37" s="1"/>
  <c r="AV505" i="37"/>
  <c r="AW505" i="37" s="1"/>
  <c r="AV506" i="37"/>
  <c r="AW506" i="37" s="1"/>
  <c r="AV508" i="37"/>
  <c r="AW508" i="37"/>
  <c r="AV509" i="37"/>
  <c r="AW509" i="37" s="1"/>
  <c r="AV510" i="37"/>
  <c r="AW510" i="37" s="1"/>
  <c r="AV511" i="37"/>
  <c r="AW511" i="37" s="1"/>
  <c r="AV512" i="37"/>
  <c r="AW512" i="37"/>
  <c r="AV513" i="37"/>
  <c r="AW513" i="37" s="1"/>
  <c r="AV514" i="37"/>
  <c r="AW514" i="37" s="1"/>
  <c r="AV515" i="37"/>
  <c r="AW515" i="37" s="1"/>
  <c r="AV516" i="37"/>
  <c r="AW516" i="37"/>
  <c r="AV517" i="37"/>
  <c r="AW517" i="37" s="1"/>
  <c r="AV518" i="37"/>
  <c r="AW518" i="37" s="1"/>
  <c r="AV519" i="37"/>
  <c r="AW519" i="37" s="1"/>
  <c r="AV520" i="37"/>
  <c r="AW520" i="37"/>
  <c r="AV521" i="37"/>
  <c r="AW521" i="37" s="1"/>
  <c r="AV522" i="37"/>
  <c r="AW522" i="37" s="1"/>
  <c r="AV523" i="37"/>
  <c r="AW523" i="37" s="1"/>
  <c r="AV524" i="37"/>
  <c r="AW524" i="37"/>
  <c r="AV525" i="37"/>
  <c r="AW525" i="37" s="1"/>
  <c r="AV526" i="37"/>
  <c r="AW526" i="37" s="1"/>
  <c r="AV527" i="37"/>
  <c r="AW527" i="37" s="1"/>
  <c r="AV528" i="37"/>
  <c r="AW528" i="37"/>
  <c r="AV529" i="37"/>
  <c r="AW529" i="37" s="1"/>
  <c r="AV530" i="37"/>
  <c r="AW530" i="37" s="1"/>
  <c r="AV531" i="37"/>
  <c r="AW531" i="37" s="1"/>
  <c r="AV532" i="37"/>
  <c r="AW532" i="37"/>
  <c r="AV533" i="37"/>
  <c r="AW533" i="37" s="1"/>
  <c r="AV534" i="37"/>
  <c r="AW534" i="37" s="1"/>
  <c r="AV535" i="37"/>
  <c r="AW535" i="37" s="1"/>
  <c r="AV536" i="37"/>
  <c r="AW536" i="37"/>
  <c r="AV537" i="37"/>
  <c r="AW537" i="37" s="1"/>
  <c r="AV538" i="37"/>
  <c r="AW538" i="37" s="1"/>
  <c r="AV539" i="37"/>
  <c r="AW539" i="37" s="1"/>
  <c r="AV540" i="37"/>
  <c r="AW540" i="37"/>
  <c r="AV541" i="37"/>
  <c r="AW541" i="37" s="1"/>
  <c r="AV542" i="37"/>
  <c r="AW542" i="37" s="1"/>
  <c r="AV543" i="37"/>
  <c r="AW543" i="37" s="1"/>
  <c r="AV544" i="37"/>
  <c r="AW544" i="37"/>
  <c r="AV545" i="37"/>
  <c r="AW545" i="37" s="1"/>
  <c r="AV546" i="37"/>
  <c r="AW546" i="37" s="1"/>
  <c r="AV547" i="37"/>
  <c r="AW547" i="37" s="1"/>
  <c r="AV548" i="37"/>
  <c r="AW548" i="37"/>
  <c r="AV549" i="37"/>
  <c r="AW549" i="37" s="1"/>
  <c r="AV550" i="37"/>
  <c r="AW550" i="37" s="1"/>
  <c r="AV551" i="37"/>
  <c r="AW551" i="37" s="1"/>
  <c r="AV552" i="37"/>
  <c r="AW552" i="37"/>
  <c r="AV553" i="37"/>
  <c r="AW553" i="37" s="1"/>
  <c r="AV554" i="37"/>
  <c r="AW554" i="37" s="1"/>
  <c r="AV555" i="37"/>
  <c r="AW555" i="37" s="1"/>
  <c r="AV556" i="37"/>
  <c r="AW556" i="37"/>
  <c r="AV557" i="37"/>
  <c r="AW557" i="37" s="1"/>
  <c r="AV558" i="37"/>
  <c r="AW558" i="37" s="1"/>
  <c r="AV559" i="37"/>
  <c r="AW559" i="37" s="1"/>
  <c r="AV560" i="37"/>
  <c r="AW560" i="37"/>
  <c r="AV561" i="37"/>
  <c r="AW561" i="37" s="1"/>
  <c r="AV562" i="37"/>
  <c r="AW562" i="37" s="1"/>
  <c r="AV563" i="37"/>
  <c r="AW563" i="37" s="1"/>
  <c r="AV564" i="37"/>
  <c r="AW564" i="37"/>
  <c r="AV565" i="37"/>
  <c r="AW565" i="37" s="1"/>
  <c r="AV566" i="37"/>
  <c r="AW566" i="37" s="1"/>
  <c r="AV567" i="37"/>
  <c r="AW567" i="37" s="1"/>
  <c r="AV568" i="37"/>
  <c r="AW568" i="37"/>
  <c r="AV570" i="37"/>
  <c r="AW570" i="37" s="1"/>
  <c r="AV571" i="37"/>
  <c r="AW571" i="37" s="1"/>
  <c r="AV572" i="37"/>
  <c r="AW572" i="37" s="1"/>
  <c r="AV573" i="37"/>
  <c r="AW573" i="37"/>
  <c r="AV574" i="37"/>
  <c r="AW574" i="37" s="1"/>
  <c r="AV575" i="37"/>
  <c r="AW575" i="37" s="1"/>
  <c r="AV576" i="37"/>
  <c r="AW576" i="37" s="1"/>
  <c r="AV577" i="37"/>
  <c r="AW577" i="37"/>
  <c r="AV578" i="37"/>
  <c r="AW578" i="37" s="1"/>
  <c r="AV579" i="37"/>
  <c r="AW579" i="37" s="1"/>
  <c r="AV580" i="37"/>
  <c r="AW580" i="37" s="1"/>
  <c r="AV581" i="37"/>
  <c r="AW581" i="37"/>
  <c r="AV582" i="37"/>
  <c r="AW582" i="37" s="1"/>
  <c r="AV583" i="37"/>
  <c r="AW583" i="37" s="1"/>
  <c r="AV584" i="37"/>
  <c r="AW584" i="37" s="1"/>
  <c r="AV585" i="37"/>
  <c r="AW585" i="37"/>
  <c r="AV586" i="37"/>
  <c r="AW586" i="37" s="1"/>
  <c r="AV587" i="37"/>
  <c r="AW587" i="37" s="1"/>
  <c r="AV588" i="37"/>
  <c r="AW588" i="37" s="1"/>
  <c r="AV589" i="37"/>
  <c r="AW589" i="37"/>
  <c r="AW3" i="41"/>
  <c r="AX3" i="41" s="1"/>
  <c r="AW4" i="41"/>
  <c r="AX4" i="41" s="1"/>
  <c r="AW5" i="41"/>
  <c r="AX5" i="41" s="1"/>
  <c r="AW6" i="41"/>
  <c r="AX6" i="41"/>
  <c r="AW7" i="41"/>
  <c r="AX7" i="41" s="1"/>
  <c r="AX8" i="41"/>
  <c r="AW9" i="41"/>
  <c r="AX9" i="41"/>
  <c r="AW10" i="41"/>
  <c r="AX10" i="41"/>
  <c r="AW11" i="41"/>
  <c r="AX11" i="41"/>
  <c r="AW12" i="41"/>
  <c r="AX12" i="41"/>
  <c r="AW15" i="41"/>
  <c r="AX15" i="41"/>
  <c r="AW16" i="41"/>
  <c r="AX16" i="41"/>
  <c r="AX17" i="41"/>
  <c r="AW18" i="41"/>
  <c r="AX18" i="41" s="1"/>
  <c r="AX19" i="41"/>
  <c r="AW20" i="41"/>
  <c r="AX20" i="41"/>
  <c r="AX21" i="41"/>
  <c r="AX22" i="41"/>
  <c r="AX23" i="41"/>
  <c r="AX24" i="41"/>
  <c r="AX25" i="41"/>
  <c r="AX26" i="41"/>
  <c r="AX27" i="41"/>
  <c r="AX28" i="41"/>
  <c r="AW29" i="41"/>
  <c r="AX29" i="41"/>
  <c r="AX30" i="41"/>
  <c r="AW31" i="41"/>
  <c r="AX31" i="41" s="1"/>
  <c r="AX32" i="41"/>
  <c r="AW33" i="41"/>
  <c r="AX33" i="41"/>
  <c r="AX34" i="41"/>
  <c r="AX35" i="41"/>
  <c r="AW36" i="41"/>
  <c r="AX36" i="41"/>
  <c r="AX37" i="41"/>
  <c r="AW38" i="41"/>
  <c r="AX38" i="41" s="1"/>
  <c r="AX39" i="41"/>
  <c r="AX40" i="41"/>
  <c r="AX41" i="41"/>
  <c r="AW42" i="41"/>
  <c r="AX42" i="41"/>
  <c r="AW43" i="41"/>
  <c r="AX43" i="41"/>
  <c r="AX44" i="41"/>
  <c r="AX45" i="41"/>
  <c r="AX46" i="41"/>
  <c r="AW47" i="41"/>
  <c r="AX47" i="41" s="1"/>
  <c r="AX48" i="41"/>
  <c r="AX49" i="41"/>
  <c r="AX50" i="41"/>
  <c r="AX51" i="41"/>
  <c r="AX52" i="41"/>
  <c r="AW53" i="41"/>
  <c r="AX53" i="41"/>
  <c r="AW54" i="41"/>
  <c r="AX54" i="41"/>
  <c r="AW55" i="41"/>
  <c r="AX55" i="41"/>
  <c r="AX56" i="41"/>
  <c r="AX57" i="41"/>
  <c r="AW58" i="41"/>
  <c r="AX58" i="41"/>
  <c r="AX59" i="41"/>
  <c r="AW60" i="41"/>
  <c r="AX60" i="41" s="1"/>
  <c r="AX61" i="41"/>
  <c r="AX62" i="41"/>
  <c r="AX63" i="41"/>
  <c r="AX64" i="41"/>
  <c r="AW65" i="41"/>
  <c r="AX65" i="41" s="1"/>
  <c r="AX66" i="41"/>
  <c r="AX67" i="41"/>
  <c r="AX68" i="41"/>
  <c r="AX69" i="41"/>
  <c r="AW70" i="41"/>
  <c r="AX70" i="41" s="1"/>
  <c r="AX71" i="41"/>
  <c r="AW72" i="41"/>
  <c r="AX72" i="41"/>
  <c r="AX73" i="41"/>
  <c r="AW74" i="41"/>
  <c r="AX74" i="41" s="1"/>
  <c r="AX75" i="41"/>
  <c r="AX76" i="41"/>
  <c r="AW77" i="41"/>
  <c r="AX77" i="41" s="1"/>
  <c r="AX78" i="41"/>
  <c r="AW79" i="41"/>
  <c r="AX79" i="41"/>
  <c r="AW80" i="41"/>
  <c r="AX80" i="41"/>
  <c r="AW81" i="41"/>
  <c r="AX81" i="41"/>
  <c r="AW82" i="41"/>
  <c r="AX82" i="41"/>
  <c r="AX83" i="41"/>
  <c r="AW84" i="41"/>
  <c r="AX84" i="41" s="1"/>
  <c r="AW85" i="41"/>
  <c r="AX85" i="41" s="1"/>
  <c r="AW86" i="41"/>
  <c r="AX86" i="41" s="1"/>
  <c r="AW87" i="41"/>
  <c r="AX87" i="41" s="1"/>
  <c r="AW88" i="41"/>
  <c r="AX88" i="41" s="1"/>
  <c r="AX89" i="41"/>
  <c r="AW90" i="41"/>
  <c r="AX90" i="41"/>
  <c r="AX91" i="41"/>
  <c r="AX92" i="41"/>
  <c r="AW93" i="41"/>
  <c r="AX93" i="41"/>
  <c r="AX94" i="41"/>
  <c r="AX95" i="41"/>
  <c r="AW96" i="41"/>
  <c r="AX96" i="41"/>
  <c r="AW97" i="41"/>
  <c r="AX97" i="41"/>
  <c r="AX98" i="41"/>
  <c r="AW99" i="41"/>
  <c r="AX99" i="41" s="1"/>
  <c r="AW100" i="41"/>
  <c r="AX100" i="41" s="1"/>
  <c r="AW101" i="41"/>
  <c r="AX101" i="41" s="1"/>
  <c r="AW102" i="41"/>
  <c r="AX102" i="41" s="1"/>
  <c r="AW103" i="41"/>
  <c r="AX103" i="41" s="1"/>
  <c r="AW104" i="41"/>
  <c r="AX104" i="41" s="1"/>
  <c r="AW105" i="41"/>
  <c r="AX105" i="41" s="1"/>
  <c r="AW106" i="41"/>
  <c r="AX106" i="41" s="1"/>
  <c r="AW107" i="41"/>
  <c r="AX107" i="41" s="1"/>
  <c r="AW108" i="41"/>
  <c r="AX108" i="41" s="1"/>
  <c r="AW109" i="41"/>
  <c r="AX109" i="41" s="1"/>
  <c r="AW110" i="41"/>
  <c r="AX110" i="41" s="1"/>
  <c r="AW111" i="41"/>
  <c r="AX111" i="41" s="1"/>
  <c r="AW112" i="41"/>
  <c r="AX112" i="41" s="1"/>
  <c r="AW113" i="41"/>
  <c r="AX113" i="41" s="1"/>
  <c r="AW114" i="41"/>
  <c r="AX114" i="41" s="1"/>
  <c r="AW115" i="41"/>
  <c r="AX115" i="41" s="1"/>
  <c r="AW116" i="41"/>
  <c r="AX116" i="41" s="1"/>
  <c r="AW117" i="41"/>
  <c r="AX117" i="41" s="1"/>
  <c r="AW118" i="41"/>
  <c r="AX118" i="41" s="1"/>
  <c r="AW119" i="41"/>
  <c r="AX119" i="41" s="1"/>
  <c r="AW120" i="41"/>
  <c r="AX120" i="41" s="1"/>
  <c r="AW121" i="41"/>
  <c r="AX121" i="41" s="1"/>
  <c r="AW122" i="41"/>
  <c r="AX122" i="41" s="1"/>
  <c r="AW123" i="41"/>
  <c r="AX123" i="41" s="1"/>
  <c r="AW124" i="41"/>
  <c r="AX124" i="41" s="1"/>
  <c r="AW125" i="41"/>
  <c r="AX125" i="41" s="1"/>
  <c r="AW126" i="41"/>
  <c r="AX126" i="41" s="1"/>
  <c r="AW127" i="41"/>
  <c r="AX127" i="41" s="1"/>
  <c r="AW128" i="41"/>
  <c r="AX128" i="41" s="1"/>
  <c r="AW129" i="41"/>
  <c r="AX129" i="41" s="1"/>
  <c r="AW130" i="41"/>
  <c r="AX130" i="41" s="1"/>
  <c r="AW131" i="41"/>
  <c r="AX131" i="41" s="1"/>
  <c r="AW132" i="41"/>
  <c r="AX132" i="41" s="1"/>
  <c r="AW133" i="41"/>
  <c r="AX133" i="41" s="1"/>
  <c r="AW134" i="41"/>
  <c r="AX134" i="41" s="1"/>
  <c r="AW135" i="41"/>
  <c r="AX135" i="41" s="1"/>
  <c r="AW136" i="41"/>
  <c r="AX136" i="41" s="1"/>
  <c r="AW137" i="41"/>
  <c r="AX137" i="41" s="1"/>
  <c r="AW138" i="41"/>
  <c r="AX138" i="41" s="1"/>
  <c r="AW139" i="41"/>
  <c r="AX139" i="41" s="1"/>
  <c r="AW140" i="41"/>
  <c r="AX140" i="41" s="1"/>
  <c r="AW141" i="41"/>
  <c r="AX141" i="41" s="1"/>
  <c r="AW142" i="41"/>
  <c r="AX142" i="41" s="1"/>
  <c r="AW143" i="41"/>
  <c r="AX143" i="41" s="1"/>
  <c r="AW144" i="41"/>
  <c r="AX144" i="41" s="1"/>
  <c r="AW145" i="41"/>
  <c r="AX145" i="41" s="1"/>
  <c r="AW146" i="41"/>
  <c r="AX146" i="41" s="1"/>
  <c r="AW147" i="41"/>
  <c r="AX147" i="41" s="1"/>
  <c r="AW148" i="41"/>
  <c r="AX148" i="41" s="1"/>
  <c r="AW149" i="41"/>
  <c r="AX149" i="41" s="1"/>
  <c r="AW150" i="41"/>
  <c r="AX150" i="41" s="1"/>
  <c r="AW151" i="41"/>
  <c r="AX151" i="41" s="1"/>
  <c r="AW152" i="41"/>
  <c r="AX152" i="41" s="1"/>
  <c r="AW153" i="41"/>
  <c r="AX153" i="41" s="1"/>
  <c r="AW154" i="41"/>
  <c r="AX154" i="41" s="1"/>
  <c r="AW155" i="41"/>
  <c r="AX155" i="41" s="1"/>
  <c r="AW156" i="41"/>
  <c r="AX156" i="41" s="1"/>
  <c r="AW157" i="41"/>
  <c r="AX157" i="41" s="1"/>
  <c r="AW158" i="41"/>
  <c r="AX158" i="41" s="1"/>
  <c r="AW159" i="41"/>
  <c r="AX159" i="41" s="1"/>
  <c r="AW160" i="41"/>
  <c r="AX160" i="41" s="1"/>
  <c r="AW161" i="41"/>
  <c r="AX161" i="41" s="1"/>
  <c r="AW162" i="41"/>
  <c r="AX162" i="41" s="1"/>
  <c r="AW163" i="41"/>
  <c r="AX163" i="41" s="1"/>
  <c r="AW164" i="41"/>
  <c r="AX164" i="41" s="1"/>
  <c r="AW165" i="41"/>
  <c r="AX165" i="41" s="1"/>
  <c r="AW166" i="41"/>
  <c r="AX166" i="41" s="1"/>
  <c r="AW167" i="41"/>
  <c r="AX167" i="41" s="1"/>
  <c r="AW168" i="41"/>
  <c r="AX168" i="41" s="1"/>
  <c r="AW169" i="41"/>
  <c r="AX169" i="41" s="1"/>
  <c r="AW170" i="41"/>
  <c r="AX170" i="41" s="1"/>
  <c r="AW171" i="41"/>
  <c r="AX171" i="41" s="1"/>
  <c r="AW172" i="41"/>
  <c r="AX172" i="41" s="1"/>
  <c r="AW173" i="41"/>
  <c r="AX173" i="41" s="1"/>
  <c r="AW174" i="41"/>
  <c r="AX174" i="41" s="1"/>
  <c r="AW175" i="41"/>
  <c r="AX175" i="41" s="1"/>
  <c r="AW176" i="41"/>
  <c r="AX176" i="41" s="1"/>
  <c r="AW177" i="41"/>
  <c r="AX177" i="41" s="1"/>
  <c r="AW178" i="41"/>
  <c r="AX178" i="41" s="1"/>
  <c r="AW179" i="41"/>
  <c r="AX179" i="41" s="1"/>
  <c r="AW180" i="41"/>
  <c r="AX180" i="41" s="1"/>
  <c r="AW181" i="41"/>
  <c r="AX181" i="41" s="1"/>
  <c r="AW182" i="41"/>
  <c r="AX182" i="41" s="1"/>
  <c r="AW183" i="41"/>
  <c r="AX183" i="41" s="1"/>
  <c r="AW184" i="41"/>
  <c r="AX184" i="41" s="1"/>
  <c r="AW185" i="41"/>
  <c r="AX185" i="41" s="1"/>
  <c r="AW186" i="41"/>
  <c r="AX186" i="41" s="1"/>
  <c r="AW187" i="41"/>
  <c r="AX187" i="41" s="1"/>
  <c r="AW188" i="41"/>
  <c r="AX188" i="41" s="1"/>
  <c r="AW189" i="41"/>
  <c r="AX189" i="41" s="1"/>
  <c r="AW190" i="41"/>
  <c r="AX190" i="41" s="1"/>
  <c r="AW191" i="41"/>
  <c r="AX191" i="41" s="1"/>
  <c r="AW192" i="41"/>
  <c r="AX192" i="41" s="1"/>
  <c r="AW193" i="41"/>
  <c r="AX193" i="41" s="1"/>
  <c r="AW194" i="41"/>
  <c r="AX194" i="41" s="1"/>
  <c r="AW195" i="41"/>
  <c r="AX195" i="41" s="1"/>
  <c r="AW196" i="41"/>
  <c r="AX196" i="41" s="1"/>
  <c r="AW197" i="41"/>
  <c r="AX197" i="41" s="1"/>
  <c r="AW198" i="41"/>
  <c r="AX198" i="41" s="1"/>
  <c r="AW199" i="41"/>
  <c r="AX199" i="41" s="1"/>
  <c r="AW200" i="41"/>
  <c r="AX200" i="41" s="1"/>
  <c r="AW201" i="41"/>
  <c r="AX201" i="41" s="1"/>
  <c r="AW202" i="41"/>
  <c r="AX202" i="41" s="1"/>
  <c r="AW203" i="41"/>
  <c r="AX203" i="41" s="1"/>
  <c r="AW204" i="41"/>
  <c r="AX204" i="41" s="1"/>
  <c r="AW205" i="41"/>
  <c r="AX205" i="41" s="1"/>
  <c r="AW206" i="41"/>
  <c r="AX206" i="41" s="1"/>
  <c r="AW207" i="41"/>
  <c r="AX207" i="41" s="1"/>
  <c r="AW208" i="41"/>
  <c r="AX208" i="41" s="1"/>
  <c r="AW209" i="41"/>
  <c r="AX209" i="41" s="1"/>
  <c r="AW210" i="41"/>
  <c r="AX210" i="41" s="1"/>
  <c r="AW211" i="41"/>
  <c r="AX211" i="41" s="1"/>
  <c r="AW212" i="41"/>
  <c r="AX212" i="41" s="1"/>
  <c r="AW213" i="41"/>
  <c r="AX213" i="41" s="1"/>
  <c r="AW214" i="41"/>
  <c r="AX214" i="41"/>
  <c r="AW215" i="41"/>
  <c r="AX215" i="41" s="1"/>
  <c r="AW216" i="41"/>
  <c r="AX216" i="41" s="1"/>
  <c r="AW217" i="41"/>
  <c r="AX217" i="41" s="1"/>
  <c r="AW218" i="41"/>
  <c r="AX218" i="41" s="1"/>
  <c r="AW219" i="41"/>
  <c r="AX219" i="41" s="1"/>
  <c r="AW220" i="41"/>
  <c r="AX220" i="41"/>
  <c r="AW221" i="41"/>
  <c r="AX221" i="41" s="1"/>
  <c r="AW222" i="41"/>
  <c r="AX222" i="41"/>
  <c r="AW223" i="41"/>
  <c r="AX223" i="41" s="1"/>
  <c r="AW224" i="41"/>
  <c r="AX224" i="41" s="1"/>
  <c r="AW225" i="41"/>
  <c r="AX225" i="41" s="1"/>
  <c r="AW226" i="41"/>
  <c r="AX226" i="41" s="1"/>
  <c r="AW227" i="41"/>
  <c r="AX227" i="41" s="1"/>
  <c r="AW228" i="41"/>
  <c r="AX228" i="41"/>
  <c r="AW229" i="41"/>
  <c r="AX229" i="41" s="1"/>
  <c r="AW230" i="41"/>
  <c r="AX230" i="41"/>
  <c r="AW231" i="41"/>
  <c r="AX231" i="41" s="1"/>
  <c r="AW232" i="41"/>
  <c r="AX232" i="41" s="1"/>
  <c r="AW233" i="41"/>
  <c r="AX233" i="41" s="1"/>
  <c r="AW234" i="41"/>
  <c r="AX234" i="41" s="1"/>
  <c r="AW235" i="41"/>
  <c r="AX235" i="41" s="1"/>
  <c r="AW236" i="41"/>
  <c r="AX236" i="41"/>
  <c r="AW237" i="41"/>
  <c r="AX237" i="41" s="1"/>
  <c r="AW238" i="41"/>
  <c r="AX238" i="41"/>
  <c r="AW239" i="41"/>
  <c r="AX239" i="41" s="1"/>
  <c r="AW240" i="41"/>
  <c r="AX240" i="41" s="1"/>
  <c r="AW241" i="41"/>
  <c r="AX241" i="41" s="1"/>
  <c r="AW242" i="41"/>
  <c r="AX242" i="41" s="1"/>
  <c r="AW243" i="41"/>
  <c r="AW244" i="41"/>
  <c r="AW245" i="41"/>
  <c r="AW246" i="41"/>
  <c r="AW247" i="41"/>
  <c r="AW248" i="41"/>
  <c r="AW249" i="41"/>
  <c r="AW250" i="41"/>
  <c r="AW251" i="41"/>
  <c r="AW252" i="41"/>
  <c r="AW253" i="41"/>
  <c r="AW254" i="41"/>
  <c r="AW255" i="41"/>
  <c r="AW256" i="41"/>
  <c r="AW257" i="41"/>
  <c r="AW258" i="41"/>
  <c r="AW259" i="41"/>
  <c r="AW260" i="41"/>
  <c r="AW261" i="41"/>
  <c r="AW262" i="41"/>
  <c r="AW263" i="41"/>
  <c r="AW264" i="41"/>
  <c r="AW265" i="41"/>
  <c r="AW266" i="41"/>
  <c r="AW267" i="41"/>
  <c r="AW268" i="41"/>
  <c r="AW269" i="41"/>
  <c r="AW270" i="41"/>
  <c r="AW271" i="41"/>
  <c r="AW272" i="41"/>
  <c r="AW273" i="41"/>
  <c r="AW274" i="41"/>
  <c r="AW275" i="41"/>
  <c r="AW276" i="41"/>
  <c r="AW277" i="41"/>
  <c r="AW278" i="41"/>
  <c r="AW279" i="41"/>
  <c r="AW280" i="41"/>
  <c r="AW281" i="41"/>
  <c r="AW282" i="41"/>
  <c r="AW283" i="41"/>
  <c r="AW284" i="41"/>
  <c r="AW285" i="41"/>
  <c r="AW286" i="41"/>
  <c r="AW287" i="41"/>
  <c r="AW288" i="41"/>
  <c r="AW289" i="41"/>
  <c r="AW290" i="41"/>
  <c r="AW291" i="41"/>
  <c r="AW292" i="41"/>
  <c r="AW293" i="41"/>
  <c r="AW294" i="41"/>
  <c r="AW295" i="41"/>
  <c r="AW296" i="41"/>
  <c r="AW297" i="41"/>
  <c r="AW298" i="41"/>
  <c r="AW299" i="41"/>
  <c r="AW300" i="41"/>
  <c r="AW301" i="41"/>
  <c r="AW302" i="41"/>
  <c r="AW303" i="41"/>
  <c r="AW304" i="41"/>
  <c r="AW305" i="41"/>
  <c r="AW306" i="41"/>
  <c r="AW307" i="41"/>
  <c r="AW308" i="41"/>
  <c r="AW309" i="41"/>
  <c r="AV208" i="37" l="1"/>
  <c r="AW208" i="37" s="1"/>
  <c r="AV188" i="37"/>
  <c r="AW188" i="37" s="1"/>
  <c r="AV206" i="37"/>
  <c r="AW206" i="37" s="1"/>
  <c r="AS4" i="36"/>
  <c r="AX3" i="29"/>
  <c r="AX4"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سید محسن احمدپناه</author>
  </authors>
  <commentList>
    <comment ref="A504" authorId="0" shapeId="0" xr:uid="{B2D1FD51-B787-4DA3-8CCE-434E15E6DD0D}">
      <text>
        <r>
          <rPr>
            <b/>
            <sz val="9"/>
            <color indexed="81"/>
            <rFont val="Tahoma"/>
            <family val="2"/>
          </rPr>
          <t>سید محسن احمدپناه:</t>
        </r>
        <r>
          <rPr>
            <sz val="9"/>
            <color indexed="81"/>
            <rFont val="Tahoma"/>
            <family val="2"/>
          </rPr>
          <t xml:space="preserve">
</t>
        </r>
      </text>
    </comment>
  </commentList>
</comments>
</file>

<file path=xl/sharedStrings.xml><?xml version="1.0" encoding="utf-8"?>
<sst xmlns="http://schemas.openxmlformats.org/spreadsheetml/2006/main" count="52298" uniqueCount="6849">
  <si>
    <t>رديف</t>
  </si>
  <si>
    <t>تاريخ</t>
  </si>
  <si>
    <t>نام چاه</t>
  </si>
  <si>
    <t>نام پيمانكار</t>
  </si>
  <si>
    <t>تاريخ نصب قبلي</t>
  </si>
  <si>
    <t xml:space="preserve">مرکز </t>
  </si>
  <si>
    <t>سوران</t>
  </si>
  <si>
    <t>نصب</t>
  </si>
  <si>
    <t>گلشهر</t>
  </si>
  <si>
    <t>منزل آباد</t>
  </si>
  <si>
    <t>امامیه</t>
  </si>
  <si>
    <t>سال نصب قدیم</t>
  </si>
  <si>
    <t>ماه نصب قدیم</t>
  </si>
  <si>
    <t xml:space="preserve">تعداد ماه های کارکرد </t>
  </si>
  <si>
    <t>پمپ</t>
  </si>
  <si>
    <t>نو / تعميري</t>
  </si>
  <si>
    <t>سازنده/تعمیر کار</t>
  </si>
  <si>
    <t xml:space="preserve">تيپ الکترو پمپ </t>
  </si>
  <si>
    <t xml:space="preserve">موتور </t>
  </si>
  <si>
    <t>خیر آباد</t>
  </si>
  <si>
    <t>دانشجو</t>
  </si>
  <si>
    <t>منزل آباد 33</t>
  </si>
  <si>
    <t>تغییر تیپ</t>
  </si>
  <si>
    <t>راه انداز</t>
  </si>
  <si>
    <t>فشار آزمایش پمپاژ</t>
  </si>
  <si>
    <t>دبی آزمایش پمپاژ</t>
  </si>
  <si>
    <t>پلاک</t>
  </si>
  <si>
    <t>سال کشیدن فعلی</t>
  </si>
  <si>
    <t>ماه کشیدن فعلی</t>
  </si>
  <si>
    <t>توضیحات</t>
  </si>
  <si>
    <t>اسماعیل آباد</t>
  </si>
  <si>
    <t>سطح استاتیک</t>
  </si>
  <si>
    <t>سطح دینامیک</t>
  </si>
  <si>
    <t>تلفات مسیر</t>
  </si>
  <si>
    <t>فشار شبکه(متر)</t>
  </si>
  <si>
    <t>هد کلی (متر)</t>
  </si>
  <si>
    <t>تیپ پمپ قبلی</t>
  </si>
  <si>
    <t>دبی طراحی</t>
  </si>
  <si>
    <t>دبی قبل از کشیدن</t>
  </si>
  <si>
    <t>دبی پس از نصب پمپ جدید</t>
  </si>
  <si>
    <t>شرح خرابی از نظر بهره بردار</t>
  </si>
  <si>
    <t>شرح خرابی از نظر کارگاه مکانیک</t>
  </si>
  <si>
    <t>تعداد ترمیم</t>
  </si>
  <si>
    <t>متراژ لوله کشیده شده(کشیدن لوله جدار)</t>
  </si>
  <si>
    <t>قطر جدار کشیده شده</t>
  </si>
  <si>
    <t>جنس جدار</t>
  </si>
  <si>
    <t>قطر جدار</t>
  </si>
  <si>
    <t>عمق نصب(فعلی)</t>
  </si>
  <si>
    <t>عمق نصب(قبلی)</t>
  </si>
  <si>
    <t>تیپ پمپ فعلی</t>
  </si>
  <si>
    <t>تیپ الکترو موتور قبلی</t>
  </si>
  <si>
    <t>تیپ الکترو موتور فعلی</t>
  </si>
  <si>
    <t>فرم نصب در PM</t>
  </si>
  <si>
    <t>ماه</t>
  </si>
  <si>
    <t>چاههای با عمر کمتر از یک سال</t>
  </si>
  <si>
    <t>كشيدن/نصب/جمع آوری /نصب جدید</t>
  </si>
  <si>
    <t>پرکند آباد 5</t>
  </si>
  <si>
    <t>توضیحات فایل</t>
  </si>
  <si>
    <t>این رنگ نشان دهنده تغییرات است</t>
  </si>
  <si>
    <t>این رنگ نشان دهنده مهم بودن توضیحات میباشد</t>
  </si>
  <si>
    <t>سایز کابل</t>
  </si>
  <si>
    <t>تاریخ آزمایش پمپاژ کارگاه مکانیک</t>
  </si>
  <si>
    <t>این رنگ نشان دهنده کارکرد کم چاه کمتر از یکسال میباشد</t>
  </si>
  <si>
    <t>402/01/04</t>
  </si>
  <si>
    <t>فروردین</t>
  </si>
  <si>
    <t>رضویه 2</t>
  </si>
  <si>
    <t>منطقه 5</t>
  </si>
  <si>
    <t>محمدزاده</t>
  </si>
  <si>
    <t>62</t>
  </si>
  <si>
    <t>پمپیران</t>
  </si>
  <si>
    <t>نو</t>
  </si>
  <si>
    <t>6609/17</t>
  </si>
  <si>
    <t>6679</t>
  </si>
  <si>
    <t>بارش</t>
  </si>
  <si>
    <t>402/01/06</t>
  </si>
  <si>
    <t>402/01/07</t>
  </si>
  <si>
    <t>402/01/08</t>
  </si>
  <si>
    <t>402/01/09</t>
  </si>
  <si>
    <t>402/01/10</t>
  </si>
  <si>
    <t>402/01/11</t>
  </si>
  <si>
    <t>402/01/12</t>
  </si>
  <si>
    <t>402/01/13</t>
  </si>
  <si>
    <t>شمس آباد 4</t>
  </si>
  <si>
    <t>کشیدن</t>
  </si>
  <si>
    <t>جوادی</t>
  </si>
  <si>
    <t>اندیشه 3</t>
  </si>
  <si>
    <t>گلشهر 1</t>
  </si>
  <si>
    <t>اسلام آباد 11</t>
  </si>
  <si>
    <t>منزل آباد 4</t>
  </si>
  <si>
    <t>نیروگاه 1 جدید</t>
  </si>
  <si>
    <t>تجهیز جدید</t>
  </si>
  <si>
    <t>ابراهیم آباد</t>
  </si>
  <si>
    <t>سعدآبادی</t>
  </si>
  <si>
    <t>علیخواه</t>
  </si>
  <si>
    <t xml:space="preserve">سوختن الکترو موتور </t>
  </si>
  <si>
    <t>ضعیف شدن عایق سیم پیچ</t>
  </si>
  <si>
    <t xml:space="preserve">گیرپاژ </t>
  </si>
  <si>
    <t xml:space="preserve">مشاهده شولات در داخل الکتروموتور - پارگی لاستیک ته موتور و ورود شولات بداخل الکترو موتور و سپس اهم دار شدن الکترموتور </t>
  </si>
  <si>
    <t xml:space="preserve">مشاهده شولات در داخل الکتروموتور  </t>
  </si>
  <si>
    <t>پمپ سالم ، الکترو موتور آسب دیده است</t>
  </si>
  <si>
    <t>402/01/14</t>
  </si>
  <si>
    <t>402/01/15</t>
  </si>
  <si>
    <t>آماده سازی 2</t>
  </si>
  <si>
    <t>غرب پارک</t>
  </si>
  <si>
    <t>55</t>
  </si>
  <si>
    <t>1983</t>
  </si>
  <si>
    <t>کارگاه مکانیک</t>
  </si>
  <si>
    <t>تعمیری</t>
  </si>
  <si>
    <t>384/7</t>
  </si>
  <si>
    <t>6451</t>
  </si>
  <si>
    <t>1401/11/02</t>
  </si>
  <si>
    <t>ستاره مثلث</t>
  </si>
  <si>
    <t>3*35</t>
  </si>
  <si>
    <t>1402</t>
  </si>
  <si>
    <t>01</t>
  </si>
  <si>
    <t>1401</t>
  </si>
  <si>
    <t>11</t>
  </si>
  <si>
    <t>45</t>
  </si>
  <si>
    <t>1460</t>
  </si>
  <si>
    <t>حسن زاده</t>
  </si>
  <si>
    <t>345/6</t>
  </si>
  <si>
    <t>5773</t>
  </si>
  <si>
    <t>1397/04/14</t>
  </si>
  <si>
    <t>1397</t>
  </si>
  <si>
    <t>04</t>
  </si>
  <si>
    <t>6609/12</t>
  </si>
  <si>
    <t>6434</t>
  </si>
  <si>
    <t>1647</t>
  </si>
  <si>
    <t>6608/20</t>
  </si>
  <si>
    <t>6623</t>
  </si>
  <si>
    <t>1401/01/27</t>
  </si>
  <si>
    <t>6609/15</t>
  </si>
  <si>
    <t>6438</t>
  </si>
  <si>
    <t>3058</t>
  </si>
  <si>
    <t>15686</t>
  </si>
  <si>
    <t>1400/06/10</t>
  </si>
  <si>
    <t>1400</t>
  </si>
  <si>
    <t>06</t>
  </si>
  <si>
    <t>1716</t>
  </si>
  <si>
    <t>6594</t>
  </si>
  <si>
    <t>37</t>
  </si>
  <si>
    <t>30</t>
  </si>
  <si>
    <t>سولار</t>
  </si>
  <si>
    <t>384/5</t>
  </si>
  <si>
    <t>16</t>
  </si>
  <si>
    <t>امید</t>
  </si>
  <si>
    <t>88/08/09</t>
  </si>
  <si>
    <t>1388</t>
  </si>
  <si>
    <t>08</t>
  </si>
  <si>
    <t xml:space="preserve">عمق چاه </t>
  </si>
  <si>
    <t>ناظر نصب</t>
  </si>
  <si>
    <t>1732</t>
  </si>
  <si>
    <t>6681</t>
  </si>
  <si>
    <t>6608/16</t>
  </si>
  <si>
    <t>6443</t>
  </si>
  <si>
    <t>73</t>
  </si>
  <si>
    <t>345/9</t>
  </si>
  <si>
    <t>6687</t>
  </si>
  <si>
    <t>√</t>
  </si>
  <si>
    <t>157</t>
  </si>
  <si>
    <t>سافت</t>
  </si>
  <si>
    <t>3*50</t>
  </si>
  <si>
    <t>هروی</t>
  </si>
  <si>
    <t>مجتهد زاده</t>
  </si>
  <si>
    <t>401/12/29</t>
  </si>
  <si>
    <t>3*95</t>
  </si>
  <si>
    <t>135</t>
  </si>
  <si>
    <t>384/10</t>
  </si>
  <si>
    <t>401/12/20</t>
  </si>
  <si>
    <t>212</t>
  </si>
  <si>
    <t>345/10</t>
  </si>
  <si>
    <t>1401/12/28</t>
  </si>
  <si>
    <t>بهسازی</t>
  </si>
  <si>
    <t>ناظریه 9</t>
  </si>
  <si>
    <t>هوادهی</t>
  </si>
  <si>
    <t>1402/01/17</t>
  </si>
  <si>
    <t>1402/01/18</t>
  </si>
  <si>
    <t>1402/01/19</t>
  </si>
  <si>
    <t>1402/01/20</t>
  </si>
  <si>
    <t>کشف رود روستایی</t>
  </si>
  <si>
    <t>سپاد 4</t>
  </si>
  <si>
    <t>امین آباد</t>
  </si>
  <si>
    <t>امام رضا 61</t>
  </si>
  <si>
    <t>1402/01/15</t>
  </si>
  <si>
    <t>علی آباد</t>
  </si>
  <si>
    <t>اهم دار</t>
  </si>
  <si>
    <t>کاهش دبی</t>
  </si>
  <si>
    <t>3212</t>
  </si>
  <si>
    <t>345/5</t>
  </si>
  <si>
    <t>15866</t>
  </si>
  <si>
    <t>6609/14</t>
  </si>
  <si>
    <t>6598</t>
  </si>
  <si>
    <t>نصب جدید</t>
  </si>
  <si>
    <t>3*70</t>
  </si>
  <si>
    <t>1507</t>
  </si>
  <si>
    <t>6472</t>
  </si>
  <si>
    <t>1401/11/17</t>
  </si>
  <si>
    <t>توضیحات دارد</t>
  </si>
  <si>
    <t>3409</t>
  </si>
  <si>
    <t>6609/13</t>
  </si>
  <si>
    <t>159045</t>
  </si>
  <si>
    <t>1401/08/17</t>
  </si>
  <si>
    <t>شولات</t>
  </si>
  <si>
    <t>3125</t>
  </si>
  <si>
    <t>293/12</t>
  </si>
  <si>
    <t>15635</t>
  </si>
  <si>
    <t>نصرا...زاده</t>
  </si>
  <si>
    <t>1399/08/01</t>
  </si>
  <si>
    <t>1399</t>
  </si>
  <si>
    <t>3468</t>
  </si>
  <si>
    <t>3463</t>
  </si>
  <si>
    <t>3469</t>
  </si>
  <si>
    <t>3470</t>
  </si>
  <si>
    <t>1402/01/09</t>
  </si>
  <si>
    <t>175</t>
  </si>
  <si>
    <t>3472</t>
  </si>
  <si>
    <t>120</t>
  </si>
  <si>
    <t>3471</t>
  </si>
  <si>
    <t>92</t>
  </si>
  <si>
    <t xml:space="preserve"> بررسی الکتروپمپ برگشتی از چاه 
 واشر کاغذی طبقه نهم پمپ  از بین رفته  و باعث نشتی بیش از حد ازاین محل گردید به همین دلیل دبی از 20  به 6 لیتر بر ثانیه رسید . و به تبع آن نیز از حرکت طولی روتور الکترموتور نیز کاسته شده که باعث تخریب کفگرد و لقمه های الکترو وتور شده است </t>
  </si>
  <si>
    <t>امام رضا 24</t>
  </si>
  <si>
    <t>امین آباد قدیم</t>
  </si>
  <si>
    <t>جمع آوری</t>
  </si>
  <si>
    <t>22</t>
  </si>
  <si>
    <t>233/12</t>
  </si>
  <si>
    <t>6597</t>
  </si>
  <si>
    <t>18</t>
  </si>
  <si>
    <t>6608/8</t>
  </si>
  <si>
    <t>3*6</t>
  </si>
  <si>
    <t>3147</t>
  </si>
  <si>
    <t>6608/10</t>
  </si>
  <si>
    <t>3*25</t>
  </si>
  <si>
    <t>1943</t>
  </si>
  <si>
    <t>5106</t>
  </si>
  <si>
    <t>1397/03/27</t>
  </si>
  <si>
    <t>03</t>
  </si>
  <si>
    <t>1402/01/21</t>
  </si>
  <si>
    <t>1402/01/22</t>
  </si>
  <si>
    <t>امام رضا 38</t>
  </si>
  <si>
    <t>امام رضا 41</t>
  </si>
  <si>
    <t>منزل آباد 34</t>
  </si>
  <si>
    <t>باهنر 5</t>
  </si>
  <si>
    <t>طالقانی</t>
  </si>
  <si>
    <t>امام علی</t>
  </si>
  <si>
    <t>1402/01/23</t>
  </si>
  <si>
    <t>1402/01/24</t>
  </si>
  <si>
    <t>1402/01/25</t>
  </si>
  <si>
    <t>1660</t>
  </si>
  <si>
    <t>6611/12</t>
  </si>
  <si>
    <t>159060</t>
  </si>
  <si>
    <t>1401/08/04</t>
  </si>
  <si>
    <t>110</t>
  </si>
  <si>
    <t>31</t>
  </si>
  <si>
    <t>1388/11/11</t>
  </si>
  <si>
    <t>6663</t>
  </si>
  <si>
    <t>1720</t>
  </si>
  <si>
    <t>374/5</t>
  </si>
  <si>
    <t>5734</t>
  </si>
  <si>
    <t>1394/12/14</t>
  </si>
  <si>
    <t>1394</t>
  </si>
  <si>
    <t>12</t>
  </si>
  <si>
    <t>1991</t>
  </si>
  <si>
    <t>گازار</t>
  </si>
  <si>
    <t>345/8</t>
  </si>
  <si>
    <t>10023</t>
  </si>
  <si>
    <t>1397/09/07</t>
  </si>
  <si>
    <t>09</t>
  </si>
  <si>
    <t>2078</t>
  </si>
  <si>
    <t>384/11</t>
  </si>
  <si>
    <t>6624</t>
  </si>
  <si>
    <t>1401/01/03</t>
  </si>
  <si>
    <t>1402/01/26</t>
  </si>
  <si>
    <t>فیاض بخش</t>
  </si>
  <si>
    <t>1402/01/28</t>
  </si>
  <si>
    <t>1402/01/27</t>
  </si>
  <si>
    <t>213</t>
  </si>
  <si>
    <t>6608/15</t>
  </si>
  <si>
    <t>6665</t>
  </si>
  <si>
    <t>233/9</t>
  </si>
  <si>
    <t>136</t>
  </si>
  <si>
    <t>1402/01/29</t>
  </si>
  <si>
    <t>باهنر 4</t>
  </si>
  <si>
    <t>1402/01/30</t>
  </si>
  <si>
    <t>سپاد 1</t>
  </si>
  <si>
    <t>1402/01/31</t>
  </si>
  <si>
    <t>ناظریه 7</t>
  </si>
  <si>
    <t>نیروگاه 3</t>
  </si>
  <si>
    <t>1402/02/01</t>
  </si>
  <si>
    <t>اردیبهشت</t>
  </si>
  <si>
    <t>1402/02/02</t>
  </si>
  <si>
    <t>فرهنگیان 1</t>
  </si>
  <si>
    <t>1402/02/03</t>
  </si>
  <si>
    <t>فرامرز 25</t>
  </si>
  <si>
    <t>3305</t>
  </si>
  <si>
    <t>5754</t>
  </si>
  <si>
    <t>1400/03/30</t>
  </si>
  <si>
    <t>02</t>
  </si>
  <si>
    <t>3413</t>
  </si>
  <si>
    <t>193/16</t>
  </si>
  <si>
    <t>159018</t>
  </si>
  <si>
    <t>1401/09/09</t>
  </si>
  <si>
    <t>1599</t>
  </si>
  <si>
    <t>6686</t>
  </si>
  <si>
    <t>1401/12/27</t>
  </si>
  <si>
    <t>3136</t>
  </si>
  <si>
    <t>293/14</t>
  </si>
  <si>
    <t>6608/18</t>
  </si>
  <si>
    <t>6661</t>
  </si>
  <si>
    <t>3476</t>
  </si>
  <si>
    <t>159099</t>
  </si>
  <si>
    <t>3450</t>
  </si>
  <si>
    <t>159098</t>
  </si>
  <si>
    <t xml:space="preserve">تعمیری بودن سافت و سوختن یک عدد از تریستورها و در نهایت دو فاز شدن الکترو موتور و سوختن موتور </t>
  </si>
  <si>
    <t xml:space="preserve">هوادهی </t>
  </si>
  <si>
    <t>1402/02/05</t>
  </si>
  <si>
    <t>1402/02/06</t>
  </si>
  <si>
    <t>1402/02/07</t>
  </si>
  <si>
    <t>1402/02/08</t>
  </si>
  <si>
    <t>امام رضا 60</t>
  </si>
  <si>
    <t>قاسم آباد 20</t>
  </si>
  <si>
    <t>قاسم آباد 23</t>
  </si>
  <si>
    <t>قائم مقامی</t>
  </si>
  <si>
    <t>اسلام آباد روستایی</t>
  </si>
  <si>
    <t>3473</t>
  </si>
  <si>
    <t>384/9</t>
  </si>
  <si>
    <t>6596</t>
  </si>
  <si>
    <t>167</t>
  </si>
  <si>
    <t>3482</t>
  </si>
  <si>
    <t>293/10</t>
  </si>
  <si>
    <t>6662</t>
  </si>
  <si>
    <t>3*16</t>
  </si>
  <si>
    <t>3474</t>
  </si>
  <si>
    <t>384/8</t>
  </si>
  <si>
    <t>10022</t>
  </si>
  <si>
    <t>24</t>
  </si>
  <si>
    <t>3484</t>
  </si>
  <si>
    <t>233/14</t>
  </si>
  <si>
    <t>159101</t>
  </si>
  <si>
    <t>293/11</t>
  </si>
  <si>
    <t>159097</t>
  </si>
  <si>
    <t>159031</t>
  </si>
  <si>
    <t>1270</t>
  </si>
  <si>
    <t>15665</t>
  </si>
  <si>
    <t>1399/07/06</t>
  </si>
  <si>
    <t>07</t>
  </si>
  <si>
    <t>1778</t>
  </si>
  <si>
    <t>15410</t>
  </si>
  <si>
    <t>1398/07/09</t>
  </si>
  <si>
    <t>1398</t>
  </si>
  <si>
    <t>3020</t>
  </si>
  <si>
    <t>15356</t>
  </si>
  <si>
    <t>1397/12/11</t>
  </si>
  <si>
    <t>1999</t>
  </si>
  <si>
    <t>6751</t>
  </si>
  <si>
    <t>1401/06/20</t>
  </si>
  <si>
    <t>2074</t>
  </si>
  <si>
    <t>5121</t>
  </si>
  <si>
    <t>1401/03/11</t>
  </si>
  <si>
    <t>3488</t>
  </si>
  <si>
    <t>1402/02/09</t>
  </si>
  <si>
    <t>3478</t>
  </si>
  <si>
    <t>345/7</t>
  </si>
  <si>
    <t>1402/02/10</t>
  </si>
  <si>
    <t>1402/02/11</t>
  </si>
  <si>
    <t>درمانگاه حجتی</t>
  </si>
  <si>
    <t>حجت 4</t>
  </si>
  <si>
    <t>3477</t>
  </si>
  <si>
    <t>6600</t>
  </si>
  <si>
    <t>1877</t>
  </si>
  <si>
    <t>برگشتی</t>
  </si>
  <si>
    <t>293/6</t>
  </si>
  <si>
    <t>6050</t>
  </si>
  <si>
    <t>1397/02/06</t>
  </si>
  <si>
    <t>2082</t>
  </si>
  <si>
    <t>6612</t>
  </si>
  <si>
    <t>1401/01/02</t>
  </si>
  <si>
    <t>1402/02/12</t>
  </si>
  <si>
    <t>1402/02/13</t>
  </si>
  <si>
    <t>الهیه 7</t>
  </si>
  <si>
    <t>امام رضا 22</t>
  </si>
  <si>
    <t>1402/02/14</t>
  </si>
  <si>
    <t>1402/02/15</t>
  </si>
  <si>
    <t>1402/02/16</t>
  </si>
  <si>
    <t>رسالت 37</t>
  </si>
  <si>
    <t>مطهری شمالی</t>
  </si>
  <si>
    <t>1402/02/17</t>
  </si>
  <si>
    <t>1402/02/18</t>
  </si>
  <si>
    <t>منزل آباد 5 قدیم</t>
  </si>
  <si>
    <t>منزل آباد 5 جدید</t>
  </si>
  <si>
    <t>امامیه 12 جدید</t>
  </si>
  <si>
    <t>1951</t>
  </si>
  <si>
    <t>6388</t>
  </si>
  <si>
    <t>97/04/28</t>
  </si>
  <si>
    <t>1271</t>
  </si>
  <si>
    <t>5618</t>
  </si>
  <si>
    <t>93/03/08</t>
  </si>
  <si>
    <t>1393</t>
  </si>
  <si>
    <t>1165</t>
  </si>
  <si>
    <t>5153</t>
  </si>
  <si>
    <t>93/06/04</t>
  </si>
  <si>
    <t>1395</t>
  </si>
  <si>
    <t>1990</t>
  </si>
  <si>
    <t>293/13</t>
  </si>
  <si>
    <t>6538</t>
  </si>
  <si>
    <t>99/06/15</t>
  </si>
  <si>
    <t>1402/02/19</t>
  </si>
  <si>
    <t>تقی آباد دم روباه</t>
  </si>
  <si>
    <t>3493</t>
  </si>
  <si>
    <t>6436</t>
  </si>
  <si>
    <t>3495</t>
  </si>
  <si>
    <t>159103</t>
  </si>
  <si>
    <t>3494</t>
  </si>
  <si>
    <t>6445</t>
  </si>
  <si>
    <t>3492</t>
  </si>
  <si>
    <t>6611/13</t>
  </si>
  <si>
    <t>159073</t>
  </si>
  <si>
    <t>173</t>
  </si>
  <si>
    <t>3491</t>
  </si>
  <si>
    <t>6437</t>
  </si>
  <si>
    <t>210</t>
  </si>
  <si>
    <t>3475</t>
  </si>
  <si>
    <t>6390</t>
  </si>
  <si>
    <t>236</t>
  </si>
  <si>
    <t>6595</t>
  </si>
  <si>
    <t>149</t>
  </si>
  <si>
    <t>233/10</t>
  </si>
  <si>
    <t>عمق چاه(اولیه)</t>
  </si>
  <si>
    <t>عمق چاه (فعلی)</t>
  </si>
  <si>
    <t>401/01/02</t>
  </si>
  <si>
    <t>0</t>
  </si>
  <si>
    <t>400/12/28</t>
  </si>
  <si>
    <t>401/01/03</t>
  </si>
  <si>
    <t>401/01/04</t>
  </si>
  <si>
    <t>کارمندان 2</t>
  </si>
  <si>
    <t>97/11/17</t>
  </si>
  <si>
    <t>1</t>
  </si>
  <si>
    <t>401/01/06</t>
  </si>
  <si>
    <t>2079</t>
  </si>
  <si>
    <t>401/01/07</t>
  </si>
  <si>
    <t>قاسم آباد 28</t>
  </si>
  <si>
    <t>400/10/12</t>
  </si>
  <si>
    <t>10</t>
  </si>
  <si>
    <t>401/01/08</t>
  </si>
  <si>
    <t>منزل آباد 24</t>
  </si>
  <si>
    <t>لاله</t>
  </si>
  <si>
    <t>93/12/11</t>
  </si>
  <si>
    <t>401/01/09</t>
  </si>
  <si>
    <t>3006</t>
  </si>
  <si>
    <t>حجت 2</t>
  </si>
  <si>
    <t>2076</t>
  </si>
  <si>
    <t>6609/16</t>
  </si>
  <si>
    <t>401/01/10</t>
  </si>
  <si>
    <t>نیروگاه 6</t>
  </si>
  <si>
    <t>384/12</t>
  </si>
  <si>
    <t>345/12</t>
  </si>
  <si>
    <t>امام رضا 49</t>
  </si>
  <si>
    <t>گیرپاژ</t>
  </si>
  <si>
    <t>400/04/22</t>
  </si>
  <si>
    <t>4</t>
  </si>
  <si>
    <t>401/01/11</t>
  </si>
  <si>
    <t>اسلام آباد 12</t>
  </si>
  <si>
    <t>93/11/16</t>
  </si>
  <si>
    <t>401/01/14</t>
  </si>
  <si>
    <t>اسلام آباد 17</t>
  </si>
  <si>
    <t>94/06/26</t>
  </si>
  <si>
    <t>6</t>
  </si>
  <si>
    <t>401/01/15</t>
  </si>
  <si>
    <t>2087</t>
  </si>
  <si>
    <t>401/01/16</t>
  </si>
  <si>
    <t>2080</t>
  </si>
  <si>
    <t>384/6</t>
  </si>
  <si>
    <t>401/01/17</t>
  </si>
  <si>
    <t>2085</t>
  </si>
  <si>
    <t>401/01/18</t>
  </si>
  <si>
    <t>امامیه 17</t>
  </si>
  <si>
    <t>400/01/17</t>
  </si>
  <si>
    <t>401/01/21</t>
  </si>
  <si>
    <t>رسالت 55</t>
  </si>
  <si>
    <t>98/04/30</t>
  </si>
  <si>
    <t>401/01/22</t>
  </si>
  <si>
    <t>اندرخ 2</t>
  </si>
  <si>
    <t>سوختن الکتروپمپ</t>
  </si>
  <si>
    <t>1560</t>
  </si>
  <si>
    <t>5702</t>
  </si>
  <si>
    <t>94/08/29</t>
  </si>
  <si>
    <t>8</t>
  </si>
  <si>
    <t>401/01/23</t>
  </si>
  <si>
    <t>2070</t>
  </si>
  <si>
    <t>6622</t>
  </si>
  <si>
    <t>401/01/24</t>
  </si>
  <si>
    <t>سیمتری گاز</t>
  </si>
  <si>
    <t>50</t>
  </si>
  <si>
    <t>345/4</t>
  </si>
  <si>
    <t>20</t>
  </si>
  <si>
    <t>92/02/31</t>
  </si>
  <si>
    <t>1392</t>
  </si>
  <si>
    <t>2</t>
  </si>
  <si>
    <t>401/01/25</t>
  </si>
  <si>
    <t>2067</t>
  </si>
  <si>
    <t>6018</t>
  </si>
  <si>
    <t>401/01/27</t>
  </si>
  <si>
    <t>99/07/27</t>
  </si>
  <si>
    <t>401/01/28</t>
  </si>
  <si>
    <t>قاسم آباد 22</t>
  </si>
  <si>
    <t>شولاتی</t>
  </si>
  <si>
    <t>99/05/28</t>
  </si>
  <si>
    <t>5</t>
  </si>
  <si>
    <t>401/01/29</t>
  </si>
  <si>
    <t>سجادیه 2</t>
  </si>
  <si>
    <t>3060</t>
  </si>
  <si>
    <t>15399</t>
  </si>
  <si>
    <t>98/06/06</t>
  </si>
  <si>
    <t>98/06/03</t>
  </si>
  <si>
    <t>401/02/01</t>
  </si>
  <si>
    <t>2071</t>
  </si>
  <si>
    <t>6553</t>
  </si>
  <si>
    <t>401/02/04</t>
  </si>
  <si>
    <t>بند جیم 2</t>
  </si>
  <si>
    <t>2010</t>
  </si>
  <si>
    <t>6404</t>
  </si>
  <si>
    <t>400/11/13</t>
  </si>
  <si>
    <t>400/11/12</t>
  </si>
  <si>
    <t>401/02/05</t>
  </si>
  <si>
    <t>الهیه 3</t>
  </si>
  <si>
    <t>97/03/08</t>
  </si>
  <si>
    <t>3</t>
  </si>
  <si>
    <t>401/02/06</t>
  </si>
  <si>
    <t>2068</t>
  </si>
  <si>
    <t>6340</t>
  </si>
  <si>
    <t>401/02/07</t>
  </si>
  <si>
    <t>2064</t>
  </si>
  <si>
    <t>5026</t>
  </si>
  <si>
    <t>401/02/08</t>
  </si>
  <si>
    <t>کارمندان 1</t>
  </si>
  <si>
    <t>نشست شاسی الکتروپمپ</t>
  </si>
  <si>
    <t>3312</t>
  </si>
  <si>
    <t>5201</t>
  </si>
  <si>
    <t>400/05/12</t>
  </si>
  <si>
    <t>400/05/11</t>
  </si>
  <si>
    <t>401/02/10</t>
  </si>
  <si>
    <t>التیمور 5</t>
  </si>
  <si>
    <t>1643</t>
  </si>
  <si>
    <t>5357</t>
  </si>
  <si>
    <t>400/02/13</t>
  </si>
  <si>
    <t>400/02/10</t>
  </si>
  <si>
    <t>401/02/11</t>
  </si>
  <si>
    <t>رباط طرق 1</t>
  </si>
  <si>
    <t>1396</t>
  </si>
  <si>
    <t>رباط طرق 2</t>
  </si>
  <si>
    <t>401/02/12</t>
  </si>
  <si>
    <t>الهیه 6</t>
  </si>
  <si>
    <t>1976</t>
  </si>
  <si>
    <t>10008</t>
  </si>
  <si>
    <t>97/07/22</t>
  </si>
  <si>
    <t>97/07/16</t>
  </si>
  <si>
    <t>7</t>
  </si>
  <si>
    <t>401/02/14</t>
  </si>
  <si>
    <t>گوارشک</t>
  </si>
  <si>
    <t>1934</t>
  </si>
  <si>
    <t>6608/11</t>
  </si>
  <si>
    <t>6552</t>
  </si>
  <si>
    <t>401/02/15</t>
  </si>
  <si>
    <t>التیمور 8</t>
  </si>
  <si>
    <t>5371</t>
  </si>
  <si>
    <t>99/11/27</t>
  </si>
  <si>
    <t>99/11/25</t>
  </si>
  <si>
    <t>401/02/17</t>
  </si>
  <si>
    <t>1481</t>
  </si>
  <si>
    <t>5289</t>
  </si>
  <si>
    <t>401/02/18</t>
  </si>
  <si>
    <t>3120</t>
  </si>
  <si>
    <t>15643</t>
  </si>
  <si>
    <t>401/02/19</t>
  </si>
  <si>
    <t>نیروگاه 5</t>
  </si>
  <si>
    <t>نصراله زاده</t>
  </si>
  <si>
    <t>15407</t>
  </si>
  <si>
    <t>99/02/27</t>
  </si>
  <si>
    <t>99/02/25</t>
  </si>
  <si>
    <t>401/02/20</t>
  </si>
  <si>
    <t>منزل آباد 37</t>
  </si>
  <si>
    <t>3038</t>
  </si>
  <si>
    <t>15372</t>
  </si>
  <si>
    <t>98/02/05</t>
  </si>
  <si>
    <t>98/01/31</t>
  </si>
  <si>
    <t>401/02/21</t>
  </si>
  <si>
    <t>2077</t>
  </si>
  <si>
    <t>15396</t>
  </si>
  <si>
    <t>401/02/22</t>
  </si>
  <si>
    <t>1719</t>
  </si>
  <si>
    <t>15678</t>
  </si>
  <si>
    <t>401/02/24</t>
  </si>
  <si>
    <t>نیروگاه 4</t>
  </si>
  <si>
    <t>3081</t>
  </si>
  <si>
    <t>15425</t>
  </si>
  <si>
    <t>98/08/19</t>
  </si>
  <si>
    <t>98/08/18</t>
  </si>
  <si>
    <t>401/02/25</t>
  </si>
  <si>
    <t>ناظریه 4</t>
  </si>
  <si>
    <t>401/02/26</t>
  </si>
  <si>
    <t>امام رضا 48</t>
  </si>
  <si>
    <t>1664</t>
  </si>
  <si>
    <t>5752</t>
  </si>
  <si>
    <t>94/12/20</t>
  </si>
  <si>
    <t>94/12/05</t>
  </si>
  <si>
    <t>کشف روستایی</t>
  </si>
  <si>
    <t>عدم آبدهی</t>
  </si>
  <si>
    <t>3082</t>
  </si>
  <si>
    <t>6191</t>
  </si>
  <si>
    <t>401/02/27</t>
  </si>
  <si>
    <t>اسلام آباد 1</t>
  </si>
  <si>
    <t>1119</t>
  </si>
  <si>
    <t>159000</t>
  </si>
  <si>
    <t>400/12/04</t>
  </si>
  <si>
    <t>400/12/03</t>
  </si>
  <si>
    <t>اسلام آباد 10</t>
  </si>
  <si>
    <t>1705</t>
  </si>
  <si>
    <t>6347</t>
  </si>
  <si>
    <t>98/02/23</t>
  </si>
  <si>
    <t>98/02/18</t>
  </si>
  <si>
    <t>401/02/28</t>
  </si>
  <si>
    <t>3358</t>
  </si>
  <si>
    <t>6556</t>
  </si>
  <si>
    <t>401/02/29</t>
  </si>
  <si>
    <t>10032</t>
  </si>
  <si>
    <t>401/03/01</t>
  </si>
  <si>
    <t>خرداد</t>
  </si>
  <si>
    <t>ناظریه 3</t>
  </si>
  <si>
    <t>برزگر</t>
  </si>
  <si>
    <t>1679</t>
  </si>
  <si>
    <t>6554</t>
  </si>
  <si>
    <t>401/03/02</t>
  </si>
  <si>
    <t>1715</t>
  </si>
  <si>
    <t>5390</t>
  </si>
  <si>
    <t>401/03/03</t>
  </si>
  <si>
    <t>2075</t>
  </si>
  <si>
    <t>6180</t>
  </si>
  <si>
    <t>401/03/04</t>
  </si>
  <si>
    <t>رجایی 1</t>
  </si>
  <si>
    <t>1937</t>
  </si>
  <si>
    <t>6353</t>
  </si>
  <si>
    <t>96/10/17</t>
  </si>
  <si>
    <t>1129</t>
  </si>
  <si>
    <t>5587</t>
  </si>
  <si>
    <t>کشف رود 7</t>
  </si>
  <si>
    <t>پارگی لوله آبده</t>
  </si>
  <si>
    <t>3065</t>
  </si>
  <si>
    <t>15668</t>
  </si>
  <si>
    <t>400/05/14</t>
  </si>
  <si>
    <t>3359</t>
  </si>
  <si>
    <t>6551</t>
  </si>
  <si>
    <t>401/03/05</t>
  </si>
  <si>
    <t>امام رضا 4</t>
  </si>
  <si>
    <t>2026</t>
  </si>
  <si>
    <t>15667</t>
  </si>
  <si>
    <t>400/03/03</t>
  </si>
  <si>
    <t>400/03/01</t>
  </si>
  <si>
    <t>قایم مقامی</t>
  </si>
  <si>
    <t>1848</t>
  </si>
  <si>
    <t>5591</t>
  </si>
  <si>
    <t>96/03/01</t>
  </si>
  <si>
    <t>96/02/24</t>
  </si>
  <si>
    <t>401/03/07</t>
  </si>
  <si>
    <t>شاهد 61</t>
  </si>
  <si>
    <t>3346</t>
  </si>
  <si>
    <t>159004</t>
  </si>
  <si>
    <t>400/12/21</t>
  </si>
  <si>
    <t>401/03/08</t>
  </si>
  <si>
    <t>کارتن سازی</t>
  </si>
  <si>
    <t>1965</t>
  </si>
  <si>
    <t>6184</t>
  </si>
  <si>
    <t>97/06/15</t>
  </si>
  <si>
    <t>97/06/14</t>
  </si>
  <si>
    <t>شمس آباد 3</t>
  </si>
  <si>
    <t>1723</t>
  </si>
  <si>
    <t>15650</t>
  </si>
  <si>
    <t>99/04/12</t>
  </si>
  <si>
    <t>99/03/31</t>
  </si>
  <si>
    <t>401/03/09</t>
  </si>
  <si>
    <t>ناظریه 5</t>
  </si>
  <si>
    <t>2065</t>
  </si>
  <si>
    <t>6555</t>
  </si>
  <si>
    <t>401/03/10</t>
  </si>
  <si>
    <t>1718</t>
  </si>
  <si>
    <t>6550</t>
  </si>
  <si>
    <t>کورده 1</t>
  </si>
  <si>
    <t>3103</t>
  </si>
  <si>
    <t>15639</t>
  </si>
  <si>
    <t>99/03/21</t>
  </si>
  <si>
    <t>401/03/11</t>
  </si>
  <si>
    <t>401/03/12</t>
  </si>
  <si>
    <t>جنگی 13</t>
  </si>
  <si>
    <t>3317</t>
  </si>
  <si>
    <t>400/06/16</t>
  </si>
  <si>
    <t>400/06/14</t>
  </si>
  <si>
    <t>401/03/14</t>
  </si>
  <si>
    <t>چمران 1</t>
  </si>
  <si>
    <t>1846</t>
  </si>
  <si>
    <t>6557</t>
  </si>
  <si>
    <t>401/03/13</t>
  </si>
  <si>
    <t>401/03/16</t>
  </si>
  <si>
    <t>85/06/12</t>
  </si>
  <si>
    <t>1385</t>
  </si>
  <si>
    <t>401/03/17</t>
  </si>
  <si>
    <t>6547</t>
  </si>
  <si>
    <t>2081</t>
  </si>
  <si>
    <t>6549</t>
  </si>
  <si>
    <t>401/03/18</t>
  </si>
  <si>
    <t>2066</t>
  </si>
  <si>
    <t>6373</t>
  </si>
  <si>
    <t>2069</t>
  </si>
  <si>
    <t>6548</t>
  </si>
  <si>
    <t>401/03/19</t>
  </si>
  <si>
    <t>وکیل آباد</t>
  </si>
  <si>
    <t>1897</t>
  </si>
  <si>
    <t>293/7</t>
  </si>
  <si>
    <t>10028</t>
  </si>
  <si>
    <t>97/09/27</t>
  </si>
  <si>
    <t>97/09/22</t>
  </si>
  <si>
    <t>9</t>
  </si>
  <si>
    <t>اسلام آباد 2</t>
  </si>
  <si>
    <t>91/06/17</t>
  </si>
  <si>
    <t>1391</t>
  </si>
  <si>
    <t>401/03/20</t>
  </si>
  <si>
    <t>3355</t>
  </si>
  <si>
    <t>6473</t>
  </si>
  <si>
    <t>401/03/22</t>
  </si>
  <si>
    <t>امام رضا 6</t>
  </si>
  <si>
    <t>1850</t>
  </si>
  <si>
    <t>5762</t>
  </si>
  <si>
    <t>96/03/13</t>
  </si>
  <si>
    <t>401/03/24</t>
  </si>
  <si>
    <t>طلاب 2</t>
  </si>
  <si>
    <t>1949</t>
  </si>
  <si>
    <t>6386</t>
  </si>
  <si>
    <t>97/04/25</t>
  </si>
  <si>
    <t>97/04/23</t>
  </si>
  <si>
    <t>401/03/26</t>
  </si>
  <si>
    <t>15431</t>
  </si>
  <si>
    <t>401/03/28</t>
  </si>
  <si>
    <t>امامیه 10</t>
  </si>
  <si>
    <t>3030</t>
  </si>
  <si>
    <t>5674</t>
  </si>
  <si>
    <t>400/02/04</t>
  </si>
  <si>
    <t>400/01/31</t>
  </si>
  <si>
    <t>401/03/29</t>
  </si>
  <si>
    <t>1462</t>
  </si>
  <si>
    <t>6471</t>
  </si>
  <si>
    <t>401/03/25</t>
  </si>
  <si>
    <t>3362</t>
  </si>
  <si>
    <t>159008</t>
  </si>
  <si>
    <t>401/03/27</t>
  </si>
  <si>
    <t>401/03/30</t>
  </si>
  <si>
    <t>1419</t>
  </si>
  <si>
    <t>401/03/31</t>
  </si>
  <si>
    <t>اولنگ 1</t>
  </si>
  <si>
    <t>فضای سبز</t>
  </si>
  <si>
    <t>1156</t>
  </si>
  <si>
    <t>233/8</t>
  </si>
  <si>
    <t>6200</t>
  </si>
  <si>
    <t>98/03/09</t>
  </si>
  <si>
    <t>امامیه 5</t>
  </si>
  <si>
    <t>1839</t>
  </si>
  <si>
    <t>6301</t>
  </si>
  <si>
    <t>96/02/09</t>
  </si>
  <si>
    <t>96/02/06</t>
  </si>
  <si>
    <t>401/04/01</t>
  </si>
  <si>
    <t>تیر</t>
  </si>
  <si>
    <t>3363</t>
  </si>
  <si>
    <t>159002</t>
  </si>
  <si>
    <t>15</t>
  </si>
  <si>
    <t>3354</t>
  </si>
  <si>
    <t>5174</t>
  </si>
  <si>
    <t>401/04/02</t>
  </si>
  <si>
    <t>دهشک</t>
  </si>
  <si>
    <t>401/04/03</t>
  </si>
  <si>
    <t>2053</t>
  </si>
  <si>
    <t>6474</t>
  </si>
  <si>
    <t>401/0402</t>
  </si>
  <si>
    <t>401/04/04</t>
  </si>
  <si>
    <t>منزل آباد روستایی</t>
  </si>
  <si>
    <t>1681</t>
  </si>
  <si>
    <t>401/04/05</t>
  </si>
  <si>
    <t>فرخد</t>
  </si>
  <si>
    <t>3186</t>
  </si>
  <si>
    <t>15755</t>
  </si>
  <si>
    <t>سوران 7</t>
  </si>
  <si>
    <t>1914</t>
  </si>
  <si>
    <t>6536</t>
  </si>
  <si>
    <t>400/05/13</t>
  </si>
  <si>
    <t>400/05/10</t>
  </si>
  <si>
    <t>کورده 9</t>
  </si>
  <si>
    <t>1911</t>
  </si>
  <si>
    <t>6526</t>
  </si>
  <si>
    <t>96/04/14</t>
  </si>
  <si>
    <t>باهنر 3</t>
  </si>
  <si>
    <t>10012</t>
  </si>
  <si>
    <t>401/04/06</t>
  </si>
  <si>
    <t>18/5</t>
  </si>
  <si>
    <t>401/04/30</t>
  </si>
  <si>
    <t>401/04/07</t>
  </si>
  <si>
    <t>3353</t>
  </si>
  <si>
    <t>5170</t>
  </si>
  <si>
    <t>نسترن</t>
  </si>
  <si>
    <t>1262</t>
  </si>
  <si>
    <t>374/6</t>
  </si>
  <si>
    <t>5610</t>
  </si>
  <si>
    <t>93/02/18</t>
  </si>
  <si>
    <t>401/04/08</t>
  </si>
  <si>
    <t>3365</t>
  </si>
  <si>
    <t>159010</t>
  </si>
  <si>
    <t>3366</t>
  </si>
  <si>
    <t>159012</t>
  </si>
  <si>
    <t>401/04/10</t>
  </si>
  <si>
    <t>فارمد</t>
  </si>
  <si>
    <t>توانا</t>
  </si>
  <si>
    <t>1227</t>
  </si>
  <si>
    <t>15632</t>
  </si>
  <si>
    <t>1864</t>
  </si>
  <si>
    <t>6456</t>
  </si>
  <si>
    <t>401/04/11</t>
  </si>
  <si>
    <t>3367</t>
  </si>
  <si>
    <t>159011</t>
  </si>
  <si>
    <t>صدف 1</t>
  </si>
  <si>
    <t>47</t>
  </si>
  <si>
    <t>طالبی</t>
  </si>
  <si>
    <t>89/03/26</t>
  </si>
  <si>
    <t>89/03/24</t>
  </si>
  <si>
    <t>1389</t>
  </si>
  <si>
    <t>401/04/12</t>
  </si>
  <si>
    <t>401/04/13</t>
  </si>
  <si>
    <t>6157</t>
  </si>
  <si>
    <t>امامیه 19</t>
  </si>
  <si>
    <t>3357</t>
  </si>
  <si>
    <t>15390</t>
  </si>
  <si>
    <t>401/04/14</t>
  </si>
  <si>
    <t>حجت 1</t>
  </si>
  <si>
    <t>3361</t>
  </si>
  <si>
    <t>6476</t>
  </si>
  <si>
    <t>401/04/15</t>
  </si>
  <si>
    <t>3368</t>
  </si>
  <si>
    <t>159013</t>
  </si>
  <si>
    <t>3370</t>
  </si>
  <si>
    <t>6480</t>
  </si>
  <si>
    <t>401/04/16</t>
  </si>
  <si>
    <t>پردیس راه آهن</t>
  </si>
  <si>
    <t>66</t>
  </si>
  <si>
    <t>88/12/25</t>
  </si>
  <si>
    <t>88/12/22</t>
  </si>
  <si>
    <t>سیمان شهر 1</t>
  </si>
  <si>
    <t>1883</t>
  </si>
  <si>
    <t>6343</t>
  </si>
  <si>
    <t>96/11/04</t>
  </si>
  <si>
    <t>401/04/18</t>
  </si>
  <si>
    <t>1367</t>
  </si>
  <si>
    <t>3371</t>
  </si>
  <si>
    <t>159014</t>
  </si>
  <si>
    <t>سیم الکتریک</t>
  </si>
  <si>
    <t>6478</t>
  </si>
  <si>
    <t>401/04/19</t>
  </si>
  <si>
    <t>فرهنگیان 2</t>
  </si>
  <si>
    <t>1486</t>
  </si>
  <si>
    <t>5651</t>
  </si>
  <si>
    <t>93/10/21</t>
  </si>
  <si>
    <t>93/10/20</t>
  </si>
  <si>
    <t>التیمور 7</t>
  </si>
  <si>
    <t>27</t>
  </si>
  <si>
    <t>90/11/25</t>
  </si>
  <si>
    <t>1390</t>
  </si>
  <si>
    <t>401/04/20</t>
  </si>
  <si>
    <t>6481</t>
  </si>
  <si>
    <t>امامیه 18</t>
  </si>
  <si>
    <t>3047</t>
  </si>
  <si>
    <t>6660</t>
  </si>
  <si>
    <t>98/03/12</t>
  </si>
  <si>
    <t>401/04/21</t>
  </si>
  <si>
    <t>جنگی 9</t>
  </si>
  <si>
    <t>فرهنکیان 2</t>
  </si>
  <si>
    <t>3372</t>
  </si>
  <si>
    <t>159015</t>
  </si>
  <si>
    <t>401/04/22</t>
  </si>
  <si>
    <t>6100</t>
  </si>
  <si>
    <t>میدان کوشه ای</t>
  </si>
  <si>
    <t>1044</t>
  </si>
  <si>
    <t>5144</t>
  </si>
  <si>
    <t>91/01/30</t>
  </si>
  <si>
    <t>91/11/07</t>
  </si>
  <si>
    <t>401/04/23</t>
  </si>
  <si>
    <t>خاتم الانبیا</t>
  </si>
  <si>
    <t>1982</t>
  </si>
  <si>
    <t>10017</t>
  </si>
  <si>
    <t>97/08/21</t>
  </si>
  <si>
    <t>97/08/13</t>
  </si>
  <si>
    <t>کوشک مهدی</t>
  </si>
  <si>
    <t>3118</t>
  </si>
  <si>
    <t>15656</t>
  </si>
  <si>
    <t>99/05/15</t>
  </si>
  <si>
    <t>9905/13</t>
  </si>
  <si>
    <t>سپاد 2</t>
  </si>
  <si>
    <t>3373</t>
  </si>
  <si>
    <t>374/7</t>
  </si>
  <si>
    <t>159016</t>
  </si>
  <si>
    <t>401/04/25</t>
  </si>
  <si>
    <t>1516</t>
  </si>
  <si>
    <t>5342</t>
  </si>
  <si>
    <t>401/04/24</t>
  </si>
  <si>
    <t>سیمانشهر 1</t>
  </si>
  <si>
    <t>1510</t>
  </si>
  <si>
    <t>6711</t>
  </si>
  <si>
    <t>401/04/26</t>
  </si>
  <si>
    <t>1952</t>
  </si>
  <si>
    <t>10030</t>
  </si>
  <si>
    <t>400/01/24</t>
  </si>
  <si>
    <t>امام رضا 18</t>
  </si>
  <si>
    <t>1722</t>
  </si>
  <si>
    <t>5671</t>
  </si>
  <si>
    <t>99/07/07</t>
  </si>
  <si>
    <t>99/07/06</t>
  </si>
  <si>
    <t>401/04/28</t>
  </si>
  <si>
    <t>پرکند آباد روستایی</t>
  </si>
  <si>
    <t>401/04/27</t>
  </si>
  <si>
    <t>401/04/29</t>
  </si>
  <si>
    <t>اتوبوسرانی</t>
  </si>
  <si>
    <t>صدا و لرزش</t>
  </si>
  <si>
    <t>1541</t>
  </si>
  <si>
    <t>5463</t>
  </si>
  <si>
    <t>400/05/01</t>
  </si>
  <si>
    <t>400/04/29</t>
  </si>
  <si>
    <t>روستای جغری</t>
  </si>
  <si>
    <t>1137</t>
  </si>
  <si>
    <t>6477</t>
  </si>
  <si>
    <t>401/04/31</t>
  </si>
  <si>
    <t>روستای امیریان</t>
  </si>
  <si>
    <t>3486</t>
  </si>
  <si>
    <t>15757</t>
  </si>
  <si>
    <t>401/05/01</t>
  </si>
  <si>
    <t>مرداد</t>
  </si>
  <si>
    <t>6312</t>
  </si>
  <si>
    <t>401/05/02</t>
  </si>
  <si>
    <t>وحدت ( ششصد دستگاه )</t>
  </si>
  <si>
    <t>1621</t>
  </si>
  <si>
    <t>5102</t>
  </si>
  <si>
    <t>95/07/19</t>
  </si>
  <si>
    <t>95/07/20</t>
  </si>
  <si>
    <t>401/05/03</t>
  </si>
  <si>
    <t>کشف رود 1</t>
  </si>
  <si>
    <t>تغییرات فشار شبکه</t>
  </si>
  <si>
    <t>1886</t>
  </si>
  <si>
    <t>5790</t>
  </si>
  <si>
    <t>99/07/19</t>
  </si>
  <si>
    <t>99/07/13</t>
  </si>
  <si>
    <t>401/05/04</t>
  </si>
  <si>
    <t>بنیاد</t>
  </si>
  <si>
    <t>3003</t>
  </si>
  <si>
    <t>15671</t>
  </si>
  <si>
    <t>99/08/15</t>
  </si>
  <si>
    <t>99/08/14</t>
  </si>
  <si>
    <t>1240</t>
  </si>
  <si>
    <t>293/9</t>
  </si>
  <si>
    <t>6638</t>
  </si>
  <si>
    <t>401/05/05</t>
  </si>
  <si>
    <t>1625</t>
  </si>
  <si>
    <t>5772</t>
  </si>
  <si>
    <t>401/05/06</t>
  </si>
  <si>
    <t>میراث 2</t>
  </si>
  <si>
    <t>3389</t>
  </si>
  <si>
    <t>6608/9</t>
  </si>
  <si>
    <t>6482</t>
  </si>
  <si>
    <t>اندیشه 2</t>
  </si>
  <si>
    <t>374/8</t>
  </si>
  <si>
    <t>15363</t>
  </si>
  <si>
    <t>401/05/08</t>
  </si>
  <si>
    <t>1955</t>
  </si>
  <si>
    <t>15674</t>
  </si>
  <si>
    <t>400/09/02</t>
  </si>
  <si>
    <t>401/05/10</t>
  </si>
  <si>
    <t>5235</t>
  </si>
  <si>
    <t>401/05/09</t>
  </si>
  <si>
    <t>دزق</t>
  </si>
  <si>
    <t>3137</t>
  </si>
  <si>
    <t>193/12</t>
  </si>
  <si>
    <t>15669</t>
  </si>
  <si>
    <t>99/10/22</t>
  </si>
  <si>
    <t>1993</t>
  </si>
  <si>
    <t>401/05/12</t>
  </si>
  <si>
    <t>ابوطالب 4</t>
  </si>
  <si>
    <t>1898</t>
  </si>
  <si>
    <t>15360</t>
  </si>
  <si>
    <t>98/07/08</t>
  </si>
  <si>
    <t>98/05/28</t>
  </si>
  <si>
    <t>401/05/13</t>
  </si>
  <si>
    <t>کورده روستایی</t>
  </si>
  <si>
    <t>6608/12</t>
  </si>
  <si>
    <t>3388</t>
  </si>
  <si>
    <t>6479</t>
  </si>
  <si>
    <t>401/05/11</t>
  </si>
  <si>
    <t>چهچهه</t>
  </si>
  <si>
    <t>401/05/15</t>
  </si>
  <si>
    <t>1408</t>
  </si>
  <si>
    <t>384/4</t>
  </si>
  <si>
    <t>6407</t>
  </si>
  <si>
    <t>پمپاژ همت آباد</t>
  </si>
  <si>
    <t>3171</t>
  </si>
  <si>
    <t>345/2</t>
  </si>
  <si>
    <t>6410</t>
  </si>
  <si>
    <t>401/05/14</t>
  </si>
  <si>
    <t>401/05/16</t>
  </si>
  <si>
    <t>1623</t>
  </si>
  <si>
    <t>15638</t>
  </si>
  <si>
    <t>401/05/18</t>
  </si>
  <si>
    <t>401/05/19</t>
  </si>
  <si>
    <t>401/05/22</t>
  </si>
  <si>
    <t>محمد آباد قدس</t>
  </si>
  <si>
    <t>3380</t>
  </si>
  <si>
    <t>233/13</t>
  </si>
  <si>
    <t>6413</t>
  </si>
  <si>
    <t>401/05/20</t>
  </si>
  <si>
    <t>401/05/23</t>
  </si>
  <si>
    <t>الهیه 4</t>
  </si>
  <si>
    <t>1953</t>
  </si>
  <si>
    <t>401/05/24</t>
  </si>
  <si>
    <t>3378</t>
  </si>
  <si>
    <t>6544</t>
  </si>
  <si>
    <t>شهربانی 1</t>
  </si>
  <si>
    <t>1207</t>
  </si>
  <si>
    <t>5018</t>
  </si>
  <si>
    <t>93/02/01</t>
  </si>
  <si>
    <t>401/05/25</t>
  </si>
  <si>
    <t>3379</t>
  </si>
  <si>
    <t>6411</t>
  </si>
  <si>
    <t>2046</t>
  </si>
  <si>
    <t>15859</t>
  </si>
  <si>
    <t>401/05/26</t>
  </si>
  <si>
    <t>شاهنامه 70</t>
  </si>
  <si>
    <t>1967</t>
  </si>
  <si>
    <t>6329</t>
  </si>
  <si>
    <t>97/06/23</t>
  </si>
  <si>
    <t>97/06/22</t>
  </si>
  <si>
    <t>401/05/27</t>
  </si>
  <si>
    <t>کوی کارگران</t>
  </si>
  <si>
    <t>2007</t>
  </si>
  <si>
    <t>6041</t>
  </si>
  <si>
    <t>400/12/22</t>
  </si>
  <si>
    <t>حسین آباد قرقی</t>
  </si>
  <si>
    <t>401/05/29</t>
  </si>
  <si>
    <t>1611</t>
  </si>
  <si>
    <t>159019</t>
  </si>
  <si>
    <t>401/05/30</t>
  </si>
  <si>
    <t>1429</t>
  </si>
  <si>
    <t>وحدت ( ششصددستگاه )</t>
  </si>
  <si>
    <t>401/05/31</t>
  </si>
  <si>
    <t>3383</t>
  </si>
  <si>
    <t>6608/13</t>
  </si>
  <si>
    <t>6764</t>
  </si>
  <si>
    <t>امام رضا 43</t>
  </si>
  <si>
    <t>94/06/29</t>
  </si>
  <si>
    <t>401/06/01</t>
  </si>
  <si>
    <t>شهریور</t>
  </si>
  <si>
    <t>گلشهر 2</t>
  </si>
  <si>
    <t>3031</t>
  </si>
  <si>
    <t>15365</t>
  </si>
  <si>
    <t>97/12/24</t>
  </si>
  <si>
    <t>97/12/23</t>
  </si>
  <si>
    <t xml:space="preserve">رستمی </t>
  </si>
  <si>
    <t>32</t>
  </si>
  <si>
    <t>90/02/02</t>
  </si>
  <si>
    <t>89/01/29</t>
  </si>
  <si>
    <t>401/06/02</t>
  </si>
  <si>
    <t>ناظریه 1</t>
  </si>
  <si>
    <t>3376</t>
  </si>
  <si>
    <t>401/06/03</t>
  </si>
  <si>
    <t>159030</t>
  </si>
  <si>
    <t>امام رضا 65</t>
  </si>
  <si>
    <t>3054</t>
  </si>
  <si>
    <t>15394</t>
  </si>
  <si>
    <t>98/05/02</t>
  </si>
  <si>
    <t>98/05/01</t>
  </si>
  <si>
    <t>اسلام آباد 13</t>
  </si>
  <si>
    <t>1837</t>
  </si>
  <si>
    <t>6055</t>
  </si>
  <si>
    <t>96/02/04</t>
  </si>
  <si>
    <t>96/02/02</t>
  </si>
  <si>
    <t>401/06/04</t>
  </si>
  <si>
    <t>سیدی 8</t>
  </si>
  <si>
    <t>3377</t>
  </si>
  <si>
    <t>374/4</t>
  </si>
  <si>
    <t>6753</t>
  </si>
  <si>
    <t>ناظریه 6</t>
  </si>
  <si>
    <t>1908</t>
  </si>
  <si>
    <t>6358</t>
  </si>
  <si>
    <t>400/07/08</t>
  </si>
  <si>
    <t>400/07/04</t>
  </si>
  <si>
    <t>401/06/05</t>
  </si>
  <si>
    <t>امام رضا 27</t>
  </si>
  <si>
    <t>1256</t>
  </si>
  <si>
    <t>15428</t>
  </si>
  <si>
    <t>98/09/10</t>
  </si>
  <si>
    <t>98/07/27</t>
  </si>
  <si>
    <t>امامیه 1</t>
  </si>
  <si>
    <t>88/06/25</t>
  </si>
  <si>
    <t>88/06/22</t>
  </si>
  <si>
    <t>401/06/06</t>
  </si>
  <si>
    <t>کشف رود 6</t>
  </si>
  <si>
    <t>100</t>
  </si>
  <si>
    <t>28</t>
  </si>
  <si>
    <t>88/05/16</t>
  </si>
  <si>
    <t>88/05/15</t>
  </si>
  <si>
    <t>3387</t>
  </si>
  <si>
    <t>15645</t>
  </si>
  <si>
    <t>فردوسی قرائی</t>
  </si>
  <si>
    <t>435/5A</t>
  </si>
  <si>
    <t>86/06/29</t>
  </si>
  <si>
    <t>86/08/25</t>
  </si>
  <si>
    <t>نوید</t>
  </si>
  <si>
    <t>3386</t>
  </si>
  <si>
    <t>6656</t>
  </si>
  <si>
    <t>401/06/07</t>
  </si>
  <si>
    <t>رجایی 4</t>
  </si>
  <si>
    <t>401/06/08</t>
  </si>
  <si>
    <t>آماده سازی 4</t>
  </si>
  <si>
    <t>5395</t>
  </si>
  <si>
    <t>400/03/12</t>
  </si>
  <si>
    <t>400/03/10</t>
  </si>
  <si>
    <t>2002</t>
  </si>
  <si>
    <t>401/06/09</t>
  </si>
  <si>
    <t>2003</t>
  </si>
  <si>
    <t>6409</t>
  </si>
  <si>
    <t>خدمات 1</t>
  </si>
  <si>
    <t>1690</t>
  </si>
  <si>
    <t>5737</t>
  </si>
  <si>
    <t>400/07/30</t>
  </si>
  <si>
    <t>سجادیه 3</t>
  </si>
  <si>
    <t>3062</t>
  </si>
  <si>
    <t>15402</t>
  </si>
  <si>
    <t>401/06/10</t>
  </si>
  <si>
    <t>نوید ( قدیم )</t>
  </si>
  <si>
    <t>3069</t>
  </si>
  <si>
    <t>5229</t>
  </si>
  <si>
    <t>99/04/15</t>
  </si>
  <si>
    <t>99/04/14</t>
  </si>
  <si>
    <t>6745</t>
  </si>
  <si>
    <t>401/06/13</t>
  </si>
  <si>
    <t>3381</t>
  </si>
  <si>
    <t>6609/8</t>
  </si>
  <si>
    <t>6750</t>
  </si>
  <si>
    <t>401/06/12</t>
  </si>
  <si>
    <t>3375</t>
  </si>
  <si>
    <t>374/5A</t>
  </si>
  <si>
    <t>6749</t>
  </si>
  <si>
    <t>حجاب 3</t>
  </si>
  <si>
    <t>1985</t>
  </si>
  <si>
    <t>10019</t>
  </si>
  <si>
    <t>97/08/19</t>
  </si>
  <si>
    <t>401/06/14</t>
  </si>
  <si>
    <t>کورده 5</t>
  </si>
  <si>
    <t>1861</t>
  </si>
  <si>
    <t>6119</t>
  </si>
  <si>
    <t>98/11/15</t>
  </si>
  <si>
    <t>98/11/14</t>
  </si>
  <si>
    <t>راه آهن</t>
  </si>
  <si>
    <t>3010</t>
  </si>
  <si>
    <t>10035</t>
  </si>
  <si>
    <t>97/10/12</t>
  </si>
  <si>
    <t>97/10/10</t>
  </si>
  <si>
    <t>ناسیونال</t>
  </si>
  <si>
    <t>1775</t>
  </si>
  <si>
    <t>193/7</t>
  </si>
  <si>
    <t>6645</t>
  </si>
  <si>
    <t>95/07/07</t>
  </si>
  <si>
    <t>95/07/06</t>
  </si>
  <si>
    <t>401/06/15</t>
  </si>
  <si>
    <t>سلطان آباد نمک</t>
  </si>
  <si>
    <t>1550</t>
  </si>
  <si>
    <t>6746</t>
  </si>
  <si>
    <t>1998</t>
  </si>
  <si>
    <t>6159</t>
  </si>
  <si>
    <t>401/06/16</t>
  </si>
  <si>
    <t>سید جلال 1</t>
  </si>
  <si>
    <t>1860</t>
  </si>
  <si>
    <t>6024</t>
  </si>
  <si>
    <t>96/04/27</t>
  </si>
  <si>
    <t>96/04/24</t>
  </si>
  <si>
    <t>401/06/17</t>
  </si>
  <si>
    <t>میدان قائم</t>
  </si>
  <si>
    <t>1471</t>
  </si>
  <si>
    <t>10021</t>
  </si>
  <si>
    <t>97/09/08</t>
  </si>
  <si>
    <t>97/08/20</t>
  </si>
  <si>
    <t>ثمانه</t>
  </si>
  <si>
    <t>3075</t>
  </si>
  <si>
    <t>15419</t>
  </si>
  <si>
    <t>98/07/25</t>
  </si>
  <si>
    <t>98/07/21</t>
  </si>
  <si>
    <t>6483</t>
  </si>
  <si>
    <t>401/06/18</t>
  </si>
  <si>
    <t>سوران 3</t>
  </si>
  <si>
    <t>1885</t>
  </si>
  <si>
    <t>15437</t>
  </si>
  <si>
    <t>98/11/23</t>
  </si>
  <si>
    <t>98/11/20</t>
  </si>
  <si>
    <t>401/06/19</t>
  </si>
  <si>
    <t>1246</t>
  </si>
  <si>
    <t>6406</t>
  </si>
  <si>
    <t>401/06/20</t>
  </si>
  <si>
    <t>401/06/21</t>
  </si>
  <si>
    <t>2044</t>
  </si>
  <si>
    <t>5154</t>
  </si>
  <si>
    <t>401/06/22</t>
  </si>
  <si>
    <t>رجایی 2</t>
  </si>
  <si>
    <t>1879</t>
  </si>
  <si>
    <t>5379</t>
  </si>
  <si>
    <t>رایان</t>
  </si>
  <si>
    <t>96/07/18</t>
  </si>
  <si>
    <t>96/07/02</t>
  </si>
  <si>
    <t>روستای بهار</t>
  </si>
  <si>
    <t>000</t>
  </si>
  <si>
    <t>6747</t>
  </si>
  <si>
    <t>کوی منتظری</t>
  </si>
  <si>
    <t>3323</t>
  </si>
  <si>
    <t>15872</t>
  </si>
  <si>
    <t>400/07/03</t>
  </si>
  <si>
    <t>401/06/25</t>
  </si>
  <si>
    <t>2088</t>
  </si>
  <si>
    <t>401/06/24</t>
  </si>
  <si>
    <t>401/06/27</t>
  </si>
  <si>
    <t>آماده سازی 3</t>
  </si>
  <si>
    <t>3080</t>
  </si>
  <si>
    <t>15438</t>
  </si>
  <si>
    <t>98/11/28</t>
  </si>
  <si>
    <t>98/11/26</t>
  </si>
  <si>
    <t>امامیه 15</t>
  </si>
  <si>
    <t>3045</t>
  </si>
  <si>
    <t>15374</t>
  </si>
  <si>
    <t>98/02/29</t>
  </si>
  <si>
    <t>98/02/28</t>
  </si>
  <si>
    <t>401/06/29</t>
  </si>
  <si>
    <t>نصب نشده ( گیر )</t>
  </si>
  <si>
    <t>98/08/27</t>
  </si>
  <si>
    <t>6748</t>
  </si>
  <si>
    <t>401/06/28</t>
  </si>
  <si>
    <t>401/06/30</t>
  </si>
  <si>
    <t>6417</t>
  </si>
  <si>
    <t>401/06/31</t>
  </si>
  <si>
    <t>گوندوک</t>
  </si>
  <si>
    <t>193/10</t>
  </si>
  <si>
    <t>گون دوک</t>
  </si>
  <si>
    <t>3393</t>
  </si>
  <si>
    <t>6414</t>
  </si>
  <si>
    <t>05</t>
  </si>
  <si>
    <t>امامیه 22</t>
  </si>
  <si>
    <t>1923</t>
  </si>
  <si>
    <t>5641</t>
  </si>
  <si>
    <t>99/05/21</t>
  </si>
  <si>
    <t>401/07/03</t>
  </si>
  <si>
    <t>مهر</t>
  </si>
  <si>
    <t>6611/10</t>
  </si>
  <si>
    <t>6419</t>
  </si>
  <si>
    <t>401/07/02</t>
  </si>
  <si>
    <t>401/07/05</t>
  </si>
  <si>
    <t>اندرخ 5</t>
  </si>
  <si>
    <t>1557</t>
  </si>
  <si>
    <t>15689</t>
  </si>
  <si>
    <t>99/12/20</t>
  </si>
  <si>
    <t>99/12/13</t>
  </si>
  <si>
    <t>401/07/09</t>
  </si>
  <si>
    <t>401/07/10</t>
  </si>
  <si>
    <t>3401</t>
  </si>
  <si>
    <t>5143</t>
  </si>
  <si>
    <t>159021</t>
  </si>
  <si>
    <t>401/07/11</t>
  </si>
  <si>
    <t>سیدی 9</t>
  </si>
  <si>
    <t>2029</t>
  </si>
  <si>
    <t>5723</t>
  </si>
  <si>
    <t>400/09/29</t>
  </si>
  <si>
    <t>400/09/28</t>
  </si>
  <si>
    <t>401/07/12</t>
  </si>
  <si>
    <t>لشگر 2</t>
  </si>
  <si>
    <t>1618</t>
  </si>
  <si>
    <t>10043</t>
  </si>
  <si>
    <t>400/04/28</t>
  </si>
  <si>
    <t>401/07/13</t>
  </si>
  <si>
    <t>3134</t>
  </si>
  <si>
    <t>15679</t>
  </si>
  <si>
    <t>99/10/02</t>
  </si>
  <si>
    <t>99/09/22</t>
  </si>
  <si>
    <t>5336</t>
  </si>
  <si>
    <t>400/07/12</t>
  </si>
  <si>
    <t>401/07/14</t>
  </si>
  <si>
    <t>6420</t>
  </si>
  <si>
    <t>ایراد از کابل ها بوده که در هنگام کشیدن مشخص شد کابل زخمی است</t>
  </si>
  <si>
    <t>401/07/17</t>
  </si>
  <si>
    <t>401/07/16</t>
  </si>
  <si>
    <t>خدربیک</t>
  </si>
  <si>
    <t>1636</t>
  </si>
  <si>
    <t>6016</t>
  </si>
  <si>
    <t>95/09/15</t>
  </si>
  <si>
    <t>95/09/14</t>
  </si>
  <si>
    <t>401/07/18</t>
  </si>
  <si>
    <t>امام رضا 19</t>
  </si>
  <si>
    <t>2083</t>
  </si>
  <si>
    <t>6403</t>
  </si>
  <si>
    <t>400/12/27</t>
  </si>
  <si>
    <t>داخل سوپاپ پمپ پر ماسه بوده و طبقات  و پروانه پمپ بطور کلی تخریب شده است</t>
  </si>
  <si>
    <t>امام رضا 15</t>
  </si>
  <si>
    <t>3046</t>
  </si>
  <si>
    <t>15384</t>
  </si>
  <si>
    <t>98/03/08</t>
  </si>
  <si>
    <t>98/03/01</t>
  </si>
  <si>
    <t>لاستیک دیافراگم الکتروموتور پاره شده و یک رشته از کابل های الکتروموتور ذوب شده بود . طبقات پمپ بعلت نشستن بیش از حد روتور باعث از بین رفتن پروانه ها و طبقات پمپ شده است</t>
  </si>
  <si>
    <t>401/07/19</t>
  </si>
  <si>
    <t>159048</t>
  </si>
  <si>
    <t>401/07/20</t>
  </si>
  <si>
    <t>1631</t>
  </si>
  <si>
    <t>6416</t>
  </si>
  <si>
    <t>401/07/21</t>
  </si>
  <si>
    <t>سیدی 2</t>
  </si>
  <si>
    <t>92/02/21</t>
  </si>
  <si>
    <t>401/07/22</t>
  </si>
  <si>
    <t>10029</t>
  </si>
  <si>
    <t>65</t>
  </si>
  <si>
    <t>401/07/24</t>
  </si>
  <si>
    <t>فرهاد</t>
  </si>
  <si>
    <t>1774</t>
  </si>
  <si>
    <t>6317</t>
  </si>
  <si>
    <t>96/05/08</t>
  </si>
  <si>
    <t>96/05/05</t>
  </si>
  <si>
    <t>موسوی قوچانی</t>
  </si>
  <si>
    <t>1649</t>
  </si>
  <si>
    <t>6003</t>
  </si>
  <si>
    <t>95/08/07</t>
  </si>
  <si>
    <t>95/08/04</t>
  </si>
  <si>
    <t>401/07/25</t>
  </si>
  <si>
    <t>رجایی 6</t>
  </si>
  <si>
    <t>3028</t>
  </si>
  <si>
    <t>15357</t>
  </si>
  <si>
    <t>98/01/29</t>
  </si>
  <si>
    <t>97/12/07</t>
  </si>
  <si>
    <t>گلشهر 3</t>
  </si>
  <si>
    <t>3024</t>
  </si>
  <si>
    <t>5760</t>
  </si>
  <si>
    <t>97/12/05</t>
  </si>
  <si>
    <t>97/12/01</t>
  </si>
  <si>
    <t>401/07/27</t>
  </si>
  <si>
    <t>1105</t>
  </si>
  <si>
    <t>5416</t>
  </si>
  <si>
    <t>4/4</t>
  </si>
  <si>
    <t>1698</t>
  </si>
  <si>
    <t>15417</t>
  </si>
  <si>
    <t>کاظم آباد پنجشنبه</t>
  </si>
  <si>
    <t>2096</t>
  </si>
  <si>
    <t>6617</t>
  </si>
  <si>
    <t>400/12/18</t>
  </si>
  <si>
    <t>400/12/17</t>
  </si>
  <si>
    <t>علت سوختن: عدم همخوانی کابل انتخاب شده با الکتروپمپ</t>
  </si>
  <si>
    <t>401/07/28</t>
  </si>
  <si>
    <t>3321</t>
  </si>
  <si>
    <t>15370</t>
  </si>
  <si>
    <t>400/06/24</t>
  </si>
  <si>
    <t>علت سوختن: افت ولتاژ شبکه برق</t>
  </si>
  <si>
    <t>6570</t>
  </si>
  <si>
    <t>401/08/02</t>
  </si>
  <si>
    <t>آبان</t>
  </si>
  <si>
    <t>3398</t>
  </si>
  <si>
    <t>6577</t>
  </si>
  <si>
    <t>3399</t>
  </si>
  <si>
    <t>6573</t>
  </si>
  <si>
    <t>401/08/04</t>
  </si>
  <si>
    <t>401/08/06</t>
  </si>
  <si>
    <t>3395</t>
  </si>
  <si>
    <t>159054</t>
  </si>
  <si>
    <t>401/08/05</t>
  </si>
  <si>
    <t>401/08/07</t>
  </si>
  <si>
    <t>5621</t>
  </si>
  <si>
    <t>401/08/08</t>
  </si>
  <si>
    <t>مسلم</t>
  </si>
  <si>
    <t>87/06/07</t>
  </si>
  <si>
    <t>1387</t>
  </si>
  <si>
    <t>امام رضا 13</t>
  </si>
  <si>
    <t>3076</t>
  </si>
  <si>
    <t>15421</t>
  </si>
  <si>
    <t>98/07/28</t>
  </si>
  <si>
    <t>1709</t>
  </si>
  <si>
    <t>159038</t>
  </si>
  <si>
    <t>-</t>
  </si>
  <si>
    <t>401/08/09</t>
  </si>
  <si>
    <t>گلشهر 7</t>
  </si>
  <si>
    <t>1972</t>
  </si>
  <si>
    <t>15397</t>
  </si>
  <si>
    <t>98/07/17</t>
  </si>
  <si>
    <t>98/07/15</t>
  </si>
  <si>
    <t>401/08/10</t>
  </si>
  <si>
    <t>3384</t>
  </si>
  <si>
    <t>5470</t>
  </si>
  <si>
    <t>401/08/11</t>
  </si>
  <si>
    <t>1633</t>
  </si>
  <si>
    <t>6012</t>
  </si>
  <si>
    <t>95/09/17</t>
  </si>
  <si>
    <t>95/08/17</t>
  </si>
  <si>
    <t>موتور  وپمپ تست شده و مشکلی از لحاظ الکتروپمپ وجود ندارد</t>
  </si>
  <si>
    <t>تخریب دیسک و کفگرد</t>
  </si>
  <si>
    <t xml:space="preserve">هوادهی و نوسان دبی زیاد باعث  بلند شدن و سقوط روتور  به دفعات زیاد شده که این امر باعث تخریب کفگرد شده است . </t>
  </si>
  <si>
    <t>401/08/12</t>
  </si>
  <si>
    <t>غدیر</t>
  </si>
  <si>
    <t>1704</t>
  </si>
  <si>
    <t>401/08/13</t>
  </si>
  <si>
    <t>159033</t>
  </si>
  <si>
    <t>اندرخ 4</t>
  </si>
  <si>
    <t>کاهش سطح استاتیک</t>
  </si>
  <si>
    <t>400/06/28</t>
  </si>
  <si>
    <t>اندرخ 6</t>
  </si>
  <si>
    <t>3316</t>
  </si>
  <si>
    <t>10005</t>
  </si>
  <si>
    <t>400/06/18</t>
  </si>
  <si>
    <t>400/06/09</t>
  </si>
  <si>
    <t xml:space="preserve">با توجه به حساسیت پمپهای 384 نسبت به ارتفاع کاهش سطح استاتیک و در نتیجه کاهش سطح دینامیک باعث کاهش دبی شده است  </t>
  </si>
  <si>
    <t>401/08/14</t>
  </si>
  <si>
    <t>وحدت</t>
  </si>
  <si>
    <t>3382</t>
  </si>
  <si>
    <t>159036</t>
  </si>
  <si>
    <t>گلشهر 8</t>
  </si>
  <si>
    <t>1414</t>
  </si>
  <si>
    <t>15359</t>
  </si>
  <si>
    <t>97/12/09</t>
  </si>
  <si>
    <t>401/08/15</t>
  </si>
  <si>
    <t>مهر آباد 1</t>
  </si>
  <si>
    <t>2097</t>
  </si>
  <si>
    <t>15427</t>
  </si>
  <si>
    <t>98/12/18</t>
  </si>
  <si>
    <t>98/12/15</t>
  </si>
  <si>
    <t>1847</t>
  </si>
  <si>
    <t>159022</t>
  </si>
  <si>
    <t>401/08/16</t>
  </si>
  <si>
    <t>کورده 13</t>
  </si>
  <si>
    <t>1624</t>
  </si>
  <si>
    <t>6014</t>
  </si>
  <si>
    <t>95/08/25</t>
  </si>
  <si>
    <t>اسلام آباد 16</t>
  </si>
  <si>
    <t>1920</t>
  </si>
  <si>
    <t>6370</t>
  </si>
  <si>
    <t>98/06/05</t>
  </si>
  <si>
    <t>98/06/30</t>
  </si>
  <si>
    <t>159062</t>
  </si>
  <si>
    <t>401/08/17</t>
  </si>
  <si>
    <t xml:space="preserve">امام رضا 59 </t>
  </si>
  <si>
    <t>جابجایی چاه</t>
  </si>
  <si>
    <t>1569</t>
  </si>
  <si>
    <t>5122</t>
  </si>
  <si>
    <t>97/06/31</t>
  </si>
  <si>
    <t>96/06/27</t>
  </si>
  <si>
    <t>1651</t>
  </si>
  <si>
    <t>401/08/18</t>
  </si>
  <si>
    <t>منظریه 2</t>
  </si>
  <si>
    <t>1423</t>
  </si>
  <si>
    <t>5626</t>
  </si>
  <si>
    <t>93/07/18</t>
  </si>
  <si>
    <t>93/06/27</t>
  </si>
  <si>
    <t>401/08/19</t>
  </si>
  <si>
    <t>باهنر 1</t>
  </si>
  <si>
    <t>1577</t>
  </si>
  <si>
    <t>15687</t>
  </si>
  <si>
    <t>400/01/26</t>
  </si>
  <si>
    <t>400/01/11</t>
  </si>
  <si>
    <t>1691</t>
  </si>
  <si>
    <t>6580</t>
  </si>
  <si>
    <t>6579</t>
  </si>
  <si>
    <t>401/08/20</t>
  </si>
  <si>
    <t>شیرحصار</t>
  </si>
  <si>
    <t>6576</t>
  </si>
  <si>
    <t>ابوطالب 5</t>
  </si>
  <si>
    <t>پارگی لوله آبده و استهلاک پمپ</t>
  </si>
  <si>
    <t>1899</t>
  </si>
  <si>
    <t>6635</t>
  </si>
  <si>
    <t>96/09/07</t>
  </si>
  <si>
    <t>96/09/05</t>
  </si>
  <si>
    <t xml:space="preserve">سوراخ شدن لوله آبده در دو نقطه در شاخه اول ( در فاصله یک متری و سه متری از سوپاپ ) ، استهلاک پمپ </t>
  </si>
  <si>
    <t>401/08/21</t>
  </si>
  <si>
    <t>امام رضا 63</t>
  </si>
  <si>
    <t>1238</t>
  </si>
  <si>
    <t>صابری</t>
  </si>
  <si>
    <t>6608/14</t>
  </si>
  <si>
    <t>5744</t>
  </si>
  <si>
    <t>94/11/29</t>
  </si>
  <si>
    <t>94/11/21</t>
  </si>
  <si>
    <t>6574</t>
  </si>
  <si>
    <t>( ضعیف شدن مقاومت عایقی سیم پیج الکتروموتوردر اثرکار کرد زیاد  ) 62 ماه</t>
  </si>
  <si>
    <t>401/08/22</t>
  </si>
  <si>
    <t>سید جلال 3</t>
  </si>
  <si>
    <t>15640</t>
  </si>
  <si>
    <t>99/06/07</t>
  </si>
  <si>
    <t>99/06/02</t>
  </si>
  <si>
    <t>الکتروموتور سوخته و جهت گارانتی ارسال شد</t>
  </si>
  <si>
    <t>401/08/23</t>
  </si>
  <si>
    <t>شاه فیل قدیم</t>
  </si>
  <si>
    <t>1628</t>
  </si>
  <si>
    <t>6627</t>
  </si>
  <si>
    <t>96/11/03</t>
  </si>
  <si>
    <t>96/11/01</t>
  </si>
  <si>
    <t>توس علیا قدیم</t>
  </si>
  <si>
    <t>2098</t>
  </si>
  <si>
    <t>193/9</t>
  </si>
  <si>
    <t>93/01/01</t>
  </si>
  <si>
    <t>401/08/24</t>
  </si>
  <si>
    <t>شاهد 54</t>
  </si>
  <si>
    <t>ورود شولات به الکترو پمپ مشهود بود</t>
  </si>
  <si>
    <t>1617</t>
  </si>
  <si>
    <t>15664</t>
  </si>
  <si>
    <t>400/11/18</t>
  </si>
  <si>
    <t>400/11/14</t>
  </si>
  <si>
    <t>401/08/25</t>
  </si>
  <si>
    <t>قاسم آباد 8</t>
  </si>
  <si>
    <t>2008</t>
  </si>
  <si>
    <t>6609</t>
  </si>
  <si>
    <t>400/12/10</t>
  </si>
  <si>
    <t>12/7</t>
  </si>
  <si>
    <t>400/12/07</t>
  </si>
  <si>
    <t>6572</t>
  </si>
  <si>
    <t>401/08/26</t>
  </si>
  <si>
    <t>فلاحی 1</t>
  </si>
  <si>
    <t>2095</t>
  </si>
  <si>
    <t>6537</t>
  </si>
  <si>
    <t>400/09/04</t>
  </si>
  <si>
    <t>400/09/03</t>
  </si>
  <si>
    <t>احتمال دوفاز کردن الکتروموتور</t>
  </si>
  <si>
    <t>قاسم آباد 7</t>
  </si>
  <si>
    <t>1520</t>
  </si>
  <si>
    <t>5133</t>
  </si>
  <si>
    <t>98/04/08</t>
  </si>
  <si>
    <t>98/04/06</t>
  </si>
  <si>
    <t>401/08/27</t>
  </si>
  <si>
    <t>پمپاژ قیاس آباد</t>
  </si>
  <si>
    <t>فرازی</t>
  </si>
  <si>
    <t>233/5</t>
  </si>
  <si>
    <t>159066</t>
  </si>
  <si>
    <t>پمپاژ شهرآباد</t>
  </si>
  <si>
    <t>3410</t>
  </si>
  <si>
    <t>293/3</t>
  </si>
  <si>
    <t>159067</t>
  </si>
  <si>
    <t>401/08/28</t>
  </si>
  <si>
    <t>قاسم آباد 6</t>
  </si>
  <si>
    <t>3162</t>
  </si>
  <si>
    <t>6571</t>
  </si>
  <si>
    <t>به دلیل حساسیت مکانی الکتروموتور یک رنج قوی تر استفاده شد</t>
  </si>
  <si>
    <t xml:space="preserve">ضعیف شدن مقاومت عایقی سیم پیج الکتروموتوردر اثرکار کرد زیاد </t>
  </si>
  <si>
    <t>401/08/29</t>
  </si>
  <si>
    <t>اسلام آباد 5</t>
  </si>
  <si>
    <t>1773</t>
  </si>
  <si>
    <t>6639</t>
  </si>
  <si>
    <t>95/06/28</t>
  </si>
  <si>
    <t>95/07/05</t>
  </si>
  <si>
    <t>گلشهر 5</t>
  </si>
  <si>
    <t>159061</t>
  </si>
  <si>
    <t>401/08/30</t>
  </si>
  <si>
    <t>6425</t>
  </si>
  <si>
    <t>401/09/01</t>
  </si>
  <si>
    <t>آذر</t>
  </si>
  <si>
    <t>6760</t>
  </si>
  <si>
    <t>401/09/02</t>
  </si>
  <si>
    <t>3412</t>
  </si>
  <si>
    <t>159040</t>
  </si>
  <si>
    <t>سپاد 5</t>
  </si>
  <si>
    <t>6389</t>
  </si>
  <si>
    <t>97/03/28</t>
  </si>
  <si>
    <t>401/09/03</t>
  </si>
  <si>
    <t>امام رضا 29</t>
  </si>
  <si>
    <t>لشگر 1</t>
  </si>
  <si>
    <t>3403</t>
  </si>
  <si>
    <t>6429</t>
  </si>
  <si>
    <t>401/09/05</t>
  </si>
  <si>
    <t>159041</t>
  </si>
  <si>
    <t>401/09/04</t>
  </si>
  <si>
    <t>401/09/06</t>
  </si>
  <si>
    <t>3391</t>
  </si>
  <si>
    <t>6433</t>
  </si>
  <si>
    <t>3056</t>
  </si>
  <si>
    <t>401/09/07</t>
  </si>
  <si>
    <t>1566</t>
  </si>
  <si>
    <t>6430</t>
  </si>
  <si>
    <t>منزل آباد 2</t>
  </si>
  <si>
    <t>تخریب پمپ</t>
  </si>
  <si>
    <t>3073</t>
  </si>
  <si>
    <t>15416</t>
  </si>
  <si>
    <t>98/07/18</t>
  </si>
  <si>
    <t>17</t>
  </si>
  <si>
    <t xml:space="preserve">تخریب کامل پمپ بعلت ورود جسم سخت خارجی به داخل پمپ </t>
  </si>
  <si>
    <t>401/09/08</t>
  </si>
  <si>
    <t>3406</t>
  </si>
  <si>
    <t>6136</t>
  </si>
  <si>
    <t>نیروگاه 1</t>
  </si>
  <si>
    <t>تجهیز چاه جدید</t>
  </si>
  <si>
    <t>1916</t>
  </si>
  <si>
    <t>275/14</t>
  </si>
  <si>
    <t>15647</t>
  </si>
  <si>
    <t>99/03/20</t>
  </si>
  <si>
    <t>99/03/15</t>
  </si>
  <si>
    <t>نریمانی سفلی</t>
  </si>
  <si>
    <t>6608/24</t>
  </si>
  <si>
    <t>الکتروپمپ توسط منطقه 5 تهیه و نصب گردیده است</t>
  </si>
  <si>
    <t>401/09/09</t>
  </si>
  <si>
    <t>به توضیحات مراجعه شود</t>
  </si>
  <si>
    <t>انتخاب پمپ اشتباه بعلت دبی سنجی غلط توسط مرکز</t>
  </si>
  <si>
    <t>401/09/10</t>
  </si>
  <si>
    <t>نجم</t>
  </si>
  <si>
    <t>1959</t>
  </si>
  <si>
    <t>233/16</t>
  </si>
  <si>
    <t>6426</t>
  </si>
  <si>
    <t>401/09/12</t>
  </si>
  <si>
    <t>سوران 4</t>
  </si>
  <si>
    <t>1854</t>
  </si>
  <si>
    <t>10013</t>
  </si>
  <si>
    <t>98/07/01</t>
  </si>
  <si>
    <t>98/06/28</t>
  </si>
  <si>
    <t xml:space="preserve"> دوفازشدن الکتروموتور</t>
  </si>
  <si>
    <t>احتمال دوفاز کار کردن الکتروموتور و خرابی تابلو برق</t>
  </si>
  <si>
    <t>401/09/14</t>
  </si>
  <si>
    <t>6611/11</t>
  </si>
  <si>
    <t>159058</t>
  </si>
  <si>
    <t>در زمان نصب الکتروموتور  بعلت امپر کشیدن راه اندازی نشده است که مورد پیگیری  شد که پس از رفع مشکل تابلو برق توسط کارگاه برق الکترو پمپ روشن و وارد مدار شد</t>
  </si>
  <si>
    <t>401/09/15</t>
  </si>
  <si>
    <t>1657</t>
  </si>
  <si>
    <t>6422</t>
  </si>
  <si>
    <t>401/09/17</t>
  </si>
  <si>
    <t>1702</t>
  </si>
  <si>
    <t>159075</t>
  </si>
  <si>
    <t>401/09/16</t>
  </si>
  <si>
    <t>سوران 10</t>
  </si>
  <si>
    <t>3119</t>
  </si>
  <si>
    <t>15657</t>
  </si>
  <si>
    <t>99/05/13</t>
  </si>
  <si>
    <t>6432</t>
  </si>
  <si>
    <t>روستای زیرکن</t>
  </si>
  <si>
    <t>193/6</t>
  </si>
  <si>
    <t>401/09/19</t>
  </si>
  <si>
    <t>امام رضا 11</t>
  </si>
  <si>
    <t>1685</t>
  </si>
  <si>
    <t>96/05/02</t>
  </si>
  <si>
    <t>الهیه 2</t>
  </si>
  <si>
    <t>1869</t>
  </si>
  <si>
    <t>5611</t>
  </si>
  <si>
    <t>400/03/22</t>
  </si>
  <si>
    <t>1840</t>
  </si>
  <si>
    <t>6431</t>
  </si>
  <si>
    <t>401/09/20</t>
  </si>
  <si>
    <t>حجت 3</t>
  </si>
  <si>
    <t>اضافه آمپر</t>
  </si>
  <si>
    <t>1988</t>
  </si>
  <si>
    <t>6528</t>
  </si>
  <si>
    <t>97/09/11</t>
  </si>
  <si>
    <t>برزش آباد</t>
  </si>
  <si>
    <t>کارده 5</t>
  </si>
  <si>
    <t>1925</t>
  </si>
  <si>
    <t>15366</t>
  </si>
  <si>
    <t>400/11/10</t>
  </si>
  <si>
    <t>401/09/21</t>
  </si>
  <si>
    <t>شریعتی 32</t>
  </si>
  <si>
    <t>2030</t>
  </si>
  <si>
    <t>15889</t>
  </si>
  <si>
    <t>400/12/12</t>
  </si>
  <si>
    <t>کوثر 5</t>
  </si>
  <si>
    <t>2035</t>
  </si>
  <si>
    <t>6535</t>
  </si>
  <si>
    <t>400/05/24</t>
  </si>
  <si>
    <t>401/09/22</t>
  </si>
  <si>
    <t>3416</t>
  </si>
  <si>
    <t>1401/09/21</t>
  </si>
  <si>
    <t>208</t>
  </si>
  <si>
    <t>پارک رسالت</t>
  </si>
  <si>
    <t>مشاهده گراویه و شولات داخل پمپ</t>
  </si>
  <si>
    <t>2012</t>
  </si>
  <si>
    <t>6613</t>
  </si>
  <si>
    <t>400/12/19</t>
  </si>
  <si>
    <t>401/09/23</t>
  </si>
  <si>
    <t>گلشهر 10</t>
  </si>
  <si>
    <t>6123</t>
  </si>
  <si>
    <t>95</t>
  </si>
  <si>
    <t>6427</t>
  </si>
  <si>
    <t>202</t>
  </si>
  <si>
    <t>کشف رود 8</t>
  </si>
  <si>
    <t>1668</t>
  </si>
  <si>
    <t>15631</t>
  </si>
  <si>
    <t>98/12/19</t>
  </si>
  <si>
    <t>با توجه به گفته مرکز لوله آبده سوراخ میباشد و بهمین علت کشیده شده است که در همین حین برای بهسازی و افزایش دبی اقدام شد</t>
  </si>
  <si>
    <t>401/09/24</t>
  </si>
  <si>
    <t>3404</t>
  </si>
  <si>
    <t>6423</t>
  </si>
  <si>
    <t>1401/05/22</t>
  </si>
  <si>
    <t>کشف رود 3</t>
  </si>
  <si>
    <t>3319</t>
  </si>
  <si>
    <t>6608/19</t>
  </si>
  <si>
    <t>15868</t>
  </si>
  <si>
    <t>400/06/06</t>
  </si>
  <si>
    <t>پرکند آباد 2</t>
  </si>
  <si>
    <t>3063</t>
  </si>
  <si>
    <t>275/17</t>
  </si>
  <si>
    <t>15403</t>
  </si>
  <si>
    <t>98/11/17</t>
  </si>
  <si>
    <t>401/09/25</t>
  </si>
  <si>
    <t>1401/09/24</t>
  </si>
  <si>
    <t>163</t>
  </si>
  <si>
    <t>401/09/26</t>
  </si>
  <si>
    <t>قاسم آباد 6 قدیم</t>
  </si>
  <si>
    <t>71</t>
  </si>
  <si>
    <t>5208</t>
  </si>
  <si>
    <t>98/10/17</t>
  </si>
  <si>
    <t>کشاورز</t>
  </si>
  <si>
    <t>نیترات بالا</t>
  </si>
  <si>
    <t>293/8</t>
  </si>
  <si>
    <t>5212</t>
  </si>
  <si>
    <t>به گفته مرکز خیر آباد با توجه به نیترات بالا و سیمانته کردن چاه مشکل حل نشده که جمع آوری گردیده است</t>
  </si>
  <si>
    <t>401/09/28</t>
  </si>
  <si>
    <t>تلگرد</t>
  </si>
  <si>
    <t>6384</t>
  </si>
  <si>
    <t>97/05/12</t>
  </si>
  <si>
    <t>بنا به گفته آقای میرزایی چاه کشیده شده است</t>
  </si>
  <si>
    <t>منزل آباد 21</t>
  </si>
  <si>
    <t>389/9</t>
  </si>
  <si>
    <t>96/06/13</t>
  </si>
  <si>
    <t>401/09/29</t>
  </si>
  <si>
    <t>3418</t>
  </si>
  <si>
    <t>159053</t>
  </si>
  <si>
    <t>دو کابل</t>
  </si>
  <si>
    <t>1844</t>
  </si>
  <si>
    <t>191</t>
  </si>
  <si>
    <t>تک کابل</t>
  </si>
  <si>
    <t>401/09/30</t>
  </si>
  <si>
    <t>159078</t>
  </si>
  <si>
    <t>214</t>
  </si>
  <si>
    <t>در زمان نصب با توجه به افزایش عمق نصب الکتروموتور به ته چاه نشسته و بهمین علت 3 متر از عمق نصب کسر گردید. ( احتمال پارگی دیافراگم میباشد )</t>
  </si>
  <si>
    <t>3422</t>
  </si>
  <si>
    <t>293/15</t>
  </si>
  <si>
    <t>159079</t>
  </si>
  <si>
    <t>226</t>
  </si>
  <si>
    <t>401/10/02</t>
  </si>
  <si>
    <t>دی</t>
  </si>
  <si>
    <t>3420</t>
  </si>
  <si>
    <t>159032</t>
  </si>
  <si>
    <t>401/10/01</t>
  </si>
  <si>
    <t>187</t>
  </si>
  <si>
    <t>401/10/03</t>
  </si>
  <si>
    <t>6424</t>
  </si>
  <si>
    <t>240</t>
  </si>
  <si>
    <t>هاشمی نژاد</t>
  </si>
  <si>
    <t>159063</t>
  </si>
  <si>
    <t>153</t>
  </si>
  <si>
    <t>401/10/04</t>
  </si>
  <si>
    <t>3419</t>
  </si>
  <si>
    <t>159080</t>
  </si>
  <si>
    <t>218</t>
  </si>
  <si>
    <t>3400</t>
  </si>
  <si>
    <t>254</t>
  </si>
  <si>
    <t>401/10/05</t>
  </si>
  <si>
    <t>3424</t>
  </si>
  <si>
    <t>159083</t>
  </si>
  <si>
    <t>1401/10/04</t>
  </si>
  <si>
    <t>124</t>
  </si>
  <si>
    <t>سید جلال 3 رزرو</t>
  </si>
  <si>
    <t>3425</t>
  </si>
  <si>
    <t>159084</t>
  </si>
  <si>
    <t>185</t>
  </si>
  <si>
    <t>401/10/06</t>
  </si>
  <si>
    <t>علی آباد روستایی</t>
  </si>
  <si>
    <t>401/10/07</t>
  </si>
  <si>
    <t>1930</t>
  </si>
  <si>
    <t>6428</t>
  </si>
  <si>
    <t>222</t>
  </si>
  <si>
    <t>401/10/11</t>
  </si>
  <si>
    <t>امامیه 9</t>
  </si>
  <si>
    <t>2006</t>
  </si>
  <si>
    <t>6620</t>
  </si>
  <si>
    <t>400/12/16</t>
  </si>
  <si>
    <t>401/10/12</t>
  </si>
  <si>
    <t>6454</t>
  </si>
  <si>
    <t>1401/10/11</t>
  </si>
  <si>
    <t>211</t>
  </si>
  <si>
    <t>401/10/13</t>
  </si>
  <si>
    <t>نوسان آمپر بعلت قطعی روتور</t>
  </si>
  <si>
    <t>1401/08/12</t>
  </si>
  <si>
    <t>پس از ورود الکتروپمپ به کارگاه مورد آزمایش پمپاژ قرار گرفت که الکتروموتور هیچگونه اهمی نداشته و پس از آزمایش پمپاژ مشخص شد  روتور قطعی کوچکی دارد و همین امر موجب اضافه آمپر و نوسان آمپر میشود</t>
  </si>
  <si>
    <t>401/10/14</t>
  </si>
  <si>
    <t>3390</t>
  </si>
  <si>
    <t>193/14</t>
  </si>
  <si>
    <t>6450</t>
  </si>
  <si>
    <t>1401/10/13</t>
  </si>
  <si>
    <t>195</t>
  </si>
  <si>
    <t>401/10/15</t>
  </si>
  <si>
    <t>6446</t>
  </si>
  <si>
    <t>1401/10/14</t>
  </si>
  <si>
    <t>176</t>
  </si>
  <si>
    <t>3426</t>
  </si>
  <si>
    <t>159052</t>
  </si>
  <si>
    <t>141</t>
  </si>
  <si>
    <t>401/10/16</t>
  </si>
  <si>
    <t>ملک آباد 1</t>
  </si>
  <si>
    <t>1587</t>
  </si>
  <si>
    <t>5285</t>
  </si>
  <si>
    <t>94/08/22</t>
  </si>
  <si>
    <t>توضیحات مهم</t>
  </si>
  <si>
    <t>1401/05/13</t>
  </si>
  <si>
    <t>با توجه به گزارش مرکز محترم طی برخورد خودرو با تیر برق و قطع یکی از فاز ها باعث دوفاز شدن الکتروموتور شده و همین امر سبب سوختن شده است که الکتروموتور جهت گارانتی به شرکت بارش ارسال گردید</t>
  </si>
  <si>
    <t>3421</t>
  </si>
  <si>
    <t>159044</t>
  </si>
  <si>
    <t>401/10/17</t>
  </si>
  <si>
    <t>3407</t>
  </si>
  <si>
    <t>159064</t>
  </si>
  <si>
    <t>1401/10/16</t>
  </si>
  <si>
    <t>140</t>
  </si>
  <si>
    <t>401/10/18</t>
  </si>
  <si>
    <t>با توجه به گزارش مرکز سوران الکتروموتور دارای 10 کیلو اهم میباشد که طی مذاکرات انجام شده بعلت نو بودن ،الکتروموتور و پمپ کشیده شده و پس از ورود به کارگاه مکانیک مورد بررسی و تست کامل قرار گرفت که هیچگونه مشکلی از نظر آبدهی و اهمی نداشته و مراتب به مهندس بزرگمهر گزارش داده شد</t>
  </si>
  <si>
    <t>سیاسک</t>
  </si>
  <si>
    <t>6458</t>
  </si>
  <si>
    <t>1401/10/17</t>
  </si>
  <si>
    <t>233</t>
  </si>
  <si>
    <t>401/10/19</t>
  </si>
  <si>
    <t>خدمات 2</t>
  </si>
  <si>
    <t>1989</t>
  </si>
  <si>
    <t>10016</t>
  </si>
  <si>
    <t>97/09/02</t>
  </si>
  <si>
    <t>امام رضا 10</t>
  </si>
  <si>
    <t>1604</t>
  </si>
  <si>
    <t>6650</t>
  </si>
  <si>
    <t>96/04/16</t>
  </si>
  <si>
    <t>401/10/25</t>
  </si>
  <si>
    <t>روستای زاک</t>
  </si>
  <si>
    <t>401/10/26</t>
  </si>
  <si>
    <t>1401/10/23</t>
  </si>
  <si>
    <t>1288</t>
  </si>
  <si>
    <t>6449</t>
  </si>
  <si>
    <t>1401/10/24</t>
  </si>
  <si>
    <t>235</t>
  </si>
  <si>
    <t>401/10/27</t>
  </si>
  <si>
    <t>رجایی 3</t>
  </si>
  <si>
    <t>6051</t>
  </si>
  <si>
    <t>98/07/22</t>
  </si>
  <si>
    <t>159037</t>
  </si>
  <si>
    <t>1401/10/25</t>
  </si>
  <si>
    <t>180</t>
  </si>
  <si>
    <t>1401/10/26</t>
  </si>
  <si>
    <t>196</t>
  </si>
  <si>
    <t>401/10/28</t>
  </si>
  <si>
    <t>1401/04/15</t>
  </si>
  <si>
    <t>1401/10/27</t>
  </si>
  <si>
    <t>رسالت 136</t>
  </si>
  <si>
    <t>1401/09/30</t>
  </si>
  <si>
    <t>عدم اطلاعات اولیه صحیح چاه موجب سوختن و انتخاب نادرست تیپ پمپ و الکتروموتور میباشد که در انتخاب بعدی موضوع باید مد نظر قرار گیرد</t>
  </si>
  <si>
    <t>401/10/29</t>
  </si>
  <si>
    <t>275/16</t>
  </si>
  <si>
    <t>6453</t>
  </si>
  <si>
    <t>فلمن</t>
  </si>
  <si>
    <t>99/06/26</t>
  </si>
  <si>
    <t>1964</t>
  </si>
  <si>
    <t>6609/7</t>
  </si>
  <si>
    <t>10000</t>
  </si>
  <si>
    <t>97/06/12</t>
  </si>
  <si>
    <t>؟</t>
  </si>
  <si>
    <t>401/10/30</t>
  </si>
  <si>
    <t>خیام 2</t>
  </si>
  <si>
    <t>26</t>
  </si>
  <si>
    <t>89/04/08</t>
  </si>
  <si>
    <t>6447</t>
  </si>
  <si>
    <t>1401/10/28</t>
  </si>
  <si>
    <t>215</t>
  </si>
  <si>
    <t>5007</t>
  </si>
  <si>
    <t>1401/10/29</t>
  </si>
  <si>
    <t>146</t>
  </si>
  <si>
    <t>401/11/01</t>
  </si>
  <si>
    <t>بهمن</t>
  </si>
  <si>
    <t>وحدت 2</t>
  </si>
  <si>
    <t>1929</t>
  </si>
  <si>
    <t>6396</t>
  </si>
  <si>
    <t>96/11/27</t>
  </si>
  <si>
    <t>ارسال به گارانتی</t>
  </si>
  <si>
    <t>3330</t>
  </si>
  <si>
    <t>15877</t>
  </si>
  <si>
    <t>400/07/28</t>
  </si>
  <si>
    <t>401/11/02</t>
  </si>
  <si>
    <t>باتوجه به انتخاب پمپ 345/9 برای این چاه به اشتباه پمپ 384/9 در این چاه مورد استفاده قرار گرفته شده بود . با درنظر گرفتن منحنی جدول آزمایش پمپاژ پمپ 384/9 در این فشار خارج از منحنی بوده و همین امر سبب سوختن الکترو موتور شده است</t>
  </si>
  <si>
    <t>1401/11/01</t>
  </si>
  <si>
    <t>137</t>
  </si>
  <si>
    <t>401/11/03</t>
  </si>
  <si>
    <t>159086</t>
  </si>
  <si>
    <t>171</t>
  </si>
  <si>
    <t>401/11/04</t>
  </si>
  <si>
    <t>3430</t>
  </si>
  <si>
    <t>159026</t>
  </si>
  <si>
    <t>1401/11/03</t>
  </si>
  <si>
    <t>1677</t>
  </si>
  <si>
    <t>6455</t>
  </si>
  <si>
    <t>205</t>
  </si>
  <si>
    <t>401/11/05</t>
  </si>
  <si>
    <t>3356</t>
  </si>
  <si>
    <t>6448</t>
  </si>
  <si>
    <t>1401/11/04</t>
  </si>
  <si>
    <t>169</t>
  </si>
  <si>
    <t>401/11/06</t>
  </si>
  <si>
    <t>5446</t>
  </si>
  <si>
    <t>1401/11/05</t>
  </si>
  <si>
    <t>142</t>
  </si>
  <si>
    <t>1606</t>
  </si>
  <si>
    <t>15413</t>
  </si>
  <si>
    <t>98/07/13</t>
  </si>
  <si>
    <t>401/11/07</t>
  </si>
  <si>
    <t>کوی امیر</t>
  </si>
  <si>
    <t>1997</t>
  </si>
  <si>
    <t>6395</t>
  </si>
  <si>
    <t>97/05/17</t>
  </si>
  <si>
    <t>401/11/08</t>
  </si>
  <si>
    <t>6452</t>
  </si>
  <si>
    <t>1401/11/08</t>
  </si>
  <si>
    <t>206</t>
  </si>
  <si>
    <t>پس از کشیدن منصوبات چاه موارد بشرح ریر انجام شد :
اهم گیری الکترو پمپ : هر سه فازبا فاز و فاز با بدنه بینهایت بود ( الکترو موتور سالم ) 
میزان لقی محور پمپ ( تجربی ): سالم 
آزمایش پمپاژ ( هد و دبی الکترو پمپ ) : هیچ انحرافی در منحنی آبدهی - فشار  مشاهده نشده است 
مشاهدات دمونتاژ پمپ : دمونتاژ نشد 
مشاهدات دمونتاژ موتور: دمونتاژ نشد 
توضیح : در لحظه استارت نمودن الکترو پمپ اضافه آمپر بیش از حد مشاهده شد و این امر باعث زدن کاتد گردید که پس از بر عکس نمودن دور موتور و استارت مجدد خطای آمپر بیش از حد در سافت استارت مشاهده می شود ( حدود 240 آمپر ) و سپس تابلو فرمان قطع داده است که تصمیم به کشیدن مجدد الکترو پمپ شد و پس از بررسی توسط کارگاه مکانیک  شولات بیش از حد در سوپا پ ( گیر و پاژ سوپاپ ) سر پمپ مشاهده گردید</t>
  </si>
  <si>
    <t>401/011/09</t>
  </si>
  <si>
    <t>3432</t>
  </si>
  <si>
    <t>6462</t>
  </si>
  <si>
    <t>198</t>
  </si>
  <si>
    <t>401/11/10</t>
  </si>
  <si>
    <t>پرکند آباد 4</t>
  </si>
  <si>
    <t>3433</t>
  </si>
  <si>
    <t>6457</t>
  </si>
  <si>
    <t>216</t>
  </si>
  <si>
    <t>1401/11/09</t>
  </si>
  <si>
    <t>401/11/11</t>
  </si>
  <si>
    <t>3437</t>
  </si>
  <si>
    <t>6466</t>
  </si>
  <si>
    <t>401/11/12</t>
  </si>
  <si>
    <t>فرهنگ 12</t>
  </si>
  <si>
    <t>1689</t>
  </si>
  <si>
    <t>5322</t>
  </si>
  <si>
    <t>96/05/20</t>
  </si>
  <si>
    <t>401/11/13</t>
  </si>
  <si>
    <t>7.5</t>
  </si>
  <si>
    <t>3440</t>
  </si>
  <si>
    <t>152/14</t>
  </si>
  <si>
    <t>6461</t>
  </si>
  <si>
    <t>109</t>
  </si>
  <si>
    <t>3*4</t>
  </si>
  <si>
    <t>3435</t>
  </si>
  <si>
    <t>193/8</t>
  </si>
  <si>
    <t>159089</t>
  </si>
  <si>
    <t>125</t>
  </si>
  <si>
    <t>1401/05/06</t>
  </si>
  <si>
    <t xml:space="preserve"> الکترو پمپ  در تاریخ 1401/05/06 نصب گردید و در تاریخ 1401/05/30 دبی سنجی انجام شده است که دبی استحصالی در فشار شبکه حدود 3.4 بوده که این مقدار بیرون از جدول می باشد  ( </t>
  </si>
  <si>
    <t>401/11/14</t>
  </si>
  <si>
    <t>3441</t>
  </si>
  <si>
    <t>159090</t>
  </si>
  <si>
    <t>401/11/15</t>
  </si>
  <si>
    <t>منزل آباد 25</t>
  </si>
  <si>
    <t>3439</t>
  </si>
  <si>
    <t>159059</t>
  </si>
  <si>
    <t>160</t>
  </si>
  <si>
    <t>401/11/16</t>
  </si>
  <si>
    <t>کشف 2</t>
  </si>
  <si>
    <t>6469</t>
  </si>
  <si>
    <t>3438</t>
  </si>
  <si>
    <t>6465</t>
  </si>
  <si>
    <t>401/11/17</t>
  </si>
  <si>
    <t>1138</t>
  </si>
  <si>
    <t>5046</t>
  </si>
  <si>
    <t>93/04/05</t>
  </si>
  <si>
    <t>3*10</t>
  </si>
  <si>
    <t>204</t>
  </si>
  <si>
    <t>401/11/18</t>
  </si>
  <si>
    <t>15358</t>
  </si>
  <si>
    <t>3411</t>
  </si>
  <si>
    <t>6459</t>
  </si>
  <si>
    <t>401/11/27</t>
  </si>
  <si>
    <t>190</t>
  </si>
  <si>
    <t>401/11/19</t>
  </si>
  <si>
    <t>مهدی آباد حاجی آباد</t>
  </si>
  <si>
    <t>6162</t>
  </si>
  <si>
    <t>400/04/17</t>
  </si>
  <si>
    <t>6468</t>
  </si>
  <si>
    <t>401/11/22</t>
  </si>
  <si>
    <t>3369</t>
  </si>
  <si>
    <t>6611/6</t>
  </si>
  <si>
    <t>6464</t>
  </si>
  <si>
    <t>401/11/23</t>
  </si>
  <si>
    <t xml:space="preserve">هوادهی و نوسان دبی زیاد باعث نوسانات ( رفت و برگشتی ) روتور  به دفعات زیاد شده که این امر باعث تخریب کفگرد و سوختن الکترو موتور شده است . </t>
  </si>
  <si>
    <t>1670</t>
  </si>
  <si>
    <t>6467</t>
  </si>
  <si>
    <t>401/11/25</t>
  </si>
  <si>
    <t xml:space="preserve">اتصال کوتاه </t>
  </si>
  <si>
    <t>3445</t>
  </si>
  <si>
    <t xml:space="preserve">اشتباه در سربندی الکترو موتور ( از جفت کابل به تک کابل ) </t>
  </si>
  <si>
    <t>3443</t>
  </si>
  <si>
    <t>401/11/24</t>
  </si>
  <si>
    <t>401/11/26</t>
  </si>
  <si>
    <t>کورده 2</t>
  </si>
  <si>
    <t>3135</t>
  </si>
  <si>
    <t>6054</t>
  </si>
  <si>
    <t>99/10/01</t>
  </si>
  <si>
    <t>401/11/28</t>
  </si>
  <si>
    <t>5735</t>
  </si>
  <si>
    <t>401/11/29</t>
  </si>
  <si>
    <t>186</t>
  </si>
  <si>
    <t>401/11/30</t>
  </si>
  <si>
    <t>هع</t>
  </si>
  <si>
    <t>1939</t>
  </si>
  <si>
    <t>15406</t>
  </si>
  <si>
    <t>99/01/28</t>
  </si>
  <si>
    <t>401/12/01</t>
  </si>
  <si>
    <t>اسفند</t>
  </si>
  <si>
    <t>امامیه 2</t>
  </si>
  <si>
    <t>3027/1</t>
  </si>
  <si>
    <t>15869</t>
  </si>
  <si>
    <t>400/06/08</t>
  </si>
  <si>
    <t>401/12/02</t>
  </si>
  <si>
    <t>امام رضا 30</t>
  </si>
  <si>
    <t>3444</t>
  </si>
  <si>
    <t>6609/10</t>
  </si>
  <si>
    <t>6460</t>
  </si>
  <si>
    <t>174</t>
  </si>
  <si>
    <t>6590</t>
  </si>
  <si>
    <t>223</t>
  </si>
  <si>
    <t>3446</t>
  </si>
  <si>
    <t>6586</t>
  </si>
  <si>
    <t>401/12/04</t>
  </si>
  <si>
    <t>3448</t>
  </si>
  <si>
    <t>6591</t>
  </si>
  <si>
    <t>128</t>
  </si>
  <si>
    <t>401/12/05</t>
  </si>
  <si>
    <t>صاحب الزمان</t>
  </si>
  <si>
    <t>3449</t>
  </si>
  <si>
    <t>6689</t>
  </si>
  <si>
    <t>امام رضا 32</t>
  </si>
  <si>
    <t>1639</t>
  </si>
  <si>
    <t>6021</t>
  </si>
  <si>
    <t>95/09/25</t>
  </si>
  <si>
    <t>401/12/07</t>
  </si>
  <si>
    <t>3307</t>
  </si>
  <si>
    <t>5477</t>
  </si>
  <si>
    <t>401/12/06</t>
  </si>
  <si>
    <t>93</t>
  </si>
  <si>
    <t>401/12/08</t>
  </si>
  <si>
    <t>امام خمینی</t>
  </si>
  <si>
    <t>3447</t>
  </si>
  <si>
    <t>6609/5</t>
  </si>
  <si>
    <t>6587</t>
  </si>
  <si>
    <t>401/12/03</t>
  </si>
  <si>
    <t>76</t>
  </si>
  <si>
    <t>چمران 4</t>
  </si>
  <si>
    <t>99/02/01</t>
  </si>
  <si>
    <t>401/12/09</t>
  </si>
  <si>
    <t>3451</t>
  </si>
  <si>
    <t>6688</t>
  </si>
  <si>
    <t>151</t>
  </si>
  <si>
    <t>سربندی اشتباه</t>
  </si>
  <si>
    <t>401/12/10</t>
  </si>
  <si>
    <t>امام رضا 62</t>
  </si>
  <si>
    <t>3313</t>
  </si>
  <si>
    <t>15865</t>
  </si>
  <si>
    <t>400/06/30</t>
  </si>
  <si>
    <t>401/12/11</t>
  </si>
  <si>
    <t>امام رضا 12</t>
  </si>
  <si>
    <t>1634</t>
  </si>
  <si>
    <t>6302</t>
  </si>
  <si>
    <t>96/03/10</t>
  </si>
  <si>
    <t>401/12/13</t>
  </si>
  <si>
    <t>3452</t>
  </si>
  <si>
    <t>6680</t>
  </si>
  <si>
    <t>401/12/12</t>
  </si>
  <si>
    <t>165</t>
  </si>
  <si>
    <t>401/12/14</t>
  </si>
  <si>
    <t>6685</t>
  </si>
  <si>
    <t>3052</t>
  </si>
  <si>
    <t>15389</t>
  </si>
  <si>
    <t>98/05/21</t>
  </si>
  <si>
    <t>امام رضا 21</t>
  </si>
  <si>
    <t>1665</t>
  </si>
  <si>
    <t>5749</t>
  </si>
  <si>
    <t>94/12/18</t>
  </si>
  <si>
    <t>401/12/15</t>
  </si>
  <si>
    <t>3457</t>
  </si>
  <si>
    <t>6684</t>
  </si>
  <si>
    <t>1401/12/14</t>
  </si>
  <si>
    <t>امام رضا 9</t>
  </si>
  <si>
    <t>1554</t>
  </si>
  <si>
    <t>6167</t>
  </si>
  <si>
    <t>1400/01/29</t>
  </si>
  <si>
    <t>1401/03/30</t>
  </si>
  <si>
    <t>به علت هوادهی کشیده شده و چاه جدید حفر  گردیده است</t>
  </si>
  <si>
    <t>401/12/16</t>
  </si>
  <si>
    <t>3453</t>
  </si>
  <si>
    <t>159071</t>
  </si>
  <si>
    <t>1401/12/15</t>
  </si>
  <si>
    <t>164</t>
  </si>
  <si>
    <t>1570</t>
  </si>
  <si>
    <t>15426</t>
  </si>
  <si>
    <t>1401/04/10</t>
  </si>
  <si>
    <t>401/12/17</t>
  </si>
  <si>
    <t>ایرج 9</t>
  </si>
  <si>
    <t>5617</t>
  </si>
  <si>
    <t>99/10/04</t>
  </si>
  <si>
    <t>1401/11/23</t>
  </si>
  <si>
    <t>پس از کشیدن منصوبات چاه موارد بشرح ریر انجام شد :
اهم گیری الکترو پمپ : هر سه فازبا فاز و فاز با بدنه بینهایت بود ( الکترو موتور سالم ) 
میزان لقی محور پمپ ( تجربی ): محور پمپ از قسمت چهارپایه پمپ بریده بود</t>
  </si>
  <si>
    <t>159092</t>
  </si>
  <si>
    <t>1401/12/16</t>
  </si>
  <si>
    <t>401/12/18</t>
  </si>
  <si>
    <t>3460</t>
  </si>
  <si>
    <t>6589</t>
  </si>
  <si>
    <t>1401/12/17</t>
  </si>
  <si>
    <t>197</t>
  </si>
  <si>
    <t>401/12/19</t>
  </si>
  <si>
    <t>3456</t>
  </si>
  <si>
    <t>6592</t>
  </si>
  <si>
    <t>1401/12/18</t>
  </si>
  <si>
    <t>158</t>
  </si>
  <si>
    <t>3455</t>
  </si>
  <si>
    <t>435/5</t>
  </si>
  <si>
    <t>159093</t>
  </si>
  <si>
    <t>104</t>
  </si>
  <si>
    <t>قاسم آباد 4</t>
  </si>
  <si>
    <t>3107</t>
  </si>
  <si>
    <t>5732</t>
  </si>
  <si>
    <t>99/06/18</t>
  </si>
  <si>
    <t>پارگی جدار</t>
  </si>
  <si>
    <t>امامیه 3</t>
  </si>
  <si>
    <t>1666</t>
  </si>
  <si>
    <t>6040</t>
  </si>
  <si>
    <t>95/11/10</t>
  </si>
  <si>
    <t>چهل حجره</t>
  </si>
  <si>
    <t>3326</t>
  </si>
  <si>
    <t>15874</t>
  </si>
  <si>
    <t>400/07/17</t>
  </si>
  <si>
    <t>401/12/21</t>
  </si>
  <si>
    <t>3459</t>
  </si>
  <si>
    <t>6593</t>
  </si>
  <si>
    <t>401/12/22</t>
  </si>
  <si>
    <t>3462</t>
  </si>
  <si>
    <t>1401/12/20</t>
  </si>
  <si>
    <t>401/12/23</t>
  </si>
  <si>
    <t>3465</t>
  </si>
  <si>
    <t>1401/12/22</t>
  </si>
  <si>
    <t>161</t>
  </si>
  <si>
    <t>401/12/24</t>
  </si>
  <si>
    <t>1401/12/23</t>
  </si>
  <si>
    <t>401/12/25</t>
  </si>
  <si>
    <t>401/12/26</t>
  </si>
  <si>
    <t>1401/12/25</t>
  </si>
  <si>
    <t>نوع عيب</t>
  </si>
  <si>
    <t xml:space="preserve">كشيدن/نصب/جمع آوری </t>
  </si>
  <si>
    <t>عمق نصب</t>
  </si>
  <si>
    <t>دبی مجاز</t>
  </si>
  <si>
    <t>تاریخ آزمایش پمپاژ</t>
  </si>
  <si>
    <t>سال نصب جدید</t>
  </si>
  <si>
    <t>ماه نصب جدید</t>
  </si>
  <si>
    <t xml:space="preserve">توضیحات </t>
  </si>
  <si>
    <t>الکترو موتور</t>
  </si>
  <si>
    <t>400/01/06</t>
  </si>
  <si>
    <t xml:space="preserve">همت آباد 2( بخشداری ) </t>
  </si>
  <si>
    <t xml:space="preserve">اهم دار </t>
  </si>
  <si>
    <t>نامعلوم</t>
  </si>
  <si>
    <t xml:space="preserve">از روستایی تحویل شده </t>
  </si>
  <si>
    <t>400/01/05</t>
  </si>
  <si>
    <t>400/01/08</t>
  </si>
  <si>
    <t>مهرگان</t>
  </si>
  <si>
    <t>1396/03/08</t>
  </si>
  <si>
    <t>400/01/10</t>
  </si>
  <si>
    <t>.</t>
  </si>
  <si>
    <t>400/01/07</t>
  </si>
  <si>
    <t xml:space="preserve">انتخاب پمپ توسط کارگاه مکانیک انجام شد </t>
  </si>
  <si>
    <t>زرکش کوی کافی</t>
  </si>
  <si>
    <t>130</t>
  </si>
  <si>
    <t>10/5</t>
  </si>
  <si>
    <t>400/06/22</t>
  </si>
  <si>
    <t>400/01/14</t>
  </si>
  <si>
    <t>پرکند آباد 1</t>
  </si>
  <si>
    <t>1399/05/29</t>
  </si>
  <si>
    <t>400/01/15</t>
  </si>
  <si>
    <t>اسماعیل آباد قدیم</t>
  </si>
  <si>
    <t>محمد زاده</t>
  </si>
  <si>
    <t>8/3</t>
  </si>
  <si>
    <t>از کارگاه آقای لطفی در یافت شد</t>
  </si>
  <si>
    <t>400/01/16</t>
  </si>
  <si>
    <t>1398/7/14</t>
  </si>
  <si>
    <t>12/5</t>
  </si>
  <si>
    <t>400/01/18</t>
  </si>
  <si>
    <t>کاهش شدید آبدهی</t>
  </si>
  <si>
    <t>قدیم</t>
  </si>
  <si>
    <t>97/11/11</t>
  </si>
  <si>
    <t>400/01/19</t>
  </si>
  <si>
    <t>اسلام آباد 6</t>
  </si>
  <si>
    <t>1396/12/07</t>
  </si>
  <si>
    <t>400/01/22</t>
  </si>
  <si>
    <t>1399/03/22</t>
  </si>
  <si>
    <t>400/01/23</t>
  </si>
  <si>
    <t>کشف رود 11</t>
  </si>
  <si>
    <t>عدم ابدهی</t>
  </si>
  <si>
    <t>97/11/14</t>
  </si>
  <si>
    <t>19</t>
  </si>
  <si>
    <t>400/01/21</t>
  </si>
  <si>
    <t>400/01/25</t>
  </si>
  <si>
    <t>97/02/10</t>
  </si>
  <si>
    <t>400/01/27</t>
  </si>
  <si>
    <t>آزادشهر 1</t>
  </si>
  <si>
    <t>97/08/08</t>
  </si>
  <si>
    <t>400/01/28</t>
  </si>
  <si>
    <t>95/12/21</t>
  </si>
  <si>
    <t>400/01/29</t>
  </si>
  <si>
    <t>400/01/30</t>
  </si>
  <si>
    <t>حجاب 1</t>
  </si>
  <si>
    <t>95/12/17</t>
  </si>
  <si>
    <t>99/02/30</t>
  </si>
  <si>
    <t>400/02/02</t>
  </si>
  <si>
    <t>234</t>
  </si>
  <si>
    <t>189</t>
  </si>
  <si>
    <t>امامیه10</t>
  </si>
  <si>
    <t>400/02/08</t>
  </si>
  <si>
    <t>امین آباد 2</t>
  </si>
  <si>
    <t>99/08/20</t>
  </si>
  <si>
    <t>کنترل دور</t>
  </si>
  <si>
    <t>400/02/11</t>
  </si>
  <si>
    <t>تبادکان</t>
  </si>
  <si>
    <t>400/02/12</t>
  </si>
  <si>
    <t>ادیب 35</t>
  </si>
  <si>
    <t>99/02/09</t>
  </si>
  <si>
    <t>95/01/09</t>
  </si>
  <si>
    <t>102</t>
  </si>
  <si>
    <t>122</t>
  </si>
  <si>
    <t>33</t>
  </si>
  <si>
    <t>امام رضا 1</t>
  </si>
  <si>
    <t>99/11/21</t>
  </si>
  <si>
    <t>400/10/02</t>
  </si>
  <si>
    <t>400/07/25</t>
  </si>
  <si>
    <t>400/02/16</t>
  </si>
  <si>
    <t>ارشاد</t>
  </si>
  <si>
    <t>90/12/17</t>
  </si>
  <si>
    <t>400/02/17</t>
  </si>
  <si>
    <t>مجتمع پهلوانی</t>
  </si>
  <si>
    <t>400/02/18</t>
  </si>
  <si>
    <t>400/02/19</t>
  </si>
  <si>
    <t>400/02/20</t>
  </si>
  <si>
    <t>کورده 10</t>
  </si>
  <si>
    <t>97/10/13</t>
  </si>
  <si>
    <t>400/02/21</t>
  </si>
  <si>
    <t>میراث 1</t>
  </si>
  <si>
    <t>97/08/12</t>
  </si>
  <si>
    <t>144</t>
  </si>
  <si>
    <t>400/02/27</t>
  </si>
  <si>
    <t>99/04/19</t>
  </si>
  <si>
    <t>400/02/25</t>
  </si>
  <si>
    <t>400/02/26</t>
  </si>
  <si>
    <t>400/06/27</t>
  </si>
  <si>
    <t>99/08/02</t>
  </si>
  <si>
    <t>400/02/28</t>
  </si>
  <si>
    <t>مردار کشان</t>
  </si>
  <si>
    <t>97/06/04</t>
  </si>
  <si>
    <t>400/02/29</t>
  </si>
  <si>
    <t>293</t>
  </si>
  <si>
    <t>400/02/31</t>
  </si>
  <si>
    <t>امامیه 4</t>
  </si>
  <si>
    <t>94/12/19</t>
  </si>
  <si>
    <t>162</t>
  </si>
  <si>
    <t>247</t>
  </si>
  <si>
    <t>400/03/05</t>
  </si>
  <si>
    <t>گلشاد</t>
  </si>
  <si>
    <t>293/5</t>
  </si>
  <si>
    <t>92/08/26</t>
  </si>
  <si>
    <t>400/03/06</t>
  </si>
  <si>
    <t>قیاس آباد</t>
  </si>
  <si>
    <t>400/03/08</t>
  </si>
  <si>
    <t>13</t>
  </si>
  <si>
    <t>233/7</t>
  </si>
  <si>
    <t>400/03/09</t>
  </si>
  <si>
    <t>86/04/26</t>
  </si>
  <si>
    <t>امام رضا 57</t>
  </si>
  <si>
    <t>96/02/14</t>
  </si>
  <si>
    <t>400/03/11</t>
  </si>
  <si>
    <t>تبادکان ( احمد آباد )</t>
  </si>
  <si>
    <t>400/03/13</t>
  </si>
  <si>
    <t>192</t>
  </si>
  <si>
    <t>244</t>
  </si>
  <si>
    <t>25</t>
  </si>
  <si>
    <t>400/03/16</t>
  </si>
  <si>
    <t>اره آبمال</t>
  </si>
  <si>
    <t>400/03/17</t>
  </si>
  <si>
    <t>گارانتی</t>
  </si>
  <si>
    <t>96/05/21</t>
  </si>
  <si>
    <t>400/03/18</t>
  </si>
  <si>
    <t>220</t>
  </si>
  <si>
    <t>400/03/19</t>
  </si>
  <si>
    <t>ملک آباد 2</t>
  </si>
  <si>
    <t>97/06/18</t>
  </si>
  <si>
    <t>400/03/20</t>
  </si>
  <si>
    <t>96/09/08</t>
  </si>
  <si>
    <t>400/03/23</t>
  </si>
  <si>
    <t>278</t>
  </si>
  <si>
    <t>400/03/24</t>
  </si>
  <si>
    <t>کمبود آبدهی</t>
  </si>
  <si>
    <t>90/03/06</t>
  </si>
  <si>
    <t>400/03/25</t>
  </si>
  <si>
    <t>تلویزیون</t>
  </si>
  <si>
    <t>97/11/30</t>
  </si>
  <si>
    <t>400/03/26</t>
  </si>
  <si>
    <t>تلوزیون</t>
  </si>
  <si>
    <t>400/03/27</t>
  </si>
  <si>
    <t>مهدی آباد</t>
  </si>
  <si>
    <t>400/03/29</t>
  </si>
  <si>
    <t>96/12/26</t>
  </si>
  <si>
    <t>400/03/30</t>
  </si>
  <si>
    <t>18/4</t>
  </si>
  <si>
    <t>400/04/01</t>
  </si>
  <si>
    <t>فتح آباد</t>
  </si>
  <si>
    <t>96/08/21</t>
  </si>
  <si>
    <t>400/04/02</t>
  </si>
  <si>
    <t>التیمور 2</t>
  </si>
  <si>
    <t>91/03/24</t>
  </si>
  <si>
    <t>400/04/03</t>
  </si>
  <si>
    <t>400/04/05</t>
  </si>
  <si>
    <t>400/04/06</t>
  </si>
  <si>
    <t>400/04/07</t>
  </si>
  <si>
    <t>سیمان شهر 2</t>
  </si>
  <si>
    <t>96/07/25</t>
  </si>
  <si>
    <t>400/04/08</t>
  </si>
  <si>
    <t>کلاته برفی 3</t>
  </si>
  <si>
    <t>400/04/10</t>
  </si>
  <si>
    <t>139</t>
  </si>
  <si>
    <t>400/04/12</t>
  </si>
  <si>
    <t>400/04/09</t>
  </si>
  <si>
    <t>400/04/13</t>
  </si>
  <si>
    <t>خیام 3</t>
  </si>
  <si>
    <t>96/06/08</t>
  </si>
  <si>
    <t>400/04/15</t>
  </si>
  <si>
    <t>کشف رود 13</t>
  </si>
  <si>
    <t>400/04/19</t>
  </si>
  <si>
    <t>سنگبر</t>
  </si>
  <si>
    <t>400/04/20</t>
  </si>
  <si>
    <t>400/04/21</t>
  </si>
  <si>
    <t>193</t>
  </si>
  <si>
    <t>400/04/23</t>
  </si>
  <si>
    <t>400/04/24</t>
  </si>
  <si>
    <t>95/03/17</t>
  </si>
  <si>
    <t>400/04/25</t>
  </si>
  <si>
    <t>خین عرب</t>
  </si>
  <si>
    <t>400/04/26</t>
  </si>
  <si>
    <t>400/04/27</t>
  </si>
  <si>
    <t>400/02/15</t>
  </si>
  <si>
    <t>انبار مرکزی</t>
  </si>
  <si>
    <t>91/10/04</t>
  </si>
  <si>
    <t>400/04/31</t>
  </si>
  <si>
    <t>97/04/27</t>
  </si>
  <si>
    <t>400/05/03</t>
  </si>
  <si>
    <t>97/09/10</t>
  </si>
  <si>
    <t>400/05/04</t>
  </si>
  <si>
    <t>نیروگاه 7</t>
  </si>
  <si>
    <t>92/007/15</t>
  </si>
  <si>
    <t>400/05/05</t>
  </si>
  <si>
    <t>کورده 3</t>
  </si>
  <si>
    <t>کلاته برفی 2</t>
  </si>
  <si>
    <t>99/09/06</t>
  </si>
  <si>
    <t>400/05/06</t>
  </si>
  <si>
    <t>14</t>
  </si>
  <si>
    <t>400/05/07</t>
  </si>
  <si>
    <t>ناظرآباد</t>
  </si>
  <si>
    <t>400/08/14</t>
  </si>
  <si>
    <t>1400/01/27</t>
  </si>
  <si>
    <t>400/05/09</t>
  </si>
  <si>
    <t>دستگردان</t>
  </si>
  <si>
    <t>400/06/26</t>
  </si>
  <si>
    <t>آماده سازی 1</t>
  </si>
  <si>
    <t>96/03/05</t>
  </si>
  <si>
    <t>95/11/05</t>
  </si>
  <si>
    <t>168</t>
  </si>
  <si>
    <t>260</t>
  </si>
  <si>
    <t>132</t>
  </si>
  <si>
    <t>170</t>
  </si>
  <si>
    <t>400/05/15</t>
  </si>
  <si>
    <t>مطعری 5</t>
  </si>
  <si>
    <t>97/05/31</t>
  </si>
  <si>
    <t>400/05/16</t>
  </si>
  <si>
    <t>ناظر آباد</t>
  </si>
  <si>
    <t>152/20</t>
  </si>
  <si>
    <t>1400/05/13</t>
  </si>
  <si>
    <t xml:space="preserve"> اشکال در راه اندازی </t>
  </si>
  <si>
    <t>400/05/17</t>
  </si>
  <si>
    <t>مطهری 5</t>
  </si>
  <si>
    <t>16/5</t>
  </si>
  <si>
    <t>400/05/18</t>
  </si>
  <si>
    <t xml:space="preserve">اکبر آباد </t>
  </si>
  <si>
    <t>97/12/25</t>
  </si>
  <si>
    <t>172</t>
  </si>
  <si>
    <t>رسالت ایستگاه پمپاژ</t>
  </si>
  <si>
    <t>95/10/15</t>
  </si>
  <si>
    <t>374/3</t>
  </si>
  <si>
    <t>400/05/19</t>
  </si>
  <si>
    <t>امامیه 20</t>
  </si>
  <si>
    <t>98/05/30</t>
  </si>
  <si>
    <t>400/05/21</t>
  </si>
  <si>
    <t>242</t>
  </si>
  <si>
    <t>400/05/23</t>
  </si>
  <si>
    <t>چاهک روستایی ده غیبی</t>
  </si>
  <si>
    <t>400/05/30</t>
  </si>
  <si>
    <t>400/05/31</t>
  </si>
  <si>
    <t>1400/02/25</t>
  </si>
  <si>
    <t>شکستگی طبقات</t>
  </si>
  <si>
    <t>400/06/01</t>
  </si>
  <si>
    <t>400/06/02</t>
  </si>
  <si>
    <t>لشگر1</t>
  </si>
  <si>
    <t>97/12/18</t>
  </si>
  <si>
    <t>پمپ یک پروانه کم دارد</t>
  </si>
  <si>
    <t>400/06/04</t>
  </si>
  <si>
    <t>400/06/07</t>
  </si>
  <si>
    <t>رضویه 6</t>
  </si>
  <si>
    <t>منزل آباد 1</t>
  </si>
  <si>
    <t>98/12/04</t>
  </si>
  <si>
    <t>400/06/10</t>
  </si>
  <si>
    <t>داخل کابل ها پر آب بود و از قسمت سربندی موتور سوخته بود</t>
  </si>
  <si>
    <t>400/06/15</t>
  </si>
  <si>
    <t>228</t>
  </si>
  <si>
    <t>کال زرکش جنگی 13</t>
  </si>
  <si>
    <t>400/06/17</t>
  </si>
  <si>
    <t>94/06/22</t>
  </si>
  <si>
    <t>400/09/18</t>
  </si>
  <si>
    <t>96/05/12</t>
  </si>
  <si>
    <t>400/06/19</t>
  </si>
  <si>
    <t>یغفور</t>
  </si>
  <si>
    <t>89/06/05</t>
  </si>
  <si>
    <t>156</t>
  </si>
  <si>
    <t>400/06/20</t>
  </si>
  <si>
    <t>بریدن محور پمپ</t>
  </si>
  <si>
    <t>400/09/09</t>
  </si>
  <si>
    <t>98/01/24</t>
  </si>
  <si>
    <t>400/06/21</t>
  </si>
  <si>
    <t>95/05/15</t>
  </si>
  <si>
    <t>کشف رود 12</t>
  </si>
  <si>
    <t>التیمور 4</t>
  </si>
  <si>
    <t>98/07/20</t>
  </si>
  <si>
    <t>400/06/23</t>
  </si>
  <si>
    <t>کورده 4</t>
  </si>
  <si>
    <t>96/08/01</t>
  </si>
  <si>
    <t>78</t>
  </si>
  <si>
    <t>97/09/28</t>
  </si>
  <si>
    <t>کوی کافی</t>
  </si>
  <si>
    <t>مرکز</t>
  </si>
  <si>
    <t>179</t>
  </si>
  <si>
    <t>16/3</t>
  </si>
  <si>
    <t>400/06/25</t>
  </si>
  <si>
    <t>98/01/22</t>
  </si>
  <si>
    <t>400/05/08</t>
  </si>
  <si>
    <t>حجاب 2</t>
  </si>
  <si>
    <t>99/06/20</t>
  </si>
  <si>
    <t>شهید پهلوانی</t>
  </si>
  <si>
    <t>خین چماغی</t>
  </si>
  <si>
    <t>400/06/29</t>
  </si>
  <si>
    <t>21</t>
  </si>
  <si>
    <t>400/06/31</t>
  </si>
  <si>
    <t>منزل آباد 30</t>
  </si>
  <si>
    <t>94/02/15</t>
  </si>
  <si>
    <t>400/02/23</t>
  </si>
  <si>
    <t>6608/21</t>
  </si>
  <si>
    <t>94/10/21</t>
  </si>
  <si>
    <t>400/07/02</t>
  </si>
  <si>
    <t>400/07/09</t>
  </si>
  <si>
    <t>سوران 9</t>
  </si>
  <si>
    <t>94/12/15</t>
  </si>
  <si>
    <t>400/07/10</t>
  </si>
  <si>
    <t>96/05/10</t>
  </si>
  <si>
    <t>400/07/14</t>
  </si>
  <si>
    <t>کریم آباد</t>
  </si>
  <si>
    <t>گنبدواز</t>
  </si>
  <si>
    <t>18.5</t>
  </si>
  <si>
    <t>400/10/07</t>
  </si>
  <si>
    <t>97/05/02</t>
  </si>
  <si>
    <t>400/07/19</t>
  </si>
  <si>
    <t>225</t>
  </si>
  <si>
    <t>400/07/18</t>
  </si>
  <si>
    <t>400/07/20</t>
  </si>
  <si>
    <t>امام رضا 37</t>
  </si>
  <si>
    <t>98/06/23</t>
  </si>
  <si>
    <t>400/07/21</t>
  </si>
  <si>
    <t>میدان ضد</t>
  </si>
  <si>
    <t>85/04/12</t>
  </si>
  <si>
    <t>موتور و پمپ به داخل چاه سقوط کرده و فقط 12 متر لوله کشیده شده است</t>
  </si>
  <si>
    <t>400/07/22</t>
  </si>
  <si>
    <t>بریدن تسمه نگهدارنده پمپ</t>
  </si>
  <si>
    <t>400/07/23</t>
  </si>
  <si>
    <t>تچهیز چاه جدید</t>
  </si>
  <si>
    <t>88/08/28</t>
  </si>
  <si>
    <t>در قسمت مکش پمپ شناور زباله های زیادی چسبیده بود که خود باعث کمبود آبدهی میشود</t>
  </si>
  <si>
    <t>400/07/24</t>
  </si>
  <si>
    <t>400/07/27</t>
  </si>
  <si>
    <t>230</t>
  </si>
  <si>
    <t>16/6</t>
  </si>
  <si>
    <t>400/08/01</t>
  </si>
  <si>
    <t>400/07/29</t>
  </si>
  <si>
    <t>400/08/02</t>
  </si>
  <si>
    <t>126</t>
  </si>
  <si>
    <t>150</t>
  </si>
  <si>
    <t>400/08/03</t>
  </si>
  <si>
    <t>ده سرخ</t>
  </si>
  <si>
    <t>5.5</t>
  </si>
  <si>
    <t>193/5</t>
  </si>
  <si>
    <t>موتور و پمپ کوبل شده در تاریخ 400/08/03 تحویل آقای کلاهدرازی گردید</t>
  </si>
  <si>
    <t>400/09/15</t>
  </si>
  <si>
    <t>98/05/07</t>
  </si>
  <si>
    <t>400/09/12</t>
  </si>
  <si>
    <t>زندان</t>
  </si>
  <si>
    <t>95/02/12</t>
  </si>
  <si>
    <t>400/08/10</t>
  </si>
  <si>
    <t>سعید آباد</t>
  </si>
  <si>
    <t>5/5</t>
  </si>
  <si>
    <t>152/17</t>
  </si>
  <si>
    <t>موتور پمپ توسط آقای جوادی نصب گردید و برگشتی نداشته است</t>
  </si>
  <si>
    <t>400/08/11</t>
  </si>
  <si>
    <t>منزل آباد 36</t>
  </si>
  <si>
    <t>97/12/26</t>
  </si>
  <si>
    <t>400/08/12</t>
  </si>
  <si>
    <t>233/15</t>
  </si>
  <si>
    <t>93/07/23</t>
  </si>
  <si>
    <t>400/08/15</t>
  </si>
  <si>
    <t>400/09/17</t>
  </si>
  <si>
    <t>88/05/21</t>
  </si>
  <si>
    <t>این چاه اکثرا بعلت عدم نیازخاموش بوده است</t>
  </si>
  <si>
    <t>400/08/18</t>
  </si>
  <si>
    <t>نیرو هوایی</t>
  </si>
  <si>
    <t>99/05/09</t>
  </si>
  <si>
    <t>400/08/19</t>
  </si>
  <si>
    <t>14/5</t>
  </si>
  <si>
    <t>400/08/17</t>
  </si>
  <si>
    <t>400/08/20</t>
  </si>
  <si>
    <t>400/08/22</t>
  </si>
  <si>
    <t>فرهنگیان 3</t>
  </si>
  <si>
    <t>84/12/06</t>
  </si>
  <si>
    <t>400/08/23</t>
  </si>
  <si>
    <t>138</t>
  </si>
  <si>
    <t>143</t>
  </si>
  <si>
    <t>گوجگی</t>
  </si>
  <si>
    <t>435/2a</t>
  </si>
  <si>
    <t>400/08/26</t>
  </si>
  <si>
    <t>الکترو موتور و پمپ شناور در موقع نصب داخل گل نشسته و باعث اهم دار شدن الکترو موتور شده است</t>
  </si>
  <si>
    <t>400/08/28</t>
  </si>
  <si>
    <t>حجاب 4</t>
  </si>
  <si>
    <t>99/07/04</t>
  </si>
  <si>
    <t>الکترو موتور از قسمت سربندی دچار سوختگی شده است و پس از باز کردن پمپ شناور داخل پمپ گراویه وجود داشت و دچار تخریب کلی طبقه و پروانه پمپ شده است</t>
  </si>
  <si>
    <t>400/08/29</t>
  </si>
  <si>
    <t>نریمانی</t>
  </si>
  <si>
    <t>400/09/01</t>
  </si>
  <si>
    <t>400/08/24</t>
  </si>
  <si>
    <t>400/8/30</t>
  </si>
  <si>
    <t>فلاحی</t>
  </si>
  <si>
    <t>98/08/26</t>
  </si>
  <si>
    <t>400/09/06</t>
  </si>
  <si>
    <t>6609/11</t>
  </si>
  <si>
    <t>98/03/18</t>
  </si>
  <si>
    <t>400/09/07</t>
  </si>
  <si>
    <t>400/11/04</t>
  </si>
  <si>
    <t>شافعی</t>
  </si>
  <si>
    <t>97/12/20</t>
  </si>
  <si>
    <t>400/09/23</t>
  </si>
  <si>
    <t>97/11/25</t>
  </si>
  <si>
    <t>چاه بعلت مشکل فنی در بهسازی مجدد کشیده شده است.</t>
  </si>
  <si>
    <t>400/09/13</t>
  </si>
  <si>
    <t>صد متری بلال</t>
  </si>
  <si>
    <t>84</t>
  </si>
  <si>
    <t>400/09/10</t>
  </si>
  <si>
    <t>400/09/08</t>
  </si>
  <si>
    <t>97/08/16</t>
  </si>
  <si>
    <t>400/08/04</t>
  </si>
  <si>
    <t>فتاح</t>
  </si>
  <si>
    <t>97/11/28</t>
  </si>
  <si>
    <t>400/09/16</t>
  </si>
  <si>
    <t>کارده 3</t>
  </si>
  <si>
    <t>97/10/29</t>
  </si>
  <si>
    <t>97/04/10</t>
  </si>
  <si>
    <t>400/09/14</t>
  </si>
  <si>
    <t>گلشهر 6</t>
  </si>
  <si>
    <t>98/10/02</t>
  </si>
  <si>
    <t>400/09/19</t>
  </si>
  <si>
    <t>400/09/20</t>
  </si>
  <si>
    <t>40</t>
  </si>
  <si>
    <t>400/09/21</t>
  </si>
  <si>
    <t>پس از کشیدن الکتروموتور و پمپ مشخص شد لوله های آبده از چند نقطه دچار پارگی شده و باعث برگشت آب به داخل چاه میشده است</t>
  </si>
  <si>
    <t>400/09/22</t>
  </si>
  <si>
    <t>97/05/08</t>
  </si>
  <si>
    <t>400/09/24</t>
  </si>
  <si>
    <t xml:space="preserve">تنگل شور </t>
  </si>
  <si>
    <t>در مورخه 400/09/24 توسط آقای کلاه درازی از کارگاه مکانیک تحویل گرفته شد و چاه موتور و پمپ برگشتی نداشته است.</t>
  </si>
  <si>
    <t>400/09/25</t>
  </si>
  <si>
    <t>خیام 1</t>
  </si>
  <si>
    <t>97/08/11</t>
  </si>
  <si>
    <t>400/09/26</t>
  </si>
  <si>
    <t>400/09/27</t>
  </si>
  <si>
    <t>منظریه 1</t>
  </si>
  <si>
    <t>92/11/21</t>
  </si>
  <si>
    <t>98/09/20</t>
  </si>
  <si>
    <t>400/09/30</t>
  </si>
  <si>
    <t>میدان فجر</t>
  </si>
  <si>
    <t>400/10/01</t>
  </si>
  <si>
    <t>6608/22</t>
  </si>
  <si>
    <t>400/07/01</t>
  </si>
  <si>
    <t>منزل آ؛باد 33</t>
  </si>
  <si>
    <t>94/06/06</t>
  </si>
  <si>
    <t>400/10/04</t>
  </si>
  <si>
    <t>بلوار مصلی</t>
  </si>
  <si>
    <t>425/4</t>
  </si>
  <si>
    <t>92/03/10</t>
  </si>
  <si>
    <t>400/10/05</t>
  </si>
  <si>
    <t>99/12/07</t>
  </si>
  <si>
    <t>400/10/08</t>
  </si>
  <si>
    <t>منزل آباد 1 (روستایی )</t>
  </si>
  <si>
    <t>400/10/09</t>
  </si>
  <si>
    <t>400/10/10</t>
  </si>
  <si>
    <t>400/10/11</t>
  </si>
  <si>
    <t>پس از بازکردن پمپ چاه پروانه ها و محفظه طبقات پمپ بعلت فرسودگی در قسمت بوش های لاستیکی پمپ باعث تخریب کلی پمپ گردیده است</t>
  </si>
  <si>
    <t>400/10/19</t>
  </si>
  <si>
    <t>کشف رود 2</t>
  </si>
  <si>
    <t>400/10/20</t>
  </si>
  <si>
    <t>400/10/21</t>
  </si>
  <si>
    <t>400/10/22</t>
  </si>
  <si>
    <t>400/10/23</t>
  </si>
  <si>
    <t>400/10/25</t>
  </si>
  <si>
    <t>ایرج 5</t>
  </si>
  <si>
    <t>94/02/24</t>
  </si>
  <si>
    <t>400/10/26</t>
  </si>
  <si>
    <t>450</t>
  </si>
  <si>
    <t>بعد از نصب چاه لوله های آبده از محل وصل آبریزی داشت</t>
  </si>
  <si>
    <t>400/10/27</t>
  </si>
  <si>
    <t>400/10/28</t>
  </si>
  <si>
    <t>400/10/30</t>
  </si>
  <si>
    <t>98/11/12</t>
  </si>
  <si>
    <t>400/11/02</t>
  </si>
  <si>
    <t>99/02/10</t>
  </si>
  <si>
    <t>در هنگام کشیدن چاه به دلیل پاره شدن سیم بکسل جرثقیل الکتروموتور و لوله ها به ته چاه سقوط کرده است</t>
  </si>
  <si>
    <t>94/11/10</t>
  </si>
  <si>
    <t>400/11/05</t>
  </si>
  <si>
    <t>الکتروموتور گل کشیده بود و روتور یکطرفه کارکرده بود که احتمال دوفاز کارکردن را دارد</t>
  </si>
  <si>
    <t>بندجیم 2</t>
  </si>
  <si>
    <t>96/05/15</t>
  </si>
  <si>
    <t>400/11/06</t>
  </si>
  <si>
    <t>صدف 2</t>
  </si>
  <si>
    <t>89/02/10</t>
  </si>
  <si>
    <t>400/11/07</t>
  </si>
  <si>
    <t>400/11/08</t>
  </si>
  <si>
    <t>عمق نصب از 144 به 156 تغییر کرده است</t>
  </si>
  <si>
    <t>400/11/09</t>
  </si>
  <si>
    <t>97/10/09</t>
  </si>
  <si>
    <t>400/11/11</t>
  </si>
  <si>
    <t>کنه بیست</t>
  </si>
  <si>
    <t>99/07/21</t>
  </si>
  <si>
    <t>97/12/17</t>
  </si>
  <si>
    <t>96</t>
  </si>
  <si>
    <t>400/11/16</t>
  </si>
  <si>
    <t>400/11/17</t>
  </si>
  <si>
    <t>شاهد 79</t>
  </si>
  <si>
    <t>جعفر زاده</t>
  </si>
  <si>
    <t>400/11/15</t>
  </si>
  <si>
    <t>باغون آباد</t>
  </si>
  <si>
    <t>400/11/20</t>
  </si>
  <si>
    <t>400/11/21</t>
  </si>
  <si>
    <t xml:space="preserve">علت کشیدن الکتروموتور و پمپ شناور بعلت خرابی در تابلو برق چاه موتور دوفاز کارکرده و سوخته </t>
  </si>
  <si>
    <t>400/11/24</t>
  </si>
  <si>
    <t>400/11/25</t>
  </si>
  <si>
    <t>95/07/02</t>
  </si>
  <si>
    <t>400/11/27</t>
  </si>
  <si>
    <t>89/09/08</t>
  </si>
  <si>
    <t>90</t>
  </si>
  <si>
    <t>400/11/28</t>
  </si>
  <si>
    <t>400/11/30</t>
  </si>
  <si>
    <t>400/12/01</t>
  </si>
  <si>
    <t>96/04/21</t>
  </si>
  <si>
    <t>96/03/28</t>
  </si>
  <si>
    <t>اسلام آباد 14</t>
  </si>
  <si>
    <t>87/02/17</t>
  </si>
  <si>
    <t>400/12/05</t>
  </si>
  <si>
    <t>400/12/06</t>
  </si>
  <si>
    <t>ایرج 8</t>
  </si>
  <si>
    <t>99/12/22</t>
  </si>
  <si>
    <t>11/5</t>
  </si>
  <si>
    <t>99/12/17</t>
  </si>
  <si>
    <t>400/08/09</t>
  </si>
  <si>
    <t>الکترو پمپ قبلی توسط آب و فاضلاب استان ( شاندیز )نصب شده است</t>
  </si>
  <si>
    <t>400/12/08</t>
  </si>
  <si>
    <t>آزادشهر 2</t>
  </si>
  <si>
    <t>98/03/31</t>
  </si>
  <si>
    <t>98/03/29</t>
  </si>
  <si>
    <t>400/12/09</t>
  </si>
  <si>
    <t>400/12/11</t>
  </si>
  <si>
    <t>182</t>
  </si>
  <si>
    <t>13/8</t>
  </si>
  <si>
    <t>400/12/13</t>
  </si>
  <si>
    <t>400/12/14</t>
  </si>
  <si>
    <t>400/12/15</t>
  </si>
  <si>
    <t>114</t>
  </si>
  <si>
    <t>امام علی 3</t>
  </si>
  <si>
    <t>93/07/15</t>
  </si>
  <si>
    <t>400/12/20</t>
  </si>
  <si>
    <t>رده 4</t>
  </si>
  <si>
    <t>97/12/04</t>
  </si>
  <si>
    <t>400/12/23</t>
  </si>
  <si>
    <t>کشف 12</t>
  </si>
  <si>
    <t>400/12/24</t>
  </si>
  <si>
    <t>133</t>
  </si>
  <si>
    <t>400/12/25</t>
  </si>
  <si>
    <t>حجت1</t>
  </si>
  <si>
    <t>97/09/01</t>
  </si>
  <si>
    <t>237</t>
  </si>
  <si>
    <t>300</t>
  </si>
  <si>
    <t>184</t>
  </si>
  <si>
    <t>99/01/01</t>
  </si>
  <si>
    <t>93/04/11</t>
  </si>
  <si>
    <t>99/01/25</t>
  </si>
  <si>
    <t>94/06/16</t>
  </si>
  <si>
    <t>نصرا... زاده</t>
  </si>
  <si>
    <t>99/01/30</t>
  </si>
  <si>
    <t>98/11/05</t>
  </si>
  <si>
    <t>99/01/31</t>
  </si>
  <si>
    <t>96/03/07</t>
  </si>
  <si>
    <t>99/02/02</t>
  </si>
  <si>
    <t xml:space="preserve">نو </t>
  </si>
  <si>
    <t>99/02/03</t>
  </si>
  <si>
    <t>اسلام آباد 7</t>
  </si>
  <si>
    <t>425/6</t>
  </si>
  <si>
    <t>87/12/01</t>
  </si>
  <si>
    <t>99/02/04</t>
  </si>
  <si>
    <t>99/02/06</t>
  </si>
  <si>
    <t>98/05/27</t>
  </si>
  <si>
    <t>99/02/07</t>
  </si>
  <si>
    <t>97/06/25</t>
  </si>
  <si>
    <t>99/02/08</t>
  </si>
  <si>
    <t>94/08/18</t>
  </si>
  <si>
    <t>96/08/03</t>
  </si>
  <si>
    <t>99/02/12</t>
  </si>
  <si>
    <t>94/07/08</t>
  </si>
  <si>
    <t>99/02/14</t>
  </si>
  <si>
    <t>کلاته برفی</t>
  </si>
  <si>
    <t>98/05/14</t>
  </si>
  <si>
    <t>99/02/15</t>
  </si>
  <si>
    <t>میرزا کوچک خان</t>
  </si>
  <si>
    <t>93/11/18</t>
  </si>
  <si>
    <t>83/11/15</t>
  </si>
  <si>
    <t>99/02/17</t>
  </si>
  <si>
    <t>96/09/20</t>
  </si>
  <si>
    <t>99/02/18</t>
  </si>
  <si>
    <t>98/05/13</t>
  </si>
  <si>
    <t>99/02/21</t>
  </si>
  <si>
    <t>99/02/22</t>
  </si>
  <si>
    <t>97/05/03</t>
  </si>
  <si>
    <t>99/02/23</t>
  </si>
  <si>
    <t>95/12/08</t>
  </si>
  <si>
    <t>99/02/26</t>
  </si>
  <si>
    <t>اضافه آمپر - شولات</t>
  </si>
  <si>
    <t>96/04/22</t>
  </si>
  <si>
    <t>99/02/31</t>
  </si>
  <si>
    <t>97/08/03</t>
  </si>
  <si>
    <t>99/03/01</t>
  </si>
  <si>
    <t>99/03/06</t>
  </si>
  <si>
    <t>97/07/17</t>
  </si>
  <si>
    <t>99/03/07</t>
  </si>
  <si>
    <t>پرمیت</t>
  </si>
  <si>
    <t>امانی</t>
  </si>
  <si>
    <t>99/03/08</t>
  </si>
  <si>
    <t>99/03/12</t>
  </si>
  <si>
    <t>منزل آباد 38</t>
  </si>
  <si>
    <t>97/11/18</t>
  </si>
  <si>
    <t>99/03/17</t>
  </si>
  <si>
    <t>کلاته سید علی</t>
  </si>
  <si>
    <t>233/11</t>
  </si>
  <si>
    <t>98/05/08</t>
  </si>
  <si>
    <t>99/03/18</t>
  </si>
  <si>
    <t>مهرآباد 2</t>
  </si>
  <si>
    <t>99/03/19</t>
  </si>
  <si>
    <t>99/03/22</t>
  </si>
  <si>
    <t>99/03/24</t>
  </si>
  <si>
    <t>94/06/20</t>
  </si>
  <si>
    <t>99/03/25</t>
  </si>
  <si>
    <t>امام رضا 35</t>
  </si>
  <si>
    <t>97/07/25</t>
  </si>
  <si>
    <t>99/03/26</t>
  </si>
  <si>
    <t>99/03/27</t>
  </si>
  <si>
    <t>شهرآباد 2</t>
  </si>
  <si>
    <t>روستایی</t>
  </si>
  <si>
    <t>99/04/02</t>
  </si>
  <si>
    <t>99/04/05</t>
  </si>
  <si>
    <t>چهار برج قدیم</t>
  </si>
  <si>
    <t>90/04/05</t>
  </si>
  <si>
    <t>99/04/07</t>
  </si>
  <si>
    <t>99/04/09</t>
  </si>
  <si>
    <t>94/07/19</t>
  </si>
  <si>
    <t>99/04/11</t>
  </si>
  <si>
    <t>97/02/27</t>
  </si>
  <si>
    <t>99/04/13</t>
  </si>
  <si>
    <t>384/3</t>
  </si>
  <si>
    <t>99/04/16</t>
  </si>
  <si>
    <t>کاظم آباد</t>
  </si>
  <si>
    <t>99/04/18</t>
  </si>
  <si>
    <t>95/08/12</t>
  </si>
  <si>
    <t>99/04/22</t>
  </si>
  <si>
    <t>کلاته سید علی جدید</t>
  </si>
  <si>
    <t>99/04/23</t>
  </si>
  <si>
    <t>99/04/24</t>
  </si>
  <si>
    <t>رجایی 8</t>
  </si>
  <si>
    <t>ناصری</t>
  </si>
  <si>
    <t>94/05/26</t>
  </si>
  <si>
    <t>99/04/25</t>
  </si>
  <si>
    <t>99/04/30</t>
  </si>
  <si>
    <t>97/09/21</t>
  </si>
  <si>
    <t>99/04/31</t>
  </si>
  <si>
    <t>آبکوه علیا</t>
  </si>
  <si>
    <t>93/01/22</t>
  </si>
  <si>
    <t>99/05/02</t>
  </si>
  <si>
    <t>کلاته گزی</t>
  </si>
  <si>
    <t>منطقه5</t>
  </si>
  <si>
    <t>99/05/03</t>
  </si>
  <si>
    <t>193/11</t>
  </si>
  <si>
    <t>97/12/06</t>
  </si>
  <si>
    <t>99/05/06</t>
  </si>
  <si>
    <t>امامیه 23</t>
  </si>
  <si>
    <t>374/9</t>
  </si>
  <si>
    <t>97/10/15</t>
  </si>
  <si>
    <t>99/05/07</t>
  </si>
  <si>
    <t>95/12/24</t>
  </si>
  <si>
    <t>99/05/08</t>
  </si>
  <si>
    <t>شهرک شیرین</t>
  </si>
  <si>
    <t>92/12/10</t>
  </si>
  <si>
    <t>99/05/12</t>
  </si>
  <si>
    <t>98/12/27</t>
  </si>
  <si>
    <t>امام رضا 33</t>
  </si>
  <si>
    <t>94/06/05</t>
  </si>
  <si>
    <t>99/05/14</t>
  </si>
  <si>
    <t>99/05/16</t>
  </si>
  <si>
    <t>کشف رود 10</t>
  </si>
  <si>
    <t>99/05/27</t>
  </si>
  <si>
    <t>پرکند آباد</t>
  </si>
  <si>
    <t>99/05/29</t>
  </si>
  <si>
    <t>1392/08/13</t>
  </si>
  <si>
    <t>99/06/03</t>
  </si>
  <si>
    <t>99/05/04</t>
  </si>
  <si>
    <t>منزل آباد 5</t>
  </si>
  <si>
    <t>97/07/01</t>
  </si>
  <si>
    <t>99/06/05</t>
  </si>
  <si>
    <t>96/04/06</t>
  </si>
  <si>
    <t>99/06/11</t>
  </si>
  <si>
    <t>ول کردن کف گرد نو سولار</t>
  </si>
  <si>
    <t>99/06/16</t>
  </si>
  <si>
    <t>95/10/11</t>
  </si>
  <si>
    <t>99/06/17</t>
  </si>
  <si>
    <t>99/06/19</t>
  </si>
  <si>
    <t>99/06/21</t>
  </si>
  <si>
    <t>89/10/16</t>
  </si>
  <si>
    <t>99/06/23</t>
  </si>
  <si>
    <t>ایوان طرق</t>
  </si>
  <si>
    <t>98/03/06</t>
  </si>
  <si>
    <t>99/06/24</t>
  </si>
  <si>
    <t>99/06/27</t>
  </si>
  <si>
    <t>99/07/01</t>
  </si>
  <si>
    <t>امامیه 12</t>
  </si>
  <si>
    <t>96/06/16</t>
  </si>
  <si>
    <t>99/07/02</t>
  </si>
  <si>
    <t>96/02/23</t>
  </si>
  <si>
    <t>موتور و پمپ برگشتی آزمایش شد و کمبود آبدهی شدید داشت</t>
  </si>
  <si>
    <t>99/07/03</t>
  </si>
  <si>
    <t>95/03/21</t>
  </si>
  <si>
    <t>داخل موتور وپمپ شولات بود و موتور و پمپ اسقاط شد و طبق دستور یک شاخه 6 متری از عمق نصب کم شد</t>
  </si>
  <si>
    <t>3458</t>
  </si>
  <si>
    <t>99/07/10</t>
  </si>
  <si>
    <t>94/07/20</t>
  </si>
  <si>
    <t>موتور سوخته و پمپ از طبقه چهارم بطور کلی شکسته شده بود</t>
  </si>
  <si>
    <t>99/07/14</t>
  </si>
  <si>
    <t>97/11/16</t>
  </si>
  <si>
    <t>99/07/15</t>
  </si>
  <si>
    <t>99/07/16</t>
  </si>
  <si>
    <t>97/10/22</t>
  </si>
  <si>
    <t>99/07/20</t>
  </si>
  <si>
    <t>98/08/02</t>
  </si>
  <si>
    <t>99/07/22</t>
  </si>
  <si>
    <t>خور سفلی</t>
  </si>
  <si>
    <t>1.5</t>
  </si>
  <si>
    <t>urd 103.21</t>
  </si>
  <si>
    <t>99/07/23</t>
  </si>
  <si>
    <t>374/7a</t>
  </si>
  <si>
    <t>88/04/13</t>
  </si>
  <si>
    <t>99/07/24</t>
  </si>
  <si>
    <t>نصرا..زاده</t>
  </si>
  <si>
    <t>99/07/29</t>
  </si>
  <si>
    <t>97/03/12</t>
  </si>
  <si>
    <t>99/07/30</t>
  </si>
  <si>
    <t>96/06/06</t>
  </si>
  <si>
    <t>پمپ یک پروانه کسر داشت.</t>
  </si>
  <si>
    <t>99/08/01</t>
  </si>
  <si>
    <t>99/08/03</t>
  </si>
  <si>
    <t>99/08/04</t>
  </si>
  <si>
    <t>کلاهدوز 1</t>
  </si>
  <si>
    <t>92/10/20</t>
  </si>
  <si>
    <t>99/08/05</t>
  </si>
  <si>
    <t>امامیه 16</t>
  </si>
  <si>
    <t>96/11/05</t>
  </si>
  <si>
    <t>99/08/06</t>
  </si>
  <si>
    <t>99/08/07</t>
  </si>
  <si>
    <t>99/08/08</t>
  </si>
  <si>
    <t>دوست آباد 1</t>
  </si>
  <si>
    <t>99/08/10</t>
  </si>
  <si>
    <t>پهلوانی</t>
  </si>
  <si>
    <t>99/08/13</t>
  </si>
  <si>
    <t>کشف</t>
  </si>
  <si>
    <t>توس 67</t>
  </si>
  <si>
    <t>99/08/21</t>
  </si>
  <si>
    <t>جمعه بازار</t>
  </si>
  <si>
    <t>99/08/25</t>
  </si>
  <si>
    <t>بازه حوض</t>
  </si>
  <si>
    <t>99/08/27</t>
  </si>
  <si>
    <t>رده 5</t>
  </si>
  <si>
    <t>93/09/12</t>
  </si>
  <si>
    <t>99/08/28</t>
  </si>
  <si>
    <t>99/09/05</t>
  </si>
  <si>
    <t>کلاته برفی جدید</t>
  </si>
  <si>
    <t>99/09/08</t>
  </si>
  <si>
    <t>حاجی آباد</t>
  </si>
  <si>
    <t>99/09/10</t>
  </si>
  <si>
    <t>امام علی 1</t>
  </si>
  <si>
    <t>96/07/05</t>
  </si>
  <si>
    <t>99/09/13</t>
  </si>
  <si>
    <t>99/09/14</t>
  </si>
  <si>
    <t>93/02/16</t>
  </si>
  <si>
    <t>99/09/16</t>
  </si>
  <si>
    <t>99/09/20</t>
  </si>
  <si>
    <t>97/06/06</t>
  </si>
  <si>
    <t>99/09/30</t>
  </si>
  <si>
    <t>92/01/29</t>
  </si>
  <si>
    <t>ایرج میرزا 9</t>
  </si>
  <si>
    <t>94/11/08</t>
  </si>
  <si>
    <t>99/10/14</t>
  </si>
  <si>
    <t>الهیه 1</t>
  </si>
  <si>
    <t>96/11/19</t>
  </si>
  <si>
    <t>99/10/15</t>
  </si>
  <si>
    <t>99/10/21</t>
  </si>
  <si>
    <t>99/10/24</t>
  </si>
  <si>
    <t>کورده 7</t>
  </si>
  <si>
    <t>96/11/29</t>
  </si>
  <si>
    <t>99/10/28</t>
  </si>
  <si>
    <t>خان سعادت</t>
  </si>
  <si>
    <t>99/11/06</t>
  </si>
  <si>
    <t>99/11/13</t>
  </si>
  <si>
    <t>جلال آباد</t>
  </si>
  <si>
    <t>کلاته میرزاجان</t>
  </si>
  <si>
    <t>99/11/19</t>
  </si>
  <si>
    <t>96/08/15</t>
  </si>
  <si>
    <t>موتور سوخته و داخل سوپاپ پمپ گل مشاهده شده است</t>
  </si>
  <si>
    <t xml:space="preserve"> از عمق نصب 6 متر کسر شد</t>
  </si>
  <si>
    <t>93/07/02</t>
  </si>
  <si>
    <t>داخل موتور برگشتی لای کشیده شده بود</t>
  </si>
  <si>
    <t>99/11/26</t>
  </si>
  <si>
    <t>کشف رود 5</t>
  </si>
  <si>
    <t>96/02/22</t>
  </si>
  <si>
    <t>شکستن خار رینگی کف گرد و در نهایت باعث خرابی دیسک و کف گرد و ایجاد صدا و لرزش شدید کرده است</t>
  </si>
  <si>
    <t>99/11/28</t>
  </si>
  <si>
    <t>97/07/04</t>
  </si>
  <si>
    <t>99/12/03</t>
  </si>
  <si>
    <t>96/04/12</t>
  </si>
  <si>
    <t>99/12/06</t>
  </si>
  <si>
    <t>99/12/10</t>
  </si>
  <si>
    <t>99/12/11</t>
  </si>
  <si>
    <t>99/12/14</t>
  </si>
  <si>
    <t>زرکش</t>
  </si>
  <si>
    <t>99//12/17</t>
  </si>
  <si>
    <t>گلشهر 4</t>
  </si>
  <si>
    <t>97/12/16</t>
  </si>
  <si>
    <t>99/12/21</t>
  </si>
  <si>
    <t>ایرج میرزا 8</t>
  </si>
  <si>
    <t>شافت بریده</t>
  </si>
  <si>
    <t>98/08/03</t>
  </si>
  <si>
    <t>99/12/26</t>
  </si>
  <si>
    <t>رضویه 3</t>
  </si>
  <si>
    <t>293/17</t>
  </si>
  <si>
    <t>99/12/27</t>
  </si>
  <si>
    <t>6608</t>
  </si>
  <si>
    <t>99/12/28</t>
  </si>
  <si>
    <t>99/12/29</t>
  </si>
  <si>
    <t>سراه دانش</t>
  </si>
  <si>
    <t>گیر و پاژ</t>
  </si>
  <si>
    <t>فرم</t>
  </si>
  <si>
    <t>دبي قبل از كشيدن</t>
  </si>
  <si>
    <t>تاريخ دبي قبل از كشيدن</t>
  </si>
  <si>
    <t>دبي بعد از نصب</t>
  </si>
  <si>
    <t>تاريخ دبي بعد از نصب</t>
  </si>
  <si>
    <t>توضيحات</t>
  </si>
  <si>
    <t>98/01/18</t>
  </si>
  <si>
    <t>گلشهر یک</t>
  </si>
  <si>
    <t xml:space="preserve">پارگی جدار </t>
  </si>
  <si>
    <t xml:space="preserve">سعدآبادی </t>
  </si>
  <si>
    <t>94/04/29</t>
  </si>
  <si>
    <t>98/01/23</t>
  </si>
  <si>
    <t>امامیه 13</t>
  </si>
  <si>
    <t>98/02/11</t>
  </si>
  <si>
    <t>96/03/29</t>
  </si>
  <si>
    <t>خیرآباد</t>
  </si>
  <si>
    <t>98/02/22</t>
  </si>
  <si>
    <t>94/12/11</t>
  </si>
  <si>
    <t>رجائی 6</t>
  </si>
  <si>
    <t xml:space="preserve">اهم دار ، مشکل کیفی </t>
  </si>
  <si>
    <t>95/10/26</t>
  </si>
  <si>
    <t>بازه شیخ 3</t>
  </si>
  <si>
    <t>مشکل کیفی</t>
  </si>
  <si>
    <t>95/12/11</t>
  </si>
  <si>
    <t>94/4/29</t>
  </si>
  <si>
    <t>98/02/07</t>
  </si>
  <si>
    <t>چمران 3</t>
  </si>
  <si>
    <t>98/02/08</t>
  </si>
  <si>
    <t>98/02/12</t>
  </si>
  <si>
    <t>نصر اله زاده</t>
  </si>
  <si>
    <t>98/02/13</t>
  </si>
  <si>
    <t>بلوار سجاد</t>
  </si>
  <si>
    <t>96/11/13</t>
  </si>
  <si>
    <t>98/02/24</t>
  </si>
  <si>
    <t>98/02/14</t>
  </si>
  <si>
    <t>میل کاریز</t>
  </si>
  <si>
    <t>90/02/22</t>
  </si>
  <si>
    <t>98/02/15</t>
  </si>
  <si>
    <t>ابوطالب یک قدیم</t>
  </si>
  <si>
    <t>89/05/10</t>
  </si>
  <si>
    <t>98/02/17</t>
  </si>
  <si>
    <t>درآبدخزانه 3</t>
  </si>
  <si>
    <t>96/09/12</t>
  </si>
  <si>
    <t>95/08/09</t>
  </si>
  <si>
    <t>98/02/21</t>
  </si>
  <si>
    <t>کورده 11</t>
  </si>
  <si>
    <t>95/07/12</t>
  </si>
  <si>
    <t>قفل کردن روتور در اثر وارد شدن شولات به داخل استاتور  از قسمت کاسه نمد</t>
  </si>
  <si>
    <t>98/02/26</t>
  </si>
  <si>
    <t>97/09/15</t>
  </si>
  <si>
    <t>88/11/03</t>
  </si>
  <si>
    <t>98/02/30</t>
  </si>
  <si>
    <t>اکبر آباد قدیم</t>
  </si>
  <si>
    <t>کمبود آبدهی . شولات</t>
  </si>
  <si>
    <t>96/06/09</t>
  </si>
  <si>
    <t>98/03/04</t>
  </si>
  <si>
    <t>سوران 6</t>
  </si>
  <si>
    <t>اهم دار . کمبود آبدهی</t>
  </si>
  <si>
    <t>95/07/15</t>
  </si>
  <si>
    <t>98/03/05</t>
  </si>
  <si>
    <t>نامشخص</t>
  </si>
  <si>
    <t>98/03/07</t>
  </si>
  <si>
    <t>اولنگ یک</t>
  </si>
  <si>
    <t>95/03/30</t>
  </si>
  <si>
    <t>98/03/11</t>
  </si>
  <si>
    <t>98/03/21</t>
  </si>
  <si>
    <t>وحدت 1</t>
  </si>
  <si>
    <t>98/03/13</t>
  </si>
  <si>
    <t>97/01/25</t>
  </si>
  <si>
    <t>در خواست پمپ</t>
  </si>
  <si>
    <t>98/03/19</t>
  </si>
  <si>
    <t>ناظریه 10</t>
  </si>
  <si>
    <t>95/01/24</t>
  </si>
  <si>
    <t>98/03/25</t>
  </si>
  <si>
    <t>98/03/26</t>
  </si>
  <si>
    <t xml:space="preserve">کاهش آبدهی </t>
  </si>
  <si>
    <t>95/07/27</t>
  </si>
  <si>
    <t>98/03/27</t>
  </si>
  <si>
    <t>شاهد ( ادیب )</t>
  </si>
  <si>
    <t>95/09/30</t>
  </si>
  <si>
    <t>98/03/28</t>
  </si>
  <si>
    <t>98/04/03</t>
  </si>
  <si>
    <t>96/01/24</t>
  </si>
  <si>
    <t xml:space="preserve">برگشتی خود چاه </t>
  </si>
  <si>
    <t>آزاد شهر 2</t>
  </si>
  <si>
    <t>95/11/19</t>
  </si>
  <si>
    <t>98/04/01</t>
  </si>
  <si>
    <t>فرهنگ 23</t>
  </si>
  <si>
    <t>95/02/19</t>
  </si>
  <si>
    <t xml:space="preserve">پارگی لاستیک ته موتور و کاسه نمد  و کشیدن شولات به داخل موتور </t>
  </si>
  <si>
    <t>خشنودی</t>
  </si>
  <si>
    <t>93/07/30</t>
  </si>
  <si>
    <t>98/04/10</t>
  </si>
  <si>
    <t>سیس آباد</t>
  </si>
  <si>
    <t>96/06/30</t>
  </si>
  <si>
    <t>98/04/12</t>
  </si>
  <si>
    <t>98/04/16</t>
  </si>
  <si>
    <t>98/04/17</t>
  </si>
  <si>
    <t>امامیه 7</t>
  </si>
  <si>
    <t>96/04/11</t>
  </si>
  <si>
    <t>98/04/18</t>
  </si>
  <si>
    <t>98/04/23</t>
  </si>
  <si>
    <t>قدس 3</t>
  </si>
  <si>
    <t>89/05/02</t>
  </si>
  <si>
    <t>98/04/24</t>
  </si>
  <si>
    <t>سوران 2</t>
  </si>
  <si>
    <t>95/02/10</t>
  </si>
  <si>
    <t>98/04/25</t>
  </si>
  <si>
    <t>رسالت 19</t>
  </si>
  <si>
    <t>93/06/05</t>
  </si>
  <si>
    <t>98/04/26</t>
  </si>
  <si>
    <t>98/04/29</t>
  </si>
  <si>
    <t>97/08/15</t>
  </si>
  <si>
    <t>98/04/31</t>
  </si>
  <si>
    <t>فرسودگی  و سوراخ بودن لوله های آبده و وجود گراویه داخل پمپ</t>
  </si>
  <si>
    <t>98/05/03</t>
  </si>
  <si>
    <t>95/03/23</t>
  </si>
  <si>
    <t>98/05/06</t>
  </si>
  <si>
    <t>رجائی4</t>
  </si>
  <si>
    <t xml:space="preserve">عدم آبدهی </t>
  </si>
  <si>
    <t>90/10/28</t>
  </si>
  <si>
    <t xml:space="preserve">کلاته سید علی </t>
  </si>
  <si>
    <t>97/9/21</t>
  </si>
  <si>
    <t>98/05/09</t>
  </si>
  <si>
    <t xml:space="preserve">شهرک انقلاب </t>
  </si>
  <si>
    <t>98/06/09</t>
  </si>
  <si>
    <t>87/03/12</t>
  </si>
  <si>
    <t>98/05/12</t>
  </si>
  <si>
    <t>89/11/10</t>
  </si>
  <si>
    <t>94/04/22</t>
  </si>
  <si>
    <t>98/05/15</t>
  </si>
  <si>
    <t>سسیس آباد</t>
  </si>
  <si>
    <t>98/05/16</t>
  </si>
  <si>
    <t>97/03/31</t>
  </si>
  <si>
    <t>98/05/17</t>
  </si>
  <si>
    <t>94/10/17</t>
  </si>
  <si>
    <t>98/05/20</t>
  </si>
  <si>
    <t>92/04/18</t>
  </si>
  <si>
    <t>98/05/22</t>
  </si>
  <si>
    <t>96/05/3</t>
  </si>
  <si>
    <t>98/05/25</t>
  </si>
  <si>
    <t>جلال 22</t>
  </si>
  <si>
    <t>95/02/18</t>
  </si>
  <si>
    <t>98/05/26</t>
  </si>
  <si>
    <t>96/06/01</t>
  </si>
  <si>
    <t>96/05/03</t>
  </si>
  <si>
    <t>96/7/27</t>
  </si>
  <si>
    <t>98/05/31</t>
  </si>
  <si>
    <t>98/06/02</t>
  </si>
  <si>
    <t>97/08/10</t>
  </si>
  <si>
    <t>88/03/07</t>
  </si>
  <si>
    <t>98/06/25</t>
  </si>
  <si>
    <t>94/10/07</t>
  </si>
  <si>
    <t>98/11/10</t>
  </si>
  <si>
    <t>98/06/07</t>
  </si>
  <si>
    <t>95/12/15</t>
  </si>
  <si>
    <t>98/06/08</t>
  </si>
  <si>
    <t>بند جیم 1</t>
  </si>
  <si>
    <t>97/05/05</t>
  </si>
  <si>
    <t>89/03/31</t>
  </si>
  <si>
    <t>98/06/13</t>
  </si>
  <si>
    <t>پمپ یک پروانه کسر شده است</t>
  </si>
  <si>
    <t>98/06/20</t>
  </si>
  <si>
    <t>96/04/25</t>
  </si>
  <si>
    <t>98/06/21</t>
  </si>
  <si>
    <t>94/12/24</t>
  </si>
  <si>
    <t>98/07/06</t>
  </si>
  <si>
    <t>98/06/24</t>
  </si>
  <si>
    <t>سورا ن10</t>
  </si>
  <si>
    <t>96/04/01</t>
  </si>
  <si>
    <t>95/10/13</t>
  </si>
  <si>
    <t>98/06/29</t>
  </si>
  <si>
    <t>امام رضا 47</t>
  </si>
  <si>
    <t>96/10/20</t>
  </si>
  <si>
    <t>98/07/04</t>
  </si>
  <si>
    <t>98/06/31</t>
  </si>
  <si>
    <t>98/07/02</t>
  </si>
  <si>
    <t>93/03/23</t>
  </si>
  <si>
    <t>98/07/03</t>
  </si>
  <si>
    <t>97/04/21</t>
  </si>
  <si>
    <t>98/07/05</t>
  </si>
  <si>
    <t>98/08/05</t>
  </si>
  <si>
    <t>تغییر فشار شبکه</t>
  </si>
  <si>
    <t>نیروگاه 2</t>
  </si>
  <si>
    <t>96/10/05</t>
  </si>
  <si>
    <t>98/07/07</t>
  </si>
  <si>
    <t>98/07/09</t>
  </si>
  <si>
    <t>91/01/09</t>
  </si>
  <si>
    <t>98/07/11</t>
  </si>
  <si>
    <t>98/07/14</t>
  </si>
  <si>
    <t>تیوپ به داخل کابل کشیده شده بود</t>
  </si>
  <si>
    <t>98/07/16</t>
  </si>
  <si>
    <t>95/07/03</t>
  </si>
  <si>
    <t>ناظریه 8</t>
  </si>
  <si>
    <t>96/05/30</t>
  </si>
  <si>
    <t>98/07/19</t>
  </si>
  <si>
    <t>آزاد شهر 3</t>
  </si>
  <si>
    <t>97/10/24</t>
  </si>
  <si>
    <t>93/05/20</t>
  </si>
  <si>
    <t>98/07/23</t>
  </si>
  <si>
    <t>97/05/10</t>
  </si>
  <si>
    <t>98/07/24</t>
  </si>
  <si>
    <t>98/07/29</t>
  </si>
  <si>
    <t>98/07/30</t>
  </si>
  <si>
    <t>94/10/02</t>
  </si>
  <si>
    <t>98/08/01</t>
  </si>
  <si>
    <t>94/04/07</t>
  </si>
  <si>
    <t>94/4/07</t>
  </si>
  <si>
    <t>98/08/11</t>
  </si>
  <si>
    <t>امام رضا 31</t>
  </si>
  <si>
    <t>92/11/25</t>
  </si>
  <si>
    <t>98/08/12</t>
  </si>
  <si>
    <t>98/08/16</t>
  </si>
  <si>
    <t>93/02/22</t>
  </si>
  <si>
    <t>98/09/02</t>
  </si>
  <si>
    <t>98/08/20</t>
  </si>
  <si>
    <t>پرکند آباد 3</t>
  </si>
  <si>
    <t>98/08/21</t>
  </si>
  <si>
    <t>91/01/20</t>
  </si>
  <si>
    <t>98/09/09</t>
  </si>
  <si>
    <t>93/04/28</t>
  </si>
  <si>
    <t>98/10/01</t>
  </si>
  <si>
    <t>93/03/04</t>
  </si>
  <si>
    <t>98/09/11</t>
  </si>
  <si>
    <t>98/09/12</t>
  </si>
  <si>
    <t>89/03/23</t>
  </si>
  <si>
    <t>98/09/13</t>
  </si>
  <si>
    <t>امام رضا 17</t>
  </si>
  <si>
    <t>95/04/10</t>
  </si>
  <si>
    <t>98/09/19</t>
  </si>
  <si>
    <t>96/07/01</t>
  </si>
  <si>
    <t>98/09/24</t>
  </si>
  <si>
    <t>96/12/25</t>
  </si>
  <si>
    <t>98/09/26</t>
  </si>
  <si>
    <t>امام رضا 64</t>
  </si>
  <si>
    <t>98/09/25</t>
  </si>
  <si>
    <t>98/11/01</t>
  </si>
  <si>
    <t>گلشهر6</t>
  </si>
  <si>
    <t>98/11/29</t>
  </si>
  <si>
    <t>کارگاه لاله</t>
  </si>
  <si>
    <t>90/02/24</t>
  </si>
  <si>
    <t>98/10/16</t>
  </si>
  <si>
    <t>94/02/22</t>
  </si>
  <si>
    <t>98/10/03</t>
  </si>
  <si>
    <t>95/11/01</t>
  </si>
  <si>
    <t>98/10/04</t>
  </si>
  <si>
    <t>امام رضا 14</t>
  </si>
  <si>
    <t>93/09/24</t>
  </si>
  <si>
    <t>98/10/05</t>
  </si>
  <si>
    <t>93/10/12</t>
  </si>
  <si>
    <t>98/10/09</t>
  </si>
  <si>
    <t>شاهد 2</t>
  </si>
  <si>
    <t>92/12/26</t>
  </si>
  <si>
    <t>98/10/18</t>
  </si>
  <si>
    <t>96/04/04</t>
  </si>
  <si>
    <t>98/11/08</t>
  </si>
  <si>
    <t>91/05/01</t>
  </si>
  <si>
    <t>98/11/09</t>
  </si>
  <si>
    <t>ادیب</t>
  </si>
  <si>
    <t>98/11/13</t>
  </si>
  <si>
    <t>95/05/21</t>
  </si>
  <si>
    <t>97/07/02</t>
  </si>
  <si>
    <t>98/11/16</t>
  </si>
  <si>
    <t xml:space="preserve">سوران 10 </t>
  </si>
  <si>
    <t>98/11/19</t>
  </si>
  <si>
    <t>89/3/31</t>
  </si>
  <si>
    <t>منزل آباد 29</t>
  </si>
  <si>
    <t>98/11/30</t>
  </si>
  <si>
    <t>96/12/11</t>
  </si>
  <si>
    <t>98/11/24</t>
  </si>
  <si>
    <t>95/03/03</t>
  </si>
  <si>
    <t>98/11/27</t>
  </si>
  <si>
    <t>96/09/23</t>
  </si>
  <si>
    <t>98/12/13</t>
  </si>
  <si>
    <t>95/02/26</t>
  </si>
  <si>
    <t>تربیت</t>
  </si>
  <si>
    <t>98/12/03</t>
  </si>
  <si>
    <t>85/10/12</t>
  </si>
  <si>
    <t>98/12/10</t>
  </si>
  <si>
    <t>98/12/11</t>
  </si>
  <si>
    <t>مطهری 3</t>
  </si>
  <si>
    <t>98/12/12</t>
  </si>
  <si>
    <t>در آبد 2</t>
  </si>
  <si>
    <t>97/7/11</t>
  </si>
  <si>
    <t>98/12/17</t>
  </si>
  <si>
    <t>96/1/27</t>
  </si>
  <si>
    <t>93/06/10</t>
  </si>
  <si>
    <t>98/12/26</t>
  </si>
  <si>
    <t>98/12/20</t>
  </si>
  <si>
    <t>رده 3</t>
  </si>
  <si>
    <t>85/08/03</t>
  </si>
  <si>
    <t>98/12/21</t>
  </si>
  <si>
    <t>98/12/22</t>
  </si>
  <si>
    <t>امام رضا 25</t>
  </si>
  <si>
    <t>92/05/09</t>
  </si>
  <si>
    <t>98/12/24</t>
  </si>
  <si>
    <t>98/12/25</t>
  </si>
  <si>
    <t>اسلام آباد 8</t>
  </si>
  <si>
    <t>94/06/09</t>
  </si>
  <si>
    <t>98/12/28</t>
  </si>
  <si>
    <t>1402/02/20</t>
  </si>
  <si>
    <t>1402/02/21</t>
  </si>
  <si>
    <t>1402/02/22</t>
  </si>
  <si>
    <t>کشف 11</t>
  </si>
  <si>
    <t>1402/02/23</t>
  </si>
  <si>
    <t>1402/02/24</t>
  </si>
  <si>
    <t>قدس 2</t>
  </si>
  <si>
    <t>خیبر 10</t>
  </si>
  <si>
    <t>1401/03/14</t>
  </si>
  <si>
    <t>3166</t>
  </si>
  <si>
    <t>15718</t>
  </si>
  <si>
    <t>1400/10/25</t>
  </si>
  <si>
    <t>1401/10/03</t>
  </si>
  <si>
    <t>1402/02/25</t>
  </si>
  <si>
    <t>کورده 6</t>
  </si>
  <si>
    <t>3499</t>
  </si>
  <si>
    <t>159104</t>
  </si>
  <si>
    <t>3498</t>
  </si>
  <si>
    <t>6442</t>
  </si>
  <si>
    <t>3497</t>
  </si>
  <si>
    <t>6435</t>
  </si>
  <si>
    <t>115</t>
  </si>
  <si>
    <t>3496</t>
  </si>
  <si>
    <t>3501</t>
  </si>
  <si>
    <t>6441</t>
  </si>
  <si>
    <t>1402/02/26</t>
  </si>
  <si>
    <t>1402/02/27</t>
  </si>
  <si>
    <t>1402/02/28</t>
  </si>
  <si>
    <t>شترک</t>
  </si>
  <si>
    <t>3500</t>
  </si>
  <si>
    <t>159105</t>
  </si>
  <si>
    <t>199</t>
  </si>
  <si>
    <t>3502</t>
  </si>
  <si>
    <t>159068</t>
  </si>
  <si>
    <t>660820</t>
  </si>
  <si>
    <t>6439</t>
  </si>
  <si>
    <t>3503</t>
  </si>
  <si>
    <t>159106</t>
  </si>
  <si>
    <t>3483</t>
  </si>
  <si>
    <t>6444</t>
  </si>
  <si>
    <t>97</t>
  </si>
  <si>
    <t xml:space="preserve">در مشاهدات اولیه واضح بود که توری پمپ اشتباه بسته شده است ( بجای نصب در محل مکش پمپ در کلگلی موتور بسته شده بود ) که همین امر باعث شده بود ورودی  پمپ توسط اجسام خارجی ( تیوپ ) مسدود شود و دبی به شدت کاهش یابد </t>
  </si>
  <si>
    <t>1402/02/31</t>
  </si>
  <si>
    <t>رجائی 2</t>
  </si>
  <si>
    <t>1401/07/17</t>
  </si>
  <si>
    <t xml:space="preserve">بررسی شود </t>
  </si>
  <si>
    <t>3481</t>
  </si>
  <si>
    <t>159096</t>
  </si>
  <si>
    <t>1402/02/30</t>
  </si>
  <si>
    <t>تصاویر</t>
  </si>
  <si>
    <t xml:space="preserve">در حین کشیدن تجهیزات پارگی لوله جدار و وجود گراویه در قسمت کلگی الکتروموتور مشاهده گردید و الکترو پمپ پس از انتقال به کارگاه مکانیک آزمایش پمپاژ انجام </t>
  </si>
  <si>
    <t>مستندات</t>
  </si>
  <si>
    <t>تصویر 2</t>
  </si>
  <si>
    <t>تصویر 1</t>
  </si>
  <si>
    <t>1402/03/01</t>
  </si>
  <si>
    <t>15758</t>
  </si>
  <si>
    <t>1401/01/09</t>
  </si>
  <si>
    <t>هد</t>
  </si>
  <si>
    <t>دبی جدول</t>
  </si>
  <si>
    <t xml:space="preserve">دبی اولیه </t>
  </si>
  <si>
    <t xml:space="preserve">دبی برگشتی </t>
  </si>
  <si>
    <t xml:space="preserve">کاهش دبی پس از 14 ماه کارکرد </t>
  </si>
  <si>
    <t>کاهش دبی نسبت به جدول</t>
  </si>
  <si>
    <t xml:space="preserve">در حین کشیدن تجهیزات پارگی لوله جدار و وجود گراویه در قسمت کلگی الکتروموتور مشاهده گردید و الکترو پمپ پس از انتقال به کارگاه مکانیک آزمایش پمپاژ انجام شد (  3.5 از کاهش دبی مر بوط به استهلاک پمپ می باشد ) و مابقی مربوط به محل پارگی لوله آبده  بوده است </t>
  </si>
  <si>
    <t>1402/03/02</t>
  </si>
  <si>
    <t>3505</t>
  </si>
  <si>
    <t xml:space="preserve">مشاهده شولات در داخل سر لوله و خوردگی ( استهلاک قطعه ) در دهانه رانش پمپ </t>
  </si>
  <si>
    <t>این رنگ نشان دهنده کارکرد کمتر از یکسال میباشد</t>
  </si>
  <si>
    <t>1402/03/03</t>
  </si>
  <si>
    <t>1402/03/04</t>
  </si>
  <si>
    <t>امامیه 11</t>
  </si>
  <si>
    <t>3485</t>
  </si>
  <si>
    <t>6676</t>
  </si>
  <si>
    <t>1913</t>
  </si>
  <si>
    <t>5742</t>
  </si>
  <si>
    <t>1396/12/16</t>
  </si>
  <si>
    <t>1402/03/06</t>
  </si>
  <si>
    <t>3507</t>
  </si>
  <si>
    <t>159046</t>
  </si>
  <si>
    <t>2506</t>
  </si>
  <si>
    <t>159107</t>
  </si>
  <si>
    <t>1402/03/05</t>
  </si>
  <si>
    <t>3085</t>
  </si>
  <si>
    <t>6382</t>
  </si>
  <si>
    <t>1400/09/20</t>
  </si>
  <si>
    <t>تازه تحویلی</t>
  </si>
  <si>
    <t>1402/03/07</t>
  </si>
  <si>
    <t>1402/03/08</t>
  </si>
  <si>
    <t>کلاهدوز 2</t>
  </si>
  <si>
    <t>2100</t>
  </si>
  <si>
    <t>6361</t>
  </si>
  <si>
    <t>1396/12/18</t>
  </si>
  <si>
    <t>1401/04/14</t>
  </si>
  <si>
    <t>1954</t>
  </si>
  <si>
    <t>6002</t>
  </si>
  <si>
    <t>1398/04/26</t>
  </si>
  <si>
    <t>1402/03/09</t>
  </si>
  <si>
    <t>توس 7</t>
  </si>
  <si>
    <t>6677</t>
  </si>
  <si>
    <t>239</t>
  </si>
  <si>
    <t>1402/03/10</t>
  </si>
  <si>
    <t>باهنر 2</t>
  </si>
  <si>
    <t>3067</t>
  </si>
  <si>
    <t>15409</t>
  </si>
  <si>
    <t>98/09/18</t>
  </si>
  <si>
    <t>1402/03/14</t>
  </si>
  <si>
    <t>1402/03/15</t>
  </si>
  <si>
    <t>برگشتی چاه</t>
  </si>
  <si>
    <t>سوراخ شدن پوسته موتور و  تخلیه آب داخل الکترموتور و سوختن موتور ( علت خوردگی پوسته الکترو موتور از داخل طوری که در زمان تعمیر قابل مشاهده نبوده است )</t>
  </si>
  <si>
    <t>سوراخ شدن پوسته الکترو موتور</t>
  </si>
  <si>
    <t>1402/03/12</t>
  </si>
  <si>
    <t>1402/03/13</t>
  </si>
  <si>
    <t>اندیشه 8</t>
  </si>
  <si>
    <t>3508</t>
  </si>
  <si>
    <t>6673</t>
  </si>
  <si>
    <t>1402/03/11</t>
  </si>
  <si>
    <t>6672</t>
  </si>
  <si>
    <t>1402/03/112</t>
  </si>
  <si>
    <t>6668</t>
  </si>
  <si>
    <t>3509</t>
  </si>
  <si>
    <t>6666</t>
  </si>
  <si>
    <t>3427</t>
  </si>
  <si>
    <t>1402/03/16</t>
  </si>
  <si>
    <t>شولاتی شدن چاه</t>
  </si>
  <si>
    <t>فیلم</t>
  </si>
  <si>
    <t>1402/03/17</t>
  </si>
  <si>
    <t>امامیه 8</t>
  </si>
  <si>
    <t>1402/03/18</t>
  </si>
  <si>
    <t>6999</t>
  </si>
  <si>
    <t>3510</t>
  </si>
  <si>
    <t>159108</t>
  </si>
  <si>
    <t>194</t>
  </si>
  <si>
    <t>1402/03/19</t>
  </si>
  <si>
    <t>1402/03/20</t>
  </si>
  <si>
    <t>1402/03/21</t>
  </si>
  <si>
    <t>ابوطالب 1 قدیم</t>
  </si>
  <si>
    <t>بلوار فردوسی</t>
  </si>
  <si>
    <t>1401/03/10</t>
  </si>
  <si>
    <t>2031</t>
  </si>
  <si>
    <t>1400/04/12</t>
  </si>
  <si>
    <t>1386/09/11</t>
  </si>
  <si>
    <t>1386</t>
  </si>
  <si>
    <t>1400/08/02</t>
  </si>
  <si>
    <t>1401/08/07</t>
  </si>
  <si>
    <t>پاره شدن تسمه کفنی و گرد بر شدن سرلوله پمپ</t>
  </si>
  <si>
    <t>3511</t>
  </si>
  <si>
    <t>159109</t>
  </si>
  <si>
    <t>1402/03/22</t>
  </si>
  <si>
    <t>3512</t>
  </si>
  <si>
    <t>159111</t>
  </si>
  <si>
    <t>159110</t>
  </si>
  <si>
    <t>3513</t>
  </si>
  <si>
    <t>6675</t>
  </si>
  <si>
    <t>1402/03/23</t>
  </si>
  <si>
    <t>ابتدای اندیشه</t>
  </si>
  <si>
    <t>1402/03/24</t>
  </si>
  <si>
    <t>1402/03/25</t>
  </si>
  <si>
    <t>1402/03/26</t>
  </si>
  <si>
    <t>6667</t>
  </si>
  <si>
    <t>6670</t>
  </si>
  <si>
    <t>3263</t>
  </si>
  <si>
    <t>6674</t>
  </si>
  <si>
    <t>3515</t>
  </si>
  <si>
    <t>3514</t>
  </si>
  <si>
    <t>3516</t>
  </si>
  <si>
    <t>159113</t>
  </si>
  <si>
    <t>159112</t>
  </si>
  <si>
    <t>1402/03/27</t>
  </si>
  <si>
    <t>1402/03/28</t>
  </si>
  <si>
    <t>درآبدخزانه یک</t>
  </si>
  <si>
    <t>1402/03/29</t>
  </si>
  <si>
    <t>چهل حجره قدیم</t>
  </si>
  <si>
    <t>1402/03/30</t>
  </si>
  <si>
    <t>موسوی نژاد</t>
  </si>
  <si>
    <t>1401/06/02</t>
  </si>
  <si>
    <t>1906</t>
  </si>
  <si>
    <t>3138</t>
  </si>
  <si>
    <t>15862</t>
  </si>
  <si>
    <t>1400/04/00</t>
  </si>
  <si>
    <t>1399/05/15</t>
  </si>
  <si>
    <t>1401/09/01</t>
  </si>
  <si>
    <t>3517</t>
  </si>
  <si>
    <t>159119</t>
  </si>
  <si>
    <t>3518</t>
  </si>
  <si>
    <t>159118</t>
  </si>
  <si>
    <t>3519</t>
  </si>
  <si>
    <t>159117</t>
  </si>
  <si>
    <t>3520</t>
  </si>
  <si>
    <t>159116</t>
  </si>
  <si>
    <t>3521</t>
  </si>
  <si>
    <t>159115</t>
  </si>
  <si>
    <t>3522</t>
  </si>
  <si>
    <t>159114</t>
  </si>
  <si>
    <t>1402/03/31</t>
  </si>
  <si>
    <t>2014</t>
  </si>
  <si>
    <t>10036</t>
  </si>
  <si>
    <t>1400/11/14</t>
  </si>
  <si>
    <t>1402/04/01</t>
  </si>
  <si>
    <t>1402/04/03</t>
  </si>
  <si>
    <t>دانشگاه فردوسی</t>
  </si>
  <si>
    <t>3526</t>
  </si>
  <si>
    <t>159123</t>
  </si>
  <si>
    <t>3525</t>
  </si>
  <si>
    <t>159122</t>
  </si>
  <si>
    <t>3524</t>
  </si>
  <si>
    <t>159121</t>
  </si>
  <si>
    <t>3523</t>
  </si>
  <si>
    <t>159120</t>
  </si>
  <si>
    <t>سایر ارگانها</t>
  </si>
  <si>
    <t>1402/04/04</t>
  </si>
  <si>
    <t>امام رضا 34</t>
  </si>
  <si>
    <t>سایر ارگان ها</t>
  </si>
  <si>
    <t>3527</t>
  </si>
  <si>
    <t>159124</t>
  </si>
  <si>
    <t>3528</t>
  </si>
  <si>
    <t>159125</t>
  </si>
  <si>
    <t>محل چاه تابلو سافت استارت مب باشد</t>
  </si>
  <si>
    <t>1435</t>
  </si>
  <si>
    <t>5688</t>
  </si>
  <si>
    <t>1393/09/16</t>
  </si>
  <si>
    <t>1402/04/05</t>
  </si>
  <si>
    <t>1402/04/06</t>
  </si>
  <si>
    <t>رستمی</t>
  </si>
  <si>
    <t>3541</t>
  </si>
  <si>
    <t>159141</t>
  </si>
  <si>
    <t>3542</t>
  </si>
  <si>
    <t>6795</t>
  </si>
  <si>
    <t>3543</t>
  </si>
  <si>
    <t>159142</t>
  </si>
  <si>
    <t>3544</t>
  </si>
  <si>
    <t>159143</t>
  </si>
  <si>
    <t>3545</t>
  </si>
  <si>
    <t>6799</t>
  </si>
  <si>
    <t>1401/03/17</t>
  </si>
  <si>
    <t>1402/04/07</t>
  </si>
  <si>
    <t>3539</t>
  </si>
  <si>
    <t>159136</t>
  </si>
  <si>
    <t>1401/03/01</t>
  </si>
  <si>
    <t>1402/04/08</t>
  </si>
  <si>
    <t>1402/04/09</t>
  </si>
  <si>
    <t>1402/04/10</t>
  </si>
  <si>
    <t>1402/04/11</t>
  </si>
  <si>
    <t>بوستان گلشید</t>
  </si>
  <si>
    <t>شانزده ضد</t>
  </si>
  <si>
    <t>3534</t>
  </si>
  <si>
    <t>6421</t>
  </si>
  <si>
    <t>1878</t>
  </si>
  <si>
    <t>1396/07/22</t>
  </si>
  <si>
    <t>6005</t>
  </si>
  <si>
    <t>1401/12/04</t>
  </si>
  <si>
    <t>3529</t>
  </si>
  <si>
    <t>6797</t>
  </si>
  <si>
    <t>3538</t>
  </si>
  <si>
    <t>159139</t>
  </si>
  <si>
    <t>3530</t>
  </si>
  <si>
    <t>159138</t>
  </si>
  <si>
    <t>2024</t>
  </si>
  <si>
    <t>15884</t>
  </si>
  <si>
    <t>1400/02/09</t>
  </si>
  <si>
    <t>159144</t>
  </si>
  <si>
    <t>1402/04/13</t>
  </si>
  <si>
    <t>3537</t>
  </si>
  <si>
    <t>6790</t>
  </si>
  <si>
    <t>159129</t>
  </si>
  <si>
    <t>1402/04/12</t>
  </si>
  <si>
    <t>3547</t>
  </si>
  <si>
    <t>3546</t>
  </si>
  <si>
    <t>159145</t>
  </si>
  <si>
    <t>1402/04/14</t>
  </si>
  <si>
    <t>1402/04/15</t>
  </si>
  <si>
    <t>خدربیگ</t>
  </si>
  <si>
    <t>6611/8</t>
  </si>
  <si>
    <t>1401/07/20</t>
  </si>
  <si>
    <t>1402/04/16</t>
  </si>
  <si>
    <t>1402/04/17</t>
  </si>
  <si>
    <t>کلاهدوز 1 قدیم</t>
  </si>
  <si>
    <t>مصلی 7</t>
  </si>
  <si>
    <t>1402/04/18</t>
  </si>
  <si>
    <t>3532</t>
  </si>
  <si>
    <t>159140</t>
  </si>
  <si>
    <t>3536</t>
  </si>
  <si>
    <t>159133</t>
  </si>
  <si>
    <t>3535</t>
  </si>
  <si>
    <t>159131</t>
  </si>
  <si>
    <t>3531</t>
  </si>
  <si>
    <t>159130</t>
  </si>
  <si>
    <t>3548</t>
  </si>
  <si>
    <t>159146</t>
  </si>
  <si>
    <t>1402/04/20</t>
  </si>
  <si>
    <t>1402/04/21</t>
  </si>
  <si>
    <t>1402/04/23</t>
  </si>
  <si>
    <t>1402/04/24</t>
  </si>
  <si>
    <t>فرهنگیان 4</t>
  </si>
  <si>
    <t>امام رضا 26</t>
  </si>
  <si>
    <t>دهرود</t>
  </si>
  <si>
    <t>صالحی</t>
  </si>
  <si>
    <t>1402/04/25</t>
  </si>
  <si>
    <t>15623</t>
  </si>
  <si>
    <t>1401/05/30</t>
  </si>
  <si>
    <t>3308</t>
  </si>
  <si>
    <t>10006</t>
  </si>
  <si>
    <t>1400/04/21</t>
  </si>
  <si>
    <t>وجود تیوپ در محفظه مکش پمپ</t>
  </si>
  <si>
    <t>1396/07/19</t>
  </si>
  <si>
    <t>1402/04/26</t>
  </si>
  <si>
    <t>1402/04/27</t>
  </si>
  <si>
    <t>1402/04/28</t>
  </si>
  <si>
    <t>1402/04/29</t>
  </si>
  <si>
    <t>چمن 66</t>
  </si>
  <si>
    <t>میرزاکوچک خان</t>
  </si>
  <si>
    <t>نیکاب</t>
  </si>
  <si>
    <t>هفده عدل خمینی</t>
  </si>
  <si>
    <t>3554</t>
  </si>
  <si>
    <t>6193</t>
  </si>
  <si>
    <t>3553</t>
  </si>
  <si>
    <t>159151</t>
  </si>
  <si>
    <t>3551</t>
  </si>
  <si>
    <t>159152</t>
  </si>
  <si>
    <t>6798</t>
  </si>
  <si>
    <t>3560</t>
  </si>
  <si>
    <t>159158</t>
  </si>
  <si>
    <t>3559</t>
  </si>
  <si>
    <t>6793</t>
  </si>
  <si>
    <t>1635</t>
  </si>
  <si>
    <t>5494</t>
  </si>
  <si>
    <t>1395/09/13</t>
  </si>
  <si>
    <t>1918</t>
  </si>
  <si>
    <t>15653</t>
  </si>
  <si>
    <t>1399/04/13</t>
  </si>
  <si>
    <t>35</t>
  </si>
  <si>
    <t>1390/11/10</t>
  </si>
  <si>
    <t>3091</t>
  </si>
  <si>
    <t>5242</t>
  </si>
  <si>
    <t>1398/11/30</t>
  </si>
  <si>
    <t>1401/11/16</t>
  </si>
  <si>
    <t>1402/04/30</t>
  </si>
  <si>
    <t>1402/04/31</t>
  </si>
  <si>
    <t>فناوری 3</t>
  </si>
  <si>
    <t>1402/05/01</t>
  </si>
  <si>
    <t>1402/05/02</t>
  </si>
  <si>
    <t>1402/05/03</t>
  </si>
  <si>
    <t>1402/05/04</t>
  </si>
  <si>
    <t>امام رضا 45</t>
  </si>
  <si>
    <t>تنگل شور</t>
  </si>
  <si>
    <t>فناوری 1</t>
  </si>
  <si>
    <t>هنرستان یوسفی 1</t>
  </si>
  <si>
    <t xml:space="preserve">امام رضا 53 </t>
  </si>
  <si>
    <t>1402/05/07</t>
  </si>
  <si>
    <t>1402/05/08</t>
  </si>
  <si>
    <t>1402/05/09</t>
  </si>
  <si>
    <t>ناظریه 2</t>
  </si>
  <si>
    <t>گوجگی قدیم</t>
  </si>
  <si>
    <t>جغری</t>
  </si>
  <si>
    <t>انقلاب</t>
  </si>
  <si>
    <t>3557</t>
  </si>
  <si>
    <t>159153</t>
  </si>
  <si>
    <t>3550</t>
  </si>
  <si>
    <t>159155</t>
  </si>
  <si>
    <t>3533</t>
  </si>
  <si>
    <t>159154</t>
  </si>
  <si>
    <t>3479</t>
  </si>
  <si>
    <t>159156</t>
  </si>
  <si>
    <t>159043</t>
  </si>
  <si>
    <t>159160</t>
  </si>
  <si>
    <t>1708</t>
  </si>
  <si>
    <t>159132</t>
  </si>
  <si>
    <t>159137</t>
  </si>
  <si>
    <t>3556</t>
  </si>
  <si>
    <t>158047</t>
  </si>
  <si>
    <t>3555</t>
  </si>
  <si>
    <t>159148</t>
  </si>
  <si>
    <t>3549</t>
  </si>
  <si>
    <t>159157</t>
  </si>
  <si>
    <t>159159</t>
  </si>
  <si>
    <t>3558</t>
  </si>
  <si>
    <t>159149</t>
  </si>
  <si>
    <t>1402/05/10</t>
  </si>
  <si>
    <t>1402/05/12</t>
  </si>
  <si>
    <t>1402/05/13</t>
  </si>
  <si>
    <t>شهرک امام</t>
  </si>
  <si>
    <t>گلبهار 5</t>
  </si>
  <si>
    <t>1402/05/14</t>
  </si>
  <si>
    <t>1402/05/16</t>
  </si>
  <si>
    <t>ابوطالب 3</t>
  </si>
  <si>
    <t>امام رضا 51</t>
  </si>
  <si>
    <t>1402/05/17</t>
  </si>
  <si>
    <t>1402/05/19</t>
  </si>
  <si>
    <t>1402/05/20</t>
  </si>
  <si>
    <t>1402/05/21</t>
  </si>
  <si>
    <t>1692</t>
  </si>
  <si>
    <t>5785</t>
  </si>
  <si>
    <t>انتهای سیدرضی</t>
  </si>
  <si>
    <t>6359</t>
  </si>
  <si>
    <t>1396/12/01</t>
  </si>
  <si>
    <t>1401/04/30</t>
  </si>
  <si>
    <t>افزایش دبی</t>
  </si>
  <si>
    <t>1969</t>
  </si>
  <si>
    <t>6626</t>
  </si>
  <si>
    <t>1398/05/01</t>
  </si>
  <si>
    <t>3064</t>
  </si>
  <si>
    <t>1398/06/08</t>
  </si>
  <si>
    <t>1401/06/21</t>
  </si>
  <si>
    <t>1512</t>
  </si>
  <si>
    <t>6385</t>
  </si>
  <si>
    <t>1397/04/16</t>
  </si>
  <si>
    <t>1401/04/21</t>
  </si>
  <si>
    <t>1401/02/25</t>
  </si>
  <si>
    <t>1467</t>
  </si>
  <si>
    <t>6127</t>
  </si>
  <si>
    <t>1393/12/10</t>
  </si>
  <si>
    <t>طبقه</t>
  </si>
  <si>
    <t>345</t>
  </si>
  <si>
    <t>374</t>
  </si>
  <si>
    <t>384</t>
  </si>
  <si>
    <t>6611</t>
  </si>
  <si>
    <t>3571</t>
  </si>
  <si>
    <t>159165</t>
  </si>
  <si>
    <t>435/2</t>
  </si>
  <si>
    <t>435</t>
  </si>
  <si>
    <t>159147</t>
  </si>
  <si>
    <t>3565</t>
  </si>
  <si>
    <t>159168</t>
  </si>
  <si>
    <t>159173</t>
  </si>
  <si>
    <t>3568</t>
  </si>
  <si>
    <t>159070</t>
  </si>
  <si>
    <t>1402/05/22</t>
  </si>
  <si>
    <t>مظهری 2</t>
  </si>
  <si>
    <t>1402/05/23</t>
  </si>
  <si>
    <t>1402/05/24</t>
  </si>
  <si>
    <t>معلم</t>
  </si>
  <si>
    <t>بوستان یاسمن</t>
  </si>
  <si>
    <t>1402/05/25</t>
  </si>
  <si>
    <t>1402/05/26</t>
  </si>
  <si>
    <t>مطهری 4</t>
  </si>
  <si>
    <t>شهرک انقلاب</t>
  </si>
  <si>
    <t>1402/05/27</t>
  </si>
  <si>
    <t>مصلی 3</t>
  </si>
  <si>
    <t>1402/05/28</t>
  </si>
  <si>
    <t>1402/05/29</t>
  </si>
  <si>
    <t>قرقی علیا</t>
  </si>
  <si>
    <t>اندرخ 1</t>
  </si>
  <si>
    <t>1402/05/30</t>
  </si>
  <si>
    <t>1402/05/31</t>
  </si>
  <si>
    <t>باغون آباد قدیم</t>
  </si>
  <si>
    <t>1402/06/01</t>
  </si>
  <si>
    <t>1402/06/02</t>
  </si>
  <si>
    <t>1402/06/03</t>
  </si>
  <si>
    <t>دندانپزشکی ( دانشگاه فردوسی)</t>
  </si>
  <si>
    <t xml:space="preserve"> </t>
  </si>
  <si>
    <t>3573</t>
  </si>
  <si>
    <t>159162</t>
  </si>
  <si>
    <t>3564</t>
  </si>
  <si>
    <t>159163</t>
  </si>
  <si>
    <t>3561</t>
  </si>
  <si>
    <t>159172</t>
  </si>
  <si>
    <t>159169</t>
  </si>
  <si>
    <t>3572</t>
  </si>
  <si>
    <t>159161</t>
  </si>
  <si>
    <t>3563</t>
  </si>
  <si>
    <t>159164</t>
  </si>
  <si>
    <t>3562</t>
  </si>
  <si>
    <t>159167</t>
  </si>
  <si>
    <t>1654</t>
  </si>
  <si>
    <t>159171</t>
  </si>
  <si>
    <t>1521</t>
  </si>
  <si>
    <t>15974</t>
  </si>
  <si>
    <t>ورا</t>
  </si>
  <si>
    <t>3480</t>
  </si>
  <si>
    <t>159074</t>
  </si>
  <si>
    <t>3570</t>
  </si>
  <si>
    <t>159051</t>
  </si>
  <si>
    <t>3575</t>
  </si>
  <si>
    <t>159170</t>
  </si>
  <si>
    <t>1401/09/19</t>
  </si>
  <si>
    <t>قطر لوله آبده ( اینچ )</t>
  </si>
  <si>
    <t>1054</t>
  </si>
  <si>
    <t>5319</t>
  </si>
  <si>
    <t>1391/12/14</t>
  </si>
  <si>
    <t>1888</t>
  </si>
  <si>
    <t>5228</t>
  </si>
  <si>
    <t>1395/07/19</t>
  </si>
  <si>
    <t>1556</t>
  </si>
  <si>
    <t>6186</t>
  </si>
  <si>
    <t>1394/06/30</t>
  </si>
  <si>
    <t>1771</t>
  </si>
  <si>
    <t>15435</t>
  </si>
  <si>
    <t>1398/11/10</t>
  </si>
  <si>
    <t>2005</t>
  </si>
  <si>
    <t>6615</t>
  </si>
  <si>
    <t>1400/11/20</t>
  </si>
  <si>
    <t>1402/06/04</t>
  </si>
  <si>
    <t>امام رضا 44</t>
  </si>
  <si>
    <t>3566</t>
  </si>
  <si>
    <t>6794</t>
  </si>
  <si>
    <t>3567</t>
  </si>
  <si>
    <t>159174</t>
  </si>
  <si>
    <t>1402/06/05</t>
  </si>
  <si>
    <t>1402/06/06</t>
  </si>
  <si>
    <t>الهیه 5</t>
  </si>
  <si>
    <t>1402/06/07</t>
  </si>
  <si>
    <t>امام رضا 66</t>
  </si>
  <si>
    <t>1627</t>
  </si>
  <si>
    <t>6035</t>
  </si>
  <si>
    <t>1399/10/15</t>
  </si>
  <si>
    <t>1401/02/07</t>
  </si>
  <si>
    <t>3023</t>
  </si>
  <si>
    <t>15361</t>
  </si>
  <si>
    <t>1397/12/20</t>
  </si>
  <si>
    <t>1889</t>
  </si>
  <si>
    <t>6644</t>
  </si>
  <si>
    <t>1395/09/24</t>
  </si>
  <si>
    <t>1401/09/23</t>
  </si>
  <si>
    <t>1402/06/08</t>
  </si>
  <si>
    <t>1402/06/09</t>
  </si>
  <si>
    <t>1402/06/11</t>
  </si>
  <si>
    <t>1402/06/12</t>
  </si>
  <si>
    <t>1402/06/13</t>
  </si>
  <si>
    <t>رازی</t>
  </si>
  <si>
    <t>امامیه 21</t>
  </si>
  <si>
    <t>بوستان نیلوفر</t>
  </si>
  <si>
    <t>1683</t>
  </si>
  <si>
    <t>6356</t>
  </si>
  <si>
    <t>1397/09/18</t>
  </si>
  <si>
    <t>3126</t>
  </si>
  <si>
    <t>10031</t>
  </si>
  <si>
    <t>1399/0/06</t>
  </si>
  <si>
    <t>1987</t>
  </si>
  <si>
    <t>10011</t>
  </si>
  <si>
    <t>1397/08/30</t>
  </si>
  <si>
    <t>کشیدن لاستیک در دهانه پمپ ( محل کوپلینگ )</t>
  </si>
  <si>
    <t>سوراخ بودن سر لوله</t>
  </si>
  <si>
    <t>افت ولتاژ ( تخریب فیبر کفگرد )</t>
  </si>
  <si>
    <t>صدا لرزش</t>
  </si>
  <si>
    <t xml:space="preserve">علیرغم بهسازی و آزمایش پمپاژ </t>
  </si>
  <si>
    <t>1402/06/14</t>
  </si>
  <si>
    <t>1402/06/16</t>
  </si>
  <si>
    <t>3385</t>
  </si>
  <si>
    <t>6789</t>
  </si>
  <si>
    <t>3590</t>
  </si>
  <si>
    <t>159175</t>
  </si>
  <si>
    <t>1402/06/19</t>
  </si>
  <si>
    <t>هنرستان یوسفی 2</t>
  </si>
  <si>
    <t>1402/06/20</t>
  </si>
  <si>
    <t>1402/06/21</t>
  </si>
  <si>
    <t>3607</t>
  </si>
  <si>
    <t>159188</t>
  </si>
  <si>
    <t>3605</t>
  </si>
  <si>
    <t>159191</t>
  </si>
  <si>
    <t>3592</t>
  </si>
  <si>
    <t>159187</t>
  </si>
  <si>
    <t>3591</t>
  </si>
  <si>
    <t>159177</t>
  </si>
  <si>
    <t>1402/06/22</t>
  </si>
  <si>
    <t>1402/06/23</t>
  </si>
  <si>
    <t>1402/06/24</t>
  </si>
  <si>
    <t>3585</t>
  </si>
  <si>
    <t>سطح دینامیک اشتباه در دبی سنجی</t>
  </si>
  <si>
    <t>159201</t>
  </si>
  <si>
    <t>3587</t>
  </si>
  <si>
    <t>159197</t>
  </si>
  <si>
    <t>3576</t>
  </si>
  <si>
    <t>159166</t>
  </si>
  <si>
    <t>1402/06/26</t>
  </si>
  <si>
    <t>1402/06/27</t>
  </si>
  <si>
    <t>1402/06/28</t>
  </si>
  <si>
    <t>1401/10/15</t>
  </si>
  <si>
    <t>1401/06/17</t>
  </si>
  <si>
    <t>3133</t>
  </si>
  <si>
    <t>10002</t>
  </si>
  <si>
    <t>1400/05/17</t>
  </si>
  <si>
    <t>1642</t>
  </si>
  <si>
    <t>5745</t>
  </si>
  <si>
    <t>1399/10/24</t>
  </si>
  <si>
    <t>6*8</t>
  </si>
  <si>
    <t>1401/06/15</t>
  </si>
  <si>
    <t>1402/06/29</t>
  </si>
  <si>
    <t>1402/06/30</t>
  </si>
  <si>
    <t>1402/06/31</t>
  </si>
  <si>
    <t>159193</t>
  </si>
  <si>
    <t>159180</t>
  </si>
  <si>
    <t>159190</t>
  </si>
  <si>
    <t>159179</t>
  </si>
  <si>
    <t>3096</t>
  </si>
  <si>
    <t>15418</t>
  </si>
  <si>
    <t>گ</t>
  </si>
  <si>
    <t>1398/12/21</t>
  </si>
  <si>
    <t>1402/07/01</t>
  </si>
  <si>
    <t>1402/07/02</t>
  </si>
  <si>
    <t>حجاب 5</t>
  </si>
  <si>
    <t>سوران 8</t>
  </si>
  <si>
    <t>3606</t>
  </si>
  <si>
    <t>159200</t>
  </si>
  <si>
    <t>2011</t>
  </si>
  <si>
    <t>6757</t>
  </si>
  <si>
    <t>1400/11/16</t>
  </si>
  <si>
    <t>3579</t>
  </si>
  <si>
    <t>159186</t>
  </si>
  <si>
    <t>3577</t>
  </si>
  <si>
    <t>159199</t>
  </si>
  <si>
    <t>3127</t>
  </si>
  <si>
    <t>159203</t>
  </si>
  <si>
    <t>159204</t>
  </si>
  <si>
    <t>15759</t>
  </si>
  <si>
    <t>1402/07/03</t>
  </si>
  <si>
    <t>1402/07/04</t>
  </si>
  <si>
    <t>1402/07/05</t>
  </si>
  <si>
    <t>کورده 8</t>
  </si>
  <si>
    <t>دانشکده علوم فردوسی</t>
  </si>
  <si>
    <t>1402/07/06</t>
  </si>
  <si>
    <t>1402/07/07</t>
  </si>
  <si>
    <t>3582</t>
  </si>
  <si>
    <t>159195</t>
  </si>
  <si>
    <t>3597</t>
  </si>
  <si>
    <t>159185</t>
  </si>
  <si>
    <t>3580</t>
  </si>
  <si>
    <t>159192</t>
  </si>
  <si>
    <t>3019</t>
  </si>
  <si>
    <t>10040</t>
  </si>
  <si>
    <t>1397/11/10</t>
  </si>
  <si>
    <t>3306</t>
  </si>
  <si>
    <t>15725</t>
  </si>
  <si>
    <t>1400/04/06</t>
  </si>
  <si>
    <t>1400/06/11</t>
  </si>
  <si>
    <t>1608</t>
  </si>
  <si>
    <t>6182</t>
  </si>
  <si>
    <t>1394/11/05</t>
  </si>
  <si>
    <t>3598</t>
  </si>
  <si>
    <t>6709</t>
  </si>
  <si>
    <t>1402/07/10</t>
  </si>
  <si>
    <t>1402/07/11</t>
  </si>
  <si>
    <t>1402/07/12</t>
  </si>
  <si>
    <t>1402/07/14</t>
  </si>
  <si>
    <t>مطهری 1</t>
  </si>
  <si>
    <t>گلبهار 3</t>
  </si>
  <si>
    <t>رجایی 7</t>
  </si>
  <si>
    <t>3589</t>
  </si>
  <si>
    <t>159178</t>
  </si>
  <si>
    <t>3588</t>
  </si>
  <si>
    <t>6705</t>
  </si>
  <si>
    <t>3604</t>
  </si>
  <si>
    <t>159181</t>
  </si>
  <si>
    <t>3044</t>
  </si>
  <si>
    <t>15381</t>
  </si>
  <si>
    <t>1398/02/28</t>
  </si>
  <si>
    <t>1856</t>
  </si>
  <si>
    <t>6303</t>
  </si>
  <si>
    <t>1396/04/04</t>
  </si>
  <si>
    <t>1402/07/15</t>
  </si>
  <si>
    <t>1402/07/21</t>
  </si>
  <si>
    <t>سید جلال 4</t>
  </si>
  <si>
    <t>3345</t>
  </si>
  <si>
    <t>15677</t>
  </si>
  <si>
    <t>1399/09/13</t>
  </si>
  <si>
    <t>70</t>
  </si>
  <si>
    <t>1388/09/14</t>
  </si>
  <si>
    <t>دو فاز شدن الکتروموتور</t>
  </si>
  <si>
    <t xml:space="preserve">دو فاز کار کردن الکترو موتور </t>
  </si>
  <si>
    <t>1401/07/19</t>
  </si>
  <si>
    <t>181</t>
  </si>
  <si>
    <t>219</t>
  </si>
  <si>
    <t>رهیاب شرق</t>
  </si>
  <si>
    <t>1402/07/22</t>
  </si>
  <si>
    <t>التیمور 6</t>
  </si>
  <si>
    <t>باغون آباد جدید</t>
  </si>
  <si>
    <t>1402/07/23</t>
  </si>
  <si>
    <t>1402/07/24</t>
  </si>
  <si>
    <t>روستای شایه</t>
  </si>
  <si>
    <t>1402/07/26</t>
  </si>
  <si>
    <t>1402/07/27</t>
  </si>
  <si>
    <t>شهرک دانش</t>
  </si>
  <si>
    <t>117</t>
  </si>
  <si>
    <t>1390/11/26</t>
  </si>
  <si>
    <t>3149</t>
  </si>
  <si>
    <t>15697</t>
  </si>
  <si>
    <t>1399/12/29</t>
  </si>
  <si>
    <t>اسلام آباد 17 قدیم</t>
  </si>
  <si>
    <t>5377</t>
  </si>
  <si>
    <t>1401/01/14</t>
  </si>
  <si>
    <t>1402/08/01</t>
  </si>
  <si>
    <t>1402/08/02</t>
  </si>
  <si>
    <t>1402/08/03</t>
  </si>
  <si>
    <t>1402/08/04</t>
  </si>
  <si>
    <t>3569</t>
  </si>
  <si>
    <t>6730</t>
  </si>
  <si>
    <t>3586</t>
  </si>
  <si>
    <t>159198</t>
  </si>
  <si>
    <t>3578</t>
  </si>
  <si>
    <t>159184</t>
  </si>
  <si>
    <t>3595</t>
  </si>
  <si>
    <t>159182</t>
  </si>
  <si>
    <t>3596</t>
  </si>
  <si>
    <t>6731</t>
  </si>
  <si>
    <t>1402/08/05</t>
  </si>
  <si>
    <t>دبستان طبرسی</t>
  </si>
  <si>
    <t>هنرستان عالمه</t>
  </si>
  <si>
    <t>1402/08/07</t>
  </si>
  <si>
    <t>امام علی یک</t>
  </si>
  <si>
    <t>1402/08/08</t>
  </si>
  <si>
    <t>1402/08/09</t>
  </si>
  <si>
    <t>1402/08/10</t>
  </si>
  <si>
    <t>1402/08/11</t>
  </si>
  <si>
    <t>ده غیبی</t>
  </si>
  <si>
    <t>1402/08/12</t>
  </si>
  <si>
    <t>1402/08/13</t>
  </si>
  <si>
    <t>1402/08/14</t>
  </si>
  <si>
    <t>1402/08/15</t>
  </si>
  <si>
    <t>1402/08/16</t>
  </si>
  <si>
    <t>رده 2</t>
  </si>
  <si>
    <t>فردوسی 3</t>
  </si>
  <si>
    <t>ابوطالب 1</t>
  </si>
  <si>
    <t>جمعاب 1</t>
  </si>
  <si>
    <t>1402/01/10</t>
  </si>
  <si>
    <t>15383</t>
  </si>
  <si>
    <t>1398/11/24</t>
  </si>
  <si>
    <t>موتور برگشتی سالم و فاقد اهم بود</t>
  </si>
  <si>
    <t>1401/09/29</t>
  </si>
  <si>
    <t>1391/01/10</t>
  </si>
  <si>
    <t>1401/05/10</t>
  </si>
  <si>
    <t>3348</t>
  </si>
  <si>
    <t>159005</t>
  </si>
  <si>
    <t>1400/12/11</t>
  </si>
  <si>
    <t>3325</t>
  </si>
  <si>
    <t>15873</t>
  </si>
  <si>
    <t>1400/07/14</t>
  </si>
  <si>
    <t>1402/08/17</t>
  </si>
  <si>
    <t>1402/08/18</t>
  </si>
  <si>
    <t>1402/08/19</t>
  </si>
  <si>
    <t>1402/08/20</t>
  </si>
  <si>
    <t>1402/08/21</t>
  </si>
  <si>
    <t>1402/08/23</t>
  </si>
  <si>
    <t>1402/08/24</t>
  </si>
  <si>
    <t>1402/08/25</t>
  </si>
  <si>
    <t>هنرستان نگاره</t>
  </si>
  <si>
    <t>1402/08/28</t>
  </si>
  <si>
    <t>1402/08/29</t>
  </si>
  <si>
    <t>3552</t>
  </si>
  <si>
    <t>159150</t>
  </si>
  <si>
    <t>6727</t>
  </si>
  <si>
    <t>159176</t>
  </si>
  <si>
    <t>3584</t>
  </si>
  <si>
    <t>6723</t>
  </si>
  <si>
    <t>3593</t>
  </si>
  <si>
    <t>6708</t>
  </si>
  <si>
    <t>3608</t>
  </si>
  <si>
    <t>6706</t>
  </si>
  <si>
    <t>3599</t>
  </si>
  <si>
    <t>6726</t>
  </si>
  <si>
    <t>3613</t>
  </si>
  <si>
    <t>159211</t>
  </si>
  <si>
    <t>3624</t>
  </si>
  <si>
    <t>152</t>
  </si>
  <si>
    <t>3609</t>
  </si>
  <si>
    <t>159210</t>
  </si>
  <si>
    <t>3616</t>
  </si>
  <si>
    <t>6700</t>
  </si>
  <si>
    <t>3620</t>
  </si>
  <si>
    <t>159219</t>
  </si>
  <si>
    <t>3618</t>
  </si>
  <si>
    <t>159194</t>
  </si>
  <si>
    <t>159215</t>
  </si>
  <si>
    <t>3611</t>
  </si>
  <si>
    <t>159205</t>
  </si>
  <si>
    <t>3615</t>
  </si>
  <si>
    <t>159072</t>
  </si>
  <si>
    <t>1706</t>
  </si>
  <si>
    <t>6336</t>
  </si>
  <si>
    <t>1399/04/25</t>
  </si>
  <si>
    <t>1401/12/21</t>
  </si>
  <si>
    <t>3142</t>
  </si>
  <si>
    <t>1399/12/17</t>
  </si>
  <si>
    <t>1402/08/30</t>
  </si>
  <si>
    <t>1401/09/17</t>
  </si>
  <si>
    <t>سوختن الکتروموتور</t>
  </si>
  <si>
    <t>1402/09/04</t>
  </si>
  <si>
    <t>1402/08/26</t>
  </si>
  <si>
    <t>1402/09/05</t>
  </si>
  <si>
    <t>سوران 3 قدیم</t>
  </si>
  <si>
    <t>1401/08/25</t>
  </si>
  <si>
    <t>جنگی</t>
  </si>
  <si>
    <t>1402/09/06</t>
  </si>
  <si>
    <t>لوله های سوران 3 برای چاه ناظریه 9 استفاده گردید</t>
  </si>
  <si>
    <t>1402/09/07</t>
  </si>
  <si>
    <t xml:space="preserve">الکتروموتور سوخته و پس از باز کردن الکتروموتور داخل الکتروموتور شولات مشاهده شده و دیسک و کفگرد خورد شده بود . داخل محفظه های پمپ شناور هم اثرات شولات و خرابی مشاهده گردیده است پروانه ها خوردگی شدید دارند - محور بریده - خارهای پروانه ها رد کرده </t>
  </si>
  <si>
    <t>3626</t>
  </si>
  <si>
    <t>1402/09/02</t>
  </si>
  <si>
    <t>دبیرستان جباریان</t>
  </si>
  <si>
    <t>3623</t>
  </si>
  <si>
    <t>159214</t>
  </si>
  <si>
    <t>1402/09/08</t>
  </si>
  <si>
    <t>فلاحی 88</t>
  </si>
  <si>
    <t>3360</t>
  </si>
  <si>
    <t>159007</t>
  </si>
  <si>
    <t>1401/02/24</t>
  </si>
  <si>
    <t>پیوست</t>
  </si>
  <si>
    <t>سرلوله از زیر وصل پمپ بریده و باعث کاهش آبدهی شده و داخل پمپ شولات مشاهده شده است و الکتروموتور دو فاز اهم دارد</t>
  </si>
  <si>
    <t>1402/09/09</t>
  </si>
  <si>
    <t>دبیرستان حیدری</t>
  </si>
  <si>
    <t>1402/09/10</t>
  </si>
  <si>
    <t>کوشک مهدی 2</t>
  </si>
  <si>
    <t>اسلام آباد 3</t>
  </si>
  <si>
    <t>1650</t>
  </si>
  <si>
    <t>6028</t>
  </si>
  <si>
    <t>1395/10/30</t>
  </si>
  <si>
    <t>\\192.168.20.130\asadi\رفیع نژاد\اذر ماه 1402\eslam abad3.rar</t>
  </si>
  <si>
    <t>\\192.168.20.130\asadi\رفیع نژاد\اذر ماه 1402\falahi88.rar</t>
  </si>
  <si>
    <t>\\192.168.20.130\asadi\رفیع نژاد\اذر ماه 1402\nirogah 1.rar</t>
  </si>
  <si>
    <t>1402/09/13</t>
  </si>
  <si>
    <t>1400/11/12</t>
  </si>
  <si>
    <t>1402/09/15</t>
  </si>
  <si>
    <t xml:space="preserve">نیروگاه 1 </t>
  </si>
  <si>
    <t>3540</t>
  </si>
  <si>
    <t>159196</t>
  </si>
  <si>
    <t>3040</t>
  </si>
  <si>
    <t>\\192.168.20.130\asadi\رفیع نژاد\اذر ماه 1402\فرم آزمایش پمپاژ نیروگاه 1.tif</t>
  </si>
  <si>
    <t>1402/09/16</t>
  </si>
  <si>
    <t>1400/02/02</t>
  </si>
  <si>
    <t>3627</t>
  </si>
  <si>
    <t>159135</t>
  </si>
  <si>
    <t>\\192.168.20.130\asadi\رفیع نژاد\اذر ماه 1402\فرم آزمایش پمپاژ حجاب 5.tif</t>
  </si>
  <si>
    <t>1101</t>
  </si>
  <si>
    <t>6330</t>
  </si>
  <si>
    <t>1402/09/17</t>
  </si>
  <si>
    <t>3628</t>
  </si>
  <si>
    <t>\\192.168.20.130\asadi\رفیع نژاد\اذر ماه 1402\فرم آزمایش پمپاژ آزادشهر 2.tif</t>
  </si>
  <si>
    <t>1402/09/19</t>
  </si>
  <si>
    <t>1مشاهده شدید شولات داخل سرلوله پمپ 2موتور سالم و مورد تست قرار گرفت که بعلت شولات کشیدن پمپ کمبود ابدهی داشت</t>
  </si>
  <si>
    <t>1402/09/20</t>
  </si>
  <si>
    <t>1401/10/07</t>
  </si>
  <si>
    <t>159134</t>
  </si>
  <si>
    <t>1402/09/21</t>
  </si>
  <si>
    <t>3629</t>
  </si>
  <si>
    <t>159208</t>
  </si>
  <si>
    <t>1402/09/22</t>
  </si>
  <si>
    <t>3630</t>
  </si>
  <si>
    <t>تابلو راه انداز چاه سافت استارت بوده که بدلیل تغییر تیپ و عدم موجودی کابل مورد نظر از دو حلقه کابل 3*35 استفاده گردید</t>
  </si>
  <si>
    <t>\\192.168.20.130\asadi\رفیع نژاد\اذر ماه 1402\فرم آزمایش پمپاژ منزل آباد 4.tif</t>
  </si>
  <si>
    <t>1402/09/23</t>
  </si>
  <si>
    <t xml:space="preserve">در بدو ورود الکتروموتور سوخته بود و پمپ سالم می باشد . پس از بازکردن الکتروموتور شولات داخل الکتروموتور مشاهده گردید که موجب خوردگی در دیسک و کفگرد و در نهایت تخریب روتور گردیده است . همچنین دسته سیم از قسمت های میانی و پایینی الکتروموتور بشدت سوخته و قسمت سربندی سوخته بود. </t>
  </si>
  <si>
    <t>\\192.168.20.130\asadi\رفیع نژاد\اذر ماه 1402\فرم آزمایش پمپاژ اسلام آباد 3.tif</t>
  </si>
  <si>
    <t>1402/09/25</t>
  </si>
  <si>
    <t>1402/09/26</t>
  </si>
  <si>
    <t>\\192.168.20.130\asadi\رفیع نژاد\اذر ماه 1402\shariati 32.rar</t>
  </si>
  <si>
    <t>6611/14</t>
  </si>
  <si>
    <t>159222</t>
  </si>
  <si>
    <t>کابل های چاه حجاب 5 در چاه شریعتی 32 نصب گردید</t>
  </si>
  <si>
    <t>1402/09/27</t>
  </si>
  <si>
    <t>1402/09/28</t>
  </si>
  <si>
    <t>روستای نجم</t>
  </si>
  <si>
    <t>1402/09/29</t>
  </si>
  <si>
    <t>امامیه 15 قدیم</t>
  </si>
  <si>
    <t>3632</t>
  </si>
  <si>
    <t>159223</t>
  </si>
  <si>
    <t>3633</t>
  </si>
  <si>
    <t>159224</t>
  </si>
  <si>
    <t>الکتروموتور سوخته و اثرات گل بر روی پوسته و داخل  الکتروموتور مشهود بود که موجب تخریب بوش های واسطه و گیرپاژ شدن روتور شده در نهاایت به دلیل خوردگی بیش از حد داخل پوسته استاتور و واسطه ها و روتور اسقاط گردید.</t>
  </si>
  <si>
    <t>1402/10/03</t>
  </si>
  <si>
    <t>مجتمع شمس گلبهار</t>
  </si>
  <si>
    <t>1402/10/04</t>
  </si>
  <si>
    <t>159226</t>
  </si>
  <si>
    <t>\\192.168.20.130\asadi\رفیع نژاد\اذر ماه 1402\فرم آزمایش پمپاژ حجاب 5 (1).tif</t>
  </si>
  <si>
    <t>\\192.168.20.130\asadi\رفیع نژاد\اذر ماه 1402\فرم آزمایش پمپاژ شریعتی 32.tif</t>
  </si>
  <si>
    <t>\\192.168.20.130\asadi\رفیع نژاد\اذر ماه 1402\فرم آزمایش پمپاژ روستای نجم.tif</t>
  </si>
  <si>
    <t>\\192.168.20.130\asadi\رفیع نژاد\اذر ماه 1402\فرم آزمایش پمپاژ مجتمع شمس گلبهار.tif</t>
  </si>
  <si>
    <t>\\192.168.20.130\asadi\رفیع نژاد\اذر ماه 1402\فرم آزمایش پمپاژ سیاسک.tif</t>
  </si>
  <si>
    <t>امامیه 15 جدید</t>
  </si>
  <si>
    <t>امام رضا 20</t>
  </si>
  <si>
    <t>3035</t>
  </si>
  <si>
    <t>15369</t>
  </si>
  <si>
    <t>1397/12/26</t>
  </si>
  <si>
    <t>1402/10/01</t>
  </si>
  <si>
    <t>1402/10/07</t>
  </si>
  <si>
    <t>دبیرستان کظیمی</t>
  </si>
  <si>
    <t>1402/10/09</t>
  </si>
  <si>
    <t>1402/10/10</t>
  </si>
  <si>
    <t>جمعاب 5</t>
  </si>
  <si>
    <t>1402/10/11</t>
  </si>
  <si>
    <t>1402/10/12</t>
  </si>
  <si>
    <t>امام رضا 15 جدید</t>
  </si>
  <si>
    <t>1402/10/13</t>
  </si>
  <si>
    <t>1402/10/14</t>
  </si>
  <si>
    <t>3*35 - 3*50</t>
  </si>
  <si>
    <t>233/17</t>
  </si>
  <si>
    <t>1402/10/15</t>
  </si>
  <si>
    <t>1402/10/16</t>
  </si>
  <si>
    <t>1402/10/17</t>
  </si>
  <si>
    <t>سپاد 3</t>
  </si>
  <si>
    <t>1402/10/19</t>
  </si>
  <si>
    <t>1402/10/20</t>
  </si>
  <si>
    <t>بخشداری همت آباد2</t>
  </si>
  <si>
    <t>1400/01/06</t>
  </si>
  <si>
    <t>159236</t>
  </si>
  <si>
    <t>3643</t>
  </si>
  <si>
    <t>159235</t>
  </si>
  <si>
    <t>\\192.168.20.130\asadi\رفیع نژاد\دیماه 1402\فرم آزمایش پمپاژ مدرسه کظیمی.tif</t>
  </si>
  <si>
    <t>\\192.168.20.130\asadi\رفیع نژاد\دیماه 1402\فرم آزمایش پمپاژ منزل آباد 1.tif</t>
  </si>
  <si>
    <t>\\192.168.20.130\asadi\رفیع نژاد\دیماه 1402\فرم آزمایش پمپاژ منزل آباد 34.tif</t>
  </si>
  <si>
    <t>\\192.168.20.130\asadi\رفیع نژاد\دیماه 1402\فرم آزمایش پمپاژ مامیه 15 جدید.tif</t>
  </si>
  <si>
    <t>\\192.168.20.130\asadi\رفیع نژاد\دیماه 1402\فرم آزمایش پمپاژ خیج و جمعاب 5.tif</t>
  </si>
  <si>
    <t>\\192.168.20.130\asadi\رفیع نژاد\دیماه 1402\فرم آزمایش پمپاژ فتح آباد.tif</t>
  </si>
  <si>
    <t>\\192.168.20.130\asadi\رفیع نژاد\دیماه 1402\فرم آزمایش پمپاژ امام رضا 15.tif</t>
  </si>
  <si>
    <t>\\192.168.20.130\asadi\رفیع نژاد\دیماه 1402\فرم آزمایش پمپاژ هاشمی نژاد.tif</t>
  </si>
  <si>
    <t>\\192.168.20.130\asadi\رفیع نژاد\دیماه 1402\فرم آزمایش پمپاژ خدمات 1.tif</t>
  </si>
  <si>
    <t>\\192.168.20.130\asadi\رفیع نژاد\دیماه 1402\فرم آزمایش پمپاژ حجاب 1.tif</t>
  </si>
  <si>
    <t>\\192.168.20.130\asadi\رفیع نژاد\دیماه 1402\فرم آزمایش پمپاژ امام رضا 4.tif</t>
  </si>
  <si>
    <t>1402/10/21</t>
  </si>
  <si>
    <t>فرزانگان</t>
  </si>
  <si>
    <t>1402/10/22</t>
  </si>
  <si>
    <t>حوادی</t>
  </si>
  <si>
    <t>پمپ شماره 1 پمپاژK</t>
  </si>
  <si>
    <t>1402/10/23</t>
  </si>
  <si>
    <t>پنج تن 55</t>
  </si>
  <si>
    <t>1402/10/24</t>
  </si>
  <si>
    <t>سوران 5</t>
  </si>
  <si>
    <t>1402/10/25</t>
  </si>
  <si>
    <t>1402/10/26</t>
  </si>
  <si>
    <t>بوستان مینا</t>
  </si>
  <si>
    <t>1402/10/27</t>
  </si>
  <si>
    <t>1402/10/28</t>
  </si>
  <si>
    <t>3646</t>
  </si>
  <si>
    <t>159238</t>
  </si>
  <si>
    <t>3644</t>
  </si>
  <si>
    <t>159237</t>
  </si>
  <si>
    <t>3642</t>
  </si>
  <si>
    <t>159189</t>
  </si>
  <si>
    <t>3647</t>
  </si>
  <si>
    <t>159239</t>
  </si>
  <si>
    <t>3648</t>
  </si>
  <si>
    <t>159240</t>
  </si>
  <si>
    <t>کابل های قبلی فلاحی 88 در چاه فرزانگان نصب گردید</t>
  </si>
  <si>
    <t>3639</t>
  </si>
  <si>
    <t>159233</t>
  </si>
  <si>
    <t>3649</t>
  </si>
  <si>
    <t>3650</t>
  </si>
  <si>
    <t>159242</t>
  </si>
  <si>
    <t>کابل های برگشتی تحویل کارگاه برق گردید</t>
  </si>
  <si>
    <t>به دلیل خرابی کابل ها کابل جدید از کارگاه برق تحویل گرفته و کابل های قدیم تحویل کارگاه گردید</t>
  </si>
  <si>
    <t>3621</t>
  </si>
  <si>
    <t>159212</t>
  </si>
  <si>
    <t>در زمان نصب الکتروپمپ در محل چاه به دلیل فشار غیر عمد الکتروپمپ به جدار کابل موتور از داخل آسیب دیده و ور زمان استارت الکتروموتور به دلیل بار زیاد الکتریکی کابل از داخل آرگ زده و اهم دار شد که پس از کشیدن مجدد الکتروموتور رفع عیب از کابل انجام شد و به الکتروموتور و پمپ آسیبی نرسیده است</t>
  </si>
  <si>
    <t>1402/10/30</t>
  </si>
  <si>
    <t>1402/11/01</t>
  </si>
  <si>
    <t>1402/11/02</t>
  </si>
  <si>
    <t>امامیه 17( جدید )</t>
  </si>
  <si>
    <t>1402/11/03</t>
  </si>
  <si>
    <t>کارده 2</t>
  </si>
  <si>
    <t>1402/11/04</t>
  </si>
  <si>
    <t>مرجان</t>
  </si>
  <si>
    <t>1399/04/31</t>
  </si>
  <si>
    <t>486</t>
  </si>
  <si>
    <t>3651</t>
  </si>
  <si>
    <t>159243</t>
  </si>
  <si>
    <t>1401/11/22</t>
  </si>
  <si>
    <t>\\192.168.20.130\asadi\رفیع نژاد\دیماه 1402\فرم آزمایش پمپاژ بخشداری همت آباد 2.tif</t>
  </si>
  <si>
    <t>\\192.168.20.130\asadi\رفیع نژاد\دیماه 1402\فرم آزمایش پمپاژ هنرستان فرزانگان.tif</t>
  </si>
  <si>
    <t>\\192.168.20.130\asadi\رفیع نژاد\دیماه 1402\فرم آزمایش پمپاژ امامیه 3 (1).tif</t>
  </si>
  <si>
    <t>\\192.168.20.130\asadi\رفیع نژاد\دیماه 1402\فرم آزمایش پمپاژ فلاحی 88.tif</t>
  </si>
  <si>
    <t>\\192.168.20.130\asadi\رفیع نژاد\دیماه 1402\فرم آزمایش پمپاژ بوستان مینا.tif</t>
  </si>
  <si>
    <t>\\192.168.20.130\asadi\رفیع نژاد\دیماه 1402\رده 2.tif</t>
  </si>
  <si>
    <t>\\192.168.20.130\asadi\رفیع نژاد\دیماه 1402\فرم آزمایش پمپاژ امام رضا 61.tif</t>
  </si>
  <si>
    <t>\\192.168.20.130\asadi\رفیع نژاد\دیماه 1402\فرم آزمایش پمپاژ اندیشه 2.tif</t>
  </si>
  <si>
    <t>\\192.168.20.130\asadi\رفیع نژاد\دیماه 1402\فرم آزمایش پمپاژ  14021029سیاسک.tif</t>
  </si>
  <si>
    <t>1402/11/07</t>
  </si>
  <si>
    <t>1402/11/08</t>
  </si>
  <si>
    <t>1402/11/09</t>
  </si>
  <si>
    <t>1402/11/10</t>
  </si>
  <si>
    <t>1402/11/12</t>
  </si>
  <si>
    <t>باتوجه به افزایش قدرت موتور با هماهنگی مهندس خراشادی کابل های برگشتی چاه استفاده گردید</t>
  </si>
  <si>
    <t>1402/11/15</t>
  </si>
  <si>
    <t>1402/11/16</t>
  </si>
  <si>
    <t>1402/11/17</t>
  </si>
  <si>
    <t>3656</t>
  </si>
  <si>
    <t>159249</t>
  </si>
  <si>
    <t>159250</t>
  </si>
  <si>
    <t>\\192.168.20.130\asadi\رفیع نژاد\دیماه 1402\فرم آزمایش پمپاژ امامیه 17 جدید.tif</t>
  </si>
  <si>
    <t>\\192.168.20.130\asadi\رفیع نژاد\دیماه 1402\فرم آزمایش پمپاژ خیرآباد.tif</t>
  </si>
  <si>
    <t>\\192.168.20.130\asadi\رفیع نژاد\بهمن 1402\فرم آزمایش پمپاژ امام رضا 14.tif</t>
  </si>
  <si>
    <t>\\192.168.20.130\asadi\رفیع نژاد\بهمن 1402\فرم آزمایش پمپاژ امام رضا 10.tif</t>
  </si>
  <si>
    <t>1402/11/18</t>
  </si>
  <si>
    <t>لوله ها از 6 اینچ به 4 اینچ تغییر کرده است</t>
  </si>
  <si>
    <t>3658</t>
  </si>
  <si>
    <t>159244</t>
  </si>
  <si>
    <t>1402/11/19</t>
  </si>
  <si>
    <t>کابل های الکتروموتور برگشتی 5 متر است</t>
  </si>
  <si>
    <t>1402/11/20</t>
  </si>
  <si>
    <t>3660</t>
  </si>
  <si>
    <t>6785</t>
  </si>
  <si>
    <t xml:space="preserve">مفصل سرچاه زده شد </t>
  </si>
  <si>
    <t>1402/11/21</t>
  </si>
  <si>
    <t>3661</t>
  </si>
  <si>
    <t>6697</t>
  </si>
  <si>
    <t>1402/11/22</t>
  </si>
  <si>
    <t>3659</t>
  </si>
  <si>
    <t>1400/12/27</t>
  </si>
  <si>
    <t>1399/08/07</t>
  </si>
  <si>
    <t>1402/11/24</t>
  </si>
  <si>
    <t>\\192.168.20.130\asadi\رفیع نژاد\بهمن 1402\فرم آزمایش پمپاژ سپاد 3.tif</t>
  </si>
  <si>
    <t>\\192.168.20.130\asadi\رفیع نژاد\بهمن 1402\فرم آزمایش پمپاژ قدس3.tif</t>
  </si>
  <si>
    <t>\\192.168.20.130\asadi\رفیع نژاد\بهمن 1402\فرم آزمایش پمپاژ شمس آباد 3.tif</t>
  </si>
  <si>
    <t>\\192.168.20.130\asadi\رفیع نژاد\بهمن 1402\فرم آزمایش پمپاژ ناظریه 6.tif</t>
  </si>
  <si>
    <t>\\192.168.20.130\asadi\رفیع نژاد\بهمن 1402\فرم آزمایش پمپاژ ابوطالب 3.tif</t>
  </si>
  <si>
    <t>\\192.168.20.130\asadi\رفیع نژاد\بهمن 1402\فرم آزمایش پمپاژ روستای فارمد.tif</t>
  </si>
  <si>
    <t>\\192.168.20.130\asadi\رفیع نژاد\بهمن 1402\فرم آزمایش پمپاژ فرهنگیان 2.tif</t>
  </si>
  <si>
    <t>1402/11/25</t>
  </si>
  <si>
    <t>الکترو موتور و پمپ مجدد آزمایش گردید و فاقد هرگونه ایراد مکانیکی و برقی بود</t>
  </si>
  <si>
    <t>1402/11/26</t>
  </si>
  <si>
    <t>3662</t>
  </si>
  <si>
    <t>159252</t>
  </si>
  <si>
    <t>1402/11/30</t>
  </si>
  <si>
    <t>1402/12/01</t>
  </si>
  <si>
    <t>عباس آباد</t>
  </si>
  <si>
    <t>1402/12/03</t>
  </si>
  <si>
    <t>3663</t>
  </si>
  <si>
    <t>159254</t>
  </si>
  <si>
    <t>159253</t>
  </si>
  <si>
    <t>3657</t>
  </si>
  <si>
    <t>159251</t>
  </si>
  <si>
    <t>\\192.168.20.130\asadi\رفیع نژاد\بهمن 1402\فرم آزمایش پمپاژ شهرک دانش 14021126.tif</t>
  </si>
  <si>
    <t>\\192.168.20.130\asadi\رفیع نژاد\بهمن 1402\فرم آزمایش پمپاژ مرجان 14021124.tif</t>
  </si>
  <si>
    <t>\\192.168.20.130\asadi\رفیع نژاد\بهمن 1402\فرم آزمایش پمپاژ سوران5 14021127.tif</t>
  </si>
  <si>
    <t>\\192.168.20.130\asadi\رفیع نژاد\بهمن 1402\فرم آزمایش پمپاژ امام رضا 26 14021126.tif</t>
  </si>
  <si>
    <t>\\192.168.20.130\asadi\رفیع نژاد\بهمن 1402\فرم آزمایش پمپاژ امام علی 3 14021117.tif</t>
  </si>
  <si>
    <t>1402/12/04</t>
  </si>
  <si>
    <t>امامیه 17( قدیم )</t>
  </si>
  <si>
    <t>1402/12/13</t>
  </si>
  <si>
    <t>بهورز</t>
  </si>
  <si>
    <t>1402/12/14</t>
  </si>
  <si>
    <t>اسلام آباد 4</t>
  </si>
  <si>
    <t>پردیس راه آهن ( جدید )</t>
  </si>
  <si>
    <t>1402/12/15</t>
  </si>
  <si>
    <t>آماده سازی 3 جدید</t>
  </si>
  <si>
    <t>1402/12/16</t>
  </si>
  <si>
    <t>روستای خرق</t>
  </si>
  <si>
    <t>1402/12/17</t>
  </si>
  <si>
    <t>1402/12/18</t>
  </si>
  <si>
    <t>1402/12/19</t>
  </si>
  <si>
    <t>آزادشهر 3</t>
  </si>
  <si>
    <t>1402/12/20</t>
  </si>
  <si>
    <t>1402/12/21</t>
  </si>
  <si>
    <t>1402/12/23</t>
  </si>
  <si>
    <t>روستای امرغان توس</t>
  </si>
  <si>
    <t>1402/12/24</t>
  </si>
  <si>
    <t>1402/12/25</t>
  </si>
  <si>
    <t>1402/12/26</t>
  </si>
  <si>
    <t>1402/12/27</t>
  </si>
  <si>
    <t>1402/12/28</t>
  </si>
  <si>
    <t>1402/12/29</t>
  </si>
  <si>
    <t>علامه طبابایی</t>
  </si>
  <si>
    <t>3664</t>
  </si>
  <si>
    <t>159256</t>
  </si>
  <si>
    <t>3665</t>
  </si>
  <si>
    <t>159255</t>
  </si>
  <si>
    <t>159257</t>
  </si>
  <si>
    <t>1727</t>
  </si>
  <si>
    <t>159258</t>
  </si>
  <si>
    <t>3667</t>
  </si>
  <si>
    <t>159259</t>
  </si>
  <si>
    <t>3668</t>
  </si>
  <si>
    <t>159232</t>
  </si>
  <si>
    <t>3670</t>
  </si>
  <si>
    <t>159262</t>
  </si>
  <si>
    <t>3671</t>
  </si>
  <si>
    <t>159263</t>
  </si>
  <si>
    <t>3672</t>
  </si>
  <si>
    <t>159264</t>
  </si>
  <si>
    <t>6484</t>
  </si>
  <si>
    <t>3673</t>
  </si>
  <si>
    <t>159265</t>
  </si>
  <si>
    <t>1401/11/18</t>
  </si>
  <si>
    <t>1401/05/04</t>
  </si>
  <si>
    <t>3640</t>
  </si>
  <si>
    <t>3074</t>
  </si>
  <si>
    <t>5378</t>
  </si>
  <si>
    <t>1398/07/19</t>
  </si>
  <si>
    <t>1401/04/13</t>
  </si>
  <si>
    <t>1243</t>
  </si>
  <si>
    <t>15375</t>
  </si>
  <si>
    <t>1398/02/08</t>
  </si>
  <si>
    <t>1632</t>
  </si>
  <si>
    <t>6045</t>
  </si>
  <si>
    <t>1395/02/04</t>
  </si>
  <si>
    <t>159087</t>
  </si>
  <si>
    <t>1401/09/03</t>
  </si>
  <si>
    <t>1401/08/06</t>
  </si>
  <si>
    <t>5398</t>
  </si>
  <si>
    <t>1395/05/26</t>
  </si>
  <si>
    <t>1903</t>
  </si>
  <si>
    <t>5606</t>
  </si>
  <si>
    <t>1398/06/31</t>
  </si>
  <si>
    <t>1926</t>
  </si>
  <si>
    <t>6374</t>
  </si>
  <si>
    <t>1397/02/17</t>
  </si>
  <si>
    <t>1401/03/07</t>
  </si>
  <si>
    <t>1915</t>
  </si>
  <si>
    <t>6192</t>
  </si>
  <si>
    <t>1396/08/29</t>
  </si>
  <si>
    <t>1391/06/11</t>
  </si>
  <si>
    <t>1942</t>
  </si>
  <si>
    <t>6378</t>
  </si>
  <si>
    <t>1397/03/22</t>
  </si>
  <si>
    <t>1403/01/02</t>
  </si>
  <si>
    <t>1403/01/03</t>
  </si>
  <si>
    <t>1403/01/04</t>
  </si>
  <si>
    <t>1403/01/05</t>
  </si>
  <si>
    <t>1403/01/06</t>
  </si>
  <si>
    <t>فتح المبین</t>
  </si>
  <si>
    <t>1403/01/07</t>
  </si>
  <si>
    <t>امامیه 14</t>
  </si>
  <si>
    <t>1403/01/08</t>
  </si>
  <si>
    <t>هندل آباد</t>
  </si>
  <si>
    <t>1403/01/09</t>
  </si>
  <si>
    <t>1403/01/11</t>
  </si>
  <si>
    <t>اسلام آباد 15</t>
  </si>
  <si>
    <t>1403</t>
  </si>
  <si>
    <t>1401/12/02</t>
  </si>
  <si>
    <t>1401/10/12</t>
  </si>
  <si>
    <t>67</t>
  </si>
  <si>
    <t>1389/05/08</t>
  </si>
  <si>
    <t>1646</t>
  </si>
  <si>
    <t>5631</t>
  </si>
  <si>
    <t>1395/12/20</t>
  </si>
  <si>
    <t>3674</t>
  </si>
  <si>
    <t>6704</t>
  </si>
  <si>
    <t>3675</t>
  </si>
  <si>
    <t>159266</t>
  </si>
  <si>
    <t>3676</t>
  </si>
  <si>
    <t>159267</t>
  </si>
  <si>
    <t>3677</t>
  </si>
  <si>
    <t>سایز لوله از 6 به 4 تغییر کرده است</t>
  </si>
  <si>
    <t>عمق نصب 3 متر کاهش پیدا کرده است</t>
  </si>
  <si>
    <t>1403/01/16</t>
  </si>
  <si>
    <t>علامه طباطبایی</t>
  </si>
  <si>
    <t>1403/01/20</t>
  </si>
  <si>
    <t>چهار فصل</t>
  </si>
  <si>
    <t>1403/01/21</t>
  </si>
  <si>
    <t>1403/01/22</t>
  </si>
  <si>
    <t>الکتروموتور از نظر برقی سالم و فاقد اهم بود ولی لاستیک دیافراگم پاره بود و داخل الکتروموتور شولات زیادی بود که بهمین دلیل باعث تخریب کفگرد ، بالشتک ها ، کاسه نمد ، شنگیر و . . . گردیده است مراتب به مهندس بزرگمهر اطلاع رسانی گردید</t>
  </si>
  <si>
    <t>3678</t>
  </si>
  <si>
    <t>159217</t>
  </si>
  <si>
    <t>1403/01/23</t>
  </si>
  <si>
    <t>\\192.168.20.107\new asadi share\رفیع نژاد\آزمایش پمپاژ\فروردین\فرم آزمایش پمپاژ رستمی 14030103.tif</t>
  </si>
  <si>
    <t>\\192.168.20.107\new asadi share\رفیع نژاد\آزمایش پمپاژ\فروردین\فرم آزمایش پمپاژ اسلام آباد 4 14030105.tif</t>
  </si>
  <si>
    <t>\\192.168.20.107\new asadi share\رفیع نژاد\آزمایش پمپاژ\فروردین\فرم آزمایش پمپاژ امامیه 14 14030108.tif</t>
  </si>
  <si>
    <t>\\192.168.20.107\new asadi share\رفیع نژاد\آزمایش پمپاژ\فروردین\فرم آزمایش پمپاژ گلشهر 4 14030110.tif</t>
  </si>
  <si>
    <t>\\192.168.20.107\new asadi share\رفیع نژاد\آزمایش پمپاژ\فروردین\فرم آزمایش پمپاژ علامه طباطبایی 14030115.tif</t>
  </si>
  <si>
    <t>\\192.168.20.107\new asadi share\رفیع نژاد\آزمایش پمپاژ\فروردین\فرم آزمایش پمپاژ نصب جدید چهار فصل 14030119.tif</t>
  </si>
  <si>
    <t>1403/01/27</t>
  </si>
  <si>
    <t>1401/08/29</t>
  </si>
  <si>
    <t>6588</t>
  </si>
  <si>
    <t>\\192.168.20.107\new asadi share\رفیع نژاد\آزمایش پمپاژ\فروردین\فرم آزمایش پمپاژ گلشهر 3 14030122.tif</t>
  </si>
  <si>
    <t>وصعیت موتور برگشتی</t>
  </si>
  <si>
    <t>سوخته</t>
  </si>
  <si>
    <t>فاقد اهم</t>
  </si>
  <si>
    <t>در هنگام دکوبلاژ در دهانه محفظه مکش پمپ تیوپ مشاهده گردید که موجب کاهش آبدهی میگردد</t>
  </si>
  <si>
    <t>1403/01/28</t>
  </si>
  <si>
    <t>ندارد</t>
  </si>
  <si>
    <t>3679</t>
  </si>
  <si>
    <t>159268</t>
  </si>
  <si>
    <t>عمق نصب 6 متر کسر گردید و سایز کابل بنا به دستور مهندس خراشادی از 3*95 به 3*50 تغییر پیدا کرده است</t>
  </si>
  <si>
    <t>از عمق نصب 6 متر کسر گردید</t>
  </si>
  <si>
    <t>\\192.168.20.107\new asadi share\رفیع نژاد\آزمایش پمپاژ\فروردین\فرم آزمایش پمپاژ امام علی 3 14030123.tif</t>
  </si>
  <si>
    <t>\\192.168.20.107\new asadi share\رفیع نژاد\آزمایش پمپاژ\فروردین\فرم آزمایش پمپاژ غدیر 14030127.tif</t>
  </si>
  <si>
    <t>الکتروموتور و پمپ در زمان کشیون به داخل چاه سقوط کرد. پس از صید الکتروپمپ کابل های موتور از قسمت سربندی بطور کامل قطع شده بود ، بوش یاتاقان بالای موتور گیرپاژ شده بود که همین امر موجب سوختن الکتروموتور گردیده است و به علت سقوط در زمان کشیدن و قطع شدن کابل ها فاقد گارانتی شده است. بوش یاتاقان پایین موتور هم لق شده بود . دیسک و کفگرد و بالشتک ها و لاستیک دیافراگم سالم بود</t>
  </si>
  <si>
    <t>الکتروموتور باز شده و شولات زیاد داخل موتور مشاهده گردید روتور اسقاط و فیبر کف گرد ول شده بود. شولات داخل چاه باعث تخریب پروانه ها و بوش ها گردیده است. مراتب به مهندس بزرگمهر اطلاع رسانی گردید</t>
  </si>
  <si>
    <t>بوستان سوسن</t>
  </si>
  <si>
    <t>1403/01/30</t>
  </si>
  <si>
    <t>1403/02/01</t>
  </si>
  <si>
    <t>اعلام شده به مالی</t>
  </si>
  <si>
    <t>1403/02/02</t>
  </si>
  <si>
    <t>1403/02/03</t>
  </si>
  <si>
    <t>1403/02/04</t>
  </si>
  <si>
    <t>1403/02/05</t>
  </si>
  <si>
    <t>امام رضا 53</t>
  </si>
  <si>
    <t>مرکز تحقیقات گلبهار</t>
  </si>
  <si>
    <t>موتور و پمپ و کابل تحویل کارگاه مکانیک نشده است</t>
  </si>
  <si>
    <t>موتور کامل سوخته و داخل گل بوده و داخل سرلوله پمپ پر شولات بود</t>
  </si>
  <si>
    <t>طبقه پمپ شکسته بود</t>
  </si>
  <si>
    <t xml:space="preserve">شولات </t>
  </si>
  <si>
    <t>روتور از قسمت کف گرد بریده است ولی سیم پیچ سالم بود</t>
  </si>
  <si>
    <t>159269</t>
  </si>
  <si>
    <t>1403/02/06</t>
  </si>
  <si>
    <t>الکتروموتور سوخته و بطور کامل اسقاط گردید. شولات زیاد داخل الکتروموتور باعث از بین رفتن بوش های یاتاقان و لقی زیاد شده و همین امر موجب خوردگی استاتور و آمپر کشیدن و در نهایت سوختن کامل الکتروموتور گردیده است</t>
  </si>
  <si>
    <t>1403/02/07</t>
  </si>
  <si>
    <t>1403/02/08</t>
  </si>
  <si>
    <t>انتهای سید رضی</t>
  </si>
  <si>
    <t>1403/02/09</t>
  </si>
  <si>
    <t>1403/02/10</t>
  </si>
  <si>
    <t>3680</t>
  </si>
  <si>
    <t>159270</t>
  </si>
  <si>
    <t>1401/06/07</t>
  </si>
  <si>
    <t>الکتروموتور گارانتی و یک فاز اهم دارد که جهت گارانتی به شرکت بارش ارسال گردید</t>
  </si>
  <si>
    <t>1401/03/29</t>
  </si>
  <si>
    <t>3681</t>
  </si>
  <si>
    <t>شفا 9</t>
  </si>
  <si>
    <t>3701</t>
  </si>
  <si>
    <t>159284</t>
  </si>
  <si>
    <t>1403/02/11</t>
  </si>
  <si>
    <t>1403/02/12</t>
  </si>
  <si>
    <t>1403/02/13</t>
  </si>
  <si>
    <t>1403/02/14</t>
  </si>
  <si>
    <t>1403/02/15</t>
  </si>
  <si>
    <t>3682</t>
  </si>
  <si>
    <t>159271</t>
  </si>
  <si>
    <t>3684</t>
  </si>
  <si>
    <t>159272</t>
  </si>
  <si>
    <t>1403/02/18</t>
  </si>
  <si>
    <t>1403/02/19</t>
  </si>
  <si>
    <t>1403/02/21</t>
  </si>
  <si>
    <t>1403/02/22</t>
  </si>
  <si>
    <t>1403/02/23</t>
  </si>
  <si>
    <t>1403/02/24</t>
  </si>
  <si>
    <t>1398/02/13</t>
  </si>
  <si>
    <t>3685</t>
  </si>
  <si>
    <t>159273</t>
  </si>
  <si>
    <t>159275</t>
  </si>
  <si>
    <t>3698</t>
  </si>
  <si>
    <t>159276</t>
  </si>
  <si>
    <t>159274</t>
  </si>
  <si>
    <t>3688</t>
  </si>
  <si>
    <t>159277</t>
  </si>
  <si>
    <t>1399/03/26</t>
  </si>
  <si>
    <t>1403/02/25</t>
  </si>
  <si>
    <t>امیریه 29</t>
  </si>
  <si>
    <t>1403/02/26</t>
  </si>
  <si>
    <t>1403/02/30</t>
  </si>
  <si>
    <t>1403/02/31</t>
  </si>
  <si>
    <t>جمعاب 2</t>
  </si>
  <si>
    <t>1403/03/01</t>
  </si>
  <si>
    <t>3689</t>
  </si>
  <si>
    <t>159278</t>
  </si>
  <si>
    <t>1122</t>
  </si>
  <si>
    <t>159279</t>
  </si>
  <si>
    <t>3690</t>
  </si>
  <si>
    <t>159280</t>
  </si>
  <si>
    <t>3691</t>
  </si>
  <si>
    <t>159281</t>
  </si>
  <si>
    <t>1400/11/13</t>
  </si>
  <si>
    <t>1403/03/02</t>
  </si>
  <si>
    <t>1403/03/05</t>
  </si>
  <si>
    <t>اسلام آباد 15 جدید</t>
  </si>
  <si>
    <t>1403/03/06</t>
  </si>
  <si>
    <t>جمعاب 3</t>
  </si>
  <si>
    <t>1403/03/07</t>
  </si>
  <si>
    <t>1403/03/10</t>
  </si>
  <si>
    <t>1403/03/12</t>
  </si>
  <si>
    <t>1403/03/13</t>
  </si>
  <si>
    <t>1403/03/14</t>
  </si>
  <si>
    <t>1403/03/16</t>
  </si>
  <si>
    <t>پمپاژ کوشک مهدی</t>
  </si>
  <si>
    <t>1403/03/18</t>
  </si>
  <si>
    <t>مرکز تحقیقات کشاورزی گلمکان</t>
  </si>
  <si>
    <t>1403/03/21</t>
  </si>
  <si>
    <t>پرکند اباد 5</t>
  </si>
  <si>
    <t>1403/03/22</t>
  </si>
  <si>
    <t>خاتم الاانبیا</t>
  </si>
  <si>
    <t>روستایی منزل آباد 2</t>
  </si>
  <si>
    <t>1403/03/23</t>
  </si>
  <si>
    <t>1403/03/24</t>
  </si>
  <si>
    <t>1403/03/26</t>
  </si>
  <si>
    <t>مردارکشان</t>
  </si>
  <si>
    <t>159282</t>
  </si>
  <si>
    <t>159283</t>
  </si>
  <si>
    <t>3692</t>
  </si>
  <si>
    <t>6702</t>
  </si>
  <si>
    <t>6696</t>
  </si>
  <si>
    <t>3694</t>
  </si>
  <si>
    <t>6690</t>
  </si>
  <si>
    <t>3695</t>
  </si>
  <si>
    <t>3696</t>
  </si>
  <si>
    <t>6707</t>
  </si>
  <si>
    <t>1403/03/27</t>
  </si>
  <si>
    <t>1403/03/28</t>
  </si>
  <si>
    <t>1403/03/29</t>
  </si>
  <si>
    <t>کشف 1</t>
  </si>
  <si>
    <t>1403/03/30</t>
  </si>
  <si>
    <t>لرزه نگاری</t>
  </si>
  <si>
    <t>1403/03/31</t>
  </si>
  <si>
    <t>6781</t>
  </si>
  <si>
    <t>انتهای سید رضی      ( سید رضی 43 )</t>
  </si>
  <si>
    <t>الکتروموتور داخل گل نصب شده بود که از عمق نصب 3 متر کسر گردید</t>
  </si>
  <si>
    <t>3669</t>
  </si>
  <si>
    <t>1399/05/03</t>
  </si>
  <si>
    <t>1401/05/25</t>
  </si>
  <si>
    <t>1403/04/01</t>
  </si>
  <si>
    <t>دوست آباد 3</t>
  </si>
  <si>
    <t>1403/04/02</t>
  </si>
  <si>
    <t>1403/04/03</t>
  </si>
  <si>
    <t>1403/04/04</t>
  </si>
  <si>
    <t>1403/04/05</t>
  </si>
  <si>
    <t>3700</t>
  </si>
  <si>
    <t>کشیدن بعلت تجهیز چاه جدید بوده است ولی طبقات پمپ شکسته بود</t>
  </si>
  <si>
    <t>1400/11/08</t>
  </si>
  <si>
    <t>3703</t>
  </si>
  <si>
    <t>3704</t>
  </si>
  <si>
    <t>3705</t>
  </si>
  <si>
    <t>3706</t>
  </si>
  <si>
    <t>3707</t>
  </si>
  <si>
    <t>3708</t>
  </si>
  <si>
    <t>3709</t>
  </si>
  <si>
    <t>3710</t>
  </si>
  <si>
    <t>3711</t>
  </si>
  <si>
    <t>3712</t>
  </si>
  <si>
    <t>3713</t>
  </si>
  <si>
    <t>3714</t>
  </si>
  <si>
    <t>3717</t>
  </si>
  <si>
    <t>3715</t>
  </si>
  <si>
    <t>3716</t>
  </si>
  <si>
    <t>159285</t>
  </si>
  <si>
    <t>159286</t>
  </si>
  <si>
    <t>159287</t>
  </si>
  <si>
    <t>159288</t>
  </si>
  <si>
    <t>159289</t>
  </si>
  <si>
    <t>159290</t>
  </si>
  <si>
    <t>159291</t>
  </si>
  <si>
    <t>159292</t>
  </si>
  <si>
    <t>159293</t>
  </si>
  <si>
    <t>159294</t>
  </si>
  <si>
    <t>159295</t>
  </si>
  <si>
    <t>159296</t>
  </si>
  <si>
    <t>159297</t>
  </si>
  <si>
    <t>159298</t>
  </si>
  <si>
    <t>159300</t>
  </si>
  <si>
    <t>159301</t>
  </si>
  <si>
    <t>1403/04/08</t>
  </si>
  <si>
    <t>صداولرزش</t>
  </si>
  <si>
    <t>1403/04/09</t>
  </si>
  <si>
    <t>امرغان توس</t>
  </si>
  <si>
    <t>1403/04/11</t>
  </si>
  <si>
    <t>1403/04/12</t>
  </si>
  <si>
    <t>1403/04/13</t>
  </si>
  <si>
    <t>روستایی میراث 2</t>
  </si>
  <si>
    <t>امرغان توس ( قدیم )</t>
  </si>
  <si>
    <t>1403/04/14</t>
  </si>
  <si>
    <t>1403/04/16</t>
  </si>
  <si>
    <t>1403/04/17</t>
  </si>
  <si>
    <t>1403/04/18</t>
  </si>
  <si>
    <t>1403/04/19</t>
  </si>
  <si>
    <t>بینالود 5</t>
  </si>
  <si>
    <t>1403/04/20</t>
  </si>
  <si>
    <t>1403/04/21</t>
  </si>
  <si>
    <t>فریزی 1</t>
  </si>
  <si>
    <t>فریزی2</t>
  </si>
  <si>
    <t>1403/04/24</t>
  </si>
  <si>
    <t>دندانپزشکان</t>
  </si>
  <si>
    <t>1403/04/25</t>
  </si>
  <si>
    <t>عسگریه</t>
  </si>
  <si>
    <t>پمپاژ فریزی</t>
  </si>
  <si>
    <t>1403/04/27</t>
  </si>
  <si>
    <t>1403/04/28</t>
  </si>
  <si>
    <t>پرکندآباد 1</t>
  </si>
  <si>
    <t>1403/04/30</t>
  </si>
  <si>
    <t>1403/04/31</t>
  </si>
  <si>
    <t>6558</t>
  </si>
  <si>
    <t>3720</t>
  </si>
  <si>
    <t>159320</t>
  </si>
  <si>
    <t>3721</t>
  </si>
  <si>
    <t>159321</t>
  </si>
  <si>
    <t>3719</t>
  </si>
  <si>
    <t>159303</t>
  </si>
  <si>
    <t>3723</t>
  </si>
  <si>
    <t>159322</t>
  </si>
  <si>
    <t>159234</t>
  </si>
  <si>
    <t>3718</t>
  </si>
  <si>
    <t>159302</t>
  </si>
  <si>
    <t>159325</t>
  </si>
  <si>
    <t>3724</t>
  </si>
  <si>
    <t>159326</t>
  </si>
  <si>
    <t>3725</t>
  </si>
  <si>
    <t>159327</t>
  </si>
  <si>
    <t>3726</t>
  </si>
  <si>
    <t>3727</t>
  </si>
  <si>
    <t>لاستیک ته موتور پاره شده بود و کفگرد و بالشتک ها به علت فرسایش زیاد و ورود شولات به داخل الکتروموتورتخریب گردید</t>
  </si>
  <si>
    <t>1400/01/15</t>
  </si>
  <si>
    <t>با توجه به بازدید حاج آقای حسینی نماینده سولار پمپ از محل چاه و تصمیم به جابجا کردن الکتروپمپ داخل چاه متاسفانه مشکل رفع نشد و پس از کشیدن چاه الکترو موتور جهت گارانتی ارسال گردید که مشخص گردید فیبر و بالشتک ها تخریب گردیده است</t>
  </si>
  <si>
    <t>1400/02/19</t>
  </si>
  <si>
    <t>جهت عملیات بهسازی کشیده شده بود</t>
  </si>
  <si>
    <t>1400/05/06</t>
  </si>
  <si>
    <t>1403/05/01</t>
  </si>
  <si>
    <t>1403/05/02</t>
  </si>
  <si>
    <t>1403/05/04</t>
  </si>
  <si>
    <t>1403/05/06</t>
  </si>
  <si>
    <t>159329</t>
  </si>
  <si>
    <t>1401/04/20</t>
  </si>
  <si>
    <t>3729</t>
  </si>
  <si>
    <t>159331</t>
  </si>
  <si>
    <t>6568</t>
  </si>
  <si>
    <t>3730</t>
  </si>
  <si>
    <t>159332</t>
  </si>
  <si>
    <t>1403/05/08</t>
  </si>
  <si>
    <t>پرکندآباد 5</t>
  </si>
  <si>
    <t>1403/05/09</t>
  </si>
  <si>
    <t>الکتروموتور برگشتی پس از برگشت از چاه مورد بررسی قرار گرفت که مشخص گردید از قسمت داخل شیار استاتور دچار زدگی شده بود که همین امر سبب اهم دار بودن شده است. درضمن سیم پیچ و سربندی فابریک بوده و در زمان آزمایش پمپاژ فاقد هرگونه ایراد مکانیکی و اهم بوده.</t>
  </si>
  <si>
    <t>1403/05/10</t>
  </si>
  <si>
    <t xml:space="preserve">الکتروموتور سوخته و پس از دمونتاژ داخل موتور شولات نرمی مشاهده شد و  بوش واسطه بالای موتور گیرپاژ شده بود سیم های داخل الکتروموتور  کاملا سوخته بود کفگرد و بالشتک ها سالم و فاقد ایراد بود . </t>
  </si>
  <si>
    <t>1403/05/11</t>
  </si>
  <si>
    <t>1403/05/12</t>
  </si>
  <si>
    <t>1403/05/14</t>
  </si>
  <si>
    <t>1403/05/16</t>
  </si>
  <si>
    <t>لاستیک ته موتور پاره بود و پس از دمونتاژ موتور مشخص گردید که سیم پیچ سالم بوده ولی به دلیل ورود شولات به داخل الکتروموتور باعث خوردگی در بوش های واسطه شده و موجب اضافه آمپر شده است و در نهایت خوردگی در استاتور و کامل اسقاط گردید .</t>
  </si>
  <si>
    <t>6567</t>
  </si>
  <si>
    <t>159334</t>
  </si>
  <si>
    <t>3731</t>
  </si>
  <si>
    <t>159335</t>
  </si>
  <si>
    <t>1401/02/06</t>
  </si>
  <si>
    <t>1403/05/17</t>
  </si>
  <si>
    <t>1403/05/19</t>
  </si>
  <si>
    <t>1403/05/20</t>
  </si>
  <si>
    <t>سید رضی 43</t>
  </si>
  <si>
    <t>1403/05/21</t>
  </si>
  <si>
    <t>1403/05/22</t>
  </si>
  <si>
    <t>1403/05/23</t>
  </si>
  <si>
    <t>1403/05/24</t>
  </si>
  <si>
    <t>1403/05/25</t>
  </si>
  <si>
    <t>3735</t>
  </si>
  <si>
    <t>159339</t>
  </si>
  <si>
    <t>کابل های خود چاه به دلیل اهم بسیار پایین با تایید مهندس خراشادی تعویض گردید و کابل جدید مفصل خورد</t>
  </si>
  <si>
    <t>3734</t>
  </si>
  <si>
    <t>159338</t>
  </si>
  <si>
    <t>الکتروپمپ برگشتی از منطقه 5 بوده و در محل کارگاه مورد تست قرار گرفت که مورد خاصی مشاهده نشد</t>
  </si>
  <si>
    <t>3733</t>
  </si>
  <si>
    <t>159337</t>
  </si>
  <si>
    <t>موتور و پمپ سالم بوده و بعلت شولات کشیده شده است</t>
  </si>
  <si>
    <t>وجود بیش از حد شولات داخل سرلوله پمپ مشهود بود. لاستیک دیافراگم الکتروموتور پاره شده بود و ورود شولات به داخل الکتروموتور باعث سوختن سیم پیچ گردیده بود</t>
  </si>
  <si>
    <t>ماسه دهی چاه بیش از حد چاه موجب تخریب در بوش های لاستیکی ، پروانه ها ، رینگ های سایشی شده بود که همین امر سبب آن بالانسی شده و در نهیت تخریب بوش یاتاقان بالایی پمپ و در نهایت سوختن الکتروپمپ شده است.</t>
  </si>
  <si>
    <t>1403/05/26</t>
  </si>
  <si>
    <t>غرب منزل آباد</t>
  </si>
  <si>
    <t>3736</t>
  </si>
  <si>
    <t>159340</t>
  </si>
  <si>
    <t>1403/04/06</t>
  </si>
  <si>
    <t>1403/05/18</t>
  </si>
  <si>
    <t>1403/05/27</t>
  </si>
  <si>
    <t>1403/05/28</t>
  </si>
  <si>
    <t>1403/05/31</t>
  </si>
  <si>
    <t xml:space="preserve">الکتروموتور و پمپ سالم بود بود . مشکل : در زمان نصب الکتروپمپ داخل جدارگیر کرده بود و باعث زخمی شدن کابل از قسمت سربندی الکتروموتور شده بود. </t>
  </si>
  <si>
    <t>کابل ها با هماهنگی کارگاه برق تعویض و کابل های چاه کارده 2 به این چاه مفصل زده شد. در خصوص تحت فشار بودن الکتروموتور و تحت فشار کارکردن به مهندس بزرگمهز ، کاهانی ، زمانیان اطلاع رسانی گردید. با توجه به محلی بودن چاه و تحت فشار بودن الکتروموتور بجای 55 از موتور 62 کیلو وات استفاده گردید</t>
  </si>
  <si>
    <t>3738</t>
  </si>
  <si>
    <t>159341</t>
  </si>
  <si>
    <t xml:space="preserve">در زمان ورود موتور و پمپ به کارگاه داخل سرلوله شولات مشاهده گردید </t>
  </si>
  <si>
    <t>1403/06/01</t>
  </si>
  <si>
    <t>1403/06/02</t>
  </si>
  <si>
    <t>1403/06/04</t>
  </si>
  <si>
    <t>1403/06/07</t>
  </si>
  <si>
    <t>روستای اسلام آباد</t>
  </si>
  <si>
    <t>1399/02/04</t>
  </si>
  <si>
    <t>1403/06/08</t>
  </si>
  <si>
    <t>1403/08/18</t>
  </si>
  <si>
    <t>6585</t>
  </si>
  <si>
    <t>1403/06/09</t>
  </si>
  <si>
    <t>1403/06/11</t>
  </si>
  <si>
    <t>امام رضا 40</t>
  </si>
  <si>
    <t>3744</t>
  </si>
  <si>
    <t>3745</t>
  </si>
  <si>
    <t>6695</t>
  </si>
  <si>
    <t>1403/06/10</t>
  </si>
  <si>
    <t>3742</t>
  </si>
  <si>
    <t>159345</t>
  </si>
  <si>
    <t>1403/06/12</t>
  </si>
  <si>
    <t>1403/06/15</t>
  </si>
  <si>
    <t>اندرخ 3</t>
  </si>
  <si>
    <t>1403/06/16</t>
  </si>
  <si>
    <t>1403/06/17</t>
  </si>
  <si>
    <t>بینالود 4</t>
  </si>
  <si>
    <t>1403/06/18</t>
  </si>
  <si>
    <t>1403/06/20</t>
  </si>
  <si>
    <t>روستای سالار آباد</t>
  </si>
  <si>
    <t>1403/06/21</t>
  </si>
  <si>
    <t>1403/06/22</t>
  </si>
  <si>
    <t>رده 1</t>
  </si>
  <si>
    <t>1403/06/23</t>
  </si>
  <si>
    <t>دبیرستان فتح المبین</t>
  </si>
  <si>
    <t>1403/06/24</t>
  </si>
  <si>
    <t>1403/06/25</t>
  </si>
  <si>
    <t>1403/06/26</t>
  </si>
  <si>
    <t>1403/06/27</t>
  </si>
  <si>
    <t>پمپاژ 3 رسالت</t>
  </si>
  <si>
    <t>3747</t>
  </si>
  <si>
    <t>6560</t>
  </si>
  <si>
    <t>3740</t>
  </si>
  <si>
    <t>159343</t>
  </si>
  <si>
    <t>1403/05/30</t>
  </si>
  <si>
    <t>3739</t>
  </si>
  <si>
    <t>159342</t>
  </si>
  <si>
    <t>6716</t>
  </si>
  <si>
    <t>3750</t>
  </si>
  <si>
    <t>159330</t>
  </si>
  <si>
    <t>3749</t>
  </si>
  <si>
    <t>1403/06/19</t>
  </si>
  <si>
    <t>2048</t>
  </si>
  <si>
    <t>6752</t>
  </si>
  <si>
    <t>1152</t>
  </si>
  <si>
    <t>5213</t>
  </si>
  <si>
    <t>1392/08/23</t>
  </si>
  <si>
    <t>6*4</t>
  </si>
  <si>
    <t>3461</t>
  </si>
  <si>
    <t>1579</t>
  </si>
  <si>
    <t>5763</t>
  </si>
  <si>
    <t>1394/08/30</t>
  </si>
  <si>
    <t>1973</t>
  </si>
  <si>
    <t>10004</t>
  </si>
  <si>
    <t>1397/07/07</t>
  </si>
  <si>
    <t>1277</t>
  </si>
  <si>
    <t>5045</t>
  </si>
  <si>
    <t>1393/05/12</t>
  </si>
  <si>
    <t>1401/08/15</t>
  </si>
  <si>
    <t>15433</t>
  </si>
  <si>
    <t>3086</t>
  </si>
  <si>
    <t>6566</t>
  </si>
  <si>
    <t>193/13</t>
  </si>
  <si>
    <t>6562</t>
  </si>
  <si>
    <t>159344</t>
  </si>
  <si>
    <t>1403/06/28</t>
  </si>
  <si>
    <t>1403/06/29</t>
  </si>
  <si>
    <t>1403/06/30</t>
  </si>
  <si>
    <t>اماده سازی 2</t>
  </si>
  <si>
    <t>1403/07/01</t>
  </si>
  <si>
    <t>1403/07/03</t>
  </si>
  <si>
    <t>1403/07/04</t>
  </si>
  <si>
    <t>1403/07/05</t>
  </si>
  <si>
    <t>1403/07/06</t>
  </si>
  <si>
    <t>1403/07/07</t>
  </si>
  <si>
    <t>1403/07/08</t>
  </si>
  <si>
    <t>1403/07/09</t>
  </si>
  <si>
    <t>1403/07/10</t>
  </si>
  <si>
    <t>1403/07/11</t>
  </si>
  <si>
    <t>1403/07/12</t>
  </si>
  <si>
    <t>1403/07/13</t>
  </si>
  <si>
    <t>1403/07/14</t>
  </si>
  <si>
    <t>1403/07/15</t>
  </si>
  <si>
    <t>سوختن</t>
  </si>
  <si>
    <t xml:space="preserve"> اهم دار</t>
  </si>
  <si>
    <t>سوختن الکنروموتور</t>
  </si>
  <si>
    <t>ایراد مکانیکی</t>
  </si>
  <si>
    <t>1403/07/17</t>
  </si>
  <si>
    <t>در آبد 5</t>
  </si>
  <si>
    <t>1403/07/18</t>
  </si>
  <si>
    <t>1403/07/19</t>
  </si>
  <si>
    <t xml:space="preserve">دبستان فارابی </t>
  </si>
  <si>
    <t>1403/07/20</t>
  </si>
  <si>
    <t>1403/07/21</t>
  </si>
  <si>
    <t>امامیه 6</t>
  </si>
  <si>
    <t>روستای عشق آباد</t>
  </si>
  <si>
    <t>1403/07/22</t>
  </si>
  <si>
    <t>روستای عسگریه</t>
  </si>
  <si>
    <t>1403/07/25</t>
  </si>
  <si>
    <t>رجائی5</t>
  </si>
  <si>
    <t>1403/07/26</t>
  </si>
  <si>
    <t>1403/07/27</t>
  </si>
  <si>
    <t>دبستان شمش اشموس</t>
  </si>
  <si>
    <t>1403/07/28</t>
  </si>
  <si>
    <t>6521</t>
  </si>
  <si>
    <t>6737</t>
  </si>
  <si>
    <t>1403/07/23</t>
  </si>
  <si>
    <t>6606</t>
  </si>
  <si>
    <t>233/18</t>
  </si>
  <si>
    <t>6525</t>
  </si>
  <si>
    <t>1403/07/24</t>
  </si>
  <si>
    <t>1403/08/01</t>
  </si>
  <si>
    <t>پیوه ژن</t>
  </si>
  <si>
    <t>1403/08/02</t>
  </si>
  <si>
    <t>روستای ملک آباد</t>
  </si>
  <si>
    <t>1403/08/03</t>
  </si>
  <si>
    <t>1403/08/05</t>
  </si>
  <si>
    <t>نیروهوایی</t>
  </si>
  <si>
    <t>1403/08/06</t>
  </si>
  <si>
    <t>1403/08/07</t>
  </si>
  <si>
    <t>1403/08/08</t>
  </si>
  <si>
    <t>امام رضا 42</t>
  </si>
  <si>
    <t>6520</t>
  </si>
  <si>
    <t>6719</t>
  </si>
  <si>
    <t>1403/0705</t>
  </si>
  <si>
    <t>6523</t>
  </si>
  <si>
    <t>1403/08/14</t>
  </si>
  <si>
    <t>1403/08/15</t>
  </si>
  <si>
    <t>1403/08/16</t>
  </si>
  <si>
    <t>1403/08/17</t>
  </si>
  <si>
    <t>روستای صید آباد</t>
  </si>
  <si>
    <t>1403/08/20</t>
  </si>
  <si>
    <t>1403/08/22</t>
  </si>
  <si>
    <t>1403/08/23</t>
  </si>
  <si>
    <t>روستای سلطان آباد نمک</t>
  </si>
  <si>
    <t>1403/08/24</t>
  </si>
  <si>
    <t>1403/08/25</t>
  </si>
  <si>
    <t>1403/08/26</t>
  </si>
  <si>
    <t>1403/08/27</t>
  </si>
  <si>
    <t>1403/08/29</t>
  </si>
  <si>
    <t>6734</t>
  </si>
  <si>
    <t>6514</t>
  </si>
  <si>
    <t>6518</t>
  </si>
  <si>
    <t>1403/08/28</t>
  </si>
  <si>
    <t>6509</t>
  </si>
  <si>
    <t>6516</t>
  </si>
  <si>
    <t xml:space="preserve">کارگاه مکانیک </t>
  </si>
  <si>
    <t>1403/08/12</t>
  </si>
  <si>
    <t>1403/08/30</t>
  </si>
  <si>
    <t>1403/09/03</t>
  </si>
  <si>
    <t>1403/09/04</t>
  </si>
  <si>
    <t>1403/09/06</t>
  </si>
  <si>
    <t>1403/09/07</t>
  </si>
  <si>
    <t>1403/09/08</t>
  </si>
  <si>
    <t>قازقان</t>
  </si>
  <si>
    <t>1403/09/10</t>
  </si>
  <si>
    <t xml:space="preserve">قاسم آباد 23 </t>
  </si>
  <si>
    <t>1403/09/11</t>
  </si>
  <si>
    <t>سیمانشهر 2</t>
  </si>
  <si>
    <t>1403/09/14</t>
  </si>
  <si>
    <t>کال زرکش قدیم</t>
  </si>
  <si>
    <t>1403/09/16</t>
  </si>
  <si>
    <t>1403/09/20</t>
  </si>
  <si>
    <t>ادیب35</t>
  </si>
  <si>
    <t>1403/09/21</t>
  </si>
  <si>
    <t>1403/09/22</t>
  </si>
  <si>
    <t>1403/09/24</t>
  </si>
  <si>
    <t>شهربانی</t>
  </si>
  <si>
    <t>1403/09/28</t>
  </si>
  <si>
    <t>1403/09/29</t>
  </si>
  <si>
    <t>داخل پمپ ماسه کشیده شده و پروانه ها تخریب شده و داخل شیار ها گراویه مشاهده گردیده است. محور پمپ تخریب و غیر قابل استفاده می باشد</t>
  </si>
  <si>
    <t>1403/10/01</t>
  </si>
  <si>
    <t>159370</t>
  </si>
  <si>
    <t>یک حلقه از کابل های برگشتی خود چاه سایز 3*35 استفاده گردید و حلقه دیگر 125 متر کابل 3*16 و 55 متر کابل 3*25 از کارگاه برق تحویل گردید. ( یک حلقه کابل به دلیل مشکل داشتن تحویل کارگاه برق گردید )</t>
  </si>
  <si>
    <t>1403/09/30</t>
  </si>
  <si>
    <t>233/6</t>
  </si>
  <si>
    <t>159371</t>
  </si>
  <si>
    <t>الکتروموتور به علت نواسانات ولتازی در شبکه برق منطقه سوخته است که مراتب جهت بررسی تابلو برق به کارگاه برق اطلاع رسانی گردید</t>
  </si>
  <si>
    <t>با توجه به گفته مرکز آبرسانی دانشجو مشکلات ولتاژی در شبکه برق علت سوختن الکترو موتور می باشد.</t>
  </si>
  <si>
    <t>159346</t>
  </si>
  <si>
    <t>1403/09/23</t>
  </si>
  <si>
    <t>159348</t>
  </si>
  <si>
    <t>159347</t>
  </si>
  <si>
    <t>3454</t>
  </si>
  <si>
    <t>1400/12/23</t>
  </si>
  <si>
    <t>1401/11/15</t>
  </si>
  <si>
    <t>1401/10/02</t>
  </si>
  <si>
    <t>1401/04/25</t>
  </si>
  <si>
    <t>1401/11/13</t>
  </si>
  <si>
    <t>1400/05/19</t>
  </si>
  <si>
    <t>6787</t>
  </si>
  <si>
    <t>3732</t>
  </si>
  <si>
    <t>159336</t>
  </si>
  <si>
    <t>جمع آوری چاه جهت تجهیز چاه جدید صورت گرفته است</t>
  </si>
  <si>
    <t>1400/07/26</t>
  </si>
  <si>
    <t>1403/10/02</t>
  </si>
  <si>
    <t>روستای گرمه</t>
  </si>
  <si>
    <t>1403/10/03</t>
  </si>
  <si>
    <t>1403/10/04</t>
  </si>
  <si>
    <t>1403/10/05</t>
  </si>
  <si>
    <t>1401/05/24</t>
  </si>
  <si>
    <t>1401/11/11</t>
  </si>
  <si>
    <t>کابل های چاه بعلت تغییر تیپ و تابلو راه انداز از ستاره مثلث به سافت تغییر کرده است</t>
  </si>
  <si>
    <t>3752</t>
  </si>
  <si>
    <t>159373</t>
  </si>
  <si>
    <t>3751</t>
  </si>
  <si>
    <t>159372</t>
  </si>
  <si>
    <t>3753</t>
  </si>
  <si>
    <t>159374</t>
  </si>
  <si>
    <t>1403/07/29</t>
  </si>
  <si>
    <t>تابلو برق چاه ایراد داشت و به همین علت الکتروموتور دوفاز کارکرده و سوخته بود</t>
  </si>
  <si>
    <t>6780</t>
  </si>
  <si>
    <t>1397/04/28</t>
  </si>
  <si>
    <t>6788</t>
  </si>
  <si>
    <t>6784</t>
  </si>
  <si>
    <t>6508</t>
  </si>
  <si>
    <t>6738</t>
  </si>
  <si>
    <t>1403/10/06</t>
  </si>
  <si>
    <t>1403/10/08</t>
  </si>
  <si>
    <t>3755</t>
  </si>
  <si>
    <t>15694</t>
  </si>
  <si>
    <t>1403/10/09</t>
  </si>
  <si>
    <t>مهرآباد 1</t>
  </si>
  <si>
    <t>1133</t>
  </si>
  <si>
    <t>159100</t>
  </si>
  <si>
    <t>3431</t>
  </si>
  <si>
    <t>الکتروموتور سوخته بود لاستیک ته موتور پاره شده بود و بوش های سر و ته موتور گشاد شده بود.</t>
  </si>
  <si>
    <t>1403/10/10</t>
  </si>
  <si>
    <t>پمپاژ روستای فریزی</t>
  </si>
  <si>
    <t>1403/10/11</t>
  </si>
  <si>
    <t>چاه رضویه 1</t>
  </si>
  <si>
    <t>3756</t>
  </si>
  <si>
    <t>15654</t>
  </si>
  <si>
    <t>موتور و پمپ داخل کارگاه کوبل شده و تحویل آقای جوادی جهت نصب گردید</t>
  </si>
  <si>
    <t>رضویه 1</t>
  </si>
  <si>
    <t>1399/10/22</t>
  </si>
  <si>
    <t xml:space="preserve">الکترو پمپ برگشتی دارای دو حلقه کابل 3*70 بود که کابل ها تحویل کارگاه برق گردید </t>
  </si>
  <si>
    <t>1400/01/22</t>
  </si>
  <si>
    <t>1403/10/13</t>
  </si>
  <si>
    <t>1403/10/14</t>
  </si>
  <si>
    <t>3754</t>
  </si>
  <si>
    <t>159375</t>
  </si>
  <si>
    <t>3757</t>
  </si>
  <si>
    <t>159376</t>
  </si>
  <si>
    <t>1568</t>
  </si>
  <si>
    <t>15393</t>
  </si>
  <si>
    <t>1403/10/15</t>
  </si>
  <si>
    <t>1398/04/01</t>
  </si>
  <si>
    <t>1403/10/16</t>
  </si>
  <si>
    <t>آناهیتا</t>
  </si>
  <si>
    <t>استیل نو</t>
  </si>
  <si>
    <t>1403/10/17</t>
  </si>
  <si>
    <t>APS95</t>
  </si>
  <si>
    <t>فریزی 2</t>
  </si>
  <si>
    <t>1403/10/18</t>
  </si>
  <si>
    <t>1403/10/19</t>
  </si>
  <si>
    <t>1403/10/20</t>
  </si>
  <si>
    <t>توس علیا</t>
  </si>
  <si>
    <t>انتهای دانشجو</t>
  </si>
  <si>
    <t>1401/02/17</t>
  </si>
  <si>
    <t>1401/11/25</t>
  </si>
  <si>
    <t>1403/10/21</t>
  </si>
  <si>
    <t>1403/10/22</t>
  </si>
  <si>
    <t>1401/12/24</t>
  </si>
  <si>
    <t>1403/10/23</t>
  </si>
  <si>
    <t>1403/10/24</t>
  </si>
  <si>
    <t>1403/10/25</t>
  </si>
  <si>
    <t>1403/10/26</t>
  </si>
  <si>
    <t>1403/10/27</t>
  </si>
  <si>
    <t>1401/02/21</t>
  </si>
  <si>
    <t xml:space="preserve">الکترو پمپ پس از کشیدن مشخص گردید که شافت پمپ بریده و طبقه اول پمپ بطور کامل گرد بر شده که خوردگی بیش از حد ماسه و شن ریزه در محفظه و پروانه های پمپ مشهود بود. احتمالا پمپ در محل جدار شیار دار نصب شده است. </t>
  </si>
  <si>
    <t>1403/10/29</t>
  </si>
  <si>
    <t>1933</t>
  </si>
  <si>
    <t>1400/09/01</t>
  </si>
  <si>
    <t>الکترو موتور برگشتی سوخته بود و داخل سرلوله پمپ پر شولات بود</t>
  </si>
  <si>
    <t>1403/10/30</t>
  </si>
  <si>
    <t>امام رضا 16</t>
  </si>
  <si>
    <t>1403/11/01</t>
  </si>
  <si>
    <t>الکترو پمپ برگشتی سالم و فاقد ایراد بود لذا داخل سرلوله پمپ و بر روی بدنه موتور و پمپ برگشتی شولات زیادی مشاهده گردیده است</t>
  </si>
  <si>
    <t>1403/11/02</t>
  </si>
  <si>
    <t>1403/11/04</t>
  </si>
  <si>
    <t>انتهای جلال</t>
  </si>
  <si>
    <t>1403/11/05</t>
  </si>
  <si>
    <t>1403/11/06</t>
  </si>
  <si>
    <t>1403/11/07</t>
  </si>
  <si>
    <t>اکبرآباد</t>
  </si>
  <si>
    <t>1403/11/08</t>
  </si>
  <si>
    <t>درآبد 5</t>
  </si>
  <si>
    <t>1403/11/09</t>
  </si>
  <si>
    <t>1403/11/10</t>
  </si>
  <si>
    <t>رجایی 5</t>
  </si>
  <si>
    <t>1400/05/18</t>
  </si>
  <si>
    <t>1403/11/11</t>
  </si>
  <si>
    <t>1403/11/12</t>
  </si>
  <si>
    <t>1403/11/13</t>
  </si>
  <si>
    <t>1403/11/14</t>
  </si>
  <si>
    <t>1403/11/15</t>
  </si>
  <si>
    <t>1403/11/16</t>
  </si>
  <si>
    <t>1403/11/17</t>
  </si>
  <si>
    <t>1403/11/20</t>
  </si>
  <si>
    <t>1400/06/23</t>
  </si>
  <si>
    <t>1403/11/18</t>
  </si>
  <si>
    <t>1403/11/24</t>
  </si>
  <si>
    <t>1403/11/27</t>
  </si>
  <si>
    <t>1403/11/28</t>
  </si>
  <si>
    <t>امام رضا 54</t>
  </si>
  <si>
    <t>1399/08/28</t>
  </si>
  <si>
    <t>1398/07/04</t>
  </si>
  <si>
    <t>1403/11/29</t>
  </si>
  <si>
    <t>6609/18</t>
  </si>
  <si>
    <t>پروانه های پمپ کامل خورده شده و طبقه های پمپ بطور کامل به علت خوردگی بیش از حد اسقاط گردید محور پمپ از قسمت کوبلینگ موتور و قسمت سر پمپ بریده است . شولات و ماسه داخل پمپ مشهود بود و عامل اصلی تخریب و خوردگی می باشد. الکتروموتور سالم و فاقد ایراد برقی و مکانیکی بود</t>
  </si>
  <si>
    <t>کابل های خود چاه به دلیل تغییر تیپ الکتروموتور به کارگاه برق تحویل و کابل جدید تحویل گرفته شد.</t>
  </si>
  <si>
    <t>1403/11/30</t>
  </si>
  <si>
    <t>1403/12/01</t>
  </si>
  <si>
    <t>موتور یک فاز با بدنه اتصال کوتاه است و ارسال جهت گارانتی . پمپ دمونتاژ گردید مقدار کمی ماسه مشاهده شد که موجب لق شدن و خوردگی بوش های پمپ شده است</t>
  </si>
  <si>
    <t>1399/12/26</t>
  </si>
  <si>
    <t>1403/12/02</t>
  </si>
  <si>
    <t>1403/12/03</t>
  </si>
  <si>
    <t>1403/12/04</t>
  </si>
  <si>
    <t>1403/12/05</t>
  </si>
  <si>
    <t>1403/09/17</t>
  </si>
  <si>
    <t>کابل ها با هماهنگی کارگاه برق انتخاب و مفصل زده شده است</t>
  </si>
  <si>
    <t>1401/02/14</t>
  </si>
  <si>
    <t>1399/03/01</t>
  </si>
  <si>
    <t>1400/04/25</t>
  </si>
  <si>
    <t>3762</t>
  </si>
  <si>
    <t>159377</t>
  </si>
  <si>
    <t>1403/12/09</t>
  </si>
  <si>
    <t>اداره پست</t>
  </si>
  <si>
    <t>1403/12/10</t>
  </si>
  <si>
    <t>1403/12/11</t>
  </si>
  <si>
    <t>1403/12/14</t>
  </si>
  <si>
    <t>مجلسی شرقی</t>
  </si>
  <si>
    <t>1403/12/15</t>
  </si>
  <si>
    <t>1403/12/16</t>
  </si>
  <si>
    <t>همت آباد 2</t>
  </si>
  <si>
    <t>1403/12/21</t>
  </si>
  <si>
    <t>1403/12/22</t>
  </si>
  <si>
    <t>آموزگار</t>
  </si>
  <si>
    <t>1403/12/23</t>
  </si>
  <si>
    <t>1403/12/24</t>
  </si>
  <si>
    <t>1403/12/25</t>
  </si>
  <si>
    <t>پرکندآباد 2</t>
  </si>
  <si>
    <t>امام رضا 7</t>
  </si>
  <si>
    <t>صیدآباد</t>
  </si>
  <si>
    <t>فاقد دبی سنجی</t>
  </si>
  <si>
    <t>در هنگام نصب الکترو موتور به بدنه جدار کشیده شده و موجب اهم دار شدن کابل شده است که پس از کشیدن چاه در کارگاه رفع ایراد انجام گردید</t>
  </si>
  <si>
    <t>یارش</t>
  </si>
  <si>
    <t>موتور برگشتی و فاقد مشکل فنی بود</t>
  </si>
  <si>
    <t>الکتروموتور نو پمپیران بوده که یک فاز اتصال کوتاه و یک فاز مقدار کمی اهم دارد . در بوش های لاستیکی پمپ برگشتی خوردگی بیش از حد و اثرات شولات مشاهده گردید</t>
  </si>
  <si>
    <t>1403/12/06</t>
  </si>
  <si>
    <t>1403/12/13</t>
  </si>
  <si>
    <t>1403/12/12</t>
  </si>
  <si>
    <t>6a</t>
  </si>
  <si>
    <t>3780</t>
  </si>
  <si>
    <t>159378</t>
  </si>
  <si>
    <t>3781</t>
  </si>
  <si>
    <t>3782</t>
  </si>
  <si>
    <t>159379</t>
  </si>
  <si>
    <t>159380</t>
  </si>
  <si>
    <t>3783</t>
  </si>
  <si>
    <t>159381</t>
  </si>
  <si>
    <t>3784</t>
  </si>
  <si>
    <t>159382</t>
  </si>
  <si>
    <t>3785</t>
  </si>
  <si>
    <t>159383</t>
  </si>
  <si>
    <t>159387</t>
  </si>
  <si>
    <t>نداشتن دبی سنجی</t>
  </si>
  <si>
    <t>1403/01/01</t>
  </si>
  <si>
    <t>1403/12/29</t>
  </si>
  <si>
    <t>ستاره</t>
  </si>
  <si>
    <t>1403/12/30</t>
  </si>
  <si>
    <t>1404</t>
  </si>
  <si>
    <t>6608/17</t>
  </si>
  <si>
    <t>1404/01/07</t>
  </si>
  <si>
    <t>خاتم</t>
  </si>
  <si>
    <t>1404/01/05</t>
  </si>
  <si>
    <t>3111</t>
  </si>
  <si>
    <t>5024</t>
  </si>
  <si>
    <t>1401/09/22</t>
  </si>
  <si>
    <t>1404/01/01</t>
  </si>
  <si>
    <t>159390</t>
  </si>
  <si>
    <t>الکتروموتور برگشتی یک فاز با بدنه اهم داشت و مشکل خاص دیگری مشاهده نگردید</t>
  </si>
  <si>
    <t>داخل الکتروموتور پر از گل و لای بود ، لاستیک ته موتور پاره شده و کف گرد و بالشتک ها براثر شولات تخریب شده است</t>
  </si>
  <si>
    <t>الکتروموتور برگشتی سالم بود و به علت ورود شولات به داخل الکتروموتور خوردگی در کف گرد و بالشتک ها مشهود و پمپ پس از دمونتاژ مشخص گردید شولات موجب خوردگی در بوش های استیل و لب پره و همچنین تخریب پروانه و طبقات شده است</t>
  </si>
  <si>
    <t xml:space="preserve">الکتروموتور و پمپ برگشتی سالم بود و کابل برگشتی در فاصله 5 متری الکتروموتور زخمی شده بود که رفع ایراد گردید </t>
  </si>
  <si>
    <t>1404/01/13</t>
  </si>
  <si>
    <t>الکترو موتور سالم بود ولی نعلبکی پمپ بعلت داشتن سوسه از همان قسمت دچار شکستگی شده و موجب اضافه آمپر و عدم آبدهی شده بود و داخل کارگاه با تعویض نعلبکی پمپ مجدد تست و نصب گردید</t>
  </si>
  <si>
    <t>1404/01/06</t>
  </si>
  <si>
    <t>1401/04/08</t>
  </si>
  <si>
    <t>روستایی گراب</t>
  </si>
  <si>
    <t>میراٍ ث 1</t>
  </si>
  <si>
    <t>روز</t>
  </si>
  <si>
    <t xml:space="preserve">اتصال در کابل رابط  ( بین تابلو و چاه ) ، الکترو موتور سالم می باشد </t>
  </si>
  <si>
    <t>3794</t>
  </si>
  <si>
    <t>2020</t>
  </si>
  <si>
    <t>15364</t>
  </si>
  <si>
    <t>159392</t>
  </si>
  <si>
    <t>1400/02/21</t>
  </si>
  <si>
    <t>1404/01/16</t>
  </si>
  <si>
    <t>1404/01/17</t>
  </si>
  <si>
    <t>تعویض لوله آبده</t>
  </si>
  <si>
    <t>سپاد 3 ( قدیم )</t>
  </si>
  <si>
    <t>روستای خین عرب</t>
  </si>
  <si>
    <t>1401/03/02</t>
  </si>
  <si>
    <t>1404/01/20</t>
  </si>
  <si>
    <t>3795</t>
  </si>
  <si>
    <t>15415</t>
  </si>
  <si>
    <t>1404/01/15</t>
  </si>
  <si>
    <t>1703</t>
  </si>
  <si>
    <t>159394</t>
  </si>
  <si>
    <t>راه انداز چاه ستاره مثلث بوده و با توجه به تغییر تیپ چاه با هماهنگی مهندس خراشادی و راستگو به سافت تغییر کرده است</t>
  </si>
  <si>
    <t>5786</t>
  </si>
  <si>
    <t>159395</t>
  </si>
  <si>
    <t>1404/01/03</t>
  </si>
  <si>
    <t>1404/01/24</t>
  </si>
  <si>
    <t>1404/01/21</t>
  </si>
  <si>
    <t xml:space="preserve">مشاهده گراویه و گرفتگی پروانه های پمپ ( مکش پمپ کاملا گرفته بود ) </t>
  </si>
  <si>
    <t>پمپ برگشتی بطور کلی تخریب و اسقاط گردید (دبی سنجی بهمن ماه 402 - 8 لیتر و ابتدای 403 به علت شولات با تنظیم شیر 7 لیتر بر ثانیه ، سپس به علت خرابی شیر آلات بعد از 8 ماه 3 لیتر بر ثانیه  و هوادهی  )</t>
  </si>
  <si>
    <t>باهنر1</t>
  </si>
  <si>
    <t>روستای دهشک</t>
  </si>
  <si>
    <t>1401/01/23</t>
  </si>
  <si>
    <t>1400/11/11</t>
  </si>
  <si>
    <t>3394</t>
  </si>
  <si>
    <t>1401/07/02</t>
  </si>
  <si>
    <t>1931</t>
  </si>
  <si>
    <t>6350</t>
  </si>
  <si>
    <t>1396/09/08</t>
  </si>
  <si>
    <t>1841</t>
  </si>
  <si>
    <t>6654</t>
  </si>
  <si>
    <t>1396/02/18</t>
  </si>
  <si>
    <t>ناملوم</t>
  </si>
  <si>
    <t>6532</t>
  </si>
  <si>
    <t>1397/05/25</t>
  </si>
  <si>
    <t>/</t>
  </si>
  <si>
    <t>1591</t>
  </si>
  <si>
    <t>1396/12/27</t>
  </si>
  <si>
    <t>1403/04/10</t>
  </si>
  <si>
    <t>1401/02/18</t>
  </si>
  <si>
    <t>2019</t>
  </si>
  <si>
    <t>15355</t>
  </si>
  <si>
    <t>1400/11/24</t>
  </si>
  <si>
    <t>1663</t>
  </si>
  <si>
    <t>6198</t>
  </si>
  <si>
    <t>1396/06/17</t>
  </si>
  <si>
    <t>1393/07/24</t>
  </si>
  <si>
    <t>1896</t>
  </si>
  <si>
    <t>6345</t>
  </si>
  <si>
    <t>1396/08/25</t>
  </si>
  <si>
    <t>3097</t>
  </si>
  <si>
    <t>6346</t>
  </si>
  <si>
    <t>1398/12/24</t>
  </si>
  <si>
    <t>2032</t>
  </si>
  <si>
    <t>5392</t>
  </si>
  <si>
    <t>1400/09/28</t>
  </si>
  <si>
    <t>3121</t>
  </si>
  <si>
    <t>15662</t>
  </si>
  <si>
    <t>1399/06/24</t>
  </si>
  <si>
    <t>159091</t>
  </si>
  <si>
    <t>1401/11/29</t>
  </si>
  <si>
    <t>کارکاه مکانیک</t>
  </si>
  <si>
    <t>1401/08/10</t>
  </si>
  <si>
    <t>1887</t>
  </si>
  <si>
    <t>15420</t>
  </si>
  <si>
    <t>1398/07/24</t>
  </si>
  <si>
    <t>3594</t>
  </si>
  <si>
    <t>159202</t>
  </si>
  <si>
    <t>1401/06/30</t>
  </si>
  <si>
    <t>1672</t>
  </si>
  <si>
    <t>6310</t>
  </si>
  <si>
    <t>1404/01/23</t>
  </si>
  <si>
    <t>159047</t>
  </si>
  <si>
    <t>1401/01/10</t>
  </si>
  <si>
    <t>1404/01/25</t>
  </si>
  <si>
    <t>اطلاعات ندارد</t>
  </si>
  <si>
    <t>الکتروپمپ به علت بارش شدید باران تست نشده است و توسط منطقه 5 تحویل کارگاه گردید و پس از کوپل و مفصل نصب گردید</t>
  </si>
  <si>
    <t>1404/01/27</t>
  </si>
  <si>
    <t>دارد</t>
  </si>
  <si>
    <t xml:space="preserve">به دلیل پر شدن چاه تا بالاتر از سطح استاتیک (  تا ارتفاع 169 متر) </t>
  </si>
  <si>
    <t>کاهش آبدهی</t>
  </si>
  <si>
    <t>بریدن شافت</t>
  </si>
  <si>
    <t>گیر وپاژ</t>
  </si>
  <si>
    <t>159009</t>
  </si>
  <si>
    <t>3797</t>
  </si>
  <si>
    <t>3205</t>
  </si>
  <si>
    <t>15775</t>
  </si>
  <si>
    <t>1404/01/28</t>
  </si>
  <si>
    <t>الکتروپمپ برگشتی پس از ورود به کارگاه مورد بررسی قرار گرفت که نشانه هایی از گیر کردن به جدار چاه مشاهده گردید که پس از گیر کرده توری پمپ به جدار باعث قطع شدن کابل شده است که در این مورد با مهندس هروی صحبت شده است . در ضمن کابل های برگشتی از چاه دارای زدگی بود.</t>
  </si>
  <si>
    <t>ساقت</t>
  </si>
  <si>
    <t>قاسم آ؛باد 28</t>
  </si>
  <si>
    <t>159396</t>
  </si>
  <si>
    <t>مجد</t>
  </si>
  <si>
    <t>1474</t>
  </si>
  <si>
    <t>5724</t>
  </si>
  <si>
    <t>1394/10/11</t>
  </si>
  <si>
    <t>کلاهدوز 1 ( بلوار کلاهدوز )</t>
  </si>
  <si>
    <t>3089</t>
  </si>
  <si>
    <t>15424</t>
  </si>
  <si>
    <t>1398/11/16</t>
  </si>
  <si>
    <t>الکتروموتور دمونتاژ گردید و فاقد ایرادات خاصی مثل شولات و ... بود سیم پیچ از وسط استاتور آرگ زده است که احتمال شوک برقی می باشد</t>
  </si>
  <si>
    <t>تابلو راه انداز توسط کارگاه برق و با هماهنگی مهندس خراشادی و راستگو از ستاره به سافت تغییر کرده است لذا یک حلقه کابل قبلا برای یک چاه دیگر استفاده شده و حلقه دیگر برای خود چاه استفاده گردید.</t>
  </si>
  <si>
    <t>15858</t>
  </si>
  <si>
    <t>امام هادی 2</t>
  </si>
  <si>
    <t>1404/02/06</t>
  </si>
  <si>
    <t>1404/02/07</t>
  </si>
  <si>
    <t>1901</t>
  </si>
  <si>
    <t>159398</t>
  </si>
  <si>
    <t>شاهد 2(قدیم)</t>
  </si>
  <si>
    <t>روستای جغنه</t>
  </si>
  <si>
    <t>1404/02/12</t>
  </si>
  <si>
    <t>3*25-3*50</t>
  </si>
  <si>
    <t>1404/02/10</t>
  </si>
  <si>
    <t>1400/11/28</t>
  </si>
  <si>
    <t>1398/12/28</t>
  </si>
  <si>
    <t>لشگر77</t>
  </si>
  <si>
    <t>1404/02/14</t>
  </si>
  <si>
    <t>کابل چاه امام رضا 54 برای این چاه مفصل خورده است</t>
  </si>
  <si>
    <t>نظر کارگاه مکانیک</t>
  </si>
  <si>
    <t>نشستن به کف چاه</t>
  </si>
  <si>
    <t>مشکل تابلو</t>
  </si>
  <si>
    <t>شولات- سالم</t>
  </si>
  <si>
    <t>مشکل در نصب</t>
  </si>
  <si>
    <t>ایراد در قطغه پمپ</t>
  </si>
  <si>
    <t>شولات-سوخته</t>
  </si>
  <si>
    <t>رستمی 12</t>
  </si>
  <si>
    <t>1404/02/13</t>
  </si>
  <si>
    <t>3*50-3*35</t>
  </si>
  <si>
    <t>1404/02/15</t>
  </si>
  <si>
    <t>1404/02/16</t>
  </si>
  <si>
    <t>تغییر تیپ کابل</t>
  </si>
  <si>
    <t xml:space="preserve">نام چاه استفاذه شده </t>
  </si>
  <si>
    <t>شکستن پمپ بعلت ورود جسم خارجی</t>
  </si>
  <si>
    <t>کابل الکتروموتور دچار سوختگی و زدگی دارد که دو فاز بطور کامل قطع شده است سیم پیچ سوخته ، پمپ از طبقه هشتم دچار شکستگی شده است که بعلت ورود جسم خارجی رخ داده است.</t>
  </si>
  <si>
    <t>چلمه سنگ</t>
  </si>
  <si>
    <t>جدید</t>
  </si>
  <si>
    <t>1404/02/18</t>
  </si>
  <si>
    <t>1404/02/17</t>
  </si>
  <si>
    <t>مهندسی مجدد</t>
  </si>
  <si>
    <t>بازمرگان</t>
  </si>
  <si>
    <t>امام رضا 46</t>
  </si>
  <si>
    <t>بهسازی شده</t>
  </si>
  <si>
    <t>1404/02/19</t>
  </si>
  <si>
    <t>3144</t>
  </si>
  <si>
    <t>15693</t>
  </si>
  <si>
    <t>3042</t>
  </si>
  <si>
    <t>15379</t>
  </si>
  <si>
    <t>1398/03/05</t>
  </si>
  <si>
    <t>یک فاز الکتروموتور با بدنه اهم داشت. پس از دمونتاژ الکتروموتور داخل موتور شولاتی مانند گل حفاری بود که از قسمت کاسه نمد وارد شده است . پروانه های پمپ بعلت طول عمر بالا درچار خوردگی در قسمت نافه ها شده بود و پره های رانش کمی نازک شده است . اثرات سندبلاست در پروانه ها مقدار کمی مشاهده شده است.</t>
  </si>
  <si>
    <t>الکتروموتور اهم گیری و سوخته بو پس از دمونتاژ از قسمت سربندی آرک شدید موجب سوختن الکتروموتور گردیده است</t>
  </si>
  <si>
    <t xml:space="preserve">پس از دمونتاژ الکترو موتور و پمپ وجود لجن در داخل الکترو موتور و پمپ کاملا مشهود بود ( پرشدگی چاه باعث ورود لجن به داخل الکترو موتور شده و در مرحله اول لاستیگ دیافراگم پاره شده و پس از آن لجن به داخل الکترو موتور نفوذ  و باعث تخریب کامل و سوختن الکترو موتور شده است </t>
  </si>
  <si>
    <t>ناظریه 9 ( قدیم )</t>
  </si>
  <si>
    <t>امام رضا 14 ( قدیم )</t>
  </si>
  <si>
    <t>تحویل برق شد</t>
  </si>
  <si>
    <t>تغییر سایز کابل</t>
  </si>
  <si>
    <t>1404/02/21</t>
  </si>
  <si>
    <t>روستای خوش هوا</t>
  </si>
  <si>
    <t>امام رضا 13 ( قدیم )</t>
  </si>
  <si>
    <t>سید جلال 1 ( قدیم )</t>
  </si>
  <si>
    <t>1401/08/08</t>
  </si>
  <si>
    <t>امام رضا 13 (جدید)</t>
  </si>
  <si>
    <t>1401/08/28</t>
  </si>
  <si>
    <t>1401/11/19</t>
  </si>
  <si>
    <t>1404/02/24</t>
  </si>
  <si>
    <t>1404/02/25</t>
  </si>
  <si>
    <t>دستی</t>
  </si>
  <si>
    <t>1398/01/28</t>
  </si>
  <si>
    <t>الکتروموتور و پمپ برگشتی از چاه سالم و فاقد ایراد بود.  شولات روی بدنه پمپ و موتور و داخل سرلوله مشهود بود. انتخاب اشتباه پمپ و  برداشت زیاد از چاه موجب شولاتی شدن چاه گردیده است.</t>
  </si>
  <si>
    <t>امام هادی 1</t>
  </si>
  <si>
    <t>1404/02/28</t>
  </si>
  <si>
    <t>6609/19</t>
  </si>
  <si>
    <t>1404/02/29</t>
  </si>
  <si>
    <t>1404/03/01</t>
  </si>
  <si>
    <t>1404/03/02</t>
  </si>
  <si>
    <t>1398/08/12</t>
  </si>
  <si>
    <t>بازشیخ 2</t>
  </si>
  <si>
    <t>سوران 1</t>
  </si>
  <si>
    <t>سیدی 6</t>
  </si>
  <si>
    <t>1404/03/09</t>
  </si>
  <si>
    <t>التیمور6</t>
  </si>
  <si>
    <t>3*25+3*35</t>
  </si>
  <si>
    <t>1404/03/04</t>
  </si>
  <si>
    <t>1404/03/05</t>
  </si>
  <si>
    <t xml:space="preserve">کاهش دبی ( هوادهی ) با آقایان دادرس و سبزه مقدم مذاکره شد </t>
  </si>
  <si>
    <t xml:space="preserve">سال </t>
  </si>
  <si>
    <t xml:space="preserve">نصب </t>
  </si>
  <si>
    <t>مجری</t>
  </si>
  <si>
    <t xml:space="preserve">امانی </t>
  </si>
  <si>
    <t>پیمانی</t>
  </si>
  <si>
    <t>6522</t>
  </si>
  <si>
    <t>6710</t>
  </si>
  <si>
    <t>3737</t>
  </si>
  <si>
    <t>میراب</t>
  </si>
  <si>
    <t>152/11</t>
  </si>
  <si>
    <t>6412</t>
  </si>
  <si>
    <t>42</t>
  </si>
  <si>
    <t>مجتمع پهلوانی3</t>
  </si>
  <si>
    <t>177</t>
  </si>
  <si>
    <t>1404/03/11</t>
  </si>
  <si>
    <t>اسلام آباد10</t>
  </si>
  <si>
    <t>3*70+3*50</t>
  </si>
  <si>
    <t>روستای انداد درنگ آباد</t>
  </si>
  <si>
    <t>سالم</t>
  </si>
  <si>
    <t>الکترو موتور و پمپ برگشتی مورد تست قرار گرفت که سالم فاقد هرگونه ایرادی بود و به گفته مرکز سوران علت کشیدن افت سطح استاتیک را بیان کردند.</t>
  </si>
  <si>
    <t>پرکند آباد2 جدید</t>
  </si>
  <si>
    <t>1404/03/22</t>
  </si>
  <si>
    <t>بوستان فروغی</t>
  </si>
  <si>
    <t>برک</t>
  </si>
  <si>
    <t>درابد 1</t>
  </si>
  <si>
    <t>پیوه زن</t>
  </si>
  <si>
    <t>1400/01/10</t>
  </si>
  <si>
    <t>امرغان توس قدیم</t>
  </si>
  <si>
    <t>اندیشه 19</t>
  </si>
  <si>
    <t>1404/03/29</t>
  </si>
  <si>
    <t>خدمات 1 قدیم</t>
  </si>
  <si>
    <t>1404/03/31</t>
  </si>
  <si>
    <t>خدمات 1 جدبد</t>
  </si>
  <si>
    <t>1396/05/21</t>
  </si>
  <si>
    <t>1640</t>
  </si>
  <si>
    <t>10018</t>
  </si>
  <si>
    <t>1397/12/14</t>
  </si>
  <si>
    <t>1603</t>
  </si>
  <si>
    <t>6319</t>
  </si>
  <si>
    <t>1396/04/21</t>
  </si>
  <si>
    <t>159401</t>
  </si>
  <si>
    <t>1404/04/09</t>
  </si>
  <si>
    <t>159400</t>
  </si>
  <si>
    <t>توس 3</t>
  </si>
  <si>
    <t>pm ندارد</t>
  </si>
  <si>
    <t>1404/04/10</t>
  </si>
  <si>
    <t>159402</t>
  </si>
  <si>
    <t>3801</t>
  </si>
  <si>
    <t>6010</t>
  </si>
  <si>
    <t>3802</t>
  </si>
  <si>
    <t>1404/04/12</t>
  </si>
  <si>
    <t>الکتروپمپ برگشتی خود چاه نصب شده است</t>
  </si>
  <si>
    <t>3803</t>
  </si>
  <si>
    <t>159403</t>
  </si>
  <si>
    <t>293/18</t>
  </si>
  <si>
    <t>الکتروپمپ از طرف منطقه 5 تامین و به سر چاه منتقل شده است</t>
  </si>
  <si>
    <t>الکتروپمپ برگشتی تحویلکارگاه نشده است</t>
  </si>
  <si>
    <t>10044</t>
  </si>
  <si>
    <t>فخرآباد</t>
  </si>
  <si>
    <t>صدر6</t>
  </si>
  <si>
    <t>1404/04/17</t>
  </si>
  <si>
    <t>159404</t>
  </si>
  <si>
    <t>1404/04/18</t>
  </si>
  <si>
    <t>3804</t>
  </si>
  <si>
    <t>6611/15</t>
  </si>
  <si>
    <t>159405</t>
  </si>
  <si>
    <t>1400/08/09</t>
  </si>
  <si>
    <t>159229</t>
  </si>
  <si>
    <t>2*5</t>
  </si>
  <si>
    <t>3402</t>
  </si>
  <si>
    <t>1401/07/03</t>
  </si>
  <si>
    <t>3301</t>
  </si>
  <si>
    <t>6608.12</t>
  </si>
  <si>
    <t>159406</t>
  </si>
  <si>
    <t>نو بمبیران</t>
  </si>
  <si>
    <t>83</t>
  </si>
  <si>
    <t>123</t>
  </si>
  <si>
    <t>1404.0422</t>
  </si>
  <si>
    <t>شکستن طبقه</t>
  </si>
  <si>
    <t xml:space="preserve">وجود گراویه داخل طبقات پمپ </t>
  </si>
  <si>
    <t>1404/04/24</t>
  </si>
  <si>
    <t>3807</t>
  </si>
  <si>
    <t>159408</t>
  </si>
  <si>
    <t>159409</t>
  </si>
  <si>
    <t>3808</t>
  </si>
  <si>
    <t>3153</t>
  </si>
  <si>
    <t>6610</t>
  </si>
  <si>
    <t>پمپ از طبثه 4 و 5 شکسته</t>
  </si>
  <si>
    <t>1404/04/30</t>
  </si>
  <si>
    <t>3809</t>
  </si>
  <si>
    <t>15707</t>
  </si>
  <si>
    <t>1404/03/28</t>
  </si>
  <si>
    <t>حجت4</t>
  </si>
  <si>
    <t>پردیس رآهن</t>
  </si>
  <si>
    <t>ساغروان</t>
  </si>
  <si>
    <t>مشاهده گراویه در داخل پمپ که بین پروانه و ریگ سایشی گیر کرده بود ام الکتروموتور سالم بود و پس از رفع گیر در کارگاه و آزمایش مجدد هیچ ایراد مکانیکی و برقی نداشت</t>
  </si>
  <si>
    <t>1487</t>
  </si>
  <si>
    <t>1402/16/08</t>
  </si>
  <si>
    <t>11*15</t>
  </si>
  <si>
    <t xml:space="preserve">  </t>
  </si>
  <si>
    <t>1404/05/01</t>
  </si>
  <si>
    <t>1404/03/21</t>
  </si>
  <si>
    <t>159410</t>
  </si>
  <si>
    <t>گجوان</t>
  </si>
  <si>
    <t>گوارشک ( جدید )</t>
  </si>
  <si>
    <t>1622</t>
  </si>
  <si>
    <t>*</t>
  </si>
  <si>
    <t>3810</t>
  </si>
  <si>
    <t>159412</t>
  </si>
  <si>
    <t xml:space="preserve">تخریب کفگرد و لقمه ها به علت هوادهی و یا شیر بسته </t>
  </si>
  <si>
    <t>درابد 2</t>
  </si>
  <si>
    <t>امام رضا 56</t>
  </si>
  <si>
    <t>کشف 5</t>
  </si>
  <si>
    <t>اندیشه 1</t>
  </si>
  <si>
    <t>دیزباد سفلی</t>
  </si>
  <si>
    <t>روستای گیامی</t>
  </si>
  <si>
    <t xml:space="preserve">امامیه </t>
  </si>
  <si>
    <t>زاک 8</t>
  </si>
  <si>
    <t>1404/05/03</t>
  </si>
  <si>
    <t>اماده سازی2</t>
  </si>
  <si>
    <t>صدف1</t>
  </si>
  <si>
    <t>1404/04/05</t>
  </si>
  <si>
    <t>1404/05/06</t>
  </si>
  <si>
    <t>1404/05/07</t>
  </si>
  <si>
    <t>1404/05/09</t>
  </si>
  <si>
    <t>1404/05/10</t>
  </si>
  <si>
    <t>1404/05/11</t>
  </si>
  <si>
    <t>1398/12/12</t>
  </si>
  <si>
    <t xml:space="preserve">بدون تست بعلت دبی کم </t>
  </si>
  <si>
    <t>9.2</t>
  </si>
  <si>
    <t>1401/06/08</t>
  </si>
  <si>
    <t>1394/11/25</t>
  </si>
  <si>
    <t>1399/11/27</t>
  </si>
  <si>
    <t>1397/10/19</t>
  </si>
  <si>
    <t>اکبری منطقه 5</t>
  </si>
  <si>
    <t>1404/05/13</t>
  </si>
  <si>
    <t>1404/05/14</t>
  </si>
  <si>
    <t>1404/05/15</t>
  </si>
  <si>
    <t>1.1</t>
  </si>
  <si>
    <t xml:space="preserve">تست ازمایش نداشت </t>
  </si>
  <si>
    <t>تک فاز</t>
  </si>
  <si>
    <t>1404/05/19</t>
  </si>
  <si>
    <t>1404/05/21</t>
  </si>
  <si>
    <t>1404/05/20</t>
  </si>
  <si>
    <t>ملک اباد 1</t>
  </si>
  <si>
    <t>1401/10/30</t>
  </si>
  <si>
    <t>1404/5/22</t>
  </si>
  <si>
    <t>گیامی</t>
  </si>
  <si>
    <t>15kw</t>
  </si>
  <si>
    <t>کفکش</t>
  </si>
  <si>
    <t>فاقد تست</t>
  </si>
  <si>
    <t>عبدل آباد</t>
  </si>
  <si>
    <t>1394/11/13</t>
  </si>
  <si>
    <t>1404/05/23</t>
  </si>
  <si>
    <t>1404/05/24</t>
  </si>
  <si>
    <t>9/2</t>
  </si>
  <si>
    <t>فاقدتست</t>
  </si>
  <si>
    <t>102urd</t>
  </si>
  <si>
    <t>1404/05/17</t>
  </si>
  <si>
    <t>102/20</t>
  </si>
  <si>
    <t>کشاورز 5</t>
  </si>
  <si>
    <t>152/24</t>
  </si>
  <si>
    <t>کابل خودش در محل چاه مفصل زده شد</t>
  </si>
  <si>
    <t>برگه انتخاب پمپ نداشت</t>
  </si>
  <si>
    <t>1404/05/27</t>
  </si>
  <si>
    <t xml:space="preserve">صدف 1 قدیم </t>
  </si>
  <si>
    <t>اسرار</t>
  </si>
  <si>
    <t>102/20urd</t>
  </si>
  <si>
    <t xml:space="preserve"> کفکش </t>
  </si>
  <si>
    <t>15کفکش</t>
  </si>
  <si>
    <t>فاقد تست آزمایش (بعلت نبودن خازن راه انداز در کارگاه تست خالی بار توسط پیمانکار در محل چاه انجام شده)</t>
  </si>
  <si>
    <t>1404/05/29</t>
  </si>
  <si>
    <t>3*25*35</t>
  </si>
  <si>
    <t>کفکش سالم</t>
  </si>
  <si>
    <t>در کارگاه خالی بارتست گردید که در حین تست صدای زیادی ایجاد میکرد که طبق دستور مهندی زمانیان قسمت پمپ موتور و توری باز شد که زه پروانه 1.5 میل گشاد شده بود که جهت تعمیر به منطقه 5 برگشت خورد</t>
  </si>
  <si>
    <t>مجدد درتاریخ 1404/05/28 نصب گردید</t>
  </si>
  <si>
    <t>1404/01/26</t>
  </si>
  <si>
    <t>فاقد انتخاب پمپ توسط جوادی نصب گردید</t>
  </si>
  <si>
    <t>1401/12/07</t>
  </si>
  <si>
    <t>1404/0605</t>
  </si>
  <si>
    <t>1400/12/24</t>
  </si>
  <si>
    <t>1404/06/05</t>
  </si>
  <si>
    <t>1404/06/06</t>
  </si>
  <si>
    <t>شهرک راه آهن</t>
  </si>
  <si>
    <t>1401/01/26</t>
  </si>
  <si>
    <t>1404/06/07</t>
  </si>
  <si>
    <t>ok</t>
  </si>
  <si>
    <t>159426</t>
  </si>
  <si>
    <t>جهت پلاک شیفت رفیع نژاد</t>
  </si>
  <si>
    <t>3819</t>
  </si>
  <si>
    <t>159424</t>
  </si>
  <si>
    <t>112</t>
  </si>
  <si>
    <t>10014</t>
  </si>
  <si>
    <t>15354</t>
  </si>
  <si>
    <t>3817</t>
  </si>
  <si>
    <t>159421</t>
  </si>
  <si>
    <t>159423</t>
  </si>
  <si>
    <t>3816</t>
  </si>
  <si>
    <t>3816-45</t>
  </si>
  <si>
    <t>159418</t>
  </si>
  <si>
    <t>15706</t>
  </si>
  <si>
    <t>159422</t>
  </si>
  <si>
    <t>1586</t>
  </si>
  <si>
    <t>6543</t>
  </si>
  <si>
    <t>159216</t>
  </si>
  <si>
    <t>14041</t>
  </si>
  <si>
    <t>3152</t>
  </si>
  <si>
    <t>159419</t>
  </si>
  <si>
    <t>2009</t>
  </si>
  <si>
    <t>1503</t>
  </si>
  <si>
    <t>3816-EM</t>
  </si>
  <si>
    <t>MP-159422</t>
  </si>
  <si>
    <t>پنجتن 55</t>
  </si>
  <si>
    <t>زرکش 3</t>
  </si>
  <si>
    <t>التیمور2</t>
  </si>
  <si>
    <t>1954/1</t>
  </si>
  <si>
    <t>3826</t>
  </si>
  <si>
    <t>سالارآباد</t>
  </si>
  <si>
    <t>تست نداشت</t>
  </si>
  <si>
    <t xml:space="preserve">حجاب 5 </t>
  </si>
  <si>
    <t>1404/06/13</t>
  </si>
  <si>
    <t>3774</t>
  </si>
  <si>
    <t>6025</t>
  </si>
  <si>
    <t>در لیست چاه تجهیزات و پلاک ندارد</t>
  </si>
  <si>
    <t>3275</t>
  </si>
  <si>
    <t>3827</t>
  </si>
  <si>
    <t>15835</t>
  </si>
  <si>
    <t>159434</t>
  </si>
  <si>
    <t>در لیست چاه فاقد تجهیزات و پلاک بود</t>
  </si>
  <si>
    <t>!</t>
  </si>
  <si>
    <t>159420</t>
  </si>
  <si>
    <t xml:space="preserve">مجتمع امیریان </t>
  </si>
  <si>
    <t xml:space="preserve">اطلاعاتی از موتور و پمپ نمیباشد بدلیل اینکه از منطقه 5 اقدام به آوردن به محل چاه مجتمع امیریان وبردن پمپ برگشتی از محل چاه به منطقه 5 </t>
  </si>
  <si>
    <t>اماده سازی4</t>
  </si>
  <si>
    <t>مشخص نیست</t>
  </si>
  <si>
    <t>3828</t>
  </si>
  <si>
    <t>159435</t>
  </si>
  <si>
    <t>1404/06/15</t>
  </si>
  <si>
    <t>1430/12/11</t>
  </si>
  <si>
    <t>درلیست چاه پلاک نداشت</t>
  </si>
  <si>
    <t>3829</t>
  </si>
  <si>
    <t>159436</t>
  </si>
  <si>
    <t>1404/6/16</t>
  </si>
  <si>
    <t>مطهری 2</t>
  </si>
  <si>
    <t>بوستان نوده</t>
  </si>
  <si>
    <t>کاهش دبی صداولرزش</t>
  </si>
  <si>
    <t>سعد ابادی</t>
  </si>
  <si>
    <t>نو پمپیران</t>
  </si>
  <si>
    <t>1404/5/24</t>
  </si>
  <si>
    <t>در بررسی کارگاه مکانیک مشخص شد گراویه کشیده وپی ام تجهیزات چاه وجود نداشت</t>
  </si>
  <si>
    <t>1404/04/15</t>
  </si>
  <si>
    <t>3831</t>
  </si>
  <si>
    <t>159438</t>
  </si>
  <si>
    <t>1404/06/17</t>
  </si>
  <si>
    <t>3830</t>
  </si>
  <si>
    <t>159437</t>
  </si>
  <si>
    <t>1404/06/11</t>
  </si>
  <si>
    <t>اسلام اباد 16</t>
  </si>
  <si>
    <t>3832</t>
  </si>
  <si>
    <t>159439</t>
  </si>
  <si>
    <t>1404/06/20</t>
  </si>
  <si>
    <t>درآبد6</t>
  </si>
  <si>
    <t>درآبد2</t>
  </si>
  <si>
    <t>1395/05/13</t>
  </si>
  <si>
    <t>اسماعیل آباد (منزل اباد)</t>
  </si>
  <si>
    <t>منزل اباد 30</t>
  </si>
  <si>
    <t>1400/08/19</t>
  </si>
  <si>
    <t>کاهش دبی + شولاتی</t>
  </si>
  <si>
    <t>1399/05/07</t>
  </si>
  <si>
    <t>امام رضا 2</t>
  </si>
  <si>
    <t>گلشهر3</t>
  </si>
  <si>
    <t>3834</t>
  </si>
  <si>
    <t>1404/06/22</t>
  </si>
  <si>
    <t>1695</t>
  </si>
  <si>
    <t>5795</t>
  </si>
  <si>
    <t>6724</t>
  </si>
  <si>
    <t>3341</t>
  </si>
  <si>
    <t>15408</t>
  </si>
  <si>
    <t>1656</t>
  </si>
  <si>
    <t>5777</t>
  </si>
  <si>
    <t>3108</t>
  </si>
  <si>
    <t>15646</t>
  </si>
  <si>
    <t>159441</t>
  </si>
  <si>
    <t>پرکند 3</t>
  </si>
  <si>
    <t>سعدابادی</t>
  </si>
  <si>
    <t>3837</t>
  </si>
  <si>
    <t>159442</t>
  </si>
  <si>
    <t>1404/6/27</t>
  </si>
  <si>
    <t>3105</t>
  </si>
  <si>
    <t>15642</t>
  </si>
  <si>
    <t>3833</t>
  </si>
  <si>
    <t>159440</t>
  </si>
  <si>
    <t>3838</t>
  </si>
  <si>
    <t>159443</t>
  </si>
  <si>
    <t>1404/06/26</t>
  </si>
  <si>
    <t>3048</t>
  </si>
  <si>
    <t>15385</t>
  </si>
  <si>
    <t>1404/6/28</t>
  </si>
  <si>
    <t>تجهیز حدید تقاطع مترو وجاده سیدان</t>
  </si>
  <si>
    <t>3839</t>
  </si>
  <si>
    <t>تقاطع مترو و سیدان</t>
  </si>
  <si>
    <t>3840</t>
  </si>
  <si>
    <t>159445</t>
  </si>
  <si>
    <t>1404/06/28</t>
  </si>
  <si>
    <t>35633</t>
  </si>
  <si>
    <t>159489</t>
  </si>
  <si>
    <t>1404/6/30</t>
  </si>
  <si>
    <t>بهسازی پمپاژ بدلیل شولات</t>
  </si>
  <si>
    <t>امام رضا17</t>
  </si>
  <si>
    <t>35635</t>
  </si>
  <si>
    <t>159536</t>
  </si>
  <si>
    <t>1404/07/03</t>
  </si>
  <si>
    <t>پرکندآباد 3</t>
  </si>
  <si>
    <t>35634</t>
  </si>
  <si>
    <t>159593</t>
  </si>
  <si>
    <t>سوختن الکترو موتور</t>
  </si>
  <si>
    <t>ایراد مکانیکی استانه شولات پیشنهاد اقای دهقان</t>
  </si>
  <si>
    <t>درآبد 1</t>
  </si>
  <si>
    <t>35644</t>
  </si>
  <si>
    <t>159611</t>
  </si>
  <si>
    <t>1404/12/30</t>
  </si>
  <si>
    <t>159477</t>
  </si>
  <si>
    <t>1404/07/06</t>
  </si>
  <si>
    <t>35647</t>
  </si>
  <si>
    <t>159618</t>
  </si>
  <si>
    <t>1404/12/20</t>
  </si>
  <si>
    <t>1404/7/7</t>
  </si>
  <si>
    <t>1404/1/25</t>
  </si>
  <si>
    <t>35637</t>
  </si>
  <si>
    <t>15609</t>
  </si>
  <si>
    <t>1401/01/25</t>
  </si>
  <si>
    <t>1404/07/10</t>
  </si>
  <si>
    <t>درزمان کشیدن الکترموتور گیر کرده و سقوط داشته و اطلاعاتی نمیباشد</t>
  </si>
  <si>
    <t xml:space="preserve">آزمایش بدون برگه انتخاب انجام شد </t>
  </si>
  <si>
    <t>گلبهار4</t>
  </si>
  <si>
    <t>3856</t>
  </si>
  <si>
    <t>159576</t>
  </si>
  <si>
    <t>1404/07/11</t>
  </si>
  <si>
    <t>3848</t>
  </si>
  <si>
    <t>159682</t>
  </si>
  <si>
    <t>1402/11/11</t>
  </si>
  <si>
    <t>تست ازمایش بعلت دبی کم ندارد</t>
  </si>
  <si>
    <t xml:space="preserve">الکترو پمپ برگشتی در کارگاه دمونتاژ و مورد بررسی قرار گرفت که بوش استیل ها همه خوردگی زیاد داشت و اسقاط گردید ؛ پروانه ها مقداری گشاد شده است و لبه پروانه ها نازک شده است </t>
  </si>
  <si>
    <t xml:space="preserve">طبق هماهنگی مهندس زمانیان الکترو موتور و پمپ برگشتی گوارشک و دهشک به کارگاه مکانیک  بصورت کوبل شده انتقال داده شد به شرکت پمپیران </t>
  </si>
  <si>
    <t>35687</t>
  </si>
  <si>
    <t>15944</t>
  </si>
  <si>
    <t>1401/4/5</t>
  </si>
  <si>
    <t>1404/7/14</t>
  </si>
  <si>
    <t>زاک 5</t>
  </si>
  <si>
    <t>35683</t>
  </si>
  <si>
    <t>159686</t>
  </si>
  <si>
    <t>1404/07/14</t>
  </si>
  <si>
    <t>امام رضا 39</t>
  </si>
  <si>
    <t>1404/4/30</t>
  </si>
  <si>
    <t>1404/7/16</t>
  </si>
  <si>
    <t>35710</t>
  </si>
  <si>
    <t>159497</t>
  </si>
  <si>
    <t>نو سولار</t>
  </si>
  <si>
    <t>62.5</t>
  </si>
  <si>
    <t>35711</t>
  </si>
  <si>
    <t>15552</t>
  </si>
  <si>
    <t>1402/6/9</t>
  </si>
  <si>
    <t>1404/7/17</t>
  </si>
  <si>
    <t>گلشهر10</t>
  </si>
  <si>
    <t>1400/11/30</t>
  </si>
  <si>
    <t>3311</t>
  </si>
  <si>
    <t>6048</t>
  </si>
  <si>
    <t>تجهیز چاه جدید(جابجایی)</t>
  </si>
  <si>
    <t>35714</t>
  </si>
  <si>
    <t>159515</t>
  </si>
  <si>
    <t>1404/07/20</t>
  </si>
  <si>
    <t>3855</t>
  </si>
  <si>
    <t>159519</t>
  </si>
  <si>
    <t>اسلام اباد13</t>
  </si>
  <si>
    <t xml:space="preserve">گلبهار 6 </t>
  </si>
  <si>
    <t>1402/04/9</t>
  </si>
  <si>
    <t>1404/07/21</t>
  </si>
  <si>
    <t>35716</t>
  </si>
  <si>
    <t>159689</t>
  </si>
  <si>
    <t>3777</t>
  </si>
  <si>
    <t>1404/07/23</t>
  </si>
  <si>
    <t>3853</t>
  </si>
  <si>
    <t>35636</t>
  </si>
  <si>
    <t>159690</t>
  </si>
  <si>
    <t>گلشهر7</t>
  </si>
  <si>
    <t>35686</t>
  </si>
  <si>
    <t>159449</t>
  </si>
  <si>
    <t>1404/7/24</t>
  </si>
  <si>
    <t>64</t>
  </si>
  <si>
    <t>147</t>
  </si>
  <si>
    <t>23</t>
  </si>
  <si>
    <t>22.2</t>
  </si>
  <si>
    <t>مجتمع پردیس</t>
  </si>
  <si>
    <t>3673/1</t>
  </si>
  <si>
    <t>159265/1</t>
  </si>
  <si>
    <t>35712</t>
  </si>
  <si>
    <t>35719</t>
  </si>
  <si>
    <t>159537</t>
  </si>
  <si>
    <t>159691</t>
  </si>
  <si>
    <t>159610</t>
  </si>
  <si>
    <t>1404/07/25</t>
  </si>
  <si>
    <t xml:space="preserve">الکترو پمپ برگشتی در کارگاه دمونتاژ و مورد بررسی قرار گرفت که مقداری بوش سر روترو خوردگی داشت لقمه های کف گرد خوردگی داشت ؛ سر و ته موتور بوش یاتاقان ها خراب و اسقاط گردید </t>
  </si>
  <si>
    <t>بهار</t>
  </si>
  <si>
    <t>35638</t>
  </si>
  <si>
    <t>کارگاه مکانیبک</t>
  </si>
  <si>
    <t>159693</t>
  </si>
  <si>
    <t>1404/7/26</t>
  </si>
  <si>
    <t>35685</t>
  </si>
  <si>
    <t>اهم دار و عدم آبدهی</t>
  </si>
  <si>
    <t>1395/03/15</t>
  </si>
  <si>
    <t>گلبهارجنگل</t>
  </si>
  <si>
    <t>نیروی انتظامی</t>
  </si>
  <si>
    <t>1404/7/27</t>
  </si>
  <si>
    <t>35706</t>
  </si>
  <si>
    <t>159510</t>
  </si>
  <si>
    <t>159500</t>
  </si>
  <si>
    <t>نو+O321</t>
  </si>
  <si>
    <t xml:space="preserve">الکترو موتور برگشتی در کارگاه دمونتاژ و مورد بررسی قرار گرفت که مقداری بوش سر روترو خوردگی داشت لقمه های کف گرد خوردگی داشت ؛ سر و ته موتور بوش یاتاقان ها خراب و اسقاط گردید .                                                                                                                                                                            پمپ برگشتی در کارگاه دمونتاژ و مورد بررسی قرار گرفت که بوش استیل ها همه خوردگی زیاد داشت و اسقاط گردید ؛ پروانه ها مقداری گشاد شده است و لبه پروانه ها نازک شده است </t>
  </si>
  <si>
    <t>الکترو موتور برگشتی در کارگاه دمونتاژ و مورد بررسی قرار گرفت که بوش سر و ته روتور خوردگی داشت روتور خشدار بود  ؛ سر و ته موتور بوش یاتاقان ها خراب و اسقاط گردید . لاستیک دیافراکم پارگی داشت سیم پیچ سوخته هسته موتور تست و گشاد شده بود اسقاط گردید فیبر کف گرد خراب و از کف گرد جدا شده است</t>
  </si>
  <si>
    <t>باهنر2</t>
  </si>
  <si>
    <t>کاهش ابدهی</t>
  </si>
  <si>
    <t>35692</t>
  </si>
  <si>
    <t>159526</t>
  </si>
  <si>
    <t>1404/7030</t>
  </si>
  <si>
    <t>کلاته منار</t>
  </si>
  <si>
    <t>35721</t>
  </si>
  <si>
    <t>159695</t>
  </si>
  <si>
    <t>1404/08/01</t>
  </si>
  <si>
    <t>الهیه یک</t>
  </si>
  <si>
    <t xml:space="preserve">ملک اباد  </t>
  </si>
  <si>
    <t xml:space="preserve">منطقه 5 </t>
  </si>
  <si>
    <t>35722</t>
  </si>
  <si>
    <t>159696</t>
  </si>
  <si>
    <t>1402/8/10</t>
  </si>
  <si>
    <t>1404/8/2</t>
  </si>
  <si>
    <t>12طبقه بود یک طبقه کم شد  چون تعمیری بود وابدهی 10طبقه کمتر از جدول بود این 11طبقه کار شد</t>
  </si>
  <si>
    <t>1404/8/1</t>
  </si>
  <si>
    <t xml:space="preserve"> طلاب یک</t>
  </si>
  <si>
    <t>انصار المهدی</t>
  </si>
  <si>
    <t>چهاربرج</t>
  </si>
  <si>
    <t>سلامی</t>
  </si>
  <si>
    <t>1399/04/08</t>
  </si>
  <si>
    <t>1404/08/03</t>
  </si>
  <si>
    <t>35718</t>
  </si>
  <si>
    <t>159446</t>
  </si>
  <si>
    <t>35720</t>
  </si>
  <si>
    <t>159694</t>
  </si>
  <si>
    <t>1404/07/29</t>
  </si>
  <si>
    <t>تجهیر جدید</t>
  </si>
  <si>
    <t>1688</t>
  </si>
  <si>
    <t>5757</t>
  </si>
  <si>
    <t>1995</t>
  </si>
  <si>
    <t>5040</t>
  </si>
  <si>
    <t>1927</t>
  </si>
  <si>
    <t>6375</t>
  </si>
  <si>
    <t>زاک15</t>
  </si>
  <si>
    <t>73.5</t>
  </si>
  <si>
    <t>35723</t>
  </si>
  <si>
    <t>159697</t>
  </si>
  <si>
    <t>1404/8/4</t>
  </si>
  <si>
    <t>?</t>
  </si>
  <si>
    <t>زاک 14</t>
  </si>
  <si>
    <t>گلشهر4</t>
  </si>
  <si>
    <t>1404/08/05</t>
  </si>
  <si>
    <t>15688</t>
  </si>
  <si>
    <t>35704</t>
  </si>
  <si>
    <t>159698</t>
  </si>
  <si>
    <t>زاک 6</t>
  </si>
  <si>
    <t>1404/08/06</t>
  </si>
  <si>
    <t>35726</t>
  </si>
  <si>
    <t>1404/8/07</t>
  </si>
  <si>
    <t>35725</t>
  </si>
  <si>
    <t>159521</t>
  </si>
  <si>
    <t>35724</t>
  </si>
  <si>
    <t>159502</t>
  </si>
  <si>
    <t>35728</t>
  </si>
  <si>
    <t>159700</t>
  </si>
  <si>
    <t>35727</t>
  </si>
  <si>
    <t>159701</t>
  </si>
  <si>
    <t>1402/3/25</t>
  </si>
  <si>
    <t>1404/08/08</t>
  </si>
  <si>
    <t>1401/08/01</t>
  </si>
  <si>
    <t>1404/08/07</t>
  </si>
  <si>
    <t>35713</t>
  </si>
  <si>
    <t>159692</t>
  </si>
  <si>
    <t>159699</t>
  </si>
  <si>
    <t>35674</t>
  </si>
  <si>
    <t>159664</t>
  </si>
  <si>
    <t>35705</t>
  </si>
  <si>
    <t>159472</t>
  </si>
  <si>
    <t>1678</t>
  </si>
  <si>
    <t>5658</t>
  </si>
  <si>
    <t>پمپ برگشتی در کارگاه دمونتاژ و مورد بررسی قرار گرفت که بوش استیل ها همه خوردگی داشت و اسقاط گردید ؛ و لبه پروانه ها نازک وخوردگی داشت - دمونتاژ موتور که اهم گیری شد مقدار اهم داشت داخل موتروگل ولای داشت روتور داخل هسته گیر کرده کف گرد خراب است لقمه ها خراب شده موتور نیاز به سیم کشی دارد</t>
  </si>
  <si>
    <t>پمپ برگشتی در کارگاه دمونتاژ و مورد بررسی قرار گرفت که بوش استیل ها همه خوردگی داشت و اسقاط گردید ؛ و لبه پروانه ها نازک وخوردگی داشت طبقه ها اب خوردگی داشت و اسقاط گردید</t>
  </si>
  <si>
    <t>ناظریه2</t>
  </si>
  <si>
    <t>کار گاه مکانیک</t>
  </si>
  <si>
    <t>159702</t>
  </si>
  <si>
    <t>نو گازار</t>
  </si>
  <si>
    <t>1404/5/25</t>
  </si>
  <si>
    <t>1400/08/12</t>
  </si>
  <si>
    <t>زاک16</t>
  </si>
  <si>
    <t>3338</t>
  </si>
  <si>
    <t>15886</t>
  </si>
  <si>
    <t>35729</t>
  </si>
  <si>
    <t>159469</t>
  </si>
  <si>
    <t>1404/08/11</t>
  </si>
  <si>
    <t>35730</t>
  </si>
  <si>
    <t>159703</t>
  </si>
  <si>
    <t xml:space="preserve">سافت </t>
  </si>
  <si>
    <t>شرق منزل آباد</t>
  </si>
  <si>
    <t>بحر آباد</t>
  </si>
  <si>
    <t>تجهیر جدید(جابجایی)</t>
  </si>
  <si>
    <t>فناوری 2</t>
  </si>
  <si>
    <t>35734</t>
  </si>
  <si>
    <t>159608</t>
  </si>
  <si>
    <t>1404/8/12</t>
  </si>
  <si>
    <t>35731</t>
  </si>
  <si>
    <t>1404/08/12</t>
  </si>
  <si>
    <t>35732</t>
  </si>
  <si>
    <t>159704</t>
  </si>
  <si>
    <t>1404/08/13</t>
  </si>
  <si>
    <t>35733</t>
  </si>
  <si>
    <t>159705</t>
  </si>
  <si>
    <t xml:space="preserve">بدون برگه انتخاب پمپ ازمایش با جدول </t>
  </si>
  <si>
    <t>جابجایی</t>
  </si>
  <si>
    <t>1904</t>
  </si>
  <si>
    <t>6399</t>
  </si>
  <si>
    <t>چوادی</t>
  </si>
  <si>
    <t>35735</t>
  </si>
  <si>
    <t>1401/12/13</t>
  </si>
  <si>
    <t>1404/8/14</t>
  </si>
  <si>
    <t>امام رضا یک</t>
  </si>
  <si>
    <t>1404/02/20</t>
  </si>
  <si>
    <t>3852</t>
  </si>
  <si>
    <t>159706</t>
  </si>
  <si>
    <t>1404/08/15</t>
  </si>
  <si>
    <t>1399/06/27</t>
  </si>
  <si>
    <t>امام رضا 55</t>
  </si>
  <si>
    <t>1398/07/01</t>
  </si>
  <si>
    <t>1130</t>
  </si>
  <si>
    <t>5050</t>
  </si>
  <si>
    <t>3061</t>
  </si>
  <si>
    <t>15401</t>
  </si>
  <si>
    <t>3314</t>
  </si>
  <si>
    <t>159388</t>
  </si>
  <si>
    <t>1404/8/17</t>
  </si>
  <si>
    <t>1510/1</t>
  </si>
  <si>
    <t>159707</t>
  </si>
  <si>
    <t>زاک 20</t>
  </si>
  <si>
    <t>1401/1/9</t>
  </si>
  <si>
    <t>35755</t>
  </si>
  <si>
    <t>159708</t>
  </si>
  <si>
    <t>1404/8/19</t>
  </si>
  <si>
    <t>35699</t>
  </si>
  <si>
    <t>159688</t>
  </si>
  <si>
    <t>1402/6/13</t>
  </si>
  <si>
    <t>توانا منطقه 5</t>
  </si>
  <si>
    <t xml:space="preserve">یک عدد الکترو پمپ دیگر هم از منطقه 5 جناب توانا تحویل کارگاه مکانیک شد 7+152/17 وضمنا پمپ URD از چاه گیامی جمع اوری شد </t>
  </si>
  <si>
    <t>3771</t>
  </si>
  <si>
    <t>urd102/20</t>
  </si>
  <si>
    <t xml:space="preserve">کورده 3 </t>
  </si>
  <si>
    <t>عبادی 30</t>
  </si>
  <si>
    <t xml:space="preserve">گلشهر6 </t>
  </si>
  <si>
    <t>35640</t>
  </si>
  <si>
    <t>159538</t>
  </si>
  <si>
    <t>1404/8/20</t>
  </si>
  <si>
    <t>1404/8/21</t>
  </si>
  <si>
    <t>1403/3/26</t>
  </si>
  <si>
    <t>35701</t>
  </si>
  <si>
    <t>159549</t>
  </si>
  <si>
    <t>35652</t>
  </si>
  <si>
    <t>159631</t>
  </si>
  <si>
    <t>5748</t>
  </si>
  <si>
    <t>3417</t>
  </si>
  <si>
    <t>159077</t>
  </si>
  <si>
    <t>اهم دار و سوختن الکترموتور</t>
  </si>
  <si>
    <t>35639</t>
  </si>
  <si>
    <t>159511</t>
  </si>
  <si>
    <t>1404/08/22</t>
  </si>
  <si>
    <t>1401/05/09</t>
  </si>
  <si>
    <t>35693</t>
  </si>
  <si>
    <t>159543</t>
  </si>
  <si>
    <t xml:space="preserve">خالی بار تست شد </t>
  </si>
  <si>
    <t>تغییر فشار و دبی</t>
  </si>
  <si>
    <t>1404/06/08</t>
  </si>
  <si>
    <t xml:space="preserve">الکترو موتور برگشتی در کارگاه دمونتاژ و مورد بررسی قرار گرفت که سیم پیچ سوخته است مقداری شولات وارد موتور شده از قسمت کاسه نمد ؛ لقمه های کف گرد مقدار کمی ساییده شده است </t>
  </si>
  <si>
    <t>پمپ برگشتی در کارگاه دمونتاژ و مورد بررسی قرار گرفت که بوش استیل ها خوردگی داشت و الباقی قطعات سالم بود</t>
  </si>
  <si>
    <t xml:space="preserve">الکترو موتور برگشتی در کارگاه دمونتاژ و مورد بررسی قرار گرفت که سیم پیچ سوخته است پرده دیافراگم پارگی داشت ؛            روستای (ده ملا )ملک آباد فاقد سر لوله و کابل و اطلاعاتی از تاریخ نصب قبلی نبود </t>
  </si>
  <si>
    <t>روستایی دزق</t>
  </si>
  <si>
    <t>موتور در کارگاه دمونتاژ شد فیبر کف گرد از کف گرد جدا شده است بعلت داغ کار کردن در حال بهره برداری ؛ لقمه ها کفگرد خراب شده و اسقاط گردید ؛ اطلاعاتی از محل چاه مشخصات نبود</t>
  </si>
  <si>
    <t>پمپ برگشتی در کارگاه دمونتاژ و مورد بررسی قرار گرفت که بوش استیل ها همه خوردگی شدید داشت بطوریکه بوش لاستیک های داخل طبقه کامل تخریب شده است ومحور در داخل طبقه ها لقی شدید داشت بوش استیل ها و بوش لاستیک ها و طبقه ها و پروانه ها کامل تخریب ئ اسقاط گردید</t>
  </si>
  <si>
    <t>35736</t>
  </si>
  <si>
    <t>159450</t>
  </si>
  <si>
    <t>1404/08/23</t>
  </si>
  <si>
    <t>1404/08/24</t>
  </si>
  <si>
    <t>35757</t>
  </si>
  <si>
    <t>159712</t>
  </si>
  <si>
    <t>انتهای اقدسیه</t>
  </si>
  <si>
    <t>35737</t>
  </si>
  <si>
    <t>159548</t>
  </si>
  <si>
    <t>1404/08/25</t>
  </si>
  <si>
    <t>کورده2</t>
  </si>
  <si>
    <t>بوستان ادب</t>
  </si>
  <si>
    <t>159065</t>
  </si>
  <si>
    <t>1402/11/2</t>
  </si>
  <si>
    <t>35762</t>
  </si>
  <si>
    <t>1404/08/26</t>
  </si>
  <si>
    <t>3128</t>
  </si>
  <si>
    <t>5038</t>
  </si>
  <si>
    <t>3601</t>
  </si>
  <si>
    <t>159183</t>
  </si>
  <si>
    <t>35763</t>
  </si>
  <si>
    <t>159723</t>
  </si>
  <si>
    <t>35764</t>
  </si>
  <si>
    <t>159484</t>
  </si>
  <si>
    <t>1404/08/27</t>
  </si>
  <si>
    <t>3408</t>
  </si>
  <si>
    <t>1401/09/02</t>
  </si>
  <si>
    <t>مصلی 3/1</t>
  </si>
  <si>
    <t>35765</t>
  </si>
  <si>
    <t>159729</t>
  </si>
  <si>
    <t>1404/08/29</t>
  </si>
  <si>
    <t>امام رضا11</t>
  </si>
  <si>
    <t>35766</t>
  </si>
  <si>
    <t>159730</t>
  </si>
  <si>
    <t>1404/08/30</t>
  </si>
  <si>
    <t>35768</t>
  </si>
  <si>
    <t>159732</t>
  </si>
  <si>
    <t>35767</t>
  </si>
  <si>
    <t>159731</t>
  </si>
  <si>
    <t>1402/07/09</t>
  </si>
  <si>
    <t>35717</t>
  </si>
  <si>
    <t>159739</t>
  </si>
  <si>
    <t>1404/09/01</t>
  </si>
  <si>
    <t>لرزش شدید</t>
  </si>
  <si>
    <t>35775</t>
  </si>
  <si>
    <t>159464</t>
  </si>
  <si>
    <t>1404/09/02</t>
  </si>
  <si>
    <t>بازشیخ 3</t>
  </si>
  <si>
    <t>3037</t>
  </si>
  <si>
    <t>15371</t>
  </si>
  <si>
    <t>مهراباد2</t>
  </si>
  <si>
    <t>3110</t>
  </si>
  <si>
    <t>1398/12/11</t>
  </si>
  <si>
    <t>1401/08/30</t>
  </si>
  <si>
    <t>15651</t>
  </si>
  <si>
    <t>1399/04/07</t>
  </si>
  <si>
    <t xml:space="preserve">کلاهدوز 1 </t>
  </si>
  <si>
    <t>35645</t>
  </si>
  <si>
    <t>159613</t>
  </si>
  <si>
    <t>35777</t>
  </si>
  <si>
    <t>159513</t>
  </si>
  <si>
    <t>1404/09/05</t>
  </si>
  <si>
    <t>35776</t>
  </si>
  <si>
    <t>159583</t>
  </si>
  <si>
    <t>1399/03/19</t>
  </si>
  <si>
    <t>1404/03/06</t>
  </si>
  <si>
    <t>سر لوله پمپ در زمان انتقال به کارگاه مکانیک دارای گل ولای بود</t>
  </si>
  <si>
    <t>بهسازی و پمپاز</t>
  </si>
  <si>
    <t>35769</t>
  </si>
  <si>
    <t>159747</t>
  </si>
  <si>
    <t>1402/3/21</t>
  </si>
  <si>
    <t>35771</t>
  </si>
  <si>
    <t>159745</t>
  </si>
  <si>
    <t>1404/09/04</t>
  </si>
  <si>
    <t>حصار روستایی</t>
  </si>
  <si>
    <t>7/5</t>
  </si>
  <si>
    <t>3844</t>
  </si>
  <si>
    <t>159520</t>
  </si>
  <si>
    <t>فاقد اطلاعات و برگه انتخاب پمپ و عمق نصب 136</t>
  </si>
  <si>
    <t>سیدی9</t>
  </si>
  <si>
    <t>ازاد شهر 2</t>
  </si>
  <si>
    <t>سیم پیچی / سرویس</t>
  </si>
  <si>
    <t>ناظریه روستایی</t>
  </si>
  <si>
    <t xml:space="preserve">دوستی 5 عباس آباد </t>
  </si>
  <si>
    <t>ابوطالب 2</t>
  </si>
  <si>
    <t>دوستی 3</t>
  </si>
  <si>
    <t>روستایی بازمرگان</t>
  </si>
  <si>
    <t>اندیشه8</t>
  </si>
  <si>
    <t>ازمایش نداشت</t>
  </si>
  <si>
    <t>35700</t>
  </si>
  <si>
    <t>159749</t>
  </si>
  <si>
    <t>1404/09/08</t>
  </si>
  <si>
    <t>تصفیه خانه دوستی</t>
  </si>
  <si>
    <t>1393/04/27</t>
  </si>
  <si>
    <t>35778</t>
  </si>
  <si>
    <t>159478</t>
  </si>
  <si>
    <t>35752</t>
  </si>
  <si>
    <t>159750</t>
  </si>
  <si>
    <t>1404/09/12</t>
  </si>
  <si>
    <t>زاک 13</t>
  </si>
  <si>
    <t>159687</t>
  </si>
  <si>
    <t>1404/09/10</t>
  </si>
  <si>
    <t>زاک10</t>
  </si>
  <si>
    <t>159735</t>
  </si>
  <si>
    <t>1404/9/16</t>
  </si>
  <si>
    <t>سیدی 7</t>
  </si>
  <si>
    <t>امام رضا 5</t>
  </si>
  <si>
    <t>اهم دار و افزایش دبی</t>
  </si>
  <si>
    <t>سوختن الکترو موتور و افزایش دبی</t>
  </si>
  <si>
    <t>35744</t>
  </si>
  <si>
    <t>159751</t>
  </si>
  <si>
    <t>1404/09/17</t>
  </si>
  <si>
    <t>2099</t>
  </si>
  <si>
    <t>1225</t>
  </si>
  <si>
    <t>5393</t>
  </si>
  <si>
    <t>35779</t>
  </si>
  <si>
    <t>159455</t>
  </si>
  <si>
    <t>1397/07/20</t>
  </si>
  <si>
    <t>1404/09/19</t>
  </si>
  <si>
    <t>159752</t>
  </si>
  <si>
    <t>1404/09/20</t>
  </si>
  <si>
    <t>1401/07/11</t>
  </si>
  <si>
    <t>1404/09/21</t>
  </si>
  <si>
    <t>35780</t>
  </si>
  <si>
    <t>159753</t>
  </si>
  <si>
    <t>3036</t>
  </si>
  <si>
    <t>15376</t>
  </si>
  <si>
    <t>3109</t>
  </si>
  <si>
    <t>15649</t>
  </si>
  <si>
    <t>1404/9/11</t>
  </si>
  <si>
    <t>ی</t>
  </si>
  <si>
    <t>شهرک بهشتی</t>
  </si>
  <si>
    <t>نوسان آمپر</t>
  </si>
  <si>
    <t>35772</t>
  </si>
  <si>
    <t>159754</t>
  </si>
  <si>
    <t>1399/08/05</t>
  </si>
  <si>
    <t>1404/09/23</t>
  </si>
  <si>
    <t>ششصد دستگاه</t>
  </si>
  <si>
    <t>35781</t>
  </si>
  <si>
    <t>159756</t>
  </si>
  <si>
    <t>سوختن الکترو پمپ</t>
  </si>
  <si>
    <t>35774</t>
  </si>
  <si>
    <t>159479</t>
  </si>
  <si>
    <t>1404/9/28</t>
  </si>
  <si>
    <t>1404/10/04</t>
  </si>
  <si>
    <t>1404/10/03</t>
  </si>
  <si>
    <t>1404/09/03</t>
  </si>
  <si>
    <t>1404/10/02</t>
  </si>
  <si>
    <t>شولات و نشست سکوها</t>
  </si>
  <si>
    <t>از نظر بهره بردار شولاتی و نشست سکو ها دارد الکترو موتورو پمپ ازمایش مجدد میشود</t>
  </si>
  <si>
    <t xml:space="preserve">اسلام آباد 4 </t>
  </si>
  <si>
    <t>1404/09/24</t>
  </si>
  <si>
    <t>35742</t>
  </si>
  <si>
    <t>393/8</t>
  </si>
  <si>
    <t>159755</t>
  </si>
  <si>
    <t>تجهیز جدید (جابجایی)</t>
  </si>
  <si>
    <t>1404/10/05</t>
  </si>
  <si>
    <t>حسن آباد گرجی (روستایی)</t>
  </si>
  <si>
    <t>اطلاعاتی از برگه انتخاب نبود و الکترو موتور خالی بار تست شد</t>
  </si>
  <si>
    <t>هندل آباد(روستایی)</t>
  </si>
  <si>
    <t xml:space="preserve">اطلاعاتی از برگه انتخاب نبود و الکترو موتور خالی بار تست شد کشیدن و نصب در یک روز انجام شد و اطلاعاتی در مورد تیپ قبلی چاه نمیباشد </t>
  </si>
  <si>
    <t>پمپاژ زون k</t>
  </si>
  <si>
    <t xml:space="preserve">الکتروموتور و پمپ  در چاهک کنار پمپاژ زون K در عمق 16 متری نصب میشود کابل موتور 12 متر یک تیکه میباشد که بعد از دکوبلر کردن و اهم گیری موتور سوخته است و کابل قطع شد و برای موتور 130 پمپیران مفصل زده شد </t>
  </si>
  <si>
    <t>1404/10/10</t>
  </si>
  <si>
    <t>1401/08/16</t>
  </si>
  <si>
    <t>چاه فیاض بخش</t>
  </si>
  <si>
    <t>نو قرقر</t>
  </si>
  <si>
    <t xml:space="preserve">الکتروموتور و پمپ در کارگاه دمونتاژ شد که پس از بررسی موتور سالم بود فقط کاسه نمد خراب بود و پمپ سالم مقدار جزیی خوردگی لبه پروانه ها خوردگی داشت </t>
  </si>
  <si>
    <t>موتور در کارگاه دمونتاژ شد مورد بررسی قرار گرفت  لقمه ها و کفگرد خراب شده و کاسه نمد خراب و الباقی و لوازم سالم و قابل استفاده میباشد</t>
  </si>
  <si>
    <t>لرزش و صدا</t>
  </si>
  <si>
    <t>گلشور</t>
  </si>
  <si>
    <t>سوختن موتور</t>
  </si>
  <si>
    <t>1404/10/16</t>
  </si>
  <si>
    <t>امام رضا13</t>
  </si>
  <si>
    <t>35756</t>
  </si>
  <si>
    <t>159764</t>
  </si>
  <si>
    <t>1404/06/14</t>
  </si>
  <si>
    <t>35789</t>
  </si>
  <si>
    <t>159768</t>
  </si>
  <si>
    <t>1404/10/19</t>
  </si>
  <si>
    <t>35787</t>
  </si>
  <si>
    <t>159766</t>
  </si>
  <si>
    <t>35754</t>
  </si>
  <si>
    <t>159762</t>
  </si>
  <si>
    <t>گاوترنا</t>
  </si>
  <si>
    <t>درابد3</t>
  </si>
  <si>
    <t>شولات گل ولای</t>
  </si>
  <si>
    <t>1398/2/4</t>
  </si>
  <si>
    <t>1404/10/24</t>
  </si>
  <si>
    <t>قرقره</t>
  </si>
  <si>
    <t>گیزی_حسن شهاب</t>
  </si>
  <si>
    <t>3/7</t>
  </si>
  <si>
    <t>سجاد</t>
  </si>
  <si>
    <t>1404/10/25</t>
  </si>
  <si>
    <t>35798</t>
  </si>
  <si>
    <t>159776</t>
  </si>
  <si>
    <t>35788</t>
  </si>
  <si>
    <t>159767</t>
  </si>
  <si>
    <t>1404/10/18</t>
  </si>
  <si>
    <t>35792</t>
  </si>
  <si>
    <t>1404/10/21</t>
  </si>
  <si>
    <t>امیریه 31</t>
  </si>
  <si>
    <t>1404/06/25</t>
  </si>
  <si>
    <t>1395/08/11</t>
  </si>
  <si>
    <t>35797</t>
  </si>
  <si>
    <t>159775</t>
  </si>
  <si>
    <t>3847</t>
  </si>
  <si>
    <t>159517</t>
  </si>
  <si>
    <t>35786</t>
  </si>
  <si>
    <t>159542</t>
  </si>
  <si>
    <t>35745</t>
  </si>
  <si>
    <t>159761</t>
  </si>
  <si>
    <t>35791</t>
  </si>
  <si>
    <t>159771</t>
  </si>
  <si>
    <t>35785</t>
  </si>
  <si>
    <t>159760</t>
  </si>
  <si>
    <t>159758</t>
  </si>
  <si>
    <t>35783</t>
  </si>
  <si>
    <t>35814</t>
  </si>
  <si>
    <t>159780</t>
  </si>
  <si>
    <t>1404/11/03</t>
  </si>
  <si>
    <t>منزل اباد</t>
  </si>
  <si>
    <t>مو سوی نژاد</t>
  </si>
  <si>
    <t>35809</t>
  </si>
  <si>
    <t>159779</t>
  </si>
  <si>
    <t>35815</t>
  </si>
  <si>
    <t>159781</t>
  </si>
  <si>
    <t>1404/11/04</t>
  </si>
  <si>
    <t>کلشور</t>
  </si>
  <si>
    <t>35799</t>
  </si>
  <si>
    <t>159786</t>
  </si>
  <si>
    <t>آریان</t>
  </si>
  <si>
    <t>زاک 16</t>
  </si>
  <si>
    <t>اسلام اباد 9</t>
  </si>
  <si>
    <t>35759</t>
  </si>
  <si>
    <t>159787</t>
  </si>
  <si>
    <t>1396/05/22</t>
  </si>
  <si>
    <t>1404/11/07</t>
  </si>
  <si>
    <t>3*25*16</t>
  </si>
  <si>
    <t>35823</t>
  </si>
  <si>
    <t>3414</t>
  </si>
  <si>
    <t>159069</t>
  </si>
  <si>
    <t>159788</t>
  </si>
  <si>
    <t>کاتالوک</t>
  </si>
  <si>
    <t>گلبهار 17</t>
  </si>
  <si>
    <t>35747</t>
  </si>
  <si>
    <t>159563</t>
  </si>
  <si>
    <t>عدل خمبنی</t>
  </si>
  <si>
    <t>شریعتی 66</t>
  </si>
  <si>
    <t>159793</t>
  </si>
  <si>
    <t>35801</t>
  </si>
  <si>
    <t>1395/03/13</t>
  </si>
  <si>
    <t>2058</t>
  </si>
  <si>
    <t>5768</t>
  </si>
  <si>
    <t>1404/11/14</t>
  </si>
  <si>
    <t>35832</t>
  </si>
  <si>
    <t>159719</t>
  </si>
  <si>
    <t xml:space="preserve">پمپیران </t>
  </si>
  <si>
    <t>1404/11/13</t>
  </si>
  <si>
    <t>1401/01/17</t>
  </si>
  <si>
    <t>35828</t>
  </si>
  <si>
    <t>1404/10/15</t>
  </si>
  <si>
    <t>1404/07/08</t>
  </si>
  <si>
    <t>1404/11/16</t>
  </si>
  <si>
    <t>الکترو و پمپ بصورت کوبل شده به کارگاه انتقال داده شده که با کابل خودش مجدد تست ازمایش انجام شد که مشکل خاصی نبود ضمنا علت کشیدن کاهش ابدهی بوده و خرابی لوله ابدهی مشهود است</t>
  </si>
  <si>
    <t>ساغروان (پهلوانی)</t>
  </si>
  <si>
    <t>1398/10/29</t>
  </si>
  <si>
    <t>1404/11/23</t>
  </si>
  <si>
    <t>35748</t>
  </si>
  <si>
    <t>159798</t>
  </si>
  <si>
    <t>35746</t>
  </si>
  <si>
    <t>1404/11/24</t>
  </si>
  <si>
    <t>درتاریخ14041124پمپ نصب میشود که در مرحله  نصب الکترو پمپ توسط نصاب چاه کابل موتور زخمی میشود که در کارگاه قسمت خراب کابل قطع شده و اهم گیری شد و موتور سالم بود جهت نصب مجدد</t>
  </si>
  <si>
    <t>159794</t>
  </si>
  <si>
    <t>6611/16</t>
  </si>
  <si>
    <t>35847</t>
  </si>
  <si>
    <t>159797</t>
  </si>
  <si>
    <t>1404/11/21</t>
  </si>
  <si>
    <t>35840</t>
  </si>
  <si>
    <t>159796</t>
  </si>
  <si>
    <t>159728</t>
  </si>
  <si>
    <t>روستای برقی</t>
  </si>
  <si>
    <t>پرکند 2</t>
  </si>
  <si>
    <t>چمران2</t>
  </si>
  <si>
    <t>35715</t>
  </si>
  <si>
    <t>159800</t>
  </si>
  <si>
    <t>1404/11/26</t>
  </si>
  <si>
    <t>35853</t>
  </si>
  <si>
    <t>159555</t>
  </si>
  <si>
    <t>1404/11/27</t>
  </si>
  <si>
    <t>3*35و50</t>
  </si>
  <si>
    <t>35749</t>
  </si>
  <si>
    <t>لشکر 77</t>
  </si>
  <si>
    <t>اسلام آباد 9</t>
  </si>
  <si>
    <t xml:space="preserve"> دبستان طبرسی</t>
  </si>
  <si>
    <t>63</t>
  </si>
  <si>
    <t>35833</t>
  </si>
  <si>
    <t>159789</t>
  </si>
  <si>
    <t>1404/12/01</t>
  </si>
  <si>
    <t>35856</t>
  </si>
  <si>
    <t>159807</t>
  </si>
  <si>
    <t>1404/11/30</t>
  </si>
  <si>
    <t>159806</t>
  </si>
  <si>
    <t>شمس اباد 1</t>
  </si>
  <si>
    <t xml:space="preserve"> روستایی دزق</t>
  </si>
  <si>
    <t>35862</t>
  </si>
  <si>
    <t>159810</t>
  </si>
  <si>
    <t>1404/12/04</t>
  </si>
  <si>
    <t>35863</t>
  </si>
  <si>
    <t>159811</t>
  </si>
  <si>
    <t>عباس آباد قدیم جمع آوری</t>
  </si>
  <si>
    <t>زاک 9</t>
  </si>
  <si>
    <t>3*50و35</t>
  </si>
  <si>
    <t>35867</t>
  </si>
  <si>
    <t>159460</t>
  </si>
  <si>
    <t>1400/03/22</t>
  </si>
  <si>
    <t>1404/12/09</t>
  </si>
  <si>
    <t>35803</t>
  </si>
  <si>
    <t>159784</t>
  </si>
  <si>
    <t>1404/12/08</t>
  </si>
  <si>
    <t>جمع آوری (چاه قدیم)</t>
  </si>
  <si>
    <t>1694</t>
  </si>
  <si>
    <t>5799</t>
  </si>
  <si>
    <t>35743</t>
  </si>
  <si>
    <t>159547</t>
  </si>
  <si>
    <t>35808</t>
  </si>
  <si>
    <t>159778</t>
  </si>
  <si>
    <t>1404/03/23</t>
  </si>
  <si>
    <t>1404/12/07</t>
  </si>
  <si>
    <t>35750</t>
  </si>
  <si>
    <t>6611/9</t>
  </si>
  <si>
    <t>159516</t>
  </si>
  <si>
    <t>1404/03/13</t>
  </si>
  <si>
    <t>1404/12/06</t>
  </si>
  <si>
    <t>35861</t>
  </si>
  <si>
    <t>159812</t>
  </si>
  <si>
    <t>1404/12/05</t>
  </si>
  <si>
    <t>3327</t>
  </si>
  <si>
    <t>6168</t>
  </si>
  <si>
    <t>فاقد پلاک</t>
  </si>
  <si>
    <t>486/2</t>
  </si>
  <si>
    <t xml:space="preserve">فاقد برگه انتخاب پمپ است </t>
  </si>
  <si>
    <t>فاقد برگه انتخاب پمپ است  دمونتاژ الکترو پمپ و پس از بررسی پمپ بوش استیل ها خوردگی دارد و مقداری لبه های پروانه ها ساییدگی دارد که باعث لقی پروانه ها در طبقه مشهود بود و موتور سوخته است اهم گیری شد دو فاز اهم داشت فیبر کفگرد خراب و کنده شده است لقمه ها مقدار زیادی خراشیده شده و بوش زغالی سر بالا موتور شکسته است که موتور در کف کار میکرده است</t>
  </si>
  <si>
    <t xml:space="preserve">     </t>
  </si>
  <si>
    <t>باغون آباد 2</t>
  </si>
  <si>
    <t>35804</t>
  </si>
  <si>
    <t>159816</t>
  </si>
  <si>
    <t>1404/12/11</t>
  </si>
  <si>
    <t>35855</t>
  </si>
  <si>
    <t>159815</t>
  </si>
  <si>
    <t>35818</t>
  </si>
  <si>
    <t>159738</t>
  </si>
  <si>
    <t>1404/12/12</t>
  </si>
  <si>
    <t>35871</t>
  </si>
  <si>
    <t>159817</t>
  </si>
  <si>
    <t>1404/12/14</t>
  </si>
  <si>
    <t>ساغت</t>
  </si>
  <si>
    <t>159671</t>
  </si>
  <si>
    <t>جعماب یک</t>
  </si>
  <si>
    <t>35869</t>
  </si>
  <si>
    <t>159819</t>
  </si>
  <si>
    <t>1404/12/16</t>
  </si>
  <si>
    <t>35873</t>
  </si>
  <si>
    <t>159457</t>
  </si>
  <si>
    <t>1400/11/17</t>
  </si>
  <si>
    <t>1404/12/18</t>
  </si>
  <si>
    <t>خطا بهره بردار</t>
  </si>
  <si>
    <t>دمونتاژ الکترو پمپ که پس از بررسی مشخص شد پمپ سالم است که با هماهنگی مهندس هروی مشخص شد بهره بردار اشتباه کرده</t>
  </si>
  <si>
    <t>طلاب یک</t>
  </si>
  <si>
    <t>35844</t>
  </si>
  <si>
    <t>159821</t>
  </si>
  <si>
    <t>1403/01/25</t>
  </si>
  <si>
    <t>1404/12/17</t>
  </si>
  <si>
    <t>زاک 3</t>
  </si>
  <si>
    <t>اسماعیل آباد خیراباد</t>
  </si>
  <si>
    <t>منزل اباد 37</t>
  </si>
  <si>
    <t>35887</t>
  </si>
  <si>
    <t>159822</t>
  </si>
  <si>
    <t>1404/12/22</t>
  </si>
  <si>
    <t>1404/12/26</t>
  </si>
  <si>
    <t>35879</t>
  </si>
  <si>
    <t>159495</t>
  </si>
  <si>
    <t>35872</t>
  </si>
  <si>
    <t>159833</t>
  </si>
  <si>
    <t>1404/12/25</t>
  </si>
  <si>
    <t>35885</t>
  </si>
  <si>
    <t>159832</t>
  </si>
  <si>
    <t>1404/06/09</t>
  </si>
  <si>
    <t>35870</t>
  </si>
  <si>
    <t>159830</t>
  </si>
  <si>
    <t>1404/12/24</t>
  </si>
  <si>
    <t>35773</t>
  </si>
  <si>
    <t>159733</t>
  </si>
  <si>
    <t>سعید آباد روستایی</t>
  </si>
  <si>
    <t>زاک 7</t>
  </si>
  <si>
    <t>دوست آباد روستایی</t>
  </si>
  <si>
    <t>چراغچی 11</t>
  </si>
  <si>
    <t>تقی آباد روستایی</t>
  </si>
  <si>
    <t>مجتمع پهلوانی ساغروان</t>
  </si>
  <si>
    <t>سال</t>
  </si>
  <si>
    <t>جوادی (ایرج)</t>
  </si>
  <si>
    <t>افزایش فشار شبکه</t>
  </si>
  <si>
    <t>35892</t>
  </si>
  <si>
    <t>1404/12/28</t>
  </si>
  <si>
    <t>35866</t>
  </si>
  <si>
    <t>159736</t>
  </si>
  <si>
    <t>1401/07/10</t>
  </si>
  <si>
    <t>1404/12/27</t>
  </si>
  <si>
    <t>35875</t>
  </si>
  <si>
    <t>159825</t>
  </si>
  <si>
    <t>1404/12/19</t>
  </si>
  <si>
    <t>35857</t>
  </si>
  <si>
    <t>159559</t>
  </si>
  <si>
    <t>1401/05/31</t>
  </si>
  <si>
    <t>35827</t>
  </si>
  <si>
    <t>35877</t>
  </si>
  <si>
    <t>1404/12/21</t>
  </si>
  <si>
    <t>35874</t>
  </si>
  <si>
    <t>159824</t>
  </si>
  <si>
    <t>1395/06/12</t>
  </si>
  <si>
    <t>35881</t>
  </si>
  <si>
    <t>159828</t>
  </si>
  <si>
    <t>35882</t>
  </si>
  <si>
    <t>159831</t>
  </si>
  <si>
    <t>1405</t>
  </si>
  <si>
    <t>عبدل آباد روستایی</t>
  </si>
  <si>
    <t>شرق شهرک صنعتی توس</t>
  </si>
  <si>
    <t>هنرستان مطهری</t>
  </si>
  <si>
    <t>رسالت 19(قدیم)</t>
  </si>
  <si>
    <t>امور دام مرکز تحقیقات</t>
  </si>
  <si>
    <t>رده یک</t>
  </si>
  <si>
    <t>35868</t>
  </si>
  <si>
    <t>159852</t>
  </si>
  <si>
    <t>1405/1/15</t>
  </si>
  <si>
    <t>35848</t>
  </si>
  <si>
    <t>159851</t>
  </si>
  <si>
    <t>159850</t>
  </si>
  <si>
    <t>1403/8/29</t>
  </si>
  <si>
    <t>1405/1/14</t>
  </si>
  <si>
    <t>کورده 14</t>
  </si>
  <si>
    <t>چمران 2</t>
  </si>
  <si>
    <t>35913</t>
  </si>
  <si>
    <t>159856</t>
  </si>
  <si>
    <t>1405/1/17</t>
  </si>
  <si>
    <t>35911</t>
  </si>
  <si>
    <t>159854</t>
  </si>
  <si>
    <t>1391/7/16</t>
  </si>
  <si>
    <t>1405/1/16</t>
  </si>
  <si>
    <t>سایرارگان ها</t>
  </si>
  <si>
    <t>35909</t>
  </si>
  <si>
    <t>159466</t>
  </si>
  <si>
    <t>1402/08/7</t>
  </si>
  <si>
    <t>35908</t>
  </si>
  <si>
    <t>اسپادان پمپ</t>
  </si>
  <si>
    <t>159849</t>
  </si>
  <si>
    <t>1405/1/12</t>
  </si>
  <si>
    <t>1402/05/1</t>
  </si>
  <si>
    <t>35906</t>
  </si>
  <si>
    <t>159848</t>
  </si>
  <si>
    <t>1403/8/15</t>
  </si>
  <si>
    <t>35905</t>
  </si>
  <si>
    <t>159847</t>
  </si>
  <si>
    <t>35904</t>
  </si>
  <si>
    <t>159594</t>
  </si>
  <si>
    <t>1403/12/27</t>
  </si>
  <si>
    <t>1405/1/11</t>
  </si>
  <si>
    <t>انصارالمهدی</t>
  </si>
  <si>
    <t>35912</t>
  </si>
  <si>
    <t>1397/4/6</t>
  </si>
  <si>
    <t>ایرج</t>
  </si>
  <si>
    <t>35917</t>
  </si>
  <si>
    <t>159860</t>
  </si>
  <si>
    <t>1405/0/19</t>
  </si>
  <si>
    <t>35916</t>
  </si>
  <si>
    <t>159859</t>
  </si>
  <si>
    <t>1405/1/18</t>
  </si>
  <si>
    <t>35890</t>
  </si>
  <si>
    <t>1403/2/15</t>
  </si>
  <si>
    <t>35849</t>
  </si>
  <si>
    <t>159820</t>
  </si>
  <si>
    <t>1404/12/15</t>
  </si>
  <si>
    <t>35907</t>
  </si>
  <si>
    <t>159868</t>
  </si>
  <si>
    <t>1404/6/7</t>
  </si>
  <si>
    <t>1405/1/21</t>
  </si>
  <si>
    <t>35831</t>
  </si>
  <si>
    <t>159818</t>
  </si>
  <si>
    <t>1404/8/27</t>
  </si>
  <si>
    <t>1401/7/10</t>
  </si>
  <si>
    <t>1402/7/22</t>
  </si>
  <si>
    <t>1401/9/2</t>
  </si>
  <si>
    <t>1403/3/29</t>
  </si>
  <si>
    <t>1403/3/12</t>
  </si>
  <si>
    <t>1400/11/7</t>
  </si>
  <si>
    <t>1396/5/25</t>
  </si>
  <si>
    <t>35560</t>
  </si>
  <si>
    <t>159523</t>
  </si>
  <si>
    <t>1043/02/03</t>
  </si>
  <si>
    <t>1404/12/03</t>
  </si>
  <si>
    <t>35829</t>
  </si>
  <si>
    <t>159809</t>
  </si>
  <si>
    <t>1404/12/02</t>
  </si>
  <si>
    <t>35854</t>
  </si>
  <si>
    <t>159804</t>
  </si>
  <si>
    <t>1400/7/19</t>
  </si>
  <si>
    <t>1404/11/28</t>
  </si>
  <si>
    <t>35845</t>
  </si>
  <si>
    <t>159805</t>
  </si>
  <si>
    <t>1403/1/22</t>
  </si>
  <si>
    <t>1403/3/13</t>
  </si>
  <si>
    <t>افزایش ابدهی</t>
  </si>
  <si>
    <t>1403/3/23</t>
  </si>
  <si>
    <t>159546</t>
  </si>
  <si>
    <t>35816</t>
  </si>
  <si>
    <t>1398/3/20</t>
  </si>
  <si>
    <t>1404/11/4</t>
  </si>
  <si>
    <t>1403/5/25</t>
  </si>
  <si>
    <t>35830</t>
  </si>
  <si>
    <t>159791</t>
  </si>
  <si>
    <t>1404/11/10</t>
  </si>
  <si>
    <t>35822</t>
  </si>
  <si>
    <t>159790</t>
  </si>
  <si>
    <t>1395/8/25</t>
  </si>
  <si>
    <t>1404/11/11</t>
  </si>
  <si>
    <t>1404/11/9</t>
  </si>
  <si>
    <t>1403/4/28</t>
  </si>
  <si>
    <t>1404/10/23</t>
  </si>
  <si>
    <t>1404/4/18</t>
  </si>
  <si>
    <t>1403/2/3</t>
  </si>
  <si>
    <t>زاک 4</t>
  </si>
  <si>
    <t>ده غیبی یک</t>
  </si>
  <si>
    <t>1108</t>
  </si>
  <si>
    <t>159506</t>
  </si>
  <si>
    <t>1405/1/23</t>
  </si>
  <si>
    <t>35929</t>
  </si>
  <si>
    <t>159869</t>
  </si>
  <si>
    <t>1401/8/13</t>
  </si>
  <si>
    <t>1405/1/24</t>
  </si>
  <si>
    <t>1404/10/4</t>
  </si>
  <si>
    <t>35927</t>
  </si>
  <si>
    <t>6611/17</t>
  </si>
  <si>
    <t>159505</t>
  </si>
  <si>
    <t>1402/7/2</t>
  </si>
  <si>
    <t>35926</t>
  </si>
  <si>
    <t>نو (برگشتی از اب منطقه)</t>
  </si>
  <si>
    <t>159867</t>
  </si>
  <si>
    <t>1405/1/22</t>
  </si>
  <si>
    <t>اهم دار و سابقه شولات</t>
  </si>
  <si>
    <t>فاقدآبدهی</t>
  </si>
  <si>
    <t>هوادهی شولاتی</t>
  </si>
  <si>
    <t>افزایش آبدهی</t>
  </si>
  <si>
    <t>شولات و سر و صدا</t>
  </si>
  <si>
    <t>دوستی 5</t>
  </si>
  <si>
    <t>35930</t>
  </si>
  <si>
    <t>159871</t>
  </si>
  <si>
    <t>1404/10/9</t>
  </si>
  <si>
    <t>1405/1/26</t>
  </si>
  <si>
    <t>35932</t>
  </si>
  <si>
    <t>159872</t>
  </si>
  <si>
    <t>1402/5/23</t>
  </si>
  <si>
    <t>35915</t>
  </si>
  <si>
    <t>159858</t>
  </si>
  <si>
    <t>1403/7/27</t>
  </si>
  <si>
    <t>35888</t>
  </si>
  <si>
    <t>159499</t>
  </si>
  <si>
    <t>1405/1/10</t>
  </si>
  <si>
    <t>35903</t>
  </si>
  <si>
    <t>159846</t>
  </si>
  <si>
    <t>1401/4/15</t>
  </si>
  <si>
    <t>تجهیز جدید(جابجایی)</t>
  </si>
  <si>
    <t>نیکاپ</t>
  </si>
  <si>
    <t>شرق توس</t>
  </si>
  <si>
    <t>35900</t>
  </si>
  <si>
    <t>159722</t>
  </si>
  <si>
    <t>1405/1/6</t>
  </si>
  <si>
    <t>35902</t>
  </si>
  <si>
    <t>159845</t>
  </si>
  <si>
    <t>1404/8/16</t>
  </si>
  <si>
    <t>1405/1/9</t>
  </si>
  <si>
    <t>35901</t>
  </si>
  <si>
    <t>159844</t>
  </si>
  <si>
    <t>1404/4/4</t>
  </si>
  <si>
    <t>35889</t>
  </si>
  <si>
    <t>159843</t>
  </si>
  <si>
    <t>1402/2/25</t>
  </si>
  <si>
    <t>تجهیزجدید</t>
  </si>
  <si>
    <t>35843</t>
  </si>
  <si>
    <t>1405/1/7</t>
  </si>
  <si>
    <t>1404/4/5</t>
  </si>
  <si>
    <t>35897</t>
  </si>
  <si>
    <t>193/15</t>
  </si>
  <si>
    <t>159840</t>
  </si>
  <si>
    <t>1404/11/8</t>
  </si>
  <si>
    <t>35896</t>
  </si>
  <si>
    <t>159531</t>
  </si>
  <si>
    <t>1404/11/22</t>
  </si>
  <si>
    <t>1404/6/17</t>
  </si>
  <si>
    <t>35760</t>
  </si>
  <si>
    <t>159841</t>
  </si>
  <si>
    <t>1405/1/5</t>
  </si>
  <si>
    <t>35894</t>
  </si>
  <si>
    <t>159838</t>
  </si>
  <si>
    <t>1405/1/2</t>
  </si>
  <si>
    <t>نصب جدید(جابجایی)</t>
  </si>
  <si>
    <t>35893</t>
  </si>
  <si>
    <t>159836</t>
  </si>
  <si>
    <t>35891</t>
  </si>
  <si>
    <t>159834</t>
  </si>
  <si>
    <t xml:space="preserve">دو رشته 9 متری کابل 35*3 به کابل موتور اضافه شد </t>
  </si>
  <si>
    <t>نصب جدید پمپاز</t>
  </si>
  <si>
    <t>دبیرستان فرزانگان</t>
  </si>
  <si>
    <t>مرکز تحقیقات یک</t>
  </si>
  <si>
    <t>35938</t>
  </si>
  <si>
    <t>159877</t>
  </si>
  <si>
    <t>1405/1/30</t>
  </si>
  <si>
    <t>35933</t>
  </si>
  <si>
    <t>159874</t>
  </si>
  <si>
    <t>1405/1/28</t>
  </si>
  <si>
    <t>فناوری یک</t>
  </si>
  <si>
    <t>فرهنگیان یک</t>
  </si>
  <si>
    <t>1404/5/4</t>
  </si>
  <si>
    <t>35949</t>
  </si>
  <si>
    <t>345/11</t>
  </si>
  <si>
    <t>159889</t>
  </si>
  <si>
    <t>1402/5/2</t>
  </si>
  <si>
    <t>1405/2/1</t>
  </si>
  <si>
    <t>1401/12/7</t>
  </si>
  <si>
    <t>1401/7/27</t>
  </si>
  <si>
    <t>1403/12/1</t>
  </si>
  <si>
    <t>1402/5/10</t>
  </si>
  <si>
    <t>1402/3/27</t>
  </si>
  <si>
    <t>1395/6/12</t>
  </si>
  <si>
    <t>1397/12/28</t>
  </si>
  <si>
    <t>1404/1/2</t>
  </si>
  <si>
    <t>1402/7/31</t>
  </si>
  <si>
    <t>1403/5/10</t>
  </si>
  <si>
    <t>1402/7/9</t>
  </si>
  <si>
    <t>1403/3/6</t>
  </si>
  <si>
    <t>1404/9/3</t>
  </si>
  <si>
    <t>1400/3/24</t>
  </si>
  <si>
    <t>1403/2/11</t>
  </si>
  <si>
    <t>1397/5/6</t>
  </si>
  <si>
    <t>1397/4/11</t>
  </si>
  <si>
    <t>اضافه جریان</t>
  </si>
  <si>
    <t>1404/6/18</t>
  </si>
  <si>
    <t>اتصال کوتاه</t>
  </si>
  <si>
    <t>1403/3/5</t>
  </si>
  <si>
    <t>ابوطالب یک</t>
  </si>
  <si>
    <t>1402/2/12</t>
  </si>
  <si>
    <t>1403/6/20</t>
  </si>
  <si>
    <t>35950</t>
  </si>
  <si>
    <t>159890</t>
  </si>
  <si>
    <t>35952</t>
  </si>
  <si>
    <t>159892</t>
  </si>
  <si>
    <t>1404/1/11</t>
  </si>
  <si>
    <t>1405/2/2</t>
  </si>
  <si>
    <t>خارج شدن پمپ از نقطه کار</t>
  </si>
  <si>
    <t>1402/2/24</t>
  </si>
  <si>
    <t>خیبر10</t>
  </si>
  <si>
    <t>لرزش و صدا شدید</t>
  </si>
  <si>
    <t>کشف 9</t>
  </si>
  <si>
    <t>35955</t>
  </si>
  <si>
    <t>1405/2/5</t>
  </si>
  <si>
    <t>1404/11/5</t>
  </si>
  <si>
    <t>35964</t>
  </si>
  <si>
    <t>159581</t>
  </si>
  <si>
    <t>1405/2/6</t>
  </si>
  <si>
    <t>روستایی کشف رود</t>
  </si>
  <si>
    <t>مصلی 7/1</t>
  </si>
  <si>
    <t>افزایش آمپر</t>
  </si>
  <si>
    <t>1395/1/3</t>
  </si>
  <si>
    <t>1403/9/30</t>
  </si>
  <si>
    <t>1404/12/13</t>
  </si>
  <si>
    <t>1403/4/31</t>
  </si>
  <si>
    <t>1401/8/14</t>
  </si>
  <si>
    <t>1404/8/18</t>
  </si>
  <si>
    <t>35967</t>
  </si>
  <si>
    <t>159901</t>
  </si>
  <si>
    <t>1404/2/9</t>
  </si>
  <si>
    <t>35968</t>
  </si>
  <si>
    <t>159905</t>
  </si>
  <si>
    <t>1402/4/17</t>
  </si>
  <si>
    <t>35969</t>
  </si>
  <si>
    <t>159906</t>
  </si>
  <si>
    <t>1403/12/28</t>
  </si>
  <si>
    <t>1404/2/10</t>
  </si>
  <si>
    <t>شیفت کاری</t>
  </si>
  <si>
    <t>قرقی سفلی</t>
  </si>
  <si>
    <t>1404/6/12</t>
  </si>
  <si>
    <t>35974</t>
  </si>
  <si>
    <t>159912</t>
  </si>
  <si>
    <t>1405/2/13</t>
  </si>
  <si>
    <t>1399/5/14</t>
  </si>
  <si>
    <t>35975</t>
  </si>
  <si>
    <t>159913</t>
  </si>
  <si>
    <t>1405/2/15</t>
  </si>
  <si>
    <t>1400/6/15</t>
  </si>
  <si>
    <t>35800</t>
  </si>
  <si>
    <t>159909</t>
  </si>
  <si>
    <t>1405/2/12</t>
  </si>
  <si>
    <t>1397/2/24</t>
  </si>
  <si>
    <t>35970</t>
  </si>
  <si>
    <t>159907</t>
  </si>
  <si>
    <t>1405/2/11</t>
  </si>
  <si>
    <t>دو</t>
  </si>
  <si>
    <t>کشف 10</t>
  </si>
  <si>
    <t xml:space="preserve">کشف 1 </t>
  </si>
  <si>
    <t>پمپاژ رسالت</t>
  </si>
  <si>
    <t>یک</t>
  </si>
  <si>
    <t>35981</t>
  </si>
  <si>
    <t>159919</t>
  </si>
  <si>
    <t>1405/2/17</t>
  </si>
  <si>
    <t>1405/2/18</t>
  </si>
  <si>
    <t>1405/2/19</t>
  </si>
  <si>
    <t xml:space="preserve">تست ازمایش با کاتالوگ گرفته شد فاقد برگه اننخاب پمپ و فاقد کابل میباشد </t>
  </si>
  <si>
    <t>فرازی و نکویی</t>
  </si>
  <si>
    <t>1404/4/12</t>
  </si>
  <si>
    <t>1403/12/8</t>
  </si>
  <si>
    <t>35985</t>
  </si>
  <si>
    <t>159922</t>
  </si>
  <si>
    <t>35973</t>
  </si>
  <si>
    <t>159911</t>
  </si>
  <si>
    <t>1402/3/31</t>
  </si>
  <si>
    <t>35965</t>
  </si>
  <si>
    <t>159720</t>
  </si>
  <si>
    <t>1402/3/14</t>
  </si>
  <si>
    <t>1402/1/28</t>
  </si>
  <si>
    <t>1403/6/26</t>
  </si>
  <si>
    <t>کال زرکش</t>
  </si>
  <si>
    <t>پمپ مخزن K</t>
  </si>
  <si>
    <t>پمپاژk به L</t>
  </si>
  <si>
    <t>تنگلشور 2</t>
  </si>
  <si>
    <t>نیروگاه 2 قدیم</t>
  </si>
  <si>
    <t xml:space="preserve">نیروگاه 2 </t>
  </si>
  <si>
    <t>زاک 1</t>
  </si>
  <si>
    <t>گلشهر 8 قدیم</t>
  </si>
  <si>
    <t>زاک 11</t>
  </si>
  <si>
    <t xml:space="preserve">نصب جدید </t>
  </si>
  <si>
    <t>منزل اباد 29</t>
  </si>
  <si>
    <t>کشف یک</t>
  </si>
  <si>
    <t>159910</t>
  </si>
  <si>
    <t>1405/2/20</t>
  </si>
  <si>
    <t>1405/2/21</t>
  </si>
  <si>
    <t>1405/2/22</t>
  </si>
  <si>
    <t>1405/2/25</t>
  </si>
  <si>
    <t>1405/2/26</t>
  </si>
  <si>
    <t>35914</t>
  </si>
  <si>
    <t>159925</t>
  </si>
  <si>
    <t>35989</t>
  </si>
  <si>
    <t>159926</t>
  </si>
  <si>
    <t>1401/8/17</t>
  </si>
  <si>
    <t>14012/22</t>
  </si>
  <si>
    <t>35819</t>
  </si>
  <si>
    <t>159607</t>
  </si>
  <si>
    <t>159458</t>
  </si>
  <si>
    <t>1399/1/3</t>
  </si>
  <si>
    <t>35951</t>
  </si>
  <si>
    <t>159554</t>
  </si>
  <si>
    <t>35991</t>
  </si>
  <si>
    <t>159785</t>
  </si>
  <si>
    <t>35994</t>
  </si>
  <si>
    <t>159929</t>
  </si>
  <si>
    <t>35988</t>
  </si>
  <si>
    <t>159930</t>
  </si>
  <si>
    <t>1403/9/22</t>
  </si>
  <si>
    <t>35990</t>
  </si>
  <si>
    <t>159928</t>
  </si>
  <si>
    <t>374/2</t>
  </si>
  <si>
    <t>پمپ داخل مخزن زون k  بوده و اطلاعاتی در مورد برگه انتخاب نبود و فاقد کابل است</t>
  </si>
  <si>
    <t>پمپ داخل چاله پمپاژ میباشد و مقدار 9 متر کابل به سر موتور اضافه شد</t>
  </si>
  <si>
    <t>1403/3/9</t>
  </si>
  <si>
    <t>425/4a</t>
  </si>
  <si>
    <t>1403/12</t>
  </si>
  <si>
    <t>1398/7/16</t>
  </si>
  <si>
    <t>1398/11/17</t>
  </si>
  <si>
    <t>1403/6/8</t>
  </si>
  <si>
    <t>35998</t>
  </si>
  <si>
    <t>159934</t>
  </si>
  <si>
    <t>1405/2/29</t>
  </si>
  <si>
    <t>اطلاعات کابل کشیدن و نصب در محل چاه با کابل خودش مفصل زده شد</t>
  </si>
  <si>
    <t>35999</t>
  </si>
  <si>
    <t>159935</t>
  </si>
  <si>
    <t>35997</t>
  </si>
  <si>
    <t>15933</t>
  </si>
  <si>
    <t>بانک استان</t>
  </si>
  <si>
    <t>همت آباد 3</t>
  </si>
  <si>
    <t>منتظری</t>
  </si>
  <si>
    <t>پارگی لوله آبدهی</t>
  </si>
  <si>
    <t>گیریپاژ</t>
  </si>
  <si>
    <t>نواسان آمپر</t>
  </si>
  <si>
    <t>ده غیبی 2</t>
  </si>
  <si>
    <t>35738</t>
  </si>
  <si>
    <t>159947</t>
  </si>
  <si>
    <t>1401/6/25</t>
  </si>
  <si>
    <t>1405/3/9</t>
  </si>
  <si>
    <t>1402/2/8</t>
  </si>
  <si>
    <t>1405/3/5</t>
  </si>
  <si>
    <t>36012</t>
  </si>
  <si>
    <t>159946</t>
  </si>
  <si>
    <t>1402/4/1</t>
  </si>
  <si>
    <t>1405/3/8</t>
  </si>
  <si>
    <t>36009</t>
  </si>
  <si>
    <t>159944</t>
  </si>
  <si>
    <t>1403/8/22</t>
  </si>
  <si>
    <t>1405/3/7</t>
  </si>
  <si>
    <t>1404/12/10</t>
  </si>
  <si>
    <t>36015</t>
  </si>
  <si>
    <t>159949</t>
  </si>
  <si>
    <t>1405/3/10</t>
  </si>
  <si>
    <t>1403/12/9</t>
  </si>
  <si>
    <t>36016</t>
  </si>
  <si>
    <t>159950</t>
  </si>
  <si>
    <t>36021</t>
  </si>
  <si>
    <t>159952</t>
  </si>
  <si>
    <t>1405/3/12</t>
  </si>
  <si>
    <t xml:space="preserve">محفظه مکش پمپ با اجسام خارجی (پلاستیک ، لاستیک و ... کاملا مسدود شده بود و خوردگی پروانه های پمپ به علت کاهش بیش از حد دبی و هوادهی  بوده است </t>
  </si>
  <si>
    <t>36025</t>
  </si>
  <si>
    <t>159954</t>
  </si>
  <si>
    <t>در حین دکوبلر کردن مشخص شد شافت پمپ از قسمت کوپلینگ بریده شد</t>
  </si>
  <si>
    <t>1405/3/14</t>
  </si>
  <si>
    <t>36008</t>
  </si>
  <si>
    <t>159945</t>
  </si>
  <si>
    <t>1405/3/6</t>
  </si>
  <si>
    <t>35895</t>
  </si>
  <si>
    <t>159839</t>
  </si>
  <si>
    <t>1402/3/1</t>
  </si>
  <si>
    <t>1405/1/4</t>
  </si>
  <si>
    <t>1404/2/6</t>
  </si>
  <si>
    <t xml:space="preserve">برگشتی از چاه </t>
  </si>
  <si>
    <t>159942</t>
  </si>
  <si>
    <t>1402/5/20</t>
  </si>
  <si>
    <t>1405/3/3</t>
  </si>
  <si>
    <t>فاقد برگه انتخاب و با جدول ازمایش گرفته شد</t>
  </si>
  <si>
    <t>36006</t>
  </si>
  <si>
    <t>159941</t>
  </si>
  <si>
    <t>1404/1/16</t>
  </si>
  <si>
    <t>1401/12/29</t>
  </si>
  <si>
    <t>1403/8/23</t>
  </si>
  <si>
    <t>1402/5/30</t>
  </si>
  <si>
    <t>1404/4/13</t>
  </si>
  <si>
    <t>1400/10/16</t>
  </si>
  <si>
    <t>1388/3/16</t>
  </si>
  <si>
    <t>36005</t>
  </si>
  <si>
    <t>159881</t>
  </si>
  <si>
    <t>1405/3/1</t>
  </si>
  <si>
    <t>35865</t>
  </si>
  <si>
    <t>159940</t>
  </si>
  <si>
    <t>36000</t>
  </si>
  <si>
    <t>159936</t>
  </si>
  <si>
    <t>1405/2/30</t>
  </si>
  <si>
    <t>36002</t>
  </si>
  <si>
    <t>159938</t>
  </si>
  <si>
    <t>1405/2/28</t>
  </si>
  <si>
    <t>36001</t>
  </si>
  <si>
    <t>159937</t>
  </si>
  <si>
    <t>36003</t>
  </si>
  <si>
    <t>159939</t>
  </si>
  <si>
    <t>1401/9/5</t>
  </si>
  <si>
    <t>35996</t>
  </si>
  <si>
    <t>159932</t>
  </si>
  <si>
    <t>1405/2/27</t>
  </si>
  <si>
    <t>35935</t>
  </si>
  <si>
    <t>159870</t>
  </si>
  <si>
    <t>1405/1/29</t>
  </si>
  <si>
    <t>1404/10/06</t>
  </si>
  <si>
    <t>1401/01/18</t>
  </si>
  <si>
    <t>اسلام آّباد 10</t>
  </si>
  <si>
    <t>خطای پیمانکار کشیدن و نصب در مفصل زنی</t>
  </si>
  <si>
    <t>سوختن الکتروموتورخطای پیمانکار کشیدن و نصب در مفصل زنی</t>
  </si>
  <si>
    <t>بعد از بررسی مشخص شد مفصل که پیمانکار انجام داده ایراد داشته و الکترو موتور شناور چاه سالم بود که مجدد توسط پیمانکار مفصل زنی شد</t>
  </si>
  <si>
    <t>بعد از بررسی مشخص شد مفصل که پیمانکار انجام داده ایراد داشته و الکتروموتور سوخته است که مجدد توسط پیمانکار مفصل زنی شد</t>
  </si>
  <si>
    <t>36033</t>
  </si>
  <si>
    <t>159960</t>
  </si>
  <si>
    <t>1405/3/16</t>
  </si>
  <si>
    <t>1404/8/13</t>
  </si>
  <si>
    <t>36020</t>
  </si>
  <si>
    <t>36036</t>
  </si>
  <si>
    <t>1405/3/19</t>
  </si>
  <si>
    <t>1405/3/17</t>
  </si>
  <si>
    <t>1405/3/18</t>
  </si>
  <si>
    <t>36026</t>
  </si>
  <si>
    <t>159955</t>
  </si>
  <si>
    <t>1405/3/15</t>
  </si>
  <si>
    <t>با ازمایش تاریخ قبلی تایید شد</t>
  </si>
  <si>
    <t>36034</t>
  </si>
  <si>
    <t>159961</t>
  </si>
  <si>
    <t xml:space="preserve">ستاره </t>
  </si>
  <si>
    <t>شمس الشموس</t>
  </si>
  <si>
    <t>مجتمع پهلوانی1</t>
  </si>
  <si>
    <t>خان سعادت 1</t>
  </si>
  <si>
    <t>پسخوری روستایی</t>
  </si>
  <si>
    <t>35834</t>
  </si>
  <si>
    <t>159962</t>
  </si>
  <si>
    <t>1405/3/21</t>
  </si>
  <si>
    <t>فاقد سر لوله و فاقد اطلاعات برگه انتخاب پمپ موتور خالی بار تست شد بصورت کشیدن و نصب توسط نکویی  در محل چاه مفصل زده شد چاهک</t>
  </si>
  <si>
    <t>35928</t>
  </si>
  <si>
    <t>تجیز جدید</t>
  </si>
  <si>
    <t>دبستان فارابی</t>
  </si>
  <si>
    <t>1403/7/19</t>
  </si>
  <si>
    <t>159429</t>
  </si>
  <si>
    <t>35954</t>
  </si>
  <si>
    <t>1405/3/22</t>
  </si>
  <si>
    <t>1405/3/23</t>
  </si>
  <si>
    <t>3*35و16</t>
  </si>
  <si>
    <t>159964</t>
  </si>
  <si>
    <t>1404/2/17</t>
  </si>
  <si>
    <t>1402/8/7</t>
  </si>
  <si>
    <t>159959</t>
  </si>
  <si>
    <t xml:space="preserve">الکترو موتور برگشتی در کارگاه دمونتاژ و مورد بررسی قرار گرفت موتور اهم گیری شد موتور سوخته است سیم شناور تخلیه شدکه مقداری بوش سر روترو خوردگی داشت لقمه های کف گرد خوردگی داشت ؛ سر و ته موتور بوش یاتاقان ها خراب و اسقاط واستاتور گشاد شده و اسقاط گردید . </t>
  </si>
  <si>
    <t xml:space="preserve">الکترو موتور برگشتی در کارگاه دمونتاژ و مورد بررسی قرار گرفت موتور اهم گیری شد موتور سوخته است سیم شناور تخلیه شد الباقی لوازم سالم بود ضمنا فاقد سر لوله و کابل بود. </t>
  </si>
  <si>
    <t xml:space="preserve">پمپ برگشتی در کارگاه دمونتاژ و مورد بررسی قرار گرفت که بوش استیل ها همه خوردگی  داشت  ؛ پروانه ها مقداری گشاد شده است و لبه پروانه ها نازک شده است </t>
  </si>
  <si>
    <t xml:space="preserve">الکترو موتور برگشتی در کارگاه دمونتاژ و مورد بررسی قرار گرفت که مقداری بوش کاسه نمد ها خراب وکاسه نمدها خراب الباقی لوازم سالم بود گردید . پمپ برگشتی در کارگاه دمونتاژ و مورد بررسی قرار گرفت که بوش استیل ها همه خوردگی  داشت  ؛ پروانه ها مقداری گشاد شده است و لبه پروانه ها نازک شده است </t>
  </si>
  <si>
    <t>1406</t>
  </si>
  <si>
    <t>1407</t>
  </si>
  <si>
    <t>قاسم آباد8</t>
  </si>
  <si>
    <t>35805</t>
  </si>
  <si>
    <t>159908</t>
  </si>
  <si>
    <t>1405/2/10</t>
  </si>
  <si>
    <t>هوادهی و شولاتی</t>
  </si>
  <si>
    <t>36044</t>
  </si>
  <si>
    <t>1405/3/25</t>
  </si>
  <si>
    <t>1403/7/14</t>
  </si>
  <si>
    <t>1403/12/4</t>
  </si>
  <si>
    <t>159963</t>
  </si>
  <si>
    <t>1404/7/28</t>
  </si>
  <si>
    <t>در حین گشیدن الکترو موتور شناور سقوط کرده سعدآبادی</t>
  </si>
  <si>
    <t xml:space="preserve"> الکترو موتور برگشتی در کارگاه دمونتاژ و مورد بررسی قرار گرفت که پرده دیافراگم پارگی داشت و شولات در داخل موتور مشهود بود کاسه نمد ها خراب و لقمه ها و کفگرد خراشیدگی داشت </t>
  </si>
  <si>
    <t>دانش</t>
  </si>
  <si>
    <t>محمد زاده و جوادی</t>
  </si>
  <si>
    <t>زاک 18</t>
  </si>
  <si>
    <t>اناهیتا</t>
  </si>
  <si>
    <t>Apf95/13</t>
  </si>
  <si>
    <t>36052</t>
  </si>
  <si>
    <t>1405/3/29</t>
  </si>
  <si>
    <t>36050</t>
  </si>
  <si>
    <t>159975</t>
  </si>
  <si>
    <t>1405/3/28</t>
  </si>
  <si>
    <t>زاک 17</t>
  </si>
  <si>
    <t>36039</t>
  </si>
  <si>
    <t>159977</t>
  </si>
  <si>
    <t>1405/3/30</t>
  </si>
  <si>
    <t>1402/5/19</t>
  </si>
  <si>
    <t>1402/1026</t>
  </si>
  <si>
    <t>بریده شدن طبقات پمپ ( بالای )  به علت وجود ماسه دهی زیاد  چاه</t>
  </si>
  <si>
    <t>الکروپمپ قبلی ازمحصولات آناهیتا پمپ می باشد موتور سوخته ولی پمپ سالم می باشد</t>
  </si>
  <si>
    <t>1405/3/26</t>
  </si>
  <si>
    <t>36017</t>
  </si>
  <si>
    <t>159974</t>
  </si>
  <si>
    <t>1405/3/31</t>
  </si>
  <si>
    <t>36060</t>
  </si>
  <si>
    <t>برگشتی از چاه جباریان</t>
  </si>
  <si>
    <t>1405/4/6</t>
  </si>
  <si>
    <t>اماده سازی 3</t>
  </si>
  <si>
    <t>159982</t>
  </si>
  <si>
    <t>1405/4/3</t>
  </si>
  <si>
    <t>1404/4/10</t>
  </si>
  <si>
    <t>1404/8/11</t>
  </si>
  <si>
    <t>1404/10/17</t>
  </si>
  <si>
    <t xml:space="preserve">جلال آباد </t>
  </si>
  <si>
    <t>شمس آباد 1</t>
  </si>
  <si>
    <t xml:space="preserve">امام علی </t>
  </si>
  <si>
    <t>بلوار فرودگاه</t>
  </si>
  <si>
    <t xml:space="preserve">امام رضا 16 </t>
  </si>
  <si>
    <t>هواهی ، شولات</t>
  </si>
  <si>
    <t>1404/08/10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</si>
</sst>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90" formatCode="_-&quot;ريال&quot;\ * #,##0.00_-;_-&quot;ريال&quot;\ * #,##0.00\-;_-&quot;ريال&quot;\ * &quot;-&quot;??_-;_-@_-"/>
    <numFmt numFmtId="191" formatCode="_-* #,##0.00_-;_-* #,##0.00\-;_-* &quot;-&quot;??_-;_-@_-"/>
    <numFmt numFmtId="192" formatCode="0;[Red]0"/>
  </numFmts>
  <fonts count="27" x14ac:knownFonts="1">
    <font>
      <sz val="10"/>
      <name val="Arial"/>
      <charset val="178"/>
    </font>
    <font>
      <sz val="10"/>
      <name val="Arial"/>
      <charset val="178"/>
    </font>
    <font>
      <u/>
      <sz val="10"/>
      <color indexed="12"/>
      <name val="Arial"/>
      <family val="2"/>
    </font>
    <font>
      <sz val="8"/>
      <name val="Arial"/>
      <family val="2"/>
    </font>
    <font>
      <sz val="10"/>
      <name val="Arial"/>
      <family val="2"/>
    </font>
    <font>
      <sz val="12"/>
      <name val="Times New Roman"/>
      <family val="1"/>
    </font>
    <font>
      <sz val="12"/>
      <name val="B Roya"/>
      <charset val="178"/>
    </font>
    <font>
      <sz val="11"/>
      <name val="B Roya"/>
      <charset val="178"/>
    </font>
    <font>
      <sz val="10"/>
      <name val="B Roya"/>
      <charset val="178"/>
    </font>
    <font>
      <sz val="14"/>
      <name val="Times New Roman"/>
      <family val="1"/>
    </font>
    <font>
      <b/>
      <sz val="12"/>
      <name val="Times New Roman"/>
      <family val="1"/>
    </font>
    <font>
      <b/>
      <sz val="12"/>
      <name val="B Roya"/>
      <charset val="178"/>
    </font>
    <font>
      <b/>
      <sz val="9"/>
      <color indexed="81"/>
      <name val="Tahoma"/>
      <family val="2"/>
    </font>
    <font>
      <sz val="9"/>
      <color indexed="81"/>
      <name val="Tahoma"/>
      <family val="2"/>
    </font>
    <font>
      <sz val="14"/>
      <name val="B Roya"/>
      <charset val="178"/>
    </font>
    <font>
      <sz val="14"/>
      <name val="Arial"/>
      <family val="2"/>
    </font>
    <font>
      <b/>
      <sz val="10"/>
      <name val="Times New Roman"/>
      <family val="1"/>
    </font>
    <font>
      <b/>
      <sz val="12"/>
      <name val="B Mitra"/>
      <charset val="178"/>
    </font>
    <font>
      <sz val="12"/>
      <name val="Arial"/>
      <family val="2"/>
    </font>
    <font>
      <sz val="22"/>
      <name val="B Roya"/>
      <charset val="178"/>
    </font>
    <font>
      <sz val="12"/>
      <name val="B Mitra"/>
      <charset val="178"/>
    </font>
    <font>
      <sz val="18"/>
      <name val="B Roya"/>
      <charset val="178"/>
    </font>
    <font>
      <sz val="16"/>
      <name val="B Lotus"/>
      <charset val="178"/>
    </font>
    <font>
      <sz val="16"/>
      <name val="B Roya"/>
      <charset val="178"/>
    </font>
    <font>
      <sz val="12"/>
      <color rgb="FFFF0000"/>
      <name val="B Roya"/>
      <charset val="178"/>
    </font>
    <font>
      <sz val="11"/>
      <color theme="1"/>
      <name val="B Nazanin"/>
      <charset val="178"/>
    </font>
    <font>
      <sz val="12"/>
      <color theme="1"/>
      <name val="B Roya"/>
      <charset val="178"/>
    </font>
  </fonts>
  <fills count="2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3" tint="0.59999389629810485"/>
        <bgColor indexed="64"/>
      </patternFill>
    </fill>
    <fill>
      <patternFill patternType="solid">
        <fgColor rgb="FF00B0F0"/>
        <bgColor indexed="64"/>
      </patternFill>
    </fill>
    <fill>
      <patternFill patternType="solid">
        <fgColor rgb="FFFF0000"/>
        <bgColor indexed="64"/>
      </patternFill>
    </fill>
    <fill>
      <patternFill patternType="solid">
        <fgColor theme="9" tint="0.79998168889431442"/>
        <bgColor indexed="64"/>
      </patternFill>
    </fill>
    <fill>
      <patternFill patternType="solid">
        <fgColor rgb="FFC00000"/>
        <bgColor indexed="64"/>
      </patternFill>
    </fill>
    <fill>
      <patternFill patternType="solid">
        <fgColor rgb="FFFFC000"/>
        <bgColor indexed="64"/>
      </patternFill>
    </fill>
    <fill>
      <patternFill patternType="solid">
        <fgColor theme="6"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9"/>
        <bgColor indexed="64"/>
      </patternFill>
    </fill>
    <fill>
      <patternFill patternType="solid">
        <fgColor theme="2"/>
        <bgColor indexed="64"/>
      </patternFill>
    </fill>
    <fill>
      <patternFill patternType="solid">
        <fgColor theme="7"/>
        <bgColor indexed="64"/>
      </patternFill>
    </fill>
    <fill>
      <patternFill patternType="solid">
        <fgColor rgb="FF7030A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s>
  <cellStyleXfs count="5">
    <xf numFmtId="0" fontId="0" fillId="0" borderId="0"/>
    <xf numFmtId="191" fontId="1" fillId="0" borderId="0" applyFont="0" applyFill="0" applyBorder="0" applyAlignment="0" applyProtection="0"/>
    <xf numFmtId="190" fontId="4" fillId="0" borderId="0" applyFont="0" applyFill="0" applyBorder="0" applyAlignment="0" applyProtection="0"/>
    <xf numFmtId="0" fontId="2" fillId="0" borderId="0" applyNumberFormat="0" applyFill="0" applyBorder="0" applyAlignment="0" applyProtection="0">
      <alignment vertical="top"/>
      <protection locked="0"/>
    </xf>
    <xf numFmtId="9" fontId="1" fillId="0" borderId="0" applyFont="0" applyFill="0" applyBorder="0" applyAlignment="0" applyProtection="0"/>
  </cellStyleXfs>
  <cellXfs count="673">
    <xf numFmtId="0" fontId="0" fillId="0" borderId="0" xfId="0"/>
    <xf numFmtId="49" fontId="5" fillId="0" borderId="0" xfId="0" applyNumberFormat="1" applyFont="1" applyFill="1" applyBorder="1" applyAlignment="1">
      <alignment horizontal="center" vertical="center" shrinkToFit="1"/>
    </xf>
    <xf numFmtId="0" fontId="5" fillId="0" borderId="0" xfId="0" applyFont="1" applyFill="1" applyBorder="1" applyAlignment="1">
      <alignment horizontal="center" vertical="center" shrinkToFit="1"/>
    </xf>
    <xf numFmtId="0" fontId="5" fillId="0" borderId="0" xfId="0" applyFont="1" applyFill="1" applyBorder="1" applyAlignment="1">
      <alignment horizontal="center" vertical="center" wrapText="1"/>
    </xf>
    <xf numFmtId="0" fontId="5" fillId="0" borderId="0" xfId="0" applyFont="1" applyBorder="1" applyAlignment="1">
      <alignment horizontal="center" vertical="center" shrinkToFit="1"/>
    </xf>
    <xf numFmtId="192" fontId="5" fillId="0" borderId="0"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190" fontId="5" fillId="0" borderId="0" xfId="2" applyFont="1" applyFill="1" applyBorder="1" applyAlignment="1">
      <alignment horizontal="center" vertical="center" shrinkToFit="1"/>
    </xf>
    <xf numFmtId="3" fontId="5" fillId="0" borderId="0" xfId="0" applyNumberFormat="1" applyFont="1" applyFill="1" applyBorder="1" applyAlignment="1">
      <alignment horizontal="center" vertical="center" shrinkToFit="1"/>
    </xf>
    <xf numFmtId="49" fontId="6" fillId="3" borderId="1" xfId="0" applyNumberFormat="1" applyFont="1" applyFill="1" applyBorder="1" applyAlignment="1">
      <alignment horizontal="center" vertical="center" wrapText="1" shrinkToFit="1"/>
    </xf>
    <xf numFmtId="49" fontId="6" fillId="3" borderId="1" xfId="0" applyNumberFormat="1" applyFont="1" applyFill="1" applyBorder="1" applyAlignment="1">
      <alignment horizontal="center" vertical="center" shrinkToFit="1"/>
    </xf>
    <xf numFmtId="3" fontId="6" fillId="3" borderId="1" xfId="0" applyNumberFormat="1" applyFont="1" applyFill="1" applyBorder="1" applyAlignment="1">
      <alignment horizontal="center" vertical="center" shrinkToFit="1"/>
    </xf>
    <xf numFmtId="49" fontId="24" fillId="4" borderId="1" xfId="0" applyNumberFormat="1" applyFont="1" applyFill="1" applyBorder="1" applyAlignment="1">
      <alignment horizontal="center" vertical="center" shrinkToFit="1"/>
    </xf>
    <xf numFmtId="0" fontId="6" fillId="0" borderId="1" xfId="0" applyFont="1" applyFill="1" applyBorder="1" applyAlignment="1">
      <alignment horizontal="center" vertical="center" shrinkToFit="1"/>
    </xf>
    <xf numFmtId="0" fontId="5" fillId="0" borderId="0"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192" fontId="6" fillId="2" borderId="1" xfId="0" applyNumberFormat="1" applyFont="1" applyFill="1" applyBorder="1" applyAlignment="1">
      <alignment horizontal="center" vertical="center" shrinkToFit="1"/>
    </xf>
    <xf numFmtId="49" fontId="5" fillId="2" borderId="1" xfId="0" applyNumberFormat="1" applyFont="1" applyFill="1" applyBorder="1" applyAlignment="1">
      <alignment horizontal="center" vertical="center" shrinkToFit="1"/>
    </xf>
    <xf numFmtId="0" fontId="5" fillId="2" borderId="1" xfId="0" applyFont="1" applyFill="1" applyBorder="1" applyAlignment="1">
      <alignment horizontal="center" vertical="center" wrapText="1" shrinkToFit="1"/>
    </xf>
    <xf numFmtId="0" fontId="5" fillId="2" borderId="0" xfId="0" applyFont="1" applyFill="1" applyBorder="1" applyAlignment="1">
      <alignment horizontal="center" vertical="center" shrinkToFit="1"/>
    </xf>
    <xf numFmtId="0" fontId="6" fillId="5" borderId="1" xfId="0" applyFont="1" applyFill="1" applyBorder="1" applyAlignment="1">
      <alignment horizontal="center" vertical="center" shrinkToFit="1"/>
    </xf>
    <xf numFmtId="0" fontId="5" fillId="5" borderId="0" xfId="0" applyFont="1" applyFill="1" applyBorder="1" applyAlignment="1">
      <alignment horizontal="center" vertical="center" shrinkToFit="1"/>
    </xf>
    <xf numFmtId="0" fontId="5" fillId="0" borderId="1" xfId="0" applyFont="1" applyFill="1" applyBorder="1" applyAlignment="1">
      <alignment horizontal="center" vertical="center" shrinkToFit="1"/>
    </xf>
    <xf numFmtId="9" fontId="5" fillId="0" borderId="0" xfId="4" applyFont="1" applyFill="1" applyBorder="1" applyAlignment="1">
      <alignment horizontal="center" vertical="center" shrinkToFit="1"/>
    </xf>
    <xf numFmtId="0" fontId="9" fillId="6" borderId="1" xfId="0" applyFont="1" applyFill="1" applyBorder="1" applyAlignment="1">
      <alignment horizontal="center" vertical="center" shrinkToFit="1"/>
    </xf>
    <xf numFmtId="0" fontId="6" fillId="2" borderId="1" xfId="0" applyNumberFormat="1" applyFont="1" applyFill="1" applyBorder="1" applyAlignment="1">
      <alignment horizontal="center" vertical="center" shrinkToFit="1"/>
    </xf>
    <xf numFmtId="190" fontId="5" fillId="2" borderId="0" xfId="2" applyFont="1" applyFill="1" applyBorder="1" applyAlignment="1">
      <alignment horizontal="center" vertical="center" shrinkToFit="1"/>
    </xf>
    <xf numFmtId="49" fontId="7" fillId="2" borderId="1" xfId="0" applyNumberFormat="1" applyFont="1" applyFill="1" applyBorder="1" applyAlignment="1">
      <alignment vertical="center" textRotation="90" wrapText="1"/>
    </xf>
    <xf numFmtId="0" fontId="24" fillId="2" borderId="1" xfId="0" applyFont="1" applyFill="1" applyBorder="1" applyAlignment="1">
      <alignment horizontal="center" vertical="center" shrinkToFit="1"/>
    </xf>
    <xf numFmtId="192" fontId="6" fillId="5" borderId="1" xfId="0" applyNumberFormat="1" applyFont="1" applyFill="1" applyBorder="1" applyAlignment="1">
      <alignment horizontal="center" vertical="center" shrinkToFit="1"/>
    </xf>
    <xf numFmtId="49" fontId="6" fillId="5" borderId="1" xfId="0" applyNumberFormat="1" applyFont="1" applyFill="1" applyBorder="1" applyAlignment="1">
      <alignment horizontal="center" vertical="center" shrinkToFit="1"/>
    </xf>
    <xf numFmtId="49" fontId="24" fillId="5" borderId="1" xfId="0" applyNumberFormat="1" applyFont="1" applyFill="1" applyBorder="1" applyAlignment="1">
      <alignment horizontal="center" vertical="center" shrinkToFit="1"/>
    </xf>
    <xf numFmtId="0" fontId="5" fillId="5" borderId="1" xfId="0" applyFont="1" applyFill="1" applyBorder="1" applyAlignment="1">
      <alignment horizontal="center" vertical="center" wrapText="1" shrinkToFit="1"/>
    </xf>
    <xf numFmtId="0" fontId="6" fillId="7" borderId="1" xfId="0" applyFont="1" applyFill="1" applyBorder="1" applyAlignment="1">
      <alignment horizontal="center" vertical="center" shrinkToFit="1"/>
    </xf>
    <xf numFmtId="192" fontId="6" fillId="7" borderId="1" xfId="0" applyNumberFormat="1" applyFont="1" applyFill="1" applyBorder="1" applyAlignment="1">
      <alignment horizontal="center" vertical="center" shrinkToFit="1"/>
    </xf>
    <xf numFmtId="49" fontId="6" fillId="7" borderId="1" xfId="0" applyNumberFormat="1" applyFont="1" applyFill="1" applyBorder="1" applyAlignment="1">
      <alignment horizontal="center" vertical="center" shrinkToFit="1"/>
    </xf>
    <xf numFmtId="0" fontId="6" fillId="5" borderId="1" xfId="0" applyNumberFormat="1" applyFont="1" applyFill="1" applyBorder="1" applyAlignment="1">
      <alignment horizontal="center" vertical="center" shrinkToFit="1"/>
    </xf>
    <xf numFmtId="49" fontId="6" fillId="8" borderId="1" xfId="0" applyNumberFormat="1" applyFont="1" applyFill="1" applyBorder="1" applyAlignment="1">
      <alignment horizontal="center" vertical="center" shrinkToFit="1"/>
    </xf>
    <xf numFmtId="0" fontId="7" fillId="5" borderId="1" xfId="0" applyFont="1" applyFill="1" applyBorder="1" applyAlignment="1">
      <alignment horizontal="right" vertical="center" wrapText="1" shrinkToFit="1"/>
    </xf>
    <xf numFmtId="49" fontId="5" fillId="5" borderId="1" xfId="0" applyNumberFormat="1" applyFont="1" applyFill="1" applyBorder="1" applyAlignment="1">
      <alignment horizontal="center" vertical="center" shrinkToFit="1"/>
    </xf>
    <xf numFmtId="192" fontId="6" fillId="0" borderId="1" xfId="0" applyNumberFormat="1" applyFont="1" applyFill="1" applyBorder="1" applyAlignment="1">
      <alignment horizontal="center" vertical="center" shrinkToFit="1"/>
    </xf>
    <xf numFmtId="49" fontId="6" fillId="0" borderId="1" xfId="0" applyNumberFormat="1" applyFont="1" applyFill="1" applyBorder="1" applyAlignment="1">
      <alignment horizontal="center" vertical="center" shrinkToFit="1"/>
    </xf>
    <xf numFmtId="49" fontId="7" fillId="0" borderId="1" xfId="0" applyNumberFormat="1" applyFont="1" applyFill="1" applyBorder="1" applyAlignment="1">
      <alignment vertical="center" textRotation="90" wrapText="1"/>
    </xf>
    <xf numFmtId="0" fontId="6" fillId="0" borderId="1" xfId="0" applyNumberFormat="1" applyFont="1" applyFill="1" applyBorder="1" applyAlignment="1">
      <alignment horizontal="center" vertical="center" shrinkToFit="1"/>
    </xf>
    <xf numFmtId="49" fontId="6" fillId="4" borderId="1" xfId="0" applyNumberFormat="1" applyFont="1" applyFill="1" applyBorder="1" applyAlignment="1">
      <alignment horizontal="center" vertical="center" shrinkToFit="1"/>
    </xf>
    <xf numFmtId="0" fontId="5" fillId="0" borderId="1" xfId="0" applyFont="1" applyBorder="1" applyAlignment="1">
      <alignment horizontal="center" vertical="center" wrapText="1" shrinkToFit="1"/>
    </xf>
    <xf numFmtId="49" fontId="24" fillId="2" borderId="1" xfId="0" applyNumberFormat="1" applyFont="1" applyFill="1" applyBorder="1" applyAlignment="1">
      <alignment horizontal="center" vertical="center" shrinkToFit="1"/>
    </xf>
    <xf numFmtId="49" fontId="5" fillId="0" borderId="1" xfId="0" applyNumberFormat="1" applyFont="1" applyFill="1" applyBorder="1" applyAlignment="1">
      <alignment horizontal="center" vertical="center" shrinkToFit="1"/>
    </xf>
    <xf numFmtId="0" fontId="24" fillId="0" borderId="1" xfId="0" applyFont="1" applyFill="1" applyBorder="1" applyAlignment="1">
      <alignment horizontal="center" vertical="center" shrinkToFit="1"/>
    </xf>
    <xf numFmtId="49" fontId="24" fillId="0" borderId="1" xfId="0" applyNumberFormat="1" applyFont="1" applyFill="1" applyBorder="1" applyAlignment="1">
      <alignment horizontal="center" vertical="center" shrinkToFit="1"/>
    </xf>
    <xf numFmtId="49" fontId="5" fillId="7" borderId="1" xfId="0" applyNumberFormat="1" applyFont="1" applyFill="1" applyBorder="1" applyAlignment="1">
      <alignment horizontal="center" vertical="center" shrinkToFit="1"/>
    </xf>
    <xf numFmtId="0" fontId="7" fillId="5" borderId="1" xfId="0" applyFont="1" applyFill="1" applyBorder="1" applyAlignment="1">
      <alignment horizontal="center" vertical="center" wrapText="1" shrinkToFit="1"/>
    </xf>
    <xf numFmtId="0" fontId="7" fillId="2" borderId="1" xfId="0" applyFont="1" applyFill="1" applyBorder="1" applyAlignment="1">
      <alignment horizontal="center" vertical="center" wrapText="1" shrinkToFit="1"/>
    </xf>
    <xf numFmtId="0" fontId="0" fillId="0" borderId="1" xfId="0" applyBorder="1"/>
    <xf numFmtId="49" fontId="8" fillId="0" borderId="1" xfId="0" applyNumberFormat="1" applyFont="1" applyFill="1" applyBorder="1" applyAlignment="1">
      <alignment horizontal="center" vertical="center" wrapText="1" shrinkToFit="1"/>
    </xf>
    <xf numFmtId="0" fontId="7" fillId="0" borderId="1" xfId="0" applyFont="1" applyBorder="1" applyAlignment="1">
      <alignment horizontal="center" vertical="center" wrapText="1" shrinkToFit="1"/>
    </xf>
    <xf numFmtId="49" fontId="6" fillId="5" borderId="1" xfId="0" applyNumberFormat="1" applyFont="1" applyFill="1" applyBorder="1" applyAlignment="1">
      <alignment horizontal="center" vertical="center" wrapText="1" shrinkToFit="1"/>
    </xf>
    <xf numFmtId="49" fontId="6" fillId="0" borderId="1" xfId="0" applyNumberFormat="1" applyFont="1" applyFill="1" applyBorder="1" applyAlignment="1">
      <alignment horizontal="center" vertical="center" wrapText="1" shrinkToFit="1"/>
    </xf>
    <xf numFmtId="49" fontId="11" fillId="8" borderId="1" xfId="0" applyNumberFormat="1" applyFont="1" applyFill="1" applyBorder="1" applyAlignment="1">
      <alignment horizontal="center" vertical="center" shrinkToFit="1"/>
    </xf>
    <xf numFmtId="0" fontId="6" fillId="5" borderId="1" xfId="0" applyFont="1" applyFill="1" applyBorder="1" applyAlignment="1">
      <alignment horizontal="center" vertical="center" wrapText="1" shrinkToFit="1"/>
    </xf>
    <xf numFmtId="192" fontId="6" fillId="5" borderId="1" xfId="0" applyNumberFormat="1" applyFont="1" applyFill="1" applyBorder="1" applyAlignment="1">
      <alignment horizontal="center" vertical="center" wrapText="1" shrinkToFit="1"/>
    </xf>
    <xf numFmtId="49" fontId="6" fillId="8" borderId="1" xfId="0" applyNumberFormat="1" applyFont="1" applyFill="1" applyBorder="1" applyAlignment="1">
      <alignment horizontal="center" vertical="center" wrapText="1" shrinkToFit="1"/>
    </xf>
    <xf numFmtId="49" fontId="24" fillId="5" borderId="1" xfId="0" applyNumberFormat="1" applyFont="1" applyFill="1" applyBorder="1" applyAlignment="1">
      <alignment horizontal="center" vertical="center" wrapText="1" shrinkToFit="1"/>
    </xf>
    <xf numFmtId="0" fontId="8" fillId="5" borderId="2" xfId="0" applyFont="1" applyFill="1" applyBorder="1" applyAlignment="1">
      <alignment vertical="center" wrapText="1" shrinkToFit="1"/>
    </xf>
    <xf numFmtId="0" fontId="5" fillId="5" borderId="0" xfId="0" applyFont="1" applyFill="1" applyBorder="1" applyAlignment="1">
      <alignment horizontal="center" vertical="center" wrapText="1" shrinkToFit="1"/>
    </xf>
    <xf numFmtId="2" fontId="6" fillId="0" borderId="1" xfId="0" applyNumberFormat="1" applyFont="1" applyFill="1" applyBorder="1" applyAlignment="1">
      <alignment horizontal="center" vertical="center" shrinkToFit="1"/>
    </xf>
    <xf numFmtId="3" fontId="6" fillId="3" borderId="1" xfId="0" applyNumberFormat="1" applyFont="1" applyFill="1" applyBorder="1" applyAlignment="1">
      <alignment horizontal="center" vertical="center" wrapText="1" shrinkToFit="1"/>
    </xf>
    <xf numFmtId="0" fontId="6" fillId="9" borderId="1" xfId="0" applyFont="1" applyFill="1" applyBorder="1" applyAlignment="1">
      <alignment horizontal="center" vertical="center" shrinkToFit="1"/>
    </xf>
    <xf numFmtId="192" fontId="6" fillId="9" borderId="1" xfId="0" applyNumberFormat="1" applyFont="1" applyFill="1" applyBorder="1" applyAlignment="1">
      <alignment horizontal="center" vertical="center" shrinkToFit="1"/>
    </xf>
    <xf numFmtId="49" fontId="6" fillId="9" borderId="1" xfId="0" applyNumberFormat="1" applyFont="1" applyFill="1" applyBorder="1" applyAlignment="1">
      <alignment horizontal="center" vertical="center" shrinkToFit="1"/>
    </xf>
    <xf numFmtId="3" fontId="6" fillId="9" borderId="1" xfId="0" applyNumberFormat="1" applyFont="1" applyFill="1" applyBorder="1" applyAlignment="1">
      <alignment horizontal="center" vertical="center" shrinkToFit="1"/>
    </xf>
    <xf numFmtId="0" fontId="6" fillId="9" borderId="1" xfId="0" quotePrefix="1" applyFont="1" applyFill="1" applyBorder="1" applyAlignment="1">
      <alignment horizontal="center" vertical="center" shrinkToFit="1"/>
    </xf>
    <xf numFmtId="14" fontId="6" fillId="9" borderId="1" xfId="0" applyNumberFormat="1" applyFont="1" applyFill="1" applyBorder="1" applyAlignment="1">
      <alignment horizontal="center" vertical="center" shrinkToFit="1"/>
    </xf>
    <xf numFmtId="0" fontId="11" fillId="9" borderId="1" xfId="0" quotePrefix="1" applyFont="1" applyFill="1" applyBorder="1" applyAlignment="1">
      <alignment horizontal="center" vertical="center" shrinkToFit="1"/>
    </xf>
    <xf numFmtId="0" fontId="9" fillId="0" borderId="0" xfId="0" applyFont="1" applyBorder="1" applyAlignment="1">
      <alignment horizontal="center" vertical="center" shrinkToFit="1"/>
    </xf>
    <xf numFmtId="49" fontId="5" fillId="0" borderId="0" xfId="0" applyNumberFormat="1" applyFont="1" applyFill="1" applyBorder="1" applyAlignment="1">
      <alignment horizontal="center" vertical="center" shrinkToFit="1" readingOrder="2"/>
    </xf>
    <xf numFmtId="0" fontId="5" fillId="2" borderId="0" xfId="0" applyFont="1" applyFill="1" applyBorder="1" applyAlignment="1">
      <alignment horizontal="center" vertical="center" wrapText="1"/>
    </xf>
    <xf numFmtId="49" fontId="5" fillId="2" borderId="0" xfId="0" applyNumberFormat="1" applyFont="1" applyFill="1" applyBorder="1" applyAlignment="1">
      <alignment horizontal="center" vertical="center" shrinkToFit="1" readingOrder="2"/>
    </xf>
    <xf numFmtId="49" fontId="6" fillId="2" borderId="0" xfId="0" applyNumberFormat="1" applyFont="1" applyFill="1" applyBorder="1" applyAlignment="1">
      <alignment horizontal="center" vertical="center" shrinkToFit="1" readingOrder="2"/>
    </xf>
    <xf numFmtId="0" fontId="6" fillId="0" borderId="3" xfId="0" applyFont="1" applyFill="1" applyBorder="1" applyAlignment="1">
      <alignment horizontal="center" vertical="center" shrinkToFit="1"/>
    </xf>
    <xf numFmtId="190" fontId="6" fillId="0" borderId="1" xfId="2" applyFont="1" applyFill="1" applyBorder="1" applyAlignment="1">
      <alignment horizontal="center" vertical="center" shrinkToFit="1"/>
    </xf>
    <xf numFmtId="3" fontId="6" fillId="2" borderId="1" xfId="0" applyNumberFormat="1" applyFont="1" applyFill="1" applyBorder="1" applyAlignment="1">
      <alignment horizontal="center" vertical="center" shrinkToFit="1"/>
    </xf>
    <xf numFmtId="49" fontId="6" fillId="0" borderId="4" xfId="0" applyNumberFormat="1" applyFont="1" applyFill="1" applyBorder="1" applyAlignment="1">
      <alignment horizontal="center" vertical="center" shrinkToFit="1" readingOrder="2"/>
    </xf>
    <xf numFmtId="0" fontId="6" fillId="9" borderId="3" xfId="0" applyFont="1" applyFill="1" applyBorder="1" applyAlignment="1">
      <alignment horizontal="center" vertical="center" shrinkToFit="1"/>
    </xf>
    <xf numFmtId="190" fontId="6" fillId="9" borderId="1" xfId="2" applyFont="1" applyFill="1" applyBorder="1" applyAlignment="1">
      <alignment horizontal="center" vertical="center" shrinkToFit="1"/>
    </xf>
    <xf numFmtId="49" fontId="6" fillId="9" borderId="4" xfId="0" applyNumberFormat="1" applyFont="1" applyFill="1" applyBorder="1" applyAlignment="1">
      <alignment horizontal="center" vertical="center" shrinkToFit="1" readingOrder="2"/>
    </xf>
    <xf numFmtId="49" fontId="6" fillId="10" borderId="1" xfId="0" applyNumberFormat="1" applyFont="1" applyFill="1" applyBorder="1" applyAlignment="1">
      <alignment horizontal="center" vertical="center" shrinkToFit="1"/>
    </xf>
    <xf numFmtId="192" fontId="6" fillId="11" borderId="1" xfId="0" applyNumberFormat="1" applyFont="1" applyFill="1" applyBorder="1" applyAlignment="1">
      <alignment horizontal="center" vertical="center" shrinkToFit="1"/>
    </xf>
    <xf numFmtId="0" fontId="0" fillId="5" borderId="0" xfId="0" applyFill="1" applyAlignment="1">
      <alignment wrapText="1"/>
    </xf>
    <xf numFmtId="0" fontId="11" fillId="5" borderId="1" xfId="0" applyFont="1" applyFill="1" applyBorder="1" applyAlignment="1">
      <alignment horizontal="center" vertical="center" wrapText="1" shrinkToFit="1"/>
    </xf>
    <xf numFmtId="0" fontId="2" fillId="2" borderId="1" xfId="3" applyFill="1" applyBorder="1" applyAlignment="1" applyProtection="1">
      <alignment horizontal="center" vertical="center" shrinkToFit="1"/>
    </xf>
    <xf numFmtId="0" fontId="5" fillId="2" borderId="1" xfId="0" applyFont="1" applyFill="1" applyBorder="1" applyAlignment="1">
      <alignment horizontal="center" vertical="center" shrinkToFi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12" borderId="1" xfId="0" applyFill="1" applyBorder="1" applyAlignment="1">
      <alignment horizontal="center" vertical="center"/>
    </xf>
    <xf numFmtId="192" fontId="6" fillId="13" borderId="1" xfId="0" applyNumberFormat="1" applyFont="1" applyFill="1" applyBorder="1" applyAlignment="1">
      <alignment horizontal="center" vertical="center" shrinkToFit="1"/>
    </xf>
    <xf numFmtId="0" fontId="5" fillId="0" borderId="1" xfId="0" applyFont="1" applyFill="1" applyBorder="1" applyAlignment="1">
      <alignment horizontal="center" vertical="center" wrapText="1" shrinkToFit="1"/>
    </xf>
    <xf numFmtId="0" fontId="0" fillId="0" borderId="0" xfId="0" applyFill="1" applyAlignment="1">
      <alignment wrapText="1"/>
    </xf>
    <xf numFmtId="0" fontId="7" fillId="0" borderId="1" xfId="0" applyFont="1" applyFill="1" applyBorder="1" applyAlignment="1">
      <alignment horizontal="right" vertical="center" wrapText="1" shrinkToFit="1"/>
    </xf>
    <xf numFmtId="0" fontId="11" fillId="0" borderId="1" xfId="0" applyFont="1" applyFill="1" applyBorder="1" applyAlignment="1">
      <alignment horizontal="center" vertical="center" wrapText="1" shrinkToFit="1"/>
    </xf>
    <xf numFmtId="192" fontId="5" fillId="2" borderId="1" xfId="0" applyNumberFormat="1" applyFont="1" applyFill="1" applyBorder="1" applyAlignment="1">
      <alignment horizontal="center" vertical="center" shrinkToFit="1"/>
    </xf>
    <xf numFmtId="190" fontId="5" fillId="2" borderId="1" xfId="2" applyFont="1" applyFill="1" applyBorder="1" applyAlignment="1">
      <alignment horizontal="center" vertical="center" shrinkToFit="1"/>
    </xf>
    <xf numFmtId="0" fontId="0" fillId="2" borderId="1" xfId="0" applyFill="1" applyBorder="1"/>
    <xf numFmtId="190" fontId="6" fillId="2" borderId="1" xfId="2" applyFont="1" applyFill="1" applyBorder="1" applyAlignment="1">
      <alignment horizontal="center" vertical="center" shrinkToFit="1"/>
    </xf>
    <xf numFmtId="0" fontId="8" fillId="2" borderId="1" xfId="0" applyFont="1" applyFill="1" applyBorder="1"/>
    <xf numFmtId="49" fontId="7" fillId="9" borderId="1" xfId="0" applyNumberFormat="1" applyFont="1" applyFill="1" applyBorder="1" applyAlignment="1">
      <alignment horizontal="center" vertical="center" wrapText="1"/>
    </xf>
    <xf numFmtId="49" fontId="7" fillId="9" borderId="1" xfId="0" applyNumberFormat="1" applyFont="1" applyFill="1" applyBorder="1" applyAlignment="1">
      <alignment horizontal="center" vertical="center" textRotation="90" wrapText="1"/>
    </xf>
    <xf numFmtId="49" fontId="6" fillId="9" borderId="1" xfId="0" applyNumberFormat="1" applyFont="1" applyFill="1" applyBorder="1" applyAlignment="1">
      <alignment horizontal="center" vertical="center" wrapText="1" shrinkToFit="1"/>
    </xf>
    <xf numFmtId="0" fontId="8"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49" fontId="24"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0" fontId="2" fillId="9" borderId="1" xfId="3" applyFill="1" applyBorder="1" applyAlignment="1" applyProtection="1">
      <alignment horizontal="center" vertical="center" shrinkToFit="1"/>
    </xf>
    <xf numFmtId="49" fontId="5" fillId="9" borderId="1" xfId="0" applyNumberFormat="1" applyFont="1" applyFill="1" applyBorder="1" applyAlignment="1">
      <alignment horizontal="center" vertical="center" shrinkToFit="1"/>
    </xf>
    <xf numFmtId="0" fontId="0" fillId="9" borderId="1" xfId="0" applyFill="1" applyBorder="1"/>
    <xf numFmtId="192" fontId="5" fillId="9" borderId="1" xfId="0" applyNumberFormat="1" applyFont="1" applyFill="1" applyBorder="1" applyAlignment="1">
      <alignment horizontal="center" vertical="center" shrinkToFit="1"/>
    </xf>
    <xf numFmtId="190" fontId="5" fillId="9" borderId="1" xfId="2" applyFont="1" applyFill="1" applyBorder="1" applyAlignment="1">
      <alignment horizontal="center" vertical="center" shrinkToFit="1"/>
    </xf>
    <xf numFmtId="0" fontId="8" fillId="9" borderId="1" xfId="0" applyFont="1" applyFill="1" applyBorder="1"/>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9" borderId="1" xfId="0" applyFont="1" applyFill="1" applyBorder="1" applyAlignment="1">
      <alignment horizontal="center" vertical="center" shrinkToFit="1"/>
    </xf>
    <xf numFmtId="49" fontId="6" fillId="9"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2" fontId="6" fillId="9" borderId="1" xfId="0" applyNumberFormat="1" applyFont="1" applyFill="1" applyBorder="1" applyAlignment="1">
      <alignment horizontal="center" vertical="center" shrinkToFit="1"/>
    </xf>
    <xf numFmtId="2" fontId="6" fillId="2" borderId="1" xfId="0" applyNumberFormat="1" applyFont="1" applyFill="1" applyBorder="1" applyAlignment="1">
      <alignment horizontal="center" vertical="center" shrinkToFit="1"/>
    </xf>
    <xf numFmtId="2" fontId="5" fillId="2" borderId="1" xfId="0" applyNumberFormat="1" applyFont="1" applyFill="1" applyBorder="1" applyAlignment="1">
      <alignment horizontal="center" vertical="center" shrinkToFit="1"/>
    </xf>
    <xf numFmtId="1" fontId="6" fillId="3" borderId="1" xfId="0" applyNumberFormat="1" applyFont="1" applyFill="1" applyBorder="1" applyAlignment="1">
      <alignment horizontal="center" vertical="center" wrapText="1" shrinkToFit="1"/>
    </xf>
    <xf numFmtId="1" fontId="6" fillId="9" borderId="1" xfId="0" applyNumberFormat="1" applyFont="1" applyFill="1" applyBorder="1" applyAlignment="1">
      <alignment horizontal="center" vertical="center" wrapText="1" shrinkToFit="1"/>
    </xf>
    <xf numFmtId="1" fontId="6" fillId="9" borderId="1" xfId="0" applyNumberFormat="1" applyFont="1" applyFill="1" applyBorder="1" applyAlignment="1">
      <alignment horizontal="center" vertical="center" shrinkToFit="1"/>
    </xf>
    <xf numFmtId="1" fontId="6" fillId="2" borderId="1" xfId="0" applyNumberFormat="1" applyFont="1" applyFill="1" applyBorder="1" applyAlignment="1">
      <alignment horizontal="center" vertical="center" shrinkToFit="1"/>
    </xf>
    <xf numFmtId="1" fontId="5" fillId="2" borderId="1" xfId="2" applyNumberFormat="1" applyFont="1" applyFill="1" applyBorder="1" applyAlignment="1">
      <alignment horizontal="center" vertical="center" shrinkToFit="1"/>
    </xf>
    <xf numFmtId="1" fontId="5" fillId="9" borderId="1" xfId="2" applyNumberFormat="1" applyFont="1" applyFill="1" applyBorder="1" applyAlignment="1">
      <alignment horizontal="center" vertical="center" shrinkToFit="1"/>
    </xf>
    <xf numFmtId="1" fontId="6" fillId="2" borderId="1" xfId="2" applyNumberFormat="1" applyFont="1" applyFill="1" applyBorder="1" applyAlignment="1">
      <alignment horizontal="center" vertical="center" shrinkToFit="1"/>
    </xf>
    <xf numFmtId="1" fontId="6" fillId="9" borderId="1" xfId="2" applyNumberFormat="1" applyFont="1" applyFill="1" applyBorder="1" applyAlignment="1">
      <alignment horizontal="center" vertical="center" shrinkToFit="1"/>
    </xf>
    <xf numFmtId="1" fontId="5" fillId="2" borderId="1" xfId="0" applyNumberFormat="1" applyFont="1" applyFill="1" applyBorder="1" applyAlignment="1">
      <alignment horizontal="center" vertical="center" shrinkToFit="1"/>
    </xf>
    <xf numFmtId="1" fontId="5" fillId="0" borderId="0" xfId="2" applyNumberFormat="1" applyFont="1" applyFill="1" applyBorder="1" applyAlignment="1">
      <alignment horizontal="center" vertical="center" shrinkToFit="1"/>
    </xf>
    <xf numFmtId="2" fontId="5" fillId="9" borderId="1" xfId="0" applyNumberFormat="1" applyFont="1" applyFill="1" applyBorder="1" applyAlignment="1">
      <alignment horizontal="center" vertical="center" shrinkToFit="1"/>
    </xf>
    <xf numFmtId="2" fontId="5" fillId="0" borderId="0" xfId="0" applyNumberFormat="1" applyFont="1" applyFill="1" applyBorder="1" applyAlignment="1">
      <alignment horizontal="center" vertical="center" shrinkToFit="1"/>
    </xf>
    <xf numFmtId="1" fontId="5" fillId="9" borderId="1" xfId="0" applyNumberFormat="1" applyFont="1" applyFill="1" applyBorder="1" applyAlignment="1">
      <alignment horizontal="center" vertical="center" shrinkToFit="1"/>
    </xf>
    <xf numFmtId="1" fontId="5" fillId="0" borderId="0" xfId="0" applyNumberFormat="1" applyFont="1" applyFill="1" applyBorder="1" applyAlignment="1">
      <alignment horizontal="center" vertical="center" shrinkToFit="1"/>
    </xf>
    <xf numFmtId="2" fontId="6" fillId="3" borderId="1" xfId="0" applyNumberFormat="1" applyFont="1" applyFill="1" applyBorder="1" applyAlignment="1">
      <alignment horizontal="center" vertical="center" shrinkToFit="1"/>
    </xf>
    <xf numFmtId="49" fontId="14" fillId="9" borderId="1" xfId="0" applyNumberFormat="1" applyFont="1" applyFill="1" applyBorder="1" applyAlignment="1">
      <alignment horizontal="center" vertical="center" wrapText="1"/>
    </xf>
    <xf numFmtId="49" fontId="14" fillId="9" borderId="1" xfId="0" applyNumberFormat="1" applyFont="1" applyFill="1" applyBorder="1" applyAlignment="1">
      <alignment horizontal="center" vertical="center" shrinkToFit="1"/>
    </xf>
    <xf numFmtId="49" fontId="14" fillId="2" borderId="1" xfId="0" applyNumberFormat="1" applyFont="1" applyFill="1" applyBorder="1" applyAlignment="1">
      <alignment horizontal="center" vertical="center" shrinkToFit="1"/>
    </xf>
    <xf numFmtId="0" fontId="9" fillId="9" borderId="1" xfId="0" applyFont="1" applyFill="1" applyBorder="1" applyAlignment="1">
      <alignment horizontal="center" vertical="center" shrinkToFit="1"/>
    </xf>
    <xf numFmtId="0" fontId="9" fillId="2" borderId="1" xfId="0" applyFont="1" applyFill="1" applyBorder="1" applyAlignment="1">
      <alignment horizontal="center" vertical="center" shrinkToFit="1"/>
    </xf>
    <xf numFmtId="0" fontId="15" fillId="9" borderId="1" xfId="0" applyFont="1" applyFill="1" applyBorder="1" applyAlignment="1">
      <alignment horizontal="center" vertical="center"/>
    </xf>
    <xf numFmtId="0" fontId="15"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9" borderId="1" xfId="0" applyFont="1" applyFill="1" applyBorder="1" applyAlignment="1">
      <alignment horizontal="center" vertical="center"/>
    </xf>
    <xf numFmtId="0" fontId="15" fillId="0" borderId="0" xfId="0" applyFont="1" applyAlignment="1">
      <alignment horizontal="center" vertical="center"/>
    </xf>
    <xf numFmtId="0" fontId="9" fillId="9" borderId="1" xfId="0" applyFont="1" applyFill="1" applyBorder="1" applyAlignment="1">
      <alignment horizontal="center" vertical="center" wrapText="1"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25" fillId="0" borderId="1" xfId="0" applyFont="1" applyBorder="1" applyAlignment="1">
      <alignment horizontal="center" vertical="center"/>
    </xf>
    <xf numFmtId="0" fontId="25" fillId="11" borderId="1" xfId="0" applyFont="1" applyFill="1" applyBorder="1" applyAlignment="1">
      <alignment horizontal="center" vertical="center"/>
    </xf>
    <xf numFmtId="0" fontId="25" fillId="5" borderId="1" xfId="0" applyFont="1" applyFill="1" applyBorder="1" applyAlignment="1">
      <alignment horizontal="center" vertical="center"/>
    </xf>
    <xf numFmtId="192" fontId="6" fillId="8"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25" fillId="5" borderId="1" xfId="0" applyFont="1" applyFill="1" applyBorder="1" applyAlignment="1">
      <alignment horizontal="center" vertical="center" wrapText="1"/>
    </xf>
    <xf numFmtId="192" fontId="2" fillId="2" borderId="1" xfId="3" applyNumberFormat="1" applyFill="1" applyBorder="1" applyAlignment="1" applyProtection="1">
      <alignment horizontal="center" vertical="center" shrinkToFit="1"/>
    </xf>
    <xf numFmtId="192" fontId="2" fillId="5" borderId="1" xfId="3" applyNumberFormat="1" applyFill="1" applyBorder="1" applyAlignment="1" applyProtection="1">
      <alignment horizontal="center" vertical="center" shrinkToFit="1"/>
    </xf>
    <xf numFmtId="0" fontId="25" fillId="0" borderId="1" xfId="0" applyFont="1" applyBorder="1" applyAlignment="1">
      <alignment horizontal="center" vertical="center" wrapTex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25" fillId="2" borderId="1" xfId="0" applyFont="1" applyFill="1" applyBorder="1" applyAlignment="1">
      <alignment horizontal="center" vertical="center"/>
    </xf>
    <xf numFmtId="49" fontId="6" fillId="2" borderId="1" xfId="0" applyNumberFormat="1" applyFont="1" applyFill="1" applyBorder="1" applyAlignment="1">
      <alignment horizontal="center" vertical="center" shrinkToFit="1"/>
    </xf>
    <xf numFmtId="0" fontId="25" fillId="7" borderId="1" xfId="0" applyFont="1" applyFill="1" applyBorder="1" applyAlignment="1">
      <alignment horizontal="center" vertical="center"/>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9" borderId="1" xfId="0" applyFont="1" applyFill="1" applyBorder="1" applyAlignment="1">
      <alignment horizontal="center" vertical="center" shrinkToFit="1"/>
    </xf>
    <xf numFmtId="49" fontId="6" fillId="9"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7" fillId="2" borderId="1" xfId="0" applyFont="1" applyFill="1" applyBorder="1" applyAlignment="1">
      <alignment horizontal="right" vertical="center" wrapText="1" shrinkToFit="1"/>
    </xf>
    <xf numFmtId="0" fontId="11" fillId="2" borderId="1" xfId="0" applyFont="1" applyFill="1" applyBorder="1" applyAlignment="1">
      <alignment horizontal="center" vertical="center" wrapText="1" shrinkToFit="1"/>
    </xf>
    <xf numFmtId="0" fontId="25" fillId="2" borderId="1" xfId="0" applyFont="1" applyFill="1" applyBorder="1" applyAlignment="1">
      <alignment horizontal="center" vertical="center" wrapTex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192" fontId="6" fillId="14" borderId="1" xfId="0" applyNumberFormat="1" applyFont="1" applyFill="1" applyBorder="1" applyAlignment="1">
      <alignment horizontal="center" vertical="center" shrinkToFit="1"/>
    </xf>
    <xf numFmtId="0" fontId="6" fillId="14" borderId="1" xfId="0" applyFont="1" applyFill="1" applyBorder="1" applyAlignment="1">
      <alignment horizontal="center" vertical="center" shrinkToFit="1"/>
    </xf>
    <xf numFmtId="49" fontId="6" fillId="15" borderId="1" xfId="0" applyNumberFormat="1" applyFont="1" applyFill="1" applyBorder="1" applyAlignment="1">
      <alignment horizontal="center" vertical="center" shrinkToFit="1"/>
    </xf>
    <xf numFmtId="0" fontId="25" fillId="15" borderId="1" xfId="0" applyFont="1" applyFill="1" applyBorder="1" applyAlignment="1">
      <alignment horizontal="center" vertical="center"/>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16" borderId="1" xfId="0" applyFont="1" applyFill="1" applyBorder="1" applyAlignment="1">
      <alignment horizontal="center" vertical="center" shrinkToFit="1"/>
    </xf>
    <xf numFmtId="192" fontId="6" fillId="16"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7" fillId="2" borderId="1" xfId="0" applyNumberFormat="1" applyFont="1" applyFill="1" applyBorder="1" applyAlignment="1">
      <alignment horizontal="center" vertical="center" wrapText="1"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17" borderId="1" xfId="0" applyFont="1" applyFill="1" applyBorder="1" applyAlignment="1">
      <alignment horizontal="center" vertical="center" shrinkToFit="1"/>
    </xf>
    <xf numFmtId="0" fontId="6" fillId="18"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9" borderId="1" xfId="0" applyFont="1" applyFill="1" applyBorder="1" applyAlignment="1">
      <alignment horizontal="center" vertical="center" shrinkToFit="1"/>
    </xf>
    <xf numFmtId="49" fontId="6" fillId="9" borderId="1" xfId="0" applyNumberFormat="1" applyFont="1" applyFill="1" applyBorder="1" applyAlignment="1">
      <alignment horizontal="center" vertical="center" shrinkToFit="1"/>
    </xf>
    <xf numFmtId="0" fontId="17" fillId="2" borderId="1" xfId="0" applyFont="1" applyFill="1" applyBorder="1" applyAlignment="1">
      <alignment horizontal="center" vertical="center" wrapText="1" shrinkToFit="1"/>
    </xf>
    <xf numFmtId="0" fontId="17" fillId="5" borderId="1" xfId="0" applyFont="1" applyFill="1" applyBorder="1" applyAlignment="1">
      <alignment horizontal="center" vertical="center" wrapText="1" shrinkToFit="1"/>
    </xf>
    <xf numFmtId="0" fontId="17" fillId="0" borderId="0" xfId="0" applyFont="1" applyBorder="1" applyAlignment="1">
      <alignment horizontal="center" vertical="center" wrapText="1"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1" fontId="6" fillId="5"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191" fontId="6" fillId="2" borderId="1" xfId="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18" fillId="0" borderId="1" xfId="0" applyFont="1" applyBorder="1" applyAlignment="1">
      <alignment horizontal="center" vertical="center"/>
    </xf>
    <xf numFmtId="0" fontId="4" fillId="0" borderId="1" xfId="0" applyFont="1" applyBorder="1" applyAlignment="1">
      <alignment horizontal="center" vertical="center"/>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192" fontId="6" fillId="19"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0" borderId="1" xfId="0" applyFont="1" applyFill="1" applyBorder="1" applyAlignment="1">
      <alignment horizontal="center" vertical="center" shrinkToFit="1"/>
    </xf>
    <xf numFmtId="49" fontId="7" fillId="20" borderId="1" xfId="0" applyNumberFormat="1" applyFont="1" applyFill="1" applyBorder="1" applyAlignment="1">
      <alignment horizontal="center" vertical="center" textRotation="90" wrapTex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5" borderId="1" xfId="0" quotePrefix="1"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11" fillId="2" borderId="1" xfId="0" applyNumberFormat="1" applyFont="1" applyFill="1" applyBorder="1" applyAlignment="1">
      <alignment horizontal="center" vertical="center" shrinkToFit="1"/>
    </xf>
    <xf numFmtId="0" fontId="6" fillId="11" borderId="1" xfId="0" applyFont="1" applyFill="1" applyBorder="1" applyAlignment="1">
      <alignment horizontal="center" vertical="center" shrinkToFit="1"/>
    </xf>
    <xf numFmtId="49" fontId="6" fillId="11" borderId="1" xfId="0" applyNumberFormat="1" applyFont="1" applyFill="1" applyBorder="1" applyAlignment="1">
      <alignment horizontal="center" vertical="center" shrinkToFit="1"/>
    </xf>
    <xf numFmtId="49" fontId="19" fillId="2" borderId="1" xfId="0" applyNumberFormat="1" applyFont="1" applyFill="1" applyBorder="1" applyAlignment="1">
      <alignment horizontal="center" vertical="center" shrinkToFit="1"/>
    </xf>
    <xf numFmtId="49" fontId="19" fillId="5" borderId="1" xfId="0" applyNumberFormat="1" applyFont="1" applyFill="1" applyBorder="1" applyAlignment="1">
      <alignment horizontal="center" vertical="center" shrinkToFit="1"/>
    </xf>
    <xf numFmtId="49" fontId="14" fillId="11"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20" fillId="2" borderId="1" xfId="0" applyFont="1" applyFill="1" applyBorder="1" applyAlignment="1">
      <alignment horizontal="center" vertical="center" wrapText="1" shrinkToFit="1"/>
    </xf>
    <xf numFmtId="0" fontId="20" fillId="5" borderId="1" xfId="0" applyFont="1" applyFill="1" applyBorder="1" applyAlignment="1">
      <alignment horizontal="center" vertical="center" wrapText="1"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21" fillId="20" borderId="1" xfId="0" applyFont="1" applyFill="1" applyBorder="1" applyAlignment="1">
      <alignment horizontal="center" vertical="center" shrinkToFit="1"/>
    </xf>
    <xf numFmtId="0" fontId="0" fillId="0" borderId="0" xfId="0" applyAlignment="1">
      <alignment horizontal="right"/>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14" fillId="5"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5"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textRotation="90"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2" xfId="0" applyFont="1" applyFill="1" applyBorder="1" applyAlignment="1">
      <alignment horizontal="center" vertical="center" shrinkToFit="1"/>
    </xf>
    <xf numFmtId="49" fontId="6" fillId="2" borderId="2" xfId="0" applyNumberFormat="1" applyFont="1" applyFill="1" applyBorder="1" applyAlignment="1">
      <alignment horizontal="center" vertical="center" shrinkToFit="1"/>
    </xf>
    <xf numFmtId="192" fontId="6" fillId="2" borderId="2" xfId="0" applyNumberFormat="1" applyFont="1" applyFill="1" applyBorder="1" applyAlignment="1">
      <alignment horizontal="center" vertical="center" shrinkToFit="1"/>
    </xf>
    <xf numFmtId="0" fontId="6" fillId="20" borderId="2" xfId="0" applyFont="1" applyFill="1" applyBorder="1" applyAlignment="1">
      <alignment horizontal="center" vertical="center" shrinkToFit="1"/>
    </xf>
    <xf numFmtId="49" fontId="6" fillId="7" borderId="2" xfId="0" applyNumberFormat="1" applyFont="1" applyFill="1" applyBorder="1" applyAlignment="1">
      <alignment horizontal="center" vertical="center" shrinkToFit="1"/>
    </xf>
    <xf numFmtId="49" fontId="6" fillId="0" borderId="2" xfId="0" applyNumberFormat="1" applyFont="1" applyFill="1" applyBorder="1" applyAlignment="1">
      <alignment horizontal="center" vertical="center" shrinkToFit="1"/>
    </xf>
    <xf numFmtId="0" fontId="6" fillId="0" borderId="2" xfId="0" applyFont="1" applyFill="1" applyBorder="1" applyAlignment="1">
      <alignment horizontal="center" vertical="center" shrinkToFit="1"/>
    </xf>
    <xf numFmtId="0" fontId="6" fillId="7" borderId="2" xfId="0" applyFont="1" applyFill="1" applyBorder="1" applyAlignment="1">
      <alignment horizontal="center" vertical="center" shrinkToFit="1"/>
    </xf>
    <xf numFmtId="0" fontId="6" fillId="2" borderId="2" xfId="0" applyNumberFormat="1" applyFont="1" applyFill="1" applyBorder="1" applyAlignment="1">
      <alignment horizontal="center" vertical="center" shrinkToFit="1"/>
    </xf>
    <xf numFmtId="1" fontId="6" fillId="2" borderId="2" xfId="0" applyNumberFormat="1" applyFont="1" applyFill="1" applyBorder="1" applyAlignment="1">
      <alignment horizontal="center" vertical="center" shrinkToFit="1"/>
    </xf>
    <xf numFmtId="49" fontId="24" fillId="4" borderId="2" xfId="0" applyNumberFormat="1" applyFont="1" applyFill="1" applyBorder="1" applyAlignment="1">
      <alignment horizontal="center" vertical="center" shrinkToFit="1"/>
    </xf>
    <xf numFmtId="0" fontId="20" fillId="2" borderId="2" xfId="0" applyFont="1" applyFill="1" applyBorder="1" applyAlignment="1">
      <alignment horizontal="center" vertical="center" wrapText="1"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0"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7" fillId="3" borderId="2"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5" borderId="2" xfId="0" applyFont="1" applyFill="1" applyBorder="1" applyAlignment="1">
      <alignment vertical="center" wrapText="1"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14" fillId="5" borderId="1" xfId="0" applyFont="1" applyFill="1" applyBorder="1" applyAlignment="1">
      <alignment horizontal="center" vertical="center" wrapText="1"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192" fontId="6" fillId="2" borderId="1" xfId="0" applyNumberFormat="1" applyFont="1" applyFill="1" applyBorder="1" applyAlignment="1">
      <alignment horizontal="center" vertical="center" wrapText="1" shrinkToFit="1"/>
    </xf>
    <xf numFmtId="0" fontId="6" fillId="20" borderId="1" xfId="0" applyFont="1" applyFill="1" applyBorder="1" applyAlignment="1">
      <alignment horizontal="center" vertical="center" wrapText="1" shrinkToFit="1"/>
    </xf>
    <xf numFmtId="0" fontId="6" fillId="0" borderId="1" xfId="0" applyFont="1" applyFill="1" applyBorder="1" applyAlignment="1">
      <alignment horizontal="center" vertical="center" wrapText="1" shrinkToFit="1"/>
    </xf>
    <xf numFmtId="0" fontId="6" fillId="2" borderId="1" xfId="0" applyNumberFormat="1" applyFont="1" applyFill="1" applyBorder="1" applyAlignment="1">
      <alignment horizontal="center" vertical="center" wrapText="1" shrinkToFit="1"/>
    </xf>
    <xf numFmtId="1" fontId="6" fillId="2" borderId="1" xfId="0" applyNumberFormat="1" applyFont="1" applyFill="1" applyBorder="1" applyAlignment="1">
      <alignment horizontal="center" vertical="center" wrapText="1" shrinkToFit="1"/>
    </xf>
    <xf numFmtId="49" fontId="24" fillId="4" borderId="1" xfId="0" applyNumberFormat="1" applyFont="1" applyFill="1" applyBorder="1" applyAlignment="1">
      <alignment horizontal="center" vertical="center" wrapText="1" shrinkToFit="1"/>
    </xf>
    <xf numFmtId="0" fontId="0" fillId="0" borderId="0" xfId="0" applyAlignment="1">
      <alignment wrapTex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23" fillId="5" borderId="1" xfId="0" applyFont="1" applyFill="1" applyBorder="1" applyAlignment="1">
      <alignment horizontal="center" vertical="center" wrapText="1"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49" fontId="7" fillId="3" borderId="7" xfId="0" applyNumberFormat="1" applyFont="1" applyFill="1" applyBorder="1" applyAlignment="1">
      <alignment horizontal="center" vertical="center" textRotation="90" wrapText="1"/>
    </xf>
    <xf numFmtId="49" fontId="7" fillId="3" borderId="6" xfId="0" applyNumberFormat="1" applyFont="1" applyFill="1" applyBorder="1" applyAlignment="1">
      <alignment horizontal="center" vertical="center" textRotation="90" wrapText="1"/>
    </xf>
    <xf numFmtId="49" fontId="7" fillId="3" borderId="2"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49" fontId="7" fillId="3" borderId="2" xfId="0" applyNumberFormat="1" applyFont="1" applyFill="1" applyBorder="1" applyAlignment="1">
      <alignment horizontal="center" vertical="center" textRotation="90" wrapText="1"/>
    </xf>
    <xf numFmtId="49" fontId="7" fillId="3" borderId="8" xfId="0" applyNumberFormat="1" applyFont="1" applyFill="1" applyBorder="1" applyAlignment="1">
      <alignment horizontal="center" vertical="center" wrapText="1"/>
    </xf>
    <xf numFmtId="49" fontId="7" fillId="3" borderId="9" xfId="0" applyNumberFormat="1" applyFont="1" applyFill="1" applyBorder="1" applyAlignment="1">
      <alignment horizontal="center" vertical="center" wrapText="1"/>
    </xf>
    <xf numFmtId="49" fontId="7" fillId="3" borderId="5"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49" fontId="6" fillId="3" borderId="2" xfId="0" applyNumberFormat="1" applyFont="1" applyFill="1" applyBorder="1" applyAlignment="1">
      <alignment horizontal="center" vertical="center" shrinkToFit="1"/>
    </xf>
    <xf numFmtId="49" fontId="6" fillId="3" borderId="6" xfId="0" applyNumberFormat="1" applyFont="1" applyFill="1" applyBorder="1" applyAlignment="1">
      <alignment horizontal="center" vertical="center" shrinkToFit="1"/>
    </xf>
    <xf numFmtId="49" fontId="7" fillId="2" borderId="2" xfId="0" applyNumberFormat="1" applyFont="1" applyFill="1" applyBorder="1" applyAlignment="1">
      <alignment horizontal="center" vertical="center" textRotation="90" wrapText="1"/>
    </xf>
    <xf numFmtId="49" fontId="7" fillId="2" borderId="6" xfId="0" applyNumberFormat="1" applyFont="1" applyFill="1" applyBorder="1" applyAlignment="1">
      <alignment horizontal="center" vertical="center" textRotation="90" wrapText="1"/>
    </xf>
    <xf numFmtId="49" fontId="7" fillId="2" borderId="7" xfId="0" applyNumberFormat="1" applyFont="1" applyFill="1" applyBorder="1" applyAlignment="1">
      <alignment horizontal="center" vertical="center" textRotation="90" wrapText="1"/>
    </xf>
    <xf numFmtId="0" fontId="17" fillId="0" borderId="2"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6" fillId="2" borderId="8" xfId="0" applyFont="1" applyFill="1" applyBorder="1" applyAlignment="1">
      <alignment horizontal="center" vertical="center" shrinkToFit="1"/>
    </xf>
    <xf numFmtId="0" fontId="6" fillId="2" borderId="9" xfId="0" applyFont="1" applyFill="1" applyBorder="1" applyAlignment="1">
      <alignment horizontal="center" vertical="center" shrinkToFit="1"/>
    </xf>
    <xf numFmtId="0" fontId="6" fillId="2" borderId="5" xfId="0" applyFont="1" applyFill="1" applyBorder="1" applyAlignment="1">
      <alignment horizontal="center" vertical="center" shrinkToFit="1"/>
    </xf>
    <xf numFmtId="49" fontId="24" fillId="2" borderId="8" xfId="0" applyNumberFormat="1" applyFont="1" applyFill="1" applyBorder="1" applyAlignment="1">
      <alignment horizontal="center" vertical="center" shrinkToFit="1"/>
    </xf>
    <xf numFmtId="49" fontId="24" fillId="2" borderId="9" xfId="0" applyNumberFormat="1" applyFont="1" applyFill="1" applyBorder="1" applyAlignment="1">
      <alignment horizontal="center" vertical="center" shrinkToFit="1"/>
    </xf>
    <xf numFmtId="49" fontId="24" fillId="2" borderId="5" xfId="0" applyNumberFormat="1" applyFont="1" applyFill="1" applyBorder="1" applyAlignment="1">
      <alignment horizontal="center" vertical="center" shrinkToFit="1"/>
    </xf>
    <xf numFmtId="0" fontId="20" fillId="5" borderId="2" xfId="0" applyFont="1" applyFill="1" applyBorder="1" applyAlignment="1">
      <alignment horizontal="center" vertical="center" wrapText="1" shrinkToFit="1"/>
    </xf>
    <xf numFmtId="0" fontId="20" fillId="5" borderId="6" xfId="0" applyFont="1" applyFill="1" applyBorder="1" applyAlignment="1">
      <alignment horizontal="center" vertical="center" wrapText="1" shrinkToFit="1"/>
    </xf>
    <xf numFmtId="49" fontId="26" fillId="8" borderId="8" xfId="0" applyNumberFormat="1" applyFont="1" applyFill="1" applyBorder="1" applyAlignment="1">
      <alignment horizontal="center" vertical="center" shrinkToFit="1"/>
    </xf>
    <xf numFmtId="49" fontId="26" fillId="8" borderId="9" xfId="0" applyNumberFormat="1" applyFont="1" applyFill="1" applyBorder="1" applyAlignment="1">
      <alignment horizontal="center" vertical="center" shrinkToFit="1"/>
    </xf>
    <xf numFmtId="49" fontId="26" fillId="8" borderId="5" xfId="0" applyNumberFormat="1" applyFont="1" applyFill="1" applyBorder="1" applyAlignment="1">
      <alignment horizontal="center" vertical="center" shrinkToFit="1"/>
    </xf>
    <xf numFmtId="49" fontId="6" fillId="2" borderId="8" xfId="0" applyNumberFormat="1" applyFont="1" applyFill="1" applyBorder="1" applyAlignment="1">
      <alignment horizontal="center" vertical="center" shrinkToFit="1"/>
    </xf>
    <xf numFmtId="49" fontId="6" fillId="2" borderId="9" xfId="0" applyNumberFormat="1" applyFont="1" applyFill="1" applyBorder="1" applyAlignment="1">
      <alignment horizontal="center" vertical="center" shrinkToFit="1"/>
    </xf>
    <xf numFmtId="49" fontId="6" fillId="2" borderId="5" xfId="0" applyNumberFormat="1" applyFont="1" applyFill="1" applyBorder="1" applyAlignment="1">
      <alignment horizontal="center" vertical="center" shrinkToFit="1"/>
    </xf>
    <xf numFmtId="192" fontId="6" fillId="2" borderId="8" xfId="0" applyNumberFormat="1" applyFont="1" applyFill="1" applyBorder="1" applyAlignment="1">
      <alignment horizontal="center" vertical="center" shrinkToFit="1"/>
    </xf>
    <xf numFmtId="192" fontId="6" fillId="2" borderId="9" xfId="0" applyNumberFormat="1" applyFont="1" applyFill="1" applyBorder="1" applyAlignment="1">
      <alignment horizontal="center" vertical="center" shrinkToFit="1"/>
    </xf>
    <xf numFmtId="192" fontId="6" fillId="2" borderId="5" xfId="0" applyNumberFormat="1" applyFont="1" applyFill="1" applyBorder="1" applyAlignment="1">
      <alignment horizontal="center" vertical="center" shrinkToFit="1"/>
    </xf>
    <xf numFmtId="0" fontId="6" fillId="2" borderId="10" xfId="0" applyNumberFormat="1" applyFont="1" applyFill="1" applyBorder="1" applyAlignment="1">
      <alignment horizontal="center" vertical="center" shrinkToFit="1"/>
    </xf>
    <xf numFmtId="0" fontId="6" fillId="2" borderId="11" xfId="0" applyNumberFormat="1" applyFont="1" applyFill="1" applyBorder="1" applyAlignment="1">
      <alignment horizontal="center" vertical="center" shrinkToFit="1"/>
    </xf>
    <xf numFmtId="0" fontId="6" fillId="2" borderId="12" xfId="0" applyNumberFormat="1" applyFont="1" applyFill="1" applyBorder="1" applyAlignment="1">
      <alignment horizontal="center" vertical="center" shrinkToFit="1"/>
    </xf>
    <xf numFmtId="0" fontId="6" fillId="2" borderId="13" xfId="0" applyNumberFormat="1" applyFont="1" applyFill="1" applyBorder="1" applyAlignment="1">
      <alignment horizontal="center" vertical="center" shrinkToFit="1"/>
    </xf>
    <xf numFmtId="0" fontId="6" fillId="2" borderId="14" xfId="0" applyNumberFormat="1" applyFont="1" applyFill="1" applyBorder="1" applyAlignment="1">
      <alignment horizontal="center" vertical="center" shrinkToFit="1"/>
    </xf>
    <xf numFmtId="0" fontId="6" fillId="2" borderId="15" xfId="0" applyNumberFormat="1" applyFont="1" applyFill="1" applyBorder="1" applyAlignment="1">
      <alignment horizontal="center" vertical="center" shrinkToFit="1"/>
    </xf>
    <xf numFmtId="0" fontId="6" fillId="2" borderId="8" xfId="0" applyNumberFormat="1" applyFont="1" applyFill="1" applyBorder="1" applyAlignment="1">
      <alignment horizontal="center" vertical="center" shrinkToFit="1"/>
    </xf>
    <xf numFmtId="0" fontId="6" fillId="2" borderId="5" xfId="0" applyNumberFormat="1" applyFont="1" applyFill="1" applyBorder="1" applyAlignment="1">
      <alignment horizontal="center" vertical="center" shrinkToFit="1"/>
    </xf>
    <xf numFmtId="0" fontId="10" fillId="0" borderId="1" xfId="0" applyFont="1" applyFill="1" applyBorder="1" applyAlignment="1">
      <alignment horizontal="center" vertical="center" shrinkToFit="1"/>
    </xf>
    <xf numFmtId="192" fontId="10" fillId="7" borderId="1" xfId="0" applyNumberFormat="1" applyFont="1" applyFill="1" applyBorder="1" applyAlignment="1">
      <alignment horizontal="center" vertical="center" shrinkToFit="1"/>
    </xf>
    <xf numFmtId="192" fontId="10" fillId="5" borderId="16" xfId="0" applyNumberFormat="1" applyFont="1" applyFill="1" applyBorder="1" applyAlignment="1">
      <alignment horizontal="center" vertical="center" wrapText="1" shrinkToFit="1"/>
    </xf>
    <xf numFmtId="192" fontId="10" fillId="5" borderId="0" xfId="0" applyNumberFormat="1" applyFont="1" applyFill="1" applyBorder="1" applyAlignment="1">
      <alignment horizontal="center" vertical="center" wrapText="1" shrinkToFit="1"/>
    </xf>
    <xf numFmtId="49" fontId="16" fillId="8" borderId="0" xfId="0" applyNumberFormat="1" applyFont="1" applyFill="1" applyBorder="1" applyAlignment="1">
      <alignment horizontal="center" vertical="center" wrapText="1" shrinkToFit="1"/>
    </xf>
    <xf numFmtId="49" fontId="7" fillId="3" borderId="1" xfId="0" applyNumberFormat="1" applyFont="1" applyFill="1" applyBorder="1" applyAlignment="1">
      <alignment horizontal="center" vertical="center" textRotation="90" wrapText="1"/>
    </xf>
    <xf numFmtId="0" fontId="17" fillId="0" borderId="1" xfId="0" applyFont="1" applyFill="1" applyBorder="1" applyAlignment="1">
      <alignment horizontal="center" vertical="center" wrapText="1"/>
    </xf>
    <xf numFmtId="49" fontId="7" fillId="3" borderId="7"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190" fontId="5" fillId="15" borderId="0" xfId="2" applyFont="1" applyFill="1" applyBorder="1" applyAlignment="1">
      <alignment horizontal="center" vertical="center" shrinkToFit="1"/>
    </xf>
    <xf numFmtId="49" fontId="10" fillId="8" borderId="0" xfId="0" applyNumberFormat="1" applyFont="1" applyFill="1" applyBorder="1" applyAlignment="1">
      <alignment horizontal="center" vertical="center" shrinkToFit="1"/>
    </xf>
    <xf numFmtId="0" fontId="7" fillId="2" borderId="1" xfId="0" applyFont="1" applyFill="1" applyBorder="1" applyAlignment="1">
      <alignment horizontal="center" vertical="center" wrapText="1"/>
    </xf>
    <xf numFmtId="49" fontId="7" fillId="3" borderId="17" xfId="0" applyNumberFormat="1" applyFont="1" applyFill="1" applyBorder="1" applyAlignment="1">
      <alignment horizontal="center" vertical="center" wrapText="1"/>
    </xf>
    <xf numFmtId="49" fontId="7" fillId="3" borderId="21" xfId="0" applyNumberFormat="1" applyFont="1" applyFill="1" applyBorder="1" applyAlignment="1">
      <alignment horizontal="center" vertical="center" textRotation="90" wrapText="1"/>
    </xf>
    <xf numFmtId="49" fontId="7" fillId="3" borderId="22" xfId="0" applyNumberFormat="1" applyFont="1" applyFill="1" applyBorder="1" applyAlignment="1">
      <alignment horizontal="center" vertical="center" textRotation="90" wrapText="1"/>
    </xf>
    <xf numFmtId="49" fontId="7" fillId="3" borderId="3" xfId="0" applyNumberFormat="1" applyFont="1" applyFill="1" applyBorder="1" applyAlignment="1">
      <alignment horizontal="center" vertical="center" textRotation="90" wrapText="1"/>
    </xf>
    <xf numFmtId="49" fontId="7" fillId="3" borderId="18" xfId="0"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wrapText="1"/>
    </xf>
    <xf numFmtId="49" fontId="7" fillId="3" borderId="4" xfId="0" applyNumberFormat="1" applyFont="1" applyFill="1" applyBorder="1" applyAlignment="1">
      <alignment horizontal="center" vertical="center" wrapText="1"/>
    </xf>
    <xf numFmtId="49" fontId="7" fillId="3" borderId="20"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shrinkToFit="1"/>
    </xf>
    <xf numFmtId="49" fontId="14" fillId="2" borderId="1" xfId="0" applyNumberFormat="1" applyFont="1" applyFill="1" applyBorder="1" applyAlignment="1">
      <alignment horizontal="center" vertical="center" wrapText="1"/>
    </xf>
    <xf numFmtId="49" fontId="6" fillId="9" borderId="2" xfId="0" applyNumberFormat="1" applyFont="1" applyFill="1" applyBorder="1" applyAlignment="1">
      <alignment horizontal="center" vertical="center" wrapText="1" shrinkToFit="1"/>
    </xf>
    <xf numFmtId="49" fontId="6" fillId="9" borderId="7" xfId="0" applyNumberFormat="1" applyFont="1" applyFill="1" applyBorder="1" applyAlignment="1">
      <alignment horizontal="center" vertical="center" wrapText="1" shrinkToFit="1"/>
    </xf>
    <xf numFmtId="49" fontId="6" fillId="9" borderId="6" xfId="0" applyNumberFormat="1" applyFont="1" applyFill="1" applyBorder="1" applyAlignment="1">
      <alignment horizontal="center" vertical="center" wrapText="1" shrinkToFit="1"/>
    </xf>
    <xf numFmtId="49" fontId="6" fillId="2" borderId="2" xfId="0" applyNumberFormat="1" applyFont="1" applyFill="1" applyBorder="1" applyAlignment="1">
      <alignment horizontal="center" vertical="center" wrapText="1" shrinkToFit="1"/>
    </xf>
    <xf numFmtId="49" fontId="6" fillId="2" borderId="7" xfId="0" applyNumberFormat="1" applyFont="1" applyFill="1" applyBorder="1" applyAlignment="1">
      <alignment horizontal="center" vertical="center" wrapText="1" shrinkToFit="1"/>
    </xf>
    <xf numFmtId="49" fontId="6" fillId="2" borderId="6" xfId="0" applyNumberFormat="1" applyFont="1" applyFill="1" applyBorder="1" applyAlignment="1">
      <alignment horizontal="center" vertical="center" wrapText="1" shrinkToFit="1"/>
    </xf>
    <xf numFmtId="0" fontId="7" fillId="2" borderId="2" xfId="0" applyFont="1" applyFill="1" applyBorder="1" applyAlignment="1">
      <alignment horizontal="center" vertical="center" wrapText="1" shrinkToFit="1"/>
    </xf>
    <xf numFmtId="0" fontId="7" fillId="2" borderId="7" xfId="0" applyFont="1" applyFill="1" applyBorder="1" applyAlignment="1">
      <alignment horizontal="center" vertical="center" wrapText="1" shrinkToFit="1"/>
    </xf>
    <xf numFmtId="0" fontId="7" fillId="2" borderId="6" xfId="0" applyFont="1" applyFill="1" applyBorder="1" applyAlignment="1">
      <alignment horizontal="center" vertical="center" wrapText="1" shrinkToFit="1"/>
    </xf>
    <xf numFmtId="0" fontId="6" fillId="9" borderId="1" xfId="0" applyFont="1" applyFill="1" applyBorder="1" applyAlignment="1">
      <alignment horizontal="center" vertical="center" shrinkToFit="1"/>
    </xf>
    <xf numFmtId="49" fontId="6" fillId="9" borderId="1" xfId="0" applyNumberFormat="1" applyFont="1" applyFill="1" applyBorder="1" applyAlignment="1">
      <alignment horizontal="center" vertical="center" shrinkToFit="1"/>
    </xf>
    <xf numFmtId="0" fontId="6" fillId="2" borderId="2" xfId="0" applyFont="1" applyFill="1" applyBorder="1" applyAlignment="1">
      <alignment horizontal="center" vertical="center" shrinkToFit="1"/>
    </xf>
    <xf numFmtId="0" fontId="6" fillId="2" borderId="7" xfId="0" applyFont="1" applyFill="1" applyBorder="1" applyAlignment="1">
      <alignment horizontal="center" vertical="center" shrinkToFit="1"/>
    </xf>
    <xf numFmtId="0" fontId="6" fillId="2" borderId="6" xfId="0" applyFont="1" applyFill="1" applyBorder="1" applyAlignment="1">
      <alignment horizontal="center" vertical="center" shrinkToFit="1"/>
    </xf>
    <xf numFmtId="49" fontId="6" fillId="2" borderId="2" xfId="0" applyNumberFormat="1" applyFont="1" applyFill="1" applyBorder="1" applyAlignment="1">
      <alignment horizontal="center" vertical="center" shrinkToFit="1"/>
    </xf>
    <xf numFmtId="49" fontId="6" fillId="2" borderId="7" xfId="0" applyNumberFormat="1" applyFont="1" applyFill="1" applyBorder="1" applyAlignment="1">
      <alignment horizontal="center" vertical="center" shrinkToFit="1"/>
    </xf>
    <xf numFmtId="49" fontId="6" fillId="2" borderId="6" xfId="0" applyNumberFormat="1" applyFont="1" applyFill="1" applyBorder="1" applyAlignment="1">
      <alignment horizontal="center" vertical="center" shrinkToFit="1"/>
    </xf>
    <xf numFmtId="49" fontId="6" fillId="9" borderId="2" xfId="0" applyNumberFormat="1" applyFont="1" applyFill="1" applyBorder="1" applyAlignment="1">
      <alignment horizontal="center" vertical="center" shrinkToFit="1"/>
    </xf>
    <xf numFmtId="49" fontId="6" fillId="9" borderId="7" xfId="0" applyNumberFormat="1" applyFont="1" applyFill="1" applyBorder="1" applyAlignment="1">
      <alignment horizontal="center" vertical="center" shrinkToFit="1"/>
    </xf>
    <xf numFmtId="49" fontId="6" fillId="9" borderId="6" xfId="0" applyNumberFormat="1" applyFont="1" applyFill="1" applyBorder="1" applyAlignment="1">
      <alignment horizontal="center" vertical="center" shrinkToFit="1"/>
    </xf>
    <xf numFmtId="49" fontId="6" fillId="2" borderId="1" xfId="0" applyNumberFormat="1"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1" borderId="1" xfId="0" applyFont="1" applyFill="1" applyBorder="1" applyAlignment="1">
      <alignment horizontal="center" vertical="center" shrinkToFit="1"/>
    </xf>
    <xf numFmtId="0" fontId="6" fillId="9" borderId="2" xfId="0" applyFont="1" applyFill="1" applyBorder="1" applyAlignment="1">
      <alignment horizontal="center" vertical="center" shrinkToFit="1"/>
    </xf>
    <xf numFmtId="0" fontId="6" fillId="9" borderId="7" xfId="0" applyFont="1" applyFill="1" applyBorder="1" applyAlignment="1">
      <alignment horizontal="center" vertical="center" shrinkToFit="1"/>
    </xf>
    <xf numFmtId="0" fontId="6" fillId="9" borderId="6" xfId="0" applyFont="1" applyFill="1" applyBorder="1" applyAlignment="1">
      <alignment horizontal="center" vertical="center" shrinkToFit="1"/>
    </xf>
    <xf numFmtId="192" fontId="6" fillId="2" borderId="2" xfId="0" applyNumberFormat="1" applyFont="1" applyFill="1" applyBorder="1" applyAlignment="1">
      <alignment horizontal="center" vertical="center" shrinkToFit="1"/>
    </xf>
    <xf numFmtId="192" fontId="6" fillId="2" borderId="7" xfId="0" applyNumberFormat="1" applyFont="1" applyFill="1" applyBorder="1" applyAlignment="1">
      <alignment horizontal="center" vertical="center" shrinkToFit="1"/>
    </xf>
    <xf numFmtId="192" fontId="6" fillId="2" borderId="6" xfId="0" applyNumberFormat="1" applyFont="1" applyFill="1" applyBorder="1" applyAlignment="1">
      <alignment horizontal="center" vertical="center" shrinkToFit="1"/>
    </xf>
    <xf numFmtId="49" fontId="5" fillId="2" borderId="2" xfId="0" applyNumberFormat="1" applyFont="1" applyFill="1" applyBorder="1" applyAlignment="1">
      <alignment horizontal="center" vertical="center" wrapText="1" shrinkToFit="1"/>
    </xf>
    <xf numFmtId="49" fontId="5" fillId="2" borderId="7" xfId="0" applyNumberFormat="1" applyFont="1" applyFill="1" applyBorder="1" applyAlignment="1">
      <alignment horizontal="center" vertical="center" wrapText="1" shrinkToFit="1"/>
    </xf>
    <xf numFmtId="49" fontId="5" fillId="2" borderId="6" xfId="0" applyNumberFormat="1" applyFont="1" applyFill="1" applyBorder="1" applyAlignment="1">
      <alignment horizontal="center" vertical="center" wrapText="1" shrinkToFit="1"/>
    </xf>
    <xf numFmtId="192" fontId="6" fillId="9" borderId="2" xfId="0" applyNumberFormat="1" applyFont="1" applyFill="1" applyBorder="1" applyAlignment="1">
      <alignment horizontal="center" vertical="center" wrapText="1" shrinkToFit="1"/>
    </xf>
    <xf numFmtId="192" fontId="6" fillId="9" borderId="7" xfId="0" applyNumberFormat="1" applyFont="1" applyFill="1" applyBorder="1" applyAlignment="1">
      <alignment horizontal="center" vertical="center" wrapText="1" shrinkToFit="1"/>
    </xf>
    <xf numFmtId="192" fontId="6" fillId="9" borderId="6" xfId="0" applyNumberFormat="1" applyFont="1" applyFill="1" applyBorder="1" applyAlignment="1">
      <alignment horizontal="center" vertical="center" wrapText="1" shrinkToFit="1"/>
    </xf>
    <xf numFmtId="0" fontId="5" fillId="9" borderId="2" xfId="0" applyFont="1" applyFill="1" applyBorder="1" applyAlignment="1">
      <alignment horizontal="center" vertical="center" wrapText="1" shrinkToFit="1"/>
    </xf>
    <xf numFmtId="0" fontId="5" fillId="9" borderId="7" xfId="0" applyFont="1" applyFill="1" applyBorder="1" applyAlignment="1">
      <alignment horizontal="center" vertical="center" wrapText="1" shrinkToFit="1"/>
    </xf>
    <xf numFmtId="0" fontId="5" fillId="9" borderId="6" xfId="0" applyFont="1" applyFill="1" applyBorder="1" applyAlignment="1">
      <alignment horizontal="center" vertical="center" wrapText="1" shrinkToFit="1"/>
    </xf>
    <xf numFmtId="0" fontId="11" fillId="2" borderId="2" xfId="0" applyFont="1" applyFill="1" applyBorder="1" applyAlignment="1">
      <alignment horizontal="center" vertical="center" wrapText="1" shrinkToFit="1"/>
    </xf>
    <xf numFmtId="0" fontId="11" fillId="2" borderId="7" xfId="0" applyFont="1" applyFill="1" applyBorder="1" applyAlignment="1">
      <alignment horizontal="center" vertical="center" wrapText="1" shrinkToFit="1"/>
    </xf>
    <xf numFmtId="0" fontId="11" fillId="2" borderId="6" xfId="0" applyFont="1" applyFill="1" applyBorder="1" applyAlignment="1">
      <alignment horizontal="center" vertical="center" wrapText="1" shrinkToFit="1"/>
    </xf>
    <xf numFmtId="0" fontId="7" fillId="9" borderId="2" xfId="0" applyFont="1" applyFill="1" applyBorder="1" applyAlignment="1">
      <alignment horizontal="center" vertical="center" wrapText="1" shrinkToFit="1"/>
    </xf>
    <xf numFmtId="0" fontId="7" fillId="9" borderId="7" xfId="0" applyFont="1" applyFill="1" applyBorder="1" applyAlignment="1">
      <alignment horizontal="center" vertical="center" wrapText="1" shrinkToFit="1"/>
    </xf>
    <xf numFmtId="0" fontId="7" fillId="9" borderId="6" xfId="0" applyFont="1" applyFill="1" applyBorder="1" applyAlignment="1">
      <alignment horizontal="center" vertical="center" wrapText="1" shrinkToFit="1"/>
    </xf>
    <xf numFmtId="0" fontId="11" fillId="9" borderId="2" xfId="0" applyFont="1" applyFill="1" applyBorder="1" applyAlignment="1">
      <alignment horizontal="center" vertical="center" wrapText="1" shrinkToFit="1"/>
    </xf>
    <xf numFmtId="0" fontId="11" fillId="9" borderId="7" xfId="0" applyFont="1" applyFill="1" applyBorder="1" applyAlignment="1">
      <alignment horizontal="center" vertical="center" wrapText="1" shrinkToFit="1"/>
    </xf>
    <xf numFmtId="0" fontId="11" fillId="9" borderId="6" xfId="0" applyFont="1" applyFill="1" applyBorder="1" applyAlignment="1">
      <alignment horizontal="center" vertical="center" wrapText="1" shrinkToFit="1"/>
    </xf>
    <xf numFmtId="0" fontId="5" fillId="2" borderId="2" xfId="0" applyFont="1" applyFill="1" applyBorder="1" applyAlignment="1">
      <alignment horizontal="center" vertical="center" wrapText="1" shrinkToFit="1"/>
    </xf>
    <xf numFmtId="0" fontId="5" fillId="2" borderId="7" xfId="0" applyFont="1" applyFill="1" applyBorder="1" applyAlignment="1">
      <alignment horizontal="center" vertical="center" wrapText="1" shrinkToFit="1"/>
    </xf>
    <xf numFmtId="0" fontId="5" fillId="2" borderId="6" xfId="0" applyFont="1" applyFill="1" applyBorder="1" applyAlignment="1">
      <alignment horizontal="center" vertical="center" wrapText="1" shrinkToFit="1"/>
    </xf>
    <xf numFmtId="0" fontId="18" fillId="0" borderId="1"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5" xfId="0" applyFont="1" applyBorder="1" applyAlignment="1">
      <alignment horizontal="center" vertical="center"/>
    </xf>
    <xf numFmtId="0" fontId="18" fillId="0" borderId="2" xfId="0" applyFont="1" applyBorder="1" applyAlignment="1">
      <alignment horizontal="center" vertical="center"/>
    </xf>
    <xf numFmtId="0" fontId="18" fillId="0" borderId="6" xfId="0" applyFont="1" applyBorder="1" applyAlignment="1">
      <alignment horizontal="center" vertical="center"/>
    </xf>
    <xf numFmtId="0" fontId="22" fillId="0" borderId="0" xfId="0" applyFont="1" applyAlignment="1">
      <alignment horizontal="right" vertical="top" wrapText="1"/>
    </xf>
  </cellXfs>
  <cellStyles count="5">
    <cellStyle name="Comma" xfId="1" builtinId="3"/>
    <cellStyle name="Currency 2" xfId="2" xr:uid="{056C5F0C-C9DD-4E8D-B8FE-012837136529}"/>
    <cellStyle name="Hyperlink" xfId="3" builtinId="8"/>
    <cellStyle name="Normal" xfId="0" builtinId="0"/>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27</xdr:col>
      <xdr:colOff>308070</xdr:colOff>
      <xdr:row>10</xdr:row>
      <xdr:rowOff>6350</xdr:rowOff>
    </xdr:from>
    <xdr:ext cx="2244630" cy="172227"/>
    <xdr:sp macro="" textlink="">
      <xdr:nvSpPr>
        <xdr:cNvPr id="4" name="TextBox 3">
          <a:extLst>
            <a:ext uri="{FF2B5EF4-FFF2-40B4-BE49-F238E27FC236}">
              <a16:creationId xmlns:a16="http://schemas.microsoft.com/office/drawing/2014/main" id="{E893329F-E9B3-CCDE-9AC8-6332EF6BA1AD}"/>
            </a:ext>
          </a:extLst>
        </xdr:cNvPr>
        <xdr:cNvSpPr txBox="1"/>
      </xdr:nvSpPr>
      <xdr:spPr>
        <a:xfrm>
          <a:off x="145561050" y="5254625"/>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oneCellAnchor>
    <xdr:from>
      <xdr:col>27</xdr:col>
      <xdr:colOff>308070</xdr:colOff>
      <xdr:row>99</xdr:row>
      <xdr:rowOff>6350</xdr:rowOff>
    </xdr:from>
    <xdr:ext cx="2244630" cy="172227"/>
    <xdr:sp macro="" textlink="">
      <xdr:nvSpPr>
        <xdr:cNvPr id="5" name="TextBox 4">
          <a:extLst>
            <a:ext uri="{FF2B5EF4-FFF2-40B4-BE49-F238E27FC236}">
              <a16:creationId xmlns:a16="http://schemas.microsoft.com/office/drawing/2014/main" id="{F9E9B4A1-0224-BA85-BFEF-20956003FAAE}"/>
            </a:ext>
          </a:extLst>
        </xdr:cNvPr>
        <xdr:cNvSpPr txBox="1"/>
      </xdr:nvSpPr>
      <xdr:spPr>
        <a:xfrm>
          <a:off x="145561050" y="28295600"/>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oneCellAnchor>
    <xdr:from>
      <xdr:col>27</xdr:col>
      <xdr:colOff>308070</xdr:colOff>
      <xdr:row>139</xdr:row>
      <xdr:rowOff>6350</xdr:rowOff>
    </xdr:from>
    <xdr:ext cx="2244630" cy="172227"/>
    <xdr:sp macro="" textlink="">
      <xdr:nvSpPr>
        <xdr:cNvPr id="6" name="TextBox 5">
          <a:extLst>
            <a:ext uri="{FF2B5EF4-FFF2-40B4-BE49-F238E27FC236}">
              <a16:creationId xmlns:a16="http://schemas.microsoft.com/office/drawing/2014/main" id="{5F4753A5-AAA9-8C57-87ED-FBACC8285EB0}"/>
            </a:ext>
          </a:extLst>
        </xdr:cNvPr>
        <xdr:cNvSpPr txBox="1"/>
      </xdr:nvSpPr>
      <xdr:spPr>
        <a:xfrm>
          <a:off x="145561050" y="38382575"/>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oneCellAnchor>
    <xdr:from>
      <xdr:col>27</xdr:col>
      <xdr:colOff>308070</xdr:colOff>
      <xdr:row>141</xdr:row>
      <xdr:rowOff>6350</xdr:rowOff>
    </xdr:from>
    <xdr:ext cx="2244630" cy="172227"/>
    <xdr:sp macro="" textlink="">
      <xdr:nvSpPr>
        <xdr:cNvPr id="7" name="TextBox 6">
          <a:extLst>
            <a:ext uri="{FF2B5EF4-FFF2-40B4-BE49-F238E27FC236}">
              <a16:creationId xmlns:a16="http://schemas.microsoft.com/office/drawing/2014/main" id="{F0783593-004E-37EA-DE1D-87325621C482}"/>
            </a:ext>
          </a:extLst>
        </xdr:cNvPr>
        <xdr:cNvSpPr txBox="1"/>
      </xdr:nvSpPr>
      <xdr:spPr>
        <a:xfrm>
          <a:off x="145370550" y="45697775"/>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24</xdr:col>
      <xdr:colOff>308070</xdr:colOff>
      <xdr:row>15</xdr:row>
      <xdr:rowOff>6350</xdr:rowOff>
    </xdr:from>
    <xdr:ext cx="2244630" cy="172227"/>
    <xdr:sp macro="" textlink="">
      <xdr:nvSpPr>
        <xdr:cNvPr id="4" name="TextBox 3">
          <a:extLst>
            <a:ext uri="{FF2B5EF4-FFF2-40B4-BE49-F238E27FC236}">
              <a16:creationId xmlns:a16="http://schemas.microsoft.com/office/drawing/2014/main" id="{15650C1E-6224-36D4-27A7-3A6204173723}"/>
            </a:ext>
          </a:extLst>
        </xdr:cNvPr>
        <xdr:cNvSpPr txBox="1"/>
      </xdr:nvSpPr>
      <xdr:spPr>
        <a:xfrm>
          <a:off x="146323050" y="5178425"/>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oneCellAnchor>
    <xdr:from>
      <xdr:col>24</xdr:col>
      <xdr:colOff>308070</xdr:colOff>
      <xdr:row>102</xdr:row>
      <xdr:rowOff>6350</xdr:rowOff>
    </xdr:from>
    <xdr:ext cx="2244630" cy="172227"/>
    <xdr:sp macro="" textlink="">
      <xdr:nvSpPr>
        <xdr:cNvPr id="5" name="TextBox 4">
          <a:extLst>
            <a:ext uri="{FF2B5EF4-FFF2-40B4-BE49-F238E27FC236}">
              <a16:creationId xmlns:a16="http://schemas.microsoft.com/office/drawing/2014/main" id="{0EDFBFD8-91B1-0073-8BE6-AA49D138082F}"/>
            </a:ext>
          </a:extLst>
        </xdr:cNvPr>
        <xdr:cNvSpPr txBox="1"/>
      </xdr:nvSpPr>
      <xdr:spPr>
        <a:xfrm>
          <a:off x="146323050" y="27362150"/>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oneCellAnchor>
    <xdr:from>
      <xdr:col>24</xdr:col>
      <xdr:colOff>308070</xdr:colOff>
      <xdr:row>142</xdr:row>
      <xdr:rowOff>6350</xdr:rowOff>
    </xdr:from>
    <xdr:ext cx="2244630" cy="172227"/>
    <xdr:sp macro="" textlink="">
      <xdr:nvSpPr>
        <xdr:cNvPr id="6" name="TextBox 5">
          <a:extLst>
            <a:ext uri="{FF2B5EF4-FFF2-40B4-BE49-F238E27FC236}">
              <a16:creationId xmlns:a16="http://schemas.microsoft.com/office/drawing/2014/main" id="{A976B302-35D9-00E7-0FC6-EF01608D0286}"/>
            </a:ext>
          </a:extLst>
        </xdr:cNvPr>
        <xdr:cNvSpPr txBox="1"/>
      </xdr:nvSpPr>
      <xdr:spPr>
        <a:xfrm>
          <a:off x="145898754" y="3264477"/>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8</xdr:col>
      <xdr:colOff>66675</xdr:colOff>
      <xdr:row>7</xdr:row>
      <xdr:rowOff>0</xdr:rowOff>
    </xdr:from>
    <xdr:to>
      <xdr:col>8</xdr:col>
      <xdr:colOff>319898</xdr:colOff>
      <xdr:row>7</xdr:row>
      <xdr:rowOff>0</xdr:rowOff>
    </xdr:to>
    <xdr:sp macro="" textlink="">
      <xdr:nvSpPr>
        <xdr:cNvPr id="2" name="Multiply 1">
          <a:extLst>
            <a:ext uri="{FF2B5EF4-FFF2-40B4-BE49-F238E27FC236}">
              <a16:creationId xmlns:a16="http://schemas.microsoft.com/office/drawing/2014/main" id="{1950D6E0-DE6A-C556-0F9B-7733AABB7897}"/>
            </a:ext>
          </a:extLst>
        </xdr:cNvPr>
        <xdr:cNvSpPr/>
      </xdr:nvSpPr>
      <xdr:spPr>
        <a:xfrm>
          <a:off x="156781500" y="78600300"/>
          <a:ext cx="247650" cy="257175"/>
        </a:xfrm>
        <a:prstGeom prst="mathMultiply">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8</xdr:col>
      <xdr:colOff>76200</xdr:colOff>
      <xdr:row>7</xdr:row>
      <xdr:rowOff>0</xdr:rowOff>
    </xdr:from>
    <xdr:to>
      <xdr:col>8</xdr:col>
      <xdr:colOff>322802</xdr:colOff>
      <xdr:row>7</xdr:row>
      <xdr:rowOff>0</xdr:rowOff>
    </xdr:to>
    <xdr:sp macro="" textlink="">
      <xdr:nvSpPr>
        <xdr:cNvPr id="162" name="Multiply 161">
          <a:extLst>
            <a:ext uri="{FF2B5EF4-FFF2-40B4-BE49-F238E27FC236}">
              <a16:creationId xmlns:a16="http://schemas.microsoft.com/office/drawing/2014/main" id="{909ED91B-B67B-FBE9-11E8-8FF61F0537A6}"/>
            </a:ext>
          </a:extLst>
        </xdr:cNvPr>
        <xdr:cNvSpPr/>
      </xdr:nvSpPr>
      <xdr:spPr>
        <a:xfrm>
          <a:off x="156124275" y="84772500"/>
          <a:ext cx="247650" cy="257175"/>
        </a:xfrm>
        <a:prstGeom prst="mathMultiply">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oneCellAnchor>
    <xdr:from>
      <xdr:col>30</xdr:col>
      <xdr:colOff>308070</xdr:colOff>
      <xdr:row>15</xdr:row>
      <xdr:rowOff>6350</xdr:rowOff>
    </xdr:from>
    <xdr:ext cx="2244630" cy="172227"/>
    <xdr:sp macro="" textlink="">
      <xdr:nvSpPr>
        <xdr:cNvPr id="3" name="TextBox 2">
          <a:extLst>
            <a:ext uri="{FF2B5EF4-FFF2-40B4-BE49-F238E27FC236}">
              <a16:creationId xmlns:a16="http://schemas.microsoft.com/office/drawing/2014/main" id="{F3C0842D-94D9-78E6-6014-F9D8BDA941EB}"/>
            </a:ext>
          </a:extLst>
        </xdr:cNvPr>
        <xdr:cNvSpPr txBox="1"/>
      </xdr:nvSpPr>
      <xdr:spPr>
        <a:xfrm>
          <a:off x="146970750" y="4835525"/>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oneCellAnchor>
    <xdr:from>
      <xdr:col>25</xdr:col>
      <xdr:colOff>0</xdr:colOff>
      <xdr:row>60</xdr:row>
      <xdr:rowOff>0</xdr:rowOff>
    </xdr:from>
    <xdr:ext cx="2244630" cy="172227"/>
    <xdr:sp macro="" textlink="">
      <xdr:nvSpPr>
        <xdr:cNvPr id="5" name="TextBox 4">
          <a:extLst>
            <a:ext uri="{FF2B5EF4-FFF2-40B4-BE49-F238E27FC236}">
              <a16:creationId xmlns:a16="http://schemas.microsoft.com/office/drawing/2014/main" id="{23C436EB-564D-7C7B-F6A8-A3F0782FCD24}"/>
            </a:ext>
          </a:extLst>
        </xdr:cNvPr>
        <xdr:cNvSpPr txBox="1"/>
      </xdr:nvSpPr>
      <xdr:spPr>
        <a:xfrm>
          <a:off x="149802945" y="3657600"/>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38</xdr:col>
      <xdr:colOff>93345</xdr:colOff>
      <xdr:row>7</xdr:row>
      <xdr:rowOff>0</xdr:rowOff>
    </xdr:from>
    <xdr:to>
      <xdr:col>38</xdr:col>
      <xdr:colOff>264178</xdr:colOff>
      <xdr:row>7</xdr:row>
      <xdr:rowOff>0</xdr:rowOff>
    </xdr:to>
    <xdr:cxnSp macro="">
      <xdr:nvCxnSpPr>
        <xdr:cNvPr id="2" name="Straight Connector 1">
          <a:extLst>
            <a:ext uri="{FF2B5EF4-FFF2-40B4-BE49-F238E27FC236}">
              <a16:creationId xmlns:a16="http://schemas.microsoft.com/office/drawing/2014/main" id="{B3D129B7-ABF4-04A2-9B20-BDA6DD2F146B}"/>
            </a:ext>
          </a:extLst>
        </xdr:cNvPr>
        <xdr:cNvCxnSpPr/>
      </xdr:nvCxnSpPr>
      <xdr:spPr>
        <a:xfrm flipH="1">
          <a:off x="145830272" y="2819400"/>
          <a:ext cx="17083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112395</xdr:colOff>
      <xdr:row>7</xdr:row>
      <xdr:rowOff>0</xdr:rowOff>
    </xdr:from>
    <xdr:to>
      <xdr:col>38</xdr:col>
      <xdr:colOff>266345</xdr:colOff>
      <xdr:row>7</xdr:row>
      <xdr:rowOff>0</xdr:rowOff>
    </xdr:to>
    <xdr:cxnSp macro="">
      <xdr:nvCxnSpPr>
        <xdr:cNvPr id="3" name="Straight Connector 2">
          <a:extLst>
            <a:ext uri="{FF2B5EF4-FFF2-40B4-BE49-F238E27FC236}">
              <a16:creationId xmlns:a16="http://schemas.microsoft.com/office/drawing/2014/main" id="{DF084820-A586-8C42-67F3-C700BD2A185A}"/>
            </a:ext>
          </a:extLst>
        </xdr:cNvPr>
        <xdr:cNvCxnSpPr/>
      </xdr:nvCxnSpPr>
      <xdr:spPr>
        <a:xfrm flipH="1">
          <a:off x="145828105" y="2819400"/>
          <a:ext cx="1539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112395</xdr:colOff>
      <xdr:row>7</xdr:row>
      <xdr:rowOff>0</xdr:rowOff>
    </xdr:from>
    <xdr:to>
      <xdr:col>38</xdr:col>
      <xdr:colOff>266345</xdr:colOff>
      <xdr:row>7</xdr:row>
      <xdr:rowOff>0</xdr:rowOff>
    </xdr:to>
    <xdr:cxnSp macro="">
      <xdr:nvCxnSpPr>
        <xdr:cNvPr id="4" name="Straight Connector 3">
          <a:extLst>
            <a:ext uri="{FF2B5EF4-FFF2-40B4-BE49-F238E27FC236}">
              <a16:creationId xmlns:a16="http://schemas.microsoft.com/office/drawing/2014/main" id="{7833DA68-874D-1095-05BB-25E591561B1A}"/>
            </a:ext>
          </a:extLst>
        </xdr:cNvPr>
        <xdr:cNvCxnSpPr/>
      </xdr:nvCxnSpPr>
      <xdr:spPr>
        <a:xfrm flipH="1">
          <a:off x="145828105" y="2819400"/>
          <a:ext cx="1539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112395</xdr:colOff>
      <xdr:row>7</xdr:row>
      <xdr:rowOff>0</xdr:rowOff>
    </xdr:from>
    <xdr:to>
      <xdr:col>38</xdr:col>
      <xdr:colOff>266345</xdr:colOff>
      <xdr:row>7</xdr:row>
      <xdr:rowOff>0</xdr:rowOff>
    </xdr:to>
    <xdr:cxnSp macro="">
      <xdr:nvCxnSpPr>
        <xdr:cNvPr id="5" name="Straight Connector 4">
          <a:extLst>
            <a:ext uri="{FF2B5EF4-FFF2-40B4-BE49-F238E27FC236}">
              <a16:creationId xmlns:a16="http://schemas.microsoft.com/office/drawing/2014/main" id="{B9DA7188-5A72-3511-AD67-0320748C0A6C}"/>
            </a:ext>
          </a:extLst>
        </xdr:cNvPr>
        <xdr:cNvCxnSpPr/>
      </xdr:nvCxnSpPr>
      <xdr:spPr>
        <a:xfrm flipH="1">
          <a:off x="145828105" y="2819400"/>
          <a:ext cx="1539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112395</xdr:colOff>
      <xdr:row>7</xdr:row>
      <xdr:rowOff>0</xdr:rowOff>
    </xdr:from>
    <xdr:to>
      <xdr:col>38</xdr:col>
      <xdr:colOff>266345</xdr:colOff>
      <xdr:row>7</xdr:row>
      <xdr:rowOff>0</xdr:rowOff>
    </xdr:to>
    <xdr:cxnSp macro="">
      <xdr:nvCxnSpPr>
        <xdr:cNvPr id="6" name="Straight Connector 5">
          <a:extLst>
            <a:ext uri="{FF2B5EF4-FFF2-40B4-BE49-F238E27FC236}">
              <a16:creationId xmlns:a16="http://schemas.microsoft.com/office/drawing/2014/main" id="{16696EDB-B3E6-672C-50FD-57EA5032FD4F}"/>
            </a:ext>
          </a:extLst>
        </xdr:cNvPr>
        <xdr:cNvCxnSpPr/>
      </xdr:nvCxnSpPr>
      <xdr:spPr>
        <a:xfrm flipH="1">
          <a:off x="145828105" y="2819400"/>
          <a:ext cx="1539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112395</xdr:colOff>
      <xdr:row>7</xdr:row>
      <xdr:rowOff>0</xdr:rowOff>
    </xdr:from>
    <xdr:to>
      <xdr:col>38</xdr:col>
      <xdr:colOff>266345</xdr:colOff>
      <xdr:row>7</xdr:row>
      <xdr:rowOff>0</xdr:rowOff>
    </xdr:to>
    <xdr:cxnSp macro="">
      <xdr:nvCxnSpPr>
        <xdr:cNvPr id="7" name="Straight Connector 6">
          <a:extLst>
            <a:ext uri="{FF2B5EF4-FFF2-40B4-BE49-F238E27FC236}">
              <a16:creationId xmlns:a16="http://schemas.microsoft.com/office/drawing/2014/main" id="{DE005EF6-8384-E0DB-9610-0AF3196307FB}"/>
            </a:ext>
          </a:extLst>
        </xdr:cNvPr>
        <xdr:cNvCxnSpPr/>
      </xdr:nvCxnSpPr>
      <xdr:spPr>
        <a:xfrm flipH="1">
          <a:off x="145828105" y="2819400"/>
          <a:ext cx="1539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112395</xdr:colOff>
      <xdr:row>7</xdr:row>
      <xdr:rowOff>0</xdr:rowOff>
    </xdr:from>
    <xdr:to>
      <xdr:col>38</xdr:col>
      <xdr:colOff>266345</xdr:colOff>
      <xdr:row>7</xdr:row>
      <xdr:rowOff>0</xdr:rowOff>
    </xdr:to>
    <xdr:cxnSp macro="">
      <xdr:nvCxnSpPr>
        <xdr:cNvPr id="8" name="Straight Connector 7">
          <a:extLst>
            <a:ext uri="{FF2B5EF4-FFF2-40B4-BE49-F238E27FC236}">
              <a16:creationId xmlns:a16="http://schemas.microsoft.com/office/drawing/2014/main" id="{54338D10-42CE-9174-F1C9-0789B6CE3CB8}"/>
            </a:ext>
          </a:extLst>
        </xdr:cNvPr>
        <xdr:cNvCxnSpPr/>
      </xdr:nvCxnSpPr>
      <xdr:spPr>
        <a:xfrm flipH="1">
          <a:off x="145828105" y="2819400"/>
          <a:ext cx="1539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112395</xdr:colOff>
      <xdr:row>7</xdr:row>
      <xdr:rowOff>0</xdr:rowOff>
    </xdr:from>
    <xdr:to>
      <xdr:col>38</xdr:col>
      <xdr:colOff>266345</xdr:colOff>
      <xdr:row>7</xdr:row>
      <xdr:rowOff>0</xdr:rowOff>
    </xdr:to>
    <xdr:cxnSp macro="">
      <xdr:nvCxnSpPr>
        <xdr:cNvPr id="9" name="Straight Connector 8">
          <a:extLst>
            <a:ext uri="{FF2B5EF4-FFF2-40B4-BE49-F238E27FC236}">
              <a16:creationId xmlns:a16="http://schemas.microsoft.com/office/drawing/2014/main" id="{1DAD08AA-EB79-8E2B-AC1F-0227F03B9F45}"/>
            </a:ext>
          </a:extLst>
        </xdr:cNvPr>
        <xdr:cNvCxnSpPr/>
      </xdr:nvCxnSpPr>
      <xdr:spPr>
        <a:xfrm flipH="1">
          <a:off x="145828105" y="2819400"/>
          <a:ext cx="1539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112395</xdr:colOff>
      <xdr:row>7</xdr:row>
      <xdr:rowOff>0</xdr:rowOff>
    </xdr:from>
    <xdr:to>
      <xdr:col>38</xdr:col>
      <xdr:colOff>266345</xdr:colOff>
      <xdr:row>7</xdr:row>
      <xdr:rowOff>0</xdr:rowOff>
    </xdr:to>
    <xdr:cxnSp macro="">
      <xdr:nvCxnSpPr>
        <xdr:cNvPr id="10" name="Straight Connector 9">
          <a:extLst>
            <a:ext uri="{FF2B5EF4-FFF2-40B4-BE49-F238E27FC236}">
              <a16:creationId xmlns:a16="http://schemas.microsoft.com/office/drawing/2014/main" id="{3101B543-97E4-053B-B7F8-E76845081E0E}"/>
            </a:ext>
          </a:extLst>
        </xdr:cNvPr>
        <xdr:cNvCxnSpPr/>
      </xdr:nvCxnSpPr>
      <xdr:spPr>
        <a:xfrm flipH="1">
          <a:off x="145828105" y="2819400"/>
          <a:ext cx="1539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11" name="Straight Connector 10">
          <a:extLst>
            <a:ext uri="{FF2B5EF4-FFF2-40B4-BE49-F238E27FC236}">
              <a16:creationId xmlns:a16="http://schemas.microsoft.com/office/drawing/2014/main" id="{F745F49C-39F8-2218-EBD6-463472085164}"/>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12" name="Straight Connector 11">
          <a:extLst>
            <a:ext uri="{FF2B5EF4-FFF2-40B4-BE49-F238E27FC236}">
              <a16:creationId xmlns:a16="http://schemas.microsoft.com/office/drawing/2014/main" id="{CFE271BF-11E9-0482-62EB-415A0233393D}"/>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13" name="Straight Connector 12">
          <a:extLst>
            <a:ext uri="{FF2B5EF4-FFF2-40B4-BE49-F238E27FC236}">
              <a16:creationId xmlns:a16="http://schemas.microsoft.com/office/drawing/2014/main" id="{BC9288DD-EDB3-B87D-03BF-F2DFEFA35BD9}"/>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14" name="Straight Connector 13">
          <a:extLst>
            <a:ext uri="{FF2B5EF4-FFF2-40B4-BE49-F238E27FC236}">
              <a16:creationId xmlns:a16="http://schemas.microsoft.com/office/drawing/2014/main" id="{3761305E-FCC1-54D0-5FA6-05189EBB4752}"/>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15" name="Straight Connector 14">
          <a:extLst>
            <a:ext uri="{FF2B5EF4-FFF2-40B4-BE49-F238E27FC236}">
              <a16:creationId xmlns:a16="http://schemas.microsoft.com/office/drawing/2014/main" id="{9CA63A0A-3327-B2D1-42FA-0E3D233B2638}"/>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16" name="Straight Connector 15">
          <a:extLst>
            <a:ext uri="{FF2B5EF4-FFF2-40B4-BE49-F238E27FC236}">
              <a16:creationId xmlns:a16="http://schemas.microsoft.com/office/drawing/2014/main" id="{106899E8-DD93-FC63-FAD8-AABEC9C71F91}"/>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17" name="Straight Connector 16">
          <a:extLst>
            <a:ext uri="{FF2B5EF4-FFF2-40B4-BE49-F238E27FC236}">
              <a16:creationId xmlns:a16="http://schemas.microsoft.com/office/drawing/2014/main" id="{AC6C29B4-4962-FD55-0DFE-2E3334FF08C4}"/>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18" name="Straight Connector 17">
          <a:extLst>
            <a:ext uri="{FF2B5EF4-FFF2-40B4-BE49-F238E27FC236}">
              <a16:creationId xmlns:a16="http://schemas.microsoft.com/office/drawing/2014/main" id="{302511BC-6008-B173-7237-D26AEC6BDF02}"/>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19" name="Straight Connector 18">
          <a:extLst>
            <a:ext uri="{FF2B5EF4-FFF2-40B4-BE49-F238E27FC236}">
              <a16:creationId xmlns:a16="http://schemas.microsoft.com/office/drawing/2014/main" id="{5D3BC57A-68B8-2F23-3F6C-120A9C204483}"/>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0" name="Straight Connector 19">
          <a:extLst>
            <a:ext uri="{FF2B5EF4-FFF2-40B4-BE49-F238E27FC236}">
              <a16:creationId xmlns:a16="http://schemas.microsoft.com/office/drawing/2014/main" id="{A7E7B1CA-F8C0-8C57-2A4F-D56DBB47B169}"/>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1" name="Straight Connector 20">
          <a:extLst>
            <a:ext uri="{FF2B5EF4-FFF2-40B4-BE49-F238E27FC236}">
              <a16:creationId xmlns:a16="http://schemas.microsoft.com/office/drawing/2014/main" id="{CC20366E-DB28-4F79-2A50-DADE90287895}"/>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2" name="Straight Connector 21">
          <a:extLst>
            <a:ext uri="{FF2B5EF4-FFF2-40B4-BE49-F238E27FC236}">
              <a16:creationId xmlns:a16="http://schemas.microsoft.com/office/drawing/2014/main" id="{282F5F1D-33F9-C139-2022-59D11C9FAB4A}"/>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3" name="Straight Connector 22">
          <a:extLst>
            <a:ext uri="{FF2B5EF4-FFF2-40B4-BE49-F238E27FC236}">
              <a16:creationId xmlns:a16="http://schemas.microsoft.com/office/drawing/2014/main" id="{9BA529B3-43CA-E743-73CC-8BE448165408}"/>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4" name="Straight Connector 23">
          <a:extLst>
            <a:ext uri="{FF2B5EF4-FFF2-40B4-BE49-F238E27FC236}">
              <a16:creationId xmlns:a16="http://schemas.microsoft.com/office/drawing/2014/main" id="{8219837E-3ADF-E619-39F1-8A431EB5376D}"/>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5" name="Straight Connector 24">
          <a:extLst>
            <a:ext uri="{FF2B5EF4-FFF2-40B4-BE49-F238E27FC236}">
              <a16:creationId xmlns:a16="http://schemas.microsoft.com/office/drawing/2014/main" id="{37230A03-CC3F-51E1-B43B-7496C48DD0D9}"/>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6" name="Straight Connector 25">
          <a:extLst>
            <a:ext uri="{FF2B5EF4-FFF2-40B4-BE49-F238E27FC236}">
              <a16:creationId xmlns:a16="http://schemas.microsoft.com/office/drawing/2014/main" id="{4E4ED933-CFA1-B8D0-A576-99D9ACC9D91E}"/>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7" name="Straight Connector 26">
          <a:extLst>
            <a:ext uri="{FF2B5EF4-FFF2-40B4-BE49-F238E27FC236}">
              <a16:creationId xmlns:a16="http://schemas.microsoft.com/office/drawing/2014/main" id="{B8AC879C-3364-015C-455A-570F8341D0E0}"/>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8" name="Straight Connector 27">
          <a:extLst>
            <a:ext uri="{FF2B5EF4-FFF2-40B4-BE49-F238E27FC236}">
              <a16:creationId xmlns:a16="http://schemas.microsoft.com/office/drawing/2014/main" id="{25B23C2D-F03F-C75C-C705-BCC5970B5CDE}"/>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29" name="Straight Connector 28">
          <a:extLst>
            <a:ext uri="{FF2B5EF4-FFF2-40B4-BE49-F238E27FC236}">
              <a16:creationId xmlns:a16="http://schemas.microsoft.com/office/drawing/2014/main" id="{F384CA09-2E32-1211-DDD5-C230794E0085}"/>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0" name="Straight Connector 29">
          <a:extLst>
            <a:ext uri="{FF2B5EF4-FFF2-40B4-BE49-F238E27FC236}">
              <a16:creationId xmlns:a16="http://schemas.microsoft.com/office/drawing/2014/main" id="{06F335C0-341E-8034-A043-4CC59213C985}"/>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1" name="Straight Connector 30">
          <a:extLst>
            <a:ext uri="{FF2B5EF4-FFF2-40B4-BE49-F238E27FC236}">
              <a16:creationId xmlns:a16="http://schemas.microsoft.com/office/drawing/2014/main" id="{98C5927C-6BA2-8CC3-2559-8755CE84746C}"/>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2" name="Straight Connector 31">
          <a:extLst>
            <a:ext uri="{FF2B5EF4-FFF2-40B4-BE49-F238E27FC236}">
              <a16:creationId xmlns:a16="http://schemas.microsoft.com/office/drawing/2014/main" id="{D7B006E6-4D7C-A1B7-9FE9-DDA030125C73}"/>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3" name="Straight Connector 32">
          <a:extLst>
            <a:ext uri="{FF2B5EF4-FFF2-40B4-BE49-F238E27FC236}">
              <a16:creationId xmlns:a16="http://schemas.microsoft.com/office/drawing/2014/main" id="{DE9AA671-7478-0BCC-13D9-9FA5ECFE5367}"/>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4" name="Straight Connector 33">
          <a:extLst>
            <a:ext uri="{FF2B5EF4-FFF2-40B4-BE49-F238E27FC236}">
              <a16:creationId xmlns:a16="http://schemas.microsoft.com/office/drawing/2014/main" id="{D78B7594-3EC9-B6B2-97D7-720997457639}"/>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5" name="Straight Connector 34">
          <a:extLst>
            <a:ext uri="{FF2B5EF4-FFF2-40B4-BE49-F238E27FC236}">
              <a16:creationId xmlns:a16="http://schemas.microsoft.com/office/drawing/2014/main" id="{E2B9C7C0-1A99-67D9-E796-0011EE315490}"/>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6" name="Straight Connector 35">
          <a:extLst>
            <a:ext uri="{FF2B5EF4-FFF2-40B4-BE49-F238E27FC236}">
              <a16:creationId xmlns:a16="http://schemas.microsoft.com/office/drawing/2014/main" id="{4D8ABA16-58F8-190C-AE45-EF444201C901}"/>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7" name="Straight Connector 36">
          <a:extLst>
            <a:ext uri="{FF2B5EF4-FFF2-40B4-BE49-F238E27FC236}">
              <a16:creationId xmlns:a16="http://schemas.microsoft.com/office/drawing/2014/main" id="{8BF8C0C0-B1BB-1680-C075-402DE0699B97}"/>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8" name="Straight Connector 37">
          <a:extLst>
            <a:ext uri="{FF2B5EF4-FFF2-40B4-BE49-F238E27FC236}">
              <a16:creationId xmlns:a16="http://schemas.microsoft.com/office/drawing/2014/main" id="{3D6B10D7-9DB0-D946-A1D3-989917EEFB78}"/>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39" name="Straight Connector 38">
          <a:extLst>
            <a:ext uri="{FF2B5EF4-FFF2-40B4-BE49-F238E27FC236}">
              <a16:creationId xmlns:a16="http://schemas.microsoft.com/office/drawing/2014/main" id="{3271D5D6-E3D4-0FFE-39B4-3FE49C64BD1C}"/>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40" name="Straight Connector 39">
          <a:extLst>
            <a:ext uri="{FF2B5EF4-FFF2-40B4-BE49-F238E27FC236}">
              <a16:creationId xmlns:a16="http://schemas.microsoft.com/office/drawing/2014/main" id="{5ADADF8E-81A8-9154-B49B-42F236C1394C}"/>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41" name="Straight Connector 40">
          <a:extLst>
            <a:ext uri="{FF2B5EF4-FFF2-40B4-BE49-F238E27FC236}">
              <a16:creationId xmlns:a16="http://schemas.microsoft.com/office/drawing/2014/main" id="{8FBD1A13-CEAD-E1A2-8E4F-524550C5275F}"/>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42" name="Straight Connector 41">
          <a:extLst>
            <a:ext uri="{FF2B5EF4-FFF2-40B4-BE49-F238E27FC236}">
              <a16:creationId xmlns:a16="http://schemas.microsoft.com/office/drawing/2014/main" id="{87B83E35-BF5B-DFEC-4DC1-40B7984B0998}"/>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43" name="Straight Connector 42">
          <a:extLst>
            <a:ext uri="{FF2B5EF4-FFF2-40B4-BE49-F238E27FC236}">
              <a16:creationId xmlns:a16="http://schemas.microsoft.com/office/drawing/2014/main" id="{FD4745AC-C9D1-07E2-FC35-D26C1F67ACC0}"/>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44" name="Straight Connector 43">
          <a:extLst>
            <a:ext uri="{FF2B5EF4-FFF2-40B4-BE49-F238E27FC236}">
              <a16:creationId xmlns:a16="http://schemas.microsoft.com/office/drawing/2014/main" id="{C1958E1D-FEB8-0F40-A30E-4655DCFA7E1B}"/>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45" name="Straight Connector 44">
          <a:extLst>
            <a:ext uri="{FF2B5EF4-FFF2-40B4-BE49-F238E27FC236}">
              <a16:creationId xmlns:a16="http://schemas.microsoft.com/office/drawing/2014/main" id="{C61FCF5D-48D4-0927-EF92-C68B58825FEE}"/>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46" name="Straight Connector 45">
          <a:extLst>
            <a:ext uri="{FF2B5EF4-FFF2-40B4-BE49-F238E27FC236}">
              <a16:creationId xmlns:a16="http://schemas.microsoft.com/office/drawing/2014/main" id="{A7AFDE5F-8BA6-2CA1-F4BB-E3A1265A2440}"/>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47" name="Straight Connector 46">
          <a:extLst>
            <a:ext uri="{FF2B5EF4-FFF2-40B4-BE49-F238E27FC236}">
              <a16:creationId xmlns:a16="http://schemas.microsoft.com/office/drawing/2014/main" id="{E60F2D30-D7F5-21E4-0199-D4E9C2971003}"/>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48" name="Straight Connector 47">
          <a:extLst>
            <a:ext uri="{FF2B5EF4-FFF2-40B4-BE49-F238E27FC236}">
              <a16:creationId xmlns:a16="http://schemas.microsoft.com/office/drawing/2014/main" id="{9C2B87E8-E810-3437-AF63-E4922B27BC0E}"/>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49" name="Straight Connector 48">
          <a:extLst>
            <a:ext uri="{FF2B5EF4-FFF2-40B4-BE49-F238E27FC236}">
              <a16:creationId xmlns:a16="http://schemas.microsoft.com/office/drawing/2014/main" id="{2C773B5B-2840-20F9-5DA7-9EEF5AE53928}"/>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50" name="Straight Connector 49">
          <a:extLst>
            <a:ext uri="{FF2B5EF4-FFF2-40B4-BE49-F238E27FC236}">
              <a16:creationId xmlns:a16="http://schemas.microsoft.com/office/drawing/2014/main" id="{52D30AB8-F98E-012F-9433-A958E77167CD}"/>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51" name="Straight Connector 50">
          <a:extLst>
            <a:ext uri="{FF2B5EF4-FFF2-40B4-BE49-F238E27FC236}">
              <a16:creationId xmlns:a16="http://schemas.microsoft.com/office/drawing/2014/main" id="{BD288EDD-C3E9-D2E7-6629-BC6BF08AC8EE}"/>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52" name="Straight Connector 51">
          <a:extLst>
            <a:ext uri="{FF2B5EF4-FFF2-40B4-BE49-F238E27FC236}">
              <a16:creationId xmlns:a16="http://schemas.microsoft.com/office/drawing/2014/main" id="{0752FD66-2880-0B44-D486-3D84DB55A18C}"/>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53" name="Straight Connector 52">
          <a:extLst>
            <a:ext uri="{FF2B5EF4-FFF2-40B4-BE49-F238E27FC236}">
              <a16:creationId xmlns:a16="http://schemas.microsoft.com/office/drawing/2014/main" id="{A61EB078-7A1A-DDF4-E680-BBCAE651EC20}"/>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54" name="Straight Connector 53">
          <a:extLst>
            <a:ext uri="{FF2B5EF4-FFF2-40B4-BE49-F238E27FC236}">
              <a16:creationId xmlns:a16="http://schemas.microsoft.com/office/drawing/2014/main" id="{921802F0-02E3-E78E-E43A-61F073CD4B6B}"/>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55" name="Straight Connector 54">
          <a:extLst>
            <a:ext uri="{FF2B5EF4-FFF2-40B4-BE49-F238E27FC236}">
              <a16:creationId xmlns:a16="http://schemas.microsoft.com/office/drawing/2014/main" id="{5DA61DE6-1192-844C-4DDA-8BCC722CF78F}"/>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56" name="Straight Connector 55">
          <a:extLst>
            <a:ext uri="{FF2B5EF4-FFF2-40B4-BE49-F238E27FC236}">
              <a16:creationId xmlns:a16="http://schemas.microsoft.com/office/drawing/2014/main" id="{40145981-24A6-D2A5-D112-7105A20947E1}"/>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57" name="Straight Connector 56">
          <a:extLst>
            <a:ext uri="{FF2B5EF4-FFF2-40B4-BE49-F238E27FC236}">
              <a16:creationId xmlns:a16="http://schemas.microsoft.com/office/drawing/2014/main" id="{4140FED5-4BB7-7B46-50E6-D9DE82F1B88A}"/>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58" name="Straight Connector 57">
          <a:extLst>
            <a:ext uri="{FF2B5EF4-FFF2-40B4-BE49-F238E27FC236}">
              <a16:creationId xmlns:a16="http://schemas.microsoft.com/office/drawing/2014/main" id="{0478A9B0-074E-D0F2-D07A-41B91290B892}"/>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59" name="Straight Connector 58">
          <a:extLst>
            <a:ext uri="{FF2B5EF4-FFF2-40B4-BE49-F238E27FC236}">
              <a16:creationId xmlns:a16="http://schemas.microsoft.com/office/drawing/2014/main" id="{0BB6862D-D069-A2CF-1C9E-1B03589C7B3D}"/>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60" name="Straight Connector 59">
          <a:extLst>
            <a:ext uri="{FF2B5EF4-FFF2-40B4-BE49-F238E27FC236}">
              <a16:creationId xmlns:a16="http://schemas.microsoft.com/office/drawing/2014/main" id="{4BF89018-67BC-3F40-75D3-E9432FD4D3CD}"/>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76200</xdr:colOff>
      <xdr:row>7</xdr:row>
      <xdr:rowOff>0</xdr:rowOff>
    </xdr:from>
    <xdr:to>
      <xdr:col>38</xdr:col>
      <xdr:colOff>269358</xdr:colOff>
      <xdr:row>7</xdr:row>
      <xdr:rowOff>0</xdr:rowOff>
    </xdr:to>
    <xdr:cxnSp macro="">
      <xdr:nvCxnSpPr>
        <xdr:cNvPr id="61" name="Straight Connector 60">
          <a:extLst>
            <a:ext uri="{FF2B5EF4-FFF2-40B4-BE49-F238E27FC236}">
              <a16:creationId xmlns:a16="http://schemas.microsoft.com/office/drawing/2014/main" id="{3CBA9F31-7203-343B-45C0-2A5C28D99D78}"/>
            </a:ext>
          </a:extLst>
        </xdr:cNvPr>
        <xdr:cNvCxnSpPr/>
      </xdr:nvCxnSpPr>
      <xdr:spPr>
        <a:xfrm flipH="1">
          <a:off x="145825092" y="2819400"/>
          <a:ext cx="1931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62" name="Straight Connector 61">
          <a:extLst>
            <a:ext uri="{FF2B5EF4-FFF2-40B4-BE49-F238E27FC236}">
              <a16:creationId xmlns:a16="http://schemas.microsoft.com/office/drawing/2014/main" id="{704A0CF2-3B76-EBA4-E99F-D0397BE693EB}"/>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63" name="Straight Connector 62">
          <a:extLst>
            <a:ext uri="{FF2B5EF4-FFF2-40B4-BE49-F238E27FC236}">
              <a16:creationId xmlns:a16="http://schemas.microsoft.com/office/drawing/2014/main" id="{C25004E4-5D41-DB54-A100-081D6AF6EC40}"/>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64" name="Straight Connector 63">
          <a:extLst>
            <a:ext uri="{FF2B5EF4-FFF2-40B4-BE49-F238E27FC236}">
              <a16:creationId xmlns:a16="http://schemas.microsoft.com/office/drawing/2014/main" id="{1E70C8B0-FB68-0961-184D-7C3FE80156B1}"/>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65" name="Straight Connector 64">
          <a:extLst>
            <a:ext uri="{FF2B5EF4-FFF2-40B4-BE49-F238E27FC236}">
              <a16:creationId xmlns:a16="http://schemas.microsoft.com/office/drawing/2014/main" id="{079CB183-1942-4094-445E-F24FF4DD94A3}"/>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66" name="Straight Connector 65">
          <a:extLst>
            <a:ext uri="{FF2B5EF4-FFF2-40B4-BE49-F238E27FC236}">
              <a16:creationId xmlns:a16="http://schemas.microsoft.com/office/drawing/2014/main" id="{F61E59B6-8422-2975-355C-202F33318B8D}"/>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67" name="Straight Connector 66">
          <a:extLst>
            <a:ext uri="{FF2B5EF4-FFF2-40B4-BE49-F238E27FC236}">
              <a16:creationId xmlns:a16="http://schemas.microsoft.com/office/drawing/2014/main" id="{F41ABC85-22A6-B29B-54B3-C04C35DEA544}"/>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93345</xdr:colOff>
      <xdr:row>7</xdr:row>
      <xdr:rowOff>0</xdr:rowOff>
    </xdr:from>
    <xdr:to>
      <xdr:col>38</xdr:col>
      <xdr:colOff>291358</xdr:colOff>
      <xdr:row>7</xdr:row>
      <xdr:rowOff>0</xdr:rowOff>
    </xdr:to>
    <xdr:cxnSp macro="">
      <xdr:nvCxnSpPr>
        <xdr:cNvPr id="68" name="Straight Connector 67">
          <a:extLst>
            <a:ext uri="{FF2B5EF4-FFF2-40B4-BE49-F238E27FC236}">
              <a16:creationId xmlns:a16="http://schemas.microsoft.com/office/drawing/2014/main" id="{38781F1A-F2C6-6C27-C284-54CD6535FFB7}"/>
            </a:ext>
          </a:extLst>
        </xdr:cNvPr>
        <xdr:cNvCxnSpPr/>
      </xdr:nvCxnSpPr>
      <xdr:spPr>
        <a:xfrm flipH="1">
          <a:off x="145803092" y="2819400"/>
          <a:ext cx="198013"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97483</xdr:colOff>
      <xdr:row>7</xdr:row>
      <xdr:rowOff>0</xdr:rowOff>
    </xdr:from>
    <xdr:to>
      <xdr:col>38</xdr:col>
      <xdr:colOff>295497</xdr:colOff>
      <xdr:row>7</xdr:row>
      <xdr:rowOff>0</xdr:rowOff>
    </xdr:to>
    <xdr:cxnSp macro="">
      <xdr:nvCxnSpPr>
        <xdr:cNvPr id="69" name="Straight Connector 68">
          <a:extLst>
            <a:ext uri="{FF2B5EF4-FFF2-40B4-BE49-F238E27FC236}">
              <a16:creationId xmlns:a16="http://schemas.microsoft.com/office/drawing/2014/main" id="{4EB841F0-005A-EF8A-A325-41A9355C1D02}"/>
            </a:ext>
          </a:extLst>
        </xdr:cNvPr>
        <xdr:cNvCxnSpPr/>
      </xdr:nvCxnSpPr>
      <xdr:spPr>
        <a:xfrm flipH="1">
          <a:off x="145798953" y="2819400"/>
          <a:ext cx="19801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97483</xdr:colOff>
      <xdr:row>7</xdr:row>
      <xdr:rowOff>0</xdr:rowOff>
    </xdr:from>
    <xdr:to>
      <xdr:col>38</xdr:col>
      <xdr:colOff>295497</xdr:colOff>
      <xdr:row>7</xdr:row>
      <xdr:rowOff>0</xdr:rowOff>
    </xdr:to>
    <xdr:cxnSp macro="">
      <xdr:nvCxnSpPr>
        <xdr:cNvPr id="70" name="Straight Connector 69">
          <a:extLst>
            <a:ext uri="{FF2B5EF4-FFF2-40B4-BE49-F238E27FC236}">
              <a16:creationId xmlns:a16="http://schemas.microsoft.com/office/drawing/2014/main" id="{7202F57D-4DFF-2104-7E26-9DF518F06815}"/>
            </a:ext>
          </a:extLst>
        </xdr:cNvPr>
        <xdr:cNvCxnSpPr/>
      </xdr:nvCxnSpPr>
      <xdr:spPr>
        <a:xfrm flipH="1">
          <a:off x="145798953" y="2819400"/>
          <a:ext cx="19801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97483</xdr:colOff>
      <xdr:row>7</xdr:row>
      <xdr:rowOff>0</xdr:rowOff>
    </xdr:from>
    <xdr:to>
      <xdr:col>38</xdr:col>
      <xdr:colOff>295497</xdr:colOff>
      <xdr:row>7</xdr:row>
      <xdr:rowOff>0</xdr:rowOff>
    </xdr:to>
    <xdr:cxnSp macro="">
      <xdr:nvCxnSpPr>
        <xdr:cNvPr id="71" name="Straight Connector 70">
          <a:extLst>
            <a:ext uri="{FF2B5EF4-FFF2-40B4-BE49-F238E27FC236}">
              <a16:creationId xmlns:a16="http://schemas.microsoft.com/office/drawing/2014/main" id="{B22EB42B-5BD2-D896-89C5-087FC4B55B34}"/>
            </a:ext>
          </a:extLst>
        </xdr:cNvPr>
        <xdr:cNvCxnSpPr/>
      </xdr:nvCxnSpPr>
      <xdr:spPr>
        <a:xfrm flipH="1">
          <a:off x="145798953" y="2819400"/>
          <a:ext cx="19801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97484</xdr:colOff>
      <xdr:row>7</xdr:row>
      <xdr:rowOff>0</xdr:rowOff>
    </xdr:from>
    <xdr:to>
      <xdr:col>38</xdr:col>
      <xdr:colOff>295498</xdr:colOff>
      <xdr:row>7</xdr:row>
      <xdr:rowOff>0</xdr:rowOff>
    </xdr:to>
    <xdr:cxnSp macro="">
      <xdr:nvCxnSpPr>
        <xdr:cNvPr id="72" name="Straight Connector 71">
          <a:extLst>
            <a:ext uri="{FF2B5EF4-FFF2-40B4-BE49-F238E27FC236}">
              <a16:creationId xmlns:a16="http://schemas.microsoft.com/office/drawing/2014/main" id="{B88BCDBE-3DAC-EE40-3DA1-D47ECA01E2EC}"/>
            </a:ext>
          </a:extLst>
        </xdr:cNvPr>
        <xdr:cNvCxnSpPr/>
      </xdr:nvCxnSpPr>
      <xdr:spPr>
        <a:xfrm flipH="1">
          <a:off x="145798952" y="2819400"/>
          <a:ext cx="19801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97484</xdr:colOff>
      <xdr:row>7</xdr:row>
      <xdr:rowOff>0</xdr:rowOff>
    </xdr:from>
    <xdr:to>
      <xdr:col>38</xdr:col>
      <xdr:colOff>295498</xdr:colOff>
      <xdr:row>7</xdr:row>
      <xdr:rowOff>0</xdr:rowOff>
    </xdr:to>
    <xdr:cxnSp macro="">
      <xdr:nvCxnSpPr>
        <xdr:cNvPr id="73" name="Straight Connector 72">
          <a:extLst>
            <a:ext uri="{FF2B5EF4-FFF2-40B4-BE49-F238E27FC236}">
              <a16:creationId xmlns:a16="http://schemas.microsoft.com/office/drawing/2014/main" id="{221BF8DC-6D83-750D-EC30-E68AAD4768CF}"/>
            </a:ext>
          </a:extLst>
        </xdr:cNvPr>
        <xdr:cNvCxnSpPr/>
      </xdr:nvCxnSpPr>
      <xdr:spPr>
        <a:xfrm flipH="1">
          <a:off x="145798952" y="2819400"/>
          <a:ext cx="19801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97484</xdr:colOff>
      <xdr:row>7</xdr:row>
      <xdr:rowOff>0</xdr:rowOff>
    </xdr:from>
    <xdr:to>
      <xdr:col>38</xdr:col>
      <xdr:colOff>295498</xdr:colOff>
      <xdr:row>7</xdr:row>
      <xdr:rowOff>0</xdr:rowOff>
    </xdr:to>
    <xdr:cxnSp macro="">
      <xdr:nvCxnSpPr>
        <xdr:cNvPr id="74" name="Straight Connector 73">
          <a:extLst>
            <a:ext uri="{FF2B5EF4-FFF2-40B4-BE49-F238E27FC236}">
              <a16:creationId xmlns:a16="http://schemas.microsoft.com/office/drawing/2014/main" id="{956B3E0A-A281-6FFA-5EC3-1B543D2D196E}"/>
            </a:ext>
          </a:extLst>
        </xdr:cNvPr>
        <xdr:cNvCxnSpPr/>
      </xdr:nvCxnSpPr>
      <xdr:spPr>
        <a:xfrm flipH="1">
          <a:off x="145798952" y="2819400"/>
          <a:ext cx="19801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97484</xdr:colOff>
      <xdr:row>7</xdr:row>
      <xdr:rowOff>0</xdr:rowOff>
    </xdr:from>
    <xdr:to>
      <xdr:col>38</xdr:col>
      <xdr:colOff>295498</xdr:colOff>
      <xdr:row>7</xdr:row>
      <xdr:rowOff>0</xdr:rowOff>
    </xdr:to>
    <xdr:cxnSp macro="">
      <xdr:nvCxnSpPr>
        <xdr:cNvPr id="75" name="Straight Connector 74">
          <a:extLst>
            <a:ext uri="{FF2B5EF4-FFF2-40B4-BE49-F238E27FC236}">
              <a16:creationId xmlns:a16="http://schemas.microsoft.com/office/drawing/2014/main" id="{A4CA8162-AAB8-DF0D-99B1-71554ECE07BF}"/>
            </a:ext>
          </a:extLst>
        </xdr:cNvPr>
        <xdr:cNvCxnSpPr/>
      </xdr:nvCxnSpPr>
      <xdr:spPr>
        <a:xfrm flipH="1">
          <a:off x="145798952" y="2819400"/>
          <a:ext cx="19801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97484</xdr:colOff>
      <xdr:row>7</xdr:row>
      <xdr:rowOff>0</xdr:rowOff>
    </xdr:from>
    <xdr:to>
      <xdr:col>38</xdr:col>
      <xdr:colOff>295498</xdr:colOff>
      <xdr:row>7</xdr:row>
      <xdr:rowOff>0</xdr:rowOff>
    </xdr:to>
    <xdr:cxnSp macro="">
      <xdr:nvCxnSpPr>
        <xdr:cNvPr id="76" name="Straight Connector 75">
          <a:extLst>
            <a:ext uri="{FF2B5EF4-FFF2-40B4-BE49-F238E27FC236}">
              <a16:creationId xmlns:a16="http://schemas.microsoft.com/office/drawing/2014/main" id="{370CBB0A-B85E-AD3E-9CAF-82881A6B00C4}"/>
            </a:ext>
          </a:extLst>
        </xdr:cNvPr>
        <xdr:cNvCxnSpPr/>
      </xdr:nvCxnSpPr>
      <xdr:spPr>
        <a:xfrm flipH="1">
          <a:off x="145798952" y="2819400"/>
          <a:ext cx="19801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97483</xdr:colOff>
      <xdr:row>7</xdr:row>
      <xdr:rowOff>0</xdr:rowOff>
    </xdr:from>
    <xdr:to>
      <xdr:col>38</xdr:col>
      <xdr:colOff>295497</xdr:colOff>
      <xdr:row>7</xdr:row>
      <xdr:rowOff>0</xdr:rowOff>
    </xdr:to>
    <xdr:cxnSp macro="">
      <xdr:nvCxnSpPr>
        <xdr:cNvPr id="77" name="Straight Connector 76">
          <a:extLst>
            <a:ext uri="{FF2B5EF4-FFF2-40B4-BE49-F238E27FC236}">
              <a16:creationId xmlns:a16="http://schemas.microsoft.com/office/drawing/2014/main" id="{D0308BB8-CE06-4076-65A1-9BA45C408B52}"/>
            </a:ext>
          </a:extLst>
        </xdr:cNvPr>
        <xdr:cNvCxnSpPr/>
      </xdr:nvCxnSpPr>
      <xdr:spPr>
        <a:xfrm flipH="1">
          <a:off x="145798953" y="2819400"/>
          <a:ext cx="198014"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0</xdr:colOff>
      <xdr:row>7</xdr:row>
      <xdr:rowOff>0</xdr:rowOff>
    </xdr:from>
    <xdr:to>
      <xdr:col>8</xdr:col>
      <xdr:colOff>0</xdr:colOff>
      <xdr:row>7</xdr:row>
      <xdr:rowOff>0</xdr:rowOff>
    </xdr:to>
    <xdr:sp macro="" textlink="">
      <xdr:nvSpPr>
        <xdr:cNvPr id="78" name="Multiply 77">
          <a:extLst>
            <a:ext uri="{FF2B5EF4-FFF2-40B4-BE49-F238E27FC236}">
              <a16:creationId xmlns:a16="http://schemas.microsoft.com/office/drawing/2014/main" id="{158D433F-FB21-A02E-7ADE-E3851F64BF1F}"/>
            </a:ext>
          </a:extLst>
        </xdr:cNvPr>
        <xdr:cNvSpPr/>
      </xdr:nvSpPr>
      <xdr:spPr>
        <a:xfrm flipH="1">
          <a:off x="158181675" y="2819400"/>
          <a:ext cx="0" cy="0"/>
        </a:xfrm>
        <a:prstGeom prst="mathMultiply">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8</xdr:col>
      <xdr:colOff>0</xdr:colOff>
      <xdr:row>7</xdr:row>
      <xdr:rowOff>0</xdr:rowOff>
    </xdr:from>
    <xdr:to>
      <xdr:col>8</xdr:col>
      <xdr:colOff>0</xdr:colOff>
      <xdr:row>7</xdr:row>
      <xdr:rowOff>0</xdr:rowOff>
    </xdr:to>
    <xdr:sp macro="" textlink="">
      <xdr:nvSpPr>
        <xdr:cNvPr id="79" name="Multiply 78">
          <a:extLst>
            <a:ext uri="{FF2B5EF4-FFF2-40B4-BE49-F238E27FC236}">
              <a16:creationId xmlns:a16="http://schemas.microsoft.com/office/drawing/2014/main" id="{7D31832C-D6E7-62C6-21E4-69F94AAE29FA}"/>
            </a:ext>
          </a:extLst>
        </xdr:cNvPr>
        <xdr:cNvSpPr/>
      </xdr:nvSpPr>
      <xdr:spPr>
        <a:xfrm flipH="1">
          <a:off x="158181675" y="2819400"/>
          <a:ext cx="0" cy="0"/>
        </a:xfrm>
        <a:prstGeom prst="mathMultiply">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8</xdr:col>
      <xdr:colOff>0</xdr:colOff>
      <xdr:row>328</xdr:row>
      <xdr:rowOff>0</xdr:rowOff>
    </xdr:from>
    <xdr:to>
      <xdr:col>8</xdr:col>
      <xdr:colOff>0</xdr:colOff>
      <xdr:row>328</xdr:row>
      <xdr:rowOff>0</xdr:rowOff>
    </xdr:to>
    <xdr:sp macro="" textlink="">
      <xdr:nvSpPr>
        <xdr:cNvPr id="80" name="Multiply 79">
          <a:extLst>
            <a:ext uri="{FF2B5EF4-FFF2-40B4-BE49-F238E27FC236}">
              <a16:creationId xmlns:a16="http://schemas.microsoft.com/office/drawing/2014/main" id="{E72D5A1D-FEAB-8250-C28A-83F29F4369A0}"/>
            </a:ext>
          </a:extLst>
        </xdr:cNvPr>
        <xdr:cNvSpPr/>
      </xdr:nvSpPr>
      <xdr:spPr>
        <a:xfrm flipH="1">
          <a:off x="158181675" y="84801075"/>
          <a:ext cx="0" cy="0"/>
        </a:xfrm>
        <a:prstGeom prst="mathMultiply">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171450</xdr:colOff>
      <xdr:row>284</xdr:row>
      <xdr:rowOff>200025</xdr:rowOff>
    </xdr:from>
    <xdr:to>
      <xdr:col>15</xdr:col>
      <xdr:colOff>542925</xdr:colOff>
      <xdr:row>284</xdr:row>
      <xdr:rowOff>200025</xdr:rowOff>
    </xdr:to>
    <xdr:cxnSp macro="">
      <xdr:nvCxnSpPr>
        <xdr:cNvPr id="2" name="Straight Connector 1">
          <a:extLst>
            <a:ext uri="{FF2B5EF4-FFF2-40B4-BE49-F238E27FC236}">
              <a16:creationId xmlns:a16="http://schemas.microsoft.com/office/drawing/2014/main" id="{1208E4CE-A483-0423-40B1-A6775A87450C}"/>
            </a:ext>
          </a:extLst>
        </xdr:cNvPr>
        <xdr:cNvCxnSpPr/>
      </xdr:nvCxnSpPr>
      <xdr:spPr>
        <a:xfrm>
          <a:off x="158372175" y="1054608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278</xdr:row>
      <xdr:rowOff>200025</xdr:rowOff>
    </xdr:from>
    <xdr:to>
      <xdr:col>15</xdr:col>
      <xdr:colOff>542925</xdr:colOff>
      <xdr:row>278</xdr:row>
      <xdr:rowOff>200025</xdr:rowOff>
    </xdr:to>
    <xdr:cxnSp macro="">
      <xdr:nvCxnSpPr>
        <xdr:cNvPr id="3" name="Straight Connector 2">
          <a:extLst>
            <a:ext uri="{FF2B5EF4-FFF2-40B4-BE49-F238E27FC236}">
              <a16:creationId xmlns:a16="http://schemas.microsoft.com/office/drawing/2014/main" id="{8FFD6934-3337-CEA4-CC9E-920EFEDE0DF1}"/>
            </a:ext>
          </a:extLst>
        </xdr:cNvPr>
        <xdr:cNvCxnSpPr/>
      </xdr:nvCxnSpPr>
      <xdr:spPr>
        <a:xfrm>
          <a:off x="158372175" y="1032319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279</xdr:row>
      <xdr:rowOff>200025</xdr:rowOff>
    </xdr:from>
    <xdr:to>
      <xdr:col>15</xdr:col>
      <xdr:colOff>542925</xdr:colOff>
      <xdr:row>279</xdr:row>
      <xdr:rowOff>200025</xdr:rowOff>
    </xdr:to>
    <xdr:cxnSp macro="">
      <xdr:nvCxnSpPr>
        <xdr:cNvPr id="4" name="Straight Connector 3">
          <a:extLst>
            <a:ext uri="{FF2B5EF4-FFF2-40B4-BE49-F238E27FC236}">
              <a16:creationId xmlns:a16="http://schemas.microsoft.com/office/drawing/2014/main" id="{71AC0059-15E1-B286-A74E-54F833D2B7EC}"/>
            </a:ext>
          </a:extLst>
        </xdr:cNvPr>
        <xdr:cNvCxnSpPr/>
      </xdr:nvCxnSpPr>
      <xdr:spPr>
        <a:xfrm>
          <a:off x="158372175" y="1036034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286</xdr:row>
      <xdr:rowOff>200025</xdr:rowOff>
    </xdr:from>
    <xdr:to>
      <xdr:col>15</xdr:col>
      <xdr:colOff>542925</xdr:colOff>
      <xdr:row>286</xdr:row>
      <xdr:rowOff>200025</xdr:rowOff>
    </xdr:to>
    <xdr:cxnSp macro="">
      <xdr:nvCxnSpPr>
        <xdr:cNvPr id="5" name="Straight Connector 4">
          <a:extLst>
            <a:ext uri="{FF2B5EF4-FFF2-40B4-BE49-F238E27FC236}">
              <a16:creationId xmlns:a16="http://schemas.microsoft.com/office/drawing/2014/main" id="{B0BA919F-E636-B357-D108-6C02A1061AEA}"/>
            </a:ext>
          </a:extLst>
        </xdr:cNvPr>
        <xdr:cNvCxnSpPr/>
      </xdr:nvCxnSpPr>
      <xdr:spPr>
        <a:xfrm>
          <a:off x="158372175" y="1062037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288</xdr:row>
      <xdr:rowOff>200025</xdr:rowOff>
    </xdr:from>
    <xdr:to>
      <xdr:col>15</xdr:col>
      <xdr:colOff>542925</xdr:colOff>
      <xdr:row>288</xdr:row>
      <xdr:rowOff>200025</xdr:rowOff>
    </xdr:to>
    <xdr:cxnSp macro="">
      <xdr:nvCxnSpPr>
        <xdr:cNvPr id="6" name="Straight Connector 5">
          <a:extLst>
            <a:ext uri="{FF2B5EF4-FFF2-40B4-BE49-F238E27FC236}">
              <a16:creationId xmlns:a16="http://schemas.microsoft.com/office/drawing/2014/main" id="{373CD754-82E9-0AF9-C473-17C1B6FCEAFD}"/>
            </a:ext>
          </a:extLst>
        </xdr:cNvPr>
        <xdr:cNvCxnSpPr/>
      </xdr:nvCxnSpPr>
      <xdr:spPr>
        <a:xfrm>
          <a:off x="158372175" y="1069467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289</xdr:row>
      <xdr:rowOff>200025</xdr:rowOff>
    </xdr:from>
    <xdr:to>
      <xdr:col>15</xdr:col>
      <xdr:colOff>542925</xdr:colOff>
      <xdr:row>289</xdr:row>
      <xdr:rowOff>200025</xdr:rowOff>
    </xdr:to>
    <xdr:cxnSp macro="">
      <xdr:nvCxnSpPr>
        <xdr:cNvPr id="7" name="Straight Connector 6">
          <a:extLst>
            <a:ext uri="{FF2B5EF4-FFF2-40B4-BE49-F238E27FC236}">
              <a16:creationId xmlns:a16="http://schemas.microsoft.com/office/drawing/2014/main" id="{FA693F5F-BB48-982A-F820-607CCA2B4C77}"/>
            </a:ext>
          </a:extLst>
        </xdr:cNvPr>
        <xdr:cNvCxnSpPr/>
      </xdr:nvCxnSpPr>
      <xdr:spPr>
        <a:xfrm>
          <a:off x="158372175" y="1073181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290</xdr:row>
      <xdr:rowOff>200025</xdr:rowOff>
    </xdr:from>
    <xdr:to>
      <xdr:col>15</xdr:col>
      <xdr:colOff>542925</xdr:colOff>
      <xdr:row>290</xdr:row>
      <xdr:rowOff>200025</xdr:rowOff>
    </xdr:to>
    <xdr:cxnSp macro="">
      <xdr:nvCxnSpPr>
        <xdr:cNvPr id="8" name="Straight Connector 7">
          <a:extLst>
            <a:ext uri="{FF2B5EF4-FFF2-40B4-BE49-F238E27FC236}">
              <a16:creationId xmlns:a16="http://schemas.microsoft.com/office/drawing/2014/main" id="{B4602D1A-2270-6E93-530B-EA480AA96A4A}"/>
            </a:ext>
          </a:extLst>
        </xdr:cNvPr>
        <xdr:cNvCxnSpPr/>
      </xdr:nvCxnSpPr>
      <xdr:spPr>
        <a:xfrm>
          <a:off x="158372175" y="1076896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291</xdr:row>
      <xdr:rowOff>200025</xdr:rowOff>
    </xdr:from>
    <xdr:to>
      <xdr:col>15</xdr:col>
      <xdr:colOff>542925</xdr:colOff>
      <xdr:row>291</xdr:row>
      <xdr:rowOff>200025</xdr:rowOff>
    </xdr:to>
    <xdr:cxnSp macro="">
      <xdr:nvCxnSpPr>
        <xdr:cNvPr id="9" name="Straight Connector 8">
          <a:extLst>
            <a:ext uri="{FF2B5EF4-FFF2-40B4-BE49-F238E27FC236}">
              <a16:creationId xmlns:a16="http://schemas.microsoft.com/office/drawing/2014/main" id="{6EDCAD76-FE9A-D37F-3E09-D2EDA5853395}"/>
            </a:ext>
          </a:extLst>
        </xdr:cNvPr>
        <xdr:cNvCxnSpPr/>
      </xdr:nvCxnSpPr>
      <xdr:spPr>
        <a:xfrm>
          <a:off x="158372175" y="1080611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293</xdr:row>
      <xdr:rowOff>200025</xdr:rowOff>
    </xdr:from>
    <xdr:to>
      <xdr:col>15</xdr:col>
      <xdr:colOff>542925</xdr:colOff>
      <xdr:row>293</xdr:row>
      <xdr:rowOff>200025</xdr:rowOff>
    </xdr:to>
    <xdr:cxnSp macro="">
      <xdr:nvCxnSpPr>
        <xdr:cNvPr id="10" name="Straight Connector 9">
          <a:extLst>
            <a:ext uri="{FF2B5EF4-FFF2-40B4-BE49-F238E27FC236}">
              <a16:creationId xmlns:a16="http://schemas.microsoft.com/office/drawing/2014/main" id="{0278E4B1-A00E-EEF7-1AF5-BC979D46C2CE}"/>
            </a:ext>
          </a:extLst>
        </xdr:cNvPr>
        <xdr:cNvCxnSpPr/>
      </xdr:nvCxnSpPr>
      <xdr:spPr>
        <a:xfrm>
          <a:off x="158372175" y="1088040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269</xdr:row>
      <xdr:rowOff>200025</xdr:rowOff>
    </xdr:from>
    <xdr:to>
      <xdr:col>15</xdr:col>
      <xdr:colOff>542925</xdr:colOff>
      <xdr:row>269</xdr:row>
      <xdr:rowOff>200025</xdr:rowOff>
    </xdr:to>
    <xdr:cxnSp macro="">
      <xdr:nvCxnSpPr>
        <xdr:cNvPr id="11" name="Straight Connector 10">
          <a:extLst>
            <a:ext uri="{FF2B5EF4-FFF2-40B4-BE49-F238E27FC236}">
              <a16:creationId xmlns:a16="http://schemas.microsoft.com/office/drawing/2014/main" id="{E2C654DB-8D6A-0DBA-D8AE-B646A191EB9A}"/>
            </a:ext>
          </a:extLst>
        </xdr:cNvPr>
        <xdr:cNvCxnSpPr/>
      </xdr:nvCxnSpPr>
      <xdr:spPr>
        <a:xfrm>
          <a:off x="158372175" y="998886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227</xdr:row>
      <xdr:rowOff>200025</xdr:rowOff>
    </xdr:from>
    <xdr:to>
      <xdr:col>15</xdr:col>
      <xdr:colOff>542925</xdr:colOff>
      <xdr:row>227</xdr:row>
      <xdr:rowOff>200025</xdr:rowOff>
    </xdr:to>
    <xdr:cxnSp macro="">
      <xdr:nvCxnSpPr>
        <xdr:cNvPr id="12" name="Straight Connector 11">
          <a:extLst>
            <a:ext uri="{FF2B5EF4-FFF2-40B4-BE49-F238E27FC236}">
              <a16:creationId xmlns:a16="http://schemas.microsoft.com/office/drawing/2014/main" id="{2D1F0B82-882F-7108-39A1-4CF7A3E89C47}"/>
            </a:ext>
          </a:extLst>
        </xdr:cNvPr>
        <xdr:cNvCxnSpPr/>
      </xdr:nvCxnSpPr>
      <xdr:spPr>
        <a:xfrm>
          <a:off x="158372175" y="846677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271</xdr:row>
      <xdr:rowOff>200025</xdr:rowOff>
    </xdr:from>
    <xdr:to>
      <xdr:col>15</xdr:col>
      <xdr:colOff>542925</xdr:colOff>
      <xdr:row>271</xdr:row>
      <xdr:rowOff>200025</xdr:rowOff>
    </xdr:to>
    <xdr:cxnSp macro="">
      <xdr:nvCxnSpPr>
        <xdr:cNvPr id="13" name="Straight Connector 12">
          <a:extLst>
            <a:ext uri="{FF2B5EF4-FFF2-40B4-BE49-F238E27FC236}">
              <a16:creationId xmlns:a16="http://schemas.microsoft.com/office/drawing/2014/main" id="{189F1FCE-1591-2523-EC29-1F43137E0FC2}"/>
            </a:ext>
          </a:extLst>
        </xdr:cNvPr>
        <xdr:cNvCxnSpPr/>
      </xdr:nvCxnSpPr>
      <xdr:spPr>
        <a:xfrm>
          <a:off x="158372175" y="1006316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273</xdr:row>
      <xdr:rowOff>200025</xdr:rowOff>
    </xdr:from>
    <xdr:to>
      <xdr:col>15</xdr:col>
      <xdr:colOff>542925</xdr:colOff>
      <xdr:row>273</xdr:row>
      <xdr:rowOff>200025</xdr:rowOff>
    </xdr:to>
    <xdr:cxnSp macro="">
      <xdr:nvCxnSpPr>
        <xdr:cNvPr id="14" name="Straight Connector 13">
          <a:extLst>
            <a:ext uri="{FF2B5EF4-FFF2-40B4-BE49-F238E27FC236}">
              <a16:creationId xmlns:a16="http://schemas.microsoft.com/office/drawing/2014/main" id="{66B73309-DC6F-CEE0-2023-8AFCBA2CBDEA}"/>
            </a:ext>
          </a:extLst>
        </xdr:cNvPr>
        <xdr:cNvCxnSpPr/>
      </xdr:nvCxnSpPr>
      <xdr:spPr>
        <a:xfrm>
          <a:off x="158372175" y="1013745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275</xdr:row>
      <xdr:rowOff>200025</xdr:rowOff>
    </xdr:from>
    <xdr:to>
      <xdr:col>15</xdr:col>
      <xdr:colOff>542925</xdr:colOff>
      <xdr:row>275</xdr:row>
      <xdr:rowOff>200025</xdr:rowOff>
    </xdr:to>
    <xdr:cxnSp macro="">
      <xdr:nvCxnSpPr>
        <xdr:cNvPr id="15" name="Straight Connector 14">
          <a:extLst>
            <a:ext uri="{FF2B5EF4-FFF2-40B4-BE49-F238E27FC236}">
              <a16:creationId xmlns:a16="http://schemas.microsoft.com/office/drawing/2014/main" id="{168DCCA0-10E7-FB9E-5E36-7430068D5EE8}"/>
            </a:ext>
          </a:extLst>
        </xdr:cNvPr>
        <xdr:cNvCxnSpPr/>
      </xdr:nvCxnSpPr>
      <xdr:spPr>
        <a:xfrm>
          <a:off x="158372175" y="1021175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274</xdr:row>
      <xdr:rowOff>200025</xdr:rowOff>
    </xdr:from>
    <xdr:to>
      <xdr:col>15</xdr:col>
      <xdr:colOff>542925</xdr:colOff>
      <xdr:row>274</xdr:row>
      <xdr:rowOff>200025</xdr:rowOff>
    </xdr:to>
    <xdr:cxnSp macro="">
      <xdr:nvCxnSpPr>
        <xdr:cNvPr id="16" name="Straight Connector 15">
          <a:extLst>
            <a:ext uri="{FF2B5EF4-FFF2-40B4-BE49-F238E27FC236}">
              <a16:creationId xmlns:a16="http://schemas.microsoft.com/office/drawing/2014/main" id="{B811F3C7-D41F-9ED3-2647-384939631B82}"/>
            </a:ext>
          </a:extLst>
        </xdr:cNvPr>
        <xdr:cNvCxnSpPr/>
      </xdr:nvCxnSpPr>
      <xdr:spPr>
        <a:xfrm>
          <a:off x="158372175" y="1017460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276</xdr:row>
      <xdr:rowOff>200025</xdr:rowOff>
    </xdr:from>
    <xdr:to>
      <xdr:col>15</xdr:col>
      <xdr:colOff>542925</xdr:colOff>
      <xdr:row>276</xdr:row>
      <xdr:rowOff>200025</xdr:rowOff>
    </xdr:to>
    <xdr:cxnSp macro="">
      <xdr:nvCxnSpPr>
        <xdr:cNvPr id="17" name="Straight Connector 16">
          <a:extLst>
            <a:ext uri="{FF2B5EF4-FFF2-40B4-BE49-F238E27FC236}">
              <a16:creationId xmlns:a16="http://schemas.microsoft.com/office/drawing/2014/main" id="{DD538D3F-6668-AA2D-AF94-74C7FBD32755}"/>
            </a:ext>
          </a:extLst>
        </xdr:cNvPr>
        <xdr:cNvCxnSpPr/>
      </xdr:nvCxnSpPr>
      <xdr:spPr>
        <a:xfrm>
          <a:off x="158372175" y="1024890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277</xdr:row>
      <xdr:rowOff>200025</xdr:rowOff>
    </xdr:from>
    <xdr:to>
      <xdr:col>15</xdr:col>
      <xdr:colOff>542925</xdr:colOff>
      <xdr:row>277</xdr:row>
      <xdr:rowOff>200025</xdr:rowOff>
    </xdr:to>
    <xdr:cxnSp macro="">
      <xdr:nvCxnSpPr>
        <xdr:cNvPr id="18" name="Straight Connector 17">
          <a:extLst>
            <a:ext uri="{FF2B5EF4-FFF2-40B4-BE49-F238E27FC236}">
              <a16:creationId xmlns:a16="http://schemas.microsoft.com/office/drawing/2014/main" id="{9BBAC87A-314F-4038-F8F9-0B25BD8508C2}"/>
            </a:ext>
          </a:extLst>
        </xdr:cNvPr>
        <xdr:cNvCxnSpPr/>
      </xdr:nvCxnSpPr>
      <xdr:spPr>
        <a:xfrm>
          <a:off x="158372175" y="1028604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300</xdr:row>
      <xdr:rowOff>200025</xdr:rowOff>
    </xdr:from>
    <xdr:to>
      <xdr:col>15</xdr:col>
      <xdr:colOff>542925</xdr:colOff>
      <xdr:row>300</xdr:row>
      <xdr:rowOff>200025</xdr:rowOff>
    </xdr:to>
    <xdr:cxnSp macro="">
      <xdr:nvCxnSpPr>
        <xdr:cNvPr id="19" name="Straight Connector 18">
          <a:extLst>
            <a:ext uri="{FF2B5EF4-FFF2-40B4-BE49-F238E27FC236}">
              <a16:creationId xmlns:a16="http://schemas.microsoft.com/office/drawing/2014/main" id="{3F32FA13-9259-1B69-473F-D097212DD84B}"/>
            </a:ext>
          </a:extLst>
        </xdr:cNvPr>
        <xdr:cNvCxnSpPr/>
      </xdr:nvCxnSpPr>
      <xdr:spPr>
        <a:xfrm>
          <a:off x="158372175" y="1114044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167</xdr:row>
      <xdr:rowOff>200025</xdr:rowOff>
    </xdr:from>
    <xdr:to>
      <xdr:col>15</xdr:col>
      <xdr:colOff>542925</xdr:colOff>
      <xdr:row>167</xdr:row>
      <xdr:rowOff>200025</xdr:rowOff>
    </xdr:to>
    <xdr:cxnSp macro="">
      <xdr:nvCxnSpPr>
        <xdr:cNvPr id="20" name="Straight Connector 19">
          <a:extLst>
            <a:ext uri="{FF2B5EF4-FFF2-40B4-BE49-F238E27FC236}">
              <a16:creationId xmlns:a16="http://schemas.microsoft.com/office/drawing/2014/main" id="{20FA579C-2778-2178-3DB4-57A01D08A259}"/>
            </a:ext>
          </a:extLst>
        </xdr:cNvPr>
        <xdr:cNvCxnSpPr/>
      </xdr:nvCxnSpPr>
      <xdr:spPr>
        <a:xfrm>
          <a:off x="158372175" y="623792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301</xdr:row>
      <xdr:rowOff>200025</xdr:rowOff>
    </xdr:from>
    <xdr:to>
      <xdr:col>15</xdr:col>
      <xdr:colOff>542925</xdr:colOff>
      <xdr:row>301</xdr:row>
      <xdr:rowOff>200025</xdr:rowOff>
    </xdr:to>
    <xdr:cxnSp macro="">
      <xdr:nvCxnSpPr>
        <xdr:cNvPr id="21" name="Straight Connector 20">
          <a:extLst>
            <a:ext uri="{FF2B5EF4-FFF2-40B4-BE49-F238E27FC236}">
              <a16:creationId xmlns:a16="http://schemas.microsoft.com/office/drawing/2014/main" id="{8FB2F3E1-F623-7731-1366-2E80A57F6E4B}"/>
            </a:ext>
          </a:extLst>
        </xdr:cNvPr>
        <xdr:cNvCxnSpPr/>
      </xdr:nvCxnSpPr>
      <xdr:spPr>
        <a:xfrm>
          <a:off x="158372175" y="1117758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298</xdr:row>
      <xdr:rowOff>200025</xdr:rowOff>
    </xdr:from>
    <xdr:to>
      <xdr:col>15</xdr:col>
      <xdr:colOff>542925</xdr:colOff>
      <xdr:row>298</xdr:row>
      <xdr:rowOff>200025</xdr:rowOff>
    </xdr:to>
    <xdr:cxnSp macro="">
      <xdr:nvCxnSpPr>
        <xdr:cNvPr id="22" name="Straight Connector 21">
          <a:extLst>
            <a:ext uri="{FF2B5EF4-FFF2-40B4-BE49-F238E27FC236}">
              <a16:creationId xmlns:a16="http://schemas.microsoft.com/office/drawing/2014/main" id="{DF7EEE85-D9C1-1CE7-E262-513BFE869CE2}"/>
            </a:ext>
          </a:extLst>
        </xdr:cNvPr>
        <xdr:cNvCxnSpPr/>
      </xdr:nvCxnSpPr>
      <xdr:spPr>
        <a:xfrm>
          <a:off x="158372175" y="1106614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296</xdr:row>
      <xdr:rowOff>200025</xdr:rowOff>
    </xdr:from>
    <xdr:to>
      <xdr:col>15</xdr:col>
      <xdr:colOff>542925</xdr:colOff>
      <xdr:row>296</xdr:row>
      <xdr:rowOff>200025</xdr:rowOff>
    </xdr:to>
    <xdr:cxnSp macro="">
      <xdr:nvCxnSpPr>
        <xdr:cNvPr id="23" name="Straight Connector 22">
          <a:extLst>
            <a:ext uri="{FF2B5EF4-FFF2-40B4-BE49-F238E27FC236}">
              <a16:creationId xmlns:a16="http://schemas.microsoft.com/office/drawing/2014/main" id="{43D60674-ADA6-471D-408F-B8410A751C2E}"/>
            </a:ext>
          </a:extLst>
        </xdr:cNvPr>
        <xdr:cNvCxnSpPr/>
      </xdr:nvCxnSpPr>
      <xdr:spPr>
        <a:xfrm>
          <a:off x="158372175" y="1099185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64</xdr:row>
      <xdr:rowOff>200025</xdr:rowOff>
    </xdr:from>
    <xdr:to>
      <xdr:col>15</xdr:col>
      <xdr:colOff>542925</xdr:colOff>
      <xdr:row>64</xdr:row>
      <xdr:rowOff>200025</xdr:rowOff>
    </xdr:to>
    <xdr:cxnSp macro="">
      <xdr:nvCxnSpPr>
        <xdr:cNvPr id="24" name="Straight Connector 23">
          <a:extLst>
            <a:ext uri="{FF2B5EF4-FFF2-40B4-BE49-F238E27FC236}">
              <a16:creationId xmlns:a16="http://schemas.microsoft.com/office/drawing/2014/main" id="{1940E9BF-59F4-A0E2-B695-3D4F0E5A011C}"/>
            </a:ext>
          </a:extLst>
        </xdr:cNvPr>
        <xdr:cNvCxnSpPr/>
      </xdr:nvCxnSpPr>
      <xdr:spPr>
        <a:xfrm>
          <a:off x="158372175" y="241173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166</xdr:row>
      <xdr:rowOff>200025</xdr:rowOff>
    </xdr:from>
    <xdr:to>
      <xdr:col>15</xdr:col>
      <xdr:colOff>542925</xdr:colOff>
      <xdr:row>166</xdr:row>
      <xdr:rowOff>200025</xdr:rowOff>
    </xdr:to>
    <xdr:cxnSp macro="">
      <xdr:nvCxnSpPr>
        <xdr:cNvPr id="25" name="Straight Connector 24">
          <a:extLst>
            <a:ext uri="{FF2B5EF4-FFF2-40B4-BE49-F238E27FC236}">
              <a16:creationId xmlns:a16="http://schemas.microsoft.com/office/drawing/2014/main" id="{BCA7E04C-03A4-72CF-4665-15F582902E72}"/>
            </a:ext>
          </a:extLst>
        </xdr:cNvPr>
        <xdr:cNvCxnSpPr/>
      </xdr:nvCxnSpPr>
      <xdr:spPr>
        <a:xfrm>
          <a:off x="158372175" y="620077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171</xdr:row>
      <xdr:rowOff>200025</xdr:rowOff>
    </xdr:from>
    <xdr:to>
      <xdr:col>15</xdr:col>
      <xdr:colOff>542925</xdr:colOff>
      <xdr:row>171</xdr:row>
      <xdr:rowOff>200025</xdr:rowOff>
    </xdr:to>
    <xdr:cxnSp macro="">
      <xdr:nvCxnSpPr>
        <xdr:cNvPr id="26" name="Straight Connector 25">
          <a:extLst>
            <a:ext uri="{FF2B5EF4-FFF2-40B4-BE49-F238E27FC236}">
              <a16:creationId xmlns:a16="http://schemas.microsoft.com/office/drawing/2014/main" id="{367756D7-E3A9-2CB2-0515-29DB7165C193}"/>
            </a:ext>
          </a:extLst>
        </xdr:cNvPr>
        <xdr:cNvCxnSpPr/>
      </xdr:nvCxnSpPr>
      <xdr:spPr>
        <a:xfrm>
          <a:off x="158372175" y="638651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172</xdr:row>
      <xdr:rowOff>200025</xdr:rowOff>
    </xdr:from>
    <xdr:to>
      <xdr:col>15</xdr:col>
      <xdr:colOff>542925</xdr:colOff>
      <xdr:row>172</xdr:row>
      <xdr:rowOff>200025</xdr:rowOff>
    </xdr:to>
    <xdr:cxnSp macro="">
      <xdr:nvCxnSpPr>
        <xdr:cNvPr id="27" name="Straight Connector 26">
          <a:extLst>
            <a:ext uri="{FF2B5EF4-FFF2-40B4-BE49-F238E27FC236}">
              <a16:creationId xmlns:a16="http://schemas.microsoft.com/office/drawing/2014/main" id="{C82A0C61-1395-E6F2-1C6A-A80604D27163}"/>
            </a:ext>
          </a:extLst>
        </xdr:cNvPr>
        <xdr:cNvCxnSpPr/>
      </xdr:nvCxnSpPr>
      <xdr:spPr>
        <a:xfrm>
          <a:off x="158372175" y="642366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180</xdr:row>
      <xdr:rowOff>200025</xdr:rowOff>
    </xdr:from>
    <xdr:to>
      <xdr:col>15</xdr:col>
      <xdr:colOff>542925</xdr:colOff>
      <xdr:row>180</xdr:row>
      <xdr:rowOff>200025</xdr:rowOff>
    </xdr:to>
    <xdr:cxnSp macro="">
      <xdr:nvCxnSpPr>
        <xdr:cNvPr id="28" name="Straight Connector 27">
          <a:extLst>
            <a:ext uri="{FF2B5EF4-FFF2-40B4-BE49-F238E27FC236}">
              <a16:creationId xmlns:a16="http://schemas.microsoft.com/office/drawing/2014/main" id="{E572052D-1EC2-7B2D-AF6E-8E46450A1D27}"/>
            </a:ext>
          </a:extLst>
        </xdr:cNvPr>
        <xdr:cNvCxnSpPr/>
      </xdr:nvCxnSpPr>
      <xdr:spPr>
        <a:xfrm>
          <a:off x="158372175" y="672084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189</xdr:row>
      <xdr:rowOff>200025</xdr:rowOff>
    </xdr:from>
    <xdr:to>
      <xdr:col>15</xdr:col>
      <xdr:colOff>542925</xdr:colOff>
      <xdr:row>189</xdr:row>
      <xdr:rowOff>200025</xdr:rowOff>
    </xdr:to>
    <xdr:cxnSp macro="">
      <xdr:nvCxnSpPr>
        <xdr:cNvPr id="29" name="Straight Connector 28">
          <a:extLst>
            <a:ext uri="{FF2B5EF4-FFF2-40B4-BE49-F238E27FC236}">
              <a16:creationId xmlns:a16="http://schemas.microsoft.com/office/drawing/2014/main" id="{49F64F76-F5C7-D790-D2AA-37C5F2D6C257}"/>
            </a:ext>
          </a:extLst>
        </xdr:cNvPr>
        <xdr:cNvCxnSpPr/>
      </xdr:nvCxnSpPr>
      <xdr:spPr>
        <a:xfrm>
          <a:off x="158372175" y="705516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120</xdr:row>
      <xdr:rowOff>200025</xdr:rowOff>
    </xdr:from>
    <xdr:to>
      <xdr:col>15</xdr:col>
      <xdr:colOff>542925</xdr:colOff>
      <xdr:row>120</xdr:row>
      <xdr:rowOff>200025</xdr:rowOff>
    </xdr:to>
    <xdr:cxnSp macro="">
      <xdr:nvCxnSpPr>
        <xdr:cNvPr id="30" name="Straight Connector 29">
          <a:extLst>
            <a:ext uri="{FF2B5EF4-FFF2-40B4-BE49-F238E27FC236}">
              <a16:creationId xmlns:a16="http://schemas.microsoft.com/office/drawing/2014/main" id="{8D4CC96A-3BD7-5819-8C31-918B7065E7A5}"/>
            </a:ext>
          </a:extLst>
        </xdr:cNvPr>
        <xdr:cNvCxnSpPr/>
      </xdr:nvCxnSpPr>
      <xdr:spPr>
        <a:xfrm>
          <a:off x="158372175" y="449199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87</xdr:row>
      <xdr:rowOff>200025</xdr:rowOff>
    </xdr:from>
    <xdr:to>
      <xdr:col>15</xdr:col>
      <xdr:colOff>542925</xdr:colOff>
      <xdr:row>87</xdr:row>
      <xdr:rowOff>200025</xdr:rowOff>
    </xdr:to>
    <xdr:cxnSp macro="">
      <xdr:nvCxnSpPr>
        <xdr:cNvPr id="31" name="Straight Connector 30">
          <a:extLst>
            <a:ext uri="{FF2B5EF4-FFF2-40B4-BE49-F238E27FC236}">
              <a16:creationId xmlns:a16="http://schemas.microsoft.com/office/drawing/2014/main" id="{A83D36B9-5325-ADAB-070D-9C06ED01EE85}"/>
            </a:ext>
          </a:extLst>
        </xdr:cNvPr>
        <xdr:cNvCxnSpPr/>
      </xdr:nvCxnSpPr>
      <xdr:spPr>
        <a:xfrm>
          <a:off x="158372175" y="326612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35</xdr:row>
      <xdr:rowOff>200025</xdr:rowOff>
    </xdr:from>
    <xdr:to>
      <xdr:col>15</xdr:col>
      <xdr:colOff>542925</xdr:colOff>
      <xdr:row>35</xdr:row>
      <xdr:rowOff>200025</xdr:rowOff>
    </xdr:to>
    <xdr:cxnSp macro="">
      <xdr:nvCxnSpPr>
        <xdr:cNvPr id="32" name="Straight Connector 31">
          <a:extLst>
            <a:ext uri="{FF2B5EF4-FFF2-40B4-BE49-F238E27FC236}">
              <a16:creationId xmlns:a16="http://schemas.microsoft.com/office/drawing/2014/main" id="{8CE8ED4D-C852-58F6-FFED-30A6DCC89FD1}"/>
            </a:ext>
          </a:extLst>
        </xdr:cNvPr>
        <xdr:cNvCxnSpPr/>
      </xdr:nvCxnSpPr>
      <xdr:spPr>
        <a:xfrm>
          <a:off x="158372175" y="133445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78</xdr:row>
      <xdr:rowOff>200025</xdr:rowOff>
    </xdr:from>
    <xdr:to>
      <xdr:col>15</xdr:col>
      <xdr:colOff>542925</xdr:colOff>
      <xdr:row>78</xdr:row>
      <xdr:rowOff>200025</xdr:rowOff>
    </xdr:to>
    <xdr:cxnSp macro="">
      <xdr:nvCxnSpPr>
        <xdr:cNvPr id="33" name="Straight Connector 32">
          <a:extLst>
            <a:ext uri="{FF2B5EF4-FFF2-40B4-BE49-F238E27FC236}">
              <a16:creationId xmlns:a16="http://schemas.microsoft.com/office/drawing/2014/main" id="{72D9D318-2307-AD55-4192-AEC3F5BAED50}"/>
            </a:ext>
          </a:extLst>
        </xdr:cNvPr>
        <xdr:cNvCxnSpPr/>
      </xdr:nvCxnSpPr>
      <xdr:spPr>
        <a:xfrm>
          <a:off x="158372175" y="293179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198</xdr:row>
      <xdr:rowOff>200025</xdr:rowOff>
    </xdr:from>
    <xdr:to>
      <xdr:col>15</xdr:col>
      <xdr:colOff>542925</xdr:colOff>
      <xdr:row>198</xdr:row>
      <xdr:rowOff>200025</xdr:rowOff>
    </xdr:to>
    <xdr:cxnSp macro="">
      <xdr:nvCxnSpPr>
        <xdr:cNvPr id="34" name="Straight Connector 33">
          <a:extLst>
            <a:ext uri="{FF2B5EF4-FFF2-40B4-BE49-F238E27FC236}">
              <a16:creationId xmlns:a16="http://schemas.microsoft.com/office/drawing/2014/main" id="{358AA2D2-32BD-33FF-1D5B-7D024B395D1F}"/>
            </a:ext>
          </a:extLst>
        </xdr:cNvPr>
        <xdr:cNvCxnSpPr/>
      </xdr:nvCxnSpPr>
      <xdr:spPr>
        <a:xfrm>
          <a:off x="158372175" y="738949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139</xdr:row>
      <xdr:rowOff>200025</xdr:rowOff>
    </xdr:from>
    <xdr:to>
      <xdr:col>15</xdr:col>
      <xdr:colOff>542925</xdr:colOff>
      <xdr:row>139</xdr:row>
      <xdr:rowOff>200025</xdr:rowOff>
    </xdr:to>
    <xdr:cxnSp macro="">
      <xdr:nvCxnSpPr>
        <xdr:cNvPr id="35" name="Straight Connector 34">
          <a:extLst>
            <a:ext uri="{FF2B5EF4-FFF2-40B4-BE49-F238E27FC236}">
              <a16:creationId xmlns:a16="http://schemas.microsoft.com/office/drawing/2014/main" id="{205677F6-3A1F-16DB-C810-14FF5E257EE5}"/>
            </a:ext>
          </a:extLst>
        </xdr:cNvPr>
        <xdr:cNvCxnSpPr/>
      </xdr:nvCxnSpPr>
      <xdr:spPr>
        <a:xfrm>
          <a:off x="158372175" y="519779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4</xdr:row>
      <xdr:rowOff>200025</xdr:rowOff>
    </xdr:from>
    <xdr:to>
      <xdr:col>15</xdr:col>
      <xdr:colOff>542925</xdr:colOff>
      <xdr:row>4</xdr:row>
      <xdr:rowOff>200025</xdr:rowOff>
    </xdr:to>
    <xdr:cxnSp macro="">
      <xdr:nvCxnSpPr>
        <xdr:cNvPr id="36" name="Straight Connector 35">
          <a:extLst>
            <a:ext uri="{FF2B5EF4-FFF2-40B4-BE49-F238E27FC236}">
              <a16:creationId xmlns:a16="http://schemas.microsoft.com/office/drawing/2014/main" id="{A74AADB0-BEBA-3646-C4AA-2FF499AD136F}"/>
            </a:ext>
          </a:extLst>
        </xdr:cNvPr>
        <xdr:cNvCxnSpPr/>
      </xdr:nvCxnSpPr>
      <xdr:spPr>
        <a:xfrm>
          <a:off x="158372175" y="18288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44</xdr:row>
      <xdr:rowOff>200025</xdr:rowOff>
    </xdr:from>
    <xdr:to>
      <xdr:col>15</xdr:col>
      <xdr:colOff>542925</xdr:colOff>
      <xdr:row>44</xdr:row>
      <xdr:rowOff>200025</xdr:rowOff>
    </xdr:to>
    <xdr:cxnSp macro="">
      <xdr:nvCxnSpPr>
        <xdr:cNvPr id="37" name="Straight Connector 36">
          <a:extLst>
            <a:ext uri="{FF2B5EF4-FFF2-40B4-BE49-F238E27FC236}">
              <a16:creationId xmlns:a16="http://schemas.microsoft.com/office/drawing/2014/main" id="{8E05EFB7-074A-E59A-5844-419C3FB89F74}"/>
            </a:ext>
          </a:extLst>
        </xdr:cNvPr>
        <xdr:cNvCxnSpPr/>
      </xdr:nvCxnSpPr>
      <xdr:spPr>
        <a:xfrm>
          <a:off x="158372175" y="166878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81</xdr:row>
      <xdr:rowOff>200025</xdr:rowOff>
    </xdr:from>
    <xdr:to>
      <xdr:col>15</xdr:col>
      <xdr:colOff>542925</xdr:colOff>
      <xdr:row>81</xdr:row>
      <xdr:rowOff>200025</xdr:rowOff>
    </xdr:to>
    <xdr:cxnSp macro="">
      <xdr:nvCxnSpPr>
        <xdr:cNvPr id="38" name="Straight Connector 37">
          <a:extLst>
            <a:ext uri="{FF2B5EF4-FFF2-40B4-BE49-F238E27FC236}">
              <a16:creationId xmlns:a16="http://schemas.microsoft.com/office/drawing/2014/main" id="{15755D44-5B8B-573B-CE40-18E75F26AAA7}"/>
            </a:ext>
          </a:extLst>
        </xdr:cNvPr>
        <xdr:cNvCxnSpPr/>
      </xdr:nvCxnSpPr>
      <xdr:spPr>
        <a:xfrm>
          <a:off x="158372175" y="304323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145</xdr:row>
      <xdr:rowOff>200025</xdr:rowOff>
    </xdr:from>
    <xdr:to>
      <xdr:col>15</xdr:col>
      <xdr:colOff>542925</xdr:colOff>
      <xdr:row>145</xdr:row>
      <xdr:rowOff>200025</xdr:rowOff>
    </xdr:to>
    <xdr:cxnSp macro="">
      <xdr:nvCxnSpPr>
        <xdr:cNvPr id="39" name="Straight Connector 38">
          <a:extLst>
            <a:ext uri="{FF2B5EF4-FFF2-40B4-BE49-F238E27FC236}">
              <a16:creationId xmlns:a16="http://schemas.microsoft.com/office/drawing/2014/main" id="{DFEF1A26-1934-EF7C-EF3D-C8CB3AC6AB78}"/>
            </a:ext>
          </a:extLst>
        </xdr:cNvPr>
        <xdr:cNvCxnSpPr/>
      </xdr:nvCxnSpPr>
      <xdr:spPr>
        <a:xfrm>
          <a:off x="158372175" y="542067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147</xdr:row>
      <xdr:rowOff>200025</xdr:rowOff>
    </xdr:from>
    <xdr:to>
      <xdr:col>15</xdr:col>
      <xdr:colOff>542925</xdr:colOff>
      <xdr:row>147</xdr:row>
      <xdr:rowOff>200025</xdr:rowOff>
    </xdr:to>
    <xdr:cxnSp macro="">
      <xdr:nvCxnSpPr>
        <xdr:cNvPr id="40" name="Straight Connector 39">
          <a:extLst>
            <a:ext uri="{FF2B5EF4-FFF2-40B4-BE49-F238E27FC236}">
              <a16:creationId xmlns:a16="http://schemas.microsoft.com/office/drawing/2014/main" id="{E5B28969-D245-67F5-085B-89B9D0EEB9BC}"/>
            </a:ext>
          </a:extLst>
        </xdr:cNvPr>
        <xdr:cNvCxnSpPr/>
      </xdr:nvCxnSpPr>
      <xdr:spPr>
        <a:xfrm>
          <a:off x="158372175" y="549497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112</xdr:row>
      <xdr:rowOff>200025</xdr:rowOff>
    </xdr:from>
    <xdr:to>
      <xdr:col>15</xdr:col>
      <xdr:colOff>542925</xdr:colOff>
      <xdr:row>112</xdr:row>
      <xdr:rowOff>200025</xdr:rowOff>
    </xdr:to>
    <xdr:cxnSp macro="">
      <xdr:nvCxnSpPr>
        <xdr:cNvPr id="41" name="Straight Connector 40">
          <a:extLst>
            <a:ext uri="{FF2B5EF4-FFF2-40B4-BE49-F238E27FC236}">
              <a16:creationId xmlns:a16="http://schemas.microsoft.com/office/drawing/2014/main" id="{DCB15E49-C795-5078-E2CB-CEADDB39491B}"/>
            </a:ext>
          </a:extLst>
        </xdr:cNvPr>
        <xdr:cNvCxnSpPr/>
      </xdr:nvCxnSpPr>
      <xdr:spPr>
        <a:xfrm>
          <a:off x="158372175" y="419481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128</xdr:row>
      <xdr:rowOff>200025</xdr:rowOff>
    </xdr:from>
    <xdr:to>
      <xdr:col>15</xdr:col>
      <xdr:colOff>542925</xdr:colOff>
      <xdr:row>128</xdr:row>
      <xdr:rowOff>200025</xdr:rowOff>
    </xdr:to>
    <xdr:cxnSp macro="">
      <xdr:nvCxnSpPr>
        <xdr:cNvPr id="42" name="Straight Connector 41">
          <a:extLst>
            <a:ext uri="{FF2B5EF4-FFF2-40B4-BE49-F238E27FC236}">
              <a16:creationId xmlns:a16="http://schemas.microsoft.com/office/drawing/2014/main" id="{8D8D3F10-2F68-8260-DA07-348908ED397D}"/>
            </a:ext>
          </a:extLst>
        </xdr:cNvPr>
        <xdr:cNvCxnSpPr/>
      </xdr:nvCxnSpPr>
      <xdr:spPr>
        <a:xfrm>
          <a:off x="158372175" y="478917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150</xdr:row>
      <xdr:rowOff>200025</xdr:rowOff>
    </xdr:from>
    <xdr:to>
      <xdr:col>15</xdr:col>
      <xdr:colOff>542925</xdr:colOff>
      <xdr:row>150</xdr:row>
      <xdr:rowOff>200025</xdr:rowOff>
    </xdr:to>
    <xdr:cxnSp macro="">
      <xdr:nvCxnSpPr>
        <xdr:cNvPr id="43" name="Straight Connector 42">
          <a:extLst>
            <a:ext uri="{FF2B5EF4-FFF2-40B4-BE49-F238E27FC236}">
              <a16:creationId xmlns:a16="http://schemas.microsoft.com/office/drawing/2014/main" id="{66770865-D812-2C38-F053-FB171862276C}"/>
            </a:ext>
          </a:extLst>
        </xdr:cNvPr>
        <xdr:cNvCxnSpPr/>
      </xdr:nvCxnSpPr>
      <xdr:spPr>
        <a:xfrm>
          <a:off x="158372175" y="560641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210</xdr:row>
      <xdr:rowOff>200025</xdr:rowOff>
    </xdr:from>
    <xdr:to>
      <xdr:col>15</xdr:col>
      <xdr:colOff>542925</xdr:colOff>
      <xdr:row>210</xdr:row>
      <xdr:rowOff>200025</xdr:rowOff>
    </xdr:to>
    <xdr:cxnSp macro="">
      <xdr:nvCxnSpPr>
        <xdr:cNvPr id="44" name="Straight Connector 43">
          <a:extLst>
            <a:ext uri="{FF2B5EF4-FFF2-40B4-BE49-F238E27FC236}">
              <a16:creationId xmlns:a16="http://schemas.microsoft.com/office/drawing/2014/main" id="{17343077-7AA3-8C66-398E-9C2A16F77C3A}"/>
            </a:ext>
          </a:extLst>
        </xdr:cNvPr>
        <xdr:cNvCxnSpPr/>
      </xdr:nvCxnSpPr>
      <xdr:spPr>
        <a:xfrm>
          <a:off x="158372175" y="783526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221</xdr:row>
      <xdr:rowOff>200025</xdr:rowOff>
    </xdr:from>
    <xdr:to>
      <xdr:col>15</xdr:col>
      <xdr:colOff>542925</xdr:colOff>
      <xdr:row>221</xdr:row>
      <xdr:rowOff>200025</xdr:rowOff>
    </xdr:to>
    <xdr:cxnSp macro="">
      <xdr:nvCxnSpPr>
        <xdr:cNvPr id="45" name="Straight Connector 44">
          <a:extLst>
            <a:ext uri="{FF2B5EF4-FFF2-40B4-BE49-F238E27FC236}">
              <a16:creationId xmlns:a16="http://schemas.microsoft.com/office/drawing/2014/main" id="{285333FD-C222-AEBE-07AA-8DF379C1A499}"/>
            </a:ext>
          </a:extLst>
        </xdr:cNvPr>
        <xdr:cNvCxnSpPr/>
      </xdr:nvCxnSpPr>
      <xdr:spPr>
        <a:xfrm>
          <a:off x="158372175" y="824388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31</xdr:row>
      <xdr:rowOff>200025</xdr:rowOff>
    </xdr:from>
    <xdr:to>
      <xdr:col>15</xdr:col>
      <xdr:colOff>542925</xdr:colOff>
      <xdr:row>31</xdr:row>
      <xdr:rowOff>200025</xdr:rowOff>
    </xdr:to>
    <xdr:cxnSp macro="">
      <xdr:nvCxnSpPr>
        <xdr:cNvPr id="46" name="Straight Connector 45">
          <a:extLst>
            <a:ext uri="{FF2B5EF4-FFF2-40B4-BE49-F238E27FC236}">
              <a16:creationId xmlns:a16="http://schemas.microsoft.com/office/drawing/2014/main" id="{A4E11525-173B-7C67-1290-C64F3AC58261}"/>
            </a:ext>
          </a:extLst>
        </xdr:cNvPr>
        <xdr:cNvCxnSpPr/>
      </xdr:nvCxnSpPr>
      <xdr:spPr>
        <a:xfrm>
          <a:off x="158372175" y="118586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255</xdr:row>
      <xdr:rowOff>200025</xdr:rowOff>
    </xdr:from>
    <xdr:to>
      <xdr:col>15</xdr:col>
      <xdr:colOff>542925</xdr:colOff>
      <xdr:row>255</xdr:row>
      <xdr:rowOff>200025</xdr:rowOff>
    </xdr:to>
    <xdr:cxnSp macro="">
      <xdr:nvCxnSpPr>
        <xdr:cNvPr id="47" name="Straight Connector 46">
          <a:extLst>
            <a:ext uri="{FF2B5EF4-FFF2-40B4-BE49-F238E27FC236}">
              <a16:creationId xmlns:a16="http://schemas.microsoft.com/office/drawing/2014/main" id="{90A206FB-305B-B298-6207-2D3DD00D8F53}"/>
            </a:ext>
          </a:extLst>
        </xdr:cNvPr>
        <xdr:cNvCxnSpPr/>
      </xdr:nvCxnSpPr>
      <xdr:spPr>
        <a:xfrm>
          <a:off x="158372175" y="947832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71</xdr:row>
      <xdr:rowOff>200025</xdr:rowOff>
    </xdr:from>
    <xdr:to>
      <xdr:col>15</xdr:col>
      <xdr:colOff>542925</xdr:colOff>
      <xdr:row>71</xdr:row>
      <xdr:rowOff>200025</xdr:rowOff>
    </xdr:to>
    <xdr:cxnSp macro="">
      <xdr:nvCxnSpPr>
        <xdr:cNvPr id="48" name="Straight Connector 47">
          <a:extLst>
            <a:ext uri="{FF2B5EF4-FFF2-40B4-BE49-F238E27FC236}">
              <a16:creationId xmlns:a16="http://schemas.microsoft.com/office/drawing/2014/main" id="{59A860A9-6076-07F6-B9DF-8B769C03B81C}"/>
            </a:ext>
          </a:extLst>
        </xdr:cNvPr>
        <xdr:cNvCxnSpPr/>
      </xdr:nvCxnSpPr>
      <xdr:spPr>
        <a:xfrm>
          <a:off x="158372175" y="267176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75</xdr:row>
      <xdr:rowOff>200025</xdr:rowOff>
    </xdr:from>
    <xdr:to>
      <xdr:col>15</xdr:col>
      <xdr:colOff>542925</xdr:colOff>
      <xdr:row>75</xdr:row>
      <xdr:rowOff>200025</xdr:rowOff>
    </xdr:to>
    <xdr:cxnSp macro="">
      <xdr:nvCxnSpPr>
        <xdr:cNvPr id="49" name="Straight Connector 48">
          <a:extLst>
            <a:ext uri="{FF2B5EF4-FFF2-40B4-BE49-F238E27FC236}">
              <a16:creationId xmlns:a16="http://schemas.microsoft.com/office/drawing/2014/main" id="{786EB708-5C66-0D5E-C2F3-445696D0C316}"/>
            </a:ext>
          </a:extLst>
        </xdr:cNvPr>
        <xdr:cNvCxnSpPr/>
      </xdr:nvCxnSpPr>
      <xdr:spPr>
        <a:xfrm>
          <a:off x="158372175" y="282035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247</xdr:row>
      <xdr:rowOff>200025</xdr:rowOff>
    </xdr:from>
    <xdr:to>
      <xdr:col>15</xdr:col>
      <xdr:colOff>542925</xdr:colOff>
      <xdr:row>247</xdr:row>
      <xdr:rowOff>200025</xdr:rowOff>
    </xdr:to>
    <xdr:cxnSp macro="">
      <xdr:nvCxnSpPr>
        <xdr:cNvPr id="50" name="Straight Connector 49">
          <a:extLst>
            <a:ext uri="{FF2B5EF4-FFF2-40B4-BE49-F238E27FC236}">
              <a16:creationId xmlns:a16="http://schemas.microsoft.com/office/drawing/2014/main" id="{00B85AB3-6F1D-7FA2-6EBB-1A050ADA03F6}"/>
            </a:ext>
          </a:extLst>
        </xdr:cNvPr>
        <xdr:cNvCxnSpPr/>
      </xdr:nvCxnSpPr>
      <xdr:spPr>
        <a:xfrm>
          <a:off x="158372175" y="918114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119</xdr:row>
      <xdr:rowOff>200025</xdr:rowOff>
    </xdr:from>
    <xdr:to>
      <xdr:col>15</xdr:col>
      <xdr:colOff>542925</xdr:colOff>
      <xdr:row>119</xdr:row>
      <xdr:rowOff>200025</xdr:rowOff>
    </xdr:to>
    <xdr:cxnSp macro="">
      <xdr:nvCxnSpPr>
        <xdr:cNvPr id="51" name="Straight Connector 50">
          <a:extLst>
            <a:ext uri="{FF2B5EF4-FFF2-40B4-BE49-F238E27FC236}">
              <a16:creationId xmlns:a16="http://schemas.microsoft.com/office/drawing/2014/main" id="{FF42537E-AD60-76E5-A637-1715C45786DE}"/>
            </a:ext>
          </a:extLst>
        </xdr:cNvPr>
        <xdr:cNvCxnSpPr/>
      </xdr:nvCxnSpPr>
      <xdr:spPr>
        <a:xfrm>
          <a:off x="158372175" y="445484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178</xdr:row>
      <xdr:rowOff>200025</xdr:rowOff>
    </xdr:from>
    <xdr:to>
      <xdr:col>15</xdr:col>
      <xdr:colOff>542925</xdr:colOff>
      <xdr:row>178</xdr:row>
      <xdr:rowOff>200025</xdr:rowOff>
    </xdr:to>
    <xdr:cxnSp macro="">
      <xdr:nvCxnSpPr>
        <xdr:cNvPr id="52" name="Straight Connector 51">
          <a:extLst>
            <a:ext uri="{FF2B5EF4-FFF2-40B4-BE49-F238E27FC236}">
              <a16:creationId xmlns:a16="http://schemas.microsoft.com/office/drawing/2014/main" id="{BD919E67-EC90-3F60-9357-2B5AAAE88F5B}"/>
            </a:ext>
          </a:extLst>
        </xdr:cNvPr>
        <xdr:cNvCxnSpPr/>
      </xdr:nvCxnSpPr>
      <xdr:spPr>
        <a:xfrm>
          <a:off x="158372175" y="664654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103</xdr:row>
      <xdr:rowOff>200025</xdr:rowOff>
    </xdr:from>
    <xdr:to>
      <xdr:col>15</xdr:col>
      <xdr:colOff>542925</xdr:colOff>
      <xdr:row>103</xdr:row>
      <xdr:rowOff>200025</xdr:rowOff>
    </xdr:to>
    <xdr:cxnSp macro="">
      <xdr:nvCxnSpPr>
        <xdr:cNvPr id="53" name="Straight Connector 52">
          <a:extLst>
            <a:ext uri="{FF2B5EF4-FFF2-40B4-BE49-F238E27FC236}">
              <a16:creationId xmlns:a16="http://schemas.microsoft.com/office/drawing/2014/main" id="{ED119CE9-AFA5-4319-023A-7B45196436E2}"/>
            </a:ext>
          </a:extLst>
        </xdr:cNvPr>
        <xdr:cNvCxnSpPr/>
      </xdr:nvCxnSpPr>
      <xdr:spPr>
        <a:xfrm>
          <a:off x="158372175" y="386048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13</xdr:row>
      <xdr:rowOff>200025</xdr:rowOff>
    </xdr:from>
    <xdr:to>
      <xdr:col>15</xdr:col>
      <xdr:colOff>542925</xdr:colOff>
      <xdr:row>13</xdr:row>
      <xdr:rowOff>200025</xdr:rowOff>
    </xdr:to>
    <xdr:cxnSp macro="">
      <xdr:nvCxnSpPr>
        <xdr:cNvPr id="54" name="Straight Connector 53">
          <a:extLst>
            <a:ext uri="{FF2B5EF4-FFF2-40B4-BE49-F238E27FC236}">
              <a16:creationId xmlns:a16="http://schemas.microsoft.com/office/drawing/2014/main" id="{733798AF-5F0D-495F-A6F3-5A99145CD752}"/>
            </a:ext>
          </a:extLst>
        </xdr:cNvPr>
        <xdr:cNvCxnSpPr/>
      </xdr:nvCxnSpPr>
      <xdr:spPr>
        <a:xfrm>
          <a:off x="158372175" y="51720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29</xdr:row>
      <xdr:rowOff>200025</xdr:rowOff>
    </xdr:from>
    <xdr:to>
      <xdr:col>15</xdr:col>
      <xdr:colOff>542925</xdr:colOff>
      <xdr:row>29</xdr:row>
      <xdr:rowOff>200025</xdr:rowOff>
    </xdr:to>
    <xdr:cxnSp macro="">
      <xdr:nvCxnSpPr>
        <xdr:cNvPr id="55" name="Straight Connector 54">
          <a:extLst>
            <a:ext uri="{FF2B5EF4-FFF2-40B4-BE49-F238E27FC236}">
              <a16:creationId xmlns:a16="http://schemas.microsoft.com/office/drawing/2014/main" id="{350DFA19-A937-A61A-F81D-7F8BE7AA6D4A}"/>
            </a:ext>
          </a:extLst>
        </xdr:cNvPr>
        <xdr:cNvCxnSpPr/>
      </xdr:nvCxnSpPr>
      <xdr:spPr>
        <a:xfrm>
          <a:off x="158372175" y="111156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30</xdr:row>
      <xdr:rowOff>200025</xdr:rowOff>
    </xdr:from>
    <xdr:to>
      <xdr:col>15</xdr:col>
      <xdr:colOff>542925</xdr:colOff>
      <xdr:row>30</xdr:row>
      <xdr:rowOff>200025</xdr:rowOff>
    </xdr:to>
    <xdr:cxnSp macro="">
      <xdr:nvCxnSpPr>
        <xdr:cNvPr id="56" name="Straight Connector 55">
          <a:extLst>
            <a:ext uri="{FF2B5EF4-FFF2-40B4-BE49-F238E27FC236}">
              <a16:creationId xmlns:a16="http://schemas.microsoft.com/office/drawing/2014/main" id="{382EA3FB-D28B-6FA9-DEC5-837970B4B0A1}"/>
            </a:ext>
          </a:extLst>
        </xdr:cNvPr>
        <xdr:cNvCxnSpPr/>
      </xdr:nvCxnSpPr>
      <xdr:spPr>
        <a:xfrm>
          <a:off x="158372175" y="114871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72</xdr:row>
      <xdr:rowOff>200025</xdr:rowOff>
    </xdr:from>
    <xdr:to>
      <xdr:col>15</xdr:col>
      <xdr:colOff>542925</xdr:colOff>
      <xdr:row>72</xdr:row>
      <xdr:rowOff>200025</xdr:rowOff>
    </xdr:to>
    <xdr:cxnSp macro="">
      <xdr:nvCxnSpPr>
        <xdr:cNvPr id="57" name="Straight Connector 56">
          <a:extLst>
            <a:ext uri="{FF2B5EF4-FFF2-40B4-BE49-F238E27FC236}">
              <a16:creationId xmlns:a16="http://schemas.microsoft.com/office/drawing/2014/main" id="{2EC8067F-E63D-0BF7-5086-754FFBD529BE}"/>
            </a:ext>
          </a:extLst>
        </xdr:cNvPr>
        <xdr:cNvCxnSpPr/>
      </xdr:nvCxnSpPr>
      <xdr:spPr>
        <a:xfrm>
          <a:off x="158372175" y="270891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104</xdr:row>
      <xdr:rowOff>200025</xdr:rowOff>
    </xdr:from>
    <xdr:to>
      <xdr:col>15</xdr:col>
      <xdr:colOff>542925</xdr:colOff>
      <xdr:row>104</xdr:row>
      <xdr:rowOff>200025</xdr:rowOff>
    </xdr:to>
    <xdr:cxnSp macro="">
      <xdr:nvCxnSpPr>
        <xdr:cNvPr id="58" name="Straight Connector 57">
          <a:extLst>
            <a:ext uri="{FF2B5EF4-FFF2-40B4-BE49-F238E27FC236}">
              <a16:creationId xmlns:a16="http://schemas.microsoft.com/office/drawing/2014/main" id="{9A27D9FF-F7A5-D1DD-CF81-E4EAC1FCB6EA}"/>
            </a:ext>
          </a:extLst>
        </xdr:cNvPr>
        <xdr:cNvCxnSpPr/>
      </xdr:nvCxnSpPr>
      <xdr:spPr>
        <a:xfrm>
          <a:off x="158372175" y="389763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107</xdr:row>
      <xdr:rowOff>200025</xdr:rowOff>
    </xdr:from>
    <xdr:to>
      <xdr:col>15</xdr:col>
      <xdr:colOff>542925</xdr:colOff>
      <xdr:row>107</xdr:row>
      <xdr:rowOff>200025</xdr:rowOff>
    </xdr:to>
    <xdr:cxnSp macro="">
      <xdr:nvCxnSpPr>
        <xdr:cNvPr id="59" name="Straight Connector 58">
          <a:extLst>
            <a:ext uri="{FF2B5EF4-FFF2-40B4-BE49-F238E27FC236}">
              <a16:creationId xmlns:a16="http://schemas.microsoft.com/office/drawing/2014/main" id="{159785FF-67B2-F701-CD6A-A05227195188}"/>
            </a:ext>
          </a:extLst>
        </xdr:cNvPr>
        <xdr:cNvCxnSpPr/>
      </xdr:nvCxnSpPr>
      <xdr:spPr>
        <a:xfrm>
          <a:off x="158372175" y="400907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132</xdr:row>
      <xdr:rowOff>200025</xdr:rowOff>
    </xdr:from>
    <xdr:to>
      <xdr:col>15</xdr:col>
      <xdr:colOff>542925</xdr:colOff>
      <xdr:row>132</xdr:row>
      <xdr:rowOff>200025</xdr:rowOff>
    </xdr:to>
    <xdr:cxnSp macro="">
      <xdr:nvCxnSpPr>
        <xdr:cNvPr id="60" name="Straight Connector 59">
          <a:extLst>
            <a:ext uri="{FF2B5EF4-FFF2-40B4-BE49-F238E27FC236}">
              <a16:creationId xmlns:a16="http://schemas.microsoft.com/office/drawing/2014/main" id="{2976364F-5CC0-C591-2C9E-6FBE649125C1}"/>
            </a:ext>
          </a:extLst>
        </xdr:cNvPr>
        <xdr:cNvCxnSpPr/>
      </xdr:nvCxnSpPr>
      <xdr:spPr>
        <a:xfrm>
          <a:off x="158372175" y="493776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199</xdr:row>
      <xdr:rowOff>200025</xdr:rowOff>
    </xdr:from>
    <xdr:to>
      <xdr:col>15</xdr:col>
      <xdr:colOff>542925</xdr:colOff>
      <xdr:row>199</xdr:row>
      <xdr:rowOff>200025</xdr:rowOff>
    </xdr:to>
    <xdr:cxnSp macro="">
      <xdr:nvCxnSpPr>
        <xdr:cNvPr id="61" name="Straight Connector 60">
          <a:extLst>
            <a:ext uri="{FF2B5EF4-FFF2-40B4-BE49-F238E27FC236}">
              <a16:creationId xmlns:a16="http://schemas.microsoft.com/office/drawing/2014/main" id="{D06D4C93-1C7A-A1B4-EFF6-88CB6D640579}"/>
            </a:ext>
          </a:extLst>
        </xdr:cNvPr>
        <xdr:cNvCxnSpPr/>
      </xdr:nvCxnSpPr>
      <xdr:spPr>
        <a:xfrm>
          <a:off x="158372175" y="742664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214</xdr:row>
      <xdr:rowOff>200025</xdr:rowOff>
    </xdr:from>
    <xdr:to>
      <xdr:col>15</xdr:col>
      <xdr:colOff>542925</xdr:colOff>
      <xdr:row>214</xdr:row>
      <xdr:rowOff>200025</xdr:rowOff>
    </xdr:to>
    <xdr:cxnSp macro="">
      <xdr:nvCxnSpPr>
        <xdr:cNvPr id="62" name="Straight Connector 61">
          <a:extLst>
            <a:ext uri="{FF2B5EF4-FFF2-40B4-BE49-F238E27FC236}">
              <a16:creationId xmlns:a16="http://schemas.microsoft.com/office/drawing/2014/main" id="{2663B3E6-FA31-D93E-82A5-CEC4A73EE20E}"/>
            </a:ext>
          </a:extLst>
        </xdr:cNvPr>
        <xdr:cNvCxnSpPr/>
      </xdr:nvCxnSpPr>
      <xdr:spPr>
        <a:xfrm>
          <a:off x="158372175" y="798385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262</xdr:row>
      <xdr:rowOff>200025</xdr:rowOff>
    </xdr:from>
    <xdr:to>
      <xdr:col>15</xdr:col>
      <xdr:colOff>542925</xdr:colOff>
      <xdr:row>262</xdr:row>
      <xdr:rowOff>200025</xdr:rowOff>
    </xdr:to>
    <xdr:cxnSp macro="">
      <xdr:nvCxnSpPr>
        <xdr:cNvPr id="63" name="Straight Connector 62">
          <a:extLst>
            <a:ext uri="{FF2B5EF4-FFF2-40B4-BE49-F238E27FC236}">
              <a16:creationId xmlns:a16="http://schemas.microsoft.com/office/drawing/2014/main" id="{5A66E9BB-F628-A487-3012-A0848DD982F4}"/>
            </a:ext>
          </a:extLst>
        </xdr:cNvPr>
        <xdr:cNvCxnSpPr/>
      </xdr:nvCxnSpPr>
      <xdr:spPr>
        <a:xfrm>
          <a:off x="158372175" y="972883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267</xdr:row>
      <xdr:rowOff>200025</xdr:rowOff>
    </xdr:from>
    <xdr:to>
      <xdr:col>15</xdr:col>
      <xdr:colOff>542925</xdr:colOff>
      <xdr:row>267</xdr:row>
      <xdr:rowOff>200025</xdr:rowOff>
    </xdr:to>
    <xdr:cxnSp macro="">
      <xdr:nvCxnSpPr>
        <xdr:cNvPr id="64" name="Straight Connector 63">
          <a:extLst>
            <a:ext uri="{FF2B5EF4-FFF2-40B4-BE49-F238E27FC236}">
              <a16:creationId xmlns:a16="http://schemas.microsoft.com/office/drawing/2014/main" id="{8FFD1FA0-7FF5-5309-8DAB-6B802EB286DF}"/>
            </a:ext>
          </a:extLst>
        </xdr:cNvPr>
        <xdr:cNvCxnSpPr/>
      </xdr:nvCxnSpPr>
      <xdr:spPr>
        <a:xfrm>
          <a:off x="158372175" y="991457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171450</xdr:colOff>
      <xdr:row>130</xdr:row>
      <xdr:rowOff>200025</xdr:rowOff>
    </xdr:from>
    <xdr:to>
      <xdr:col>16</xdr:col>
      <xdr:colOff>542925</xdr:colOff>
      <xdr:row>130</xdr:row>
      <xdr:rowOff>200025</xdr:rowOff>
    </xdr:to>
    <xdr:cxnSp macro="">
      <xdr:nvCxnSpPr>
        <xdr:cNvPr id="65" name="Straight Connector 64">
          <a:extLst>
            <a:ext uri="{FF2B5EF4-FFF2-40B4-BE49-F238E27FC236}">
              <a16:creationId xmlns:a16="http://schemas.microsoft.com/office/drawing/2014/main" id="{110BF296-B04D-7DB7-6C05-487BEE0B20C2}"/>
            </a:ext>
          </a:extLst>
        </xdr:cNvPr>
        <xdr:cNvCxnSpPr/>
      </xdr:nvCxnSpPr>
      <xdr:spPr>
        <a:xfrm>
          <a:off x="157600650" y="486346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171450</xdr:colOff>
      <xdr:row>130</xdr:row>
      <xdr:rowOff>200025</xdr:rowOff>
    </xdr:from>
    <xdr:to>
      <xdr:col>17</xdr:col>
      <xdr:colOff>542925</xdr:colOff>
      <xdr:row>130</xdr:row>
      <xdr:rowOff>200025</xdr:rowOff>
    </xdr:to>
    <xdr:cxnSp macro="">
      <xdr:nvCxnSpPr>
        <xdr:cNvPr id="66" name="Straight Connector 65">
          <a:extLst>
            <a:ext uri="{FF2B5EF4-FFF2-40B4-BE49-F238E27FC236}">
              <a16:creationId xmlns:a16="http://schemas.microsoft.com/office/drawing/2014/main" id="{30425765-EA7F-4F73-B196-1CF9ECF7FF8A}"/>
            </a:ext>
          </a:extLst>
        </xdr:cNvPr>
        <xdr:cNvCxnSpPr/>
      </xdr:nvCxnSpPr>
      <xdr:spPr>
        <a:xfrm>
          <a:off x="156829125" y="486346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171450</xdr:colOff>
      <xdr:row>130</xdr:row>
      <xdr:rowOff>200025</xdr:rowOff>
    </xdr:from>
    <xdr:to>
      <xdr:col>19</xdr:col>
      <xdr:colOff>542925</xdr:colOff>
      <xdr:row>130</xdr:row>
      <xdr:rowOff>200025</xdr:rowOff>
    </xdr:to>
    <xdr:cxnSp macro="">
      <xdr:nvCxnSpPr>
        <xdr:cNvPr id="67" name="Straight Connector 66">
          <a:extLst>
            <a:ext uri="{FF2B5EF4-FFF2-40B4-BE49-F238E27FC236}">
              <a16:creationId xmlns:a16="http://schemas.microsoft.com/office/drawing/2014/main" id="{E78C0650-BEC1-CF0B-619D-C249593BAE9E}"/>
            </a:ext>
          </a:extLst>
        </xdr:cNvPr>
        <xdr:cNvCxnSpPr/>
      </xdr:nvCxnSpPr>
      <xdr:spPr>
        <a:xfrm>
          <a:off x="155286075" y="486346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176</xdr:row>
      <xdr:rowOff>200025</xdr:rowOff>
    </xdr:from>
    <xdr:to>
      <xdr:col>15</xdr:col>
      <xdr:colOff>542925</xdr:colOff>
      <xdr:row>176</xdr:row>
      <xdr:rowOff>200025</xdr:rowOff>
    </xdr:to>
    <xdr:cxnSp macro="">
      <xdr:nvCxnSpPr>
        <xdr:cNvPr id="68" name="Straight Connector 67">
          <a:extLst>
            <a:ext uri="{FF2B5EF4-FFF2-40B4-BE49-F238E27FC236}">
              <a16:creationId xmlns:a16="http://schemas.microsoft.com/office/drawing/2014/main" id="{D604D5B9-DEB0-04CC-E677-03C938BB1B1E}"/>
            </a:ext>
          </a:extLst>
        </xdr:cNvPr>
        <xdr:cNvCxnSpPr/>
      </xdr:nvCxnSpPr>
      <xdr:spPr>
        <a:xfrm>
          <a:off x="158372175" y="657225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263</xdr:row>
      <xdr:rowOff>200025</xdr:rowOff>
    </xdr:from>
    <xdr:to>
      <xdr:col>15</xdr:col>
      <xdr:colOff>542925</xdr:colOff>
      <xdr:row>263</xdr:row>
      <xdr:rowOff>200025</xdr:rowOff>
    </xdr:to>
    <xdr:cxnSp macro="">
      <xdr:nvCxnSpPr>
        <xdr:cNvPr id="69" name="Straight Connector 68">
          <a:extLst>
            <a:ext uri="{FF2B5EF4-FFF2-40B4-BE49-F238E27FC236}">
              <a16:creationId xmlns:a16="http://schemas.microsoft.com/office/drawing/2014/main" id="{96BAD03E-EAAB-A215-3691-D6A098887208}"/>
            </a:ext>
          </a:extLst>
        </xdr:cNvPr>
        <xdr:cNvCxnSpPr/>
      </xdr:nvCxnSpPr>
      <xdr:spPr>
        <a:xfrm>
          <a:off x="158372175" y="976598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245</xdr:row>
      <xdr:rowOff>200025</xdr:rowOff>
    </xdr:from>
    <xdr:to>
      <xdr:col>15</xdr:col>
      <xdr:colOff>542925</xdr:colOff>
      <xdr:row>245</xdr:row>
      <xdr:rowOff>200025</xdr:rowOff>
    </xdr:to>
    <xdr:cxnSp macro="">
      <xdr:nvCxnSpPr>
        <xdr:cNvPr id="70" name="Straight Connector 69">
          <a:extLst>
            <a:ext uri="{FF2B5EF4-FFF2-40B4-BE49-F238E27FC236}">
              <a16:creationId xmlns:a16="http://schemas.microsoft.com/office/drawing/2014/main" id="{5D44ADD1-F16F-C6E3-8867-77E58C76D289}"/>
            </a:ext>
          </a:extLst>
        </xdr:cNvPr>
        <xdr:cNvCxnSpPr/>
      </xdr:nvCxnSpPr>
      <xdr:spPr>
        <a:xfrm>
          <a:off x="158372175" y="910685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239</xdr:row>
      <xdr:rowOff>200025</xdr:rowOff>
    </xdr:from>
    <xdr:to>
      <xdr:col>15</xdr:col>
      <xdr:colOff>542925</xdr:colOff>
      <xdr:row>239</xdr:row>
      <xdr:rowOff>200025</xdr:rowOff>
    </xdr:to>
    <xdr:cxnSp macro="">
      <xdr:nvCxnSpPr>
        <xdr:cNvPr id="71" name="Straight Connector 70">
          <a:extLst>
            <a:ext uri="{FF2B5EF4-FFF2-40B4-BE49-F238E27FC236}">
              <a16:creationId xmlns:a16="http://schemas.microsoft.com/office/drawing/2014/main" id="{79D87698-2DD6-1D1B-8CF5-ACC45F2E1BFE}"/>
            </a:ext>
          </a:extLst>
        </xdr:cNvPr>
        <xdr:cNvCxnSpPr/>
      </xdr:nvCxnSpPr>
      <xdr:spPr>
        <a:xfrm>
          <a:off x="158372175" y="890301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216</xdr:row>
      <xdr:rowOff>200025</xdr:rowOff>
    </xdr:from>
    <xdr:to>
      <xdr:col>15</xdr:col>
      <xdr:colOff>542925</xdr:colOff>
      <xdr:row>216</xdr:row>
      <xdr:rowOff>200025</xdr:rowOff>
    </xdr:to>
    <xdr:cxnSp macro="">
      <xdr:nvCxnSpPr>
        <xdr:cNvPr id="72" name="Straight Connector 71">
          <a:extLst>
            <a:ext uri="{FF2B5EF4-FFF2-40B4-BE49-F238E27FC236}">
              <a16:creationId xmlns:a16="http://schemas.microsoft.com/office/drawing/2014/main" id="{9AF79B3C-FF45-26BB-802C-CC01AE944E8C}"/>
            </a:ext>
          </a:extLst>
        </xdr:cNvPr>
        <xdr:cNvCxnSpPr/>
      </xdr:nvCxnSpPr>
      <xdr:spPr>
        <a:xfrm>
          <a:off x="158372175" y="805815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126</xdr:row>
      <xdr:rowOff>200025</xdr:rowOff>
    </xdr:from>
    <xdr:to>
      <xdr:col>15</xdr:col>
      <xdr:colOff>542925</xdr:colOff>
      <xdr:row>126</xdr:row>
      <xdr:rowOff>200025</xdr:rowOff>
    </xdr:to>
    <xdr:cxnSp macro="">
      <xdr:nvCxnSpPr>
        <xdr:cNvPr id="73" name="Straight Connector 72">
          <a:extLst>
            <a:ext uri="{FF2B5EF4-FFF2-40B4-BE49-F238E27FC236}">
              <a16:creationId xmlns:a16="http://schemas.microsoft.com/office/drawing/2014/main" id="{1AC9FC38-42E8-2FF2-079C-0F17AF93DCAA}"/>
            </a:ext>
          </a:extLst>
        </xdr:cNvPr>
        <xdr:cNvCxnSpPr/>
      </xdr:nvCxnSpPr>
      <xdr:spPr>
        <a:xfrm>
          <a:off x="158372175" y="471487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243</xdr:row>
      <xdr:rowOff>200025</xdr:rowOff>
    </xdr:from>
    <xdr:to>
      <xdr:col>15</xdr:col>
      <xdr:colOff>542925</xdr:colOff>
      <xdr:row>243</xdr:row>
      <xdr:rowOff>200025</xdr:rowOff>
    </xdr:to>
    <xdr:cxnSp macro="">
      <xdr:nvCxnSpPr>
        <xdr:cNvPr id="74" name="Straight Connector 73">
          <a:extLst>
            <a:ext uri="{FF2B5EF4-FFF2-40B4-BE49-F238E27FC236}">
              <a16:creationId xmlns:a16="http://schemas.microsoft.com/office/drawing/2014/main" id="{F50239D9-63AF-B0BD-8451-65856DD5007F}"/>
            </a:ext>
          </a:extLst>
        </xdr:cNvPr>
        <xdr:cNvCxnSpPr/>
      </xdr:nvCxnSpPr>
      <xdr:spPr>
        <a:xfrm>
          <a:off x="158372175" y="903255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238125</xdr:colOff>
      <xdr:row>19</xdr:row>
      <xdr:rowOff>190500</xdr:rowOff>
    </xdr:from>
    <xdr:to>
      <xdr:col>15</xdr:col>
      <xdr:colOff>542925</xdr:colOff>
      <xdr:row>19</xdr:row>
      <xdr:rowOff>190500</xdr:rowOff>
    </xdr:to>
    <xdr:cxnSp macro="">
      <xdr:nvCxnSpPr>
        <xdr:cNvPr id="75" name="Straight Connector 74">
          <a:extLst>
            <a:ext uri="{FF2B5EF4-FFF2-40B4-BE49-F238E27FC236}">
              <a16:creationId xmlns:a16="http://schemas.microsoft.com/office/drawing/2014/main" id="{EC731F68-14E3-04EA-4376-9275B5DFAE97}"/>
            </a:ext>
          </a:extLst>
        </xdr:cNvPr>
        <xdr:cNvCxnSpPr/>
      </xdr:nvCxnSpPr>
      <xdr:spPr>
        <a:xfrm>
          <a:off x="158372175" y="7391400"/>
          <a:ext cx="304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238125</xdr:colOff>
      <xdr:row>94</xdr:row>
      <xdr:rowOff>190500</xdr:rowOff>
    </xdr:from>
    <xdr:to>
      <xdr:col>15</xdr:col>
      <xdr:colOff>542925</xdr:colOff>
      <xdr:row>94</xdr:row>
      <xdr:rowOff>190500</xdr:rowOff>
    </xdr:to>
    <xdr:cxnSp macro="">
      <xdr:nvCxnSpPr>
        <xdr:cNvPr id="76" name="Straight Connector 75">
          <a:extLst>
            <a:ext uri="{FF2B5EF4-FFF2-40B4-BE49-F238E27FC236}">
              <a16:creationId xmlns:a16="http://schemas.microsoft.com/office/drawing/2014/main" id="{1C27910C-D0B1-1011-48A8-0E7B4B461E1B}"/>
            </a:ext>
          </a:extLst>
        </xdr:cNvPr>
        <xdr:cNvCxnSpPr/>
      </xdr:nvCxnSpPr>
      <xdr:spPr>
        <a:xfrm>
          <a:off x="158372175" y="35252025"/>
          <a:ext cx="304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304</xdr:row>
      <xdr:rowOff>200025</xdr:rowOff>
    </xdr:from>
    <xdr:to>
      <xdr:col>15</xdr:col>
      <xdr:colOff>542925</xdr:colOff>
      <xdr:row>304</xdr:row>
      <xdr:rowOff>200025</xdr:rowOff>
    </xdr:to>
    <xdr:cxnSp macro="">
      <xdr:nvCxnSpPr>
        <xdr:cNvPr id="77" name="Straight Connector 76">
          <a:extLst>
            <a:ext uri="{FF2B5EF4-FFF2-40B4-BE49-F238E27FC236}">
              <a16:creationId xmlns:a16="http://schemas.microsoft.com/office/drawing/2014/main" id="{00D2EB73-D609-433C-21D5-066C23D19A81}"/>
            </a:ext>
          </a:extLst>
        </xdr:cNvPr>
        <xdr:cNvCxnSpPr/>
      </xdr:nvCxnSpPr>
      <xdr:spPr>
        <a:xfrm>
          <a:off x="158372175" y="1128903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305</xdr:row>
      <xdr:rowOff>200025</xdr:rowOff>
    </xdr:from>
    <xdr:to>
      <xdr:col>15</xdr:col>
      <xdr:colOff>542925</xdr:colOff>
      <xdr:row>305</xdr:row>
      <xdr:rowOff>200025</xdr:rowOff>
    </xdr:to>
    <xdr:cxnSp macro="">
      <xdr:nvCxnSpPr>
        <xdr:cNvPr id="78" name="Straight Connector 77">
          <a:extLst>
            <a:ext uri="{FF2B5EF4-FFF2-40B4-BE49-F238E27FC236}">
              <a16:creationId xmlns:a16="http://schemas.microsoft.com/office/drawing/2014/main" id="{E2D0413A-1736-609B-6AAB-E1D662A56A99}"/>
            </a:ext>
          </a:extLst>
        </xdr:cNvPr>
        <xdr:cNvCxnSpPr/>
      </xdr:nvCxnSpPr>
      <xdr:spPr>
        <a:xfrm>
          <a:off x="158372175" y="1132617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307</xdr:row>
      <xdr:rowOff>200025</xdr:rowOff>
    </xdr:from>
    <xdr:to>
      <xdr:col>15</xdr:col>
      <xdr:colOff>542925</xdr:colOff>
      <xdr:row>307</xdr:row>
      <xdr:rowOff>200025</xdr:rowOff>
    </xdr:to>
    <xdr:cxnSp macro="">
      <xdr:nvCxnSpPr>
        <xdr:cNvPr id="79" name="Straight Connector 78">
          <a:extLst>
            <a:ext uri="{FF2B5EF4-FFF2-40B4-BE49-F238E27FC236}">
              <a16:creationId xmlns:a16="http://schemas.microsoft.com/office/drawing/2014/main" id="{33E04496-F59C-64A0-C763-0028D1890287}"/>
            </a:ext>
          </a:extLst>
        </xdr:cNvPr>
        <xdr:cNvCxnSpPr/>
      </xdr:nvCxnSpPr>
      <xdr:spPr>
        <a:xfrm>
          <a:off x="158372175" y="1140047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311</xdr:row>
      <xdr:rowOff>200025</xdr:rowOff>
    </xdr:from>
    <xdr:to>
      <xdr:col>15</xdr:col>
      <xdr:colOff>542925</xdr:colOff>
      <xdr:row>311</xdr:row>
      <xdr:rowOff>200025</xdr:rowOff>
    </xdr:to>
    <xdr:cxnSp macro="">
      <xdr:nvCxnSpPr>
        <xdr:cNvPr id="80" name="Straight Connector 79">
          <a:extLst>
            <a:ext uri="{FF2B5EF4-FFF2-40B4-BE49-F238E27FC236}">
              <a16:creationId xmlns:a16="http://schemas.microsoft.com/office/drawing/2014/main" id="{7CD4D891-A1DD-B7C5-79F9-6826F8BD29B2}"/>
            </a:ext>
          </a:extLst>
        </xdr:cNvPr>
        <xdr:cNvCxnSpPr/>
      </xdr:nvCxnSpPr>
      <xdr:spPr>
        <a:xfrm>
          <a:off x="158372175" y="11549062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312</xdr:row>
      <xdr:rowOff>200025</xdr:rowOff>
    </xdr:from>
    <xdr:to>
      <xdr:col>15</xdr:col>
      <xdr:colOff>542925</xdr:colOff>
      <xdr:row>312</xdr:row>
      <xdr:rowOff>200025</xdr:rowOff>
    </xdr:to>
    <xdr:cxnSp macro="">
      <xdr:nvCxnSpPr>
        <xdr:cNvPr id="81" name="Straight Connector 80">
          <a:extLst>
            <a:ext uri="{FF2B5EF4-FFF2-40B4-BE49-F238E27FC236}">
              <a16:creationId xmlns:a16="http://schemas.microsoft.com/office/drawing/2014/main" id="{F7B57736-1C3D-3F49-A4E1-5754EF067C46}"/>
            </a:ext>
          </a:extLst>
        </xdr:cNvPr>
        <xdr:cNvCxnSpPr/>
      </xdr:nvCxnSpPr>
      <xdr:spPr>
        <a:xfrm>
          <a:off x="158372175" y="1158621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322</xdr:row>
      <xdr:rowOff>200025</xdr:rowOff>
    </xdr:from>
    <xdr:to>
      <xdr:col>15</xdr:col>
      <xdr:colOff>542925</xdr:colOff>
      <xdr:row>322</xdr:row>
      <xdr:rowOff>200025</xdr:rowOff>
    </xdr:to>
    <xdr:cxnSp macro="">
      <xdr:nvCxnSpPr>
        <xdr:cNvPr id="82" name="Straight Connector 81">
          <a:extLst>
            <a:ext uri="{FF2B5EF4-FFF2-40B4-BE49-F238E27FC236}">
              <a16:creationId xmlns:a16="http://schemas.microsoft.com/office/drawing/2014/main" id="{580EC6BB-C22C-DE2D-AEF2-5EBCFD480EFF}"/>
            </a:ext>
          </a:extLst>
        </xdr:cNvPr>
        <xdr:cNvCxnSpPr/>
      </xdr:nvCxnSpPr>
      <xdr:spPr>
        <a:xfrm>
          <a:off x="158372175" y="1195768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316</xdr:row>
      <xdr:rowOff>200025</xdr:rowOff>
    </xdr:from>
    <xdr:to>
      <xdr:col>15</xdr:col>
      <xdr:colOff>542925</xdr:colOff>
      <xdr:row>316</xdr:row>
      <xdr:rowOff>200025</xdr:rowOff>
    </xdr:to>
    <xdr:cxnSp macro="">
      <xdr:nvCxnSpPr>
        <xdr:cNvPr id="83" name="Straight Connector 82">
          <a:extLst>
            <a:ext uri="{FF2B5EF4-FFF2-40B4-BE49-F238E27FC236}">
              <a16:creationId xmlns:a16="http://schemas.microsoft.com/office/drawing/2014/main" id="{A229F456-6AD3-F89A-D091-D912A7A56FC7}"/>
            </a:ext>
          </a:extLst>
        </xdr:cNvPr>
        <xdr:cNvCxnSpPr/>
      </xdr:nvCxnSpPr>
      <xdr:spPr>
        <a:xfrm>
          <a:off x="158372175" y="11734800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314</xdr:row>
      <xdr:rowOff>200025</xdr:rowOff>
    </xdr:from>
    <xdr:to>
      <xdr:col>15</xdr:col>
      <xdr:colOff>542925</xdr:colOff>
      <xdr:row>314</xdr:row>
      <xdr:rowOff>200025</xdr:rowOff>
    </xdr:to>
    <xdr:cxnSp macro="">
      <xdr:nvCxnSpPr>
        <xdr:cNvPr id="84" name="Straight Connector 83">
          <a:extLst>
            <a:ext uri="{FF2B5EF4-FFF2-40B4-BE49-F238E27FC236}">
              <a16:creationId xmlns:a16="http://schemas.microsoft.com/office/drawing/2014/main" id="{28B3FB63-3523-37F7-B747-9864622D9D59}"/>
            </a:ext>
          </a:extLst>
        </xdr:cNvPr>
        <xdr:cNvCxnSpPr/>
      </xdr:nvCxnSpPr>
      <xdr:spPr>
        <a:xfrm>
          <a:off x="158372175" y="116605050"/>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321</xdr:row>
      <xdr:rowOff>200025</xdr:rowOff>
    </xdr:from>
    <xdr:to>
      <xdr:col>15</xdr:col>
      <xdr:colOff>542925</xdr:colOff>
      <xdr:row>321</xdr:row>
      <xdr:rowOff>200025</xdr:rowOff>
    </xdr:to>
    <xdr:cxnSp macro="">
      <xdr:nvCxnSpPr>
        <xdr:cNvPr id="85" name="Straight Connector 84">
          <a:extLst>
            <a:ext uri="{FF2B5EF4-FFF2-40B4-BE49-F238E27FC236}">
              <a16:creationId xmlns:a16="http://schemas.microsoft.com/office/drawing/2014/main" id="{DAA71D3B-2370-848F-7BAF-9B5E12BB788D}"/>
            </a:ext>
          </a:extLst>
        </xdr:cNvPr>
        <xdr:cNvCxnSpPr/>
      </xdr:nvCxnSpPr>
      <xdr:spPr>
        <a:xfrm>
          <a:off x="158372175" y="1192053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171450</xdr:colOff>
      <xdr:row>325</xdr:row>
      <xdr:rowOff>200025</xdr:rowOff>
    </xdr:from>
    <xdr:to>
      <xdr:col>15</xdr:col>
      <xdr:colOff>542925</xdr:colOff>
      <xdr:row>325</xdr:row>
      <xdr:rowOff>200025</xdr:rowOff>
    </xdr:to>
    <xdr:cxnSp macro="">
      <xdr:nvCxnSpPr>
        <xdr:cNvPr id="86" name="Straight Connector 85">
          <a:extLst>
            <a:ext uri="{FF2B5EF4-FFF2-40B4-BE49-F238E27FC236}">
              <a16:creationId xmlns:a16="http://schemas.microsoft.com/office/drawing/2014/main" id="{ABA389F7-C43F-16BD-8B74-A37D3B7EC988}"/>
            </a:ext>
          </a:extLst>
        </xdr:cNvPr>
        <xdr:cNvCxnSpPr/>
      </xdr:nvCxnSpPr>
      <xdr:spPr>
        <a:xfrm>
          <a:off x="158372175" y="120691275"/>
          <a:ext cx="3714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533400</xdr:colOff>
      <xdr:row>5</xdr:row>
      <xdr:rowOff>161926</xdr:rowOff>
    </xdr:from>
    <xdr:to>
      <xdr:col>4</xdr:col>
      <xdr:colOff>847725</xdr:colOff>
      <xdr:row>5</xdr:row>
      <xdr:rowOff>167078</xdr:rowOff>
    </xdr:to>
    <xdr:cxnSp macro="">
      <xdr:nvCxnSpPr>
        <xdr:cNvPr id="2" name="Straight Connector 1">
          <a:extLst>
            <a:ext uri="{FF2B5EF4-FFF2-40B4-BE49-F238E27FC236}">
              <a16:creationId xmlns:a16="http://schemas.microsoft.com/office/drawing/2014/main" id="{2DFC2F3E-8B37-F8F0-CCDB-74491D0AD9F8}"/>
            </a:ext>
          </a:extLst>
        </xdr:cNvPr>
        <xdr:cNvCxnSpPr/>
      </xdr:nvCxnSpPr>
      <xdr:spPr>
        <a:xfrm flipV="1">
          <a:off x="164077650" y="24288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9</xdr:row>
      <xdr:rowOff>161926</xdr:rowOff>
    </xdr:from>
    <xdr:to>
      <xdr:col>4</xdr:col>
      <xdr:colOff>847725</xdr:colOff>
      <xdr:row>9</xdr:row>
      <xdr:rowOff>167078</xdr:rowOff>
    </xdr:to>
    <xdr:cxnSp macro="">
      <xdr:nvCxnSpPr>
        <xdr:cNvPr id="3" name="Straight Connector 2">
          <a:extLst>
            <a:ext uri="{FF2B5EF4-FFF2-40B4-BE49-F238E27FC236}">
              <a16:creationId xmlns:a16="http://schemas.microsoft.com/office/drawing/2014/main" id="{5329AD9B-63E9-3D3F-8E2D-31CC886083DA}"/>
            </a:ext>
          </a:extLst>
        </xdr:cNvPr>
        <xdr:cNvCxnSpPr/>
      </xdr:nvCxnSpPr>
      <xdr:spPr>
        <a:xfrm flipV="1">
          <a:off x="164077650" y="39147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11</xdr:row>
      <xdr:rowOff>161926</xdr:rowOff>
    </xdr:from>
    <xdr:to>
      <xdr:col>4</xdr:col>
      <xdr:colOff>847725</xdr:colOff>
      <xdr:row>11</xdr:row>
      <xdr:rowOff>167078</xdr:rowOff>
    </xdr:to>
    <xdr:cxnSp macro="">
      <xdr:nvCxnSpPr>
        <xdr:cNvPr id="4" name="Straight Connector 3">
          <a:extLst>
            <a:ext uri="{FF2B5EF4-FFF2-40B4-BE49-F238E27FC236}">
              <a16:creationId xmlns:a16="http://schemas.microsoft.com/office/drawing/2014/main" id="{01361694-EBCC-3680-06BB-AE9236F1C2AE}"/>
            </a:ext>
          </a:extLst>
        </xdr:cNvPr>
        <xdr:cNvCxnSpPr/>
      </xdr:nvCxnSpPr>
      <xdr:spPr>
        <a:xfrm flipV="1">
          <a:off x="164077650" y="465772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13</xdr:row>
      <xdr:rowOff>161926</xdr:rowOff>
    </xdr:from>
    <xdr:to>
      <xdr:col>4</xdr:col>
      <xdr:colOff>847725</xdr:colOff>
      <xdr:row>13</xdr:row>
      <xdr:rowOff>167078</xdr:rowOff>
    </xdr:to>
    <xdr:cxnSp macro="">
      <xdr:nvCxnSpPr>
        <xdr:cNvPr id="5" name="Straight Connector 4">
          <a:extLst>
            <a:ext uri="{FF2B5EF4-FFF2-40B4-BE49-F238E27FC236}">
              <a16:creationId xmlns:a16="http://schemas.microsoft.com/office/drawing/2014/main" id="{FBEAE368-E9A3-2600-430B-0B16C2B13C6D}"/>
            </a:ext>
          </a:extLst>
        </xdr:cNvPr>
        <xdr:cNvCxnSpPr/>
      </xdr:nvCxnSpPr>
      <xdr:spPr>
        <a:xfrm flipV="1">
          <a:off x="164077650" y="54006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15</xdr:row>
      <xdr:rowOff>161926</xdr:rowOff>
    </xdr:from>
    <xdr:to>
      <xdr:col>4</xdr:col>
      <xdr:colOff>847725</xdr:colOff>
      <xdr:row>15</xdr:row>
      <xdr:rowOff>167078</xdr:rowOff>
    </xdr:to>
    <xdr:cxnSp macro="">
      <xdr:nvCxnSpPr>
        <xdr:cNvPr id="6" name="Straight Connector 5">
          <a:extLst>
            <a:ext uri="{FF2B5EF4-FFF2-40B4-BE49-F238E27FC236}">
              <a16:creationId xmlns:a16="http://schemas.microsoft.com/office/drawing/2014/main" id="{9D2DE96A-4EC8-FD68-F0CE-62B9E7888E2B}"/>
            </a:ext>
          </a:extLst>
        </xdr:cNvPr>
        <xdr:cNvCxnSpPr/>
      </xdr:nvCxnSpPr>
      <xdr:spPr>
        <a:xfrm flipV="1">
          <a:off x="164077650" y="614362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21</xdr:row>
      <xdr:rowOff>161926</xdr:rowOff>
    </xdr:from>
    <xdr:to>
      <xdr:col>4</xdr:col>
      <xdr:colOff>847725</xdr:colOff>
      <xdr:row>21</xdr:row>
      <xdr:rowOff>167078</xdr:rowOff>
    </xdr:to>
    <xdr:cxnSp macro="">
      <xdr:nvCxnSpPr>
        <xdr:cNvPr id="7" name="Straight Connector 6">
          <a:extLst>
            <a:ext uri="{FF2B5EF4-FFF2-40B4-BE49-F238E27FC236}">
              <a16:creationId xmlns:a16="http://schemas.microsoft.com/office/drawing/2014/main" id="{C5F032D3-C3BE-2BEF-215C-4FBFD8593075}"/>
            </a:ext>
          </a:extLst>
        </xdr:cNvPr>
        <xdr:cNvCxnSpPr/>
      </xdr:nvCxnSpPr>
      <xdr:spPr>
        <a:xfrm flipV="1">
          <a:off x="164077650" y="83724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23</xdr:row>
      <xdr:rowOff>161926</xdr:rowOff>
    </xdr:from>
    <xdr:to>
      <xdr:col>4</xdr:col>
      <xdr:colOff>847725</xdr:colOff>
      <xdr:row>23</xdr:row>
      <xdr:rowOff>167078</xdr:rowOff>
    </xdr:to>
    <xdr:cxnSp macro="">
      <xdr:nvCxnSpPr>
        <xdr:cNvPr id="8" name="Straight Connector 7">
          <a:extLst>
            <a:ext uri="{FF2B5EF4-FFF2-40B4-BE49-F238E27FC236}">
              <a16:creationId xmlns:a16="http://schemas.microsoft.com/office/drawing/2014/main" id="{DC84C9AF-E18F-79D6-F1B2-7CF297AA24D1}"/>
            </a:ext>
          </a:extLst>
        </xdr:cNvPr>
        <xdr:cNvCxnSpPr/>
      </xdr:nvCxnSpPr>
      <xdr:spPr>
        <a:xfrm flipV="1">
          <a:off x="164077650" y="9029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29</xdr:row>
      <xdr:rowOff>161926</xdr:rowOff>
    </xdr:from>
    <xdr:to>
      <xdr:col>4</xdr:col>
      <xdr:colOff>847725</xdr:colOff>
      <xdr:row>29</xdr:row>
      <xdr:rowOff>167078</xdr:rowOff>
    </xdr:to>
    <xdr:cxnSp macro="">
      <xdr:nvCxnSpPr>
        <xdr:cNvPr id="9" name="Straight Connector 8">
          <a:extLst>
            <a:ext uri="{FF2B5EF4-FFF2-40B4-BE49-F238E27FC236}">
              <a16:creationId xmlns:a16="http://schemas.microsoft.com/office/drawing/2014/main" id="{A73AEB9F-9BAA-2EA0-B6B9-196B8B3D1A48}"/>
            </a:ext>
          </a:extLst>
        </xdr:cNvPr>
        <xdr:cNvCxnSpPr/>
      </xdr:nvCxnSpPr>
      <xdr:spPr>
        <a:xfrm flipV="1">
          <a:off x="164077650" y="11315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35</xdr:row>
      <xdr:rowOff>161926</xdr:rowOff>
    </xdr:from>
    <xdr:to>
      <xdr:col>4</xdr:col>
      <xdr:colOff>847725</xdr:colOff>
      <xdr:row>35</xdr:row>
      <xdr:rowOff>167078</xdr:rowOff>
    </xdr:to>
    <xdr:cxnSp macro="">
      <xdr:nvCxnSpPr>
        <xdr:cNvPr id="10" name="Straight Connector 9">
          <a:extLst>
            <a:ext uri="{FF2B5EF4-FFF2-40B4-BE49-F238E27FC236}">
              <a16:creationId xmlns:a16="http://schemas.microsoft.com/office/drawing/2014/main" id="{8A21B9F9-80A1-56AE-3BBD-B21FBD21B423}"/>
            </a:ext>
          </a:extLst>
        </xdr:cNvPr>
        <xdr:cNvCxnSpPr/>
      </xdr:nvCxnSpPr>
      <xdr:spPr>
        <a:xfrm flipV="1">
          <a:off x="164077650" y="13601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37</xdr:row>
      <xdr:rowOff>161926</xdr:rowOff>
    </xdr:from>
    <xdr:to>
      <xdr:col>4</xdr:col>
      <xdr:colOff>847725</xdr:colOff>
      <xdr:row>37</xdr:row>
      <xdr:rowOff>167078</xdr:rowOff>
    </xdr:to>
    <xdr:cxnSp macro="">
      <xdr:nvCxnSpPr>
        <xdr:cNvPr id="11" name="Straight Connector 10">
          <a:extLst>
            <a:ext uri="{FF2B5EF4-FFF2-40B4-BE49-F238E27FC236}">
              <a16:creationId xmlns:a16="http://schemas.microsoft.com/office/drawing/2014/main" id="{0FA4E752-34DE-A0EE-55EA-A13B81402A95}"/>
            </a:ext>
          </a:extLst>
        </xdr:cNvPr>
        <xdr:cNvCxnSpPr/>
      </xdr:nvCxnSpPr>
      <xdr:spPr>
        <a:xfrm flipV="1">
          <a:off x="164077650" y="14363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43</xdr:row>
      <xdr:rowOff>161926</xdr:rowOff>
    </xdr:from>
    <xdr:to>
      <xdr:col>4</xdr:col>
      <xdr:colOff>847725</xdr:colOff>
      <xdr:row>43</xdr:row>
      <xdr:rowOff>167078</xdr:rowOff>
    </xdr:to>
    <xdr:cxnSp macro="">
      <xdr:nvCxnSpPr>
        <xdr:cNvPr id="12" name="Straight Connector 11">
          <a:extLst>
            <a:ext uri="{FF2B5EF4-FFF2-40B4-BE49-F238E27FC236}">
              <a16:creationId xmlns:a16="http://schemas.microsoft.com/office/drawing/2014/main" id="{3E129AA6-110A-3D02-C861-8DC39F1A91E8}"/>
            </a:ext>
          </a:extLst>
        </xdr:cNvPr>
        <xdr:cNvCxnSpPr/>
      </xdr:nvCxnSpPr>
      <xdr:spPr>
        <a:xfrm flipV="1">
          <a:off x="164077650" y="16649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47</xdr:row>
      <xdr:rowOff>161926</xdr:rowOff>
    </xdr:from>
    <xdr:to>
      <xdr:col>4</xdr:col>
      <xdr:colOff>847725</xdr:colOff>
      <xdr:row>47</xdr:row>
      <xdr:rowOff>167078</xdr:rowOff>
    </xdr:to>
    <xdr:cxnSp macro="">
      <xdr:nvCxnSpPr>
        <xdr:cNvPr id="13" name="Straight Connector 12">
          <a:extLst>
            <a:ext uri="{FF2B5EF4-FFF2-40B4-BE49-F238E27FC236}">
              <a16:creationId xmlns:a16="http://schemas.microsoft.com/office/drawing/2014/main" id="{C129A2D9-5722-990B-896F-F57E314D65A5}"/>
            </a:ext>
          </a:extLst>
        </xdr:cNvPr>
        <xdr:cNvCxnSpPr/>
      </xdr:nvCxnSpPr>
      <xdr:spPr>
        <a:xfrm flipV="1">
          <a:off x="164077650" y="18173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8</xdr:row>
      <xdr:rowOff>161926</xdr:rowOff>
    </xdr:from>
    <xdr:to>
      <xdr:col>4</xdr:col>
      <xdr:colOff>847725</xdr:colOff>
      <xdr:row>8</xdr:row>
      <xdr:rowOff>167078</xdr:rowOff>
    </xdr:to>
    <xdr:cxnSp macro="">
      <xdr:nvCxnSpPr>
        <xdr:cNvPr id="14" name="Straight Connector 13">
          <a:extLst>
            <a:ext uri="{FF2B5EF4-FFF2-40B4-BE49-F238E27FC236}">
              <a16:creationId xmlns:a16="http://schemas.microsoft.com/office/drawing/2014/main" id="{34FB64D6-BB7B-25AF-C8E4-F23A113E3309}"/>
            </a:ext>
          </a:extLst>
        </xdr:cNvPr>
        <xdr:cNvCxnSpPr/>
      </xdr:nvCxnSpPr>
      <xdr:spPr>
        <a:xfrm flipV="1">
          <a:off x="164077650" y="35433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16</xdr:row>
      <xdr:rowOff>161926</xdr:rowOff>
    </xdr:from>
    <xdr:to>
      <xdr:col>4</xdr:col>
      <xdr:colOff>847725</xdr:colOff>
      <xdr:row>16</xdr:row>
      <xdr:rowOff>167078</xdr:rowOff>
    </xdr:to>
    <xdr:cxnSp macro="">
      <xdr:nvCxnSpPr>
        <xdr:cNvPr id="15" name="Straight Connector 14">
          <a:extLst>
            <a:ext uri="{FF2B5EF4-FFF2-40B4-BE49-F238E27FC236}">
              <a16:creationId xmlns:a16="http://schemas.microsoft.com/office/drawing/2014/main" id="{FCAC5A99-134B-FD60-7292-4B7EBCF7C78A}"/>
            </a:ext>
          </a:extLst>
        </xdr:cNvPr>
        <xdr:cNvCxnSpPr/>
      </xdr:nvCxnSpPr>
      <xdr:spPr>
        <a:xfrm flipV="1">
          <a:off x="164077650" y="65151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18</xdr:row>
      <xdr:rowOff>161926</xdr:rowOff>
    </xdr:from>
    <xdr:to>
      <xdr:col>4</xdr:col>
      <xdr:colOff>847725</xdr:colOff>
      <xdr:row>18</xdr:row>
      <xdr:rowOff>167078</xdr:rowOff>
    </xdr:to>
    <xdr:cxnSp macro="">
      <xdr:nvCxnSpPr>
        <xdr:cNvPr id="16" name="Straight Connector 15">
          <a:extLst>
            <a:ext uri="{FF2B5EF4-FFF2-40B4-BE49-F238E27FC236}">
              <a16:creationId xmlns:a16="http://schemas.microsoft.com/office/drawing/2014/main" id="{D8717D26-4EF7-573B-C5EF-78C2EB629444}"/>
            </a:ext>
          </a:extLst>
        </xdr:cNvPr>
        <xdr:cNvCxnSpPr/>
      </xdr:nvCxnSpPr>
      <xdr:spPr>
        <a:xfrm flipV="1">
          <a:off x="164077650" y="725805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24</xdr:row>
      <xdr:rowOff>161926</xdr:rowOff>
    </xdr:from>
    <xdr:to>
      <xdr:col>4</xdr:col>
      <xdr:colOff>847725</xdr:colOff>
      <xdr:row>24</xdr:row>
      <xdr:rowOff>167078</xdr:rowOff>
    </xdr:to>
    <xdr:cxnSp macro="">
      <xdr:nvCxnSpPr>
        <xdr:cNvPr id="17" name="Straight Connector 16">
          <a:extLst>
            <a:ext uri="{FF2B5EF4-FFF2-40B4-BE49-F238E27FC236}">
              <a16:creationId xmlns:a16="http://schemas.microsoft.com/office/drawing/2014/main" id="{BAC2D184-9B50-9F69-0A48-4FA3566B075D}"/>
            </a:ext>
          </a:extLst>
        </xdr:cNvPr>
        <xdr:cNvCxnSpPr/>
      </xdr:nvCxnSpPr>
      <xdr:spPr>
        <a:xfrm flipV="1">
          <a:off x="164077650" y="9410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30</xdr:row>
      <xdr:rowOff>161926</xdr:rowOff>
    </xdr:from>
    <xdr:to>
      <xdr:col>4</xdr:col>
      <xdr:colOff>847725</xdr:colOff>
      <xdr:row>30</xdr:row>
      <xdr:rowOff>167078</xdr:rowOff>
    </xdr:to>
    <xdr:cxnSp macro="">
      <xdr:nvCxnSpPr>
        <xdr:cNvPr id="18" name="Straight Connector 17">
          <a:extLst>
            <a:ext uri="{FF2B5EF4-FFF2-40B4-BE49-F238E27FC236}">
              <a16:creationId xmlns:a16="http://schemas.microsoft.com/office/drawing/2014/main" id="{22066108-0B06-58E4-2D6C-B83DA3ADEE13}"/>
            </a:ext>
          </a:extLst>
        </xdr:cNvPr>
        <xdr:cNvCxnSpPr/>
      </xdr:nvCxnSpPr>
      <xdr:spPr>
        <a:xfrm flipV="1">
          <a:off x="164077650" y="11696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32</xdr:row>
      <xdr:rowOff>161926</xdr:rowOff>
    </xdr:from>
    <xdr:to>
      <xdr:col>4</xdr:col>
      <xdr:colOff>847725</xdr:colOff>
      <xdr:row>32</xdr:row>
      <xdr:rowOff>167078</xdr:rowOff>
    </xdr:to>
    <xdr:cxnSp macro="">
      <xdr:nvCxnSpPr>
        <xdr:cNvPr id="19" name="Straight Connector 18">
          <a:extLst>
            <a:ext uri="{FF2B5EF4-FFF2-40B4-BE49-F238E27FC236}">
              <a16:creationId xmlns:a16="http://schemas.microsoft.com/office/drawing/2014/main" id="{A813EFE4-D646-96F0-8982-D719518479DF}"/>
            </a:ext>
          </a:extLst>
        </xdr:cNvPr>
        <xdr:cNvCxnSpPr/>
      </xdr:nvCxnSpPr>
      <xdr:spPr>
        <a:xfrm flipV="1">
          <a:off x="164077650" y="12458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40</xdr:row>
      <xdr:rowOff>161926</xdr:rowOff>
    </xdr:from>
    <xdr:to>
      <xdr:col>4</xdr:col>
      <xdr:colOff>847725</xdr:colOff>
      <xdr:row>40</xdr:row>
      <xdr:rowOff>167078</xdr:rowOff>
    </xdr:to>
    <xdr:cxnSp macro="">
      <xdr:nvCxnSpPr>
        <xdr:cNvPr id="20" name="Straight Connector 19">
          <a:extLst>
            <a:ext uri="{FF2B5EF4-FFF2-40B4-BE49-F238E27FC236}">
              <a16:creationId xmlns:a16="http://schemas.microsoft.com/office/drawing/2014/main" id="{25CB0540-C4E8-3EFD-3D7A-FF047B915366}"/>
            </a:ext>
          </a:extLst>
        </xdr:cNvPr>
        <xdr:cNvCxnSpPr/>
      </xdr:nvCxnSpPr>
      <xdr:spPr>
        <a:xfrm flipV="1">
          <a:off x="164077650" y="15506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42</xdr:row>
      <xdr:rowOff>161926</xdr:rowOff>
    </xdr:from>
    <xdr:to>
      <xdr:col>4</xdr:col>
      <xdr:colOff>847725</xdr:colOff>
      <xdr:row>42</xdr:row>
      <xdr:rowOff>167078</xdr:rowOff>
    </xdr:to>
    <xdr:cxnSp macro="">
      <xdr:nvCxnSpPr>
        <xdr:cNvPr id="21" name="Straight Connector 20">
          <a:extLst>
            <a:ext uri="{FF2B5EF4-FFF2-40B4-BE49-F238E27FC236}">
              <a16:creationId xmlns:a16="http://schemas.microsoft.com/office/drawing/2014/main" id="{07B0EFDC-1972-C97A-95FC-CEB294B3C517}"/>
            </a:ext>
          </a:extLst>
        </xdr:cNvPr>
        <xdr:cNvCxnSpPr/>
      </xdr:nvCxnSpPr>
      <xdr:spPr>
        <a:xfrm flipV="1">
          <a:off x="164077650" y="16268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44</xdr:row>
      <xdr:rowOff>161926</xdr:rowOff>
    </xdr:from>
    <xdr:to>
      <xdr:col>4</xdr:col>
      <xdr:colOff>847725</xdr:colOff>
      <xdr:row>44</xdr:row>
      <xdr:rowOff>167078</xdr:rowOff>
    </xdr:to>
    <xdr:cxnSp macro="">
      <xdr:nvCxnSpPr>
        <xdr:cNvPr id="22" name="Straight Connector 21">
          <a:extLst>
            <a:ext uri="{FF2B5EF4-FFF2-40B4-BE49-F238E27FC236}">
              <a16:creationId xmlns:a16="http://schemas.microsoft.com/office/drawing/2014/main" id="{915DF4B6-3B68-127E-50B2-F0E0C6F1665A}"/>
            </a:ext>
          </a:extLst>
        </xdr:cNvPr>
        <xdr:cNvCxnSpPr/>
      </xdr:nvCxnSpPr>
      <xdr:spPr>
        <a:xfrm flipV="1">
          <a:off x="164077650" y="17030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48</xdr:row>
      <xdr:rowOff>161926</xdr:rowOff>
    </xdr:from>
    <xdr:to>
      <xdr:col>4</xdr:col>
      <xdr:colOff>847725</xdr:colOff>
      <xdr:row>48</xdr:row>
      <xdr:rowOff>167078</xdr:rowOff>
    </xdr:to>
    <xdr:cxnSp macro="">
      <xdr:nvCxnSpPr>
        <xdr:cNvPr id="23" name="Straight Connector 22">
          <a:extLst>
            <a:ext uri="{FF2B5EF4-FFF2-40B4-BE49-F238E27FC236}">
              <a16:creationId xmlns:a16="http://schemas.microsoft.com/office/drawing/2014/main" id="{5E89291F-9735-2E8A-BF65-78971732DABC}"/>
            </a:ext>
          </a:extLst>
        </xdr:cNvPr>
        <xdr:cNvCxnSpPr/>
      </xdr:nvCxnSpPr>
      <xdr:spPr>
        <a:xfrm flipV="1">
          <a:off x="164077650" y="18554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54</xdr:row>
      <xdr:rowOff>133351</xdr:rowOff>
    </xdr:from>
    <xdr:to>
      <xdr:col>4</xdr:col>
      <xdr:colOff>847725</xdr:colOff>
      <xdr:row>54</xdr:row>
      <xdr:rowOff>138503</xdr:rowOff>
    </xdr:to>
    <xdr:cxnSp macro="">
      <xdr:nvCxnSpPr>
        <xdr:cNvPr id="24" name="Straight Connector 23">
          <a:extLst>
            <a:ext uri="{FF2B5EF4-FFF2-40B4-BE49-F238E27FC236}">
              <a16:creationId xmlns:a16="http://schemas.microsoft.com/office/drawing/2014/main" id="{EA72FE6D-7DF5-7145-4962-613160199493}"/>
            </a:ext>
          </a:extLst>
        </xdr:cNvPr>
        <xdr:cNvCxnSpPr/>
      </xdr:nvCxnSpPr>
      <xdr:spPr>
        <a:xfrm flipV="1">
          <a:off x="164077650" y="201453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56</xdr:row>
      <xdr:rowOff>133351</xdr:rowOff>
    </xdr:from>
    <xdr:to>
      <xdr:col>4</xdr:col>
      <xdr:colOff>847725</xdr:colOff>
      <xdr:row>56</xdr:row>
      <xdr:rowOff>138503</xdr:rowOff>
    </xdr:to>
    <xdr:cxnSp macro="">
      <xdr:nvCxnSpPr>
        <xdr:cNvPr id="25" name="Straight Connector 24">
          <a:extLst>
            <a:ext uri="{FF2B5EF4-FFF2-40B4-BE49-F238E27FC236}">
              <a16:creationId xmlns:a16="http://schemas.microsoft.com/office/drawing/2014/main" id="{344B1245-1D75-6489-5169-C778BECB72E7}"/>
            </a:ext>
          </a:extLst>
        </xdr:cNvPr>
        <xdr:cNvCxnSpPr/>
      </xdr:nvCxnSpPr>
      <xdr:spPr>
        <a:xfrm flipV="1">
          <a:off x="164077650" y="206406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58</xdr:row>
      <xdr:rowOff>133351</xdr:rowOff>
    </xdr:from>
    <xdr:to>
      <xdr:col>4</xdr:col>
      <xdr:colOff>847725</xdr:colOff>
      <xdr:row>58</xdr:row>
      <xdr:rowOff>138503</xdr:rowOff>
    </xdr:to>
    <xdr:cxnSp macro="">
      <xdr:nvCxnSpPr>
        <xdr:cNvPr id="26" name="Straight Connector 25">
          <a:extLst>
            <a:ext uri="{FF2B5EF4-FFF2-40B4-BE49-F238E27FC236}">
              <a16:creationId xmlns:a16="http://schemas.microsoft.com/office/drawing/2014/main" id="{6E126B37-6B37-D766-4AF6-BE3E6D7235E3}"/>
            </a:ext>
          </a:extLst>
        </xdr:cNvPr>
        <xdr:cNvCxnSpPr/>
      </xdr:nvCxnSpPr>
      <xdr:spPr>
        <a:xfrm flipV="1">
          <a:off x="164077650" y="211359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60</xdr:row>
      <xdr:rowOff>133351</xdr:rowOff>
    </xdr:from>
    <xdr:to>
      <xdr:col>4</xdr:col>
      <xdr:colOff>847725</xdr:colOff>
      <xdr:row>60</xdr:row>
      <xdr:rowOff>138503</xdr:rowOff>
    </xdr:to>
    <xdr:cxnSp macro="">
      <xdr:nvCxnSpPr>
        <xdr:cNvPr id="27" name="Straight Connector 26">
          <a:extLst>
            <a:ext uri="{FF2B5EF4-FFF2-40B4-BE49-F238E27FC236}">
              <a16:creationId xmlns:a16="http://schemas.microsoft.com/office/drawing/2014/main" id="{5A5965DB-091E-68D7-4F95-211C07A74AC0}"/>
            </a:ext>
          </a:extLst>
        </xdr:cNvPr>
        <xdr:cNvCxnSpPr/>
      </xdr:nvCxnSpPr>
      <xdr:spPr>
        <a:xfrm flipV="1">
          <a:off x="164077650" y="216312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62</xdr:row>
      <xdr:rowOff>123826</xdr:rowOff>
    </xdr:from>
    <xdr:to>
      <xdr:col>4</xdr:col>
      <xdr:colOff>847725</xdr:colOff>
      <xdr:row>62</xdr:row>
      <xdr:rowOff>128978</xdr:rowOff>
    </xdr:to>
    <xdr:cxnSp macro="">
      <xdr:nvCxnSpPr>
        <xdr:cNvPr id="28" name="Straight Connector 27">
          <a:extLst>
            <a:ext uri="{FF2B5EF4-FFF2-40B4-BE49-F238E27FC236}">
              <a16:creationId xmlns:a16="http://schemas.microsoft.com/office/drawing/2014/main" id="{3EDEE492-C2A1-727D-FEEE-71F8AFF6CF55}"/>
            </a:ext>
          </a:extLst>
        </xdr:cNvPr>
        <xdr:cNvCxnSpPr/>
      </xdr:nvCxnSpPr>
      <xdr:spPr>
        <a:xfrm flipV="1">
          <a:off x="164077650" y="2211705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64</xdr:row>
      <xdr:rowOff>123826</xdr:rowOff>
    </xdr:from>
    <xdr:to>
      <xdr:col>4</xdr:col>
      <xdr:colOff>847725</xdr:colOff>
      <xdr:row>64</xdr:row>
      <xdr:rowOff>128978</xdr:rowOff>
    </xdr:to>
    <xdr:cxnSp macro="">
      <xdr:nvCxnSpPr>
        <xdr:cNvPr id="29" name="Straight Connector 28">
          <a:extLst>
            <a:ext uri="{FF2B5EF4-FFF2-40B4-BE49-F238E27FC236}">
              <a16:creationId xmlns:a16="http://schemas.microsoft.com/office/drawing/2014/main" id="{73B15B5A-1A37-0F90-C557-BC952356B0B4}"/>
            </a:ext>
          </a:extLst>
        </xdr:cNvPr>
        <xdr:cNvCxnSpPr/>
      </xdr:nvCxnSpPr>
      <xdr:spPr>
        <a:xfrm flipV="1">
          <a:off x="164077650" y="2261235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68</xdr:row>
      <xdr:rowOff>133351</xdr:rowOff>
    </xdr:from>
    <xdr:to>
      <xdr:col>4</xdr:col>
      <xdr:colOff>847725</xdr:colOff>
      <xdr:row>68</xdr:row>
      <xdr:rowOff>138503</xdr:rowOff>
    </xdr:to>
    <xdr:cxnSp macro="">
      <xdr:nvCxnSpPr>
        <xdr:cNvPr id="30" name="Straight Connector 29">
          <a:extLst>
            <a:ext uri="{FF2B5EF4-FFF2-40B4-BE49-F238E27FC236}">
              <a16:creationId xmlns:a16="http://schemas.microsoft.com/office/drawing/2014/main" id="{EFE01F3B-E88C-50F2-F644-5C9CD803BC13}"/>
            </a:ext>
          </a:extLst>
        </xdr:cNvPr>
        <xdr:cNvCxnSpPr/>
      </xdr:nvCxnSpPr>
      <xdr:spPr>
        <a:xfrm flipV="1">
          <a:off x="164077650" y="236124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67</xdr:row>
      <xdr:rowOff>123826</xdr:rowOff>
    </xdr:from>
    <xdr:to>
      <xdr:col>4</xdr:col>
      <xdr:colOff>847725</xdr:colOff>
      <xdr:row>67</xdr:row>
      <xdr:rowOff>128978</xdr:rowOff>
    </xdr:to>
    <xdr:cxnSp macro="">
      <xdr:nvCxnSpPr>
        <xdr:cNvPr id="31" name="Straight Connector 30">
          <a:extLst>
            <a:ext uri="{FF2B5EF4-FFF2-40B4-BE49-F238E27FC236}">
              <a16:creationId xmlns:a16="http://schemas.microsoft.com/office/drawing/2014/main" id="{52AE4B66-7991-A0FE-3845-522EA1C24F21}"/>
            </a:ext>
          </a:extLst>
        </xdr:cNvPr>
        <xdr:cNvCxnSpPr/>
      </xdr:nvCxnSpPr>
      <xdr:spPr>
        <a:xfrm flipV="1">
          <a:off x="164077650" y="233553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69</xdr:row>
      <xdr:rowOff>133351</xdr:rowOff>
    </xdr:from>
    <xdr:to>
      <xdr:col>4</xdr:col>
      <xdr:colOff>847725</xdr:colOff>
      <xdr:row>69</xdr:row>
      <xdr:rowOff>138503</xdr:rowOff>
    </xdr:to>
    <xdr:cxnSp macro="">
      <xdr:nvCxnSpPr>
        <xdr:cNvPr id="32" name="Straight Connector 31">
          <a:extLst>
            <a:ext uri="{FF2B5EF4-FFF2-40B4-BE49-F238E27FC236}">
              <a16:creationId xmlns:a16="http://schemas.microsoft.com/office/drawing/2014/main" id="{7D73F8B4-2EE4-A215-1C80-9C24A1FFBAF6}"/>
            </a:ext>
          </a:extLst>
        </xdr:cNvPr>
        <xdr:cNvCxnSpPr/>
      </xdr:nvCxnSpPr>
      <xdr:spPr>
        <a:xfrm flipV="1">
          <a:off x="164077650" y="2386012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74</xdr:row>
      <xdr:rowOff>133351</xdr:rowOff>
    </xdr:from>
    <xdr:to>
      <xdr:col>4</xdr:col>
      <xdr:colOff>847725</xdr:colOff>
      <xdr:row>74</xdr:row>
      <xdr:rowOff>138503</xdr:rowOff>
    </xdr:to>
    <xdr:cxnSp macro="">
      <xdr:nvCxnSpPr>
        <xdr:cNvPr id="33" name="Straight Connector 32">
          <a:extLst>
            <a:ext uri="{FF2B5EF4-FFF2-40B4-BE49-F238E27FC236}">
              <a16:creationId xmlns:a16="http://schemas.microsoft.com/office/drawing/2014/main" id="{8813EB25-F2FA-55AE-8DDB-7EEA88199817}"/>
            </a:ext>
          </a:extLst>
        </xdr:cNvPr>
        <xdr:cNvCxnSpPr/>
      </xdr:nvCxnSpPr>
      <xdr:spPr>
        <a:xfrm flipV="1">
          <a:off x="164077650" y="250983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75</xdr:row>
      <xdr:rowOff>133351</xdr:rowOff>
    </xdr:from>
    <xdr:to>
      <xdr:col>4</xdr:col>
      <xdr:colOff>847725</xdr:colOff>
      <xdr:row>75</xdr:row>
      <xdr:rowOff>138503</xdr:rowOff>
    </xdr:to>
    <xdr:cxnSp macro="">
      <xdr:nvCxnSpPr>
        <xdr:cNvPr id="34" name="Straight Connector 33">
          <a:extLst>
            <a:ext uri="{FF2B5EF4-FFF2-40B4-BE49-F238E27FC236}">
              <a16:creationId xmlns:a16="http://schemas.microsoft.com/office/drawing/2014/main" id="{DF55AF75-3321-5E84-5074-6C91FE836F6D}"/>
            </a:ext>
          </a:extLst>
        </xdr:cNvPr>
        <xdr:cNvCxnSpPr/>
      </xdr:nvCxnSpPr>
      <xdr:spPr>
        <a:xfrm flipV="1">
          <a:off x="164077650" y="2534602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78</xdr:row>
      <xdr:rowOff>161926</xdr:rowOff>
    </xdr:from>
    <xdr:to>
      <xdr:col>4</xdr:col>
      <xdr:colOff>847725</xdr:colOff>
      <xdr:row>78</xdr:row>
      <xdr:rowOff>167078</xdr:rowOff>
    </xdr:to>
    <xdr:cxnSp macro="">
      <xdr:nvCxnSpPr>
        <xdr:cNvPr id="35" name="Straight Connector 34">
          <a:extLst>
            <a:ext uri="{FF2B5EF4-FFF2-40B4-BE49-F238E27FC236}">
              <a16:creationId xmlns:a16="http://schemas.microsoft.com/office/drawing/2014/main" id="{DAD4F9CB-C68B-79F1-D1A5-851627D594C5}"/>
            </a:ext>
          </a:extLst>
        </xdr:cNvPr>
        <xdr:cNvCxnSpPr/>
      </xdr:nvCxnSpPr>
      <xdr:spPr>
        <a:xfrm flipV="1">
          <a:off x="164077650" y="2611755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82</xdr:row>
      <xdr:rowOff>133351</xdr:rowOff>
    </xdr:from>
    <xdr:to>
      <xdr:col>4</xdr:col>
      <xdr:colOff>847725</xdr:colOff>
      <xdr:row>82</xdr:row>
      <xdr:rowOff>138503</xdr:rowOff>
    </xdr:to>
    <xdr:cxnSp macro="">
      <xdr:nvCxnSpPr>
        <xdr:cNvPr id="36" name="Straight Connector 35">
          <a:extLst>
            <a:ext uri="{FF2B5EF4-FFF2-40B4-BE49-F238E27FC236}">
              <a16:creationId xmlns:a16="http://schemas.microsoft.com/office/drawing/2014/main" id="{C7B7A6B2-4DB6-B94C-314F-B117B2FDBF01}"/>
            </a:ext>
          </a:extLst>
        </xdr:cNvPr>
        <xdr:cNvCxnSpPr/>
      </xdr:nvCxnSpPr>
      <xdr:spPr>
        <a:xfrm flipV="1">
          <a:off x="164077650" y="270795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84</xdr:row>
      <xdr:rowOff>161926</xdr:rowOff>
    </xdr:from>
    <xdr:to>
      <xdr:col>4</xdr:col>
      <xdr:colOff>847725</xdr:colOff>
      <xdr:row>84</xdr:row>
      <xdr:rowOff>167078</xdr:rowOff>
    </xdr:to>
    <xdr:cxnSp macro="">
      <xdr:nvCxnSpPr>
        <xdr:cNvPr id="37" name="Straight Connector 36">
          <a:extLst>
            <a:ext uri="{FF2B5EF4-FFF2-40B4-BE49-F238E27FC236}">
              <a16:creationId xmlns:a16="http://schemas.microsoft.com/office/drawing/2014/main" id="{5C63DB90-9AE0-4030-6A1A-E3E25E3B0B6F}"/>
            </a:ext>
          </a:extLst>
        </xdr:cNvPr>
        <xdr:cNvCxnSpPr/>
      </xdr:nvCxnSpPr>
      <xdr:spPr>
        <a:xfrm flipV="1">
          <a:off x="164077650" y="2760345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86</xdr:row>
      <xdr:rowOff>142876</xdr:rowOff>
    </xdr:from>
    <xdr:to>
      <xdr:col>4</xdr:col>
      <xdr:colOff>847725</xdr:colOff>
      <xdr:row>86</xdr:row>
      <xdr:rowOff>148028</xdr:rowOff>
    </xdr:to>
    <xdr:cxnSp macro="">
      <xdr:nvCxnSpPr>
        <xdr:cNvPr id="38" name="Straight Connector 37">
          <a:extLst>
            <a:ext uri="{FF2B5EF4-FFF2-40B4-BE49-F238E27FC236}">
              <a16:creationId xmlns:a16="http://schemas.microsoft.com/office/drawing/2014/main" id="{4ED4E7C7-BAD9-4DBF-2237-901A293569FB}"/>
            </a:ext>
          </a:extLst>
        </xdr:cNvPr>
        <xdr:cNvCxnSpPr/>
      </xdr:nvCxnSpPr>
      <xdr:spPr>
        <a:xfrm flipV="1">
          <a:off x="164077650" y="280797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90</xdr:row>
      <xdr:rowOff>161926</xdr:rowOff>
    </xdr:from>
    <xdr:to>
      <xdr:col>4</xdr:col>
      <xdr:colOff>847725</xdr:colOff>
      <xdr:row>90</xdr:row>
      <xdr:rowOff>167078</xdr:rowOff>
    </xdr:to>
    <xdr:cxnSp macro="">
      <xdr:nvCxnSpPr>
        <xdr:cNvPr id="39" name="Straight Connector 38">
          <a:extLst>
            <a:ext uri="{FF2B5EF4-FFF2-40B4-BE49-F238E27FC236}">
              <a16:creationId xmlns:a16="http://schemas.microsoft.com/office/drawing/2014/main" id="{22A74DD1-D2D6-4E1F-257F-0221E90D8D6E}"/>
            </a:ext>
          </a:extLst>
        </xdr:cNvPr>
        <xdr:cNvCxnSpPr/>
      </xdr:nvCxnSpPr>
      <xdr:spPr>
        <a:xfrm flipV="1">
          <a:off x="164077650" y="2908935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92</xdr:row>
      <xdr:rowOff>142876</xdr:rowOff>
    </xdr:from>
    <xdr:to>
      <xdr:col>4</xdr:col>
      <xdr:colOff>847725</xdr:colOff>
      <xdr:row>92</xdr:row>
      <xdr:rowOff>148028</xdr:rowOff>
    </xdr:to>
    <xdr:cxnSp macro="">
      <xdr:nvCxnSpPr>
        <xdr:cNvPr id="40" name="Straight Connector 39">
          <a:extLst>
            <a:ext uri="{FF2B5EF4-FFF2-40B4-BE49-F238E27FC236}">
              <a16:creationId xmlns:a16="http://schemas.microsoft.com/office/drawing/2014/main" id="{2E8D2345-2CF8-3663-0649-C35CB5E909BC}"/>
            </a:ext>
          </a:extLst>
        </xdr:cNvPr>
        <xdr:cNvCxnSpPr/>
      </xdr:nvCxnSpPr>
      <xdr:spPr>
        <a:xfrm flipV="1">
          <a:off x="164077650" y="295656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94</xdr:row>
      <xdr:rowOff>133351</xdr:rowOff>
    </xdr:from>
    <xdr:to>
      <xdr:col>4</xdr:col>
      <xdr:colOff>847725</xdr:colOff>
      <xdr:row>94</xdr:row>
      <xdr:rowOff>138503</xdr:rowOff>
    </xdr:to>
    <xdr:cxnSp macro="">
      <xdr:nvCxnSpPr>
        <xdr:cNvPr id="41" name="Straight Connector 40">
          <a:extLst>
            <a:ext uri="{FF2B5EF4-FFF2-40B4-BE49-F238E27FC236}">
              <a16:creationId xmlns:a16="http://schemas.microsoft.com/office/drawing/2014/main" id="{9F76BF26-4CE4-ADAE-8DBD-405BAD61F642}"/>
            </a:ext>
          </a:extLst>
        </xdr:cNvPr>
        <xdr:cNvCxnSpPr/>
      </xdr:nvCxnSpPr>
      <xdr:spPr>
        <a:xfrm flipV="1">
          <a:off x="164077650" y="300513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102</xdr:row>
      <xdr:rowOff>133351</xdr:rowOff>
    </xdr:from>
    <xdr:to>
      <xdr:col>4</xdr:col>
      <xdr:colOff>847725</xdr:colOff>
      <xdr:row>102</xdr:row>
      <xdr:rowOff>138503</xdr:rowOff>
    </xdr:to>
    <xdr:cxnSp macro="">
      <xdr:nvCxnSpPr>
        <xdr:cNvPr id="42" name="Straight Connector 41">
          <a:extLst>
            <a:ext uri="{FF2B5EF4-FFF2-40B4-BE49-F238E27FC236}">
              <a16:creationId xmlns:a16="http://schemas.microsoft.com/office/drawing/2014/main" id="{4F50CBA9-8109-9202-5BDE-6987EB732BE8}"/>
            </a:ext>
          </a:extLst>
        </xdr:cNvPr>
        <xdr:cNvCxnSpPr/>
      </xdr:nvCxnSpPr>
      <xdr:spPr>
        <a:xfrm flipV="1">
          <a:off x="164077650" y="3203257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79</xdr:row>
      <xdr:rowOff>161926</xdr:rowOff>
    </xdr:from>
    <xdr:to>
      <xdr:col>4</xdr:col>
      <xdr:colOff>847725</xdr:colOff>
      <xdr:row>79</xdr:row>
      <xdr:rowOff>167078</xdr:rowOff>
    </xdr:to>
    <xdr:cxnSp macro="">
      <xdr:nvCxnSpPr>
        <xdr:cNvPr id="43" name="Straight Connector 42">
          <a:extLst>
            <a:ext uri="{FF2B5EF4-FFF2-40B4-BE49-F238E27FC236}">
              <a16:creationId xmlns:a16="http://schemas.microsoft.com/office/drawing/2014/main" id="{0F5964B0-6568-5D26-92B9-509695D1F846}"/>
            </a:ext>
          </a:extLst>
        </xdr:cNvPr>
        <xdr:cNvCxnSpPr/>
      </xdr:nvCxnSpPr>
      <xdr:spPr>
        <a:xfrm flipV="1">
          <a:off x="164077650" y="263652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81</xdr:row>
      <xdr:rowOff>133351</xdr:rowOff>
    </xdr:from>
    <xdr:to>
      <xdr:col>4</xdr:col>
      <xdr:colOff>847725</xdr:colOff>
      <xdr:row>81</xdr:row>
      <xdr:rowOff>138503</xdr:rowOff>
    </xdr:to>
    <xdr:cxnSp macro="">
      <xdr:nvCxnSpPr>
        <xdr:cNvPr id="44" name="Straight Connector 43">
          <a:extLst>
            <a:ext uri="{FF2B5EF4-FFF2-40B4-BE49-F238E27FC236}">
              <a16:creationId xmlns:a16="http://schemas.microsoft.com/office/drawing/2014/main" id="{39BCDA55-9E80-0888-1BA5-F15308B4A708}"/>
            </a:ext>
          </a:extLst>
        </xdr:cNvPr>
        <xdr:cNvCxnSpPr/>
      </xdr:nvCxnSpPr>
      <xdr:spPr>
        <a:xfrm flipV="1">
          <a:off x="164077650" y="2683192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95</xdr:row>
      <xdr:rowOff>133351</xdr:rowOff>
    </xdr:from>
    <xdr:to>
      <xdr:col>4</xdr:col>
      <xdr:colOff>847725</xdr:colOff>
      <xdr:row>95</xdr:row>
      <xdr:rowOff>138503</xdr:rowOff>
    </xdr:to>
    <xdr:cxnSp macro="">
      <xdr:nvCxnSpPr>
        <xdr:cNvPr id="45" name="Straight Connector 44">
          <a:extLst>
            <a:ext uri="{FF2B5EF4-FFF2-40B4-BE49-F238E27FC236}">
              <a16:creationId xmlns:a16="http://schemas.microsoft.com/office/drawing/2014/main" id="{02BE7461-6F48-7E24-8F83-A5A5DCE327E2}"/>
            </a:ext>
          </a:extLst>
        </xdr:cNvPr>
        <xdr:cNvCxnSpPr/>
      </xdr:nvCxnSpPr>
      <xdr:spPr>
        <a:xfrm flipV="1">
          <a:off x="164077650" y="3029902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97</xdr:row>
      <xdr:rowOff>133351</xdr:rowOff>
    </xdr:from>
    <xdr:to>
      <xdr:col>4</xdr:col>
      <xdr:colOff>847725</xdr:colOff>
      <xdr:row>97</xdr:row>
      <xdr:rowOff>138503</xdr:rowOff>
    </xdr:to>
    <xdr:cxnSp macro="">
      <xdr:nvCxnSpPr>
        <xdr:cNvPr id="46" name="Straight Connector 45">
          <a:extLst>
            <a:ext uri="{FF2B5EF4-FFF2-40B4-BE49-F238E27FC236}">
              <a16:creationId xmlns:a16="http://schemas.microsoft.com/office/drawing/2014/main" id="{B153CD1B-3AA4-EC34-5E9F-4CAEA1D37169}"/>
            </a:ext>
          </a:extLst>
        </xdr:cNvPr>
        <xdr:cNvCxnSpPr/>
      </xdr:nvCxnSpPr>
      <xdr:spPr>
        <a:xfrm flipV="1">
          <a:off x="164077650" y="3079432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99</xdr:row>
      <xdr:rowOff>123826</xdr:rowOff>
    </xdr:from>
    <xdr:to>
      <xdr:col>4</xdr:col>
      <xdr:colOff>847725</xdr:colOff>
      <xdr:row>99</xdr:row>
      <xdr:rowOff>128978</xdr:rowOff>
    </xdr:to>
    <xdr:cxnSp macro="">
      <xdr:nvCxnSpPr>
        <xdr:cNvPr id="47" name="Straight Connector 46">
          <a:extLst>
            <a:ext uri="{FF2B5EF4-FFF2-40B4-BE49-F238E27FC236}">
              <a16:creationId xmlns:a16="http://schemas.microsoft.com/office/drawing/2014/main" id="{EB2EE0C3-C077-0F04-496F-FDF4FD1030A2}"/>
            </a:ext>
          </a:extLst>
        </xdr:cNvPr>
        <xdr:cNvCxnSpPr/>
      </xdr:nvCxnSpPr>
      <xdr:spPr>
        <a:xfrm flipV="1">
          <a:off x="164077650" y="312801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101</xdr:row>
      <xdr:rowOff>133351</xdr:rowOff>
    </xdr:from>
    <xdr:to>
      <xdr:col>4</xdr:col>
      <xdr:colOff>847725</xdr:colOff>
      <xdr:row>101</xdr:row>
      <xdr:rowOff>138503</xdr:rowOff>
    </xdr:to>
    <xdr:cxnSp macro="">
      <xdr:nvCxnSpPr>
        <xdr:cNvPr id="48" name="Straight Connector 47">
          <a:extLst>
            <a:ext uri="{FF2B5EF4-FFF2-40B4-BE49-F238E27FC236}">
              <a16:creationId xmlns:a16="http://schemas.microsoft.com/office/drawing/2014/main" id="{001A5C06-2C05-5DC4-F076-6BB4E777E444}"/>
            </a:ext>
          </a:extLst>
        </xdr:cNvPr>
        <xdr:cNvCxnSpPr/>
      </xdr:nvCxnSpPr>
      <xdr:spPr>
        <a:xfrm flipV="1">
          <a:off x="164077650" y="31784926"/>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88</xdr:row>
      <xdr:rowOff>142876</xdr:rowOff>
    </xdr:from>
    <xdr:to>
      <xdr:col>4</xdr:col>
      <xdr:colOff>847725</xdr:colOff>
      <xdr:row>88</xdr:row>
      <xdr:rowOff>148028</xdr:rowOff>
    </xdr:to>
    <xdr:cxnSp macro="">
      <xdr:nvCxnSpPr>
        <xdr:cNvPr id="49" name="Straight Connector 48">
          <a:extLst>
            <a:ext uri="{FF2B5EF4-FFF2-40B4-BE49-F238E27FC236}">
              <a16:creationId xmlns:a16="http://schemas.microsoft.com/office/drawing/2014/main" id="{FD8E29FF-460B-44ED-2F24-623785CC5431}"/>
            </a:ext>
          </a:extLst>
        </xdr:cNvPr>
        <xdr:cNvCxnSpPr/>
      </xdr:nvCxnSpPr>
      <xdr:spPr>
        <a:xfrm flipV="1">
          <a:off x="164077650" y="285750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51</xdr:row>
      <xdr:rowOff>161926</xdr:rowOff>
    </xdr:from>
    <xdr:to>
      <xdr:col>4</xdr:col>
      <xdr:colOff>847725</xdr:colOff>
      <xdr:row>51</xdr:row>
      <xdr:rowOff>167078</xdr:rowOff>
    </xdr:to>
    <xdr:cxnSp macro="">
      <xdr:nvCxnSpPr>
        <xdr:cNvPr id="50" name="Straight Connector 49">
          <a:extLst>
            <a:ext uri="{FF2B5EF4-FFF2-40B4-BE49-F238E27FC236}">
              <a16:creationId xmlns:a16="http://schemas.microsoft.com/office/drawing/2014/main" id="{ECB534A6-C8D3-4A8E-95F4-2D7E315137DA}"/>
            </a:ext>
          </a:extLst>
        </xdr:cNvPr>
        <xdr:cNvCxnSpPr/>
      </xdr:nvCxnSpPr>
      <xdr:spPr>
        <a:xfrm flipV="1">
          <a:off x="164077650" y="1943100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533400</xdr:colOff>
      <xdr:row>57</xdr:row>
      <xdr:rowOff>142876</xdr:rowOff>
    </xdr:from>
    <xdr:to>
      <xdr:col>4</xdr:col>
      <xdr:colOff>847725</xdr:colOff>
      <xdr:row>57</xdr:row>
      <xdr:rowOff>148028</xdr:rowOff>
    </xdr:to>
    <xdr:cxnSp macro="">
      <xdr:nvCxnSpPr>
        <xdr:cNvPr id="51" name="Straight Connector 50">
          <a:extLst>
            <a:ext uri="{FF2B5EF4-FFF2-40B4-BE49-F238E27FC236}">
              <a16:creationId xmlns:a16="http://schemas.microsoft.com/office/drawing/2014/main" id="{FE803780-5755-9724-2C59-B5D31770C07D}"/>
            </a:ext>
          </a:extLst>
        </xdr:cNvPr>
        <xdr:cNvCxnSpPr/>
      </xdr:nvCxnSpPr>
      <xdr:spPr>
        <a:xfrm flipV="1">
          <a:off x="164077650" y="20897851"/>
          <a:ext cx="314325" cy="515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152400</xdr:colOff>
      <xdr:row>4</xdr:row>
      <xdr:rowOff>200025</xdr:rowOff>
    </xdr:from>
    <xdr:to>
      <xdr:col>12</xdr:col>
      <xdr:colOff>428625</xdr:colOff>
      <xdr:row>4</xdr:row>
      <xdr:rowOff>200025</xdr:rowOff>
    </xdr:to>
    <xdr:cxnSp macro="">
      <xdr:nvCxnSpPr>
        <xdr:cNvPr id="2" name="Straight Connector 1">
          <a:extLst>
            <a:ext uri="{FF2B5EF4-FFF2-40B4-BE49-F238E27FC236}">
              <a16:creationId xmlns:a16="http://schemas.microsoft.com/office/drawing/2014/main" id="{AA3C73ED-1FA8-90BA-A9B1-C075E74E7A86}"/>
            </a:ext>
          </a:extLst>
        </xdr:cNvPr>
        <xdr:cNvCxnSpPr/>
      </xdr:nvCxnSpPr>
      <xdr:spPr>
        <a:xfrm>
          <a:off x="160143825" y="210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xdr:row>
      <xdr:rowOff>200025</xdr:rowOff>
    </xdr:from>
    <xdr:to>
      <xdr:col>12</xdr:col>
      <xdr:colOff>428625</xdr:colOff>
      <xdr:row>6</xdr:row>
      <xdr:rowOff>200025</xdr:rowOff>
    </xdr:to>
    <xdr:cxnSp macro="">
      <xdr:nvCxnSpPr>
        <xdr:cNvPr id="3" name="Straight Connector 2">
          <a:extLst>
            <a:ext uri="{FF2B5EF4-FFF2-40B4-BE49-F238E27FC236}">
              <a16:creationId xmlns:a16="http://schemas.microsoft.com/office/drawing/2014/main" id="{91F1D4F3-25FD-EAB7-DAFA-79AD42B43768}"/>
            </a:ext>
          </a:extLst>
        </xdr:cNvPr>
        <xdr:cNvCxnSpPr/>
      </xdr:nvCxnSpPr>
      <xdr:spPr>
        <a:xfrm>
          <a:off x="160143825" y="286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14</xdr:row>
      <xdr:rowOff>200025</xdr:rowOff>
    </xdr:from>
    <xdr:to>
      <xdr:col>12</xdr:col>
      <xdr:colOff>428625</xdr:colOff>
      <xdr:row>14</xdr:row>
      <xdr:rowOff>200025</xdr:rowOff>
    </xdr:to>
    <xdr:cxnSp macro="">
      <xdr:nvCxnSpPr>
        <xdr:cNvPr id="4" name="Straight Connector 3">
          <a:extLst>
            <a:ext uri="{FF2B5EF4-FFF2-40B4-BE49-F238E27FC236}">
              <a16:creationId xmlns:a16="http://schemas.microsoft.com/office/drawing/2014/main" id="{0E090727-3678-83ED-1341-7635CFDF2BC3}"/>
            </a:ext>
          </a:extLst>
        </xdr:cNvPr>
        <xdr:cNvCxnSpPr/>
      </xdr:nvCxnSpPr>
      <xdr:spPr>
        <a:xfrm>
          <a:off x="160143825" y="591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20</xdr:row>
      <xdr:rowOff>200025</xdr:rowOff>
    </xdr:from>
    <xdr:to>
      <xdr:col>12</xdr:col>
      <xdr:colOff>428625</xdr:colOff>
      <xdr:row>20</xdr:row>
      <xdr:rowOff>200025</xdr:rowOff>
    </xdr:to>
    <xdr:cxnSp macro="">
      <xdr:nvCxnSpPr>
        <xdr:cNvPr id="5" name="Straight Connector 4">
          <a:extLst>
            <a:ext uri="{FF2B5EF4-FFF2-40B4-BE49-F238E27FC236}">
              <a16:creationId xmlns:a16="http://schemas.microsoft.com/office/drawing/2014/main" id="{1B603D8C-3CF6-FCFC-A4EE-39392CADE01D}"/>
            </a:ext>
          </a:extLst>
        </xdr:cNvPr>
        <xdr:cNvCxnSpPr/>
      </xdr:nvCxnSpPr>
      <xdr:spPr>
        <a:xfrm>
          <a:off x="160143825" y="820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21</xdr:row>
      <xdr:rowOff>200025</xdr:rowOff>
    </xdr:from>
    <xdr:to>
      <xdr:col>12</xdr:col>
      <xdr:colOff>428625</xdr:colOff>
      <xdr:row>21</xdr:row>
      <xdr:rowOff>200025</xdr:rowOff>
    </xdr:to>
    <xdr:cxnSp macro="">
      <xdr:nvCxnSpPr>
        <xdr:cNvPr id="6" name="Straight Connector 5">
          <a:extLst>
            <a:ext uri="{FF2B5EF4-FFF2-40B4-BE49-F238E27FC236}">
              <a16:creationId xmlns:a16="http://schemas.microsoft.com/office/drawing/2014/main" id="{8F5A3441-BE86-47A4-D8E1-D153C85529EE}"/>
            </a:ext>
          </a:extLst>
        </xdr:cNvPr>
        <xdr:cNvCxnSpPr/>
      </xdr:nvCxnSpPr>
      <xdr:spPr>
        <a:xfrm>
          <a:off x="160143825" y="858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31</xdr:row>
      <xdr:rowOff>200025</xdr:rowOff>
    </xdr:from>
    <xdr:to>
      <xdr:col>12</xdr:col>
      <xdr:colOff>428625</xdr:colOff>
      <xdr:row>31</xdr:row>
      <xdr:rowOff>200025</xdr:rowOff>
    </xdr:to>
    <xdr:cxnSp macro="">
      <xdr:nvCxnSpPr>
        <xdr:cNvPr id="7" name="Straight Connector 6">
          <a:extLst>
            <a:ext uri="{FF2B5EF4-FFF2-40B4-BE49-F238E27FC236}">
              <a16:creationId xmlns:a16="http://schemas.microsoft.com/office/drawing/2014/main" id="{236E19C1-3C05-C977-8B0D-A70EF4E66B04}"/>
            </a:ext>
          </a:extLst>
        </xdr:cNvPr>
        <xdr:cNvCxnSpPr/>
      </xdr:nvCxnSpPr>
      <xdr:spPr>
        <a:xfrm>
          <a:off x="160143825" y="1239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152400</xdr:colOff>
      <xdr:row>40</xdr:row>
      <xdr:rowOff>200025</xdr:rowOff>
    </xdr:from>
    <xdr:to>
      <xdr:col>10</xdr:col>
      <xdr:colOff>428625</xdr:colOff>
      <xdr:row>40</xdr:row>
      <xdr:rowOff>200025</xdr:rowOff>
    </xdr:to>
    <xdr:cxnSp macro="">
      <xdr:nvCxnSpPr>
        <xdr:cNvPr id="8" name="Straight Connector 7">
          <a:extLst>
            <a:ext uri="{FF2B5EF4-FFF2-40B4-BE49-F238E27FC236}">
              <a16:creationId xmlns:a16="http://schemas.microsoft.com/office/drawing/2014/main" id="{4E3BAF9D-D0D1-3284-7095-5C0237C2F361}"/>
            </a:ext>
          </a:extLst>
        </xdr:cNvPr>
        <xdr:cNvCxnSpPr/>
      </xdr:nvCxnSpPr>
      <xdr:spPr>
        <a:xfrm>
          <a:off x="161363025" y="1582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57150</xdr:colOff>
      <xdr:row>4</xdr:row>
      <xdr:rowOff>228600</xdr:rowOff>
    </xdr:from>
    <xdr:to>
      <xdr:col>9</xdr:col>
      <xdr:colOff>323850</xdr:colOff>
      <xdr:row>4</xdr:row>
      <xdr:rowOff>228600</xdr:rowOff>
    </xdr:to>
    <xdr:cxnSp macro="">
      <xdr:nvCxnSpPr>
        <xdr:cNvPr id="9" name="Straight Connector 8">
          <a:extLst>
            <a:ext uri="{FF2B5EF4-FFF2-40B4-BE49-F238E27FC236}">
              <a16:creationId xmlns:a16="http://schemas.microsoft.com/office/drawing/2014/main" id="{93686B9C-F1B4-C201-2AD4-73904425D05C}"/>
            </a:ext>
          </a:extLst>
        </xdr:cNvPr>
        <xdr:cNvCxnSpPr/>
      </xdr:nvCxnSpPr>
      <xdr:spPr>
        <a:xfrm>
          <a:off x="161886900" y="213360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66675</xdr:colOff>
      <xdr:row>6</xdr:row>
      <xdr:rowOff>200025</xdr:rowOff>
    </xdr:from>
    <xdr:to>
      <xdr:col>9</xdr:col>
      <xdr:colOff>333375</xdr:colOff>
      <xdr:row>6</xdr:row>
      <xdr:rowOff>200025</xdr:rowOff>
    </xdr:to>
    <xdr:cxnSp macro="">
      <xdr:nvCxnSpPr>
        <xdr:cNvPr id="10" name="Straight Connector 9">
          <a:extLst>
            <a:ext uri="{FF2B5EF4-FFF2-40B4-BE49-F238E27FC236}">
              <a16:creationId xmlns:a16="http://schemas.microsoft.com/office/drawing/2014/main" id="{0CCF25B9-F204-E09C-AF30-324010DD218D}"/>
            </a:ext>
          </a:extLst>
        </xdr:cNvPr>
        <xdr:cNvCxnSpPr/>
      </xdr:nvCxnSpPr>
      <xdr:spPr>
        <a:xfrm>
          <a:off x="161877375" y="286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9</xdr:row>
      <xdr:rowOff>200025</xdr:rowOff>
    </xdr:from>
    <xdr:to>
      <xdr:col>9</xdr:col>
      <xdr:colOff>342900</xdr:colOff>
      <xdr:row>9</xdr:row>
      <xdr:rowOff>200025</xdr:rowOff>
    </xdr:to>
    <xdr:cxnSp macro="">
      <xdr:nvCxnSpPr>
        <xdr:cNvPr id="11" name="Straight Connector 10">
          <a:extLst>
            <a:ext uri="{FF2B5EF4-FFF2-40B4-BE49-F238E27FC236}">
              <a16:creationId xmlns:a16="http://schemas.microsoft.com/office/drawing/2014/main" id="{BD2CC6B0-FE6D-282C-29C4-1885DCAA46FE}"/>
            </a:ext>
          </a:extLst>
        </xdr:cNvPr>
        <xdr:cNvCxnSpPr/>
      </xdr:nvCxnSpPr>
      <xdr:spPr>
        <a:xfrm>
          <a:off x="161867850" y="4010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14</xdr:row>
      <xdr:rowOff>200025</xdr:rowOff>
    </xdr:from>
    <xdr:to>
      <xdr:col>9</xdr:col>
      <xdr:colOff>342900</xdr:colOff>
      <xdr:row>14</xdr:row>
      <xdr:rowOff>200025</xdr:rowOff>
    </xdr:to>
    <xdr:cxnSp macro="">
      <xdr:nvCxnSpPr>
        <xdr:cNvPr id="12" name="Straight Connector 11">
          <a:extLst>
            <a:ext uri="{FF2B5EF4-FFF2-40B4-BE49-F238E27FC236}">
              <a16:creationId xmlns:a16="http://schemas.microsoft.com/office/drawing/2014/main" id="{2C201694-7AD7-B55A-7E15-2716280BA354}"/>
            </a:ext>
          </a:extLst>
        </xdr:cNvPr>
        <xdr:cNvCxnSpPr/>
      </xdr:nvCxnSpPr>
      <xdr:spPr>
        <a:xfrm>
          <a:off x="161867850" y="5915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20</xdr:row>
      <xdr:rowOff>200025</xdr:rowOff>
    </xdr:from>
    <xdr:to>
      <xdr:col>9</xdr:col>
      <xdr:colOff>342900</xdr:colOff>
      <xdr:row>20</xdr:row>
      <xdr:rowOff>200025</xdr:rowOff>
    </xdr:to>
    <xdr:cxnSp macro="">
      <xdr:nvCxnSpPr>
        <xdr:cNvPr id="13" name="Straight Connector 12">
          <a:extLst>
            <a:ext uri="{FF2B5EF4-FFF2-40B4-BE49-F238E27FC236}">
              <a16:creationId xmlns:a16="http://schemas.microsoft.com/office/drawing/2014/main" id="{28AC866B-AF04-152D-3832-8142BEC2CE8B}"/>
            </a:ext>
          </a:extLst>
        </xdr:cNvPr>
        <xdr:cNvCxnSpPr/>
      </xdr:nvCxnSpPr>
      <xdr:spPr>
        <a:xfrm>
          <a:off x="161867850" y="8201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21</xdr:row>
      <xdr:rowOff>200025</xdr:rowOff>
    </xdr:from>
    <xdr:to>
      <xdr:col>9</xdr:col>
      <xdr:colOff>342900</xdr:colOff>
      <xdr:row>21</xdr:row>
      <xdr:rowOff>200025</xdr:rowOff>
    </xdr:to>
    <xdr:cxnSp macro="">
      <xdr:nvCxnSpPr>
        <xdr:cNvPr id="14" name="Straight Connector 13">
          <a:extLst>
            <a:ext uri="{FF2B5EF4-FFF2-40B4-BE49-F238E27FC236}">
              <a16:creationId xmlns:a16="http://schemas.microsoft.com/office/drawing/2014/main" id="{B7B00811-44DC-F200-67C5-88E7403EA19A}"/>
            </a:ext>
          </a:extLst>
        </xdr:cNvPr>
        <xdr:cNvCxnSpPr/>
      </xdr:nvCxnSpPr>
      <xdr:spPr>
        <a:xfrm>
          <a:off x="161867850" y="8582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42</xdr:row>
      <xdr:rowOff>171450</xdr:rowOff>
    </xdr:from>
    <xdr:to>
      <xdr:col>9</xdr:col>
      <xdr:colOff>342900</xdr:colOff>
      <xdr:row>42</xdr:row>
      <xdr:rowOff>171450</xdr:rowOff>
    </xdr:to>
    <xdr:cxnSp macro="">
      <xdr:nvCxnSpPr>
        <xdr:cNvPr id="15" name="Straight Connector 14">
          <a:extLst>
            <a:ext uri="{FF2B5EF4-FFF2-40B4-BE49-F238E27FC236}">
              <a16:creationId xmlns:a16="http://schemas.microsoft.com/office/drawing/2014/main" id="{6636641F-2F40-487C-0811-0BEBC7CA26E9}"/>
            </a:ext>
          </a:extLst>
        </xdr:cNvPr>
        <xdr:cNvCxnSpPr/>
      </xdr:nvCxnSpPr>
      <xdr:spPr>
        <a:xfrm>
          <a:off x="161867850" y="16554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24</xdr:row>
      <xdr:rowOff>200025</xdr:rowOff>
    </xdr:from>
    <xdr:to>
      <xdr:col>12</xdr:col>
      <xdr:colOff>428625</xdr:colOff>
      <xdr:row>24</xdr:row>
      <xdr:rowOff>200025</xdr:rowOff>
    </xdr:to>
    <xdr:cxnSp macro="">
      <xdr:nvCxnSpPr>
        <xdr:cNvPr id="16" name="Straight Connector 15">
          <a:extLst>
            <a:ext uri="{FF2B5EF4-FFF2-40B4-BE49-F238E27FC236}">
              <a16:creationId xmlns:a16="http://schemas.microsoft.com/office/drawing/2014/main" id="{2DE62B2B-F4A9-19A1-5A3C-7C7134C7A38E}"/>
            </a:ext>
          </a:extLst>
        </xdr:cNvPr>
        <xdr:cNvCxnSpPr/>
      </xdr:nvCxnSpPr>
      <xdr:spPr>
        <a:xfrm>
          <a:off x="160143825" y="972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11</xdr:row>
      <xdr:rowOff>200025</xdr:rowOff>
    </xdr:from>
    <xdr:to>
      <xdr:col>9</xdr:col>
      <xdr:colOff>342900</xdr:colOff>
      <xdr:row>11</xdr:row>
      <xdr:rowOff>200025</xdr:rowOff>
    </xdr:to>
    <xdr:cxnSp macro="">
      <xdr:nvCxnSpPr>
        <xdr:cNvPr id="17" name="Straight Connector 16">
          <a:extLst>
            <a:ext uri="{FF2B5EF4-FFF2-40B4-BE49-F238E27FC236}">
              <a16:creationId xmlns:a16="http://schemas.microsoft.com/office/drawing/2014/main" id="{4D75480B-E8B5-D3A9-8CB8-930E636132EB}"/>
            </a:ext>
          </a:extLst>
        </xdr:cNvPr>
        <xdr:cNvCxnSpPr/>
      </xdr:nvCxnSpPr>
      <xdr:spPr>
        <a:xfrm>
          <a:off x="161867850" y="4772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42</xdr:row>
      <xdr:rowOff>200025</xdr:rowOff>
    </xdr:from>
    <xdr:to>
      <xdr:col>12</xdr:col>
      <xdr:colOff>428625</xdr:colOff>
      <xdr:row>42</xdr:row>
      <xdr:rowOff>200025</xdr:rowOff>
    </xdr:to>
    <xdr:cxnSp macro="">
      <xdr:nvCxnSpPr>
        <xdr:cNvPr id="18" name="Straight Connector 17">
          <a:extLst>
            <a:ext uri="{FF2B5EF4-FFF2-40B4-BE49-F238E27FC236}">
              <a16:creationId xmlns:a16="http://schemas.microsoft.com/office/drawing/2014/main" id="{15E3FFB0-433C-094A-1FEB-FF1E127992E1}"/>
            </a:ext>
          </a:extLst>
        </xdr:cNvPr>
        <xdr:cNvCxnSpPr/>
      </xdr:nvCxnSpPr>
      <xdr:spPr>
        <a:xfrm>
          <a:off x="160143825" y="1658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57150</xdr:colOff>
      <xdr:row>33</xdr:row>
      <xdr:rowOff>171450</xdr:rowOff>
    </xdr:from>
    <xdr:to>
      <xdr:col>9</xdr:col>
      <xdr:colOff>333375</xdr:colOff>
      <xdr:row>33</xdr:row>
      <xdr:rowOff>171450</xdr:rowOff>
    </xdr:to>
    <xdr:cxnSp macro="">
      <xdr:nvCxnSpPr>
        <xdr:cNvPr id="19" name="Straight Connector 18">
          <a:extLst>
            <a:ext uri="{FF2B5EF4-FFF2-40B4-BE49-F238E27FC236}">
              <a16:creationId xmlns:a16="http://schemas.microsoft.com/office/drawing/2014/main" id="{17766EA8-82C2-CF1F-094E-C7AF91EAF5C7}"/>
            </a:ext>
          </a:extLst>
        </xdr:cNvPr>
        <xdr:cNvCxnSpPr/>
      </xdr:nvCxnSpPr>
      <xdr:spPr>
        <a:xfrm>
          <a:off x="161877375" y="13125450"/>
          <a:ext cx="27622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114300</xdr:colOff>
      <xdr:row>3</xdr:row>
      <xdr:rowOff>171450</xdr:rowOff>
    </xdr:from>
    <xdr:to>
      <xdr:col>12</xdr:col>
      <xdr:colOff>390525</xdr:colOff>
      <xdr:row>3</xdr:row>
      <xdr:rowOff>171450</xdr:rowOff>
    </xdr:to>
    <xdr:cxnSp macro="">
      <xdr:nvCxnSpPr>
        <xdr:cNvPr id="20" name="Straight Connector 19">
          <a:extLst>
            <a:ext uri="{FF2B5EF4-FFF2-40B4-BE49-F238E27FC236}">
              <a16:creationId xmlns:a16="http://schemas.microsoft.com/office/drawing/2014/main" id="{B5AB53C2-8375-AE55-5EE1-95374F0987F0}"/>
            </a:ext>
          </a:extLst>
        </xdr:cNvPr>
        <xdr:cNvCxnSpPr/>
      </xdr:nvCxnSpPr>
      <xdr:spPr>
        <a:xfrm>
          <a:off x="160181925" y="1695450"/>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38100</xdr:colOff>
      <xdr:row>3</xdr:row>
      <xdr:rowOff>171450</xdr:rowOff>
    </xdr:from>
    <xdr:to>
      <xdr:col>9</xdr:col>
      <xdr:colOff>314325</xdr:colOff>
      <xdr:row>3</xdr:row>
      <xdr:rowOff>171450</xdr:rowOff>
    </xdr:to>
    <xdr:cxnSp macro="">
      <xdr:nvCxnSpPr>
        <xdr:cNvPr id="21" name="Straight Connector 20">
          <a:extLst>
            <a:ext uri="{FF2B5EF4-FFF2-40B4-BE49-F238E27FC236}">
              <a16:creationId xmlns:a16="http://schemas.microsoft.com/office/drawing/2014/main" id="{D7E93004-3468-3CA3-2A1A-027D0E4CED94}"/>
            </a:ext>
          </a:extLst>
        </xdr:cNvPr>
        <xdr:cNvCxnSpPr/>
      </xdr:nvCxnSpPr>
      <xdr:spPr>
        <a:xfrm>
          <a:off x="161896425" y="1695450"/>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38100</xdr:colOff>
      <xdr:row>7</xdr:row>
      <xdr:rowOff>171450</xdr:rowOff>
    </xdr:from>
    <xdr:to>
      <xdr:col>9</xdr:col>
      <xdr:colOff>314325</xdr:colOff>
      <xdr:row>7</xdr:row>
      <xdr:rowOff>171450</xdr:rowOff>
    </xdr:to>
    <xdr:cxnSp macro="">
      <xdr:nvCxnSpPr>
        <xdr:cNvPr id="22" name="Straight Connector 21">
          <a:extLst>
            <a:ext uri="{FF2B5EF4-FFF2-40B4-BE49-F238E27FC236}">
              <a16:creationId xmlns:a16="http://schemas.microsoft.com/office/drawing/2014/main" id="{A76EA928-D40A-5CDA-4537-B7E61A547902}"/>
            </a:ext>
          </a:extLst>
        </xdr:cNvPr>
        <xdr:cNvCxnSpPr/>
      </xdr:nvCxnSpPr>
      <xdr:spPr>
        <a:xfrm>
          <a:off x="161896425" y="3219450"/>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57150</xdr:colOff>
      <xdr:row>8</xdr:row>
      <xdr:rowOff>228600</xdr:rowOff>
    </xdr:from>
    <xdr:to>
      <xdr:col>9</xdr:col>
      <xdr:colOff>323850</xdr:colOff>
      <xdr:row>8</xdr:row>
      <xdr:rowOff>228600</xdr:rowOff>
    </xdr:to>
    <xdr:cxnSp macro="">
      <xdr:nvCxnSpPr>
        <xdr:cNvPr id="23" name="Straight Connector 22">
          <a:extLst>
            <a:ext uri="{FF2B5EF4-FFF2-40B4-BE49-F238E27FC236}">
              <a16:creationId xmlns:a16="http://schemas.microsoft.com/office/drawing/2014/main" id="{F5737F86-02D7-EC82-052B-D66050CE68CC}"/>
            </a:ext>
          </a:extLst>
        </xdr:cNvPr>
        <xdr:cNvCxnSpPr/>
      </xdr:nvCxnSpPr>
      <xdr:spPr>
        <a:xfrm>
          <a:off x="161886900" y="365760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46</xdr:row>
      <xdr:rowOff>171450</xdr:rowOff>
    </xdr:from>
    <xdr:to>
      <xdr:col>9</xdr:col>
      <xdr:colOff>342900</xdr:colOff>
      <xdr:row>46</xdr:row>
      <xdr:rowOff>171450</xdr:rowOff>
    </xdr:to>
    <xdr:cxnSp macro="">
      <xdr:nvCxnSpPr>
        <xdr:cNvPr id="25" name="Straight Connector 24">
          <a:extLst>
            <a:ext uri="{FF2B5EF4-FFF2-40B4-BE49-F238E27FC236}">
              <a16:creationId xmlns:a16="http://schemas.microsoft.com/office/drawing/2014/main" id="{1D00BFBB-86B1-D244-7F9F-B7368D19CB5B}"/>
            </a:ext>
          </a:extLst>
        </xdr:cNvPr>
        <xdr:cNvCxnSpPr/>
      </xdr:nvCxnSpPr>
      <xdr:spPr>
        <a:xfrm>
          <a:off x="161867850" y="18078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48</xdr:row>
      <xdr:rowOff>171450</xdr:rowOff>
    </xdr:from>
    <xdr:to>
      <xdr:col>9</xdr:col>
      <xdr:colOff>342900</xdr:colOff>
      <xdr:row>48</xdr:row>
      <xdr:rowOff>171450</xdr:rowOff>
    </xdr:to>
    <xdr:cxnSp macro="">
      <xdr:nvCxnSpPr>
        <xdr:cNvPr id="26" name="Straight Connector 25">
          <a:extLst>
            <a:ext uri="{FF2B5EF4-FFF2-40B4-BE49-F238E27FC236}">
              <a16:creationId xmlns:a16="http://schemas.microsoft.com/office/drawing/2014/main" id="{E794E346-EF75-D854-E417-62B8F114EA82}"/>
            </a:ext>
          </a:extLst>
        </xdr:cNvPr>
        <xdr:cNvCxnSpPr/>
      </xdr:nvCxnSpPr>
      <xdr:spPr>
        <a:xfrm>
          <a:off x="161867850" y="18840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49</xdr:row>
      <xdr:rowOff>171450</xdr:rowOff>
    </xdr:from>
    <xdr:to>
      <xdr:col>9</xdr:col>
      <xdr:colOff>342900</xdr:colOff>
      <xdr:row>49</xdr:row>
      <xdr:rowOff>171450</xdr:rowOff>
    </xdr:to>
    <xdr:cxnSp macro="">
      <xdr:nvCxnSpPr>
        <xdr:cNvPr id="27" name="Straight Connector 26">
          <a:extLst>
            <a:ext uri="{FF2B5EF4-FFF2-40B4-BE49-F238E27FC236}">
              <a16:creationId xmlns:a16="http://schemas.microsoft.com/office/drawing/2014/main" id="{72F44B29-6EE0-361B-543A-DA52D6EE8213}"/>
            </a:ext>
          </a:extLst>
        </xdr:cNvPr>
        <xdr:cNvCxnSpPr/>
      </xdr:nvCxnSpPr>
      <xdr:spPr>
        <a:xfrm>
          <a:off x="161867850" y="19221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51</xdr:row>
      <xdr:rowOff>171450</xdr:rowOff>
    </xdr:from>
    <xdr:to>
      <xdr:col>9</xdr:col>
      <xdr:colOff>342900</xdr:colOff>
      <xdr:row>51</xdr:row>
      <xdr:rowOff>171450</xdr:rowOff>
    </xdr:to>
    <xdr:cxnSp macro="">
      <xdr:nvCxnSpPr>
        <xdr:cNvPr id="28" name="Straight Connector 27">
          <a:extLst>
            <a:ext uri="{FF2B5EF4-FFF2-40B4-BE49-F238E27FC236}">
              <a16:creationId xmlns:a16="http://schemas.microsoft.com/office/drawing/2014/main" id="{A67C3D75-517A-112A-BEB8-C1308ABC1F91}"/>
            </a:ext>
          </a:extLst>
        </xdr:cNvPr>
        <xdr:cNvCxnSpPr/>
      </xdr:nvCxnSpPr>
      <xdr:spPr>
        <a:xfrm>
          <a:off x="161867850" y="19983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55</xdr:row>
      <xdr:rowOff>171450</xdr:rowOff>
    </xdr:from>
    <xdr:to>
      <xdr:col>9</xdr:col>
      <xdr:colOff>342900</xdr:colOff>
      <xdr:row>55</xdr:row>
      <xdr:rowOff>171450</xdr:rowOff>
    </xdr:to>
    <xdr:cxnSp macro="">
      <xdr:nvCxnSpPr>
        <xdr:cNvPr id="29" name="Straight Connector 28">
          <a:extLst>
            <a:ext uri="{FF2B5EF4-FFF2-40B4-BE49-F238E27FC236}">
              <a16:creationId xmlns:a16="http://schemas.microsoft.com/office/drawing/2014/main" id="{3307F13B-5C63-0744-0424-20065988B324}"/>
            </a:ext>
          </a:extLst>
        </xdr:cNvPr>
        <xdr:cNvCxnSpPr/>
      </xdr:nvCxnSpPr>
      <xdr:spPr>
        <a:xfrm>
          <a:off x="161867850" y="21507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57</xdr:row>
      <xdr:rowOff>171450</xdr:rowOff>
    </xdr:from>
    <xdr:to>
      <xdr:col>9</xdr:col>
      <xdr:colOff>342900</xdr:colOff>
      <xdr:row>57</xdr:row>
      <xdr:rowOff>171450</xdr:rowOff>
    </xdr:to>
    <xdr:cxnSp macro="">
      <xdr:nvCxnSpPr>
        <xdr:cNvPr id="30" name="Straight Connector 29">
          <a:extLst>
            <a:ext uri="{FF2B5EF4-FFF2-40B4-BE49-F238E27FC236}">
              <a16:creationId xmlns:a16="http://schemas.microsoft.com/office/drawing/2014/main" id="{52CBE983-5714-5116-1E9F-F959EA7F101C}"/>
            </a:ext>
          </a:extLst>
        </xdr:cNvPr>
        <xdr:cNvCxnSpPr/>
      </xdr:nvCxnSpPr>
      <xdr:spPr>
        <a:xfrm>
          <a:off x="161867850" y="22269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60</xdr:row>
      <xdr:rowOff>171450</xdr:rowOff>
    </xdr:from>
    <xdr:to>
      <xdr:col>9</xdr:col>
      <xdr:colOff>342900</xdr:colOff>
      <xdr:row>60</xdr:row>
      <xdr:rowOff>171450</xdr:rowOff>
    </xdr:to>
    <xdr:cxnSp macro="">
      <xdr:nvCxnSpPr>
        <xdr:cNvPr id="31" name="Straight Connector 30">
          <a:extLst>
            <a:ext uri="{FF2B5EF4-FFF2-40B4-BE49-F238E27FC236}">
              <a16:creationId xmlns:a16="http://schemas.microsoft.com/office/drawing/2014/main" id="{57856780-E51A-278C-7292-1249507C2584}"/>
            </a:ext>
          </a:extLst>
        </xdr:cNvPr>
        <xdr:cNvCxnSpPr/>
      </xdr:nvCxnSpPr>
      <xdr:spPr>
        <a:xfrm>
          <a:off x="161867850" y="23412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63</xdr:row>
      <xdr:rowOff>171450</xdr:rowOff>
    </xdr:from>
    <xdr:to>
      <xdr:col>9</xdr:col>
      <xdr:colOff>342900</xdr:colOff>
      <xdr:row>63</xdr:row>
      <xdr:rowOff>171450</xdr:rowOff>
    </xdr:to>
    <xdr:cxnSp macro="">
      <xdr:nvCxnSpPr>
        <xdr:cNvPr id="32" name="Straight Connector 31">
          <a:extLst>
            <a:ext uri="{FF2B5EF4-FFF2-40B4-BE49-F238E27FC236}">
              <a16:creationId xmlns:a16="http://schemas.microsoft.com/office/drawing/2014/main" id="{7DD4B347-BA36-EA0A-4A48-BC766B22B82D}"/>
            </a:ext>
          </a:extLst>
        </xdr:cNvPr>
        <xdr:cNvCxnSpPr/>
      </xdr:nvCxnSpPr>
      <xdr:spPr>
        <a:xfrm>
          <a:off x="161867850" y="24555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65</xdr:row>
      <xdr:rowOff>171450</xdr:rowOff>
    </xdr:from>
    <xdr:to>
      <xdr:col>9</xdr:col>
      <xdr:colOff>342900</xdr:colOff>
      <xdr:row>65</xdr:row>
      <xdr:rowOff>171450</xdr:rowOff>
    </xdr:to>
    <xdr:cxnSp macro="">
      <xdr:nvCxnSpPr>
        <xdr:cNvPr id="33" name="Straight Connector 32">
          <a:extLst>
            <a:ext uri="{FF2B5EF4-FFF2-40B4-BE49-F238E27FC236}">
              <a16:creationId xmlns:a16="http://schemas.microsoft.com/office/drawing/2014/main" id="{F14A5FF4-87CD-36DF-8E3E-CD901FEB2CEA}"/>
            </a:ext>
          </a:extLst>
        </xdr:cNvPr>
        <xdr:cNvCxnSpPr/>
      </xdr:nvCxnSpPr>
      <xdr:spPr>
        <a:xfrm>
          <a:off x="161867850" y="25317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67</xdr:row>
      <xdr:rowOff>171450</xdr:rowOff>
    </xdr:from>
    <xdr:to>
      <xdr:col>9</xdr:col>
      <xdr:colOff>342900</xdr:colOff>
      <xdr:row>67</xdr:row>
      <xdr:rowOff>171450</xdr:rowOff>
    </xdr:to>
    <xdr:cxnSp macro="">
      <xdr:nvCxnSpPr>
        <xdr:cNvPr id="34" name="Straight Connector 33">
          <a:extLst>
            <a:ext uri="{FF2B5EF4-FFF2-40B4-BE49-F238E27FC236}">
              <a16:creationId xmlns:a16="http://schemas.microsoft.com/office/drawing/2014/main" id="{11F6ABB6-B94C-D3C1-7BB9-D3D4103D0863}"/>
            </a:ext>
          </a:extLst>
        </xdr:cNvPr>
        <xdr:cNvCxnSpPr/>
      </xdr:nvCxnSpPr>
      <xdr:spPr>
        <a:xfrm>
          <a:off x="161867850" y="26079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71</xdr:row>
      <xdr:rowOff>171450</xdr:rowOff>
    </xdr:from>
    <xdr:to>
      <xdr:col>9</xdr:col>
      <xdr:colOff>342900</xdr:colOff>
      <xdr:row>71</xdr:row>
      <xdr:rowOff>171450</xdr:rowOff>
    </xdr:to>
    <xdr:cxnSp macro="">
      <xdr:nvCxnSpPr>
        <xdr:cNvPr id="35" name="Straight Connector 34">
          <a:extLst>
            <a:ext uri="{FF2B5EF4-FFF2-40B4-BE49-F238E27FC236}">
              <a16:creationId xmlns:a16="http://schemas.microsoft.com/office/drawing/2014/main" id="{5816F006-ED06-6DFA-2F2F-A1DF0D2245CC}"/>
            </a:ext>
          </a:extLst>
        </xdr:cNvPr>
        <xdr:cNvCxnSpPr/>
      </xdr:nvCxnSpPr>
      <xdr:spPr>
        <a:xfrm>
          <a:off x="161867850" y="27603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80</xdr:row>
      <xdr:rowOff>171450</xdr:rowOff>
    </xdr:from>
    <xdr:to>
      <xdr:col>9</xdr:col>
      <xdr:colOff>342900</xdr:colOff>
      <xdr:row>80</xdr:row>
      <xdr:rowOff>171450</xdr:rowOff>
    </xdr:to>
    <xdr:cxnSp macro="">
      <xdr:nvCxnSpPr>
        <xdr:cNvPr id="36" name="Straight Connector 35">
          <a:extLst>
            <a:ext uri="{FF2B5EF4-FFF2-40B4-BE49-F238E27FC236}">
              <a16:creationId xmlns:a16="http://schemas.microsoft.com/office/drawing/2014/main" id="{28BAF03E-EB05-7F23-3691-E92D6DF80353}"/>
            </a:ext>
          </a:extLst>
        </xdr:cNvPr>
        <xdr:cNvCxnSpPr/>
      </xdr:nvCxnSpPr>
      <xdr:spPr>
        <a:xfrm>
          <a:off x="161867850" y="31032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81</xdr:row>
      <xdr:rowOff>171450</xdr:rowOff>
    </xdr:from>
    <xdr:to>
      <xdr:col>9</xdr:col>
      <xdr:colOff>342900</xdr:colOff>
      <xdr:row>81</xdr:row>
      <xdr:rowOff>171450</xdr:rowOff>
    </xdr:to>
    <xdr:cxnSp macro="">
      <xdr:nvCxnSpPr>
        <xdr:cNvPr id="37" name="Straight Connector 36">
          <a:extLst>
            <a:ext uri="{FF2B5EF4-FFF2-40B4-BE49-F238E27FC236}">
              <a16:creationId xmlns:a16="http://schemas.microsoft.com/office/drawing/2014/main" id="{BA64AFE1-71FC-80B7-8E39-D33C5839C127}"/>
            </a:ext>
          </a:extLst>
        </xdr:cNvPr>
        <xdr:cNvCxnSpPr/>
      </xdr:nvCxnSpPr>
      <xdr:spPr>
        <a:xfrm>
          <a:off x="161867850" y="31413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85</xdr:row>
      <xdr:rowOff>171450</xdr:rowOff>
    </xdr:from>
    <xdr:to>
      <xdr:col>9</xdr:col>
      <xdr:colOff>342900</xdr:colOff>
      <xdr:row>85</xdr:row>
      <xdr:rowOff>171450</xdr:rowOff>
    </xdr:to>
    <xdr:cxnSp macro="">
      <xdr:nvCxnSpPr>
        <xdr:cNvPr id="38" name="Straight Connector 37">
          <a:extLst>
            <a:ext uri="{FF2B5EF4-FFF2-40B4-BE49-F238E27FC236}">
              <a16:creationId xmlns:a16="http://schemas.microsoft.com/office/drawing/2014/main" id="{92BBEF73-A8AF-3C59-2FAA-1AC2F07E52A4}"/>
            </a:ext>
          </a:extLst>
        </xdr:cNvPr>
        <xdr:cNvCxnSpPr/>
      </xdr:nvCxnSpPr>
      <xdr:spPr>
        <a:xfrm>
          <a:off x="161867850" y="32937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86</xdr:row>
      <xdr:rowOff>171450</xdr:rowOff>
    </xdr:from>
    <xdr:to>
      <xdr:col>9</xdr:col>
      <xdr:colOff>342900</xdr:colOff>
      <xdr:row>86</xdr:row>
      <xdr:rowOff>171450</xdr:rowOff>
    </xdr:to>
    <xdr:cxnSp macro="">
      <xdr:nvCxnSpPr>
        <xdr:cNvPr id="39" name="Straight Connector 38">
          <a:extLst>
            <a:ext uri="{FF2B5EF4-FFF2-40B4-BE49-F238E27FC236}">
              <a16:creationId xmlns:a16="http://schemas.microsoft.com/office/drawing/2014/main" id="{1260BF61-39D3-E70B-B775-E6259CE0C21F}"/>
            </a:ext>
          </a:extLst>
        </xdr:cNvPr>
        <xdr:cNvCxnSpPr/>
      </xdr:nvCxnSpPr>
      <xdr:spPr>
        <a:xfrm>
          <a:off x="161867850" y="33318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91</xdr:row>
      <xdr:rowOff>171450</xdr:rowOff>
    </xdr:from>
    <xdr:to>
      <xdr:col>9</xdr:col>
      <xdr:colOff>342900</xdr:colOff>
      <xdr:row>91</xdr:row>
      <xdr:rowOff>171450</xdr:rowOff>
    </xdr:to>
    <xdr:cxnSp macro="">
      <xdr:nvCxnSpPr>
        <xdr:cNvPr id="40" name="Straight Connector 39">
          <a:extLst>
            <a:ext uri="{FF2B5EF4-FFF2-40B4-BE49-F238E27FC236}">
              <a16:creationId xmlns:a16="http://schemas.microsoft.com/office/drawing/2014/main" id="{0102CF6B-3B66-FA42-87A7-7C89136A5D00}"/>
            </a:ext>
          </a:extLst>
        </xdr:cNvPr>
        <xdr:cNvCxnSpPr/>
      </xdr:nvCxnSpPr>
      <xdr:spPr>
        <a:xfrm>
          <a:off x="161867850" y="35223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94</xdr:row>
      <xdr:rowOff>171450</xdr:rowOff>
    </xdr:from>
    <xdr:to>
      <xdr:col>9</xdr:col>
      <xdr:colOff>342900</xdr:colOff>
      <xdr:row>94</xdr:row>
      <xdr:rowOff>171450</xdr:rowOff>
    </xdr:to>
    <xdr:cxnSp macro="">
      <xdr:nvCxnSpPr>
        <xdr:cNvPr id="41" name="Straight Connector 40">
          <a:extLst>
            <a:ext uri="{FF2B5EF4-FFF2-40B4-BE49-F238E27FC236}">
              <a16:creationId xmlns:a16="http://schemas.microsoft.com/office/drawing/2014/main" id="{0F5A38C2-E08A-A19C-EBA2-9E1218E514F1}"/>
            </a:ext>
          </a:extLst>
        </xdr:cNvPr>
        <xdr:cNvCxnSpPr/>
      </xdr:nvCxnSpPr>
      <xdr:spPr>
        <a:xfrm>
          <a:off x="161867850" y="36366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98</xdr:row>
      <xdr:rowOff>171450</xdr:rowOff>
    </xdr:from>
    <xdr:to>
      <xdr:col>9</xdr:col>
      <xdr:colOff>342900</xdr:colOff>
      <xdr:row>98</xdr:row>
      <xdr:rowOff>171450</xdr:rowOff>
    </xdr:to>
    <xdr:cxnSp macro="">
      <xdr:nvCxnSpPr>
        <xdr:cNvPr id="42" name="Straight Connector 41">
          <a:extLst>
            <a:ext uri="{FF2B5EF4-FFF2-40B4-BE49-F238E27FC236}">
              <a16:creationId xmlns:a16="http://schemas.microsoft.com/office/drawing/2014/main" id="{19C4DDD8-4747-0DB7-1861-22D4A4FFABDA}"/>
            </a:ext>
          </a:extLst>
        </xdr:cNvPr>
        <xdr:cNvCxnSpPr/>
      </xdr:nvCxnSpPr>
      <xdr:spPr>
        <a:xfrm>
          <a:off x="161867850" y="37890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99</xdr:row>
      <xdr:rowOff>171450</xdr:rowOff>
    </xdr:from>
    <xdr:to>
      <xdr:col>9</xdr:col>
      <xdr:colOff>342900</xdr:colOff>
      <xdr:row>99</xdr:row>
      <xdr:rowOff>171450</xdr:rowOff>
    </xdr:to>
    <xdr:cxnSp macro="">
      <xdr:nvCxnSpPr>
        <xdr:cNvPr id="43" name="Straight Connector 42">
          <a:extLst>
            <a:ext uri="{FF2B5EF4-FFF2-40B4-BE49-F238E27FC236}">
              <a16:creationId xmlns:a16="http://schemas.microsoft.com/office/drawing/2014/main" id="{55EF1FC2-1A68-B23E-9F74-98539E1CFE60}"/>
            </a:ext>
          </a:extLst>
        </xdr:cNvPr>
        <xdr:cNvCxnSpPr/>
      </xdr:nvCxnSpPr>
      <xdr:spPr>
        <a:xfrm>
          <a:off x="161867850" y="38271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100</xdr:row>
      <xdr:rowOff>171450</xdr:rowOff>
    </xdr:from>
    <xdr:to>
      <xdr:col>9</xdr:col>
      <xdr:colOff>342900</xdr:colOff>
      <xdr:row>100</xdr:row>
      <xdr:rowOff>171450</xdr:rowOff>
    </xdr:to>
    <xdr:cxnSp macro="">
      <xdr:nvCxnSpPr>
        <xdr:cNvPr id="44" name="Straight Connector 43">
          <a:extLst>
            <a:ext uri="{FF2B5EF4-FFF2-40B4-BE49-F238E27FC236}">
              <a16:creationId xmlns:a16="http://schemas.microsoft.com/office/drawing/2014/main" id="{BBA0332C-F982-57C7-34D0-8F06444CC9DD}"/>
            </a:ext>
          </a:extLst>
        </xdr:cNvPr>
        <xdr:cNvCxnSpPr/>
      </xdr:nvCxnSpPr>
      <xdr:spPr>
        <a:xfrm>
          <a:off x="161867850" y="38652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102</xdr:row>
      <xdr:rowOff>171450</xdr:rowOff>
    </xdr:from>
    <xdr:to>
      <xdr:col>9</xdr:col>
      <xdr:colOff>342900</xdr:colOff>
      <xdr:row>102</xdr:row>
      <xdr:rowOff>171450</xdr:rowOff>
    </xdr:to>
    <xdr:cxnSp macro="">
      <xdr:nvCxnSpPr>
        <xdr:cNvPr id="45" name="Straight Connector 44">
          <a:extLst>
            <a:ext uri="{FF2B5EF4-FFF2-40B4-BE49-F238E27FC236}">
              <a16:creationId xmlns:a16="http://schemas.microsoft.com/office/drawing/2014/main" id="{329216BC-01A7-9A12-E787-5B582C56D7FA}"/>
            </a:ext>
          </a:extLst>
        </xdr:cNvPr>
        <xdr:cNvCxnSpPr/>
      </xdr:nvCxnSpPr>
      <xdr:spPr>
        <a:xfrm>
          <a:off x="161867850" y="39414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107</xdr:row>
      <xdr:rowOff>171450</xdr:rowOff>
    </xdr:from>
    <xdr:to>
      <xdr:col>9</xdr:col>
      <xdr:colOff>342900</xdr:colOff>
      <xdr:row>107</xdr:row>
      <xdr:rowOff>171450</xdr:rowOff>
    </xdr:to>
    <xdr:cxnSp macro="">
      <xdr:nvCxnSpPr>
        <xdr:cNvPr id="46" name="Straight Connector 45">
          <a:extLst>
            <a:ext uri="{FF2B5EF4-FFF2-40B4-BE49-F238E27FC236}">
              <a16:creationId xmlns:a16="http://schemas.microsoft.com/office/drawing/2014/main" id="{5CB5D964-491F-1406-1C28-24E8239A4208}"/>
            </a:ext>
          </a:extLst>
        </xdr:cNvPr>
        <xdr:cNvCxnSpPr/>
      </xdr:nvCxnSpPr>
      <xdr:spPr>
        <a:xfrm>
          <a:off x="161867850" y="41319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108</xdr:row>
      <xdr:rowOff>171450</xdr:rowOff>
    </xdr:from>
    <xdr:to>
      <xdr:col>9</xdr:col>
      <xdr:colOff>342900</xdr:colOff>
      <xdr:row>108</xdr:row>
      <xdr:rowOff>171450</xdr:rowOff>
    </xdr:to>
    <xdr:cxnSp macro="">
      <xdr:nvCxnSpPr>
        <xdr:cNvPr id="47" name="Straight Connector 46">
          <a:extLst>
            <a:ext uri="{FF2B5EF4-FFF2-40B4-BE49-F238E27FC236}">
              <a16:creationId xmlns:a16="http://schemas.microsoft.com/office/drawing/2014/main" id="{0C815810-44DD-C981-460E-6E03AC3706B3}"/>
            </a:ext>
          </a:extLst>
        </xdr:cNvPr>
        <xdr:cNvCxnSpPr/>
      </xdr:nvCxnSpPr>
      <xdr:spPr>
        <a:xfrm>
          <a:off x="161867850" y="41700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111</xdr:row>
      <xdr:rowOff>171450</xdr:rowOff>
    </xdr:from>
    <xdr:to>
      <xdr:col>9</xdr:col>
      <xdr:colOff>342900</xdr:colOff>
      <xdr:row>111</xdr:row>
      <xdr:rowOff>171450</xdr:rowOff>
    </xdr:to>
    <xdr:cxnSp macro="">
      <xdr:nvCxnSpPr>
        <xdr:cNvPr id="48" name="Straight Connector 47">
          <a:extLst>
            <a:ext uri="{FF2B5EF4-FFF2-40B4-BE49-F238E27FC236}">
              <a16:creationId xmlns:a16="http://schemas.microsoft.com/office/drawing/2014/main" id="{28BF7431-FB9A-382E-054A-CB27C0EA9D89}"/>
            </a:ext>
          </a:extLst>
        </xdr:cNvPr>
        <xdr:cNvCxnSpPr/>
      </xdr:nvCxnSpPr>
      <xdr:spPr>
        <a:xfrm>
          <a:off x="161867850" y="42843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112</xdr:row>
      <xdr:rowOff>171450</xdr:rowOff>
    </xdr:from>
    <xdr:to>
      <xdr:col>9</xdr:col>
      <xdr:colOff>342900</xdr:colOff>
      <xdr:row>112</xdr:row>
      <xdr:rowOff>171450</xdr:rowOff>
    </xdr:to>
    <xdr:cxnSp macro="">
      <xdr:nvCxnSpPr>
        <xdr:cNvPr id="49" name="Straight Connector 48">
          <a:extLst>
            <a:ext uri="{FF2B5EF4-FFF2-40B4-BE49-F238E27FC236}">
              <a16:creationId xmlns:a16="http://schemas.microsoft.com/office/drawing/2014/main" id="{453BB690-43EC-B27E-BDCD-59D2BCAD21AB}"/>
            </a:ext>
          </a:extLst>
        </xdr:cNvPr>
        <xdr:cNvCxnSpPr/>
      </xdr:nvCxnSpPr>
      <xdr:spPr>
        <a:xfrm>
          <a:off x="161867850" y="43224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113</xdr:row>
      <xdr:rowOff>171450</xdr:rowOff>
    </xdr:from>
    <xdr:to>
      <xdr:col>9</xdr:col>
      <xdr:colOff>342900</xdr:colOff>
      <xdr:row>113</xdr:row>
      <xdr:rowOff>171450</xdr:rowOff>
    </xdr:to>
    <xdr:cxnSp macro="">
      <xdr:nvCxnSpPr>
        <xdr:cNvPr id="50" name="Straight Connector 49">
          <a:extLst>
            <a:ext uri="{FF2B5EF4-FFF2-40B4-BE49-F238E27FC236}">
              <a16:creationId xmlns:a16="http://schemas.microsoft.com/office/drawing/2014/main" id="{F459CAF9-4706-ECE2-ECC0-C064ABCA78A8}"/>
            </a:ext>
          </a:extLst>
        </xdr:cNvPr>
        <xdr:cNvCxnSpPr/>
      </xdr:nvCxnSpPr>
      <xdr:spPr>
        <a:xfrm>
          <a:off x="161867850" y="43605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119</xdr:row>
      <xdr:rowOff>171450</xdr:rowOff>
    </xdr:from>
    <xdr:to>
      <xdr:col>9</xdr:col>
      <xdr:colOff>342900</xdr:colOff>
      <xdr:row>119</xdr:row>
      <xdr:rowOff>171450</xdr:rowOff>
    </xdr:to>
    <xdr:cxnSp macro="">
      <xdr:nvCxnSpPr>
        <xdr:cNvPr id="51" name="Straight Connector 50">
          <a:extLst>
            <a:ext uri="{FF2B5EF4-FFF2-40B4-BE49-F238E27FC236}">
              <a16:creationId xmlns:a16="http://schemas.microsoft.com/office/drawing/2014/main" id="{2399687A-5F16-00EB-C600-BAAAA908D8D1}"/>
            </a:ext>
          </a:extLst>
        </xdr:cNvPr>
        <xdr:cNvCxnSpPr/>
      </xdr:nvCxnSpPr>
      <xdr:spPr>
        <a:xfrm>
          <a:off x="161867850" y="45891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124</xdr:row>
      <xdr:rowOff>171450</xdr:rowOff>
    </xdr:from>
    <xdr:to>
      <xdr:col>9</xdr:col>
      <xdr:colOff>342900</xdr:colOff>
      <xdr:row>124</xdr:row>
      <xdr:rowOff>171450</xdr:rowOff>
    </xdr:to>
    <xdr:cxnSp macro="">
      <xdr:nvCxnSpPr>
        <xdr:cNvPr id="52" name="Straight Connector 51">
          <a:extLst>
            <a:ext uri="{FF2B5EF4-FFF2-40B4-BE49-F238E27FC236}">
              <a16:creationId xmlns:a16="http://schemas.microsoft.com/office/drawing/2014/main" id="{EF7B9C8E-6295-D9CA-A98F-11FAC8F3D857}"/>
            </a:ext>
          </a:extLst>
        </xdr:cNvPr>
        <xdr:cNvCxnSpPr/>
      </xdr:nvCxnSpPr>
      <xdr:spPr>
        <a:xfrm>
          <a:off x="161867850" y="47796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125</xdr:row>
      <xdr:rowOff>171450</xdr:rowOff>
    </xdr:from>
    <xdr:to>
      <xdr:col>9</xdr:col>
      <xdr:colOff>342900</xdr:colOff>
      <xdr:row>125</xdr:row>
      <xdr:rowOff>171450</xdr:rowOff>
    </xdr:to>
    <xdr:cxnSp macro="">
      <xdr:nvCxnSpPr>
        <xdr:cNvPr id="53" name="Straight Connector 52">
          <a:extLst>
            <a:ext uri="{FF2B5EF4-FFF2-40B4-BE49-F238E27FC236}">
              <a16:creationId xmlns:a16="http://schemas.microsoft.com/office/drawing/2014/main" id="{ACAD8521-B18F-B8F2-293D-6BFFFA5D9F18}"/>
            </a:ext>
          </a:extLst>
        </xdr:cNvPr>
        <xdr:cNvCxnSpPr/>
      </xdr:nvCxnSpPr>
      <xdr:spPr>
        <a:xfrm>
          <a:off x="161867850" y="48177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127</xdr:row>
      <xdr:rowOff>171450</xdr:rowOff>
    </xdr:from>
    <xdr:to>
      <xdr:col>9</xdr:col>
      <xdr:colOff>342900</xdr:colOff>
      <xdr:row>127</xdr:row>
      <xdr:rowOff>171450</xdr:rowOff>
    </xdr:to>
    <xdr:cxnSp macro="">
      <xdr:nvCxnSpPr>
        <xdr:cNvPr id="54" name="Straight Connector 53">
          <a:extLst>
            <a:ext uri="{FF2B5EF4-FFF2-40B4-BE49-F238E27FC236}">
              <a16:creationId xmlns:a16="http://schemas.microsoft.com/office/drawing/2014/main" id="{F39E4428-087D-8F08-5D68-A0308FF505C7}"/>
            </a:ext>
          </a:extLst>
        </xdr:cNvPr>
        <xdr:cNvCxnSpPr/>
      </xdr:nvCxnSpPr>
      <xdr:spPr>
        <a:xfrm>
          <a:off x="161867850" y="48939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129</xdr:row>
      <xdr:rowOff>171450</xdr:rowOff>
    </xdr:from>
    <xdr:to>
      <xdr:col>9</xdr:col>
      <xdr:colOff>342900</xdr:colOff>
      <xdr:row>129</xdr:row>
      <xdr:rowOff>171450</xdr:rowOff>
    </xdr:to>
    <xdr:cxnSp macro="">
      <xdr:nvCxnSpPr>
        <xdr:cNvPr id="55" name="Straight Connector 54">
          <a:extLst>
            <a:ext uri="{FF2B5EF4-FFF2-40B4-BE49-F238E27FC236}">
              <a16:creationId xmlns:a16="http://schemas.microsoft.com/office/drawing/2014/main" id="{66B21B7C-D552-25FE-AA2E-25CDBD487B47}"/>
            </a:ext>
          </a:extLst>
        </xdr:cNvPr>
        <xdr:cNvCxnSpPr/>
      </xdr:nvCxnSpPr>
      <xdr:spPr>
        <a:xfrm>
          <a:off x="161867850" y="49701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130</xdr:row>
      <xdr:rowOff>171450</xdr:rowOff>
    </xdr:from>
    <xdr:to>
      <xdr:col>9</xdr:col>
      <xdr:colOff>342900</xdr:colOff>
      <xdr:row>130</xdr:row>
      <xdr:rowOff>171450</xdr:rowOff>
    </xdr:to>
    <xdr:cxnSp macro="">
      <xdr:nvCxnSpPr>
        <xdr:cNvPr id="56" name="Straight Connector 55">
          <a:extLst>
            <a:ext uri="{FF2B5EF4-FFF2-40B4-BE49-F238E27FC236}">
              <a16:creationId xmlns:a16="http://schemas.microsoft.com/office/drawing/2014/main" id="{24DB94F4-48C6-1BAB-1C34-86E73EDD5513}"/>
            </a:ext>
          </a:extLst>
        </xdr:cNvPr>
        <xdr:cNvCxnSpPr/>
      </xdr:nvCxnSpPr>
      <xdr:spPr>
        <a:xfrm>
          <a:off x="161867850" y="50082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134</xdr:row>
      <xdr:rowOff>171450</xdr:rowOff>
    </xdr:from>
    <xdr:to>
      <xdr:col>9</xdr:col>
      <xdr:colOff>342900</xdr:colOff>
      <xdr:row>134</xdr:row>
      <xdr:rowOff>171450</xdr:rowOff>
    </xdr:to>
    <xdr:cxnSp macro="">
      <xdr:nvCxnSpPr>
        <xdr:cNvPr id="57" name="Straight Connector 56">
          <a:extLst>
            <a:ext uri="{FF2B5EF4-FFF2-40B4-BE49-F238E27FC236}">
              <a16:creationId xmlns:a16="http://schemas.microsoft.com/office/drawing/2014/main" id="{EBF271A1-DC1D-2000-4388-7F2DAFF14DAD}"/>
            </a:ext>
          </a:extLst>
        </xdr:cNvPr>
        <xdr:cNvCxnSpPr/>
      </xdr:nvCxnSpPr>
      <xdr:spPr>
        <a:xfrm>
          <a:off x="161867850" y="51606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135</xdr:row>
      <xdr:rowOff>171450</xdr:rowOff>
    </xdr:from>
    <xdr:to>
      <xdr:col>9</xdr:col>
      <xdr:colOff>342900</xdr:colOff>
      <xdr:row>135</xdr:row>
      <xdr:rowOff>171450</xdr:rowOff>
    </xdr:to>
    <xdr:cxnSp macro="">
      <xdr:nvCxnSpPr>
        <xdr:cNvPr id="58" name="Straight Connector 57">
          <a:extLst>
            <a:ext uri="{FF2B5EF4-FFF2-40B4-BE49-F238E27FC236}">
              <a16:creationId xmlns:a16="http://schemas.microsoft.com/office/drawing/2014/main" id="{112B47E4-FF4D-91E6-A62B-D8E267A0C430}"/>
            </a:ext>
          </a:extLst>
        </xdr:cNvPr>
        <xdr:cNvCxnSpPr/>
      </xdr:nvCxnSpPr>
      <xdr:spPr>
        <a:xfrm>
          <a:off x="161867850" y="51987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145</xdr:row>
      <xdr:rowOff>171450</xdr:rowOff>
    </xdr:from>
    <xdr:to>
      <xdr:col>9</xdr:col>
      <xdr:colOff>342900</xdr:colOff>
      <xdr:row>145</xdr:row>
      <xdr:rowOff>171450</xdr:rowOff>
    </xdr:to>
    <xdr:cxnSp macro="">
      <xdr:nvCxnSpPr>
        <xdr:cNvPr id="59" name="Straight Connector 58">
          <a:extLst>
            <a:ext uri="{FF2B5EF4-FFF2-40B4-BE49-F238E27FC236}">
              <a16:creationId xmlns:a16="http://schemas.microsoft.com/office/drawing/2014/main" id="{12C4F6DF-B6C8-C134-2A54-63F80F206ECE}"/>
            </a:ext>
          </a:extLst>
        </xdr:cNvPr>
        <xdr:cNvCxnSpPr/>
      </xdr:nvCxnSpPr>
      <xdr:spPr>
        <a:xfrm>
          <a:off x="161867850" y="55797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147</xdr:row>
      <xdr:rowOff>171450</xdr:rowOff>
    </xdr:from>
    <xdr:to>
      <xdr:col>9</xdr:col>
      <xdr:colOff>342900</xdr:colOff>
      <xdr:row>147</xdr:row>
      <xdr:rowOff>171450</xdr:rowOff>
    </xdr:to>
    <xdr:cxnSp macro="">
      <xdr:nvCxnSpPr>
        <xdr:cNvPr id="60" name="Straight Connector 59">
          <a:extLst>
            <a:ext uri="{FF2B5EF4-FFF2-40B4-BE49-F238E27FC236}">
              <a16:creationId xmlns:a16="http://schemas.microsoft.com/office/drawing/2014/main" id="{B345CCC3-CAFB-4817-DA4F-7F997C345C34}"/>
            </a:ext>
          </a:extLst>
        </xdr:cNvPr>
        <xdr:cNvCxnSpPr/>
      </xdr:nvCxnSpPr>
      <xdr:spPr>
        <a:xfrm>
          <a:off x="161867850" y="56559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149</xdr:row>
      <xdr:rowOff>171450</xdr:rowOff>
    </xdr:from>
    <xdr:to>
      <xdr:col>9</xdr:col>
      <xdr:colOff>342900</xdr:colOff>
      <xdr:row>149</xdr:row>
      <xdr:rowOff>171450</xdr:rowOff>
    </xdr:to>
    <xdr:cxnSp macro="">
      <xdr:nvCxnSpPr>
        <xdr:cNvPr id="61" name="Straight Connector 60">
          <a:extLst>
            <a:ext uri="{FF2B5EF4-FFF2-40B4-BE49-F238E27FC236}">
              <a16:creationId xmlns:a16="http://schemas.microsoft.com/office/drawing/2014/main" id="{D5C40F55-7C07-DE5F-B764-9F3A0AE765A2}"/>
            </a:ext>
          </a:extLst>
        </xdr:cNvPr>
        <xdr:cNvCxnSpPr/>
      </xdr:nvCxnSpPr>
      <xdr:spPr>
        <a:xfrm>
          <a:off x="161867850" y="57321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152</xdr:row>
      <xdr:rowOff>171450</xdr:rowOff>
    </xdr:from>
    <xdr:to>
      <xdr:col>9</xdr:col>
      <xdr:colOff>342900</xdr:colOff>
      <xdr:row>152</xdr:row>
      <xdr:rowOff>171450</xdr:rowOff>
    </xdr:to>
    <xdr:cxnSp macro="">
      <xdr:nvCxnSpPr>
        <xdr:cNvPr id="62" name="Straight Connector 61">
          <a:extLst>
            <a:ext uri="{FF2B5EF4-FFF2-40B4-BE49-F238E27FC236}">
              <a16:creationId xmlns:a16="http://schemas.microsoft.com/office/drawing/2014/main" id="{F1829BF8-89B8-ACE5-E5C7-C591223C606C}"/>
            </a:ext>
          </a:extLst>
        </xdr:cNvPr>
        <xdr:cNvCxnSpPr/>
      </xdr:nvCxnSpPr>
      <xdr:spPr>
        <a:xfrm>
          <a:off x="161867850" y="58464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15</xdr:row>
      <xdr:rowOff>200025</xdr:rowOff>
    </xdr:from>
    <xdr:to>
      <xdr:col>9</xdr:col>
      <xdr:colOff>342900</xdr:colOff>
      <xdr:row>15</xdr:row>
      <xdr:rowOff>200025</xdr:rowOff>
    </xdr:to>
    <xdr:cxnSp macro="">
      <xdr:nvCxnSpPr>
        <xdr:cNvPr id="63" name="Straight Connector 62">
          <a:extLst>
            <a:ext uri="{FF2B5EF4-FFF2-40B4-BE49-F238E27FC236}">
              <a16:creationId xmlns:a16="http://schemas.microsoft.com/office/drawing/2014/main" id="{832DC255-259E-E560-A730-C8372119F70D}"/>
            </a:ext>
          </a:extLst>
        </xdr:cNvPr>
        <xdr:cNvCxnSpPr/>
      </xdr:nvCxnSpPr>
      <xdr:spPr>
        <a:xfrm>
          <a:off x="161867850" y="6296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16</xdr:row>
      <xdr:rowOff>200025</xdr:rowOff>
    </xdr:from>
    <xdr:to>
      <xdr:col>9</xdr:col>
      <xdr:colOff>342900</xdr:colOff>
      <xdr:row>16</xdr:row>
      <xdr:rowOff>200025</xdr:rowOff>
    </xdr:to>
    <xdr:cxnSp macro="">
      <xdr:nvCxnSpPr>
        <xdr:cNvPr id="64" name="Straight Connector 63">
          <a:extLst>
            <a:ext uri="{FF2B5EF4-FFF2-40B4-BE49-F238E27FC236}">
              <a16:creationId xmlns:a16="http://schemas.microsoft.com/office/drawing/2014/main" id="{A3DBC766-2BB4-EEC6-FB61-AC36A302AE6C}"/>
            </a:ext>
          </a:extLst>
        </xdr:cNvPr>
        <xdr:cNvCxnSpPr/>
      </xdr:nvCxnSpPr>
      <xdr:spPr>
        <a:xfrm>
          <a:off x="161867850" y="667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13</xdr:row>
      <xdr:rowOff>200025</xdr:rowOff>
    </xdr:from>
    <xdr:to>
      <xdr:col>9</xdr:col>
      <xdr:colOff>342900</xdr:colOff>
      <xdr:row>13</xdr:row>
      <xdr:rowOff>200025</xdr:rowOff>
    </xdr:to>
    <xdr:cxnSp macro="">
      <xdr:nvCxnSpPr>
        <xdr:cNvPr id="65" name="Straight Connector 64">
          <a:extLst>
            <a:ext uri="{FF2B5EF4-FFF2-40B4-BE49-F238E27FC236}">
              <a16:creationId xmlns:a16="http://schemas.microsoft.com/office/drawing/2014/main" id="{E16CE48C-961A-506F-AE96-84B6B932090C}"/>
            </a:ext>
          </a:extLst>
        </xdr:cNvPr>
        <xdr:cNvCxnSpPr/>
      </xdr:nvCxnSpPr>
      <xdr:spPr>
        <a:xfrm>
          <a:off x="161867850" y="5534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32</xdr:row>
      <xdr:rowOff>200025</xdr:rowOff>
    </xdr:from>
    <xdr:to>
      <xdr:col>9</xdr:col>
      <xdr:colOff>342900</xdr:colOff>
      <xdr:row>32</xdr:row>
      <xdr:rowOff>200025</xdr:rowOff>
    </xdr:to>
    <xdr:cxnSp macro="">
      <xdr:nvCxnSpPr>
        <xdr:cNvPr id="66" name="Straight Connector 65">
          <a:extLst>
            <a:ext uri="{FF2B5EF4-FFF2-40B4-BE49-F238E27FC236}">
              <a16:creationId xmlns:a16="http://schemas.microsoft.com/office/drawing/2014/main" id="{333FF163-030B-D5CC-BD55-845B29027E84}"/>
            </a:ext>
          </a:extLst>
        </xdr:cNvPr>
        <xdr:cNvCxnSpPr/>
      </xdr:nvCxnSpPr>
      <xdr:spPr>
        <a:xfrm>
          <a:off x="161867850" y="12773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36</xdr:row>
      <xdr:rowOff>200025</xdr:rowOff>
    </xdr:from>
    <xdr:to>
      <xdr:col>9</xdr:col>
      <xdr:colOff>342900</xdr:colOff>
      <xdr:row>36</xdr:row>
      <xdr:rowOff>200025</xdr:rowOff>
    </xdr:to>
    <xdr:cxnSp macro="">
      <xdr:nvCxnSpPr>
        <xdr:cNvPr id="67" name="Straight Connector 66">
          <a:extLst>
            <a:ext uri="{FF2B5EF4-FFF2-40B4-BE49-F238E27FC236}">
              <a16:creationId xmlns:a16="http://schemas.microsoft.com/office/drawing/2014/main" id="{B7586A25-C24D-EF99-72CD-DFE8205C2F30}"/>
            </a:ext>
          </a:extLst>
        </xdr:cNvPr>
        <xdr:cNvCxnSpPr/>
      </xdr:nvCxnSpPr>
      <xdr:spPr>
        <a:xfrm>
          <a:off x="161867850" y="1429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37</xdr:row>
      <xdr:rowOff>200025</xdr:rowOff>
    </xdr:from>
    <xdr:to>
      <xdr:col>9</xdr:col>
      <xdr:colOff>342900</xdr:colOff>
      <xdr:row>37</xdr:row>
      <xdr:rowOff>200025</xdr:rowOff>
    </xdr:to>
    <xdr:cxnSp macro="">
      <xdr:nvCxnSpPr>
        <xdr:cNvPr id="68" name="Straight Connector 67">
          <a:extLst>
            <a:ext uri="{FF2B5EF4-FFF2-40B4-BE49-F238E27FC236}">
              <a16:creationId xmlns:a16="http://schemas.microsoft.com/office/drawing/2014/main" id="{095B66B5-365B-91ED-BFC1-3BDE2AA072A6}"/>
            </a:ext>
          </a:extLst>
        </xdr:cNvPr>
        <xdr:cNvCxnSpPr/>
      </xdr:nvCxnSpPr>
      <xdr:spPr>
        <a:xfrm>
          <a:off x="161867850" y="14678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47</xdr:row>
      <xdr:rowOff>200025</xdr:rowOff>
    </xdr:from>
    <xdr:to>
      <xdr:col>9</xdr:col>
      <xdr:colOff>342900</xdr:colOff>
      <xdr:row>47</xdr:row>
      <xdr:rowOff>200025</xdr:rowOff>
    </xdr:to>
    <xdr:cxnSp macro="">
      <xdr:nvCxnSpPr>
        <xdr:cNvPr id="69" name="Straight Connector 68">
          <a:extLst>
            <a:ext uri="{FF2B5EF4-FFF2-40B4-BE49-F238E27FC236}">
              <a16:creationId xmlns:a16="http://schemas.microsoft.com/office/drawing/2014/main" id="{A97C7895-EC13-73B1-1AEB-08A7D162FFDC}"/>
            </a:ext>
          </a:extLst>
        </xdr:cNvPr>
        <xdr:cNvCxnSpPr/>
      </xdr:nvCxnSpPr>
      <xdr:spPr>
        <a:xfrm>
          <a:off x="161867850" y="18488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45</xdr:row>
      <xdr:rowOff>200025</xdr:rowOff>
    </xdr:from>
    <xdr:to>
      <xdr:col>9</xdr:col>
      <xdr:colOff>342900</xdr:colOff>
      <xdr:row>45</xdr:row>
      <xdr:rowOff>200025</xdr:rowOff>
    </xdr:to>
    <xdr:cxnSp macro="">
      <xdr:nvCxnSpPr>
        <xdr:cNvPr id="70" name="Straight Connector 69">
          <a:extLst>
            <a:ext uri="{FF2B5EF4-FFF2-40B4-BE49-F238E27FC236}">
              <a16:creationId xmlns:a16="http://schemas.microsoft.com/office/drawing/2014/main" id="{F68A9C71-4E76-4153-45F9-B9EC167EFB74}"/>
            </a:ext>
          </a:extLst>
        </xdr:cNvPr>
        <xdr:cNvCxnSpPr/>
      </xdr:nvCxnSpPr>
      <xdr:spPr>
        <a:xfrm>
          <a:off x="161867850" y="17726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53</xdr:row>
      <xdr:rowOff>200025</xdr:rowOff>
    </xdr:from>
    <xdr:to>
      <xdr:col>9</xdr:col>
      <xdr:colOff>342900</xdr:colOff>
      <xdr:row>53</xdr:row>
      <xdr:rowOff>200025</xdr:rowOff>
    </xdr:to>
    <xdr:cxnSp macro="">
      <xdr:nvCxnSpPr>
        <xdr:cNvPr id="71" name="Straight Connector 70">
          <a:extLst>
            <a:ext uri="{FF2B5EF4-FFF2-40B4-BE49-F238E27FC236}">
              <a16:creationId xmlns:a16="http://schemas.microsoft.com/office/drawing/2014/main" id="{2A22AA93-16D8-D7E4-7BCA-201EA8C59DF1}"/>
            </a:ext>
          </a:extLst>
        </xdr:cNvPr>
        <xdr:cNvCxnSpPr/>
      </xdr:nvCxnSpPr>
      <xdr:spPr>
        <a:xfrm>
          <a:off x="161867850" y="20774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54</xdr:row>
      <xdr:rowOff>200025</xdr:rowOff>
    </xdr:from>
    <xdr:to>
      <xdr:col>9</xdr:col>
      <xdr:colOff>342900</xdr:colOff>
      <xdr:row>54</xdr:row>
      <xdr:rowOff>200025</xdr:rowOff>
    </xdr:to>
    <xdr:cxnSp macro="">
      <xdr:nvCxnSpPr>
        <xdr:cNvPr id="72" name="Straight Connector 71">
          <a:extLst>
            <a:ext uri="{FF2B5EF4-FFF2-40B4-BE49-F238E27FC236}">
              <a16:creationId xmlns:a16="http://schemas.microsoft.com/office/drawing/2014/main" id="{B9B517F2-E30E-8F0D-FBF0-F3730AAE1A70}"/>
            </a:ext>
          </a:extLst>
        </xdr:cNvPr>
        <xdr:cNvCxnSpPr/>
      </xdr:nvCxnSpPr>
      <xdr:spPr>
        <a:xfrm>
          <a:off x="161867850" y="21155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56</xdr:row>
      <xdr:rowOff>200025</xdr:rowOff>
    </xdr:from>
    <xdr:to>
      <xdr:col>9</xdr:col>
      <xdr:colOff>342900</xdr:colOff>
      <xdr:row>56</xdr:row>
      <xdr:rowOff>200025</xdr:rowOff>
    </xdr:to>
    <xdr:cxnSp macro="">
      <xdr:nvCxnSpPr>
        <xdr:cNvPr id="73" name="Straight Connector 72">
          <a:extLst>
            <a:ext uri="{FF2B5EF4-FFF2-40B4-BE49-F238E27FC236}">
              <a16:creationId xmlns:a16="http://schemas.microsoft.com/office/drawing/2014/main" id="{33C7FA56-2804-17E7-016A-E3E6CDE35C10}"/>
            </a:ext>
          </a:extLst>
        </xdr:cNvPr>
        <xdr:cNvCxnSpPr/>
      </xdr:nvCxnSpPr>
      <xdr:spPr>
        <a:xfrm>
          <a:off x="161867850" y="2191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58</xdr:row>
      <xdr:rowOff>200025</xdr:rowOff>
    </xdr:from>
    <xdr:to>
      <xdr:col>9</xdr:col>
      <xdr:colOff>342900</xdr:colOff>
      <xdr:row>58</xdr:row>
      <xdr:rowOff>200025</xdr:rowOff>
    </xdr:to>
    <xdr:cxnSp macro="">
      <xdr:nvCxnSpPr>
        <xdr:cNvPr id="74" name="Straight Connector 73">
          <a:extLst>
            <a:ext uri="{FF2B5EF4-FFF2-40B4-BE49-F238E27FC236}">
              <a16:creationId xmlns:a16="http://schemas.microsoft.com/office/drawing/2014/main" id="{742A6D65-4BB9-471A-C52D-291F3AF65BBD}"/>
            </a:ext>
          </a:extLst>
        </xdr:cNvPr>
        <xdr:cNvCxnSpPr/>
      </xdr:nvCxnSpPr>
      <xdr:spPr>
        <a:xfrm>
          <a:off x="161867850" y="22679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59</xdr:row>
      <xdr:rowOff>200025</xdr:rowOff>
    </xdr:from>
    <xdr:to>
      <xdr:col>9</xdr:col>
      <xdr:colOff>342900</xdr:colOff>
      <xdr:row>59</xdr:row>
      <xdr:rowOff>200025</xdr:rowOff>
    </xdr:to>
    <xdr:cxnSp macro="">
      <xdr:nvCxnSpPr>
        <xdr:cNvPr id="75" name="Straight Connector 74">
          <a:extLst>
            <a:ext uri="{FF2B5EF4-FFF2-40B4-BE49-F238E27FC236}">
              <a16:creationId xmlns:a16="http://schemas.microsoft.com/office/drawing/2014/main" id="{037FC02E-2781-E6F0-A2AA-CB64BD6704C6}"/>
            </a:ext>
          </a:extLst>
        </xdr:cNvPr>
        <xdr:cNvCxnSpPr/>
      </xdr:nvCxnSpPr>
      <xdr:spPr>
        <a:xfrm>
          <a:off x="161867850" y="23060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62</xdr:row>
      <xdr:rowOff>200025</xdr:rowOff>
    </xdr:from>
    <xdr:to>
      <xdr:col>9</xdr:col>
      <xdr:colOff>342900</xdr:colOff>
      <xdr:row>62</xdr:row>
      <xdr:rowOff>200025</xdr:rowOff>
    </xdr:to>
    <xdr:cxnSp macro="">
      <xdr:nvCxnSpPr>
        <xdr:cNvPr id="76" name="Straight Connector 75">
          <a:extLst>
            <a:ext uri="{FF2B5EF4-FFF2-40B4-BE49-F238E27FC236}">
              <a16:creationId xmlns:a16="http://schemas.microsoft.com/office/drawing/2014/main" id="{74802240-C9C0-87F8-6FB4-A98F703BC212}"/>
            </a:ext>
          </a:extLst>
        </xdr:cNvPr>
        <xdr:cNvCxnSpPr/>
      </xdr:nvCxnSpPr>
      <xdr:spPr>
        <a:xfrm>
          <a:off x="161867850" y="24203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66</xdr:row>
      <xdr:rowOff>200025</xdr:rowOff>
    </xdr:from>
    <xdr:to>
      <xdr:col>9</xdr:col>
      <xdr:colOff>342900</xdr:colOff>
      <xdr:row>66</xdr:row>
      <xdr:rowOff>200025</xdr:rowOff>
    </xdr:to>
    <xdr:cxnSp macro="">
      <xdr:nvCxnSpPr>
        <xdr:cNvPr id="77" name="Straight Connector 76">
          <a:extLst>
            <a:ext uri="{FF2B5EF4-FFF2-40B4-BE49-F238E27FC236}">
              <a16:creationId xmlns:a16="http://schemas.microsoft.com/office/drawing/2014/main" id="{29E5DB32-2D25-0B95-F674-9B1313B8A364}"/>
            </a:ext>
          </a:extLst>
        </xdr:cNvPr>
        <xdr:cNvCxnSpPr/>
      </xdr:nvCxnSpPr>
      <xdr:spPr>
        <a:xfrm>
          <a:off x="161867850" y="2572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68</xdr:row>
      <xdr:rowOff>200025</xdr:rowOff>
    </xdr:from>
    <xdr:to>
      <xdr:col>9</xdr:col>
      <xdr:colOff>342900</xdr:colOff>
      <xdr:row>68</xdr:row>
      <xdr:rowOff>200025</xdr:rowOff>
    </xdr:to>
    <xdr:cxnSp macro="">
      <xdr:nvCxnSpPr>
        <xdr:cNvPr id="78" name="Straight Connector 77">
          <a:extLst>
            <a:ext uri="{FF2B5EF4-FFF2-40B4-BE49-F238E27FC236}">
              <a16:creationId xmlns:a16="http://schemas.microsoft.com/office/drawing/2014/main" id="{A78AC1BB-67D3-9D56-575C-955607B7C56C}"/>
            </a:ext>
          </a:extLst>
        </xdr:cNvPr>
        <xdr:cNvCxnSpPr/>
      </xdr:nvCxnSpPr>
      <xdr:spPr>
        <a:xfrm>
          <a:off x="161867850" y="26489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72</xdr:row>
      <xdr:rowOff>200025</xdr:rowOff>
    </xdr:from>
    <xdr:to>
      <xdr:col>9</xdr:col>
      <xdr:colOff>342900</xdr:colOff>
      <xdr:row>72</xdr:row>
      <xdr:rowOff>200025</xdr:rowOff>
    </xdr:to>
    <xdr:cxnSp macro="">
      <xdr:nvCxnSpPr>
        <xdr:cNvPr id="79" name="Straight Connector 78">
          <a:extLst>
            <a:ext uri="{FF2B5EF4-FFF2-40B4-BE49-F238E27FC236}">
              <a16:creationId xmlns:a16="http://schemas.microsoft.com/office/drawing/2014/main" id="{329A10A2-80CB-9DD8-D382-4F434185A201}"/>
            </a:ext>
          </a:extLst>
        </xdr:cNvPr>
        <xdr:cNvCxnSpPr/>
      </xdr:nvCxnSpPr>
      <xdr:spPr>
        <a:xfrm>
          <a:off x="161867850" y="28013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73</xdr:row>
      <xdr:rowOff>200025</xdr:rowOff>
    </xdr:from>
    <xdr:to>
      <xdr:col>9</xdr:col>
      <xdr:colOff>342900</xdr:colOff>
      <xdr:row>73</xdr:row>
      <xdr:rowOff>200025</xdr:rowOff>
    </xdr:to>
    <xdr:cxnSp macro="">
      <xdr:nvCxnSpPr>
        <xdr:cNvPr id="80" name="Straight Connector 79">
          <a:extLst>
            <a:ext uri="{FF2B5EF4-FFF2-40B4-BE49-F238E27FC236}">
              <a16:creationId xmlns:a16="http://schemas.microsoft.com/office/drawing/2014/main" id="{D7DAB586-10A9-7588-3D9B-C81040F5F728}"/>
            </a:ext>
          </a:extLst>
        </xdr:cNvPr>
        <xdr:cNvCxnSpPr/>
      </xdr:nvCxnSpPr>
      <xdr:spPr>
        <a:xfrm>
          <a:off x="161867850" y="28394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74</xdr:row>
      <xdr:rowOff>200025</xdr:rowOff>
    </xdr:from>
    <xdr:to>
      <xdr:col>9</xdr:col>
      <xdr:colOff>342900</xdr:colOff>
      <xdr:row>74</xdr:row>
      <xdr:rowOff>200025</xdr:rowOff>
    </xdr:to>
    <xdr:cxnSp macro="">
      <xdr:nvCxnSpPr>
        <xdr:cNvPr id="81" name="Straight Connector 80">
          <a:extLst>
            <a:ext uri="{FF2B5EF4-FFF2-40B4-BE49-F238E27FC236}">
              <a16:creationId xmlns:a16="http://schemas.microsoft.com/office/drawing/2014/main" id="{34E57806-3D8E-68C0-3C2B-2699FE6A5C08}"/>
            </a:ext>
          </a:extLst>
        </xdr:cNvPr>
        <xdr:cNvCxnSpPr/>
      </xdr:nvCxnSpPr>
      <xdr:spPr>
        <a:xfrm>
          <a:off x="161867850" y="28775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75</xdr:row>
      <xdr:rowOff>200025</xdr:rowOff>
    </xdr:from>
    <xdr:to>
      <xdr:col>9</xdr:col>
      <xdr:colOff>342900</xdr:colOff>
      <xdr:row>75</xdr:row>
      <xdr:rowOff>200025</xdr:rowOff>
    </xdr:to>
    <xdr:cxnSp macro="">
      <xdr:nvCxnSpPr>
        <xdr:cNvPr id="82" name="Straight Connector 81">
          <a:extLst>
            <a:ext uri="{FF2B5EF4-FFF2-40B4-BE49-F238E27FC236}">
              <a16:creationId xmlns:a16="http://schemas.microsoft.com/office/drawing/2014/main" id="{671B70F9-35E6-6488-9ADA-1361803156AF}"/>
            </a:ext>
          </a:extLst>
        </xdr:cNvPr>
        <xdr:cNvCxnSpPr/>
      </xdr:nvCxnSpPr>
      <xdr:spPr>
        <a:xfrm>
          <a:off x="161867850" y="29156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82</xdr:row>
      <xdr:rowOff>200025</xdr:rowOff>
    </xdr:from>
    <xdr:to>
      <xdr:col>9</xdr:col>
      <xdr:colOff>342900</xdr:colOff>
      <xdr:row>82</xdr:row>
      <xdr:rowOff>200025</xdr:rowOff>
    </xdr:to>
    <xdr:cxnSp macro="">
      <xdr:nvCxnSpPr>
        <xdr:cNvPr id="83" name="Straight Connector 82">
          <a:extLst>
            <a:ext uri="{FF2B5EF4-FFF2-40B4-BE49-F238E27FC236}">
              <a16:creationId xmlns:a16="http://schemas.microsoft.com/office/drawing/2014/main" id="{2A108D86-527C-682F-E713-466072FEE03B}"/>
            </a:ext>
          </a:extLst>
        </xdr:cNvPr>
        <xdr:cNvCxnSpPr/>
      </xdr:nvCxnSpPr>
      <xdr:spPr>
        <a:xfrm>
          <a:off x="161867850" y="31823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83</xdr:row>
      <xdr:rowOff>200025</xdr:rowOff>
    </xdr:from>
    <xdr:to>
      <xdr:col>9</xdr:col>
      <xdr:colOff>342900</xdr:colOff>
      <xdr:row>83</xdr:row>
      <xdr:rowOff>200025</xdr:rowOff>
    </xdr:to>
    <xdr:cxnSp macro="">
      <xdr:nvCxnSpPr>
        <xdr:cNvPr id="84" name="Straight Connector 83">
          <a:extLst>
            <a:ext uri="{FF2B5EF4-FFF2-40B4-BE49-F238E27FC236}">
              <a16:creationId xmlns:a16="http://schemas.microsoft.com/office/drawing/2014/main" id="{2EFBA065-2C08-0F52-0057-D04CBA8BE01B}"/>
            </a:ext>
          </a:extLst>
        </xdr:cNvPr>
        <xdr:cNvCxnSpPr/>
      </xdr:nvCxnSpPr>
      <xdr:spPr>
        <a:xfrm>
          <a:off x="161867850" y="32204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87</xdr:row>
      <xdr:rowOff>200025</xdr:rowOff>
    </xdr:from>
    <xdr:to>
      <xdr:col>9</xdr:col>
      <xdr:colOff>342900</xdr:colOff>
      <xdr:row>87</xdr:row>
      <xdr:rowOff>200025</xdr:rowOff>
    </xdr:to>
    <xdr:cxnSp macro="">
      <xdr:nvCxnSpPr>
        <xdr:cNvPr id="85" name="Straight Connector 84">
          <a:extLst>
            <a:ext uri="{FF2B5EF4-FFF2-40B4-BE49-F238E27FC236}">
              <a16:creationId xmlns:a16="http://schemas.microsoft.com/office/drawing/2014/main" id="{1C3AB9F5-067C-DEFE-FD2B-C72E8FFB1B6E}"/>
            </a:ext>
          </a:extLst>
        </xdr:cNvPr>
        <xdr:cNvCxnSpPr/>
      </xdr:nvCxnSpPr>
      <xdr:spPr>
        <a:xfrm>
          <a:off x="161867850" y="33728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90</xdr:row>
      <xdr:rowOff>200025</xdr:rowOff>
    </xdr:from>
    <xdr:to>
      <xdr:col>9</xdr:col>
      <xdr:colOff>342900</xdr:colOff>
      <xdr:row>90</xdr:row>
      <xdr:rowOff>200025</xdr:rowOff>
    </xdr:to>
    <xdr:cxnSp macro="">
      <xdr:nvCxnSpPr>
        <xdr:cNvPr id="86" name="Straight Connector 85">
          <a:extLst>
            <a:ext uri="{FF2B5EF4-FFF2-40B4-BE49-F238E27FC236}">
              <a16:creationId xmlns:a16="http://schemas.microsoft.com/office/drawing/2014/main" id="{D3ADACD9-6403-DF91-EF19-6B7710123F96}"/>
            </a:ext>
          </a:extLst>
        </xdr:cNvPr>
        <xdr:cNvCxnSpPr/>
      </xdr:nvCxnSpPr>
      <xdr:spPr>
        <a:xfrm>
          <a:off x="161867850" y="34871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93</xdr:row>
      <xdr:rowOff>200025</xdr:rowOff>
    </xdr:from>
    <xdr:to>
      <xdr:col>9</xdr:col>
      <xdr:colOff>342900</xdr:colOff>
      <xdr:row>93</xdr:row>
      <xdr:rowOff>200025</xdr:rowOff>
    </xdr:to>
    <xdr:cxnSp macro="">
      <xdr:nvCxnSpPr>
        <xdr:cNvPr id="87" name="Straight Connector 86">
          <a:extLst>
            <a:ext uri="{FF2B5EF4-FFF2-40B4-BE49-F238E27FC236}">
              <a16:creationId xmlns:a16="http://schemas.microsoft.com/office/drawing/2014/main" id="{967B4C6E-94E7-7790-3FAE-71C6A0CAABA5}"/>
            </a:ext>
          </a:extLst>
        </xdr:cNvPr>
        <xdr:cNvCxnSpPr/>
      </xdr:nvCxnSpPr>
      <xdr:spPr>
        <a:xfrm>
          <a:off x="161867850" y="36014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96</xdr:row>
      <xdr:rowOff>200025</xdr:rowOff>
    </xdr:from>
    <xdr:to>
      <xdr:col>9</xdr:col>
      <xdr:colOff>342900</xdr:colOff>
      <xdr:row>96</xdr:row>
      <xdr:rowOff>200025</xdr:rowOff>
    </xdr:to>
    <xdr:cxnSp macro="">
      <xdr:nvCxnSpPr>
        <xdr:cNvPr id="88" name="Straight Connector 87">
          <a:extLst>
            <a:ext uri="{FF2B5EF4-FFF2-40B4-BE49-F238E27FC236}">
              <a16:creationId xmlns:a16="http://schemas.microsoft.com/office/drawing/2014/main" id="{B356EDEB-B637-5555-ED9E-4629240383E8}"/>
            </a:ext>
          </a:extLst>
        </xdr:cNvPr>
        <xdr:cNvCxnSpPr/>
      </xdr:nvCxnSpPr>
      <xdr:spPr>
        <a:xfrm>
          <a:off x="161867850" y="3715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101</xdr:row>
      <xdr:rowOff>200025</xdr:rowOff>
    </xdr:from>
    <xdr:to>
      <xdr:col>9</xdr:col>
      <xdr:colOff>342900</xdr:colOff>
      <xdr:row>101</xdr:row>
      <xdr:rowOff>200025</xdr:rowOff>
    </xdr:to>
    <xdr:cxnSp macro="">
      <xdr:nvCxnSpPr>
        <xdr:cNvPr id="89" name="Straight Connector 88">
          <a:extLst>
            <a:ext uri="{FF2B5EF4-FFF2-40B4-BE49-F238E27FC236}">
              <a16:creationId xmlns:a16="http://schemas.microsoft.com/office/drawing/2014/main" id="{DFE2E801-016E-803C-C830-974CF6313FBC}"/>
            </a:ext>
          </a:extLst>
        </xdr:cNvPr>
        <xdr:cNvCxnSpPr/>
      </xdr:nvCxnSpPr>
      <xdr:spPr>
        <a:xfrm>
          <a:off x="161867850" y="39062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103</xdr:row>
      <xdr:rowOff>200025</xdr:rowOff>
    </xdr:from>
    <xdr:to>
      <xdr:col>9</xdr:col>
      <xdr:colOff>342900</xdr:colOff>
      <xdr:row>103</xdr:row>
      <xdr:rowOff>200025</xdr:rowOff>
    </xdr:to>
    <xdr:cxnSp macro="">
      <xdr:nvCxnSpPr>
        <xdr:cNvPr id="90" name="Straight Connector 89">
          <a:extLst>
            <a:ext uri="{FF2B5EF4-FFF2-40B4-BE49-F238E27FC236}">
              <a16:creationId xmlns:a16="http://schemas.microsoft.com/office/drawing/2014/main" id="{836D0A9F-2FB6-CA76-4F47-92AC85ACFF89}"/>
            </a:ext>
          </a:extLst>
        </xdr:cNvPr>
        <xdr:cNvCxnSpPr/>
      </xdr:nvCxnSpPr>
      <xdr:spPr>
        <a:xfrm>
          <a:off x="161867850" y="39824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105</xdr:row>
      <xdr:rowOff>200025</xdr:rowOff>
    </xdr:from>
    <xdr:to>
      <xdr:col>9</xdr:col>
      <xdr:colOff>342900</xdr:colOff>
      <xdr:row>105</xdr:row>
      <xdr:rowOff>200025</xdr:rowOff>
    </xdr:to>
    <xdr:cxnSp macro="">
      <xdr:nvCxnSpPr>
        <xdr:cNvPr id="91" name="Straight Connector 90">
          <a:extLst>
            <a:ext uri="{FF2B5EF4-FFF2-40B4-BE49-F238E27FC236}">
              <a16:creationId xmlns:a16="http://schemas.microsoft.com/office/drawing/2014/main" id="{EC3A400A-0C27-BDB9-C08A-67A75DF7EFF4}"/>
            </a:ext>
          </a:extLst>
        </xdr:cNvPr>
        <xdr:cNvCxnSpPr/>
      </xdr:nvCxnSpPr>
      <xdr:spPr>
        <a:xfrm>
          <a:off x="161867850" y="40586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106</xdr:row>
      <xdr:rowOff>200025</xdr:rowOff>
    </xdr:from>
    <xdr:to>
      <xdr:col>9</xdr:col>
      <xdr:colOff>342900</xdr:colOff>
      <xdr:row>106</xdr:row>
      <xdr:rowOff>200025</xdr:rowOff>
    </xdr:to>
    <xdr:cxnSp macro="">
      <xdr:nvCxnSpPr>
        <xdr:cNvPr id="92" name="Straight Connector 91">
          <a:extLst>
            <a:ext uri="{FF2B5EF4-FFF2-40B4-BE49-F238E27FC236}">
              <a16:creationId xmlns:a16="http://schemas.microsoft.com/office/drawing/2014/main" id="{06A3FF83-68F2-C65E-BD73-65C41704259E}"/>
            </a:ext>
          </a:extLst>
        </xdr:cNvPr>
        <xdr:cNvCxnSpPr/>
      </xdr:nvCxnSpPr>
      <xdr:spPr>
        <a:xfrm>
          <a:off x="161867850" y="4096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109</xdr:row>
      <xdr:rowOff>200025</xdr:rowOff>
    </xdr:from>
    <xdr:to>
      <xdr:col>9</xdr:col>
      <xdr:colOff>342900</xdr:colOff>
      <xdr:row>109</xdr:row>
      <xdr:rowOff>200025</xdr:rowOff>
    </xdr:to>
    <xdr:cxnSp macro="">
      <xdr:nvCxnSpPr>
        <xdr:cNvPr id="93" name="Straight Connector 92">
          <a:extLst>
            <a:ext uri="{FF2B5EF4-FFF2-40B4-BE49-F238E27FC236}">
              <a16:creationId xmlns:a16="http://schemas.microsoft.com/office/drawing/2014/main" id="{F4C9ABC3-8549-8C59-37E8-A5047CEAF771}"/>
            </a:ext>
          </a:extLst>
        </xdr:cNvPr>
        <xdr:cNvCxnSpPr/>
      </xdr:nvCxnSpPr>
      <xdr:spPr>
        <a:xfrm>
          <a:off x="161867850" y="42110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114</xdr:row>
      <xdr:rowOff>200025</xdr:rowOff>
    </xdr:from>
    <xdr:to>
      <xdr:col>9</xdr:col>
      <xdr:colOff>342900</xdr:colOff>
      <xdr:row>114</xdr:row>
      <xdr:rowOff>200025</xdr:rowOff>
    </xdr:to>
    <xdr:cxnSp macro="">
      <xdr:nvCxnSpPr>
        <xdr:cNvPr id="94" name="Straight Connector 93">
          <a:extLst>
            <a:ext uri="{FF2B5EF4-FFF2-40B4-BE49-F238E27FC236}">
              <a16:creationId xmlns:a16="http://schemas.microsoft.com/office/drawing/2014/main" id="{70C03C7E-270F-13F2-8A55-016715FB4388}"/>
            </a:ext>
          </a:extLst>
        </xdr:cNvPr>
        <xdr:cNvCxnSpPr/>
      </xdr:nvCxnSpPr>
      <xdr:spPr>
        <a:xfrm>
          <a:off x="161867850" y="44015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116</xdr:row>
      <xdr:rowOff>200025</xdr:rowOff>
    </xdr:from>
    <xdr:to>
      <xdr:col>9</xdr:col>
      <xdr:colOff>342900</xdr:colOff>
      <xdr:row>116</xdr:row>
      <xdr:rowOff>200025</xdr:rowOff>
    </xdr:to>
    <xdr:cxnSp macro="">
      <xdr:nvCxnSpPr>
        <xdr:cNvPr id="95" name="Straight Connector 94">
          <a:extLst>
            <a:ext uri="{FF2B5EF4-FFF2-40B4-BE49-F238E27FC236}">
              <a16:creationId xmlns:a16="http://schemas.microsoft.com/office/drawing/2014/main" id="{952C9858-C1B6-B354-534D-1A7FAD96DF45}"/>
            </a:ext>
          </a:extLst>
        </xdr:cNvPr>
        <xdr:cNvCxnSpPr/>
      </xdr:nvCxnSpPr>
      <xdr:spPr>
        <a:xfrm>
          <a:off x="161867850" y="4477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117</xdr:row>
      <xdr:rowOff>200025</xdr:rowOff>
    </xdr:from>
    <xdr:to>
      <xdr:col>9</xdr:col>
      <xdr:colOff>342900</xdr:colOff>
      <xdr:row>117</xdr:row>
      <xdr:rowOff>200025</xdr:rowOff>
    </xdr:to>
    <xdr:cxnSp macro="">
      <xdr:nvCxnSpPr>
        <xdr:cNvPr id="96" name="Straight Connector 95">
          <a:extLst>
            <a:ext uri="{FF2B5EF4-FFF2-40B4-BE49-F238E27FC236}">
              <a16:creationId xmlns:a16="http://schemas.microsoft.com/office/drawing/2014/main" id="{CDF3E09F-7EA8-B902-9E2F-041703F8AA0A}"/>
            </a:ext>
          </a:extLst>
        </xdr:cNvPr>
        <xdr:cNvCxnSpPr/>
      </xdr:nvCxnSpPr>
      <xdr:spPr>
        <a:xfrm>
          <a:off x="161867850" y="45158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126</xdr:row>
      <xdr:rowOff>200025</xdr:rowOff>
    </xdr:from>
    <xdr:to>
      <xdr:col>9</xdr:col>
      <xdr:colOff>342900</xdr:colOff>
      <xdr:row>126</xdr:row>
      <xdr:rowOff>200025</xdr:rowOff>
    </xdr:to>
    <xdr:cxnSp macro="">
      <xdr:nvCxnSpPr>
        <xdr:cNvPr id="97" name="Straight Connector 96">
          <a:extLst>
            <a:ext uri="{FF2B5EF4-FFF2-40B4-BE49-F238E27FC236}">
              <a16:creationId xmlns:a16="http://schemas.microsoft.com/office/drawing/2014/main" id="{A8CC9720-B4DB-1873-A1E3-119741A4EDA1}"/>
            </a:ext>
          </a:extLst>
        </xdr:cNvPr>
        <xdr:cNvCxnSpPr/>
      </xdr:nvCxnSpPr>
      <xdr:spPr>
        <a:xfrm>
          <a:off x="161867850" y="4858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128</xdr:row>
      <xdr:rowOff>200025</xdr:rowOff>
    </xdr:from>
    <xdr:to>
      <xdr:col>9</xdr:col>
      <xdr:colOff>342900</xdr:colOff>
      <xdr:row>128</xdr:row>
      <xdr:rowOff>200025</xdr:rowOff>
    </xdr:to>
    <xdr:cxnSp macro="">
      <xdr:nvCxnSpPr>
        <xdr:cNvPr id="98" name="Straight Connector 97">
          <a:extLst>
            <a:ext uri="{FF2B5EF4-FFF2-40B4-BE49-F238E27FC236}">
              <a16:creationId xmlns:a16="http://schemas.microsoft.com/office/drawing/2014/main" id="{CF774590-05FF-5A20-E2A0-2328FA24AFB6}"/>
            </a:ext>
          </a:extLst>
        </xdr:cNvPr>
        <xdr:cNvCxnSpPr/>
      </xdr:nvCxnSpPr>
      <xdr:spPr>
        <a:xfrm>
          <a:off x="161867850" y="49349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132</xdr:row>
      <xdr:rowOff>200025</xdr:rowOff>
    </xdr:from>
    <xdr:to>
      <xdr:col>9</xdr:col>
      <xdr:colOff>342900</xdr:colOff>
      <xdr:row>132</xdr:row>
      <xdr:rowOff>200025</xdr:rowOff>
    </xdr:to>
    <xdr:cxnSp macro="">
      <xdr:nvCxnSpPr>
        <xdr:cNvPr id="99" name="Straight Connector 98">
          <a:extLst>
            <a:ext uri="{FF2B5EF4-FFF2-40B4-BE49-F238E27FC236}">
              <a16:creationId xmlns:a16="http://schemas.microsoft.com/office/drawing/2014/main" id="{DB027045-FB06-E7E5-0842-97C70A22E3F6}"/>
            </a:ext>
          </a:extLst>
        </xdr:cNvPr>
        <xdr:cNvCxnSpPr/>
      </xdr:nvCxnSpPr>
      <xdr:spPr>
        <a:xfrm>
          <a:off x="161867850" y="50873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136</xdr:row>
      <xdr:rowOff>200025</xdr:rowOff>
    </xdr:from>
    <xdr:to>
      <xdr:col>9</xdr:col>
      <xdr:colOff>342900</xdr:colOff>
      <xdr:row>136</xdr:row>
      <xdr:rowOff>200025</xdr:rowOff>
    </xdr:to>
    <xdr:cxnSp macro="">
      <xdr:nvCxnSpPr>
        <xdr:cNvPr id="100" name="Straight Connector 99">
          <a:extLst>
            <a:ext uri="{FF2B5EF4-FFF2-40B4-BE49-F238E27FC236}">
              <a16:creationId xmlns:a16="http://schemas.microsoft.com/office/drawing/2014/main" id="{B805D39C-59E9-C484-11CC-40E92ED1269C}"/>
            </a:ext>
          </a:extLst>
        </xdr:cNvPr>
        <xdr:cNvCxnSpPr/>
      </xdr:nvCxnSpPr>
      <xdr:spPr>
        <a:xfrm>
          <a:off x="161867850" y="52397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144</xdr:row>
      <xdr:rowOff>200025</xdr:rowOff>
    </xdr:from>
    <xdr:to>
      <xdr:col>9</xdr:col>
      <xdr:colOff>342900</xdr:colOff>
      <xdr:row>144</xdr:row>
      <xdr:rowOff>200025</xdr:rowOff>
    </xdr:to>
    <xdr:cxnSp macro="">
      <xdr:nvCxnSpPr>
        <xdr:cNvPr id="101" name="Straight Connector 100">
          <a:extLst>
            <a:ext uri="{FF2B5EF4-FFF2-40B4-BE49-F238E27FC236}">
              <a16:creationId xmlns:a16="http://schemas.microsoft.com/office/drawing/2014/main" id="{2BE8FCA1-EB23-27DB-F9A6-7828710ECC6C}"/>
            </a:ext>
          </a:extLst>
        </xdr:cNvPr>
        <xdr:cNvCxnSpPr/>
      </xdr:nvCxnSpPr>
      <xdr:spPr>
        <a:xfrm>
          <a:off x="161867850" y="55445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150</xdr:row>
      <xdr:rowOff>200025</xdr:rowOff>
    </xdr:from>
    <xdr:to>
      <xdr:col>9</xdr:col>
      <xdr:colOff>342900</xdr:colOff>
      <xdr:row>150</xdr:row>
      <xdr:rowOff>200025</xdr:rowOff>
    </xdr:to>
    <xdr:cxnSp macro="">
      <xdr:nvCxnSpPr>
        <xdr:cNvPr id="102" name="Straight Connector 101">
          <a:extLst>
            <a:ext uri="{FF2B5EF4-FFF2-40B4-BE49-F238E27FC236}">
              <a16:creationId xmlns:a16="http://schemas.microsoft.com/office/drawing/2014/main" id="{1CDC822E-2CDF-9AFD-D824-A46296994B9E}"/>
            </a:ext>
          </a:extLst>
        </xdr:cNvPr>
        <xdr:cNvCxnSpPr/>
      </xdr:nvCxnSpPr>
      <xdr:spPr>
        <a:xfrm>
          <a:off x="161867850" y="57731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151</xdr:row>
      <xdr:rowOff>200025</xdr:rowOff>
    </xdr:from>
    <xdr:to>
      <xdr:col>9</xdr:col>
      <xdr:colOff>342900</xdr:colOff>
      <xdr:row>151</xdr:row>
      <xdr:rowOff>200025</xdr:rowOff>
    </xdr:to>
    <xdr:cxnSp macro="">
      <xdr:nvCxnSpPr>
        <xdr:cNvPr id="103" name="Straight Connector 102">
          <a:extLst>
            <a:ext uri="{FF2B5EF4-FFF2-40B4-BE49-F238E27FC236}">
              <a16:creationId xmlns:a16="http://schemas.microsoft.com/office/drawing/2014/main" id="{CD951E12-BF08-B8C8-9119-94803B1E6481}"/>
            </a:ext>
          </a:extLst>
        </xdr:cNvPr>
        <xdr:cNvCxnSpPr/>
      </xdr:nvCxnSpPr>
      <xdr:spPr>
        <a:xfrm>
          <a:off x="161867850" y="58112025"/>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8</xdr:row>
      <xdr:rowOff>200025</xdr:rowOff>
    </xdr:from>
    <xdr:to>
      <xdr:col>12</xdr:col>
      <xdr:colOff>428625</xdr:colOff>
      <xdr:row>8</xdr:row>
      <xdr:rowOff>200025</xdr:rowOff>
    </xdr:to>
    <xdr:cxnSp macro="">
      <xdr:nvCxnSpPr>
        <xdr:cNvPr id="104" name="Straight Connector 103">
          <a:extLst>
            <a:ext uri="{FF2B5EF4-FFF2-40B4-BE49-F238E27FC236}">
              <a16:creationId xmlns:a16="http://schemas.microsoft.com/office/drawing/2014/main" id="{B997EB5A-6217-E6B4-EC40-07F83A3D693B}"/>
            </a:ext>
          </a:extLst>
        </xdr:cNvPr>
        <xdr:cNvCxnSpPr/>
      </xdr:nvCxnSpPr>
      <xdr:spPr>
        <a:xfrm>
          <a:off x="160143825" y="3629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114300</xdr:colOff>
      <xdr:row>7</xdr:row>
      <xdr:rowOff>171450</xdr:rowOff>
    </xdr:from>
    <xdr:to>
      <xdr:col>12</xdr:col>
      <xdr:colOff>390525</xdr:colOff>
      <xdr:row>7</xdr:row>
      <xdr:rowOff>171450</xdr:rowOff>
    </xdr:to>
    <xdr:cxnSp macro="">
      <xdr:nvCxnSpPr>
        <xdr:cNvPr id="105" name="Straight Connector 104">
          <a:extLst>
            <a:ext uri="{FF2B5EF4-FFF2-40B4-BE49-F238E27FC236}">
              <a16:creationId xmlns:a16="http://schemas.microsoft.com/office/drawing/2014/main" id="{E6FE16F2-B213-207C-389C-8C18611CA6B5}"/>
            </a:ext>
          </a:extLst>
        </xdr:cNvPr>
        <xdr:cNvCxnSpPr/>
      </xdr:nvCxnSpPr>
      <xdr:spPr>
        <a:xfrm>
          <a:off x="160181925" y="3219450"/>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16</xdr:row>
      <xdr:rowOff>200025</xdr:rowOff>
    </xdr:from>
    <xdr:to>
      <xdr:col>12</xdr:col>
      <xdr:colOff>428625</xdr:colOff>
      <xdr:row>16</xdr:row>
      <xdr:rowOff>200025</xdr:rowOff>
    </xdr:to>
    <xdr:cxnSp macro="">
      <xdr:nvCxnSpPr>
        <xdr:cNvPr id="106" name="Straight Connector 105">
          <a:extLst>
            <a:ext uri="{FF2B5EF4-FFF2-40B4-BE49-F238E27FC236}">
              <a16:creationId xmlns:a16="http://schemas.microsoft.com/office/drawing/2014/main" id="{C281D179-DFA5-4DBE-4183-07896AAD81D0}"/>
            </a:ext>
          </a:extLst>
        </xdr:cNvPr>
        <xdr:cNvCxnSpPr/>
      </xdr:nvCxnSpPr>
      <xdr:spPr>
        <a:xfrm>
          <a:off x="160143825" y="667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15</xdr:row>
      <xdr:rowOff>200025</xdr:rowOff>
    </xdr:from>
    <xdr:to>
      <xdr:col>12</xdr:col>
      <xdr:colOff>428625</xdr:colOff>
      <xdr:row>15</xdr:row>
      <xdr:rowOff>200025</xdr:rowOff>
    </xdr:to>
    <xdr:cxnSp macro="">
      <xdr:nvCxnSpPr>
        <xdr:cNvPr id="107" name="Straight Connector 106">
          <a:extLst>
            <a:ext uri="{FF2B5EF4-FFF2-40B4-BE49-F238E27FC236}">
              <a16:creationId xmlns:a16="http://schemas.microsoft.com/office/drawing/2014/main" id="{533EBC01-7FE4-13F5-A708-8D4911B8D8A2}"/>
            </a:ext>
          </a:extLst>
        </xdr:cNvPr>
        <xdr:cNvCxnSpPr/>
      </xdr:nvCxnSpPr>
      <xdr:spPr>
        <a:xfrm>
          <a:off x="160143825" y="629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25</xdr:row>
      <xdr:rowOff>200025</xdr:rowOff>
    </xdr:from>
    <xdr:to>
      <xdr:col>12</xdr:col>
      <xdr:colOff>428625</xdr:colOff>
      <xdr:row>25</xdr:row>
      <xdr:rowOff>200025</xdr:rowOff>
    </xdr:to>
    <xdr:cxnSp macro="">
      <xdr:nvCxnSpPr>
        <xdr:cNvPr id="108" name="Straight Connector 107">
          <a:extLst>
            <a:ext uri="{FF2B5EF4-FFF2-40B4-BE49-F238E27FC236}">
              <a16:creationId xmlns:a16="http://schemas.microsoft.com/office/drawing/2014/main" id="{323ED0B9-7FA2-E042-4E07-6383E0329B32}"/>
            </a:ext>
          </a:extLst>
        </xdr:cNvPr>
        <xdr:cNvCxnSpPr/>
      </xdr:nvCxnSpPr>
      <xdr:spPr>
        <a:xfrm>
          <a:off x="160143825" y="1010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27</xdr:row>
      <xdr:rowOff>200025</xdr:rowOff>
    </xdr:from>
    <xdr:to>
      <xdr:col>12</xdr:col>
      <xdr:colOff>428625</xdr:colOff>
      <xdr:row>27</xdr:row>
      <xdr:rowOff>200025</xdr:rowOff>
    </xdr:to>
    <xdr:cxnSp macro="">
      <xdr:nvCxnSpPr>
        <xdr:cNvPr id="109" name="Straight Connector 108">
          <a:extLst>
            <a:ext uri="{FF2B5EF4-FFF2-40B4-BE49-F238E27FC236}">
              <a16:creationId xmlns:a16="http://schemas.microsoft.com/office/drawing/2014/main" id="{98CE0B8A-91DF-4572-9F93-9B1EDAFD9A2E}"/>
            </a:ext>
          </a:extLst>
        </xdr:cNvPr>
        <xdr:cNvCxnSpPr/>
      </xdr:nvCxnSpPr>
      <xdr:spPr>
        <a:xfrm>
          <a:off x="160143825" y="1086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33</xdr:row>
      <xdr:rowOff>200025</xdr:rowOff>
    </xdr:from>
    <xdr:to>
      <xdr:col>12</xdr:col>
      <xdr:colOff>428625</xdr:colOff>
      <xdr:row>33</xdr:row>
      <xdr:rowOff>200025</xdr:rowOff>
    </xdr:to>
    <xdr:cxnSp macro="">
      <xdr:nvCxnSpPr>
        <xdr:cNvPr id="110" name="Straight Connector 109">
          <a:extLst>
            <a:ext uri="{FF2B5EF4-FFF2-40B4-BE49-F238E27FC236}">
              <a16:creationId xmlns:a16="http://schemas.microsoft.com/office/drawing/2014/main" id="{43E19C88-45E0-2775-D071-C32B7FBAEBB2}"/>
            </a:ext>
          </a:extLst>
        </xdr:cNvPr>
        <xdr:cNvCxnSpPr/>
      </xdr:nvCxnSpPr>
      <xdr:spPr>
        <a:xfrm>
          <a:off x="160143825" y="13154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36</xdr:row>
      <xdr:rowOff>200025</xdr:rowOff>
    </xdr:from>
    <xdr:to>
      <xdr:col>12</xdr:col>
      <xdr:colOff>428625</xdr:colOff>
      <xdr:row>36</xdr:row>
      <xdr:rowOff>200025</xdr:rowOff>
    </xdr:to>
    <xdr:cxnSp macro="">
      <xdr:nvCxnSpPr>
        <xdr:cNvPr id="111" name="Straight Connector 110">
          <a:extLst>
            <a:ext uri="{FF2B5EF4-FFF2-40B4-BE49-F238E27FC236}">
              <a16:creationId xmlns:a16="http://schemas.microsoft.com/office/drawing/2014/main" id="{FA558383-707A-1C17-515B-985E38CFFB2B}"/>
            </a:ext>
          </a:extLst>
        </xdr:cNvPr>
        <xdr:cNvCxnSpPr/>
      </xdr:nvCxnSpPr>
      <xdr:spPr>
        <a:xfrm>
          <a:off x="160143825" y="1429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46</xdr:row>
      <xdr:rowOff>200025</xdr:rowOff>
    </xdr:from>
    <xdr:to>
      <xdr:col>12</xdr:col>
      <xdr:colOff>428625</xdr:colOff>
      <xdr:row>46</xdr:row>
      <xdr:rowOff>200025</xdr:rowOff>
    </xdr:to>
    <xdr:cxnSp macro="">
      <xdr:nvCxnSpPr>
        <xdr:cNvPr id="113" name="Straight Connector 112">
          <a:extLst>
            <a:ext uri="{FF2B5EF4-FFF2-40B4-BE49-F238E27FC236}">
              <a16:creationId xmlns:a16="http://schemas.microsoft.com/office/drawing/2014/main" id="{2A733863-A984-5111-E81A-03820D42585B}"/>
            </a:ext>
          </a:extLst>
        </xdr:cNvPr>
        <xdr:cNvCxnSpPr/>
      </xdr:nvCxnSpPr>
      <xdr:spPr>
        <a:xfrm>
          <a:off x="160143825" y="1810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48</xdr:row>
      <xdr:rowOff>200025</xdr:rowOff>
    </xdr:from>
    <xdr:to>
      <xdr:col>12</xdr:col>
      <xdr:colOff>428625</xdr:colOff>
      <xdr:row>48</xdr:row>
      <xdr:rowOff>200025</xdr:rowOff>
    </xdr:to>
    <xdr:cxnSp macro="">
      <xdr:nvCxnSpPr>
        <xdr:cNvPr id="114" name="Straight Connector 113">
          <a:extLst>
            <a:ext uri="{FF2B5EF4-FFF2-40B4-BE49-F238E27FC236}">
              <a16:creationId xmlns:a16="http://schemas.microsoft.com/office/drawing/2014/main" id="{D8318FD5-63C3-5357-CC6C-D5649EFFC36C}"/>
            </a:ext>
          </a:extLst>
        </xdr:cNvPr>
        <xdr:cNvCxnSpPr/>
      </xdr:nvCxnSpPr>
      <xdr:spPr>
        <a:xfrm>
          <a:off x="160143825" y="18869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50</xdr:row>
      <xdr:rowOff>200025</xdr:rowOff>
    </xdr:from>
    <xdr:to>
      <xdr:col>12</xdr:col>
      <xdr:colOff>428625</xdr:colOff>
      <xdr:row>50</xdr:row>
      <xdr:rowOff>200025</xdr:rowOff>
    </xdr:to>
    <xdr:cxnSp macro="">
      <xdr:nvCxnSpPr>
        <xdr:cNvPr id="115" name="Straight Connector 114">
          <a:extLst>
            <a:ext uri="{FF2B5EF4-FFF2-40B4-BE49-F238E27FC236}">
              <a16:creationId xmlns:a16="http://schemas.microsoft.com/office/drawing/2014/main" id="{0DFFCDCE-2FAC-F7A0-B31D-49A61FF9A588}"/>
            </a:ext>
          </a:extLst>
        </xdr:cNvPr>
        <xdr:cNvCxnSpPr/>
      </xdr:nvCxnSpPr>
      <xdr:spPr>
        <a:xfrm>
          <a:off x="160143825" y="1963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52</xdr:row>
      <xdr:rowOff>200025</xdr:rowOff>
    </xdr:from>
    <xdr:to>
      <xdr:col>12</xdr:col>
      <xdr:colOff>428625</xdr:colOff>
      <xdr:row>52</xdr:row>
      <xdr:rowOff>200025</xdr:rowOff>
    </xdr:to>
    <xdr:cxnSp macro="">
      <xdr:nvCxnSpPr>
        <xdr:cNvPr id="116" name="Straight Connector 115">
          <a:extLst>
            <a:ext uri="{FF2B5EF4-FFF2-40B4-BE49-F238E27FC236}">
              <a16:creationId xmlns:a16="http://schemas.microsoft.com/office/drawing/2014/main" id="{4BC3A66F-C061-69CE-2835-3080AF3FC32F}"/>
            </a:ext>
          </a:extLst>
        </xdr:cNvPr>
        <xdr:cNvCxnSpPr/>
      </xdr:nvCxnSpPr>
      <xdr:spPr>
        <a:xfrm>
          <a:off x="160143825" y="2039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54</xdr:row>
      <xdr:rowOff>200025</xdr:rowOff>
    </xdr:from>
    <xdr:to>
      <xdr:col>12</xdr:col>
      <xdr:colOff>428625</xdr:colOff>
      <xdr:row>54</xdr:row>
      <xdr:rowOff>200025</xdr:rowOff>
    </xdr:to>
    <xdr:cxnSp macro="">
      <xdr:nvCxnSpPr>
        <xdr:cNvPr id="117" name="Straight Connector 116">
          <a:extLst>
            <a:ext uri="{FF2B5EF4-FFF2-40B4-BE49-F238E27FC236}">
              <a16:creationId xmlns:a16="http://schemas.microsoft.com/office/drawing/2014/main" id="{B589CD73-4211-BC4E-06E4-355E3F221682}"/>
            </a:ext>
          </a:extLst>
        </xdr:cNvPr>
        <xdr:cNvCxnSpPr/>
      </xdr:nvCxnSpPr>
      <xdr:spPr>
        <a:xfrm>
          <a:off x="160143825" y="2115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51</xdr:row>
      <xdr:rowOff>200025</xdr:rowOff>
    </xdr:from>
    <xdr:to>
      <xdr:col>12</xdr:col>
      <xdr:colOff>428625</xdr:colOff>
      <xdr:row>51</xdr:row>
      <xdr:rowOff>200025</xdr:rowOff>
    </xdr:to>
    <xdr:cxnSp macro="">
      <xdr:nvCxnSpPr>
        <xdr:cNvPr id="118" name="Straight Connector 117">
          <a:extLst>
            <a:ext uri="{FF2B5EF4-FFF2-40B4-BE49-F238E27FC236}">
              <a16:creationId xmlns:a16="http://schemas.microsoft.com/office/drawing/2014/main" id="{66A9AEAC-8EA3-DA62-8A4C-DCB7DCC979AA}"/>
            </a:ext>
          </a:extLst>
        </xdr:cNvPr>
        <xdr:cNvCxnSpPr/>
      </xdr:nvCxnSpPr>
      <xdr:spPr>
        <a:xfrm>
          <a:off x="160143825" y="2001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53</xdr:row>
      <xdr:rowOff>200025</xdr:rowOff>
    </xdr:from>
    <xdr:to>
      <xdr:col>12</xdr:col>
      <xdr:colOff>428625</xdr:colOff>
      <xdr:row>53</xdr:row>
      <xdr:rowOff>200025</xdr:rowOff>
    </xdr:to>
    <xdr:cxnSp macro="">
      <xdr:nvCxnSpPr>
        <xdr:cNvPr id="119" name="Straight Connector 118">
          <a:extLst>
            <a:ext uri="{FF2B5EF4-FFF2-40B4-BE49-F238E27FC236}">
              <a16:creationId xmlns:a16="http://schemas.microsoft.com/office/drawing/2014/main" id="{614F46B1-884A-66C8-CA3F-B8B01C5834FC}"/>
            </a:ext>
          </a:extLst>
        </xdr:cNvPr>
        <xdr:cNvCxnSpPr/>
      </xdr:nvCxnSpPr>
      <xdr:spPr>
        <a:xfrm>
          <a:off x="160143825" y="20774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54</xdr:row>
      <xdr:rowOff>200025</xdr:rowOff>
    </xdr:from>
    <xdr:to>
      <xdr:col>12</xdr:col>
      <xdr:colOff>428625</xdr:colOff>
      <xdr:row>54</xdr:row>
      <xdr:rowOff>200025</xdr:rowOff>
    </xdr:to>
    <xdr:cxnSp macro="">
      <xdr:nvCxnSpPr>
        <xdr:cNvPr id="120" name="Straight Connector 119">
          <a:extLst>
            <a:ext uri="{FF2B5EF4-FFF2-40B4-BE49-F238E27FC236}">
              <a16:creationId xmlns:a16="http://schemas.microsoft.com/office/drawing/2014/main" id="{69B0B7EC-EEA1-3544-176D-37AC9EC9AC2F}"/>
            </a:ext>
          </a:extLst>
        </xdr:cNvPr>
        <xdr:cNvCxnSpPr/>
      </xdr:nvCxnSpPr>
      <xdr:spPr>
        <a:xfrm>
          <a:off x="160143825" y="2115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55</xdr:row>
      <xdr:rowOff>200025</xdr:rowOff>
    </xdr:from>
    <xdr:to>
      <xdr:col>12</xdr:col>
      <xdr:colOff>428625</xdr:colOff>
      <xdr:row>55</xdr:row>
      <xdr:rowOff>200025</xdr:rowOff>
    </xdr:to>
    <xdr:cxnSp macro="">
      <xdr:nvCxnSpPr>
        <xdr:cNvPr id="121" name="Straight Connector 120">
          <a:extLst>
            <a:ext uri="{FF2B5EF4-FFF2-40B4-BE49-F238E27FC236}">
              <a16:creationId xmlns:a16="http://schemas.microsoft.com/office/drawing/2014/main" id="{D524F470-2660-AD17-DEDF-F91B66A51DEA}"/>
            </a:ext>
          </a:extLst>
        </xdr:cNvPr>
        <xdr:cNvCxnSpPr/>
      </xdr:nvCxnSpPr>
      <xdr:spPr>
        <a:xfrm>
          <a:off x="160143825" y="2153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56</xdr:row>
      <xdr:rowOff>200025</xdr:rowOff>
    </xdr:from>
    <xdr:to>
      <xdr:col>12</xdr:col>
      <xdr:colOff>428625</xdr:colOff>
      <xdr:row>56</xdr:row>
      <xdr:rowOff>200025</xdr:rowOff>
    </xdr:to>
    <xdr:cxnSp macro="">
      <xdr:nvCxnSpPr>
        <xdr:cNvPr id="122" name="Straight Connector 121">
          <a:extLst>
            <a:ext uri="{FF2B5EF4-FFF2-40B4-BE49-F238E27FC236}">
              <a16:creationId xmlns:a16="http://schemas.microsoft.com/office/drawing/2014/main" id="{8EB9D86B-CCA4-A10D-9566-97939F4BC7B5}"/>
            </a:ext>
          </a:extLst>
        </xdr:cNvPr>
        <xdr:cNvCxnSpPr/>
      </xdr:nvCxnSpPr>
      <xdr:spPr>
        <a:xfrm>
          <a:off x="160143825" y="2191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57</xdr:row>
      <xdr:rowOff>200025</xdr:rowOff>
    </xdr:from>
    <xdr:to>
      <xdr:col>12</xdr:col>
      <xdr:colOff>428625</xdr:colOff>
      <xdr:row>57</xdr:row>
      <xdr:rowOff>200025</xdr:rowOff>
    </xdr:to>
    <xdr:cxnSp macro="">
      <xdr:nvCxnSpPr>
        <xdr:cNvPr id="123" name="Straight Connector 122">
          <a:extLst>
            <a:ext uri="{FF2B5EF4-FFF2-40B4-BE49-F238E27FC236}">
              <a16:creationId xmlns:a16="http://schemas.microsoft.com/office/drawing/2014/main" id="{A0772561-34A7-EBAE-37D8-BD26770A8F25}"/>
            </a:ext>
          </a:extLst>
        </xdr:cNvPr>
        <xdr:cNvCxnSpPr/>
      </xdr:nvCxnSpPr>
      <xdr:spPr>
        <a:xfrm>
          <a:off x="160143825" y="2229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58</xdr:row>
      <xdr:rowOff>200025</xdr:rowOff>
    </xdr:from>
    <xdr:to>
      <xdr:col>12</xdr:col>
      <xdr:colOff>428625</xdr:colOff>
      <xdr:row>58</xdr:row>
      <xdr:rowOff>200025</xdr:rowOff>
    </xdr:to>
    <xdr:cxnSp macro="">
      <xdr:nvCxnSpPr>
        <xdr:cNvPr id="124" name="Straight Connector 123">
          <a:extLst>
            <a:ext uri="{FF2B5EF4-FFF2-40B4-BE49-F238E27FC236}">
              <a16:creationId xmlns:a16="http://schemas.microsoft.com/office/drawing/2014/main" id="{8538318A-9BE1-EA4E-22C1-FBBEBCBC24B6}"/>
            </a:ext>
          </a:extLst>
        </xdr:cNvPr>
        <xdr:cNvCxnSpPr/>
      </xdr:nvCxnSpPr>
      <xdr:spPr>
        <a:xfrm>
          <a:off x="160143825" y="22679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59</xdr:row>
      <xdr:rowOff>200025</xdr:rowOff>
    </xdr:from>
    <xdr:to>
      <xdr:col>12</xdr:col>
      <xdr:colOff>428625</xdr:colOff>
      <xdr:row>59</xdr:row>
      <xdr:rowOff>200025</xdr:rowOff>
    </xdr:to>
    <xdr:cxnSp macro="">
      <xdr:nvCxnSpPr>
        <xdr:cNvPr id="125" name="Straight Connector 124">
          <a:extLst>
            <a:ext uri="{FF2B5EF4-FFF2-40B4-BE49-F238E27FC236}">
              <a16:creationId xmlns:a16="http://schemas.microsoft.com/office/drawing/2014/main" id="{4818EA35-5CD5-AFFB-7C4F-256FC460CB41}"/>
            </a:ext>
          </a:extLst>
        </xdr:cNvPr>
        <xdr:cNvCxnSpPr/>
      </xdr:nvCxnSpPr>
      <xdr:spPr>
        <a:xfrm>
          <a:off x="160143825" y="23060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60</xdr:row>
      <xdr:rowOff>200025</xdr:rowOff>
    </xdr:from>
    <xdr:to>
      <xdr:col>12</xdr:col>
      <xdr:colOff>428625</xdr:colOff>
      <xdr:row>60</xdr:row>
      <xdr:rowOff>200025</xdr:rowOff>
    </xdr:to>
    <xdr:cxnSp macro="">
      <xdr:nvCxnSpPr>
        <xdr:cNvPr id="126" name="Straight Connector 125">
          <a:extLst>
            <a:ext uri="{FF2B5EF4-FFF2-40B4-BE49-F238E27FC236}">
              <a16:creationId xmlns:a16="http://schemas.microsoft.com/office/drawing/2014/main" id="{7238F26F-209B-34A0-15CD-307251169A37}"/>
            </a:ext>
          </a:extLst>
        </xdr:cNvPr>
        <xdr:cNvCxnSpPr/>
      </xdr:nvCxnSpPr>
      <xdr:spPr>
        <a:xfrm>
          <a:off x="160143825" y="2344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61</xdr:row>
      <xdr:rowOff>200025</xdr:rowOff>
    </xdr:from>
    <xdr:to>
      <xdr:col>12</xdr:col>
      <xdr:colOff>428625</xdr:colOff>
      <xdr:row>61</xdr:row>
      <xdr:rowOff>200025</xdr:rowOff>
    </xdr:to>
    <xdr:cxnSp macro="">
      <xdr:nvCxnSpPr>
        <xdr:cNvPr id="127" name="Straight Connector 126">
          <a:extLst>
            <a:ext uri="{FF2B5EF4-FFF2-40B4-BE49-F238E27FC236}">
              <a16:creationId xmlns:a16="http://schemas.microsoft.com/office/drawing/2014/main" id="{6EDE816E-96D0-D927-0C6B-78864300D506}"/>
            </a:ext>
          </a:extLst>
        </xdr:cNvPr>
        <xdr:cNvCxnSpPr/>
      </xdr:nvCxnSpPr>
      <xdr:spPr>
        <a:xfrm>
          <a:off x="160143825" y="2382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62</xdr:row>
      <xdr:rowOff>200025</xdr:rowOff>
    </xdr:from>
    <xdr:to>
      <xdr:col>12</xdr:col>
      <xdr:colOff>428625</xdr:colOff>
      <xdr:row>62</xdr:row>
      <xdr:rowOff>200025</xdr:rowOff>
    </xdr:to>
    <xdr:cxnSp macro="">
      <xdr:nvCxnSpPr>
        <xdr:cNvPr id="128" name="Straight Connector 127">
          <a:extLst>
            <a:ext uri="{FF2B5EF4-FFF2-40B4-BE49-F238E27FC236}">
              <a16:creationId xmlns:a16="http://schemas.microsoft.com/office/drawing/2014/main" id="{A2C4C50A-C702-3891-9534-E2FB696DAB47}"/>
            </a:ext>
          </a:extLst>
        </xdr:cNvPr>
        <xdr:cNvCxnSpPr/>
      </xdr:nvCxnSpPr>
      <xdr:spPr>
        <a:xfrm>
          <a:off x="160143825" y="2420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63</xdr:row>
      <xdr:rowOff>200025</xdr:rowOff>
    </xdr:from>
    <xdr:to>
      <xdr:col>12</xdr:col>
      <xdr:colOff>428625</xdr:colOff>
      <xdr:row>63</xdr:row>
      <xdr:rowOff>200025</xdr:rowOff>
    </xdr:to>
    <xdr:cxnSp macro="">
      <xdr:nvCxnSpPr>
        <xdr:cNvPr id="129" name="Straight Connector 128">
          <a:extLst>
            <a:ext uri="{FF2B5EF4-FFF2-40B4-BE49-F238E27FC236}">
              <a16:creationId xmlns:a16="http://schemas.microsoft.com/office/drawing/2014/main" id="{1FA808B3-35A9-E9F9-76D9-F3613D6017E9}"/>
            </a:ext>
          </a:extLst>
        </xdr:cNvPr>
        <xdr:cNvCxnSpPr/>
      </xdr:nvCxnSpPr>
      <xdr:spPr>
        <a:xfrm>
          <a:off x="160143825" y="24584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64</xdr:row>
      <xdr:rowOff>200025</xdr:rowOff>
    </xdr:from>
    <xdr:to>
      <xdr:col>12</xdr:col>
      <xdr:colOff>428625</xdr:colOff>
      <xdr:row>64</xdr:row>
      <xdr:rowOff>200025</xdr:rowOff>
    </xdr:to>
    <xdr:cxnSp macro="">
      <xdr:nvCxnSpPr>
        <xdr:cNvPr id="130" name="Straight Connector 129">
          <a:extLst>
            <a:ext uri="{FF2B5EF4-FFF2-40B4-BE49-F238E27FC236}">
              <a16:creationId xmlns:a16="http://schemas.microsoft.com/office/drawing/2014/main" id="{9D9756B4-2053-15C4-1D6A-F61B8D61BF72}"/>
            </a:ext>
          </a:extLst>
        </xdr:cNvPr>
        <xdr:cNvCxnSpPr/>
      </xdr:nvCxnSpPr>
      <xdr:spPr>
        <a:xfrm>
          <a:off x="160143825" y="2496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65</xdr:row>
      <xdr:rowOff>200025</xdr:rowOff>
    </xdr:from>
    <xdr:to>
      <xdr:col>12</xdr:col>
      <xdr:colOff>428625</xdr:colOff>
      <xdr:row>65</xdr:row>
      <xdr:rowOff>200025</xdr:rowOff>
    </xdr:to>
    <xdr:cxnSp macro="">
      <xdr:nvCxnSpPr>
        <xdr:cNvPr id="131" name="Straight Connector 130">
          <a:extLst>
            <a:ext uri="{FF2B5EF4-FFF2-40B4-BE49-F238E27FC236}">
              <a16:creationId xmlns:a16="http://schemas.microsoft.com/office/drawing/2014/main" id="{5F425672-3C97-CE25-AE1D-4DC28E359A0C}"/>
            </a:ext>
          </a:extLst>
        </xdr:cNvPr>
        <xdr:cNvCxnSpPr/>
      </xdr:nvCxnSpPr>
      <xdr:spPr>
        <a:xfrm>
          <a:off x="160143825" y="2534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66</xdr:row>
      <xdr:rowOff>200025</xdr:rowOff>
    </xdr:from>
    <xdr:to>
      <xdr:col>12</xdr:col>
      <xdr:colOff>428625</xdr:colOff>
      <xdr:row>66</xdr:row>
      <xdr:rowOff>200025</xdr:rowOff>
    </xdr:to>
    <xdr:cxnSp macro="">
      <xdr:nvCxnSpPr>
        <xdr:cNvPr id="132" name="Straight Connector 131">
          <a:extLst>
            <a:ext uri="{FF2B5EF4-FFF2-40B4-BE49-F238E27FC236}">
              <a16:creationId xmlns:a16="http://schemas.microsoft.com/office/drawing/2014/main" id="{CDBF8CC7-DC83-7158-B9F8-B57A65302E14}"/>
            </a:ext>
          </a:extLst>
        </xdr:cNvPr>
        <xdr:cNvCxnSpPr/>
      </xdr:nvCxnSpPr>
      <xdr:spPr>
        <a:xfrm>
          <a:off x="160143825" y="2572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67</xdr:row>
      <xdr:rowOff>200025</xdr:rowOff>
    </xdr:from>
    <xdr:to>
      <xdr:col>12</xdr:col>
      <xdr:colOff>428625</xdr:colOff>
      <xdr:row>67</xdr:row>
      <xdr:rowOff>200025</xdr:rowOff>
    </xdr:to>
    <xdr:cxnSp macro="">
      <xdr:nvCxnSpPr>
        <xdr:cNvPr id="133" name="Straight Connector 132">
          <a:extLst>
            <a:ext uri="{FF2B5EF4-FFF2-40B4-BE49-F238E27FC236}">
              <a16:creationId xmlns:a16="http://schemas.microsoft.com/office/drawing/2014/main" id="{5700F12F-D9A4-7297-B05B-B67161411F3B}"/>
            </a:ext>
          </a:extLst>
        </xdr:cNvPr>
        <xdr:cNvCxnSpPr/>
      </xdr:nvCxnSpPr>
      <xdr:spPr>
        <a:xfrm>
          <a:off x="160143825" y="2610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68</xdr:row>
      <xdr:rowOff>200025</xdr:rowOff>
    </xdr:from>
    <xdr:to>
      <xdr:col>12</xdr:col>
      <xdr:colOff>428625</xdr:colOff>
      <xdr:row>68</xdr:row>
      <xdr:rowOff>200025</xdr:rowOff>
    </xdr:to>
    <xdr:cxnSp macro="">
      <xdr:nvCxnSpPr>
        <xdr:cNvPr id="134" name="Straight Connector 133">
          <a:extLst>
            <a:ext uri="{FF2B5EF4-FFF2-40B4-BE49-F238E27FC236}">
              <a16:creationId xmlns:a16="http://schemas.microsoft.com/office/drawing/2014/main" id="{F7FC1ABA-C51C-C412-C014-E30F6A97B0DB}"/>
            </a:ext>
          </a:extLst>
        </xdr:cNvPr>
        <xdr:cNvCxnSpPr/>
      </xdr:nvCxnSpPr>
      <xdr:spPr>
        <a:xfrm>
          <a:off x="160143825" y="26489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69</xdr:row>
      <xdr:rowOff>200025</xdr:rowOff>
    </xdr:from>
    <xdr:to>
      <xdr:col>12</xdr:col>
      <xdr:colOff>428625</xdr:colOff>
      <xdr:row>69</xdr:row>
      <xdr:rowOff>200025</xdr:rowOff>
    </xdr:to>
    <xdr:cxnSp macro="">
      <xdr:nvCxnSpPr>
        <xdr:cNvPr id="135" name="Straight Connector 134">
          <a:extLst>
            <a:ext uri="{FF2B5EF4-FFF2-40B4-BE49-F238E27FC236}">
              <a16:creationId xmlns:a16="http://schemas.microsoft.com/office/drawing/2014/main" id="{22652AA6-7DC5-59E5-CECD-49185C958487}"/>
            </a:ext>
          </a:extLst>
        </xdr:cNvPr>
        <xdr:cNvCxnSpPr/>
      </xdr:nvCxnSpPr>
      <xdr:spPr>
        <a:xfrm>
          <a:off x="160143825" y="26870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71</xdr:row>
      <xdr:rowOff>200025</xdr:rowOff>
    </xdr:from>
    <xdr:to>
      <xdr:col>12</xdr:col>
      <xdr:colOff>428625</xdr:colOff>
      <xdr:row>71</xdr:row>
      <xdr:rowOff>200025</xdr:rowOff>
    </xdr:to>
    <xdr:cxnSp macro="">
      <xdr:nvCxnSpPr>
        <xdr:cNvPr id="136" name="Straight Connector 135">
          <a:extLst>
            <a:ext uri="{FF2B5EF4-FFF2-40B4-BE49-F238E27FC236}">
              <a16:creationId xmlns:a16="http://schemas.microsoft.com/office/drawing/2014/main" id="{05515A97-1BA0-F0C3-D8B6-C9375170ABC6}"/>
            </a:ext>
          </a:extLst>
        </xdr:cNvPr>
        <xdr:cNvCxnSpPr/>
      </xdr:nvCxnSpPr>
      <xdr:spPr>
        <a:xfrm>
          <a:off x="160143825" y="2763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72</xdr:row>
      <xdr:rowOff>200025</xdr:rowOff>
    </xdr:from>
    <xdr:to>
      <xdr:col>12</xdr:col>
      <xdr:colOff>428625</xdr:colOff>
      <xdr:row>72</xdr:row>
      <xdr:rowOff>200025</xdr:rowOff>
    </xdr:to>
    <xdr:cxnSp macro="">
      <xdr:nvCxnSpPr>
        <xdr:cNvPr id="137" name="Straight Connector 136">
          <a:extLst>
            <a:ext uri="{FF2B5EF4-FFF2-40B4-BE49-F238E27FC236}">
              <a16:creationId xmlns:a16="http://schemas.microsoft.com/office/drawing/2014/main" id="{80973BE0-20DE-C776-FB3A-82BC0ECB8E1F}"/>
            </a:ext>
          </a:extLst>
        </xdr:cNvPr>
        <xdr:cNvCxnSpPr/>
      </xdr:nvCxnSpPr>
      <xdr:spPr>
        <a:xfrm>
          <a:off x="160143825" y="2801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73</xdr:row>
      <xdr:rowOff>200025</xdr:rowOff>
    </xdr:from>
    <xdr:to>
      <xdr:col>12</xdr:col>
      <xdr:colOff>428625</xdr:colOff>
      <xdr:row>73</xdr:row>
      <xdr:rowOff>200025</xdr:rowOff>
    </xdr:to>
    <xdr:cxnSp macro="">
      <xdr:nvCxnSpPr>
        <xdr:cNvPr id="138" name="Straight Connector 137">
          <a:extLst>
            <a:ext uri="{FF2B5EF4-FFF2-40B4-BE49-F238E27FC236}">
              <a16:creationId xmlns:a16="http://schemas.microsoft.com/office/drawing/2014/main" id="{E2C2DA2D-DF4A-254C-9097-B8E2D34E26A1}"/>
            </a:ext>
          </a:extLst>
        </xdr:cNvPr>
        <xdr:cNvCxnSpPr/>
      </xdr:nvCxnSpPr>
      <xdr:spPr>
        <a:xfrm>
          <a:off x="160143825" y="28394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74</xdr:row>
      <xdr:rowOff>200025</xdr:rowOff>
    </xdr:from>
    <xdr:to>
      <xdr:col>12</xdr:col>
      <xdr:colOff>428625</xdr:colOff>
      <xdr:row>74</xdr:row>
      <xdr:rowOff>200025</xdr:rowOff>
    </xdr:to>
    <xdr:cxnSp macro="">
      <xdr:nvCxnSpPr>
        <xdr:cNvPr id="139" name="Straight Connector 138">
          <a:extLst>
            <a:ext uri="{FF2B5EF4-FFF2-40B4-BE49-F238E27FC236}">
              <a16:creationId xmlns:a16="http://schemas.microsoft.com/office/drawing/2014/main" id="{CE3F2F65-23F4-67C6-3189-431656D76A9C}"/>
            </a:ext>
          </a:extLst>
        </xdr:cNvPr>
        <xdr:cNvCxnSpPr/>
      </xdr:nvCxnSpPr>
      <xdr:spPr>
        <a:xfrm>
          <a:off x="160143825" y="2877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75</xdr:row>
      <xdr:rowOff>200025</xdr:rowOff>
    </xdr:from>
    <xdr:to>
      <xdr:col>12</xdr:col>
      <xdr:colOff>428625</xdr:colOff>
      <xdr:row>75</xdr:row>
      <xdr:rowOff>200025</xdr:rowOff>
    </xdr:to>
    <xdr:cxnSp macro="">
      <xdr:nvCxnSpPr>
        <xdr:cNvPr id="140" name="Straight Connector 139">
          <a:extLst>
            <a:ext uri="{FF2B5EF4-FFF2-40B4-BE49-F238E27FC236}">
              <a16:creationId xmlns:a16="http://schemas.microsoft.com/office/drawing/2014/main" id="{7584EEF5-0C91-FF60-EE76-A25305C5280B}"/>
            </a:ext>
          </a:extLst>
        </xdr:cNvPr>
        <xdr:cNvCxnSpPr/>
      </xdr:nvCxnSpPr>
      <xdr:spPr>
        <a:xfrm>
          <a:off x="160143825" y="2915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77</xdr:row>
      <xdr:rowOff>200025</xdr:rowOff>
    </xdr:from>
    <xdr:to>
      <xdr:col>12</xdr:col>
      <xdr:colOff>428625</xdr:colOff>
      <xdr:row>77</xdr:row>
      <xdr:rowOff>200025</xdr:rowOff>
    </xdr:to>
    <xdr:cxnSp macro="">
      <xdr:nvCxnSpPr>
        <xdr:cNvPr id="141" name="Straight Connector 140">
          <a:extLst>
            <a:ext uri="{FF2B5EF4-FFF2-40B4-BE49-F238E27FC236}">
              <a16:creationId xmlns:a16="http://schemas.microsoft.com/office/drawing/2014/main" id="{0C2F7543-36E9-DE3C-A91E-EF7708EBD81F}"/>
            </a:ext>
          </a:extLst>
        </xdr:cNvPr>
        <xdr:cNvCxnSpPr/>
      </xdr:nvCxnSpPr>
      <xdr:spPr>
        <a:xfrm>
          <a:off x="160143825" y="2991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78</xdr:row>
      <xdr:rowOff>200025</xdr:rowOff>
    </xdr:from>
    <xdr:to>
      <xdr:col>12</xdr:col>
      <xdr:colOff>428625</xdr:colOff>
      <xdr:row>78</xdr:row>
      <xdr:rowOff>200025</xdr:rowOff>
    </xdr:to>
    <xdr:cxnSp macro="">
      <xdr:nvCxnSpPr>
        <xdr:cNvPr id="142" name="Straight Connector 141">
          <a:extLst>
            <a:ext uri="{FF2B5EF4-FFF2-40B4-BE49-F238E27FC236}">
              <a16:creationId xmlns:a16="http://schemas.microsoft.com/office/drawing/2014/main" id="{4A416F14-EE48-DA89-F979-448FF822B1DC}"/>
            </a:ext>
          </a:extLst>
        </xdr:cNvPr>
        <xdr:cNvCxnSpPr/>
      </xdr:nvCxnSpPr>
      <xdr:spPr>
        <a:xfrm>
          <a:off x="160143825" y="30299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79</xdr:row>
      <xdr:rowOff>200025</xdr:rowOff>
    </xdr:from>
    <xdr:to>
      <xdr:col>12</xdr:col>
      <xdr:colOff>428625</xdr:colOff>
      <xdr:row>79</xdr:row>
      <xdr:rowOff>200025</xdr:rowOff>
    </xdr:to>
    <xdr:cxnSp macro="">
      <xdr:nvCxnSpPr>
        <xdr:cNvPr id="143" name="Straight Connector 142">
          <a:extLst>
            <a:ext uri="{FF2B5EF4-FFF2-40B4-BE49-F238E27FC236}">
              <a16:creationId xmlns:a16="http://schemas.microsoft.com/office/drawing/2014/main" id="{97CBBB68-7106-256B-BA12-E59326A2FDC7}"/>
            </a:ext>
          </a:extLst>
        </xdr:cNvPr>
        <xdr:cNvCxnSpPr/>
      </xdr:nvCxnSpPr>
      <xdr:spPr>
        <a:xfrm>
          <a:off x="160143825" y="30680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80</xdr:row>
      <xdr:rowOff>200025</xdr:rowOff>
    </xdr:from>
    <xdr:to>
      <xdr:col>12</xdr:col>
      <xdr:colOff>428625</xdr:colOff>
      <xdr:row>80</xdr:row>
      <xdr:rowOff>200025</xdr:rowOff>
    </xdr:to>
    <xdr:cxnSp macro="">
      <xdr:nvCxnSpPr>
        <xdr:cNvPr id="144" name="Straight Connector 143">
          <a:extLst>
            <a:ext uri="{FF2B5EF4-FFF2-40B4-BE49-F238E27FC236}">
              <a16:creationId xmlns:a16="http://schemas.microsoft.com/office/drawing/2014/main" id="{DF0A84A4-AC7F-9D50-0773-C0F889C6FB0B}"/>
            </a:ext>
          </a:extLst>
        </xdr:cNvPr>
        <xdr:cNvCxnSpPr/>
      </xdr:nvCxnSpPr>
      <xdr:spPr>
        <a:xfrm>
          <a:off x="160143825" y="3106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81</xdr:row>
      <xdr:rowOff>200025</xdr:rowOff>
    </xdr:from>
    <xdr:to>
      <xdr:col>12</xdr:col>
      <xdr:colOff>428625</xdr:colOff>
      <xdr:row>81</xdr:row>
      <xdr:rowOff>200025</xdr:rowOff>
    </xdr:to>
    <xdr:cxnSp macro="">
      <xdr:nvCxnSpPr>
        <xdr:cNvPr id="145" name="Straight Connector 144">
          <a:extLst>
            <a:ext uri="{FF2B5EF4-FFF2-40B4-BE49-F238E27FC236}">
              <a16:creationId xmlns:a16="http://schemas.microsoft.com/office/drawing/2014/main" id="{C32B3764-4BA0-F31D-588E-2399C6B8C5FB}"/>
            </a:ext>
          </a:extLst>
        </xdr:cNvPr>
        <xdr:cNvCxnSpPr/>
      </xdr:nvCxnSpPr>
      <xdr:spPr>
        <a:xfrm>
          <a:off x="160143825" y="3144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82</xdr:row>
      <xdr:rowOff>200025</xdr:rowOff>
    </xdr:from>
    <xdr:to>
      <xdr:col>12</xdr:col>
      <xdr:colOff>428625</xdr:colOff>
      <xdr:row>82</xdr:row>
      <xdr:rowOff>200025</xdr:rowOff>
    </xdr:to>
    <xdr:cxnSp macro="">
      <xdr:nvCxnSpPr>
        <xdr:cNvPr id="146" name="Straight Connector 145">
          <a:extLst>
            <a:ext uri="{FF2B5EF4-FFF2-40B4-BE49-F238E27FC236}">
              <a16:creationId xmlns:a16="http://schemas.microsoft.com/office/drawing/2014/main" id="{AAEEA725-8E6E-7AF1-AAAD-009DC2DE0E63}"/>
            </a:ext>
          </a:extLst>
        </xdr:cNvPr>
        <xdr:cNvCxnSpPr/>
      </xdr:nvCxnSpPr>
      <xdr:spPr>
        <a:xfrm>
          <a:off x="160143825" y="3182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85</xdr:row>
      <xdr:rowOff>200025</xdr:rowOff>
    </xdr:from>
    <xdr:to>
      <xdr:col>12</xdr:col>
      <xdr:colOff>428625</xdr:colOff>
      <xdr:row>85</xdr:row>
      <xdr:rowOff>200025</xdr:rowOff>
    </xdr:to>
    <xdr:cxnSp macro="">
      <xdr:nvCxnSpPr>
        <xdr:cNvPr id="147" name="Straight Connector 146">
          <a:extLst>
            <a:ext uri="{FF2B5EF4-FFF2-40B4-BE49-F238E27FC236}">
              <a16:creationId xmlns:a16="http://schemas.microsoft.com/office/drawing/2014/main" id="{A4B965D6-40ED-1046-2550-EC3DCA75E72D}"/>
            </a:ext>
          </a:extLst>
        </xdr:cNvPr>
        <xdr:cNvCxnSpPr/>
      </xdr:nvCxnSpPr>
      <xdr:spPr>
        <a:xfrm>
          <a:off x="160143825" y="3296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86</xdr:row>
      <xdr:rowOff>200025</xdr:rowOff>
    </xdr:from>
    <xdr:to>
      <xdr:col>12</xdr:col>
      <xdr:colOff>428625</xdr:colOff>
      <xdr:row>86</xdr:row>
      <xdr:rowOff>200025</xdr:rowOff>
    </xdr:to>
    <xdr:cxnSp macro="">
      <xdr:nvCxnSpPr>
        <xdr:cNvPr id="148" name="Straight Connector 147">
          <a:extLst>
            <a:ext uri="{FF2B5EF4-FFF2-40B4-BE49-F238E27FC236}">
              <a16:creationId xmlns:a16="http://schemas.microsoft.com/office/drawing/2014/main" id="{8FA016F7-E91F-61DE-1654-AC4DE9BE33EE}"/>
            </a:ext>
          </a:extLst>
        </xdr:cNvPr>
        <xdr:cNvCxnSpPr/>
      </xdr:nvCxnSpPr>
      <xdr:spPr>
        <a:xfrm>
          <a:off x="160143825" y="3334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89</xdr:row>
      <xdr:rowOff>200025</xdr:rowOff>
    </xdr:from>
    <xdr:to>
      <xdr:col>12</xdr:col>
      <xdr:colOff>428625</xdr:colOff>
      <xdr:row>89</xdr:row>
      <xdr:rowOff>200025</xdr:rowOff>
    </xdr:to>
    <xdr:cxnSp macro="">
      <xdr:nvCxnSpPr>
        <xdr:cNvPr id="149" name="Straight Connector 148">
          <a:extLst>
            <a:ext uri="{FF2B5EF4-FFF2-40B4-BE49-F238E27FC236}">
              <a16:creationId xmlns:a16="http://schemas.microsoft.com/office/drawing/2014/main" id="{387E8B26-629B-D5F2-3CA2-6637EC1DF002}"/>
            </a:ext>
          </a:extLst>
        </xdr:cNvPr>
        <xdr:cNvCxnSpPr/>
      </xdr:nvCxnSpPr>
      <xdr:spPr>
        <a:xfrm>
          <a:off x="160143825" y="34490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90</xdr:row>
      <xdr:rowOff>200025</xdr:rowOff>
    </xdr:from>
    <xdr:to>
      <xdr:col>12</xdr:col>
      <xdr:colOff>428625</xdr:colOff>
      <xdr:row>90</xdr:row>
      <xdr:rowOff>200025</xdr:rowOff>
    </xdr:to>
    <xdr:cxnSp macro="">
      <xdr:nvCxnSpPr>
        <xdr:cNvPr id="150" name="Straight Connector 149">
          <a:extLst>
            <a:ext uri="{FF2B5EF4-FFF2-40B4-BE49-F238E27FC236}">
              <a16:creationId xmlns:a16="http://schemas.microsoft.com/office/drawing/2014/main" id="{BF14DE7F-D902-7F0D-6828-81836F4B9031}"/>
            </a:ext>
          </a:extLst>
        </xdr:cNvPr>
        <xdr:cNvCxnSpPr/>
      </xdr:nvCxnSpPr>
      <xdr:spPr>
        <a:xfrm>
          <a:off x="160143825" y="3487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91</xdr:row>
      <xdr:rowOff>200025</xdr:rowOff>
    </xdr:from>
    <xdr:to>
      <xdr:col>12</xdr:col>
      <xdr:colOff>428625</xdr:colOff>
      <xdr:row>91</xdr:row>
      <xdr:rowOff>200025</xdr:rowOff>
    </xdr:to>
    <xdr:cxnSp macro="">
      <xdr:nvCxnSpPr>
        <xdr:cNvPr id="151" name="Straight Connector 150">
          <a:extLst>
            <a:ext uri="{FF2B5EF4-FFF2-40B4-BE49-F238E27FC236}">
              <a16:creationId xmlns:a16="http://schemas.microsoft.com/office/drawing/2014/main" id="{80A86072-CA3A-8191-47F3-1E52BE2B67B2}"/>
            </a:ext>
          </a:extLst>
        </xdr:cNvPr>
        <xdr:cNvCxnSpPr/>
      </xdr:nvCxnSpPr>
      <xdr:spPr>
        <a:xfrm>
          <a:off x="160143825" y="3525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93</xdr:row>
      <xdr:rowOff>200025</xdr:rowOff>
    </xdr:from>
    <xdr:to>
      <xdr:col>12</xdr:col>
      <xdr:colOff>428625</xdr:colOff>
      <xdr:row>93</xdr:row>
      <xdr:rowOff>200025</xdr:rowOff>
    </xdr:to>
    <xdr:cxnSp macro="">
      <xdr:nvCxnSpPr>
        <xdr:cNvPr id="152" name="Straight Connector 151">
          <a:extLst>
            <a:ext uri="{FF2B5EF4-FFF2-40B4-BE49-F238E27FC236}">
              <a16:creationId xmlns:a16="http://schemas.microsoft.com/office/drawing/2014/main" id="{E1AEB1F5-620A-F68E-879F-25D671167835}"/>
            </a:ext>
          </a:extLst>
        </xdr:cNvPr>
        <xdr:cNvCxnSpPr/>
      </xdr:nvCxnSpPr>
      <xdr:spPr>
        <a:xfrm>
          <a:off x="160143825" y="36014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94</xdr:row>
      <xdr:rowOff>200025</xdr:rowOff>
    </xdr:from>
    <xdr:to>
      <xdr:col>12</xdr:col>
      <xdr:colOff>428625</xdr:colOff>
      <xdr:row>94</xdr:row>
      <xdr:rowOff>200025</xdr:rowOff>
    </xdr:to>
    <xdr:cxnSp macro="">
      <xdr:nvCxnSpPr>
        <xdr:cNvPr id="153" name="Straight Connector 152">
          <a:extLst>
            <a:ext uri="{FF2B5EF4-FFF2-40B4-BE49-F238E27FC236}">
              <a16:creationId xmlns:a16="http://schemas.microsoft.com/office/drawing/2014/main" id="{15996B7F-1C68-F048-C1C9-92B6D9F5B3A9}"/>
            </a:ext>
          </a:extLst>
        </xdr:cNvPr>
        <xdr:cNvCxnSpPr/>
      </xdr:nvCxnSpPr>
      <xdr:spPr>
        <a:xfrm>
          <a:off x="160143825" y="3639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98</xdr:row>
      <xdr:rowOff>200025</xdr:rowOff>
    </xdr:from>
    <xdr:to>
      <xdr:col>12</xdr:col>
      <xdr:colOff>428625</xdr:colOff>
      <xdr:row>98</xdr:row>
      <xdr:rowOff>200025</xdr:rowOff>
    </xdr:to>
    <xdr:cxnSp macro="">
      <xdr:nvCxnSpPr>
        <xdr:cNvPr id="154" name="Straight Connector 153">
          <a:extLst>
            <a:ext uri="{FF2B5EF4-FFF2-40B4-BE49-F238E27FC236}">
              <a16:creationId xmlns:a16="http://schemas.microsoft.com/office/drawing/2014/main" id="{894320C4-58B6-3410-CC6F-E97493495778}"/>
            </a:ext>
          </a:extLst>
        </xdr:cNvPr>
        <xdr:cNvCxnSpPr/>
      </xdr:nvCxnSpPr>
      <xdr:spPr>
        <a:xfrm>
          <a:off x="160143825" y="37919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99</xdr:row>
      <xdr:rowOff>200025</xdr:rowOff>
    </xdr:from>
    <xdr:to>
      <xdr:col>12</xdr:col>
      <xdr:colOff>428625</xdr:colOff>
      <xdr:row>99</xdr:row>
      <xdr:rowOff>200025</xdr:rowOff>
    </xdr:to>
    <xdr:cxnSp macro="">
      <xdr:nvCxnSpPr>
        <xdr:cNvPr id="155" name="Straight Connector 154">
          <a:extLst>
            <a:ext uri="{FF2B5EF4-FFF2-40B4-BE49-F238E27FC236}">
              <a16:creationId xmlns:a16="http://schemas.microsoft.com/office/drawing/2014/main" id="{FAFECB4D-9C18-CF1C-9B8A-AE099D1ECE82}"/>
            </a:ext>
          </a:extLst>
        </xdr:cNvPr>
        <xdr:cNvCxnSpPr/>
      </xdr:nvCxnSpPr>
      <xdr:spPr>
        <a:xfrm>
          <a:off x="160143825" y="38300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100</xdr:row>
      <xdr:rowOff>200025</xdr:rowOff>
    </xdr:from>
    <xdr:to>
      <xdr:col>12</xdr:col>
      <xdr:colOff>428625</xdr:colOff>
      <xdr:row>100</xdr:row>
      <xdr:rowOff>200025</xdr:rowOff>
    </xdr:to>
    <xdr:cxnSp macro="">
      <xdr:nvCxnSpPr>
        <xdr:cNvPr id="156" name="Straight Connector 155">
          <a:extLst>
            <a:ext uri="{FF2B5EF4-FFF2-40B4-BE49-F238E27FC236}">
              <a16:creationId xmlns:a16="http://schemas.microsoft.com/office/drawing/2014/main" id="{87B0E5DA-B6CC-2028-73B9-01A662149CBC}"/>
            </a:ext>
          </a:extLst>
        </xdr:cNvPr>
        <xdr:cNvCxnSpPr/>
      </xdr:nvCxnSpPr>
      <xdr:spPr>
        <a:xfrm>
          <a:off x="160143825" y="3868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101</xdr:row>
      <xdr:rowOff>200025</xdr:rowOff>
    </xdr:from>
    <xdr:to>
      <xdr:col>12</xdr:col>
      <xdr:colOff>428625</xdr:colOff>
      <xdr:row>101</xdr:row>
      <xdr:rowOff>200025</xdr:rowOff>
    </xdr:to>
    <xdr:cxnSp macro="">
      <xdr:nvCxnSpPr>
        <xdr:cNvPr id="157" name="Straight Connector 156">
          <a:extLst>
            <a:ext uri="{FF2B5EF4-FFF2-40B4-BE49-F238E27FC236}">
              <a16:creationId xmlns:a16="http://schemas.microsoft.com/office/drawing/2014/main" id="{05899977-9B49-2578-AC8F-A91934A60D03}"/>
            </a:ext>
          </a:extLst>
        </xdr:cNvPr>
        <xdr:cNvCxnSpPr/>
      </xdr:nvCxnSpPr>
      <xdr:spPr>
        <a:xfrm>
          <a:off x="160143825" y="3906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102</xdr:row>
      <xdr:rowOff>200025</xdr:rowOff>
    </xdr:from>
    <xdr:to>
      <xdr:col>12</xdr:col>
      <xdr:colOff>428625</xdr:colOff>
      <xdr:row>102</xdr:row>
      <xdr:rowOff>200025</xdr:rowOff>
    </xdr:to>
    <xdr:cxnSp macro="">
      <xdr:nvCxnSpPr>
        <xdr:cNvPr id="158" name="Straight Connector 157">
          <a:extLst>
            <a:ext uri="{FF2B5EF4-FFF2-40B4-BE49-F238E27FC236}">
              <a16:creationId xmlns:a16="http://schemas.microsoft.com/office/drawing/2014/main" id="{82CC8D57-1C72-A52C-0C43-21C3F061379A}"/>
            </a:ext>
          </a:extLst>
        </xdr:cNvPr>
        <xdr:cNvCxnSpPr/>
      </xdr:nvCxnSpPr>
      <xdr:spPr>
        <a:xfrm>
          <a:off x="160143825" y="3944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103</xdr:row>
      <xdr:rowOff>200025</xdr:rowOff>
    </xdr:from>
    <xdr:to>
      <xdr:col>12</xdr:col>
      <xdr:colOff>428625</xdr:colOff>
      <xdr:row>103</xdr:row>
      <xdr:rowOff>200025</xdr:rowOff>
    </xdr:to>
    <xdr:cxnSp macro="">
      <xdr:nvCxnSpPr>
        <xdr:cNvPr id="159" name="Straight Connector 158">
          <a:extLst>
            <a:ext uri="{FF2B5EF4-FFF2-40B4-BE49-F238E27FC236}">
              <a16:creationId xmlns:a16="http://schemas.microsoft.com/office/drawing/2014/main" id="{C76AFB50-B83A-482D-BB53-581512B796F9}"/>
            </a:ext>
          </a:extLst>
        </xdr:cNvPr>
        <xdr:cNvCxnSpPr/>
      </xdr:nvCxnSpPr>
      <xdr:spPr>
        <a:xfrm>
          <a:off x="160143825" y="39824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105</xdr:row>
      <xdr:rowOff>200025</xdr:rowOff>
    </xdr:from>
    <xdr:to>
      <xdr:col>12</xdr:col>
      <xdr:colOff>428625</xdr:colOff>
      <xdr:row>105</xdr:row>
      <xdr:rowOff>200025</xdr:rowOff>
    </xdr:to>
    <xdr:cxnSp macro="">
      <xdr:nvCxnSpPr>
        <xdr:cNvPr id="160" name="Straight Connector 159">
          <a:extLst>
            <a:ext uri="{FF2B5EF4-FFF2-40B4-BE49-F238E27FC236}">
              <a16:creationId xmlns:a16="http://schemas.microsoft.com/office/drawing/2014/main" id="{A053A4C3-411A-0403-9807-6B0AB4E951E9}"/>
            </a:ext>
          </a:extLst>
        </xdr:cNvPr>
        <xdr:cNvCxnSpPr/>
      </xdr:nvCxnSpPr>
      <xdr:spPr>
        <a:xfrm>
          <a:off x="160143825" y="4058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106</xdr:row>
      <xdr:rowOff>200025</xdr:rowOff>
    </xdr:from>
    <xdr:to>
      <xdr:col>12</xdr:col>
      <xdr:colOff>428625</xdr:colOff>
      <xdr:row>106</xdr:row>
      <xdr:rowOff>200025</xdr:rowOff>
    </xdr:to>
    <xdr:cxnSp macro="">
      <xdr:nvCxnSpPr>
        <xdr:cNvPr id="161" name="Straight Connector 160">
          <a:extLst>
            <a:ext uri="{FF2B5EF4-FFF2-40B4-BE49-F238E27FC236}">
              <a16:creationId xmlns:a16="http://schemas.microsoft.com/office/drawing/2014/main" id="{7680F0A4-B4B8-076B-4795-E3B3FA86D943}"/>
            </a:ext>
          </a:extLst>
        </xdr:cNvPr>
        <xdr:cNvCxnSpPr/>
      </xdr:nvCxnSpPr>
      <xdr:spPr>
        <a:xfrm>
          <a:off x="160143825" y="4096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107</xdr:row>
      <xdr:rowOff>200025</xdr:rowOff>
    </xdr:from>
    <xdr:to>
      <xdr:col>12</xdr:col>
      <xdr:colOff>428625</xdr:colOff>
      <xdr:row>107</xdr:row>
      <xdr:rowOff>200025</xdr:rowOff>
    </xdr:to>
    <xdr:cxnSp macro="">
      <xdr:nvCxnSpPr>
        <xdr:cNvPr id="162" name="Straight Connector 161">
          <a:extLst>
            <a:ext uri="{FF2B5EF4-FFF2-40B4-BE49-F238E27FC236}">
              <a16:creationId xmlns:a16="http://schemas.microsoft.com/office/drawing/2014/main" id="{3E61430D-89E1-A343-AF5A-92C8AB950067}"/>
            </a:ext>
          </a:extLst>
        </xdr:cNvPr>
        <xdr:cNvCxnSpPr/>
      </xdr:nvCxnSpPr>
      <xdr:spPr>
        <a:xfrm>
          <a:off x="160143825" y="4134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108</xdr:row>
      <xdr:rowOff>200025</xdr:rowOff>
    </xdr:from>
    <xdr:to>
      <xdr:col>12</xdr:col>
      <xdr:colOff>428625</xdr:colOff>
      <xdr:row>108</xdr:row>
      <xdr:rowOff>200025</xdr:rowOff>
    </xdr:to>
    <xdr:cxnSp macro="">
      <xdr:nvCxnSpPr>
        <xdr:cNvPr id="163" name="Straight Connector 162">
          <a:extLst>
            <a:ext uri="{FF2B5EF4-FFF2-40B4-BE49-F238E27FC236}">
              <a16:creationId xmlns:a16="http://schemas.microsoft.com/office/drawing/2014/main" id="{0099F681-AAC6-935F-E063-F453D6433F33}"/>
            </a:ext>
          </a:extLst>
        </xdr:cNvPr>
        <xdr:cNvCxnSpPr/>
      </xdr:nvCxnSpPr>
      <xdr:spPr>
        <a:xfrm>
          <a:off x="160143825" y="41729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109</xdr:row>
      <xdr:rowOff>200025</xdr:rowOff>
    </xdr:from>
    <xdr:to>
      <xdr:col>12</xdr:col>
      <xdr:colOff>428625</xdr:colOff>
      <xdr:row>109</xdr:row>
      <xdr:rowOff>200025</xdr:rowOff>
    </xdr:to>
    <xdr:cxnSp macro="">
      <xdr:nvCxnSpPr>
        <xdr:cNvPr id="164" name="Straight Connector 163">
          <a:extLst>
            <a:ext uri="{FF2B5EF4-FFF2-40B4-BE49-F238E27FC236}">
              <a16:creationId xmlns:a16="http://schemas.microsoft.com/office/drawing/2014/main" id="{B759D32E-E634-70FB-CA58-D06328FE0220}"/>
            </a:ext>
          </a:extLst>
        </xdr:cNvPr>
        <xdr:cNvCxnSpPr/>
      </xdr:nvCxnSpPr>
      <xdr:spPr>
        <a:xfrm>
          <a:off x="160143825" y="42110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110</xdr:row>
      <xdr:rowOff>200025</xdr:rowOff>
    </xdr:from>
    <xdr:to>
      <xdr:col>12</xdr:col>
      <xdr:colOff>428625</xdr:colOff>
      <xdr:row>110</xdr:row>
      <xdr:rowOff>200025</xdr:rowOff>
    </xdr:to>
    <xdr:cxnSp macro="">
      <xdr:nvCxnSpPr>
        <xdr:cNvPr id="165" name="Straight Connector 164">
          <a:extLst>
            <a:ext uri="{FF2B5EF4-FFF2-40B4-BE49-F238E27FC236}">
              <a16:creationId xmlns:a16="http://schemas.microsoft.com/office/drawing/2014/main" id="{3AEDBD81-1E17-48AF-9144-90ED79F78782}"/>
            </a:ext>
          </a:extLst>
        </xdr:cNvPr>
        <xdr:cNvCxnSpPr/>
      </xdr:nvCxnSpPr>
      <xdr:spPr>
        <a:xfrm>
          <a:off x="160143825" y="4249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111</xdr:row>
      <xdr:rowOff>200025</xdr:rowOff>
    </xdr:from>
    <xdr:to>
      <xdr:col>12</xdr:col>
      <xdr:colOff>428625</xdr:colOff>
      <xdr:row>111</xdr:row>
      <xdr:rowOff>200025</xdr:rowOff>
    </xdr:to>
    <xdr:cxnSp macro="">
      <xdr:nvCxnSpPr>
        <xdr:cNvPr id="166" name="Straight Connector 165">
          <a:extLst>
            <a:ext uri="{FF2B5EF4-FFF2-40B4-BE49-F238E27FC236}">
              <a16:creationId xmlns:a16="http://schemas.microsoft.com/office/drawing/2014/main" id="{676B4333-3DAD-F334-1874-B336A890F50A}"/>
            </a:ext>
          </a:extLst>
        </xdr:cNvPr>
        <xdr:cNvCxnSpPr/>
      </xdr:nvCxnSpPr>
      <xdr:spPr>
        <a:xfrm>
          <a:off x="160143825" y="4287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113</xdr:row>
      <xdr:rowOff>200025</xdr:rowOff>
    </xdr:from>
    <xdr:to>
      <xdr:col>12</xdr:col>
      <xdr:colOff>428625</xdr:colOff>
      <xdr:row>113</xdr:row>
      <xdr:rowOff>200025</xdr:rowOff>
    </xdr:to>
    <xdr:cxnSp macro="">
      <xdr:nvCxnSpPr>
        <xdr:cNvPr id="167" name="Straight Connector 166">
          <a:extLst>
            <a:ext uri="{FF2B5EF4-FFF2-40B4-BE49-F238E27FC236}">
              <a16:creationId xmlns:a16="http://schemas.microsoft.com/office/drawing/2014/main" id="{1E2994DD-171D-A1D3-6CE9-893848AA5F6B}"/>
            </a:ext>
          </a:extLst>
        </xdr:cNvPr>
        <xdr:cNvCxnSpPr/>
      </xdr:nvCxnSpPr>
      <xdr:spPr>
        <a:xfrm>
          <a:off x="160143825" y="43634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115</xdr:row>
      <xdr:rowOff>200025</xdr:rowOff>
    </xdr:from>
    <xdr:to>
      <xdr:col>12</xdr:col>
      <xdr:colOff>428625</xdr:colOff>
      <xdr:row>115</xdr:row>
      <xdr:rowOff>200025</xdr:rowOff>
    </xdr:to>
    <xdr:cxnSp macro="">
      <xdr:nvCxnSpPr>
        <xdr:cNvPr id="168" name="Straight Connector 167">
          <a:extLst>
            <a:ext uri="{FF2B5EF4-FFF2-40B4-BE49-F238E27FC236}">
              <a16:creationId xmlns:a16="http://schemas.microsoft.com/office/drawing/2014/main" id="{33E7E356-B0F5-BFF0-5121-E69A3CDE7E61}"/>
            </a:ext>
          </a:extLst>
        </xdr:cNvPr>
        <xdr:cNvCxnSpPr/>
      </xdr:nvCxnSpPr>
      <xdr:spPr>
        <a:xfrm>
          <a:off x="160143825" y="4439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116</xdr:row>
      <xdr:rowOff>200025</xdr:rowOff>
    </xdr:from>
    <xdr:to>
      <xdr:col>12</xdr:col>
      <xdr:colOff>428625</xdr:colOff>
      <xdr:row>116</xdr:row>
      <xdr:rowOff>200025</xdr:rowOff>
    </xdr:to>
    <xdr:cxnSp macro="">
      <xdr:nvCxnSpPr>
        <xdr:cNvPr id="169" name="Straight Connector 168">
          <a:extLst>
            <a:ext uri="{FF2B5EF4-FFF2-40B4-BE49-F238E27FC236}">
              <a16:creationId xmlns:a16="http://schemas.microsoft.com/office/drawing/2014/main" id="{EE41BDC6-A55D-4920-8621-5456019E7D56}"/>
            </a:ext>
          </a:extLst>
        </xdr:cNvPr>
        <xdr:cNvCxnSpPr/>
      </xdr:nvCxnSpPr>
      <xdr:spPr>
        <a:xfrm>
          <a:off x="160143825" y="4477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117</xdr:row>
      <xdr:rowOff>200025</xdr:rowOff>
    </xdr:from>
    <xdr:to>
      <xdr:col>12</xdr:col>
      <xdr:colOff>428625</xdr:colOff>
      <xdr:row>117</xdr:row>
      <xdr:rowOff>200025</xdr:rowOff>
    </xdr:to>
    <xdr:cxnSp macro="">
      <xdr:nvCxnSpPr>
        <xdr:cNvPr id="170" name="Straight Connector 169">
          <a:extLst>
            <a:ext uri="{FF2B5EF4-FFF2-40B4-BE49-F238E27FC236}">
              <a16:creationId xmlns:a16="http://schemas.microsoft.com/office/drawing/2014/main" id="{393D8EF9-A401-BF0D-8A10-54370AF4BDA5}"/>
            </a:ext>
          </a:extLst>
        </xdr:cNvPr>
        <xdr:cNvCxnSpPr/>
      </xdr:nvCxnSpPr>
      <xdr:spPr>
        <a:xfrm>
          <a:off x="160143825" y="4515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119</xdr:row>
      <xdr:rowOff>200025</xdr:rowOff>
    </xdr:from>
    <xdr:to>
      <xdr:col>12</xdr:col>
      <xdr:colOff>428625</xdr:colOff>
      <xdr:row>119</xdr:row>
      <xdr:rowOff>200025</xdr:rowOff>
    </xdr:to>
    <xdr:cxnSp macro="">
      <xdr:nvCxnSpPr>
        <xdr:cNvPr id="171" name="Straight Connector 170">
          <a:extLst>
            <a:ext uri="{FF2B5EF4-FFF2-40B4-BE49-F238E27FC236}">
              <a16:creationId xmlns:a16="http://schemas.microsoft.com/office/drawing/2014/main" id="{78BCFB1F-68CC-F9CC-767E-E61CD97BFFF8}"/>
            </a:ext>
          </a:extLst>
        </xdr:cNvPr>
        <xdr:cNvCxnSpPr/>
      </xdr:nvCxnSpPr>
      <xdr:spPr>
        <a:xfrm>
          <a:off x="160143825" y="45920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122</xdr:row>
      <xdr:rowOff>200025</xdr:rowOff>
    </xdr:from>
    <xdr:to>
      <xdr:col>12</xdr:col>
      <xdr:colOff>428625</xdr:colOff>
      <xdr:row>122</xdr:row>
      <xdr:rowOff>200025</xdr:rowOff>
    </xdr:to>
    <xdr:cxnSp macro="">
      <xdr:nvCxnSpPr>
        <xdr:cNvPr id="172" name="Straight Connector 171">
          <a:extLst>
            <a:ext uri="{FF2B5EF4-FFF2-40B4-BE49-F238E27FC236}">
              <a16:creationId xmlns:a16="http://schemas.microsoft.com/office/drawing/2014/main" id="{1FFA6CDC-347B-EB70-8224-A784EB11F79B}"/>
            </a:ext>
          </a:extLst>
        </xdr:cNvPr>
        <xdr:cNvCxnSpPr/>
      </xdr:nvCxnSpPr>
      <xdr:spPr>
        <a:xfrm>
          <a:off x="160143825" y="4706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123</xdr:row>
      <xdr:rowOff>200025</xdr:rowOff>
    </xdr:from>
    <xdr:to>
      <xdr:col>12</xdr:col>
      <xdr:colOff>428625</xdr:colOff>
      <xdr:row>123</xdr:row>
      <xdr:rowOff>200025</xdr:rowOff>
    </xdr:to>
    <xdr:cxnSp macro="">
      <xdr:nvCxnSpPr>
        <xdr:cNvPr id="173" name="Straight Connector 172">
          <a:extLst>
            <a:ext uri="{FF2B5EF4-FFF2-40B4-BE49-F238E27FC236}">
              <a16:creationId xmlns:a16="http://schemas.microsoft.com/office/drawing/2014/main" id="{93BC0828-3447-C327-FFF4-DA326E5D4E47}"/>
            </a:ext>
          </a:extLst>
        </xdr:cNvPr>
        <xdr:cNvCxnSpPr/>
      </xdr:nvCxnSpPr>
      <xdr:spPr>
        <a:xfrm>
          <a:off x="160143825" y="47444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124</xdr:row>
      <xdr:rowOff>200025</xdr:rowOff>
    </xdr:from>
    <xdr:to>
      <xdr:col>12</xdr:col>
      <xdr:colOff>428625</xdr:colOff>
      <xdr:row>124</xdr:row>
      <xdr:rowOff>200025</xdr:rowOff>
    </xdr:to>
    <xdr:cxnSp macro="">
      <xdr:nvCxnSpPr>
        <xdr:cNvPr id="174" name="Straight Connector 173">
          <a:extLst>
            <a:ext uri="{FF2B5EF4-FFF2-40B4-BE49-F238E27FC236}">
              <a16:creationId xmlns:a16="http://schemas.microsoft.com/office/drawing/2014/main" id="{684634CC-639A-5BE4-9B8F-19ED094EA274}"/>
            </a:ext>
          </a:extLst>
        </xdr:cNvPr>
        <xdr:cNvCxnSpPr/>
      </xdr:nvCxnSpPr>
      <xdr:spPr>
        <a:xfrm>
          <a:off x="160143825" y="4782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125</xdr:row>
      <xdr:rowOff>200025</xdr:rowOff>
    </xdr:from>
    <xdr:to>
      <xdr:col>12</xdr:col>
      <xdr:colOff>428625</xdr:colOff>
      <xdr:row>125</xdr:row>
      <xdr:rowOff>200025</xdr:rowOff>
    </xdr:to>
    <xdr:cxnSp macro="">
      <xdr:nvCxnSpPr>
        <xdr:cNvPr id="175" name="Straight Connector 174">
          <a:extLst>
            <a:ext uri="{FF2B5EF4-FFF2-40B4-BE49-F238E27FC236}">
              <a16:creationId xmlns:a16="http://schemas.microsoft.com/office/drawing/2014/main" id="{8312537F-6CB5-EC75-9249-F8D60BD19ADA}"/>
            </a:ext>
          </a:extLst>
        </xdr:cNvPr>
        <xdr:cNvCxnSpPr/>
      </xdr:nvCxnSpPr>
      <xdr:spPr>
        <a:xfrm>
          <a:off x="160143825" y="4820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126</xdr:row>
      <xdr:rowOff>200025</xdr:rowOff>
    </xdr:from>
    <xdr:to>
      <xdr:col>12</xdr:col>
      <xdr:colOff>428625</xdr:colOff>
      <xdr:row>126</xdr:row>
      <xdr:rowOff>200025</xdr:rowOff>
    </xdr:to>
    <xdr:cxnSp macro="">
      <xdr:nvCxnSpPr>
        <xdr:cNvPr id="176" name="Straight Connector 175">
          <a:extLst>
            <a:ext uri="{FF2B5EF4-FFF2-40B4-BE49-F238E27FC236}">
              <a16:creationId xmlns:a16="http://schemas.microsoft.com/office/drawing/2014/main" id="{0AC27BF0-80ED-5F86-61E1-805BEC297DC3}"/>
            </a:ext>
          </a:extLst>
        </xdr:cNvPr>
        <xdr:cNvCxnSpPr/>
      </xdr:nvCxnSpPr>
      <xdr:spPr>
        <a:xfrm>
          <a:off x="160143825" y="4858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127</xdr:row>
      <xdr:rowOff>200025</xdr:rowOff>
    </xdr:from>
    <xdr:to>
      <xdr:col>12</xdr:col>
      <xdr:colOff>428625</xdr:colOff>
      <xdr:row>127</xdr:row>
      <xdr:rowOff>200025</xdr:rowOff>
    </xdr:to>
    <xdr:cxnSp macro="">
      <xdr:nvCxnSpPr>
        <xdr:cNvPr id="177" name="Straight Connector 176">
          <a:extLst>
            <a:ext uri="{FF2B5EF4-FFF2-40B4-BE49-F238E27FC236}">
              <a16:creationId xmlns:a16="http://schemas.microsoft.com/office/drawing/2014/main" id="{AEC9EEF6-CFA9-5963-D852-E5644C58864C}"/>
            </a:ext>
          </a:extLst>
        </xdr:cNvPr>
        <xdr:cNvCxnSpPr/>
      </xdr:nvCxnSpPr>
      <xdr:spPr>
        <a:xfrm>
          <a:off x="160143825" y="4896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128</xdr:row>
      <xdr:rowOff>200025</xdr:rowOff>
    </xdr:from>
    <xdr:to>
      <xdr:col>12</xdr:col>
      <xdr:colOff>428625</xdr:colOff>
      <xdr:row>128</xdr:row>
      <xdr:rowOff>200025</xdr:rowOff>
    </xdr:to>
    <xdr:cxnSp macro="">
      <xdr:nvCxnSpPr>
        <xdr:cNvPr id="178" name="Straight Connector 177">
          <a:extLst>
            <a:ext uri="{FF2B5EF4-FFF2-40B4-BE49-F238E27FC236}">
              <a16:creationId xmlns:a16="http://schemas.microsoft.com/office/drawing/2014/main" id="{A9C53F90-ABC7-E179-E0DF-430DB5DD03E8}"/>
            </a:ext>
          </a:extLst>
        </xdr:cNvPr>
        <xdr:cNvCxnSpPr/>
      </xdr:nvCxnSpPr>
      <xdr:spPr>
        <a:xfrm>
          <a:off x="160143825" y="49349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130</xdr:row>
      <xdr:rowOff>200025</xdr:rowOff>
    </xdr:from>
    <xdr:to>
      <xdr:col>12</xdr:col>
      <xdr:colOff>428625</xdr:colOff>
      <xdr:row>130</xdr:row>
      <xdr:rowOff>200025</xdr:rowOff>
    </xdr:to>
    <xdr:cxnSp macro="">
      <xdr:nvCxnSpPr>
        <xdr:cNvPr id="179" name="Straight Connector 178">
          <a:extLst>
            <a:ext uri="{FF2B5EF4-FFF2-40B4-BE49-F238E27FC236}">
              <a16:creationId xmlns:a16="http://schemas.microsoft.com/office/drawing/2014/main" id="{2DA6DB74-1B87-2EE9-31F4-6E6E647F340B}"/>
            </a:ext>
          </a:extLst>
        </xdr:cNvPr>
        <xdr:cNvCxnSpPr/>
      </xdr:nvCxnSpPr>
      <xdr:spPr>
        <a:xfrm>
          <a:off x="160143825" y="5011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132</xdr:row>
      <xdr:rowOff>200025</xdr:rowOff>
    </xdr:from>
    <xdr:to>
      <xdr:col>12</xdr:col>
      <xdr:colOff>428625</xdr:colOff>
      <xdr:row>132</xdr:row>
      <xdr:rowOff>200025</xdr:rowOff>
    </xdr:to>
    <xdr:cxnSp macro="">
      <xdr:nvCxnSpPr>
        <xdr:cNvPr id="180" name="Straight Connector 179">
          <a:extLst>
            <a:ext uri="{FF2B5EF4-FFF2-40B4-BE49-F238E27FC236}">
              <a16:creationId xmlns:a16="http://schemas.microsoft.com/office/drawing/2014/main" id="{2E9B13C9-4A11-0DAB-5CB6-AF0A5D7BD792}"/>
            </a:ext>
          </a:extLst>
        </xdr:cNvPr>
        <xdr:cNvCxnSpPr/>
      </xdr:nvCxnSpPr>
      <xdr:spPr>
        <a:xfrm>
          <a:off x="160143825" y="5087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134</xdr:row>
      <xdr:rowOff>200025</xdr:rowOff>
    </xdr:from>
    <xdr:to>
      <xdr:col>12</xdr:col>
      <xdr:colOff>428625</xdr:colOff>
      <xdr:row>134</xdr:row>
      <xdr:rowOff>200025</xdr:rowOff>
    </xdr:to>
    <xdr:cxnSp macro="">
      <xdr:nvCxnSpPr>
        <xdr:cNvPr id="181" name="Straight Connector 180">
          <a:extLst>
            <a:ext uri="{FF2B5EF4-FFF2-40B4-BE49-F238E27FC236}">
              <a16:creationId xmlns:a16="http://schemas.microsoft.com/office/drawing/2014/main" id="{1A25D584-3A78-6142-EEF0-C27ADA08CD1F}"/>
            </a:ext>
          </a:extLst>
        </xdr:cNvPr>
        <xdr:cNvCxnSpPr/>
      </xdr:nvCxnSpPr>
      <xdr:spPr>
        <a:xfrm>
          <a:off x="160143825" y="5163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135</xdr:row>
      <xdr:rowOff>200025</xdr:rowOff>
    </xdr:from>
    <xdr:to>
      <xdr:col>12</xdr:col>
      <xdr:colOff>428625</xdr:colOff>
      <xdr:row>135</xdr:row>
      <xdr:rowOff>200025</xdr:rowOff>
    </xdr:to>
    <xdr:cxnSp macro="">
      <xdr:nvCxnSpPr>
        <xdr:cNvPr id="182" name="Straight Connector 181">
          <a:extLst>
            <a:ext uri="{FF2B5EF4-FFF2-40B4-BE49-F238E27FC236}">
              <a16:creationId xmlns:a16="http://schemas.microsoft.com/office/drawing/2014/main" id="{DF4D09A0-6852-D0EC-2DFA-9A50E2B63A54}"/>
            </a:ext>
          </a:extLst>
        </xdr:cNvPr>
        <xdr:cNvCxnSpPr/>
      </xdr:nvCxnSpPr>
      <xdr:spPr>
        <a:xfrm>
          <a:off x="160143825" y="5201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136</xdr:row>
      <xdr:rowOff>200025</xdr:rowOff>
    </xdr:from>
    <xdr:to>
      <xdr:col>12</xdr:col>
      <xdr:colOff>428625</xdr:colOff>
      <xdr:row>136</xdr:row>
      <xdr:rowOff>200025</xdr:rowOff>
    </xdr:to>
    <xdr:cxnSp macro="">
      <xdr:nvCxnSpPr>
        <xdr:cNvPr id="183" name="Straight Connector 182">
          <a:extLst>
            <a:ext uri="{FF2B5EF4-FFF2-40B4-BE49-F238E27FC236}">
              <a16:creationId xmlns:a16="http://schemas.microsoft.com/office/drawing/2014/main" id="{2D13B8F1-01E8-5C1D-B05E-E1BD2E05E7B5}"/>
            </a:ext>
          </a:extLst>
        </xdr:cNvPr>
        <xdr:cNvCxnSpPr/>
      </xdr:nvCxnSpPr>
      <xdr:spPr>
        <a:xfrm>
          <a:off x="160143825" y="5239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137</xdr:row>
      <xdr:rowOff>200025</xdr:rowOff>
    </xdr:from>
    <xdr:to>
      <xdr:col>12</xdr:col>
      <xdr:colOff>428625</xdr:colOff>
      <xdr:row>137</xdr:row>
      <xdr:rowOff>200025</xdr:rowOff>
    </xdr:to>
    <xdr:cxnSp macro="">
      <xdr:nvCxnSpPr>
        <xdr:cNvPr id="184" name="Straight Connector 183">
          <a:extLst>
            <a:ext uri="{FF2B5EF4-FFF2-40B4-BE49-F238E27FC236}">
              <a16:creationId xmlns:a16="http://schemas.microsoft.com/office/drawing/2014/main" id="{1E97671D-3860-E6C7-D70F-2986479372C2}"/>
            </a:ext>
          </a:extLst>
        </xdr:cNvPr>
        <xdr:cNvCxnSpPr/>
      </xdr:nvCxnSpPr>
      <xdr:spPr>
        <a:xfrm>
          <a:off x="160143825" y="5277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139</xdr:row>
      <xdr:rowOff>200025</xdr:rowOff>
    </xdr:from>
    <xdr:to>
      <xdr:col>12</xdr:col>
      <xdr:colOff>428625</xdr:colOff>
      <xdr:row>139</xdr:row>
      <xdr:rowOff>200025</xdr:rowOff>
    </xdr:to>
    <xdr:cxnSp macro="">
      <xdr:nvCxnSpPr>
        <xdr:cNvPr id="185" name="Straight Connector 184">
          <a:extLst>
            <a:ext uri="{FF2B5EF4-FFF2-40B4-BE49-F238E27FC236}">
              <a16:creationId xmlns:a16="http://schemas.microsoft.com/office/drawing/2014/main" id="{2DCEA2D5-6C66-5200-9352-21EA8A0142E4}"/>
            </a:ext>
          </a:extLst>
        </xdr:cNvPr>
        <xdr:cNvCxnSpPr/>
      </xdr:nvCxnSpPr>
      <xdr:spPr>
        <a:xfrm>
          <a:off x="160143825" y="53540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140</xdr:row>
      <xdr:rowOff>200025</xdr:rowOff>
    </xdr:from>
    <xdr:to>
      <xdr:col>12</xdr:col>
      <xdr:colOff>428625</xdr:colOff>
      <xdr:row>140</xdr:row>
      <xdr:rowOff>200025</xdr:rowOff>
    </xdr:to>
    <xdr:cxnSp macro="">
      <xdr:nvCxnSpPr>
        <xdr:cNvPr id="186" name="Straight Connector 185">
          <a:extLst>
            <a:ext uri="{FF2B5EF4-FFF2-40B4-BE49-F238E27FC236}">
              <a16:creationId xmlns:a16="http://schemas.microsoft.com/office/drawing/2014/main" id="{3F89D5C1-C167-E396-4A71-7615A5F58348}"/>
            </a:ext>
          </a:extLst>
        </xdr:cNvPr>
        <xdr:cNvCxnSpPr/>
      </xdr:nvCxnSpPr>
      <xdr:spPr>
        <a:xfrm>
          <a:off x="160143825" y="5392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144</xdr:row>
      <xdr:rowOff>200025</xdr:rowOff>
    </xdr:from>
    <xdr:to>
      <xdr:col>12</xdr:col>
      <xdr:colOff>428625</xdr:colOff>
      <xdr:row>144</xdr:row>
      <xdr:rowOff>200025</xdr:rowOff>
    </xdr:to>
    <xdr:cxnSp macro="">
      <xdr:nvCxnSpPr>
        <xdr:cNvPr id="187" name="Straight Connector 186">
          <a:extLst>
            <a:ext uri="{FF2B5EF4-FFF2-40B4-BE49-F238E27FC236}">
              <a16:creationId xmlns:a16="http://schemas.microsoft.com/office/drawing/2014/main" id="{F98BA387-B8E9-DDD6-5B31-4D5D7F6F057A}"/>
            </a:ext>
          </a:extLst>
        </xdr:cNvPr>
        <xdr:cNvCxnSpPr/>
      </xdr:nvCxnSpPr>
      <xdr:spPr>
        <a:xfrm>
          <a:off x="160143825" y="55445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145</xdr:row>
      <xdr:rowOff>200025</xdr:rowOff>
    </xdr:from>
    <xdr:to>
      <xdr:col>12</xdr:col>
      <xdr:colOff>428625</xdr:colOff>
      <xdr:row>145</xdr:row>
      <xdr:rowOff>200025</xdr:rowOff>
    </xdr:to>
    <xdr:cxnSp macro="">
      <xdr:nvCxnSpPr>
        <xdr:cNvPr id="188" name="Straight Connector 187">
          <a:extLst>
            <a:ext uri="{FF2B5EF4-FFF2-40B4-BE49-F238E27FC236}">
              <a16:creationId xmlns:a16="http://schemas.microsoft.com/office/drawing/2014/main" id="{D8615BED-F45B-BB3B-B080-0B049A1628E9}"/>
            </a:ext>
          </a:extLst>
        </xdr:cNvPr>
        <xdr:cNvCxnSpPr/>
      </xdr:nvCxnSpPr>
      <xdr:spPr>
        <a:xfrm>
          <a:off x="160143825" y="55826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146</xdr:row>
      <xdr:rowOff>200025</xdr:rowOff>
    </xdr:from>
    <xdr:to>
      <xdr:col>12</xdr:col>
      <xdr:colOff>428625</xdr:colOff>
      <xdr:row>146</xdr:row>
      <xdr:rowOff>200025</xdr:rowOff>
    </xdr:to>
    <xdr:cxnSp macro="">
      <xdr:nvCxnSpPr>
        <xdr:cNvPr id="189" name="Straight Connector 188">
          <a:extLst>
            <a:ext uri="{FF2B5EF4-FFF2-40B4-BE49-F238E27FC236}">
              <a16:creationId xmlns:a16="http://schemas.microsoft.com/office/drawing/2014/main" id="{48348A3F-3164-3FE0-6E15-49E1085F907E}"/>
            </a:ext>
          </a:extLst>
        </xdr:cNvPr>
        <xdr:cNvCxnSpPr/>
      </xdr:nvCxnSpPr>
      <xdr:spPr>
        <a:xfrm>
          <a:off x="160143825" y="56207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150</xdr:row>
      <xdr:rowOff>200025</xdr:rowOff>
    </xdr:from>
    <xdr:to>
      <xdr:col>12</xdr:col>
      <xdr:colOff>428625</xdr:colOff>
      <xdr:row>150</xdr:row>
      <xdr:rowOff>200025</xdr:rowOff>
    </xdr:to>
    <xdr:cxnSp macro="">
      <xdr:nvCxnSpPr>
        <xdr:cNvPr id="190" name="Straight Connector 189">
          <a:extLst>
            <a:ext uri="{FF2B5EF4-FFF2-40B4-BE49-F238E27FC236}">
              <a16:creationId xmlns:a16="http://schemas.microsoft.com/office/drawing/2014/main" id="{58238CF6-94B5-4C87-EA77-B9398A354C2B}"/>
            </a:ext>
          </a:extLst>
        </xdr:cNvPr>
        <xdr:cNvCxnSpPr/>
      </xdr:nvCxnSpPr>
      <xdr:spPr>
        <a:xfrm>
          <a:off x="160143825" y="57731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151</xdr:row>
      <xdr:rowOff>200025</xdr:rowOff>
    </xdr:from>
    <xdr:to>
      <xdr:col>12</xdr:col>
      <xdr:colOff>428625</xdr:colOff>
      <xdr:row>151</xdr:row>
      <xdr:rowOff>200025</xdr:rowOff>
    </xdr:to>
    <xdr:cxnSp macro="">
      <xdr:nvCxnSpPr>
        <xdr:cNvPr id="191" name="Straight Connector 190">
          <a:extLst>
            <a:ext uri="{FF2B5EF4-FFF2-40B4-BE49-F238E27FC236}">
              <a16:creationId xmlns:a16="http://schemas.microsoft.com/office/drawing/2014/main" id="{79A4EF10-1175-3018-925A-F45C8707A59E}"/>
            </a:ext>
          </a:extLst>
        </xdr:cNvPr>
        <xdr:cNvCxnSpPr/>
      </xdr:nvCxnSpPr>
      <xdr:spPr>
        <a:xfrm>
          <a:off x="160143825" y="58112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152</xdr:row>
      <xdr:rowOff>200025</xdr:rowOff>
    </xdr:from>
    <xdr:to>
      <xdr:col>12</xdr:col>
      <xdr:colOff>428625</xdr:colOff>
      <xdr:row>152</xdr:row>
      <xdr:rowOff>200025</xdr:rowOff>
    </xdr:to>
    <xdr:cxnSp macro="">
      <xdr:nvCxnSpPr>
        <xdr:cNvPr id="192" name="Straight Connector 191">
          <a:extLst>
            <a:ext uri="{FF2B5EF4-FFF2-40B4-BE49-F238E27FC236}">
              <a16:creationId xmlns:a16="http://schemas.microsoft.com/office/drawing/2014/main" id="{FC01CA37-9FEF-E5DD-237B-C6BAFAE9FB1C}"/>
            </a:ext>
          </a:extLst>
        </xdr:cNvPr>
        <xdr:cNvCxnSpPr/>
      </xdr:nvCxnSpPr>
      <xdr:spPr>
        <a:xfrm>
          <a:off x="160143825" y="5849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153</xdr:row>
      <xdr:rowOff>200025</xdr:rowOff>
    </xdr:from>
    <xdr:to>
      <xdr:col>12</xdr:col>
      <xdr:colOff>428625</xdr:colOff>
      <xdr:row>153</xdr:row>
      <xdr:rowOff>200025</xdr:rowOff>
    </xdr:to>
    <xdr:cxnSp macro="">
      <xdr:nvCxnSpPr>
        <xdr:cNvPr id="193" name="Straight Connector 192">
          <a:extLst>
            <a:ext uri="{FF2B5EF4-FFF2-40B4-BE49-F238E27FC236}">
              <a16:creationId xmlns:a16="http://schemas.microsoft.com/office/drawing/2014/main" id="{642814F3-F88A-0E1E-3D7D-A8C04ABC3FA5}"/>
            </a:ext>
          </a:extLst>
        </xdr:cNvPr>
        <xdr:cNvCxnSpPr/>
      </xdr:nvCxnSpPr>
      <xdr:spPr>
        <a:xfrm>
          <a:off x="160143825" y="58874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32</xdr:row>
      <xdr:rowOff>200025</xdr:rowOff>
    </xdr:from>
    <xdr:to>
      <xdr:col>12</xdr:col>
      <xdr:colOff>428625</xdr:colOff>
      <xdr:row>32</xdr:row>
      <xdr:rowOff>200025</xdr:rowOff>
    </xdr:to>
    <xdr:cxnSp macro="">
      <xdr:nvCxnSpPr>
        <xdr:cNvPr id="194" name="Straight Connector 193">
          <a:extLst>
            <a:ext uri="{FF2B5EF4-FFF2-40B4-BE49-F238E27FC236}">
              <a16:creationId xmlns:a16="http://schemas.microsoft.com/office/drawing/2014/main" id="{30A7C616-9C5C-6186-F9EE-F20368687D53}"/>
            </a:ext>
          </a:extLst>
        </xdr:cNvPr>
        <xdr:cNvCxnSpPr/>
      </xdr:nvCxnSpPr>
      <xdr:spPr>
        <a:xfrm>
          <a:off x="160143825" y="12773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37</xdr:row>
      <xdr:rowOff>200025</xdr:rowOff>
    </xdr:from>
    <xdr:to>
      <xdr:col>12</xdr:col>
      <xdr:colOff>428625</xdr:colOff>
      <xdr:row>37</xdr:row>
      <xdr:rowOff>200025</xdr:rowOff>
    </xdr:to>
    <xdr:cxnSp macro="">
      <xdr:nvCxnSpPr>
        <xdr:cNvPr id="195" name="Straight Connector 194">
          <a:extLst>
            <a:ext uri="{FF2B5EF4-FFF2-40B4-BE49-F238E27FC236}">
              <a16:creationId xmlns:a16="http://schemas.microsoft.com/office/drawing/2014/main" id="{201065C7-8707-2C44-E652-6C09CD92C75A}"/>
            </a:ext>
          </a:extLst>
        </xdr:cNvPr>
        <xdr:cNvCxnSpPr/>
      </xdr:nvCxnSpPr>
      <xdr:spPr>
        <a:xfrm>
          <a:off x="160143825" y="1467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152400</xdr:colOff>
      <xdr:row>47</xdr:row>
      <xdr:rowOff>200025</xdr:rowOff>
    </xdr:from>
    <xdr:to>
      <xdr:col>12</xdr:col>
      <xdr:colOff>428625</xdr:colOff>
      <xdr:row>47</xdr:row>
      <xdr:rowOff>200025</xdr:rowOff>
    </xdr:to>
    <xdr:cxnSp macro="">
      <xdr:nvCxnSpPr>
        <xdr:cNvPr id="196" name="Straight Connector 195">
          <a:extLst>
            <a:ext uri="{FF2B5EF4-FFF2-40B4-BE49-F238E27FC236}">
              <a16:creationId xmlns:a16="http://schemas.microsoft.com/office/drawing/2014/main" id="{523B355E-D14F-CC5D-F5E3-A152F7275CF3}"/>
            </a:ext>
          </a:extLst>
        </xdr:cNvPr>
        <xdr:cNvCxnSpPr/>
      </xdr:nvCxnSpPr>
      <xdr:spPr>
        <a:xfrm>
          <a:off x="160143825" y="1848802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158</xdr:row>
      <xdr:rowOff>171450</xdr:rowOff>
    </xdr:from>
    <xdr:to>
      <xdr:col>9</xdr:col>
      <xdr:colOff>342900</xdr:colOff>
      <xdr:row>158</xdr:row>
      <xdr:rowOff>171450</xdr:rowOff>
    </xdr:to>
    <xdr:cxnSp macro="">
      <xdr:nvCxnSpPr>
        <xdr:cNvPr id="197" name="Straight Connector 196">
          <a:extLst>
            <a:ext uri="{FF2B5EF4-FFF2-40B4-BE49-F238E27FC236}">
              <a16:creationId xmlns:a16="http://schemas.microsoft.com/office/drawing/2014/main" id="{483841A7-4205-250E-C7B0-6452E8FD8033}"/>
            </a:ext>
          </a:extLst>
        </xdr:cNvPr>
        <xdr:cNvCxnSpPr/>
      </xdr:nvCxnSpPr>
      <xdr:spPr>
        <a:xfrm>
          <a:off x="161867850" y="60750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160</xdr:row>
      <xdr:rowOff>209550</xdr:rowOff>
    </xdr:from>
    <xdr:to>
      <xdr:col>9</xdr:col>
      <xdr:colOff>342900</xdr:colOff>
      <xdr:row>160</xdr:row>
      <xdr:rowOff>209550</xdr:rowOff>
    </xdr:to>
    <xdr:cxnSp macro="">
      <xdr:nvCxnSpPr>
        <xdr:cNvPr id="198" name="Straight Connector 197">
          <a:extLst>
            <a:ext uri="{FF2B5EF4-FFF2-40B4-BE49-F238E27FC236}">
              <a16:creationId xmlns:a16="http://schemas.microsoft.com/office/drawing/2014/main" id="{4F202001-0019-A324-9CBF-54F1C76F198A}"/>
            </a:ext>
          </a:extLst>
        </xdr:cNvPr>
        <xdr:cNvCxnSpPr/>
      </xdr:nvCxnSpPr>
      <xdr:spPr>
        <a:xfrm>
          <a:off x="161867850" y="615505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66675</xdr:colOff>
      <xdr:row>166</xdr:row>
      <xdr:rowOff>219075</xdr:rowOff>
    </xdr:from>
    <xdr:to>
      <xdr:col>9</xdr:col>
      <xdr:colOff>342900</xdr:colOff>
      <xdr:row>166</xdr:row>
      <xdr:rowOff>219075</xdr:rowOff>
    </xdr:to>
    <xdr:cxnSp macro="">
      <xdr:nvCxnSpPr>
        <xdr:cNvPr id="199" name="Straight Connector 198">
          <a:extLst>
            <a:ext uri="{FF2B5EF4-FFF2-40B4-BE49-F238E27FC236}">
              <a16:creationId xmlns:a16="http://schemas.microsoft.com/office/drawing/2014/main" id="{00F34B3F-DB2B-228A-BA34-ED9EDD7696BF}"/>
            </a:ext>
          </a:extLst>
        </xdr:cNvPr>
        <xdr:cNvCxnSpPr/>
      </xdr:nvCxnSpPr>
      <xdr:spPr>
        <a:xfrm>
          <a:off x="161867850" y="638460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57150</xdr:colOff>
      <xdr:row>27</xdr:row>
      <xdr:rowOff>209550</xdr:rowOff>
    </xdr:from>
    <xdr:to>
      <xdr:col>9</xdr:col>
      <xdr:colOff>323850</xdr:colOff>
      <xdr:row>27</xdr:row>
      <xdr:rowOff>209550</xdr:rowOff>
    </xdr:to>
    <xdr:cxnSp macro="">
      <xdr:nvCxnSpPr>
        <xdr:cNvPr id="200" name="Straight Connector 199">
          <a:extLst>
            <a:ext uri="{FF2B5EF4-FFF2-40B4-BE49-F238E27FC236}">
              <a16:creationId xmlns:a16="http://schemas.microsoft.com/office/drawing/2014/main" id="{EC143334-7645-C9A7-FBE8-1053C213567E}"/>
            </a:ext>
          </a:extLst>
        </xdr:cNvPr>
        <xdr:cNvCxnSpPr/>
      </xdr:nvCxnSpPr>
      <xdr:spPr>
        <a:xfrm>
          <a:off x="161886900" y="108775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66675</xdr:colOff>
      <xdr:row>180</xdr:row>
      <xdr:rowOff>219075</xdr:rowOff>
    </xdr:from>
    <xdr:to>
      <xdr:col>9</xdr:col>
      <xdr:colOff>342900</xdr:colOff>
      <xdr:row>180</xdr:row>
      <xdr:rowOff>219075</xdr:rowOff>
    </xdr:to>
    <xdr:cxnSp macro="">
      <xdr:nvCxnSpPr>
        <xdr:cNvPr id="201" name="Straight Connector 200">
          <a:extLst>
            <a:ext uri="{FF2B5EF4-FFF2-40B4-BE49-F238E27FC236}">
              <a16:creationId xmlns:a16="http://schemas.microsoft.com/office/drawing/2014/main" id="{EBF84D7A-C349-0E78-6DC9-742D741F4C38}"/>
            </a:ext>
          </a:extLst>
        </xdr:cNvPr>
        <xdr:cNvCxnSpPr/>
      </xdr:nvCxnSpPr>
      <xdr:spPr>
        <a:xfrm>
          <a:off x="161867850" y="691800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114300</xdr:colOff>
      <xdr:row>180</xdr:row>
      <xdr:rowOff>219075</xdr:rowOff>
    </xdr:from>
    <xdr:to>
      <xdr:col>12</xdr:col>
      <xdr:colOff>390525</xdr:colOff>
      <xdr:row>180</xdr:row>
      <xdr:rowOff>219075</xdr:rowOff>
    </xdr:to>
    <xdr:cxnSp macro="">
      <xdr:nvCxnSpPr>
        <xdr:cNvPr id="202" name="Straight Connector 201">
          <a:extLst>
            <a:ext uri="{FF2B5EF4-FFF2-40B4-BE49-F238E27FC236}">
              <a16:creationId xmlns:a16="http://schemas.microsoft.com/office/drawing/2014/main" id="{63DE4615-0F38-6373-8AF2-472236DA0745}"/>
            </a:ext>
          </a:extLst>
        </xdr:cNvPr>
        <xdr:cNvCxnSpPr/>
      </xdr:nvCxnSpPr>
      <xdr:spPr>
        <a:xfrm>
          <a:off x="160181925" y="691800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66675</xdr:colOff>
      <xdr:row>182</xdr:row>
      <xdr:rowOff>219075</xdr:rowOff>
    </xdr:from>
    <xdr:to>
      <xdr:col>9</xdr:col>
      <xdr:colOff>342900</xdr:colOff>
      <xdr:row>182</xdr:row>
      <xdr:rowOff>219075</xdr:rowOff>
    </xdr:to>
    <xdr:cxnSp macro="">
      <xdr:nvCxnSpPr>
        <xdr:cNvPr id="203" name="Straight Connector 202">
          <a:extLst>
            <a:ext uri="{FF2B5EF4-FFF2-40B4-BE49-F238E27FC236}">
              <a16:creationId xmlns:a16="http://schemas.microsoft.com/office/drawing/2014/main" id="{6B1DDA61-E089-CA48-33F6-05C3FACBFE0F}"/>
            </a:ext>
          </a:extLst>
        </xdr:cNvPr>
        <xdr:cNvCxnSpPr/>
      </xdr:nvCxnSpPr>
      <xdr:spPr>
        <a:xfrm>
          <a:off x="161867850" y="699420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190500</xdr:colOff>
      <xdr:row>163</xdr:row>
      <xdr:rowOff>171450</xdr:rowOff>
    </xdr:from>
    <xdr:to>
      <xdr:col>7</xdr:col>
      <xdr:colOff>466725</xdr:colOff>
      <xdr:row>163</xdr:row>
      <xdr:rowOff>171450</xdr:rowOff>
    </xdr:to>
    <xdr:cxnSp macro="">
      <xdr:nvCxnSpPr>
        <xdr:cNvPr id="204" name="Straight Connector 203">
          <a:extLst>
            <a:ext uri="{FF2B5EF4-FFF2-40B4-BE49-F238E27FC236}">
              <a16:creationId xmlns:a16="http://schemas.microsoft.com/office/drawing/2014/main" id="{AA395ADD-C817-F14F-0CAC-084EA66B705A}"/>
            </a:ext>
          </a:extLst>
        </xdr:cNvPr>
        <xdr:cNvCxnSpPr/>
      </xdr:nvCxnSpPr>
      <xdr:spPr>
        <a:xfrm>
          <a:off x="162867975" y="62655450"/>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190500</xdr:colOff>
      <xdr:row>161</xdr:row>
      <xdr:rowOff>180975</xdr:rowOff>
    </xdr:from>
    <xdr:to>
      <xdr:col>7</xdr:col>
      <xdr:colOff>466725</xdr:colOff>
      <xdr:row>161</xdr:row>
      <xdr:rowOff>180975</xdr:rowOff>
    </xdr:to>
    <xdr:cxnSp macro="">
      <xdr:nvCxnSpPr>
        <xdr:cNvPr id="205" name="Straight Connector 204">
          <a:extLst>
            <a:ext uri="{FF2B5EF4-FFF2-40B4-BE49-F238E27FC236}">
              <a16:creationId xmlns:a16="http://schemas.microsoft.com/office/drawing/2014/main" id="{20BC41CF-ACDD-DE60-8033-8193A2968EAC}"/>
            </a:ext>
          </a:extLst>
        </xdr:cNvPr>
        <xdr:cNvCxnSpPr/>
      </xdr:nvCxnSpPr>
      <xdr:spPr>
        <a:xfrm>
          <a:off x="162867975" y="619029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190500</xdr:colOff>
      <xdr:row>3</xdr:row>
      <xdr:rowOff>180975</xdr:rowOff>
    </xdr:from>
    <xdr:to>
      <xdr:col>7</xdr:col>
      <xdr:colOff>466725</xdr:colOff>
      <xdr:row>3</xdr:row>
      <xdr:rowOff>180975</xdr:rowOff>
    </xdr:to>
    <xdr:cxnSp macro="">
      <xdr:nvCxnSpPr>
        <xdr:cNvPr id="206" name="Straight Connector 205">
          <a:extLst>
            <a:ext uri="{FF2B5EF4-FFF2-40B4-BE49-F238E27FC236}">
              <a16:creationId xmlns:a16="http://schemas.microsoft.com/office/drawing/2014/main" id="{0439BF66-1150-4FAF-6522-C562014910D8}"/>
            </a:ext>
          </a:extLst>
        </xdr:cNvPr>
        <xdr:cNvCxnSpPr/>
      </xdr:nvCxnSpPr>
      <xdr:spPr>
        <a:xfrm>
          <a:off x="162867975" y="17049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190500</xdr:colOff>
      <xdr:row>164</xdr:row>
      <xdr:rowOff>180975</xdr:rowOff>
    </xdr:from>
    <xdr:to>
      <xdr:col>7</xdr:col>
      <xdr:colOff>466725</xdr:colOff>
      <xdr:row>164</xdr:row>
      <xdr:rowOff>180975</xdr:rowOff>
    </xdr:to>
    <xdr:cxnSp macro="">
      <xdr:nvCxnSpPr>
        <xdr:cNvPr id="207" name="Straight Connector 206">
          <a:extLst>
            <a:ext uri="{FF2B5EF4-FFF2-40B4-BE49-F238E27FC236}">
              <a16:creationId xmlns:a16="http://schemas.microsoft.com/office/drawing/2014/main" id="{E17CE80F-A07D-A5CB-1346-07534E379B9E}"/>
            </a:ext>
          </a:extLst>
        </xdr:cNvPr>
        <xdr:cNvCxnSpPr/>
      </xdr:nvCxnSpPr>
      <xdr:spPr>
        <a:xfrm>
          <a:off x="162867975" y="630459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190500</xdr:colOff>
      <xdr:row>165</xdr:row>
      <xdr:rowOff>180975</xdr:rowOff>
    </xdr:from>
    <xdr:to>
      <xdr:col>7</xdr:col>
      <xdr:colOff>466725</xdr:colOff>
      <xdr:row>165</xdr:row>
      <xdr:rowOff>180975</xdr:rowOff>
    </xdr:to>
    <xdr:cxnSp macro="">
      <xdr:nvCxnSpPr>
        <xdr:cNvPr id="208" name="Straight Connector 207">
          <a:extLst>
            <a:ext uri="{FF2B5EF4-FFF2-40B4-BE49-F238E27FC236}">
              <a16:creationId xmlns:a16="http://schemas.microsoft.com/office/drawing/2014/main" id="{F29863F6-6F1E-06E3-F85D-9B50FA9AA37F}"/>
            </a:ext>
          </a:extLst>
        </xdr:cNvPr>
        <xdr:cNvCxnSpPr/>
      </xdr:nvCxnSpPr>
      <xdr:spPr>
        <a:xfrm>
          <a:off x="162867975" y="634269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190500</xdr:colOff>
      <xdr:row>166</xdr:row>
      <xdr:rowOff>180975</xdr:rowOff>
    </xdr:from>
    <xdr:to>
      <xdr:col>7</xdr:col>
      <xdr:colOff>466725</xdr:colOff>
      <xdr:row>166</xdr:row>
      <xdr:rowOff>180975</xdr:rowOff>
    </xdr:to>
    <xdr:cxnSp macro="">
      <xdr:nvCxnSpPr>
        <xdr:cNvPr id="209" name="Straight Connector 208">
          <a:extLst>
            <a:ext uri="{FF2B5EF4-FFF2-40B4-BE49-F238E27FC236}">
              <a16:creationId xmlns:a16="http://schemas.microsoft.com/office/drawing/2014/main" id="{E1B8514D-C20C-BA65-D9A8-F955C4B33C6B}"/>
            </a:ext>
          </a:extLst>
        </xdr:cNvPr>
        <xdr:cNvCxnSpPr/>
      </xdr:nvCxnSpPr>
      <xdr:spPr>
        <a:xfrm>
          <a:off x="162867975" y="638079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190500</xdr:colOff>
      <xdr:row>156</xdr:row>
      <xdr:rowOff>180975</xdr:rowOff>
    </xdr:from>
    <xdr:to>
      <xdr:col>7</xdr:col>
      <xdr:colOff>466725</xdr:colOff>
      <xdr:row>156</xdr:row>
      <xdr:rowOff>180975</xdr:rowOff>
    </xdr:to>
    <xdr:cxnSp macro="">
      <xdr:nvCxnSpPr>
        <xdr:cNvPr id="210" name="Straight Connector 209">
          <a:extLst>
            <a:ext uri="{FF2B5EF4-FFF2-40B4-BE49-F238E27FC236}">
              <a16:creationId xmlns:a16="http://schemas.microsoft.com/office/drawing/2014/main" id="{BD904038-41DA-867E-345B-E841903B6084}"/>
            </a:ext>
          </a:extLst>
        </xdr:cNvPr>
        <xdr:cNvCxnSpPr/>
      </xdr:nvCxnSpPr>
      <xdr:spPr>
        <a:xfrm>
          <a:off x="162867975" y="59997975"/>
          <a:ext cx="27622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xdr:row>
      <xdr:rowOff>0</xdr:rowOff>
    </xdr:from>
    <xdr:to>
      <xdr:col>4</xdr:col>
      <xdr:colOff>266700</xdr:colOff>
      <xdr:row>3</xdr:row>
      <xdr:rowOff>0</xdr:rowOff>
    </xdr:to>
    <xdr:cxnSp macro="">
      <xdr:nvCxnSpPr>
        <xdr:cNvPr id="211" name="Straight Connector 210">
          <a:extLst>
            <a:ext uri="{FF2B5EF4-FFF2-40B4-BE49-F238E27FC236}">
              <a16:creationId xmlns:a16="http://schemas.microsoft.com/office/drawing/2014/main" id="{8BCF540E-F1EE-84A3-4677-CEEE312D8E90}"/>
            </a:ext>
          </a:extLst>
        </xdr:cNvPr>
        <xdr:cNvCxnSpPr/>
      </xdr:nvCxnSpPr>
      <xdr:spPr>
        <a:xfrm>
          <a:off x="165735000" y="152400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4</xdr:row>
      <xdr:rowOff>190500</xdr:rowOff>
    </xdr:from>
    <xdr:to>
      <xdr:col>4</xdr:col>
      <xdr:colOff>981075</xdr:colOff>
      <xdr:row>4</xdr:row>
      <xdr:rowOff>200025</xdr:rowOff>
    </xdr:to>
    <xdr:cxnSp macro="">
      <xdr:nvCxnSpPr>
        <xdr:cNvPr id="212" name="Straight Connector 211">
          <a:extLst>
            <a:ext uri="{FF2B5EF4-FFF2-40B4-BE49-F238E27FC236}">
              <a16:creationId xmlns:a16="http://schemas.microsoft.com/office/drawing/2014/main" id="{39DF7EB1-CC26-BA5F-8324-EE92F0282BF3}"/>
            </a:ext>
          </a:extLst>
        </xdr:cNvPr>
        <xdr:cNvCxnSpPr/>
      </xdr:nvCxnSpPr>
      <xdr:spPr>
        <a:xfrm flipV="1">
          <a:off x="165020625" y="209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6</xdr:row>
      <xdr:rowOff>190500</xdr:rowOff>
    </xdr:from>
    <xdr:to>
      <xdr:col>4</xdr:col>
      <xdr:colOff>981075</xdr:colOff>
      <xdr:row>6</xdr:row>
      <xdr:rowOff>200025</xdr:rowOff>
    </xdr:to>
    <xdr:cxnSp macro="">
      <xdr:nvCxnSpPr>
        <xdr:cNvPr id="213" name="Straight Connector 212">
          <a:extLst>
            <a:ext uri="{FF2B5EF4-FFF2-40B4-BE49-F238E27FC236}">
              <a16:creationId xmlns:a16="http://schemas.microsoft.com/office/drawing/2014/main" id="{742BFC7D-1F23-045D-93D1-326194409788}"/>
            </a:ext>
          </a:extLst>
        </xdr:cNvPr>
        <xdr:cNvCxnSpPr/>
      </xdr:nvCxnSpPr>
      <xdr:spPr>
        <a:xfrm flipV="1">
          <a:off x="165020625" y="2857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9</xdr:row>
      <xdr:rowOff>190500</xdr:rowOff>
    </xdr:from>
    <xdr:to>
      <xdr:col>4</xdr:col>
      <xdr:colOff>981075</xdr:colOff>
      <xdr:row>9</xdr:row>
      <xdr:rowOff>200025</xdr:rowOff>
    </xdr:to>
    <xdr:cxnSp macro="">
      <xdr:nvCxnSpPr>
        <xdr:cNvPr id="214" name="Straight Connector 213">
          <a:extLst>
            <a:ext uri="{FF2B5EF4-FFF2-40B4-BE49-F238E27FC236}">
              <a16:creationId xmlns:a16="http://schemas.microsoft.com/office/drawing/2014/main" id="{1566D31E-5BE3-C293-CDE0-09859795D0D4}"/>
            </a:ext>
          </a:extLst>
        </xdr:cNvPr>
        <xdr:cNvCxnSpPr/>
      </xdr:nvCxnSpPr>
      <xdr:spPr>
        <a:xfrm flipV="1">
          <a:off x="165020625" y="400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11</xdr:row>
      <xdr:rowOff>190500</xdr:rowOff>
    </xdr:from>
    <xdr:to>
      <xdr:col>4</xdr:col>
      <xdr:colOff>981075</xdr:colOff>
      <xdr:row>11</xdr:row>
      <xdr:rowOff>200025</xdr:rowOff>
    </xdr:to>
    <xdr:cxnSp macro="">
      <xdr:nvCxnSpPr>
        <xdr:cNvPr id="215" name="Straight Connector 214">
          <a:extLst>
            <a:ext uri="{FF2B5EF4-FFF2-40B4-BE49-F238E27FC236}">
              <a16:creationId xmlns:a16="http://schemas.microsoft.com/office/drawing/2014/main" id="{8ACB5515-42EC-8A4F-A8DF-834D38990A86}"/>
            </a:ext>
          </a:extLst>
        </xdr:cNvPr>
        <xdr:cNvCxnSpPr/>
      </xdr:nvCxnSpPr>
      <xdr:spPr>
        <a:xfrm flipV="1">
          <a:off x="165020625" y="476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6</xdr:row>
      <xdr:rowOff>190500</xdr:rowOff>
    </xdr:from>
    <xdr:to>
      <xdr:col>4</xdr:col>
      <xdr:colOff>981075</xdr:colOff>
      <xdr:row>6</xdr:row>
      <xdr:rowOff>200025</xdr:rowOff>
    </xdr:to>
    <xdr:cxnSp macro="">
      <xdr:nvCxnSpPr>
        <xdr:cNvPr id="216" name="Straight Connector 215">
          <a:extLst>
            <a:ext uri="{FF2B5EF4-FFF2-40B4-BE49-F238E27FC236}">
              <a16:creationId xmlns:a16="http://schemas.microsoft.com/office/drawing/2014/main" id="{923A5D2D-6F4A-C501-FE5D-1958F613AE69}"/>
            </a:ext>
          </a:extLst>
        </xdr:cNvPr>
        <xdr:cNvCxnSpPr/>
      </xdr:nvCxnSpPr>
      <xdr:spPr>
        <a:xfrm flipV="1">
          <a:off x="165020625" y="2857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9</xdr:row>
      <xdr:rowOff>190500</xdr:rowOff>
    </xdr:from>
    <xdr:to>
      <xdr:col>4</xdr:col>
      <xdr:colOff>981075</xdr:colOff>
      <xdr:row>9</xdr:row>
      <xdr:rowOff>200025</xdr:rowOff>
    </xdr:to>
    <xdr:cxnSp macro="">
      <xdr:nvCxnSpPr>
        <xdr:cNvPr id="217" name="Straight Connector 216">
          <a:extLst>
            <a:ext uri="{FF2B5EF4-FFF2-40B4-BE49-F238E27FC236}">
              <a16:creationId xmlns:a16="http://schemas.microsoft.com/office/drawing/2014/main" id="{CD1B45C6-CA5A-047F-92BF-BD4A63ABB494}"/>
            </a:ext>
          </a:extLst>
        </xdr:cNvPr>
        <xdr:cNvCxnSpPr/>
      </xdr:nvCxnSpPr>
      <xdr:spPr>
        <a:xfrm flipV="1">
          <a:off x="165020625" y="400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11</xdr:row>
      <xdr:rowOff>190500</xdr:rowOff>
    </xdr:from>
    <xdr:to>
      <xdr:col>4</xdr:col>
      <xdr:colOff>981075</xdr:colOff>
      <xdr:row>11</xdr:row>
      <xdr:rowOff>200025</xdr:rowOff>
    </xdr:to>
    <xdr:cxnSp macro="">
      <xdr:nvCxnSpPr>
        <xdr:cNvPr id="218" name="Straight Connector 217">
          <a:extLst>
            <a:ext uri="{FF2B5EF4-FFF2-40B4-BE49-F238E27FC236}">
              <a16:creationId xmlns:a16="http://schemas.microsoft.com/office/drawing/2014/main" id="{9CDB5BCA-7D31-C9F5-A2A3-E43DF779BC9A}"/>
            </a:ext>
          </a:extLst>
        </xdr:cNvPr>
        <xdr:cNvCxnSpPr/>
      </xdr:nvCxnSpPr>
      <xdr:spPr>
        <a:xfrm flipV="1">
          <a:off x="165020625" y="476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14</xdr:row>
      <xdr:rowOff>190500</xdr:rowOff>
    </xdr:from>
    <xdr:to>
      <xdr:col>4</xdr:col>
      <xdr:colOff>981075</xdr:colOff>
      <xdr:row>14</xdr:row>
      <xdr:rowOff>200025</xdr:rowOff>
    </xdr:to>
    <xdr:cxnSp macro="">
      <xdr:nvCxnSpPr>
        <xdr:cNvPr id="219" name="Straight Connector 218">
          <a:extLst>
            <a:ext uri="{FF2B5EF4-FFF2-40B4-BE49-F238E27FC236}">
              <a16:creationId xmlns:a16="http://schemas.microsoft.com/office/drawing/2014/main" id="{93C17BB4-76B6-2617-F755-6B9D78B440F8}"/>
            </a:ext>
          </a:extLst>
        </xdr:cNvPr>
        <xdr:cNvCxnSpPr/>
      </xdr:nvCxnSpPr>
      <xdr:spPr>
        <a:xfrm flipV="1">
          <a:off x="165020625" y="590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20</xdr:row>
      <xdr:rowOff>190500</xdr:rowOff>
    </xdr:from>
    <xdr:to>
      <xdr:col>4</xdr:col>
      <xdr:colOff>981075</xdr:colOff>
      <xdr:row>20</xdr:row>
      <xdr:rowOff>200025</xdr:rowOff>
    </xdr:to>
    <xdr:cxnSp macro="">
      <xdr:nvCxnSpPr>
        <xdr:cNvPr id="220" name="Straight Connector 219">
          <a:extLst>
            <a:ext uri="{FF2B5EF4-FFF2-40B4-BE49-F238E27FC236}">
              <a16:creationId xmlns:a16="http://schemas.microsoft.com/office/drawing/2014/main" id="{05C121F9-A7E1-B2EA-A4CA-52AB56FBFBAF}"/>
            </a:ext>
          </a:extLst>
        </xdr:cNvPr>
        <xdr:cNvCxnSpPr/>
      </xdr:nvCxnSpPr>
      <xdr:spPr>
        <a:xfrm flipV="1">
          <a:off x="165020625" y="819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21</xdr:row>
      <xdr:rowOff>190500</xdr:rowOff>
    </xdr:from>
    <xdr:to>
      <xdr:col>4</xdr:col>
      <xdr:colOff>981075</xdr:colOff>
      <xdr:row>21</xdr:row>
      <xdr:rowOff>200025</xdr:rowOff>
    </xdr:to>
    <xdr:cxnSp macro="">
      <xdr:nvCxnSpPr>
        <xdr:cNvPr id="221" name="Straight Connector 220">
          <a:extLst>
            <a:ext uri="{FF2B5EF4-FFF2-40B4-BE49-F238E27FC236}">
              <a16:creationId xmlns:a16="http://schemas.microsoft.com/office/drawing/2014/main" id="{8BAE0FA2-C7E4-E911-6C8C-7A2029F39E85}"/>
            </a:ext>
          </a:extLst>
        </xdr:cNvPr>
        <xdr:cNvCxnSpPr/>
      </xdr:nvCxnSpPr>
      <xdr:spPr>
        <a:xfrm flipV="1">
          <a:off x="165020625" y="857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24</xdr:row>
      <xdr:rowOff>190500</xdr:rowOff>
    </xdr:from>
    <xdr:to>
      <xdr:col>4</xdr:col>
      <xdr:colOff>981075</xdr:colOff>
      <xdr:row>24</xdr:row>
      <xdr:rowOff>200025</xdr:rowOff>
    </xdr:to>
    <xdr:cxnSp macro="">
      <xdr:nvCxnSpPr>
        <xdr:cNvPr id="222" name="Straight Connector 221">
          <a:extLst>
            <a:ext uri="{FF2B5EF4-FFF2-40B4-BE49-F238E27FC236}">
              <a16:creationId xmlns:a16="http://schemas.microsoft.com/office/drawing/2014/main" id="{87F7464E-A9FC-5765-8ED6-CA85A8E0156E}"/>
            </a:ext>
          </a:extLst>
        </xdr:cNvPr>
        <xdr:cNvCxnSpPr/>
      </xdr:nvCxnSpPr>
      <xdr:spPr>
        <a:xfrm flipV="1">
          <a:off x="165020625" y="971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28</xdr:row>
      <xdr:rowOff>190500</xdr:rowOff>
    </xdr:from>
    <xdr:to>
      <xdr:col>4</xdr:col>
      <xdr:colOff>981075</xdr:colOff>
      <xdr:row>28</xdr:row>
      <xdr:rowOff>200025</xdr:rowOff>
    </xdr:to>
    <xdr:cxnSp macro="">
      <xdr:nvCxnSpPr>
        <xdr:cNvPr id="223" name="Straight Connector 222">
          <a:extLst>
            <a:ext uri="{FF2B5EF4-FFF2-40B4-BE49-F238E27FC236}">
              <a16:creationId xmlns:a16="http://schemas.microsoft.com/office/drawing/2014/main" id="{6537CCED-FADA-09A9-12BA-1509D99E22CD}"/>
            </a:ext>
          </a:extLst>
        </xdr:cNvPr>
        <xdr:cNvCxnSpPr/>
      </xdr:nvCxnSpPr>
      <xdr:spPr>
        <a:xfrm flipV="1">
          <a:off x="165020625" y="1123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30</xdr:row>
      <xdr:rowOff>190500</xdr:rowOff>
    </xdr:from>
    <xdr:to>
      <xdr:col>4</xdr:col>
      <xdr:colOff>981075</xdr:colOff>
      <xdr:row>30</xdr:row>
      <xdr:rowOff>200025</xdr:rowOff>
    </xdr:to>
    <xdr:cxnSp macro="">
      <xdr:nvCxnSpPr>
        <xdr:cNvPr id="224" name="Straight Connector 223">
          <a:extLst>
            <a:ext uri="{FF2B5EF4-FFF2-40B4-BE49-F238E27FC236}">
              <a16:creationId xmlns:a16="http://schemas.microsoft.com/office/drawing/2014/main" id="{D5F9F0DA-C426-69C3-08C8-F42CCE062017}"/>
            </a:ext>
          </a:extLst>
        </xdr:cNvPr>
        <xdr:cNvCxnSpPr/>
      </xdr:nvCxnSpPr>
      <xdr:spPr>
        <a:xfrm flipV="1">
          <a:off x="165020625" y="1200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31</xdr:row>
      <xdr:rowOff>190500</xdr:rowOff>
    </xdr:from>
    <xdr:to>
      <xdr:col>4</xdr:col>
      <xdr:colOff>981075</xdr:colOff>
      <xdr:row>31</xdr:row>
      <xdr:rowOff>200025</xdr:rowOff>
    </xdr:to>
    <xdr:cxnSp macro="">
      <xdr:nvCxnSpPr>
        <xdr:cNvPr id="225" name="Straight Connector 224">
          <a:extLst>
            <a:ext uri="{FF2B5EF4-FFF2-40B4-BE49-F238E27FC236}">
              <a16:creationId xmlns:a16="http://schemas.microsoft.com/office/drawing/2014/main" id="{1E9AEB7B-A3EF-6081-7097-2B74A0A8A804}"/>
            </a:ext>
          </a:extLst>
        </xdr:cNvPr>
        <xdr:cNvCxnSpPr/>
      </xdr:nvCxnSpPr>
      <xdr:spPr>
        <a:xfrm flipV="1">
          <a:off x="165020625" y="1238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34</xdr:row>
      <xdr:rowOff>190500</xdr:rowOff>
    </xdr:from>
    <xdr:to>
      <xdr:col>4</xdr:col>
      <xdr:colOff>981075</xdr:colOff>
      <xdr:row>34</xdr:row>
      <xdr:rowOff>200025</xdr:rowOff>
    </xdr:to>
    <xdr:cxnSp macro="">
      <xdr:nvCxnSpPr>
        <xdr:cNvPr id="226" name="Straight Connector 225">
          <a:extLst>
            <a:ext uri="{FF2B5EF4-FFF2-40B4-BE49-F238E27FC236}">
              <a16:creationId xmlns:a16="http://schemas.microsoft.com/office/drawing/2014/main" id="{6315F5C2-F99B-3F7C-B491-2A475225AA71}"/>
            </a:ext>
          </a:extLst>
        </xdr:cNvPr>
        <xdr:cNvCxnSpPr/>
      </xdr:nvCxnSpPr>
      <xdr:spPr>
        <a:xfrm flipV="1">
          <a:off x="165020625" y="1352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39</xdr:row>
      <xdr:rowOff>190500</xdr:rowOff>
    </xdr:from>
    <xdr:to>
      <xdr:col>4</xdr:col>
      <xdr:colOff>981075</xdr:colOff>
      <xdr:row>39</xdr:row>
      <xdr:rowOff>200025</xdr:rowOff>
    </xdr:to>
    <xdr:cxnSp macro="">
      <xdr:nvCxnSpPr>
        <xdr:cNvPr id="227" name="Straight Connector 226">
          <a:extLst>
            <a:ext uri="{FF2B5EF4-FFF2-40B4-BE49-F238E27FC236}">
              <a16:creationId xmlns:a16="http://schemas.microsoft.com/office/drawing/2014/main" id="{C357B1CE-2159-37D3-9E4B-087578E85114}"/>
            </a:ext>
          </a:extLst>
        </xdr:cNvPr>
        <xdr:cNvCxnSpPr/>
      </xdr:nvCxnSpPr>
      <xdr:spPr>
        <a:xfrm flipV="1">
          <a:off x="165020625" y="1543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40</xdr:row>
      <xdr:rowOff>190500</xdr:rowOff>
    </xdr:from>
    <xdr:to>
      <xdr:col>4</xdr:col>
      <xdr:colOff>981075</xdr:colOff>
      <xdr:row>40</xdr:row>
      <xdr:rowOff>200025</xdr:rowOff>
    </xdr:to>
    <xdr:cxnSp macro="">
      <xdr:nvCxnSpPr>
        <xdr:cNvPr id="228" name="Straight Connector 227">
          <a:extLst>
            <a:ext uri="{FF2B5EF4-FFF2-40B4-BE49-F238E27FC236}">
              <a16:creationId xmlns:a16="http://schemas.microsoft.com/office/drawing/2014/main" id="{D6DFF3A1-E797-2EFD-128A-13947009167A}"/>
            </a:ext>
          </a:extLst>
        </xdr:cNvPr>
        <xdr:cNvCxnSpPr/>
      </xdr:nvCxnSpPr>
      <xdr:spPr>
        <a:xfrm flipV="1">
          <a:off x="165020625" y="1581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42</xdr:row>
      <xdr:rowOff>190500</xdr:rowOff>
    </xdr:from>
    <xdr:to>
      <xdr:col>4</xdr:col>
      <xdr:colOff>981075</xdr:colOff>
      <xdr:row>42</xdr:row>
      <xdr:rowOff>200025</xdr:rowOff>
    </xdr:to>
    <xdr:cxnSp macro="">
      <xdr:nvCxnSpPr>
        <xdr:cNvPr id="229" name="Straight Connector 228">
          <a:extLst>
            <a:ext uri="{FF2B5EF4-FFF2-40B4-BE49-F238E27FC236}">
              <a16:creationId xmlns:a16="http://schemas.microsoft.com/office/drawing/2014/main" id="{06E6FB0E-44A4-D62E-7069-26AFE783FC68}"/>
            </a:ext>
          </a:extLst>
        </xdr:cNvPr>
        <xdr:cNvCxnSpPr/>
      </xdr:nvCxnSpPr>
      <xdr:spPr>
        <a:xfrm flipV="1">
          <a:off x="165020625" y="16573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44</xdr:row>
      <xdr:rowOff>190500</xdr:rowOff>
    </xdr:from>
    <xdr:to>
      <xdr:col>4</xdr:col>
      <xdr:colOff>981075</xdr:colOff>
      <xdr:row>44</xdr:row>
      <xdr:rowOff>200025</xdr:rowOff>
    </xdr:to>
    <xdr:cxnSp macro="">
      <xdr:nvCxnSpPr>
        <xdr:cNvPr id="230" name="Straight Connector 229">
          <a:extLst>
            <a:ext uri="{FF2B5EF4-FFF2-40B4-BE49-F238E27FC236}">
              <a16:creationId xmlns:a16="http://schemas.microsoft.com/office/drawing/2014/main" id="{5EE71ED4-696A-7C09-0D66-3FD8ED14B144}"/>
            </a:ext>
          </a:extLst>
        </xdr:cNvPr>
        <xdr:cNvCxnSpPr/>
      </xdr:nvCxnSpPr>
      <xdr:spPr>
        <a:xfrm flipV="1">
          <a:off x="165020625" y="1733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46</xdr:row>
      <xdr:rowOff>190500</xdr:rowOff>
    </xdr:from>
    <xdr:to>
      <xdr:col>4</xdr:col>
      <xdr:colOff>981075</xdr:colOff>
      <xdr:row>46</xdr:row>
      <xdr:rowOff>200025</xdr:rowOff>
    </xdr:to>
    <xdr:cxnSp macro="">
      <xdr:nvCxnSpPr>
        <xdr:cNvPr id="231" name="Straight Connector 230">
          <a:extLst>
            <a:ext uri="{FF2B5EF4-FFF2-40B4-BE49-F238E27FC236}">
              <a16:creationId xmlns:a16="http://schemas.microsoft.com/office/drawing/2014/main" id="{16BEB2E9-1B85-1C97-FB27-2F1F0D0F5CDD}"/>
            </a:ext>
          </a:extLst>
        </xdr:cNvPr>
        <xdr:cNvCxnSpPr/>
      </xdr:nvCxnSpPr>
      <xdr:spPr>
        <a:xfrm flipV="1">
          <a:off x="165020625" y="18097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48</xdr:row>
      <xdr:rowOff>190500</xdr:rowOff>
    </xdr:from>
    <xdr:to>
      <xdr:col>4</xdr:col>
      <xdr:colOff>981075</xdr:colOff>
      <xdr:row>48</xdr:row>
      <xdr:rowOff>200025</xdr:rowOff>
    </xdr:to>
    <xdr:cxnSp macro="">
      <xdr:nvCxnSpPr>
        <xdr:cNvPr id="232" name="Straight Connector 231">
          <a:extLst>
            <a:ext uri="{FF2B5EF4-FFF2-40B4-BE49-F238E27FC236}">
              <a16:creationId xmlns:a16="http://schemas.microsoft.com/office/drawing/2014/main" id="{94376904-AD71-B99C-8796-2C8CE2CDE25C}"/>
            </a:ext>
          </a:extLst>
        </xdr:cNvPr>
        <xdr:cNvCxnSpPr/>
      </xdr:nvCxnSpPr>
      <xdr:spPr>
        <a:xfrm flipV="1">
          <a:off x="165020625" y="1885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49</xdr:row>
      <xdr:rowOff>190500</xdr:rowOff>
    </xdr:from>
    <xdr:to>
      <xdr:col>4</xdr:col>
      <xdr:colOff>981075</xdr:colOff>
      <xdr:row>49</xdr:row>
      <xdr:rowOff>200025</xdr:rowOff>
    </xdr:to>
    <xdr:cxnSp macro="">
      <xdr:nvCxnSpPr>
        <xdr:cNvPr id="233" name="Straight Connector 232">
          <a:extLst>
            <a:ext uri="{FF2B5EF4-FFF2-40B4-BE49-F238E27FC236}">
              <a16:creationId xmlns:a16="http://schemas.microsoft.com/office/drawing/2014/main" id="{A193C28E-4307-BF27-CB0D-3D6F219BC720}"/>
            </a:ext>
          </a:extLst>
        </xdr:cNvPr>
        <xdr:cNvCxnSpPr/>
      </xdr:nvCxnSpPr>
      <xdr:spPr>
        <a:xfrm flipV="1">
          <a:off x="165020625" y="1924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51</xdr:row>
      <xdr:rowOff>190500</xdr:rowOff>
    </xdr:from>
    <xdr:to>
      <xdr:col>4</xdr:col>
      <xdr:colOff>981075</xdr:colOff>
      <xdr:row>51</xdr:row>
      <xdr:rowOff>200025</xdr:rowOff>
    </xdr:to>
    <xdr:cxnSp macro="">
      <xdr:nvCxnSpPr>
        <xdr:cNvPr id="234" name="Straight Connector 233">
          <a:extLst>
            <a:ext uri="{FF2B5EF4-FFF2-40B4-BE49-F238E27FC236}">
              <a16:creationId xmlns:a16="http://schemas.microsoft.com/office/drawing/2014/main" id="{D2E5677B-B5D3-1EC7-05FF-E4B503E55704}"/>
            </a:ext>
          </a:extLst>
        </xdr:cNvPr>
        <xdr:cNvCxnSpPr/>
      </xdr:nvCxnSpPr>
      <xdr:spPr>
        <a:xfrm flipV="1">
          <a:off x="165020625" y="2000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55</xdr:row>
      <xdr:rowOff>190500</xdr:rowOff>
    </xdr:from>
    <xdr:to>
      <xdr:col>4</xdr:col>
      <xdr:colOff>981075</xdr:colOff>
      <xdr:row>55</xdr:row>
      <xdr:rowOff>200025</xdr:rowOff>
    </xdr:to>
    <xdr:cxnSp macro="">
      <xdr:nvCxnSpPr>
        <xdr:cNvPr id="235" name="Straight Connector 234">
          <a:extLst>
            <a:ext uri="{FF2B5EF4-FFF2-40B4-BE49-F238E27FC236}">
              <a16:creationId xmlns:a16="http://schemas.microsoft.com/office/drawing/2014/main" id="{4334C07B-E315-1EC9-AF0E-7A8A0FF3F7A3}"/>
            </a:ext>
          </a:extLst>
        </xdr:cNvPr>
        <xdr:cNvCxnSpPr/>
      </xdr:nvCxnSpPr>
      <xdr:spPr>
        <a:xfrm flipV="1">
          <a:off x="165020625" y="21526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57</xdr:row>
      <xdr:rowOff>190500</xdr:rowOff>
    </xdr:from>
    <xdr:to>
      <xdr:col>4</xdr:col>
      <xdr:colOff>981075</xdr:colOff>
      <xdr:row>57</xdr:row>
      <xdr:rowOff>200025</xdr:rowOff>
    </xdr:to>
    <xdr:cxnSp macro="">
      <xdr:nvCxnSpPr>
        <xdr:cNvPr id="236" name="Straight Connector 235">
          <a:extLst>
            <a:ext uri="{FF2B5EF4-FFF2-40B4-BE49-F238E27FC236}">
              <a16:creationId xmlns:a16="http://schemas.microsoft.com/office/drawing/2014/main" id="{AECDF17D-9032-6CB6-3390-A3D3556A7A2A}"/>
            </a:ext>
          </a:extLst>
        </xdr:cNvPr>
        <xdr:cNvCxnSpPr/>
      </xdr:nvCxnSpPr>
      <xdr:spPr>
        <a:xfrm flipV="1">
          <a:off x="165020625" y="2228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60</xdr:row>
      <xdr:rowOff>190500</xdr:rowOff>
    </xdr:from>
    <xdr:to>
      <xdr:col>4</xdr:col>
      <xdr:colOff>981075</xdr:colOff>
      <xdr:row>60</xdr:row>
      <xdr:rowOff>200025</xdr:rowOff>
    </xdr:to>
    <xdr:cxnSp macro="">
      <xdr:nvCxnSpPr>
        <xdr:cNvPr id="237" name="Straight Connector 236">
          <a:extLst>
            <a:ext uri="{FF2B5EF4-FFF2-40B4-BE49-F238E27FC236}">
              <a16:creationId xmlns:a16="http://schemas.microsoft.com/office/drawing/2014/main" id="{0C9467A2-718E-A98F-2C00-C1D9445446F4}"/>
            </a:ext>
          </a:extLst>
        </xdr:cNvPr>
        <xdr:cNvCxnSpPr/>
      </xdr:nvCxnSpPr>
      <xdr:spPr>
        <a:xfrm flipV="1">
          <a:off x="165020625" y="2343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63</xdr:row>
      <xdr:rowOff>190500</xdr:rowOff>
    </xdr:from>
    <xdr:to>
      <xdr:col>4</xdr:col>
      <xdr:colOff>981075</xdr:colOff>
      <xdr:row>63</xdr:row>
      <xdr:rowOff>200025</xdr:rowOff>
    </xdr:to>
    <xdr:cxnSp macro="">
      <xdr:nvCxnSpPr>
        <xdr:cNvPr id="238" name="Straight Connector 237">
          <a:extLst>
            <a:ext uri="{FF2B5EF4-FFF2-40B4-BE49-F238E27FC236}">
              <a16:creationId xmlns:a16="http://schemas.microsoft.com/office/drawing/2014/main" id="{568AD6D9-F584-4FA1-0D50-C67D7C7F1BAB}"/>
            </a:ext>
          </a:extLst>
        </xdr:cNvPr>
        <xdr:cNvCxnSpPr/>
      </xdr:nvCxnSpPr>
      <xdr:spPr>
        <a:xfrm flipV="1">
          <a:off x="165020625" y="24574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65</xdr:row>
      <xdr:rowOff>190500</xdr:rowOff>
    </xdr:from>
    <xdr:to>
      <xdr:col>4</xdr:col>
      <xdr:colOff>981075</xdr:colOff>
      <xdr:row>65</xdr:row>
      <xdr:rowOff>200025</xdr:rowOff>
    </xdr:to>
    <xdr:cxnSp macro="">
      <xdr:nvCxnSpPr>
        <xdr:cNvPr id="239" name="Straight Connector 238">
          <a:extLst>
            <a:ext uri="{FF2B5EF4-FFF2-40B4-BE49-F238E27FC236}">
              <a16:creationId xmlns:a16="http://schemas.microsoft.com/office/drawing/2014/main" id="{B9F6FC49-FAA0-C351-3FB9-9811EEAC2519}"/>
            </a:ext>
          </a:extLst>
        </xdr:cNvPr>
        <xdr:cNvCxnSpPr/>
      </xdr:nvCxnSpPr>
      <xdr:spPr>
        <a:xfrm flipV="1">
          <a:off x="165020625" y="25336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67</xdr:row>
      <xdr:rowOff>190500</xdr:rowOff>
    </xdr:from>
    <xdr:to>
      <xdr:col>4</xdr:col>
      <xdr:colOff>981075</xdr:colOff>
      <xdr:row>67</xdr:row>
      <xdr:rowOff>200025</xdr:rowOff>
    </xdr:to>
    <xdr:cxnSp macro="">
      <xdr:nvCxnSpPr>
        <xdr:cNvPr id="240" name="Straight Connector 239">
          <a:extLst>
            <a:ext uri="{FF2B5EF4-FFF2-40B4-BE49-F238E27FC236}">
              <a16:creationId xmlns:a16="http://schemas.microsoft.com/office/drawing/2014/main" id="{3619590E-3AF0-13D7-13CD-827A8B2202AD}"/>
            </a:ext>
          </a:extLst>
        </xdr:cNvPr>
        <xdr:cNvCxnSpPr/>
      </xdr:nvCxnSpPr>
      <xdr:spPr>
        <a:xfrm flipV="1">
          <a:off x="165020625" y="2609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70</xdr:row>
      <xdr:rowOff>190500</xdr:rowOff>
    </xdr:from>
    <xdr:to>
      <xdr:col>4</xdr:col>
      <xdr:colOff>981075</xdr:colOff>
      <xdr:row>70</xdr:row>
      <xdr:rowOff>200025</xdr:rowOff>
    </xdr:to>
    <xdr:cxnSp macro="">
      <xdr:nvCxnSpPr>
        <xdr:cNvPr id="241" name="Straight Connector 240">
          <a:extLst>
            <a:ext uri="{FF2B5EF4-FFF2-40B4-BE49-F238E27FC236}">
              <a16:creationId xmlns:a16="http://schemas.microsoft.com/office/drawing/2014/main" id="{046E55E9-945C-A83E-D304-CE06EFA53DF3}"/>
            </a:ext>
          </a:extLst>
        </xdr:cNvPr>
        <xdr:cNvCxnSpPr/>
      </xdr:nvCxnSpPr>
      <xdr:spPr>
        <a:xfrm flipV="1">
          <a:off x="165020625" y="2724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71</xdr:row>
      <xdr:rowOff>190500</xdr:rowOff>
    </xdr:from>
    <xdr:to>
      <xdr:col>4</xdr:col>
      <xdr:colOff>981075</xdr:colOff>
      <xdr:row>71</xdr:row>
      <xdr:rowOff>200025</xdr:rowOff>
    </xdr:to>
    <xdr:cxnSp macro="">
      <xdr:nvCxnSpPr>
        <xdr:cNvPr id="242" name="Straight Connector 241">
          <a:extLst>
            <a:ext uri="{FF2B5EF4-FFF2-40B4-BE49-F238E27FC236}">
              <a16:creationId xmlns:a16="http://schemas.microsoft.com/office/drawing/2014/main" id="{004B3BCA-403D-DCDC-0391-950BDB2FF78E}"/>
            </a:ext>
          </a:extLst>
        </xdr:cNvPr>
        <xdr:cNvCxnSpPr/>
      </xdr:nvCxnSpPr>
      <xdr:spPr>
        <a:xfrm flipV="1">
          <a:off x="165020625" y="2762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77</xdr:row>
      <xdr:rowOff>190500</xdr:rowOff>
    </xdr:from>
    <xdr:to>
      <xdr:col>4</xdr:col>
      <xdr:colOff>981075</xdr:colOff>
      <xdr:row>77</xdr:row>
      <xdr:rowOff>200025</xdr:rowOff>
    </xdr:to>
    <xdr:cxnSp macro="">
      <xdr:nvCxnSpPr>
        <xdr:cNvPr id="243" name="Straight Connector 242">
          <a:extLst>
            <a:ext uri="{FF2B5EF4-FFF2-40B4-BE49-F238E27FC236}">
              <a16:creationId xmlns:a16="http://schemas.microsoft.com/office/drawing/2014/main" id="{03C49E82-4B81-C0C3-7899-8DE4C5AAA3CB}"/>
            </a:ext>
          </a:extLst>
        </xdr:cNvPr>
        <xdr:cNvCxnSpPr/>
      </xdr:nvCxnSpPr>
      <xdr:spPr>
        <a:xfrm flipV="1">
          <a:off x="165020625" y="2990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79</xdr:row>
      <xdr:rowOff>190500</xdr:rowOff>
    </xdr:from>
    <xdr:to>
      <xdr:col>4</xdr:col>
      <xdr:colOff>981075</xdr:colOff>
      <xdr:row>79</xdr:row>
      <xdr:rowOff>200025</xdr:rowOff>
    </xdr:to>
    <xdr:cxnSp macro="">
      <xdr:nvCxnSpPr>
        <xdr:cNvPr id="244" name="Straight Connector 243">
          <a:extLst>
            <a:ext uri="{FF2B5EF4-FFF2-40B4-BE49-F238E27FC236}">
              <a16:creationId xmlns:a16="http://schemas.microsoft.com/office/drawing/2014/main" id="{1BC0EDF1-E406-2E75-10E8-9E1FCF9BCB73}"/>
            </a:ext>
          </a:extLst>
        </xdr:cNvPr>
        <xdr:cNvCxnSpPr/>
      </xdr:nvCxnSpPr>
      <xdr:spPr>
        <a:xfrm flipV="1">
          <a:off x="165020625" y="3067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80</xdr:row>
      <xdr:rowOff>190500</xdr:rowOff>
    </xdr:from>
    <xdr:to>
      <xdr:col>4</xdr:col>
      <xdr:colOff>981075</xdr:colOff>
      <xdr:row>80</xdr:row>
      <xdr:rowOff>200025</xdr:rowOff>
    </xdr:to>
    <xdr:cxnSp macro="">
      <xdr:nvCxnSpPr>
        <xdr:cNvPr id="245" name="Straight Connector 244">
          <a:extLst>
            <a:ext uri="{FF2B5EF4-FFF2-40B4-BE49-F238E27FC236}">
              <a16:creationId xmlns:a16="http://schemas.microsoft.com/office/drawing/2014/main" id="{DDA6AB33-52A2-A3A3-A5A3-3FDF9793B5B7}"/>
            </a:ext>
          </a:extLst>
        </xdr:cNvPr>
        <xdr:cNvCxnSpPr/>
      </xdr:nvCxnSpPr>
      <xdr:spPr>
        <a:xfrm flipV="1">
          <a:off x="165020625" y="3105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81</xdr:row>
      <xdr:rowOff>190500</xdr:rowOff>
    </xdr:from>
    <xdr:to>
      <xdr:col>4</xdr:col>
      <xdr:colOff>981075</xdr:colOff>
      <xdr:row>81</xdr:row>
      <xdr:rowOff>200025</xdr:rowOff>
    </xdr:to>
    <xdr:cxnSp macro="">
      <xdr:nvCxnSpPr>
        <xdr:cNvPr id="246" name="Straight Connector 245">
          <a:extLst>
            <a:ext uri="{FF2B5EF4-FFF2-40B4-BE49-F238E27FC236}">
              <a16:creationId xmlns:a16="http://schemas.microsoft.com/office/drawing/2014/main" id="{297321E6-A36B-6D60-883F-42897975CB42}"/>
            </a:ext>
          </a:extLst>
        </xdr:cNvPr>
        <xdr:cNvCxnSpPr/>
      </xdr:nvCxnSpPr>
      <xdr:spPr>
        <a:xfrm flipV="1">
          <a:off x="165020625" y="3143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85</xdr:row>
      <xdr:rowOff>190500</xdr:rowOff>
    </xdr:from>
    <xdr:to>
      <xdr:col>4</xdr:col>
      <xdr:colOff>981075</xdr:colOff>
      <xdr:row>85</xdr:row>
      <xdr:rowOff>200025</xdr:rowOff>
    </xdr:to>
    <xdr:cxnSp macro="">
      <xdr:nvCxnSpPr>
        <xdr:cNvPr id="247" name="Straight Connector 246">
          <a:extLst>
            <a:ext uri="{FF2B5EF4-FFF2-40B4-BE49-F238E27FC236}">
              <a16:creationId xmlns:a16="http://schemas.microsoft.com/office/drawing/2014/main" id="{9A4F006B-9736-0C82-4AD3-D1BE8C00935D}"/>
            </a:ext>
          </a:extLst>
        </xdr:cNvPr>
        <xdr:cNvCxnSpPr/>
      </xdr:nvCxnSpPr>
      <xdr:spPr>
        <a:xfrm flipV="1">
          <a:off x="165020625" y="32956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86</xdr:row>
      <xdr:rowOff>190500</xdr:rowOff>
    </xdr:from>
    <xdr:to>
      <xdr:col>4</xdr:col>
      <xdr:colOff>981075</xdr:colOff>
      <xdr:row>86</xdr:row>
      <xdr:rowOff>200025</xdr:rowOff>
    </xdr:to>
    <xdr:cxnSp macro="">
      <xdr:nvCxnSpPr>
        <xdr:cNvPr id="248" name="Straight Connector 247">
          <a:extLst>
            <a:ext uri="{FF2B5EF4-FFF2-40B4-BE49-F238E27FC236}">
              <a16:creationId xmlns:a16="http://schemas.microsoft.com/office/drawing/2014/main" id="{66C8B565-9088-8107-A6CB-7280212FE304}"/>
            </a:ext>
          </a:extLst>
        </xdr:cNvPr>
        <xdr:cNvCxnSpPr/>
      </xdr:nvCxnSpPr>
      <xdr:spPr>
        <a:xfrm flipV="1">
          <a:off x="165020625" y="33337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89</xdr:row>
      <xdr:rowOff>190500</xdr:rowOff>
    </xdr:from>
    <xdr:to>
      <xdr:col>4</xdr:col>
      <xdr:colOff>981075</xdr:colOff>
      <xdr:row>89</xdr:row>
      <xdr:rowOff>200025</xdr:rowOff>
    </xdr:to>
    <xdr:cxnSp macro="">
      <xdr:nvCxnSpPr>
        <xdr:cNvPr id="249" name="Straight Connector 248">
          <a:extLst>
            <a:ext uri="{FF2B5EF4-FFF2-40B4-BE49-F238E27FC236}">
              <a16:creationId xmlns:a16="http://schemas.microsoft.com/office/drawing/2014/main" id="{D545E946-05A3-9A48-03F9-2768083DF119}"/>
            </a:ext>
          </a:extLst>
        </xdr:cNvPr>
        <xdr:cNvCxnSpPr/>
      </xdr:nvCxnSpPr>
      <xdr:spPr>
        <a:xfrm flipV="1">
          <a:off x="165020625" y="3448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91</xdr:row>
      <xdr:rowOff>190500</xdr:rowOff>
    </xdr:from>
    <xdr:to>
      <xdr:col>4</xdr:col>
      <xdr:colOff>981075</xdr:colOff>
      <xdr:row>91</xdr:row>
      <xdr:rowOff>200025</xdr:rowOff>
    </xdr:to>
    <xdr:cxnSp macro="">
      <xdr:nvCxnSpPr>
        <xdr:cNvPr id="250" name="Straight Connector 249">
          <a:extLst>
            <a:ext uri="{FF2B5EF4-FFF2-40B4-BE49-F238E27FC236}">
              <a16:creationId xmlns:a16="http://schemas.microsoft.com/office/drawing/2014/main" id="{06B02E19-10DA-3409-5652-EE824B0D3BAA}"/>
            </a:ext>
          </a:extLst>
        </xdr:cNvPr>
        <xdr:cNvCxnSpPr/>
      </xdr:nvCxnSpPr>
      <xdr:spPr>
        <a:xfrm flipV="1">
          <a:off x="165020625" y="3524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94</xdr:row>
      <xdr:rowOff>190500</xdr:rowOff>
    </xdr:from>
    <xdr:to>
      <xdr:col>4</xdr:col>
      <xdr:colOff>981075</xdr:colOff>
      <xdr:row>94</xdr:row>
      <xdr:rowOff>200025</xdr:rowOff>
    </xdr:to>
    <xdr:cxnSp macro="">
      <xdr:nvCxnSpPr>
        <xdr:cNvPr id="251" name="Straight Connector 250">
          <a:extLst>
            <a:ext uri="{FF2B5EF4-FFF2-40B4-BE49-F238E27FC236}">
              <a16:creationId xmlns:a16="http://schemas.microsoft.com/office/drawing/2014/main" id="{EDA7794E-1A71-8E7E-1268-9AC8C1325B78}"/>
            </a:ext>
          </a:extLst>
        </xdr:cNvPr>
        <xdr:cNvCxnSpPr/>
      </xdr:nvCxnSpPr>
      <xdr:spPr>
        <a:xfrm flipV="1">
          <a:off x="165020625" y="3638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98</xdr:row>
      <xdr:rowOff>190500</xdr:rowOff>
    </xdr:from>
    <xdr:to>
      <xdr:col>4</xdr:col>
      <xdr:colOff>981075</xdr:colOff>
      <xdr:row>98</xdr:row>
      <xdr:rowOff>200025</xdr:rowOff>
    </xdr:to>
    <xdr:cxnSp macro="">
      <xdr:nvCxnSpPr>
        <xdr:cNvPr id="252" name="Straight Connector 251">
          <a:extLst>
            <a:ext uri="{FF2B5EF4-FFF2-40B4-BE49-F238E27FC236}">
              <a16:creationId xmlns:a16="http://schemas.microsoft.com/office/drawing/2014/main" id="{41B5BD58-00F1-5632-3EEA-4BCE50A239A3}"/>
            </a:ext>
          </a:extLst>
        </xdr:cNvPr>
        <xdr:cNvCxnSpPr/>
      </xdr:nvCxnSpPr>
      <xdr:spPr>
        <a:xfrm flipV="1">
          <a:off x="165020625" y="3790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99</xdr:row>
      <xdr:rowOff>190500</xdr:rowOff>
    </xdr:from>
    <xdr:to>
      <xdr:col>4</xdr:col>
      <xdr:colOff>981075</xdr:colOff>
      <xdr:row>99</xdr:row>
      <xdr:rowOff>200025</xdr:rowOff>
    </xdr:to>
    <xdr:cxnSp macro="">
      <xdr:nvCxnSpPr>
        <xdr:cNvPr id="253" name="Straight Connector 252">
          <a:extLst>
            <a:ext uri="{FF2B5EF4-FFF2-40B4-BE49-F238E27FC236}">
              <a16:creationId xmlns:a16="http://schemas.microsoft.com/office/drawing/2014/main" id="{0B6D32BB-0CD0-D6B2-0BAE-C7C519B60D41}"/>
            </a:ext>
          </a:extLst>
        </xdr:cNvPr>
        <xdr:cNvCxnSpPr/>
      </xdr:nvCxnSpPr>
      <xdr:spPr>
        <a:xfrm flipV="1">
          <a:off x="165020625" y="3829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100</xdr:row>
      <xdr:rowOff>190500</xdr:rowOff>
    </xdr:from>
    <xdr:to>
      <xdr:col>4</xdr:col>
      <xdr:colOff>981075</xdr:colOff>
      <xdr:row>100</xdr:row>
      <xdr:rowOff>200025</xdr:rowOff>
    </xdr:to>
    <xdr:cxnSp macro="">
      <xdr:nvCxnSpPr>
        <xdr:cNvPr id="254" name="Straight Connector 253">
          <a:extLst>
            <a:ext uri="{FF2B5EF4-FFF2-40B4-BE49-F238E27FC236}">
              <a16:creationId xmlns:a16="http://schemas.microsoft.com/office/drawing/2014/main" id="{F77233FC-4024-DD06-1934-93E1C0C8FFA0}"/>
            </a:ext>
          </a:extLst>
        </xdr:cNvPr>
        <xdr:cNvCxnSpPr/>
      </xdr:nvCxnSpPr>
      <xdr:spPr>
        <a:xfrm flipV="1">
          <a:off x="165020625" y="3867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102</xdr:row>
      <xdr:rowOff>190500</xdr:rowOff>
    </xdr:from>
    <xdr:to>
      <xdr:col>4</xdr:col>
      <xdr:colOff>981075</xdr:colOff>
      <xdr:row>102</xdr:row>
      <xdr:rowOff>200025</xdr:rowOff>
    </xdr:to>
    <xdr:cxnSp macro="">
      <xdr:nvCxnSpPr>
        <xdr:cNvPr id="255" name="Straight Connector 254">
          <a:extLst>
            <a:ext uri="{FF2B5EF4-FFF2-40B4-BE49-F238E27FC236}">
              <a16:creationId xmlns:a16="http://schemas.microsoft.com/office/drawing/2014/main" id="{BF701AD6-0B54-9321-B71E-C61D5C4320F0}"/>
            </a:ext>
          </a:extLst>
        </xdr:cNvPr>
        <xdr:cNvCxnSpPr/>
      </xdr:nvCxnSpPr>
      <xdr:spPr>
        <a:xfrm flipV="1">
          <a:off x="165020625" y="39433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104</xdr:row>
      <xdr:rowOff>190500</xdr:rowOff>
    </xdr:from>
    <xdr:to>
      <xdr:col>4</xdr:col>
      <xdr:colOff>981075</xdr:colOff>
      <xdr:row>104</xdr:row>
      <xdr:rowOff>200025</xdr:rowOff>
    </xdr:to>
    <xdr:cxnSp macro="">
      <xdr:nvCxnSpPr>
        <xdr:cNvPr id="256" name="Straight Connector 255">
          <a:extLst>
            <a:ext uri="{FF2B5EF4-FFF2-40B4-BE49-F238E27FC236}">
              <a16:creationId xmlns:a16="http://schemas.microsoft.com/office/drawing/2014/main" id="{ACDFAB8B-1A61-366C-5C06-109AD3C5FFCD}"/>
            </a:ext>
          </a:extLst>
        </xdr:cNvPr>
        <xdr:cNvCxnSpPr/>
      </xdr:nvCxnSpPr>
      <xdr:spPr>
        <a:xfrm flipV="1">
          <a:off x="165020625" y="4019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107</xdr:row>
      <xdr:rowOff>190500</xdr:rowOff>
    </xdr:from>
    <xdr:to>
      <xdr:col>4</xdr:col>
      <xdr:colOff>981075</xdr:colOff>
      <xdr:row>107</xdr:row>
      <xdr:rowOff>200025</xdr:rowOff>
    </xdr:to>
    <xdr:cxnSp macro="">
      <xdr:nvCxnSpPr>
        <xdr:cNvPr id="257" name="Straight Connector 256">
          <a:extLst>
            <a:ext uri="{FF2B5EF4-FFF2-40B4-BE49-F238E27FC236}">
              <a16:creationId xmlns:a16="http://schemas.microsoft.com/office/drawing/2014/main" id="{AA7C3746-B239-D466-776B-D4CB03F40526}"/>
            </a:ext>
          </a:extLst>
        </xdr:cNvPr>
        <xdr:cNvCxnSpPr/>
      </xdr:nvCxnSpPr>
      <xdr:spPr>
        <a:xfrm flipV="1">
          <a:off x="165020625" y="4133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108</xdr:row>
      <xdr:rowOff>190500</xdr:rowOff>
    </xdr:from>
    <xdr:to>
      <xdr:col>4</xdr:col>
      <xdr:colOff>981075</xdr:colOff>
      <xdr:row>108</xdr:row>
      <xdr:rowOff>200025</xdr:rowOff>
    </xdr:to>
    <xdr:cxnSp macro="">
      <xdr:nvCxnSpPr>
        <xdr:cNvPr id="258" name="Straight Connector 257">
          <a:extLst>
            <a:ext uri="{FF2B5EF4-FFF2-40B4-BE49-F238E27FC236}">
              <a16:creationId xmlns:a16="http://schemas.microsoft.com/office/drawing/2014/main" id="{E07996FA-010C-5F0E-C0D3-E6B76FF525FA}"/>
            </a:ext>
          </a:extLst>
        </xdr:cNvPr>
        <xdr:cNvCxnSpPr/>
      </xdr:nvCxnSpPr>
      <xdr:spPr>
        <a:xfrm flipV="1">
          <a:off x="165020625" y="4171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110</xdr:row>
      <xdr:rowOff>190500</xdr:rowOff>
    </xdr:from>
    <xdr:to>
      <xdr:col>4</xdr:col>
      <xdr:colOff>981075</xdr:colOff>
      <xdr:row>110</xdr:row>
      <xdr:rowOff>200025</xdr:rowOff>
    </xdr:to>
    <xdr:cxnSp macro="">
      <xdr:nvCxnSpPr>
        <xdr:cNvPr id="259" name="Straight Connector 258">
          <a:extLst>
            <a:ext uri="{FF2B5EF4-FFF2-40B4-BE49-F238E27FC236}">
              <a16:creationId xmlns:a16="http://schemas.microsoft.com/office/drawing/2014/main" id="{2D0EBE4C-C5A2-F048-9553-B9249C6FC816}"/>
            </a:ext>
          </a:extLst>
        </xdr:cNvPr>
        <xdr:cNvCxnSpPr/>
      </xdr:nvCxnSpPr>
      <xdr:spPr>
        <a:xfrm flipV="1">
          <a:off x="165020625" y="4248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111</xdr:row>
      <xdr:rowOff>190500</xdr:rowOff>
    </xdr:from>
    <xdr:to>
      <xdr:col>4</xdr:col>
      <xdr:colOff>981075</xdr:colOff>
      <xdr:row>111</xdr:row>
      <xdr:rowOff>200025</xdr:rowOff>
    </xdr:to>
    <xdr:cxnSp macro="">
      <xdr:nvCxnSpPr>
        <xdr:cNvPr id="260" name="Straight Connector 259">
          <a:extLst>
            <a:ext uri="{FF2B5EF4-FFF2-40B4-BE49-F238E27FC236}">
              <a16:creationId xmlns:a16="http://schemas.microsoft.com/office/drawing/2014/main" id="{4BB80B24-8A01-29DA-2CAF-FA20E90A5799}"/>
            </a:ext>
          </a:extLst>
        </xdr:cNvPr>
        <xdr:cNvCxnSpPr/>
      </xdr:nvCxnSpPr>
      <xdr:spPr>
        <a:xfrm flipV="1">
          <a:off x="165020625" y="4286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112</xdr:row>
      <xdr:rowOff>190500</xdr:rowOff>
    </xdr:from>
    <xdr:to>
      <xdr:col>4</xdr:col>
      <xdr:colOff>981075</xdr:colOff>
      <xdr:row>112</xdr:row>
      <xdr:rowOff>200025</xdr:rowOff>
    </xdr:to>
    <xdr:cxnSp macro="">
      <xdr:nvCxnSpPr>
        <xdr:cNvPr id="261" name="Straight Connector 260">
          <a:extLst>
            <a:ext uri="{FF2B5EF4-FFF2-40B4-BE49-F238E27FC236}">
              <a16:creationId xmlns:a16="http://schemas.microsoft.com/office/drawing/2014/main" id="{945BA072-7495-7C3E-289F-B76D86421B52}"/>
            </a:ext>
          </a:extLst>
        </xdr:cNvPr>
        <xdr:cNvCxnSpPr/>
      </xdr:nvCxnSpPr>
      <xdr:spPr>
        <a:xfrm flipV="1">
          <a:off x="165020625" y="43243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113</xdr:row>
      <xdr:rowOff>190500</xdr:rowOff>
    </xdr:from>
    <xdr:to>
      <xdr:col>4</xdr:col>
      <xdr:colOff>981075</xdr:colOff>
      <xdr:row>113</xdr:row>
      <xdr:rowOff>200025</xdr:rowOff>
    </xdr:to>
    <xdr:cxnSp macro="">
      <xdr:nvCxnSpPr>
        <xdr:cNvPr id="262" name="Straight Connector 261">
          <a:extLst>
            <a:ext uri="{FF2B5EF4-FFF2-40B4-BE49-F238E27FC236}">
              <a16:creationId xmlns:a16="http://schemas.microsoft.com/office/drawing/2014/main" id="{2A9B4140-0AD6-03C1-3704-615C1C6BD275}"/>
            </a:ext>
          </a:extLst>
        </xdr:cNvPr>
        <xdr:cNvCxnSpPr/>
      </xdr:nvCxnSpPr>
      <xdr:spPr>
        <a:xfrm flipV="1">
          <a:off x="165020625" y="43624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118</xdr:row>
      <xdr:rowOff>190500</xdr:rowOff>
    </xdr:from>
    <xdr:to>
      <xdr:col>4</xdr:col>
      <xdr:colOff>981075</xdr:colOff>
      <xdr:row>118</xdr:row>
      <xdr:rowOff>200025</xdr:rowOff>
    </xdr:to>
    <xdr:cxnSp macro="">
      <xdr:nvCxnSpPr>
        <xdr:cNvPr id="263" name="Straight Connector 262">
          <a:extLst>
            <a:ext uri="{FF2B5EF4-FFF2-40B4-BE49-F238E27FC236}">
              <a16:creationId xmlns:a16="http://schemas.microsoft.com/office/drawing/2014/main" id="{441CA505-14F4-7600-3DA6-3CBB7BF8B6D4}"/>
            </a:ext>
          </a:extLst>
        </xdr:cNvPr>
        <xdr:cNvCxnSpPr/>
      </xdr:nvCxnSpPr>
      <xdr:spPr>
        <a:xfrm flipV="1">
          <a:off x="165020625" y="4552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119</xdr:row>
      <xdr:rowOff>190500</xdr:rowOff>
    </xdr:from>
    <xdr:to>
      <xdr:col>4</xdr:col>
      <xdr:colOff>981075</xdr:colOff>
      <xdr:row>119</xdr:row>
      <xdr:rowOff>200025</xdr:rowOff>
    </xdr:to>
    <xdr:cxnSp macro="">
      <xdr:nvCxnSpPr>
        <xdr:cNvPr id="264" name="Straight Connector 263">
          <a:extLst>
            <a:ext uri="{FF2B5EF4-FFF2-40B4-BE49-F238E27FC236}">
              <a16:creationId xmlns:a16="http://schemas.microsoft.com/office/drawing/2014/main" id="{22E2A5E6-05BA-0283-C0F1-84D60F00A415}"/>
            </a:ext>
          </a:extLst>
        </xdr:cNvPr>
        <xdr:cNvCxnSpPr/>
      </xdr:nvCxnSpPr>
      <xdr:spPr>
        <a:xfrm flipV="1">
          <a:off x="165020625" y="4591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121</xdr:row>
      <xdr:rowOff>190500</xdr:rowOff>
    </xdr:from>
    <xdr:to>
      <xdr:col>4</xdr:col>
      <xdr:colOff>981075</xdr:colOff>
      <xdr:row>121</xdr:row>
      <xdr:rowOff>200025</xdr:rowOff>
    </xdr:to>
    <xdr:cxnSp macro="">
      <xdr:nvCxnSpPr>
        <xdr:cNvPr id="265" name="Straight Connector 264">
          <a:extLst>
            <a:ext uri="{FF2B5EF4-FFF2-40B4-BE49-F238E27FC236}">
              <a16:creationId xmlns:a16="http://schemas.microsoft.com/office/drawing/2014/main" id="{EDCC475C-40B3-2AA6-6E04-B15466649863}"/>
            </a:ext>
          </a:extLst>
        </xdr:cNvPr>
        <xdr:cNvCxnSpPr/>
      </xdr:nvCxnSpPr>
      <xdr:spPr>
        <a:xfrm flipV="1">
          <a:off x="165020625" y="4667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123</xdr:row>
      <xdr:rowOff>190500</xdr:rowOff>
    </xdr:from>
    <xdr:to>
      <xdr:col>4</xdr:col>
      <xdr:colOff>981075</xdr:colOff>
      <xdr:row>123</xdr:row>
      <xdr:rowOff>200025</xdr:rowOff>
    </xdr:to>
    <xdr:cxnSp macro="">
      <xdr:nvCxnSpPr>
        <xdr:cNvPr id="266" name="Straight Connector 265">
          <a:extLst>
            <a:ext uri="{FF2B5EF4-FFF2-40B4-BE49-F238E27FC236}">
              <a16:creationId xmlns:a16="http://schemas.microsoft.com/office/drawing/2014/main" id="{39EB5E36-086E-CE4E-3FD8-E595EE3436A9}"/>
            </a:ext>
          </a:extLst>
        </xdr:cNvPr>
        <xdr:cNvCxnSpPr/>
      </xdr:nvCxnSpPr>
      <xdr:spPr>
        <a:xfrm flipV="1">
          <a:off x="165020625" y="47434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124</xdr:row>
      <xdr:rowOff>190500</xdr:rowOff>
    </xdr:from>
    <xdr:to>
      <xdr:col>4</xdr:col>
      <xdr:colOff>981075</xdr:colOff>
      <xdr:row>124</xdr:row>
      <xdr:rowOff>200025</xdr:rowOff>
    </xdr:to>
    <xdr:cxnSp macro="">
      <xdr:nvCxnSpPr>
        <xdr:cNvPr id="267" name="Straight Connector 266">
          <a:extLst>
            <a:ext uri="{FF2B5EF4-FFF2-40B4-BE49-F238E27FC236}">
              <a16:creationId xmlns:a16="http://schemas.microsoft.com/office/drawing/2014/main" id="{6C7783DA-988B-3713-F5D0-0958CAB57578}"/>
            </a:ext>
          </a:extLst>
        </xdr:cNvPr>
        <xdr:cNvCxnSpPr/>
      </xdr:nvCxnSpPr>
      <xdr:spPr>
        <a:xfrm flipV="1">
          <a:off x="165020625" y="4781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125</xdr:row>
      <xdr:rowOff>190500</xdr:rowOff>
    </xdr:from>
    <xdr:to>
      <xdr:col>4</xdr:col>
      <xdr:colOff>981075</xdr:colOff>
      <xdr:row>125</xdr:row>
      <xdr:rowOff>200025</xdr:rowOff>
    </xdr:to>
    <xdr:cxnSp macro="">
      <xdr:nvCxnSpPr>
        <xdr:cNvPr id="268" name="Straight Connector 267">
          <a:extLst>
            <a:ext uri="{FF2B5EF4-FFF2-40B4-BE49-F238E27FC236}">
              <a16:creationId xmlns:a16="http://schemas.microsoft.com/office/drawing/2014/main" id="{805727A9-7594-5015-7635-219F1DEBD2FD}"/>
            </a:ext>
          </a:extLst>
        </xdr:cNvPr>
        <xdr:cNvCxnSpPr/>
      </xdr:nvCxnSpPr>
      <xdr:spPr>
        <a:xfrm flipV="1">
          <a:off x="165020625" y="48196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127</xdr:row>
      <xdr:rowOff>190500</xdr:rowOff>
    </xdr:from>
    <xdr:to>
      <xdr:col>4</xdr:col>
      <xdr:colOff>981075</xdr:colOff>
      <xdr:row>127</xdr:row>
      <xdr:rowOff>200025</xdr:rowOff>
    </xdr:to>
    <xdr:cxnSp macro="">
      <xdr:nvCxnSpPr>
        <xdr:cNvPr id="269" name="Straight Connector 268">
          <a:extLst>
            <a:ext uri="{FF2B5EF4-FFF2-40B4-BE49-F238E27FC236}">
              <a16:creationId xmlns:a16="http://schemas.microsoft.com/office/drawing/2014/main" id="{0D385892-771C-2065-A2CB-8296D4672176}"/>
            </a:ext>
          </a:extLst>
        </xdr:cNvPr>
        <xdr:cNvCxnSpPr/>
      </xdr:nvCxnSpPr>
      <xdr:spPr>
        <a:xfrm flipV="1">
          <a:off x="165020625" y="4895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129</xdr:row>
      <xdr:rowOff>190500</xdr:rowOff>
    </xdr:from>
    <xdr:to>
      <xdr:col>4</xdr:col>
      <xdr:colOff>981075</xdr:colOff>
      <xdr:row>129</xdr:row>
      <xdr:rowOff>200025</xdr:rowOff>
    </xdr:to>
    <xdr:cxnSp macro="">
      <xdr:nvCxnSpPr>
        <xdr:cNvPr id="270" name="Straight Connector 269">
          <a:extLst>
            <a:ext uri="{FF2B5EF4-FFF2-40B4-BE49-F238E27FC236}">
              <a16:creationId xmlns:a16="http://schemas.microsoft.com/office/drawing/2014/main" id="{D0536F59-5986-2B91-5760-941D58922637}"/>
            </a:ext>
          </a:extLst>
        </xdr:cNvPr>
        <xdr:cNvCxnSpPr/>
      </xdr:nvCxnSpPr>
      <xdr:spPr>
        <a:xfrm flipV="1">
          <a:off x="165020625" y="4972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130</xdr:row>
      <xdr:rowOff>190500</xdr:rowOff>
    </xdr:from>
    <xdr:to>
      <xdr:col>4</xdr:col>
      <xdr:colOff>981075</xdr:colOff>
      <xdr:row>130</xdr:row>
      <xdr:rowOff>200025</xdr:rowOff>
    </xdr:to>
    <xdr:cxnSp macro="">
      <xdr:nvCxnSpPr>
        <xdr:cNvPr id="271" name="Straight Connector 270">
          <a:extLst>
            <a:ext uri="{FF2B5EF4-FFF2-40B4-BE49-F238E27FC236}">
              <a16:creationId xmlns:a16="http://schemas.microsoft.com/office/drawing/2014/main" id="{00C91987-650E-BFE2-85D5-FA3C885421FD}"/>
            </a:ext>
          </a:extLst>
        </xdr:cNvPr>
        <xdr:cNvCxnSpPr/>
      </xdr:nvCxnSpPr>
      <xdr:spPr>
        <a:xfrm flipV="1">
          <a:off x="165020625" y="5010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131</xdr:row>
      <xdr:rowOff>190500</xdr:rowOff>
    </xdr:from>
    <xdr:to>
      <xdr:col>4</xdr:col>
      <xdr:colOff>981075</xdr:colOff>
      <xdr:row>131</xdr:row>
      <xdr:rowOff>200025</xdr:rowOff>
    </xdr:to>
    <xdr:cxnSp macro="">
      <xdr:nvCxnSpPr>
        <xdr:cNvPr id="272" name="Straight Connector 271">
          <a:extLst>
            <a:ext uri="{FF2B5EF4-FFF2-40B4-BE49-F238E27FC236}">
              <a16:creationId xmlns:a16="http://schemas.microsoft.com/office/drawing/2014/main" id="{1CB64488-E9EF-45D0-BDA8-86E78AFE0979}"/>
            </a:ext>
          </a:extLst>
        </xdr:cNvPr>
        <xdr:cNvCxnSpPr/>
      </xdr:nvCxnSpPr>
      <xdr:spPr>
        <a:xfrm flipV="1">
          <a:off x="165020625" y="5048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134</xdr:row>
      <xdr:rowOff>190500</xdr:rowOff>
    </xdr:from>
    <xdr:to>
      <xdr:col>4</xdr:col>
      <xdr:colOff>981075</xdr:colOff>
      <xdr:row>134</xdr:row>
      <xdr:rowOff>200025</xdr:rowOff>
    </xdr:to>
    <xdr:cxnSp macro="">
      <xdr:nvCxnSpPr>
        <xdr:cNvPr id="273" name="Straight Connector 272">
          <a:extLst>
            <a:ext uri="{FF2B5EF4-FFF2-40B4-BE49-F238E27FC236}">
              <a16:creationId xmlns:a16="http://schemas.microsoft.com/office/drawing/2014/main" id="{EAD37FC0-15BE-27E7-D6F1-4BE0D849A8A3}"/>
            </a:ext>
          </a:extLst>
        </xdr:cNvPr>
        <xdr:cNvCxnSpPr/>
      </xdr:nvCxnSpPr>
      <xdr:spPr>
        <a:xfrm flipV="1">
          <a:off x="165020625" y="5162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135</xdr:row>
      <xdr:rowOff>190500</xdr:rowOff>
    </xdr:from>
    <xdr:to>
      <xdr:col>4</xdr:col>
      <xdr:colOff>981075</xdr:colOff>
      <xdr:row>135</xdr:row>
      <xdr:rowOff>200025</xdr:rowOff>
    </xdr:to>
    <xdr:cxnSp macro="">
      <xdr:nvCxnSpPr>
        <xdr:cNvPr id="274" name="Straight Connector 273">
          <a:extLst>
            <a:ext uri="{FF2B5EF4-FFF2-40B4-BE49-F238E27FC236}">
              <a16:creationId xmlns:a16="http://schemas.microsoft.com/office/drawing/2014/main" id="{D78985CE-A4CB-AE54-874B-2A2AFC1292D7}"/>
            </a:ext>
          </a:extLst>
        </xdr:cNvPr>
        <xdr:cNvCxnSpPr/>
      </xdr:nvCxnSpPr>
      <xdr:spPr>
        <a:xfrm flipV="1">
          <a:off x="165020625" y="52006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137</xdr:row>
      <xdr:rowOff>190500</xdr:rowOff>
    </xdr:from>
    <xdr:to>
      <xdr:col>4</xdr:col>
      <xdr:colOff>981075</xdr:colOff>
      <xdr:row>137</xdr:row>
      <xdr:rowOff>200025</xdr:rowOff>
    </xdr:to>
    <xdr:cxnSp macro="">
      <xdr:nvCxnSpPr>
        <xdr:cNvPr id="275" name="Straight Connector 274">
          <a:extLst>
            <a:ext uri="{FF2B5EF4-FFF2-40B4-BE49-F238E27FC236}">
              <a16:creationId xmlns:a16="http://schemas.microsoft.com/office/drawing/2014/main" id="{D9A1F056-782C-F3BC-6809-F173EF45C3E4}"/>
            </a:ext>
          </a:extLst>
        </xdr:cNvPr>
        <xdr:cNvCxnSpPr/>
      </xdr:nvCxnSpPr>
      <xdr:spPr>
        <a:xfrm flipV="1">
          <a:off x="165020625" y="5276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139</xdr:row>
      <xdr:rowOff>190500</xdr:rowOff>
    </xdr:from>
    <xdr:to>
      <xdr:col>4</xdr:col>
      <xdr:colOff>981075</xdr:colOff>
      <xdr:row>139</xdr:row>
      <xdr:rowOff>200025</xdr:rowOff>
    </xdr:to>
    <xdr:cxnSp macro="">
      <xdr:nvCxnSpPr>
        <xdr:cNvPr id="276" name="Straight Connector 275">
          <a:extLst>
            <a:ext uri="{FF2B5EF4-FFF2-40B4-BE49-F238E27FC236}">
              <a16:creationId xmlns:a16="http://schemas.microsoft.com/office/drawing/2014/main" id="{E3D306B9-52E6-5772-EB75-B2B0B8158527}"/>
            </a:ext>
          </a:extLst>
        </xdr:cNvPr>
        <xdr:cNvCxnSpPr/>
      </xdr:nvCxnSpPr>
      <xdr:spPr>
        <a:xfrm flipV="1">
          <a:off x="165020625" y="5353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142</xdr:row>
      <xdr:rowOff>190500</xdr:rowOff>
    </xdr:from>
    <xdr:to>
      <xdr:col>4</xdr:col>
      <xdr:colOff>981075</xdr:colOff>
      <xdr:row>142</xdr:row>
      <xdr:rowOff>200025</xdr:rowOff>
    </xdr:to>
    <xdr:cxnSp macro="">
      <xdr:nvCxnSpPr>
        <xdr:cNvPr id="277" name="Straight Connector 276">
          <a:extLst>
            <a:ext uri="{FF2B5EF4-FFF2-40B4-BE49-F238E27FC236}">
              <a16:creationId xmlns:a16="http://schemas.microsoft.com/office/drawing/2014/main" id="{022F0BD0-EF22-87E4-182A-DD1AE815146D}"/>
            </a:ext>
          </a:extLst>
        </xdr:cNvPr>
        <xdr:cNvCxnSpPr/>
      </xdr:nvCxnSpPr>
      <xdr:spPr>
        <a:xfrm flipV="1">
          <a:off x="165020625" y="54673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145</xdr:row>
      <xdr:rowOff>190500</xdr:rowOff>
    </xdr:from>
    <xdr:to>
      <xdr:col>4</xdr:col>
      <xdr:colOff>981075</xdr:colOff>
      <xdr:row>145</xdr:row>
      <xdr:rowOff>200025</xdr:rowOff>
    </xdr:to>
    <xdr:cxnSp macro="">
      <xdr:nvCxnSpPr>
        <xdr:cNvPr id="278" name="Straight Connector 277">
          <a:extLst>
            <a:ext uri="{FF2B5EF4-FFF2-40B4-BE49-F238E27FC236}">
              <a16:creationId xmlns:a16="http://schemas.microsoft.com/office/drawing/2014/main" id="{299B7C95-ADA6-64AD-AD7A-906F5736562D}"/>
            </a:ext>
          </a:extLst>
        </xdr:cNvPr>
        <xdr:cNvCxnSpPr/>
      </xdr:nvCxnSpPr>
      <xdr:spPr>
        <a:xfrm flipV="1">
          <a:off x="165020625" y="55816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147</xdr:row>
      <xdr:rowOff>190500</xdr:rowOff>
    </xdr:from>
    <xdr:to>
      <xdr:col>4</xdr:col>
      <xdr:colOff>981075</xdr:colOff>
      <xdr:row>147</xdr:row>
      <xdr:rowOff>200025</xdr:rowOff>
    </xdr:to>
    <xdr:cxnSp macro="">
      <xdr:nvCxnSpPr>
        <xdr:cNvPr id="279" name="Straight Connector 278">
          <a:extLst>
            <a:ext uri="{FF2B5EF4-FFF2-40B4-BE49-F238E27FC236}">
              <a16:creationId xmlns:a16="http://schemas.microsoft.com/office/drawing/2014/main" id="{40113AEC-1471-CAEC-2012-A595F963F662}"/>
            </a:ext>
          </a:extLst>
        </xdr:cNvPr>
        <xdr:cNvCxnSpPr/>
      </xdr:nvCxnSpPr>
      <xdr:spPr>
        <a:xfrm flipV="1">
          <a:off x="165020625" y="5657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149</xdr:row>
      <xdr:rowOff>190500</xdr:rowOff>
    </xdr:from>
    <xdr:to>
      <xdr:col>4</xdr:col>
      <xdr:colOff>981075</xdr:colOff>
      <xdr:row>149</xdr:row>
      <xdr:rowOff>200025</xdr:rowOff>
    </xdr:to>
    <xdr:cxnSp macro="">
      <xdr:nvCxnSpPr>
        <xdr:cNvPr id="280" name="Straight Connector 279">
          <a:extLst>
            <a:ext uri="{FF2B5EF4-FFF2-40B4-BE49-F238E27FC236}">
              <a16:creationId xmlns:a16="http://schemas.microsoft.com/office/drawing/2014/main" id="{8435D8D8-AEFC-C8C8-D0FE-68DD45E56CBB}"/>
            </a:ext>
          </a:extLst>
        </xdr:cNvPr>
        <xdr:cNvCxnSpPr/>
      </xdr:nvCxnSpPr>
      <xdr:spPr>
        <a:xfrm flipV="1">
          <a:off x="165020625" y="5734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152</xdr:row>
      <xdr:rowOff>190500</xdr:rowOff>
    </xdr:from>
    <xdr:to>
      <xdr:col>4</xdr:col>
      <xdr:colOff>981075</xdr:colOff>
      <xdr:row>152</xdr:row>
      <xdr:rowOff>200025</xdr:rowOff>
    </xdr:to>
    <xdr:cxnSp macro="">
      <xdr:nvCxnSpPr>
        <xdr:cNvPr id="281" name="Straight Connector 280">
          <a:extLst>
            <a:ext uri="{FF2B5EF4-FFF2-40B4-BE49-F238E27FC236}">
              <a16:creationId xmlns:a16="http://schemas.microsoft.com/office/drawing/2014/main" id="{4986740F-AA0E-1345-C9E6-69C055609F2E}"/>
            </a:ext>
          </a:extLst>
        </xdr:cNvPr>
        <xdr:cNvCxnSpPr/>
      </xdr:nvCxnSpPr>
      <xdr:spPr>
        <a:xfrm flipV="1">
          <a:off x="165020625" y="58483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157</xdr:row>
      <xdr:rowOff>190500</xdr:rowOff>
    </xdr:from>
    <xdr:to>
      <xdr:col>4</xdr:col>
      <xdr:colOff>981075</xdr:colOff>
      <xdr:row>157</xdr:row>
      <xdr:rowOff>200025</xdr:rowOff>
    </xdr:to>
    <xdr:cxnSp macro="">
      <xdr:nvCxnSpPr>
        <xdr:cNvPr id="282" name="Straight Connector 281">
          <a:extLst>
            <a:ext uri="{FF2B5EF4-FFF2-40B4-BE49-F238E27FC236}">
              <a16:creationId xmlns:a16="http://schemas.microsoft.com/office/drawing/2014/main" id="{E643A934-4F68-5402-A512-8B8BD2C80369}"/>
            </a:ext>
          </a:extLst>
        </xdr:cNvPr>
        <xdr:cNvCxnSpPr/>
      </xdr:nvCxnSpPr>
      <xdr:spPr>
        <a:xfrm flipV="1">
          <a:off x="165020625" y="6038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158</xdr:row>
      <xdr:rowOff>190500</xdr:rowOff>
    </xdr:from>
    <xdr:to>
      <xdr:col>4</xdr:col>
      <xdr:colOff>981075</xdr:colOff>
      <xdr:row>158</xdr:row>
      <xdr:rowOff>200025</xdr:rowOff>
    </xdr:to>
    <xdr:cxnSp macro="">
      <xdr:nvCxnSpPr>
        <xdr:cNvPr id="283" name="Straight Connector 282">
          <a:extLst>
            <a:ext uri="{FF2B5EF4-FFF2-40B4-BE49-F238E27FC236}">
              <a16:creationId xmlns:a16="http://schemas.microsoft.com/office/drawing/2014/main" id="{B207CB99-5D6B-A4E8-845F-7B784A042ACA}"/>
            </a:ext>
          </a:extLst>
        </xdr:cNvPr>
        <xdr:cNvCxnSpPr/>
      </xdr:nvCxnSpPr>
      <xdr:spPr>
        <a:xfrm flipV="1">
          <a:off x="165020625" y="6076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162</xdr:row>
      <xdr:rowOff>190500</xdr:rowOff>
    </xdr:from>
    <xdr:to>
      <xdr:col>4</xdr:col>
      <xdr:colOff>981075</xdr:colOff>
      <xdr:row>162</xdr:row>
      <xdr:rowOff>200025</xdr:rowOff>
    </xdr:to>
    <xdr:cxnSp macro="">
      <xdr:nvCxnSpPr>
        <xdr:cNvPr id="284" name="Straight Connector 283">
          <a:extLst>
            <a:ext uri="{FF2B5EF4-FFF2-40B4-BE49-F238E27FC236}">
              <a16:creationId xmlns:a16="http://schemas.microsoft.com/office/drawing/2014/main" id="{337FC9E7-90EC-034B-3621-465F49CFF6D8}"/>
            </a:ext>
          </a:extLst>
        </xdr:cNvPr>
        <xdr:cNvCxnSpPr/>
      </xdr:nvCxnSpPr>
      <xdr:spPr>
        <a:xfrm flipV="1">
          <a:off x="165020625" y="62293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164</xdr:row>
      <xdr:rowOff>190500</xdr:rowOff>
    </xdr:from>
    <xdr:to>
      <xdr:col>4</xdr:col>
      <xdr:colOff>981075</xdr:colOff>
      <xdr:row>164</xdr:row>
      <xdr:rowOff>200025</xdr:rowOff>
    </xdr:to>
    <xdr:cxnSp macro="">
      <xdr:nvCxnSpPr>
        <xdr:cNvPr id="285" name="Straight Connector 284">
          <a:extLst>
            <a:ext uri="{FF2B5EF4-FFF2-40B4-BE49-F238E27FC236}">
              <a16:creationId xmlns:a16="http://schemas.microsoft.com/office/drawing/2014/main" id="{59502223-3BD2-FCB6-3F10-B8FCB3E029ED}"/>
            </a:ext>
          </a:extLst>
        </xdr:cNvPr>
        <xdr:cNvCxnSpPr/>
      </xdr:nvCxnSpPr>
      <xdr:spPr>
        <a:xfrm flipV="1">
          <a:off x="165020625" y="6305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167</xdr:row>
      <xdr:rowOff>190500</xdr:rowOff>
    </xdr:from>
    <xdr:to>
      <xdr:col>4</xdr:col>
      <xdr:colOff>981075</xdr:colOff>
      <xdr:row>167</xdr:row>
      <xdr:rowOff>200025</xdr:rowOff>
    </xdr:to>
    <xdr:cxnSp macro="">
      <xdr:nvCxnSpPr>
        <xdr:cNvPr id="286" name="Straight Connector 285">
          <a:extLst>
            <a:ext uri="{FF2B5EF4-FFF2-40B4-BE49-F238E27FC236}">
              <a16:creationId xmlns:a16="http://schemas.microsoft.com/office/drawing/2014/main" id="{3F2E0F8C-2FE7-3B21-90D6-48FA1FE48FE0}"/>
            </a:ext>
          </a:extLst>
        </xdr:cNvPr>
        <xdr:cNvCxnSpPr/>
      </xdr:nvCxnSpPr>
      <xdr:spPr>
        <a:xfrm flipV="1">
          <a:off x="165020625" y="6419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168</xdr:row>
      <xdr:rowOff>190500</xdr:rowOff>
    </xdr:from>
    <xdr:to>
      <xdr:col>4</xdr:col>
      <xdr:colOff>981075</xdr:colOff>
      <xdr:row>168</xdr:row>
      <xdr:rowOff>200025</xdr:rowOff>
    </xdr:to>
    <xdr:cxnSp macro="">
      <xdr:nvCxnSpPr>
        <xdr:cNvPr id="287" name="Straight Connector 286">
          <a:extLst>
            <a:ext uri="{FF2B5EF4-FFF2-40B4-BE49-F238E27FC236}">
              <a16:creationId xmlns:a16="http://schemas.microsoft.com/office/drawing/2014/main" id="{616536FA-7822-F6E7-B7C3-CBF2E0804264}"/>
            </a:ext>
          </a:extLst>
        </xdr:cNvPr>
        <xdr:cNvCxnSpPr/>
      </xdr:nvCxnSpPr>
      <xdr:spPr>
        <a:xfrm flipV="1">
          <a:off x="165020625" y="6457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171</xdr:row>
      <xdr:rowOff>190500</xdr:rowOff>
    </xdr:from>
    <xdr:to>
      <xdr:col>4</xdr:col>
      <xdr:colOff>981075</xdr:colOff>
      <xdr:row>171</xdr:row>
      <xdr:rowOff>200025</xdr:rowOff>
    </xdr:to>
    <xdr:cxnSp macro="">
      <xdr:nvCxnSpPr>
        <xdr:cNvPr id="288" name="Straight Connector 287">
          <a:extLst>
            <a:ext uri="{FF2B5EF4-FFF2-40B4-BE49-F238E27FC236}">
              <a16:creationId xmlns:a16="http://schemas.microsoft.com/office/drawing/2014/main" id="{255EBFAE-BB75-5129-3693-9EB4954765B0}"/>
            </a:ext>
          </a:extLst>
        </xdr:cNvPr>
        <xdr:cNvCxnSpPr/>
      </xdr:nvCxnSpPr>
      <xdr:spPr>
        <a:xfrm flipV="1">
          <a:off x="165020625" y="6572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175</xdr:row>
      <xdr:rowOff>190500</xdr:rowOff>
    </xdr:from>
    <xdr:to>
      <xdr:col>4</xdr:col>
      <xdr:colOff>981075</xdr:colOff>
      <xdr:row>175</xdr:row>
      <xdr:rowOff>200025</xdr:rowOff>
    </xdr:to>
    <xdr:cxnSp macro="">
      <xdr:nvCxnSpPr>
        <xdr:cNvPr id="289" name="Straight Connector 288">
          <a:extLst>
            <a:ext uri="{FF2B5EF4-FFF2-40B4-BE49-F238E27FC236}">
              <a16:creationId xmlns:a16="http://schemas.microsoft.com/office/drawing/2014/main" id="{E2F8A32E-EFB2-9FCA-C5D9-DADD8107388A}"/>
            </a:ext>
          </a:extLst>
        </xdr:cNvPr>
        <xdr:cNvCxnSpPr/>
      </xdr:nvCxnSpPr>
      <xdr:spPr>
        <a:xfrm flipV="1">
          <a:off x="165020625" y="67246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176</xdr:row>
      <xdr:rowOff>190500</xdr:rowOff>
    </xdr:from>
    <xdr:to>
      <xdr:col>4</xdr:col>
      <xdr:colOff>981075</xdr:colOff>
      <xdr:row>176</xdr:row>
      <xdr:rowOff>200025</xdr:rowOff>
    </xdr:to>
    <xdr:cxnSp macro="">
      <xdr:nvCxnSpPr>
        <xdr:cNvPr id="290" name="Straight Connector 289">
          <a:extLst>
            <a:ext uri="{FF2B5EF4-FFF2-40B4-BE49-F238E27FC236}">
              <a16:creationId xmlns:a16="http://schemas.microsoft.com/office/drawing/2014/main" id="{2F45ADBD-7869-9F55-5140-966930A46B70}"/>
            </a:ext>
          </a:extLst>
        </xdr:cNvPr>
        <xdr:cNvCxnSpPr/>
      </xdr:nvCxnSpPr>
      <xdr:spPr>
        <a:xfrm flipV="1">
          <a:off x="165020625" y="67627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178</xdr:row>
      <xdr:rowOff>190500</xdr:rowOff>
    </xdr:from>
    <xdr:to>
      <xdr:col>4</xdr:col>
      <xdr:colOff>981075</xdr:colOff>
      <xdr:row>178</xdr:row>
      <xdr:rowOff>200025</xdr:rowOff>
    </xdr:to>
    <xdr:cxnSp macro="">
      <xdr:nvCxnSpPr>
        <xdr:cNvPr id="291" name="Straight Connector 290">
          <a:extLst>
            <a:ext uri="{FF2B5EF4-FFF2-40B4-BE49-F238E27FC236}">
              <a16:creationId xmlns:a16="http://schemas.microsoft.com/office/drawing/2014/main" id="{D4AA25D4-4D00-465A-0080-444BE2E5592F}"/>
            </a:ext>
          </a:extLst>
        </xdr:cNvPr>
        <xdr:cNvCxnSpPr/>
      </xdr:nvCxnSpPr>
      <xdr:spPr>
        <a:xfrm flipV="1">
          <a:off x="165020625" y="6838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179</xdr:row>
      <xdr:rowOff>190500</xdr:rowOff>
    </xdr:from>
    <xdr:to>
      <xdr:col>4</xdr:col>
      <xdr:colOff>981075</xdr:colOff>
      <xdr:row>179</xdr:row>
      <xdr:rowOff>200025</xdr:rowOff>
    </xdr:to>
    <xdr:cxnSp macro="">
      <xdr:nvCxnSpPr>
        <xdr:cNvPr id="292" name="Straight Connector 291">
          <a:extLst>
            <a:ext uri="{FF2B5EF4-FFF2-40B4-BE49-F238E27FC236}">
              <a16:creationId xmlns:a16="http://schemas.microsoft.com/office/drawing/2014/main" id="{A17CECA6-6D71-243A-F73D-9596912163FF}"/>
            </a:ext>
          </a:extLst>
        </xdr:cNvPr>
        <xdr:cNvCxnSpPr/>
      </xdr:nvCxnSpPr>
      <xdr:spPr>
        <a:xfrm flipV="1">
          <a:off x="165020625" y="68770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181</xdr:row>
      <xdr:rowOff>190500</xdr:rowOff>
    </xdr:from>
    <xdr:to>
      <xdr:col>4</xdr:col>
      <xdr:colOff>981075</xdr:colOff>
      <xdr:row>181</xdr:row>
      <xdr:rowOff>200025</xdr:rowOff>
    </xdr:to>
    <xdr:cxnSp macro="">
      <xdr:nvCxnSpPr>
        <xdr:cNvPr id="293" name="Straight Connector 292">
          <a:extLst>
            <a:ext uri="{FF2B5EF4-FFF2-40B4-BE49-F238E27FC236}">
              <a16:creationId xmlns:a16="http://schemas.microsoft.com/office/drawing/2014/main" id="{5A7D56BB-365F-4BED-F39B-01D24E0BFF0E}"/>
            </a:ext>
          </a:extLst>
        </xdr:cNvPr>
        <xdr:cNvCxnSpPr/>
      </xdr:nvCxnSpPr>
      <xdr:spPr>
        <a:xfrm flipV="1">
          <a:off x="165020625" y="69532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184</xdr:row>
      <xdr:rowOff>190500</xdr:rowOff>
    </xdr:from>
    <xdr:to>
      <xdr:col>4</xdr:col>
      <xdr:colOff>981075</xdr:colOff>
      <xdr:row>184</xdr:row>
      <xdr:rowOff>200025</xdr:rowOff>
    </xdr:to>
    <xdr:cxnSp macro="">
      <xdr:nvCxnSpPr>
        <xdr:cNvPr id="294" name="Straight Connector 293">
          <a:extLst>
            <a:ext uri="{FF2B5EF4-FFF2-40B4-BE49-F238E27FC236}">
              <a16:creationId xmlns:a16="http://schemas.microsoft.com/office/drawing/2014/main" id="{EEC5202E-DA29-4704-BBAB-DAE27028CE27}"/>
            </a:ext>
          </a:extLst>
        </xdr:cNvPr>
        <xdr:cNvCxnSpPr/>
      </xdr:nvCxnSpPr>
      <xdr:spPr>
        <a:xfrm flipV="1">
          <a:off x="165020625" y="7067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186</xdr:row>
      <xdr:rowOff>190500</xdr:rowOff>
    </xdr:from>
    <xdr:to>
      <xdr:col>4</xdr:col>
      <xdr:colOff>981075</xdr:colOff>
      <xdr:row>186</xdr:row>
      <xdr:rowOff>200025</xdr:rowOff>
    </xdr:to>
    <xdr:cxnSp macro="">
      <xdr:nvCxnSpPr>
        <xdr:cNvPr id="295" name="Straight Connector 294">
          <a:extLst>
            <a:ext uri="{FF2B5EF4-FFF2-40B4-BE49-F238E27FC236}">
              <a16:creationId xmlns:a16="http://schemas.microsoft.com/office/drawing/2014/main" id="{4059E7C7-4101-5573-29F8-31A1114330F0}"/>
            </a:ext>
          </a:extLst>
        </xdr:cNvPr>
        <xdr:cNvCxnSpPr/>
      </xdr:nvCxnSpPr>
      <xdr:spPr>
        <a:xfrm flipV="1">
          <a:off x="165020625" y="71437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188</xdr:row>
      <xdr:rowOff>190500</xdr:rowOff>
    </xdr:from>
    <xdr:to>
      <xdr:col>4</xdr:col>
      <xdr:colOff>981075</xdr:colOff>
      <xdr:row>188</xdr:row>
      <xdr:rowOff>200025</xdr:rowOff>
    </xdr:to>
    <xdr:cxnSp macro="">
      <xdr:nvCxnSpPr>
        <xdr:cNvPr id="296" name="Straight Connector 295">
          <a:extLst>
            <a:ext uri="{FF2B5EF4-FFF2-40B4-BE49-F238E27FC236}">
              <a16:creationId xmlns:a16="http://schemas.microsoft.com/office/drawing/2014/main" id="{FB67909F-D57C-4299-D95C-FE5701F6C2AE}"/>
            </a:ext>
          </a:extLst>
        </xdr:cNvPr>
        <xdr:cNvCxnSpPr/>
      </xdr:nvCxnSpPr>
      <xdr:spPr>
        <a:xfrm flipV="1">
          <a:off x="165020625" y="7219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190</xdr:row>
      <xdr:rowOff>190500</xdr:rowOff>
    </xdr:from>
    <xdr:to>
      <xdr:col>4</xdr:col>
      <xdr:colOff>981075</xdr:colOff>
      <xdr:row>190</xdr:row>
      <xdr:rowOff>200025</xdr:rowOff>
    </xdr:to>
    <xdr:cxnSp macro="">
      <xdr:nvCxnSpPr>
        <xdr:cNvPr id="297" name="Straight Connector 296">
          <a:extLst>
            <a:ext uri="{FF2B5EF4-FFF2-40B4-BE49-F238E27FC236}">
              <a16:creationId xmlns:a16="http://schemas.microsoft.com/office/drawing/2014/main" id="{2E283D46-37C0-797E-39B0-EAD5B6AF4DAA}"/>
            </a:ext>
          </a:extLst>
        </xdr:cNvPr>
        <xdr:cNvCxnSpPr/>
      </xdr:nvCxnSpPr>
      <xdr:spPr>
        <a:xfrm flipV="1">
          <a:off x="165020625" y="72961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192</xdr:row>
      <xdr:rowOff>190500</xdr:rowOff>
    </xdr:from>
    <xdr:to>
      <xdr:col>4</xdr:col>
      <xdr:colOff>981075</xdr:colOff>
      <xdr:row>192</xdr:row>
      <xdr:rowOff>200025</xdr:rowOff>
    </xdr:to>
    <xdr:cxnSp macro="">
      <xdr:nvCxnSpPr>
        <xdr:cNvPr id="298" name="Straight Connector 297">
          <a:extLst>
            <a:ext uri="{FF2B5EF4-FFF2-40B4-BE49-F238E27FC236}">
              <a16:creationId xmlns:a16="http://schemas.microsoft.com/office/drawing/2014/main" id="{9B5AF6DE-7739-D92A-75C2-6C291E27BE52}"/>
            </a:ext>
          </a:extLst>
        </xdr:cNvPr>
        <xdr:cNvCxnSpPr/>
      </xdr:nvCxnSpPr>
      <xdr:spPr>
        <a:xfrm flipV="1">
          <a:off x="165020625" y="73723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194</xdr:row>
      <xdr:rowOff>190500</xdr:rowOff>
    </xdr:from>
    <xdr:to>
      <xdr:col>4</xdr:col>
      <xdr:colOff>981075</xdr:colOff>
      <xdr:row>194</xdr:row>
      <xdr:rowOff>200025</xdr:rowOff>
    </xdr:to>
    <xdr:cxnSp macro="">
      <xdr:nvCxnSpPr>
        <xdr:cNvPr id="299" name="Straight Connector 298">
          <a:extLst>
            <a:ext uri="{FF2B5EF4-FFF2-40B4-BE49-F238E27FC236}">
              <a16:creationId xmlns:a16="http://schemas.microsoft.com/office/drawing/2014/main" id="{AFA25877-D7F2-83B1-50F6-78A1C0EE07A6}"/>
            </a:ext>
          </a:extLst>
        </xdr:cNvPr>
        <xdr:cNvCxnSpPr/>
      </xdr:nvCxnSpPr>
      <xdr:spPr>
        <a:xfrm flipV="1">
          <a:off x="165020625" y="74485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196</xdr:row>
      <xdr:rowOff>190500</xdr:rowOff>
    </xdr:from>
    <xdr:to>
      <xdr:col>4</xdr:col>
      <xdr:colOff>981075</xdr:colOff>
      <xdr:row>196</xdr:row>
      <xdr:rowOff>200025</xdr:rowOff>
    </xdr:to>
    <xdr:cxnSp macro="">
      <xdr:nvCxnSpPr>
        <xdr:cNvPr id="300" name="Straight Connector 299">
          <a:extLst>
            <a:ext uri="{FF2B5EF4-FFF2-40B4-BE49-F238E27FC236}">
              <a16:creationId xmlns:a16="http://schemas.microsoft.com/office/drawing/2014/main" id="{FD115490-E50E-DD5B-EA3E-A829B30E3E46}"/>
            </a:ext>
          </a:extLst>
        </xdr:cNvPr>
        <xdr:cNvCxnSpPr/>
      </xdr:nvCxnSpPr>
      <xdr:spPr>
        <a:xfrm flipV="1">
          <a:off x="165020625" y="75247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197</xdr:row>
      <xdr:rowOff>190500</xdr:rowOff>
    </xdr:from>
    <xdr:to>
      <xdr:col>4</xdr:col>
      <xdr:colOff>981075</xdr:colOff>
      <xdr:row>197</xdr:row>
      <xdr:rowOff>200025</xdr:rowOff>
    </xdr:to>
    <xdr:cxnSp macro="">
      <xdr:nvCxnSpPr>
        <xdr:cNvPr id="301" name="Straight Connector 300">
          <a:extLst>
            <a:ext uri="{FF2B5EF4-FFF2-40B4-BE49-F238E27FC236}">
              <a16:creationId xmlns:a16="http://schemas.microsoft.com/office/drawing/2014/main" id="{67259229-8256-17CD-8A28-E3532342F78D}"/>
            </a:ext>
          </a:extLst>
        </xdr:cNvPr>
        <xdr:cNvCxnSpPr/>
      </xdr:nvCxnSpPr>
      <xdr:spPr>
        <a:xfrm flipV="1">
          <a:off x="165020625" y="75628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400050</xdr:colOff>
      <xdr:row>198</xdr:row>
      <xdr:rowOff>190500</xdr:rowOff>
    </xdr:from>
    <xdr:to>
      <xdr:col>4</xdr:col>
      <xdr:colOff>981075</xdr:colOff>
      <xdr:row>198</xdr:row>
      <xdr:rowOff>200025</xdr:rowOff>
    </xdr:to>
    <xdr:cxnSp macro="">
      <xdr:nvCxnSpPr>
        <xdr:cNvPr id="302" name="Straight Connector 301">
          <a:extLst>
            <a:ext uri="{FF2B5EF4-FFF2-40B4-BE49-F238E27FC236}">
              <a16:creationId xmlns:a16="http://schemas.microsoft.com/office/drawing/2014/main" id="{61F93160-77CB-FEFC-8E5D-E9384DDFA4B8}"/>
            </a:ext>
          </a:extLst>
        </xdr:cNvPr>
        <xdr:cNvCxnSpPr/>
      </xdr:nvCxnSpPr>
      <xdr:spPr>
        <a:xfrm flipV="1">
          <a:off x="165020625" y="76009500"/>
          <a:ext cx="581025"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76200</xdr:colOff>
      <xdr:row>34</xdr:row>
      <xdr:rowOff>171450</xdr:rowOff>
    </xdr:from>
    <xdr:to>
      <xdr:col>9</xdr:col>
      <xdr:colOff>342900</xdr:colOff>
      <xdr:row>34</xdr:row>
      <xdr:rowOff>171450</xdr:rowOff>
    </xdr:to>
    <xdr:cxnSp macro="">
      <xdr:nvCxnSpPr>
        <xdr:cNvPr id="303" name="Straight Connector 302">
          <a:extLst>
            <a:ext uri="{FF2B5EF4-FFF2-40B4-BE49-F238E27FC236}">
              <a16:creationId xmlns:a16="http://schemas.microsoft.com/office/drawing/2014/main" id="{A669A770-5159-879F-33A4-768DB7A5B696}"/>
            </a:ext>
          </a:extLst>
        </xdr:cNvPr>
        <xdr:cNvCxnSpPr/>
      </xdr:nvCxnSpPr>
      <xdr:spPr>
        <a:xfrm>
          <a:off x="161867850" y="13506450"/>
          <a:ext cx="2667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66675</xdr:colOff>
      <xdr:row>4</xdr:row>
      <xdr:rowOff>0</xdr:rowOff>
    </xdr:from>
    <xdr:to>
      <xdr:col>7</xdr:col>
      <xdr:colOff>319898</xdr:colOff>
      <xdr:row>4</xdr:row>
      <xdr:rowOff>0</xdr:rowOff>
    </xdr:to>
    <xdr:sp macro="" textlink="">
      <xdr:nvSpPr>
        <xdr:cNvPr id="2" name="Multiply 1">
          <a:extLst>
            <a:ext uri="{FF2B5EF4-FFF2-40B4-BE49-F238E27FC236}">
              <a16:creationId xmlns:a16="http://schemas.microsoft.com/office/drawing/2014/main" id="{85B69FAE-E7BD-3D82-5618-74C7917B0C17}"/>
            </a:ext>
          </a:extLst>
        </xdr:cNvPr>
        <xdr:cNvSpPr/>
      </xdr:nvSpPr>
      <xdr:spPr>
        <a:xfrm>
          <a:off x="158886525" y="2819400"/>
          <a:ext cx="0" cy="0"/>
        </a:xfrm>
        <a:prstGeom prst="mathMultiply">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7</xdr:col>
      <xdr:colOff>76200</xdr:colOff>
      <xdr:row>4</xdr:row>
      <xdr:rowOff>0</xdr:rowOff>
    </xdr:from>
    <xdr:to>
      <xdr:col>7</xdr:col>
      <xdr:colOff>322802</xdr:colOff>
      <xdr:row>4</xdr:row>
      <xdr:rowOff>0</xdr:rowOff>
    </xdr:to>
    <xdr:sp macro="" textlink="">
      <xdr:nvSpPr>
        <xdr:cNvPr id="3" name="Multiply 2">
          <a:extLst>
            <a:ext uri="{FF2B5EF4-FFF2-40B4-BE49-F238E27FC236}">
              <a16:creationId xmlns:a16="http://schemas.microsoft.com/office/drawing/2014/main" id="{639FB4C2-729B-C836-5D0D-AEB3212594C8}"/>
            </a:ext>
          </a:extLst>
        </xdr:cNvPr>
        <xdr:cNvSpPr/>
      </xdr:nvSpPr>
      <xdr:spPr>
        <a:xfrm>
          <a:off x="158886525" y="2819400"/>
          <a:ext cx="0" cy="0"/>
        </a:xfrm>
        <a:prstGeom prst="mathMultiply">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oneCellAnchor>
    <xdr:from>
      <xdr:col>25</xdr:col>
      <xdr:colOff>308070</xdr:colOff>
      <xdr:row>4</xdr:row>
      <xdr:rowOff>0</xdr:rowOff>
    </xdr:from>
    <xdr:ext cx="2244630" cy="172227"/>
    <xdr:sp macro="" textlink="">
      <xdr:nvSpPr>
        <xdr:cNvPr id="4" name="TextBox 3">
          <a:extLst>
            <a:ext uri="{FF2B5EF4-FFF2-40B4-BE49-F238E27FC236}">
              <a16:creationId xmlns:a16="http://schemas.microsoft.com/office/drawing/2014/main" id="{FFD0BAFF-EE17-AB4B-E2B6-05BF849DB372}"/>
            </a:ext>
          </a:extLst>
        </xdr:cNvPr>
        <xdr:cNvSpPr txBox="1"/>
      </xdr:nvSpPr>
      <xdr:spPr>
        <a:xfrm>
          <a:off x="146970750" y="4835525"/>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oneCellAnchor>
    <xdr:from>
      <xdr:col>20</xdr:col>
      <xdr:colOff>308070</xdr:colOff>
      <xdr:row>16</xdr:row>
      <xdr:rowOff>6350</xdr:rowOff>
    </xdr:from>
    <xdr:ext cx="2244630" cy="172227"/>
    <xdr:sp macro="" textlink="">
      <xdr:nvSpPr>
        <xdr:cNvPr id="6" name="TextBox 5">
          <a:extLst>
            <a:ext uri="{FF2B5EF4-FFF2-40B4-BE49-F238E27FC236}">
              <a16:creationId xmlns:a16="http://schemas.microsoft.com/office/drawing/2014/main" id="{C76B1FE2-532D-C34B-1359-DC08405F6B5D}"/>
            </a:ext>
          </a:extLst>
        </xdr:cNvPr>
        <xdr:cNvSpPr txBox="1"/>
      </xdr:nvSpPr>
      <xdr:spPr>
        <a:xfrm>
          <a:off x="146970750" y="2819400"/>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oneCellAnchor>
    <xdr:from>
      <xdr:col>20</xdr:col>
      <xdr:colOff>308070</xdr:colOff>
      <xdr:row>22</xdr:row>
      <xdr:rowOff>6350</xdr:rowOff>
    </xdr:from>
    <xdr:ext cx="2244630" cy="172227"/>
    <xdr:sp macro="" textlink="">
      <xdr:nvSpPr>
        <xdr:cNvPr id="7" name="TextBox 6">
          <a:extLst>
            <a:ext uri="{FF2B5EF4-FFF2-40B4-BE49-F238E27FC236}">
              <a16:creationId xmlns:a16="http://schemas.microsoft.com/office/drawing/2014/main" id="{99CB52A7-1C59-F29D-927C-44EE77790B86}"/>
            </a:ext>
          </a:extLst>
        </xdr:cNvPr>
        <xdr:cNvSpPr txBox="1"/>
      </xdr:nvSpPr>
      <xdr:spPr>
        <a:xfrm>
          <a:off x="146970750" y="3067050"/>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7</xdr:col>
      <xdr:colOff>66675</xdr:colOff>
      <xdr:row>3</xdr:row>
      <xdr:rowOff>0</xdr:rowOff>
    </xdr:from>
    <xdr:to>
      <xdr:col>7</xdr:col>
      <xdr:colOff>319898</xdr:colOff>
      <xdr:row>3</xdr:row>
      <xdr:rowOff>0</xdr:rowOff>
    </xdr:to>
    <xdr:sp macro="" textlink="">
      <xdr:nvSpPr>
        <xdr:cNvPr id="2" name="Multiply 1">
          <a:extLst>
            <a:ext uri="{FF2B5EF4-FFF2-40B4-BE49-F238E27FC236}">
              <a16:creationId xmlns:a16="http://schemas.microsoft.com/office/drawing/2014/main" id="{905BBC18-F05F-1335-1513-6240D83143C0}"/>
            </a:ext>
          </a:extLst>
        </xdr:cNvPr>
        <xdr:cNvSpPr/>
      </xdr:nvSpPr>
      <xdr:spPr>
        <a:xfrm>
          <a:off x="158838900" y="2819400"/>
          <a:ext cx="0" cy="0"/>
        </a:xfrm>
        <a:prstGeom prst="mathMultiply">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7</xdr:col>
      <xdr:colOff>76200</xdr:colOff>
      <xdr:row>3</xdr:row>
      <xdr:rowOff>0</xdr:rowOff>
    </xdr:from>
    <xdr:to>
      <xdr:col>7</xdr:col>
      <xdr:colOff>322802</xdr:colOff>
      <xdr:row>3</xdr:row>
      <xdr:rowOff>0</xdr:rowOff>
    </xdr:to>
    <xdr:sp macro="" textlink="">
      <xdr:nvSpPr>
        <xdr:cNvPr id="3" name="Multiply 2">
          <a:extLst>
            <a:ext uri="{FF2B5EF4-FFF2-40B4-BE49-F238E27FC236}">
              <a16:creationId xmlns:a16="http://schemas.microsoft.com/office/drawing/2014/main" id="{AA0E6257-6575-A382-B625-A3D537D2080C}"/>
            </a:ext>
          </a:extLst>
        </xdr:cNvPr>
        <xdr:cNvSpPr/>
      </xdr:nvSpPr>
      <xdr:spPr>
        <a:xfrm>
          <a:off x="158838900" y="2819400"/>
          <a:ext cx="0" cy="0"/>
        </a:xfrm>
        <a:prstGeom prst="mathMultiply">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oneCellAnchor>
    <xdr:from>
      <xdr:col>29</xdr:col>
      <xdr:colOff>308070</xdr:colOff>
      <xdr:row>4</xdr:row>
      <xdr:rowOff>0</xdr:rowOff>
    </xdr:from>
    <xdr:ext cx="2244630" cy="172227"/>
    <xdr:sp macro="" textlink="">
      <xdr:nvSpPr>
        <xdr:cNvPr id="4" name="TextBox 3">
          <a:extLst>
            <a:ext uri="{FF2B5EF4-FFF2-40B4-BE49-F238E27FC236}">
              <a16:creationId xmlns:a16="http://schemas.microsoft.com/office/drawing/2014/main" id="{5C2A6150-7036-BDF4-8BC9-1F32C24BF0FF}"/>
            </a:ext>
          </a:extLst>
        </xdr:cNvPr>
        <xdr:cNvSpPr txBox="1"/>
      </xdr:nvSpPr>
      <xdr:spPr>
        <a:xfrm>
          <a:off x="146323050" y="4835525"/>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oneCellAnchor>
    <xdr:from>
      <xdr:col>29</xdr:col>
      <xdr:colOff>308070</xdr:colOff>
      <xdr:row>18</xdr:row>
      <xdr:rowOff>0</xdr:rowOff>
    </xdr:from>
    <xdr:ext cx="2244630" cy="172227"/>
    <xdr:sp macro="" textlink="">
      <xdr:nvSpPr>
        <xdr:cNvPr id="5" name="TextBox 4">
          <a:extLst>
            <a:ext uri="{FF2B5EF4-FFF2-40B4-BE49-F238E27FC236}">
              <a16:creationId xmlns:a16="http://schemas.microsoft.com/office/drawing/2014/main" id="{5C96A9E1-569B-3A62-D9F3-537F5C7BFBEF}"/>
            </a:ext>
          </a:extLst>
        </xdr:cNvPr>
        <xdr:cNvSpPr txBox="1"/>
      </xdr:nvSpPr>
      <xdr:spPr>
        <a:xfrm>
          <a:off x="146323050" y="27019250"/>
          <a:ext cx="224463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Excel/&#1570;&#1586;&#1605;&#1575;&#1740;&#1588;%20&#1662;&#1605;&#1662;&#1575;&#1688;/&#1601;&#1585;&#1608;&#1585;&#1583;&#1740;&#1606;/&#1601;&#1585;&#1605;%20&#1570;&#1586;&#1605;&#1575;&#1740;&#1588;%20&#1662;&#1605;&#1662;&#1575;&#1688;%20&#1575;&#1605;&#1575;&#1605;%20&#1593;&#1604;&#1740;%203%2014030123.tif" TargetMode="External"/><Relationship Id="rId3"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Excel/&#1570;&#1586;&#1605;&#1575;&#1740;&#1588;%20&#1662;&#1605;&#1662;&#1575;&#1688;/&#1601;&#1585;&#1608;&#1585;&#1583;&#1740;&#1606;/&#1601;&#1585;&#1605;%20&#1570;&#1586;&#1605;&#1575;&#1740;&#1588;%20&#1662;&#1605;&#1662;&#1575;&#1688;%20&#1575;&#1605;&#1575;&#1605;&#1740;&#1607;%2014%2014030108.tif" TargetMode="External"/><Relationship Id="rId7"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Excel/&#1570;&#1586;&#1605;&#1575;&#1740;&#1588;%20&#1662;&#1605;&#1662;&#1575;&#1688;/&#1601;&#1585;&#1608;&#1585;&#1583;&#1740;&#1606;/&#1601;&#1585;&#1605;%20&#1570;&#1586;&#1605;&#1575;&#1740;&#1588;%20&#1662;&#1605;&#1662;&#1575;&#1688;%20&#1711;&#1604;&#1588;&#1607;&#1585;%203%2014030122.tif" TargetMode="External"/><Relationship Id="rId2"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Excel/&#1570;&#1586;&#1605;&#1575;&#1740;&#1588;%20&#1662;&#1605;&#1662;&#1575;&#1688;/&#1601;&#1585;&#1608;&#1585;&#1583;&#1740;&#1606;/&#1601;&#1585;&#1605;%20&#1570;&#1586;&#1605;&#1575;&#1740;&#1588;%20&#1662;&#1605;&#1662;&#1575;&#1688;%20&#1575;&#1587;&#1604;&#1575;&#1605;%20&#1570;&#1576;&#1575;&#1583;%204%2014030105.tif" TargetMode="External"/><Relationship Id="rId1"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Excel/&#1570;&#1586;&#1605;&#1575;&#1740;&#1588;%20&#1662;&#1605;&#1662;&#1575;&#1688;/&#1601;&#1585;&#1608;&#1585;&#1583;&#1740;&#1606;/&#1601;&#1585;&#1605;%20&#1570;&#1586;&#1605;&#1575;&#1740;&#1588;%20&#1662;&#1605;&#1662;&#1575;&#1688;%20&#1585;&#1587;&#1578;&#1605;&#1740;%2014030103.tif" TargetMode="External"/><Relationship Id="rId6"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Excel/&#1570;&#1586;&#1605;&#1575;&#1740;&#1588;%20&#1662;&#1605;&#1662;&#1575;&#1688;/&#1601;&#1585;&#1608;&#1585;&#1583;&#1740;&#1606;/&#1601;&#1585;&#1605;%20&#1570;&#1586;&#1605;&#1575;&#1740;&#1588;%20&#1662;&#1605;&#1662;&#1575;&#1688;%20&#1606;&#1589;&#1576;%20&#1580;&#1583;&#1740;&#1583;%20&#1670;&#1607;&#1575;&#1585;%20&#1601;&#1589;&#1604;%2014030119.tif" TargetMode="External"/><Relationship Id="rId11" Type="http://schemas.openxmlformats.org/officeDocument/2006/relationships/drawing" Target="../drawings/drawing2.xml"/><Relationship Id="rId5"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Excel/&#1570;&#1586;&#1605;&#1575;&#1740;&#1588;%20&#1662;&#1605;&#1662;&#1575;&#1688;/&#1601;&#1585;&#1608;&#1585;&#1583;&#1740;&#1606;/&#1601;&#1585;&#1605;%20&#1570;&#1586;&#1605;&#1575;&#1740;&#1588;%20&#1662;&#1605;&#1662;&#1575;&#1688;%20&#1593;&#1604;&#1575;&#1605;&#1607;%20&#1591;&#1576;&#1575;&#1591;&#1576;&#1575;&#1740;&#1740;%2014030115.tif" TargetMode="External"/><Relationship Id="rId10" Type="http://schemas.openxmlformats.org/officeDocument/2006/relationships/printerSettings" Target="../printerSettings/printerSettings3.bin"/><Relationship Id="rId4"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Excel/&#1570;&#1586;&#1605;&#1575;&#1740;&#1588;%20&#1662;&#1605;&#1662;&#1575;&#1688;/&#1601;&#1585;&#1608;&#1585;&#1583;&#1740;&#1606;/&#1601;&#1585;&#1605;%20&#1570;&#1586;&#1605;&#1575;&#1740;&#1588;%20&#1662;&#1605;&#1662;&#1575;&#1688;%20&#1711;&#1604;&#1588;&#1607;&#1585;%204%2014030110.tif" TargetMode="External"/><Relationship Id="rId9"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Excel/&#1570;&#1586;&#1605;&#1575;&#1740;&#1588;%20&#1662;&#1605;&#1662;&#1575;&#1688;/&#1601;&#1585;&#1608;&#1585;&#1583;&#1740;&#1606;/&#1601;&#1585;&#1605;%20&#1570;&#1586;&#1605;&#1575;&#1740;&#1588;%20&#1662;&#1605;&#1662;&#1575;&#1688;%20&#1594;&#1583;&#1740;&#1585;%2014030127.tif"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file:///\\192.168.20.130\asadi\&#1585;&#1601;&#1740;&#1593;%20&#1606;&#1688;&#1575;&#1583;\&#1575;&#1584;&#1585;%20&#1605;&#1575;&#1607;%201402\&#1601;&#1585;&#1605;%20&#1570;&#1586;&#1605;&#1575;&#1740;&#1588;%20&#1662;&#1605;&#1662;&#1575;&#1688;%20&#1605;&#1580;&#1578;&#1605;&#1593;%20&#1588;&#1605;&#1587;%20&#1711;&#1604;&#1576;&#1607;&#1575;&#1585;.tif" TargetMode="External"/><Relationship Id="rId18" Type="http://schemas.openxmlformats.org/officeDocument/2006/relationships/hyperlink" Target="file:///\\192.168.20.130\asadi\&#1585;&#1601;&#1740;&#1593;%20&#1606;&#1688;&#1575;&#1583;\&#1583;&#1740;&#1605;&#1575;&#1607;%201402\&#1601;&#1585;&#1605;%20&#1570;&#1586;&#1605;&#1575;&#1740;&#1588;%20&#1662;&#1605;&#1662;&#1575;&#1688;%20&#1605;&#1575;&#1605;&#1740;&#1607;%2015%20&#1580;&#1583;&#1740;&#1583;.tif" TargetMode="External"/><Relationship Id="rId26" Type="http://schemas.openxmlformats.org/officeDocument/2006/relationships/hyperlink" Target="file:///\\192.168.20.130\asadi\&#1585;&#1601;&#1740;&#1593;%20&#1606;&#1688;&#1575;&#1583;\&#1583;&#1740;&#1605;&#1575;&#1607;%201402\&#1601;&#1585;&#1605;%20&#1570;&#1586;&#1605;&#1575;&#1740;&#1588;%20&#1662;&#1605;&#1662;&#1575;&#1688;%20&#1576;&#1582;&#1588;&#1583;&#1575;&#1585;&#1740;%20&#1607;&#1605;&#1578;%20&#1570;&#1576;&#1575;&#1583;%202.tif" TargetMode="External"/><Relationship Id="rId39" Type="http://schemas.openxmlformats.org/officeDocument/2006/relationships/hyperlink" Target="file:///\\192.168.20.130\asadi\&#1585;&#1601;&#1740;&#1593;%20&#1606;&#1688;&#1575;&#1583;\&#1576;&#1607;&#1605;&#1606;%201402\&#1601;&#1585;&#1605;%20&#1570;&#1586;&#1605;&#1575;&#1740;&#1588;%20&#1662;&#1605;&#1662;&#1575;&#1688;%20&#1587;&#1662;&#1575;&#1583;%203.tif" TargetMode="External"/><Relationship Id="rId21" Type="http://schemas.openxmlformats.org/officeDocument/2006/relationships/hyperlink" Target="file:///\\192.168.20.130\asadi\&#1585;&#1601;&#1740;&#1593;%20&#1606;&#1688;&#1575;&#1583;\&#1583;&#1740;&#1605;&#1575;&#1607;%201402\&#1601;&#1585;&#1605;%20&#1570;&#1586;&#1605;&#1575;&#1740;&#1588;%20&#1662;&#1605;&#1662;&#1575;&#1688;%20&#1575;&#1605;&#1575;&#1605;%20&#1585;&#1590;&#1575;%2015.tif" TargetMode="External"/><Relationship Id="rId34" Type="http://schemas.openxmlformats.org/officeDocument/2006/relationships/hyperlink" Target="file:///\\192.168.20.130\asadi\&#1585;&#1601;&#1740;&#1593;%20&#1606;&#1688;&#1575;&#1583;\&#1583;&#1740;&#1605;&#1575;&#1607;%201402\&#1601;&#1585;&#1605;%20&#1570;&#1586;&#1605;&#1575;&#1740;&#1588;%20&#1662;&#1605;&#1662;&#1575;&#1688;%20%2014021029&#1587;&#1740;&#1575;&#1587;&#1705;.tif" TargetMode="External"/><Relationship Id="rId42" Type="http://schemas.openxmlformats.org/officeDocument/2006/relationships/hyperlink" Target="file:///\\192.168.20.130\asadi\&#1585;&#1601;&#1740;&#1593;%20&#1606;&#1688;&#1575;&#1583;\&#1576;&#1607;&#1605;&#1606;%201402\&#1601;&#1585;&#1605;%20&#1570;&#1586;&#1605;&#1575;&#1740;&#1588;%20&#1662;&#1605;&#1662;&#1575;&#1688;%20&#1606;&#1575;&#1592;&#1585;&#1740;&#1607;%206.tif" TargetMode="External"/><Relationship Id="rId47" Type="http://schemas.openxmlformats.org/officeDocument/2006/relationships/hyperlink" Target="file:///\\192.168.20.130\asadi\&#1585;&#1601;&#1740;&#1593;%20&#1606;&#1688;&#1575;&#1583;\&#1576;&#1607;&#1605;&#1606;%201402\&#1601;&#1585;&#1605;%20&#1570;&#1586;&#1605;&#1575;&#1740;&#1588;%20&#1662;&#1605;&#1662;&#1575;&#1688;%20&#1605;&#1585;&#1580;&#1575;&#1606;%2014021124.tif" TargetMode="External"/><Relationship Id="rId50" Type="http://schemas.openxmlformats.org/officeDocument/2006/relationships/hyperlink" Target="file:///\\192.168.20.130\asadi\&#1585;&#1601;&#1740;&#1593;%20&#1606;&#1688;&#1575;&#1583;\&#1576;&#1607;&#1605;&#1606;%201402\&#1601;&#1585;&#1605;%20&#1570;&#1586;&#1605;&#1575;&#1740;&#1588;%20&#1662;&#1605;&#1662;&#1575;&#1688;%20&#1575;&#1605;&#1575;&#1605;%20&#1593;&#1604;&#1740;%203%2014021117.tif" TargetMode="External"/><Relationship Id="rId7" Type="http://schemas.openxmlformats.org/officeDocument/2006/relationships/hyperlink" Target="file:///\\192.168.20.130\asadi\&#1585;&#1601;&#1740;&#1593;%20&#1606;&#1688;&#1575;&#1583;\&#1575;&#1584;&#1585;%20&#1605;&#1575;&#1607;%201402\&#1601;&#1585;&#1605;%20&#1570;&#1586;&#1605;&#1575;&#1740;&#1588;%20&#1662;&#1605;&#1662;&#1575;&#1688;%20&#1605;&#1606;&#1586;&#1604;%20&#1570;&#1576;&#1575;&#1583;%204.tif" TargetMode="External"/><Relationship Id="rId2" Type="http://schemas.openxmlformats.org/officeDocument/2006/relationships/hyperlink" Target="file:///\\192.168.20.130\asadi\&#1585;&#1601;&#1740;&#1593;%20&#1606;&#1688;&#1575;&#1583;\&#1575;&#1584;&#1585;%20&#1605;&#1575;&#1607;%201402\falahi88.rar" TargetMode="External"/><Relationship Id="rId16" Type="http://schemas.openxmlformats.org/officeDocument/2006/relationships/hyperlink" Target="file:///\\192.168.20.130\asadi\&#1585;&#1601;&#1740;&#1593;%20&#1606;&#1688;&#1575;&#1583;\&#1583;&#1740;&#1605;&#1575;&#1607;%201402\&#1601;&#1585;&#1605;%20&#1570;&#1586;&#1605;&#1575;&#1740;&#1588;%20&#1662;&#1605;&#1662;&#1575;&#1688;%20&#1605;&#1606;&#1586;&#1604;%20&#1570;&#1576;&#1575;&#1583;%201.tif" TargetMode="External"/><Relationship Id="rId29" Type="http://schemas.openxmlformats.org/officeDocument/2006/relationships/hyperlink" Target="file:///\\192.168.20.130\asadi\&#1585;&#1601;&#1740;&#1593;%20&#1606;&#1688;&#1575;&#1583;\&#1583;&#1740;&#1605;&#1575;&#1607;%201402\&#1601;&#1585;&#1605;%20&#1570;&#1586;&#1605;&#1575;&#1740;&#1588;%20&#1662;&#1605;&#1662;&#1575;&#1688;%20&#1601;&#1604;&#1575;&#1581;&#1740;%2088.tif" TargetMode="External"/><Relationship Id="rId11" Type="http://schemas.openxmlformats.org/officeDocument/2006/relationships/hyperlink" Target="file:///\\192.168.20.130\asadi\&#1585;&#1601;&#1740;&#1593;%20&#1606;&#1688;&#1575;&#1583;\&#1575;&#1584;&#1585;%20&#1605;&#1575;&#1607;%201402\&#1601;&#1585;&#1605;%20&#1570;&#1586;&#1605;&#1575;&#1740;&#1588;%20&#1662;&#1605;&#1662;&#1575;&#1688;%20&#1588;&#1585;&#1740;&#1593;&#1578;&#1740;%2032.tif" TargetMode="External"/><Relationship Id="rId24" Type="http://schemas.openxmlformats.org/officeDocument/2006/relationships/hyperlink" Target="file:///\\192.168.20.130\asadi\&#1585;&#1601;&#1740;&#1593;%20&#1606;&#1688;&#1575;&#1583;\&#1583;&#1740;&#1605;&#1575;&#1607;%201402\&#1601;&#1585;&#1605;%20&#1570;&#1586;&#1605;&#1575;&#1740;&#1588;%20&#1662;&#1605;&#1662;&#1575;&#1688;%20&#1581;&#1580;&#1575;&#1576;%201.tif" TargetMode="External"/><Relationship Id="rId32" Type="http://schemas.openxmlformats.org/officeDocument/2006/relationships/hyperlink" Target="file:///\\192.168.20.130\asadi\&#1585;&#1601;&#1740;&#1593;%20&#1606;&#1688;&#1575;&#1583;\&#1583;&#1740;&#1605;&#1575;&#1607;%201402\&#1601;&#1585;&#1605;%20&#1570;&#1586;&#1605;&#1575;&#1740;&#1588;%20&#1662;&#1605;&#1662;&#1575;&#1688;%20&#1575;&#1605;&#1575;&#1605;%20&#1585;&#1590;&#1575;%2061.tif" TargetMode="External"/><Relationship Id="rId37" Type="http://schemas.openxmlformats.org/officeDocument/2006/relationships/hyperlink" Target="file:///\\192.168.20.130\asadi\&#1585;&#1601;&#1740;&#1593;%20&#1606;&#1688;&#1575;&#1583;\&#1576;&#1607;&#1605;&#1606;%201402\&#1601;&#1585;&#1605;%20&#1570;&#1586;&#1605;&#1575;&#1740;&#1588;%20&#1662;&#1605;&#1662;&#1575;&#1688;%20&#1575;&#1605;&#1575;&#1605;%20&#1585;&#1590;&#1575;%2014.tif" TargetMode="External"/><Relationship Id="rId40" Type="http://schemas.openxmlformats.org/officeDocument/2006/relationships/hyperlink" Target="file:///\\192.168.20.130\asadi\&#1585;&#1601;&#1740;&#1593;%20&#1606;&#1688;&#1575;&#1583;\&#1576;&#1607;&#1605;&#1606;%201402\&#1601;&#1585;&#1605;%20&#1570;&#1586;&#1605;&#1575;&#1740;&#1588;%20&#1662;&#1605;&#1662;&#1575;&#1688;%20&#1602;&#1583;&#1587;3.tif" TargetMode="External"/><Relationship Id="rId45" Type="http://schemas.openxmlformats.org/officeDocument/2006/relationships/hyperlink" Target="file:///\\192.168.20.130\asadi\&#1585;&#1601;&#1740;&#1593;%20&#1606;&#1688;&#1575;&#1583;\&#1576;&#1607;&#1605;&#1606;%201402\&#1601;&#1585;&#1605;%20&#1570;&#1586;&#1605;&#1575;&#1740;&#1588;%20&#1662;&#1605;&#1662;&#1575;&#1688;%20&#1601;&#1585;&#1607;&#1606;&#1711;&#1740;&#1575;&#1606;%202.tif" TargetMode="External"/><Relationship Id="rId5" Type="http://schemas.openxmlformats.org/officeDocument/2006/relationships/hyperlink" Target="file:///\\192.168.20.130\asadi\&#1585;&#1601;&#1740;&#1593;%20&#1606;&#1688;&#1575;&#1583;\&#1575;&#1584;&#1585;%20&#1605;&#1575;&#1607;%201402\&#1601;&#1585;&#1605;%20&#1570;&#1586;&#1605;&#1575;&#1740;&#1588;%20&#1662;&#1605;&#1662;&#1575;&#1688;%20&#1581;&#1580;&#1575;&#1576;%205.tif" TargetMode="External"/><Relationship Id="rId15" Type="http://schemas.openxmlformats.org/officeDocument/2006/relationships/hyperlink" Target="file:///\\192.168.20.130\asadi\&#1585;&#1601;&#1740;&#1593;%20&#1606;&#1688;&#1575;&#1583;\&#1583;&#1740;&#1605;&#1575;&#1607;%201402\&#1601;&#1585;&#1605;%20&#1570;&#1586;&#1605;&#1575;&#1740;&#1588;%20&#1662;&#1605;&#1662;&#1575;&#1688;%20&#1605;&#1583;&#1585;&#1587;&#1607;%20&#1705;&#1592;&#1740;&#1605;&#1740;.tif" TargetMode="External"/><Relationship Id="rId23" Type="http://schemas.openxmlformats.org/officeDocument/2006/relationships/hyperlink" Target="file:///\\192.168.20.130\asadi\&#1585;&#1601;&#1740;&#1593;%20&#1606;&#1688;&#1575;&#1583;\&#1583;&#1740;&#1605;&#1575;&#1607;%201402\&#1601;&#1585;&#1605;%20&#1570;&#1586;&#1605;&#1575;&#1740;&#1588;%20&#1662;&#1605;&#1662;&#1575;&#1688;%20&#1582;&#1583;&#1605;&#1575;&#1578;%201.tif" TargetMode="External"/><Relationship Id="rId28" Type="http://schemas.openxmlformats.org/officeDocument/2006/relationships/hyperlink" Target="file:///\\192.168.20.130\asadi\&#1585;&#1601;&#1740;&#1593;%20&#1606;&#1688;&#1575;&#1583;\&#1583;&#1740;&#1605;&#1575;&#1607;%201402\&#1601;&#1585;&#1605;%20&#1570;&#1586;&#1605;&#1575;&#1740;&#1588;%20&#1662;&#1605;&#1662;&#1575;&#1688;%20&#1575;&#1605;&#1575;&#1605;&#1740;&#1607;%203%20(1).tif" TargetMode="External"/><Relationship Id="rId36" Type="http://schemas.openxmlformats.org/officeDocument/2006/relationships/hyperlink" Target="file:///\\192.168.20.130\asadi\&#1585;&#1601;&#1740;&#1593;%20&#1606;&#1688;&#1575;&#1583;\&#1583;&#1740;&#1605;&#1575;&#1607;%201402\&#1601;&#1585;&#1605;%20&#1570;&#1586;&#1605;&#1575;&#1740;&#1588;%20&#1662;&#1605;&#1662;&#1575;&#1688;%20&#1582;&#1740;&#1585;&#1570;&#1576;&#1575;&#1583;.tif" TargetMode="External"/><Relationship Id="rId49" Type="http://schemas.openxmlformats.org/officeDocument/2006/relationships/hyperlink" Target="file:///\\192.168.20.130\asadi\&#1585;&#1601;&#1740;&#1593;%20&#1606;&#1688;&#1575;&#1583;\&#1576;&#1607;&#1605;&#1606;%201402\&#1601;&#1585;&#1605;%20&#1570;&#1586;&#1605;&#1575;&#1740;&#1588;%20&#1662;&#1605;&#1662;&#1575;&#1688;%20&#1575;&#1605;&#1575;&#1605;%20&#1585;&#1590;&#1575;%2026%2014021126.tif" TargetMode="External"/><Relationship Id="rId10" Type="http://schemas.openxmlformats.org/officeDocument/2006/relationships/hyperlink" Target="file:///\\192.168.20.130\asadi\&#1585;&#1601;&#1740;&#1593;%20&#1606;&#1688;&#1575;&#1583;\&#1575;&#1584;&#1585;%20&#1605;&#1575;&#1607;%201402\&#1601;&#1585;&#1605;%20&#1570;&#1586;&#1605;&#1575;&#1740;&#1588;%20&#1662;&#1605;&#1662;&#1575;&#1688;%20&#1581;&#1580;&#1575;&#1576;%205%20(1).tif" TargetMode="External"/><Relationship Id="rId19" Type="http://schemas.openxmlformats.org/officeDocument/2006/relationships/hyperlink" Target="file:///\\192.168.20.130\asadi\&#1585;&#1601;&#1740;&#1593;%20&#1606;&#1688;&#1575;&#1583;\&#1583;&#1740;&#1605;&#1575;&#1607;%201402\&#1601;&#1585;&#1605;%20&#1570;&#1586;&#1605;&#1575;&#1740;&#1588;%20&#1662;&#1605;&#1662;&#1575;&#1688;%20&#1582;&#1740;&#1580;%20&#1608;%20&#1580;&#1605;&#1593;&#1575;&#1576;%205.tif" TargetMode="External"/><Relationship Id="rId31" Type="http://schemas.openxmlformats.org/officeDocument/2006/relationships/hyperlink" Target="file:///\\192.168.20.130\asadi\&#1585;&#1601;&#1740;&#1593;%20&#1606;&#1688;&#1575;&#1583;\&#1583;&#1740;&#1605;&#1575;&#1607;%201402\&#1585;&#1583;&#1607;%202.tif" TargetMode="External"/><Relationship Id="rId44" Type="http://schemas.openxmlformats.org/officeDocument/2006/relationships/hyperlink" Target="file:///\\192.168.20.130\asadi\&#1585;&#1601;&#1740;&#1593;%20&#1606;&#1688;&#1575;&#1583;\&#1576;&#1607;&#1605;&#1606;%201402\&#1601;&#1585;&#1605;%20&#1570;&#1586;&#1605;&#1575;&#1740;&#1588;%20&#1662;&#1605;&#1662;&#1575;&#1688;%20&#1585;&#1608;&#1587;&#1578;&#1575;&#1740;%20&#1601;&#1575;&#1585;&#1605;&#1583;.tif" TargetMode="External"/><Relationship Id="rId52" Type="http://schemas.openxmlformats.org/officeDocument/2006/relationships/drawing" Target="../drawings/drawing3.xml"/><Relationship Id="rId4" Type="http://schemas.openxmlformats.org/officeDocument/2006/relationships/hyperlink" Target="file:///\\192.168.20.130\asadi\&#1585;&#1601;&#1740;&#1593;%20&#1606;&#1688;&#1575;&#1583;\&#1575;&#1584;&#1585;%20&#1605;&#1575;&#1607;%201402\&#1601;&#1585;&#1605;%20&#1570;&#1586;&#1605;&#1575;&#1740;&#1588;%20&#1662;&#1605;&#1662;&#1575;&#1688;%20&#1606;&#1740;&#1585;&#1608;&#1711;&#1575;&#1607;%201.tif" TargetMode="External"/><Relationship Id="rId9" Type="http://schemas.openxmlformats.org/officeDocument/2006/relationships/hyperlink" Target="file:///\\192.168.20.130\asadi\&#1585;&#1601;&#1740;&#1593;%20&#1606;&#1688;&#1575;&#1583;\&#1575;&#1584;&#1585;%20&#1605;&#1575;&#1607;%201402\shariati%2032.rar" TargetMode="External"/><Relationship Id="rId14" Type="http://schemas.openxmlformats.org/officeDocument/2006/relationships/hyperlink" Target="file:///\\192.168.20.130\asadi\&#1585;&#1601;&#1740;&#1593;%20&#1606;&#1688;&#1575;&#1583;\&#1575;&#1584;&#1585;%20&#1605;&#1575;&#1607;%201402\&#1601;&#1585;&#1605;%20&#1570;&#1586;&#1605;&#1575;&#1740;&#1588;%20&#1662;&#1605;&#1662;&#1575;&#1688;%20&#1587;&#1740;&#1575;&#1587;&#1705;.tif" TargetMode="External"/><Relationship Id="rId22" Type="http://schemas.openxmlformats.org/officeDocument/2006/relationships/hyperlink" Target="file:///\\192.168.20.130\asadi\&#1585;&#1601;&#1740;&#1593;%20&#1606;&#1688;&#1575;&#1583;\&#1583;&#1740;&#1605;&#1575;&#1607;%201402\&#1601;&#1585;&#1605;%20&#1570;&#1586;&#1605;&#1575;&#1740;&#1588;%20&#1662;&#1605;&#1662;&#1575;&#1688;%20&#1607;&#1575;&#1588;&#1605;&#1740;%20&#1606;&#1688;&#1575;&#1583;.tif" TargetMode="External"/><Relationship Id="rId27" Type="http://schemas.openxmlformats.org/officeDocument/2006/relationships/hyperlink" Target="file:///\\192.168.20.130\asadi\&#1585;&#1601;&#1740;&#1593;%20&#1606;&#1688;&#1575;&#1583;\&#1583;&#1740;&#1605;&#1575;&#1607;%201402\&#1601;&#1585;&#1605;%20&#1570;&#1586;&#1605;&#1575;&#1740;&#1588;%20&#1662;&#1605;&#1662;&#1575;&#1688;%20&#1607;&#1606;&#1585;&#1587;&#1578;&#1575;&#1606;%20&#1601;&#1585;&#1586;&#1575;&#1606;&#1711;&#1575;&#1606;.tif" TargetMode="External"/><Relationship Id="rId30" Type="http://schemas.openxmlformats.org/officeDocument/2006/relationships/hyperlink" Target="file:///\\192.168.20.130\asadi\&#1585;&#1601;&#1740;&#1593;%20&#1606;&#1688;&#1575;&#1583;\&#1583;&#1740;&#1605;&#1575;&#1607;%201402\&#1601;&#1585;&#1605;%20&#1570;&#1586;&#1605;&#1575;&#1740;&#1588;%20&#1662;&#1605;&#1662;&#1575;&#1688;%20&#1576;&#1608;&#1587;&#1578;&#1575;&#1606;%20&#1605;&#1740;&#1606;&#1575;.tif" TargetMode="External"/><Relationship Id="rId35" Type="http://schemas.openxmlformats.org/officeDocument/2006/relationships/hyperlink" Target="file:///\\192.168.20.130\asadi\&#1585;&#1601;&#1740;&#1593;%20&#1606;&#1688;&#1575;&#1583;\&#1583;&#1740;&#1605;&#1575;&#1607;%201402\&#1601;&#1585;&#1605;%20&#1570;&#1586;&#1605;&#1575;&#1740;&#1588;%20&#1662;&#1605;&#1662;&#1575;&#1688;%20&#1575;&#1605;&#1575;&#1605;&#1740;&#1607;%2017%20&#1580;&#1583;&#1740;&#1583;.tif" TargetMode="External"/><Relationship Id="rId43" Type="http://schemas.openxmlformats.org/officeDocument/2006/relationships/hyperlink" Target="file:///\\192.168.20.130\asadi\&#1585;&#1601;&#1740;&#1593;%20&#1606;&#1688;&#1575;&#1583;\&#1576;&#1607;&#1605;&#1606;%201402\&#1601;&#1585;&#1605;%20&#1570;&#1586;&#1605;&#1575;&#1740;&#1588;%20&#1662;&#1605;&#1662;&#1575;&#1688;%20&#1575;&#1576;&#1608;&#1591;&#1575;&#1604;&#1576;%203.tif" TargetMode="External"/><Relationship Id="rId48" Type="http://schemas.openxmlformats.org/officeDocument/2006/relationships/hyperlink" Target="file:///\\192.168.20.130\asadi\&#1585;&#1601;&#1740;&#1593;%20&#1606;&#1688;&#1575;&#1583;\&#1576;&#1607;&#1605;&#1606;%201402\&#1601;&#1585;&#1605;%20&#1570;&#1586;&#1605;&#1575;&#1740;&#1588;%20&#1662;&#1605;&#1662;&#1575;&#1688;%20&#1587;&#1608;&#1585;&#1575;&#1606;5%2014021127.tif" TargetMode="External"/><Relationship Id="rId8" Type="http://schemas.openxmlformats.org/officeDocument/2006/relationships/hyperlink" Target="file:///\\192.168.20.130\asadi\&#1585;&#1601;&#1740;&#1593;%20&#1606;&#1688;&#1575;&#1583;\&#1575;&#1584;&#1585;%20&#1605;&#1575;&#1607;%201402\&#1601;&#1585;&#1605;%20&#1570;&#1586;&#1605;&#1575;&#1740;&#1588;%20&#1662;&#1605;&#1662;&#1575;&#1688;%20&#1575;&#1587;&#1604;&#1575;&#1605;%20&#1570;&#1576;&#1575;&#1583;%203.tif" TargetMode="External"/><Relationship Id="rId51" Type="http://schemas.openxmlformats.org/officeDocument/2006/relationships/printerSettings" Target="../printerSettings/printerSettings4.bin"/><Relationship Id="rId3" Type="http://schemas.openxmlformats.org/officeDocument/2006/relationships/hyperlink" Target="file:///\\192.168.20.130\asadi\&#1585;&#1601;&#1740;&#1593;%20&#1606;&#1688;&#1575;&#1583;\&#1575;&#1584;&#1585;%20&#1605;&#1575;&#1607;%201402\nirogah%201.rar" TargetMode="External"/><Relationship Id="rId12" Type="http://schemas.openxmlformats.org/officeDocument/2006/relationships/hyperlink" Target="file:///\\192.168.20.130\asadi\&#1585;&#1601;&#1740;&#1593;%20&#1606;&#1688;&#1575;&#1583;\&#1575;&#1584;&#1585;%20&#1605;&#1575;&#1607;%201402\&#1601;&#1585;&#1605;%20&#1570;&#1586;&#1605;&#1575;&#1740;&#1588;%20&#1662;&#1605;&#1662;&#1575;&#1688;%20&#1585;&#1608;&#1587;&#1578;&#1575;&#1740;%20&#1606;&#1580;&#1605;.tif" TargetMode="External"/><Relationship Id="rId17" Type="http://schemas.openxmlformats.org/officeDocument/2006/relationships/hyperlink" Target="file:///\\192.168.20.130\asadi\&#1585;&#1601;&#1740;&#1593;%20&#1606;&#1688;&#1575;&#1583;\&#1583;&#1740;&#1605;&#1575;&#1607;%201402\&#1601;&#1585;&#1605;%20&#1570;&#1586;&#1605;&#1575;&#1740;&#1588;%20&#1662;&#1605;&#1662;&#1575;&#1688;%20&#1605;&#1606;&#1586;&#1604;%20&#1570;&#1576;&#1575;&#1583;%2034.tif" TargetMode="External"/><Relationship Id="rId25" Type="http://schemas.openxmlformats.org/officeDocument/2006/relationships/hyperlink" Target="file:///\\192.168.20.130\asadi\&#1585;&#1601;&#1740;&#1593;%20&#1606;&#1688;&#1575;&#1583;\&#1583;&#1740;&#1605;&#1575;&#1607;%201402\&#1601;&#1585;&#1605;%20&#1570;&#1586;&#1605;&#1575;&#1740;&#1588;%20&#1662;&#1605;&#1662;&#1575;&#1688;%20&#1575;&#1605;&#1575;&#1605;%20&#1585;&#1590;&#1575;%204.tif" TargetMode="External"/><Relationship Id="rId33" Type="http://schemas.openxmlformats.org/officeDocument/2006/relationships/hyperlink" Target="file:///\\192.168.20.130\asadi\&#1585;&#1601;&#1740;&#1593;%20&#1606;&#1688;&#1575;&#1583;\&#1583;&#1740;&#1605;&#1575;&#1607;%201402\&#1601;&#1585;&#1605;%20&#1570;&#1586;&#1605;&#1575;&#1740;&#1588;%20&#1662;&#1605;&#1662;&#1575;&#1688;%20&#1575;&#1606;&#1583;&#1740;&#1588;&#1607;%202.tif" TargetMode="External"/><Relationship Id="rId38" Type="http://schemas.openxmlformats.org/officeDocument/2006/relationships/hyperlink" Target="file:///\\192.168.20.130\asadi\&#1585;&#1601;&#1740;&#1593;%20&#1606;&#1688;&#1575;&#1583;\&#1576;&#1607;&#1605;&#1606;%201402\&#1601;&#1585;&#1605;%20&#1570;&#1586;&#1605;&#1575;&#1740;&#1588;%20&#1662;&#1605;&#1662;&#1575;&#1688;%20&#1575;&#1605;&#1575;&#1605;%20&#1585;&#1590;&#1575;%2010.tif" TargetMode="External"/><Relationship Id="rId46" Type="http://schemas.openxmlformats.org/officeDocument/2006/relationships/hyperlink" Target="file:///\\192.168.20.130\asadi\&#1585;&#1601;&#1740;&#1593;%20&#1606;&#1688;&#1575;&#1583;\&#1576;&#1607;&#1605;&#1606;%201402\&#1601;&#1585;&#1605;%20&#1570;&#1586;&#1605;&#1575;&#1740;&#1588;%20&#1662;&#1605;&#1662;&#1575;&#1688;%20&#1588;&#1607;&#1585;&#1705;%20&#1583;&#1575;&#1606;&#1588;%2014021126.tif" TargetMode="External"/><Relationship Id="rId20" Type="http://schemas.openxmlformats.org/officeDocument/2006/relationships/hyperlink" Target="file:///\\192.168.20.130\asadi\&#1585;&#1601;&#1740;&#1593;%20&#1606;&#1688;&#1575;&#1583;\&#1583;&#1740;&#1605;&#1575;&#1607;%201402\&#1601;&#1585;&#1605;%20&#1570;&#1586;&#1605;&#1575;&#1740;&#1588;%20&#1662;&#1605;&#1662;&#1575;&#1688;%20&#1601;&#1578;&#1581;%20&#1570;&#1576;&#1575;&#1583;.tif" TargetMode="External"/><Relationship Id="rId41" Type="http://schemas.openxmlformats.org/officeDocument/2006/relationships/hyperlink" Target="file:///\\192.168.20.130\asadi\&#1585;&#1601;&#1740;&#1593;%20&#1606;&#1688;&#1575;&#1583;\&#1576;&#1607;&#1605;&#1606;%201402\&#1601;&#1585;&#1605;%20&#1570;&#1586;&#1605;&#1575;&#1740;&#1588;%20&#1662;&#1605;&#1662;&#1575;&#1688;%20&#1588;&#1605;&#1587;%20&#1570;&#1576;&#1575;&#1583;%203.tif" TargetMode="External"/><Relationship Id="rId1" Type="http://schemas.openxmlformats.org/officeDocument/2006/relationships/hyperlink" Target="file:///\\192.168.20.130\asadi\&#1585;&#1601;&#1740;&#1593;%20&#1606;&#1688;&#1575;&#1583;\&#1575;&#1584;&#1585;%20&#1605;&#1575;&#1607;%201402\eslam%20abad3.rar" TargetMode="External"/><Relationship Id="rId6" Type="http://schemas.openxmlformats.org/officeDocument/2006/relationships/hyperlink" Target="file:///\\192.168.20.130\asadi\&#1585;&#1601;&#1740;&#1593;%20&#1606;&#1688;&#1575;&#1583;\&#1575;&#1584;&#1585;%20&#1605;&#1575;&#1607;%201402\&#1601;&#1585;&#1605;%20&#1570;&#1586;&#1605;&#1575;&#1740;&#1588;%20&#1662;&#1605;&#1662;&#1575;&#1688;%20&#1570;&#1586;&#1575;&#1583;&#1588;&#1607;&#1585;%202.tif"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kahanim/AppData/Roaming/&#1605;&#1587;&#1578;&#1606;&#1583;&#1575;&#1578;%20&#1670;&#1575;&#1607;%20&#1607;&#1575;/&#1587;&#1585;%20&#1604;&#1608;&#1604;&#1607;%20&#1602;&#1575;&#1587;&#1605;%20&#1570;&#1576;&#1575;&#1583;%2028.jpg" TargetMode="External"/><Relationship Id="rId3"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kahanim/Documents/&#1585;&#1580;&#1575;&#1574;&#1740;/&#1585;&#1580;&#1575;&#1574;&#1740;%202%20&#1575;&#1604;&#1705;&#1578;&#1585;&#1608;&#1605;&#1608;&#1578;&#1608;&#1585;.jpg" TargetMode="External"/><Relationship Id="rId7"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kahanim/AppData/Roaming/&#1605;&#1587;&#1578;&#1606;&#1583;&#1575;&#1578;%20&#1670;&#1575;&#1607;%20&#1607;&#1575;/&#1587;&#1585;&#1604;&#1608;&#1604;&#1607;%20&#1705;&#1608;&#1585;&#1583;&#1607;%206.jpg" TargetMode="External"/><Relationship Id="rId2"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kahanim/Documents/&#1585;&#1580;&#1575;&#1574;&#1740;/&#1585;&#1580;&#1575;&#1740;&#1740;%202.jpg" TargetMode="External"/><Relationship Id="rId1"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kahanim/Documents/My%20Received%20Files/1007801140_66025284.jpg" TargetMode="External"/><Relationship Id="rId6"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kahanim/AppData/Roaming/&#1605;&#1587;&#1578;&#1606;&#1583;&#1575;&#1578;%20&#1670;&#1575;&#1607;%20&#1607;&#1575;/&#1705;&#1608;&#1585;&#1583;&#1607;%206.jpg" TargetMode="External"/><Relationship Id="rId5"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kahanim/AppData/Roaming/&#1605;&#1587;&#1578;&#1606;&#1583;&#1575;&#1578;%20&#1670;&#1575;&#1607;%20&#1607;&#1575;/&#1601;&#1740;&#1604;&#1605;%20&#1662;&#1608;&#1587;&#1578;&#1607;%20&#1605;&#1608;&#1578;&#1608;&#1585;%20&#1705;&#1588;&#1601;%20&#1585;&#1608;&#1587;&#1578;&#1575;&#1740;&#1740;.mp4" TargetMode="External"/><Relationship Id="rId10" Type="http://schemas.openxmlformats.org/officeDocument/2006/relationships/drawing" Target="../drawings/drawing8.xml"/><Relationship Id="rId4" Type="http://schemas.openxmlformats.org/officeDocument/2006/relationships/hyperlink" Targe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Microsoft/AppData/Roaming/kahanim/AppData/Roaming/&#1605;&#1587;&#1578;&#1606;&#1583;&#1575;&#1578;%20&#1670;&#1575;&#1607;%20&#1607;&#1575;/&#1576;&#1583;&#1606;&#1607;%20&#1662;&#1608;&#1587;&#1578;&#1607;%20&#1605;&#1608;&#1578;&#1608;&#1585;%20&#1705;&#1588;&#1601;%20&#1585;&#1608;&#1587;&#1578;&#1575;&#1740;&#1740;.jpg" TargetMode="External"/><Relationship Id="rId9"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ED7B0-1D58-4ABF-9B39-2A93AC3EC4B2}">
  <dimension ref="A1:AZ702"/>
  <sheetViews>
    <sheetView rightToLeft="1" tabSelected="1" topLeftCell="J1" zoomScaleNormal="100" workbookViewId="0">
      <pane ySplit="2" topLeftCell="A222" activePane="bottomLeft" state="frozen"/>
      <selection pane="bottomLeft" activeCell="O231" sqref="O231"/>
    </sheetView>
  </sheetViews>
  <sheetFormatPr defaultRowHeight="12.75" x14ac:dyDescent="0.2"/>
  <cols>
    <col min="1" max="2" width="4.7109375" customWidth="1"/>
    <col min="3" max="3" width="4.85546875" customWidth="1"/>
    <col min="4" max="4" width="6.140625" customWidth="1"/>
    <col min="5" max="5" width="15.7109375" customWidth="1"/>
    <col min="6" max="6" width="9.28515625" customWidth="1"/>
    <col min="7" max="7" width="11.85546875" customWidth="1"/>
    <col min="8" max="8" width="25.7109375" customWidth="1"/>
    <col min="9" max="9" width="15.140625" customWidth="1"/>
    <col min="10" max="10" width="6" customWidth="1"/>
    <col min="12" max="12" width="7.140625" customWidth="1"/>
    <col min="13" max="13" width="7.5703125" customWidth="1"/>
    <col min="15" max="15" width="12.28515625" customWidth="1"/>
    <col min="18" max="18" width="7.42578125" customWidth="1"/>
    <col min="19" max="19" width="11.42578125" customWidth="1"/>
    <col min="21" max="21" width="6" customWidth="1"/>
    <col min="23" max="23" width="11.7109375" customWidth="1"/>
    <col min="25" max="25" width="7.5703125" customWidth="1"/>
    <col min="26" max="26" width="14" customWidth="1"/>
    <col min="27" max="37" width="5.7109375" customWidth="1"/>
    <col min="38" max="38" width="12.28515625" customWidth="1"/>
    <col min="39" max="42" width="5.7109375" customWidth="1"/>
    <col min="43" max="43" width="8.140625" customWidth="1"/>
    <col min="45" max="45" width="7.5703125" customWidth="1"/>
    <col min="46" max="50" width="5.7109375" customWidth="1"/>
    <col min="51" max="51" width="9.7109375" customWidth="1"/>
    <col min="52" max="52" width="67.7109375" customWidth="1"/>
  </cols>
  <sheetData>
    <row r="1" spans="1:52" s="3" customFormat="1" ht="30" customHeight="1" x14ac:dyDescent="0.2">
      <c r="A1" s="551" t="s">
        <v>0</v>
      </c>
      <c r="B1" s="551" t="s">
        <v>5102</v>
      </c>
      <c r="C1" s="551" t="s">
        <v>53</v>
      </c>
      <c r="D1" s="553" t="s">
        <v>6283</v>
      </c>
      <c r="E1" s="553" t="s">
        <v>6280</v>
      </c>
      <c r="F1" s="553" t="s">
        <v>5</v>
      </c>
      <c r="G1" s="493" t="s">
        <v>6570</v>
      </c>
      <c r="H1" s="553" t="s">
        <v>40</v>
      </c>
      <c r="I1" s="553" t="s">
        <v>55</v>
      </c>
      <c r="J1" s="555" t="s">
        <v>52</v>
      </c>
      <c r="K1" s="553" t="s">
        <v>3</v>
      </c>
      <c r="L1" s="556" t="s">
        <v>18</v>
      </c>
      <c r="M1" s="557"/>
      <c r="N1" s="557"/>
      <c r="O1" s="557"/>
      <c r="P1" s="557"/>
      <c r="Q1" s="557"/>
      <c r="R1" s="558"/>
      <c r="S1" s="559" t="s">
        <v>14</v>
      </c>
      <c r="T1" s="559"/>
      <c r="U1" s="559"/>
      <c r="V1" s="559"/>
      <c r="W1" s="559"/>
      <c r="X1" s="559"/>
      <c r="Y1" s="560" t="s">
        <v>22</v>
      </c>
      <c r="Z1" s="553" t="s">
        <v>4</v>
      </c>
      <c r="AA1" s="555" t="s">
        <v>149</v>
      </c>
      <c r="AB1" s="555" t="s">
        <v>48</v>
      </c>
      <c r="AC1" s="555" t="s">
        <v>47</v>
      </c>
      <c r="AD1" s="555" t="s">
        <v>31</v>
      </c>
      <c r="AE1" s="555" t="s">
        <v>32</v>
      </c>
      <c r="AF1" s="555" t="s">
        <v>33</v>
      </c>
      <c r="AG1" s="555" t="s">
        <v>34</v>
      </c>
      <c r="AH1" s="555" t="s">
        <v>35</v>
      </c>
      <c r="AI1" s="555" t="s">
        <v>37</v>
      </c>
      <c r="AJ1" s="555" t="s">
        <v>3740</v>
      </c>
      <c r="AK1" s="555" t="s">
        <v>5239</v>
      </c>
      <c r="AL1" s="553" t="s">
        <v>61</v>
      </c>
      <c r="AM1" s="555" t="s">
        <v>24</v>
      </c>
      <c r="AN1" s="555" t="s">
        <v>25</v>
      </c>
      <c r="AO1" s="551" t="s">
        <v>5263</v>
      </c>
      <c r="AP1" s="551" t="s">
        <v>5240</v>
      </c>
      <c r="AQ1" s="555" t="s">
        <v>23</v>
      </c>
      <c r="AR1" s="551" t="s">
        <v>60</v>
      </c>
      <c r="AS1" s="562" t="s">
        <v>27</v>
      </c>
      <c r="AT1" s="562" t="s">
        <v>28</v>
      </c>
      <c r="AU1" s="562" t="s">
        <v>11</v>
      </c>
      <c r="AV1" s="562" t="s">
        <v>12</v>
      </c>
      <c r="AW1" s="562" t="s">
        <v>13</v>
      </c>
      <c r="AX1" s="562" t="s">
        <v>54</v>
      </c>
      <c r="AY1" s="564" t="s">
        <v>5227</v>
      </c>
      <c r="AZ1" s="565" t="s">
        <v>29</v>
      </c>
    </row>
    <row r="2" spans="1:52" s="3" customFormat="1" ht="118.5" customHeight="1" x14ac:dyDescent="0.2">
      <c r="A2" s="552"/>
      <c r="B2" s="552"/>
      <c r="C2" s="552"/>
      <c r="D2" s="554"/>
      <c r="E2" s="554"/>
      <c r="F2" s="554"/>
      <c r="G2" s="494"/>
      <c r="H2" s="554"/>
      <c r="I2" s="554"/>
      <c r="J2" s="552"/>
      <c r="K2" s="554"/>
      <c r="L2" s="9" t="s">
        <v>50</v>
      </c>
      <c r="M2" s="9" t="s">
        <v>51</v>
      </c>
      <c r="N2" s="9" t="s">
        <v>26</v>
      </c>
      <c r="O2" s="9" t="s">
        <v>16</v>
      </c>
      <c r="P2" s="10" t="s">
        <v>15</v>
      </c>
      <c r="Q2" s="9" t="s">
        <v>5965</v>
      </c>
      <c r="R2" s="9" t="s">
        <v>5295</v>
      </c>
      <c r="S2" s="10" t="s">
        <v>36</v>
      </c>
      <c r="T2" s="11" t="s">
        <v>49</v>
      </c>
      <c r="U2" s="11" t="s">
        <v>3676</v>
      </c>
      <c r="V2" s="11" t="s">
        <v>26</v>
      </c>
      <c r="W2" s="9" t="s">
        <v>16</v>
      </c>
      <c r="X2" s="10" t="s">
        <v>15</v>
      </c>
      <c r="Y2" s="561"/>
      <c r="Z2" s="554"/>
      <c r="AA2" s="552"/>
      <c r="AB2" s="552"/>
      <c r="AC2" s="552"/>
      <c r="AD2" s="552"/>
      <c r="AE2" s="552"/>
      <c r="AF2" s="552"/>
      <c r="AG2" s="552"/>
      <c r="AH2" s="552"/>
      <c r="AI2" s="552"/>
      <c r="AJ2" s="552"/>
      <c r="AK2" s="552"/>
      <c r="AL2" s="554"/>
      <c r="AM2" s="552"/>
      <c r="AN2" s="552"/>
      <c r="AO2" s="552"/>
      <c r="AP2" s="552"/>
      <c r="AQ2" s="552"/>
      <c r="AR2" s="552"/>
      <c r="AS2" s="563"/>
      <c r="AT2" s="563"/>
      <c r="AU2" s="563"/>
      <c r="AV2" s="563"/>
      <c r="AW2" s="563"/>
      <c r="AX2" s="563"/>
      <c r="AY2" s="563"/>
      <c r="AZ2" s="566"/>
    </row>
    <row r="3" spans="1:52" s="19" customFormat="1" ht="30" customHeight="1" x14ac:dyDescent="0.2">
      <c r="A3" s="476">
        <v>1</v>
      </c>
      <c r="B3" s="476">
        <v>2</v>
      </c>
      <c r="C3" s="476">
        <v>1</v>
      </c>
      <c r="D3" s="476">
        <v>1405</v>
      </c>
      <c r="E3" s="477" t="s">
        <v>6278</v>
      </c>
      <c r="F3" s="477" t="s">
        <v>6105</v>
      </c>
      <c r="G3" s="495"/>
      <c r="H3" s="477" t="s">
        <v>90</v>
      </c>
      <c r="I3" s="476" t="s">
        <v>7</v>
      </c>
      <c r="J3" s="360" t="s">
        <v>158</v>
      </c>
      <c r="K3" s="488" t="s">
        <v>5577</v>
      </c>
      <c r="L3" s="488" t="s">
        <v>3714</v>
      </c>
      <c r="M3" s="488" t="s">
        <v>218</v>
      </c>
      <c r="N3" s="41" t="s">
        <v>6490</v>
      </c>
      <c r="O3" s="13" t="s">
        <v>106</v>
      </c>
      <c r="P3" s="13" t="s">
        <v>107</v>
      </c>
      <c r="Q3" s="13"/>
      <c r="R3" s="487"/>
      <c r="S3" s="487" t="s">
        <v>3714</v>
      </c>
      <c r="T3" s="487">
        <v>384</v>
      </c>
      <c r="U3" s="488" t="s">
        <v>2258</v>
      </c>
      <c r="V3" s="41" t="s">
        <v>6491</v>
      </c>
      <c r="W3" s="13" t="s">
        <v>106</v>
      </c>
      <c r="X3" s="488" t="s">
        <v>107</v>
      </c>
      <c r="Y3" s="487"/>
      <c r="Z3" s="487"/>
      <c r="AA3" s="487">
        <v>205</v>
      </c>
      <c r="AB3" s="16" t="s">
        <v>3714</v>
      </c>
      <c r="AC3" s="16">
        <v>186</v>
      </c>
      <c r="AD3" s="16">
        <v>87</v>
      </c>
      <c r="AE3" s="16">
        <v>134</v>
      </c>
      <c r="AF3" s="16">
        <v>7</v>
      </c>
      <c r="AG3" s="16">
        <v>50</v>
      </c>
      <c r="AH3" s="16">
        <v>191</v>
      </c>
      <c r="AI3" s="16">
        <v>31</v>
      </c>
      <c r="AJ3" s="487">
        <v>6</v>
      </c>
      <c r="AK3" s="488" t="s">
        <v>3714</v>
      </c>
      <c r="AL3" s="25" t="s">
        <v>6263</v>
      </c>
      <c r="AM3" s="487">
        <v>191</v>
      </c>
      <c r="AN3" s="487">
        <v>31</v>
      </c>
      <c r="AO3" s="487"/>
      <c r="AP3" s="16"/>
      <c r="AQ3" s="16" t="s">
        <v>160</v>
      </c>
      <c r="AR3" s="130" t="s">
        <v>165</v>
      </c>
      <c r="AS3" s="130">
        <v>1405</v>
      </c>
      <c r="AT3" s="130">
        <v>1</v>
      </c>
      <c r="AU3" s="130" t="s">
        <v>3714</v>
      </c>
      <c r="AV3" s="130"/>
      <c r="AW3" s="12" t="e">
        <f>IF(AS3*AU3&gt;0,(AS3-AU3)*12+(AT3-AV3),"")</f>
        <v>#VALUE!</v>
      </c>
      <c r="AX3" s="12" t="e">
        <f>IF(AW3&lt;13,AW3,"")</f>
        <v>#VALUE!</v>
      </c>
      <c r="AY3" s="12"/>
      <c r="AZ3" s="488"/>
    </row>
    <row r="4" spans="1:52" ht="30" customHeight="1" x14ac:dyDescent="0.2">
      <c r="A4" s="476">
        <v>2</v>
      </c>
      <c r="B4" s="476">
        <v>3</v>
      </c>
      <c r="C4" s="476">
        <v>1</v>
      </c>
      <c r="D4" s="476">
        <v>1405</v>
      </c>
      <c r="E4" s="477" t="s">
        <v>3900</v>
      </c>
      <c r="F4" s="477" t="s">
        <v>8</v>
      </c>
      <c r="G4" s="495"/>
      <c r="H4" s="477" t="s">
        <v>6487</v>
      </c>
      <c r="I4" s="476" t="s">
        <v>7</v>
      </c>
      <c r="J4" s="360" t="s">
        <v>158</v>
      </c>
      <c r="K4" s="488" t="s">
        <v>84</v>
      </c>
      <c r="L4" s="488" t="s">
        <v>3714</v>
      </c>
      <c r="M4" s="488" t="s">
        <v>155</v>
      </c>
      <c r="N4" s="41" t="s">
        <v>6488</v>
      </c>
      <c r="O4" s="13" t="s">
        <v>69</v>
      </c>
      <c r="P4" s="13" t="s">
        <v>70</v>
      </c>
      <c r="Q4" s="13"/>
      <c r="R4" s="487"/>
      <c r="S4" s="487"/>
      <c r="T4" s="487">
        <v>384</v>
      </c>
      <c r="U4" s="488" t="s">
        <v>441</v>
      </c>
      <c r="V4" s="41" t="s">
        <v>6489</v>
      </c>
      <c r="W4" s="13" t="s">
        <v>69</v>
      </c>
      <c r="X4" s="488" t="s">
        <v>70</v>
      </c>
      <c r="Y4" s="487"/>
      <c r="Z4" s="487"/>
      <c r="AA4" s="487">
        <v>200</v>
      </c>
      <c r="AB4" s="16"/>
      <c r="AC4" s="16">
        <v>180</v>
      </c>
      <c r="AD4" s="16">
        <v>81</v>
      </c>
      <c r="AE4" s="16">
        <v>96</v>
      </c>
      <c r="AF4" s="16">
        <v>9</v>
      </c>
      <c r="AG4" s="16">
        <v>70</v>
      </c>
      <c r="AH4" s="16">
        <v>175</v>
      </c>
      <c r="AI4" s="16">
        <v>27</v>
      </c>
      <c r="AJ4" s="487">
        <v>6</v>
      </c>
      <c r="AK4" s="488"/>
      <c r="AL4" s="25" t="s">
        <v>6287</v>
      </c>
      <c r="AM4" s="487">
        <v>175</v>
      </c>
      <c r="AN4" s="487">
        <v>27</v>
      </c>
      <c r="AO4" s="487"/>
      <c r="AP4" s="16"/>
      <c r="AQ4" s="16" t="s">
        <v>160</v>
      </c>
      <c r="AR4" s="130" t="s">
        <v>193</v>
      </c>
      <c r="AS4" s="130">
        <v>1405</v>
      </c>
      <c r="AT4" s="130">
        <v>1</v>
      </c>
      <c r="AU4" s="130" t="s">
        <v>3714</v>
      </c>
      <c r="AV4" s="130" t="s">
        <v>3714</v>
      </c>
      <c r="AW4" s="12" t="e">
        <f t="shared" ref="AW4:AW12" si="0">IF(AS4*AU4&gt;0,(AS4-AU4)*12+(AT4-AV4),"")</f>
        <v>#VALUE!</v>
      </c>
      <c r="AX4" s="12" t="e">
        <f t="shared" ref="AX4:AX12" si="1">IF(AW4&lt;13,AW4,"")</f>
        <v>#VALUE!</v>
      </c>
      <c r="AY4" s="12"/>
      <c r="AZ4" s="488"/>
    </row>
    <row r="5" spans="1:52" ht="30" customHeight="1" x14ac:dyDescent="0.2">
      <c r="A5" s="476">
        <v>3</v>
      </c>
      <c r="B5" s="476">
        <v>3</v>
      </c>
      <c r="C5" s="476">
        <v>1</v>
      </c>
      <c r="D5" s="476">
        <v>1405</v>
      </c>
      <c r="E5" s="477" t="s">
        <v>6279</v>
      </c>
      <c r="F5" s="477" t="s">
        <v>6105</v>
      </c>
      <c r="G5" s="495" t="s">
        <v>6588</v>
      </c>
      <c r="H5" s="477" t="s">
        <v>4038</v>
      </c>
      <c r="I5" s="476" t="s">
        <v>83</v>
      </c>
      <c r="J5" s="360" t="s">
        <v>158</v>
      </c>
      <c r="K5" s="488" t="s">
        <v>814</v>
      </c>
      <c r="L5" s="488"/>
      <c r="M5" s="488" t="s">
        <v>68</v>
      </c>
      <c r="N5" s="41"/>
      <c r="O5" s="13" t="s">
        <v>106</v>
      </c>
      <c r="P5" s="13" t="s">
        <v>107</v>
      </c>
      <c r="Q5" s="13"/>
      <c r="R5" s="487"/>
      <c r="S5" s="487" t="s">
        <v>190</v>
      </c>
      <c r="T5" s="487"/>
      <c r="U5" s="488"/>
      <c r="V5" s="41"/>
      <c r="W5" s="13" t="s">
        <v>106</v>
      </c>
      <c r="X5" s="488" t="s">
        <v>107</v>
      </c>
      <c r="Y5" s="487"/>
      <c r="Z5" s="487"/>
      <c r="AA5" s="487">
        <v>180</v>
      </c>
      <c r="AB5" s="16">
        <v>165</v>
      </c>
      <c r="AC5" s="16">
        <v>165</v>
      </c>
      <c r="AD5" s="16"/>
      <c r="AE5" s="16"/>
      <c r="AF5" s="16"/>
      <c r="AG5" s="16"/>
      <c r="AH5" s="16"/>
      <c r="AI5" s="16"/>
      <c r="AJ5" s="487">
        <v>4</v>
      </c>
      <c r="AK5" s="488"/>
      <c r="AL5" s="25"/>
      <c r="AM5" s="487"/>
      <c r="AN5" s="487"/>
      <c r="AO5" s="487"/>
      <c r="AP5" s="16"/>
      <c r="AQ5" s="16"/>
      <c r="AR5" s="130"/>
      <c r="AS5" s="130">
        <v>1405</v>
      </c>
      <c r="AT5" s="130">
        <v>1</v>
      </c>
      <c r="AU5" s="130" t="s">
        <v>3714</v>
      </c>
      <c r="AV5" s="130" t="s">
        <v>3714</v>
      </c>
      <c r="AW5" s="12" t="e">
        <f t="shared" si="0"/>
        <v>#VALUE!</v>
      </c>
      <c r="AX5" s="12" t="e">
        <f t="shared" si="1"/>
        <v>#VALUE!</v>
      </c>
      <c r="AY5" s="12"/>
      <c r="AZ5" s="488"/>
    </row>
    <row r="6" spans="1:52" ht="30" customHeight="1" x14ac:dyDescent="0.2">
      <c r="A6" s="476">
        <v>4</v>
      </c>
      <c r="B6" s="476">
        <v>3</v>
      </c>
      <c r="C6" s="476">
        <v>1</v>
      </c>
      <c r="D6" s="476">
        <v>1405</v>
      </c>
      <c r="E6" s="477" t="s">
        <v>6279</v>
      </c>
      <c r="F6" s="477" t="s">
        <v>6105</v>
      </c>
      <c r="G6" s="495" t="s">
        <v>6588</v>
      </c>
      <c r="H6" s="477"/>
      <c r="I6" s="476" t="s">
        <v>7</v>
      </c>
      <c r="J6" s="360" t="s">
        <v>158</v>
      </c>
      <c r="K6" s="488" t="s">
        <v>814</v>
      </c>
      <c r="L6" s="488" t="s">
        <v>68</v>
      </c>
      <c r="M6" s="488" t="s">
        <v>68</v>
      </c>
      <c r="N6" s="41" t="s">
        <v>6484</v>
      </c>
      <c r="O6" s="13" t="s">
        <v>106</v>
      </c>
      <c r="P6" s="13" t="s">
        <v>107</v>
      </c>
      <c r="Q6" s="13"/>
      <c r="R6" s="487"/>
      <c r="S6" s="487" t="s">
        <v>190</v>
      </c>
      <c r="T6" s="487">
        <v>345</v>
      </c>
      <c r="U6" s="488" t="s">
        <v>485</v>
      </c>
      <c r="V6" s="41" t="s">
        <v>6485</v>
      </c>
      <c r="W6" s="13" t="s">
        <v>106</v>
      </c>
      <c r="X6" s="488" t="s">
        <v>107</v>
      </c>
      <c r="Y6" s="487"/>
      <c r="Z6" s="487"/>
      <c r="AA6" s="487">
        <v>180</v>
      </c>
      <c r="AB6" s="16">
        <v>165</v>
      </c>
      <c r="AC6" s="16">
        <v>165</v>
      </c>
      <c r="AD6" s="16"/>
      <c r="AE6" s="16"/>
      <c r="AF6" s="16"/>
      <c r="AG6" s="16"/>
      <c r="AH6" s="16"/>
      <c r="AI6" s="16"/>
      <c r="AJ6" s="487">
        <v>4</v>
      </c>
      <c r="AK6" s="488"/>
      <c r="AL6" s="25" t="s">
        <v>6486</v>
      </c>
      <c r="AM6" s="487">
        <v>176</v>
      </c>
      <c r="AN6" s="487">
        <v>20</v>
      </c>
      <c r="AO6" s="487"/>
      <c r="AP6" s="16"/>
      <c r="AQ6" s="16" t="s">
        <v>160</v>
      </c>
      <c r="AR6" s="130" t="s">
        <v>161</v>
      </c>
      <c r="AS6" s="130">
        <v>1405</v>
      </c>
      <c r="AT6" s="130">
        <v>1</v>
      </c>
      <c r="AU6" s="130" t="s">
        <v>3714</v>
      </c>
      <c r="AV6" s="130"/>
      <c r="AW6" s="12" t="e">
        <f t="shared" si="0"/>
        <v>#VALUE!</v>
      </c>
      <c r="AX6" s="12" t="e">
        <f t="shared" si="1"/>
        <v>#VALUE!</v>
      </c>
      <c r="AY6" s="12"/>
      <c r="AZ6" s="488"/>
    </row>
    <row r="7" spans="1:52" ht="30" customHeight="1" x14ac:dyDescent="0.2">
      <c r="A7" s="476">
        <v>5</v>
      </c>
      <c r="B7" s="476">
        <v>4</v>
      </c>
      <c r="C7" s="476">
        <v>1</v>
      </c>
      <c r="D7" s="476">
        <v>1405</v>
      </c>
      <c r="E7" s="477" t="s">
        <v>6015</v>
      </c>
      <c r="F7" s="477" t="s">
        <v>243</v>
      </c>
      <c r="G7" s="495"/>
      <c r="H7" s="477" t="s">
        <v>4038</v>
      </c>
      <c r="I7" s="476" t="s">
        <v>83</v>
      </c>
      <c r="J7" s="360" t="s">
        <v>158</v>
      </c>
      <c r="K7" s="488" t="s">
        <v>84</v>
      </c>
      <c r="L7" s="488"/>
      <c r="M7" s="488" t="s">
        <v>226</v>
      </c>
      <c r="N7" s="41"/>
      <c r="O7" s="13" t="s">
        <v>106</v>
      </c>
      <c r="P7" s="13" t="s">
        <v>107</v>
      </c>
      <c r="Q7" s="13"/>
      <c r="R7" s="487"/>
      <c r="S7" s="487" t="s">
        <v>6474</v>
      </c>
      <c r="T7" s="487"/>
      <c r="U7" s="488"/>
      <c r="V7" s="41"/>
      <c r="W7" s="13" t="s">
        <v>106</v>
      </c>
      <c r="X7" s="488" t="s">
        <v>107</v>
      </c>
      <c r="Y7" s="487"/>
      <c r="Z7" s="487" t="s">
        <v>6476</v>
      </c>
      <c r="AA7" s="487">
        <v>204</v>
      </c>
      <c r="AB7" s="16">
        <v>186</v>
      </c>
      <c r="AC7" s="16">
        <v>186</v>
      </c>
      <c r="AD7" s="16"/>
      <c r="AE7" s="16"/>
      <c r="AF7" s="16"/>
      <c r="AG7" s="16"/>
      <c r="AH7" s="16"/>
      <c r="AI7" s="16"/>
      <c r="AJ7" s="487">
        <v>6</v>
      </c>
      <c r="AK7" s="488"/>
      <c r="AL7" s="25"/>
      <c r="AM7" s="487"/>
      <c r="AN7" s="487"/>
      <c r="AO7" s="487"/>
      <c r="AP7" s="16"/>
      <c r="AQ7" s="16"/>
      <c r="AR7" s="130"/>
      <c r="AS7" s="130">
        <v>1405</v>
      </c>
      <c r="AT7" s="130">
        <v>1</v>
      </c>
      <c r="AU7" s="130">
        <v>1404</v>
      </c>
      <c r="AV7" s="130">
        <v>11</v>
      </c>
      <c r="AW7" s="12">
        <f t="shared" si="0"/>
        <v>2</v>
      </c>
      <c r="AX7" s="12">
        <f t="shared" si="1"/>
        <v>2</v>
      </c>
      <c r="AY7" s="12"/>
      <c r="AZ7" s="488"/>
    </row>
    <row r="8" spans="1:52" ht="30" customHeight="1" x14ac:dyDescent="0.2">
      <c r="A8" s="476">
        <v>6</v>
      </c>
      <c r="B8" s="476">
        <v>4</v>
      </c>
      <c r="C8" s="476">
        <v>1</v>
      </c>
      <c r="D8" s="476">
        <v>1405</v>
      </c>
      <c r="E8" s="477" t="s">
        <v>6280</v>
      </c>
      <c r="F8" s="477" t="s">
        <v>2981</v>
      </c>
      <c r="G8" s="495"/>
      <c r="H8" s="477" t="s">
        <v>2184</v>
      </c>
      <c r="I8" s="476" t="s">
        <v>83</v>
      </c>
      <c r="J8" s="360" t="s">
        <v>158</v>
      </c>
      <c r="K8" s="488" t="s">
        <v>84</v>
      </c>
      <c r="L8" s="488"/>
      <c r="M8" s="488" t="s">
        <v>68</v>
      </c>
      <c r="N8" s="41"/>
      <c r="O8" s="13" t="s">
        <v>106</v>
      </c>
      <c r="P8" s="13" t="s">
        <v>107</v>
      </c>
      <c r="Q8" s="13"/>
      <c r="R8" s="487"/>
      <c r="S8" s="487" t="s">
        <v>804</v>
      </c>
      <c r="T8" s="487"/>
      <c r="U8" s="488"/>
      <c r="V8" s="41"/>
      <c r="W8" s="13" t="s">
        <v>106</v>
      </c>
      <c r="X8" s="13" t="s">
        <v>107</v>
      </c>
      <c r="Y8" s="487"/>
      <c r="Z8" s="487"/>
      <c r="AA8" s="487"/>
      <c r="AB8" s="16"/>
      <c r="AC8" s="16"/>
      <c r="AD8" s="16"/>
      <c r="AE8" s="16"/>
      <c r="AF8" s="16"/>
      <c r="AG8" s="16"/>
      <c r="AH8" s="16"/>
      <c r="AI8" s="16"/>
      <c r="AJ8" s="487"/>
      <c r="AK8" s="488"/>
      <c r="AL8" s="25"/>
      <c r="AM8" s="487"/>
      <c r="AN8" s="487"/>
      <c r="AO8" s="487"/>
      <c r="AP8" s="16"/>
      <c r="AQ8" s="16"/>
      <c r="AR8" s="130"/>
      <c r="AS8" s="130">
        <v>1405</v>
      </c>
      <c r="AT8" s="130">
        <v>1</v>
      </c>
      <c r="AU8" s="130"/>
      <c r="AV8" s="130"/>
      <c r="AW8" s="12" t="s">
        <v>429</v>
      </c>
      <c r="AX8" s="12" t="str">
        <f t="shared" si="1"/>
        <v/>
      </c>
      <c r="AY8" s="12"/>
      <c r="AZ8" s="488"/>
    </row>
    <row r="9" spans="1:52" ht="30" customHeight="1" x14ac:dyDescent="0.2">
      <c r="A9" s="476">
        <v>7</v>
      </c>
      <c r="B9" s="476">
        <v>5</v>
      </c>
      <c r="C9" s="476">
        <v>1</v>
      </c>
      <c r="D9" s="476">
        <v>1405</v>
      </c>
      <c r="E9" s="477" t="s">
        <v>6281</v>
      </c>
      <c r="F9" s="30" t="s">
        <v>66</v>
      </c>
      <c r="G9" s="495" t="s">
        <v>6588</v>
      </c>
      <c r="H9" s="477" t="s">
        <v>4038</v>
      </c>
      <c r="I9" s="476" t="s">
        <v>83</v>
      </c>
      <c r="J9" s="360" t="s">
        <v>158</v>
      </c>
      <c r="K9" s="488" t="s">
        <v>5577</v>
      </c>
      <c r="L9" s="488"/>
      <c r="M9" s="488" t="s">
        <v>68</v>
      </c>
      <c r="N9" s="41"/>
      <c r="O9" s="13" t="s">
        <v>106</v>
      </c>
      <c r="P9" s="13" t="s">
        <v>107</v>
      </c>
      <c r="Q9" s="13"/>
      <c r="R9" s="487"/>
      <c r="S9" s="487" t="s">
        <v>71</v>
      </c>
      <c r="T9" s="487"/>
      <c r="U9" s="488"/>
      <c r="V9" s="41"/>
      <c r="W9" s="13" t="s">
        <v>262</v>
      </c>
      <c r="X9" s="488" t="s">
        <v>70</v>
      </c>
      <c r="Y9" s="487"/>
      <c r="Z9" s="487" t="s">
        <v>6709</v>
      </c>
      <c r="AA9" s="487">
        <v>239</v>
      </c>
      <c r="AB9" s="16">
        <v>214</v>
      </c>
      <c r="AC9" s="16">
        <v>214</v>
      </c>
      <c r="AD9" s="16"/>
      <c r="AE9" s="16"/>
      <c r="AF9" s="16"/>
      <c r="AG9" s="16"/>
      <c r="AH9" s="16"/>
      <c r="AI9" s="16"/>
      <c r="AJ9" s="487">
        <v>6</v>
      </c>
      <c r="AK9" s="488"/>
      <c r="AL9" s="25"/>
      <c r="AM9" s="487"/>
      <c r="AN9" s="487"/>
      <c r="AO9" s="487"/>
      <c r="AP9" s="16"/>
      <c r="AQ9" s="16" t="s">
        <v>160</v>
      </c>
      <c r="AR9" s="130"/>
      <c r="AS9" s="130">
        <v>1405</v>
      </c>
      <c r="AT9" s="130">
        <v>1</v>
      </c>
      <c r="AU9" s="130">
        <v>1402</v>
      </c>
      <c r="AV9" s="130">
        <v>3</v>
      </c>
      <c r="AW9" s="12">
        <f t="shared" si="0"/>
        <v>34</v>
      </c>
      <c r="AX9" s="12" t="str">
        <f t="shared" si="1"/>
        <v/>
      </c>
      <c r="AY9" s="12"/>
      <c r="AZ9" s="488"/>
    </row>
    <row r="10" spans="1:52" ht="30" customHeight="1" x14ac:dyDescent="0.2">
      <c r="A10" s="476">
        <v>8</v>
      </c>
      <c r="B10" s="476">
        <v>5</v>
      </c>
      <c r="C10" s="476">
        <v>1</v>
      </c>
      <c r="D10" s="476">
        <v>1405</v>
      </c>
      <c r="E10" s="477" t="s">
        <v>6281</v>
      </c>
      <c r="F10" s="30" t="s">
        <v>66</v>
      </c>
      <c r="G10" s="496" t="s">
        <v>6588</v>
      </c>
      <c r="H10" s="477"/>
      <c r="I10" s="476" t="s">
        <v>7</v>
      </c>
      <c r="J10" s="360" t="s">
        <v>158</v>
      </c>
      <c r="K10" s="488" t="s">
        <v>5577</v>
      </c>
      <c r="L10" s="488" t="s">
        <v>68</v>
      </c>
      <c r="M10" s="488" t="s">
        <v>68</v>
      </c>
      <c r="N10" s="41" t="s">
        <v>6707</v>
      </c>
      <c r="O10" s="13" t="s">
        <v>69</v>
      </c>
      <c r="P10" s="13" t="s">
        <v>70</v>
      </c>
      <c r="Q10" s="13"/>
      <c r="R10" s="487"/>
      <c r="S10" s="487" t="s">
        <v>71</v>
      </c>
      <c r="T10" s="487">
        <v>6609</v>
      </c>
      <c r="U10" s="488" t="s">
        <v>144</v>
      </c>
      <c r="V10" s="41" t="s">
        <v>6708</v>
      </c>
      <c r="W10" s="13" t="s">
        <v>73</v>
      </c>
      <c r="X10" s="488" t="s">
        <v>70</v>
      </c>
      <c r="Y10" s="487"/>
      <c r="Z10" s="487" t="s">
        <v>6709</v>
      </c>
      <c r="AA10" s="487">
        <v>239</v>
      </c>
      <c r="AB10" s="16">
        <v>214</v>
      </c>
      <c r="AC10" s="16">
        <v>214</v>
      </c>
      <c r="AD10" s="16">
        <v>137</v>
      </c>
      <c r="AE10" s="16">
        <v>1651</v>
      </c>
      <c r="AF10" s="16"/>
      <c r="AG10" s="16"/>
      <c r="AH10" s="16"/>
      <c r="AI10" s="16">
        <v>17</v>
      </c>
      <c r="AJ10" s="487">
        <v>6</v>
      </c>
      <c r="AK10" s="488"/>
      <c r="AL10" s="25" t="s">
        <v>6710</v>
      </c>
      <c r="AM10" s="487"/>
      <c r="AN10" s="487"/>
      <c r="AO10" s="487"/>
      <c r="AP10" s="16"/>
      <c r="AQ10" s="16" t="s">
        <v>160</v>
      </c>
      <c r="AR10" s="130"/>
      <c r="AS10" s="130">
        <v>1405</v>
      </c>
      <c r="AT10" s="130">
        <v>1</v>
      </c>
      <c r="AU10" s="130"/>
      <c r="AV10" s="130"/>
      <c r="AW10" s="12" t="str">
        <f t="shared" si="0"/>
        <v/>
      </c>
      <c r="AX10" s="12" t="str">
        <f t="shared" si="1"/>
        <v/>
      </c>
      <c r="AY10" s="12"/>
      <c r="AZ10" s="488"/>
    </row>
    <row r="11" spans="1:52" ht="30" customHeight="1" x14ac:dyDescent="0.2">
      <c r="A11" s="476">
        <v>9</v>
      </c>
      <c r="B11" s="476">
        <v>5</v>
      </c>
      <c r="C11" s="476">
        <v>1</v>
      </c>
      <c r="D11" s="476">
        <v>1405</v>
      </c>
      <c r="E11" s="477" t="s">
        <v>5824</v>
      </c>
      <c r="F11" s="477" t="s">
        <v>6</v>
      </c>
      <c r="G11" s="495"/>
      <c r="H11" s="480" t="s">
        <v>4038</v>
      </c>
      <c r="I11" s="476" t="s">
        <v>83</v>
      </c>
      <c r="J11" s="360" t="s">
        <v>158</v>
      </c>
      <c r="K11" s="488" t="s">
        <v>84</v>
      </c>
      <c r="L11" s="488" t="s">
        <v>3714</v>
      </c>
      <c r="M11" s="488" t="s">
        <v>769</v>
      </c>
      <c r="N11" s="41"/>
      <c r="O11" s="13" t="s">
        <v>106</v>
      </c>
      <c r="P11" s="13" t="s">
        <v>107</v>
      </c>
      <c r="Q11" s="13"/>
      <c r="R11" s="487"/>
      <c r="S11" s="487" t="s">
        <v>1778</v>
      </c>
      <c r="T11" s="487"/>
      <c r="U11" s="488"/>
      <c r="V11" s="41"/>
      <c r="W11" s="13" t="s">
        <v>106</v>
      </c>
      <c r="X11" s="488" t="s">
        <v>107</v>
      </c>
      <c r="Y11" s="487"/>
      <c r="Z11" s="487" t="s">
        <v>6461</v>
      </c>
      <c r="AA11" s="487">
        <v>221</v>
      </c>
      <c r="AB11" s="16">
        <v>213</v>
      </c>
      <c r="AC11" s="16">
        <v>213</v>
      </c>
      <c r="AD11" s="16"/>
      <c r="AE11" s="16"/>
      <c r="AF11" s="16"/>
      <c r="AG11" s="16"/>
      <c r="AH11" s="16"/>
      <c r="AI11" s="16"/>
      <c r="AJ11" s="487">
        <v>4</v>
      </c>
      <c r="AK11" s="488"/>
      <c r="AL11" s="25"/>
      <c r="AM11" s="487"/>
      <c r="AN11" s="487"/>
      <c r="AO11" s="487"/>
      <c r="AP11" s="16"/>
      <c r="AQ11" s="16"/>
      <c r="AR11" s="130"/>
      <c r="AS11" s="130">
        <v>1405</v>
      </c>
      <c r="AT11" s="130">
        <v>1</v>
      </c>
      <c r="AU11" s="130">
        <v>1404</v>
      </c>
      <c r="AV11" s="130">
        <v>8</v>
      </c>
      <c r="AW11" s="12">
        <f t="shared" si="0"/>
        <v>5</v>
      </c>
      <c r="AX11" s="12">
        <f t="shared" si="1"/>
        <v>5</v>
      </c>
      <c r="AY11" s="12"/>
      <c r="AZ11" s="488"/>
    </row>
    <row r="12" spans="1:52" ht="30" customHeight="1" x14ac:dyDescent="0.2">
      <c r="A12" s="476">
        <v>10</v>
      </c>
      <c r="B12" s="476">
        <v>5</v>
      </c>
      <c r="C12" s="476">
        <v>1</v>
      </c>
      <c r="D12" s="476">
        <v>1405</v>
      </c>
      <c r="E12" s="477" t="s">
        <v>651</v>
      </c>
      <c r="F12" s="477" t="s">
        <v>6</v>
      </c>
      <c r="G12" s="495"/>
      <c r="H12" s="477" t="s">
        <v>4038</v>
      </c>
      <c r="I12" s="476" t="s">
        <v>83</v>
      </c>
      <c r="J12" s="360" t="s">
        <v>158</v>
      </c>
      <c r="K12" s="488" t="s">
        <v>84</v>
      </c>
      <c r="L12" s="488"/>
      <c r="M12" s="488" t="s">
        <v>218</v>
      </c>
      <c r="N12" s="41"/>
      <c r="O12" s="13" t="s">
        <v>106</v>
      </c>
      <c r="P12" s="13" t="s">
        <v>107</v>
      </c>
      <c r="Q12" s="13"/>
      <c r="R12" s="487"/>
      <c r="S12" s="487" t="s">
        <v>453</v>
      </c>
      <c r="T12" s="487"/>
      <c r="U12" s="488"/>
      <c r="V12" s="41"/>
      <c r="W12" s="13" t="s">
        <v>106</v>
      </c>
      <c r="X12" s="488" t="s">
        <v>107</v>
      </c>
      <c r="Y12" s="487"/>
      <c r="Z12" s="487" t="s">
        <v>4152</v>
      </c>
      <c r="AA12" s="487">
        <v>250</v>
      </c>
      <c r="AB12" s="16">
        <v>234</v>
      </c>
      <c r="AC12" s="16">
        <v>234</v>
      </c>
      <c r="AD12" s="16"/>
      <c r="AE12" s="16"/>
      <c r="AF12" s="16"/>
      <c r="AG12" s="16"/>
      <c r="AH12" s="16"/>
      <c r="AI12" s="16"/>
      <c r="AJ12" s="487">
        <v>6</v>
      </c>
      <c r="AK12" s="488"/>
      <c r="AL12" s="25"/>
      <c r="AM12" s="487"/>
      <c r="AN12" s="487"/>
      <c r="AO12" s="487"/>
      <c r="AP12" s="16"/>
      <c r="AQ12" s="16" t="s">
        <v>160</v>
      </c>
      <c r="AR12" s="130" t="s">
        <v>165</v>
      </c>
      <c r="AS12" s="130">
        <v>1405</v>
      </c>
      <c r="AT12" s="130">
        <v>1</v>
      </c>
      <c r="AU12" s="130">
        <v>1402</v>
      </c>
      <c r="AV12" s="130">
        <v>10</v>
      </c>
      <c r="AW12" s="12">
        <f t="shared" si="0"/>
        <v>27</v>
      </c>
      <c r="AX12" s="12" t="str">
        <f t="shared" si="1"/>
        <v/>
      </c>
      <c r="AY12" s="12"/>
      <c r="AZ12" s="488"/>
    </row>
    <row r="13" spans="1:52" ht="30" customHeight="1" x14ac:dyDescent="0.2">
      <c r="A13" s="476">
        <v>11</v>
      </c>
      <c r="B13" s="476">
        <v>5</v>
      </c>
      <c r="C13" s="476">
        <v>1</v>
      </c>
      <c r="D13" s="476">
        <v>1405</v>
      </c>
      <c r="E13" s="477" t="s">
        <v>5717</v>
      </c>
      <c r="F13" s="30" t="s">
        <v>66</v>
      </c>
      <c r="G13" s="496" t="s">
        <v>6588</v>
      </c>
      <c r="H13" s="488" t="s">
        <v>4038</v>
      </c>
      <c r="I13" s="476" t="s">
        <v>83</v>
      </c>
      <c r="J13" s="360" t="s">
        <v>158</v>
      </c>
      <c r="K13" s="488" t="s">
        <v>6353</v>
      </c>
      <c r="L13" s="488"/>
      <c r="M13" s="488" t="s">
        <v>226</v>
      </c>
      <c r="N13" s="41"/>
      <c r="O13" s="13" t="s">
        <v>106</v>
      </c>
      <c r="P13" s="13" t="s">
        <v>107</v>
      </c>
      <c r="Q13" s="13"/>
      <c r="R13" s="487"/>
      <c r="S13" s="487" t="s">
        <v>1778</v>
      </c>
      <c r="T13" s="487"/>
      <c r="U13" s="488"/>
      <c r="V13" s="41"/>
      <c r="W13" s="13" t="s">
        <v>106</v>
      </c>
      <c r="X13" s="488" t="s">
        <v>107</v>
      </c>
      <c r="Y13" s="487"/>
      <c r="Z13" s="487"/>
      <c r="AA13" s="487">
        <v>252</v>
      </c>
      <c r="AB13" s="16"/>
      <c r="AC13" s="16">
        <v>241</v>
      </c>
      <c r="AD13" s="16"/>
      <c r="AE13" s="16"/>
      <c r="AF13" s="16"/>
      <c r="AG13" s="16"/>
      <c r="AH13" s="16"/>
      <c r="AI13" s="16"/>
      <c r="AJ13" s="487">
        <v>4</v>
      </c>
      <c r="AK13" s="488"/>
      <c r="AL13" s="25"/>
      <c r="AM13" s="487"/>
      <c r="AN13" s="487"/>
      <c r="AO13" s="487"/>
      <c r="AP13" s="16"/>
      <c r="AQ13" s="16"/>
      <c r="AR13" s="130"/>
      <c r="AS13" s="130">
        <v>1405</v>
      </c>
      <c r="AT13" s="130">
        <v>1</v>
      </c>
      <c r="AU13" s="130"/>
      <c r="AV13" s="130"/>
      <c r="AW13" s="12"/>
      <c r="AX13" s="12"/>
      <c r="AY13" s="12"/>
      <c r="AZ13" s="488"/>
    </row>
    <row r="14" spans="1:52" ht="30" customHeight="1" x14ac:dyDescent="0.2">
      <c r="A14" s="476">
        <v>12</v>
      </c>
      <c r="B14" s="476">
        <v>5</v>
      </c>
      <c r="C14" s="476">
        <v>1</v>
      </c>
      <c r="D14" s="476">
        <v>1405</v>
      </c>
      <c r="E14" s="477" t="s">
        <v>5717</v>
      </c>
      <c r="F14" s="30" t="s">
        <v>66</v>
      </c>
      <c r="G14" s="496" t="s">
        <v>6588</v>
      </c>
      <c r="H14" s="477"/>
      <c r="I14" s="476" t="s">
        <v>7</v>
      </c>
      <c r="J14" s="360" t="s">
        <v>158</v>
      </c>
      <c r="K14" s="488" t="s">
        <v>6353</v>
      </c>
      <c r="L14" s="488" t="s">
        <v>226</v>
      </c>
      <c r="M14" s="488" t="s">
        <v>226</v>
      </c>
      <c r="N14" s="41" t="s">
        <v>6481</v>
      </c>
      <c r="O14" s="13" t="s">
        <v>106</v>
      </c>
      <c r="P14" s="13" t="s">
        <v>107</v>
      </c>
      <c r="Q14" s="13"/>
      <c r="R14" s="487"/>
      <c r="S14" s="487" t="s">
        <v>1778</v>
      </c>
      <c r="T14" s="487">
        <v>193</v>
      </c>
      <c r="U14" s="488" t="s">
        <v>2348</v>
      </c>
      <c r="V14" s="41" t="s">
        <v>6482</v>
      </c>
      <c r="W14" s="13" t="s">
        <v>73</v>
      </c>
      <c r="X14" s="488" t="s">
        <v>70</v>
      </c>
      <c r="Y14" s="487" t="s">
        <v>4420</v>
      </c>
      <c r="Z14" s="487"/>
      <c r="AA14" s="487">
        <v>252</v>
      </c>
      <c r="AB14" s="16"/>
      <c r="AC14" s="16">
        <v>241</v>
      </c>
      <c r="AD14" s="16">
        <v>113</v>
      </c>
      <c r="AE14" s="16">
        <v>125</v>
      </c>
      <c r="AF14" s="16">
        <v>4</v>
      </c>
      <c r="AG14" s="16">
        <v>5</v>
      </c>
      <c r="AH14" s="16">
        <v>134</v>
      </c>
      <c r="AI14" s="16">
        <v>6</v>
      </c>
      <c r="AJ14" s="487">
        <v>4</v>
      </c>
      <c r="AK14" s="488"/>
      <c r="AL14" s="25" t="s">
        <v>6483</v>
      </c>
      <c r="AM14" s="487">
        <v>134</v>
      </c>
      <c r="AN14" s="487">
        <v>6</v>
      </c>
      <c r="AO14" s="487"/>
      <c r="AP14" s="16"/>
      <c r="AQ14" s="16"/>
      <c r="AR14" s="130"/>
      <c r="AS14" s="130">
        <v>1405</v>
      </c>
      <c r="AT14" s="130">
        <v>1</v>
      </c>
      <c r="AU14" s="130"/>
      <c r="AV14" s="130"/>
      <c r="AW14" s="12"/>
      <c r="AX14" s="12"/>
      <c r="AY14" s="12"/>
      <c r="AZ14" s="488"/>
    </row>
    <row r="15" spans="1:52" ht="30" customHeight="1" x14ac:dyDescent="0.2">
      <c r="A15" s="476">
        <v>13</v>
      </c>
      <c r="B15" s="476">
        <v>6</v>
      </c>
      <c r="C15" s="476">
        <v>1</v>
      </c>
      <c r="D15" s="476">
        <v>1405</v>
      </c>
      <c r="E15" s="477" t="s">
        <v>5505</v>
      </c>
      <c r="F15" s="477" t="s">
        <v>8</v>
      </c>
      <c r="G15" s="495"/>
      <c r="H15" s="477" t="s">
        <v>5713</v>
      </c>
      <c r="I15" s="476" t="s">
        <v>83</v>
      </c>
      <c r="J15" s="360" t="s">
        <v>158</v>
      </c>
      <c r="K15" s="488" t="s">
        <v>84</v>
      </c>
      <c r="L15" s="488"/>
      <c r="M15" s="488" t="s">
        <v>104</v>
      </c>
      <c r="N15" s="41"/>
      <c r="O15" s="13" t="s">
        <v>106</v>
      </c>
      <c r="P15" s="13" t="s">
        <v>107</v>
      </c>
      <c r="Q15" s="13"/>
      <c r="R15" s="487"/>
      <c r="S15" s="487" t="s">
        <v>108</v>
      </c>
      <c r="T15" s="487"/>
      <c r="U15" s="488"/>
      <c r="V15" s="41"/>
      <c r="W15" s="13" t="s">
        <v>106</v>
      </c>
      <c r="X15" s="488" t="s">
        <v>107</v>
      </c>
      <c r="Y15" s="487"/>
      <c r="Z15" s="487" t="s">
        <v>6480</v>
      </c>
      <c r="AA15" s="487">
        <v>224</v>
      </c>
      <c r="AB15" s="16">
        <v>186</v>
      </c>
      <c r="AC15" s="16">
        <v>186</v>
      </c>
      <c r="AD15" s="16"/>
      <c r="AE15" s="16"/>
      <c r="AF15" s="16"/>
      <c r="AG15" s="16"/>
      <c r="AH15" s="16"/>
      <c r="AI15" s="16"/>
      <c r="AJ15" s="487">
        <v>6</v>
      </c>
      <c r="AK15" s="488"/>
      <c r="AL15" s="25"/>
      <c r="AM15" s="487"/>
      <c r="AN15" s="487"/>
      <c r="AO15" s="487"/>
      <c r="AP15" s="16"/>
      <c r="AQ15" s="16" t="s">
        <v>160</v>
      </c>
      <c r="AR15" s="130" t="s">
        <v>161</v>
      </c>
      <c r="AS15" s="130">
        <v>1405</v>
      </c>
      <c r="AT15" s="130">
        <v>1</v>
      </c>
      <c r="AU15" s="130">
        <v>1404</v>
      </c>
      <c r="AV15" s="130">
        <v>6</v>
      </c>
      <c r="AW15" s="12">
        <f>IF(AS15*AU15&gt;0,(AS15-AU15)*12+(AT15-AV15),"")</f>
        <v>7</v>
      </c>
      <c r="AX15" s="12">
        <f>IF(AW15&lt;13,AW15,"")</f>
        <v>7</v>
      </c>
      <c r="AY15" s="12"/>
      <c r="AZ15" s="488"/>
    </row>
    <row r="16" spans="1:52" ht="30" customHeight="1" x14ac:dyDescent="0.2">
      <c r="A16" s="476">
        <v>14</v>
      </c>
      <c r="B16" s="476">
        <v>6</v>
      </c>
      <c r="C16" s="476">
        <v>1</v>
      </c>
      <c r="D16" s="476">
        <v>1405</v>
      </c>
      <c r="E16" s="477" t="s">
        <v>6282</v>
      </c>
      <c r="F16" s="30" t="s">
        <v>66</v>
      </c>
      <c r="G16" s="496" t="s">
        <v>6588</v>
      </c>
      <c r="H16" s="477" t="s">
        <v>6435</v>
      </c>
      <c r="I16" s="476" t="s">
        <v>83</v>
      </c>
      <c r="J16" s="360" t="s">
        <v>158</v>
      </c>
      <c r="K16" s="488" t="s">
        <v>84</v>
      </c>
      <c r="L16" s="488"/>
      <c r="M16" s="488" t="s">
        <v>117</v>
      </c>
      <c r="N16" s="41"/>
      <c r="O16" s="13" t="s">
        <v>106</v>
      </c>
      <c r="P16" s="13" t="s">
        <v>107</v>
      </c>
      <c r="Q16" s="13"/>
      <c r="R16" s="487"/>
      <c r="S16" s="487" t="s">
        <v>120</v>
      </c>
      <c r="T16" s="487"/>
      <c r="U16" s="488"/>
      <c r="V16" s="41"/>
      <c r="W16" s="13" t="s">
        <v>106</v>
      </c>
      <c r="X16" s="488" t="s">
        <v>107</v>
      </c>
      <c r="Y16" s="487"/>
      <c r="Z16" s="487" t="s">
        <v>6479</v>
      </c>
      <c r="AA16" s="487">
        <v>250</v>
      </c>
      <c r="AB16" s="16">
        <v>213</v>
      </c>
      <c r="AC16" s="16">
        <v>213</v>
      </c>
      <c r="AD16" s="16"/>
      <c r="AE16" s="16"/>
      <c r="AF16" s="16"/>
      <c r="AG16" s="16"/>
      <c r="AH16" s="16"/>
      <c r="AI16" s="16"/>
      <c r="AJ16" s="487">
        <v>6</v>
      </c>
      <c r="AK16" s="488"/>
      <c r="AL16" s="25"/>
      <c r="AM16" s="487"/>
      <c r="AN16" s="487"/>
      <c r="AO16" s="487"/>
      <c r="AP16" s="16"/>
      <c r="AQ16" s="16" t="s">
        <v>160</v>
      </c>
      <c r="AR16" s="130" t="s">
        <v>193</v>
      </c>
      <c r="AS16" s="130">
        <v>1405</v>
      </c>
      <c r="AT16" s="130">
        <v>1</v>
      </c>
      <c r="AU16" s="130">
        <v>1404</v>
      </c>
      <c r="AV16" s="130">
        <v>11</v>
      </c>
      <c r="AW16" s="12">
        <f>IF(AS16*AU16&gt;0,(AS16-AU16)*12+(AT16-AV16),"")</f>
        <v>2</v>
      </c>
      <c r="AX16" s="12">
        <f>IF(AW16&lt;13,AW16,"")</f>
        <v>2</v>
      </c>
      <c r="AY16" s="12"/>
      <c r="AZ16" s="488"/>
    </row>
    <row r="17" spans="1:52" ht="30" customHeight="1" x14ac:dyDescent="0.2">
      <c r="A17" s="476">
        <v>15</v>
      </c>
      <c r="B17" s="476">
        <v>7</v>
      </c>
      <c r="C17" s="476">
        <v>1</v>
      </c>
      <c r="D17" s="476">
        <v>1405</v>
      </c>
      <c r="E17" s="477" t="s">
        <v>6282</v>
      </c>
      <c r="F17" s="30" t="s">
        <v>66</v>
      </c>
      <c r="G17" s="496" t="s">
        <v>6588</v>
      </c>
      <c r="H17" s="477"/>
      <c r="I17" s="476" t="s">
        <v>7</v>
      </c>
      <c r="J17" s="360" t="s">
        <v>158</v>
      </c>
      <c r="K17" s="488" t="s">
        <v>84</v>
      </c>
      <c r="L17" s="488" t="s">
        <v>117</v>
      </c>
      <c r="M17" s="488" t="s">
        <v>140</v>
      </c>
      <c r="N17" s="41" t="s">
        <v>6477</v>
      </c>
      <c r="O17" s="13" t="s">
        <v>106</v>
      </c>
      <c r="P17" s="13" t="s">
        <v>107</v>
      </c>
      <c r="Q17" s="13"/>
      <c r="R17" s="487"/>
      <c r="S17" s="487" t="s">
        <v>120</v>
      </c>
      <c r="T17" s="487">
        <v>6609</v>
      </c>
      <c r="U17" s="488" t="s">
        <v>441</v>
      </c>
      <c r="V17" s="41" t="s">
        <v>6478</v>
      </c>
      <c r="W17" s="13" t="s">
        <v>73</v>
      </c>
      <c r="X17" s="488" t="s">
        <v>70</v>
      </c>
      <c r="Y17" s="487" t="s">
        <v>5187</v>
      </c>
      <c r="Z17" s="487" t="s">
        <v>6479</v>
      </c>
      <c r="AA17" s="487">
        <v>250</v>
      </c>
      <c r="AB17" s="16">
        <v>213</v>
      </c>
      <c r="AC17" s="16">
        <v>213</v>
      </c>
      <c r="AD17" s="16">
        <v>95</v>
      </c>
      <c r="AE17" s="16">
        <v>117</v>
      </c>
      <c r="AF17" s="16">
        <v>2</v>
      </c>
      <c r="AG17" s="16">
        <v>7</v>
      </c>
      <c r="AH17" s="16">
        <v>126</v>
      </c>
      <c r="AI17" s="16">
        <v>16</v>
      </c>
      <c r="AJ17" s="487">
        <v>6</v>
      </c>
      <c r="AK17" s="488"/>
      <c r="AL17" s="25" t="s">
        <v>6471</v>
      </c>
      <c r="AM17" s="487">
        <v>126</v>
      </c>
      <c r="AN17" s="487">
        <v>16</v>
      </c>
      <c r="AO17" s="487"/>
      <c r="AP17" s="16"/>
      <c r="AQ17" s="16" t="s">
        <v>160</v>
      </c>
      <c r="AR17" s="130" t="s">
        <v>193</v>
      </c>
      <c r="AS17" s="130">
        <v>1405</v>
      </c>
      <c r="AT17" s="130">
        <v>1</v>
      </c>
      <c r="AU17" s="130"/>
      <c r="AV17" s="130"/>
      <c r="AW17" s="12"/>
      <c r="AX17" s="12">
        <f>IF(AW17&lt;13,AW17,"")</f>
        <v>0</v>
      </c>
      <c r="AY17" s="12"/>
      <c r="AZ17" s="488"/>
    </row>
    <row r="18" spans="1:52" s="4" customFormat="1" ht="30" customHeight="1" x14ac:dyDescent="0.2">
      <c r="A18" s="476">
        <v>16</v>
      </c>
      <c r="B18" s="476">
        <v>7</v>
      </c>
      <c r="C18" s="476">
        <v>1</v>
      </c>
      <c r="D18" s="16">
        <v>1405</v>
      </c>
      <c r="E18" s="477" t="s">
        <v>3336</v>
      </c>
      <c r="F18" s="477" t="s">
        <v>10</v>
      </c>
      <c r="G18" s="495"/>
      <c r="H18" s="477" t="s">
        <v>4038</v>
      </c>
      <c r="I18" s="476" t="s">
        <v>83</v>
      </c>
      <c r="J18" s="360" t="s">
        <v>158</v>
      </c>
      <c r="K18" s="16" t="s">
        <v>5577</v>
      </c>
      <c r="L18" s="477"/>
      <c r="M18" s="477" t="s">
        <v>334</v>
      </c>
      <c r="N18" s="477"/>
      <c r="O18" s="41" t="s">
        <v>106</v>
      </c>
      <c r="P18" s="13" t="s">
        <v>107</v>
      </c>
      <c r="Q18" s="13"/>
      <c r="R18" s="13"/>
      <c r="S18" s="476" t="s">
        <v>991</v>
      </c>
      <c r="T18" s="476" t="s">
        <v>3714</v>
      </c>
      <c r="U18" s="476" t="s">
        <v>3714</v>
      </c>
      <c r="V18" s="477"/>
      <c r="W18" s="41" t="s">
        <v>106</v>
      </c>
      <c r="X18" s="13" t="s">
        <v>107</v>
      </c>
      <c r="Y18" s="477"/>
      <c r="Z18" s="476" t="s">
        <v>4465</v>
      </c>
      <c r="AA18" s="476">
        <v>195</v>
      </c>
      <c r="AB18" s="476">
        <v>180</v>
      </c>
      <c r="AC18" s="16">
        <v>180</v>
      </c>
      <c r="AD18" s="16"/>
      <c r="AE18" s="16"/>
      <c r="AF18" s="16"/>
      <c r="AG18" s="16"/>
      <c r="AH18" s="16"/>
      <c r="AI18" s="16"/>
      <c r="AJ18" s="16">
        <v>6</v>
      </c>
      <c r="AK18" s="476"/>
      <c r="AL18" s="477"/>
      <c r="AM18" s="25"/>
      <c r="AN18" s="476"/>
      <c r="AO18" s="476"/>
      <c r="AP18" s="476"/>
      <c r="AQ18" s="16"/>
      <c r="AR18" s="16"/>
      <c r="AS18" s="130">
        <v>1405</v>
      </c>
      <c r="AT18" s="130">
        <v>1</v>
      </c>
      <c r="AU18" s="130">
        <v>1403</v>
      </c>
      <c r="AV18" s="130">
        <v>2</v>
      </c>
      <c r="AW18" s="12">
        <f>IF(AS18*AU18&gt;0,(AS18-AU18)*12+(AT18-AV18),"")</f>
        <v>23</v>
      </c>
      <c r="AX18" s="12" t="str">
        <f>IF(AW18&lt;13,AW18,"")</f>
        <v/>
      </c>
      <c r="AY18" s="12"/>
      <c r="AZ18" s="408"/>
    </row>
    <row r="19" spans="1:52" ht="30" customHeight="1" x14ac:dyDescent="0.2">
      <c r="A19" s="476">
        <v>17</v>
      </c>
      <c r="B19" s="481">
        <v>8</v>
      </c>
      <c r="C19" s="481">
        <v>1</v>
      </c>
      <c r="D19" s="16">
        <v>1405</v>
      </c>
      <c r="E19" s="482" t="s">
        <v>6015</v>
      </c>
      <c r="F19" s="482" t="s">
        <v>243</v>
      </c>
      <c r="G19" s="495"/>
      <c r="H19" s="482"/>
      <c r="I19" s="481" t="s">
        <v>7</v>
      </c>
      <c r="J19" s="360" t="s">
        <v>158</v>
      </c>
      <c r="K19" s="16" t="s">
        <v>84</v>
      </c>
      <c r="L19" s="482" t="s">
        <v>226</v>
      </c>
      <c r="M19" s="482" t="s">
        <v>223</v>
      </c>
      <c r="N19" s="482" t="s">
        <v>6473</v>
      </c>
      <c r="O19" s="41" t="s">
        <v>106</v>
      </c>
      <c r="P19" s="13" t="s">
        <v>107</v>
      </c>
      <c r="Q19" s="13"/>
      <c r="R19" s="13"/>
      <c r="S19" s="481" t="s">
        <v>6474</v>
      </c>
      <c r="T19" s="481">
        <v>193</v>
      </c>
      <c r="U19" s="481">
        <v>16</v>
      </c>
      <c r="V19" s="482" t="s">
        <v>6475</v>
      </c>
      <c r="W19" s="41" t="s">
        <v>106</v>
      </c>
      <c r="X19" s="13" t="s">
        <v>107</v>
      </c>
      <c r="Y19" s="482" t="s">
        <v>5187</v>
      </c>
      <c r="Z19" s="481" t="s">
        <v>6476</v>
      </c>
      <c r="AA19" s="481">
        <v>204</v>
      </c>
      <c r="AB19" s="481">
        <v>186</v>
      </c>
      <c r="AC19" s="16">
        <v>186</v>
      </c>
      <c r="AD19" s="16">
        <v>72</v>
      </c>
      <c r="AE19" s="16">
        <v>114</v>
      </c>
      <c r="AF19" s="16">
        <v>1</v>
      </c>
      <c r="AG19" s="16">
        <v>55</v>
      </c>
      <c r="AH19" s="16">
        <v>171</v>
      </c>
      <c r="AI19" s="16">
        <v>5</v>
      </c>
      <c r="AJ19" s="16">
        <v>6</v>
      </c>
      <c r="AK19" s="481"/>
      <c r="AL19" s="482" t="s">
        <v>6458</v>
      </c>
      <c r="AM19" s="25">
        <v>192</v>
      </c>
      <c r="AN19" s="481">
        <v>5</v>
      </c>
      <c r="AO19" s="481"/>
      <c r="AP19" s="481"/>
      <c r="AQ19" s="16"/>
      <c r="AR19" s="16"/>
      <c r="AS19" s="130">
        <v>1405</v>
      </c>
      <c r="AT19" s="130">
        <v>1</v>
      </c>
      <c r="AU19" s="130"/>
      <c r="AV19" s="130"/>
      <c r="AW19" s="12"/>
      <c r="AX19" s="12">
        <f t="shared" ref="AX19:AX82" si="2">IF(AW19&lt;13,AW19,"")</f>
        <v>0</v>
      </c>
      <c r="AY19" s="12"/>
      <c r="AZ19" s="408"/>
    </row>
    <row r="20" spans="1:52" ht="30" customHeight="1" x14ac:dyDescent="0.2">
      <c r="A20" s="481">
        <v>18</v>
      </c>
      <c r="B20" s="481">
        <v>9</v>
      </c>
      <c r="C20" s="16">
        <v>1</v>
      </c>
      <c r="D20" s="482" t="s">
        <v>6308</v>
      </c>
      <c r="E20" s="482" t="s">
        <v>2350</v>
      </c>
      <c r="F20" s="482" t="s">
        <v>6105</v>
      </c>
      <c r="G20" s="495"/>
      <c r="H20" s="481" t="s">
        <v>6434</v>
      </c>
      <c r="I20" s="481" t="s">
        <v>83</v>
      </c>
      <c r="J20" s="360" t="s">
        <v>158</v>
      </c>
      <c r="K20" s="482" t="s">
        <v>84</v>
      </c>
      <c r="L20" s="482"/>
      <c r="M20" s="482" t="s">
        <v>223</v>
      </c>
      <c r="N20" s="41"/>
      <c r="O20" s="13" t="s">
        <v>106</v>
      </c>
      <c r="P20" s="13" t="s">
        <v>107</v>
      </c>
      <c r="Q20" s="13"/>
      <c r="R20" s="481"/>
      <c r="S20" s="481" t="s">
        <v>224</v>
      </c>
      <c r="T20" s="481"/>
      <c r="U20" s="482"/>
      <c r="V20" s="41"/>
      <c r="W20" s="13" t="s">
        <v>106</v>
      </c>
      <c r="X20" s="482" t="s">
        <v>107</v>
      </c>
      <c r="Y20" s="481"/>
      <c r="Z20" s="481" t="s">
        <v>6472</v>
      </c>
      <c r="AA20" s="481">
        <v>180</v>
      </c>
      <c r="AB20" s="16">
        <v>171</v>
      </c>
      <c r="AC20" s="16">
        <v>171</v>
      </c>
      <c r="AD20" s="16"/>
      <c r="AE20" s="16"/>
      <c r="AF20" s="16"/>
      <c r="AG20" s="16"/>
      <c r="AH20" s="16"/>
      <c r="AI20" s="16"/>
      <c r="AJ20" s="481">
        <v>4</v>
      </c>
      <c r="AK20" s="482"/>
      <c r="AL20" s="25"/>
      <c r="AM20" s="481"/>
      <c r="AN20" s="481"/>
      <c r="AO20" s="481"/>
      <c r="AP20" s="16"/>
      <c r="AQ20" s="16"/>
      <c r="AR20" s="130"/>
      <c r="AS20" s="130">
        <v>1405</v>
      </c>
      <c r="AT20" s="130">
        <v>1</v>
      </c>
      <c r="AU20" s="130">
        <v>1404</v>
      </c>
      <c r="AV20" s="130">
        <v>4</v>
      </c>
      <c r="AW20" s="12">
        <f>IF(AS20*AU20&gt;0,(AS20-AU20)*12+(AT20-AV20),"")</f>
        <v>9</v>
      </c>
      <c r="AX20" s="12">
        <f t="shared" si="2"/>
        <v>9</v>
      </c>
      <c r="AY20" s="12"/>
      <c r="AZ20" s="481"/>
    </row>
    <row r="21" spans="1:52" ht="30" customHeight="1" x14ac:dyDescent="0.2">
      <c r="A21" s="481">
        <v>19</v>
      </c>
      <c r="B21" s="481">
        <v>9</v>
      </c>
      <c r="C21" s="16">
        <v>1</v>
      </c>
      <c r="D21" s="482" t="s">
        <v>6308</v>
      </c>
      <c r="E21" s="482" t="s">
        <v>6309</v>
      </c>
      <c r="F21" s="30" t="s">
        <v>66</v>
      </c>
      <c r="G21" s="496" t="s">
        <v>6588</v>
      </c>
      <c r="H21" s="481" t="s">
        <v>6469</v>
      </c>
      <c r="I21" s="481" t="s">
        <v>7</v>
      </c>
      <c r="J21" s="360" t="s">
        <v>158</v>
      </c>
      <c r="K21" s="482" t="s">
        <v>84</v>
      </c>
      <c r="L21" s="482"/>
      <c r="M21" s="482" t="s">
        <v>223</v>
      </c>
      <c r="N21" s="41" t="s">
        <v>6470</v>
      </c>
      <c r="O21" s="13" t="s">
        <v>106</v>
      </c>
      <c r="P21" s="13" t="s">
        <v>107</v>
      </c>
      <c r="Q21" s="13"/>
      <c r="R21" s="481"/>
      <c r="S21" s="481"/>
      <c r="T21" s="481">
        <v>233</v>
      </c>
      <c r="U21" s="482" t="s">
        <v>441</v>
      </c>
      <c r="V21" s="41" t="s">
        <v>6347</v>
      </c>
      <c r="W21" s="13" t="s">
        <v>106</v>
      </c>
      <c r="X21" s="482" t="s">
        <v>107</v>
      </c>
      <c r="Y21" s="481"/>
      <c r="Z21" s="481"/>
      <c r="AA21" s="481"/>
      <c r="AB21" s="16">
        <v>198</v>
      </c>
      <c r="AC21" s="16">
        <v>198</v>
      </c>
      <c r="AD21" s="16"/>
      <c r="AE21" s="16"/>
      <c r="AF21" s="16"/>
      <c r="AG21" s="16"/>
      <c r="AH21" s="16"/>
      <c r="AI21" s="16"/>
      <c r="AJ21" s="481">
        <v>4</v>
      </c>
      <c r="AK21" s="482"/>
      <c r="AL21" s="25" t="s">
        <v>6471</v>
      </c>
      <c r="AM21" s="481">
        <v>154</v>
      </c>
      <c r="AN21" s="481">
        <v>5</v>
      </c>
      <c r="AO21" s="481"/>
      <c r="AP21" s="16"/>
      <c r="AQ21" s="16" t="s">
        <v>160</v>
      </c>
      <c r="AR21" s="130" t="s">
        <v>330</v>
      </c>
      <c r="AS21" s="130">
        <v>1405</v>
      </c>
      <c r="AT21" s="130">
        <v>1</v>
      </c>
      <c r="AU21" s="130"/>
      <c r="AV21" s="130"/>
      <c r="AW21" s="12"/>
      <c r="AX21" s="12">
        <f t="shared" si="2"/>
        <v>0</v>
      </c>
      <c r="AY21" s="12"/>
      <c r="AZ21" s="481"/>
    </row>
    <row r="22" spans="1:52" ht="30" customHeight="1" x14ac:dyDescent="0.2">
      <c r="A22" s="481">
        <v>20</v>
      </c>
      <c r="B22" s="481">
        <v>10</v>
      </c>
      <c r="C22" s="16">
        <v>1</v>
      </c>
      <c r="D22" s="482" t="s">
        <v>6308</v>
      </c>
      <c r="E22" s="482" t="s">
        <v>739</v>
      </c>
      <c r="F22" s="482" t="s">
        <v>10</v>
      </c>
      <c r="G22" s="495"/>
      <c r="H22" s="481"/>
      <c r="I22" s="481" t="s">
        <v>7</v>
      </c>
      <c r="J22" s="360" t="s">
        <v>158</v>
      </c>
      <c r="K22" s="482" t="s">
        <v>5577</v>
      </c>
      <c r="L22" s="35" t="s">
        <v>104</v>
      </c>
      <c r="M22" s="35" t="s">
        <v>117</v>
      </c>
      <c r="N22" s="41" t="s">
        <v>6466</v>
      </c>
      <c r="O22" s="13" t="s">
        <v>106</v>
      </c>
      <c r="P22" s="13" t="s">
        <v>107</v>
      </c>
      <c r="Q22" s="13"/>
      <c r="R22" s="481"/>
      <c r="S22" s="33" t="s">
        <v>1727</v>
      </c>
      <c r="T22" s="33">
        <v>6608</v>
      </c>
      <c r="U22" s="35" t="s">
        <v>144</v>
      </c>
      <c r="V22" s="41" t="s">
        <v>6467</v>
      </c>
      <c r="W22" s="13" t="s">
        <v>106</v>
      </c>
      <c r="X22" s="482" t="s">
        <v>107</v>
      </c>
      <c r="Y22" s="481" t="s">
        <v>5187</v>
      </c>
      <c r="Z22" s="481" t="s">
        <v>6468</v>
      </c>
      <c r="AA22" s="481">
        <v>200</v>
      </c>
      <c r="AB22" s="16">
        <v>186</v>
      </c>
      <c r="AC22" s="16">
        <v>186</v>
      </c>
      <c r="AD22" s="16">
        <v>158</v>
      </c>
      <c r="AE22" s="16">
        <v>177</v>
      </c>
      <c r="AF22" s="16">
        <v>2</v>
      </c>
      <c r="AG22" s="16">
        <v>20</v>
      </c>
      <c r="AH22" s="16">
        <v>199</v>
      </c>
      <c r="AI22" s="16">
        <v>10</v>
      </c>
      <c r="AJ22" s="481">
        <v>6</v>
      </c>
      <c r="AK22" s="482"/>
      <c r="AL22" s="25" t="s">
        <v>6462</v>
      </c>
      <c r="AM22" s="481">
        <v>199</v>
      </c>
      <c r="AN22" s="481">
        <v>10</v>
      </c>
      <c r="AO22" s="481"/>
      <c r="AP22" s="16"/>
      <c r="AQ22" s="16"/>
      <c r="AR22" s="130"/>
      <c r="AS22" s="130">
        <v>1405</v>
      </c>
      <c r="AT22" s="130">
        <v>1</v>
      </c>
      <c r="AU22" s="130"/>
      <c r="AV22" s="130"/>
      <c r="AW22" s="12"/>
      <c r="AX22" s="12">
        <f t="shared" si="2"/>
        <v>0</v>
      </c>
      <c r="AY22" s="12"/>
      <c r="AZ22" s="481"/>
    </row>
    <row r="23" spans="1:52" ht="30" customHeight="1" x14ac:dyDescent="0.2">
      <c r="A23" s="481">
        <v>21</v>
      </c>
      <c r="B23" s="481">
        <v>10</v>
      </c>
      <c r="C23" s="16">
        <v>1</v>
      </c>
      <c r="D23" s="482" t="s">
        <v>6308</v>
      </c>
      <c r="E23" s="482" t="s">
        <v>2350</v>
      </c>
      <c r="F23" s="482" t="s">
        <v>6105</v>
      </c>
      <c r="G23" s="495"/>
      <c r="H23" s="481"/>
      <c r="I23" s="481" t="s">
        <v>7</v>
      </c>
      <c r="J23" s="360" t="s">
        <v>158</v>
      </c>
      <c r="K23" s="482" t="s">
        <v>84</v>
      </c>
      <c r="L23" s="35" t="s">
        <v>223</v>
      </c>
      <c r="M23" s="35" t="s">
        <v>68</v>
      </c>
      <c r="N23" s="41" t="s">
        <v>6463</v>
      </c>
      <c r="O23" s="13" t="s">
        <v>69</v>
      </c>
      <c r="P23" s="13" t="s">
        <v>70</v>
      </c>
      <c r="Q23" s="13"/>
      <c r="R23" s="481"/>
      <c r="S23" s="33" t="s">
        <v>224</v>
      </c>
      <c r="T23" s="33">
        <v>345</v>
      </c>
      <c r="U23" s="35" t="s">
        <v>485</v>
      </c>
      <c r="V23" s="41" t="s">
        <v>6464</v>
      </c>
      <c r="W23" s="13" t="s">
        <v>69</v>
      </c>
      <c r="X23" s="482" t="s">
        <v>70</v>
      </c>
      <c r="Y23" s="481" t="s">
        <v>5187</v>
      </c>
      <c r="Z23" s="481" t="s">
        <v>6465</v>
      </c>
      <c r="AA23" s="481">
        <v>180</v>
      </c>
      <c r="AB23" s="16">
        <v>171</v>
      </c>
      <c r="AC23" s="16">
        <v>171</v>
      </c>
      <c r="AD23" s="16">
        <v>119</v>
      </c>
      <c r="AE23" s="16">
        <v>146</v>
      </c>
      <c r="AF23" s="16">
        <v>3</v>
      </c>
      <c r="AG23" s="16">
        <v>18</v>
      </c>
      <c r="AH23" s="16">
        <v>167</v>
      </c>
      <c r="AI23" s="16">
        <v>20</v>
      </c>
      <c r="AJ23" s="481">
        <v>6</v>
      </c>
      <c r="AK23" s="482"/>
      <c r="AL23" s="25" t="s">
        <v>6462</v>
      </c>
      <c r="AM23" s="481">
        <v>167</v>
      </c>
      <c r="AN23" s="481">
        <v>20</v>
      </c>
      <c r="AO23" s="481"/>
      <c r="AP23" s="16"/>
      <c r="AQ23" s="16"/>
      <c r="AR23" s="130"/>
      <c r="AS23" s="130">
        <v>1405</v>
      </c>
      <c r="AT23" s="130">
        <v>1</v>
      </c>
      <c r="AU23" s="130"/>
      <c r="AV23" s="130"/>
      <c r="AW23" s="12"/>
      <c r="AX23" s="12">
        <f t="shared" si="2"/>
        <v>0</v>
      </c>
      <c r="AY23" s="12"/>
      <c r="AZ23" s="481"/>
    </row>
    <row r="24" spans="1:52" ht="30" customHeight="1" x14ac:dyDescent="0.2">
      <c r="A24" s="481">
        <v>22</v>
      </c>
      <c r="B24" s="481">
        <v>10</v>
      </c>
      <c r="C24" s="16">
        <v>1</v>
      </c>
      <c r="D24" s="482" t="s">
        <v>6308</v>
      </c>
      <c r="E24" s="482" t="s">
        <v>2217</v>
      </c>
      <c r="F24" s="482" t="s">
        <v>6</v>
      </c>
      <c r="G24" s="495"/>
      <c r="H24" s="481"/>
      <c r="I24" s="481" t="s">
        <v>7</v>
      </c>
      <c r="J24" s="360" t="s">
        <v>158</v>
      </c>
      <c r="K24" s="482" t="s">
        <v>84</v>
      </c>
      <c r="L24" s="35" t="s">
        <v>769</v>
      </c>
      <c r="M24" s="35" t="s">
        <v>226</v>
      </c>
      <c r="N24" s="41" t="s">
        <v>6459</v>
      </c>
      <c r="O24" s="13" t="s">
        <v>106</v>
      </c>
      <c r="P24" s="13" t="s">
        <v>107</v>
      </c>
      <c r="Q24" s="13"/>
      <c r="R24" s="481"/>
      <c r="S24" s="33" t="s">
        <v>4772</v>
      </c>
      <c r="T24" s="33">
        <v>193</v>
      </c>
      <c r="U24" s="35" t="s">
        <v>2348</v>
      </c>
      <c r="V24" s="41" t="s">
        <v>6460</v>
      </c>
      <c r="W24" s="13" t="s">
        <v>106</v>
      </c>
      <c r="X24" s="482" t="s">
        <v>107</v>
      </c>
      <c r="Y24" s="481" t="s">
        <v>5187</v>
      </c>
      <c r="Z24" s="481" t="s">
        <v>6461</v>
      </c>
      <c r="AA24" s="481">
        <v>221</v>
      </c>
      <c r="AB24" s="16">
        <v>213</v>
      </c>
      <c r="AC24" s="16">
        <v>213</v>
      </c>
      <c r="AD24" s="16">
        <v>190</v>
      </c>
      <c r="AE24" s="16">
        <v>202</v>
      </c>
      <c r="AF24" s="16">
        <v>1</v>
      </c>
      <c r="AG24" s="16">
        <v>5</v>
      </c>
      <c r="AH24" s="16">
        <v>208</v>
      </c>
      <c r="AI24" s="16">
        <v>3</v>
      </c>
      <c r="AJ24" s="481">
        <v>4</v>
      </c>
      <c r="AK24" s="482"/>
      <c r="AL24" s="25" t="s">
        <v>6462</v>
      </c>
      <c r="AM24" s="481">
        <v>208</v>
      </c>
      <c r="AN24" s="481">
        <v>3</v>
      </c>
      <c r="AO24" s="481"/>
      <c r="AP24" s="16"/>
      <c r="AQ24" s="16" t="s">
        <v>160</v>
      </c>
      <c r="AR24" s="130" t="s">
        <v>112</v>
      </c>
      <c r="AS24" s="130">
        <v>1405</v>
      </c>
      <c r="AT24" s="130">
        <v>1</v>
      </c>
      <c r="AU24" s="130"/>
      <c r="AV24" s="130"/>
      <c r="AW24" s="12"/>
      <c r="AX24" s="12">
        <f t="shared" si="2"/>
        <v>0</v>
      </c>
      <c r="AY24" s="12"/>
      <c r="AZ24" s="481"/>
    </row>
    <row r="25" spans="1:52" ht="30" customHeight="1" x14ac:dyDescent="0.2">
      <c r="A25" s="481">
        <v>23</v>
      </c>
      <c r="B25" s="481">
        <v>10</v>
      </c>
      <c r="C25" s="16">
        <v>1</v>
      </c>
      <c r="D25" s="482" t="s">
        <v>6308</v>
      </c>
      <c r="E25" s="482" t="s">
        <v>6310</v>
      </c>
      <c r="F25" s="482"/>
      <c r="G25" s="495"/>
      <c r="H25" s="481" t="s">
        <v>90</v>
      </c>
      <c r="I25" s="481" t="s">
        <v>7</v>
      </c>
      <c r="J25" s="360" t="s">
        <v>158</v>
      </c>
      <c r="K25" s="482" t="s">
        <v>3439</v>
      </c>
      <c r="L25" s="482"/>
      <c r="M25" s="482" t="s">
        <v>155</v>
      </c>
      <c r="N25" s="41" t="s">
        <v>6456</v>
      </c>
      <c r="O25" s="13" t="s">
        <v>142</v>
      </c>
      <c r="P25" s="13" t="s">
        <v>6428</v>
      </c>
      <c r="Q25" s="13"/>
      <c r="R25" s="481"/>
      <c r="S25" s="481"/>
      <c r="T25" s="481">
        <v>345</v>
      </c>
      <c r="U25" s="482" t="s">
        <v>441</v>
      </c>
      <c r="V25" s="41" t="s">
        <v>6457</v>
      </c>
      <c r="W25" s="13" t="s">
        <v>142</v>
      </c>
      <c r="X25" s="482" t="s">
        <v>70</v>
      </c>
      <c r="Y25" s="481"/>
      <c r="Z25" s="481"/>
      <c r="AA25" s="481">
        <v>250</v>
      </c>
      <c r="AB25" s="16"/>
      <c r="AC25" s="16">
        <v>233</v>
      </c>
      <c r="AD25" s="16"/>
      <c r="AE25" s="16"/>
      <c r="AF25" s="16"/>
      <c r="AG25" s="16" t="s">
        <v>3714</v>
      </c>
      <c r="AH25" s="16">
        <v>206</v>
      </c>
      <c r="AI25" s="16">
        <v>22</v>
      </c>
      <c r="AJ25" s="481">
        <v>6</v>
      </c>
      <c r="AK25" s="482"/>
      <c r="AL25" s="25" t="s">
        <v>6458</v>
      </c>
      <c r="AM25" s="481">
        <v>206</v>
      </c>
      <c r="AN25" s="481">
        <v>22</v>
      </c>
      <c r="AO25" s="481"/>
      <c r="AP25" s="16"/>
      <c r="AQ25" s="16" t="s">
        <v>160</v>
      </c>
      <c r="AR25" s="130" t="s">
        <v>165</v>
      </c>
      <c r="AS25" s="130">
        <v>1405</v>
      </c>
      <c r="AT25" s="130">
        <v>1</v>
      </c>
      <c r="AU25" s="130"/>
      <c r="AV25" s="130"/>
      <c r="AW25" s="12"/>
      <c r="AX25" s="12">
        <f t="shared" si="2"/>
        <v>0</v>
      </c>
      <c r="AY25" s="12"/>
      <c r="AZ25" s="481"/>
    </row>
    <row r="26" spans="1:52" ht="30" customHeight="1" x14ac:dyDescent="0.2">
      <c r="A26" s="481">
        <v>24</v>
      </c>
      <c r="B26" s="481">
        <v>11</v>
      </c>
      <c r="C26" s="16">
        <v>1</v>
      </c>
      <c r="D26" s="482" t="s">
        <v>6308</v>
      </c>
      <c r="E26" s="482" t="s">
        <v>6311</v>
      </c>
      <c r="F26" s="482" t="s">
        <v>2981</v>
      </c>
      <c r="G26" s="495"/>
      <c r="H26" s="481" t="s">
        <v>90</v>
      </c>
      <c r="I26" s="481" t="s">
        <v>7</v>
      </c>
      <c r="J26" s="360" t="s">
        <v>158</v>
      </c>
      <c r="K26" s="482" t="s">
        <v>6454</v>
      </c>
      <c r="L26" s="482"/>
      <c r="M26" s="482" t="s">
        <v>334</v>
      </c>
      <c r="N26" s="41"/>
      <c r="O26" s="13" t="s">
        <v>6455</v>
      </c>
      <c r="P26" s="13" t="s">
        <v>70</v>
      </c>
      <c r="Q26" s="13"/>
      <c r="R26" s="481"/>
      <c r="S26" s="481"/>
      <c r="T26" s="481">
        <v>6608</v>
      </c>
      <c r="U26" s="482" t="s">
        <v>116</v>
      </c>
      <c r="V26" s="41"/>
      <c r="W26" s="13" t="s">
        <v>6455</v>
      </c>
      <c r="X26" s="482" t="s">
        <v>70</v>
      </c>
      <c r="Y26" s="481" t="s">
        <v>5244</v>
      </c>
      <c r="Z26" s="481"/>
      <c r="AA26" s="481">
        <v>218</v>
      </c>
      <c r="AB26" s="16"/>
      <c r="AC26" s="16">
        <v>204</v>
      </c>
      <c r="AD26" s="16">
        <v>70</v>
      </c>
      <c r="AE26" s="16">
        <v>133</v>
      </c>
      <c r="AF26" s="16">
        <v>9</v>
      </c>
      <c r="AG26" s="16">
        <v>8</v>
      </c>
      <c r="AH26" s="16">
        <v>150</v>
      </c>
      <c r="AI26" s="16">
        <v>9</v>
      </c>
      <c r="AJ26" s="481">
        <v>4</v>
      </c>
      <c r="AK26" s="482"/>
      <c r="AL26" s="25" t="s">
        <v>6349</v>
      </c>
      <c r="AM26" s="481">
        <v>150</v>
      </c>
      <c r="AN26" s="481">
        <v>9</v>
      </c>
      <c r="AO26" s="481"/>
      <c r="AP26" s="16"/>
      <c r="AQ26" s="16" t="s">
        <v>160</v>
      </c>
      <c r="AR26" s="130" t="s">
        <v>112</v>
      </c>
      <c r="AS26" s="130">
        <v>1405</v>
      </c>
      <c r="AT26" s="130">
        <v>1</v>
      </c>
      <c r="AU26" s="130"/>
      <c r="AV26" s="130"/>
      <c r="AW26" s="12"/>
      <c r="AX26" s="12">
        <f t="shared" si="2"/>
        <v>0</v>
      </c>
      <c r="AY26" s="12"/>
      <c r="AZ26" s="481"/>
    </row>
    <row r="27" spans="1:52" ht="30" customHeight="1" x14ac:dyDescent="0.2">
      <c r="A27" s="481">
        <v>25</v>
      </c>
      <c r="B27" s="481">
        <v>11</v>
      </c>
      <c r="C27" s="16">
        <v>1</v>
      </c>
      <c r="D27" s="482" t="s">
        <v>6308</v>
      </c>
      <c r="E27" s="482" t="s">
        <v>651</v>
      </c>
      <c r="F27" s="482" t="s">
        <v>6</v>
      </c>
      <c r="G27" s="495"/>
      <c r="H27" s="481" t="s">
        <v>6453</v>
      </c>
      <c r="I27" s="481" t="s">
        <v>7</v>
      </c>
      <c r="J27" s="360" t="s">
        <v>158</v>
      </c>
      <c r="K27" s="482" t="s">
        <v>84</v>
      </c>
      <c r="L27" s="482" t="s">
        <v>218</v>
      </c>
      <c r="M27" s="482" t="s">
        <v>68</v>
      </c>
      <c r="N27" s="41" t="s">
        <v>6450</v>
      </c>
      <c r="O27" s="13" t="s">
        <v>69</v>
      </c>
      <c r="P27" s="13" t="s">
        <v>70</v>
      </c>
      <c r="Q27" s="13"/>
      <c r="R27" s="481"/>
      <c r="S27" s="481" t="s">
        <v>453</v>
      </c>
      <c r="T27" s="481">
        <v>6609</v>
      </c>
      <c r="U27" s="482" t="s">
        <v>769</v>
      </c>
      <c r="V27" s="41" t="s">
        <v>6451</v>
      </c>
      <c r="W27" s="13" t="s">
        <v>73</v>
      </c>
      <c r="X27" s="482" t="s">
        <v>70</v>
      </c>
      <c r="Y27" s="481" t="s">
        <v>5187</v>
      </c>
      <c r="Z27" s="481" t="s">
        <v>6452</v>
      </c>
      <c r="AA27" s="481">
        <v>250</v>
      </c>
      <c r="AB27" s="16"/>
      <c r="AC27" s="16">
        <v>234</v>
      </c>
      <c r="AD27" s="16">
        <v>158</v>
      </c>
      <c r="AE27" s="16">
        <v>173</v>
      </c>
      <c r="AF27" s="16">
        <v>7</v>
      </c>
      <c r="AG27" s="16">
        <v>50</v>
      </c>
      <c r="AH27" s="16">
        <v>230</v>
      </c>
      <c r="AI27" s="16">
        <v>23</v>
      </c>
      <c r="AJ27" s="481">
        <v>6</v>
      </c>
      <c r="AK27" s="482"/>
      <c r="AL27" s="25" t="s">
        <v>6449</v>
      </c>
      <c r="AM27" s="481">
        <v>230</v>
      </c>
      <c r="AN27" s="481">
        <v>23</v>
      </c>
      <c r="AO27" s="481"/>
      <c r="AP27" s="16"/>
      <c r="AQ27" s="16" t="s">
        <v>160</v>
      </c>
      <c r="AR27" s="130" t="s">
        <v>193</v>
      </c>
      <c r="AS27" s="130">
        <v>1405</v>
      </c>
      <c r="AT27" s="130">
        <v>1</v>
      </c>
      <c r="AU27" s="130"/>
      <c r="AV27" s="130"/>
      <c r="AW27" s="12"/>
      <c r="AX27" s="12">
        <f t="shared" si="2"/>
        <v>0</v>
      </c>
      <c r="AY27" s="12"/>
      <c r="AZ27" s="481"/>
    </row>
    <row r="28" spans="1:52" ht="30" customHeight="1" x14ac:dyDescent="0.2">
      <c r="A28" s="481">
        <v>26</v>
      </c>
      <c r="B28" s="481">
        <v>11</v>
      </c>
      <c r="C28" s="16">
        <v>10</v>
      </c>
      <c r="D28" s="482" t="s">
        <v>6308</v>
      </c>
      <c r="E28" s="482" t="s">
        <v>6228</v>
      </c>
      <c r="F28" s="482" t="s">
        <v>6105</v>
      </c>
      <c r="G28" s="495"/>
      <c r="H28" s="481"/>
      <c r="I28" s="481" t="s">
        <v>7</v>
      </c>
      <c r="J28" s="360" t="s">
        <v>158</v>
      </c>
      <c r="K28" s="482" t="s">
        <v>84</v>
      </c>
      <c r="L28" s="35" t="s">
        <v>155</v>
      </c>
      <c r="M28" s="35" t="s">
        <v>104</v>
      </c>
      <c r="N28" s="41" t="s">
        <v>6447</v>
      </c>
      <c r="O28" s="13" t="s">
        <v>106</v>
      </c>
      <c r="P28" s="13" t="s">
        <v>107</v>
      </c>
      <c r="Q28" s="13"/>
      <c r="R28" s="481"/>
      <c r="S28" s="33" t="s">
        <v>167</v>
      </c>
      <c r="T28" s="33">
        <v>6609</v>
      </c>
      <c r="U28" s="35" t="s">
        <v>116</v>
      </c>
      <c r="V28" s="41" t="s">
        <v>6448</v>
      </c>
      <c r="W28" s="13" t="s">
        <v>73</v>
      </c>
      <c r="X28" s="482" t="s">
        <v>70</v>
      </c>
      <c r="Y28" s="481" t="s">
        <v>5187</v>
      </c>
      <c r="Z28" s="481" t="s">
        <v>6373</v>
      </c>
      <c r="AA28" s="481">
        <v>199</v>
      </c>
      <c r="AB28" s="16">
        <v>180</v>
      </c>
      <c r="AC28" s="16">
        <v>183</v>
      </c>
      <c r="AD28" s="16">
        <v>132</v>
      </c>
      <c r="AE28" s="16">
        <v>137</v>
      </c>
      <c r="AF28" s="16">
        <v>3</v>
      </c>
      <c r="AG28" s="16">
        <v>40</v>
      </c>
      <c r="AH28" s="16">
        <v>180</v>
      </c>
      <c r="AI28" s="16">
        <v>14</v>
      </c>
      <c r="AJ28" s="481">
        <v>6</v>
      </c>
      <c r="AK28" s="482"/>
      <c r="AL28" s="25" t="s">
        <v>6449</v>
      </c>
      <c r="AM28" s="481">
        <v>180</v>
      </c>
      <c r="AN28" s="481">
        <v>14</v>
      </c>
      <c r="AO28" s="481"/>
      <c r="AP28" s="16"/>
      <c r="AQ28" s="16" t="s">
        <v>160</v>
      </c>
      <c r="AR28" s="130" t="s">
        <v>193</v>
      </c>
      <c r="AS28" s="130">
        <v>1405</v>
      </c>
      <c r="AT28" s="130">
        <v>1</v>
      </c>
      <c r="AU28" s="130"/>
      <c r="AV28" s="130"/>
      <c r="AW28" s="12"/>
      <c r="AX28" s="12">
        <f t="shared" si="2"/>
        <v>0</v>
      </c>
      <c r="AY28" s="12"/>
      <c r="AZ28" s="481"/>
    </row>
    <row r="29" spans="1:52" ht="30" customHeight="1" x14ac:dyDescent="0.2">
      <c r="A29" s="481">
        <v>27</v>
      </c>
      <c r="B29" s="481">
        <v>11</v>
      </c>
      <c r="C29" s="16">
        <v>1</v>
      </c>
      <c r="D29" s="482" t="s">
        <v>6308</v>
      </c>
      <c r="E29" s="482" t="s">
        <v>6312</v>
      </c>
      <c r="F29" s="482" t="s">
        <v>2981</v>
      </c>
      <c r="G29" s="495"/>
      <c r="H29" s="481" t="s">
        <v>4038</v>
      </c>
      <c r="I29" s="481" t="s">
        <v>83</v>
      </c>
      <c r="J29" s="360" t="s">
        <v>158</v>
      </c>
      <c r="K29" s="482" t="s">
        <v>5577</v>
      </c>
      <c r="L29" s="482"/>
      <c r="M29" s="482" t="s">
        <v>141</v>
      </c>
      <c r="N29" s="41"/>
      <c r="O29" s="13" t="s">
        <v>106</v>
      </c>
      <c r="P29" s="13" t="s">
        <v>107</v>
      </c>
      <c r="Q29" s="13"/>
      <c r="R29" s="481"/>
      <c r="S29" s="481" t="s">
        <v>1013</v>
      </c>
      <c r="T29" s="481"/>
      <c r="U29" s="482"/>
      <c r="V29" s="41"/>
      <c r="W29" s="13" t="s">
        <v>106</v>
      </c>
      <c r="X29" s="482" t="s">
        <v>107</v>
      </c>
      <c r="Y29" s="481"/>
      <c r="Z29" s="481" t="s">
        <v>6343</v>
      </c>
      <c r="AA29" s="481">
        <v>208</v>
      </c>
      <c r="AB29" s="16">
        <v>186</v>
      </c>
      <c r="AC29" s="16">
        <v>186</v>
      </c>
      <c r="AD29" s="16"/>
      <c r="AE29" s="16"/>
      <c r="AF29" s="16"/>
      <c r="AG29" s="16"/>
      <c r="AH29" s="16"/>
      <c r="AI29" s="16"/>
      <c r="AJ29" s="481">
        <v>4</v>
      </c>
      <c r="AK29" s="482"/>
      <c r="AL29" s="25"/>
      <c r="AM29" s="481"/>
      <c r="AN29" s="481"/>
      <c r="AO29" s="481"/>
      <c r="AP29" s="16"/>
      <c r="AQ29" s="16" t="s">
        <v>5080</v>
      </c>
      <c r="AR29" s="130" t="s">
        <v>112</v>
      </c>
      <c r="AS29" s="130">
        <v>1405</v>
      </c>
      <c r="AT29" s="130">
        <v>1</v>
      </c>
      <c r="AU29" s="130">
        <v>1403</v>
      </c>
      <c r="AV29" s="130">
        <v>8</v>
      </c>
      <c r="AW29" s="12">
        <f>IF(AS29*AU29&gt;0,(AS29-AU29)*12+(AT29-AV29),"")</f>
        <v>17</v>
      </c>
      <c r="AX29" s="12" t="str">
        <f t="shared" si="2"/>
        <v/>
      </c>
      <c r="AY29" s="12"/>
      <c r="AZ29" s="481"/>
    </row>
    <row r="30" spans="1:52" ht="30" customHeight="1" x14ac:dyDescent="0.2">
      <c r="A30" s="481">
        <v>28</v>
      </c>
      <c r="B30" s="481">
        <v>12</v>
      </c>
      <c r="C30" s="16">
        <v>1</v>
      </c>
      <c r="D30" s="482" t="s">
        <v>6308</v>
      </c>
      <c r="E30" s="482" t="s">
        <v>3336</v>
      </c>
      <c r="F30" s="482" t="s">
        <v>10</v>
      </c>
      <c r="G30" s="495"/>
      <c r="H30" s="481"/>
      <c r="I30" s="481" t="s">
        <v>7</v>
      </c>
      <c r="J30" s="360" t="s">
        <v>158</v>
      </c>
      <c r="K30" s="482" t="s">
        <v>5577</v>
      </c>
      <c r="L30" s="35" t="s">
        <v>334</v>
      </c>
      <c r="M30" s="35" t="s">
        <v>334</v>
      </c>
      <c r="N30" s="41" t="s">
        <v>6360</v>
      </c>
      <c r="O30" s="13" t="s">
        <v>106</v>
      </c>
      <c r="P30" s="13" t="s">
        <v>107</v>
      </c>
      <c r="Q30" s="13"/>
      <c r="R30" s="481"/>
      <c r="S30" s="33" t="s">
        <v>991</v>
      </c>
      <c r="T30" s="33">
        <v>193</v>
      </c>
      <c r="U30" s="35" t="s">
        <v>769</v>
      </c>
      <c r="V30" s="41" t="s">
        <v>6119</v>
      </c>
      <c r="W30" s="13" t="s">
        <v>69</v>
      </c>
      <c r="X30" s="482" t="s">
        <v>70</v>
      </c>
      <c r="Y30" s="481"/>
      <c r="Z30" s="481" t="s">
        <v>6361</v>
      </c>
      <c r="AA30" s="481">
        <v>195</v>
      </c>
      <c r="AB30" s="16">
        <v>180</v>
      </c>
      <c r="AC30" s="16">
        <v>180</v>
      </c>
      <c r="AD30" s="16">
        <v>160</v>
      </c>
      <c r="AE30" s="16">
        <v>174</v>
      </c>
      <c r="AF30" s="16">
        <v>3</v>
      </c>
      <c r="AG30" s="16">
        <v>15</v>
      </c>
      <c r="AH30" s="16">
        <v>192</v>
      </c>
      <c r="AI30" s="16">
        <v>5</v>
      </c>
      <c r="AJ30" s="481">
        <v>4</v>
      </c>
      <c r="AK30" s="482"/>
      <c r="AL30" s="25" t="s">
        <v>6349</v>
      </c>
      <c r="AM30" s="481">
        <v>192</v>
      </c>
      <c r="AN30" s="481">
        <v>5</v>
      </c>
      <c r="AO30" s="481"/>
      <c r="AP30" s="16"/>
      <c r="AQ30" s="16"/>
      <c r="AR30" s="130"/>
      <c r="AS30" s="130">
        <v>1405</v>
      </c>
      <c r="AT30" s="130">
        <v>1</v>
      </c>
      <c r="AU30" s="130"/>
      <c r="AV30" s="130"/>
      <c r="AW30" s="12"/>
      <c r="AX30" s="12">
        <f t="shared" si="2"/>
        <v>0</v>
      </c>
      <c r="AY30" s="12"/>
      <c r="AZ30" s="481"/>
    </row>
    <row r="31" spans="1:52" ht="30" customHeight="1" x14ac:dyDescent="0.2">
      <c r="A31" s="481">
        <v>29</v>
      </c>
      <c r="B31" s="481">
        <v>12</v>
      </c>
      <c r="C31" s="16">
        <v>1</v>
      </c>
      <c r="D31" s="482" t="s">
        <v>6308</v>
      </c>
      <c r="E31" s="482" t="s">
        <v>460</v>
      </c>
      <c r="F31" s="482" t="s">
        <v>6</v>
      </c>
      <c r="G31" s="495"/>
      <c r="H31" s="481" t="s">
        <v>4038</v>
      </c>
      <c r="I31" s="481" t="s">
        <v>83</v>
      </c>
      <c r="J31" s="360" t="s">
        <v>158</v>
      </c>
      <c r="K31" s="482" t="s">
        <v>84</v>
      </c>
      <c r="L31" s="482"/>
      <c r="M31" s="482" t="s">
        <v>223</v>
      </c>
      <c r="N31" s="41"/>
      <c r="O31" s="13" t="s">
        <v>106</v>
      </c>
      <c r="P31" s="13" t="s">
        <v>107</v>
      </c>
      <c r="Q31" s="13"/>
      <c r="R31" s="481"/>
      <c r="S31" s="481" t="s">
        <v>2753</v>
      </c>
      <c r="T31" s="481" t="s">
        <v>3714</v>
      </c>
      <c r="U31" s="482" t="s">
        <v>3714</v>
      </c>
      <c r="V31" s="41"/>
      <c r="W31" s="13" t="s">
        <v>106</v>
      </c>
      <c r="X31" s="482" t="s">
        <v>107</v>
      </c>
      <c r="Y31" s="481"/>
      <c r="Z31" s="481" t="s">
        <v>6348</v>
      </c>
      <c r="AA31" s="481">
        <v>128</v>
      </c>
      <c r="AB31" s="16">
        <v>117</v>
      </c>
      <c r="AC31" s="16">
        <v>117</v>
      </c>
      <c r="AD31" s="16"/>
      <c r="AE31" s="16"/>
      <c r="AF31" s="16"/>
      <c r="AG31" s="16"/>
      <c r="AH31" s="16"/>
      <c r="AI31" s="16"/>
      <c r="AJ31" s="481">
        <v>4</v>
      </c>
      <c r="AK31" s="482"/>
      <c r="AL31" s="25"/>
      <c r="AM31" s="481"/>
      <c r="AN31" s="481"/>
      <c r="AO31" s="481"/>
      <c r="AP31" s="16"/>
      <c r="AQ31" s="16" t="s">
        <v>5080</v>
      </c>
      <c r="AR31" s="130" t="s">
        <v>1956</v>
      </c>
      <c r="AS31" s="130">
        <v>1405</v>
      </c>
      <c r="AT31" s="130">
        <v>1</v>
      </c>
      <c r="AU31" s="130">
        <v>1403</v>
      </c>
      <c r="AV31" s="130">
        <v>12</v>
      </c>
      <c r="AW31" s="12">
        <f>IF(AS31*AU31&gt;0,(AS31-AU31)*12+(AT31-AV31),"")</f>
        <v>13</v>
      </c>
      <c r="AX31" s="12" t="str">
        <f t="shared" si="2"/>
        <v/>
      </c>
      <c r="AY31" s="12"/>
      <c r="AZ31" s="481"/>
    </row>
    <row r="32" spans="1:52" ht="30" customHeight="1" x14ac:dyDescent="0.2">
      <c r="A32" s="481">
        <v>30</v>
      </c>
      <c r="B32" s="481">
        <v>12</v>
      </c>
      <c r="C32" s="16">
        <v>1</v>
      </c>
      <c r="D32" s="482" t="s">
        <v>6308</v>
      </c>
      <c r="E32" s="482" t="s">
        <v>460</v>
      </c>
      <c r="F32" s="482" t="s">
        <v>6</v>
      </c>
      <c r="G32" s="495"/>
      <c r="H32" s="481"/>
      <c r="I32" s="481" t="s">
        <v>7</v>
      </c>
      <c r="J32" s="360" t="s">
        <v>158</v>
      </c>
      <c r="K32" s="482" t="s">
        <v>84</v>
      </c>
      <c r="L32" s="35" t="s">
        <v>223</v>
      </c>
      <c r="M32" s="35" t="s">
        <v>223</v>
      </c>
      <c r="N32" s="41" t="s">
        <v>6346</v>
      </c>
      <c r="O32" s="13" t="s">
        <v>69</v>
      </c>
      <c r="P32" s="13" t="s">
        <v>70</v>
      </c>
      <c r="Q32" s="13"/>
      <c r="R32" s="481"/>
      <c r="S32" s="33" t="s">
        <v>2753</v>
      </c>
      <c r="T32" s="33">
        <v>233</v>
      </c>
      <c r="U32" s="35" t="s">
        <v>441</v>
      </c>
      <c r="V32" s="41" t="s">
        <v>6347</v>
      </c>
      <c r="W32" s="13" t="s">
        <v>69</v>
      </c>
      <c r="X32" s="482" t="s">
        <v>70</v>
      </c>
      <c r="Y32" s="481"/>
      <c r="Z32" s="481" t="s">
        <v>6348</v>
      </c>
      <c r="AA32" s="481">
        <v>128</v>
      </c>
      <c r="AB32" s="16">
        <v>117</v>
      </c>
      <c r="AC32" s="16">
        <v>117</v>
      </c>
      <c r="AD32" s="16">
        <v>100</v>
      </c>
      <c r="AE32" s="16">
        <v>108</v>
      </c>
      <c r="AF32" s="16">
        <v>4</v>
      </c>
      <c r="AG32" s="16">
        <v>30</v>
      </c>
      <c r="AH32" s="16">
        <v>142</v>
      </c>
      <c r="AI32" s="16">
        <v>7</v>
      </c>
      <c r="AJ32" s="481">
        <v>4</v>
      </c>
      <c r="AK32" s="482"/>
      <c r="AL32" s="25" t="s">
        <v>6349</v>
      </c>
      <c r="AM32" s="481">
        <v>142</v>
      </c>
      <c r="AN32" s="481">
        <v>7</v>
      </c>
      <c r="AO32" s="481"/>
      <c r="AP32" s="16"/>
      <c r="AQ32" s="16" t="s">
        <v>5080</v>
      </c>
      <c r="AR32" s="130" t="s">
        <v>1956</v>
      </c>
      <c r="AS32" s="130">
        <v>1405</v>
      </c>
      <c r="AT32" s="130">
        <v>1</v>
      </c>
      <c r="AU32" s="130"/>
      <c r="AV32" s="130"/>
      <c r="AW32" s="12"/>
      <c r="AX32" s="12">
        <f t="shared" si="2"/>
        <v>0</v>
      </c>
      <c r="AY32" s="12"/>
      <c r="AZ32" s="481"/>
    </row>
    <row r="33" spans="1:52" ht="30" customHeight="1" x14ac:dyDescent="0.2">
      <c r="A33" s="481">
        <v>31</v>
      </c>
      <c r="B33" s="481">
        <v>13</v>
      </c>
      <c r="C33" s="16">
        <v>1</v>
      </c>
      <c r="D33" s="482" t="s">
        <v>6308</v>
      </c>
      <c r="E33" s="482" t="s">
        <v>1652</v>
      </c>
      <c r="F33" s="482" t="s">
        <v>10</v>
      </c>
      <c r="G33" s="495"/>
      <c r="H33" s="481" t="s">
        <v>4038</v>
      </c>
      <c r="I33" s="481" t="s">
        <v>83</v>
      </c>
      <c r="J33" s="360" t="s">
        <v>158</v>
      </c>
      <c r="K33" s="482" t="s">
        <v>5577</v>
      </c>
      <c r="L33" s="482"/>
      <c r="M33" s="482" t="s">
        <v>140</v>
      </c>
      <c r="N33" s="41"/>
      <c r="O33" s="13" t="s">
        <v>106</v>
      </c>
      <c r="P33" s="13" t="s">
        <v>107</v>
      </c>
      <c r="Q33" s="13"/>
      <c r="R33" s="481"/>
      <c r="S33" s="481" t="s">
        <v>276</v>
      </c>
      <c r="T33" s="481" t="s">
        <v>3714</v>
      </c>
      <c r="U33" s="482" t="s">
        <v>3714</v>
      </c>
      <c r="V33" s="41"/>
      <c r="W33" s="13" t="s">
        <v>106</v>
      </c>
      <c r="X33" s="482" t="s">
        <v>107</v>
      </c>
      <c r="Y33" s="481"/>
      <c r="Z33" s="481" t="s">
        <v>4813</v>
      </c>
      <c r="AA33" s="481">
        <v>214</v>
      </c>
      <c r="AB33" s="16">
        <v>204</v>
      </c>
      <c r="AC33" s="16">
        <v>204</v>
      </c>
      <c r="AD33" s="16"/>
      <c r="AE33" s="16"/>
      <c r="AF33" s="16"/>
      <c r="AG33" s="16"/>
      <c r="AH33" s="16"/>
      <c r="AI33" s="16"/>
      <c r="AJ33" s="481">
        <v>6</v>
      </c>
      <c r="AK33" s="482"/>
      <c r="AL33" s="25"/>
      <c r="AM33" s="481"/>
      <c r="AN33" s="481"/>
      <c r="AO33" s="481"/>
      <c r="AP33" s="16"/>
      <c r="AQ33" s="16" t="s">
        <v>160</v>
      </c>
      <c r="AR33" s="130" t="s">
        <v>193</v>
      </c>
      <c r="AS33" s="130">
        <v>1405</v>
      </c>
      <c r="AT33" s="130">
        <v>1</v>
      </c>
      <c r="AU33" s="130">
        <v>1403</v>
      </c>
      <c r="AV33" s="130">
        <v>7</v>
      </c>
      <c r="AW33" s="12">
        <f>IF(AS33*AU33&gt;0,(AS33-AU33)*12+(AT33-AV33),"")</f>
        <v>18</v>
      </c>
      <c r="AX33" s="12" t="str">
        <f t="shared" si="2"/>
        <v/>
      </c>
      <c r="AY33" s="12"/>
      <c r="AZ33" s="481"/>
    </row>
    <row r="34" spans="1:52" ht="30" customHeight="1" x14ac:dyDescent="0.2">
      <c r="A34" s="481">
        <v>32</v>
      </c>
      <c r="B34" s="481">
        <v>14</v>
      </c>
      <c r="C34" s="16">
        <v>1</v>
      </c>
      <c r="D34" s="482" t="s">
        <v>6308</v>
      </c>
      <c r="E34" s="482" t="s">
        <v>6313</v>
      </c>
      <c r="F34" s="482" t="s">
        <v>6</v>
      </c>
      <c r="G34" s="495"/>
      <c r="H34" s="481" t="s">
        <v>90</v>
      </c>
      <c r="I34" s="481" t="s">
        <v>7</v>
      </c>
      <c r="J34" s="360" t="s">
        <v>158</v>
      </c>
      <c r="K34" s="482" t="s">
        <v>2167</v>
      </c>
      <c r="L34" s="482"/>
      <c r="M34" s="482" t="s">
        <v>141</v>
      </c>
      <c r="N34" s="41" t="s">
        <v>6344</v>
      </c>
      <c r="O34" s="13" t="s">
        <v>69</v>
      </c>
      <c r="P34" s="13" t="s">
        <v>70</v>
      </c>
      <c r="Q34" s="13"/>
      <c r="R34" s="481"/>
      <c r="S34" s="481"/>
      <c r="T34" s="481">
        <v>6608</v>
      </c>
      <c r="U34" s="482" t="s">
        <v>2348</v>
      </c>
      <c r="V34" s="41" t="s">
        <v>6345</v>
      </c>
      <c r="W34" s="13" t="s">
        <v>106</v>
      </c>
      <c r="X34" s="482" t="s">
        <v>107</v>
      </c>
      <c r="Y34" s="481" t="s">
        <v>5244</v>
      </c>
      <c r="Z34" s="481"/>
      <c r="AA34" s="481">
        <v>166</v>
      </c>
      <c r="AB34" s="16"/>
      <c r="AC34" s="16">
        <v>153</v>
      </c>
      <c r="AD34" s="16">
        <v>117</v>
      </c>
      <c r="AE34" s="16">
        <v>153</v>
      </c>
      <c r="AF34" s="16">
        <v>2</v>
      </c>
      <c r="AG34" s="16">
        <v>65</v>
      </c>
      <c r="AH34" s="16">
        <v>220</v>
      </c>
      <c r="AI34" s="16">
        <v>6</v>
      </c>
      <c r="AJ34" s="481">
        <v>6</v>
      </c>
      <c r="AK34" s="482"/>
      <c r="AL34" s="25" t="s">
        <v>6339</v>
      </c>
      <c r="AM34" s="481">
        <v>220</v>
      </c>
      <c r="AN34" s="481">
        <v>6</v>
      </c>
      <c r="AO34" s="481"/>
      <c r="AP34" s="16"/>
      <c r="AQ34" s="16" t="s">
        <v>5080</v>
      </c>
      <c r="AR34" s="130" t="s">
        <v>231</v>
      </c>
      <c r="AS34" s="130">
        <v>1405</v>
      </c>
      <c r="AT34" s="130">
        <v>1</v>
      </c>
      <c r="AU34" s="130"/>
      <c r="AV34" s="130"/>
      <c r="AW34" s="12"/>
      <c r="AX34" s="12">
        <f t="shared" si="2"/>
        <v>0</v>
      </c>
      <c r="AY34" s="12"/>
      <c r="AZ34" s="481"/>
    </row>
    <row r="35" spans="1:52" ht="30" customHeight="1" x14ac:dyDescent="0.2">
      <c r="A35" s="481">
        <v>33</v>
      </c>
      <c r="B35" s="481">
        <v>14</v>
      </c>
      <c r="C35" s="16">
        <v>1</v>
      </c>
      <c r="D35" s="482" t="s">
        <v>6308</v>
      </c>
      <c r="E35" s="482" t="s">
        <v>6312</v>
      </c>
      <c r="F35" s="482" t="s">
        <v>2981</v>
      </c>
      <c r="G35" s="495"/>
      <c r="H35" s="481"/>
      <c r="I35" s="481" t="s">
        <v>7</v>
      </c>
      <c r="J35" s="360" t="s">
        <v>158</v>
      </c>
      <c r="K35" s="482" t="s">
        <v>5577</v>
      </c>
      <c r="L35" s="35" t="s">
        <v>141</v>
      </c>
      <c r="M35" s="35" t="s">
        <v>226</v>
      </c>
      <c r="N35" s="41" t="s">
        <v>6341</v>
      </c>
      <c r="O35" s="13" t="s">
        <v>106</v>
      </c>
      <c r="P35" s="13" t="s">
        <v>107</v>
      </c>
      <c r="Q35" s="13"/>
      <c r="R35" s="481"/>
      <c r="S35" s="33" t="s">
        <v>1013</v>
      </c>
      <c r="T35" s="33">
        <v>193</v>
      </c>
      <c r="U35" s="35" t="s">
        <v>144</v>
      </c>
      <c r="V35" s="41" t="s">
        <v>6342</v>
      </c>
      <c r="W35" s="13" t="s">
        <v>106</v>
      </c>
      <c r="X35" s="482" t="s">
        <v>107</v>
      </c>
      <c r="Y35" s="481" t="s">
        <v>5187</v>
      </c>
      <c r="Z35" s="481" t="s">
        <v>6343</v>
      </c>
      <c r="AA35" s="481">
        <v>208</v>
      </c>
      <c r="AB35" s="16">
        <v>186</v>
      </c>
      <c r="AC35" s="16">
        <v>186</v>
      </c>
      <c r="AD35" s="16">
        <v>91</v>
      </c>
      <c r="AE35" s="16">
        <v>174</v>
      </c>
      <c r="AF35" s="16">
        <v>3</v>
      </c>
      <c r="AG35" s="16">
        <v>23</v>
      </c>
      <c r="AH35" s="16">
        <v>200</v>
      </c>
      <c r="AI35" s="16">
        <v>4</v>
      </c>
      <c r="AJ35" s="481">
        <v>4</v>
      </c>
      <c r="AK35" s="482"/>
      <c r="AL35" s="25" t="s">
        <v>6322</v>
      </c>
      <c r="AM35" s="481">
        <v>200</v>
      </c>
      <c r="AN35" s="481">
        <v>4</v>
      </c>
      <c r="AO35" s="481"/>
      <c r="AP35" s="16"/>
      <c r="AQ35" s="16" t="s">
        <v>5080</v>
      </c>
      <c r="AR35" s="130" t="s">
        <v>112</v>
      </c>
      <c r="AS35" s="130">
        <v>1405</v>
      </c>
      <c r="AT35" s="130">
        <v>1</v>
      </c>
      <c r="AU35" s="130"/>
      <c r="AV35" s="130"/>
      <c r="AW35" s="12"/>
      <c r="AX35" s="12">
        <f t="shared" si="2"/>
        <v>0</v>
      </c>
      <c r="AY35" s="12"/>
      <c r="AZ35" s="481"/>
    </row>
    <row r="36" spans="1:52" ht="30" customHeight="1" x14ac:dyDescent="0.2">
      <c r="A36" s="481">
        <v>34</v>
      </c>
      <c r="B36" s="481">
        <v>14</v>
      </c>
      <c r="C36" s="16">
        <v>1</v>
      </c>
      <c r="D36" s="482" t="s">
        <v>6308</v>
      </c>
      <c r="E36" s="482" t="s">
        <v>3608</v>
      </c>
      <c r="F36" s="482" t="s">
        <v>6</v>
      </c>
      <c r="G36" s="495"/>
      <c r="H36" s="481" t="s">
        <v>4038</v>
      </c>
      <c r="I36" s="481" t="s">
        <v>83</v>
      </c>
      <c r="J36" s="360" t="s">
        <v>158</v>
      </c>
      <c r="K36" s="482" t="s">
        <v>84</v>
      </c>
      <c r="L36" s="482"/>
      <c r="M36" s="482" t="s">
        <v>68</v>
      </c>
      <c r="N36" s="41"/>
      <c r="O36" s="13" t="s">
        <v>106</v>
      </c>
      <c r="P36" s="13" t="s">
        <v>107</v>
      </c>
      <c r="Q36" s="13"/>
      <c r="R36" s="481"/>
      <c r="S36" s="481" t="s">
        <v>332</v>
      </c>
      <c r="T36" s="481" t="s">
        <v>3714</v>
      </c>
      <c r="U36" s="482" t="s">
        <v>3714</v>
      </c>
      <c r="V36" s="41"/>
      <c r="W36" s="13" t="s">
        <v>106</v>
      </c>
      <c r="X36" s="482" t="s">
        <v>107</v>
      </c>
      <c r="Y36" s="481"/>
      <c r="Z36" s="481" t="s">
        <v>6340</v>
      </c>
      <c r="AA36" s="481">
        <v>218</v>
      </c>
      <c r="AB36" s="16">
        <v>198</v>
      </c>
      <c r="AC36" s="16">
        <v>198</v>
      </c>
      <c r="AD36" s="16"/>
      <c r="AE36" s="16"/>
      <c r="AF36" s="16"/>
      <c r="AG36" s="16"/>
      <c r="AH36" s="16"/>
      <c r="AI36" s="16"/>
      <c r="AJ36" s="481">
        <v>6</v>
      </c>
      <c r="AK36" s="482"/>
      <c r="AL36" s="25"/>
      <c r="AM36" s="481"/>
      <c r="AN36" s="481"/>
      <c r="AO36" s="481"/>
      <c r="AP36" s="16"/>
      <c r="AQ36" s="16" t="s">
        <v>160</v>
      </c>
      <c r="AR36" s="130" t="s">
        <v>193</v>
      </c>
      <c r="AS36" s="130">
        <v>1405</v>
      </c>
      <c r="AT36" s="130">
        <v>5</v>
      </c>
      <c r="AU36" s="130">
        <v>1402</v>
      </c>
      <c r="AV36" s="130" t="s">
        <v>485</v>
      </c>
      <c r="AW36" s="12">
        <f>IF(AS36*AU36&gt;0,(AS36-AU36)*12+(AT36-AV36),"")</f>
        <v>33</v>
      </c>
      <c r="AX36" s="12" t="str">
        <f t="shared" si="2"/>
        <v/>
      </c>
      <c r="AY36" s="12"/>
      <c r="AZ36" s="481"/>
    </row>
    <row r="37" spans="1:52" ht="30" customHeight="1" x14ac:dyDescent="0.2">
      <c r="A37" s="481">
        <v>35</v>
      </c>
      <c r="B37" s="481">
        <v>15</v>
      </c>
      <c r="C37" s="16">
        <v>1</v>
      </c>
      <c r="D37" s="482" t="s">
        <v>6308</v>
      </c>
      <c r="E37" s="482" t="s">
        <v>4997</v>
      </c>
      <c r="F37" s="482" t="s">
        <v>2981</v>
      </c>
      <c r="G37" s="495"/>
      <c r="H37" s="481"/>
      <c r="I37" s="481" t="s">
        <v>7</v>
      </c>
      <c r="J37" s="360" t="s">
        <v>158</v>
      </c>
      <c r="K37" s="482" t="s">
        <v>5577</v>
      </c>
      <c r="L37" s="35" t="s">
        <v>141</v>
      </c>
      <c r="M37" s="35" t="s">
        <v>5422</v>
      </c>
      <c r="N37" s="41" t="s">
        <v>6336</v>
      </c>
      <c r="O37" s="13" t="s">
        <v>6337</v>
      </c>
      <c r="P37" s="13" t="s">
        <v>70</v>
      </c>
      <c r="Q37" s="13"/>
      <c r="R37" s="481"/>
      <c r="S37" s="33" t="s">
        <v>1051</v>
      </c>
      <c r="T37" s="33">
        <v>193</v>
      </c>
      <c r="U37" s="35" t="s">
        <v>485</v>
      </c>
      <c r="V37" s="41" t="s">
        <v>6338</v>
      </c>
      <c r="W37" s="13" t="s">
        <v>106</v>
      </c>
      <c r="X37" s="482" t="s">
        <v>107</v>
      </c>
      <c r="Y37" s="481" t="s">
        <v>5187</v>
      </c>
      <c r="Z37" s="481" t="s">
        <v>4996</v>
      </c>
      <c r="AA37" s="481">
        <v>108</v>
      </c>
      <c r="AB37" s="16">
        <v>162</v>
      </c>
      <c r="AC37" s="16">
        <v>98</v>
      </c>
      <c r="AD37" s="16">
        <v>51</v>
      </c>
      <c r="AE37" s="16">
        <v>86</v>
      </c>
      <c r="AF37" s="16">
        <v>1</v>
      </c>
      <c r="AG37" s="16">
        <v>22</v>
      </c>
      <c r="AH37" s="16">
        <v>109</v>
      </c>
      <c r="AI37" s="16">
        <v>4</v>
      </c>
      <c r="AJ37" s="481">
        <v>6</v>
      </c>
      <c r="AK37" s="482"/>
      <c r="AL37" s="25" t="s">
        <v>6339</v>
      </c>
      <c r="AM37" s="481">
        <v>109</v>
      </c>
      <c r="AN37" s="481">
        <v>4</v>
      </c>
      <c r="AO37" s="481"/>
      <c r="AP37" s="16"/>
      <c r="AQ37" s="16" t="s">
        <v>5080</v>
      </c>
      <c r="AR37" s="130" t="s">
        <v>1932</v>
      </c>
      <c r="AS37" s="130">
        <v>1405</v>
      </c>
      <c r="AT37" s="130">
        <v>1</v>
      </c>
      <c r="AU37" s="130"/>
      <c r="AV37" s="130"/>
      <c r="AW37" s="12"/>
      <c r="AX37" s="12">
        <f t="shared" si="2"/>
        <v>0</v>
      </c>
      <c r="AY37" s="12"/>
      <c r="AZ37" s="481"/>
    </row>
    <row r="38" spans="1:52" ht="30" customHeight="1" x14ac:dyDescent="0.2">
      <c r="A38" s="481">
        <v>36</v>
      </c>
      <c r="B38" s="481">
        <v>15</v>
      </c>
      <c r="C38" s="16">
        <v>1</v>
      </c>
      <c r="D38" s="482" t="s">
        <v>6308</v>
      </c>
      <c r="E38" s="482" t="s">
        <v>6314</v>
      </c>
      <c r="F38" s="482" t="s">
        <v>8</v>
      </c>
      <c r="G38" s="495"/>
      <c r="H38" s="481" t="s">
        <v>4038</v>
      </c>
      <c r="I38" s="481" t="s">
        <v>83</v>
      </c>
      <c r="J38" s="360" t="s">
        <v>158</v>
      </c>
      <c r="K38" s="482" t="s">
        <v>84</v>
      </c>
      <c r="L38" s="482"/>
      <c r="M38" s="482" t="s">
        <v>223</v>
      </c>
      <c r="N38" s="41"/>
      <c r="O38" s="13" t="s">
        <v>106</v>
      </c>
      <c r="P38" s="13" t="s">
        <v>107</v>
      </c>
      <c r="Q38" s="13"/>
      <c r="R38" s="481"/>
      <c r="S38" s="481" t="s">
        <v>965</v>
      </c>
      <c r="T38" s="481" t="s">
        <v>3714</v>
      </c>
      <c r="U38" s="482" t="s">
        <v>3714</v>
      </c>
      <c r="V38" s="41"/>
      <c r="W38" s="13" t="s">
        <v>106</v>
      </c>
      <c r="X38" s="482" t="s">
        <v>107</v>
      </c>
      <c r="Y38" s="481"/>
      <c r="Z38" s="481" t="s">
        <v>6321</v>
      </c>
      <c r="AA38" s="481">
        <v>129</v>
      </c>
      <c r="AB38" s="16">
        <v>120</v>
      </c>
      <c r="AC38" s="16">
        <v>120</v>
      </c>
      <c r="AD38" s="16"/>
      <c r="AE38" s="16"/>
      <c r="AF38" s="16"/>
      <c r="AG38" s="16"/>
      <c r="AH38" s="16"/>
      <c r="AI38" s="16"/>
      <c r="AJ38" s="481">
        <v>4</v>
      </c>
      <c r="AK38" s="482"/>
      <c r="AL38" s="25"/>
      <c r="AM38" s="481"/>
      <c r="AN38" s="481"/>
      <c r="AO38" s="481"/>
      <c r="AP38" s="16"/>
      <c r="AQ38" s="16" t="s">
        <v>5080</v>
      </c>
      <c r="AR38" s="130" t="s">
        <v>228</v>
      </c>
      <c r="AS38" s="130">
        <v>1405</v>
      </c>
      <c r="AT38" s="130">
        <v>1</v>
      </c>
      <c r="AU38" s="130">
        <v>1403</v>
      </c>
      <c r="AV38" s="130" t="s">
        <v>485</v>
      </c>
      <c r="AW38" s="12">
        <f>IF(AS38*AU38&gt;0,(AS38-AU38)*12+(AT38-AV38),"")</f>
        <v>17</v>
      </c>
      <c r="AX38" s="12" t="str">
        <f t="shared" si="2"/>
        <v/>
      </c>
      <c r="AY38" s="12"/>
      <c r="AZ38" s="481"/>
    </row>
    <row r="39" spans="1:52" ht="30" customHeight="1" x14ac:dyDescent="0.2">
      <c r="A39" s="481">
        <v>37</v>
      </c>
      <c r="B39" s="481">
        <v>15</v>
      </c>
      <c r="C39" s="16">
        <v>1</v>
      </c>
      <c r="D39" s="482" t="s">
        <v>6308</v>
      </c>
      <c r="E39" s="482" t="s">
        <v>6314</v>
      </c>
      <c r="F39" s="482" t="s">
        <v>8</v>
      </c>
      <c r="G39" s="495"/>
      <c r="H39" s="481"/>
      <c r="I39" s="481" t="s">
        <v>7</v>
      </c>
      <c r="J39" s="360" t="s">
        <v>158</v>
      </c>
      <c r="K39" s="482" t="s">
        <v>84</v>
      </c>
      <c r="L39" s="35" t="s">
        <v>223</v>
      </c>
      <c r="M39" s="35" t="s">
        <v>116</v>
      </c>
      <c r="N39" s="41" t="s">
        <v>6286</v>
      </c>
      <c r="O39" s="13" t="s">
        <v>106</v>
      </c>
      <c r="P39" s="13" t="s">
        <v>107</v>
      </c>
      <c r="Q39" s="13"/>
      <c r="R39" s="481"/>
      <c r="S39" s="33" t="s">
        <v>965</v>
      </c>
      <c r="T39" s="33">
        <v>6608</v>
      </c>
      <c r="U39" s="35" t="s">
        <v>465</v>
      </c>
      <c r="V39" s="41" t="s">
        <v>6320</v>
      </c>
      <c r="W39" s="13" t="s">
        <v>106</v>
      </c>
      <c r="X39" s="482" t="s">
        <v>107</v>
      </c>
      <c r="Y39" s="481" t="s">
        <v>5187</v>
      </c>
      <c r="Z39" s="481" t="s">
        <v>6321</v>
      </c>
      <c r="AA39" s="481">
        <v>129</v>
      </c>
      <c r="AB39" s="16">
        <v>120</v>
      </c>
      <c r="AC39" s="16">
        <v>120</v>
      </c>
      <c r="AD39" s="16">
        <v>45</v>
      </c>
      <c r="AE39" s="16">
        <v>67</v>
      </c>
      <c r="AF39" s="16">
        <v>3</v>
      </c>
      <c r="AG39" s="16">
        <v>14</v>
      </c>
      <c r="AH39" s="16">
        <v>84</v>
      </c>
      <c r="AI39" s="16">
        <v>6</v>
      </c>
      <c r="AJ39" s="481">
        <v>4</v>
      </c>
      <c r="AK39" s="482"/>
      <c r="AL39" s="25" t="s">
        <v>6322</v>
      </c>
      <c r="AM39" s="481">
        <v>84</v>
      </c>
      <c r="AN39" s="481">
        <v>6</v>
      </c>
      <c r="AO39" s="481"/>
      <c r="AP39" s="16"/>
      <c r="AQ39" s="16" t="s">
        <v>160</v>
      </c>
      <c r="AR39" s="130" t="s">
        <v>1956</v>
      </c>
      <c r="AS39" s="130">
        <v>1405</v>
      </c>
      <c r="AT39" s="130">
        <v>1</v>
      </c>
      <c r="AU39" s="130"/>
      <c r="AV39" s="130"/>
      <c r="AW39" s="12"/>
      <c r="AX39" s="12">
        <f t="shared" si="2"/>
        <v>0</v>
      </c>
      <c r="AY39" s="12"/>
      <c r="AZ39" s="481"/>
    </row>
    <row r="40" spans="1:52" ht="30" customHeight="1" x14ac:dyDescent="0.2">
      <c r="A40" s="481">
        <v>38</v>
      </c>
      <c r="B40" s="481">
        <v>16</v>
      </c>
      <c r="C40" s="16">
        <v>1</v>
      </c>
      <c r="D40" s="482" t="s">
        <v>6308</v>
      </c>
      <c r="E40" s="482" t="s">
        <v>3608</v>
      </c>
      <c r="F40" s="482" t="s">
        <v>6</v>
      </c>
      <c r="G40" s="495"/>
      <c r="H40" s="481"/>
      <c r="I40" s="481" t="s">
        <v>7</v>
      </c>
      <c r="J40" s="360" t="s">
        <v>158</v>
      </c>
      <c r="K40" s="482" t="s">
        <v>84</v>
      </c>
      <c r="L40" s="35" t="s">
        <v>68</v>
      </c>
      <c r="M40" s="35" t="s">
        <v>155</v>
      </c>
      <c r="N40" s="41" t="s">
        <v>6318</v>
      </c>
      <c r="O40" s="13" t="s">
        <v>106</v>
      </c>
      <c r="P40" s="13" t="s">
        <v>107</v>
      </c>
      <c r="Q40" s="13"/>
      <c r="R40" s="481"/>
      <c r="S40" s="33" t="s">
        <v>332</v>
      </c>
      <c r="T40" s="33">
        <v>384</v>
      </c>
      <c r="U40" s="35" t="s">
        <v>718</v>
      </c>
      <c r="V40" s="41" t="s">
        <v>6319</v>
      </c>
      <c r="W40" s="13" t="s">
        <v>69</v>
      </c>
      <c r="X40" s="482" t="s">
        <v>70</v>
      </c>
      <c r="Y40" s="481" t="s">
        <v>5187</v>
      </c>
      <c r="Z40" s="481" t="s">
        <v>3707</v>
      </c>
      <c r="AA40" s="481">
        <v>213</v>
      </c>
      <c r="AB40" s="16">
        <v>198</v>
      </c>
      <c r="AC40" s="16">
        <v>198</v>
      </c>
      <c r="AD40" s="16">
        <v>86</v>
      </c>
      <c r="AE40" s="16">
        <v>127</v>
      </c>
      <c r="AF40" s="16">
        <v>8</v>
      </c>
      <c r="AG40" s="16">
        <v>40</v>
      </c>
      <c r="AH40" s="16">
        <v>175</v>
      </c>
      <c r="AI40" s="16">
        <v>25</v>
      </c>
      <c r="AJ40" s="481">
        <v>6</v>
      </c>
      <c r="AK40" s="482"/>
      <c r="AL40" s="25" t="s">
        <v>6317</v>
      </c>
      <c r="AM40" s="481">
        <v>175</v>
      </c>
      <c r="AN40" s="481">
        <v>25</v>
      </c>
      <c r="AO40" s="481"/>
      <c r="AP40" s="16"/>
      <c r="AQ40" s="16" t="s">
        <v>160</v>
      </c>
      <c r="AR40" s="130" t="s">
        <v>193</v>
      </c>
      <c r="AS40" s="130">
        <v>1405</v>
      </c>
      <c r="AT40" s="130">
        <v>1</v>
      </c>
      <c r="AU40" s="130"/>
      <c r="AV40" s="130"/>
      <c r="AW40" s="12"/>
      <c r="AX40" s="12">
        <f t="shared" si="2"/>
        <v>0</v>
      </c>
      <c r="AY40" s="12"/>
      <c r="AZ40" s="481"/>
    </row>
    <row r="41" spans="1:52" ht="30" customHeight="1" x14ac:dyDescent="0.2">
      <c r="A41" s="481">
        <v>39</v>
      </c>
      <c r="B41" s="481">
        <v>16</v>
      </c>
      <c r="C41" s="16">
        <v>1</v>
      </c>
      <c r="D41" s="482" t="s">
        <v>6308</v>
      </c>
      <c r="E41" s="482" t="s">
        <v>5505</v>
      </c>
      <c r="F41" s="482" t="s">
        <v>8</v>
      </c>
      <c r="G41" s="495"/>
      <c r="H41" s="481"/>
      <c r="I41" s="481" t="s">
        <v>7</v>
      </c>
      <c r="J41" s="360" t="s">
        <v>158</v>
      </c>
      <c r="K41" s="482" t="s">
        <v>84</v>
      </c>
      <c r="L41" s="35" t="s">
        <v>104</v>
      </c>
      <c r="M41" s="35" t="s">
        <v>141</v>
      </c>
      <c r="N41" s="41" t="s">
        <v>6315</v>
      </c>
      <c r="O41" s="13" t="s">
        <v>106</v>
      </c>
      <c r="P41" s="13" t="s">
        <v>107</v>
      </c>
      <c r="Q41" s="13"/>
      <c r="R41" s="481"/>
      <c r="S41" s="33" t="s">
        <v>108</v>
      </c>
      <c r="T41" s="33">
        <v>6609</v>
      </c>
      <c r="U41" s="35" t="s">
        <v>718</v>
      </c>
      <c r="V41" s="41" t="s">
        <v>6316</v>
      </c>
      <c r="W41" s="13" t="s">
        <v>106</v>
      </c>
      <c r="X41" s="482" t="s">
        <v>107</v>
      </c>
      <c r="Y41" s="481" t="s">
        <v>5187</v>
      </c>
      <c r="Z41" s="481" t="s">
        <v>5546</v>
      </c>
      <c r="AA41" s="481">
        <v>224</v>
      </c>
      <c r="AB41" s="16">
        <v>186</v>
      </c>
      <c r="AC41" s="16">
        <v>186</v>
      </c>
      <c r="AD41" s="16">
        <v>5</v>
      </c>
      <c r="AE41" s="16">
        <v>34</v>
      </c>
      <c r="AF41" s="16">
        <v>4</v>
      </c>
      <c r="AG41" s="16">
        <v>55</v>
      </c>
      <c r="AH41" s="16">
        <v>93</v>
      </c>
      <c r="AI41" s="16">
        <v>17</v>
      </c>
      <c r="AJ41" s="481">
        <v>6</v>
      </c>
      <c r="AK41" s="482"/>
      <c r="AL41" s="25" t="s">
        <v>6317</v>
      </c>
      <c r="AM41" s="481">
        <v>93</v>
      </c>
      <c r="AN41" s="481">
        <v>17</v>
      </c>
      <c r="AO41" s="481"/>
      <c r="AP41" s="16"/>
      <c r="AQ41" s="16" t="s">
        <v>160</v>
      </c>
      <c r="AR41" s="130" t="s">
        <v>161</v>
      </c>
      <c r="AS41" s="130">
        <v>1405</v>
      </c>
      <c r="AT41" s="130">
        <v>1</v>
      </c>
      <c r="AU41" s="130"/>
      <c r="AV41" s="130"/>
      <c r="AW41" s="12"/>
      <c r="AX41" s="12">
        <f t="shared" si="2"/>
        <v>0</v>
      </c>
      <c r="AY41" s="12"/>
      <c r="AZ41" s="481"/>
    </row>
    <row r="42" spans="1:52" ht="30" customHeight="1" x14ac:dyDescent="0.2">
      <c r="A42" s="481">
        <v>40</v>
      </c>
      <c r="B42" s="481">
        <v>17</v>
      </c>
      <c r="C42" s="16">
        <v>1</v>
      </c>
      <c r="D42" s="482" t="s">
        <v>6308</v>
      </c>
      <c r="E42" s="482" t="s">
        <v>3962</v>
      </c>
      <c r="F42" s="482" t="s">
        <v>20</v>
      </c>
      <c r="G42" s="495"/>
      <c r="H42" s="481" t="s">
        <v>6433</v>
      </c>
      <c r="I42" s="481" t="s">
        <v>83</v>
      </c>
      <c r="J42" s="360" t="s">
        <v>158</v>
      </c>
      <c r="K42" s="482" t="s">
        <v>5577</v>
      </c>
      <c r="L42" s="482"/>
      <c r="M42" s="482" t="s">
        <v>117</v>
      </c>
      <c r="N42" s="41" t="s">
        <v>4009</v>
      </c>
      <c r="O42" s="13" t="s">
        <v>106</v>
      </c>
      <c r="P42" s="13" t="s">
        <v>107</v>
      </c>
      <c r="Q42" s="13"/>
      <c r="R42" s="481"/>
      <c r="S42" s="481" t="s">
        <v>204</v>
      </c>
      <c r="T42" s="481" t="s">
        <v>3714</v>
      </c>
      <c r="U42" s="482" t="s">
        <v>3714</v>
      </c>
      <c r="V42" s="41" t="s">
        <v>4010</v>
      </c>
      <c r="W42" s="13" t="s">
        <v>106</v>
      </c>
      <c r="X42" s="482" t="s">
        <v>107</v>
      </c>
      <c r="Y42" s="481"/>
      <c r="Z42" s="481" t="s">
        <v>6335</v>
      </c>
      <c r="AA42" s="481">
        <v>118</v>
      </c>
      <c r="AB42" s="16">
        <v>156</v>
      </c>
      <c r="AC42" s="16">
        <v>156</v>
      </c>
      <c r="AD42" s="16"/>
      <c r="AE42" s="16"/>
      <c r="AF42" s="16"/>
      <c r="AG42" s="16"/>
      <c r="AH42" s="16"/>
      <c r="AI42" s="16"/>
      <c r="AJ42" s="481">
        <v>6</v>
      </c>
      <c r="AK42" s="482"/>
      <c r="AL42" s="25"/>
      <c r="AM42" s="481"/>
      <c r="AN42" s="481"/>
      <c r="AO42" s="481"/>
      <c r="AP42" s="16"/>
      <c r="AQ42" s="16" t="s">
        <v>5080</v>
      </c>
      <c r="AR42" s="130" t="s">
        <v>231</v>
      </c>
      <c r="AS42" s="130">
        <v>1405</v>
      </c>
      <c r="AT42" s="130">
        <v>1</v>
      </c>
      <c r="AU42" s="130">
        <v>1402</v>
      </c>
      <c r="AV42" s="130">
        <v>8</v>
      </c>
      <c r="AW42" s="12">
        <f>IF(AS42*AU42&gt;0,(AS42-AU42)*12+(AT42-AV42),"")</f>
        <v>29</v>
      </c>
      <c r="AX42" s="12" t="str">
        <f t="shared" si="2"/>
        <v/>
      </c>
      <c r="AY42" s="12"/>
      <c r="AZ42" s="481"/>
    </row>
    <row r="43" spans="1:52" ht="30" customHeight="1" x14ac:dyDescent="0.2">
      <c r="A43" s="481">
        <v>41</v>
      </c>
      <c r="B43" s="481">
        <v>17</v>
      </c>
      <c r="C43" s="16">
        <v>1</v>
      </c>
      <c r="D43" s="482" t="s">
        <v>6308</v>
      </c>
      <c r="E43" s="482" t="s">
        <v>6323</v>
      </c>
      <c r="F43" s="482" t="s">
        <v>6</v>
      </c>
      <c r="G43" s="495"/>
      <c r="H43" s="481" t="s">
        <v>922</v>
      </c>
      <c r="I43" s="481" t="s">
        <v>83</v>
      </c>
      <c r="J43" s="360" t="s">
        <v>158</v>
      </c>
      <c r="K43" s="482" t="s">
        <v>84</v>
      </c>
      <c r="L43" s="482" t="s">
        <v>3714</v>
      </c>
      <c r="M43" s="482" t="s">
        <v>155</v>
      </c>
      <c r="N43" s="41"/>
      <c r="O43" s="13" t="s">
        <v>106</v>
      </c>
      <c r="P43" s="13" t="s">
        <v>107</v>
      </c>
      <c r="Q43" s="13"/>
      <c r="R43" s="481"/>
      <c r="S43" s="481" t="s">
        <v>170</v>
      </c>
      <c r="T43" s="481" t="s">
        <v>3714</v>
      </c>
      <c r="U43" s="482" t="s">
        <v>3714</v>
      </c>
      <c r="V43" s="41"/>
      <c r="W43" s="13" t="s">
        <v>106</v>
      </c>
      <c r="X43" s="482" t="s">
        <v>107</v>
      </c>
      <c r="Y43" s="481"/>
      <c r="Z43" s="481" t="s">
        <v>5599</v>
      </c>
      <c r="AA43" s="481">
        <v>250</v>
      </c>
      <c r="AB43" s="16">
        <v>228</v>
      </c>
      <c r="AC43" s="16">
        <v>228</v>
      </c>
      <c r="AD43" s="16"/>
      <c r="AE43" s="16"/>
      <c r="AF43" s="16"/>
      <c r="AG43" s="16"/>
      <c r="AH43" s="16"/>
      <c r="AI43" s="16"/>
      <c r="AJ43" s="481">
        <v>6</v>
      </c>
      <c r="AK43" s="482"/>
      <c r="AL43" s="25"/>
      <c r="AM43" s="481"/>
      <c r="AN43" s="481"/>
      <c r="AO43" s="481"/>
      <c r="AP43" s="16"/>
      <c r="AQ43" s="16" t="s">
        <v>160</v>
      </c>
      <c r="AR43" s="130" t="s">
        <v>165</v>
      </c>
      <c r="AS43" s="130">
        <v>1405</v>
      </c>
      <c r="AT43" s="130">
        <v>1</v>
      </c>
      <c r="AU43" s="130">
        <v>1404</v>
      </c>
      <c r="AV43" s="130">
        <v>6</v>
      </c>
      <c r="AW43" s="12">
        <f>IF(AS43*AU43&gt;0,(AS43-AU43)*12+(AT43-AV43),"")</f>
        <v>7</v>
      </c>
      <c r="AX43" s="12">
        <f t="shared" si="2"/>
        <v>7</v>
      </c>
      <c r="AY43" s="12"/>
      <c r="AZ43" s="481"/>
    </row>
    <row r="44" spans="1:52" ht="30" customHeight="1" x14ac:dyDescent="0.2">
      <c r="A44" s="481">
        <v>42</v>
      </c>
      <c r="B44" s="481">
        <v>17</v>
      </c>
      <c r="C44" s="16">
        <v>1</v>
      </c>
      <c r="D44" s="482" t="s">
        <v>6308</v>
      </c>
      <c r="E44" s="482" t="s">
        <v>6280</v>
      </c>
      <c r="F44" s="482" t="s">
        <v>6332</v>
      </c>
      <c r="G44" s="495"/>
      <c r="H44" s="481"/>
      <c r="I44" s="481" t="s">
        <v>7</v>
      </c>
      <c r="J44" s="360" t="s">
        <v>158</v>
      </c>
      <c r="K44" s="482" t="s">
        <v>84</v>
      </c>
      <c r="L44" s="482"/>
      <c r="M44" s="482" t="s">
        <v>223</v>
      </c>
      <c r="N44" s="41" t="s">
        <v>6333</v>
      </c>
      <c r="O44" s="13" t="s">
        <v>69</v>
      </c>
      <c r="P44" s="13" t="s">
        <v>70</v>
      </c>
      <c r="Q44" s="13"/>
      <c r="R44" s="481"/>
      <c r="S44" s="481"/>
      <c r="T44" s="481">
        <v>6608</v>
      </c>
      <c r="U44" s="482" t="s">
        <v>718</v>
      </c>
      <c r="V44" s="41" t="s">
        <v>6334</v>
      </c>
      <c r="W44" s="13" t="s">
        <v>106</v>
      </c>
      <c r="X44" s="482" t="s">
        <v>107</v>
      </c>
      <c r="Y44" s="481" t="s">
        <v>5187</v>
      </c>
      <c r="Z44" s="481"/>
      <c r="AA44" s="481">
        <v>86</v>
      </c>
      <c r="AB44" s="16"/>
      <c r="AC44" s="16">
        <v>78</v>
      </c>
      <c r="AD44" s="16">
        <v>58</v>
      </c>
      <c r="AE44" s="16">
        <v>78</v>
      </c>
      <c r="AF44" s="16">
        <v>4</v>
      </c>
      <c r="AG44" s="16">
        <v>60</v>
      </c>
      <c r="AH44" s="16">
        <v>142</v>
      </c>
      <c r="AI44" s="16">
        <v>6</v>
      </c>
      <c r="AJ44" s="481">
        <v>4</v>
      </c>
      <c r="AK44" s="482"/>
      <c r="AL44" s="25" t="s">
        <v>6322</v>
      </c>
      <c r="AM44" s="481">
        <v>142</v>
      </c>
      <c r="AN44" s="481">
        <v>6</v>
      </c>
      <c r="AO44" s="481"/>
      <c r="AP44" s="16"/>
      <c r="AQ44" s="16" t="s">
        <v>160</v>
      </c>
      <c r="AR44" s="130" t="s">
        <v>330</v>
      </c>
      <c r="AS44" s="130">
        <v>1405</v>
      </c>
      <c r="AT44" s="130">
        <v>1</v>
      </c>
      <c r="AU44" s="130"/>
      <c r="AV44" s="130"/>
      <c r="AW44" s="12"/>
      <c r="AX44" s="12">
        <f t="shared" si="2"/>
        <v>0</v>
      </c>
      <c r="AY44" s="12"/>
      <c r="AZ44" s="481"/>
    </row>
    <row r="45" spans="1:52" ht="30" customHeight="1" x14ac:dyDescent="0.2">
      <c r="A45" s="481">
        <v>43</v>
      </c>
      <c r="B45" s="481">
        <v>18</v>
      </c>
      <c r="C45" s="16">
        <v>1</v>
      </c>
      <c r="D45" s="482" t="s">
        <v>6308</v>
      </c>
      <c r="E45" s="482" t="s">
        <v>6324</v>
      </c>
      <c r="F45" s="482" t="s">
        <v>2981</v>
      </c>
      <c r="G45" s="495"/>
      <c r="H45" s="481"/>
      <c r="I45" s="481" t="s">
        <v>7</v>
      </c>
      <c r="J45" s="360" t="s">
        <v>158</v>
      </c>
      <c r="K45" s="482"/>
      <c r="L45" s="35" t="s">
        <v>141</v>
      </c>
      <c r="M45" s="35" t="s">
        <v>141</v>
      </c>
      <c r="N45" s="41" t="s">
        <v>6328</v>
      </c>
      <c r="O45" s="13" t="s">
        <v>106</v>
      </c>
      <c r="P45" s="13" t="s">
        <v>107</v>
      </c>
      <c r="Q45" s="13"/>
      <c r="R45" s="481"/>
      <c r="S45" s="33" t="s">
        <v>998</v>
      </c>
      <c r="T45" s="33">
        <v>6609</v>
      </c>
      <c r="U45" s="35" t="s">
        <v>485</v>
      </c>
      <c r="V45" s="41" t="s">
        <v>6329</v>
      </c>
      <c r="W45" s="13" t="s">
        <v>106</v>
      </c>
      <c r="X45" s="482" t="s">
        <v>107</v>
      </c>
      <c r="Y45" s="481" t="s">
        <v>5187</v>
      </c>
      <c r="Z45" s="481" t="s">
        <v>6330</v>
      </c>
      <c r="AA45" s="481">
        <v>92</v>
      </c>
      <c r="AB45" s="16">
        <v>72</v>
      </c>
      <c r="AC45" s="16">
        <v>84</v>
      </c>
      <c r="AD45" s="16">
        <v>54</v>
      </c>
      <c r="AE45" s="16">
        <v>71</v>
      </c>
      <c r="AF45" s="16">
        <v>2</v>
      </c>
      <c r="AG45" s="16">
        <v>18</v>
      </c>
      <c r="AH45" s="16">
        <v>91</v>
      </c>
      <c r="AI45" s="16">
        <v>16</v>
      </c>
      <c r="AJ45" s="481">
        <v>6</v>
      </c>
      <c r="AK45" s="482"/>
      <c r="AL45" s="25" t="s">
        <v>6331</v>
      </c>
      <c r="AM45" s="481">
        <v>91</v>
      </c>
      <c r="AN45" s="481">
        <v>16</v>
      </c>
      <c r="AO45" s="481"/>
      <c r="AP45" s="16"/>
      <c r="AQ45" s="16" t="s">
        <v>5080</v>
      </c>
      <c r="AR45" s="130" t="s">
        <v>330</v>
      </c>
      <c r="AS45" s="130">
        <v>1405</v>
      </c>
      <c r="AT45" s="130">
        <v>1</v>
      </c>
      <c r="AU45" s="130"/>
      <c r="AV45" s="130"/>
      <c r="AW45" s="12"/>
      <c r="AX45" s="12">
        <f t="shared" si="2"/>
        <v>0</v>
      </c>
      <c r="AY45" s="12"/>
      <c r="AZ45" s="481"/>
    </row>
    <row r="46" spans="1:52" ht="30" customHeight="1" x14ac:dyDescent="0.2">
      <c r="A46" s="481">
        <v>44</v>
      </c>
      <c r="B46" s="481">
        <v>18</v>
      </c>
      <c r="C46" s="16">
        <v>1</v>
      </c>
      <c r="D46" s="482" t="s">
        <v>6308</v>
      </c>
      <c r="E46" s="482" t="s">
        <v>540</v>
      </c>
      <c r="F46" s="482" t="s">
        <v>8</v>
      </c>
      <c r="G46" s="495"/>
      <c r="H46" s="481"/>
      <c r="I46" s="481" t="s">
        <v>7</v>
      </c>
      <c r="J46" s="360" t="s">
        <v>158</v>
      </c>
      <c r="K46" s="482" t="s">
        <v>5577</v>
      </c>
      <c r="L46" s="482" t="s">
        <v>68</v>
      </c>
      <c r="M46" s="482" t="s">
        <v>68</v>
      </c>
      <c r="N46" s="41" t="s">
        <v>6325</v>
      </c>
      <c r="O46" s="13" t="s">
        <v>69</v>
      </c>
      <c r="P46" s="13" t="s">
        <v>70</v>
      </c>
      <c r="Q46" s="13"/>
      <c r="R46" s="481"/>
      <c r="S46" s="481" t="s">
        <v>804</v>
      </c>
      <c r="T46" s="481">
        <v>384</v>
      </c>
      <c r="U46" s="482" t="s">
        <v>485</v>
      </c>
      <c r="V46" s="41" t="s">
        <v>6326</v>
      </c>
      <c r="W46" s="13" t="s">
        <v>69</v>
      </c>
      <c r="X46" s="482" t="s">
        <v>70</v>
      </c>
      <c r="Y46" s="481" t="s">
        <v>5187</v>
      </c>
      <c r="Z46" s="481"/>
      <c r="AA46" s="481">
        <v>120</v>
      </c>
      <c r="AB46" s="16">
        <v>102</v>
      </c>
      <c r="AC46" s="16">
        <v>102</v>
      </c>
      <c r="AD46" s="16">
        <v>32</v>
      </c>
      <c r="AE46" s="16">
        <v>79</v>
      </c>
      <c r="AF46" s="16">
        <v>7</v>
      </c>
      <c r="AG46" s="16">
        <v>50</v>
      </c>
      <c r="AH46" s="16">
        <v>139</v>
      </c>
      <c r="AI46" s="16">
        <v>30</v>
      </c>
      <c r="AJ46" s="481">
        <v>6</v>
      </c>
      <c r="AK46" s="482"/>
      <c r="AL46" s="25" t="s">
        <v>6327</v>
      </c>
      <c r="AM46" s="481">
        <v>139</v>
      </c>
      <c r="AN46" s="481">
        <v>30</v>
      </c>
      <c r="AO46" s="481"/>
      <c r="AP46" s="16"/>
      <c r="AQ46" s="16" t="s">
        <v>5080</v>
      </c>
      <c r="AR46" s="130" t="s">
        <v>231</v>
      </c>
      <c r="AS46" s="130">
        <v>1405</v>
      </c>
      <c r="AT46" s="130">
        <v>1</v>
      </c>
      <c r="AU46" s="130"/>
      <c r="AV46" s="130"/>
      <c r="AW46" s="12"/>
      <c r="AX46" s="12">
        <f t="shared" si="2"/>
        <v>0</v>
      </c>
      <c r="AY46" s="12"/>
      <c r="AZ46" s="481"/>
    </row>
    <row r="47" spans="1:52" ht="30" customHeight="1" x14ac:dyDescent="0.2">
      <c r="A47" s="481">
        <v>45</v>
      </c>
      <c r="B47" s="481">
        <v>18</v>
      </c>
      <c r="C47" s="16">
        <v>1</v>
      </c>
      <c r="D47" s="482" t="s">
        <v>6308</v>
      </c>
      <c r="E47" s="482" t="s">
        <v>540</v>
      </c>
      <c r="F47" s="482" t="s">
        <v>8</v>
      </c>
      <c r="G47" s="495"/>
      <c r="H47" s="481" t="s">
        <v>4038</v>
      </c>
      <c r="I47" s="481" t="s">
        <v>83</v>
      </c>
      <c r="J47" s="360" t="s">
        <v>158</v>
      </c>
      <c r="K47" s="482" t="s">
        <v>5577</v>
      </c>
      <c r="L47" s="482" t="s">
        <v>3714</v>
      </c>
      <c r="M47" s="482" t="s">
        <v>68</v>
      </c>
      <c r="N47" s="41"/>
      <c r="O47" s="13" t="s">
        <v>106</v>
      </c>
      <c r="P47" s="13" t="s">
        <v>107</v>
      </c>
      <c r="Q47" s="13"/>
      <c r="R47" s="481"/>
      <c r="S47" s="481" t="s">
        <v>804</v>
      </c>
      <c r="T47" s="481" t="s">
        <v>3714</v>
      </c>
      <c r="U47" s="482" t="s">
        <v>3714</v>
      </c>
      <c r="V47" s="41"/>
      <c r="W47" s="13" t="s">
        <v>106</v>
      </c>
      <c r="X47" s="482" t="s">
        <v>107</v>
      </c>
      <c r="Y47" s="481"/>
      <c r="Z47" s="481" t="s">
        <v>5046</v>
      </c>
      <c r="AA47" s="481">
        <v>120</v>
      </c>
      <c r="AB47" s="16">
        <v>102</v>
      </c>
      <c r="AC47" s="16">
        <v>102</v>
      </c>
      <c r="AD47" s="16" t="s">
        <v>3714</v>
      </c>
      <c r="AE47" s="16"/>
      <c r="AF47" s="16"/>
      <c r="AG47" s="16"/>
      <c r="AH47" s="16"/>
      <c r="AI47" s="16"/>
      <c r="AJ47" s="481">
        <v>6</v>
      </c>
      <c r="AK47" s="482"/>
      <c r="AL47" s="25"/>
      <c r="AM47" s="481"/>
      <c r="AN47" s="481"/>
      <c r="AO47" s="481"/>
      <c r="AP47" s="16"/>
      <c r="AQ47" s="16" t="s">
        <v>5080</v>
      </c>
      <c r="AR47" s="130"/>
      <c r="AS47" s="130">
        <v>1405</v>
      </c>
      <c r="AT47" s="130">
        <v>1</v>
      </c>
      <c r="AU47" s="130">
        <v>1403</v>
      </c>
      <c r="AV47" s="130">
        <v>12</v>
      </c>
      <c r="AW47" s="12">
        <f>IF(AS47*AU47&gt;0,(AS47-AU47)*12+(AT47-AV47),"")</f>
        <v>13</v>
      </c>
      <c r="AX47" s="12" t="str">
        <f t="shared" si="2"/>
        <v/>
      </c>
      <c r="AY47" s="12"/>
      <c r="AZ47" s="481"/>
    </row>
    <row r="48" spans="1:52" ht="30" customHeight="1" x14ac:dyDescent="0.2">
      <c r="A48" s="481">
        <v>46</v>
      </c>
      <c r="B48" s="481">
        <v>19</v>
      </c>
      <c r="C48" s="16">
        <v>1</v>
      </c>
      <c r="D48" s="482" t="s">
        <v>6308</v>
      </c>
      <c r="E48" s="482" t="s">
        <v>6350</v>
      </c>
      <c r="F48" s="482" t="s">
        <v>2981</v>
      </c>
      <c r="G48" s="495"/>
      <c r="H48" s="481"/>
      <c r="I48" s="481" t="s">
        <v>7</v>
      </c>
      <c r="J48" s="360"/>
      <c r="K48" s="482" t="s">
        <v>84</v>
      </c>
      <c r="L48" s="35" t="s">
        <v>117</v>
      </c>
      <c r="M48" s="35" t="s">
        <v>334</v>
      </c>
      <c r="N48" s="41"/>
      <c r="O48" s="13"/>
      <c r="P48" s="13"/>
      <c r="Q48" s="13"/>
      <c r="R48" s="481"/>
      <c r="S48" s="33" t="s">
        <v>120</v>
      </c>
      <c r="T48" s="33">
        <v>6608</v>
      </c>
      <c r="U48" s="35" t="s">
        <v>116</v>
      </c>
      <c r="V48" s="41" t="s">
        <v>6351</v>
      </c>
      <c r="W48" s="13" t="s">
        <v>106</v>
      </c>
      <c r="X48" s="482" t="s">
        <v>107</v>
      </c>
      <c r="Y48" s="481" t="s">
        <v>5187</v>
      </c>
      <c r="Z48" s="481" t="s">
        <v>6352</v>
      </c>
      <c r="AA48" s="481">
        <v>173</v>
      </c>
      <c r="AB48" s="16">
        <v>170</v>
      </c>
      <c r="AC48" s="16">
        <v>164</v>
      </c>
      <c r="AD48" s="16">
        <v>76</v>
      </c>
      <c r="AE48" s="16">
        <v>135</v>
      </c>
      <c r="AF48" s="16">
        <v>6</v>
      </c>
      <c r="AG48" s="16">
        <v>17</v>
      </c>
      <c r="AH48" s="16">
        <v>158</v>
      </c>
      <c r="AI48" s="16">
        <v>8</v>
      </c>
      <c r="AJ48" s="481">
        <v>4</v>
      </c>
      <c r="AK48" s="482"/>
      <c r="AL48" s="25" t="s">
        <v>6331</v>
      </c>
      <c r="AM48" s="481">
        <v>158</v>
      </c>
      <c r="AN48" s="481">
        <v>8</v>
      </c>
      <c r="AO48" s="481"/>
      <c r="AP48" s="16"/>
      <c r="AQ48" s="16" t="s">
        <v>5080</v>
      </c>
      <c r="AR48" s="130" t="s">
        <v>231</v>
      </c>
      <c r="AS48" s="130">
        <v>1405</v>
      </c>
      <c r="AT48" s="130">
        <v>1</v>
      </c>
      <c r="AU48" s="130" t="s">
        <v>5392</v>
      </c>
      <c r="AV48" s="130" t="s">
        <v>5392</v>
      </c>
      <c r="AW48" s="12" t="s">
        <v>3714</v>
      </c>
      <c r="AX48" s="12" t="str">
        <f t="shared" si="2"/>
        <v/>
      </c>
      <c r="AY48" s="12"/>
      <c r="AZ48" s="481"/>
    </row>
    <row r="49" spans="1:52" ht="30" customHeight="1" x14ac:dyDescent="0.2">
      <c r="A49" s="481">
        <v>47</v>
      </c>
      <c r="B49" s="481">
        <v>19</v>
      </c>
      <c r="C49" s="16">
        <v>1</v>
      </c>
      <c r="D49" s="482" t="s">
        <v>6308</v>
      </c>
      <c r="E49" s="482" t="s">
        <v>1652</v>
      </c>
      <c r="F49" s="482" t="s">
        <v>10</v>
      </c>
      <c r="G49" s="495"/>
      <c r="H49" s="481"/>
      <c r="I49" s="481" t="s">
        <v>7</v>
      </c>
      <c r="J49" s="360" t="s">
        <v>158</v>
      </c>
      <c r="K49" s="482" t="s">
        <v>5577</v>
      </c>
      <c r="L49" s="482" t="s">
        <v>140</v>
      </c>
      <c r="M49" s="482" t="s">
        <v>141</v>
      </c>
      <c r="N49" s="41" t="s">
        <v>6444</v>
      </c>
      <c r="O49" s="13" t="s">
        <v>69</v>
      </c>
      <c r="P49" s="13" t="s">
        <v>70</v>
      </c>
      <c r="Q49" s="13"/>
      <c r="R49" s="481"/>
      <c r="S49" s="481" t="s">
        <v>153</v>
      </c>
      <c r="T49" s="481">
        <v>6608</v>
      </c>
      <c r="U49" s="482" t="s">
        <v>2258</v>
      </c>
      <c r="V49" s="41" t="s">
        <v>6445</v>
      </c>
      <c r="W49" s="13" t="s">
        <v>106</v>
      </c>
      <c r="X49" s="482" t="s">
        <v>107</v>
      </c>
      <c r="Y49" s="481" t="s">
        <v>5187</v>
      </c>
      <c r="Z49" s="481" t="s">
        <v>6446</v>
      </c>
      <c r="AA49" s="481">
        <v>214</v>
      </c>
      <c r="AB49" s="16">
        <v>204</v>
      </c>
      <c r="AC49" s="16">
        <v>204</v>
      </c>
      <c r="AD49" s="16">
        <v>112</v>
      </c>
      <c r="AE49" s="16">
        <v>150</v>
      </c>
      <c r="AF49" s="16">
        <v>1</v>
      </c>
      <c r="AG49" s="16">
        <v>35</v>
      </c>
      <c r="AH49" s="16">
        <v>186</v>
      </c>
      <c r="AI49" s="16">
        <v>8</v>
      </c>
      <c r="AJ49" s="481">
        <v>6</v>
      </c>
      <c r="AK49" s="482"/>
      <c r="AL49" s="25" t="s">
        <v>6359</v>
      </c>
      <c r="AM49" s="481">
        <v>186</v>
      </c>
      <c r="AN49" s="481">
        <v>8</v>
      </c>
      <c r="AO49" s="481"/>
      <c r="AP49" s="16"/>
      <c r="AQ49" s="16" t="s">
        <v>160</v>
      </c>
      <c r="AR49" s="130" t="s">
        <v>193</v>
      </c>
      <c r="AS49" s="130">
        <v>1405</v>
      </c>
      <c r="AT49" s="130">
        <v>1</v>
      </c>
      <c r="AU49" s="130"/>
      <c r="AV49" s="130"/>
      <c r="AW49" s="12"/>
      <c r="AX49" s="12">
        <f t="shared" si="2"/>
        <v>0</v>
      </c>
      <c r="AY49" s="12"/>
      <c r="AZ49" s="481"/>
    </row>
    <row r="50" spans="1:52" ht="30" customHeight="1" x14ac:dyDescent="0.2">
      <c r="A50" s="481">
        <v>48</v>
      </c>
      <c r="B50" s="481">
        <v>19</v>
      </c>
      <c r="C50" s="16">
        <v>1</v>
      </c>
      <c r="D50" s="482" t="s">
        <v>6308</v>
      </c>
      <c r="E50" s="482" t="s">
        <v>5218</v>
      </c>
      <c r="F50" s="30" t="s">
        <v>66</v>
      </c>
      <c r="G50" s="496" t="s">
        <v>6588</v>
      </c>
      <c r="H50" s="481" t="s">
        <v>90</v>
      </c>
      <c r="I50" s="481" t="s">
        <v>7</v>
      </c>
      <c r="J50" s="360" t="s">
        <v>158</v>
      </c>
      <c r="K50" s="482" t="s">
        <v>6353</v>
      </c>
      <c r="L50" s="35" t="s">
        <v>141</v>
      </c>
      <c r="M50" s="35" t="s">
        <v>141</v>
      </c>
      <c r="N50" s="41" t="s">
        <v>6357</v>
      </c>
      <c r="O50" s="13" t="s">
        <v>69</v>
      </c>
      <c r="P50" s="13" t="s">
        <v>70</v>
      </c>
      <c r="Q50" s="13"/>
      <c r="R50" s="481"/>
      <c r="S50" s="33" t="s">
        <v>1013</v>
      </c>
      <c r="T50" s="33">
        <v>233</v>
      </c>
      <c r="U50" s="35" t="s">
        <v>144</v>
      </c>
      <c r="V50" s="41" t="s">
        <v>6358</v>
      </c>
      <c r="W50" s="13" t="s">
        <v>69</v>
      </c>
      <c r="X50" s="13" t="s">
        <v>70</v>
      </c>
      <c r="Y50" s="481" t="s">
        <v>5187</v>
      </c>
      <c r="Z50" s="481"/>
      <c r="AA50" s="481">
        <v>178</v>
      </c>
      <c r="AB50" s="16">
        <v>170</v>
      </c>
      <c r="AC50" s="16">
        <v>170</v>
      </c>
      <c r="AD50" s="16">
        <v>71</v>
      </c>
      <c r="AE50" s="16">
        <v>140</v>
      </c>
      <c r="AF50" s="16">
        <v>4</v>
      </c>
      <c r="AG50" s="16">
        <v>40</v>
      </c>
      <c r="AH50" s="16">
        <v>184</v>
      </c>
      <c r="AI50" s="16">
        <v>7</v>
      </c>
      <c r="AJ50" s="481">
        <v>4</v>
      </c>
      <c r="AK50" s="482"/>
      <c r="AL50" s="25" t="s">
        <v>6359</v>
      </c>
      <c r="AM50" s="481">
        <v>184</v>
      </c>
      <c r="AN50" s="481">
        <v>7</v>
      </c>
      <c r="AO50" s="481"/>
      <c r="AP50" s="16"/>
      <c r="AQ50" s="16" t="s">
        <v>160</v>
      </c>
      <c r="AR50" s="130" t="s">
        <v>231</v>
      </c>
      <c r="AS50" s="130">
        <v>1405</v>
      </c>
      <c r="AT50" s="130">
        <v>1</v>
      </c>
      <c r="AU50" s="130"/>
      <c r="AV50" s="130"/>
      <c r="AW50" s="12"/>
      <c r="AX50" s="12">
        <f t="shared" si="2"/>
        <v>0</v>
      </c>
      <c r="AY50" s="12"/>
      <c r="AZ50" s="481"/>
    </row>
    <row r="51" spans="1:52" ht="30" customHeight="1" x14ac:dyDescent="0.2">
      <c r="A51" s="481">
        <v>49</v>
      </c>
      <c r="B51" s="481">
        <v>19</v>
      </c>
      <c r="C51" s="16">
        <v>1</v>
      </c>
      <c r="D51" s="482" t="s">
        <v>6308</v>
      </c>
      <c r="E51" s="482" t="s">
        <v>5218</v>
      </c>
      <c r="F51" s="30" t="s">
        <v>66</v>
      </c>
      <c r="G51" s="496" t="s">
        <v>6588</v>
      </c>
      <c r="H51" s="481"/>
      <c r="I51" s="481" t="s">
        <v>83</v>
      </c>
      <c r="J51" s="360" t="s">
        <v>158</v>
      </c>
      <c r="K51" s="482" t="s">
        <v>6353</v>
      </c>
      <c r="L51" s="482"/>
      <c r="M51" s="482" t="s">
        <v>141</v>
      </c>
      <c r="N51" s="41"/>
      <c r="O51" s="13" t="s">
        <v>106</v>
      </c>
      <c r="P51" s="13" t="s">
        <v>107</v>
      </c>
      <c r="Q51" s="13"/>
      <c r="R51" s="481"/>
      <c r="S51" s="481" t="s">
        <v>1013</v>
      </c>
      <c r="T51" s="481" t="s">
        <v>3714</v>
      </c>
      <c r="U51" s="482" t="s">
        <v>3714</v>
      </c>
      <c r="V51" s="41"/>
      <c r="W51" s="13" t="s">
        <v>106</v>
      </c>
      <c r="X51" s="482" t="s">
        <v>107</v>
      </c>
      <c r="Y51" s="481"/>
      <c r="Z51" s="481"/>
      <c r="AA51" s="481">
        <v>178</v>
      </c>
      <c r="AB51" s="16">
        <v>170</v>
      </c>
      <c r="AC51" s="16">
        <v>170</v>
      </c>
      <c r="AD51" s="16"/>
      <c r="AE51" s="16"/>
      <c r="AF51" s="16"/>
      <c r="AG51" s="16"/>
      <c r="AH51" s="16"/>
      <c r="AI51" s="16"/>
      <c r="AJ51" s="481">
        <v>4</v>
      </c>
      <c r="AK51" s="482"/>
      <c r="AL51" s="25"/>
      <c r="AM51" s="481"/>
      <c r="AN51" s="481"/>
      <c r="AO51" s="481"/>
      <c r="AP51" s="16"/>
      <c r="AQ51" s="16" t="s">
        <v>160</v>
      </c>
      <c r="AR51" s="130" t="s">
        <v>231</v>
      </c>
      <c r="AS51" s="130">
        <v>1405</v>
      </c>
      <c r="AT51" s="130">
        <v>1</v>
      </c>
      <c r="AU51" s="130"/>
      <c r="AV51" s="130"/>
      <c r="AW51" s="12"/>
      <c r="AX51" s="12">
        <f t="shared" si="2"/>
        <v>0</v>
      </c>
      <c r="AY51" s="12"/>
      <c r="AZ51" s="481"/>
    </row>
    <row r="52" spans="1:52" ht="30" customHeight="1" x14ac:dyDescent="0.2">
      <c r="A52" s="481">
        <v>50</v>
      </c>
      <c r="B52" s="481">
        <v>20</v>
      </c>
      <c r="C52" s="16">
        <v>1</v>
      </c>
      <c r="D52" s="482" t="s">
        <v>6308</v>
      </c>
      <c r="E52" s="482" t="s">
        <v>2626</v>
      </c>
      <c r="F52" s="482" t="s">
        <v>20</v>
      </c>
      <c r="G52" s="495"/>
      <c r="H52" s="481"/>
      <c r="I52" s="481" t="s">
        <v>7</v>
      </c>
      <c r="J52" s="360" t="s">
        <v>158</v>
      </c>
      <c r="K52" s="482" t="s">
        <v>84</v>
      </c>
      <c r="L52" s="35" t="s">
        <v>140</v>
      </c>
      <c r="M52" s="35" t="s">
        <v>141</v>
      </c>
      <c r="N52" s="41" t="s">
        <v>6354</v>
      </c>
      <c r="O52" s="13" t="s">
        <v>69</v>
      </c>
      <c r="P52" s="13" t="s">
        <v>70</v>
      </c>
      <c r="Q52" s="13"/>
      <c r="R52" s="481"/>
      <c r="S52" s="33" t="s">
        <v>338</v>
      </c>
      <c r="T52" s="33">
        <v>6608</v>
      </c>
      <c r="U52" s="35" t="s">
        <v>260</v>
      </c>
      <c r="V52" s="41" t="s">
        <v>6355</v>
      </c>
      <c r="W52" s="13" t="s">
        <v>106</v>
      </c>
      <c r="X52" s="483" t="s">
        <v>107</v>
      </c>
      <c r="Y52" s="481" t="s">
        <v>5187</v>
      </c>
      <c r="Z52" s="481" t="s">
        <v>4613</v>
      </c>
      <c r="AA52" s="481">
        <v>210</v>
      </c>
      <c r="AB52" s="16">
        <v>156</v>
      </c>
      <c r="AC52" s="16">
        <v>192</v>
      </c>
      <c r="AD52" s="16">
        <v>112</v>
      </c>
      <c r="AE52" s="16">
        <v>154</v>
      </c>
      <c r="AF52" s="16">
        <v>1</v>
      </c>
      <c r="AG52" s="16">
        <v>37</v>
      </c>
      <c r="AH52" s="16">
        <v>182</v>
      </c>
      <c r="AI52" s="16">
        <v>8</v>
      </c>
      <c r="AJ52" s="481">
        <v>6</v>
      </c>
      <c r="AK52" s="482"/>
      <c r="AL52" s="25" t="s">
        <v>6356</v>
      </c>
      <c r="AM52" s="481">
        <v>182</v>
      </c>
      <c r="AN52" s="481">
        <v>8</v>
      </c>
      <c r="AO52" s="481"/>
      <c r="AP52" s="16"/>
      <c r="AQ52" s="16" t="s">
        <v>160</v>
      </c>
      <c r="AR52" s="130" t="s">
        <v>161</v>
      </c>
      <c r="AS52" s="130">
        <v>1405</v>
      </c>
      <c r="AT52" s="130">
        <v>1</v>
      </c>
      <c r="AU52" s="130"/>
      <c r="AV52" s="130"/>
      <c r="AW52" s="12"/>
      <c r="AX52" s="12">
        <f t="shared" si="2"/>
        <v>0</v>
      </c>
      <c r="AY52" s="12"/>
      <c r="AZ52" s="481"/>
    </row>
    <row r="53" spans="1:52" ht="30" customHeight="1" x14ac:dyDescent="0.2">
      <c r="A53" s="481">
        <v>51</v>
      </c>
      <c r="B53" s="481">
        <v>20</v>
      </c>
      <c r="C53" s="16">
        <v>1</v>
      </c>
      <c r="D53" s="482" t="s">
        <v>6308</v>
      </c>
      <c r="E53" s="482" t="s">
        <v>856</v>
      </c>
      <c r="F53" s="482" t="s">
        <v>20</v>
      </c>
      <c r="G53" s="495"/>
      <c r="H53" s="481" t="s">
        <v>6432</v>
      </c>
      <c r="I53" s="481" t="s">
        <v>83</v>
      </c>
      <c r="J53" s="360" t="s">
        <v>158</v>
      </c>
      <c r="K53" s="482" t="s">
        <v>5577</v>
      </c>
      <c r="L53" s="482"/>
      <c r="M53" s="482" t="s">
        <v>769</v>
      </c>
      <c r="N53" s="41"/>
      <c r="O53" s="13" t="s">
        <v>106</v>
      </c>
      <c r="P53" s="13" t="s">
        <v>107</v>
      </c>
      <c r="Q53" s="13"/>
      <c r="R53" s="481"/>
      <c r="S53" s="481" t="s">
        <v>757</v>
      </c>
      <c r="T53" s="481" t="s">
        <v>3714</v>
      </c>
      <c r="U53" s="482" t="s">
        <v>3714</v>
      </c>
      <c r="V53" s="41"/>
      <c r="W53" s="13" t="s">
        <v>106</v>
      </c>
      <c r="X53" s="482" t="s">
        <v>107</v>
      </c>
      <c r="Y53" s="481"/>
      <c r="Z53" s="481" t="s">
        <v>6749</v>
      </c>
      <c r="AA53" s="481"/>
      <c r="AB53" s="16">
        <v>70</v>
      </c>
      <c r="AC53" s="16">
        <v>70</v>
      </c>
      <c r="AD53" s="16"/>
      <c r="AE53" s="16"/>
      <c r="AF53" s="16"/>
      <c r="AG53" s="16"/>
      <c r="AH53" s="16"/>
      <c r="AI53" s="16"/>
      <c r="AJ53" s="481">
        <v>3</v>
      </c>
      <c r="AK53" s="482"/>
      <c r="AL53" s="25"/>
      <c r="AM53" s="481"/>
      <c r="AN53" s="481"/>
      <c r="AO53" s="481"/>
      <c r="AP53" s="16"/>
      <c r="AQ53" s="16" t="s">
        <v>160</v>
      </c>
      <c r="AR53" s="130" t="s">
        <v>330</v>
      </c>
      <c r="AS53" s="130">
        <v>1405</v>
      </c>
      <c r="AT53" s="130">
        <v>1</v>
      </c>
      <c r="AU53" s="130">
        <v>1401</v>
      </c>
      <c r="AV53" s="130">
        <v>1</v>
      </c>
      <c r="AW53" s="12">
        <f>IF(AS53*AU53&gt;0,(AS53-AU53)*12+(AT53-AV53),"")</f>
        <v>48</v>
      </c>
      <c r="AX53" s="12" t="str">
        <f t="shared" si="2"/>
        <v/>
      </c>
      <c r="AY53" s="12"/>
      <c r="AZ53" s="481"/>
    </row>
    <row r="54" spans="1:52" ht="30" customHeight="1" x14ac:dyDescent="0.2">
      <c r="A54" s="481">
        <v>52</v>
      </c>
      <c r="B54" s="481">
        <v>20</v>
      </c>
      <c r="C54" s="16">
        <v>1</v>
      </c>
      <c r="D54" s="482" t="s">
        <v>6308</v>
      </c>
      <c r="E54" s="482" t="s">
        <v>719</v>
      </c>
      <c r="F54" s="482" t="s">
        <v>6</v>
      </c>
      <c r="G54" s="495"/>
      <c r="H54" s="481" t="s">
        <v>4038</v>
      </c>
      <c r="I54" s="481" t="s">
        <v>83</v>
      </c>
      <c r="J54" s="360" t="s">
        <v>158</v>
      </c>
      <c r="K54" s="482" t="s">
        <v>84</v>
      </c>
      <c r="L54" s="482"/>
      <c r="M54" s="482" t="s">
        <v>117</v>
      </c>
      <c r="N54" s="41"/>
      <c r="O54" s="13" t="s">
        <v>106</v>
      </c>
      <c r="P54" s="13" t="s">
        <v>107</v>
      </c>
      <c r="Q54" s="13"/>
      <c r="R54" s="481"/>
      <c r="S54" s="481" t="s">
        <v>204</v>
      </c>
      <c r="T54" s="481"/>
      <c r="U54" s="482"/>
      <c r="V54" s="41"/>
      <c r="W54" s="13" t="s">
        <v>106</v>
      </c>
      <c r="X54" s="482" t="s">
        <v>107</v>
      </c>
      <c r="Y54" s="481"/>
      <c r="Z54" s="481" t="s">
        <v>6420</v>
      </c>
      <c r="AA54" s="481">
        <v>178</v>
      </c>
      <c r="AB54" s="16">
        <v>168</v>
      </c>
      <c r="AC54" s="16">
        <v>168</v>
      </c>
      <c r="AD54" s="16"/>
      <c r="AE54" s="16"/>
      <c r="AF54" s="16"/>
      <c r="AG54" s="16"/>
      <c r="AH54" s="16"/>
      <c r="AI54" s="16"/>
      <c r="AJ54" s="481">
        <v>6</v>
      </c>
      <c r="AK54" s="482"/>
      <c r="AL54" s="25"/>
      <c r="AM54" s="481"/>
      <c r="AN54" s="481"/>
      <c r="AO54" s="481"/>
      <c r="AP54" s="16"/>
      <c r="AQ54" s="16" t="s">
        <v>160</v>
      </c>
      <c r="AR54" s="130" t="s">
        <v>231</v>
      </c>
      <c r="AS54" s="130">
        <v>1405</v>
      </c>
      <c r="AT54" s="130">
        <v>1</v>
      </c>
      <c r="AU54" s="130">
        <v>1401</v>
      </c>
      <c r="AV54" s="130">
        <v>8</v>
      </c>
      <c r="AW54" s="12">
        <f>IF(AS54*AU54&gt;0,(AS54-AU54)*12+(AT54-AV54),"")</f>
        <v>41</v>
      </c>
      <c r="AX54" s="12" t="str">
        <f t="shared" si="2"/>
        <v/>
      </c>
      <c r="AY54" s="12"/>
      <c r="AZ54" s="481"/>
    </row>
    <row r="55" spans="1:52" ht="30" customHeight="1" x14ac:dyDescent="0.2">
      <c r="A55" s="481">
        <v>53</v>
      </c>
      <c r="B55" s="481">
        <v>20</v>
      </c>
      <c r="C55" s="16">
        <v>1</v>
      </c>
      <c r="D55" s="482" t="s">
        <v>6308</v>
      </c>
      <c r="E55" s="482" t="s">
        <v>4171</v>
      </c>
      <c r="F55" s="482" t="s">
        <v>20</v>
      </c>
      <c r="G55" s="495"/>
      <c r="H55" s="481" t="s">
        <v>6431</v>
      </c>
      <c r="I55" s="481" t="s">
        <v>83</v>
      </c>
      <c r="J55" s="360" t="s">
        <v>158</v>
      </c>
      <c r="K55" s="482" t="s">
        <v>2167</v>
      </c>
      <c r="L55" s="482"/>
      <c r="M55" s="482" t="s">
        <v>155</v>
      </c>
      <c r="N55" s="41"/>
      <c r="O55" s="13" t="s">
        <v>106</v>
      </c>
      <c r="P55" s="13" t="s">
        <v>107</v>
      </c>
      <c r="Q55" s="13"/>
      <c r="R55" s="481"/>
      <c r="S55" s="481" t="s">
        <v>167</v>
      </c>
      <c r="T55" s="481" t="s">
        <v>3714</v>
      </c>
      <c r="U55" s="482" t="s">
        <v>3714</v>
      </c>
      <c r="V55" s="41"/>
      <c r="W55" s="13" t="s">
        <v>106</v>
      </c>
      <c r="X55" s="482" t="s">
        <v>107</v>
      </c>
      <c r="Y55" s="481"/>
      <c r="Z55" s="481" t="s">
        <v>4170</v>
      </c>
      <c r="AA55" s="481"/>
      <c r="AB55" s="16">
        <v>222</v>
      </c>
      <c r="AC55" s="16">
        <v>222</v>
      </c>
      <c r="AD55" s="16"/>
      <c r="AE55" s="16"/>
      <c r="AF55" s="16"/>
      <c r="AG55" s="16"/>
      <c r="AH55" s="16"/>
      <c r="AI55" s="16"/>
      <c r="AJ55" s="481"/>
      <c r="AK55" s="482"/>
      <c r="AL55" s="25"/>
      <c r="AM55" s="481"/>
      <c r="AN55" s="481"/>
      <c r="AO55" s="481"/>
      <c r="AP55" s="16"/>
      <c r="AQ55" s="16" t="s">
        <v>160</v>
      </c>
      <c r="AR55" s="130" t="s">
        <v>165</v>
      </c>
      <c r="AS55" s="130">
        <v>1405</v>
      </c>
      <c r="AT55" s="130">
        <v>1</v>
      </c>
      <c r="AU55" s="130">
        <v>1402</v>
      </c>
      <c r="AV55" s="130">
        <v>21</v>
      </c>
      <c r="AW55" s="12">
        <f>IF(AS55*AU55&gt;0,(AS55-AU55)*12+(AT55-AV55),"")</f>
        <v>16</v>
      </c>
      <c r="AX55" s="12" t="str">
        <f t="shared" si="2"/>
        <v/>
      </c>
      <c r="AY55" s="12"/>
      <c r="AZ55" s="481"/>
    </row>
    <row r="56" spans="1:52" ht="30" customHeight="1" x14ac:dyDescent="0.2">
      <c r="A56" s="481">
        <v>54</v>
      </c>
      <c r="B56" s="481">
        <v>23</v>
      </c>
      <c r="C56" s="16">
        <v>1</v>
      </c>
      <c r="D56" s="482" t="s">
        <v>6308</v>
      </c>
      <c r="E56" s="482" t="s">
        <v>6323</v>
      </c>
      <c r="F56" s="482" t="s">
        <v>6</v>
      </c>
      <c r="G56" s="495"/>
      <c r="H56" s="481"/>
      <c r="I56" s="481" t="s">
        <v>7</v>
      </c>
      <c r="J56" s="360" t="s">
        <v>158</v>
      </c>
      <c r="K56" s="482" t="s">
        <v>84</v>
      </c>
      <c r="L56" s="35" t="s">
        <v>155</v>
      </c>
      <c r="M56" s="35" t="s">
        <v>68</v>
      </c>
      <c r="N56" s="41" t="s">
        <v>6365</v>
      </c>
      <c r="O56" s="13" t="s">
        <v>106</v>
      </c>
      <c r="P56" s="13" t="s">
        <v>107</v>
      </c>
      <c r="Q56" s="13"/>
      <c r="R56" s="481"/>
      <c r="S56" s="33" t="s">
        <v>156</v>
      </c>
      <c r="T56" s="33">
        <v>6609</v>
      </c>
      <c r="U56" s="35" t="s">
        <v>144</v>
      </c>
      <c r="V56" s="41" t="s">
        <v>6366</v>
      </c>
      <c r="W56" s="13" t="s">
        <v>106</v>
      </c>
      <c r="X56" s="482" t="s">
        <v>107</v>
      </c>
      <c r="Y56" s="481" t="s">
        <v>5187</v>
      </c>
      <c r="Z56" s="481" t="s">
        <v>6367</v>
      </c>
      <c r="AA56" s="481">
        <v>245</v>
      </c>
      <c r="AB56" s="16">
        <v>228</v>
      </c>
      <c r="AC56" s="16">
        <v>228</v>
      </c>
      <c r="AD56" s="16">
        <v>131</v>
      </c>
      <c r="AE56" s="16">
        <v>142</v>
      </c>
      <c r="AF56" s="16">
        <v>5</v>
      </c>
      <c r="AG56" s="16">
        <v>48</v>
      </c>
      <c r="AH56" s="16">
        <v>195</v>
      </c>
      <c r="AI56" s="16">
        <v>17</v>
      </c>
      <c r="AJ56" s="481">
        <v>6</v>
      </c>
      <c r="AK56" s="482"/>
      <c r="AL56" s="25" t="s">
        <v>6368</v>
      </c>
      <c r="AM56" s="481">
        <v>195</v>
      </c>
      <c r="AN56" s="481">
        <v>17</v>
      </c>
      <c r="AO56" s="481"/>
      <c r="AP56" s="16"/>
      <c r="AQ56" s="16" t="s">
        <v>160</v>
      </c>
      <c r="AR56" s="130" t="s">
        <v>165</v>
      </c>
      <c r="AS56" s="130">
        <v>1405</v>
      </c>
      <c r="AT56" s="130">
        <v>1</v>
      </c>
      <c r="AU56" s="130"/>
      <c r="AV56" s="130"/>
      <c r="AW56" s="12"/>
      <c r="AX56" s="12">
        <f t="shared" si="2"/>
        <v>0</v>
      </c>
      <c r="AY56" s="12"/>
      <c r="AZ56" s="481"/>
    </row>
    <row r="57" spans="1:52" ht="61.5" customHeight="1" x14ac:dyDescent="0.2">
      <c r="A57" s="481">
        <v>55</v>
      </c>
      <c r="B57" s="481">
        <v>23</v>
      </c>
      <c r="C57" s="16">
        <v>1</v>
      </c>
      <c r="D57" s="482" t="s">
        <v>6308</v>
      </c>
      <c r="E57" s="482" t="s">
        <v>6413</v>
      </c>
      <c r="F57" s="482" t="s">
        <v>6105</v>
      </c>
      <c r="G57" s="495"/>
      <c r="H57" s="481" t="s">
        <v>90</v>
      </c>
      <c r="I57" s="481" t="s">
        <v>7</v>
      </c>
      <c r="J57" s="360" t="s">
        <v>158</v>
      </c>
      <c r="K57" s="482" t="s">
        <v>3439</v>
      </c>
      <c r="L57" s="482"/>
      <c r="M57" s="482" t="s">
        <v>104</v>
      </c>
      <c r="N57" s="41" t="s">
        <v>6427</v>
      </c>
      <c r="O57" s="13" t="s">
        <v>142</v>
      </c>
      <c r="P57" s="59" t="s">
        <v>6428</v>
      </c>
      <c r="Q57" s="13"/>
      <c r="R57" s="481"/>
      <c r="S57" s="481"/>
      <c r="T57" s="481">
        <v>345</v>
      </c>
      <c r="U57" s="482" t="s">
        <v>555</v>
      </c>
      <c r="V57" s="41" t="s">
        <v>6429</v>
      </c>
      <c r="W57" s="13" t="s">
        <v>142</v>
      </c>
      <c r="X57" s="59" t="s">
        <v>6428</v>
      </c>
      <c r="Y57" s="481" t="s">
        <v>5244</v>
      </c>
      <c r="Z57" s="481"/>
      <c r="AA57" s="481">
        <v>229</v>
      </c>
      <c r="AB57" s="16"/>
      <c r="AC57" s="16">
        <v>219</v>
      </c>
      <c r="AD57" s="16">
        <v>77</v>
      </c>
      <c r="AE57" s="16">
        <v>136</v>
      </c>
      <c r="AF57" s="16">
        <v>6</v>
      </c>
      <c r="AG57" s="16">
        <v>30</v>
      </c>
      <c r="AH57" s="16">
        <v>172</v>
      </c>
      <c r="AI57" s="16">
        <v>20</v>
      </c>
      <c r="AJ57" s="481">
        <v>6</v>
      </c>
      <c r="AK57" s="482"/>
      <c r="AL57" s="25" t="s">
        <v>6430</v>
      </c>
      <c r="AM57" s="481">
        <v>172</v>
      </c>
      <c r="AN57" s="481">
        <v>20</v>
      </c>
      <c r="AO57" s="481"/>
      <c r="AP57" s="16"/>
      <c r="AQ57" s="16" t="s">
        <v>160</v>
      </c>
      <c r="AR57" s="130" t="s">
        <v>193</v>
      </c>
      <c r="AS57" s="130">
        <v>1405</v>
      </c>
      <c r="AT57" s="130">
        <v>1</v>
      </c>
      <c r="AU57" s="130"/>
      <c r="AV57" s="130"/>
      <c r="AW57" s="12"/>
      <c r="AX57" s="12">
        <f t="shared" si="2"/>
        <v>0</v>
      </c>
      <c r="AY57" s="12"/>
      <c r="AZ57" s="481"/>
    </row>
    <row r="58" spans="1:52" ht="32.25" customHeight="1" x14ac:dyDescent="0.2">
      <c r="A58" s="481">
        <v>56</v>
      </c>
      <c r="B58" s="481">
        <v>23</v>
      </c>
      <c r="C58" s="16">
        <v>1</v>
      </c>
      <c r="D58" s="482" t="s">
        <v>6308</v>
      </c>
      <c r="E58" s="482" t="s">
        <v>2543</v>
      </c>
      <c r="F58" s="482" t="s">
        <v>20</v>
      </c>
      <c r="G58" s="495"/>
      <c r="H58" s="481" t="s">
        <v>4038</v>
      </c>
      <c r="I58" s="481" t="s">
        <v>83</v>
      </c>
      <c r="J58" s="360" t="s">
        <v>158</v>
      </c>
      <c r="K58" s="482" t="s">
        <v>5577</v>
      </c>
      <c r="L58" s="482"/>
      <c r="M58" s="482" t="s">
        <v>155</v>
      </c>
      <c r="N58" s="41"/>
      <c r="O58" s="13" t="s">
        <v>106</v>
      </c>
      <c r="P58" s="13" t="s">
        <v>107</v>
      </c>
      <c r="Q58" s="13"/>
      <c r="R58" s="481"/>
      <c r="S58" s="481" t="s">
        <v>6424</v>
      </c>
      <c r="T58" s="481" t="s">
        <v>3714</v>
      </c>
      <c r="U58" s="482" t="s">
        <v>3714</v>
      </c>
      <c r="V58" s="41"/>
      <c r="W58" s="13" t="s">
        <v>106</v>
      </c>
      <c r="X58" s="482" t="s">
        <v>107</v>
      </c>
      <c r="Y58" s="481"/>
      <c r="Z58" s="481" t="s">
        <v>6426</v>
      </c>
      <c r="AA58" s="481">
        <v>255</v>
      </c>
      <c r="AB58" s="16">
        <v>198</v>
      </c>
      <c r="AC58" s="16">
        <v>198</v>
      </c>
      <c r="AD58" s="16"/>
      <c r="AE58" s="16"/>
      <c r="AF58" s="16"/>
      <c r="AG58" s="16"/>
      <c r="AH58" s="16"/>
      <c r="AI58" s="16"/>
      <c r="AJ58" s="481">
        <v>6</v>
      </c>
      <c r="AK58" s="482"/>
      <c r="AL58" s="25"/>
      <c r="AM58" s="481"/>
      <c r="AN58" s="481"/>
      <c r="AO58" s="481"/>
      <c r="AP58" s="16"/>
      <c r="AQ58" s="16" t="s">
        <v>160</v>
      </c>
      <c r="AR58" s="130" t="s">
        <v>165</v>
      </c>
      <c r="AS58" s="130">
        <v>1405</v>
      </c>
      <c r="AT58" s="130">
        <v>1</v>
      </c>
      <c r="AU58" s="130">
        <v>1402</v>
      </c>
      <c r="AV58" s="130">
        <v>7</v>
      </c>
      <c r="AW58" s="12">
        <f>IF(AS58*AU58&gt;0,(AS58-AU58)*12+(AT58-AV58),"")</f>
        <v>30</v>
      </c>
      <c r="AX58" s="12" t="str">
        <f t="shared" si="2"/>
        <v/>
      </c>
      <c r="AY58" s="12"/>
      <c r="AZ58" s="481"/>
    </row>
    <row r="59" spans="1:52" ht="30" customHeight="1" x14ac:dyDescent="0.2">
      <c r="A59" s="481">
        <v>57</v>
      </c>
      <c r="B59" s="481">
        <v>24</v>
      </c>
      <c r="C59" s="16">
        <v>1</v>
      </c>
      <c r="D59" s="482" t="s">
        <v>6308</v>
      </c>
      <c r="E59" s="482" t="s">
        <v>2543</v>
      </c>
      <c r="F59" s="482" t="s">
        <v>20</v>
      </c>
      <c r="G59" s="495"/>
      <c r="H59" s="481"/>
      <c r="I59" s="481" t="s">
        <v>7</v>
      </c>
      <c r="J59" s="360" t="s">
        <v>158</v>
      </c>
      <c r="K59" s="482" t="s">
        <v>5577</v>
      </c>
      <c r="L59" s="35" t="s">
        <v>155</v>
      </c>
      <c r="M59" s="35" t="s">
        <v>68</v>
      </c>
      <c r="N59" s="41" t="s">
        <v>6423</v>
      </c>
      <c r="O59" s="13" t="s">
        <v>69</v>
      </c>
      <c r="P59" s="13" t="s">
        <v>70</v>
      </c>
      <c r="Q59" s="13"/>
      <c r="R59" s="481"/>
      <c r="S59" s="33" t="s">
        <v>6424</v>
      </c>
      <c r="T59" s="33">
        <v>6609</v>
      </c>
      <c r="U59" s="35" t="s">
        <v>144</v>
      </c>
      <c r="V59" s="41" t="s">
        <v>6425</v>
      </c>
      <c r="W59" s="13" t="s">
        <v>69</v>
      </c>
      <c r="X59" s="482" t="s">
        <v>70</v>
      </c>
      <c r="Y59" s="481" t="s">
        <v>5187</v>
      </c>
      <c r="Z59" s="481" t="s">
        <v>6426</v>
      </c>
      <c r="AA59" s="481">
        <v>255</v>
      </c>
      <c r="AB59" s="16">
        <v>198</v>
      </c>
      <c r="AC59" s="16">
        <v>198</v>
      </c>
      <c r="AD59" s="16">
        <v>105</v>
      </c>
      <c r="AE59" s="16">
        <v>167</v>
      </c>
      <c r="AF59" s="16">
        <v>4</v>
      </c>
      <c r="AG59" s="16">
        <v>44</v>
      </c>
      <c r="AH59" s="16">
        <v>215</v>
      </c>
      <c r="AI59" s="16">
        <v>17</v>
      </c>
      <c r="AJ59" s="481">
        <v>6</v>
      </c>
      <c r="AK59" s="482"/>
      <c r="AL59" s="25" t="s">
        <v>6417</v>
      </c>
      <c r="AM59" s="481">
        <v>215</v>
      </c>
      <c r="AN59" s="481">
        <v>17</v>
      </c>
      <c r="AO59" s="481"/>
      <c r="AP59" s="16"/>
      <c r="AQ59" s="16" t="s">
        <v>160</v>
      </c>
      <c r="AR59" s="130" t="s">
        <v>165</v>
      </c>
      <c r="AS59" s="130">
        <v>1405</v>
      </c>
      <c r="AT59" s="130">
        <v>1</v>
      </c>
      <c r="AU59" s="130"/>
      <c r="AV59" s="130"/>
      <c r="AW59" s="12"/>
      <c r="AX59" s="12">
        <f t="shared" si="2"/>
        <v>0</v>
      </c>
      <c r="AY59" s="12"/>
      <c r="AZ59" s="481"/>
    </row>
    <row r="60" spans="1:52" ht="30" customHeight="1" x14ac:dyDescent="0.2">
      <c r="A60" s="481">
        <v>58</v>
      </c>
      <c r="B60" s="481">
        <v>24</v>
      </c>
      <c r="C60" s="16">
        <v>1</v>
      </c>
      <c r="D60" s="482" t="s">
        <v>6308</v>
      </c>
      <c r="E60" s="482" t="s">
        <v>2923</v>
      </c>
      <c r="F60" s="482" t="s">
        <v>6</v>
      </c>
      <c r="G60" s="495"/>
      <c r="H60" s="481" t="s">
        <v>4038</v>
      </c>
      <c r="I60" s="481" t="s">
        <v>83</v>
      </c>
      <c r="J60" s="360" t="s">
        <v>158</v>
      </c>
      <c r="K60" s="482" t="s">
        <v>84</v>
      </c>
      <c r="L60" s="482"/>
      <c r="M60" s="482" t="s">
        <v>155</v>
      </c>
      <c r="N60" s="41"/>
      <c r="O60" s="13" t="s">
        <v>106</v>
      </c>
      <c r="P60" s="13" t="s">
        <v>107</v>
      </c>
      <c r="Q60" s="13"/>
      <c r="R60" s="481"/>
      <c r="S60" s="481" t="s">
        <v>167</v>
      </c>
      <c r="T60" s="481" t="s">
        <v>3714</v>
      </c>
      <c r="U60" s="482" t="s">
        <v>3714</v>
      </c>
      <c r="V60" s="41"/>
      <c r="W60" s="13" t="s">
        <v>106</v>
      </c>
      <c r="X60" s="485" t="s">
        <v>107</v>
      </c>
      <c r="Y60" s="481"/>
      <c r="Z60" s="481" t="s">
        <v>6422</v>
      </c>
      <c r="AA60" s="481">
        <v>266</v>
      </c>
      <c r="AB60" s="16">
        <v>255</v>
      </c>
      <c r="AC60" s="16">
        <v>255</v>
      </c>
      <c r="AD60" s="16"/>
      <c r="AE60" s="16"/>
      <c r="AF60" s="16"/>
      <c r="AG60" s="16"/>
      <c r="AH60" s="16"/>
      <c r="AI60" s="16"/>
      <c r="AJ60" s="481">
        <v>6</v>
      </c>
      <c r="AK60" s="482"/>
      <c r="AL60" s="25"/>
      <c r="AM60" s="481"/>
      <c r="AN60" s="481"/>
      <c r="AO60" s="481"/>
      <c r="AP60" s="16"/>
      <c r="AQ60" s="16" t="s">
        <v>160</v>
      </c>
      <c r="AR60" s="130" t="s">
        <v>165</v>
      </c>
      <c r="AS60" s="130">
        <v>1405</v>
      </c>
      <c r="AT60" s="130">
        <v>1</v>
      </c>
      <c r="AU60" s="130">
        <v>1404</v>
      </c>
      <c r="AV60" s="130">
        <v>4</v>
      </c>
      <c r="AW60" s="12">
        <f>IF(AS60*AU60&gt;0,(AS60-AU60)*12+(AT60-AV60),"")</f>
        <v>9</v>
      </c>
      <c r="AX60" s="12">
        <f t="shared" si="2"/>
        <v>9</v>
      </c>
      <c r="AY60" s="12"/>
      <c r="AZ60" s="481"/>
    </row>
    <row r="61" spans="1:52" ht="30" customHeight="1" x14ac:dyDescent="0.2">
      <c r="A61" s="481">
        <v>59</v>
      </c>
      <c r="B61" s="481">
        <v>25</v>
      </c>
      <c r="C61" s="16">
        <v>1</v>
      </c>
      <c r="D61" s="482" t="s">
        <v>6308</v>
      </c>
      <c r="E61" s="482" t="s">
        <v>719</v>
      </c>
      <c r="F61" s="482" t="s">
        <v>6</v>
      </c>
      <c r="G61" s="495"/>
      <c r="H61" s="481"/>
      <c r="I61" s="481" t="s">
        <v>7</v>
      </c>
      <c r="J61" s="360" t="s">
        <v>158</v>
      </c>
      <c r="K61" s="482" t="s">
        <v>84</v>
      </c>
      <c r="L61" s="35" t="s">
        <v>104</v>
      </c>
      <c r="M61" s="35" t="s">
        <v>223</v>
      </c>
      <c r="N61" s="41" t="s">
        <v>6418</v>
      </c>
      <c r="O61" s="13" t="s">
        <v>106</v>
      </c>
      <c r="P61" s="13" t="s">
        <v>107</v>
      </c>
      <c r="Q61" s="13"/>
      <c r="R61" s="481"/>
      <c r="S61" s="33" t="s">
        <v>204</v>
      </c>
      <c r="T61" s="33">
        <v>193</v>
      </c>
      <c r="U61" s="35" t="s">
        <v>226</v>
      </c>
      <c r="V61" s="41" t="s">
        <v>6419</v>
      </c>
      <c r="W61" s="13" t="s">
        <v>69</v>
      </c>
      <c r="X61" s="482" t="s">
        <v>70</v>
      </c>
      <c r="Y61" s="481" t="s">
        <v>5187</v>
      </c>
      <c r="Z61" s="481" t="s">
        <v>6420</v>
      </c>
      <c r="AA61" s="481">
        <v>178</v>
      </c>
      <c r="AB61" s="16">
        <v>168</v>
      </c>
      <c r="AC61" s="16">
        <v>168</v>
      </c>
      <c r="AD61" s="16">
        <v>147</v>
      </c>
      <c r="AE61" s="16">
        <v>160</v>
      </c>
      <c r="AF61" s="16">
        <v>1</v>
      </c>
      <c r="AG61" s="16">
        <v>55</v>
      </c>
      <c r="AH61" s="16">
        <v>216</v>
      </c>
      <c r="AI61" s="16">
        <v>5</v>
      </c>
      <c r="AJ61" s="481">
        <v>6</v>
      </c>
      <c r="AK61" s="482"/>
      <c r="AL61" s="25" t="s">
        <v>6421</v>
      </c>
      <c r="AM61" s="481">
        <v>216</v>
      </c>
      <c r="AN61" s="481">
        <v>5</v>
      </c>
      <c r="AO61" s="481"/>
      <c r="AP61" s="16"/>
      <c r="AQ61" s="16" t="s">
        <v>160</v>
      </c>
      <c r="AR61" s="130" t="s">
        <v>161</v>
      </c>
      <c r="AS61" s="130">
        <v>1405</v>
      </c>
      <c r="AT61" s="130">
        <v>1</v>
      </c>
      <c r="AU61" s="130"/>
      <c r="AV61" s="130"/>
      <c r="AW61" s="12"/>
      <c r="AX61" s="12">
        <f t="shared" si="2"/>
        <v>0</v>
      </c>
      <c r="AY61" s="12"/>
      <c r="AZ61" s="481"/>
    </row>
    <row r="62" spans="1:52" ht="30" customHeight="1" x14ac:dyDescent="0.2">
      <c r="A62" s="481">
        <v>60</v>
      </c>
      <c r="B62" s="481">
        <v>26</v>
      </c>
      <c r="C62" s="16">
        <v>1</v>
      </c>
      <c r="D62" s="482" t="s">
        <v>6308</v>
      </c>
      <c r="E62" s="482" t="s">
        <v>6414</v>
      </c>
      <c r="F62" s="482" t="s">
        <v>243</v>
      </c>
      <c r="G62" s="495"/>
      <c r="H62" s="481" t="s">
        <v>90</v>
      </c>
      <c r="I62" s="481" t="s">
        <v>7</v>
      </c>
      <c r="J62" s="360" t="s">
        <v>158</v>
      </c>
      <c r="K62" s="482" t="s">
        <v>2167</v>
      </c>
      <c r="L62" s="482"/>
      <c r="M62" s="482" t="s">
        <v>218</v>
      </c>
      <c r="N62" s="41" t="s">
        <v>6415</v>
      </c>
      <c r="O62" s="13" t="s">
        <v>106</v>
      </c>
      <c r="P62" s="13" t="s">
        <v>107</v>
      </c>
      <c r="Q62" s="13"/>
      <c r="R62" s="481"/>
      <c r="S62" s="481"/>
      <c r="T62" s="481">
        <v>345</v>
      </c>
      <c r="U62" s="482" t="s">
        <v>260</v>
      </c>
      <c r="V62" s="41" t="s">
        <v>6416</v>
      </c>
      <c r="W62" s="13" t="s">
        <v>69</v>
      </c>
      <c r="X62" s="485" t="s">
        <v>70</v>
      </c>
      <c r="Y62" s="481" t="s">
        <v>5244</v>
      </c>
      <c r="Z62" s="481"/>
      <c r="AA62" s="481">
        <v>252</v>
      </c>
      <c r="AB62" s="16"/>
      <c r="AC62" s="16">
        <v>237</v>
      </c>
      <c r="AD62" s="16">
        <v>111</v>
      </c>
      <c r="AE62" s="16">
        <v>144</v>
      </c>
      <c r="AF62" s="16">
        <v>7</v>
      </c>
      <c r="AG62" s="16">
        <v>145</v>
      </c>
      <c r="AH62" s="16">
        <v>296</v>
      </c>
      <c r="AI62" s="16">
        <v>22</v>
      </c>
      <c r="AJ62" s="481">
        <v>6</v>
      </c>
      <c r="AK62" s="482"/>
      <c r="AL62" s="25" t="s">
        <v>6417</v>
      </c>
      <c r="AM62" s="481">
        <v>296</v>
      </c>
      <c r="AN62" s="481">
        <v>22</v>
      </c>
      <c r="AO62" s="481"/>
      <c r="AP62" s="16"/>
      <c r="AQ62" s="16" t="s">
        <v>160</v>
      </c>
      <c r="AR62" s="130" t="s">
        <v>165</v>
      </c>
      <c r="AS62" s="130">
        <v>1405</v>
      </c>
      <c r="AT62" s="130">
        <v>1</v>
      </c>
      <c r="AU62" s="130"/>
      <c r="AV62" s="130"/>
      <c r="AW62" s="12"/>
      <c r="AX62" s="12">
        <f t="shared" si="2"/>
        <v>0</v>
      </c>
      <c r="AY62" s="12"/>
      <c r="AZ62" s="481"/>
    </row>
    <row r="63" spans="1:52" ht="30" customHeight="1" x14ac:dyDescent="0.2">
      <c r="A63" s="481">
        <v>61</v>
      </c>
      <c r="B63" s="481">
        <v>27</v>
      </c>
      <c r="C63" s="16">
        <v>1</v>
      </c>
      <c r="D63" s="482" t="s">
        <v>6308</v>
      </c>
      <c r="E63" s="482" t="s">
        <v>2923</v>
      </c>
      <c r="F63" s="482" t="s">
        <v>6</v>
      </c>
      <c r="G63" s="495"/>
      <c r="H63" s="481"/>
      <c r="I63" s="481" t="s">
        <v>7</v>
      </c>
      <c r="J63" s="360" t="s">
        <v>158</v>
      </c>
      <c r="K63" s="482"/>
      <c r="L63" s="482" t="s">
        <v>155</v>
      </c>
      <c r="M63" s="482" t="s">
        <v>155</v>
      </c>
      <c r="N63" s="41" t="s">
        <v>6437</v>
      </c>
      <c r="O63" s="13" t="s">
        <v>142</v>
      </c>
      <c r="P63" s="13" t="s">
        <v>70</v>
      </c>
      <c r="Q63" s="13"/>
      <c r="R63" s="481"/>
      <c r="S63" s="481" t="s">
        <v>167</v>
      </c>
      <c r="T63" s="481">
        <v>384</v>
      </c>
      <c r="U63" s="482" t="s">
        <v>441</v>
      </c>
      <c r="V63" s="41" t="s">
        <v>6438</v>
      </c>
      <c r="W63" s="13" t="s">
        <v>262</v>
      </c>
      <c r="X63" s="482" t="s">
        <v>70</v>
      </c>
      <c r="Y63" s="481" t="s">
        <v>4420</v>
      </c>
      <c r="Z63" s="481" t="s">
        <v>6439</v>
      </c>
      <c r="AA63" s="481">
        <v>266</v>
      </c>
      <c r="AB63" s="16">
        <v>255</v>
      </c>
      <c r="AC63" s="16">
        <v>255</v>
      </c>
      <c r="AD63" s="16">
        <v>110</v>
      </c>
      <c r="AE63" s="16">
        <v>131</v>
      </c>
      <c r="AF63" s="16">
        <v>10</v>
      </c>
      <c r="AG63" s="16">
        <v>60</v>
      </c>
      <c r="AH63" s="16">
        <v>201</v>
      </c>
      <c r="AI63" s="16">
        <v>25</v>
      </c>
      <c r="AJ63" s="481">
        <v>6</v>
      </c>
      <c r="AK63" s="482"/>
      <c r="AL63" s="25" t="s">
        <v>6440</v>
      </c>
      <c r="AM63" s="481">
        <v>201</v>
      </c>
      <c r="AN63" s="481">
        <v>25</v>
      </c>
      <c r="AO63" s="481"/>
      <c r="AP63" s="16"/>
      <c r="AQ63" s="16" t="s">
        <v>160</v>
      </c>
      <c r="AR63" s="130" t="s">
        <v>165</v>
      </c>
      <c r="AS63" s="130">
        <v>1405</v>
      </c>
      <c r="AT63" s="130">
        <v>1</v>
      </c>
      <c r="AU63" s="130"/>
      <c r="AV63" s="130"/>
      <c r="AW63" s="12"/>
      <c r="AX63" s="12">
        <f t="shared" si="2"/>
        <v>0</v>
      </c>
      <c r="AY63" s="12"/>
      <c r="AZ63" s="481"/>
    </row>
    <row r="64" spans="1:52" ht="30" customHeight="1" x14ac:dyDescent="0.2">
      <c r="A64" s="481">
        <v>62</v>
      </c>
      <c r="B64" s="481">
        <v>27</v>
      </c>
      <c r="C64" s="16">
        <v>1</v>
      </c>
      <c r="D64" s="482" t="s">
        <v>6308</v>
      </c>
      <c r="E64" s="482" t="s">
        <v>6436</v>
      </c>
      <c r="F64" s="30" t="s">
        <v>66</v>
      </c>
      <c r="G64" s="496" t="s">
        <v>6588</v>
      </c>
      <c r="H64" s="481"/>
      <c r="I64" s="481" t="s">
        <v>83</v>
      </c>
      <c r="J64" s="360" t="s">
        <v>158</v>
      </c>
      <c r="K64" s="482" t="s">
        <v>5577</v>
      </c>
      <c r="L64" s="482"/>
      <c r="M64" s="482" t="s">
        <v>104</v>
      </c>
      <c r="N64" s="41"/>
      <c r="O64" s="13" t="s">
        <v>106</v>
      </c>
      <c r="P64" s="13" t="s">
        <v>107</v>
      </c>
      <c r="Q64" s="13"/>
      <c r="R64" s="481"/>
      <c r="S64" s="481" t="s">
        <v>108</v>
      </c>
      <c r="T64" s="481"/>
      <c r="U64" s="482"/>
      <c r="V64" s="41"/>
      <c r="W64" s="13" t="s">
        <v>106</v>
      </c>
      <c r="X64" s="482" t="s">
        <v>107</v>
      </c>
      <c r="Y64" s="481"/>
      <c r="Z64" s="481"/>
      <c r="AA64" s="481"/>
      <c r="AB64" s="16">
        <v>210</v>
      </c>
      <c r="AC64" s="16">
        <v>210</v>
      </c>
      <c r="AD64" s="16"/>
      <c r="AE64" s="16"/>
      <c r="AF64" s="16"/>
      <c r="AG64" s="16"/>
      <c r="AH64" s="16"/>
      <c r="AI64" s="16"/>
      <c r="AJ64" s="481">
        <v>6</v>
      </c>
      <c r="AK64" s="482"/>
      <c r="AL64" s="25"/>
      <c r="AM64" s="481"/>
      <c r="AN64" s="481"/>
      <c r="AO64" s="481"/>
      <c r="AP64" s="16"/>
      <c r="AQ64" s="16"/>
      <c r="AR64" s="130"/>
      <c r="AS64" s="130">
        <v>1405</v>
      </c>
      <c r="AT64" s="130">
        <v>1</v>
      </c>
      <c r="AU64" s="130"/>
      <c r="AV64" s="130"/>
      <c r="AW64" s="12"/>
      <c r="AX64" s="12">
        <f t="shared" si="2"/>
        <v>0</v>
      </c>
      <c r="AY64" s="12"/>
      <c r="AZ64" s="481"/>
    </row>
    <row r="65" spans="1:52" ht="30" customHeight="1" x14ac:dyDescent="0.2">
      <c r="A65" s="481">
        <v>63</v>
      </c>
      <c r="B65" s="481">
        <v>28</v>
      </c>
      <c r="C65" s="16">
        <v>1</v>
      </c>
      <c r="D65" s="482" t="s">
        <v>6308</v>
      </c>
      <c r="E65" s="482" t="s">
        <v>3695</v>
      </c>
      <c r="F65" s="482" t="s">
        <v>20</v>
      </c>
      <c r="G65" s="495"/>
      <c r="H65" s="481"/>
      <c r="I65" s="481" t="s">
        <v>83</v>
      </c>
      <c r="J65" s="360" t="s">
        <v>158</v>
      </c>
      <c r="K65" s="482" t="s">
        <v>5577</v>
      </c>
      <c r="L65" s="482"/>
      <c r="M65" s="482" t="s">
        <v>104</v>
      </c>
      <c r="N65" s="41"/>
      <c r="O65" s="13" t="s">
        <v>106</v>
      </c>
      <c r="P65" s="13" t="s">
        <v>107</v>
      </c>
      <c r="Q65" s="13"/>
      <c r="R65" s="481"/>
      <c r="S65" s="481" t="s">
        <v>190</v>
      </c>
      <c r="T65" s="481"/>
      <c r="U65" s="482"/>
      <c r="V65" s="41"/>
      <c r="W65" s="13" t="s">
        <v>106</v>
      </c>
      <c r="X65" s="486" t="s">
        <v>107</v>
      </c>
      <c r="Y65" s="481"/>
      <c r="Z65" s="481" t="s">
        <v>6443</v>
      </c>
      <c r="AA65" s="481">
        <v>186</v>
      </c>
      <c r="AB65" s="16">
        <v>168</v>
      </c>
      <c r="AC65" s="16">
        <v>168</v>
      </c>
      <c r="AD65" s="16"/>
      <c r="AE65" s="16"/>
      <c r="AF65" s="16"/>
      <c r="AG65" s="16"/>
      <c r="AH65" s="16"/>
      <c r="AI65" s="16"/>
      <c r="AJ65" s="481">
        <v>6</v>
      </c>
      <c r="AK65" s="482"/>
      <c r="AL65" s="25"/>
      <c r="AM65" s="481"/>
      <c r="AN65" s="481"/>
      <c r="AO65" s="481"/>
      <c r="AP65" s="16"/>
      <c r="AQ65" s="16" t="s">
        <v>5080</v>
      </c>
      <c r="AR65" s="130" t="s">
        <v>161</v>
      </c>
      <c r="AS65" s="130">
        <v>1405</v>
      </c>
      <c r="AT65" s="130">
        <v>1</v>
      </c>
      <c r="AU65" s="130">
        <v>1402</v>
      </c>
      <c r="AV65" s="130">
        <v>5</v>
      </c>
      <c r="AW65" s="12">
        <f>IF(AS65*AU65&gt;0,(AS65-AU65)*12+(AT65-AV65),"")</f>
        <v>32</v>
      </c>
      <c r="AX65" s="12" t="str">
        <f t="shared" si="2"/>
        <v/>
      </c>
      <c r="AY65" s="12"/>
      <c r="AZ65" s="481"/>
    </row>
    <row r="66" spans="1:52" ht="30" customHeight="1" x14ac:dyDescent="0.2">
      <c r="A66" s="481">
        <v>64</v>
      </c>
      <c r="B66" s="481">
        <v>28</v>
      </c>
      <c r="C66" s="16">
        <v>1</v>
      </c>
      <c r="D66" s="482" t="s">
        <v>6308</v>
      </c>
      <c r="E66" s="482" t="s">
        <v>3695</v>
      </c>
      <c r="F66" s="482" t="s">
        <v>20</v>
      </c>
      <c r="G66" s="495"/>
      <c r="H66" s="481"/>
      <c r="I66" s="481" t="s">
        <v>7</v>
      </c>
      <c r="J66" s="360" t="s">
        <v>158</v>
      </c>
      <c r="K66" s="482" t="s">
        <v>5577</v>
      </c>
      <c r="L66" s="35" t="s">
        <v>104</v>
      </c>
      <c r="M66" s="35" t="s">
        <v>140</v>
      </c>
      <c r="N66" s="41" t="s">
        <v>6441</v>
      </c>
      <c r="O66" s="13" t="s">
        <v>69</v>
      </c>
      <c r="P66" s="13" t="s">
        <v>70</v>
      </c>
      <c r="Q66" s="13"/>
      <c r="R66" s="481"/>
      <c r="S66" s="33" t="s">
        <v>190</v>
      </c>
      <c r="T66" s="33">
        <v>6608</v>
      </c>
      <c r="U66" s="35" t="s">
        <v>144</v>
      </c>
      <c r="V66" s="41" t="s">
        <v>6442</v>
      </c>
      <c r="W66" s="13" t="s">
        <v>262</v>
      </c>
      <c r="X66" s="482" t="s">
        <v>70</v>
      </c>
      <c r="Y66" s="481" t="s">
        <v>5187</v>
      </c>
      <c r="Z66" s="481" t="s">
        <v>6443</v>
      </c>
      <c r="AA66" s="481">
        <v>186</v>
      </c>
      <c r="AB66" s="16">
        <v>168</v>
      </c>
      <c r="AC66" s="16">
        <v>168</v>
      </c>
      <c r="AD66" s="16">
        <v>90</v>
      </c>
      <c r="AE66" s="16">
        <v>131</v>
      </c>
      <c r="AF66" s="16">
        <v>2</v>
      </c>
      <c r="AG66" s="16">
        <v>20</v>
      </c>
      <c r="AH66" s="16">
        <v>168</v>
      </c>
      <c r="AI66" s="16">
        <v>12</v>
      </c>
      <c r="AJ66" s="481">
        <v>6</v>
      </c>
      <c r="AK66" s="482"/>
      <c r="AL66" s="25" t="s">
        <v>6440</v>
      </c>
      <c r="AM66" s="481">
        <v>168</v>
      </c>
      <c r="AN66" s="481">
        <v>12</v>
      </c>
      <c r="AO66" s="481"/>
      <c r="AP66" s="16"/>
      <c r="AQ66" s="16" t="s">
        <v>5080</v>
      </c>
      <c r="AR66" s="130" t="s">
        <v>231</v>
      </c>
      <c r="AS66" s="130">
        <v>1405</v>
      </c>
      <c r="AT66" s="130">
        <v>1</v>
      </c>
      <c r="AU66" s="130"/>
      <c r="AV66" s="130"/>
      <c r="AW66" s="12"/>
      <c r="AX66" s="12">
        <f t="shared" si="2"/>
        <v>0</v>
      </c>
      <c r="AY66" s="12"/>
      <c r="AZ66" s="481"/>
    </row>
    <row r="67" spans="1:52" ht="30" customHeight="1" x14ac:dyDescent="0.2">
      <c r="A67" s="481">
        <v>65</v>
      </c>
      <c r="B67" s="481">
        <v>31</v>
      </c>
      <c r="C67" s="16">
        <v>1</v>
      </c>
      <c r="D67" s="482" t="s">
        <v>6308</v>
      </c>
      <c r="E67" s="482" t="s">
        <v>6045</v>
      </c>
      <c r="F67" s="482" t="s">
        <v>2981</v>
      </c>
      <c r="G67" s="495"/>
      <c r="H67" s="481" t="s">
        <v>6493</v>
      </c>
      <c r="I67" s="481" t="s">
        <v>7</v>
      </c>
      <c r="J67" s="360" t="s">
        <v>158</v>
      </c>
      <c r="K67" s="482" t="s">
        <v>5577</v>
      </c>
      <c r="L67" s="482"/>
      <c r="M67" s="482" t="s">
        <v>2159</v>
      </c>
      <c r="N67" s="41"/>
      <c r="O67" s="13" t="s">
        <v>69</v>
      </c>
      <c r="P67" s="13" t="s">
        <v>70</v>
      </c>
      <c r="Q67" s="13"/>
      <c r="R67" s="481"/>
      <c r="S67" s="481"/>
      <c r="T67" s="481">
        <v>486</v>
      </c>
      <c r="U67" s="482" t="s">
        <v>496</v>
      </c>
      <c r="V67" s="41"/>
      <c r="W67" s="13" t="s">
        <v>69</v>
      </c>
      <c r="X67" s="482" t="s">
        <v>70</v>
      </c>
      <c r="Y67" s="481" t="s">
        <v>5244</v>
      </c>
      <c r="Z67" s="481"/>
      <c r="AA67" s="481"/>
      <c r="AB67" s="16"/>
      <c r="AC67" s="16"/>
      <c r="AD67" s="16"/>
      <c r="AE67" s="16"/>
      <c r="AF67" s="16"/>
      <c r="AG67" s="16"/>
      <c r="AH67" s="16"/>
      <c r="AI67" s="16"/>
      <c r="AJ67" s="481"/>
      <c r="AK67" s="482"/>
      <c r="AL67" s="25"/>
      <c r="AM67" s="481"/>
      <c r="AN67" s="481"/>
      <c r="AO67" s="481"/>
      <c r="AP67" s="16"/>
      <c r="AQ67" s="16"/>
      <c r="AR67" s="130"/>
      <c r="AS67" s="130">
        <v>1405</v>
      </c>
      <c r="AT67" s="130">
        <v>1</v>
      </c>
      <c r="AU67" s="130"/>
      <c r="AV67" s="130"/>
      <c r="AW67" s="12"/>
      <c r="AX67" s="12">
        <f t="shared" si="2"/>
        <v>0</v>
      </c>
      <c r="AY67" s="12"/>
      <c r="AZ67" s="481" t="s">
        <v>6492</v>
      </c>
    </row>
    <row r="68" spans="1:52" ht="30" customHeight="1" x14ac:dyDescent="0.2">
      <c r="A68" s="481">
        <v>66</v>
      </c>
      <c r="B68" s="481">
        <v>1</v>
      </c>
      <c r="C68" s="16">
        <v>2</v>
      </c>
      <c r="D68" s="482" t="s">
        <v>6308</v>
      </c>
      <c r="E68" s="482" t="s">
        <v>6494</v>
      </c>
      <c r="F68" s="482" t="s">
        <v>20</v>
      </c>
      <c r="G68" s="495"/>
      <c r="H68" s="481"/>
      <c r="I68" s="481" t="s">
        <v>7</v>
      </c>
      <c r="J68" s="360" t="s">
        <v>158</v>
      </c>
      <c r="K68" s="482" t="s">
        <v>5577</v>
      </c>
      <c r="L68" s="482" t="s">
        <v>155</v>
      </c>
      <c r="M68" s="482" t="s">
        <v>155</v>
      </c>
      <c r="N68" s="41" t="s">
        <v>6499</v>
      </c>
      <c r="O68" s="13" t="s">
        <v>106</v>
      </c>
      <c r="P68" s="13" t="s">
        <v>107</v>
      </c>
      <c r="Q68" s="13"/>
      <c r="R68" s="481"/>
      <c r="S68" s="481" t="s">
        <v>167</v>
      </c>
      <c r="T68" s="481">
        <v>6611</v>
      </c>
      <c r="U68" s="482" t="s">
        <v>144</v>
      </c>
      <c r="V68" s="41" t="s">
        <v>6500</v>
      </c>
      <c r="W68" s="13" t="s">
        <v>106</v>
      </c>
      <c r="X68" s="482" t="s">
        <v>107</v>
      </c>
      <c r="Y68" s="481" t="s">
        <v>5187</v>
      </c>
      <c r="Z68" s="481" t="s">
        <v>4170</v>
      </c>
      <c r="AA68" s="481">
        <v>236</v>
      </c>
      <c r="AB68" s="16">
        <v>222</v>
      </c>
      <c r="AC68" s="16">
        <v>222</v>
      </c>
      <c r="AD68" s="16">
        <v>104</v>
      </c>
      <c r="AE68" s="16">
        <v>135</v>
      </c>
      <c r="AF68" s="16">
        <v>8</v>
      </c>
      <c r="AG68" s="16">
        <v>44</v>
      </c>
      <c r="AH68" s="16">
        <v>187</v>
      </c>
      <c r="AI68" s="16">
        <v>23</v>
      </c>
      <c r="AJ68" s="481">
        <v>6</v>
      </c>
      <c r="AK68" s="482"/>
      <c r="AL68" s="25" t="s">
        <v>6501</v>
      </c>
      <c r="AM68" s="481">
        <v>187</v>
      </c>
      <c r="AN68" s="481">
        <v>23</v>
      </c>
      <c r="AO68" s="481"/>
      <c r="AP68" s="16"/>
      <c r="AQ68" s="16" t="s">
        <v>160</v>
      </c>
      <c r="AR68" s="130" t="s">
        <v>165</v>
      </c>
      <c r="AS68" s="130">
        <v>1405</v>
      </c>
      <c r="AT68" s="130">
        <v>2</v>
      </c>
      <c r="AU68" s="130"/>
      <c r="AV68" s="130"/>
      <c r="AW68" s="12"/>
      <c r="AX68" s="12">
        <f t="shared" si="2"/>
        <v>0</v>
      </c>
      <c r="AY68" s="12"/>
      <c r="AZ68" s="481"/>
    </row>
    <row r="69" spans="1:52" ht="30" customHeight="1" x14ac:dyDescent="0.2">
      <c r="A69" s="481">
        <v>67</v>
      </c>
      <c r="B69" s="481">
        <v>1</v>
      </c>
      <c r="C69" s="16">
        <v>2</v>
      </c>
      <c r="D69" s="482" t="s">
        <v>6308</v>
      </c>
      <c r="E69" s="482" t="s">
        <v>6495</v>
      </c>
      <c r="F69" s="482" t="s">
        <v>6</v>
      </c>
      <c r="G69" s="495"/>
      <c r="H69" s="481" t="s">
        <v>6469</v>
      </c>
      <c r="I69" s="481" t="s">
        <v>7</v>
      </c>
      <c r="J69" s="360" t="s">
        <v>158</v>
      </c>
      <c r="K69" s="482" t="s">
        <v>6454</v>
      </c>
      <c r="L69" s="482"/>
      <c r="M69" s="482" t="s">
        <v>155</v>
      </c>
      <c r="N69" s="41" t="s">
        <v>6496</v>
      </c>
      <c r="O69" s="13" t="s">
        <v>106</v>
      </c>
      <c r="P69" s="13" t="s">
        <v>107</v>
      </c>
      <c r="Q69" s="13"/>
      <c r="R69" s="481"/>
      <c r="S69" s="481"/>
      <c r="T69" s="481">
        <v>345</v>
      </c>
      <c r="U69" s="482" t="s">
        <v>718</v>
      </c>
      <c r="V69" s="41" t="s">
        <v>6497</v>
      </c>
      <c r="W69" s="13" t="s">
        <v>106</v>
      </c>
      <c r="X69" s="13" t="s">
        <v>107</v>
      </c>
      <c r="Y69" s="481" t="s">
        <v>5244</v>
      </c>
      <c r="Z69" s="481"/>
      <c r="AA69" s="481">
        <v>229</v>
      </c>
      <c r="AB69" s="16"/>
      <c r="AC69" s="16">
        <v>216</v>
      </c>
      <c r="AD69" s="16">
        <v>80</v>
      </c>
      <c r="AE69" s="16">
        <v>97</v>
      </c>
      <c r="AF69" s="16">
        <v>7</v>
      </c>
      <c r="AG69" s="16">
        <v>63</v>
      </c>
      <c r="AH69" s="16">
        <v>167</v>
      </c>
      <c r="AI69" s="16">
        <v>22</v>
      </c>
      <c r="AJ69" s="481">
        <v>6</v>
      </c>
      <c r="AK69" s="482"/>
      <c r="AL69" s="25" t="s">
        <v>6498</v>
      </c>
      <c r="AM69" s="481">
        <v>167</v>
      </c>
      <c r="AN69" s="481">
        <v>22</v>
      </c>
      <c r="AO69" s="481"/>
      <c r="AP69" s="16"/>
      <c r="AQ69" s="16" t="s">
        <v>160</v>
      </c>
      <c r="AR69" s="130" t="s">
        <v>165</v>
      </c>
      <c r="AS69" s="130">
        <v>1405</v>
      </c>
      <c r="AT69" s="130">
        <v>2</v>
      </c>
      <c r="AU69" s="130"/>
      <c r="AV69" s="130"/>
      <c r="AW69" s="12"/>
      <c r="AX69" s="12">
        <f t="shared" si="2"/>
        <v>0</v>
      </c>
      <c r="AY69" s="12"/>
      <c r="AZ69" s="481"/>
    </row>
    <row r="70" spans="1:52" ht="30" customHeight="1" x14ac:dyDescent="0.2">
      <c r="A70" s="481">
        <v>68</v>
      </c>
      <c r="B70" s="481">
        <v>2</v>
      </c>
      <c r="C70" s="16">
        <v>2</v>
      </c>
      <c r="D70" s="482" t="s">
        <v>6308</v>
      </c>
      <c r="E70" s="482" t="s">
        <v>3068</v>
      </c>
      <c r="F70" s="482" t="s">
        <v>2981</v>
      </c>
      <c r="G70" s="495"/>
      <c r="H70" s="481" t="s">
        <v>6434</v>
      </c>
      <c r="I70" s="481" t="s">
        <v>83</v>
      </c>
      <c r="J70" s="360" t="s">
        <v>158</v>
      </c>
      <c r="K70" s="482" t="s">
        <v>5577</v>
      </c>
      <c r="L70" s="482" t="s">
        <v>3714</v>
      </c>
      <c r="M70" s="482" t="s">
        <v>140</v>
      </c>
      <c r="N70" s="41" t="s">
        <v>696</v>
      </c>
      <c r="O70" s="13" t="s">
        <v>106</v>
      </c>
      <c r="P70" s="13" t="s">
        <v>107</v>
      </c>
      <c r="Q70" s="13"/>
      <c r="R70" s="481"/>
      <c r="S70" s="481" t="s">
        <v>1478</v>
      </c>
      <c r="T70" s="481"/>
      <c r="U70" s="482"/>
      <c r="V70" s="41" t="s">
        <v>6783</v>
      </c>
      <c r="W70" s="13" t="s">
        <v>106</v>
      </c>
      <c r="X70" s="482" t="s">
        <v>107</v>
      </c>
      <c r="Y70" s="481"/>
      <c r="Z70" s="481" t="s">
        <v>6504</v>
      </c>
      <c r="AA70" s="481">
        <v>198</v>
      </c>
      <c r="AB70" s="16">
        <v>174</v>
      </c>
      <c r="AC70" s="16">
        <v>174</v>
      </c>
      <c r="AD70" s="16"/>
      <c r="AE70" s="16"/>
      <c r="AF70" s="16"/>
      <c r="AG70" s="16"/>
      <c r="AH70" s="16"/>
      <c r="AI70" s="16"/>
      <c r="AJ70" s="481">
        <v>6</v>
      </c>
      <c r="AK70" s="482"/>
      <c r="AL70" s="25"/>
      <c r="AM70" s="481"/>
      <c r="AN70" s="481"/>
      <c r="AO70" s="481"/>
      <c r="AP70" s="16"/>
      <c r="AQ70" s="16" t="s">
        <v>5080</v>
      </c>
      <c r="AR70" s="130" t="s">
        <v>112</v>
      </c>
      <c r="AS70" s="130">
        <v>1405</v>
      </c>
      <c r="AT70" s="130">
        <v>2</v>
      </c>
      <c r="AU70" s="130">
        <v>1404</v>
      </c>
      <c r="AV70" s="130">
        <v>5</v>
      </c>
      <c r="AW70" s="12">
        <f>IF(AS70*AU70&gt;0,(AS70-AU70)*12+(AT70-AV70),"")</f>
        <v>9</v>
      </c>
      <c r="AX70" s="12">
        <f t="shared" si="2"/>
        <v>9</v>
      </c>
      <c r="AY70" s="12"/>
      <c r="AZ70" s="481"/>
    </row>
    <row r="71" spans="1:52" ht="30" customHeight="1" x14ac:dyDescent="0.2">
      <c r="A71" s="481">
        <v>69</v>
      </c>
      <c r="B71" s="481">
        <v>2</v>
      </c>
      <c r="C71" s="16">
        <v>2</v>
      </c>
      <c r="D71" s="482" t="s">
        <v>6308</v>
      </c>
      <c r="E71" s="482" t="s">
        <v>6502</v>
      </c>
      <c r="F71" s="482" t="s">
        <v>6</v>
      </c>
      <c r="G71" s="495"/>
      <c r="H71" s="481"/>
      <c r="I71" s="481" t="s">
        <v>7</v>
      </c>
      <c r="J71" s="360" t="s">
        <v>158</v>
      </c>
      <c r="K71" s="482" t="s">
        <v>84</v>
      </c>
      <c r="L71" s="482" t="s">
        <v>218</v>
      </c>
      <c r="M71" s="482" t="s">
        <v>218</v>
      </c>
      <c r="N71" s="41" t="s">
        <v>6505</v>
      </c>
      <c r="O71" s="13" t="s">
        <v>106</v>
      </c>
      <c r="P71" s="13" t="s">
        <v>107</v>
      </c>
      <c r="Q71" s="13"/>
      <c r="R71" s="481"/>
      <c r="S71" s="481" t="s">
        <v>6506</v>
      </c>
      <c r="T71" s="481">
        <v>345</v>
      </c>
      <c r="U71" s="482" t="s">
        <v>116</v>
      </c>
      <c r="V71" s="41" t="s">
        <v>6507</v>
      </c>
      <c r="W71" s="13" t="s">
        <v>106</v>
      </c>
      <c r="X71" s="482" t="s">
        <v>107</v>
      </c>
      <c r="Y71" s="481" t="s">
        <v>4420</v>
      </c>
      <c r="Z71" s="481" t="s">
        <v>6508</v>
      </c>
      <c r="AA71" s="481">
        <v>244</v>
      </c>
      <c r="AB71" s="16">
        <v>225</v>
      </c>
      <c r="AC71" s="16">
        <v>228</v>
      </c>
      <c r="AD71" s="16">
        <v>149</v>
      </c>
      <c r="AE71" s="16">
        <v>166</v>
      </c>
      <c r="AF71" s="16">
        <v>7</v>
      </c>
      <c r="AG71" s="16">
        <v>65</v>
      </c>
      <c r="AH71" s="16">
        <v>238</v>
      </c>
      <c r="AI71" s="16">
        <v>22</v>
      </c>
      <c r="AJ71" s="481">
        <v>6</v>
      </c>
      <c r="AK71" s="482"/>
      <c r="AL71" s="25" t="s">
        <v>6509</v>
      </c>
      <c r="AM71" s="481">
        <v>238</v>
      </c>
      <c r="AN71" s="481">
        <v>22</v>
      </c>
      <c r="AO71" s="481"/>
      <c r="AP71" s="16"/>
      <c r="AQ71" s="16" t="s">
        <v>160</v>
      </c>
      <c r="AR71" s="130" t="s">
        <v>165</v>
      </c>
      <c r="AS71" s="130">
        <v>1405</v>
      </c>
      <c r="AT71" s="130">
        <v>2</v>
      </c>
      <c r="AU71" s="130"/>
      <c r="AV71" s="130"/>
      <c r="AW71" s="12"/>
      <c r="AX71" s="12">
        <f t="shared" si="2"/>
        <v>0</v>
      </c>
      <c r="AY71" s="12"/>
      <c r="AZ71" s="481"/>
    </row>
    <row r="72" spans="1:52" ht="30" customHeight="1" x14ac:dyDescent="0.2">
      <c r="A72" s="481">
        <v>70</v>
      </c>
      <c r="B72" s="481">
        <v>3</v>
      </c>
      <c r="C72" s="16">
        <v>2</v>
      </c>
      <c r="D72" s="482" t="s">
        <v>6308</v>
      </c>
      <c r="E72" s="482" t="s">
        <v>6503</v>
      </c>
      <c r="F72" s="482" t="s">
        <v>20</v>
      </c>
      <c r="G72" s="495"/>
      <c r="H72" s="481" t="s">
        <v>2147</v>
      </c>
      <c r="I72" s="481" t="s">
        <v>83</v>
      </c>
      <c r="J72" s="360" t="s">
        <v>158</v>
      </c>
      <c r="K72" s="482" t="s">
        <v>5577</v>
      </c>
      <c r="L72" s="482" t="s">
        <v>3714</v>
      </c>
      <c r="M72" s="482" t="s">
        <v>68</v>
      </c>
      <c r="N72" s="41"/>
      <c r="O72" s="13" t="s">
        <v>106</v>
      </c>
      <c r="P72" s="13" t="s">
        <v>107</v>
      </c>
      <c r="Q72" s="13"/>
      <c r="R72" s="481"/>
      <c r="S72" s="481" t="s">
        <v>332</v>
      </c>
      <c r="T72" s="481"/>
      <c r="U72" s="482"/>
      <c r="V72" s="41"/>
      <c r="W72" s="13" t="s">
        <v>106</v>
      </c>
      <c r="X72" s="482" t="s">
        <v>107</v>
      </c>
      <c r="Y72" s="481"/>
      <c r="Z72" s="481" t="s">
        <v>6532</v>
      </c>
      <c r="AA72" s="481"/>
      <c r="AB72" s="16">
        <v>210</v>
      </c>
      <c r="AC72" s="16">
        <v>210</v>
      </c>
      <c r="AD72" s="16"/>
      <c r="AE72" s="16"/>
      <c r="AF72" s="16"/>
      <c r="AG72" s="16"/>
      <c r="AH72" s="16"/>
      <c r="AI72" s="16"/>
      <c r="AJ72" s="481">
        <v>6</v>
      </c>
      <c r="AK72" s="482"/>
      <c r="AL72" s="25"/>
      <c r="AM72" s="481"/>
      <c r="AN72" s="481"/>
      <c r="AO72" s="481"/>
      <c r="AP72" s="16"/>
      <c r="AQ72" s="16"/>
      <c r="AR72" s="130"/>
      <c r="AS72" s="130">
        <v>1405</v>
      </c>
      <c r="AT72" s="130">
        <v>2</v>
      </c>
      <c r="AU72" s="130">
        <v>1402</v>
      </c>
      <c r="AV72" s="130">
        <v>2</v>
      </c>
      <c r="AW72" s="12">
        <f>IF(AS72*AU72&gt;0,(AS72-AU72)*12+(AT72-AV72),"")</f>
        <v>36</v>
      </c>
      <c r="AX72" s="12" t="str">
        <f t="shared" si="2"/>
        <v/>
      </c>
      <c r="AY72" s="12"/>
      <c r="AZ72" s="481"/>
    </row>
    <row r="73" spans="1:52" ht="30" customHeight="1" x14ac:dyDescent="0.2">
      <c r="A73" s="481">
        <v>71</v>
      </c>
      <c r="B73" s="481">
        <v>3</v>
      </c>
      <c r="C73" s="16">
        <v>2</v>
      </c>
      <c r="D73" s="482" t="s">
        <v>6308</v>
      </c>
      <c r="E73" s="482" t="s">
        <v>1562</v>
      </c>
      <c r="F73" s="482" t="s">
        <v>6</v>
      </c>
      <c r="G73" s="495"/>
      <c r="H73" s="481"/>
      <c r="I73" s="481" t="s">
        <v>7</v>
      </c>
      <c r="J73" s="360" t="s">
        <v>158</v>
      </c>
      <c r="K73" s="482" t="s">
        <v>84</v>
      </c>
      <c r="L73" s="482"/>
      <c r="M73" s="482" t="s">
        <v>155</v>
      </c>
      <c r="N73" s="41" t="s">
        <v>6745</v>
      </c>
      <c r="O73" s="13" t="s">
        <v>69</v>
      </c>
      <c r="P73" s="13" t="s">
        <v>70</v>
      </c>
      <c r="Q73" s="13"/>
      <c r="R73" s="481"/>
      <c r="S73" s="481"/>
      <c r="T73" s="481">
        <v>6611</v>
      </c>
      <c r="U73" s="482" t="s">
        <v>226</v>
      </c>
      <c r="V73" s="41" t="s">
        <v>6746</v>
      </c>
      <c r="W73" s="13" t="s">
        <v>106</v>
      </c>
      <c r="X73" s="482" t="s">
        <v>107</v>
      </c>
      <c r="Y73" s="481"/>
      <c r="Z73" s="481"/>
      <c r="AA73" s="481">
        <v>234</v>
      </c>
      <c r="AB73" s="16">
        <v>222</v>
      </c>
      <c r="AC73" s="16">
        <v>222</v>
      </c>
      <c r="AD73" s="16"/>
      <c r="AE73" s="16"/>
      <c r="AF73" s="16"/>
      <c r="AG73" s="16"/>
      <c r="AH73" s="16"/>
      <c r="AI73" s="16"/>
      <c r="AJ73" s="481">
        <v>6</v>
      </c>
      <c r="AK73" s="482"/>
      <c r="AL73" s="25" t="s">
        <v>6747</v>
      </c>
      <c r="AM73" s="481">
        <v>241</v>
      </c>
      <c r="AN73" s="481">
        <v>20</v>
      </c>
      <c r="AO73" s="481"/>
      <c r="AP73" s="16"/>
      <c r="AQ73" s="16" t="s">
        <v>160</v>
      </c>
      <c r="AR73" s="130" t="s">
        <v>165</v>
      </c>
      <c r="AS73" s="130">
        <v>1405</v>
      </c>
      <c r="AT73" s="130">
        <v>2</v>
      </c>
      <c r="AU73" s="130"/>
      <c r="AV73" s="130"/>
      <c r="AW73" s="12"/>
      <c r="AX73" s="12">
        <f t="shared" si="2"/>
        <v>0</v>
      </c>
      <c r="AY73" s="12"/>
      <c r="AZ73" s="481"/>
    </row>
    <row r="74" spans="1:52" ht="30" customHeight="1" x14ac:dyDescent="0.2">
      <c r="A74" s="481">
        <v>72</v>
      </c>
      <c r="B74" s="481">
        <v>4</v>
      </c>
      <c r="C74" s="16">
        <v>2</v>
      </c>
      <c r="D74" s="482" t="s">
        <v>6308</v>
      </c>
      <c r="E74" s="482" t="s">
        <v>6531</v>
      </c>
      <c r="F74" s="482" t="s">
        <v>2981</v>
      </c>
      <c r="G74" s="495"/>
      <c r="H74" s="481" t="s">
        <v>922</v>
      </c>
      <c r="I74" s="481" t="s">
        <v>83</v>
      </c>
      <c r="J74" s="360" t="s">
        <v>158</v>
      </c>
      <c r="K74" s="490" t="s">
        <v>84</v>
      </c>
      <c r="L74" s="482"/>
      <c r="M74" s="482" t="s">
        <v>140</v>
      </c>
      <c r="N74" s="41"/>
      <c r="O74" s="13" t="s">
        <v>106</v>
      </c>
      <c r="P74" s="13" t="s">
        <v>107</v>
      </c>
      <c r="Q74" s="13"/>
      <c r="R74" s="481"/>
      <c r="S74" s="481" t="s">
        <v>143</v>
      </c>
      <c r="T74" s="481"/>
      <c r="U74" s="482"/>
      <c r="V74" s="41"/>
      <c r="W74" s="13" t="s">
        <v>106</v>
      </c>
      <c r="X74" s="13" t="s">
        <v>107</v>
      </c>
      <c r="Y74" s="481"/>
      <c r="Z74" s="481" t="s">
        <v>6533</v>
      </c>
      <c r="AA74" s="481">
        <v>96</v>
      </c>
      <c r="AB74" s="16">
        <v>87</v>
      </c>
      <c r="AC74" s="16">
        <v>87</v>
      </c>
      <c r="AD74" s="16"/>
      <c r="AE74" s="16"/>
      <c r="AF74" s="16"/>
      <c r="AG74" s="16"/>
      <c r="AH74" s="16"/>
      <c r="AI74" s="16"/>
      <c r="AJ74" s="481">
        <v>6</v>
      </c>
      <c r="AK74" s="482"/>
      <c r="AL74" s="25"/>
      <c r="AM74" s="481"/>
      <c r="AN74" s="481"/>
      <c r="AO74" s="481"/>
      <c r="AP74" s="16"/>
      <c r="AQ74" s="16"/>
      <c r="AR74" s="130"/>
      <c r="AS74" s="130">
        <v>1405</v>
      </c>
      <c r="AT74" s="130">
        <v>2</v>
      </c>
      <c r="AU74" s="130">
        <v>1403</v>
      </c>
      <c r="AV74" s="130">
        <v>6</v>
      </c>
      <c r="AW74" s="12">
        <f>IF(AS74*AU74&gt;0,(AS74-AU74)*12+(AT74-AV74),"")</f>
        <v>20</v>
      </c>
      <c r="AX74" s="12" t="str">
        <f t="shared" si="2"/>
        <v/>
      </c>
      <c r="AY74" s="12"/>
      <c r="AZ74" s="481"/>
    </row>
    <row r="75" spans="1:52" ht="30" customHeight="1" x14ac:dyDescent="0.2">
      <c r="A75" s="481">
        <v>73</v>
      </c>
      <c r="B75" s="481">
        <v>4</v>
      </c>
      <c r="C75" s="16">
        <v>2</v>
      </c>
      <c r="D75" s="482" t="s">
        <v>6308</v>
      </c>
      <c r="E75" s="482" t="s">
        <v>6531</v>
      </c>
      <c r="F75" s="482" t="s">
        <v>2981</v>
      </c>
      <c r="G75" s="495"/>
      <c r="H75" s="481"/>
      <c r="I75" s="481" t="s">
        <v>7</v>
      </c>
      <c r="J75" s="360" t="s">
        <v>158</v>
      </c>
      <c r="K75" s="490" t="s">
        <v>84</v>
      </c>
      <c r="L75" s="482" t="s">
        <v>140</v>
      </c>
      <c r="M75" s="482" t="s">
        <v>140</v>
      </c>
      <c r="N75" s="41" t="s">
        <v>6534</v>
      </c>
      <c r="O75" s="13" t="s">
        <v>69</v>
      </c>
      <c r="P75" s="13" t="s">
        <v>70</v>
      </c>
      <c r="Q75" s="13"/>
      <c r="R75" s="481"/>
      <c r="S75" s="481" t="s">
        <v>143</v>
      </c>
      <c r="T75" s="481">
        <v>384</v>
      </c>
      <c r="U75" s="482" t="s">
        <v>506</v>
      </c>
      <c r="V75" s="41" t="s">
        <v>6535</v>
      </c>
      <c r="W75" s="13" t="s">
        <v>69</v>
      </c>
      <c r="X75" s="13" t="s">
        <v>70</v>
      </c>
      <c r="Y75" s="481" t="s">
        <v>4420</v>
      </c>
      <c r="Z75" s="481" t="s">
        <v>6533</v>
      </c>
      <c r="AA75" s="481">
        <v>96</v>
      </c>
      <c r="AB75" s="16">
        <v>87</v>
      </c>
      <c r="AC75" s="16">
        <v>87</v>
      </c>
      <c r="AD75" s="16">
        <v>59</v>
      </c>
      <c r="AE75" s="16">
        <v>75</v>
      </c>
      <c r="AF75" s="16">
        <v>5</v>
      </c>
      <c r="AG75" s="16">
        <v>10</v>
      </c>
      <c r="AH75" s="16">
        <v>90</v>
      </c>
      <c r="AI75" s="16">
        <v>27</v>
      </c>
      <c r="AJ75" s="481">
        <v>6</v>
      </c>
      <c r="AK75" s="482"/>
      <c r="AL75" s="25" t="s">
        <v>6509</v>
      </c>
      <c r="AM75" s="481">
        <v>90</v>
      </c>
      <c r="AN75" s="481">
        <v>27</v>
      </c>
      <c r="AO75" s="481"/>
      <c r="AP75" s="16"/>
      <c r="AQ75" s="16" t="s">
        <v>160</v>
      </c>
      <c r="AR75" s="130" t="s">
        <v>231</v>
      </c>
      <c r="AS75" s="130">
        <v>1405</v>
      </c>
      <c r="AT75" s="130">
        <v>2</v>
      </c>
      <c r="AU75" s="130"/>
      <c r="AV75" s="130"/>
      <c r="AW75" s="12"/>
      <c r="AX75" s="12">
        <f t="shared" si="2"/>
        <v>0</v>
      </c>
      <c r="AY75" s="12"/>
      <c r="AZ75" s="481"/>
    </row>
    <row r="76" spans="1:52" ht="30" customHeight="1" x14ac:dyDescent="0.2">
      <c r="A76" s="481">
        <v>74</v>
      </c>
      <c r="B76" s="481">
        <v>5</v>
      </c>
      <c r="C76" s="16">
        <v>2</v>
      </c>
      <c r="D76" s="482" t="s">
        <v>6308</v>
      </c>
      <c r="E76" s="482" t="s">
        <v>6436</v>
      </c>
      <c r="F76" s="30" t="s">
        <v>66</v>
      </c>
      <c r="G76" s="510" t="s">
        <v>6588</v>
      </c>
      <c r="H76" s="481"/>
      <c r="I76" s="481" t="s">
        <v>7</v>
      </c>
      <c r="J76" s="360" t="s">
        <v>158</v>
      </c>
      <c r="K76" s="482" t="s">
        <v>5577</v>
      </c>
      <c r="L76" s="482" t="s">
        <v>104</v>
      </c>
      <c r="M76" s="482" t="s">
        <v>104</v>
      </c>
      <c r="N76" s="41" t="s">
        <v>6536</v>
      </c>
      <c r="O76" s="13" t="s">
        <v>142</v>
      </c>
      <c r="P76" s="13" t="s">
        <v>70</v>
      </c>
      <c r="Q76" s="13"/>
      <c r="R76" s="481"/>
      <c r="S76" s="481" t="s">
        <v>108</v>
      </c>
      <c r="T76" s="481">
        <v>384</v>
      </c>
      <c r="U76" s="482" t="s">
        <v>555</v>
      </c>
      <c r="V76" s="41" t="s">
        <v>6537</v>
      </c>
      <c r="W76" s="13" t="s">
        <v>69</v>
      </c>
      <c r="X76" s="482" t="s">
        <v>70</v>
      </c>
      <c r="Y76" s="481" t="s">
        <v>4420</v>
      </c>
      <c r="Z76" s="481" t="s">
        <v>6538</v>
      </c>
      <c r="AA76" s="481">
        <v>223</v>
      </c>
      <c r="AB76" s="16">
        <v>210</v>
      </c>
      <c r="AC76" s="16">
        <v>210</v>
      </c>
      <c r="AD76" s="16">
        <v>94</v>
      </c>
      <c r="AE76" s="16">
        <v>102</v>
      </c>
      <c r="AF76" s="16">
        <v>12</v>
      </c>
      <c r="AG76" s="16">
        <v>5</v>
      </c>
      <c r="AH76" s="16">
        <v>119</v>
      </c>
      <c r="AI76" s="16">
        <v>30</v>
      </c>
      <c r="AJ76" s="481">
        <v>6</v>
      </c>
      <c r="AK76" s="482"/>
      <c r="AL76" s="25" t="s">
        <v>6539</v>
      </c>
      <c r="AM76" s="481">
        <v>119</v>
      </c>
      <c r="AN76" s="481">
        <v>30</v>
      </c>
      <c r="AO76" s="481"/>
      <c r="AP76" s="16"/>
      <c r="AQ76" s="16" t="s">
        <v>160</v>
      </c>
      <c r="AR76" s="130" t="s">
        <v>193</v>
      </c>
      <c r="AS76" s="130">
        <v>1405</v>
      </c>
      <c r="AT76" s="130">
        <v>2</v>
      </c>
      <c r="AU76" s="130"/>
      <c r="AV76" s="130"/>
      <c r="AW76" s="12"/>
      <c r="AX76" s="12">
        <f t="shared" si="2"/>
        <v>0</v>
      </c>
      <c r="AY76" s="12"/>
      <c r="AZ76" s="481"/>
    </row>
    <row r="77" spans="1:52" ht="30" customHeight="1" x14ac:dyDescent="0.2">
      <c r="A77" s="481">
        <v>75</v>
      </c>
      <c r="B77" s="481">
        <v>5</v>
      </c>
      <c r="C77" s="16">
        <v>2</v>
      </c>
      <c r="D77" s="482" t="s">
        <v>6308</v>
      </c>
      <c r="E77" s="482" t="s">
        <v>6542</v>
      </c>
      <c r="F77" s="482" t="s">
        <v>2981</v>
      </c>
      <c r="G77" s="495"/>
      <c r="H77" s="481" t="s">
        <v>6540</v>
      </c>
      <c r="I77" s="481" t="s">
        <v>83</v>
      </c>
      <c r="J77" s="360" t="s">
        <v>158</v>
      </c>
      <c r="K77" s="482" t="s">
        <v>84</v>
      </c>
      <c r="L77" s="482"/>
      <c r="M77" s="482" t="s">
        <v>218</v>
      </c>
      <c r="N77" s="41"/>
      <c r="O77" s="13" t="s">
        <v>106</v>
      </c>
      <c r="P77" s="13" t="s">
        <v>107</v>
      </c>
      <c r="Q77" s="13"/>
      <c r="R77" s="481"/>
      <c r="S77" s="481" t="s">
        <v>453</v>
      </c>
      <c r="T77" s="481"/>
      <c r="U77" s="482"/>
      <c r="V77" s="41"/>
      <c r="W77" s="13" t="s">
        <v>106</v>
      </c>
      <c r="X77" s="482" t="s">
        <v>107</v>
      </c>
      <c r="Y77" s="481"/>
      <c r="Z77" s="481" t="s">
        <v>6541</v>
      </c>
      <c r="AA77" s="481"/>
      <c r="AB77" s="16">
        <v>222</v>
      </c>
      <c r="AC77" s="16">
        <v>222</v>
      </c>
      <c r="AD77" s="16"/>
      <c r="AE77" s="16"/>
      <c r="AF77" s="16"/>
      <c r="AG77" s="16"/>
      <c r="AH77" s="16"/>
      <c r="AI77" s="16"/>
      <c r="AJ77" s="481">
        <v>6</v>
      </c>
      <c r="AK77" s="482"/>
      <c r="AL77" s="25"/>
      <c r="AM77" s="481"/>
      <c r="AN77" s="481"/>
      <c r="AO77" s="481"/>
      <c r="AP77" s="16"/>
      <c r="AQ77" s="16" t="s">
        <v>160</v>
      </c>
      <c r="AR77" s="130" t="s">
        <v>165</v>
      </c>
      <c r="AS77" s="130">
        <v>1405</v>
      </c>
      <c r="AT77" s="130">
        <v>2</v>
      </c>
      <c r="AU77" s="130">
        <v>1402</v>
      </c>
      <c r="AV77" s="130">
        <v>2</v>
      </c>
      <c r="AW77" s="12">
        <f>IF(AS77*AU77&gt;0,(AS77-AU77)*12+(AT77-AV77),"")</f>
        <v>36</v>
      </c>
      <c r="AX77" s="12" t="str">
        <f t="shared" si="2"/>
        <v/>
      </c>
      <c r="AY77" s="12"/>
      <c r="AZ77" s="481"/>
    </row>
    <row r="78" spans="1:52" ht="30" customHeight="1" x14ac:dyDescent="0.2">
      <c r="A78" s="481">
        <v>76</v>
      </c>
      <c r="B78" s="481">
        <v>6</v>
      </c>
      <c r="C78" s="16">
        <v>2</v>
      </c>
      <c r="D78" s="482" t="s">
        <v>6308</v>
      </c>
      <c r="E78" s="482" t="s">
        <v>6542</v>
      </c>
      <c r="F78" s="482" t="s">
        <v>2981</v>
      </c>
      <c r="G78" s="495"/>
      <c r="H78" s="481"/>
      <c r="I78" s="481" t="s">
        <v>7</v>
      </c>
      <c r="J78" s="360" t="s">
        <v>158</v>
      </c>
      <c r="K78" s="482" t="s">
        <v>84</v>
      </c>
      <c r="L78" s="35" t="s">
        <v>218</v>
      </c>
      <c r="M78" s="35" t="s">
        <v>117</v>
      </c>
      <c r="N78" s="41" t="s">
        <v>6545</v>
      </c>
      <c r="O78" s="13" t="s">
        <v>106</v>
      </c>
      <c r="P78" s="13" t="s">
        <v>107</v>
      </c>
      <c r="Q78" s="13"/>
      <c r="R78" s="481"/>
      <c r="S78" s="33" t="s">
        <v>453</v>
      </c>
      <c r="T78" s="33">
        <v>6608</v>
      </c>
      <c r="U78" s="35" t="s">
        <v>1581</v>
      </c>
      <c r="V78" s="41" t="s">
        <v>6537</v>
      </c>
      <c r="W78" s="13" t="s">
        <v>106</v>
      </c>
      <c r="X78" s="482" t="s">
        <v>107</v>
      </c>
      <c r="Y78" s="481" t="s">
        <v>5187</v>
      </c>
      <c r="Z78" s="481" t="s">
        <v>6541</v>
      </c>
      <c r="AA78" s="481">
        <v>250</v>
      </c>
      <c r="AB78" s="16">
        <v>222</v>
      </c>
      <c r="AC78" s="16">
        <v>222</v>
      </c>
      <c r="AD78" s="16">
        <v>110</v>
      </c>
      <c r="AE78" s="16">
        <v>162</v>
      </c>
      <c r="AF78" s="16">
        <v>2</v>
      </c>
      <c r="AG78" s="16">
        <v>80</v>
      </c>
      <c r="AH78" s="16">
        <v>244</v>
      </c>
      <c r="AI78" s="16">
        <v>8</v>
      </c>
      <c r="AJ78" s="481">
        <v>6</v>
      </c>
      <c r="AK78" s="482"/>
      <c r="AL78" s="25" t="s">
        <v>6546</v>
      </c>
      <c r="AM78" s="481">
        <v>244</v>
      </c>
      <c r="AN78" s="481">
        <v>8</v>
      </c>
      <c r="AO78" s="481"/>
      <c r="AP78" s="16"/>
      <c r="AQ78" s="16" t="s">
        <v>160</v>
      </c>
      <c r="AR78" s="130" t="s">
        <v>161</v>
      </c>
      <c r="AS78" s="130">
        <v>1405</v>
      </c>
      <c r="AT78" s="130">
        <v>2</v>
      </c>
      <c r="AU78" s="130"/>
      <c r="AV78" s="130"/>
      <c r="AW78" s="12"/>
      <c r="AX78" s="12">
        <f t="shared" si="2"/>
        <v>0</v>
      </c>
      <c r="AY78" s="12"/>
      <c r="AZ78" s="481"/>
    </row>
    <row r="79" spans="1:52" ht="30" customHeight="1" x14ac:dyDescent="0.2">
      <c r="A79" s="481">
        <v>77</v>
      </c>
      <c r="B79" s="481">
        <v>6</v>
      </c>
      <c r="C79" s="16">
        <v>2</v>
      </c>
      <c r="D79" s="482" t="s">
        <v>6308</v>
      </c>
      <c r="E79" s="482" t="s">
        <v>2197</v>
      </c>
      <c r="F79" s="482" t="s">
        <v>10</v>
      </c>
      <c r="G79" s="495"/>
      <c r="H79" s="481" t="s">
        <v>4038</v>
      </c>
      <c r="I79" s="481" t="s">
        <v>83</v>
      </c>
      <c r="J79" s="360" t="s">
        <v>158</v>
      </c>
      <c r="K79" s="482" t="s">
        <v>84</v>
      </c>
      <c r="L79" s="482"/>
      <c r="M79" s="482" t="s">
        <v>104</v>
      </c>
      <c r="N79" s="41"/>
      <c r="O79" s="13" t="s">
        <v>106</v>
      </c>
      <c r="P79" s="13" t="s">
        <v>107</v>
      </c>
      <c r="Q79" s="13"/>
      <c r="R79" s="481"/>
      <c r="S79" s="481" t="s">
        <v>402</v>
      </c>
      <c r="T79" s="481"/>
      <c r="U79" s="482"/>
      <c r="V79" s="41"/>
      <c r="W79" s="13" t="s">
        <v>106</v>
      </c>
      <c r="X79" s="482" t="s">
        <v>107</v>
      </c>
      <c r="Y79" s="481"/>
      <c r="Z79" s="481" t="s">
        <v>4149</v>
      </c>
      <c r="AA79" s="481">
        <v>243</v>
      </c>
      <c r="AB79" s="16">
        <v>231</v>
      </c>
      <c r="AC79" s="16">
        <v>231</v>
      </c>
      <c r="AD79" s="16"/>
      <c r="AE79" s="16"/>
      <c r="AF79" s="16"/>
      <c r="AG79" s="16"/>
      <c r="AH79" s="16"/>
      <c r="AI79" s="16"/>
      <c r="AJ79" s="481">
        <v>6</v>
      </c>
      <c r="AK79" s="482"/>
      <c r="AL79" s="25"/>
      <c r="AM79" s="481"/>
      <c r="AN79" s="481"/>
      <c r="AO79" s="481"/>
      <c r="AP79" s="16"/>
      <c r="AQ79" s="16" t="s">
        <v>160</v>
      </c>
      <c r="AR79" s="130" t="s">
        <v>193</v>
      </c>
      <c r="AS79" s="130">
        <v>1405</v>
      </c>
      <c r="AT79" s="130">
        <v>2</v>
      </c>
      <c r="AU79" s="130">
        <v>1402</v>
      </c>
      <c r="AV79" s="130">
        <v>10</v>
      </c>
      <c r="AW79" s="12">
        <f>IF(AS79*AU79&gt;0,(AS79-AU79)*12+(AT79-AV79),"")</f>
        <v>28</v>
      </c>
      <c r="AX79" s="12" t="str">
        <f t="shared" si="2"/>
        <v/>
      </c>
      <c r="AY79" s="12"/>
      <c r="AZ79" s="481"/>
    </row>
    <row r="80" spans="1:52" ht="30" customHeight="1" x14ac:dyDescent="0.2">
      <c r="A80" s="481">
        <v>78</v>
      </c>
      <c r="B80" s="481">
        <v>7</v>
      </c>
      <c r="C80" s="16">
        <v>2</v>
      </c>
      <c r="D80" s="482" t="s">
        <v>6308</v>
      </c>
      <c r="E80" s="482" t="s">
        <v>5895</v>
      </c>
      <c r="F80" s="482" t="s">
        <v>10</v>
      </c>
      <c r="G80" s="495"/>
      <c r="H80" s="481" t="s">
        <v>6543</v>
      </c>
      <c r="I80" s="481" t="s">
        <v>83</v>
      </c>
      <c r="J80" s="360" t="s">
        <v>158</v>
      </c>
      <c r="K80" s="482" t="s">
        <v>5577</v>
      </c>
      <c r="L80" s="482" t="s">
        <v>3714</v>
      </c>
      <c r="M80" s="482" t="s">
        <v>68</v>
      </c>
      <c r="N80" s="41"/>
      <c r="O80" s="13" t="s">
        <v>106</v>
      </c>
      <c r="P80" s="13" t="s">
        <v>107</v>
      </c>
      <c r="Q80" s="13"/>
      <c r="R80" s="481"/>
      <c r="S80" s="481" t="s">
        <v>450</v>
      </c>
      <c r="T80" s="481"/>
      <c r="U80" s="482"/>
      <c r="V80" s="41"/>
      <c r="W80" s="13" t="s">
        <v>106</v>
      </c>
      <c r="X80" s="482" t="s">
        <v>107</v>
      </c>
      <c r="Y80" s="481"/>
      <c r="Z80" s="481" t="s">
        <v>6547</v>
      </c>
      <c r="AA80" s="481"/>
      <c r="AB80" s="16">
        <v>208</v>
      </c>
      <c r="AC80" s="16">
        <v>208</v>
      </c>
      <c r="AD80" s="16"/>
      <c r="AE80" s="16"/>
      <c r="AF80" s="16"/>
      <c r="AG80" s="16"/>
      <c r="AH80" s="16"/>
      <c r="AI80" s="16"/>
      <c r="AJ80" s="481">
        <v>6</v>
      </c>
      <c r="AK80" s="482"/>
      <c r="AL80" s="25"/>
      <c r="AM80" s="481"/>
      <c r="AN80" s="481"/>
      <c r="AO80" s="481"/>
      <c r="AP80" s="16"/>
      <c r="AQ80" s="16" t="s">
        <v>160</v>
      </c>
      <c r="AR80" s="130" t="s">
        <v>165</v>
      </c>
      <c r="AS80" s="130">
        <v>1405</v>
      </c>
      <c r="AT80" s="130">
        <v>2</v>
      </c>
      <c r="AU80" s="130">
        <v>1404</v>
      </c>
      <c r="AV80" s="130">
        <v>11</v>
      </c>
      <c r="AW80" s="12">
        <f>IF(AS80*AU80&gt;0,(AS80-AU80)*12+(AT80-AV80),"")</f>
        <v>3</v>
      </c>
      <c r="AX80" s="12">
        <f t="shared" si="2"/>
        <v>3</v>
      </c>
      <c r="AY80" s="12"/>
      <c r="AZ80" s="481"/>
    </row>
    <row r="81" spans="1:52" ht="30" customHeight="1" x14ac:dyDescent="0.2">
      <c r="A81" s="481">
        <v>79</v>
      </c>
      <c r="B81" s="481">
        <v>7</v>
      </c>
      <c r="C81" s="16">
        <v>2</v>
      </c>
      <c r="D81" s="482" t="s">
        <v>6308</v>
      </c>
      <c r="E81" s="482" t="s">
        <v>6544</v>
      </c>
      <c r="F81" s="482" t="s">
        <v>8</v>
      </c>
      <c r="G81" s="495"/>
      <c r="H81" s="481" t="s">
        <v>6434</v>
      </c>
      <c r="I81" s="481" t="s">
        <v>83</v>
      </c>
      <c r="J81" s="360" t="s">
        <v>158</v>
      </c>
      <c r="K81" s="482" t="s">
        <v>84</v>
      </c>
      <c r="L81" s="482"/>
      <c r="M81" s="482" t="s">
        <v>140</v>
      </c>
      <c r="N81" s="41"/>
      <c r="O81" s="13" t="s">
        <v>106</v>
      </c>
      <c r="P81" s="13" t="s">
        <v>107</v>
      </c>
      <c r="Q81" s="13"/>
      <c r="R81" s="481"/>
      <c r="S81" s="481" t="s">
        <v>143</v>
      </c>
      <c r="T81" s="481"/>
      <c r="U81" s="482"/>
      <c r="V81" s="41"/>
      <c r="W81" s="13" t="s">
        <v>106</v>
      </c>
      <c r="X81" s="482" t="s">
        <v>107</v>
      </c>
      <c r="Y81" s="481"/>
      <c r="Z81" s="481" t="s">
        <v>6554</v>
      </c>
      <c r="AA81" s="481"/>
      <c r="AB81" s="16">
        <v>114</v>
      </c>
      <c r="AC81" s="16">
        <v>114</v>
      </c>
      <c r="AD81" s="16"/>
      <c r="AE81" s="16"/>
      <c r="AF81" s="16"/>
      <c r="AG81" s="16"/>
      <c r="AH81" s="16"/>
      <c r="AI81" s="16"/>
      <c r="AJ81" s="481">
        <v>6</v>
      </c>
      <c r="AK81" s="482"/>
      <c r="AL81" s="25"/>
      <c r="AM81" s="481"/>
      <c r="AN81" s="481"/>
      <c r="AO81" s="481"/>
      <c r="AP81" s="16"/>
      <c r="AQ81" s="16" t="s">
        <v>5080</v>
      </c>
      <c r="AR81" s="130" t="s">
        <v>231</v>
      </c>
      <c r="AS81" s="130">
        <v>1405</v>
      </c>
      <c r="AT81" s="130">
        <v>2</v>
      </c>
      <c r="AU81" s="130">
        <v>1395</v>
      </c>
      <c r="AV81" s="130">
        <v>1</v>
      </c>
      <c r="AW81" s="12">
        <f>IF(AS81*AU81&gt;0,(AS81-AU81)*12+(AT81-AV81),"")</f>
        <v>121</v>
      </c>
      <c r="AX81" s="12" t="str">
        <f t="shared" si="2"/>
        <v/>
      </c>
      <c r="AY81" s="12"/>
      <c r="AZ81" s="481"/>
    </row>
    <row r="82" spans="1:52" ht="30" customHeight="1" x14ac:dyDescent="0.2">
      <c r="A82" s="481">
        <v>80</v>
      </c>
      <c r="B82" s="481">
        <v>7</v>
      </c>
      <c r="C82" s="16">
        <v>2</v>
      </c>
      <c r="D82" s="482" t="s">
        <v>6308</v>
      </c>
      <c r="E82" s="482" t="s">
        <v>1242</v>
      </c>
      <c r="F82" s="482" t="s">
        <v>8</v>
      </c>
      <c r="G82" s="495"/>
      <c r="H82" s="481" t="s">
        <v>4038</v>
      </c>
      <c r="I82" s="481" t="s">
        <v>83</v>
      </c>
      <c r="J82" s="360" t="s">
        <v>158</v>
      </c>
      <c r="K82" s="482" t="s">
        <v>84</v>
      </c>
      <c r="L82" s="482"/>
      <c r="M82" s="482" t="s">
        <v>116</v>
      </c>
      <c r="N82" s="41"/>
      <c r="O82" s="13" t="s">
        <v>106</v>
      </c>
      <c r="P82" s="13" t="s">
        <v>107</v>
      </c>
      <c r="Q82" s="13"/>
      <c r="R82" s="481"/>
      <c r="S82" s="481" t="s">
        <v>4885</v>
      </c>
      <c r="T82" s="481"/>
      <c r="U82" s="482"/>
      <c r="V82" s="41"/>
      <c r="W82" s="13" t="s">
        <v>106</v>
      </c>
      <c r="X82" s="482" t="s">
        <v>107</v>
      </c>
      <c r="Y82" s="481"/>
      <c r="Z82" s="481" t="s">
        <v>6555</v>
      </c>
      <c r="AA82" s="481"/>
      <c r="AB82" s="16">
        <v>106</v>
      </c>
      <c r="AC82" s="16">
        <v>106</v>
      </c>
      <c r="AD82" s="16"/>
      <c r="AE82" s="16"/>
      <c r="AF82" s="16"/>
      <c r="AG82" s="16"/>
      <c r="AH82" s="16"/>
      <c r="AI82" s="16"/>
      <c r="AJ82" s="481">
        <v>4</v>
      </c>
      <c r="AK82" s="482"/>
      <c r="AL82" s="25"/>
      <c r="AM82" s="481"/>
      <c r="AN82" s="481"/>
      <c r="AO82" s="481"/>
      <c r="AP82" s="16"/>
      <c r="AQ82" s="16" t="s">
        <v>160</v>
      </c>
      <c r="AR82" s="130" t="s">
        <v>1956</v>
      </c>
      <c r="AS82" s="130">
        <v>1405</v>
      </c>
      <c r="AT82" s="130">
        <v>2</v>
      </c>
      <c r="AU82" s="130">
        <v>1403</v>
      </c>
      <c r="AV82" s="130">
        <v>9</v>
      </c>
      <c r="AW82" s="12">
        <f>IF(AS82*AU82&gt;0,(AS82-AU82)*12+(AT82-AV82),"")</f>
        <v>17</v>
      </c>
      <c r="AX82" s="12" t="str">
        <f t="shared" si="2"/>
        <v/>
      </c>
      <c r="AY82" s="12"/>
      <c r="AZ82" s="481"/>
    </row>
    <row r="83" spans="1:52" ht="30" customHeight="1" x14ac:dyDescent="0.2">
      <c r="A83" s="481">
        <v>81</v>
      </c>
      <c r="B83" s="481">
        <v>7</v>
      </c>
      <c r="C83" s="16">
        <v>2</v>
      </c>
      <c r="D83" s="482" t="s">
        <v>6308</v>
      </c>
      <c r="E83" s="482" t="s">
        <v>1242</v>
      </c>
      <c r="F83" s="482" t="s">
        <v>8</v>
      </c>
      <c r="G83" s="495"/>
      <c r="H83" s="481"/>
      <c r="I83" s="481" t="s">
        <v>7</v>
      </c>
      <c r="J83" s="360" t="s">
        <v>158</v>
      </c>
      <c r="K83" s="482" t="s">
        <v>84</v>
      </c>
      <c r="L83" s="482" t="s">
        <v>116</v>
      </c>
      <c r="M83" s="482" t="s">
        <v>116</v>
      </c>
      <c r="N83" s="41" t="s">
        <v>6548</v>
      </c>
      <c r="O83" s="13" t="s">
        <v>69</v>
      </c>
      <c r="P83" s="13" t="s">
        <v>70</v>
      </c>
      <c r="Q83" s="13"/>
      <c r="R83" s="481"/>
      <c r="S83" s="481" t="s">
        <v>4885</v>
      </c>
      <c r="T83" s="481">
        <v>233</v>
      </c>
      <c r="U83" s="482" t="s">
        <v>465</v>
      </c>
      <c r="V83" s="41" t="s">
        <v>6549</v>
      </c>
      <c r="W83" s="13" t="s">
        <v>142</v>
      </c>
      <c r="X83" s="482" t="s">
        <v>70</v>
      </c>
      <c r="Y83" s="481" t="s">
        <v>4420</v>
      </c>
      <c r="Z83" s="481" t="s">
        <v>6555</v>
      </c>
      <c r="AA83" s="481" t="s">
        <v>3714</v>
      </c>
      <c r="AB83" s="16">
        <v>106</v>
      </c>
      <c r="AC83" s="16">
        <v>106</v>
      </c>
      <c r="AD83" s="16"/>
      <c r="AE83" s="16"/>
      <c r="AF83" s="16"/>
      <c r="AG83" s="16"/>
      <c r="AH83" s="16"/>
      <c r="AI83" s="16"/>
      <c r="AJ83" s="481">
        <v>4</v>
      </c>
      <c r="AK83" s="482"/>
      <c r="AL83" s="25" t="s">
        <v>6550</v>
      </c>
      <c r="AM83" s="481">
        <v>79</v>
      </c>
      <c r="AN83" s="481">
        <v>7</v>
      </c>
      <c r="AO83" s="481"/>
      <c r="AP83" s="16"/>
      <c r="AQ83" s="16" t="s">
        <v>160</v>
      </c>
      <c r="AR83" s="130" t="s">
        <v>1956</v>
      </c>
      <c r="AS83" s="130">
        <v>1405</v>
      </c>
      <c r="AT83" s="130">
        <v>2</v>
      </c>
      <c r="AU83" s="130"/>
      <c r="AV83" s="130"/>
      <c r="AW83" s="12"/>
      <c r="AX83" s="12">
        <f t="shared" ref="AX83:AX146" si="3">IF(AW83&lt;13,AW83,"")</f>
        <v>0</v>
      </c>
      <c r="AY83" s="12"/>
      <c r="AZ83" s="481"/>
    </row>
    <row r="84" spans="1:52" ht="30" customHeight="1" x14ac:dyDescent="0.2">
      <c r="A84" s="481">
        <v>82</v>
      </c>
      <c r="B84" s="481">
        <v>8</v>
      </c>
      <c r="C84" s="16">
        <v>2</v>
      </c>
      <c r="D84" s="482" t="s">
        <v>6308</v>
      </c>
      <c r="E84" s="482" t="s">
        <v>1207</v>
      </c>
      <c r="F84" s="482" t="s">
        <v>8</v>
      </c>
      <c r="G84" s="495"/>
      <c r="H84" s="481" t="s">
        <v>6553</v>
      </c>
      <c r="I84" s="481" t="s">
        <v>83</v>
      </c>
      <c r="J84" s="360" t="s">
        <v>158</v>
      </c>
      <c r="K84" s="482" t="s">
        <v>5577</v>
      </c>
      <c r="L84" s="482"/>
      <c r="M84" s="482" t="s">
        <v>68</v>
      </c>
      <c r="N84" s="41"/>
      <c r="O84" s="13" t="s">
        <v>106</v>
      </c>
      <c r="P84" s="13" t="s">
        <v>107</v>
      </c>
      <c r="Q84" s="13"/>
      <c r="R84" s="481"/>
      <c r="S84" s="481" t="s">
        <v>263</v>
      </c>
      <c r="T84" s="481"/>
      <c r="U84" s="482"/>
      <c r="V84" s="41"/>
      <c r="W84" s="13" t="s">
        <v>106</v>
      </c>
      <c r="X84" s="482" t="s">
        <v>107</v>
      </c>
      <c r="Y84" s="481"/>
      <c r="Z84" s="481" t="s">
        <v>6556</v>
      </c>
      <c r="AA84" s="481">
        <v>183</v>
      </c>
      <c r="AB84" s="16">
        <v>156</v>
      </c>
      <c r="AC84" s="16">
        <v>156</v>
      </c>
      <c r="AD84" s="16"/>
      <c r="AE84" s="16"/>
      <c r="AF84" s="16"/>
      <c r="AG84" s="16"/>
      <c r="AH84" s="16"/>
      <c r="AI84" s="16"/>
      <c r="AJ84" s="481">
        <v>6</v>
      </c>
      <c r="AK84" s="482"/>
      <c r="AL84" s="25"/>
      <c r="AM84" s="481"/>
      <c r="AN84" s="481"/>
      <c r="AO84" s="481"/>
      <c r="AP84" s="16"/>
      <c r="AQ84" s="16" t="s">
        <v>5080</v>
      </c>
      <c r="AR84" s="130" t="s">
        <v>161</v>
      </c>
      <c r="AS84" s="130">
        <v>1405</v>
      </c>
      <c r="AT84" s="130">
        <v>2</v>
      </c>
      <c r="AU84" s="130">
        <v>1404</v>
      </c>
      <c r="AV84" s="130">
        <v>12</v>
      </c>
      <c r="AW84" s="12">
        <f>IF(AS84*AU84&gt;0,(AS84-AU84)*12+(AT84-AV84),"")</f>
        <v>2</v>
      </c>
      <c r="AX84" s="12">
        <f t="shared" si="3"/>
        <v>2</v>
      </c>
      <c r="AY84" s="12"/>
      <c r="AZ84" s="481"/>
    </row>
    <row r="85" spans="1:52" ht="30" customHeight="1" x14ac:dyDescent="0.2">
      <c r="A85" s="481">
        <v>83</v>
      </c>
      <c r="B85" s="481">
        <v>8</v>
      </c>
      <c r="C85" s="16">
        <v>2</v>
      </c>
      <c r="D85" s="482" t="s">
        <v>6308</v>
      </c>
      <c r="E85" s="482" t="s">
        <v>6551</v>
      </c>
      <c r="F85" s="482" t="s">
        <v>2981</v>
      </c>
      <c r="G85" s="495"/>
      <c r="H85" s="481" t="s">
        <v>504</v>
      </c>
      <c r="I85" s="481" t="s">
        <v>83</v>
      </c>
      <c r="J85" s="360" t="s">
        <v>158</v>
      </c>
      <c r="K85" s="482" t="s">
        <v>84</v>
      </c>
      <c r="L85" s="482"/>
      <c r="M85" s="482" t="s">
        <v>155</v>
      </c>
      <c r="N85" s="41"/>
      <c r="O85" s="13" t="s">
        <v>106</v>
      </c>
      <c r="P85" s="13" t="s">
        <v>107</v>
      </c>
      <c r="Q85" s="13"/>
      <c r="R85" s="481"/>
      <c r="S85" s="481" t="s">
        <v>156</v>
      </c>
      <c r="T85" s="481"/>
      <c r="U85" s="482"/>
      <c r="V85" s="41"/>
      <c r="W85" s="13" t="s">
        <v>106</v>
      </c>
      <c r="X85" s="492" t="s">
        <v>107</v>
      </c>
      <c r="Y85" s="481"/>
      <c r="Z85" s="481" t="s">
        <v>6557</v>
      </c>
      <c r="AA85" s="481">
        <v>250</v>
      </c>
      <c r="AB85" s="16">
        <v>210</v>
      </c>
      <c r="AC85" s="16">
        <v>210</v>
      </c>
      <c r="AD85" s="16"/>
      <c r="AE85" s="16"/>
      <c r="AF85" s="16"/>
      <c r="AG85" s="16"/>
      <c r="AH85" s="16"/>
      <c r="AI85" s="16"/>
      <c r="AJ85" s="481">
        <v>6</v>
      </c>
      <c r="AK85" s="482"/>
      <c r="AL85" s="25"/>
      <c r="AM85" s="481"/>
      <c r="AN85" s="481"/>
      <c r="AO85" s="481"/>
      <c r="AP85" s="16"/>
      <c r="AQ85" s="16" t="s">
        <v>160</v>
      </c>
      <c r="AR85" s="130" t="s">
        <v>193</v>
      </c>
      <c r="AS85" s="130">
        <v>1405</v>
      </c>
      <c r="AT85" s="130">
        <v>2</v>
      </c>
      <c r="AU85" s="130">
        <v>1403</v>
      </c>
      <c r="AV85" s="130">
        <v>4</v>
      </c>
      <c r="AW85" s="12">
        <f>IF(AS85*AU85&gt;0,(AS85-AU85)*12+(AT85-AV85),"")</f>
        <v>22</v>
      </c>
      <c r="AX85" s="12" t="str">
        <f t="shared" si="3"/>
        <v/>
      </c>
      <c r="AY85" s="12"/>
      <c r="AZ85" s="481"/>
    </row>
    <row r="86" spans="1:52" ht="30" customHeight="1" x14ac:dyDescent="0.2">
      <c r="A86" s="481">
        <v>84</v>
      </c>
      <c r="B86" s="481">
        <v>9</v>
      </c>
      <c r="C86" s="16">
        <v>2</v>
      </c>
      <c r="D86" s="482" t="s">
        <v>6308</v>
      </c>
      <c r="E86" s="482" t="s">
        <v>1415</v>
      </c>
      <c r="F86" s="519" t="s">
        <v>243</v>
      </c>
      <c r="G86" s="495"/>
      <c r="H86" s="481" t="s">
        <v>2184</v>
      </c>
      <c r="I86" s="481" t="s">
        <v>83</v>
      </c>
      <c r="J86" s="360" t="s">
        <v>158</v>
      </c>
      <c r="K86" s="482" t="s">
        <v>5577</v>
      </c>
      <c r="L86" s="482"/>
      <c r="M86" s="482" t="s">
        <v>141</v>
      </c>
      <c r="N86" s="41"/>
      <c r="O86" s="13" t="s">
        <v>106</v>
      </c>
      <c r="P86" s="13" t="s">
        <v>107</v>
      </c>
      <c r="Q86" s="13"/>
      <c r="R86" s="481"/>
      <c r="S86" s="481" t="s">
        <v>1051</v>
      </c>
      <c r="T86" s="481"/>
      <c r="U86" s="482"/>
      <c r="V86" s="41"/>
      <c r="W86" s="13" t="s">
        <v>106</v>
      </c>
      <c r="X86" s="492" t="s">
        <v>107</v>
      </c>
      <c r="Y86" s="481"/>
      <c r="Z86" s="481" t="s">
        <v>6558</v>
      </c>
      <c r="AA86" s="481"/>
      <c r="AB86" s="16">
        <v>183</v>
      </c>
      <c r="AC86" s="16">
        <v>183</v>
      </c>
      <c r="AD86" s="16"/>
      <c r="AE86" s="16"/>
      <c r="AF86" s="16"/>
      <c r="AG86" s="16"/>
      <c r="AH86" s="16"/>
      <c r="AI86" s="16"/>
      <c r="AJ86" s="481">
        <v>6</v>
      </c>
      <c r="AK86" s="482"/>
      <c r="AL86" s="25"/>
      <c r="AM86" s="481"/>
      <c r="AN86" s="481"/>
      <c r="AO86" s="481"/>
      <c r="AP86" s="16"/>
      <c r="AQ86" s="16" t="s">
        <v>5080</v>
      </c>
      <c r="AR86" s="130" t="s">
        <v>112</v>
      </c>
      <c r="AS86" s="130">
        <v>1405</v>
      </c>
      <c r="AT86" s="130">
        <v>2</v>
      </c>
      <c r="AU86" s="130">
        <v>1401</v>
      </c>
      <c r="AV86" s="130">
        <v>8</v>
      </c>
      <c r="AW86" s="12">
        <f>IF(AS86*AU86&gt;0,(AS86-AU86)*12+(AT86-AV86),"")</f>
        <v>42</v>
      </c>
      <c r="AX86" s="12" t="str">
        <f t="shared" si="3"/>
        <v/>
      </c>
      <c r="AY86" s="12"/>
      <c r="AZ86" s="481"/>
    </row>
    <row r="87" spans="1:52" ht="30" customHeight="1" x14ac:dyDescent="0.2">
      <c r="A87" s="481">
        <v>85</v>
      </c>
      <c r="B87" s="481">
        <v>9</v>
      </c>
      <c r="C87" s="16">
        <v>2</v>
      </c>
      <c r="D87" s="482" t="s">
        <v>6308</v>
      </c>
      <c r="E87" s="482" t="s">
        <v>2072</v>
      </c>
      <c r="F87" s="482" t="s">
        <v>6</v>
      </c>
      <c r="G87" s="495"/>
      <c r="H87" s="481" t="s">
        <v>185</v>
      </c>
      <c r="I87" s="481" t="s">
        <v>83</v>
      </c>
      <c r="J87" s="360" t="s">
        <v>158</v>
      </c>
      <c r="K87" s="482" t="s">
        <v>84</v>
      </c>
      <c r="L87" s="482"/>
      <c r="M87" s="482" t="s">
        <v>155</v>
      </c>
      <c r="N87" s="41"/>
      <c r="O87" s="13" t="s">
        <v>106</v>
      </c>
      <c r="P87" s="13" t="s">
        <v>107</v>
      </c>
      <c r="Q87" s="13"/>
      <c r="R87" s="481"/>
      <c r="S87" s="481" t="s">
        <v>170</v>
      </c>
      <c r="T87" s="481"/>
      <c r="U87" s="482"/>
      <c r="V87" s="41"/>
      <c r="W87" s="13" t="s">
        <v>106</v>
      </c>
      <c r="X87" s="492" t="s">
        <v>107</v>
      </c>
      <c r="Y87" s="481"/>
      <c r="Z87" s="481" t="s">
        <v>6568</v>
      </c>
      <c r="AA87" s="481">
        <v>205</v>
      </c>
      <c r="AB87" s="16">
        <v>192</v>
      </c>
      <c r="AC87" s="16">
        <v>192</v>
      </c>
      <c r="AD87" s="16"/>
      <c r="AE87" s="16"/>
      <c r="AF87" s="16"/>
      <c r="AG87" s="16"/>
      <c r="AH87" s="16"/>
      <c r="AI87" s="16"/>
      <c r="AJ87" s="481">
        <v>6</v>
      </c>
      <c r="AK87" s="482"/>
      <c r="AL87" s="25"/>
      <c r="AM87" s="481"/>
      <c r="AN87" s="481"/>
      <c r="AO87" s="481"/>
      <c r="AP87" s="16"/>
      <c r="AQ87" s="16" t="s">
        <v>160</v>
      </c>
      <c r="AR87" s="130" t="s">
        <v>165</v>
      </c>
      <c r="AS87" s="130">
        <v>1405</v>
      </c>
      <c r="AT87" s="130">
        <v>2</v>
      </c>
      <c r="AU87" s="130">
        <v>1403</v>
      </c>
      <c r="AV87" s="130">
        <v>12</v>
      </c>
      <c r="AW87" s="12">
        <f>IF(AS87*AU87&gt;0,(AS87-AU87)*12+(AT87-AV87),"")</f>
        <v>14</v>
      </c>
      <c r="AX87" s="12" t="str">
        <f t="shared" si="3"/>
        <v/>
      </c>
      <c r="AY87" s="12"/>
      <c r="AZ87" s="481"/>
    </row>
    <row r="88" spans="1:52" ht="30" customHeight="1" x14ac:dyDescent="0.2">
      <c r="A88" s="481">
        <v>86</v>
      </c>
      <c r="B88" s="481">
        <v>9</v>
      </c>
      <c r="C88" s="16">
        <v>2</v>
      </c>
      <c r="D88" s="482" t="s">
        <v>6308</v>
      </c>
      <c r="E88" s="482" t="s">
        <v>2021</v>
      </c>
      <c r="F88" s="482" t="s">
        <v>6</v>
      </c>
      <c r="G88" s="495"/>
      <c r="H88" s="481" t="s">
        <v>185</v>
      </c>
      <c r="I88" s="481" t="s">
        <v>83</v>
      </c>
      <c r="J88" s="360" t="s">
        <v>158</v>
      </c>
      <c r="K88" s="482" t="s">
        <v>84</v>
      </c>
      <c r="L88" s="482"/>
      <c r="M88" s="482" t="s">
        <v>104</v>
      </c>
      <c r="N88" s="41"/>
      <c r="O88" s="13" t="s">
        <v>106</v>
      </c>
      <c r="P88" s="13" t="s">
        <v>107</v>
      </c>
      <c r="Q88" s="13"/>
      <c r="R88" s="481"/>
      <c r="S88" s="481" t="s">
        <v>131</v>
      </c>
      <c r="T88" s="481"/>
      <c r="U88" s="482"/>
      <c r="V88" s="41"/>
      <c r="W88" s="13" t="s">
        <v>106</v>
      </c>
      <c r="X88" s="492" t="s">
        <v>107</v>
      </c>
      <c r="Y88" s="481"/>
      <c r="Z88" s="481" t="s">
        <v>6559</v>
      </c>
      <c r="AA88" s="481">
        <v>204</v>
      </c>
      <c r="AB88" s="16">
        <v>186</v>
      </c>
      <c r="AC88" s="16">
        <v>186</v>
      </c>
      <c r="AD88" s="16"/>
      <c r="AE88" s="16"/>
      <c r="AF88" s="16"/>
      <c r="AG88" s="16"/>
      <c r="AH88" s="16"/>
      <c r="AI88" s="16"/>
      <c r="AJ88" s="481">
        <v>6</v>
      </c>
      <c r="AK88" s="482"/>
      <c r="AL88" s="25"/>
      <c r="AM88" s="481"/>
      <c r="AN88" s="481"/>
      <c r="AO88" s="481"/>
      <c r="AP88" s="16"/>
      <c r="AQ88" s="16" t="s">
        <v>160</v>
      </c>
      <c r="AR88" s="130" t="s">
        <v>165</v>
      </c>
      <c r="AS88" s="130">
        <v>1405</v>
      </c>
      <c r="AT88" s="130">
        <v>2</v>
      </c>
      <c r="AU88" s="130">
        <v>1404</v>
      </c>
      <c r="AV88" s="130">
        <v>8</v>
      </c>
      <c r="AW88" s="12">
        <f>IF(AS88*AU88&gt;0,(AS88-AU88)*12+(AT88-AV88),"")</f>
        <v>6</v>
      </c>
      <c r="AX88" s="12">
        <f t="shared" si="3"/>
        <v>6</v>
      </c>
      <c r="AY88" s="12"/>
      <c r="AZ88" s="481"/>
    </row>
    <row r="89" spans="1:52" ht="30" customHeight="1" x14ac:dyDescent="0.2">
      <c r="A89" s="481">
        <v>87</v>
      </c>
      <c r="B89" s="481">
        <v>10</v>
      </c>
      <c r="C89" s="16">
        <v>2</v>
      </c>
      <c r="D89" s="482" t="s">
        <v>6308</v>
      </c>
      <c r="E89" s="492" t="s">
        <v>2021</v>
      </c>
      <c r="F89" s="492" t="s">
        <v>6</v>
      </c>
      <c r="G89" s="495"/>
      <c r="H89" s="491"/>
      <c r="I89" s="481" t="s">
        <v>7</v>
      </c>
      <c r="J89" s="360" t="s">
        <v>158</v>
      </c>
      <c r="K89" s="482" t="s">
        <v>84</v>
      </c>
      <c r="L89" s="35" t="s">
        <v>104</v>
      </c>
      <c r="M89" s="35" t="s">
        <v>68</v>
      </c>
      <c r="N89" s="41" t="s">
        <v>6560</v>
      </c>
      <c r="O89" s="13" t="s">
        <v>106</v>
      </c>
      <c r="P89" s="13" t="s">
        <v>107</v>
      </c>
      <c r="Q89" s="13"/>
      <c r="R89" s="481"/>
      <c r="S89" s="481" t="s">
        <v>131</v>
      </c>
      <c r="T89" s="481">
        <v>6609</v>
      </c>
      <c r="U89" s="482" t="s">
        <v>769</v>
      </c>
      <c r="V89" s="41" t="s">
        <v>6561</v>
      </c>
      <c r="W89" s="13" t="s">
        <v>106</v>
      </c>
      <c r="X89" s="482" t="s">
        <v>107</v>
      </c>
      <c r="Y89" s="481"/>
      <c r="Z89" s="481"/>
      <c r="AA89" s="481">
        <v>204</v>
      </c>
      <c r="AB89" s="16">
        <v>186</v>
      </c>
      <c r="AC89" s="16">
        <v>186</v>
      </c>
      <c r="AD89" s="16">
        <v>125</v>
      </c>
      <c r="AE89" s="16">
        <v>140</v>
      </c>
      <c r="AF89" s="16">
        <v>4</v>
      </c>
      <c r="AG89" s="16">
        <v>45</v>
      </c>
      <c r="AH89" s="16">
        <v>189</v>
      </c>
      <c r="AI89" s="16">
        <v>16</v>
      </c>
      <c r="AJ89" s="481">
        <v>6</v>
      </c>
      <c r="AK89" s="482"/>
      <c r="AL89" s="25" t="s">
        <v>6562</v>
      </c>
      <c r="AM89" s="481">
        <v>189</v>
      </c>
      <c r="AN89" s="481">
        <v>16</v>
      </c>
      <c r="AO89" s="481"/>
      <c r="AP89" s="16"/>
      <c r="AQ89" s="16" t="s">
        <v>160</v>
      </c>
      <c r="AR89" s="130" t="s">
        <v>165</v>
      </c>
      <c r="AS89" s="130">
        <v>1405</v>
      </c>
      <c r="AT89" s="130">
        <v>2</v>
      </c>
      <c r="AU89" s="130"/>
      <c r="AV89" s="130"/>
      <c r="AW89" s="12"/>
      <c r="AX89" s="12">
        <f t="shared" si="3"/>
        <v>0</v>
      </c>
      <c r="AY89" s="12"/>
      <c r="AZ89" s="481"/>
    </row>
    <row r="90" spans="1:52" ht="30" customHeight="1" x14ac:dyDescent="0.2">
      <c r="A90" s="481">
        <v>88</v>
      </c>
      <c r="B90" s="481">
        <v>10</v>
      </c>
      <c r="C90" s="16">
        <v>2</v>
      </c>
      <c r="D90" s="482" t="s">
        <v>6308</v>
      </c>
      <c r="E90" s="482" t="s">
        <v>6552</v>
      </c>
      <c r="F90" s="482" t="s">
        <v>243</v>
      </c>
      <c r="G90" s="495"/>
      <c r="H90" s="481"/>
      <c r="I90" s="481" t="s">
        <v>83</v>
      </c>
      <c r="J90" s="360" t="s">
        <v>158</v>
      </c>
      <c r="K90" s="482" t="s">
        <v>5577</v>
      </c>
      <c r="L90" s="482"/>
      <c r="M90" s="482" t="s">
        <v>68</v>
      </c>
      <c r="N90" s="41"/>
      <c r="O90" s="13" t="s">
        <v>106</v>
      </c>
      <c r="P90" s="13" t="s">
        <v>107</v>
      </c>
      <c r="Q90" s="13"/>
      <c r="R90" s="481"/>
      <c r="S90" s="481" t="s">
        <v>332</v>
      </c>
      <c r="T90" s="481"/>
      <c r="U90" s="482"/>
      <c r="V90" s="41"/>
      <c r="W90" s="13" t="s">
        <v>106</v>
      </c>
      <c r="X90" s="13" t="s">
        <v>107</v>
      </c>
      <c r="Y90" s="481"/>
      <c r="Z90" s="481"/>
      <c r="AA90" s="481">
        <v>214</v>
      </c>
      <c r="AB90" s="16">
        <v>186</v>
      </c>
      <c r="AC90" s="16">
        <v>186</v>
      </c>
      <c r="AD90" s="16"/>
      <c r="AE90" s="16"/>
      <c r="AF90" s="16"/>
      <c r="AG90" s="16"/>
      <c r="AH90" s="16"/>
      <c r="AI90" s="16"/>
      <c r="AJ90" s="481">
        <v>6</v>
      </c>
      <c r="AK90" s="482"/>
      <c r="AL90" s="25" t="s">
        <v>6565</v>
      </c>
      <c r="AM90" s="481"/>
      <c r="AN90" s="481"/>
      <c r="AO90" s="481"/>
      <c r="AP90" s="16"/>
      <c r="AQ90" s="16" t="s">
        <v>160</v>
      </c>
      <c r="AR90" s="130" t="s">
        <v>193</v>
      </c>
      <c r="AS90" s="130">
        <v>1405</v>
      </c>
      <c r="AT90" s="130">
        <v>2</v>
      </c>
      <c r="AU90" s="130">
        <v>1402</v>
      </c>
      <c r="AV90" s="130">
        <v>4</v>
      </c>
      <c r="AW90" s="12">
        <f>IF(AS90*AU90&gt;0,(AS90-AU90)*12+(AT90-AV90),"")</f>
        <v>34</v>
      </c>
      <c r="AX90" s="12" t="str">
        <f t="shared" si="3"/>
        <v/>
      </c>
      <c r="AY90" s="12"/>
      <c r="AZ90" s="481"/>
    </row>
    <row r="91" spans="1:52" ht="30" customHeight="1" x14ac:dyDescent="0.2">
      <c r="A91" s="481">
        <v>89</v>
      </c>
      <c r="B91" s="481">
        <v>11</v>
      </c>
      <c r="C91" s="16">
        <v>2</v>
      </c>
      <c r="D91" s="482" t="s">
        <v>6308</v>
      </c>
      <c r="E91" s="482" t="s">
        <v>6552</v>
      </c>
      <c r="F91" s="482" t="s">
        <v>243</v>
      </c>
      <c r="G91" s="495" t="s">
        <v>6588</v>
      </c>
      <c r="H91" s="481"/>
      <c r="I91" s="481" t="s">
        <v>7</v>
      </c>
      <c r="J91" s="360" t="s">
        <v>158</v>
      </c>
      <c r="K91" s="482" t="s">
        <v>5577</v>
      </c>
      <c r="L91" s="35" t="s">
        <v>68</v>
      </c>
      <c r="M91" s="35" t="s">
        <v>155</v>
      </c>
      <c r="N91" s="41" t="s">
        <v>6563</v>
      </c>
      <c r="O91" s="13" t="s">
        <v>69</v>
      </c>
      <c r="P91" s="13" t="s">
        <v>70</v>
      </c>
      <c r="Q91" s="13"/>
      <c r="R91" s="481"/>
      <c r="S91" s="33" t="s">
        <v>332</v>
      </c>
      <c r="T91" s="33">
        <v>384</v>
      </c>
      <c r="U91" s="35" t="s">
        <v>441</v>
      </c>
      <c r="V91" s="41" t="s">
        <v>6564</v>
      </c>
      <c r="W91" s="13" t="s">
        <v>69</v>
      </c>
      <c r="X91" s="482" t="s">
        <v>70</v>
      </c>
      <c r="Y91" s="481" t="s">
        <v>5187</v>
      </c>
      <c r="Z91" s="481"/>
      <c r="AA91" s="481">
        <v>214</v>
      </c>
      <c r="AB91" s="16">
        <v>186</v>
      </c>
      <c r="AC91" s="16">
        <v>186</v>
      </c>
      <c r="AD91" s="16">
        <v>68</v>
      </c>
      <c r="AE91" s="16">
        <v>78</v>
      </c>
      <c r="AF91" s="16">
        <v>10</v>
      </c>
      <c r="AG91" s="16">
        <v>63</v>
      </c>
      <c r="AH91" s="16">
        <v>153</v>
      </c>
      <c r="AI91" s="16">
        <v>30</v>
      </c>
      <c r="AJ91" s="481">
        <v>6</v>
      </c>
      <c r="AK91" s="482"/>
      <c r="AL91" s="25" t="s">
        <v>6565</v>
      </c>
      <c r="AM91" s="481">
        <v>153</v>
      </c>
      <c r="AN91" s="481">
        <v>30</v>
      </c>
      <c r="AO91" s="481"/>
      <c r="AP91" s="16"/>
      <c r="AQ91" s="16" t="s">
        <v>160</v>
      </c>
      <c r="AR91" s="130" t="s">
        <v>193</v>
      </c>
      <c r="AS91" s="130">
        <v>1405</v>
      </c>
      <c r="AT91" s="130">
        <v>2</v>
      </c>
      <c r="AU91" s="130"/>
      <c r="AV91" s="130"/>
      <c r="AW91" s="12"/>
      <c r="AX91" s="12">
        <f t="shared" si="3"/>
        <v>0</v>
      </c>
      <c r="AY91" s="12"/>
      <c r="AZ91" s="481"/>
    </row>
    <row r="92" spans="1:52" ht="30" customHeight="1" x14ac:dyDescent="0.2">
      <c r="A92" s="481">
        <v>90</v>
      </c>
      <c r="B92" s="481">
        <v>11</v>
      </c>
      <c r="C92" s="16">
        <v>2</v>
      </c>
      <c r="D92" s="482" t="s">
        <v>6308</v>
      </c>
      <c r="E92" s="482" t="s">
        <v>2072</v>
      </c>
      <c r="F92" s="482" t="s">
        <v>6</v>
      </c>
      <c r="G92" s="495" t="s">
        <v>6592</v>
      </c>
      <c r="H92" s="481"/>
      <c r="I92" s="481" t="s">
        <v>7</v>
      </c>
      <c r="J92" s="360" t="s">
        <v>158</v>
      </c>
      <c r="K92" s="482" t="s">
        <v>84</v>
      </c>
      <c r="L92" s="482" t="s">
        <v>155</v>
      </c>
      <c r="M92" s="482" t="s">
        <v>155</v>
      </c>
      <c r="N92" s="41" t="s">
        <v>6566</v>
      </c>
      <c r="O92" s="13" t="s">
        <v>69</v>
      </c>
      <c r="P92" s="13" t="s">
        <v>70</v>
      </c>
      <c r="Q92" s="13"/>
      <c r="R92" s="481"/>
      <c r="S92" s="481" t="s">
        <v>170</v>
      </c>
      <c r="T92" s="481">
        <v>345</v>
      </c>
      <c r="U92" s="482" t="s">
        <v>441</v>
      </c>
      <c r="V92" s="41" t="s">
        <v>6567</v>
      </c>
      <c r="W92" s="13" t="s">
        <v>69</v>
      </c>
      <c r="X92" s="482" t="s">
        <v>70</v>
      </c>
      <c r="Y92" s="481" t="s">
        <v>4420</v>
      </c>
      <c r="Z92" s="481" t="s">
        <v>6568</v>
      </c>
      <c r="AA92" s="481">
        <v>205</v>
      </c>
      <c r="AB92" s="16">
        <v>192</v>
      </c>
      <c r="AC92" s="16">
        <v>192</v>
      </c>
      <c r="AD92" s="16">
        <v>157</v>
      </c>
      <c r="AE92" s="16">
        <v>187</v>
      </c>
      <c r="AF92" s="16">
        <v>5</v>
      </c>
      <c r="AG92" s="16">
        <v>55</v>
      </c>
      <c r="AH92" s="16">
        <v>247</v>
      </c>
      <c r="AI92" s="16">
        <v>19</v>
      </c>
      <c r="AJ92" s="481">
        <v>6</v>
      </c>
      <c r="AK92" s="482"/>
      <c r="AL92" s="25" t="s">
        <v>6569</v>
      </c>
      <c r="AM92" s="481">
        <v>247</v>
      </c>
      <c r="AN92" s="481">
        <v>19</v>
      </c>
      <c r="AO92" s="481"/>
      <c r="AP92" s="16"/>
      <c r="AQ92" s="16" t="s">
        <v>160</v>
      </c>
      <c r="AR92" s="130" t="s">
        <v>165</v>
      </c>
      <c r="AS92" s="130">
        <v>1405</v>
      </c>
      <c r="AT92" s="130">
        <v>2</v>
      </c>
      <c r="AU92" s="130"/>
      <c r="AV92" s="130"/>
      <c r="AW92" s="12"/>
      <c r="AX92" s="12">
        <f t="shared" si="3"/>
        <v>0</v>
      </c>
      <c r="AY92" s="12"/>
      <c r="AZ92" s="481"/>
    </row>
    <row r="93" spans="1:52" ht="30" customHeight="1" x14ac:dyDescent="0.2">
      <c r="A93" s="481">
        <v>91</v>
      </c>
      <c r="B93" s="481">
        <v>12</v>
      </c>
      <c r="C93" s="16">
        <v>2</v>
      </c>
      <c r="D93" s="482" t="s">
        <v>6308</v>
      </c>
      <c r="E93" s="482" t="s">
        <v>6571</v>
      </c>
      <c r="F93" s="482" t="s">
        <v>8</v>
      </c>
      <c r="G93" s="495" t="s">
        <v>6592</v>
      </c>
      <c r="H93" s="481" t="s">
        <v>4038</v>
      </c>
      <c r="I93" s="481" t="s">
        <v>83</v>
      </c>
      <c r="J93" s="360" t="s">
        <v>158</v>
      </c>
      <c r="K93" s="482" t="s">
        <v>84</v>
      </c>
      <c r="L93" s="482"/>
      <c r="M93" s="482" t="s">
        <v>223</v>
      </c>
      <c r="N93" s="41"/>
      <c r="O93" s="13" t="s">
        <v>106</v>
      </c>
      <c r="P93" s="13" t="s">
        <v>107</v>
      </c>
      <c r="Q93" s="13"/>
      <c r="R93" s="481"/>
      <c r="S93" s="481" t="s">
        <v>224</v>
      </c>
      <c r="T93" s="481"/>
      <c r="U93" s="482"/>
      <c r="V93" s="41"/>
      <c r="W93" s="13" t="s">
        <v>106</v>
      </c>
      <c r="X93" s="482" t="s">
        <v>107</v>
      </c>
      <c r="Y93" s="481"/>
      <c r="Z93" s="481" t="s">
        <v>6584</v>
      </c>
      <c r="AA93" s="481">
        <v>174</v>
      </c>
      <c r="AB93" s="16">
        <v>159</v>
      </c>
      <c r="AC93" s="16">
        <v>159</v>
      </c>
      <c r="AD93" s="16"/>
      <c r="AE93" s="16"/>
      <c r="AF93" s="16"/>
      <c r="AG93" s="16"/>
      <c r="AH93" s="16"/>
      <c r="AI93" s="16"/>
      <c r="AJ93" s="481">
        <v>3</v>
      </c>
      <c r="AK93" s="482"/>
      <c r="AL93" s="25"/>
      <c r="AM93" s="481"/>
      <c r="AN93" s="481"/>
      <c r="AO93" s="481"/>
      <c r="AP93" s="16"/>
      <c r="AQ93" s="16" t="s">
        <v>5080</v>
      </c>
      <c r="AR93" s="130" t="s">
        <v>231</v>
      </c>
      <c r="AS93" s="130">
        <v>1405</v>
      </c>
      <c r="AT93" s="130">
        <v>2</v>
      </c>
      <c r="AU93" s="130">
        <v>1397</v>
      </c>
      <c r="AV93" s="130">
        <v>2</v>
      </c>
      <c r="AW93" s="12">
        <f>IF(AS93*AU93&gt;0,(AS93-AU93)*12+(AT93-AV93),"")</f>
        <v>96</v>
      </c>
      <c r="AX93" s="12" t="str">
        <f t="shared" si="3"/>
        <v/>
      </c>
      <c r="AY93" s="12"/>
      <c r="AZ93" s="481"/>
    </row>
    <row r="94" spans="1:52" ht="30" customHeight="1" x14ac:dyDescent="0.2">
      <c r="A94" s="481">
        <v>92</v>
      </c>
      <c r="B94" s="481">
        <v>12</v>
      </c>
      <c r="C94" s="16">
        <v>2</v>
      </c>
      <c r="D94" s="482" t="s">
        <v>6308</v>
      </c>
      <c r="E94" s="482" t="s">
        <v>6571</v>
      </c>
      <c r="F94" s="482" t="s">
        <v>8</v>
      </c>
      <c r="G94" s="495" t="s">
        <v>6592</v>
      </c>
      <c r="H94" s="481"/>
      <c r="I94" s="481" t="s">
        <v>7</v>
      </c>
      <c r="J94" s="360" t="s">
        <v>158</v>
      </c>
      <c r="K94" s="482" t="s">
        <v>84</v>
      </c>
      <c r="L94" s="35" t="s">
        <v>223</v>
      </c>
      <c r="M94" s="35" t="s">
        <v>334</v>
      </c>
      <c r="N94" s="41" t="s">
        <v>6585</v>
      </c>
      <c r="O94" s="13" t="s">
        <v>69</v>
      </c>
      <c r="P94" s="13" t="s">
        <v>70</v>
      </c>
      <c r="Q94" s="13"/>
      <c r="R94" s="481"/>
      <c r="S94" s="33" t="s">
        <v>224</v>
      </c>
      <c r="T94" s="33">
        <v>233</v>
      </c>
      <c r="U94" s="35" t="s">
        <v>2258</v>
      </c>
      <c r="V94" s="41" t="s">
        <v>6586</v>
      </c>
      <c r="W94" s="13" t="s">
        <v>69</v>
      </c>
      <c r="X94" s="482" t="s">
        <v>70</v>
      </c>
      <c r="Y94" s="481" t="s">
        <v>5187</v>
      </c>
      <c r="Z94" s="481" t="s">
        <v>6584</v>
      </c>
      <c r="AA94" s="481">
        <v>174</v>
      </c>
      <c r="AB94" s="16">
        <v>159</v>
      </c>
      <c r="AC94" s="16">
        <v>159</v>
      </c>
      <c r="AD94" s="16">
        <v>73</v>
      </c>
      <c r="AE94" s="16">
        <v>145</v>
      </c>
      <c r="AF94" s="16">
        <v>13</v>
      </c>
      <c r="AG94" s="16">
        <v>5</v>
      </c>
      <c r="AH94" s="16">
        <v>163</v>
      </c>
      <c r="AI94" s="16">
        <v>6</v>
      </c>
      <c r="AJ94" s="481">
        <v>3</v>
      </c>
      <c r="AK94" s="482"/>
      <c r="AL94" s="25" t="s">
        <v>6587</v>
      </c>
      <c r="AM94" s="481">
        <v>163</v>
      </c>
      <c r="AN94" s="481">
        <v>6</v>
      </c>
      <c r="AO94" s="481"/>
      <c r="AP94" s="16"/>
      <c r="AQ94" s="16" t="s">
        <v>5080</v>
      </c>
      <c r="AR94" s="130" t="s">
        <v>330</v>
      </c>
      <c r="AS94" s="130">
        <v>1405</v>
      </c>
      <c r="AT94" s="130">
        <v>2</v>
      </c>
      <c r="AU94" s="130"/>
      <c r="AV94" s="130"/>
      <c r="AW94" s="12"/>
      <c r="AX94" s="12">
        <f t="shared" si="3"/>
        <v>0</v>
      </c>
      <c r="AY94" s="12"/>
      <c r="AZ94" s="481"/>
    </row>
    <row r="95" spans="1:52" ht="30" customHeight="1" x14ac:dyDescent="0.2">
      <c r="A95" s="481">
        <v>93</v>
      </c>
      <c r="B95" s="481">
        <v>13</v>
      </c>
      <c r="C95" s="16">
        <v>2</v>
      </c>
      <c r="D95" s="482" t="s">
        <v>6308</v>
      </c>
      <c r="E95" s="482" t="s">
        <v>5234</v>
      </c>
      <c r="F95" s="482" t="s">
        <v>243</v>
      </c>
      <c r="G95" s="495" t="s">
        <v>6588</v>
      </c>
      <c r="H95" s="481"/>
      <c r="I95" s="481" t="s">
        <v>7</v>
      </c>
      <c r="J95" s="360" t="s">
        <v>158</v>
      </c>
      <c r="K95" s="482" t="s">
        <v>84</v>
      </c>
      <c r="L95" s="482" t="s">
        <v>68</v>
      </c>
      <c r="M95" s="482" t="s">
        <v>68</v>
      </c>
      <c r="N95" s="41" t="s">
        <v>6581</v>
      </c>
      <c r="O95" s="13" t="s">
        <v>106</v>
      </c>
      <c r="P95" s="13" t="s">
        <v>107</v>
      </c>
      <c r="Q95" s="13"/>
      <c r="R95" s="481"/>
      <c r="S95" s="481" t="s">
        <v>332</v>
      </c>
      <c r="T95" s="481">
        <v>384</v>
      </c>
      <c r="U95" s="482" t="s">
        <v>485</v>
      </c>
      <c r="V95" s="41" t="s">
        <v>6582</v>
      </c>
      <c r="W95" s="13" t="s">
        <v>142</v>
      </c>
      <c r="X95" s="482" t="s">
        <v>70</v>
      </c>
      <c r="Y95" s="481" t="s">
        <v>4420</v>
      </c>
      <c r="Z95" s="481" t="s">
        <v>6367</v>
      </c>
      <c r="AA95" s="481">
        <v>140</v>
      </c>
      <c r="AB95" s="16">
        <v>144</v>
      </c>
      <c r="AC95" s="16">
        <v>132</v>
      </c>
      <c r="AD95" s="16">
        <v>66</v>
      </c>
      <c r="AE95" s="16">
        <v>78</v>
      </c>
      <c r="AF95" s="16">
        <v>6</v>
      </c>
      <c r="AG95" s="16">
        <v>70</v>
      </c>
      <c r="AH95" s="16">
        <v>154</v>
      </c>
      <c r="AI95" s="16">
        <v>25</v>
      </c>
      <c r="AJ95" s="481">
        <v>6</v>
      </c>
      <c r="AK95" s="482"/>
      <c r="AL95" s="25" t="s">
        <v>6583</v>
      </c>
      <c r="AM95" s="481">
        <v>154</v>
      </c>
      <c r="AN95" s="481">
        <v>25</v>
      </c>
      <c r="AO95" s="481"/>
      <c r="AP95" s="16"/>
      <c r="AQ95" s="16" t="s">
        <v>5080</v>
      </c>
      <c r="AR95" s="130" t="s">
        <v>112</v>
      </c>
      <c r="AS95" s="130">
        <v>1405</v>
      </c>
      <c r="AT95" s="130">
        <v>2</v>
      </c>
      <c r="AU95" s="130"/>
      <c r="AV95" s="130"/>
      <c r="AW95" s="12"/>
      <c r="AX95" s="12">
        <f t="shared" si="3"/>
        <v>0</v>
      </c>
      <c r="AY95" s="12"/>
      <c r="AZ95" s="481"/>
    </row>
    <row r="96" spans="1:52" ht="30" customHeight="1" x14ac:dyDescent="0.2">
      <c r="A96" s="481">
        <v>94</v>
      </c>
      <c r="B96" s="481">
        <v>14</v>
      </c>
      <c r="C96" s="16">
        <v>2</v>
      </c>
      <c r="D96" s="482" t="s">
        <v>6308</v>
      </c>
      <c r="E96" s="482" t="s">
        <v>2311</v>
      </c>
      <c r="F96" s="482" t="s">
        <v>6105</v>
      </c>
      <c r="G96" s="495" t="s">
        <v>6592</v>
      </c>
      <c r="H96" s="481" t="s">
        <v>4038</v>
      </c>
      <c r="I96" s="481" t="s">
        <v>83</v>
      </c>
      <c r="J96" s="360" t="s">
        <v>158</v>
      </c>
      <c r="K96" s="482" t="s">
        <v>84</v>
      </c>
      <c r="L96" s="482"/>
      <c r="M96" s="482" t="s">
        <v>68</v>
      </c>
      <c r="N96" s="41"/>
      <c r="O96" s="13" t="s">
        <v>106</v>
      </c>
      <c r="P96" s="13" t="s">
        <v>107</v>
      </c>
      <c r="Q96" s="13"/>
      <c r="R96" s="481"/>
      <c r="S96" s="481" t="s">
        <v>263</v>
      </c>
      <c r="T96" s="481"/>
      <c r="U96" s="482"/>
      <c r="V96" s="41"/>
      <c r="W96" s="13" t="s">
        <v>106</v>
      </c>
      <c r="X96" s="482" t="s">
        <v>107</v>
      </c>
      <c r="Y96" s="481"/>
      <c r="Z96" s="481" t="s">
        <v>6580</v>
      </c>
      <c r="AA96" s="481"/>
      <c r="AB96" s="16">
        <v>228</v>
      </c>
      <c r="AC96" s="16">
        <v>228</v>
      </c>
      <c r="AD96" s="16"/>
      <c r="AE96" s="16"/>
      <c r="AF96" s="16"/>
      <c r="AG96" s="16"/>
      <c r="AH96" s="16"/>
      <c r="AI96" s="16"/>
      <c r="AJ96" s="481">
        <v>4</v>
      </c>
      <c r="AK96" s="482"/>
      <c r="AL96" s="25"/>
      <c r="AM96" s="481"/>
      <c r="AN96" s="481"/>
      <c r="AO96" s="481"/>
      <c r="AP96" s="16"/>
      <c r="AQ96" s="16" t="s">
        <v>160</v>
      </c>
      <c r="AR96" s="130" t="s">
        <v>193</v>
      </c>
      <c r="AS96" s="130">
        <v>1405</v>
      </c>
      <c r="AT96" s="130">
        <v>2</v>
      </c>
      <c r="AU96" s="130">
        <v>1400</v>
      </c>
      <c r="AV96" s="130">
        <v>6</v>
      </c>
      <c r="AW96" s="12">
        <f>IF(AS96*AU96&gt;0,(AS96-AU96)*12+(AT96-AV96),"")</f>
        <v>56</v>
      </c>
      <c r="AX96" s="12" t="str">
        <f t="shared" si="3"/>
        <v/>
      </c>
      <c r="AY96" s="12"/>
      <c r="AZ96" s="481"/>
    </row>
    <row r="97" spans="1:52" ht="30" customHeight="1" x14ac:dyDescent="0.2">
      <c r="A97" s="481">
        <v>95</v>
      </c>
      <c r="B97" s="481">
        <v>15</v>
      </c>
      <c r="C97" s="16">
        <v>2</v>
      </c>
      <c r="D97" s="482" t="s">
        <v>6308</v>
      </c>
      <c r="E97" s="482" t="s">
        <v>5506</v>
      </c>
      <c r="F97" s="482" t="s">
        <v>20</v>
      </c>
      <c r="G97" s="495" t="s">
        <v>6592</v>
      </c>
      <c r="H97" s="481" t="s">
        <v>4038</v>
      </c>
      <c r="I97" s="481" t="s">
        <v>83</v>
      </c>
      <c r="J97" s="360" t="s">
        <v>158</v>
      </c>
      <c r="K97" s="482" t="s">
        <v>2167</v>
      </c>
      <c r="L97" s="482"/>
      <c r="M97" s="482" t="s">
        <v>117</v>
      </c>
      <c r="N97" s="41"/>
      <c r="O97" s="13" t="s">
        <v>106</v>
      </c>
      <c r="P97" s="13" t="s">
        <v>107</v>
      </c>
      <c r="Q97" s="13"/>
      <c r="R97" s="481"/>
      <c r="S97" s="481" t="s">
        <v>338</v>
      </c>
      <c r="T97" s="481"/>
      <c r="U97" s="482"/>
      <c r="V97" s="41"/>
      <c r="W97" s="13" t="s">
        <v>106</v>
      </c>
      <c r="X97" s="13" t="s">
        <v>107</v>
      </c>
      <c r="Y97" s="481"/>
      <c r="Z97" s="481" t="s">
        <v>6572</v>
      </c>
      <c r="AA97" s="481">
        <v>250</v>
      </c>
      <c r="AB97" s="16">
        <v>213</v>
      </c>
      <c r="AC97" s="16">
        <v>213</v>
      </c>
      <c r="AD97" s="16"/>
      <c r="AE97" s="16"/>
      <c r="AF97" s="16"/>
      <c r="AG97" s="16"/>
      <c r="AH97" s="16"/>
      <c r="AI97" s="16"/>
      <c r="AJ97" s="481">
        <v>6</v>
      </c>
      <c r="AK97" s="482"/>
      <c r="AL97" s="25"/>
      <c r="AM97" s="481"/>
      <c r="AN97" s="481"/>
      <c r="AO97" s="481"/>
      <c r="AP97" s="16"/>
      <c r="AQ97" s="16" t="s">
        <v>160</v>
      </c>
      <c r="AR97" s="130" t="s">
        <v>161</v>
      </c>
      <c r="AS97" s="130">
        <v>1405</v>
      </c>
      <c r="AT97" s="130">
        <v>2</v>
      </c>
      <c r="AU97" s="130">
        <v>1404</v>
      </c>
      <c r="AV97" s="130">
        <v>6</v>
      </c>
      <c r="AW97" s="12">
        <f>IF(AS97*AU97&gt;0,(AS97-AU97)*12+(AT97-AV97),"")</f>
        <v>8</v>
      </c>
      <c r="AX97" s="12">
        <f t="shared" si="3"/>
        <v>8</v>
      </c>
      <c r="AY97" s="12"/>
      <c r="AZ97" s="481"/>
    </row>
    <row r="98" spans="1:52" ht="30" customHeight="1" x14ac:dyDescent="0.2">
      <c r="A98" s="481">
        <v>96</v>
      </c>
      <c r="B98" s="481">
        <v>15</v>
      </c>
      <c r="C98" s="16">
        <v>2</v>
      </c>
      <c r="D98" s="482" t="s">
        <v>6308</v>
      </c>
      <c r="E98" s="482" t="s">
        <v>5506</v>
      </c>
      <c r="F98" s="482" t="s">
        <v>20</v>
      </c>
      <c r="G98" s="495" t="s">
        <v>6592</v>
      </c>
      <c r="H98" s="481"/>
      <c r="I98" s="481" t="s">
        <v>7</v>
      </c>
      <c r="J98" s="360" t="s">
        <v>158</v>
      </c>
      <c r="K98" s="482" t="s">
        <v>2167</v>
      </c>
      <c r="L98" s="482" t="s">
        <v>117</v>
      </c>
      <c r="M98" s="482" t="s">
        <v>117</v>
      </c>
      <c r="N98" s="41" t="s">
        <v>6573</v>
      </c>
      <c r="O98" s="13" t="s">
        <v>106</v>
      </c>
      <c r="P98" s="13" t="s">
        <v>107</v>
      </c>
      <c r="Q98" s="13"/>
      <c r="R98" s="481"/>
      <c r="S98" s="33" t="s">
        <v>338</v>
      </c>
      <c r="T98" s="33">
        <v>293</v>
      </c>
      <c r="U98" s="35" t="s">
        <v>260</v>
      </c>
      <c r="V98" s="41" t="s">
        <v>6574</v>
      </c>
      <c r="W98" s="13" t="s">
        <v>69</v>
      </c>
      <c r="X98" s="482" t="s">
        <v>70</v>
      </c>
      <c r="Y98" s="481" t="s">
        <v>5187</v>
      </c>
      <c r="Z98" s="481" t="s">
        <v>6572</v>
      </c>
      <c r="AA98" s="481">
        <v>250</v>
      </c>
      <c r="AB98" s="16">
        <v>213</v>
      </c>
      <c r="AC98" s="16">
        <v>213</v>
      </c>
      <c r="AD98" s="16">
        <v>118</v>
      </c>
      <c r="AE98" s="16">
        <v>138</v>
      </c>
      <c r="AF98" s="16">
        <v>3</v>
      </c>
      <c r="AG98" s="16">
        <v>29</v>
      </c>
      <c r="AH98" s="16">
        <v>170</v>
      </c>
      <c r="AI98" s="16">
        <v>14</v>
      </c>
      <c r="AJ98" s="481">
        <v>6</v>
      </c>
      <c r="AK98" s="482"/>
      <c r="AL98" s="25" t="s">
        <v>6575</v>
      </c>
      <c r="AM98" s="481">
        <v>170</v>
      </c>
      <c r="AN98" s="481">
        <v>14</v>
      </c>
      <c r="AO98" s="481"/>
      <c r="AP98" s="16"/>
      <c r="AQ98" s="16" t="s">
        <v>160</v>
      </c>
      <c r="AR98" s="130" t="s">
        <v>161</v>
      </c>
      <c r="AS98" s="130">
        <v>1405</v>
      </c>
      <c r="AT98" s="130">
        <v>2</v>
      </c>
      <c r="AU98" s="130"/>
      <c r="AV98" s="130"/>
      <c r="AW98" s="12"/>
      <c r="AX98" s="12">
        <f t="shared" si="3"/>
        <v>0</v>
      </c>
      <c r="AY98" s="12"/>
      <c r="AZ98" s="481"/>
    </row>
    <row r="99" spans="1:52" ht="30" customHeight="1" x14ac:dyDescent="0.2">
      <c r="A99" s="481">
        <v>97</v>
      </c>
      <c r="B99" s="481">
        <v>16</v>
      </c>
      <c r="C99" s="16">
        <v>2</v>
      </c>
      <c r="D99" s="482" t="s">
        <v>6308</v>
      </c>
      <c r="E99" s="482" t="s">
        <v>2813</v>
      </c>
      <c r="F99" s="482" t="s">
        <v>6</v>
      </c>
      <c r="G99" s="495" t="s">
        <v>6592</v>
      </c>
      <c r="H99" s="481" t="s">
        <v>4796</v>
      </c>
      <c r="I99" s="481" t="s">
        <v>83</v>
      </c>
      <c r="J99" s="360" t="s">
        <v>158</v>
      </c>
      <c r="K99" s="482" t="s">
        <v>3439</v>
      </c>
      <c r="L99" s="482"/>
      <c r="M99" s="482" t="s">
        <v>68</v>
      </c>
      <c r="N99" s="41"/>
      <c r="O99" s="13" t="s">
        <v>106</v>
      </c>
      <c r="P99" s="13" t="s">
        <v>107</v>
      </c>
      <c r="Q99" s="13"/>
      <c r="R99" s="481"/>
      <c r="S99" s="481" t="s">
        <v>332</v>
      </c>
      <c r="T99" s="481"/>
      <c r="U99" s="482"/>
      <c r="V99" s="41"/>
      <c r="W99" s="13" t="s">
        <v>106</v>
      </c>
      <c r="X99" s="482" t="s">
        <v>107</v>
      </c>
      <c r="Y99" s="481"/>
      <c r="Z99" s="481" t="s">
        <v>6576</v>
      </c>
      <c r="AA99" s="481">
        <v>204</v>
      </c>
      <c r="AB99" s="16">
        <v>186</v>
      </c>
      <c r="AC99" s="16">
        <v>186</v>
      </c>
      <c r="AD99" s="16"/>
      <c r="AE99" s="16"/>
      <c r="AF99" s="16"/>
      <c r="AG99" s="16"/>
      <c r="AH99" s="16"/>
      <c r="AI99" s="16"/>
      <c r="AJ99" s="481">
        <v>6</v>
      </c>
      <c r="AK99" s="482"/>
      <c r="AL99" s="25"/>
      <c r="AM99" s="481"/>
      <c r="AN99" s="481"/>
      <c r="AO99" s="481"/>
      <c r="AP99" s="16"/>
      <c r="AQ99" s="16" t="s">
        <v>160</v>
      </c>
      <c r="AR99" s="130" t="s">
        <v>193</v>
      </c>
      <c r="AS99" s="130">
        <v>1405</v>
      </c>
      <c r="AT99" s="130">
        <v>2</v>
      </c>
      <c r="AU99" s="130">
        <v>1399</v>
      </c>
      <c r="AV99" s="130">
        <v>5</v>
      </c>
      <c r="AW99" s="12">
        <f>IF(AS99*AU99&gt;0,(AS99-AU99)*12+(AT99-AV99),"")</f>
        <v>69</v>
      </c>
      <c r="AX99" s="12" t="str">
        <f t="shared" si="3"/>
        <v/>
      </c>
      <c r="AY99" s="12"/>
      <c r="AZ99" s="481"/>
    </row>
    <row r="100" spans="1:52" ht="30" customHeight="1" x14ac:dyDescent="0.2">
      <c r="A100" s="481">
        <v>98</v>
      </c>
      <c r="B100" s="481">
        <v>17</v>
      </c>
      <c r="C100" s="16">
        <v>2</v>
      </c>
      <c r="D100" s="482" t="s">
        <v>6308</v>
      </c>
      <c r="E100" s="482" t="s">
        <v>1207</v>
      </c>
      <c r="F100" s="482" t="s">
        <v>8</v>
      </c>
      <c r="G100" s="495" t="s">
        <v>6588</v>
      </c>
      <c r="H100" s="481"/>
      <c r="I100" s="481" t="s">
        <v>7</v>
      </c>
      <c r="J100" s="360" t="s">
        <v>158</v>
      </c>
      <c r="K100" s="482" t="s">
        <v>3439</v>
      </c>
      <c r="L100" s="482" t="s">
        <v>68</v>
      </c>
      <c r="M100" s="482" t="s">
        <v>68</v>
      </c>
      <c r="N100" s="41" t="s">
        <v>6577</v>
      </c>
      <c r="O100" s="13" t="s">
        <v>69</v>
      </c>
      <c r="P100" s="13" t="s">
        <v>70</v>
      </c>
      <c r="Q100" s="13"/>
      <c r="R100" s="481"/>
      <c r="S100" s="33" t="s">
        <v>263</v>
      </c>
      <c r="T100" s="33">
        <v>6611</v>
      </c>
      <c r="U100" s="35" t="s">
        <v>769</v>
      </c>
      <c r="V100" s="41" t="s">
        <v>6578</v>
      </c>
      <c r="W100" s="13" t="s">
        <v>106</v>
      </c>
      <c r="X100" s="482" t="s">
        <v>107</v>
      </c>
      <c r="Y100" s="481" t="s">
        <v>5187</v>
      </c>
      <c r="Z100" s="481" t="s">
        <v>6556</v>
      </c>
      <c r="AA100" s="481">
        <v>183</v>
      </c>
      <c r="AB100" s="16">
        <v>156</v>
      </c>
      <c r="AC100" s="16">
        <v>156</v>
      </c>
      <c r="AD100" s="16">
        <v>79</v>
      </c>
      <c r="AE100" s="16">
        <v>116</v>
      </c>
      <c r="AF100" s="16">
        <v>5</v>
      </c>
      <c r="AG100" s="16">
        <v>68</v>
      </c>
      <c r="AH100" s="16">
        <v>189</v>
      </c>
      <c r="AI100" s="16">
        <v>20</v>
      </c>
      <c r="AJ100" s="481">
        <v>6</v>
      </c>
      <c r="AK100" s="482"/>
      <c r="AL100" s="25" t="s">
        <v>6579</v>
      </c>
      <c r="AM100" s="481">
        <v>189</v>
      </c>
      <c r="AN100" s="481">
        <v>20</v>
      </c>
      <c r="AO100" s="481"/>
      <c r="AP100" s="16"/>
      <c r="AQ100" s="16" t="s">
        <v>5080</v>
      </c>
      <c r="AR100" s="130" t="s">
        <v>161</v>
      </c>
      <c r="AS100" s="130">
        <v>1405</v>
      </c>
      <c r="AT100" s="130">
        <v>2</v>
      </c>
      <c r="AU100" s="130"/>
      <c r="AV100" s="130"/>
      <c r="AW100" s="12" t="str">
        <f>IF(AS100*AU100&gt;0,(AS100-AU100)*12+(AT100-AV100),"")</f>
        <v/>
      </c>
      <c r="AX100" s="12" t="str">
        <f t="shared" si="3"/>
        <v/>
      </c>
      <c r="AY100" s="12"/>
      <c r="AZ100" s="481"/>
    </row>
    <row r="101" spans="1:52" ht="45.75" customHeight="1" x14ac:dyDescent="0.2">
      <c r="A101" s="497">
        <v>99</v>
      </c>
      <c r="B101" s="497">
        <v>17</v>
      </c>
      <c r="C101" s="16">
        <v>2</v>
      </c>
      <c r="D101" s="498" t="s">
        <v>6308</v>
      </c>
      <c r="E101" s="498" t="s">
        <v>6591</v>
      </c>
      <c r="F101" s="498" t="s">
        <v>2981</v>
      </c>
      <c r="G101" s="498" t="s">
        <v>6588</v>
      </c>
      <c r="H101" s="497" t="s">
        <v>4038</v>
      </c>
      <c r="I101" s="497" t="s">
        <v>83</v>
      </c>
      <c r="J101" s="360" t="s">
        <v>158</v>
      </c>
      <c r="K101" s="498" t="s">
        <v>6599</v>
      </c>
      <c r="L101" s="498"/>
      <c r="M101" s="498" t="s">
        <v>117</v>
      </c>
      <c r="N101" s="41"/>
      <c r="O101" s="13" t="s">
        <v>106</v>
      </c>
      <c r="P101" s="13" t="s">
        <v>107</v>
      </c>
      <c r="Q101" s="13"/>
      <c r="R101" s="497"/>
      <c r="S101" s="497" t="s">
        <v>1084</v>
      </c>
      <c r="T101" s="497"/>
      <c r="U101" s="498" t="s">
        <v>3714</v>
      </c>
      <c r="V101" s="41"/>
      <c r="W101" s="13" t="s">
        <v>106</v>
      </c>
      <c r="X101" s="498" t="s">
        <v>107</v>
      </c>
      <c r="Y101" s="497"/>
      <c r="Z101" s="497"/>
      <c r="AA101" s="497"/>
      <c r="AB101" s="16"/>
      <c r="AC101" s="16"/>
      <c r="AD101" s="16"/>
      <c r="AE101" s="16"/>
      <c r="AF101" s="16"/>
      <c r="AG101" s="16"/>
      <c r="AH101" s="16"/>
      <c r="AI101" s="16"/>
      <c r="AJ101" s="497"/>
      <c r="AK101" s="498"/>
      <c r="AL101" s="25"/>
      <c r="AM101" s="497"/>
      <c r="AN101" s="497"/>
      <c r="AO101" s="497"/>
      <c r="AP101" s="16"/>
      <c r="AQ101" s="16"/>
      <c r="AR101" s="130"/>
      <c r="AS101" s="130">
        <v>1405</v>
      </c>
      <c r="AT101" s="130">
        <v>2</v>
      </c>
      <c r="AU101" s="130"/>
      <c r="AV101" s="130"/>
      <c r="AW101" s="12" t="str">
        <f>IF(AS101*AU101&gt;0,(AS101-AU101)*12+(AT101-AV101),"")</f>
        <v/>
      </c>
      <c r="AX101" s="12" t="str">
        <f t="shared" si="3"/>
        <v/>
      </c>
      <c r="AY101" s="12"/>
      <c r="AZ101" s="515" t="s">
        <v>6699</v>
      </c>
    </row>
    <row r="102" spans="1:52" ht="42" customHeight="1" x14ac:dyDescent="0.2">
      <c r="A102" s="497">
        <v>100</v>
      </c>
      <c r="B102" s="497">
        <v>17</v>
      </c>
      <c r="C102" s="16">
        <v>2</v>
      </c>
      <c r="D102" s="498" t="s">
        <v>6308</v>
      </c>
      <c r="E102" s="498" t="s">
        <v>6591</v>
      </c>
      <c r="F102" s="498" t="s">
        <v>2981</v>
      </c>
      <c r="G102" s="498" t="s">
        <v>6588</v>
      </c>
      <c r="H102" s="497"/>
      <c r="I102" s="497" t="s">
        <v>7</v>
      </c>
      <c r="J102" s="360" t="s">
        <v>158</v>
      </c>
      <c r="K102" s="499" t="s">
        <v>6599</v>
      </c>
      <c r="L102" s="498" t="s">
        <v>117</v>
      </c>
      <c r="M102" s="498" t="s">
        <v>117</v>
      </c>
      <c r="N102" s="41" t="s">
        <v>6593</v>
      </c>
      <c r="O102" s="13" t="s">
        <v>69</v>
      </c>
      <c r="P102" s="13" t="s">
        <v>70</v>
      </c>
      <c r="Q102" s="13"/>
      <c r="R102" s="497"/>
      <c r="S102" s="33" t="s">
        <v>1084</v>
      </c>
      <c r="T102" s="33">
        <v>374</v>
      </c>
      <c r="U102" s="35" t="s">
        <v>506</v>
      </c>
      <c r="V102" s="41" t="s">
        <v>6594</v>
      </c>
      <c r="W102" s="13" t="s">
        <v>106</v>
      </c>
      <c r="X102" s="498" t="s">
        <v>107</v>
      </c>
      <c r="Y102" s="497" t="s">
        <v>5187</v>
      </c>
      <c r="Z102" s="497"/>
      <c r="AA102" s="497"/>
      <c r="AB102" s="16"/>
      <c r="AC102" s="16"/>
      <c r="AD102" s="16"/>
      <c r="AE102" s="16"/>
      <c r="AF102" s="16"/>
      <c r="AG102" s="16"/>
      <c r="AH102" s="16"/>
      <c r="AI102" s="16"/>
      <c r="AJ102" s="497"/>
      <c r="AK102" s="498"/>
      <c r="AL102" s="25" t="s">
        <v>6595</v>
      </c>
      <c r="AM102" s="497"/>
      <c r="AN102" s="497"/>
      <c r="AO102" s="497"/>
      <c r="AP102" s="16"/>
      <c r="AQ102" s="16"/>
      <c r="AR102" s="130"/>
      <c r="AS102" s="130">
        <v>1405</v>
      </c>
      <c r="AT102" s="130">
        <v>2</v>
      </c>
      <c r="AU102" s="130"/>
      <c r="AV102" s="130"/>
      <c r="AW102" s="12" t="str">
        <f>IF(AS102*AU102&gt;0,(AS102-AU102)*12+(AT102-AV102),"")</f>
        <v/>
      </c>
      <c r="AX102" s="12" t="str">
        <f t="shared" si="3"/>
        <v/>
      </c>
      <c r="AY102" s="12"/>
      <c r="AZ102" s="515" t="s">
        <v>6598</v>
      </c>
    </row>
    <row r="103" spans="1:52" ht="30" customHeight="1" x14ac:dyDescent="0.2">
      <c r="A103" s="497">
        <v>101</v>
      </c>
      <c r="B103" s="481">
        <v>17</v>
      </c>
      <c r="C103" s="16">
        <v>2</v>
      </c>
      <c r="D103" s="482" t="s">
        <v>6308</v>
      </c>
      <c r="E103" s="482" t="s">
        <v>6589</v>
      </c>
      <c r="F103" s="482" t="s">
        <v>8</v>
      </c>
      <c r="G103" s="495" t="s">
        <v>6588</v>
      </c>
      <c r="H103" s="481" t="s">
        <v>6285</v>
      </c>
      <c r="I103" s="481" t="s">
        <v>83</v>
      </c>
      <c r="J103" s="360" t="s">
        <v>158</v>
      </c>
      <c r="K103" s="482" t="s">
        <v>3439</v>
      </c>
      <c r="L103" s="482" t="s">
        <v>3714</v>
      </c>
      <c r="M103" s="482" t="s">
        <v>140</v>
      </c>
      <c r="N103" s="41"/>
      <c r="O103" s="13" t="s">
        <v>106</v>
      </c>
      <c r="P103" s="13" t="s">
        <v>107</v>
      </c>
      <c r="Q103" s="13"/>
      <c r="R103" s="481"/>
      <c r="S103" s="481" t="s">
        <v>143</v>
      </c>
      <c r="T103" s="481"/>
      <c r="U103" s="482"/>
      <c r="V103" s="41"/>
      <c r="W103" s="13" t="s">
        <v>106</v>
      </c>
      <c r="X103" s="482" t="s">
        <v>107</v>
      </c>
      <c r="Y103" s="481"/>
      <c r="Z103" s="481" t="s">
        <v>6600</v>
      </c>
      <c r="AA103" s="481"/>
      <c r="AB103" s="16">
        <v>108</v>
      </c>
      <c r="AC103" s="16">
        <v>108</v>
      </c>
      <c r="AD103" s="16"/>
      <c r="AE103" s="16"/>
      <c r="AF103" s="16"/>
      <c r="AG103" s="16"/>
      <c r="AH103" s="16"/>
      <c r="AI103" s="16"/>
      <c r="AJ103" s="481">
        <v>6</v>
      </c>
      <c r="AK103" s="482"/>
      <c r="AL103" s="25"/>
      <c r="AM103" s="481"/>
      <c r="AN103" s="481"/>
      <c r="AO103" s="481"/>
      <c r="AP103" s="16"/>
      <c r="AQ103" s="16"/>
      <c r="AR103" s="130"/>
      <c r="AS103" s="130">
        <v>1405</v>
      </c>
      <c r="AT103" s="130">
        <v>2</v>
      </c>
      <c r="AU103" s="130">
        <v>1404</v>
      </c>
      <c r="AV103" s="130">
        <v>4</v>
      </c>
      <c r="AW103" s="12">
        <f>IF(AS103*AU103&gt;0,(AS103-AU103)*12+(AT103-AV103),"")</f>
        <v>10</v>
      </c>
      <c r="AX103" s="12">
        <f t="shared" si="3"/>
        <v>10</v>
      </c>
      <c r="AY103" s="12"/>
      <c r="AZ103" s="481"/>
    </row>
    <row r="104" spans="1:52" ht="30" customHeight="1" x14ac:dyDescent="0.2">
      <c r="A104" s="497">
        <v>102</v>
      </c>
      <c r="B104" s="481">
        <v>18</v>
      </c>
      <c r="C104" s="16">
        <v>2</v>
      </c>
      <c r="D104" s="482" t="s">
        <v>6308</v>
      </c>
      <c r="E104" s="482" t="s">
        <v>21</v>
      </c>
      <c r="F104" s="482" t="s">
        <v>6105</v>
      </c>
      <c r="G104" s="495" t="s">
        <v>6592</v>
      </c>
      <c r="H104" s="481" t="s">
        <v>4038</v>
      </c>
      <c r="I104" s="481" t="s">
        <v>83</v>
      </c>
      <c r="J104" s="360" t="s">
        <v>158</v>
      </c>
      <c r="K104" s="498" t="s">
        <v>3439</v>
      </c>
      <c r="L104" s="482" t="s">
        <v>3714</v>
      </c>
      <c r="M104" s="482" t="s">
        <v>140</v>
      </c>
      <c r="N104" s="41"/>
      <c r="O104" s="13" t="s">
        <v>106</v>
      </c>
      <c r="P104" s="13" t="s">
        <v>107</v>
      </c>
      <c r="Q104" s="13"/>
      <c r="R104" s="481"/>
      <c r="S104" s="481" t="s">
        <v>276</v>
      </c>
      <c r="T104" s="481"/>
      <c r="U104" s="482"/>
      <c r="V104" s="41"/>
      <c r="W104" s="13" t="s">
        <v>106</v>
      </c>
      <c r="X104" s="482" t="s">
        <v>107</v>
      </c>
      <c r="Y104" s="481"/>
      <c r="Z104" s="481" t="s">
        <v>6601</v>
      </c>
      <c r="AA104" s="481">
        <v>180</v>
      </c>
      <c r="AB104" s="16">
        <v>168</v>
      </c>
      <c r="AC104" s="16">
        <v>168</v>
      </c>
      <c r="AD104" s="16"/>
      <c r="AE104" s="16"/>
      <c r="AF104" s="16"/>
      <c r="AG104" s="16"/>
      <c r="AH104" s="16"/>
      <c r="AI104" s="16"/>
      <c r="AJ104" s="481">
        <v>6</v>
      </c>
      <c r="AK104" s="482"/>
      <c r="AL104" s="25"/>
      <c r="AM104" s="481"/>
      <c r="AN104" s="481"/>
      <c r="AO104" s="481"/>
      <c r="AP104" s="16"/>
      <c r="AQ104" s="16"/>
      <c r="AR104" s="130"/>
      <c r="AS104" s="130">
        <v>1405</v>
      </c>
      <c r="AT104" s="130">
        <v>2</v>
      </c>
      <c r="AU104" s="130">
        <v>1403</v>
      </c>
      <c r="AV104" s="130">
        <v>12</v>
      </c>
      <c r="AW104" s="12">
        <f t="shared" ref="AW104:AW167" si="4">IF(AS104*AU104&gt;0,(AS104-AU104)*12+(AT104-AV104),"")</f>
        <v>14</v>
      </c>
      <c r="AX104" s="12" t="str">
        <f t="shared" si="3"/>
        <v/>
      </c>
      <c r="AY104" s="12"/>
      <c r="AZ104" s="481"/>
    </row>
    <row r="105" spans="1:52" ht="30" customHeight="1" x14ac:dyDescent="0.2">
      <c r="A105" s="497">
        <v>103</v>
      </c>
      <c r="B105" s="481">
        <v>19</v>
      </c>
      <c r="C105" s="16">
        <v>2</v>
      </c>
      <c r="D105" s="482" t="s">
        <v>6308</v>
      </c>
      <c r="E105" s="482" t="s">
        <v>2197</v>
      </c>
      <c r="F105" s="482" t="s">
        <v>10</v>
      </c>
      <c r="G105" s="495" t="s">
        <v>6592</v>
      </c>
      <c r="H105" s="481"/>
      <c r="I105" s="481" t="s">
        <v>7</v>
      </c>
      <c r="J105" s="360" t="s">
        <v>158</v>
      </c>
      <c r="K105" s="498" t="s">
        <v>3439</v>
      </c>
      <c r="L105" s="35" t="s">
        <v>104</v>
      </c>
      <c r="M105" s="35" t="s">
        <v>155</v>
      </c>
      <c r="N105" s="41" t="s">
        <v>6602</v>
      </c>
      <c r="O105" s="13" t="s">
        <v>69</v>
      </c>
      <c r="P105" s="13" t="s">
        <v>70</v>
      </c>
      <c r="Q105" s="13"/>
      <c r="R105" s="481"/>
      <c r="S105" s="33" t="s">
        <v>402</v>
      </c>
      <c r="T105" s="33">
        <v>293</v>
      </c>
      <c r="U105" s="35" t="s">
        <v>493</v>
      </c>
      <c r="V105" s="41" t="s">
        <v>6603</v>
      </c>
      <c r="W105" s="13" t="s">
        <v>106</v>
      </c>
      <c r="X105" s="482" t="s">
        <v>107</v>
      </c>
      <c r="Y105" s="481" t="s">
        <v>5187</v>
      </c>
      <c r="Z105" s="481" t="s">
        <v>4149</v>
      </c>
      <c r="AA105" s="481"/>
      <c r="AB105" s="16">
        <v>231</v>
      </c>
      <c r="AC105" s="16">
        <v>231</v>
      </c>
      <c r="AD105" s="16">
        <v>140</v>
      </c>
      <c r="AE105" s="16">
        <v>200</v>
      </c>
      <c r="AF105" s="16">
        <v>4</v>
      </c>
      <c r="AG105" s="16">
        <v>45</v>
      </c>
      <c r="AH105" s="16">
        <v>249</v>
      </c>
      <c r="AI105" s="16">
        <v>16</v>
      </c>
      <c r="AJ105" s="481">
        <v>6</v>
      </c>
      <c r="AK105" s="482"/>
      <c r="AL105" s="25" t="s">
        <v>6596</v>
      </c>
      <c r="AM105" s="481">
        <v>249</v>
      </c>
      <c r="AN105" s="481">
        <v>16</v>
      </c>
      <c r="AO105" s="481"/>
      <c r="AP105" s="16"/>
      <c r="AQ105" s="16" t="s">
        <v>160</v>
      </c>
      <c r="AR105" s="130" t="s">
        <v>193</v>
      </c>
      <c r="AS105" s="130">
        <v>1405</v>
      </c>
      <c r="AT105" s="130">
        <v>2</v>
      </c>
      <c r="AU105" s="130"/>
      <c r="AV105" s="130"/>
      <c r="AW105" s="12" t="str">
        <f t="shared" si="4"/>
        <v/>
      </c>
      <c r="AX105" s="12" t="str">
        <f t="shared" si="3"/>
        <v/>
      </c>
      <c r="AY105" s="12"/>
      <c r="AZ105" s="481"/>
    </row>
    <row r="106" spans="1:52" ht="30" customHeight="1" x14ac:dyDescent="0.2">
      <c r="A106" s="497">
        <v>104</v>
      </c>
      <c r="B106" s="481">
        <v>19</v>
      </c>
      <c r="C106" s="16">
        <v>2</v>
      </c>
      <c r="D106" s="482" t="s">
        <v>6308</v>
      </c>
      <c r="E106" s="482" t="s">
        <v>6589</v>
      </c>
      <c r="F106" s="482" t="s">
        <v>8</v>
      </c>
      <c r="G106" s="495" t="s">
        <v>6592</v>
      </c>
      <c r="H106" s="481"/>
      <c r="I106" s="481" t="s">
        <v>7</v>
      </c>
      <c r="J106" s="360" t="s">
        <v>158</v>
      </c>
      <c r="K106" s="498" t="s">
        <v>3439</v>
      </c>
      <c r="L106" s="35" t="s">
        <v>140</v>
      </c>
      <c r="M106" s="35" t="s">
        <v>104</v>
      </c>
      <c r="N106" s="41" t="s">
        <v>6604</v>
      </c>
      <c r="O106" s="13" t="s">
        <v>106</v>
      </c>
      <c r="P106" s="13" t="s">
        <v>107</v>
      </c>
      <c r="Q106" s="13"/>
      <c r="R106" s="481"/>
      <c r="S106" s="33" t="s">
        <v>143</v>
      </c>
      <c r="T106" s="33">
        <v>384</v>
      </c>
      <c r="U106" s="35" t="s">
        <v>555</v>
      </c>
      <c r="V106" s="41" t="s">
        <v>6605</v>
      </c>
      <c r="W106" s="13" t="s">
        <v>142</v>
      </c>
      <c r="X106" s="482" t="s">
        <v>70</v>
      </c>
      <c r="Y106" s="481" t="s">
        <v>5187</v>
      </c>
      <c r="Z106" s="481" t="s">
        <v>6600</v>
      </c>
      <c r="AA106" s="481"/>
      <c r="AB106" s="16">
        <v>108</v>
      </c>
      <c r="AC106" s="16">
        <v>108</v>
      </c>
      <c r="AD106" s="16">
        <v>38</v>
      </c>
      <c r="AE106" s="16">
        <v>44</v>
      </c>
      <c r="AF106" s="16">
        <v>8</v>
      </c>
      <c r="AG106" s="16">
        <v>53</v>
      </c>
      <c r="AH106" s="16">
        <v>105</v>
      </c>
      <c r="AI106" s="16">
        <v>32</v>
      </c>
      <c r="AJ106" s="481">
        <v>6</v>
      </c>
      <c r="AK106" s="482"/>
      <c r="AL106" s="25" t="s">
        <v>6575</v>
      </c>
      <c r="AM106" s="481">
        <v>105</v>
      </c>
      <c r="AN106" s="481">
        <v>32</v>
      </c>
      <c r="AO106" s="481"/>
      <c r="AP106" s="16"/>
      <c r="AQ106" s="16" t="s">
        <v>5080</v>
      </c>
      <c r="AR106" s="130" t="s">
        <v>112</v>
      </c>
      <c r="AS106" s="130">
        <v>1405</v>
      </c>
      <c r="AT106" s="130">
        <v>2</v>
      </c>
      <c r="AU106" s="130"/>
      <c r="AV106" s="130"/>
      <c r="AW106" s="12" t="str">
        <f t="shared" si="4"/>
        <v/>
      </c>
      <c r="AX106" s="12" t="str">
        <f t="shared" si="3"/>
        <v/>
      </c>
      <c r="AY106" s="12"/>
      <c r="AZ106" s="481"/>
    </row>
    <row r="107" spans="1:52" ht="30" customHeight="1" x14ac:dyDescent="0.2">
      <c r="A107" s="497">
        <v>105</v>
      </c>
      <c r="B107" s="481">
        <v>20</v>
      </c>
      <c r="C107" s="16">
        <v>2</v>
      </c>
      <c r="D107" s="482" t="s">
        <v>6308</v>
      </c>
      <c r="E107" s="482" t="s">
        <v>785</v>
      </c>
      <c r="F107" s="482" t="s">
        <v>6</v>
      </c>
      <c r="G107" s="495" t="s">
        <v>6588</v>
      </c>
      <c r="H107" s="481" t="s">
        <v>185</v>
      </c>
      <c r="I107" s="481" t="s">
        <v>83</v>
      </c>
      <c r="J107" s="360" t="s">
        <v>158</v>
      </c>
      <c r="K107" s="498" t="s">
        <v>3439</v>
      </c>
      <c r="L107" s="482"/>
      <c r="M107" s="482" t="s">
        <v>218</v>
      </c>
      <c r="N107" s="41"/>
      <c r="O107" s="13" t="s">
        <v>106</v>
      </c>
      <c r="P107" s="13" t="s">
        <v>107</v>
      </c>
      <c r="Q107" s="13"/>
      <c r="R107" s="481"/>
      <c r="S107" s="481" t="s">
        <v>268</v>
      </c>
      <c r="T107" s="481"/>
      <c r="U107" s="482"/>
      <c r="V107" s="41"/>
      <c r="W107" s="13" t="s">
        <v>106</v>
      </c>
      <c r="X107" s="482" t="s">
        <v>107</v>
      </c>
      <c r="Y107" s="481"/>
      <c r="Z107" s="481" t="s">
        <v>6606</v>
      </c>
      <c r="AA107" s="481">
        <v>250</v>
      </c>
      <c r="AB107" s="16">
        <v>234</v>
      </c>
      <c r="AC107" s="16">
        <v>234</v>
      </c>
      <c r="AD107" s="16"/>
      <c r="AE107" s="16"/>
      <c r="AF107" s="16"/>
      <c r="AG107" s="16"/>
      <c r="AH107" s="16"/>
      <c r="AI107" s="16"/>
      <c r="AJ107" s="481">
        <v>6</v>
      </c>
      <c r="AK107" s="482"/>
      <c r="AL107" s="25"/>
      <c r="AM107" s="481"/>
      <c r="AN107" s="481"/>
      <c r="AO107" s="481"/>
      <c r="AP107" s="16"/>
      <c r="AQ107" s="16" t="s">
        <v>160</v>
      </c>
      <c r="AR107" s="130" t="s">
        <v>165</v>
      </c>
      <c r="AS107" s="130">
        <v>1405</v>
      </c>
      <c r="AT107" s="130">
        <v>2</v>
      </c>
      <c r="AU107" s="130">
        <v>1402</v>
      </c>
      <c r="AV107" s="130">
        <v>3</v>
      </c>
      <c r="AW107" s="12">
        <f t="shared" si="4"/>
        <v>35</v>
      </c>
      <c r="AX107" s="12" t="str">
        <f t="shared" si="3"/>
        <v/>
      </c>
      <c r="AY107" s="12"/>
      <c r="AZ107" s="481"/>
    </row>
    <row r="108" spans="1:52" ht="30" customHeight="1" x14ac:dyDescent="0.2">
      <c r="A108" s="497">
        <v>106</v>
      </c>
      <c r="B108" s="481">
        <v>20</v>
      </c>
      <c r="C108" s="16">
        <v>2</v>
      </c>
      <c r="D108" s="482" t="s">
        <v>6308</v>
      </c>
      <c r="E108" s="482" t="s">
        <v>2813</v>
      </c>
      <c r="F108" s="482" t="s">
        <v>6</v>
      </c>
      <c r="G108" s="495" t="s">
        <v>6588</v>
      </c>
      <c r="H108" s="481"/>
      <c r="I108" s="481" t="s">
        <v>7</v>
      </c>
      <c r="J108" s="360" t="s">
        <v>158</v>
      </c>
      <c r="K108" s="498" t="s">
        <v>3439</v>
      </c>
      <c r="L108" s="35" t="s">
        <v>68</v>
      </c>
      <c r="M108" s="35" t="s">
        <v>155</v>
      </c>
      <c r="N108" s="41" t="s">
        <v>6607</v>
      </c>
      <c r="O108" s="13" t="s">
        <v>106</v>
      </c>
      <c r="P108" s="13" t="s">
        <v>107</v>
      </c>
      <c r="Q108" s="13"/>
      <c r="R108" s="481"/>
      <c r="S108" s="33" t="s">
        <v>332</v>
      </c>
      <c r="T108" s="33">
        <v>345</v>
      </c>
      <c r="U108" s="35" t="s">
        <v>718</v>
      </c>
      <c r="V108" s="41" t="s">
        <v>6608</v>
      </c>
      <c r="W108" s="13" t="s">
        <v>69</v>
      </c>
      <c r="X108" s="482" t="s">
        <v>70</v>
      </c>
      <c r="Y108" s="481" t="s">
        <v>5187</v>
      </c>
      <c r="Z108" s="481" t="s">
        <v>6576</v>
      </c>
      <c r="AA108" s="481"/>
      <c r="AB108" s="16">
        <v>186</v>
      </c>
      <c r="AC108" s="16">
        <v>186</v>
      </c>
      <c r="AD108" s="16">
        <v>112</v>
      </c>
      <c r="AE108" s="16">
        <v>158</v>
      </c>
      <c r="AF108" s="16">
        <v>5</v>
      </c>
      <c r="AG108" s="16">
        <v>50</v>
      </c>
      <c r="AH108" s="16">
        <v>213</v>
      </c>
      <c r="AI108" s="16">
        <v>19</v>
      </c>
      <c r="AJ108" s="481">
        <v>6</v>
      </c>
      <c r="AK108" s="482"/>
      <c r="AL108" s="25" t="s">
        <v>6597</v>
      </c>
      <c r="AM108" s="481">
        <v>213</v>
      </c>
      <c r="AN108" s="481">
        <v>19</v>
      </c>
      <c r="AO108" s="481"/>
      <c r="AP108" s="16"/>
      <c r="AQ108" s="16" t="s">
        <v>160</v>
      </c>
      <c r="AR108" s="130" t="s">
        <v>193</v>
      </c>
      <c r="AS108" s="130">
        <v>1405</v>
      </c>
      <c r="AT108" s="130">
        <v>2</v>
      </c>
      <c r="AU108" s="130"/>
      <c r="AV108" s="130"/>
      <c r="AW108" s="12" t="str">
        <f t="shared" si="4"/>
        <v/>
      </c>
      <c r="AX108" s="12" t="str">
        <f t="shared" si="3"/>
        <v/>
      </c>
      <c r="AY108" s="12"/>
      <c r="AZ108" s="481"/>
    </row>
    <row r="109" spans="1:52" ht="30" customHeight="1" x14ac:dyDescent="0.2">
      <c r="A109" s="497">
        <v>107</v>
      </c>
      <c r="B109" s="481">
        <v>21</v>
      </c>
      <c r="C109" s="16">
        <v>2</v>
      </c>
      <c r="D109" s="482" t="s">
        <v>6308</v>
      </c>
      <c r="E109" s="482" t="s">
        <v>281</v>
      </c>
      <c r="F109" s="482" t="s">
        <v>8</v>
      </c>
      <c r="G109" s="495" t="s">
        <v>6592</v>
      </c>
      <c r="H109" s="481" t="s">
        <v>4038</v>
      </c>
      <c r="I109" s="481" t="s">
        <v>83</v>
      </c>
      <c r="J109" s="360" t="s">
        <v>158</v>
      </c>
      <c r="K109" s="498" t="s">
        <v>3439</v>
      </c>
      <c r="L109" s="482" t="s">
        <v>3714</v>
      </c>
      <c r="M109" s="482" t="s">
        <v>104</v>
      </c>
      <c r="N109" s="41"/>
      <c r="O109" s="13" t="s">
        <v>106</v>
      </c>
      <c r="P109" s="13" t="s">
        <v>107</v>
      </c>
      <c r="Q109" s="13"/>
      <c r="R109" s="481"/>
      <c r="S109" s="481" t="s">
        <v>402</v>
      </c>
      <c r="T109" s="481"/>
      <c r="U109" s="482"/>
      <c r="V109" s="41"/>
      <c r="W109" s="13" t="s">
        <v>106</v>
      </c>
      <c r="X109" s="13" t="s">
        <v>107</v>
      </c>
      <c r="Y109" s="481"/>
      <c r="Z109" s="481" t="s">
        <v>6609</v>
      </c>
      <c r="AA109" s="481">
        <v>204</v>
      </c>
      <c r="AB109" s="16">
        <v>186</v>
      </c>
      <c r="AC109" s="16">
        <v>186</v>
      </c>
      <c r="AD109" s="16"/>
      <c r="AE109" s="16"/>
      <c r="AF109" s="16"/>
      <c r="AG109" s="16"/>
      <c r="AH109" s="16"/>
      <c r="AI109" s="16"/>
      <c r="AJ109" s="481">
        <v>6</v>
      </c>
      <c r="AK109" s="482"/>
      <c r="AL109" s="25"/>
      <c r="AM109" s="481"/>
      <c r="AN109" s="481"/>
      <c r="AO109" s="481"/>
      <c r="AP109" s="16"/>
      <c r="AQ109" s="16" t="s">
        <v>5080</v>
      </c>
      <c r="AR109" s="130" t="s">
        <v>161</v>
      </c>
      <c r="AS109" s="130">
        <v>1405</v>
      </c>
      <c r="AT109" s="130">
        <v>2</v>
      </c>
      <c r="AU109" s="130">
        <v>1402</v>
      </c>
      <c r="AV109" s="130">
        <v>3</v>
      </c>
      <c r="AW109" s="12">
        <f t="shared" si="4"/>
        <v>35</v>
      </c>
      <c r="AX109" s="12" t="str">
        <f t="shared" si="3"/>
        <v/>
      </c>
      <c r="AY109" s="12"/>
      <c r="AZ109" s="481"/>
    </row>
    <row r="110" spans="1:52" ht="30" customHeight="1" x14ac:dyDescent="0.2">
      <c r="A110" s="497">
        <v>108</v>
      </c>
      <c r="B110" s="481">
        <v>21</v>
      </c>
      <c r="C110" s="16">
        <v>2</v>
      </c>
      <c r="D110" s="482" t="s">
        <v>6308</v>
      </c>
      <c r="E110" s="482" t="s">
        <v>241</v>
      </c>
      <c r="F110" s="482" t="s">
        <v>8</v>
      </c>
      <c r="G110" s="495" t="s">
        <v>6592</v>
      </c>
      <c r="H110" s="481" t="s">
        <v>6543</v>
      </c>
      <c r="I110" s="481" t="s">
        <v>83</v>
      </c>
      <c r="J110" s="360" t="s">
        <v>158</v>
      </c>
      <c r="K110" s="498" t="s">
        <v>3439</v>
      </c>
      <c r="L110" s="482"/>
      <c r="M110" s="482" t="s">
        <v>155</v>
      </c>
      <c r="N110" s="41"/>
      <c r="O110" s="13" t="s">
        <v>106</v>
      </c>
      <c r="P110" s="13" t="s">
        <v>107</v>
      </c>
      <c r="Q110" s="13"/>
      <c r="R110" s="481"/>
      <c r="S110" s="481" t="s">
        <v>170</v>
      </c>
      <c r="T110" s="481"/>
      <c r="U110" s="482"/>
      <c r="V110" s="41"/>
      <c r="W110" s="13" t="s">
        <v>106</v>
      </c>
      <c r="X110" s="13" t="s">
        <v>107</v>
      </c>
      <c r="Y110" s="481"/>
      <c r="Z110" s="481" t="s">
        <v>6610</v>
      </c>
      <c r="AA110" s="481">
        <v>224</v>
      </c>
      <c r="AB110" s="16">
        <v>210</v>
      </c>
      <c r="AC110" s="16">
        <v>210</v>
      </c>
      <c r="AD110" s="16"/>
      <c r="AE110" s="16"/>
      <c r="AF110" s="16"/>
      <c r="AG110" s="16"/>
      <c r="AH110" s="16"/>
      <c r="AI110" s="16"/>
      <c r="AJ110" s="481">
        <v>6</v>
      </c>
      <c r="AK110" s="482"/>
      <c r="AL110" s="25"/>
      <c r="AM110" s="481"/>
      <c r="AN110" s="481"/>
      <c r="AO110" s="481"/>
      <c r="AP110" s="16"/>
      <c r="AQ110" s="16" t="s">
        <v>160</v>
      </c>
      <c r="AR110" s="130" t="s">
        <v>165</v>
      </c>
      <c r="AS110" s="130">
        <v>1405</v>
      </c>
      <c r="AT110" s="130">
        <v>2</v>
      </c>
      <c r="AU110" s="130">
        <v>1402</v>
      </c>
      <c r="AV110" s="130">
        <v>1</v>
      </c>
      <c r="AW110" s="12">
        <f t="shared" si="4"/>
        <v>37</v>
      </c>
      <c r="AX110" s="12" t="str">
        <f t="shared" si="3"/>
        <v/>
      </c>
      <c r="AY110" s="12"/>
      <c r="AZ110" s="481"/>
    </row>
    <row r="111" spans="1:52" ht="30" customHeight="1" x14ac:dyDescent="0.2">
      <c r="A111" s="497">
        <v>109</v>
      </c>
      <c r="B111" s="481">
        <v>21</v>
      </c>
      <c r="C111" s="16">
        <v>2</v>
      </c>
      <c r="D111" s="482" t="s">
        <v>6308</v>
      </c>
      <c r="E111" s="482" t="s">
        <v>6590</v>
      </c>
      <c r="F111" s="482" t="s">
        <v>8</v>
      </c>
      <c r="G111" s="495" t="s">
        <v>6592</v>
      </c>
      <c r="H111" s="481" t="s">
        <v>4038</v>
      </c>
      <c r="I111" s="481" t="s">
        <v>83</v>
      </c>
      <c r="J111" s="360" t="s">
        <v>158</v>
      </c>
      <c r="K111" s="498" t="s">
        <v>3439</v>
      </c>
      <c r="L111" s="482"/>
      <c r="M111" s="482" t="s">
        <v>104</v>
      </c>
      <c r="N111" s="41"/>
      <c r="O111" s="13" t="s">
        <v>106</v>
      </c>
      <c r="P111" s="13" t="s">
        <v>107</v>
      </c>
      <c r="Q111" s="13"/>
      <c r="R111" s="481"/>
      <c r="S111" s="481" t="s">
        <v>1727</v>
      </c>
      <c r="T111" s="481"/>
      <c r="U111" s="482"/>
      <c r="V111" s="41"/>
      <c r="W111" s="13" t="s">
        <v>106</v>
      </c>
      <c r="X111" s="13" t="s">
        <v>107</v>
      </c>
      <c r="Y111" s="481"/>
      <c r="Z111" s="481" t="s">
        <v>6611</v>
      </c>
      <c r="AA111" s="481">
        <v>243</v>
      </c>
      <c r="AB111" s="16">
        <v>228</v>
      </c>
      <c r="AC111" s="16">
        <v>228</v>
      </c>
      <c r="AD111" s="16"/>
      <c r="AE111" s="16"/>
      <c r="AF111" s="16"/>
      <c r="AG111" s="16"/>
      <c r="AH111" s="16"/>
      <c r="AI111" s="16"/>
      <c r="AJ111" s="481">
        <v>6</v>
      </c>
      <c r="AK111" s="482"/>
      <c r="AL111" s="25"/>
      <c r="AM111" s="481"/>
      <c r="AN111" s="481"/>
      <c r="AO111" s="481"/>
      <c r="AP111" s="16"/>
      <c r="AQ111" s="16" t="s">
        <v>160</v>
      </c>
      <c r="AR111" s="130" t="s">
        <v>193</v>
      </c>
      <c r="AS111" s="130">
        <v>1405</v>
      </c>
      <c r="AT111" s="130">
        <v>2</v>
      </c>
      <c r="AU111" s="130">
        <v>1403</v>
      </c>
      <c r="AV111" s="130">
        <v>6</v>
      </c>
      <c r="AW111" s="12">
        <f t="shared" si="4"/>
        <v>20</v>
      </c>
      <c r="AX111" s="12" t="str">
        <f t="shared" si="3"/>
        <v/>
      </c>
      <c r="AY111" s="12"/>
      <c r="AZ111" s="481"/>
    </row>
    <row r="112" spans="1:52" ht="30" customHeight="1" x14ac:dyDescent="0.2">
      <c r="A112" s="497">
        <v>110</v>
      </c>
      <c r="B112" s="481">
        <v>22</v>
      </c>
      <c r="C112" s="16">
        <v>2</v>
      </c>
      <c r="D112" s="482" t="s">
        <v>6308</v>
      </c>
      <c r="E112" s="482" t="s">
        <v>3783</v>
      </c>
      <c r="F112" s="482" t="s">
        <v>10</v>
      </c>
      <c r="G112" s="495" t="s">
        <v>6592</v>
      </c>
      <c r="H112" s="481"/>
      <c r="I112" s="481" t="s">
        <v>7</v>
      </c>
      <c r="J112" s="360" t="s">
        <v>158</v>
      </c>
      <c r="K112" s="498" t="s">
        <v>3439</v>
      </c>
      <c r="L112" s="35" t="s">
        <v>104</v>
      </c>
      <c r="M112" s="35" t="s">
        <v>140</v>
      </c>
      <c r="N112" s="41" t="s">
        <v>6477</v>
      </c>
      <c r="O112" s="13" t="s">
        <v>106</v>
      </c>
      <c r="P112" s="13" t="s">
        <v>107</v>
      </c>
      <c r="Q112" s="13"/>
      <c r="R112" s="481"/>
      <c r="S112" s="33" t="s">
        <v>5083</v>
      </c>
      <c r="T112" s="33">
        <v>6608</v>
      </c>
      <c r="U112" s="35" t="s">
        <v>769</v>
      </c>
      <c r="V112" s="41" t="s">
        <v>6624</v>
      </c>
      <c r="W112" s="13" t="s">
        <v>106</v>
      </c>
      <c r="X112" s="482" t="s">
        <v>107</v>
      </c>
      <c r="Y112" s="481" t="s">
        <v>5187</v>
      </c>
      <c r="Z112" s="481" t="s">
        <v>5008</v>
      </c>
      <c r="AA112" s="481">
        <v>187</v>
      </c>
      <c r="AB112" s="16">
        <v>183</v>
      </c>
      <c r="AC112" s="16">
        <v>177</v>
      </c>
      <c r="AD112" s="16">
        <v>106</v>
      </c>
      <c r="AE112" s="16">
        <v>119</v>
      </c>
      <c r="AF112" s="16">
        <v>2</v>
      </c>
      <c r="AG112" s="16">
        <v>55</v>
      </c>
      <c r="AH112" s="16">
        <v>176</v>
      </c>
      <c r="AI112" s="16">
        <v>10</v>
      </c>
      <c r="AJ112" s="481">
        <v>6</v>
      </c>
      <c r="AK112" s="482"/>
      <c r="AL112" s="25" t="s">
        <v>6625</v>
      </c>
      <c r="AM112" s="481">
        <v>176</v>
      </c>
      <c r="AN112" s="481">
        <v>10</v>
      </c>
      <c r="AO112" s="481"/>
      <c r="AP112" s="16"/>
      <c r="AQ112" s="16" t="s">
        <v>160</v>
      </c>
      <c r="AR112" s="130" t="s">
        <v>112</v>
      </c>
      <c r="AS112" s="130">
        <v>1405</v>
      </c>
      <c r="AT112" s="130">
        <v>2</v>
      </c>
      <c r="AU112" s="130"/>
      <c r="AV112" s="130"/>
      <c r="AW112" s="12" t="str">
        <f t="shared" si="4"/>
        <v/>
      </c>
      <c r="AX112" s="12" t="str">
        <f t="shared" si="3"/>
        <v/>
      </c>
      <c r="AY112" s="12"/>
      <c r="AZ112" s="481"/>
    </row>
    <row r="113" spans="1:52" ht="30" customHeight="1" x14ac:dyDescent="0.2">
      <c r="A113" s="497">
        <v>111</v>
      </c>
      <c r="B113" s="481">
        <v>22</v>
      </c>
      <c r="C113" s="16">
        <v>2</v>
      </c>
      <c r="D113" s="482" t="s">
        <v>6308</v>
      </c>
      <c r="E113" s="482" t="s">
        <v>5895</v>
      </c>
      <c r="F113" s="482" t="s">
        <v>10</v>
      </c>
      <c r="G113" s="495" t="s">
        <v>6592</v>
      </c>
      <c r="H113" s="481"/>
      <c r="I113" s="481" t="s">
        <v>7</v>
      </c>
      <c r="J113" s="360" t="s">
        <v>158</v>
      </c>
      <c r="K113" s="498" t="s">
        <v>3439</v>
      </c>
      <c r="L113" s="482" t="s">
        <v>68</v>
      </c>
      <c r="M113" s="482" t="s">
        <v>68</v>
      </c>
      <c r="N113" s="41" t="s">
        <v>6630</v>
      </c>
      <c r="O113" s="13" t="s">
        <v>106</v>
      </c>
      <c r="P113" s="13" t="s">
        <v>107</v>
      </c>
      <c r="Q113" s="13"/>
      <c r="R113" s="481"/>
      <c r="S113" s="481" t="s">
        <v>5083</v>
      </c>
      <c r="T113" s="481">
        <v>6608</v>
      </c>
      <c r="U113" s="482" t="s">
        <v>1581</v>
      </c>
      <c r="V113" s="41" t="s">
        <v>6631</v>
      </c>
      <c r="W113" s="13" t="s">
        <v>106</v>
      </c>
      <c r="X113" s="482" t="s">
        <v>107</v>
      </c>
      <c r="Y113" s="481" t="s">
        <v>4420</v>
      </c>
      <c r="Z113" s="481" t="s">
        <v>6547</v>
      </c>
      <c r="AA113" s="481">
        <v>230</v>
      </c>
      <c r="AB113" s="16">
        <v>208</v>
      </c>
      <c r="AC113" s="16">
        <v>208</v>
      </c>
      <c r="AD113" s="16">
        <v>134</v>
      </c>
      <c r="AE113" s="16">
        <v>180</v>
      </c>
      <c r="AF113" s="16">
        <v>4</v>
      </c>
      <c r="AG113" s="16">
        <v>25</v>
      </c>
      <c r="AH113" s="16">
        <v>209</v>
      </c>
      <c r="AI113" s="16">
        <v>16</v>
      </c>
      <c r="AJ113" s="481">
        <v>6</v>
      </c>
      <c r="AK113" s="482"/>
      <c r="AL113" s="25" t="s">
        <v>6625</v>
      </c>
      <c r="AM113" s="481">
        <v>209</v>
      </c>
      <c r="AN113" s="481">
        <v>16</v>
      </c>
      <c r="AO113" s="481"/>
      <c r="AP113" s="16"/>
      <c r="AQ113" s="16" t="s">
        <v>160</v>
      </c>
      <c r="AR113" s="130" t="s">
        <v>165</v>
      </c>
      <c r="AS113" s="130">
        <v>1405</v>
      </c>
      <c r="AT113" s="130">
        <v>2</v>
      </c>
      <c r="AU113" s="130"/>
      <c r="AV113" s="130"/>
      <c r="AW113" s="12" t="str">
        <f t="shared" si="4"/>
        <v/>
      </c>
      <c r="AX113" s="12" t="str">
        <f t="shared" si="3"/>
        <v/>
      </c>
      <c r="AY113" s="12"/>
      <c r="AZ113" s="481"/>
    </row>
    <row r="114" spans="1:52" ht="30" customHeight="1" x14ac:dyDescent="0.2">
      <c r="A114" s="497">
        <v>112</v>
      </c>
      <c r="B114" s="481">
        <v>23</v>
      </c>
      <c r="C114" s="16">
        <v>2</v>
      </c>
      <c r="D114" s="482" t="s">
        <v>6308</v>
      </c>
      <c r="E114" s="482" t="s">
        <v>21</v>
      </c>
      <c r="F114" s="482" t="s">
        <v>6105</v>
      </c>
      <c r="G114" s="495" t="s">
        <v>6592</v>
      </c>
      <c r="H114" s="481"/>
      <c r="I114" s="481" t="s">
        <v>7</v>
      </c>
      <c r="J114" s="360" t="s">
        <v>158</v>
      </c>
      <c r="K114" s="498" t="s">
        <v>3439</v>
      </c>
      <c r="L114" s="482" t="s">
        <v>104</v>
      </c>
      <c r="M114" s="482" t="s">
        <v>223</v>
      </c>
      <c r="N114" s="41" t="s">
        <v>6632</v>
      </c>
      <c r="O114" s="13"/>
      <c r="P114" s="13"/>
      <c r="Q114" s="13"/>
      <c r="R114" s="481"/>
      <c r="S114" s="481" t="s">
        <v>131</v>
      </c>
      <c r="T114" s="481">
        <v>193</v>
      </c>
      <c r="U114" s="482" t="s">
        <v>2348</v>
      </c>
      <c r="V114" s="41" t="s">
        <v>6633</v>
      </c>
      <c r="W114" s="13"/>
      <c r="X114" s="482"/>
      <c r="Y114" s="481" t="s">
        <v>5187</v>
      </c>
      <c r="Z114" s="481" t="s">
        <v>6634</v>
      </c>
      <c r="AA114" s="481">
        <v>180</v>
      </c>
      <c r="AB114" s="16">
        <v>168</v>
      </c>
      <c r="AC114" s="16">
        <v>168</v>
      </c>
      <c r="AD114" s="16">
        <v>144</v>
      </c>
      <c r="AE114" s="16">
        <v>161</v>
      </c>
      <c r="AF114" s="16">
        <v>1</v>
      </c>
      <c r="AG114" s="16">
        <v>5</v>
      </c>
      <c r="AH114" s="16">
        <v>167</v>
      </c>
      <c r="AI114" s="16">
        <v>5</v>
      </c>
      <c r="AJ114" s="481">
        <v>6</v>
      </c>
      <c r="AK114" s="482"/>
      <c r="AL114" s="25" t="s">
        <v>6635</v>
      </c>
      <c r="AM114" s="481">
        <v>167</v>
      </c>
      <c r="AN114" s="481">
        <v>5</v>
      </c>
      <c r="AO114" s="481"/>
      <c r="AP114" s="16"/>
      <c r="AQ114" s="16" t="s">
        <v>5080</v>
      </c>
      <c r="AR114" s="130" t="s">
        <v>231</v>
      </c>
      <c r="AS114" s="130">
        <v>1405</v>
      </c>
      <c r="AT114" s="130">
        <v>2</v>
      </c>
      <c r="AU114" s="130"/>
      <c r="AV114" s="130"/>
      <c r="AW114" s="12" t="str">
        <f t="shared" si="4"/>
        <v/>
      </c>
      <c r="AX114" s="12" t="str">
        <f t="shared" si="3"/>
        <v/>
      </c>
      <c r="AY114" s="12"/>
      <c r="AZ114" s="481"/>
    </row>
    <row r="115" spans="1:52" ht="30" customHeight="1" x14ac:dyDescent="0.2">
      <c r="A115" s="497">
        <v>113</v>
      </c>
      <c r="B115" s="481">
        <v>23</v>
      </c>
      <c r="C115" s="16">
        <v>2</v>
      </c>
      <c r="D115" s="482" t="s">
        <v>6308</v>
      </c>
      <c r="E115" s="482" t="s">
        <v>3807</v>
      </c>
      <c r="F115" s="482" t="s">
        <v>10</v>
      </c>
      <c r="G115" s="495" t="s">
        <v>6592</v>
      </c>
      <c r="H115" s="481" t="s">
        <v>4038</v>
      </c>
      <c r="I115" s="481" t="s">
        <v>83</v>
      </c>
      <c r="J115" s="360" t="s">
        <v>158</v>
      </c>
      <c r="K115" s="498" t="s">
        <v>3439</v>
      </c>
      <c r="L115" s="482"/>
      <c r="M115" s="482" t="s">
        <v>68</v>
      </c>
      <c r="N115" s="41"/>
      <c r="O115" s="13" t="s">
        <v>106</v>
      </c>
      <c r="P115" s="13" t="s">
        <v>107</v>
      </c>
      <c r="Q115" s="13"/>
      <c r="R115" s="481"/>
      <c r="S115" s="481" t="s">
        <v>263</v>
      </c>
      <c r="T115" s="481"/>
      <c r="U115" s="482"/>
      <c r="V115" s="41"/>
      <c r="W115" s="13" t="s">
        <v>106</v>
      </c>
      <c r="X115" s="482" t="s">
        <v>107</v>
      </c>
      <c r="Y115" s="481"/>
      <c r="Z115" s="481" t="s">
        <v>4937</v>
      </c>
      <c r="AA115" s="481"/>
      <c r="AB115" s="16">
        <v>210</v>
      </c>
      <c r="AC115" s="16">
        <v>210</v>
      </c>
      <c r="AD115" s="16"/>
      <c r="AE115" s="16"/>
      <c r="AF115" s="16"/>
      <c r="AG115" s="16"/>
      <c r="AH115" s="16"/>
      <c r="AI115" s="16"/>
      <c r="AJ115" s="481">
        <v>6</v>
      </c>
      <c r="AK115" s="482"/>
      <c r="AL115" s="25"/>
      <c r="AM115" s="481"/>
      <c r="AN115" s="481"/>
      <c r="AO115" s="481"/>
      <c r="AP115" s="16"/>
      <c r="AQ115" s="16" t="s">
        <v>160</v>
      </c>
      <c r="AR115" s="130" t="s">
        <v>193</v>
      </c>
      <c r="AS115" s="130">
        <v>1405</v>
      </c>
      <c r="AT115" s="130">
        <v>2</v>
      </c>
      <c r="AU115" s="130">
        <v>1403</v>
      </c>
      <c r="AV115" s="130">
        <v>10</v>
      </c>
      <c r="AW115" s="12">
        <f t="shared" si="4"/>
        <v>16</v>
      </c>
      <c r="AX115" s="12" t="str">
        <f t="shared" si="3"/>
        <v/>
      </c>
      <c r="AY115" s="12"/>
      <c r="AZ115" s="481"/>
    </row>
    <row r="116" spans="1:52" ht="30" customHeight="1" x14ac:dyDescent="0.2">
      <c r="A116" s="497">
        <v>114</v>
      </c>
      <c r="B116" s="481">
        <v>24</v>
      </c>
      <c r="C116" s="16">
        <v>2</v>
      </c>
      <c r="D116" s="482" t="s">
        <v>6308</v>
      </c>
      <c r="E116" s="482" t="s">
        <v>2981</v>
      </c>
      <c r="F116" s="482" t="s">
        <v>2981</v>
      </c>
      <c r="G116" s="495" t="s">
        <v>6592</v>
      </c>
      <c r="H116" s="481"/>
      <c r="I116" s="481" t="s">
        <v>7</v>
      </c>
      <c r="J116" s="360" t="s">
        <v>158</v>
      </c>
      <c r="K116" s="498" t="s">
        <v>3439</v>
      </c>
      <c r="L116" s="35" t="s">
        <v>116</v>
      </c>
      <c r="M116" s="35" t="s">
        <v>769</v>
      </c>
      <c r="N116" s="41" t="s">
        <v>6636</v>
      </c>
      <c r="O116" s="13"/>
      <c r="P116" s="13"/>
      <c r="Q116" s="13"/>
      <c r="R116" s="481"/>
      <c r="S116" s="33" t="s">
        <v>4885</v>
      </c>
      <c r="T116" s="33">
        <v>233</v>
      </c>
      <c r="U116" s="35" t="s">
        <v>555</v>
      </c>
      <c r="V116" s="41" t="s">
        <v>6637</v>
      </c>
      <c r="W116" s="13"/>
      <c r="X116" s="482"/>
      <c r="Y116" s="481" t="s">
        <v>5187</v>
      </c>
      <c r="Z116" s="481" t="s">
        <v>5897</v>
      </c>
      <c r="AA116" s="481">
        <v>74</v>
      </c>
      <c r="AB116" s="16">
        <v>84</v>
      </c>
      <c r="AC116" s="16">
        <v>66</v>
      </c>
      <c r="AD116" s="16">
        <v>51</v>
      </c>
      <c r="AE116" s="16">
        <v>59</v>
      </c>
      <c r="AF116" s="16">
        <v>2</v>
      </c>
      <c r="AG116" s="16">
        <v>28</v>
      </c>
      <c r="AH116" s="16">
        <v>89</v>
      </c>
      <c r="AI116" s="16">
        <v>6</v>
      </c>
      <c r="AJ116" s="481">
        <v>6</v>
      </c>
      <c r="AK116" s="482"/>
      <c r="AL116" s="25" t="s">
        <v>6627</v>
      </c>
      <c r="AM116" s="481">
        <v>89</v>
      </c>
      <c r="AN116" s="481">
        <v>6</v>
      </c>
      <c r="AO116" s="481"/>
      <c r="AP116" s="16"/>
      <c r="AQ116" s="16" t="s">
        <v>5080</v>
      </c>
      <c r="AR116" s="130" t="s">
        <v>1932</v>
      </c>
      <c r="AS116" s="130">
        <v>1405</v>
      </c>
      <c r="AT116" s="130">
        <v>2</v>
      </c>
      <c r="AU116" s="130"/>
      <c r="AV116" s="130"/>
      <c r="AW116" s="12" t="str">
        <f t="shared" si="4"/>
        <v/>
      </c>
      <c r="AX116" s="12" t="str">
        <f t="shared" si="3"/>
        <v/>
      </c>
      <c r="AY116" s="12"/>
      <c r="AZ116" s="481"/>
    </row>
    <row r="117" spans="1:52" ht="30" customHeight="1" x14ac:dyDescent="0.2">
      <c r="A117" s="497">
        <v>115</v>
      </c>
      <c r="B117" s="481">
        <v>24</v>
      </c>
      <c r="C117" s="16">
        <v>2</v>
      </c>
      <c r="D117" s="482" t="s">
        <v>6308</v>
      </c>
      <c r="E117" s="482" t="s">
        <v>6544</v>
      </c>
      <c r="F117" s="482" t="s">
        <v>8</v>
      </c>
      <c r="G117" s="495" t="s">
        <v>6592</v>
      </c>
      <c r="H117" s="481"/>
      <c r="I117" s="481" t="s">
        <v>7</v>
      </c>
      <c r="J117" s="360" t="s">
        <v>158</v>
      </c>
      <c r="K117" s="498" t="s">
        <v>3439</v>
      </c>
      <c r="L117" s="482" t="s">
        <v>140</v>
      </c>
      <c r="M117" s="482" t="s">
        <v>140</v>
      </c>
      <c r="N117" s="41" t="s">
        <v>6288</v>
      </c>
      <c r="O117" s="13" t="s">
        <v>106</v>
      </c>
      <c r="P117" s="13" t="s">
        <v>107</v>
      </c>
      <c r="Q117" s="13"/>
      <c r="R117" s="481"/>
      <c r="S117" s="33" t="s">
        <v>143</v>
      </c>
      <c r="T117" s="33">
        <v>6609</v>
      </c>
      <c r="U117" s="35" t="s">
        <v>441</v>
      </c>
      <c r="V117" s="41" t="s">
        <v>6638</v>
      </c>
      <c r="W117" s="13" t="s">
        <v>106</v>
      </c>
      <c r="X117" s="482" t="s">
        <v>107</v>
      </c>
      <c r="Y117" s="481" t="s">
        <v>5187</v>
      </c>
      <c r="Z117" s="481" t="s">
        <v>6639</v>
      </c>
      <c r="AA117" s="481">
        <v>145</v>
      </c>
      <c r="AB117" s="16">
        <v>114</v>
      </c>
      <c r="AC117" s="16">
        <v>132</v>
      </c>
      <c r="AD117" s="16">
        <v>46</v>
      </c>
      <c r="AE117" s="16">
        <v>91</v>
      </c>
      <c r="AF117" s="16">
        <v>3</v>
      </c>
      <c r="AG117" s="16" t="s">
        <v>3714</v>
      </c>
      <c r="AH117" s="16">
        <v>111</v>
      </c>
      <c r="AI117" s="16"/>
      <c r="AJ117" s="481">
        <v>6</v>
      </c>
      <c r="AK117" s="482"/>
      <c r="AL117" s="25" t="s">
        <v>6626</v>
      </c>
      <c r="AM117" s="481">
        <v>111</v>
      </c>
      <c r="AN117" s="481" t="s">
        <v>3714</v>
      </c>
      <c r="AO117" s="481" t="s">
        <v>3714</v>
      </c>
      <c r="AP117" s="16"/>
      <c r="AQ117" s="16"/>
      <c r="AR117" s="130"/>
      <c r="AS117" s="130">
        <v>1405</v>
      </c>
      <c r="AT117" s="130">
        <v>2</v>
      </c>
      <c r="AU117" s="130"/>
      <c r="AV117" s="130"/>
      <c r="AW117" s="12" t="str">
        <f t="shared" si="4"/>
        <v/>
      </c>
      <c r="AX117" s="12" t="str">
        <f t="shared" si="3"/>
        <v/>
      </c>
      <c r="AY117" s="12"/>
      <c r="AZ117" s="481"/>
    </row>
    <row r="118" spans="1:52" ht="30" customHeight="1" x14ac:dyDescent="0.2">
      <c r="A118" s="497">
        <v>116</v>
      </c>
      <c r="B118" s="481">
        <v>25</v>
      </c>
      <c r="C118" s="16">
        <v>2</v>
      </c>
      <c r="D118" s="482" t="s">
        <v>6308</v>
      </c>
      <c r="E118" s="482" t="s">
        <v>4602</v>
      </c>
      <c r="F118" s="30" t="s">
        <v>66</v>
      </c>
      <c r="G118" s="510" t="s">
        <v>6588</v>
      </c>
      <c r="H118" s="481" t="s">
        <v>4038</v>
      </c>
      <c r="I118" s="481" t="s">
        <v>83</v>
      </c>
      <c r="J118" s="360" t="s">
        <v>158</v>
      </c>
      <c r="K118" s="503" t="s">
        <v>3439</v>
      </c>
      <c r="L118" s="482"/>
      <c r="M118" s="482" t="s">
        <v>223</v>
      </c>
      <c r="N118" s="41"/>
      <c r="O118" s="13" t="s">
        <v>106</v>
      </c>
      <c r="P118" s="13" t="s">
        <v>107</v>
      </c>
      <c r="Q118" s="13"/>
      <c r="R118" s="481"/>
      <c r="S118" s="481" t="s">
        <v>425</v>
      </c>
      <c r="T118" s="481"/>
      <c r="U118" s="482"/>
      <c r="V118" s="41"/>
      <c r="W118" s="13" t="s">
        <v>106</v>
      </c>
      <c r="X118" s="482" t="s">
        <v>107</v>
      </c>
      <c r="Y118" s="481"/>
      <c r="Z118" s="481" t="s">
        <v>6654</v>
      </c>
      <c r="AA118" s="481">
        <v>132</v>
      </c>
      <c r="AB118" s="16">
        <v>126</v>
      </c>
      <c r="AC118" s="16">
        <v>126</v>
      </c>
      <c r="AD118" s="16"/>
      <c r="AE118" s="16"/>
      <c r="AF118" s="16"/>
      <c r="AG118" s="16"/>
      <c r="AH118" s="16"/>
      <c r="AI118" s="16"/>
      <c r="AJ118" s="481">
        <v>4</v>
      </c>
      <c r="AK118" s="482"/>
      <c r="AL118" s="25"/>
      <c r="AM118" s="481"/>
      <c r="AN118" s="481"/>
      <c r="AO118" s="481"/>
      <c r="AP118" s="16"/>
      <c r="AQ118" s="16" t="s">
        <v>160</v>
      </c>
      <c r="AR118" s="130" t="s">
        <v>231</v>
      </c>
      <c r="AS118" s="130">
        <v>1405</v>
      </c>
      <c r="AT118" s="130">
        <v>2</v>
      </c>
      <c r="AU118" s="130">
        <v>1403</v>
      </c>
      <c r="AV118" s="130">
        <v>3</v>
      </c>
      <c r="AW118" s="12">
        <f t="shared" si="4"/>
        <v>23</v>
      </c>
      <c r="AX118" s="12" t="str">
        <f t="shared" si="3"/>
        <v/>
      </c>
      <c r="AY118" s="12"/>
      <c r="AZ118" s="481"/>
    </row>
    <row r="119" spans="1:52" ht="30" customHeight="1" x14ac:dyDescent="0.2">
      <c r="A119" s="497">
        <v>117</v>
      </c>
      <c r="B119" s="481">
        <v>26</v>
      </c>
      <c r="C119" s="16">
        <v>2</v>
      </c>
      <c r="D119" s="482" t="s">
        <v>6308</v>
      </c>
      <c r="E119" s="482" t="s">
        <v>2311</v>
      </c>
      <c r="F119" s="501" t="s">
        <v>6105</v>
      </c>
      <c r="G119" s="495"/>
      <c r="H119" s="481"/>
      <c r="I119" s="481" t="s">
        <v>7</v>
      </c>
      <c r="J119" s="360" t="s">
        <v>158</v>
      </c>
      <c r="K119" s="503" t="s">
        <v>3439</v>
      </c>
      <c r="L119" s="35" t="s">
        <v>68</v>
      </c>
      <c r="M119" s="35" t="s">
        <v>141</v>
      </c>
      <c r="N119" s="41" t="s">
        <v>6640</v>
      </c>
      <c r="O119" s="13" t="s">
        <v>106</v>
      </c>
      <c r="P119" s="13" t="s">
        <v>107</v>
      </c>
      <c r="Q119" s="13"/>
      <c r="R119" s="481"/>
      <c r="S119" s="33" t="s">
        <v>263</v>
      </c>
      <c r="T119" s="33">
        <v>6608</v>
      </c>
      <c r="U119" s="35" t="s">
        <v>260</v>
      </c>
      <c r="V119" s="41" t="s">
        <v>6641</v>
      </c>
      <c r="W119" s="13" t="s">
        <v>73</v>
      </c>
      <c r="X119" s="482" t="s">
        <v>70</v>
      </c>
      <c r="Y119" s="481" t="s">
        <v>5187</v>
      </c>
      <c r="Z119" s="481" t="s">
        <v>6580</v>
      </c>
      <c r="AA119" s="481">
        <v>238</v>
      </c>
      <c r="AB119" s="16">
        <v>228</v>
      </c>
      <c r="AC119" s="16">
        <v>225</v>
      </c>
      <c r="AD119" s="16">
        <v>151</v>
      </c>
      <c r="AE119" s="16">
        <v>166</v>
      </c>
      <c r="AF119" s="16">
        <v>1</v>
      </c>
      <c r="AG119" s="16">
        <v>15</v>
      </c>
      <c r="AH119" s="16">
        <v>182</v>
      </c>
      <c r="AI119" s="16">
        <v>7</v>
      </c>
      <c r="AJ119" s="481">
        <v>6</v>
      </c>
      <c r="AK119" s="482"/>
      <c r="AL119" s="25" t="s">
        <v>6628</v>
      </c>
      <c r="AM119" s="481">
        <v>182</v>
      </c>
      <c r="AN119" s="481">
        <v>7</v>
      </c>
      <c r="AO119" s="481"/>
      <c r="AP119" s="16"/>
      <c r="AQ119" s="16" t="s">
        <v>160</v>
      </c>
      <c r="AR119" s="130" t="s">
        <v>193</v>
      </c>
      <c r="AS119" s="130">
        <v>1405</v>
      </c>
      <c r="AT119" s="130">
        <v>2</v>
      </c>
      <c r="AU119" s="130"/>
      <c r="AV119" s="130"/>
      <c r="AW119" s="12" t="str">
        <f t="shared" si="4"/>
        <v/>
      </c>
      <c r="AX119" s="12" t="str">
        <f t="shared" si="3"/>
        <v/>
      </c>
      <c r="AY119" s="12"/>
      <c r="AZ119" s="481"/>
    </row>
    <row r="120" spans="1:52" ht="30" customHeight="1" x14ac:dyDescent="0.2">
      <c r="A120" s="497">
        <v>118</v>
      </c>
      <c r="B120" s="481">
        <v>26</v>
      </c>
      <c r="C120" s="16">
        <v>2</v>
      </c>
      <c r="D120" s="482" t="s">
        <v>6308</v>
      </c>
      <c r="E120" s="482" t="s">
        <v>6612</v>
      </c>
      <c r="F120" s="501" t="s">
        <v>20</v>
      </c>
      <c r="G120" s="495"/>
      <c r="H120" s="481" t="s">
        <v>6469</v>
      </c>
      <c r="I120" s="481" t="s">
        <v>7</v>
      </c>
      <c r="J120" s="360" t="s">
        <v>158</v>
      </c>
      <c r="K120" s="503" t="s">
        <v>3439</v>
      </c>
      <c r="L120" s="482"/>
      <c r="M120" s="482" t="s">
        <v>68</v>
      </c>
      <c r="N120" s="41" t="s">
        <v>6642</v>
      </c>
      <c r="O120" s="13" t="s">
        <v>69</v>
      </c>
      <c r="P120" s="13" t="s">
        <v>70</v>
      </c>
      <c r="Q120" s="13"/>
      <c r="R120" s="481"/>
      <c r="S120" s="481"/>
      <c r="T120" s="481">
        <v>6611</v>
      </c>
      <c r="U120" s="482" t="s">
        <v>769</v>
      </c>
      <c r="V120" s="41" t="s">
        <v>6643</v>
      </c>
      <c r="W120" s="13" t="s">
        <v>106</v>
      </c>
      <c r="X120" s="482" t="s">
        <v>107</v>
      </c>
      <c r="Y120" s="481" t="s">
        <v>5244</v>
      </c>
      <c r="Z120" s="481"/>
      <c r="AA120" s="481">
        <v>247</v>
      </c>
      <c r="AB120" s="16"/>
      <c r="AC120" s="16">
        <v>240</v>
      </c>
      <c r="AD120" s="16">
        <v>122</v>
      </c>
      <c r="AE120" s="16">
        <v>154</v>
      </c>
      <c r="AF120" s="16">
        <v>7</v>
      </c>
      <c r="AG120" s="16">
        <v>30</v>
      </c>
      <c r="AH120" s="16">
        <v>191</v>
      </c>
      <c r="AI120" s="16">
        <v>20</v>
      </c>
      <c r="AJ120" s="481">
        <v>6</v>
      </c>
      <c r="AK120" s="482"/>
      <c r="AL120" s="25" t="s">
        <v>6628</v>
      </c>
      <c r="AM120" s="481">
        <v>191</v>
      </c>
      <c r="AN120" s="481">
        <v>20</v>
      </c>
      <c r="AO120" s="481"/>
      <c r="AP120" s="16"/>
      <c r="AQ120" s="16" t="s">
        <v>160</v>
      </c>
      <c r="AR120" s="130" t="s">
        <v>165</v>
      </c>
      <c r="AS120" s="130">
        <v>1405</v>
      </c>
      <c r="AT120" s="130">
        <v>2</v>
      </c>
      <c r="AU120" s="130"/>
      <c r="AV120" s="130"/>
      <c r="AW120" s="12" t="str">
        <f t="shared" si="4"/>
        <v/>
      </c>
      <c r="AX120" s="12" t="str">
        <f t="shared" si="3"/>
        <v/>
      </c>
      <c r="AY120" s="12"/>
      <c r="AZ120" s="481"/>
    </row>
    <row r="121" spans="1:52" ht="30" customHeight="1" x14ac:dyDescent="0.2">
      <c r="A121" s="497">
        <v>119</v>
      </c>
      <c r="B121" s="481">
        <v>27</v>
      </c>
      <c r="C121" s="16">
        <v>2</v>
      </c>
      <c r="D121" s="482" t="s">
        <v>6308</v>
      </c>
      <c r="E121" s="482" t="s">
        <v>6503</v>
      </c>
      <c r="F121" s="501" t="s">
        <v>20</v>
      </c>
      <c r="G121" s="495"/>
      <c r="H121" s="481"/>
      <c r="I121" s="481" t="s">
        <v>7</v>
      </c>
      <c r="J121" s="360" t="s">
        <v>158</v>
      </c>
      <c r="K121" s="503" t="s">
        <v>3439</v>
      </c>
      <c r="L121" s="35" t="s">
        <v>68</v>
      </c>
      <c r="M121" s="35" t="s">
        <v>155</v>
      </c>
      <c r="N121" s="41" t="s">
        <v>6644</v>
      </c>
      <c r="O121" s="13" t="s">
        <v>69</v>
      </c>
      <c r="P121" s="13" t="s">
        <v>70</v>
      </c>
      <c r="Q121" s="13"/>
      <c r="R121" s="481"/>
      <c r="S121" s="33" t="s">
        <v>332</v>
      </c>
      <c r="T121" s="33">
        <v>384</v>
      </c>
      <c r="U121" s="35" t="s">
        <v>441</v>
      </c>
      <c r="V121" s="41" t="s">
        <v>6645</v>
      </c>
      <c r="W121" s="13" t="s">
        <v>106</v>
      </c>
      <c r="X121" s="482" t="s">
        <v>107</v>
      </c>
      <c r="Y121" s="481" t="s">
        <v>5187</v>
      </c>
      <c r="Z121" s="481" t="s">
        <v>6532</v>
      </c>
      <c r="AA121" s="481">
        <v>219</v>
      </c>
      <c r="AB121" s="16">
        <v>210</v>
      </c>
      <c r="AC121" s="16">
        <v>210</v>
      </c>
      <c r="AD121" s="16">
        <v>95</v>
      </c>
      <c r="AE121" s="16">
        <v>156</v>
      </c>
      <c r="AF121" s="16">
        <v>8</v>
      </c>
      <c r="AG121" s="16">
        <v>38</v>
      </c>
      <c r="AH121" s="16">
        <v>202</v>
      </c>
      <c r="AI121" s="16">
        <v>24</v>
      </c>
      <c r="AJ121" s="481">
        <v>6</v>
      </c>
      <c r="AK121" s="482"/>
      <c r="AL121" s="25" t="s">
        <v>6629</v>
      </c>
      <c r="AM121" s="481">
        <v>202</v>
      </c>
      <c r="AN121" s="481">
        <v>24</v>
      </c>
      <c r="AO121" s="481"/>
      <c r="AP121" s="16"/>
      <c r="AQ121" s="16" t="s">
        <v>160</v>
      </c>
      <c r="AR121" s="130" t="s">
        <v>193</v>
      </c>
      <c r="AS121" s="130">
        <v>1405</v>
      </c>
      <c r="AT121" s="130">
        <v>2</v>
      </c>
      <c r="AU121" s="130"/>
      <c r="AV121" s="130"/>
      <c r="AW121" s="12" t="str">
        <f t="shared" si="4"/>
        <v/>
      </c>
      <c r="AX121" s="12" t="str">
        <f t="shared" si="3"/>
        <v/>
      </c>
      <c r="AY121" s="12"/>
      <c r="AZ121" s="481"/>
    </row>
    <row r="122" spans="1:52" ht="30" customHeight="1" x14ac:dyDescent="0.2">
      <c r="A122" s="497">
        <v>120</v>
      </c>
      <c r="B122" s="481">
        <v>27</v>
      </c>
      <c r="C122" s="16">
        <v>2</v>
      </c>
      <c r="D122" s="482" t="s">
        <v>6308</v>
      </c>
      <c r="E122" s="482" t="s">
        <v>3807</v>
      </c>
      <c r="F122" s="501" t="s">
        <v>10</v>
      </c>
      <c r="G122" s="495"/>
      <c r="H122" s="481"/>
      <c r="I122" s="481" t="s">
        <v>7</v>
      </c>
      <c r="J122" s="360" t="s">
        <v>158</v>
      </c>
      <c r="K122" s="503" t="s">
        <v>3439</v>
      </c>
      <c r="L122" s="35" t="s">
        <v>68</v>
      </c>
      <c r="M122" s="35" t="s">
        <v>155</v>
      </c>
      <c r="N122" s="41" t="s">
        <v>6646</v>
      </c>
      <c r="O122" s="13" t="s">
        <v>106</v>
      </c>
      <c r="P122" s="13" t="s">
        <v>107</v>
      </c>
      <c r="Q122" s="13"/>
      <c r="R122" s="481"/>
      <c r="S122" s="33" t="s">
        <v>263</v>
      </c>
      <c r="T122" s="33">
        <v>345</v>
      </c>
      <c r="U122" s="35" t="s">
        <v>718</v>
      </c>
      <c r="V122" s="41" t="s">
        <v>6647</v>
      </c>
      <c r="W122" s="13" t="s">
        <v>69</v>
      </c>
      <c r="X122" s="482" t="s">
        <v>70</v>
      </c>
      <c r="Y122" s="481" t="s">
        <v>5187</v>
      </c>
      <c r="Z122" s="481" t="s">
        <v>6648</v>
      </c>
      <c r="AA122" s="481">
        <v>251</v>
      </c>
      <c r="AB122" s="16">
        <v>210</v>
      </c>
      <c r="AC122" s="16">
        <v>210</v>
      </c>
      <c r="AD122" s="16">
        <v>138</v>
      </c>
      <c r="AE122" s="16">
        <v>153</v>
      </c>
      <c r="AF122" s="16">
        <v>6</v>
      </c>
      <c r="AG122" s="16">
        <v>35</v>
      </c>
      <c r="AH122" s="16">
        <v>194</v>
      </c>
      <c r="AI122" s="16">
        <v>20</v>
      </c>
      <c r="AJ122" s="481">
        <v>6</v>
      </c>
      <c r="AK122" s="482"/>
      <c r="AL122" s="25" t="s">
        <v>6629</v>
      </c>
      <c r="AM122" s="481">
        <v>194</v>
      </c>
      <c r="AN122" s="481">
        <v>20</v>
      </c>
      <c r="AO122" s="481"/>
      <c r="AP122" s="16"/>
      <c r="AQ122" s="16" t="s">
        <v>160</v>
      </c>
      <c r="AR122" s="130" t="s">
        <v>193</v>
      </c>
      <c r="AS122" s="130">
        <v>1405</v>
      </c>
      <c r="AT122" s="130">
        <v>2</v>
      </c>
      <c r="AU122" s="130"/>
      <c r="AV122" s="130"/>
      <c r="AW122" s="12" t="str">
        <f t="shared" si="4"/>
        <v/>
      </c>
      <c r="AX122" s="12" t="str">
        <f t="shared" si="3"/>
        <v/>
      </c>
      <c r="AY122" s="12"/>
      <c r="AZ122" s="481"/>
    </row>
    <row r="123" spans="1:52" ht="30" customHeight="1" x14ac:dyDescent="0.2">
      <c r="A123" s="497">
        <v>121</v>
      </c>
      <c r="B123" s="481">
        <v>27</v>
      </c>
      <c r="C123" s="16">
        <v>2</v>
      </c>
      <c r="D123" s="482" t="s">
        <v>6308</v>
      </c>
      <c r="E123" s="482" t="s">
        <v>1418</v>
      </c>
      <c r="F123" s="501" t="s">
        <v>8</v>
      </c>
      <c r="G123" s="495"/>
      <c r="H123" s="481" t="s">
        <v>6469</v>
      </c>
      <c r="I123" s="481" t="s">
        <v>7</v>
      </c>
      <c r="J123" s="360" t="s">
        <v>158</v>
      </c>
      <c r="K123" s="503" t="s">
        <v>3439</v>
      </c>
      <c r="L123" s="482"/>
      <c r="M123" s="482" t="s">
        <v>68</v>
      </c>
      <c r="N123" s="41" t="s">
        <v>6649</v>
      </c>
      <c r="O123" s="13" t="s">
        <v>106</v>
      </c>
      <c r="P123" s="13" t="s">
        <v>107</v>
      </c>
      <c r="Q123" s="13"/>
      <c r="R123" s="481"/>
      <c r="S123" s="481"/>
      <c r="T123" s="481">
        <v>384</v>
      </c>
      <c r="U123" s="482" t="s">
        <v>485</v>
      </c>
      <c r="V123" s="41" t="s">
        <v>6650</v>
      </c>
      <c r="W123" s="13" t="s">
        <v>69</v>
      </c>
      <c r="X123" s="482" t="s">
        <v>70</v>
      </c>
      <c r="Y123" s="481" t="s">
        <v>5244</v>
      </c>
      <c r="Z123" s="481"/>
      <c r="AA123" s="481"/>
      <c r="AB123" s="16"/>
      <c r="AC123" s="16">
        <v>234</v>
      </c>
      <c r="AD123" s="16">
        <v>34</v>
      </c>
      <c r="AE123" s="16">
        <v>70</v>
      </c>
      <c r="AF123" s="16">
        <v>13</v>
      </c>
      <c r="AG123" s="16">
        <v>52</v>
      </c>
      <c r="AH123" s="16">
        <v>135</v>
      </c>
      <c r="AI123" s="16">
        <v>30</v>
      </c>
      <c r="AJ123" s="481">
        <v>6</v>
      </c>
      <c r="AK123" s="482"/>
      <c r="AL123" s="25" t="s">
        <v>6628</v>
      </c>
      <c r="AM123" s="481">
        <v>135</v>
      </c>
      <c r="AN123" s="481">
        <v>30</v>
      </c>
      <c r="AO123" s="481"/>
      <c r="AP123" s="16"/>
      <c r="AQ123" s="16" t="s">
        <v>160</v>
      </c>
      <c r="AR123" s="130" t="s">
        <v>193</v>
      </c>
      <c r="AS123" s="130">
        <v>1405</v>
      </c>
      <c r="AT123" s="130">
        <v>2</v>
      </c>
      <c r="AU123" s="130"/>
      <c r="AV123" s="130"/>
      <c r="AW123" s="12" t="str">
        <f t="shared" si="4"/>
        <v/>
      </c>
      <c r="AX123" s="12" t="str">
        <f t="shared" si="3"/>
        <v/>
      </c>
      <c r="AY123" s="12"/>
      <c r="AZ123" s="481"/>
    </row>
    <row r="124" spans="1:52" ht="30" customHeight="1" x14ac:dyDescent="0.2">
      <c r="A124" s="497">
        <v>122</v>
      </c>
      <c r="B124" s="481">
        <v>28</v>
      </c>
      <c r="C124" s="16">
        <v>2</v>
      </c>
      <c r="D124" s="482" t="s">
        <v>6308</v>
      </c>
      <c r="E124" s="482" t="s">
        <v>6613</v>
      </c>
      <c r="F124" s="501" t="s">
        <v>2981</v>
      </c>
      <c r="G124" s="495"/>
      <c r="H124" s="481"/>
      <c r="I124" s="481" t="s">
        <v>83</v>
      </c>
      <c r="J124" s="360" t="s">
        <v>158</v>
      </c>
      <c r="K124" s="482" t="s">
        <v>5577</v>
      </c>
      <c r="L124" s="482"/>
      <c r="M124" s="482" t="s">
        <v>141</v>
      </c>
      <c r="N124" s="41"/>
      <c r="O124" s="13" t="s">
        <v>106</v>
      </c>
      <c r="P124" s="13" t="s">
        <v>107</v>
      </c>
      <c r="Q124" s="13"/>
      <c r="R124" s="481"/>
      <c r="S124" s="481" t="s">
        <v>6651</v>
      </c>
      <c r="T124" s="481"/>
      <c r="U124" s="482"/>
      <c r="V124" s="41"/>
      <c r="W124" s="13" t="s">
        <v>106</v>
      </c>
      <c r="X124" s="482" t="s">
        <v>107</v>
      </c>
      <c r="Y124" s="481"/>
      <c r="Z124" s="481"/>
      <c r="AA124" s="481"/>
      <c r="AB124" s="16"/>
      <c r="AC124" s="16"/>
      <c r="AD124" s="16"/>
      <c r="AE124" s="16"/>
      <c r="AF124" s="16"/>
      <c r="AG124" s="16"/>
      <c r="AH124" s="16"/>
      <c r="AI124" s="16"/>
      <c r="AJ124" s="481"/>
      <c r="AK124" s="482"/>
      <c r="AL124" s="25"/>
      <c r="AM124" s="481"/>
      <c r="AN124" s="481"/>
      <c r="AO124" s="481"/>
      <c r="AP124" s="16"/>
      <c r="AQ124" s="16"/>
      <c r="AR124" s="130"/>
      <c r="AS124" s="130">
        <v>1405</v>
      </c>
      <c r="AT124" s="130">
        <v>2</v>
      </c>
      <c r="AU124" s="130"/>
      <c r="AV124" s="130"/>
      <c r="AW124" s="12" t="str">
        <f t="shared" si="4"/>
        <v/>
      </c>
      <c r="AX124" s="12" t="str">
        <f t="shared" si="3"/>
        <v/>
      </c>
      <c r="AY124" s="12"/>
      <c r="AZ124" s="20" t="s">
        <v>6652</v>
      </c>
    </row>
    <row r="125" spans="1:52" ht="30" customHeight="1" x14ac:dyDescent="0.2">
      <c r="A125" s="497">
        <v>123</v>
      </c>
      <c r="B125" s="481">
        <v>28</v>
      </c>
      <c r="C125" s="16">
        <v>2</v>
      </c>
      <c r="D125" s="482" t="s">
        <v>6308</v>
      </c>
      <c r="E125" s="482" t="s">
        <v>6614</v>
      </c>
      <c r="F125" s="501" t="s">
        <v>2981</v>
      </c>
      <c r="G125" s="495"/>
      <c r="H125" s="481" t="s">
        <v>6469</v>
      </c>
      <c r="I125" s="481" t="s">
        <v>7</v>
      </c>
      <c r="J125" s="360" t="s">
        <v>158</v>
      </c>
      <c r="K125" s="504" t="s">
        <v>5577</v>
      </c>
      <c r="L125" s="482"/>
      <c r="M125" s="482" t="s">
        <v>2159</v>
      </c>
      <c r="N125" s="41"/>
      <c r="O125" s="13" t="s">
        <v>69</v>
      </c>
      <c r="P125" s="13" t="s">
        <v>70</v>
      </c>
      <c r="Q125" s="13"/>
      <c r="R125" s="481"/>
      <c r="S125" s="481"/>
      <c r="T125" s="481">
        <v>486</v>
      </c>
      <c r="U125" s="482" t="s">
        <v>496</v>
      </c>
      <c r="V125" s="41"/>
      <c r="W125" s="13" t="s">
        <v>69</v>
      </c>
      <c r="X125" s="482" t="s">
        <v>70</v>
      </c>
      <c r="Y125" s="481" t="s">
        <v>5244</v>
      </c>
      <c r="Z125" s="481"/>
      <c r="AA125" s="481"/>
      <c r="AB125" s="16"/>
      <c r="AC125" s="16"/>
      <c r="AD125" s="16"/>
      <c r="AE125" s="16"/>
      <c r="AF125" s="16"/>
      <c r="AG125" s="16"/>
      <c r="AH125" s="16"/>
      <c r="AI125" s="16"/>
      <c r="AJ125" s="481"/>
      <c r="AK125" s="482"/>
      <c r="AL125" s="25"/>
      <c r="AM125" s="481"/>
      <c r="AN125" s="481"/>
      <c r="AO125" s="481"/>
      <c r="AP125" s="16"/>
      <c r="AQ125" s="16" t="s">
        <v>112</v>
      </c>
      <c r="AR125" s="130"/>
      <c r="AS125" s="130">
        <v>1405</v>
      </c>
      <c r="AT125" s="130">
        <v>2</v>
      </c>
      <c r="AU125" s="130"/>
      <c r="AV125" s="130"/>
      <c r="AW125" s="12" t="str">
        <f t="shared" si="4"/>
        <v/>
      </c>
      <c r="AX125" s="12" t="str">
        <f t="shared" si="3"/>
        <v/>
      </c>
      <c r="AY125" s="12"/>
      <c r="AZ125" s="20" t="s">
        <v>6653</v>
      </c>
    </row>
    <row r="126" spans="1:52" ht="30" customHeight="1" x14ac:dyDescent="0.2">
      <c r="A126" s="497">
        <v>124</v>
      </c>
      <c r="B126" s="481">
        <v>28</v>
      </c>
      <c r="C126" s="16">
        <v>2</v>
      </c>
      <c r="D126" s="482" t="s">
        <v>6308</v>
      </c>
      <c r="E126" s="482" t="s">
        <v>4602</v>
      </c>
      <c r="F126" s="30" t="s">
        <v>66</v>
      </c>
      <c r="G126" s="510" t="s">
        <v>6588</v>
      </c>
      <c r="H126" s="481"/>
      <c r="I126" s="481" t="s">
        <v>7</v>
      </c>
      <c r="J126" s="360" t="s">
        <v>158</v>
      </c>
      <c r="K126" s="482" t="s">
        <v>3439</v>
      </c>
      <c r="L126" s="482" t="s">
        <v>223</v>
      </c>
      <c r="M126" s="482" t="s">
        <v>223</v>
      </c>
      <c r="N126" s="41"/>
      <c r="O126" s="13" t="s">
        <v>69</v>
      </c>
      <c r="P126" s="13" t="s">
        <v>70</v>
      </c>
      <c r="Q126" s="13"/>
      <c r="R126" s="481"/>
      <c r="S126" s="481" t="s">
        <v>425</v>
      </c>
      <c r="T126" s="481">
        <v>233</v>
      </c>
      <c r="U126" s="482" t="s">
        <v>441</v>
      </c>
      <c r="V126" s="41"/>
      <c r="W126" s="13" t="s">
        <v>69</v>
      </c>
      <c r="X126" s="482" t="s">
        <v>70</v>
      </c>
      <c r="Y126" s="481"/>
      <c r="Z126" s="481" t="s">
        <v>6654</v>
      </c>
      <c r="AA126" s="481">
        <v>132</v>
      </c>
      <c r="AB126" s="16">
        <v>126</v>
      </c>
      <c r="AC126" s="16">
        <v>126</v>
      </c>
      <c r="AD126" s="16">
        <v>42</v>
      </c>
      <c r="AE126" s="16">
        <v>105</v>
      </c>
      <c r="AF126" s="16">
        <v>2</v>
      </c>
      <c r="AG126" s="16">
        <v>5</v>
      </c>
      <c r="AH126" s="16">
        <v>113</v>
      </c>
      <c r="AI126" s="16">
        <v>8</v>
      </c>
      <c r="AJ126" s="481">
        <v>4</v>
      </c>
      <c r="AK126" s="482"/>
      <c r="AL126" s="25" t="s">
        <v>6629</v>
      </c>
      <c r="AM126" s="481">
        <v>113</v>
      </c>
      <c r="AN126" s="481">
        <v>8</v>
      </c>
      <c r="AO126" s="481"/>
      <c r="AP126" s="16"/>
      <c r="AQ126" s="16" t="s">
        <v>160</v>
      </c>
      <c r="AR126" s="130" t="s">
        <v>231</v>
      </c>
      <c r="AS126" s="130">
        <v>1405</v>
      </c>
      <c r="AT126" s="130">
        <v>2</v>
      </c>
      <c r="AU126" s="130"/>
      <c r="AV126" s="130"/>
      <c r="AW126" s="12" t="str">
        <f t="shared" si="4"/>
        <v/>
      </c>
      <c r="AX126" s="12" t="str">
        <f t="shared" si="3"/>
        <v/>
      </c>
      <c r="AY126" s="12"/>
      <c r="AZ126" s="481"/>
    </row>
    <row r="127" spans="1:52" ht="30" customHeight="1" x14ac:dyDescent="0.2">
      <c r="A127" s="497">
        <v>125</v>
      </c>
      <c r="B127" s="481">
        <v>28</v>
      </c>
      <c r="C127" s="16">
        <v>2</v>
      </c>
      <c r="D127" s="482" t="s">
        <v>6308</v>
      </c>
      <c r="E127" s="482" t="s">
        <v>6615</v>
      </c>
      <c r="F127" s="534" t="s">
        <v>66</v>
      </c>
      <c r="G127" s="495"/>
      <c r="H127" s="481"/>
      <c r="I127" s="481" t="s">
        <v>83</v>
      </c>
      <c r="J127" s="360" t="s">
        <v>158</v>
      </c>
      <c r="K127" s="482" t="s">
        <v>3439</v>
      </c>
      <c r="L127" s="482"/>
      <c r="M127" s="482" t="s">
        <v>218</v>
      </c>
      <c r="N127" s="41"/>
      <c r="O127" s="13" t="s">
        <v>106</v>
      </c>
      <c r="P127" s="13" t="s">
        <v>107</v>
      </c>
      <c r="Q127" s="13"/>
      <c r="R127" s="481"/>
      <c r="S127" s="481" t="s">
        <v>6655</v>
      </c>
      <c r="T127" s="481"/>
      <c r="U127" s="482"/>
      <c r="V127" s="41"/>
      <c r="W127" s="13" t="s">
        <v>106</v>
      </c>
      <c r="X127" s="482" t="s">
        <v>107</v>
      </c>
      <c r="Y127" s="481"/>
      <c r="Z127" s="481" t="s">
        <v>6656</v>
      </c>
      <c r="AA127" s="481">
        <v>240</v>
      </c>
      <c r="AB127" s="16">
        <v>228</v>
      </c>
      <c r="AC127" s="16">
        <v>228</v>
      </c>
      <c r="AD127" s="16"/>
      <c r="AE127" s="16"/>
      <c r="AF127" s="16"/>
      <c r="AG127" s="16"/>
      <c r="AH127" s="16"/>
      <c r="AI127" s="16"/>
      <c r="AJ127" s="481">
        <v>8</v>
      </c>
      <c r="AK127" s="482"/>
      <c r="AL127" s="25"/>
      <c r="AM127" s="481"/>
      <c r="AN127" s="481"/>
      <c r="AO127" s="481"/>
      <c r="AP127" s="16"/>
      <c r="AQ127" s="16" t="s">
        <v>160</v>
      </c>
      <c r="AR127" s="130" t="s">
        <v>165</v>
      </c>
      <c r="AS127" s="130">
        <v>1405</v>
      </c>
      <c r="AT127" s="130">
        <v>2</v>
      </c>
      <c r="AU127" s="130">
        <v>1403</v>
      </c>
      <c r="AV127" s="130">
        <v>12</v>
      </c>
      <c r="AW127" s="12">
        <f t="shared" si="4"/>
        <v>14</v>
      </c>
      <c r="AX127" s="12" t="str">
        <f t="shared" si="3"/>
        <v/>
      </c>
      <c r="AY127" s="12"/>
      <c r="AZ127" s="481"/>
    </row>
    <row r="128" spans="1:52" ht="30" customHeight="1" x14ac:dyDescent="0.2">
      <c r="A128" s="497">
        <v>126</v>
      </c>
      <c r="B128" s="481">
        <v>29</v>
      </c>
      <c r="C128" s="16">
        <v>2</v>
      </c>
      <c r="D128" s="482" t="s">
        <v>6308</v>
      </c>
      <c r="E128" s="482" t="s">
        <v>6616</v>
      </c>
      <c r="F128" s="501" t="s">
        <v>6</v>
      </c>
      <c r="G128" s="495"/>
      <c r="H128" s="481" t="s">
        <v>222</v>
      </c>
      <c r="I128" s="481" t="s">
        <v>83</v>
      </c>
      <c r="J128" s="360" t="s">
        <v>158</v>
      </c>
      <c r="K128" s="482" t="s">
        <v>5577</v>
      </c>
      <c r="L128" s="482"/>
      <c r="M128" s="482" t="s">
        <v>68</v>
      </c>
      <c r="N128" s="41"/>
      <c r="O128" s="13" t="s">
        <v>106</v>
      </c>
      <c r="P128" s="13" t="s">
        <v>107</v>
      </c>
      <c r="Q128" s="13"/>
      <c r="R128" s="481"/>
      <c r="S128" s="481" t="s">
        <v>263</v>
      </c>
      <c r="T128" s="481"/>
      <c r="U128" s="482"/>
      <c r="V128" s="41"/>
      <c r="W128" s="13" t="s">
        <v>106</v>
      </c>
      <c r="X128" s="482" t="s">
        <v>107</v>
      </c>
      <c r="Y128" s="481"/>
      <c r="Z128" s="481" t="s">
        <v>6657</v>
      </c>
      <c r="AA128" s="481"/>
      <c r="AB128" s="16">
        <v>192</v>
      </c>
      <c r="AC128" s="16">
        <v>192</v>
      </c>
      <c r="AD128" s="16"/>
      <c r="AE128" s="16"/>
      <c r="AF128" s="16"/>
      <c r="AG128" s="16"/>
      <c r="AH128" s="16"/>
      <c r="AI128" s="16"/>
      <c r="AJ128" s="481">
        <v>6</v>
      </c>
      <c r="AK128" s="482"/>
      <c r="AL128" s="25"/>
      <c r="AM128" s="481"/>
      <c r="AN128" s="481"/>
      <c r="AO128" s="481"/>
      <c r="AP128" s="16"/>
      <c r="AQ128" s="16"/>
      <c r="AR128" s="130"/>
      <c r="AS128" s="130">
        <v>1405</v>
      </c>
      <c r="AT128" s="130">
        <v>2</v>
      </c>
      <c r="AU128" s="130">
        <v>1398</v>
      </c>
      <c r="AV128" s="130">
        <v>7</v>
      </c>
      <c r="AW128" s="12">
        <f t="shared" si="4"/>
        <v>79</v>
      </c>
      <c r="AX128" s="12" t="str">
        <f t="shared" si="3"/>
        <v/>
      </c>
      <c r="AY128" s="12"/>
      <c r="AZ128" s="481"/>
    </row>
    <row r="129" spans="1:52" ht="30" customHeight="1" x14ac:dyDescent="0.2">
      <c r="A129" s="497">
        <v>127</v>
      </c>
      <c r="B129" s="481">
        <v>29</v>
      </c>
      <c r="C129" s="16">
        <v>2</v>
      </c>
      <c r="D129" s="482" t="s">
        <v>6308</v>
      </c>
      <c r="E129" s="482" t="s">
        <v>3232</v>
      </c>
      <c r="F129" s="501" t="s">
        <v>6105</v>
      </c>
      <c r="G129" s="495"/>
      <c r="H129" s="481" t="s">
        <v>4038</v>
      </c>
      <c r="I129" s="481" t="s">
        <v>83</v>
      </c>
      <c r="J129" s="360" t="s">
        <v>158</v>
      </c>
      <c r="K129" s="482" t="s">
        <v>3439</v>
      </c>
      <c r="L129" s="482"/>
      <c r="M129" s="482" t="s">
        <v>68</v>
      </c>
      <c r="N129" s="41"/>
      <c r="O129" s="13" t="s">
        <v>106</v>
      </c>
      <c r="P129" s="13" t="s">
        <v>107</v>
      </c>
      <c r="Q129" s="13"/>
      <c r="R129" s="481"/>
      <c r="S129" s="481" t="s">
        <v>332</v>
      </c>
      <c r="T129" s="481"/>
      <c r="U129" s="482"/>
      <c r="V129" s="41"/>
      <c r="W129" s="13" t="s">
        <v>106</v>
      </c>
      <c r="X129" s="482" t="s">
        <v>107</v>
      </c>
      <c r="Y129" s="481"/>
      <c r="Z129" s="481" t="s">
        <v>6658</v>
      </c>
      <c r="AA129" s="481"/>
      <c r="AB129" s="16">
        <v>186</v>
      </c>
      <c r="AC129" s="16">
        <v>186</v>
      </c>
      <c r="AD129" s="16"/>
      <c r="AE129" s="16"/>
      <c r="AF129" s="16"/>
      <c r="AG129" s="16"/>
      <c r="AH129" s="16"/>
      <c r="AI129" s="16"/>
      <c r="AJ129" s="481">
        <v>6</v>
      </c>
      <c r="AK129" s="482"/>
      <c r="AL129" s="25"/>
      <c r="AM129" s="481"/>
      <c r="AN129" s="481"/>
      <c r="AO129" s="481"/>
      <c r="AP129" s="16"/>
      <c r="AQ129" s="16"/>
      <c r="AR129" s="130"/>
      <c r="AS129" s="130">
        <v>1405</v>
      </c>
      <c r="AT129" s="130">
        <v>2</v>
      </c>
      <c r="AU129" s="130">
        <v>1398</v>
      </c>
      <c r="AV129" s="130">
        <v>11</v>
      </c>
      <c r="AW129" s="12">
        <f t="shared" si="4"/>
        <v>75</v>
      </c>
      <c r="AX129" s="12" t="str">
        <f t="shared" si="3"/>
        <v/>
      </c>
      <c r="AY129" s="12"/>
      <c r="AZ129" s="481"/>
    </row>
    <row r="130" spans="1:52" ht="30" customHeight="1" x14ac:dyDescent="0.2">
      <c r="A130" s="497">
        <v>128</v>
      </c>
      <c r="B130" s="481">
        <v>29</v>
      </c>
      <c r="C130" s="16">
        <v>2</v>
      </c>
      <c r="D130" s="482" t="s">
        <v>6308</v>
      </c>
      <c r="E130" s="482" t="s">
        <v>2345</v>
      </c>
      <c r="F130" s="501" t="s">
        <v>6105</v>
      </c>
      <c r="G130" s="495"/>
      <c r="H130" s="481" t="s">
        <v>4038</v>
      </c>
      <c r="I130" s="481" t="s">
        <v>83</v>
      </c>
      <c r="J130" s="360" t="s">
        <v>158</v>
      </c>
      <c r="K130" s="482" t="s">
        <v>3439</v>
      </c>
      <c r="L130" s="482"/>
      <c r="M130" s="482" t="s">
        <v>117</v>
      </c>
      <c r="N130" s="41"/>
      <c r="O130" s="13" t="s">
        <v>106</v>
      </c>
      <c r="P130" s="13" t="s">
        <v>107</v>
      </c>
      <c r="Q130" s="13"/>
      <c r="R130" s="481"/>
      <c r="S130" s="481" t="s">
        <v>204</v>
      </c>
      <c r="T130" s="481"/>
      <c r="U130" s="482"/>
      <c r="V130" s="41"/>
      <c r="W130" s="13" t="s">
        <v>106</v>
      </c>
      <c r="X130" s="482" t="s">
        <v>107</v>
      </c>
      <c r="Y130" s="481"/>
      <c r="Z130" s="481" t="s">
        <v>6659</v>
      </c>
      <c r="AA130" s="481">
        <v>250</v>
      </c>
      <c r="AB130" s="16">
        <v>234</v>
      </c>
      <c r="AC130" s="16">
        <v>234</v>
      </c>
      <c r="AD130" s="16"/>
      <c r="AE130" s="16"/>
      <c r="AF130" s="16"/>
      <c r="AG130" s="16"/>
      <c r="AH130" s="16"/>
      <c r="AI130" s="16"/>
      <c r="AJ130" s="481">
        <v>6</v>
      </c>
      <c r="AK130" s="482"/>
      <c r="AL130" s="25"/>
      <c r="AM130" s="481"/>
      <c r="AN130" s="481"/>
      <c r="AO130" s="481"/>
      <c r="AP130" s="16"/>
      <c r="AQ130" s="16"/>
      <c r="AR130" s="130"/>
      <c r="AS130" s="130">
        <v>1405</v>
      </c>
      <c r="AT130" s="130">
        <v>2</v>
      </c>
      <c r="AU130" s="130">
        <v>1403</v>
      </c>
      <c r="AV130" s="130">
        <v>6</v>
      </c>
      <c r="AW130" s="12">
        <f t="shared" si="4"/>
        <v>20</v>
      </c>
      <c r="AX130" s="12" t="str">
        <f t="shared" si="3"/>
        <v/>
      </c>
      <c r="AY130" s="12"/>
      <c r="AZ130" s="481" t="s">
        <v>6663</v>
      </c>
    </row>
    <row r="131" spans="1:52" ht="30" customHeight="1" x14ac:dyDescent="0.2">
      <c r="A131" s="497">
        <v>129</v>
      </c>
      <c r="B131" s="481">
        <v>29</v>
      </c>
      <c r="C131" s="16">
        <v>2</v>
      </c>
      <c r="D131" s="482" t="s">
        <v>6308</v>
      </c>
      <c r="E131" s="500" t="s">
        <v>2345</v>
      </c>
      <c r="F131" s="501" t="s">
        <v>6105</v>
      </c>
      <c r="G131" s="495"/>
      <c r="H131" s="481"/>
      <c r="I131" s="481" t="s">
        <v>7</v>
      </c>
      <c r="J131" s="360" t="s">
        <v>158</v>
      </c>
      <c r="K131" s="482" t="s">
        <v>3439</v>
      </c>
      <c r="L131" s="482" t="s">
        <v>117</v>
      </c>
      <c r="M131" s="482" t="s">
        <v>104</v>
      </c>
      <c r="N131" s="41" t="s">
        <v>6660</v>
      </c>
      <c r="O131" s="13" t="s">
        <v>69</v>
      </c>
      <c r="P131" s="13" t="s">
        <v>70</v>
      </c>
      <c r="Q131" s="13"/>
      <c r="R131" s="481"/>
      <c r="S131" s="481" t="s">
        <v>204</v>
      </c>
      <c r="T131" s="481">
        <v>293</v>
      </c>
      <c r="U131" s="482" t="s">
        <v>2258</v>
      </c>
      <c r="V131" s="41" t="s">
        <v>6661</v>
      </c>
      <c r="W131" s="13" t="s">
        <v>142</v>
      </c>
      <c r="X131" s="482" t="s">
        <v>70</v>
      </c>
      <c r="Y131" s="481" t="s">
        <v>5187</v>
      </c>
      <c r="Z131" s="481" t="s">
        <v>6659</v>
      </c>
      <c r="AA131" s="481">
        <v>250</v>
      </c>
      <c r="AB131" s="16">
        <v>234</v>
      </c>
      <c r="AC131" s="16">
        <v>234</v>
      </c>
      <c r="AD131" s="16">
        <v>139</v>
      </c>
      <c r="AE131" s="16">
        <v>157</v>
      </c>
      <c r="AF131" s="16">
        <v>3</v>
      </c>
      <c r="AG131" s="16">
        <v>20</v>
      </c>
      <c r="AH131" s="16">
        <v>180</v>
      </c>
      <c r="AI131" s="16">
        <v>14</v>
      </c>
      <c r="AJ131" s="481">
        <v>6</v>
      </c>
      <c r="AK131" s="482"/>
      <c r="AL131" s="25" t="s">
        <v>6662</v>
      </c>
      <c r="AM131" s="481">
        <v>180</v>
      </c>
      <c r="AN131" s="481">
        <v>14</v>
      </c>
      <c r="AO131" s="481"/>
      <c r="AP131" s="16"/>
      <c r="AQ131" s="16"/>
      <c r="AR131" s="130"/>
      <c r="AS131" s="130">
        <v>1405</v>
      </c>
      <c r="AT131" s="130">
        <v>2</v>
      </c>
      <c r="AU131" s="130"/>
      <c r="AV131" s="130"/>
      <c r="AW131" s="12" t="str">
        <f t="shared" si="4"/>
        <v/>
      </c>
      <c r="AX131" s="12" t="str">
        <f t="shared" si="3"/>
        <v/>
      </c>
      <c r="AY131" s="12"/>
      <c r="AZ131" s="505" t="s">
        <v>6663</v>
      </c>
    </row>
    <row r="132" spans="1:52" ht="30" customHeight="1" x14ac:dyDescent="0.2">
      <c r="A132" s="497">
        <v>130</v>
      </c>
      <c r="B132" s="481">
        <v>30</v>
      </c>
      <c r="C132" s="16">
        <v>2</v>
      </c>
      <c r="D132" s="482" t="s">
        <v>6308</v>
      </c>
      <c r="E132" s="482" t="s">
        <v>6617</v>
      </c>
      <c r="F132" s="482" t="s">
        <v>6</v>
      </c>
      <c r="G132" s="495"/>
      <c r="H132" s="481" t="s">
        <v>6621</v>
      </c>
      <c r="I132" s="481" t="s">
        <v>7</v>
      </c>
      <c r="J132" s="360" t="s">
        <v>158</v>
      </c>
      <c r="K132" s="504" t="s">
        <v>5577</v>
      </c>
      <c r="L132" s="35" t="s">
        <v>68</v>
      </c>
      <c r="M132" s="35" t="s">
        <v>155</v>
      </c>
      <c r="N132" s="41" t="s">
        <v>6664</v>
      </c>
      <c r="O132" s="13" t="s">
        <v>69</v>
      </c>
      <c r="P132" s="13" t="s">
        <v>70</v>
      </c>
      <c r="Q132" s="13"/>
      <c r="R132" s="481"/>
      <c r="S132" s="33" t="s">
        <v>263</v>
      </c>
      <c r="T132" s="33">
        <v>345</v>
      </c>
      <c r="U132" s="35" t="s">
        <v>441</v>
      </c>
      <c r="V132" s="41" t="s">
        <v>6665</v>
      </c>
      <c r="W132" s="13" t="s">
        <v>69</v>
      </c>
      <c r="X132" s="482" t="s">
        <v>70</v>
      </c>
      <c r="Y132" s="481" t="s">
        <v>5187</v>
      </c>
      <c r="Z132" s="481"/>
      <c r="AA132" s="481">
        <v>248</v>
      </c>
      <c r="AB132" s="16" t="s">
        <v>3714</v>
      </c>
      <c r="AC132" s="16">
        <v>234</v>
      </c>
      <c r="AD132" s="16">
        <v>171</v>
      </c>
      <c r="AE132" s="16">
        <v>186</v>
      </c>
      <c r="AF132" s="16">
        <v>5</v>
      </c>
      <c r="AG132" s="16">
        <v>55</v>
      </c>
      <c r="AH132" s="16">
        <v>246</v>
      </c>
      <c r="AI132" s="16">
        <v>17</v>
      </c>
      <c r="AJ132" s="481">
        <v>6</v>
      </c>
      <c r="AK132" s="482"/>
      <c r="AL132" s="25" t="s">
        <v>6662</v>
      </c>
      <c r="AM132" s="481">
        <v>246</v>
      </c>
      <c r="AN132" s="481">
        <v>17</v>
      </c>
      <c r="AO132" s="481"/>
      <c r="AP132" s="16"/>
      <c r="AQ132" s="16" t="s">
        <v>160</v>
      </c>
      <c r="AR132" s="130" t="s">
        <v>165</v>
      </c>
      <c r="AS132" s="130">
        <v>1405</v>
      </c>
      <c r="AT132" s="130">
        <v>2</v>
      </c>
      <c r="AU132" s="130"/>
      <c r="AV132" s="130"/>
      <c r="AW132" s="12" t="str">
        <f t="shared" si="4"/>
        <v/>
      </c>
      <c r="AX132" s="12" t="str">
        <f t="shared" si="3"/>
        <v/>
      </c>
      <c r="AY132" s="12"/>
      <c r="AZ132" s="481"/>
    </row>
    <row r="133" spans="1:52" ht="30" customHeight="1" x14ac:dyDescent="0.2">
      <c r="A133" s="497">
        <v>131</v>
      </c>
      <c r="B133" s="481">
        <v>30</v>
      </c>
      <c r="C133" s="16">
        <v>2</v>
      </c>
      <c r="D133" s="482" t="s">
        <v>6308</v>
      </c>
      <c r="E133" s="482" t="s">
        <v>2837</v>
      </c>
      <c r="F133" s="482" t="s">
        <v>243</v>
      </c>
      <c r="G133" s="495"/>
      <c r="H133" s="481" t="s">
        <v>6469</v>
      </c>
      <c r="I133" s="481" t="s">
        <v>7</v>
      </c>
      <c r="J133" s="360" t="s">
        <v>158</v>
      </c>
      <c r="K133" s="482" t="s">
        <v>3439</v>
      </c>
      <c r="L133" s="482"/>
      <c r="M133" s="482" t="s">
        <v>155</v>
      </c>
      <c r="N133" s="41" t="s">
        <v>6666</v>
      </c>
      <c r="O133" s="13" t="s">
        <v>69</v>
      </c>
      <c r="P133" s="13" t="s">
        <v>70</v>
      </c>
      <c r="Q133" s="13"/>
      <c r="R133" s="481"/>
      <c r="S133" s="481"/>
      <c r="T133" s="481">
        <v>6609</v>
      </c>
      <c r="U133" s="482" t="s">
        <v>493</v>
      </c>
      <c r="V133" s="41" t="s">
        <v>6667</v>
      </c>
      <c r="W133" s="13" t="s">
        <v>69</v>
      </c>
      <c r="X133" s="482" t="s">
        <v>70</v>
      </c>
      <c r="Y133" s="481" t="s">
        <v>5244</v>
      </c>
      <c r="Z133" s="481"/>
      <c r="AA133" s="481">
        <v>247</v>
      </c>
      <c r="AB133" s="16"/>
      <c r="AC133" s="16">
        <v>234</v>
      </c>
      <c r="AD133" s="16">
        <v>116</v>
      </c>
      <c r="AE133" s="16">
        <v>159</v>
      </c>
      <c r="AF133" s="16">
        <v>4</v>
      </c>
      <c r="AG133" s="16">
        <v>124</v>
      </c>
      <c r="AH133" s="16">
        <v>287</v>
      </c>
      <c r="AI133" s="16">
        <v>15</v>
      </c>
      <c r="AJ133" s="481">
        <v>6</v>
      </c>
      <c r="AK133" s="482"/>
      <c r="AL133" s="25" t="s">
        <v>6662</v>
      </c>
      <c r="AM133" s="481">
        <v>287</v>
      </c>
      <c r="AN133" s="481">
        <v>15</v>
      </c>
      <c r="AO133" s="481"/>
      <c r="AP133" s="16"/>
      <c r="AQ133" s="16" t="s">
        <v>160</v>
      </c>
      <c r="AR133" s="130" t="s">
        <v>165</v>
      </c>
      <c r="AS133" s="130">
        <v>1405</v>
      </c>
      <c r="AT133" s="130">
        <v>2</v>
      </c>
      <c r="AU133" s="130"/>
      <c r="AV133" s="130"/>
      <c r="AW133" s="12" t="str">
        <f t="shared" si="4"/>
        <v/>
      </c>
      <c r="AX133" s="12" t="str">
        <f t="shared" si="3"/>
        <v/>
      </c>
      <c r="AY133" s="12"/>
      <c r="AZ133" s="481"/>
    </row>
    <row r="134" spans="1:52" ht="30" customHeight="1" x14ac:dyDescent="0.2">
      <c r="A134" s="497">
        <v>132</v>
      </c>
      <c r="B134" s="481">
        <v>30</v>
      </c>
      <c r="C134" s="16">
        <v>2</v>
      </c>
      <c r="D134" s="482" t="s">
        <v>6308</v>
      </c>
      <c r="E134" s="482" t="s">
        <v>6618</v>
      </c>
      <c r="F134" s="482" t="s">
        <v>6105</v>
      </c>
      <c r="G134" s="495"/>
      <c r="H134" s="481" t="s">
        <v>6469</v>
      </c>
      <c r="I134" s="481" t="s">
        <v>7</v>
      </c>
      <c r="J134" s="360" t="s">
        <v>158</v>
      </c>
      <c r="K134" s="482" t="s">
        <v>6454</v>
      </c>
      <c r="L134" s="482"/>
      <c r="M134" s="482" t="s">
        <v>155</v>
      </c>
      <c r="N134" s="41" t="s">
        <v>6742</v>
      </c>
      <c r="O134" s="13" t="s">
        <v>5170</v>
      </c>
      <c r="P134" s="13" t="s">
        <v>107</v>
      </c>
      <c r="Q134" s="13"/>
      <c r="R134" s="481"/>
      <c r="S134" s="481"/>
      <c r="T134" s="481">
        <v>384</v>
      </c>
      <c r="U134" s="482" t="s">
        <v>718</v>
      </c>
      <c r="V134" s="41" t="s">
        <v>6743</v>
      </c>
      <c r="W134" s="13" t="s">
        <v>142</v>
      </c>
      <c r="X134" s="482" t="s">
        <v>70</v>
      </c>
      <c r="Y134" s="481" t="s">
        <v>5244</v>
      </c>
      <c r="Z134" s="481"/>
      <c r="AA134" s="481">
        <v>233</v>
      </c>
      <c r="AB134" s="16"/>
      <c r="AC134" s="16">
        <v>216</v>
      </c>
      <c r="AD134" s="16">
        <v>77</v>
      </c>
      <c r="AE134" s="16">
        <v>122</v>
      </c>
      <c r="AF134" s="16">
        <v>10</v>
      </c>
      <c r="AG134" s="16">
        <v>35</v>
      </c>
      <c r="AH134" s="16">
        <v>167</v>
      </c>
      <c r="AI134" s="16">
        <v>27</v>
      </c>
      <c r="AJ134" s="481">
        <v>6</v>
      </c>
      <c r="AK134" s="482"/>
      <c r="AL134" s="25" t="s">
        <v>6744</v>
      </c>
      <c r="AM134" s="481">
        <v>167</v>
      </c>
      <c r="AN134" s="481">
        <v>27</v>
      </c>
      <c r="AO134" s="481"/>
      <c r="AP134" s="16"/>
      <c r="AQ134" s="16" t="s">
        <v>160</v>
      </c>
      <c r="AR134" s="130" t="s">
        <v>165</v>
      </c>
      <c r="AS134" s="130">
        <v>1405</v>
      </c>
      <c r="AT134" s="130">
        <v>2</v>
      </c>
      <c r="AU134" s="130"/>
      <c r="AV134" s="130"/>
      <c r="AW134" s="12" t="str">
        <f t="shared" si="4"/>
        <v/>
      </c>
      <c r="AX134" s="12" t="str">
        <f t="shared" si="3"/>
        <v/>
      </c>
      <c r="AY134" s="12"/>
      <c r="AZ134" s="481"/>
    </row>
    <row r="135" spans="1:52" ht="30" customHeight="1" x14ac:dyDescent="0.2">
      <c r="A135" s="497">
        <v>133</v>
      </c>
      <c r="B135" s="481">
        <v>30</v>
      </c>
      <c r="C135" s="16">
        <v>2</v>
      </c>
      <c r="D135" s="482" t="s">
        <v>6308</v>
      </c>
      <c r="E135" s="482" t="s">
        <v>5085</v>
      </c>
      <c r="F135" s="482" t="s">
        <v>20</v>
      </c>
      <c r="G135" s="495"/>
      <c r="H135" s="481" t="s">
        <v>4796</v>
      </c>
      <c r="I135" s="481" t="s">
        <v>83</v>
      </c>
      <c r="J135" s="360" t="s">
        <v>158</v>
      </c>
      <c r="K135" s="482" t="s">
        <v>6454</v>
      </c>
      <c r="L135" s="482"/>
      <c r="M135" s="482" t="s">
        <v>334</v>
      </c>
      <c r="N135" s="41" t="s">
        <v>5087</v>
      </c>
      <c r="O135" s="13" t="s">
        <v>5170</v>
      </c>
      <c r="P135" s="13" t="s">
        <v>107</v>
      </c>
      <c r="Q135" s="13"/>
      <c r="R135" s="481"/>
      <c r="S135" s="481" t="s">
        <v>1013</v>
      </c>
      <c r="T135" s="481"/>
      <c r="U135" s="482"/>
      <c r="V135" s="41" t="s">
        <v>5088</v>
      </c>
      <c r="W135" s="13" t="s">
        <v>5170</v>
      </c>
      <c r="X135" s="13" t="s">
        <v>107</v>
      </c>
      <c r="Y135" s="481"/>
      <c r="Z135" s="481" t="s">
        <v>6719</v>
      </c>
      <c r="AA135" s="481">
        <v>140</v>
      </c>
      <c r="AB135" s="16">
        <v>132</v>
      </c>
      <c r="AC135" s="16">
        <v>132</v>
      </c>
      <c r="AD135" s="16"/>
      <c r="AE135" s="16"/>
      <c r="AF135" s="16"/>
      <c r="AG135" s="16"/>
      <c r="AH135" s="16"/>
      <c r="AI135" s="16"/>
      <c r="AJ135" s="481">
        <v>4</v>
      </c>
      <c r="AK135" s="482"/>
      <c r="AL135" s="25"/>
      <c r="AM135" s="481"/>
      <c r="AN135" s="481"/>
      <c r="AO135" s="481"/>
      <c r="AP135" s="16"/>
      <c r="AQ135" s="16" t="s">
        <v>5080</v>
      </c>
      <c r="AR135" s="130" t="s">
        <v>112</v>
      </c>
      <c r="AS135" s="130">
        <v>1405</v>
      </c>
      <c r="AT135" s="130">
        <v>2</v>
      </c>
      <c r="AU135" s="130">
        <v>1404</v>
      </c>
      <c r="AV135" s="130">
        <v>1</v>
      </c>
      <c r="AW135" s="12">
        <f t="shared" si="4"/>
        <v>13</v>
      </c>
      <c r="AX135" s="12" t="str">
        <f t="shared" si="3"/>
        <v/>
      </c>
      <c r="AY135" s="12"/>
      <c r="AZ135" s="481"/>
    </row>
    <row r="136" spans="1:52" ht="30" customHeight="1" x14ac:dyDescent="0.2">
      <c r="A136" s="497">
        <v>134</v>
      </c>
      <c r="B136" s="481">
        <v>31</v>
      </c>
      <c r="C136" s="16">
        <v>2</v>
      </c>
      <c r="D136" s="482" t="s">
        <v>6308</v>
      </c>
      <c r="E136" s="482" t="s">
        <v>6619</v>
      </c>
      <c r="F136" s="482" t="s">
        <v>8</v>
      </c>
      <c r="G136" s="495"/>
      <c r="H136" s="481" t="s">
        <v>222</v>
      </c>
      <c r="I136" s="481" t="s">
        <v>83</v>
      </c>
      <c r="J136" s="360" t="s">
        <v>158</v>
      </c>
      <c r="K136" s="482" t="s">
        <v>3439</v>
      </c>
      <c r="L136" s="482"/>
      <c r="M136" s="482" t="s">
        <v>140</v>
      </c>
      <c r="N136" s="41"/>
      <c r="O136" s="13" t="s">
        <v>5170</v>
      </c>
      <c r="P136" s="13" t="s">
        <v>107</v>
      </c>
      <c r="Q136" s="13"/>
      <c r="R136" s="481"/>
      <c r="S136" s="481" t="s">
        <v>153</v>
      </c>
      <c r="T136" s="481"/>
      <c r="U136" s="482"/>
      <c r="V136" s="41"/>
      <c r="W136" s="13" t="s">
        <v>5170</v>
      </c>
      <c r="X136" s="13" t="s">
        <v>107</v>
      </c>
      <c r="Y136" s="481"/>
      <c r="Z136" s="481" t="s">
        <v>6741</v>
      </c>
      <c r="AA136" s="481"/>
      <c r="AB136" s="16">
        <v>192</v>
      </c>
      <c r="AC136" s="16">
        <v>192</v>
      </c>
      <c r="AD136" s="16"/>
      <c r="AE136" s="16"/>
      <c r="AF136" s="16"/>
      <c r="AG136" s="16"/>
      <c r="AH136" s="16"/>
      <c r="AI136" s="16"/>
      <c r="AJ136" s="481">
        <v>6</v>
      </c>
      <c r="AK136" s="482"/>
      <c r="AL136" s="25"/>
      <c r="AM136" s="481"/>
      <c r="AN136" s="481"/>
      <c r="AO136" s="481"/>
      <c r="AP136" s="16"/>
      <c r="AQ136" s="16"/>
      <c r="AR136" s="130"/>
      <c r="AS136" s="130">
        <v>1405</v>
      </c>
      <c r="AT136" s="130">
        <v>2</v>
      </c>
      <c r="AU136" s="130">
        <v>1401</v>
      </c>
      <c r="AV136" s="130">
        <v>9</v>
      </c>
      <c r="AW136" s="12">
        <f t="shared" si="4"/>
        <v>41</v>
      </c>
      <c r="AX136" s="12" t="str">
        <f t="shared" si="3"/>
        <v/>
      </c>
      <c r="AY136" s="12"/>
      <c r="AZ136" s="481"/>
    </row>
    <row r="137" spans="1:52" ht="30" customHeight="1" x14ac:dyDescent="0.2">
      <c r="A137" s="497">
        <v>135</v>
      </c>
      <c r="B137" s="481">
        <v>31</v>
      </c>
      <c r="C137" s="16">
        <v>2</v>
      </c>
      <c r="D137" s="482" t="s">
        <v>6308</v>
      </c>
      <c r="E137" s="482" t="s">
        <v>3783</v>
      </c>
      <c r="F137" s="482" t="s">
        <v>5409</v>
      </c>
      <c r="G137" s="495"/>
      <c r="H137" s="481" t="s">
        <v>4038</v>
      </c>
      <c r="I137" s="481" t="s">
        <v>83</v>
      </c>
      <c r="J137" s="360" t="s">
        <v>158</v>
      </c>
      <c r="K137" s="482" t="s">
        <v>3439</v>
      </c>
      <c r="L137" s="482"/>
      <c r="M137" s="482" t="s">
        <v>140</v>
      </c>
      <c r="N137" s="41" t="s">
        <v>6477</v>
      </c>
      <c r="O137" s="13" t="s">
        <v>106</v>
      </c>
      <c r="P137" s="13" t="s">
        <v>107</v>
      </c>
      <c r="Q137" s="13"/>
      <c r="R137" s="481"/>
      <c r="S137" s="481" t="s">
        <v>276</v>
      </c>
      <c r="T137" s="481"/>
      <c r="U137" s="482"/>
      <c r="V137" s="41" t="s">
        <v>6624</v>
      </c>
      <c r="W137" s="13" t="s">
        <v>106</v>
      </c>
      <c r="X137" s="514" t="s">
        <v>107</v>
      </c>
      <c r="Y137" s="481"/>
      <c r="Z137" s="481" t="s">
        <v>6627</v>
      </c>
      <c r="AA137" s="481">
        <v>187</v>
      </c>
      <c r="AB137" s="16">
        <v>183</v>
      </c>
      <c r="AC137" s="16">
        <v>177</v>
      </c>
      <c r="AD137" s="16"/>
      <c r="AE137" s="16"/>
      <c r="AF137" s="16"/>
      <c r="AG137" s="16"/>
      <c r="AH137" s="16"/>
      <c r="AI137" s="16"/>
      <c r="AJ137" s="481">
        <v>6</v>
      </c>
      <c r="AK137" s="482"/>
      <c r="AL137" s="25"/>
      <c r="AM137" s="481"/>
      <c r="AN137" s="481"/>
      <c r="AO137" s="481"/>
      <c r="AP137" s="16"/>
      <c r="AQ137" s="16" t="s">
        <v>160</v>
      </c>
      <c r="AR137" s="130" t="s">
        <v>112</v>
      </c>
      <c r="AS137" s="130">
        <v>1405</v>
      </c>
      <c r="AT137" s="130">
        <v>2</v>
      </c>
      <c r="AU137" s="130">
        <v>1405</v>
      </c>
      <c r="AV137" s="130">
        <v>2</v>
      </c>
      <c r="AW137" s="12">
        <f t="shared" si="4"/>
        <v>0</v>
      </c>
      <c r="AX137" s="12">
        <f t="shared" si="3"/>
        <v>0</v>
      </c>
      <c r="AY137" s="12"/>
      <c r="AZ137" s="481"/>
    </row>
    <row r="138" spans="1:52" ht="30" customHeight="1" x14ac:dyDescent="0.2">
      <c r="A138" s="497">
        <v>136</v>
      </c>
      <c r="B138" s="481">
        <v>31</v>
      </c>
      <c r="C138" s="16">
        <v>2</v>
      </c>
      <c r="D138" s="482" t="s">
        <v>6308</v>
      </c>
      <c r="E138" s="482" t="s">
        <v>6620</v>
      </c>
      <c r="F138" s="482" t="s">
        <v>6105</v>
      </c>
      <c r="G138" s="495"/>
      <c r="H138" s="481" t="s">
        <v>6469</v>
      </c>
      <c r="I138" s="481" t="s">
        <v>7</v>
      </c>
      <c r="J138" s="360" t="s">
        <v>158</v>
      </c>
      <c r="K138" s="482" t="s">
        <v>6454</v>
      </c>
      <c r="L138" s="482"/>
      <c r="M138" s="482" t="s">
        <v>104</v>
      </c>
      <c r="N138" s="41" t="s">
        <v>6739</v>
      </c>
      <c r="O138" s="13" t="s">
        <v>69</v>
      </c>
      <c r="P138" s="13" t="s">
        <v>70</v>
      </c>
      <c r="Q138" s="13"/>
      <c r="R138" s="481"/>
      <c r="S138" s="481"/>
      <c r="T138" s="481">
        <v>345</v>
      </c>
      <c r="U138" s="482" t="s">
        <v>555</v>
      </c>
      <c r="V138" s="41" t="s">
        <v>6740</v>
      </c>
      <c r="W138" s="13" t="s">
        <v>106</v>
      </c>
      <c r="X138" s="482" t="s">
        <v>107</v>
      </c>
      <c r="Y138" s="481" t="s">
        <v>5244</v>
      </c>
      <c r="Z138" s="481"/>
      <c r="AA138" s="481">
        <v>235</v>
      </c>
      <c r="AB138" s="16"/>
      <c r="AC138" s="16">
        <v>216</v>
      </c>
      <c r="AD138" s="16">
        <v>77</v>
      </c>
      <c r="AE138" s="16">
        <v>121</v>
      </c>
      <c r="AF138" s="16">
        <v>6</v>
      </c>
      <c r="AG138" s="16">
        <v>27</v>
      </c>
      <c r="AH138" s="16">
        <v>154</v>
      </c>
      <c r="AI138" s="16"/>
      <c r="AJ138" s="481">
        <v>6</v>
      </c>
      <c r="AK138" s="482"/>
      <c r="AL138" s="25" t="s">
        <v>6736</v>
      </c>
      <c r="AM138" s="481">
        <v>154</v>
      </c>
      <c r="AN138" s="481"/>
      <c r="AO138" s="481"/>
      <c r="AP138" s="16"/>
      <c r="AQ138" s="16" t="s">
        <v>160</v>
      </c>
      <c r="AR138" s="130" t="s">
        <v>193</v>
      </c>
      <c r="AS138" s="130">
        <v>1405</v>
      </c>
      <c r="AT138" s="130">
        <v>2</v>
      </c>
      <c r="AU138" s="130"/>
      <c r="AV138" s="130"/>
      <c r="AW138" s="12" t="str">
        <f t="shared" si="4"/>
        <v/>
      </c>
      <c r="AX138" s="12" t="str">
        <f t="shared" si="3"/>
        <v/>
      </c>
      <c r="AY138" s="12"/>
      <c r="AZ138" s="481"/>
    </row>
    <row r="139" spans="1:52" ht="30" customHeight="1" x14ac:dyDescent="0.2">
      <c r="A139" s="497">
        <v>137</v>
      </c>
      <c r="B139" s="481">
        <v>31</v>
      </c>
      <c r="C139" s="16">
        <v>2</v>
      </c>
      <c r="D139" s="482" t="s">
        <v>6308</v>
      </c>
      <c r="E139" s="482" t="s">
        <v>573</v>
      </c>
      <c r="F139" s="482" t="s">
        <v>6</v>
      </c>
      <c r="G139" s="495"/>
      <c r="H139" s="481" t="s">
        <v>6469</v>
      </c>
      <c r="I139" s="502" t="s">
        <v>7</v>
      </c>
      <c r="J139" s="360" t="s">
        <v>158</v>
      </c>
      <c r="K139" s="482" t="s">
        <v>5577</v>
      </c>
      <c r="L139" s="482"/>
      <c r="M139" s="482" t="s">
        <v>155</v>
      </c>
      <c r="N139" s="41" t="s">
        <v>6737</v>
      </c>
      <c r="O139" s="13" t="s">
        <v>69</v>
      </c>
      <c r="P139" s="13" t="s">
        <v>70</v>
      </c>
      <c r="Q139" s="13"/>
      <c r="R139" s="481"/>
      <c r="S139" s="481"/>
      <c r="T139" s="481">
        <v>345</v>
      </c>
      <c r="U139" s="482" t="s">
        <v>441</v>
      </c>
      <c r="V139" s="41" t="s">
        <v>6738</v>
      </c>
      <c r="W139" s="13" t="s">
        <v>69</v>
      </c>
      <c r="X139" s="482" t="s">
        <v>70</v>
      </c>
      <c r="Y139" s="481" t="s">
        <v>5244</v>
      </c>
      <c r="Z139" s="481"/>
      <c r="AA139" s="481">
        <v>248</v>
      </c>
      <c r="AB139" s="16"/>
      <c r="AC139" s="16">
        <v>237</v>
      </c>
      <c r="AD139" s="16">
        <v>171</v>
      </c>
      <c r="AE139" s="16">
        <v>183</v>
      </c>
      <c r="AF139" s="16">
        <v>7</v>
      </c>
      <c r="AG139" s="16">
        <v>32</v>
      </c>
      <c r="AH139" s="16">
        <v>222</v>
      </c>
      <c r="AI139" s="16">
        <v>21</v>
      </c>
      <c r="AJ139" s="481">
        <v>6</v>
      </c>
      <c r="AK139" s="482"/>
      <c r="AL139" s="25" t="s">
        <v>6733</v>
      </c>
      <c r="AM139" s="481">
        <v>222</v>
      </c>
      <c r="AN139" s="481">
        <v>21</v>
      </c>
      <c r="AO139" s="481"/>
      <c r="AP139" s="16"/>
      <c r="AQ139" s="16" t="s">
        <v>160</v>
      </c>
      <c r="AR139" s="130" t="s">
        <v>165</v>
      </c>
      <c r="AS139" s="130">
        <v>1405</v>
      </c>
      <c r="AT139" s="130">
        <v>2</v>
      </c>
      <c r="AU139" s="130"/>
      <c r="AV139" s="130"/>
      <c r="AW139" s="12" t="str">
        <f t="shared" si="4"/>
        <v/>
      </c>
      <c r="AX139" s="12" t="str">
        <f t="shared" si="3"/>
        <v/>
      </c>
      <c r="AY139" s="12"/>
      <c r="AZ139" s="481"/>
    </row>
    <row r="140" spans="1:52" ht="30" customHeight="1" x14ac:dyDescent="0.2">
      <c r="A140" s="497">
        <v>138</v>
      </c>
      <c r="B140" s="481">
        <v>1</v>
      </c>
      <c r="C140" s="16">
        <v>3</v>
      </c>
      <c r="D140" s="482" t="s">
        <v>6308</v>
      </c>
      <c r="E140" s="482" t="s">
        <v>1415</v>
      </c>
      <c r="F140" s="482" t="s">
        <v>243</v>
      </c>
      <c r="G140" s="495"/>
      <c r="H140" s="481"/>
      <c r="I140" s="481" t="s">
        <v>7</v>
      </c>
      <c r="J140" s="360" t="s">
        <v>158</v>
      </c>
      <c r="K140" s="482" t="s">
        <v>5577</v>
      </c>
      <c r="L140" s="35" t="s">
        <v>141</v>
      </c>
      <c r="M140" s="35" t="s">
        <v>223</v>
      </c>
      <c r="N140" s="41" t="s">
        <v>6734</v>
      </c>
      <c r="O140" s="13" t="s">
        <v>69</v>
      </c>
      <c r="P140" s="13" t="s">
        <v>70</v>
      </c>
      <c r="Q140" s="13"/>
      <c r="R140" s="481"/>
      <c r="S140" s="33" t="s">
        <v>1051</v>
      </c>
      <c r="T140" s="33">
        <v>193</v>
      </c>
      <c r="U140" s="35" t="s">
        <v>226</v>
      </c>
      <c r="V140" s="41" t="s">
        <v>6735</v>
      </c>
      <c r="W140" s="13" t="s">
        <v>69</v>
      </c>
      <c r="X140" s="482" t="s">
        <v>70</v>
      </c>
      <c r="Y140" s="481" t="s">
        <v>5187</v>
      </c>
      <c r="Z140" s="481" t="s">
        <v>6558</v>
      </c>
      <c r="AA140" s="481"/>
      <c r="AB140" s="16">
        <v>183</v>
      </c>
      <c r="AC140" s="16">
        <v>183</v>
      </c>
      <c r="AD140" s="16">
        <v>62</v>
      </c>
      <c r="AE140" s="16">
        <v>148</v>
      </c>
      <c r="AF140" s="16">
        <v>9</v>
      </c>
      <c r="AG140" s="16">
        <v>62</v>
      </c>
      <c r="AH140" s="16">
        <v>219</v>
      </c>
      <c r="AI140" s="16">
        <v>4</v>
      </c>
      <c r="AJ140" s="481">
        <v>6</v>
      </c>
      <c r="AK140" s="482"/>
      <c r="AL140" s="25" t="s">
        <v>6736</v>
      </c>
      <c r="AM140" s="481">
        <v>219</v>
      </c>
      <c r="AN140" s="481">
        <v>4</v>
      </c>
      <c r="AO140" s="481"/>
      <c r="AP140" s="16"/>
      <c r="AQ140" s="16" t="s">
        <v>5080</v>
      </c>
      <c r="AR140" s="130" t="s">
        <v>112</v>
      </c>
      <c r="AS140" s="130">
        <v>1405</v>
      </c>
      <c r="AT140" s="130">
        <v>3</v>
      </c>
      <c r="AU140" s="130"/>
      <c r="AV140" s="130"/>
      <c r="AW140" s="12" t="str">
        <f t="shared" si="4"/>
        <v/>
      </c>
      <c r="AX140" s="12" t="str">
        <f t="shared" si="3"/>
        <v/>
      </c>
      <c r="AY140" s="12"/>
      <c r="AZ140" s="481"/>
    </row>
    <row r="141" spans="1:52" ht="30" customHeight="1" x14ac:dyDescent="0.2">
      <c r="A141" s="497">
        <v>139</v>
      </c>
      <c r="B141" s="481">
        <v>1</v>
      </c>
      <c r="C141" s="16">
        <v>3</v>
      </c>
      <c r="D141" s="482" t="s">
        <v>6308</v>
      </c>
      <c r="E141" s="482" t="s">
        <v>5437</v>
      </c>
      <c r="F141" s="482" t="s">
        <v>243</v>
      </c>
      <c r="G141" s="495"/>
      <c r="H141" s="481" t="s">
        <v>4038</v>
      </c>
      <c r="I141" s="481" t="s">
        <v>83</v>
      </c>
      <c r="J141" s="360" t="s">
        <v>158</v>
      </c>
      <c r="K141" s="482" t="s">
        <v>3439</v>
      </c>
      <c r="L141" s="482"/>
      <c r="M141" s="482" t="s">
        <v>141</v>
      </c>
      <c r="N141" s="41"/>
      <c r="O141" s="13" t="s">
        <v>106</v>
      </c>
      <c r="P141" s="13" t="s">
        <v>107</v>
      </c>
      <c r="Q141" s="13"/>
      <c r="R141" s="481"/>
      <c r="S141" s="481" t="s">
        <v>1478</v>
      </c>
      <c r="T141" s="481"/>
      <c r="U141" s="482"/>
      <c r="V141" s="41"/>
      <c r="W141" s="13" t="s">
        <v>106</v>
      </c>
      <c r="X141" s="13" t="s">
        <v>107</v>
      </c>
      <c r="Y141" s="481"/>
      <c r="Z141" s="481" t="s">
        <v>5541</v>
      </c>
      <c r="AA141" s="481"/>
      <c r="AB141" s="16">
        <v>138</v>
      </c>
      <c r="AC141" s="16">
        <v>138</v>
      </c>
      <c r="AD141" s="16"/>
      <c r="AE141" s="16"/>
      <c r="AF141" s="16"/>
      <c r="AG141" s="16"/>
      <c r="AH141" s="16"/>
      <c r="AI141" s="16"/>
      <c r="AJ141" s="481">
        <v>6</v>
      </c>
      <c r="AK141" s="482"/>
      <c r="AL141" s="25"/>
      <c r="AM141" s="481"/>
      <c r="AN141" s="481"/>
      <c r="AO141" s="481"/>
      <c r="AP141" s="16"/>
      <c r="AQ141" s="16" t="s">
        <v>5080</v>
      </c>
      <c r="AR141" s="130" t="s">
        <v>231</v>
      </c>
      <c r="AS141" s="130">
        <v>1405</v>
      </c>
      <c r="AT141" s="130">
        <v>3</v>
      </c>
      <c r="AU141" s="130">
        <v>1404</v>
      </c>
      <c r="AV141" s="130">
        <v>5</v>
      </c>
      <c r="AW141" s="12">
        <f t="shared" si="4"/>
        <v>10</v>
      </c>
      <c r="AX141" s="12">
        <f t="shared" si="3"/>
        <v>10</v>
      </c>
      <c r="AY141" s="12"/>
      <c r="AZ141" s="481"/>
    </row>
    <row r="142" spans="1:52" ht="30" customHeight="1" x14ac:dyDescent="0.2">
      <c r="A142" s="497">
        <v>140</v>
      </c>
      <c r="B142" s="481">
        <v>1</v>
      </c>
      <c r="C142" s="16">
        <v>3</v>
      </c>
      <c r="D142" s="482" t="s">
        <v>6308</v>
      </c>
      <c r="E142" s="482" t="s">
        <v>5437</v>
      </c>
      <c r="F142" s="482" t="s">
        <v>243</v>
      </c>
      <c r="G142" s="495"/>
      <c r="H142" s="481"/>
      <c r="I142" s="481" t="s">
        <v>7</v>
      </c>
      <c r="J142" s="360" t="s">
        <v>158</v>
      </c>
      <c r="K142" s="482" t="s">
        <v>3439</v>
      </c>
      <c r="L142" s="35" t="s">
        <v>141</v>
      </c>
      <c r="M142" s="35" t="s">
        <v>140</v>
      </c>
      <c r="N142" s="41" t="s">
        <v>6731</v>
      </c>
      <c r="O142" s="13" t="s">
        <v>69</v>
      </c>
      <c r="P142" s="13" t="s">
        <v>70</v>
      </c>
      <c r="Q142" s="13"/>
      <c r="R142" s="481"/>
      <c r="S142" s="481" t="s">
        <v>1478</v>
      </c>
      <c r="T142" s="481">
        <v>6608</v>
      </c>
      <c r="U142" s="482" t="s">
        <v>2348</v>
      </c>
      <c r="V142" s="41" t="s">
        <v>6732</v>
      </c>
      <c r="W142" s="13" t="s">
        <v>106</v>
      </c>
      <c r="X142" s="482" t="s">
        <v>107</v>
      </c>
      <c r="Y142" s="481" t="s">
        <v>4420</v>
      </c>
      <c r="Z142" s="481" t="s">
        <v>5541</v>
      </c>
      <c r="AA142" s="481"/>
      <c r="AB142" s="16">
        <v>138</v>
      </c>
      <c r="AC142" s="16">
        <v>138</v>
      </c>
      <c r="AD142" s="16">
        <v>50</v>
      </c>
      <c r="AE142" s="16">
        <v>92</v>
      </c>
      <c r="AF142" s="16">
        <v>2</v>
      </c>
      <c r="AG142" s="16">
        <v>46</v>
      </c>
      <c r="AH142" s="16">
        <v>140</v>
      </c>
      <c r="AI142" s="16">
        <v>12</v>
      </c>
      <c r="AJ142" s="481">
        <v>6</v>
      </c>
      <c r="AK142" s="482"/>
      <c r="AL142" s="25" t="s">
        <v>6733</v>
      </c>
      <c r="AM142" s="481">
        <v>140</v>
      </c>
      <c r="AN142" s="481">
        <v>12</v>
      </c>
      <c r="AO142" s="481"/>
      <c r="AP142" s="16"/>
      <c r="AQ142" s="16" t="s">
        <v>5080</v>
      </c>
      <c r="AR142" s="130" t="s">
        <v>231</v>
      </c>
      <c r="AS142" s="130">
        <v>1405</v>
      </c>
      <c r="AT142" s="130">
        <v>3</v>
      </c>
      <c r="AU142" s="130"/>
      <c r="AV142" s="130"/>
      <c r="AW142" s="12" t="str">
        <f t="shared" si="4"/>
        <v/>
      </c>
      <c r="AX142" s="12" t="str">
        <f t="shared" si="3"/>
        <v/>
      </c>
      <c r="AY142" s="12"/>
      <c r="AZ142" s="481"/>
    </row>
    <row r="143" spans="1:52" ht="30" customHeight="1" x14ac:dyDescent="0.2">
      <c r="A143" s="497">
        <v>141</v>
      </c>
      <c r="B143" s="481">
        <v>2</v>
      </c>
      <c r="C143" s="16">
        <v>3</v>
      </c>
      <c r="D143" s="482" t="s">
        <v>6308</v>
      </c>
      <c r="E143" s="482" t="s">
        <v>6622</v>
      </c>
      <c r="F143" s="482" t="s">
        <v>6105</v>
      </c>
      <c r="G143" s="495"/>
      <c r="H143" s="481"/>
      <c r="I143" s="481" t="s">
        <v>7</v>
      </c>
      <c r="J143" s="360" t="s">
        <v>158</v>
      </c>
      <c r="K143" s="482" t="s">
        <v>3439</v>
      </c>
      <c r="L143" s="35" t="s">
        <v>68</v>
      </c>
      <c r="M143" s="35" t="s">
        <v>141</v>
      </c>
      <c r="N143" s="41" t="s">
        <v>6729</v>
      </c>
      <c r="O143" s="13" t="s">
        <v>106</v>
      </c>
      <c r="P143" s="13" t="s">
        <v>107</v>
      </c>
      <c r="Q143" s="13"/>
      <c r="R143" s="481"/>
      <c r="S143" s="33" t="s">
        <v>332</v>
      </c>
      <c r="T143" s="33">
        <v>6608</v>
      </c>
      <c r="U143" s="35" t="s">
        <v>2258</v>
      </c>
      <c r="V143" s="41" t="s">
        <v>6730</v>
      </c>
      <c r="W143" s="13" t="s">
        <v>106</v>
      </c>
      <c r="X143" s="482" t="s">
        <v>107</v>
      </c>
      <c r="Y143" s="481"/>
      <c r="Z143" s="481" t="s">
        <v>6658</v>
      </c>
      <c r="AA143" s="481">
        <v>205</v>
      </c>
      <c r="AB143" s="16">
        <v>186</v>
      </c>
      <c r="AC143" s="16">
        <v>186</v>
      </c>
      <c r="AD143" s="16">
        <v>137</v>
      </c>
      <c r="AE143" s="16">
        <v>158</v>
      </c>
      <c r="AF143" s="16">
        <v>1</v>
      </c>
      <c r="AG143" s="16">
        <v>25</v>
      </c>
      <c r="AH143" s="16">
        <v>184</v>
      </c>
      <c r="AI143" s="16">
        <v>8</v>
      </c>
      <c r="AJ143" s="481">
        <v>6</v>
      </c>
      <c r="AK143" s="482"/>
      <c r="AL143" s="25" t="s">
        <v>6728</v>
      </c>
      <c r="AM143" s="481">
        <v>184</v>
      </c>
      <c r="AN143" s="481">
        <v>8</v>
      </c>
      <c r="AO143" s="481"/>
      <c r="AP143" s="16"/>
      <c r="AQ143" s="16" t="s">
        <v>160</v>
      </c>
      <c r="AR143" s="130" t="s">
        <v>112</v>
      </c>
      <c r="AS143" s="130">
        <v>1405</v>
      </c>
      <c r="AT143" s="130">
        <v>3</v>
      </c>
      <c r="AU143" s="130"/>
      <c r="AV143" s="130"/>
      <c r="AW143" s="12" t="str">
        <f t="shared" si="4"/>
        <v/>
      </c>
      <c r="AX143" s="12" t="str">
        <f t="shared" si="3"/>
        <v/>
      </c>
      <c r="AY143" s="12"/>
      <c r="AZ143" s="481"/>
    </row>
    <row r="144" spans="1:52" ht="30" customHeight="1" x14ac:dyDescent="0.2">
      <c r="A144" s="497">
        <v>142</v>
      </c>
      <c r="B144" s="481">
        <v>2</v>
      </c>
      <c r="C144" s="16">
        <v>3</v>
      </c>
      <c r="D144" s="482" t="s">
        <v>6308</v>
      </c>
      <c r="E144" s="482" t="s">
        <v>6623</v>
      </c>
      <c r="F144" s="482" t="s">
        <v>8</v>
      </c>
      <c r="G144" s="495"/>
      <c r="H144" s="481"/>
      <c r="I144" s="481" t="s">
        <v>7</v>
      </c>
      <c r="J144" s="360" t="s">
        <v>158</v>
      </c>
      <c r="K144" s="482" t="s">
        <v>3439</v>
      </c>
      <c r="L144" s="35" t="s">
        <v>104</v>
      </c>
      <c r="M144" s="35" t="s">
        <v>68</v>
      </c>
      <c r="N144" s="41" t="s">
        <v>6726</v>
      </c>
      <c r="O144" s="13" t="s">
        <v>69</v>
      </c>
      <c r="P144" s="13" t="s">
        <v>70</v>
      </c>
      <c r="Q144" s="13"/>
      <c r="R144" s="481"/>
      <c r="S144" s="33" t="s">
        <v>1727</v>
      </c>
      <c r="T144" s="33">
        <v>293</v>
      </c>
      <c r="U144" s="35" t="s">
        <v>144</v>
      </c>
      <c r="V144" s="41" t="s">
        <v>6727</v>
      </c>
      <c r="W144" s="13" t="s">
        <v>106</v>
      </c>
      <c r="X144" s="482" t="s">
        <v>107</v>
      </c>
      <c r="Y144" s="481" t="s">
        <v>5187</v>
      </c>
      <c r="Z144" s="481"/>
      <c r="AA144" s="481">
        <v>243</v>
      </c>
      <c r="AB144" s="16">
        <v>228</v>
      </c>
      <c r="AC144" s="16">
        <v>228</v>
      </c>
      <c r="AD144" s="16">
        <v>98</v>
      </c>
      <c r="AE144" s="16">
        <v>159</v>
      </c>
      <c r="AF144" s="16">
        <v>3</v>
      </c>
      <c r="AG144" s="16">
        <v>60</v>
      </c>
      <c r="AH144" s="16">
        <v>237</v>
      </c>
      <c r="AI144" s="16">
        <v>14</v>
      </c>
      <c r="AJ144" s="481">
        <v>6</v>
      </c>
      <c r="AK144" s="482"/>
      <c r="AL144" s="25" t="s">
        <v>6728</v>
      </c>
      <c r="AM144" s="481">
        <v>237</v>
      </c>
      <c r="AN144" s="481">
        <v>14</v>
      </c>
      <c r="AO144" s="481"/>
      <c r="AP144" s="16"/>
      <c r="AQ144" s="16" t="s">
        <v>160</v>
      </c>
      <c r="AR144" s="130" t="s">
        <v>193</v>
      </c>
      <c r="AS144" s="130">
        <v>1405</v>
      </c>
      <c r="AT144" s="130">
        <v>3</v>
      </c>
      <c r="AU144" s="130"/>
      <c r="AV144" s="130"/>
      <c r="AW144" s="12" t="str">
        <f t="shared" si="4"/>
        <v/>
      </c>
      <c r="AX144" s="12" t="str">
        <f t="shared" si="3"/>
        <v/>
      </c>
      <c r="AY144" s="12"/>
      <c r="AZ144" s="481"/>
    </row>
    <row r="145" spans="1:52" ht="30" customHeight="1" x14ac:dyDescent="0.2">
      <c r="A145" s="497">
        <v>143</v>
      </c>
      <c r="B145" s="481">
        <v>2</v>
      </c>
      <c r="C145" s="16">
        <v>3</v>
      </c>
      <c r="D145" s="482" t="s">
        <v>6308</v>
      </c>
      <c r="E145" s="482" t="s">
        <v>754</v>
      </c>
      <c r="F145" s="482"/>
      <c r="G145" s="495"/>
      <c r="H145" s="481" t="s">
        <v>6671</v>
      </c>
      <c r="I145" s="481" t="s">
        <v>83</v>
      </c>
      <c r="J145" s="360" t="s">
        <v>158</v>
      </c>
      <c r="K145" s="482" t="s">
        <v>3439</v>
      </c>
      <c r="L145" s="482"/>
      <c r="M145" s="482" t="s">
        <v>769</v>
      </c>
      <c r="N145" s="519" t="s">
        <v>3531</v>
      </c>
      <c r="O145" s="519" t="s">
        <v>69</v>
      </c>
      <c r="P145" s="518" t="s">
        <v>70</v>
      </c>
      <c r="Q145" s="13"/>
      <c r="R145" s="481"/>
      <c r="S145" s="481" t="s">
        <v>757</v>
      </c>
      <c r="T145" s="481"/>
      <c r="U145" s="482"/>
      <c r="V145" s="519" t="s">
        <v>3688</v>
      </c>
      <c r="W145" s="13" t="s">
        <v>106</v>
      </c>
      <c r="X145" s="519" t="s">
        <v>107</v>
      </c>
      <c r="Y145" s="481"/>
      <c r="Z145" s="481" t="s">
        <v>3653</v>
      </c>
      <c r="AA145" s="481"/>
      <c r="AB145" s="16">
        <v>74</v>
      </c>
      <c r="AC145" s="16">
        <v>74</v>
      </c>
      <c r="AD145" s="16"/>
      <c r="AE145" s="16"/>
      <c r="AF145" s="16"/>
      <c r="AG145" s="16"/>
      <c r="AH145" s="16"/>
      <c r="AI145" s="16"/>
      <c r="AJ145" s="481">
        <v>4</v>
      </c>
      <c r="AK145" s="482"/>
      <c r="AL145" s="25"/>
      <c r="AM145" s="481"/>
      <c r="AN145" s="481"/>
      <c r="AO145" s="481"/>
      <c r="AP145" s="16"/>
      <c r="AQ145" s="16" t="s">
        <v>160</v>
      </c>
      <c r="AR145" s="130" t="s">
        <v>1956</v>
      </c>
      <c r="AS145" s="130">
        <v>1405</v>
      </c>
      <c r="AT145" s="130">
        <v>3</v>
      </c>
      <c r="AU145" s="130">
        <v>1402</v>
      </c>
      <c r="AV145" s="130">
        <v>5</v>
      </c>
      <c r="AW145" s="12">
        <f t="shared" si="4"/>
        <v>34</v>
      </c>
      <c r="AX145" s="12" t="str">
        <f t="shared" si="3"/>
        <v/>
      </c>
      <c r="AY145" s="12"/>
      <c r="AZ145" s="481"/>
    </row>
    <row r="146" spans="1:52" ht="30" customHeight="1" x14ac:dyDescent="0.2">
      <c r="A146" s="497">
        <v>144</v>
      </c>
      <c r="B146" s="481">
        <v>2</v>
      </c>
      <c r="C146" s="16">
        <v>3</v>
      </c>
      <c r="D146" s="482" t="s">
        <v>6308</v>
      </c>
      <c r="E146" s="482" t="s">
        <v>1501</v>
      </c>
      <c r="F146" s="482" t="s">
        <v>10</v>
      </c>
      <c r="G146" s="495"/>
      <c r="H146" s="481" t="s">
        <v>185</v>
      </c>
      <c r="I146" s="481" t="s">
        <v>83</v>
      </c>
      <c r="J146" s="360" t="s">
        <v>158</v>
      </c>
      <c r="K146" s="482" t="s">
        <v>5577</v>
      </c>
      <c r="L146" s="482"/>
      <c r="M146" s="482" t="s">
        <v>141</v>
      </c>
      <c r="N146" s="41"/>
      <c r="O146" s="13" t="s">
        <v>5170</v>
      </c>
      <c r="P146" s="13" t="s">
        <v>107</v>
      </c>
      <c r="Q146" s="13"/>
      <c r="R146" s="481"/>
      <c r="S146" s="481" t="s">
        <v>991</v>
      </c>
      <c r="T146" s="481"/>
      <c r="U146" s="482"/>
      <c r="V146" s="41"/>
      <c r="W146" s="13" t="s">
        <v>106</v>
      </c>
      <c r="X146" s="519" t="s">
        <v>107</v>
      </c>
      <c r="Y146" s="481"/>
      <c r="Z146" s="481" t="s">
        <v>6364</v>
      </c>
      <c r="AA146" s="481"/>
      <c r="AB146" s="16">
        <v>210</v>
      </c>
      <c r="AC146" s="16">
        <v>210</v>
      </c>
      <c r="AD146" s="16"/>
      <c r="AE146" s="16"/>
      <c r="AF146" s="16"/>
      <c r="AG146" s="16"/>
      <c r="AH146" s="16"/>
      <c r="AI146" s="16"/>
      <c r="AJ146" s="481">
        <v>4</v>
      </c>
      <c r="AK146" s="482"/>
      <c r="AL146" s="25"/>
      <c r="AM146" s="481"/>
      <c r="AN146" s="481"/>
      <c r="AO146" s="481"/>
      <c r="AP146" s="16"/>
      <c r="AQ146" s="16" t="s">
        <v>160</v>
      </c>
      <c r="AR146" s="130" t="s">
        <v>161</v>
      </c>
      <c r="AS146" s="130">
        <v>1405</v>
      </c>
      <c r="AT146" s="130">
        <v>3</v>
      </c>
      <c r="AU146" s="130">
        <v>1404</v>
      </c>
      <c r="AV146" s="130">
        <v>12</v>
      </c>
      <c r="AW146" s="12">
        <f t="shared" si="4"/>
        <v>3</v>
      </c>
      <c r="AX146" s="12">
        <f t="shared" si="3"/>
        <v>3</v>
      </c>
      <c r="AY146" s="12"/>
      <c r="AZ146" s="481"/>
    </row>
    <row r="147" spans="1:52" ht="30" customHeight="1" x14ac:dyDescent="0.2">
      <c r="A147" s="497">
        <v>145</v>
      </c>
      <c r="B147" s="481">
        <v>3</v>
      </c>
      <c r="C147" s="16">
        <v>3</v>
      </c>
      <c r="D147" s="482" t="s">
        <v>6308</v>
      </c>
      <c r="E147" s="482" t="s">
        <v>6668</v>
      </c>
      <c r="F147" s="482" t="s">
        <v>20</v>
      </c>
      <c r="G147" s="495"/>
      <c r="H147" s="481" t="s">
        <v>4038</v>
      </c>
      <c r="I147" s="481" t="s">
        <v>83</v>
      </c>
      <c r="J147" s="360" t="s">
        <v>158</v>
      </c>
      <c r="K147" s="482" t="s">
        <v>5577</v>
      </c>
      <c r="L147" s="482"/>
      <c r="M147" s="482" t="s">
        <v>769</v>
      </c>
      <c r="N147" s="41"/>
      <c r="O147" s="13" t="s">
        <v>5170</v>
      </c>
      <c r="P147" s="13" t="s">
        <v>107</v>
      </c>
      <c r="Q147" s="13"/>
      <c r="R147" s="481"/>
      <c r="S147" s="481" t="s">
        <v>757</v>
      </c>
      <c r="T147" s="481"/>
      <c r="U147" s="482"/>
      <c r="V147" s="41"/>
      <c r="W147" s="13" t="s">
        <v>106</v>
      </c>
      <c r="X147" s="519" t="s">
        <v>107</v>
      </c>
      <c r="Y147" s="481"/>
      <c r="Z147" s="481" t="s">
        <v>6725</v>
      </c>
      <c r="AA147" s="481">
        <v>120</v>
      </c>
      <c r="AB147" s="16">
        <v>96</v>
      </c>
      <c r="AC147" s="16">
        <v>96</v>
      </c>
      <c r="AD147" s="16"/>
      <c r="AE147" s="16"/>
      <c r="AF147" s="16"/>
      <c r="AG147" s="16"/>
      <c r="AH147" s="16"/>
      <c r="AI147" s="16"/>
      <c r="AJ147" s="481">
        <v>4</v>
      </c>
      <c r="AK147" s="482"/>
      <c r="AL147" s="25"/>
      <c r="AM147" s="481"/>
      <c r="AN147" s="481"/>
      <c r="AO147" s="481"/>
      <c r="AP147" s="16"/>
      <c r="AQ147" s="16"/>
      <c r="AR147" s="130"/>
      <c r="AS147" s="130">
        <v>1405</v>
      </c>
      <c r="AT147" s="130">
        <v>3</v>
      </c>
      <c r="AU147" s="130">
        <v>1388</v>
      </c>
      <c r="AV147" s="130">
        <v>3</v>
      </c>
      <c r="AW147" s="12">
        <f t="shared" si="4"/>
        <v>204</v>
      </c>
      <c r="AX147" s="12" t="str">
        <f t="shared" ref="AX147:AX210" si="5">IF(AW147&lt;13,AW147,"")</f>
        <v/>
      </c>
      <c r="AY147" s="12"/>
      <c r="AZ147" s="481"/>
    </row>
    <row r="148" spans="1:52" ht="30" customHeight="1" x14ac:dyDescent="0.2">
      <c r="A148" s="497">
        <v>146</v>
      </c>
      <c r="B148" s="481">
        <v>3</v>
      </c>
      <c r="C148" s="16">
        <v>3</v>
      </c>
      <c r="D148" s="482" t="s">
        <v>6308</v>
      </c>
      <c r="E148" s="482" t="s">
        <v>2341</v>
      </c>
      <c r="F148" s="482" t="s">
        <v>6</v>
      </c>
      <c r="G148" s="495"/>
      <c r="H148" s="481" t="s">
        <v>313</v>
      </c>
      <c r="I148" s="481" t="s">
        <v>83</v>
      </c>
      <c r="J148" s="360" t="s">
        <v>158</v>
      </c>
      <c r="K148" s="482" t="s">
        <v>3439</v>
      </c>
      <c r="L148" s="482"/>
      <c r="M148" s="482" t="s">
        <v>104</v>
      </c>
      <c r="N148" s="41"/>
      <c r="O148" s="13" t="s">
        <v>5170</v>
      </c>
      <c r="P148" s="13" t="s">
        <v>107</v>
      </c>
      <c r="Q148" s="13"/>
      <c r="R148" s="481"/>
      <c r="S148" s="481" t="s">
        <v>2585</v>
      </c>
      <c r="T148" s="481"/>
      <c r="U148" s="482"/>
      <c r="V148" s="41"/>
      <c r="W148" s="13" t="s">
        <v>106</v>
      </c>
      <c r="X148" s="519" t="s">
        <v>107</v>
      </c>
      <c r="Y148" s="481"/>
      <c r="Z148" s="481" t="s">
        <v>6724</v>
      </c>
      <c r="AA148" s="481">
        <v>250</v>
      </c>
      <c r="AB148" s="16">
        <v>228</v>
      </c>
      <c r="AC148" s="16">
        <v>228</v>
      </c>
      <c r="AD148" s="16"/>
      <c r="AE148" s="16"/>
      <c r="AF148" s="16"/>
      <c r="AG148" s="16"/>
      <c r="AH148" s="16"/>
      <c r="AI148" s="16"/>
      <c r="AJ148" s="481">
        <v>6</v>
      </c>
      <c r="AK148" s="482"/>
      <c r="AL148" s="25"/>
      <c r="AM148" s="481"/>
      <c r="AN148" s="481"/>
      <c r="AO148" s="481"/>
      <c r="AP148" s="16"/>
      <c r="AQ148" s="16"/>
      <c r="AR148" s="130"/>
      <c r="AS148" s="130">
        <v>1405</v>
      </c>
      <c r="AT148" s="130">
        <v>3</v>
      </c>
      <c r="AU148" s="130">
        <v>1400</v>
      </c>
      <c r="AV148" s="130">
        <v>10</v>
      </c>
      <c r="AW148" s="12">
        <f t="shared" si="4"/>
        <v>53</v>
      </c>
      <c r="AX148" s="12" t="str">
        <f t="shared" si="5"/>
        <v/>
      </c>
      <c r="AY148" s="12"/>
      <c r="AZ148" s="481"/>
    </row>
    <row r="149" spans="1:52" ht="30" customHeight="1" x14ac:dyDescent="0.2">
      <c r="A149" s="497">
        <v>147</v>
      </c>
      <c r="B149" s="481">
        <v>3</v>
      </c>
      <c r="C149" s="16">
        <v>3</v>
      </c>
      <c r="D149" s="482" t="s">
        <v>6308</v>
      </c>
      <c r="E149" s="482" t="s">
        <v>285</v>
      </c>
      <c r="F149" s="482" t="s">
        <v>6</v>
      </c>
      <c r="G149" s="495"/>
      <c r="H149" s="481" t="s">
        <v>313</v>
      </c>
      <c r="I149" s="481" t="s">
        <v>83</v>
      </c>
      <c r="J149" s="360" t="s">
        <v>158</v>
      </c>
      <c r="K149" s="482" t="s">
        <v>3439</v>
      </c>
      <c r="L149" s="482"/>
      <c r="M149" s="482" t="s">
        <v>117</v>
      </c>
      <c r="N149" s="41"/>
      <c r="O149" s="13" t="s">
        <v>5170</v>
      </c>
      <c r="P149" s="13" t="s">
        <v>107</v>
      </c>
      <c r="Q149" s="13"/>
      <c r="R149" s="481"/>
      <c r="S149" s="481" t="s">
        <v>306</v>
      </c>
      <c r="T149" s="481"/>
      <c r="U149" s="482"/>
      <c r="V149" s="41"/>
      <c r="W149" s="13" t="s">
        <v>106</v>
      </c>
      <c r="X149" s="519" t="s">
        <v>107</v>
      </c>
      <c r="Y149" s="481"/>
      <c r="Z149" s="481" t="s">
        <v>6723</v>
      </c>
      <c r="AA149" s="481">
        <v>224</v>
      </c>
      <c r="AB149" s="16">
        <v>213</v>
      </c>
      <c r="AC149" s="16">
        <v>213</v>
      </c>
      <c r="AD149" s="16"/>
      <c r="AE149" s="16"/>
      <c r="AF149" s="16"/>
      <c r="AG149" s="16"/>
      <c r="AH149" s="16"/>
      <c r="AI149" s="16"/>
      <c r="AJ149" s="481">
        <v>6</v>
      </c>
      <c r="AK149" s="482"/>
      <c r="AL149" s="25"/>
      <c r="AM149" s="481"/>
      <c r="AN149" s="481"/>
      <c r="AO149" s="481"/>
      <c r="AP149" s="16"/>
      <c r="AQ149" s="16" t="s">
        <v>5080</v>
      </c>
      <c r="AR149" s="130" t="s">
        <v>112</v>
      </c>
      <c r="AS149" s="130">
        <v>1405</v>
      </c>
      <c r="AT149" s="130">
        <v>3</v>
      </c>
      <c r="AU149" s="130">
        <v>1404</v>
      </c>
      <c r="AV149" s="130">
        <v>4</v>
      </c>
      <c r="AW149" s="12">
        <f t="shared" si="4"/>
        <v>11</v>
      </c>
      <c r="AX149" s="12">
        <f t="shared" si="5"/>
        <v>11</v>
      </c>
      <c r="AY149" s="12"/>
      <c r="AZ149" s="481"/>
    </row>
    <row r="150" spans="1:52" ht="30" customHeight="1" x14ac:dyDescent="0.2">
      <c r="A150" s="497">
        <v>148</v>
      </c>
      <c r="B150" s="481">
        <v>4</v>
      </c>
      <c r="C150" s="16">
        <v>3</v>
      </c>
      <c r="D150" s="507" t="s">
        <v>6308</v>
      </c>
      <c r="E150" s="482" t="s">
        <v>597</v>
      </c>
      <c r="F150" s="482" t="s">
        <v>6</v>
      </c>
      <c r="G150" s="495"/>
      <c r="H150" s="481" t="s">
        <v>504</v>
      </c>
      <c r="I150" s="481" t="s">
        <v>83</v>
      </c>
      <c r="J150" s="360" t="s">
        <v>158</v>
      </c>
      <c r="K150" s="482" t="s">
        <v>5577</v>
      </c>
      <c r="L150" s="482"/>
      <c r="M150" s="482" t="s">
        <v>218</v>
      </c>
      <c r="N150" s="41"/>
      <c r="O150" s="13" t="s">
        <v>5170</v>
      </c>
      <c r="P150" s="13" t="s">
        <v>107</v>
      </c>
      <c r="Q150" s="13"/>
      <c r="R150" s="481"/>
      <c r="S150" s="481" t="s">
        <v>167</v>
      </c>
      <c r="T150" s="481"/>
      <c r="U150" s="482"/>
      <c r="V150" s="41"/>
      <c r="W150" s="13" t="s">
        <v>106</v>
      </c>
      <c r="X150" s="519" t="s">
        <v>107</v>
      </c>
      <c r="Y150" s="481"/>
      <c r="Z150" s="481" t="s">
        <v>6722</v>
      </c>
      <c r="AA150" s="481"/>
      <c r="AB150" s="16">
        <v>222</v>
      </c>
      <c r="AC150" s="16">
        <v>222</v>
      </c>
      <c r="AD150" s="16"/>
      <c r="AE150" s="16"/>
      <c r="AF150" s="16"/>
      <c r="AG150" s="16"/>
      <c r="AH150" s="16"/>
      <c r="AI150" s="16"/>
      <c r="AJ150" s="481">
        <v>6</v>
      </c>
      <c r="AK150" s="482"/>
      <c r="AL150" s="25"/>
      <c r="AM150" s="481"/>
      <c r="AN150" s="481"/>
      <c r="AO150" s="481"/>
      <c r="AP150" s="16"/>
      <c r="AQ150" s="16" t="s">
        <v>160</v>
      </c>
      <c r="AR150" s="130" t="s">
        <v>165</v>
      </c>
      <c r="AS150" s="130">
        <v>1405</v>
      </c>
      <c r="AT150" s="130">
        <v>3</v>
      </c>
      <c r="AU150" s="130">
        <v>1402</v>
      </c>
      <c r="AV150" s="130">
        <v>5</v>
      </c>
      <c r="AW150" s="12">
        <f t="shared" si="4"/>
        <v>34</v>
      </c>
      <c r="AX150" s="12" t="str">
        <f t="shared" si="5"/>
        <v/>
      </c>
      <c r="AY150" s="12"/>
      <c r="AZ150" s="481"/>
    </row>
    <row r="151" spans="1:52" ht="30" customHeight="1" x14ac:dyDescent="0.2">
      <c r="A151" s="497">
        <v>149</v>
      </c>
      <c r="B151" s="481">
        <v>4</v>
      </c>
      <c r="C151" s="16">
        <v>3</v>
      </c>
      <c r="D151" s="507" t="s">
        <v>6308</v>
      </c>
      <c r="E151" s="482" t="s">
        <v>6503</v>
      </c>
      <c r="F151" s="482" t="s">
        <v>20</v>
      </c>
      <c r="G151" s="495"/>
      <c r="H151" s="481" t="s">
        <v>4038</v>
      </c>
      <c r="I151" s="481" t="s">
        <v>83</v>
      </c>
      <c r="J151" s="360" t="s">
        <v>158</v>
      </c>
      <c r="K151" s="482" t="s">
        <v>3439</v>
      </c>
      <c r="L151" s="482"/>
      <c r="M151" s="482" t="s">
        <v>155</v>
      </c>
      <c r="N151" s="41" t="s">
        <v>6644</v>
      </c>
      <c r="O151" s="13" t="s">
        <v>69</v>
      </c>
      <c r="P151" s="13" t="s">
        <v>70</v>
      </c>
      <c r="Q151" s="13"/>
      <c r="R151" s="481"/>
      <c r="S151" s="481" t="s">
        <v>167</v>
      </c>
      <c r="T151" s="481"/>
      <c r="U151" s="482"/>
      <c r="V151" s="41" t="s">
        <v>6645</v>
      </c>
      <c r="W151" s="13" t="s">
        <v>106</v>
      </c>
      <c r="X151" s="512" t="s">
        <v>107</v>
      </c>
      <c r="Y151" s="481" t="s">
        <v>4420</v>
      </c>
      <c r="Z151" s="481" t="s">
        <v>6698</v>
      </c>
      <c r="AA151" s="481">
        <v>219</v>
      </c>
      <c r="AB151" s="16">
        <v>210</v>
      </c>
      <c r="AC151" s="16">
        <v>210</v>
      </c>
      <c r="AD151" s="16"/>
      <c r="AE151" s="16"/>
      <c r="AF151" s="16"/>
      <c r="AG151" s="16"/>
      <c r="AH151" s="16"/>
      <c r="AI151" s="16"/>
      <c r="AJ151" s="481">
        <v>6</v>
      </c>
      <c r="AK151" s="482"/>
      <c r="AL151" s="25"/>
      <c r="AM151" s="481"/>
      <c r="AN151" s="481"/>
      <c r="AO151" s="481"/>
      <c r="AP151" s="16"/>
      <c r="AQ151" s="16" t="s">
        <v>160</v>
      </c>
      <c r="AR151" s="130" t="s">
        <v>193</v>
      </c>
      <c r="AS151" s="130">
        <v>1405</v>
      </c>
      <c r="AT151" s="130">
        <v>3</v>
      </c>
      <c r="AU151" s="130">
        <v>1405</v>
      </c>
      <c r="AV151" s="130">
        <v>3</v>
      </c>
      <c r="AW151" s="12">
        <f t="shared" si="4"/>
        <v>0</v>
      </c>
      <c r="AX151" s="12">
        <f t="shared" si="5"/>
        <v>0</v>
      </c>
      <c r="AY151" s="12"/>
      <c r="AZ151" s="481"/>
    </row>
    <row r="152" spans="1:52" ht="30" customHeight="1" x14ac:dyDescent="0.2">
      <c r="A152" s="497">
        <v>150</v>
      </c>
      <c r="B152" s="481">
        <v>4</v>
      </c>
      <c r="C152" s="16">
        <v>3</v>
      </c>
      <c r="D152" s="507" t="s">
        <v>6308</v>
      </c>
      <c r="E152" s="482" t="s">
        <v>1641</v>
      </c>
      <c r="F152" s="482" t="s">
        <v>20</v>
      </c>
      <c r="G152" s="495"/>
      <c r="H152" s="481" t="s">
        <v>922</v>
      </c>
      <c r="I152" s="481" t="s">
        <v>83</v>
      </c>
      <c r="J152" s="360" t="s">
        <v>158</v>
      </c>
      <c r="K152" s="482" t="s">
        <v>3439</v>
      </c>
      <c r="L152" s="482"/>
      <c r="M152" s="482" t="s">
        <v>140</v>
      </c>
      <c r="N152" s="41"/>
      <c r="O152" s="13" t="s">
        <v>5170</v>
      </c>
      <c r="P152" s="13" t="s">
        <v>107</v>
      </c>
      <c r="Q152" s="13"/>
      <c r="R152" s="481"/>
      <c r="S152" s="481" t="s">
        <v>1478</v>
      </c>
      <c r="T152" s="481"/>
      <c r="U152" s="482"/>
      <c r="V152" s="41"/>
      <c r="W152" s="13" t="s">
        <v>106</v>
      </c>
      <c r="X152" s="519" t="s">
        <v>107</v>
      </c>
      <c r="Y152" s="481"/>
      <c r="Z152" s="481" t="s">
        <v>6683</v>
      </c>
      <c r="AA152" s="481"/>
      <c r="AB152" s="16">
        <v>144</v>
      </c>
      <c r="AC152" s="16">
        <v>144</v>
      </c>
      <c r="AD152" s="16"/>
      <c r="AE152" s="16"/>
      <c r="AF152" s="16"/>
      <c r="AG152" s="16"/>
      <c r="AH152" s="16"/>
      <c r="AI152" s="16"/>
      <c r="AJ152" s="481">
        <v>4</v>
      </c>
      <c r="AK152" s="482"/>
      <c r="AL152" s="25"/>
      <c r="AM152" s="481"/>
      <c r="AN152" s="481"/>
      <c r="AO152" s="481"/>
      <c r="AP152" s="16"/>
      <c r="AQ152" s="16"/>
      <c r="AR152" s="130"/>
      <c r="AS152" s="130">
        <v>1405</v>
      </c>
      <c r="AT152" s="130">
        <v>3</v>
      </c>
      <c r="AU152" s="130">
        <v>1402</v>
      </c>
      <c r="AV152" s="130">
        <v>4</v>
      </c>
      <c r="AW152" s="12">
        <f t="shared" si="4"/>
        <v>35</v>
      </c>
      <c r="AX152" s="12" t="str">
        <f t="shared" si="5"/>
        <v/>
      </c>
      <c r="AY152" s="12"/>
      <c r="AZ152" s="481"/>
    </row>
    <row r="153" spans="1:52" ht="30" customHeight="1" x14ac:dyDescent="0.2">
      <c r="A153" s="497">
        <v>151</v>
      </c>
      <c r="B153" s="481">
        <v>5</v>
      </c>
      <c r="C153" s="16">
        <v>3</v>
      </c>
      <c r="D153" s="482" t="s">
        <v>6308</v>
      </c>
      <c r="E153" s="482" t="s">
        <v>4210</v>
      </c>
      <c r="F153" s="482" t="s">
        <v>20</v>
      </c>
      <c r="G153" s="495"/>
      <c r="H153" s="481" t="s">
        <v>4038</v>
      </c>
      <c r="I153" s="506" t="s">
        <v>83</v>
      </c>
      <c r="J153" s="360" t="s">
        <v>158</v>
      </c>
      <c r="K153" s="482" t="s">
        <v>3439</v>
      </c>
      <c r="L153" s="482"/>
      <c r="M153" s="482" t="s">
        <v>141</v>
      </c>
      <c r="N153" s="41"/>
      <c r="O153" s="13" t="s">
        <v>5170</v>
      </c>
      <c r="P153" s="13" t="s">
        <v>107</v>
      </c>
      <c r="Q153" s="13"/>
      <c r="R153" s="481"/>
      <c r="S153" s="481" t="s">
        <v>1051</v>
      </c>
      <c r="T153" s="481"/>
      <c r="U153" s="482"/>
      <c r="V153" s="41"/>
      <c r="W153" s="13" t="s">
        <v>106</v>
      </c>
      <c r="X153" s="519" t="s">
        <v>107</v>
      </c>
      <c r="Y153" s="481"/>
      <c r="Z153" s="481" t="s">
        <v>6721</v>
      </c>
      <c r="AA153" s="481">
        <v>202</v>
      </c>
      <c r="AB153" s="16">
        <v>186</v>
      </c>
      <c r="AC153" s="16">
        <v>186</v>
      </c>
      <c r="AD153" s="16"/>
      <c r="AE153" s="16"/>
      <c r="AF153" s="16"/>
      <c r="AG153" s="16"/>
      <c r="AH153" s="16"/>
      <c r="AI153" s="16" t="s">
        <v>3714</v>
      </c>
      <c r="AJ153" s="481">
        <v>6</v>
      </c>
      <c r="AK153" s="482"/>
      <c r="AL153" s="25"/>
      <c r="AM153" s="481"/>
      <c r="AN153" s="481"/>
      <c r="AO153" s="481"/>
      <c r="AP153" s="16"/>
      <c r="AQ153" s="16" t="s">
        <v>5080</v>
      </c>
      <c r="AR153" s="130" t="s">
        <v>161</v>
      </c>
      <c r="AS153" s="130">
        <v>1405</v>
      </c>
      <c r="AT153" s="130">
        <v>3</v>
      </c>
      <c r="AU153" s="130">
        <v>1403</v>
      </c>
      <c r="AV153" s="130">
        <v>8</v>
      </c>
      <c r="AW153" s="12">
        <f t="shared" si="4"/>
        <v>19</v>
      </c>
      <c r="AX153" s="12" t="str">
        <f t="shared" si="5"/>
        <v/>
      </c>
      <c r="AY153" s="12"/>
      <c r="AZ153" s="481"/>
    </row>
    <row r="154" spans="1:52" ht="30" customHeight="1" x14ac:dyDescent="0.2">
      <c r="A154" s="497">
        <v>152</v>
      </c>
      <c r="B154" s="506">
        <v>5</v>
      </c>
      <c r="C154" s="16">
        <v>3</v>
      </c>
      <c r="D154" s="507" t="s">
        <v>6308</v>
      </c>
      <c r="E154" s="482" t="s">
        <v>2640</v>
      </c>
      <c r="F154" s="482" t="s">
        <v>10</v>
      </c>
      <c r="G154" s="495"/>
      <c r="H154" s="481" t="s">
        <v>4038</v>
      </c>
      <c r="I154" s="506" t="s">
        <v>83</v>
      </c>
      <c r="J154" s="360" t="s">
        <v>158</v>
      </c>
      <c r="K154" s="482" t="s">
        <v>3439</v>
      </c>
      <c r="L154" s="482"/>
      <c r="M154" s="482" t="s">
        <v>68</v>
      </c>
      <c r="N154" s="41"/>
      <c r="O154" s="13" t="s">
        <v>5170</v>
      </c>
      <c r="P154" s="13" t="s">
        <v>107</v>
      </c>
      <c r="Q154" s="13"/>
      <c r="R154" s="481"/>
      <c r="S154" s="481" t="s">
        <v>2959</v>
      </c>
      <c r="T154" s="481"/>
      <c r="U154" s="482"/>
      <c r="V154" s="41"/>
      <c r="W154" s="13" t="s">
        <v>106</v>
      </c>
      <c r="X154" s="482" t="s">
        <v>107</v>
      </c>
      <c r="Y154" s="481"/>
      <c r="Z154" s="481" t="s">
        <v>6720</v>
      </c>
      <c r="AA154" s="481">
        <v>231</v>
      </c>
      <c r="AB154" s="16">
        <v>213</v>
      </c>
      <c r="AC154" s="16">
        <v>213</v>
      </c>
      <c r="AD154" s="16"/>
      <c r="AE154" s="16"/>
      <c r="AF154" s="16"/>
      <c r="AG154" s="16"/>
      <c r="AH154" s="16"/>
      <c r="AI154" s="16"/>
      <c r="AJ154" s="481">
        <v>6</v>
      </c>
      <c r="AK154" s="482"/>
      <c r="AL154" s="25"/>
      <c r="AM154" s="481"/>
      <c r="AN154" s="481"/>
      <c r="AO154" s="481"/>
      <c r="AP154" s="16"/>
      <c r="AQ154" s="16" t="s">
        <v>160</v>
      </c>
      <c r="AR154" s="130" t="s">
        <v>193</v>
      </c>
      <c r="AS154" s="130">
        <v>1405</v>
      </c>
      <c r="AT154" s="130">
        <v>3</v>
      </c>
      <c r="AU154" s="130">
        <v>1401</v>
      </c>
      <c r="AV154" s="130">
        <v>12</v>
      </c>
      <c r="AW154" s="12">
        <f t="shared" si="4"/>
        <v>39</v>
      </c>
      <c r="AX154" s="12" t="str">
        <f t="shared" si="5"/>
        <v/>
      </c>
      <c r="AY154" s="12"/>
      <c r="AZ154" s="481"/>
    </row>
    <row r="155" spans="1:52" ht="30" customHeight="1" x14ac:dyDescent="0.2">
      <c r="A155" s="497">
        <v>153</v>
      </c>
      <c r="B155" s="506">
        <v>5</v>
      </c>
      <c r="C155" s="16">
        <v>3</v>
      </c>
      <c r="D155" s="507" t="s">
        <v>6308</v>
      </c>
      <c r="E155" s="482" t="s">
        <v>5085</v>
      </c>
      <c r="F155" s="482" t="s">
        <v>20</v>
      </c>
      <c r="G155" s="495"/>
      <c r="H155" s="481"/>
      <c r="I155" s="481" t="s">
        <v>7</v>
      </c>
      <c r="J155" s="360" t="s">
        <v>158</v>
      </c>
      <c r="K155" s="482" t="s">
        <v>3439</v>
      </c>
      <c r="L155" s="35" t="s">
        <v>334</v>
      </c>
      <c r="M155" s="35" t="s">
        <v>223</v>
      </c>
      <c r="N155" s="41" t="s">
        <v>6717</v>
      </c>
      <c r="O155" s="13" t="s">
        <v>5170</v>
      </c>
      <c r="P155" s="13" t="s">
        <v>107</v>
      </c>
      <c r="Q155" s="13"/>
      <c r="R155" s="481"/>
      <c r="S155" s="33" t="s">
        <v>1013</v>
      </c>
      <c r="T155" s="33">
        <v>233</v>
      </c>
      <c r="U155" s="35" t="s">
        <v>2258</v>
      </c>
      <c r="V155" s="41" t="s">
        <v>6718</v>
      </c>
      <c r="W155" s="13" t="s">
        <v>142</v>
      </c>
      <c r="X155" s="482" t="s">
        <v>70</v>
      </c>
      <c r="Y155" s="481"/>
      <c r="Z155" s="481" t="s">
        <v>6719</v>
      </c>
      <c r="AA155" s="481">
        <v>140</v>
      </c>
      <c r="AB155" s="16">
        <v>132</v>
      </c>
      <c r="AC155" s="16">
        <v>132</v>
      </c>
      <c r="AD155" s="16">
        <v>83</v>
      </c>
      <c r="AE155" s="16">
        <v>103</v>
      </c>
      <c r="AF155" s="16">
        <v>3</v>
      </c>
      <c r="AG155" s="16">
        <v>39</v>
      </c>
      <c r="AH155" s="16">
        <v>145</v>
      </c>
      <c r="AI155" s="16">
        <v>6</v>
      </c>
      <c r="AJ155" s="481">
        <v>4</v>
      </c>
      <c r="AK155" s="482"/>
      <c r="AL155" s="25" t="s">
        <v>6715</v>
      </c>
      <c r="AM155" s="481">
        <v>145</v>
      </c>
      <c r="AN155" s="481">
        <v>6</v>
      </c>
      <c r="AO155" s="481"/>
      <c r="AP155" s="16"/>
      <c r="AQ155" s="16" t="s">
        <v>5080</v>
      </c>
      <c r="AR155" s="130" t="s">
        <v>112</v>
      </c>
      <c r="AS155" s="130">
        <v>1405</v>
      </c>
      <c r="AT155" s="130">
        <v>3</v>
      </c>
      <c r="AU155" s="130"/>
      <c r="AV155" s="130"/>
      <c r="AW155" s="12" t="str">
        <f t="shared" si="4"/>
        <v/>
      </c>
      <c r="AX155" s="12" t="str">
        <f t="shared" si="5"/>
        <v/>
      </c>
      <c r="AY155" s="12"/>
      <c r="AZ155" s="481"/>
    </row>
    <row r="156" spans="1:52" ht="30" customHeight="1" x14ac:dyDescent="0.2">
      <c r="A156" s="497">
        <v>154</v>
      </c>
      <c r="B156" s="506">
        <v>5</v>
      </c>
      <c r="C156" s="16">
        <v>3</v>
      </c>
      <c r="D156" s="507" t="s">
        <v>6308</v>
      </c>
      <c r="E156" s="482" t="s">
        <v>754</v>
      </c>
      <c r="F156" s="482"/>
      <c r="G156" s="495"/>
      <c r="H156" s="481"/>
      <c r="I156" s="481" t="s">
        <v>7</v>
      </c>
      <c r="J156" s="360" t="s">
        <v>158</v>
      </c>
      <c r="K156" s="482" t="s">
        <v>3439</v>
      </c>
      <c r="L156" s="41" t="s">
        <v>769</v>
      </c>
      <c r="M156" s="41" t="s">
        <v>769</v>
      </c>
      <c r="N156" s="519" t="s">
        <v>3531</v>
      </c>
      <c r="O156" s="519" t="s">
        <v>6712</v>
      </c>
      <c r="P156" s="518" t="s">
        <v>369</v>
      </c>
      <c r="Q156" s="13"/>
      <c r="R156" s="481"/>
      <c r="S156" s="481" t="s">
        <v>757</v>
      </c>
      <c r="T156" s="481">
        <v>233</v>
      </c>
      <c r="U156" s="482" t="s">
        <v>485</v>
      </c>
      <c r="V156" s="519" t="s">
        <v>6713</v>
      </c>
      <c r="W156" s="519" t="s">
        <v>142</v>
      </c>
      <c r="X156" s="519" t="s">
        <v>70</v>
      </c>
      <c r="Y156" s="481"/>
      <c r="Z156" s="481" t="s">
        <v>6714</v>
      </c>
      <c r="AA156" s="481"/>
      <c r="AB156" s="16">
        <v>74</v>
      </c>
      <c r="AC156" s="16">
        <v>74</v>
      </c>
      <c r="AD156" s="16"/>
      <c r="AE156" s="16"/>
      <c r="AF156" s="16"/>
      <c r="AG156" s="16"/>
      <c r="AH156" s="16"/>
      <c r="AI156" s="16"/>
      <c r="AJ156" s="481">
        <v>4</v>
      </c>
      <c r="AK156" s="482"/>
      <c r="AL156" s="25" t="s">
        <v>6715</v>
      </c>
      <c r="AM156" s="481">
        <v>113</v>
      </c>
      <c r="AN156" s="481">
        <v>6.9</v>
      </c>
      <c r="AO156" s="481"/>
      <c r="AP156" s="16"/>
      <c r="AQ156" s="16"/>
      <c r="AR156" s="130"/>
      <c r="AS156" s="130">
        <v>1405</v>
      </c>
      <c r="AT156" s="130">
        <v>3</v>
      </c>
      <c r="AU156" s="130"/>
      <c r="AV156" s="130"/>
      <c r="AW156" s="12" t="str">
        <f t="shared" si="4"/>
        <v/>
      </c>
      <c r="AX156" s="12" t="str">
        <f t="shared" si="5"/>
        <v/>
      </c>
      <c r="AY156" s="12"/>
      <c r="AZ156" s="20" t="s">
        <v>6716</v>
      </c>
    </row>
    <row r="157" spans="1:52" ht="30" customHeight="1" x14ac:dyDescent="0.2">
      <c r="A157" s="497">
        <v>155</v>
      </c>
      <c r="B157" s="481">
        <v>6</v>
      </c>
      <c r="C157" s="16">
        <v>3</v>
      </c>
      <c r="D157" s="482" t="s">
        <v>6308</v>
      </c>
      <c r="E157" s="482" t="s">
        <v>4967</v>
      </c>
      <c r="F157" s="482" t="s">
        <v>6105</v>
      </c>
      <c r="G157" s="495"/>
      <c r="H157" s="481" t="s">
        <v>6671</v>
      </c>
      <c r="I157" s="481" t="s">
        <v>83</v>
      </c>
      <c r="J157" s="360" t="s">
        <v>158</v>
      </c>
      <c r="K157" s="482" t="s">
        <v>3439</v>
      </c>
      <c r="L157" s="482"/>
      <c r="M157" s="482" t="s">
        <v>2258</v>
      </c>
      <c r="N157" s="516" t="s">
        <v>5528</v>
      </c>
      <c r="O157" s="41" t="s">
        <v>4856</v>
      </c>
      <c r="P157" s="13" t="s">
        <v>107</v>
      </c>
      <c r="Q157" s="13"/>
      <c r="R157" s="481"/>
      <c r="S157" s="481" t="s">
        <v>2800</v>
      </c>
      <c r="T157" s="481"/>
      <c r="U157" s="482"/>
      <c r="V157" s="516" t="s">
        <v>5529</v>
      </c>
      <c r="W157" s="41" t="s">
        <v>106</v>
      </c>
      <c r="X157" s="13" t="s">
        <v>107</v>
      </c>
      <c r="Y157" s="481"/>
      <c r="Z157" s="522" t="s">
        <v>5535</v>
      </c>
      <c r="AA157" s="481">
        <v>152</v>
      </c>
      <c r="AB157" s="16">
        <v>141</v>
      </c>
      <c r="AC157" s="16">
        <v>141</v>
      </c>
      <c r="AD157" s="16"/>
      <c r="AE157" s="16"/>
      <c r="AF157" s="16"/>
      <c r="AG157" s="16"/>
      <c r="AH157" s="16"/>
      <c r="AI157" s="16"/>
      <c r="AJ157" s="481">
        <v>4</v>
      </c>
      <c r="AK157" s="482"/>
      <c r="AL157" s="25"/>
      <c r="AM157" s="481"/>
      <c r="AN157" s="481"/>
      <c r="AO157" s="481"/>
      <c r="AP157" s="16"/>
      <c r="AQ157" s="16" t="s">
        <v>5080</v>
      </c>
      <c r="AR157" s="130" t="s">
        <v>228</v>
      </c>
      <c r="AS157" s="130">
        <v>1405</v>
      </c>
      <c r="AT157" s="130">
        <v>3</v>
      </c>
      <c r="AU157" s="130">
        <v>1404</v>
      </c>
      <c r="AV157" s="130">
        <v>6</v>
      </c>
      <c r="AW157" s="12">
        <f t="shared" si="4"/>
        <v>9</v>
      </c>
      <c r="AX157" s="12">
        <f t="shared" si="5"/>
        <v>9</v>
      </c>
      <c r="AY157" s="12"/>
      <c r="AZ157" s="481"/>
    </row>
    <row r="158" spans="1:52" ht="30" customHeight="1" x14ac:dyDescent="0.2">
      <c r="A158" s="497">
        <v>156</v>
      </c>
      <c r="B158" s="481">
        <v>6</v>
      </c>
      <c r="C158" s="16">
        <v>3</v>
      </c>
      <c r="D158" s="482" t="s">
        <v>6308</v>
      </c>
      <c r="E158" s="482" t="s">
        <v>614</v>
      </c>
      <c r="F158" s="482" t="s">
        <v>6</v>
      </c>
      <c r="G158" s="495"/>
      <c r="H158" s="481" t="s">
        <v>6672</v>
      </c>
      <c r="I158" s="481" t="s">
        <v>83</v>
      </c>
      <c r="J158" s="360" t="s">
        <v>158</v>
      </c>
      <c r="K158" s="482" t="s">
        <v>3439</v>
      </c>
      <c r="L158" s="482"/>
      <c r="M158" s="482" t="s">
        <v>155</v>
      </c>
      <c r="N158" s="516" t="s">
        <v>1635</v>
      </c>
      <c r="O158" s="516" t="s">
        <v>106</v>
      </c>
      <c r="P158" s="517" t="s">
        <v>107</v>
      </c>
      <c r="Q158" s="13"/>
      <c r="R158" s="481"/>
      <c r="S158" s="481" t="s">
        <v>167</v>
      </c>
      <c r="T158" s="481"/>
      <c r="U158" s="482"/>
      <c r="V158" s="516" t="s">
        <v>5211</v>
      </c>
      <c r="W158" s="516" t="s">
        <v>106</v>
      </c>
      <c r="X158" s="516" t="s">
        <v>107</v>
      </c>
      <c r="Y158" s="481"/>
      <c r="Z158" s="481" t="s">
        <v>6711</v>
      </c>
      <c r="AA158" s="481">
        <v>199</v>
      </c>
      <c r="AB158" s="16">
        <v>183</v>
      </c>
      <c r="AC158" s="16">
        <v>183</v>
      </c>
      <c r="AD158" s="16"/>
      <c r="AE158" s="16"/>
      <c r="AF158" s="16"/>
      <c r="AG158" s="16"/>
      <c r="AH158" s="16"/>
      <c r="AI158" s="16"/>
      <c r="AJ158" s="481">
        <v>6</v>
      </c>
      <c r="AK158" s="482"/>
      <c r="AL158" s="25"/>
      <c r="AM158" s="481"/>
      <c r="AN158" s="481"/>
      <c r="AO158" s="481"/>
      <c r="AP158" s="16"/>
      <c r="AQ158" s="16" t="s">
        <v>160</v>
      </c>
      <c r="AR158" s="130" t="s">
        <v>161</v>
      </c>
      <c r="AS158" s="130">
        <v>1405</v>
      </c>
      <c r="AT158" s="130">
        <v>3</v>
      </c>
      <c r="AU158" s="130">
        <v>1404</v>
      </c>
      <c r="AV158" s="130">
        <v>2</v>
      </c>
      <c r="AW158" s="12">
        <f t="shared" si="4"/>
        <v>13</v>
      </c>
      <c r="AX158" s="12" t="str">
        <f t="shared" si="5"/>
        <v/>
      </c>
      <c r="AY158" s="12"/>
      <c r="AZ158" s="481"/>
    </row>
    <row r="159" spans="1:52" ht="30" customHeight="1" x14ac:dyDescent="0.2">
      <c r="A159" s="497">
        <v>157</v>
      </c>
      <c r="B159" s="481">
        <v>7</v>
      </c>
      <c r="C159" s="16">
        <v>3</v>
      </c>
      <c r="D159" s="482" t="s">
        <v>6308</v>
      </c>
      <c r="E159" s="482" t="s">
        <v>785</v>
      </c>
      <c r="F159" s="482" t="s">
        <v>6</v>
      </c>
      <c r="G159" s="495"/>
      <c r="H159" s="481"/>
      <c r="I159" s="481" t="s">
        <v>7</v>
      </c>
      <c r="J159" s="360" t="s">
        <v>158</v>
      </c>
      <c r="K159" s="482" t="s">
        <v>3439</v>
      </c>
      <c r="L159" s="35" t="s">
        <v>218</v>
      </c>
      <c r="M159" s="35" t="s">
        <v>155</v>
      </c>
      <c r="N159" s="41" t="s">
        <v>6704</v>
      </c>
      <c r="O159" s="13" t="s">
        <v>69</v>
      </c>
      <c r="P159" s="13" t="s">
        <v>70</v>
      </c>
      <c r="Q159" s="13"/>
      <c r="R159" s="481"/>
      <c r="S159" s="33" t="s">
        <v>268</v>
      </c>
      <c r="T159" s="33">
        <v>345</v>
      </c>
      <c r="U159" s="35" t="s">
        <v>441</v>
      </c>
      <c r="V159" s="41" t="s">
        <v>6705</v>
      </c>
      <c r="W159" s="13" t="s">
        <v>69</v>
      </c>
      <c r="X159" s="482" t="s">
        <v>70</v>
      </c>
      <c r="Y159" s="481" t="s">
        <v>5187</v>
      </c>
      <c r="Z159" s="481" t="s">
        <v>6606</v>
      </c>
      <c r="AA159" s="481">
        <v>250</v>
      </c>
      <c r="AB159" s="16">
        <v>234</v>
      </c>
      <c r="AC159" s="16">
        <v>234</v>
      </c>
      <c r="AD159" s="16">
        <v>153</v>
      </c>
      <c r="AE159" s="16">
        <v>178</v>
      </c>
      <c r="AF159" s="16">
        <v>6</v>
      </c>
      <c r="AG159" s="16">
        <v>62</v>
      </c>
      <c r="AH159" s="16">
        <v>246</v>
      </c>
      <c r="AI159" s="16">
        <v>19</v>
      </c>
      <c r="AJ159" s="481">
        <v>6</v>
      </c>
      <c r="AK159" s="482"/>
      <c r="AL159" s="25" t="s">
        <v>6706</v>
      </c>
      <c r="AM159" s="481">
        <v>246</v>
      </c>
      <c r="AN159" s="481">
        <v>19</v>
      </c>
      <c r="AO159" s="481"/>
      <c r="AP159" s="16"/>
      <c r="AQ159" s="16" t="s">
        <v>160</v>
      </c>
      <c r="AR159" s="130" t="s">
        <v>165</v>
      </c>
      <c r="AS159" s="130">
        <v>1405</v>
      </c>
      <c r="AT159" s="130">
        <v>3</v>
      </c>
      <c r="AU159" s="130"/>
      <c r="AV159" s="130"/>
      <c r="AW159" s="12" t="str">
        <f t="shared" si="4"/>
        <v/>
      </c>
      <c r="AX159" s="12" t="str">
        <f t="shared" si="5"/>
        <v/>
      </c>
      <c r="AY159" s="12"/>
      <c r="AZ159" s="481"/>
    </row>
    <row r="160" spans="1:52" ht="30" customHeight="1" x14ac:dyDescent="0.2">
      <c r="A160" s="497">
        <v>158</v>
      </c>
      <c r="B160" s="481">
        <v>7</v>
      </c>
      <c r="C160" s="16">
        <v>3</v>
      </c>
      <c r="D160" s="482" t="s">
        <v>6308</v>
      </c>
      <c r="E160" s="482" t="s">
        <v>6669</v>
      </c>
      <c r="F160" s="482" t="s">
        <v>8</v>
      </c>
      <c r="G160" s="495"/>
      <c r="H160" s="481" t="s">
        <v>6673</v>
      </c>
      <c r="I160" s="481" t="s">
        <v>83</v>
      </c>
      <c r="J160" s="360" t="s">
        <v>158</v>
      </c>
      <c r="K160" s="482" t="s">
        <v>3439</v>
      </c>
      <c r="L160" s="482"/>
      <c r="M160" s="482" t="s">
        <v>155</v>
      </c>
      <c r="N160" s="41"/>
      <c r="O160" s="13" t="s">
        <v>106</v>
      </c>
      <c r="P160" s="13" t="s">
        <v>107</v>
      </c>
      <c r="Q160" s="13"/>
      <c r="R160" s="481"/>
      <c r="S160" s="481" t="s">
        <v>170</v>
      </c>
      <c r="T160" s="481"/>
      <c r="U160" s="482"/>
      <c r="V160" s="41"/>
      <c r="W160" s="13" t="s">
        <v>106</v>
      </c>
      <c r="X160" s="482" t="s">
        <v>107</v>
      </c>
      <c r="Y160" s="481"/>
      <c r="Z160" s="481" t="s">
        <v>5936</v>
      </c>
      <c r="AA160" s="481">
        <v>186</v>
      </c>
      <c r="AB160" s="16">
        <v>183</v>
      </c>
      <c r="AC160" s="16">
        <v>183</v>
      </c>
      <c r="AD160" s="16"/>
      <c r="AE160" s="16"/>
      <c r="AF160" s="16"/>
      <c r="AG160" s="16"/>
      <c r="AH160" s="16"/>
      <c r="AI160" s="16"/>
      <c r="AJ160" s="481">
        <v>5</v>
      </c>
      <c r="AK160" s="482"/>
      <c r="AL160" s="25"/>
      <c r="AM160" s="481"/>
      <c r="AN160" s="481"/>
      <c r="AO160" s="481"/>
      <c r="AP160" s="16"/>
      <c r="AQ160" s="16"/>
      <c r="AR160" s="130"/>
      <c r="AS160" s="130">
        <v>1405</v>
      </c>
      <c r="AT160" s="130">
        <v>3</v>
      </c>
      <c r="AU160" s="130">
        <v>1398</v>
      </c>
      <c r="AV160" s="130">
        <v>12</v>
      </c>
      <c r="AW160" s="12">
        <f t="shared" si="4"/>
        <v>75</v>
      </c>
      <c r="AX160" s="12" t="str">
        <f t="shared" si="5"/>
        <v/>
      </c>
      <c r="AY160" s="12"/>
      <c r="AZ160" s="481"/>
    </row>
    <row r="161" spans="1:52" ht="30" customHeight="1" x14ac:dyDescent="0.2">
      <c r="A161" s="497">
        <v>159</v>
      </c>
      <c r="B161" s="481">
        <v>7</v>
      </c>
      <c r="C161" s="16">
        <v>3</v>
      </c>
      <c r="D161" s="482" t="s">
        <v>6308</v>
      </c>
      <c r="E161" s="482" t="s">
        <v>6670</v>
      </c>
      <c r="F161" s="482" t="s">
        <v>243</v>
      </c>
      <c r="G161" s="495"/>
      <c r="H161" s="481" t="s">
        <v>4038</v>
      </c>
      <c r="I161" s="481" t="s">
        <v>83</v>
      </c>
      <c r="J161" s="360" t="s">
        <v>158</v>
      </c>
      <c r="K161" s="482" t="s">
        <v>3439</v>
      </c>
      <c r="L161" s="482"/>
      <c r="M161" s="482" t="s">
        <v>117</v>
      </c>
      <c r="N161" s="41"/>
      <c r="O161" s="13" t="s">
        <v>106</v>
      </c>
      <c r="P161" s="13" t="s">
        <v>107</v>
      </c>
      <c r="Q161" s="13"/>
      <c r="R161" s="481"/>
      <c r="S161" s="481" t="s">
        <v>108</v>
      </c>
      <c r="T161" s="481"/>
      <c r="U161" s="482"/>
      <c r="V161" s="41"/>
      <c r="W161" s="13" t="s">
        <v>106</v>
      </c>
      <c r="X161" s="482" t="s">
        <v>107</v>
      </c>
      <c r="Y161" s="481"/>
      <c r="Z161" s="481" t="s">
        <v>6677</v>
      </c>
      <c r="AA161" s="481">
        <v>130</v>
      </c>
      <c r="AB161" s="16">
        <v>113</v>
      </c>
      <c r="AC161" s="16">
        <v>113</v>
      </c>
      <c r="AD161" s="16"/>
      <c r="AE161" s="16"/>
      <c r="AF161" s="16"/>
      <c r="AG161" s="16"/>
      <c r="AH161" s="16"/>
      <c r="AI161" s="16"/>
      <c r="AJ161" s="481">
        <v>6</v>
      </c>
      <c r="AK161" s="482"/>
      <c r="AL161" s="25"/>
      <c r="AM161" s="481"/>
      <c r="AN161" s="481"/>
      <c r="AO161" s="481"/>
      <c r="AP161" s="16"/>
      <c r="AQ161" s="16"/>
      <c r="AR161" s="130"/>
      <c r="AS161" s="130">
        <v>1405</v>
      </c>
      <c r="AT161" s="130">
        <v>3</v>
      </c>
      <c r="AU161" s="130">
        <v>1401</v>
      </c>
      <c r="AV161" s="130">
        <v>6</v>
      </c>
      <c r="AW161" s="12">
        <f t="shared" si="4"/>
        <v>45</v>
      </c>
      <c r="AX161" s="12" t="str">
        <f t="shared" si="5"/>
        <v/>
      </c>
      <c r="AY161" s="12"/>
      <c r="AZ161" s="481"/>
    </row>
    <row r="162" spans="1:52" ht="30" customHeight="1" x14ac:dyDescent="0.2">
      <c r="A162" s="497">
        <v>160</v>
      </c>
      <c r="B162" s="481">
        <v>9</v>
      </c>
      <c r="C162" s="16">
        <v>3</v>
      </c>
      <c r="D162" s="482" t="s">
        <v>6308</v>
      </c>
      <c r="E162" s="482" t="s">
        <v>4210</v>
      </c>
      <c r="F162" s="482" t="s">
        <v>20</v>
      </c>
      <c r="G162" s="495"/>
      <c r="H162" s="481"/>
      <c r="I162" s="481" t="s">
        <v>7</v>
      </c>
      <c r="J162" s="360" t="s">
        <v>158</v>
      </c>
      <c r="K162" s="482" t="s">
        <v>3439</v>
      </c>
      <c r="L162" s="35" t="s">
        <v>141</v>
      </c>
      <c r="M162" s="35" t="s">
        <v>140</v>
      </c>
      <c r="N162" s="41" t="s">
        <v>6685</v>
      </c>
      <c r="O162" s="13" t="s">
        <v>69</v>
      </c>
      <c r="P162" s="13" t="s">
        <v>70</v>
      </c>
      <c r="Q162" s="13"/>
      <c r="R162" s="481"/>
      <c r="S162" s="33" t="s">
        <v>1051</v>
      </c>
      <c r="T162" s="33">
        <v>233</v>
      </c>
      <c r="U162" s="35" t="s">
        <v>2186</v>
      </c>
      <c r="V162" s="41" t="s">
        <v>6686</v>
      </c>
      <c r="W162" s="13" t="s">
        <v>69</v>
      </c>
      <c r="X162" s="482" t="s">
        <v>70</v>
      </c>
      <c r="Y162" s="481" t="s">
        <v>5187</v>
      </c>
      <c r="Z162" s="481" t="s">
        <v>6687</v>
      </c>
      <c r="AA162" s="481">
        <v>200</v>
      </c>
      <c r="AB162" s="16">
        <v>186</v>
      </c>
      <c r="AC162" s="16">
        <v>186</v>
      </c>
      <c r="AD162" s="16">
        <v>62</v>
      </c>
      <c r="AE162" s="16">
        <v>122</v>
      </c>
      <c r="AF162" s="16">
        <v>1</v>
      </c>
      <c r="AG162" s="16">
        <v>80</v>
      </c>
      <c r="AH162" s="16">
        <v>203</v>
      </c>
      <c r="AI162" s="16">
        <v>8</v>
      </c>
      <c r="AJ162" s="481">
        <v>6</v>
      </c>
      <c r="AK162" s="482"/>
      <c r="AL162" s="25" t="s">
        <v>6688</v>
      </c>
      <c r="AM162" s="481">
        <v>203</v>
      </c>
      <c r="AN162" s="481">
        <v>8</v>
      </c>
      <c r="AO162" s="481"/>
      <c r="AP162" s="16"/>
      <c r="AQ162" s="16" t="s">
        <v>5080</v>
      </c>
      <c r="AR162" s="130" t="s">
        <v>161</v>
      </c>
      <c r="AS162" s="130">
        <v>1405</v>
      </c>
      <c r="AT162" s="130">
        <v>3</v>
      </c>
      <c r="AU162" s="130"/>
      <c r="AV162" s="130"/>
      <c r="AW162" s="12" t="str">
        <f t="shared" si="4"/>
        <v/>
      </c>
      <c r="AX162" s="12" t="str">
        <f t="shared" si="5"/>
        <v/>
      </c>
      <c r="AY162" s="12"/>
      <c r="AZ162" s="481"/>
    </row>
    <row r="163" spans="1:52" ht="30" customHeight="1" x14ac:dyDescent="0.2">
      <c r="A163" s="497">
        <v>161</v>
      </c>
      <c r="B163" s="481">
        <v>9</v>
      </c>
      <c r="C163" s="16">
        <v>3</v>
      </c>
      <c r="D163" s="482" t="s">
        <v>6308</v>
      </c>
      <c r="E163" s="482" t="s">
        <v>1641</v>
      </c>
      <c r="F163" s="482" t="s">
        <v>20</v>
      </c>
      <c r="G163" s="495"/>
      <c r="H163" s="481"/>
      <c r="I163" s="481" t="s">
        <v>7</v>
      </c>
      <c r="J163" s="360" t="s">
        <v>158</v>
      </c>
      <c r="K163" s="482" t="s">
        <v>3439</v>
      </c>
      <c r="L163" s="35" t="s">
        <v>140</v>
      </c>
      <c r="M163" s="35" t="s">
        <v>769</v>
      </c>
      <c r="N163" s="41" t="s">
        <v>6681</v>
      </c>
      <c r="O163" s="13" t="s">
        <v>69</v>
      </c>
      <c r="P163" s="13" t="s">
        <v>70</v>
      </c>
      <c r="Q163" s="13"/>
      <c r="R163" s="481"/>
      <c r="S163" s="33" t="s">
        <v>1478</v>
      </c>
      <c r="T163" s="33">
        <v>193</v>
      </c>
      <c r="U163" s="35" t="s">
        <v>2258</v>
      </c>
      <c r="V163" s="41" t="s">
        <v>6682</v>
      </c>
      <c r="W163" s="13" t="s">
        <v>106</v>
      </c>
      <c r="X163" s="482" t="s">
        <v>107</v>
      </c>
      <c r="Y163" s="481" t="s">
        <v>5187</v>
      </c>
      <c r="Z163" s="481" t="s">
        <v>6683</v>
      </c>
      <c r="AA163" s="481">
        <v>166</v>
      </c>
      <c r="AB163" s="16">
        <v>144</v>
      </c>
      <c r="AC163" s="16">
        <v>144</v>
      </c>
      <c r="AD163" s="16">
        <v>79</v>
      </c>
      <c r="AE163" s="16">
        <v>119</v>
      </c>
      <c r="AF163" s="16">
        <v>3</v>
      </c>
      <c r="AG163" s="16">
        <v>46</v>
      </c>
      <c r="AH163" s="16">
        <v>168</v>
      </c>
      <c r="AI163" s="16">
        <v>5</v>
      </c>
      <c r="AJ163" s="481">
        <v>4</v>
      </c>
      <c r="AK163" s="482"/>
      <c r="AL163" s="25" t="s">
        <v>6684</v>
      </c>
      <c r="AM163" s="481">
        <v>168</v>
      </c>
      <c r="AN163" s="481">
        <v>5</v>
      </c>
      <c r="AO163" s="481"/>
      <c r="AP163" s="16"/>
      <c r="AQ163" s="16" t="s">
        <v>3714</v>
      </c>
      <c r="AR163" s="130"/>
      <c r="AS163" s="130">
        <v>1405</v>
      </c>
      <c r="AT163" s="130">
        <v>3</v>
      </c>
      <c r="AU163" s="130"/>
      <c r="AV163" s="130"/>
      <c r="AW163" s="12" t="str">
        <f t="shared" si="4"/>
        <v/>
      </c>
      <c r="AX163" s="12" t="str">
        <f t="shared" si="5"/>
        <v/>
      </c>
      <c r="AY163" s="12"/>
      <c r="AZ163" s="481"/>
    </row>
    <row r="164" spans="1:52" ht="30" customHeight="1" x14ac:dyDescent="0.2">
      <c r="A164" s="497">
        <v>162</v>
      </c>
      <c r="B164" s="508">
        <v>10</v>
      </c>
      <c r="C164" s="16">
        <v>3</v>
      </c>
      <c r="D164" s="509" t="s">
        <v>6308</v>
      </c>
      <c r="E164" s="509" t="s">
        <v>6674</v>
      </c>
      <c r="F164" s="509" t="s">
        <v>243</v>
      </c>
      <c r="G164" s="509"/>
      <c r="H164" s="508" t="s">
        <v>6469</v>
      </c>
      <c r="I164" s="508" t="s">
        <v>7</v>
      </c>
      <c r="J164" s="360" t="s">
        <v>158</v>
      </c>
      <c r="K164" s="509" t="s">
        <v>3439</v>
      </c>
      <c r="L164" s="509"/>
      <c r="M164" s="509" t="s">
        <v>104</v>
      </c>
      <c r="N164" s="509"/>
      <c r="O164" s="508" t="s">
        <v>69</v>
      </c>
      <c r="P164" s="508" t="s">
        <v>70</v>
      </c>
      <c r="Q164" s="13"/>
      <c r="R164" s="481"/>
      <c r="S164" s="481"/>
      <c r="T164" s="481">
        <v>293</v>
      </c>
      <c r="U164" s="482" t="s">
        <v>1581</v>
      </c>
      <c r="V164" s="41"/>
      <c r="W164" s="13" t="s">
        <v>106</v>
      </c>
      <c r="X164" s="482" t="s">
        <v>107</v>
      </c>
      <c r="Y164" s="481" t="s">
        <v>5244</v>
      </c>
      <c r="Z164" s="481"/>
      <c r="AA164" s="481">
        <v>252</v>
      </c>
      <c r="AB164" s="16"/>
      <c r="AC164" s="16">
        <v>240</v>
      </c>
      <c r="AD164" s="16">
        <v>111</v>
      </c>
      <c r="AE164" s="16">
        <v>142</v>
      </c>
      <c r="AF164" s="16">
        <v>16</v>
      </c>
      <c r="AG164" s="16">
        <v>130</v>
      </c>
      <c r="AH164" s="16">
        <v>288</v>
      </c>
      <c r="AI164" s="16">
        <v>12</v>
      </c>
      <c r="AJ164" s="481">
        <v>6</v>
      </c>
      <c r="AK164" s="482"/>
      <c r="AL164" s="25" t="s">
        <v>6680</v>
      </c>
      <c r="AM164" s="481">
        <v>288</v>
      </c>
      <c r="AN164" s="481">
        <v>12</v>
      </c>
      <c r="AO164" s="481"/>
      <c r="AP164" s="16"/>
      <c r="AQ164" s="16"/>
      <c r="AR164" s="130"/>
      <c r="AS164" s="130">
        <v>1405</v>
      </c>
      <c r="AT164" s="130">
        <v>3</v>
      </c>
      <c r="AU164" s="130"/>
      <c r="AV164" s="130"/>
      <c r="AW164" s="12" t="str">
        <f t="shared" si="4"/>
        <v/>
      </c>
      <c r="AX164" s="12" t="str">
        <f t="shared" si="5"/>
        <v/>
      </c>
      <c r="AY164" s="12"/>
      <c r="AZ164" s="481"/>
    </row>
    <row r="165" spans="1:52" ht="30" customHeight="1" x14ac:dyDescent="0.2">
      <c r="A165" s="497">
        <v>163</v>
      </c>
      <c r="B165" s="481">
        <v>10</v>
      </c>
      <c r="C165" s="16">
        <v>3</v>
      </c>
      <c r="D165" s="482" t="s">
        <v>6308</v>
      </c>
      <c r="E165" s="482" t="s">
        <v>321</v>
      </c>
      <c r="F165" s="482" t="s">
        <v>20</v>
      </c>
      <c r="G165" s="495"/>
      <c r="H165" s="481" t="s">
        <v>313</v>
      </c>
      <c r="I165" s="481" t="s">
        <v>83</v>
      </c>
      <c r="J165" s="360" t="s">
        <v>158</v>
      </c>
      <c r="K165" s="509" t="s">
        <v>3439</v>
      </c>
      <c r="L165" s="482"/>
      <c r="M165" s="482" t="s">
        <v>140</v>
      </c>
      <c r="N165" s="41"/>
      <c r="O165" s="13" t="s">
        <v>106</v>
      </c>
      <c r="P165" s="13" t="s">
        <v>107</v>
      </c>
      <c r="Q165" s="13"/>
      <c r="R165" s="481"/>
      <c r="S165" s="481" t="s">
        <v>153</v>
      </c>
      <c r="T165" s="481"/>
      <c r="U165" s="482"/>
      <c r="V165" s="41"/>
      <c r="W165" s="13" t="s">
        <v>106</v>
      </c>
      <c r="X165" s="13" t="s">
        <v>107</v>
      </c>
      <c r="Y165" s="481"/>
      <c r="Z165" s="481" t="s">
        <v>6679</v>
      </c>
      <c r="AA165" s="481"/>
      <c r="AB165" s="16">
        <v>168</v>
      </c>
      <c r="AC165" s="16">
        <v>168</v>
      </c>
      <c r="AD165" s="16"/>
      <c r="AE165" s="16"/>
      <c r="AF165" s="16"/>
      <c r="AG165" s="16"/>
      <c r="AH165" s="16"/>
      <c r="AI165" s="16"/>
      <c r="AJ165" s="481">
        <v>3</v>
      </c>
      <c r="AK165" s="482"/>
      <c r="AL165" s="25"/>
      <c r="AM165" s="481"/>
      <c r="AN165" s="481"/>
      <c r="AO165" s="481"/>
      <c r="AP165" s="16"/>
      <c r="AQ165" s="16"/>
      <c r="AR165" s="130"/>
      <c r="AS165" s="130">
        <v>1405</v>
      </c>
      <c r="AT165" s="130">
        <v>3</v>
      </c>
      <c r="AU165" s="130">
        <v>1402</v>
      </c>
      <c r="AV165" s="130">
        <v>2</v>
      </c>
      <c r="AW165" s="12">
        <f t="shared" si="4"/>
        <v>37</v>
      </c>
      <c r="AX165" s="12" t="str">
        <f t="shared" si="5"/>
        <v/>
      </c>
      <c r="AY165" s="12"/>
      <c r="AZ165" s="481"/>
    </row>
    <row r="166" spans="1:52" ht="30" customHeight="1" x14ac:dyDescent="0.2">
      <c r="A166" s="497">
        <v>164</v>
      </c>
      <c r="B166" s="481">
        <v>10</v>
      </c>
      <c r="C166" s="16">
        <v>3</v>
      </c>
      <c r="D166" s="482" t="s">
        <v>6308</v>
      </c>
      <c r="E166" s="482" t="s">
        <v>6670</v>
      </c>
      <c r="F166" s="482" t="s">
        <v>243</v>
      </c>
      <c r="G166" s="495"/>
      <c r="H166" s="481"/>
      <c r="I166" s="481" t="s">
        <v>7</v>
      </c>
      <c r="J166" s="360" t="s">
        <v>158</v>
      </c>
      <c r="K166" s="509" t="s">
        <v>3439</v>
      </c>
      <c r="L166" s="35" t="s">
        <v>117</v>
      </c>
      <c r="M166" s="35" t="s">
        <v>2258</v>
      </c>
      <c r="N166" s="41" t="s">
        <v>6675</v>
      </c>
      <c r="O166" s="13"/>
      <c r="P166" s="13"/>
      <c r="Q166" s="13"/>
      <c r="R166" s="481"/>
      <c r="S166" s="33" t="s">
        <v>108</v>
      </c>
      <c r="T166" s="33">
        <v>193</v>
      </c>
      <c r="U166" s="35" t="s">
        <v>485</v>
      </c>
      <c r="V166" s="41" t="s">
        <v>6676</v>
      </c>
      <c r="W166" s="13"/>
      <c r="X166" s="482"/>
      <c r="Y166" s="481" t="s">
        <v>5187</v>
      </c>
      <c r="Z166" s="481" t="s">
        <v>6677</v>
      </c>
      <c r="AA166" s="481">
        <v>130</v>
      </c>
      <c r="AB166" s="16">
        <v>113</v>
      </c>
      <c r="AC166" s="16">
        <v>113</v>
      </c>
      <c r="AD166" s="16">
        <v>91</v>
      </c>
      <c r="AE166" s="16">
        <v>95</v>
      </c>
      <c r="AF166" s="16">
        <v>2</v>
      </c>
      <c r="AG166" s="16">
        <v>18</v>
      </c>
      <c r="AH166" s="16">
        <v>115</v>
      </c>
      <c r="AI166" s="16">
        <v>4</v>
      </c>
      <c r="AJ166" s="481">
        <v>6</v>
      </c>
      <c r="AK166" s="482"/>
      <c r="AL166" s="25" t="s">
        <v>6678</v>
      </c>
      <c r="AM166" s="481">
        <v>115</v>
      </c>
      <c r="AN166" s="481">
        <v>4</v>
      </c>
      <c r="AO166" s="481"/>
      <c r="AP166" s="16"/>
      <c r="AQ166" s="16" t="s">
        <v>160</v>
      </c>
      <c r="AR166" s="130" t="s">
        <v>1956</v>
      </c>
      <c r="AS166" s="130">
        <v>1405</v>
      </c>
      <c r="AT166" s="130">
        <v>3</v>
      </c>
      <c r="AU166" s="130"/>
      <c r="AV166" s="130"/>
      <c r="AW166" s="12" t="str">
        <f t="shared" si="4"/>
        <v/>
      </c>
      <c r="AX166" s="12" t="str">
        <f t="shared" si="5"/>
        <v/>
      </c>
      <c r="AY166" s="12"/>
      <c r="AZ166" s="481"/>
    </row>
    <row r="167" spans="1:52" ht="30" customHeight="1" x14ac:dyDescent="0.2">
      <c r="A167" s="497">
        <v>165</v>
      </c>
      <c r="B167" s="481">
        <v>11</v>
      </c>
      <c r="C167" s="16">
        <v>3</v>
      </c>
      <c r="D167" s="482" t="s">
        <v>6308</v>
      </c>
      <c r="E167" s="482" t="s">
        <v>1501</v>
      </c>
      <c r="F167" s="482" t="s">
        <v>10</v>
      </c>
      <c r="G167" s="495"/>
      <c r="H167" s="481"/>
      <c r="I167" s="481" t="s">
        <v>7</v>
      </c>
      <c r="J167" s="360" t="s">
        <v>158</v>
      </c>
      <c r="K167" s="482" t="s">
        <v>5577</v>
      </c>
      <c r="L167" s="482" t="s">
        <v>141</v>
      </c>
      <c r="M167" s="482" t="s">
        <v>141</v>
      </c>
      <c r="N167" s="41" t="s">
        <v>6690</v>
      </c>
      <c r="O167" s="13" t="s">
        <v>69</v>
      </c>
      <c r="P167" s="13" t="s">
        <v>70</v>
      </c>
      <c r="Q167" s="13"/>
      <c r="R167" s="481"/>
      <c r="S167" s="33" t="s">
        <v>991</v>
      </c>
      <c r="T167" s="33">
        <v>233</v>
      </c>
      <c r="U167" s="35" t="s">
        <v>1581</v>
      </c>
      <c r="V167" s="41" t="s">
        <v>6691</v>
      </c>
      <c r="W167" s="13" t="s">
        <v>69</v>
      </c>
      <c r="X167" s="482" t="s">
        <v>70</v>
      </c>
      <c r="Y167" s="481" t="s">
        <v>5187</v>
      </c>
      <c r="Z167" s="481" t="s">
        <v>6364</v>
      </c>
      <c r="AA167" s="481">
        <v>232</v>
      </c>
      <c r="AB167" s="16">
        <v>210</v>
      </c>
      <c r="AC167" s="16">
        <v>210</v>
      </c>
      <c r="AD167" s="16">
        <v>135</v>
      </c>
      <c r="AE167" s="16">
        <v>184</v>
      </c>
      <c r="AF167" s="16">
        <v>4</v>
      </c>
      <c r="AG167" s="16">
        <v>35</v>
      </c>
      <c r="AH167" s="16">
        <v>233</v>
      </c>
      <c r="AI167" s="16">
        <v>6</v>
      </c>
      <c r="AJ167" s="481">
        <v>4</v>
      </c>
      <c r="AK167" s="482"/>
      <c r="AL167" s="25" t="s">
        <v>6692</v>
      </c>
      <c r="AM167" s="481">
        <v>223</v>
      </c>
      <c r="AN167" s="481">
        <v>6</v>
      </c>
      <c r="AO167" s="481"/>
      <c r="AP167" s="16"/>
      <c r="AQ167" s="16" t="s">
        <v>160</v>
      </c>
      <c r="AR167" s="130" t="s">
        <v>161</v>
      </c>
      <c r="AS167" s="130">
        <v>1405</v>
      </c>
      <c r="AT167" s="130">
        <v>3</v>
      </c>
      <c r="AU167" s="130"/>
      <c r="AV167" s="130"/>
      <c r="AW167" s="12" t="str">
        <f t="shared" si="4"/>
        <v/>
      </c>
      <c r="AX167" s="12" t="str">
        <f t="shared" si="5"/>
        <v/>
      </c>
      <c r="AY167" s="12"/>
      <c r="AZ167" s="481"/>
    </row>
    <row r="168" spans="1:52" ht="30" customHeight="1" x14ac:dyDescent="0.2">
      <c r="A168" s="497">
        <v>166</v>
      </c>
      <c r="B168" s="481">
        <v>11</v>
      </c>
      <c r="C168" s="16">
        <v>3</v>
      </c>
      <c r="D168" s="482" t="s">
        <v>6308</v>
      </c>
      <c r="E168" s="482" t="s">
        <v>6195</v>
      </c>
      <c r="F168" s="482" t="s">
        <v>6105</v>
      </c>
      <c r="G168" s="495"/>
      <c r="H168" s="481" t="s">
        <v>504</v>
      </c>
      <c r="I168" s="481" t="s">
        <v>83</v>
      </c>
      <c r="J168" s="360" t="s">
        <v>158</v>
      </c>
      <c r="K168" s="482" t="s">
        <v>3439</v>
      </c>
      <c r="L168" s="482"/>
      <c r="M168" s="482" t="s">
        <v>104</v>
      </c>
      <c r="N168" s="41" t="s">
        <v>6201</v>
      </c>
      <c r="O168" s="13" t="s">
        <v>106</v>
      </c>
      <c r="P168" s="13" t="s">
        <v>107</v>
      </c>
      <c r="Q168" s="13"/>
      <c r="R168" s="481"/>
      <c r="S168" s="481" t="s">
        <v>361</v>
      </c>
      <c r="T168" s="481"/>
      <c r="U168" s="482"/>
      <c r="V168" s="41" t="s">
        <v>6202</v>
      </c>
      <c r="W168" s="13" t="s">
        <v>106</v>
      </c>
      <c r="X168" s="482" t="s">
        <v>107</v>
      </c>
      <c r="Y168" s="481"/>
      <c r="Z168" s="481" t="s">
        <v>6689</v>
      </c>
      <c r="AA168" s="481">
        <v>224</v>
      </c>
      <c r="AB168" s="16">
        <v>210</v>
      </c>
      <c r="AC168" s="16">
        <v>210</v>
      </c>
      <c r="AD168" s="16"/>
      <c r="AE168" s="16"/>
      <c r="AF168" s="16"/>
      <c r="AG168" s="16"/>
      <c r="AH168" s="16"/>
      <c r="AI168" s="16"/>
      <c r="AJ168" s="481">
        <v>6</v>
      </c>
      <c r="AK168" s="482"/>
      <c r="AL168" s="25"/>
      <c r="AM168" s="481"/>
      <c r="AN168" s="481"/>
      <c r="AO168" s="481"/>
      <c r="AP168" s="16"/>
      <c r="AQ168" s="16" t="s">
        <v>160</v>
      </c>
      <c r="AR168" s="130" t="s">
        <v>193</v>
      </c>
      <c r="AS168" s="130">
        <v>1405</v>
      </c>
      <c r="AT168" s="130">
        <v>3</v>
      </c>
      <c r="AU168" s="130">
        <v>1404</v>
      </c>
      <c r="AV168" s="130">
        <v>12</v>
      </c>
      <c r="AW168" s="12">
        <f t="shared" ref="AW168:AW231" si="6">IF(AS168*AU168&gt;0,(AS168-AU168)*12+(AT168-AV168),"")</f>
        <v>3</v>
      </c>
      <c r="AX168" s="12">
        <f t="shared" si="5"/>
        <v>3</v>
      </c>
      <c r="AY168" s="12"/>
      <c r="AZ168" s="481"/>
    </row>
    <row r="169" spans="1:52" ht="30" customHeight="1" x14ac:dyDescent="0.2">
      <c r="A169" s="497">
        <v>167</v>
      </c>
      <c r="B169" s="481">
        <v>11</v>
      </c>
      <c r="C169" s="16">
        <v>3</v>
      </c>
      <c r="D169" s="482" t="s">
        <v>6308</v>
      </c>
      <c r="E169" s="482" t="s">
        <v>6502</v>
      </c>
      <c r="F169" s="482" t="s">
        <v>6</v>
      </c>
      <c r="G169" s="495"/>
      <c r="H169" s="481" t="s">
        <v>504</v>
      </c>
      <c r="I169" s="481" t="s">
        <v>83</v>
      </c>
      <c r="J169" s="360" t="s">
        <v>158</v>
      </c>
      <c r="K169" s="482" t="s">
        <v>3439</v>
      </c>
      <c r="L169" s="482"/>
      <c r="M169" s="482" t="s">
        <v>218</v>
      </c>
      <c r="N169" s="41" t="s">
        <v>6505</v>
      </c>
      <c r="O169" s="13" t="s">
        <v>106</v>
      </c>
      <c r="P169" s="13" t="s">
        <v>107</v>
      </c>
      <c r="Q169" s="13"/>
      <c r="R169" s="481"/>
      <c r="S169" s="481" t="s">
        <v>454</v>
      </c>
      <c r="T169" s="481"/>
      <c r="U169" s="482"/>
      <c r="V169" s="41" t="s">
        <v>6507</v>
      </c>
      <c r="W169" s="13" t="s">
        <v>106</v>
      </c>
      <c r="X169" s="13" t="s">
        <v>107</v>
      </c>
      <c r="Y169" s="481"/>
      <c r="Z169" s="481" t="s">
        <v>6539</v>
      </c>
      <c r="AA169" s="481">
        <v>245</v>
      </c>
      <c r="AB169" s="16">
        <v>228</v>
      </c>
      <c r="AC169" s="16">
        <v>228</v>
      </c>
      <c r="AD169" s="16"/>
      <c r="AE169" s="16"/>
      <c r="AF169" s="16"/>
      <c r="AG169" s="16"/>
      <c r="AH169" s="16"/>
      <c r="AI169" s="16"/>
      <c r="AJ169" s="481">
        <v>6</v>
      </c>
      <c r="AK169" s="482"/>
      <c r="AL169" s="25"/>
      <c r="AM169" s="481"/>
      <c r="AN169" s="481"/>
      <c r="AO169" s="481"/>
      <c r="AP169" s="16"/>
      <c r="AQ169" s="16" t="s">
        <v>160</v>
      </c>
      <c r="AR169" s="130" t="s">
        <v>165</v>
      </c>
      <c r="AS169" s="130">
        <v>1405</v>
      </c>
      <c r="AT169" s="130">
        <v>3</v>
      </c>
      <c r="AU169" s="130">
        <v>1405</v>
      </c>
      <c r="AV169" s="130">
        <v>2</v>
      </c>
      <c r="AW169" s="12">
        <f t="shared" si="6"/>
        <v>1</v>
      </c>
      <c r="AX169" s="12">
        <f t="shared" si="5"/>
        <v>1</v>
      </c>
      <c r="AY169" s="12"/>
      <c r="AZ169" s="481"/>
    </row>
    <row r="170" spans="1:52" ht="30" customHeight="1" x14ac:dyDescent="0.2">
      <c r="A170" s="497">
        <v>168</v>
      </c>
      <c r="B170" s="481">
        <v>12</v>
      </c>
      <c r="C170" s="16">
        <v>3</v>
      </c>
      <c r="D170" s="482" t="s">
        <v>6308</v>
      </c>
      <c r="E170" s="482" t="s">
        <v>3074</v>
      </c>
      <c r="F170" s="482" t="s">
        <v>2981</v>
      </c>
      <c r="G170" s="495"/>
      <c r="H170" s="481" t="s">
        <v>185</v>
      </c>
      <c r="I170" s="481" t="s">
        <v>83</v>
      </c>
      <c r="J170" s="360" t="s">
        <v>158</v>
      </c>
      <c r="K170" s="511" t="s">
        <v>3439</v>
      </c>
      <c r="L170" s="482"/>
      <c r="M170" s="482" t="s">
        <v>226</v>
      </c>
      <c r="N170" s="41" t="s">
        <v>6341</v>
      </c>
      <c r="O170" s="13" t="s">
        <v>106</v>
      </c>
      <c r="P170" s="13" t="s">
        <v>107</v>
      </c>
      <c r="Q170" s="13"/>
      <c r="R170" s="481"/>
      <c r="S170" s="481" t="s">
        <v>298</v>
      </c>
      <c r="T170" s="481"/>
      <c r="U170" s="482"/>
      <c r="V170" s="41" t="s">
        <v>6342</v>
      </c>
      <c r="W170" s="13" t="s">
        <v>106</v>
      </c>
      <c r="X170" s="482" t="s">
        <v>107</v>
      </c>
      <c r="Y170" s="481"/>
      <c r="Z170" s="481" t="s">
        <v>6322</v>
      </c>
      <c r="AA170" s="481">
        <v>208</v>
      </c>
      <c r="AB170" s="16">
        <v>186</v>
      </c>
      <c r="AC170" s="16">
        <v>186</v>
      </c>
      <c r="AD170" s="16"/>
      <c r="AE170" s="16"/>
      <c r="AF170" s="16"/>
      <c r="AG170" s="16"/>
      <c r="AH170" s="16"/>
      <c r="AI170" s="16"/>
      <c r="AJ170" s="481">
        <v>4</v>
      </c>
      <c r="AK170" s="482"/>
      <c r="AL170" s="25"/>
      <c r="AM170" s="481"/>
      <c r="AN170" s="481"/>
      <c r="AO170" s="481"/>
      <c r="AP170" s="16"/>
      <c r="AQ170" s="16" t="s">
        <v>5080</v>
      </c>
      <c r="AR170" s="130" t="s">
        <v>112</v>
      </c>
      <c r="AS170" s="130">
        <v>1405</v>
      </c>
      <c r="AT170" s="130">
        <v>3</v>
      </c>
      <c r="AU170" s="130">
        <v>1405</v>
      </c>
      <c r="AV170" s="130">
        <v>1</v>
      </c>
      <c r="AW170" s="12">
        <f t="shared" si="6"/>
        <v>2</v>
      </c>
      <c r="AX170" s="12">
        <f t="shared" si="5"/>
        <v>2</v>
      </c>
      <c r="AY170" s="12"/>
      <c r="AZ170" s="481"/>
    </row>
    <row r="171" spans="1:52" ht="30" customHeight="1" x14ac:dyDescent="0.2">
      <c r="A171" s="497">
        <v>169</v>
      </c>
      <c r="B171" s="481">
        <v>12</v>
      </c>
      <c r="C171" s="16">
        <v>3</v>
      </c>
      <c r="D171" s="482" t="s">
        <v>6308</v>
      </c>
      <c r="E171" s="482" t="s">
        <v>5038</v>
      </c>
      <c r="F171" s="482" t="s">
        <v>243</v>
      </c>
      <c r="G171" s="495"/>
      <c r="H171" s="481" t="s">
        <v>4038</v>
      </c>
      <c r="I171" s="481" t="s">
        <v>83</v>
      </c>
      <c r="J171" s="360" t="s">
        <v>158</v>
      </c>
      <c r="K171" s="482" t="s">
        <v>5577</v>
      </c>
      <c r="L171" s="482"/>
      <c r="M171" s="482" t="s">
        <v>104</v>
      </c>
      <c r="N171" s="41"/>
      <c r="O171" s="13" t="s">
        <v>106</v>
      </c>
      <c r="P171" s="13" t="s">
        <v>107</v>
      </c>
      <c r="Q171" s="13"/>
      <c r="R171" s="481"/>
      <c r="S171" s="481" t="s">
        <v>470</v>
      </c>
      <c r="T171" s="481"/>
      <c r="U171" s="482"/>
      <c r="V171" s="41"/>
      <c r="W171" s="13" t="s">
        <v>106</v>
      </c>
      <c r="X171" s="482" t="s">
        <v>107</v>
      </c>
      <c r="Y171" s="481"/>
      <c r="Z171" s="481" t="s">
        <v>6693</v>
      </c>
      <c r="AA171" s="481">
        <v>223</v>
      </c>
      <c r="AB171" s="16">
        <v>208</v>
      </c>
      <c r="AC171" s="16">
        <v>208</v>
      </c>
      <c r="AD171" s="16"/>
      <c r="AE171" s="16"/>
      <c r="AF171" s="16"/>
      <c r="AG171" s="16"/>
      <c r="AH171" s="16"/>
      <c r="AI171" s="16"/>
      <c r="AJ171" s="481">
        <v>6</v>
      </c>
      <c r="AK171" s="482"/>
      <c r="AL171" s="25"/>
      <c r="AM171" s="481"/>
      <c r="AN171" s="481"/>
      <c r="AO171" s="481"/>
      <c r="AP171" s="16"/>
      <c r="AQ171" s="16" t="s">
        <v>160</v>
      </c>
      <c r="AR171" s="130" t="s">
        <v>161</v>
      </c>
      <c r="AS171" s="130">
        <v>1405</v>
      </c>
      <c r="AT171" s="130">
        <v>3</v>
      </c>
      <c r="AU171" s="130">
        <v>1403</v>
      </c>
      <c r="AV171" s="130">
        <v>12</v>
      </c>
      <c r="AW171" s="12">
        <f t="shared" si="6"/>
        <v>15</v>
      </c>
      <c r="AX171" s="12" t="str">
        <f t="shared" si="5"/>
        <v/>
      </c>
      <c r="AY171" s="12"/>
      <c r="AZ171" s="481"/>
    </row>
    <row r="172" spans="1:52" ht="30" customHeight="1" x14ac:dyDescent="0.2">
      <c r="A172" s="497">
        <v>170</v>
      </c>
      <c r="B172" s="481">
        <v>12</v>
      </c>
      <c r="C172" s="16">
        <v>3</v>
      </c>
      <c r="D172" s="482" t="s">
        <v>6308</v>
      </c>
      <c r="E172" s="482" t="s">
        <v>4967</v>
      </c>
      <c r="F172" s="482" t="s">
        <v>6105</v>
      </c>
      <c r="G172" s="495"/>
      <c r="H172" s="481"/>
      <c r="I172" s="481" t="s">
        <v>7</v>
      </c>
      <c r="J172" s="360" t="s">
        <v>158</v>
      </c>
      <c r="K172" s="482" t="s">
        <v>3439</v>
      </c>
      <c r="L172" s="35" t="s">
        <v>2258</v>
      </c>
      <c r="M172" s="35" t="s">
        <v>116</v>
      </c>
      <c r="N172" s="41" t="s">
        <v>6694</v>
      </c>
      <c r="O172" s="13" t="s">
        <v>106</v>
      </c>
      <c r="P172" s="13" t="s">
        <v>107</v>
      </c>
      <c r="Q172" s="13"/>
      <c r="R172" s="481"/>
      <c r="S172" s="33" t="s">
        <v>2800</v>
      </c>
      <c r="T172" s="33">
        <v>193</v>
      </c>
      <c r="U172" s="35" t="s">
        <v>441</v>
      </c>
      <c r="V172" s="41" t="s">
        <v>6695</v>
      </c>
      <c r="W172" s="13" t="s">
        <v>106</v>
      </c>
      <c r="X172" s="482" t="s">
        <v>107</v>
      </c>
      <c r="Y172" s="481" t="s">
        <v>5187</v>
      </c>
      <c r="Z172" s="522" t="s">
        <v>5535</v>
      </c>
      <c r="AA172" s="481">
        <v>152</v>
      </c>
      <c r="AB172" s="16">
        <v>141</v>
      </c>
      <c r="AC172" s="16">
        <v>141</v>
      </c>
      <c r="AD172" s="16">
        <v>90</v>
      </c>
      <c r="AE172" s="16">
        <v>96</v>
      </c>
      <c r="AF172" s="16">
        <v>2</v>
      </c>
      <c r="AG172" s="16">
        <v>20</v>
      </c>
      <c r="AH172" s="16">
        <v>120</v>
      </c>
      <c r="AI172" s="16">
        <v>4</v>
      </c>
      <c r="AJ172" s="481">
        <v>4</v>
      </c>
      <c r="AK172" s="482"/>
      <c r="AL172" s="25" t="s">
        <v>6692</v>
      </c>
      <c r="AM172" s="481">
        <v>120</v>
      </c>
      <c r="AN172" s="481">
        <v>4</v>
      </c>
      <c r="AO172" s="481"/>
      <c r="AP172" s="16"/>
      <c r="AQ172" s="16" t="s">
        <v>160</v>
      </c>
      <c r="AR172" s="130" t="s">
        <v>1956</v>
      </c>
      <c r="AS172" s="130">
        <v>1405</v>
      </c>
      <c r="AT172" s="130">
        <v>3</v>
      </c>
      <c r="AU172" s="130"/>
      <c r="AV172" s="130"/>
      <c r="AW172" s="12" t="str">
        <f t="shared" si="6"/>
        <v/>
      </c>
      <c r="AX172" s="12" t="str">
        <f t="shared" si="5"/>
        <v/>
      </c>
      <c r="AY172" s="12"/>
      <c r="AZ172" s="481"/>
    </row>
    <row r="173" spans="1:52" ht="30" customHeight="1" x14ac:dyDescent="0.2">
      <c r="A173" s="497">
        <v>171</v>
      </c>
      <c r="B173" s="481">
        <v>13</v>
      </c>
      <c r="C173" s="16">
        <v>3</v>
      </c>
      <c r="D173" s="482" t="s">
        <v>6308</v>
      </c>
      <c r="E173" s="482" t="s">
        <v>5038</v>
      </c>
      <c r="F173" s="482" t="s">
        <v>243</v>
      </c>
      <c r="G173" s="495"/>
      <c r="H173" s="481"/>
      <c r="I173" s="481" t="s">
        <v>7</v>
      </c>
      <c r="J173" s="360" t="s">
        <v>158</v>
      </c>
      <c r="K173" s="482" t="s">
        <v>5577</v>
      </c>
      <c r="L173" s="482" t="s">
        <v>104</v>
      </c>
      <c r="M173" s="482" t="s">
        <v>140</v>
      </c>
      <c r="N173" s="41" t="s">
        <v>6696</v>
      </c>
      <c r="O173" s="13" t="s">
        <v>69</v>
      </c>
      <c r="P173" s="13" t="s">
        <v>70</v>
      </c>
      <c r="Q173" s="13"/>
      <c r="R173" s="481"/>
      <c r="S173" s="481" t="s">
        <v>470</v>
      </c>
      <c r="T173" s="481">
        <v>6611</v>
      </c>
      <c r="U173" s="482" t="s">
        <v>485</v>
      </c>
      <c r="V173" s="41" t="s">
        <v>6697</v>
      </c>
      <c r="W173" s="13" t="s">
        <v>69</v>
      </c>
      <c r="X173" s="482" t="s">
        <v>70</v>
      </c>
      <c r="Y173" s="481" t="s">
        <v>5187</v>
      </c>
      <c r="Z173" s="481" t="s">
        <v>6693</v>
      </c>
      <c r="AA173" s="481">
        <v>223</v>
      </c>
      <c r="AB173" s="16">
        <v>210</v>
      </c>
      <c r="AC173" s="16">
        <v>210</v>
      </c>
      <c r="AD173" s="16">
        <v>40</v>
      </c>
      <c r="AE173" s="16">
        <v>66</v>
      </c>
      <c r="AF173" s="16">
        <v>5</v>
      </c>
      <c r="AG173" s="16">
        <v>36</v>
      </c>
      <c r="AH173" s="16">
        <v>107</v>
      </c>
      <c r="AI173" s="16">
        <v>19</v>
      </c>
      <c r="AJ173" s="481">
        <v>6</v>
      </c>
      <c r="AK173" s="482"/>
      <c r="AL173" s="25" t="s">
        <v>6698</v>
      </c>
      <c r="AM173" s="481">
        <v>107</v>
      </c>
      <c r="AN173" s="481">
        <v>19</v>
      </c>
      <c r="AO173" s="481"/>
      <c r="AP173" s="16"/>
      <c r="AQ173" s="16" t="s">
        <v>160</v>
      </c>
      <c r="AR173" s="130" t="s">
        <v>161</v>
      </c>
      <c r="AS173" s="130">
        <v>1405</v>
      </c>
      <c r="AT173" s="130">
        <v>3</v>
      </c>
      <c r="AU173" s="130"/>
      <c r="AV173" s="130"/>
      <c r="AW173" s="12" t="str">
        <f t="shared" si="6"/>
        <v/>
      </c>
      <c r="AX173" s="12" t="str">
        <f t="shared" si="5"/>
        <v/>
      </c>
      <c r="AY173" s="12"/>
      <c r="AZ173" s="481"/>
    </row>
    <row r="174" spans="1:52" ht="30" customHeight="1" x14ac:dyDescent="0.2">
      <c r="A174" s="497">
        <v>172</v>
      </c>
      <c r="B174" s="481">
        <v>13</v>
      </c>
      <c r="C174" s="16">
        <v>3</v>
      </c>
      <c r="D174" s="482" t="s">
        <v>6308</v>
      </c>
      <c r="E174" s="482" t="s">
        <v>6503</v>
      </c>
      <c r="F174" s="482" t="s">
        <v>20</v>
      </c>
      <c r="G174" s="495"/>
      <c r="H174" s="481"/>
      <c r="I174" s="481" t="s">
        <v>7</v>
      </c>
      <c r="J174" s="360" t="s">
        <v>158</v>
      </c>
      <c r="K174" s="482" t="s">
        <v>3439</v>
      </c>
      <c r="L174" s="482" t="s">
        <v>155</v>
      </c>
      <c r="M174" s="482" t="s">
        <v>155</v>
      </c>
      <c r="N174" s="41" t="s">
        <v>6759</v>
      </c>
      <c r="O174" s="13" t="s">
        <v>69</v>
      </c>
      <c r="P174" s="13" t="s">
        <v>70</v>
      </c>
      <c r="Q174" s="13"/>
      <c r="R174" s="481"/>
      <c r="S174" s="481" t="s">
        <v>167</v>
      </c>
      <c r="T174" s="481">
        <v>384</v>
      </c>
      <c r="U174" s="482" t="s">
        <v>441</v>
      </c>
      <c r="V174" s="41" t="s">
        <v>6645</v>
      </c>
      <c r="W174" s="13" t="s">
        <v>106</v>
      </c>
      <c r="X174" s="512" t="s">
        <v>107</v>
      </c>
      <c r="Y174" s="513" t="s">
        <v>4420</v>
      </c>
      <c r="Z174" s="513" t="s">
        <v>6698</v>
      </c>
      <c r="AA174" s="481">
        <v>219</v>
      </c>
      <c r="AB174" s="16">
        <v>210</v>
      </c>
      <c r="AC174" s="16">
        <v>210</v>
      </c>
      <c r="AD174" s="16">
        <v>95</v>
      </c>
      <c r="AE174" s="16">
        <v>156</v>
      </c>
      <c r="AF174" s="16">
        <v>8</v>
      </c>
      <c r="AG174" s="16">
        <v>38</v>
      </c>
      <c r="AH174" s="16">
        <v>202</v>
      </c>
      <c r="AI174" s="16">
        <v>24</v>
      </c>
      <c r="AJ174" s="513">
        <v>6</v>
      </c>
      <c r="AK174" s="482"/>
      <c r="AL174" s="25" t="s">
        <v>6698</v>
      </c>
      <c r="AM174" s="481">
        <v>202</v>
      </c>
      <c r="AN174" s="481">
        <v>24</v>
      </c>
      <c r="AO174" s="481"/>
      <c r="AP174" s="16"/>
      <c r="AQ174" s="16" t="s">
        <v>160</v>
      </c>
      <c r="AR174" s="130" t="s">
        <v>193</v>
      </c>
      <c r="AS174" s="130">
        <v>1405</v>
      </c>
      <c r="AT174" s="130">
        <v>3</v>
      </c>
      <c r="AU174" s="130"/>
      <c r="AV174" s="130"/>
      <c r="AW174" s="12" t="str">
        <f t="shared" si="6"/>
        <v/>
      </c>
      <c r="AX174" s="12" t="str">
        <f t="shared" si="5"/>
        <v/>
      </c>
      <c r="AY174" s="12"/>
      <c r="AZ174" s="481"/>
    </row>
    <row r="175" spans="1:52" ht="30" customHeight="1" x14ac:dyDescent="0.2">
      <c r="A175" s="497">
        <v>173</v>
      </c>
      <c r="B175" s="481">
        <v>13</v>
      </c>
      <c r="C175" s="16">
        <v>3</v>
      </c>
      <c r="D175" s="482" t="s">
        <v>6308</v>
      </c>
      <c r="E175" s="482" t="s">
        <v>3783</v>
      </c>
      <c r="F175" s="482" t="s">
        <v>10</v>
      </c>
      <c r="G175" s="495"/>
      <c r="H175" s="481"/>
      <c r="I175" s="481" t="s">
        <v>7</v>
      </c>
      <c r="J175" s="360" t="s">
        <v>158</v>
      </c>
      <c r="K175" s="482" t="s">
        <v>3439</v>
      </c>
      <c r="L175" s="482" t="s">
        <v>140</v>
      </c>
      <c r="M175" s="482" t="s">
        <v>140</v>
      </c>
      <c r="N175" s="41" t="s">
        <v>6477</v>
      </c>
      <c r="O175" s="13" t="s">
        <v>106</v>
      </c>
      <c r="P175" s="13" t="s">
        <v>107</v>
      </c>
      <c r="Q175" s="13"/>
      <c r="R175" s="481"/>
      <c r="S175" s="481" t="s">
        <v>276</v>
      </c>
      <c r="T175" s="481">
        <v>6608</v>
      </c>
      <c r="U175" s="482" t="s">
        <v>769</v>
      </c>
      <c r="V175" s="41" t="s">
        <v>6624</v>
      </c>
      <c r="W175" s="13" t="s">
        <v>106</v>
      </c>
      <c r="X175" s="514" t="s">
        <v>107</v>
      </c>
      <c r="Y175" s="481" t="s">
        <v>4420</v>
      </c>
      <c r="Z175" s="481" t="s">
        <v>6627</v>
      </c>
      <c r="AA175" s="481">
        <v>187</v>
      </c>
      <c r="AB175" s="16">
        <v>177</v>
      </c>
      <c r="AC175" s="16">
        <v>177</v>
      </c>
      <c r="AD175" s="16">
        <v>106</v>
      </c>
      <c r="AE175" s="16">
        <v>119</v>
      </c>
      <c r="AF175" s="16">
        <v>2</v>
      </c>
      <c r="AG175" s="16">
        <v>55</v>
      </c>
      <c r="AH175" s="16">
        <v>176</v>
      </c>
      <c r="AI175" s="16">
        <v>10</v>
      </c>
      <c r="AJ175" s="481">
        <v>6</v>
      </c>
      <c r="AK175" s="482"/>
      <c r="AL175" s="25" t="s">
        <v>6698</v>
      </c>
      <c r="AM175" s="481">
        <v>176</v>
      </c>
      <c r="AN175" s="481">
        <v>10</v>
      </c>
      <c r="AO175" s="481"/>
      <c r="AP175" s="16"/>
      <c r="AQ175" s="16" t="s">
        <v>160</v>
      </c>
      <c r="AR175" s="130" t="s">
        <v>112</v>
      </c>
      <c r="AS175" s="130">
        <v>1405</v>
      </c>
      <c r="AT175" s="130">
        <v>3</v>
      </c>
      <c r="AU175" s="130"/>
      <c r="AV175" s="130"/>
      <c r="AW175" s="12" t="str">
        <f t="shared" si="6"/>
        <v/>
      </c>
      <c r="AX175" s="12" t="str">
        <f t="shared" si="5"/>
        <v/>
      </c>
      <c r="AY175" s="12"/>
      <c r="AZ175" s="481"/>
    </row>
    <row r="176" spans="1:52" ht="30" customHeight="1" x14ac:dyDescent="0.2">
      <c r="A176" s="497">
        <v>174</v>
      </c>
      <c r="B176" s="481">
        <v>14</v>
      </c>
      <c r="C176" s="16">
        <v>3</v>
      </c>
      <c r="D176" s="482" t="s">
        <v>6308</v>
      </c>
      <c r="E176" s="482" t="s">
        <v>1269</v>
      </c>
      <c r="F176" s="482" t="s">
        <v>243</v>
      </c>
      <c r="G176" s="495"/>
      <c r="H176" s="481" t="s">
        <v>4796</v>
      </c>
      <c r="I176" s="481" t="s">
        <v>83</v>
      </c>
      <c r="J176" s="360" t="s">
        <v>158</v>
      </c>
      <c r="K176" s="482" t="s">
        <v>5577</v>
      </c>
      <c r="L176" s="482"/>
      <c r="M176" s="482" t="s">
        <v>218</v>
      </c>
      <c r="N176" s="41"/>
      <c r="O176" s="13" t="s">
        <v>106</v>
      </c>
      <c r="P176" s="13" t="s">
        <v>107</v>
      </c>
      <c r="Q176" s="13"/>
      <c r="R176" s="481"/>
      <c r="S176" s="481" t="s">
        <v>968</v>
      </c>
      <c r="T176" s="481"/>
      <c r="U176" s="482"/>
      <c r="V176" s="41"/>
      <c r="W176" s="13" t="s">
        <v>106</v>
      </c>
      <c r="X176" s="482" t="s">
        <v>107</v>
      </c>
      <c r="Y176" s="481"/>
      <c r="Z176" s="481" t="s">
        <v>6748</v>
      </c>
      <c r="AA176" s="481">
        <v>171</v>
      </c>
      <c r="AB176" s="16">
        <v>142</v>
      </c>
      <c r="AC176" s="16">
        <v>142</v>
      </c>
      <c r="AD176" s="16"/>
      <c r="AE176" s="16"/>
      <c r="AF176" s="16"/>
      <c r="AG176" s="16"/>
      <c r="AH176" s="16"/>
      <c r="AI176" s="16"/>
      <c r="AJ176" s="481">
        <v>6</v>
      </c>
      <c r="AK176" s="482"/>
      <c r="AL176" s="25"/>
      <c r="AM176" s="481"/>
      <c r="AN176" s="481"/>
      <c r="AO176" s="481"/>
      <c r="AP176" s="16"/>
      <c r="AQ176" s="16" t="s">
        <v>6770</v>
      </c>
      <c r="AR176" s="130" t="s">
        <v>161</v>
      </c>
      <c r="AS176" s="130">
        <v>1405</v>
      </c>
      <c r="AT176" s="130">
        <v>3</v>
      </c>
      <c r="AU176" s="130">
        <v>1404</v>
      </c>
      <c r="AV176" s="130">
        <v>6</v>
      </c>
      <c r="AW176" s="12">
        <f t="shared" si="6"/>
        <v>9</v>
      </c>
      <c r="AX176" s="12">
        <f t="shared" si="5"/>
        <v>9</v>
      </c>
      <c r="AY176" s="12"/>
      <c r="AZ176" s="20" t="s">
        <v>6702</v>
      </c>
    </row>
    <row r="177" spans="1:52" ht="30" customHeight="1" x14ac:dyDescent="0.2">
      <c r="A177" s="497">
        <v>175</v>
      </c>
      <c r="B177" s="481">
        <v>15</v>
      </c>
      <c r="C177" s="16">
        <v>3</v>
      </c>
      <c r="D177" s="482" t="s">
        <v>6308</v>
      </c>
      <c r="E177" s="482" t="s">
        <v>6076</v>
      </c>
      <c r="F177" s="482" t="s">
        <v>243</v>
      </c>
      <c r="G177" s="495"/>
      <c r="H177" s="481" t="s">
        <v>4038</v>
      </c>
      <c r="I177" s="481" t="s">
        <v>83</v>
      </c>
      <c r="J177" s="360" t="s">
        <v>158</v>
      </c>
      <c r="K177" s="482" t="s">
        <v>5577</v>
      </c>
      <c r="L177" s="482"/>
      <c r="M177" s="41" t="s">
        <v>5448</v>
      </c>
      <c r="N177" s="514" t="s">
        <v>6078</v>
      </c>
      <c r="O177" s="13" t="s">
        <v>106</v>
      </c>
      <c r="P177" s="13" t="s">
        <v>107</v>
      </c>
      <c r="Q177" s="13"/>
      <c r="R177" s="481"/>
      <c r="S177" s="481" t="s">
        <v>5454</v>
      </c>
      <c r="T177" s="481"/>
      <c r="U177" s="482"/>
      <c r="V177" s="41" t="s">
        <v>6079</v>
      </c>
      <c r="W177" s="13" t="s">
        <v>69</v>
      </c>
      <c r="X177" s="482" t="s">
        <v>70</v>
      </c>
      <c r="Y177" s="481"/>
      <c r="Z177" s="481"/>
      <c r="AA177" s="481">
        <v>133</v>
      </c>
      <c r="AB177" s="16">
        <v>127</v>
      </c>
      <c r="AC177" s="16">
        <v>127</v>
      </c>
      <c r="AD177" s="16"/>
      <c r="AE177" s="16"/>
      <c r="AF177" s="16"/>
      <c r="AG177" s="16"/>
      <c r="AH177" s="16"/>
      <c r="AI177" s="16"/>
      <c r="AJ177" s="481">
        <v>4</v>
      </c>
      <c r="AK177" s="482"/>
      <c r="AL177" s="25"/>
      <c r="AM177" s="481"/>
      <c r="AN177" s="481"/>
      <c r="AO177" s="481"/>
      <c r="AP177" s="16"/>
      <c r="AQ177" s="16" t="s">
        <v>5080</v>
      </c>
      <c r="AR177" s="130" t="s">
        <v>228</v>
      </c>
      <c r="AS177" s="130">
        <v>1405</v>
      </c>
      <c r="AT177" s="130">
        <v>3</v>
      </c>
      <c r="AU177" s="130">
        <v>1404</v>
      </c>
      <c r="AV177" s="130">
        <v>10</v>
      </c>
      <c r="AW177" s="12">
        <f t="shared" si="6"/>
        <v>5</v>
      </c>
      <c r="AX177" s="12">
        <f t="shared" si="5"/>
        <v>5</v>
      </c>
      <c r="AY177" s="12"/>
      <c r="AZ177" s="481"/>
    </row>
    <row r="178" spans="1:52" ht="30" customHeight="1" x14ac:dyDescent="0.2">
      <c r="A178" s="497">
        <v>176</v>
      </c>
      <c r="B178" s="481">
        <v>15</v>
      </c>
      <c r="C178" s="16">
        <v>3</v>
      </c>
      <c r="D178" s="482" t="s">
        <v>6308</v>
      </c>
      <c r="E178" s="482" t="s">
        <v>6076</v>
      </c>
      <c r="F178" s="482" t="s">
        <v>243</v>
      </c>
      <c r="G178" s="495"/>
      <c r="H178" s="481"/>
      <c r="I178" s="481" t="s">
        <v>7</v>
      </c>
      <c r="J178" s="360" t="s">
        <v>158</v>
      </c>
      <c r="K178" s="482" t="s">
        <v>5577</v>
      </c>
      <c r="L178" s="482" t="s">
        <v>5422</v>
      </c>
      <c r="M178" s="482" t="s">
        <v>116</v>
      </c>
      <c r="N178" s="41" t="s">
        <v>6700</v>
      </c>
      <c r="O178" s="13" t="s">
        <v>106</v>
      </c>
      <c r="P178" s="13" t="s">
        <v>107</v>
      </c>
      <c r="Q178" s="13"/>
      <c r="R178" s="481"/>
      <c r="S178" s="481" t="s">
        <v>5454</v>
      </c>
      <c r="T178" s="481">
        <v>152</v>
      </c>
      <c r="U178" s="482" t="s">
        <v>865</v>
      </c>
      <c r="V178" s="514" t="s">
        <v>6701</v>
      </c>
      <c r="W178" s="13" t="s">
        <v>69</v>
      </c>
      <c r="X178" s="482" t="s">
        <v>70</v>
      </c>
      <c r="Y178" s="481" t="s">
        <v>5187</v>
      </c>
      <c r="Z178" s="481" t="s">
        <v>6077</v>
      </c>
      <c r="AA178" s="481">
        <v>133</v>
      </c>
      <c r="AB178" s="16">
        <v>127</v>
      </c>
      <c r="AC178" s="16">
        <v>127</v>
      </c>
      <c r="AD178" s="16">
        <v>59</v>
      </c>
      <c r="AE178" s="16">
        <v>130</v>
      </c>
      <c r="AF178" s="16">
        <v>1</v>
      </c>
      <c r="AG178" s="16">
        <v>68</v>
      </c>
      <c r="AH178" s="16">
        <v>189</v>
      </c>
      <c r="AI178" s="16">
        <v>3</v>
      </c>
      <c r="AJ178" s="481">
        <v>4</v>
      </c>
      <c r="AK178" s="482"/>
      <c r="AL178" s="25" t="s">
        <v>6703</v>
      </c>
      <c r="AM178" s="481">
        <v>189</v>
      </c>
      <c r="AN178" s="481">
        <v>3</v>
      </c>
      <c r="AO178" s="481"/>
      <c r="AP178" s="16"/>
      <c r="AQ178" s="16" t="s">
        <v>160</v>
      </c>
      <c r="AR178" s="130" t="s">
        <v>1956</v>
      </c>
      <c r="AS178" s="130">
        <v>1405</v>
      </c>
      <c r="AT178" s="130">
        <v>3</v>
      </c>
      <c r="AU178" s="130"/>
      <c r="AV178" s="130"/>
      <c r="AW178" s="12" t="str">
        <f t="shared" si="6"/>
        <v/>
      </c>
      <c r="AX178" s="12" t="str">
        <f t="shared" si="5"/>
        <v/>
      </c>
      <c r="AY178" s="12"/>
      <c r="AZ178" s="481"/>
    </row>
    <row r="179" spans="1:52" ht="30" customHeight="1" x14ac:dyDescent="0.2">
      <c r="A179" s="497">
        <v>177</v>
      </c>
      <c r="B179" s="481">
        <v>16</v>
      </c>
      <c r="C179" s="16">
        <v>3</v>
      </c>
      <c r="D179" s="482" t="s">
        <v>6308</v>
      </c>
      <c r="E179" s="482" t="s">
        <v>6503</v>
      </c>
      <c r="F179" s="482" t="s">
        <v>20</v>
      </c>
      <c r="G179" s="495"/>
      <c r="H179" s="481" t="s">
        <v>4038</v>
      </c>
      <c r="I179" s="481" t="s">
        <v>83</v>
      </c>
      <c r="J179" s="360" t="s">
        <v>158</v>
      </c>
      <c r="K179" s="525" t="s">
        <v>5577</v>
      </c>
      <c r="L179" s="482" t="s">
        <v>3714</v>
      </c>
      <c r="M179" s="482" t="s">
        <v>155</v>
      </c>
      <c r="N179" s="41" t="s">
        <v>6759</v>
      </c>
      <c r="O179" s="13" t="s">
        <v>69</v>
      </c>
      <c r="P179" s="13" t="s">
        <v>70</v>
      </c>
      <c r="Q179" s="13"/>
      <c r="R179" s="481"/>
      <c r="S179" s="481" t="s">
        <v>167</v>
      </c>
      <c r="T179" s="481"/>
      <c r="U179" s="482"/>
      <c r="V179" s="41" t="s">
        <v>6645</v>
      </c>
      <c r="W179" s="13" t="s">
        <v>106</v>
      </c>
      <c r="X179" s="525" t="s">
        <v>107</v>
      </c>
      <c r="Y179" s="481" t="s">
        <v>4420</v>
      </c>
      <c r="Z179" s="481" t="s">
        <v>6757</v>
      </c>
      <c r="AA179" s="524">
        <v>219</v>
      </c>
      <c r="AB179" s="16">
        <v>210</v>
      </c>
      <c r="AC179" s="16">
        <v>210</v>
      </c>
      <c r="AD179" s="16"/>
      <c r="AE179" s="16"/>
      <c r="AF179" s="16"/>
      <c r="AG179" s="16"/>
      <c r="AH179" s="16"/>
      <c r="AI179" s="16"/>
      <c r="AJ179" s="481">
        <v>6</v>
      </c>
      <c r="AK179" s="482"/>
      <c r="AL179" s="25"/>
      <c r="AM179" s="481"/>
      <c r="AN179" s="481"/>
      <c r="AO179" s="481"/>
      <c r="AP179" s="16"/>
      <c r="AQ179" s="16" t="s">
        <v>160</v>
      </c>
      <c r="AR179" s="130" t="s">
        <v>193</v>
      </c>
      <c r="AS179" s="130">
        <v>1405</v>
      </c>
      <c r="AT179" s="130">
        <v>3</v>
      </c>
      <c r="AU179" s="130">
        <v>1405</v>
      </c>
      <c r="AV179" s="130">
        <v>3</v>
      </c>
      <c r="AW179" s="12">
        <f t="shared" si="6"/>
        <v>0</v>
      </c>
      <c r="AX179" s="12">
        <f t="shared" si="5"/>
        <v>0</v>
      </c>
      <c r="AY179" s="12"/>
      <c r="AZ179" s="481"/>
    </row>
    <row r="180" spans="1:52" ht="30" customHeight="1" x14ac:dyDescent="0.2">
      <c r="A180" s="497">
        <v>178</v>
      </c>
      <c r="B180" s="481">
        <v>16</v>
      </c>
      <c r="C180" s="16">
        <v>3</v>
      </c>
      <c r="D180" s="482" t="s">
        <v>6308</v>
      </c>
      <c r="E180" s="482" t="s">
        <v>179</v>
      </c>
      <c r="F180" s="482" t="s">
        <v>2981</v>
      </c>
      <c r="G180" s="495"/>
      <c r="H180" s="481"/>
      <c r="I180" s="481" t="s">
        <v>7</v>
      </c>
      <c r="J180" s="360" t="s">
        <v>158</v>
      </c>
      <c r="K180" s="482" t="s">
        <v>3439</v>
      </c>
      <c r="L180" s="482"/>
      <c r="M180" s="482"/>
      <c r="N180" s="41"/>
      <c r="O180" s="13"/>
      <c r="P180" s="13"/>
      <c r="Q180" s="13"/>
      <c r="R180" s="481"/>
      <c r="S180" s="481"/>
      <c r="T180" s="481"/>
      <c r="U180" s="482"/>
      <c r="V180" s="41"/>
      <c r="W180" s="13"/>
      <c r="X180" s="482"/>
      <c r="Y180" s="481"/>
      <c r="Z180" s="481"/>
      <c r="AA180" s="481"/>
      <c r="AB180" s="16"/>
      <c r="AC180" s="16"/>
      <c r="AD180" s="16"/>
      <c r="AE180" s="16"/>
      <c r="AF180" s="16"/>
      <c r="AG180" s="16"/>
      <c r="AH180" s="16"/>
      <c r="AI180" s="16"/>
      <c r="AJ180" s="481"/>
      <c r="AK180" s="482"/>
      <c r="AL180" s="25"/>
      <c r="AM180" s="481"/>
      <c r="AN180" s="481"/>
      <c r="AO180" s="481"/>
      <c r="AP180" s="16"/>
      <c r="AQ180" s="16"/>
      <c r="AR180" s="130"/>
      <c r="AS180" s="130">
        <v>1405</v>
      </c>
      <c r="AT180" s="130">
        <v>3</v>
      </c>
      <c r="AU180" s="130"/>
      <c r="AV180" s="130"/>
      <c r="AW180" s="12" t="str">
        <f t="shared" si="6"/>
        <v/>
      </c>
      <c r="AX180" s="12" t="str">
        <f t="shared" si="5"/>
        <v/>
      </c>
      <c r="AY180" s="12"/>
      <c r="AZ180" s="481"/>
    </row>
    <row r="181" spans="1:52" ht="30" customHeight="1" x14ac:dyDescent="0.2">
      <c r="A181" s="497">
        <v>179</v>
      </c>
      <c r="B181" s="481">
        <v>16</v>
      </c>
      <c r="C181" s="16">
        <v>3</v>
      </c>
      <c r="D181" s="482" t="s">
        <v>6308</v>
      </c>
      <c r="E181" s="482" t="s">
        <v>3559</v>
      </c>
      <c r="F181" s="482" t="s">
        <v>6</v>
      </c>
      <c r="G181" s="495"/>
      <c r="H181" s="481"/>
      <c r="I181" s="481" t="s">
        <v>7</v>
      </c>
      <c r="J181" s="360" t="s">
        <v>158</v>
      </c>
      <c r="K181" s="482" t="s">
        <v>3439</v>
      </c>
      <c r="L181" s="482"/>
      <c r="M181" s="482"/>
      <c r="N181" s="41"/>
      <c r="O181" s="13"/>
      <c r="P181" s="13"/>
      <c r="Q181" s="13"/>
      <c r="R181" s="481"/>
      <c r="S181" s="481"/>
      <c r="T181" s="481"/>
      <c r="U181" s="482"/>
      <c r="V181" s="41"/>
      <c r="W181" s="13"/>
      <c r="X181" s="482"/>
      <c r="Y181" s="481"/>
      <c r="Z181" s="481"/>
      <c r="AA181" s="481"/>
      <c r="AB181" s="16"/>
      <c r="AC181" s="16"/>
      <c r="AD181" s="16"/>
      <c r="AE181" s="16"/>
      <c r="AF181" s="16"/>
      <c r="AG181" s="16"/>
      <c r="AH181" s="16"/>
      <c r="AI181" s="16"/>
      <c r="AJ181" s="481"/>
      <c r="AK181" s="482"/>
      <c r="AL181" s="25"/>
      <c r="AM181" s="481"/>
      <c r="AN181" s="481"/>
      <c r="AO181" s="481"/>
      <c r="AP181" s="16"/>
      <c r="AQ181" s="16"/>
      <c r="AR181" s="130"/>
      <c r="AS181" s="130">
        <v>1405</v>
      </c>
      <c r="AT181" s="130">
        <v>3</v>
      </c>
      <c r="AU181" s="130"/>
      <c r="AV181" s="130"/>
      <c r="AW181" s="12" t="str">
        <f t="shared" si="6"/>
        <v/>
      </c>
      <c r="AX181" s="12" t="str">
        <f t="shared" si="5"/>
        <v/>
      </c>
      <c r="AY181" s="12"/>
      <c r="AZ181" s="481"/>
    </row>
    <row r="182" spans="1:52" ht="30" customHeight="1" x14ac:dyDescent="0.2">
      <c r="A182" s="497">
        <v>180</v>
      </c>
      <c r="B182" s="481">
        <v>16</v>
      </c>
      <c r="C182" s="16">
        <v>3</v>
      </c>
      <c r="D182" s="482" t="s">
        <v>6308</v>
      </c>
      <c r="E182" s="482" t="s">
        <v>184</v>
      </c>
      <c r="F182" s="482" t="s">
        <v>8</v>
      </c>
      <c r="G182" s="495"/>
      <c r="H182" s="481" t="s">
        <v>4038</v>
      </c>
      <c r="I182" s="481" t="s">
        <v>83</v>
      </c>
      <c r="J182" s="360" t="s">
        <v>158</v>
      </c>
      <c r="K182" s="482" t="s">
        <v>3439</v>
      </c>
      <c r="L182" s="482"/>
      <c r="M182" s="482" t="s">
        <v>223</v>
      </c>
      <c r="N182" s="41"/>
      <c r="O182" s="13" t="s">
        <v>106</v>
      </c>
      <c r="P182" s="13" t="s">
        <v>107</v>
      </c>
      <c r="Q182" s="13"/>
      <c r="R182" s="481"/>
      <c r="S182" s="481" t="s">
        <v>2753</v>
      </c>
      <c r="T182" s="481"/>
      <c r="U182" s="482"/>
      <c r="V182" s="41"/>
      <c r="W182" s="13" t="s">
        <v>106</v>
      </c>
      <c r="X182" s="482" t="s">
        <v>107</v>
      </c>
      <c r="Y182" s="481"/>
      <c r="Z182" s="481"/>
      <c r="AA182" s="481"/>
      <c r="AB182" s="16">
        <v>138</v>
      </c>
      <c r="AC182" s="16">
        <v>138</v>
      </c>
      <c r="AD182" s="16"/>
      <c r="AE182" s="16"/>
      <c r="AF182" s="16"/>
      <c r="AG182" s="16"/>
      <c r="AH182" s="16"/>
      <c r="AI182" s="16"/>
      <c r="AJ182" s="481">
        <v>4</v>
      </c>
      <c r="AK182" s="482"/>
      <c r="AL182" s="25"/>
      <c r="AM182" s="481"/>
      <c r="AN182" s="481"/>
      <c r="AO182" s="481"/>
      <c r="AP182" s="16"/>
      <c r="AQ182" s="16" t="s">
        <v>5080</v>
      </c>
      <c r="AR182" s="130" t="s">
        <v>1956</v>
      </c>
      <c r="AS182" s="130">
        <v>1405</v>
      </c>
      <c r="AT182" s="130">
        <v>3</v>
      </c>
      <c r="AU182" s="130"/>
      <c r="AV182" s="130"/>
      <c r="AW182" s="12" t="str">
        <f t="shared" si="6"/>
        <v/>
      </c>
      <c r="AX182" s="12" t="str">
        <f t="shared" si="5"/>
        <v/>
      </c>
      <c r="AY182" s="12"/>
      <c r="AZ182" s="481"/>
    </row>
    <row r="183" spans="1:52" ht="30" customHeight="1" x14ac:dyDescent="0.2">
      <c r="A183" s="497">
        <v>181</v>
      </c>
      <c r="B183" s="481">
        <v>16</v>
      </c>
      <c r="C183" s="16">
        <v>3</v>
      </c>
      <c r="D183" s="482" t="s">
        <v>6308</v>
      </c>
      <c r="E183" s="482" t="s">
        <v>184</v>
      </c>
      <c r="F183" s="482" t="s">
        <v>8</v>
      </c>
      <c r="G183" s="495"/>
      <c r="H183" s="481"/>
      <c r="I183" s="481" t="s">
        <v>7</v>
      </c>
      <c r="J183" s="360" t="s">
        <v>158</v>
      </c>
      <c r="K183" s="482" t="s">
        <v>3439</v>
      </c>
      <c r="L183" s="482" t="s">
        <v>223</v>
      </c>
      <c r="M183" s="482" t="s">
        <v>226</v>
      </c>
      <c r="N183" s="41" t="s">
        <v>6764</v>
      </c>
      <c r="O183" s="13" t="s">
        <v>69</v>
      </c>
      <c r="P183" s="13" t="s">
        <v>70</v>
      </c>
      <c r="Q183" s="13"/>
      <c r="R183" s="481"/>
      <c r="S183" s="481" t="s">
        <v>2753</v>
      </c>
      <c r="T183" s="481">
        <v>233</v>
      </c>
      <c r="U183" s="482" t="s">
        <v>441</v>
      </c>
      <c r="V183" s="41" t="s">
        <v>6765</v>
      </c>
      <c r="W183" s="13" t="s">
        <v>6141</v>
      </c>
      <c r="X183" s="482" t="s">
        <v>70</v>
      </c>
      <c r="Y183" s="481" t="s">
        <v>5187</v>
      </c>
      <c r="Z183" s="481"/>
      <c r="AA183" s="481"/>
      <c r="AB183" s="16">
        <v>138</v>
      </c>
      <c r="AC183" s="16">
        <v>138</v>
      </c>
      <c r="AD183" s="16"/>
      <c r="AE183" s="16"/>
      <c r="AF183" s="16"/>
      <c r="AG183" s="16"/>
      <c r="AH183" s="16"/>
      <c r="AI183" s="16"/>
      <c r="AJ183" s="481">
        <v>4</v>
      </c>
      <c r="AK183" s="482"/>
      <c r="AL183" s="25" t="s">
        <v>6766</v>
      </c>
      <c r="AM183" s="481"/>
      <c r="AN183" s="481"/>
      <c r="AO183" s="481"/>
      <c r="AP183" s="16"/>
      <c r="AQ183" s="16" t="s">
        <v>5080</v>
      </c>
      <c r="AR183" s="130" t="s">
        <v>1956</v>
      </c>
      <c r="AS183" s="130">
        <v>1405</v>
      </c>
      <c r="AT183" s="130">
        <v>3</v>
      </c>
      <c r="AU183" s="130"/>
      <c r="AV183" s="130"/>
      <c r="AW183" s="12" t="str">
        <f t="shared" si="6"/>
        <v/>
      </c>
      <c r="AX183" s="12" t="str">
        <f t="shared" si="5"/>
        <v/>
      </c>
      <c r="AY183" s="12"/>
      <c r="AZ183" s="481"/>
    </row>
    <row r="184" spans="1:52" ht="30" customHeight="1" x14ac:dyDescent="0.2">
      <c r="A184" s="497">
        <v>182</v>
      </c>
      <c r="B184" s="481">
        <v>17</v>
      </c>
      <c r="C184" s="16">
        <v>3</v>
      </c>
      <c r="D184" s="482" t="s">
        <v>6308</v>
      </c>
      <c r="E184" s="482" t="s">
        <v>3962</v>
      </c>
      <c r="F184" s="482" t="s">
        <v>20</v>
      </c>
      <c r="G184" s="495"/>
      <c r="H184" s="481"/>
      <c r="I184" s="481" t="s">
        <v>7</v>
      </c>
      <c r="J184" s="360" t="s">
        <v>158</v>
      </c>
      <c r="K184" s="482" t="s">
        <v>5577</v>
      </c>
      <c r="L184" s="35" t="s">
        <v>117</v>
      </c>
      <c r="M184" s="35" t="s">
        <v>155</v>
      </c>
      <c r="N184" s="537" t="s">
        <v>6755</v>
      </c>
      <c r="O184" s="13" t="s">
        <v>106</v>
      </c>
      <c r="P184" s="13" t="s">
        <v>107</v>
      </c>
      <c r="Q184" s="13"/>
      <c r="R184" s="481"/>
      <c r="S184" s="33" t="s">
        <v>204</v>
      </c>
      <c r="T184" s="33">
        <v>6609</v>
      </c>
      <c r="U184" s="35" t="s">
        <v>441</v>
      </c>
      <c r="V184" s="41" t="s">
        <v>6791</v>
      </c>
      <c r="W184" s="13" t="s">
        <v>73</v>
      </c>
      <c r="X184" s="537" t="s">
        <v>70</v>
      </c>
      <c r="Y184" s="481" t="s">
        <v>5187</v>
      </c>
      <c r="Z184" s="481" t="s">
        <v>6790</v>
      </c>
      <c r="AA184" s="481">
        <v>180</v>
      </c>
      <c r="AB184" s="16">
        <v>144</v>
      </c>
      <c r="AC184" s="16">
        <v>144</v>
      </c>
      <c r="AD184" s="16">
        <v>81</v>
      </c>
      <c r="AE184" s="16">
        <v>99</v>
      </c>
      <c r="AF184" s="16">
        <v>2</v>
      </c>
      <c r="AG184" s="16">
        <v>45</v>
      </c>
      <c r="AH184" s="16">
        <v>146</v>
      </c>
      <c r="AI184" s="16">
        <v>13</v>
      </c>
      <c r="AJ184" s="481">
        <v>6</v>
      </c>
      <c r="AK184" s="482"/>
      <c r="AL184" s="25" t="s">
        <v>6757</v>
      </c>
      <c r="AM184" s="481">
        <v>146</v>
      </c>
      <c r="AN184" s="481">
        <v>13</v>
      </c>
      <c r="AO184" s="481"/>
      <c r="AP184" s="16"/>
      <c r="AQ184" s="16" t="s">
        <v>5080</v>
      </c>
      <c r="AR184" s="130" t="s">
        <v>231</v>
      </c>
      <c r="AS184" s="130">
        <v>1405</v>
      </c>
      <c r="AT184" s="130">
        <v>3</v>
      </c>
      <c r="AU184" s="130"/>
      <c r="AV184" s="130"/>
      <c r="AW184" s="12" t="str">
        <f t="shared" si="6"/>
        <v/>
      </c>
      <c r="AX184" s="12" t="str">
        <f t="shared" si="5"/>
        <v/>
      </c>
      <c r="AY184" s="12"/>
      <c r="AZ184" s="481"/>
    </row>
    <row r="185" spans="1:52" ht="63" customHeight="1" x14ac:dyDescent="0.2">
      <c r="A185" s="497">
        <v>183</v>
      </c>
      <c r="B185" s="481">
        <v>17</v>
      </c>
      <c r="C185" s="16">
        <v>3</v>
      </c>
      <c r="D185" s="482" t="s">
        <v>6308</v>
      </c>
      <c r="E185" s="482" t="s">
        <v>184</v>
      </c>
      <c r="F185" s="482" t="s">
        <v>8</v>
      </c>
      <c r="G185" s="495"/>
      <c r="H185" s="309" t="s">
        <v>6751</v>
      </c>
      <c r="I185" s="481" t="s">
        <v>83</v>
      </c>
      <c r="J185" s="360" t="s">
        <v>158</v>
      </c>
      <c r="K185" s="482" t="s">
        <v>3439</v>
      </c>
      <c r="L185" s="482"/>
      <c r="M185" s="482" t="s">
        <v>226</v>
      </c>
      <c r="N185" s="41" t="s">
        <v>6764</v>
      </c>
      <c r="O185" s="13" t="s">
        <v>69</v>
      </c>
      <c r="P185" s="13" t="s">
        <v>70</v>
      </c>
      <c r="Q185" s="13"/>
      <c r="R185" s="481"/>
      <c r="S185" s="481" t="s">
        <v>425</v>
      </c>
      <c r="T185" s="481"/>
      <c r="U185" s="482"/>
      <c r="V185" s="41" t="s">
        <v>6765</v>
      </c>
      <c r="W185" s="13" t="s">
        <v>6141</v>
      </c>
      <c r="X185" s="525" t="s">
        <v>70</v>
      </c>
      <c r="Y185" s="481"/>
      <c r="Z185" s="481" t="s">
        <v>6757</v>
      </c>
      <c r="AA185" s="481"/>
      <c r="AB185" s="16">
        <v>138</v>
      </c>
      <c r="AC185" s="16">
        <v>138</v>
      </c>
      <c r="AD185" s="16"/>
      <c r="AE185" s="16"/>
      <c r="AF185" s="16"/>
      <c r="AG185" s="16"/>
      <c r="AH185" s="16"/>
      <c r="AI185" s="16"/>
      <c r="AJ185" s="481">
        <v>4</v>
      </c>
      <c r="AK185" s="482"/>
      <c r="AL185" s="25"/>
      <c r="AM185" s="481"/>
      <c r="AN185" s="481"/>
      <c r="AO185" s="481"/>
      <c r="AP185" s="16"/>
      <c r="AQ185" s="16" t="s">
        <v>5080</v>
      </c>
      <c r="AR185" s="130" t="s">
        <v>1956</v>
      </c>
      <c r="AS185" s="130">
        <v>1405</v>
      </c>
      <c r="AT185" s="130">
        <v>3</v>
      </c>
      <c r="AU185" s="130">
        <v>1405</v>
      </c>
      <c r="AV185" s="130">
        <v>3</v>
      </c>
      <c r="AW185" s="12">
        <f t="shared" si="6"/>
        <v>0</v>
      </c>
      <c r="AX185" s="12">
        <f t="shared" si="5"/>
        <v>0</v>
      </c>
      <c r="AY185" s="12"/>
      <c r="AZ185" s="523" t="s">
        <v>6753</v>
      </c>
    </row>
    <row r="186" spans="1:52" ht="65.25" customHeight="1" x14ac:dyDescent="0.2">
      <c r="A186" s="497">
        <v>184</v>
      </c>
      <c r="B186" s="481">
        <v>17</v>
      </c>
      <c r="C186" s="16">
        <v>3</v>
      </c>
      <c r="D186" s="482" t="s">
        <v>6308</v>
      </c>
      <c r="E186" s="482" t="s">
        <v>4967</v>
      </c>
      <c r="F186" s="482" t="s">
        <v>6105</v>
      </c>
      <c r="G186" s="495"/>
      <c r="H186" s="309" t="s">
        <v>6752</v>
      </c>
      <c r="I186" s="481" t="s">
        <v>83</v>
      </c>
      <c r="J186" s="360" t="s">
        <v>158</v>
      </c>
      <c r="K186" s="521" t="s">
        <v>3439</v>
      </c>
      <c r="L186" s="482"/>
      <c r="M186" s="482" t="s">
        <v>116</v>
      </c>
      <c r="N186" s="41" t="s">
        <v>6694</v>
      </c>
      <c r="O186" s="13" t="s">
        <v>106</v>
      </c>
      <c r="P186" s="13" t="s">
        <v>107</v>
      </c>
      <c r="Q186" s="13"/>
      <c r="R186" s="481"/>
      <c r="S186" s="481" t="s">
        <v>1243</v>
      </c>
      <c r="T186" s="481" t="s">
        <v>3714</v>
      </c>
      <c r="U186" s="482" t="s">
        <v>3714</v>
      </c>
      <c r="V186" s="41" t="s">
        <v>6695</v>
      </c>
      <c r="W186" s="13" t="s">
        <v>106</v>
      </c>
      <c r="X186" s="521" t="s">
        <v>107</v>
      </c>
      <c r="Y186" s="481"/>
      <c r="Z186" s="481" t="s">
        <v>6692</v>
      </c>
      <c r="AA186" s="522">
        <v>152</v>
      </c>
      <c r="AB186" s="16">
        <v>141</v>
      </c>
      <c r="AC186" s="16">
        <v>141</v>
      </c>
      <c r="AD186" s="16"/>
      <c r="AE186" s="16"/>
      <c r="AF186" s="16"/>
      <c r="AG186" s="16"/>
      <c r="AH186" s="16"/>
      <c r="AI186" s="16" t="s">
        <v>3714</v>
      </c>
      <c r="AJ186" s="481">
        <v>4</v>
      </c>
      <c r="AK186" s="482"/>
      <c r="AL186" s="25"/>
      <c r="AM186" s="481"/>
      <c r="AN186" s="481"/>
      <c r="AO186" s="481"/>
      <c r="AP186" s="16"/>
      <c r="AQ186" s="16" t="s">
        <v>160</v>
      </c>
      <c r="AR186" s="130" t="s">
        <v>1956</v>
      </c>
      <c r="AS186" s="130">
        <v>1405</v>
      </c>
      <c r="AT186" s="130">
        <v>3</v>
      </c>
      <c r="AU186" s="130">
        <v>1405</v>
      </c>
      <c r="AV186" s="130">
        <v>3</v>
      </c>
      <c r="AW186" s="12">
        <f t="shared" si="6"/>
        <v>0</v>
      </c>
      <c r="AX186" s="12">
        <f t="shared" si="5"/>
        <v>0</v>
      </c>
      <c r="AY186" s="12"/>
      <c r="AZ186" s="523" t="s">
        <v>6754</v>
      </c>
    </row>
    <row r="187" spans="1:52" ht="30" customHeight="1" x14ac:dyDescent="0.2">
      <c r="A187" s="497">
        <v>185</v>
      </c>
      <c r="B187" s="481">
        <v>18</v>
      </c>
      <c r="C187" s="16">
        <v>3</v>
      </c>
      <c r="D187" s="482" t="s">
        <v>6308</v>
      </c>
      <c r="E187" s="482" t="s">
        <v>6750</v>
      </c>
      <c r="F187" s="482" t="s">
        <v>6</v>
      </c>
      <c r="G187" s="495" t="s">
        <v>6588</v>
      </c>
      <c r="H187" s="481"/>
      <c r="I187" s="481" t="s">
        <v>7</v>
      </c>
      <c r="J187" s="360" t="s">
        <v>158</v>
      </c>
      <c r="K187" s="520" t="s">
        <v>3439</v>
      </c>
      <c r="L187" s="482" t="s">
        <v>155</v>
      </c>
      <c r="M187" s="482" t="s">
        <v>155</v>
      </c>
      <c r="N187" s="41" t="s">
        <v>6755</v>
      </c>
      <c r="O187" s="13" t="s">
        <v>69</v>
      </c>
      <c r="P187" s="13" t="s">
        <v>70</v>
      </c>
      <c r="Q187" s="13"/>
      <c r="R187" s="481"/>
      <c r="S187" s="481" t="s">
        <v>167</v>
      </c>
      <c r="T187" s="481">
        <v>384</v>
      </c>
      <c r="U187" s="482" t="s">
        <v>441</v>
      </c>
      <c r="V187" s="41" t="s">
        <v>6756</v>
      </c>
      <c r="W187" s="13" t="s">
        <v>73</v>
      </c>
      <c r="X187" s="482" t="s">
        <v>70</v>
      </c>
      <c r="Y187" s="481"/>
      <c r="Z187" s="481" t="s">
        <v>6711</v>
      </c>
      <c r="AA187" s="481">
        <v>199</v>
      </c>
      <c r="AB187" s="16">
        <v>183</v>
      </c>
      <c r="AC187" s="16">
        <v>183</v>
      </c>
      <c r="AD187" s="16">
        <v>80</v>
      </c>
      <c r="AE187" s="16">
        <v>96</v>
      </c>
      <c r="AF187" s="16">
        <v>9</v>
      </c>
      <c r="AG187" s="16">
        <v>85</v>
      </c>
      <c r="AH187" s="16">
        <v>190</v>
      </c>
      <c r="AI187" s="16">
        <v>27</v>
      </c>
      <c r="AJ187" s="481">
        <v>6</v>
      </c>
      <c r="AK187" s="482"/>
      <c r="AL187" s="25" t="s">
        <v>6757</v>
      </c>
      <c r="AM187" s="481">
        <v>190</v>
      </c>
      <c r="AN187" s="481">
        <v>27</v>
      </c>
      <c r="AO187" s="481"/>
      <c r="AP187" s="16"/>
      <c r="AQ187" s="16" t="s">
        <v>160</v>
      </c>
      <c r="AR187" s="130" t="s">
        <v>161</v>
      </c>
      <c r="AS187" s="130">
        <v>1405</v>
      </c>
      <c r="AT187" s="130">
        <v>3</v>
      </c>
      <c r="AU187" s="130"/>
      <c r="AV187" s="130"/>
      <c r="AW187" s="12" t="str">
        <f t="shared" si="6"/>
        <v/>
      </c>
      <c r="AX187" s="12" t="str">
        <f t="shared" si="5"/>
        <v/>
      </c>
      <c r="AY187" s="12"/>
      <c r="AZ187" s="481"/>
    </row>
    <row r="188" spans="1:52" ht="30" customHeight="1" x14ac:dyDescent="0.2">
      <c r="A188" s="497">
        <v>186</v>
      </c>
      <c r="B188" s="481">
        <v>19</v>
      </c>
      <c r="C188" s="16">
        <v>3</v>
      </c>
      <c r="D188" s="482" t="s">
        <v>6308</v>
      </c>
      <c r="E188" s="482" t="s">
        <v>1269</v>
      </c>
      <c r="F188" s="482" t="s">
        <v>243</v>
      </c>
      <c r="G188" s="495" t="s">
        <v>6592</v>
      </c>
      <c r="H188" s="481"/>
      <c r="I188" s="481" t="s">
        <v>7</v>
      </c>
      <c r="J188" s="360" t="s">
        <v>158</v>
      </c>
      <c r="K188" s="482" t="s">
        <v>5577</v>
      </c>
      <c r="L188" s="482" t="s">
        <v>218</v>
      </c>
      <c r="M188" s="482" t="s">
        <v>218</v>
      </c>
      <c r="N188" s="41" t="s">
        <v>6768</v>
      </c>
      <c r="O188" s="13" t="s">
        <v>106</v>
      </c>
      <c r="P188" s="13" t="s">
        <v>107</v>
      </c>
      <c r="Q188" s="13"/>
      <c r="R188" s="481"/>
      <c r="S188" s="481" t="s">
        <v>968</v>
      </c>
      <c r="T188" s="481">
        <v>374</v>
      </c>
      <c r="U188" s="482" t="s">
        <v>485</v>
      </c>
      <c r="V188" s="41" t="s">
        <v>6769</v>
      </c>
      <c r="W188" s="13" t="s">
        <v>106</v>
      </c>
      <c r="X188" s="482" t="s">
        <v>107</v>
      </c>
      <c r="Y188" s="481" t="s">
        <v>4420</v>
      </c>
      <c r="Z188" s="481" t="s">
        <v>6748</v>
      </c>
      <c r="AA188" s="481">
        <v>171</v>
      </c>
      <c r="AB188" s="16">
        <v>142</v>
      </c>
      <c r="AC188" s="16">
        <v>142</v>
      </c>
      <c r="AD188" s="16">
        <v>74</v>
      </c>
      <c r="AE188" s="16">
        <v>90</v>
      </c>
      <c r="AF188" s="16">
        <v>11</v>
      </c>
      <c r="AG188" s="16">
        <v>54</v>
      </c>
      <c r="AH188" s="16">
        <v>155</v>
      </c>
      <c r="AI188" s="16">
        <v>35</v>
      </c>
      <c r="AJ188" s="481">
        <v>6</v>
      </c>
      <c r="AK188" s="482"/>
      <c r="AL188" s="25" t="s">
        <v>6763</v>
      </c>
      <c r="AM188" s="481">
        <v>155</v>
      </c>
      <c r="AN188" s="481">
        <v>35</v>
      </c>
      <c r="AO188" s="481"/>
      <c r="AP188" s="16"/>
      <c r="AQ188" s="16" t="s">
        <v>5080</v>
      </c>
      <c r="AR188" s="130" t="s">
        <v>161</v>
      </c>
      <c r="AS188" s="130">
        <v>1405</v>
      </c>
      <c r="AT188" s="130">
        <v>3</v>
      </c>
      <c r="AU188" s="130"/>
      <c r="AV188" s="130"/>
      <c r="AW188" s="12" t="str">
        <f t="shared" si="6"/>
        <v/>
      </c>
      <c r="AX188" s="12" t="str">
        <f t="shared" si="5"/>
        <v/>
      </c>
      <c r="AY188" s="12"/>
      <c r="AZ188" s="481"/>
    </row>
    <row r="189" spans="1:52" ht="30" customHeight="1" x14ac:dyDescent="0.2">
      <c r="A189" s="497">
        <v>187</v>
      </c>
      <c r="B189" s="481">
        <v>19</v>
      </c>
      <c r="C189" s="16">
        <v>3</v>
      </c>
      <c r="D189" s="482" t="s">
        <v>6308</v>
      </c>
      <c r="E189" s="482" t="s">
        <v>184</v>
      </c>
      <c r="F189" s="482" t="s">
        <v>8</v>
      </c>
      <c r="G189" s="495" t="s">
        <v>6592</v>
      </c>
      <c r="H189" s="481"/>
      <c r="I189" s="481" t="s">
        <v>7</v>
      </c>
      <c r="J189" s="360" t="s">
        <v>158</v>
      </c>
      <c r="K189" s="482" t="s">
        <v>3439</v>
      </c>
      <c r="L189" s="482" t="s">
        <v>226</v>
      </c>
      <c r="M189" s="482" t="s">
        <v>226</v>
      </c>
      <c r="N189" s="41" t="s">
        <v>6764</v>
      </c>
      <c r="O189" s="13" t="s">
        <v>69</v>
      </c>
      <c r="P189" s="13" t="s">
        <v>70</v>
      </c>
      <c r="Q189" s="13"/>
      <c r="R189" s="481"/>
      <c r="S189" s="481" t="s">
        <v>425</v>
      </c>
      <c r="T189" s="481">
        <v>233</v>
      </c>
      <c r="U189" s="482" t="s">
        <v>441</v>
      </c>
      <c r="V189" s="41" t="s">
        <v>6765</v>
      </c>
      <c r="W189" s="13" t="s">
        <v>6141</v>
      </c>
      <c r="X189" s="525" t="s">
        <v>70</v>
      </c>
      <c r="Y189" s="481"/>
      <c r="Z189" s="481" t="s">
        <v>6757</v>
      </c>
      <c r="AA189" s="481"/>
      <c r="AB189" s="16">
        <v>138</v>
      </c>
      <c r="AC189" s="16">
        <v>138</v>
      </c>
      <c r="AD189" s="16"/>
      <c r="AE189" s="16"/>
      <c r="AF189" s="16"/>
      <c r="AG189" s="16"/>
      <c r="AH189" s="16"/>
      <c r="AI189" s="16"/>
      <c r="AJ189" s="481">
        <v>4</v>
      </c>
      <c r="AK189" s="482"/>
      <c r="AL189" s="25" t="s">
        <v>6767</v>
      </c>
      <c r="AM189" s="481"/>
      <c r="AN189" s="481"/>
      <c r="AO189" s="481"/>
      <c r="AP189" s="16"/>
      <c r="AQ189" s="16" t="s">
        <v>5080</v>
      </c>
      <c r="AR189" s="130" t="s">
        <v>1956</v>
      </c>
      <c r="AS189" s="130">
        <v>1405</v>
      </c>
      <c r="AT189" s="130">
        <v>3</v>
      </c>
      <c r="AU189" s="130"/>
      <c r="AV189" s="130"/>
      <c r="AW189" s="12" t="str">
        <f t="shared" si="6"/>
        <v/>
      </c>
      <c r="AX189" s="12" t="str">
        <f t="shared" si="5"/>
        <v/>
      </c>
      <c r="AY189" s="12"/>
      <c r="AZ189" s="481"/>
    </row>
    <row r="190" spans="1:52" ht="30" customHeight="1" x14ac:dyDescent="0.2">
      <c r="A190" s="497">
        <v>188</v>
      </c>
      <c r="B190" s="481">
        <v>19</v>
      </c>
      <c r="C190" s="16">
        <v>3</v>
      </c>
      <c r="D190" s="482" t="s">
        <v>6308</v>
      </c>
      <c r="E190" s="482" t="s">
        <v>4967</v>
      </c>
      <c r="F190" s="482" t="s">
        <v>6105</v>
      </c>
      <c r="G190" s="495" t="s">
        <v>6592</v>
      </c>
      <c r="H190" s="481"/>
      <c r="I190" s="481" t="s">
        <v>7</v>
      </c>
      <c r="J190" s="360" t="s">
        <v>158</v>
      </c>
      <c r="K190" s="525" t="s">
        <v>3439</v>
      </c>
      <c r="L190" s="482" t="s">
        <v>116</v>
      </c>
      <c r="M190" s="482" t="s">
        <v>116</v>
      </c>
      <c r="N190" s="41" t="s">
        <v>6694</v>
      </c>
      <c r="O190" s="13" t="s">
        <v>106</v>
      </c>
      <c r="P190" s="13" t="s">
        <v>107</v>
      </c>
      <c r="Q190" s="13"/>
      <c r="R190" s="481"/>
      <c r="S190" s="481" t="s">
        <v>1243</v>
      </c>
      <c r="T190" s="481">
        <v>193</v>
      </c>
      <c r="U190" s="482" t="s">
        <v>441</v>
      </c>
      <c r="V190" s="41" t="s">
        <v>6695</v>
      </c>
      <c r="W190" s="13" t="s">
        <v>106</v>
      </c>
      <c r="X190" s="482" t="s">
        <v>107</v>
      </c>
      <c r="Y190" s="481" t="s">
        <v>4420</v>
      </c>
      <c r="Z190" s="481" t="s">
        <v>6762</v>
      </c>
      <c r="AA190" s="481">
        <v>152</v>
      </c>
      <c r="AB190" s="16">
        <v>141</v>
      </c>
      <c r="AC190" s="16">
        <v>141</v>
      </c>
      <c r="AD190" s="16">
        <v>90</v>
      </c>
      <c r="AE190" s="16">
        <v>96</v>
      </c>
      <c r="AF190" s="16">
        <v>2</v>
      </c>
      <c r="AG190" s="16">
        <v>20</v>
      </c>
      <c r="AH190" s="16">
        <v>120</v>
      </c>
      <c r="AI190" s="16">
        <v>4</v>
      </c>
      <c r="AJ190" s="481">
        <v>4</v>
      </c>
      <c r="AK190" s="482"/>
      <c r="AL190" s="25" t="s">
        <v>6763</v>
      </c>
      <c r="AM190" s="481">
        <v>120</v>
      </c>
      <c r="AN190" s="481">
        <v>4</v>
      </c>
      <c r="AO190" s="481"/>
      <c r="AP190" s="16"/>
      <c r="AQ190" s="16" t="s">
        <v>160</v>
      </c>
      <c r="AR190" s="130" t="s">
        <v>1956</v>
      </c>
      <c r="AS190" s="130">
        <v>1405</v>
      </c>
      <c r="AT190" s="130">
        <v>3</v>
      </c>
      <c r="AU190" s="130"/>
      <c r="AV190" s="130"/>
      <c r="AW190" s="12" t="str">
        <f t="shared" si="6"/>
        <v/>
      </c>
      <c r="AX190" s="12" t="str">
        <f t="shared" si="5"/>
        <v/>
      </c>
      <c r="AY190" s="12"/>
      <c r="AZ190" s="481"/>
    </row>
    <row r="191" spans="1:52" ht="30" customHeight="1" x14ac:dyDescent="0.2">
      <c r="A191" s="497">
        <v>189</v>
      </c>
      <c r="B191" s="481">
        <v>19</v>
      </c>
      <c r="C191" s="16">
        <v>3</v>
      </c>
      <c r="D191" s="482" t="s">
        <v>6308</v>
      </c>
      <c r="E191" s="482" t="s">
        <v>5802</v>
      </c>
      <c r="F191" s="482" t="s">
        <v>6105</v>
      </c>
      <c r="G191" s="495" t="s">
        <v>6592</v>
      </c>
      <c r="H191" s="481" t="s">
        <v>922</v>
      </c>
      <c r="I191" s="481" t="s">
        <v>83</v>
      </c>
      <c r="J191" s="360" t="s">
        <v>158</v>
      </c>
      <c r="K191" s="482" t="s">
        <v>2167</v>
      </c>
      <c r="L191" s="482"/>
      <c r="M191" s="525" t="s">
        <v>155</v>
      </c>
      <c r="N191" s="525" t="s">
        <v>5806</v>
      </c>
      <c r="O191" s="41" t="s">
        <v>69</v>
      </c>
      <c r="P191" s="13" t="s">
        <v>70</v>
      </c>
      <c r="Q191" s="13"/>
      <c r="R191" s="481"/>
      <c r="S191" s="481" t="s">
        <v>170</v>
      </c>
      <c r="T191" s="481"/>
      <c r="U191" s="482"/>
      <c r="V191" s="525" t="s">
        <v>5807</v>
      </c>
      <c r="W191" s="41" t="s">
        <v>142</v>
      </c>
      <c r="X191" s="13" t="s">
        <v>70</v>
      </c>
      <c r="Y191" s="481"/>
      <c r="Z191" s="481" t="s">
        <v>6758</v>
      </c>
      <c r="AA191" s="481">
        <v>250</v>
      </c>
      <c r="AB191" s="16">
        <v>238</v>
      </c>
      <c r="AC191" s="16">
        <v>238</v>
      </c>
      <c r="AD191" s="16"/>
      <c r="AE191" s="16"/>
      <c r="AF191" s="16"/>
      <c r="AG191" s="16"/>
      <c r="AH191" s="16"/>
      <c r="AI191" s="16"/>
      <c r="AJ191" s="481">
        <v>6</v>
      </c>
      <c r="AK191" s="482"/>
      <c r="AL191" s="25"/>
      <c r="AM191" s="481"/>
      <c r="AN191" s="481"/>
      <c r="AO191" s="481"/>
      <c r="AP191" s="16"/>
      <c r="AQ191" s="16" t="s">
        <v>160</v>
      </c>
      <c r="AR191" s="130" t="s">
        <v>165</v>
      </c>
      <c r="AS191" s="130">
        <v>1405</v>
      </c>
      <c r="AT191" s="130">
        <v>3</v>
      </c>
      <c r="AU191" s="130"/>
      <c r="AV191" s="130"/>
      <c r="AW191" s="12" t="str">
        <f t="shared" si="6"/>
        <v/>
      </c>
      <c r="AX191" s="12" t="str">
        <f t="shared" si="5"/>
        <v/>
      </c>
      <c r="AY191" s="12"/>
      <c r="AZ191" s="481"/>
    </row>
    <row r="192" spans="1:52" ht="30" customHeight="1" x14ac:dyDescent="0.2">
      <c r="A192" s="497">
        <v>190</v>
      </c>
      <c r="B192" s="481">
        <v>20</v>
      </c>
      <c r="C192" s="16">
        <v>3</v>
      </c>
      <c r="D192" s="482" t="s">
        <v>6308</v>
      </c>
      <c r="E192" s="482" t="s">
        <v>6503</v>
      </c>
      <c r="F192" s="482" t="s">
        <v>20</v>
      </c>
      <c r="G192" s="495" t="s">
        <v>6592</v>
      </c>
      <c r="H192" s="481"/>
      <c r="I192" s="481" t="s">
        <v>7</v>
      </c>
      <c r="J192" s="360" t="s">
        <v>158</v>
      </c>
      <c r="K192" s="482" t="s">
        <v>5577</v>
      </c>
      <c r="L192" s="482" t="s">
        <v>155</v>
      </c>
      <c r="M192" s="482" t="s">
        <v>155</v>
      </c>
      <c r="N192" s="41" t="s">
        <v>6760</v>
      </c>
      <c r="O192" s="13" t="s">
        <v>69</v>
      </c>
      <c r="P192" s="13" t="s">
        <v>70</v>
      </c>
      <c r="Q192" s="13"/>
      <c r="R192" s="481"/>
      <c r="S192" s="481" t="s">
        <v>167</v>
      </c>
      <c r="T192" s="481">
        <v>384</v>
      </c>
      <c r="U192" s="482" t="s">
        <v>441</v>
      </c>
      <c r="V192" s="41" t="s">
        <v>6645</v>
      </c>
      <c r="W192" s="13" t="s">
        <v>106</v>
      </c>
      <c r="X192" s="525" t="s">
        <v>107</v>
      </c>
      <c r="Y192" s="524" t="s">
        <v>4420</v>
      </c>
      <c r="Z192" s="481" t="s">
        <v>6757</v>
      </c>
      <c r="AA192" s="524">
        <v>219</v>
      </c>
      <c r="AB192" s="16">
        <v>210</v>
      </c>
      <c r="AC192" s="16">
        <v>210</v>
      </c>
      <c r="AD192" s="16">
        <v>95</v>
      </c>
      <c r="AE192" s="16">
        <v>156</v>
      </c>
      <c r="AF192" s="16">
        <v>8</v>
      </c>
      <c r="AG192" s="16">
        <v>38</v>
      </c>
      <c r="AH192" s="16">
        <v>202</v>
      </c>
      <c r="AI192" s="16">
        <v>24</v>
      </c>
      <c r="AJ192" s="524">
        <v>6</v>
      </c>
      <c r="AK192" s="482"/>
      <c r="AL192" s="25" t="s">
        <v>6761</v>
      </c>
      <c r="AM192" s="481">
        <v>202</v>
      </c>
      <c r="AN192" s="481">
        <v>24</v>
      </c>
      <c r="AO192" s="481"/>
      <c r="AP192" s="16"/>
      <c r="AQ192" s="16" t="s">
        <v>160</v>
      </c>
      <c r="AR192" s="130" t="s">
        <v>193</v>
      </c>
      <c r="AS192" s="130">
        <v>1405</v>
      </c>
      <c r="AT192" s="130">
        <v>3</v>
      </c>
      <c r="AU192" s="130"/>
      <c r="AV192" s="130"/>
      <c r="AW192" s="12" t="str">
        <f t="shared" si="6"/>
        <v/>
      </c>
      <c r="AX192" s="12" t="str">
        <f t="shared" si="5"/>
        <v/>
      </c>
      <c r="AY192" s="12"/>
      <c r="AZ192" s="481"/>
    </row>
    <row r="193" spans="1:52" ht="30" customHeight="1" x14ac:dyDescent="0.2">
      <c r="A193" s="497">
        <v>191</v>
      </c>
      <c r="B193" s="481">
        <v>20</v>
      </c>
      <c r="C193" s="16">
        <v>3</v>
      </c>
      <c r="D193" s="482" t="s">
        <v>6308</v>
      </c>
      <c r="E193" s="482" t="s">
        <v>1224</v>
      </c>
      <c r="F193" s="482" t="s">
        <v>10</v>
      </c>
      <c r="G193" s="495" t="s">
        <v>6592</v>
      </c>
      <c r="H193" s="481" t="s">
        <v>2184</v>
      </c>
      <c r="I193" s="481" t="s">
        <v>83</v>
      </c>
      <c r="J193" s="360" t="s">
        <v>158</v>
      </c>
      <c r="K193" s="482" t="s">
        <v>3439</v>
      </c>
      <c r="L193" s="482"/>
      <c r="M193" s="482" t="s">
        <v>155</v>
      </c>
      <c r="N193" s="41"/>
      <c r="O193" s="13" t="s">
        <v>106</v>
      </c>
      <c r="P193" s="13" t="s">
        <v>107</v>
      </c>
      <c r="Q193" s="13"/>
      <c r="R193" s="481"/>
      <c r="S193" s="481" t="s">
        <v>324</v>
      </c>
      <c r="T193" s="481"/>
      <c r="U193" s="482"/>
      <c r="V193" s="41"/>
      <c r="W193" s="13" t="s">
        <v>106</v>
      </c>
      <c r="X193" s="526" t="s">
        <v>107</v>
      </c>
      <c r="Y193" s="481"/>
      <c r="Z193" s="481" t="s">
        <v>4294</v>
      </c>
      <c r="AA193" s="481">
        <v>247</v>
      </c>
      <c r="AB193" s="16">
        <v>222</v>
      </c>
      <c r="AC193" s="16">
        <v>222</v>
      </c>
      <c r="AD193" s="16"/>
      <c r="AE193" s="16"/>
      <c r="AF193" s="16"/>
      <c r="AG193" s="16"/>
      <c r="AH193" s="16"/>
      <c r="AI193" s="16"/>
      <c r="AJ193" s="481">
        <v>6</v>
      </c>
      <c r="AK193" s="482"/>
      <c r="AL193" s="25"/>
      <c r="AM193" s="481"/>
      <c r="AN193" s="481"/>
      <c r="AO193" s="481"/>
      <c r="AP193" s="16"/>
      <c r="AQ193" s="16" t="s">
        <v>160</v>
      </c>
      <c r="AR193" s="130" t="s">
        <v>165</v>
      </c>
      <c r="AS193" s="130">
        <v>1405</v>
      </c>
      <c r="AT193" s="130">
        <v>3</v>
      </c>
      <c r="AU193" s="130">
        <v>1402</v>
      </c>
      <c r="AV193" s="130">
        <v>12</v>
      </c>
      <c r="AW193" s="12">
        <f t="shared" si="6"/>
        <v>27</v>
      </c>
      <c r="AX193" s="12" t="str">
        <f t="shared" si="5"/>
        <v/>
      </c>
      <c r="AY193" s="12"/>
      <c r="AZ193" s="481"/>
    </row>
    <row r="194" spans="1:52" ht="30" customHeight="1" x14ac:dyDescent="0.2">
      <c r="A194" s="497">
        <v>192</v>
      </c>
      <c r="B194" s="481">
        <v>21</v>
      </c>
      <c r="C194" s="16">
        <v>3</v>
      </c>
      <c r="D194" s="482" t="s">
        <v>6308</v>
      </c>
      <c r="E194" s="482" t="s">
        <v>6771</v>
      </c>
      <c r="F194" s="482" t="s">
        <v>8</v>
      </c>
      <c r="G194" s="495" t="s">
        <v>6592</v>
      </c>
      <c r="H194" s="481" t="s">
        <v>504</v>
      </c>
      <c r="I194" s="481" t="s">
        <v>83</v>
      </c>
      <c r="J194" s="360" t="s">
        <v>158</v>
      </c>
      <c r="K194" s="482" t="s">
        <v>5577</v>
      </c>
      <c r="L194" s="482"/>
      <c r="M194" s="482" t="s">
        <v>68</v>
      </c>
      <c r="N194" s="41"/>
      <c r="O194" s="13" t="s">
        <v>106</v>
      </c>
      <c r="P194" s="13" t="s">
        <v>107</v>
      </c>
      <c r="Q194" s="13"/>
      <c r="R194" s="481"/>
      <c r="S194" s="481" t="s">
        <v>5357</v>
      </c>
      <c r="T194" s="481"/>
      <c r="U194" s="482"/>
      <c r="V194" s="41"/>
      <c r="W194" s="13" t="s">
        <v>106</v>
      </c>
      <c r="X194" s="526" t="s">
        <v>107</v>
      </c>
      <c r="Y194" s="481"/>
      <c r="Z194" s="481" t="s">
        <v>6446</v>
      </c>
      <c r="AA194" s="481">
        <v>233</v>
      </c>
      <c r="AB194" s="16">
        <v>210</v>
      </c>
      <c r="AC194" s="16">
        <v>210</v>
      </c>
      <c r="AD194" s="16"/>
      <c r="AE194" s="16"/>
      <c r="AF194" s="16"/>
      <c r="AG194" s="16"/>
      <c r="AH194" s="16"/>
      <c r="AI194" s="16"/>
      <c r="AJ194" s="481">
        <v>6</v>
      </c>
      <c r="AK194" s="482"/>
      <c r="AL194" s="25"/>
      <c r="AM194" s="481"/>
      <c r="AN194" s="481"/>
      <c r="AO194" s="481"/>
      <c r="AP194" s="16"/>
      <c r="AQ194" s="16" t="s">
        <v>160</v>
      </c>
      <c r="AR194" s="130" t="s">
        <v>193</v>
      </c>
      <c r="AS194" s="130">
        <v>1405</v>
      </c>
      <c r="AT194" s="130">
        <v>3</v>
      </c>
      <c r="AU194" s="130">
        <v>1403</v>
      </c>
      <c r="AV194" s="130">
        <v>7</v>
      </c>
      <c r="AW194" s="12">
        <f t="shared" si="6"/>
        <v>20</v>
      </c>
      <c r="AX194" s="12" t="str">
        <f t="shared" si="5"/>
        <v/>
      </c>
      <c r="AY194" s="12"/>
      <c r="AZ194" s="481"/>
    </row>
    <row r="195" spans="1:52" ht="90" customHeight="1" x14ac:dyDescent="0.2">
      <c r="A195" s="497">
        <v>193</v>
      </c>
      <c r="B195" s="481">
        <v>21</v>
      </c>
      <c r="C195" s="16">
        <v>3</v>
      </c>
      <c r="D195" s="482" t="s">
        <v>6308</v>
      </c>
      <c r="E195" s="482" t="s">
        <v>6772</v>
      </c>
      <c r="F195" s="482" t="s">
        <v>66</v>
      </c>
      <c r="G195" s="495" t="s">
        <v>6592</v>
      </c>
      <c r="H195" s="481" t="s">
        <v>222</v>
      </c>
      <c r="I195" s="481" t="s">
        <v>83</v>
      </c>
      <c r="J195" s="360" t="s">
        <v>158</v>
      </c>
      <c r="K195" s="482" t="s">
        <v>3439</v>
      </c>
      <c r="L195" s="482"/>
      <c r="M195" s="482" t="s">
        <v>2497</v>
      </c>
      <c r="N195" s="41"/>
      <c r="O195" s="13" t="s">
        <v>106</v>
      </c>
      <c r="P195" s="13" t="s">
        <v>107</v>
      </c>
      <c r="Q195" s="13"/>
      <c r="R195" s="481"/>
      <c r="S195" s="481" t="s">
        <v>1243</v>
      </c>
      <c r="T195" s="481"/>
      <c r="U195" s="482"/>
      <c r="V195" s="41"/>
      <c r="W195" s="13" t="s">
        <v>106</v>
      </c>
      <c r="X195" s="526" t="s">
        <v>107</v>
      </c>
      <c r="Y195" s="481"/>
      <c r="Z195" s="481" t="s">
        <v>3714</v>
      </c>
      <c r="AA195" s="481"/>
      <c r="AB195" s="16">
        <v>120</v>
      </c>
      <c r="AC195" s="16">
        <v>120</v>
      </c>
      <c r="AD195" s="16"/>
      <c r="AE195" s="16"/>
      <c r="AF195" s="16"/>
      <c r="AG195" s="16"/>
      <c r="AH195" s="16"/>
      <c r="AI195" s="16"/>
      <c r="AJ195" s="481">
        <v>4</v>
      </c>
      <c r="AK195" s="482"/>
      <c r="AL195" s="25"/>
      <c r="AM195" s="481"/>
      <c r="AN195" s="481"/>
      <c r="AO195" s="481"/>
      <c r="AP195" s="16"/>
      <c r="AQ195" s="16"/>
      <c r="AR195" s="130"/>
      <c r="AS195" s="130">
        <v>1405</v>
      </c>
      <c r="AT195" s="130">
        <v>3</v>
      </c>
      <c r="AU195" s="130"/>
      <c r="AV195" s="130"/>
      <c r="AW195" s="12" t="str">
        <f t="shared" si="6"/>
        <v/>
      </c>
      <c r="AX195" s="12" t="str">
        <f t="shared" si="5"/>
        <v/>
      </c>
      <c r="AY195" s="12"/>
      <c r="AZ195" s="523" t="s">
        <v>6794</v>
      </c>
    </row>
    <row r="196" spans="1:52" ht="30" customHeight="1" x14ac:dyDescent="0.2">
      <c r="A196" s="497">
        <v>194</v>
      </c>
      <c r="B196" s="481">
        <v>21</v>
      </c>
      <c r="C196" s="16">
        <v>3</v>
      </c>
      <c r="D196" s="482" t="s">
        <v>6308</v>
      </c>
      <c r="E196" s="482" t="s">
        <v>6773</v>
      </c>
      <c r="F196" s="482" t="s">
        <v>66</v>
      </c>
      <c r="G196" s="495" t="s">
        <v>6592</v>
      </c>
      <c r="H196" s="481" t="s">
        <v>222</v>
      </c>
      <c r="I196" s="481" t="s">
        <v>83</v>
      </c>
      <c r="J196" s="360" t="s">
        <v>158</v>
      </c>
      <c r="K196" s="482" t="s">
        <v>3439</v>
      </c>
      <c r="L196" s="482"/>
      <c r="M196" s="482" t="s">
        <v>2497</v>
      </c>
      <c r="N196" s="41"/>
      <c r="O196" s="13" t="s">
        <v>106</v>
      </c>
      <c r="P196" s="13" t="s">
        <v>107</v>
      </c>
      <c r="Q196" s="13"/>
      <c r="R196" s="481"/>
      <c r="S196" s="481" t="s">
        <v>2498</v>
      </c>
      <c r="T196" s="481"/>
      <c r="U196" s="482"/>
      <c r="V196" s="41"/>
      <c r="W196" s="13" t="s">
        <v>106</v>
      </c>
      <c r="X196" s="482" t="s">
        <v>107</v>
      </c>
      <c r="Y196" s="481"/>
      <c r="Z196" s="481"/>
      <c r="AA196" s="481"/>
      <c r="AB196" s="16">
        <v>108</v>
      </c>
      <c r="AC196" s="16">
        <v>108</v>
      </c>
      <c r="AD196" s="16"/>
      <c r="AE196" s="16"/>
      <c r="AF196" s="16"/>
      <c r="AG196" s="16"/>
      <c r="AH196" s="16"/>
      <c r="AI196" s="16"/>
      <c r="AJ196" s="481">
        <v>4</v>
      </c>
      <c r="AK196" s="482"/>
      <c r="AL196" s="25"/>
      <c r="AM196" s="481"/>
      <c r="AN196" s="481"/>
      <c r="AO196" s="481"/>
      <c r="AP196" s="16"/>
      <c r="AQ196" s="16"/>
      <c r="AR196" s="130"/>
      <c r="AS196" s="130">
        <v>1405</v>
      </c>
      <c r="AT196" s="130">
        <v>3</v>
      </c>
      <c r="AU196" s="130"/>
      <c r="AV196" s="130"/>
      <c r="AW196" s="12" t="str">
        <f t="shared" si="6"/>
        <v/>
      </c>
      <c r="AX196" s="12" t="str">
        <f t="shared" si="5"/>
        <v/>
      </c>
      <c r="AY196" s="12"/>
      <c r="AZ196" s="481"/>
    </row>
    <row r="197" spans="1:52" ht="30" customHeight="1" x14ac:dyDescent="0.2">
      <c r="A197" s="497">
        <v>195</v>
      </c>
      <c r="B197" s="481">
        <v>21</v>
      </c>
      <c r="C197" s="16">
        <v>3</v>
      </c>
      <c r="D197" s="482" t="s">
        <v>6308</v>
      </c>
      <c r="E197" s="482" t="s">
        <v>4064</v>
      </c>
      <c r="F197" s="482" t="s">
        <v>20</v>
      </c>
      <c r="G197" s="495" t="s">
        <v>6592</v>
      </c>
      <c r="H197" s="481" t="s">
        <v>6469</v>
      </c>
      <c r="I197" s="481" t="s">
        <v>7</v>
      </c>
      <c r="J197" s="360" t="s">
        <v>158</v>
      </c>
      <c r="K197" s="482" t="s">
        <v>6454</v>
      </c>
      <c r="L197" s="482"/>
      <c r="M197" s="482" t="s">
        <v>155</v>
      </c>
      <c r="N197" s="41" t="s">
        <v>6779</v>
      </c>
      <c r="O197" s="13" t="s">
        <v>106</v>
      </c>
      <c r="P197" s="13" t="s">
        <v>107</v>
      </c>
      <c r="Q197" s="13"/>
      <c r="R197" s="481"/>
      <c r="S197" s="481" t="s">
        <v>6780</v>
      </c>
      <c r="T197" s="481">
        <v>345</v>
      </c>
      <c r="U197" s="482" t="s">
        <v>718</v>
      </c>
      <c r="V197" s="41" t="s">
        <v>6608</v>
      </c>
      <c r="W197" s="13" t="s">
        <v>69</v>
      </c>
      <c r="X197" s="13" t="s">
        <v>70</v>
      </c>
      <c r="Y197" s="481"/>
      <c r="Z197" s="481"/>
      <c r="AA197" s="481"/>
      <c r="AB197" s="16"/>
      <c r="AC197" s="16">
        <v>234</v>
      </c>
      <c r="AD197" s="16">
        <v>73</v>
      </c>
      <c r="AE197" s="16">
        <v>88</v>
      </c>
      <c r="AF197" s="16">
        <v>7</v>
      </c>
      <c r="AG197" s="16">
        <v>90</v>
      </c>
      <c r="AH197" s="16">
        <v>185</v>
      </c>
      <c r="AI197" s="16">
        <v>22</v>
      </c>
      <c r="AJ197" s="481">
        <v>6</v>
      </c>
      <c r="AK197" s="482"/>
      <c r="AL197" s="25" t="s">
        <v>6761</v>
      </c>
      <c r="AM197" s="481">
        <v>185</v>
      </c>
      <c r="AN197" s="481">
        <v>22</v>
      </c>
      <c r="AO197" s="481"/>
      <c r="AP197" s="16"/>
      <c r="AQ197" s="16" t="s">
        <v>160</v>
      </c>
      <c r="AR197" s="130" t="s">
        <v>165</v>
      </c>
      <c r="AS197" s="130">
        <v>1405</v>
      </c>
      <c r="AT197" s="130">
        <v>3</v>
      </c>
      <c r="AU197" s="130"/>
      <c r="AV197" s="130"/>
      <c r="AW197" s="12" t="str">
        <f t="shared" si="6"/>
        <v/>
      </c>
      <c r="AX197" s="12" t="str">
        <f t="shared" si="5"/>
        <v/>
      </c>
      <c r="AY197" s="12"/>
      <c r="AZ197" s="481"/>
    </row>
    <row r="198" spans="1:52" s="533" customFormat="1" ht="90.75" customHeight="1" x14ac:dyDescent="0.2">
      <c r="A198" s="309">
        <v>196</v>
      </c>
      <c r="B198" s="309">
        <v>21</v>
      </c>
      <c r="C198" s="527">
        <v>3</v>
      </c>
      <c r="D198" s="308" t="s">
        <v>6308</v>
      </c>
      <c r="E198" s="308" t="s">
        <v>6774</v>
      </c>
      <c r="F198" s="308" t="s">
        <v>66</v>
      </c>
      <c r="G198" s="308" t="s">
        <v>6592</v>
      </c>
      <c r="H198" s="309"/>
      <c r="I198" s="309" t="s">
        <v>83</v>
      </c>
      <c r="J198" s="528" t="s">
        <v>158</v>
      </c>
      <c r="K198" s="308" t="s">
        <v>66</v>
      </c>
      <c r="L198" s="308"/>
      <c r="M198" s="308" t="s">
        <v>2497</v>
      </c>
      <c r="N198" s="57"/>
      <c r="O198" s="529" t="s">
        <v>106</v>
      </c>
      <c r="P198" s="529" t="s">
        <v>107</v>
      </c>
      <c r="Q198" s="529"/>
      <c r="R198" s="309"/>
      <c r="S198" s="309" t="s">
        <v>2498</v>
      </c>
      <c r="T198" s="309"/>
      <c r="U198" s="308"/>
      <c r="V198" s="57"/>
      <c r="W198" s="529" t="s">
        <v>106</v>
      </c>
      <c r="X198" s="529" t="s">
        <v>107</v>
      </c>
      <c r="Y198" s="309" t="s">
        <v>4420</v>
      </c>
      <c r="Z198" s="309"/>
      <c r="AA198" s="309"/>
      <c r="AB198" s="527"/>
      <c r="AC198" s="527"/>
      <c r="AD198" s="527"/>
      <c r="AE198" s="527"/>
      <c r="AF198" s="527"/>
      <c r="AG198" s="527"/>
      <c r="AH198" s="527"/>
      <c r="AI198" s="527"/>
      <c r="AJ198" s="309"/>
      <c r="AK198" s="308"/>
      <c r="AL198" s="530"/>
      <c r="AM198" s="309"/>
      <c r="AN198" s="309"/>
      <c r="AO198" s="309"/>
      <c r="AP198" s="527"/>
      <c r="AQ198" s="527"/>
      <c r="AR198" s="531"/>
      <c r="AS198" s="531">
        <v>1405</v>
      </c>
      <c r="AT198" s="531">
        <v>3</v>
      </c>
      <c r="AU198" s="531"/>
      <c r="AV198" s="531"/>
      <c r="AW198" s="532" t="str">
        <f t="shared" si="6"/>
        <v/>
      </c>
      <c r="AX198" s="532" t="str">
        <f t="shared" si="5"/>
        <v/>
      </c>
      <c r="AY198" s="532"/>
      <c r="AZ198" s="523" t="s">
        <v>6793</v>
      </c>
    </row>
    <row r="199" spans="1:52" s="533" customFormat="1" ht="60.75" customHeight="1" x14ac:dyDescent="0.2">
      <c r="A199" s="309">
        <v>197</v>
      </c>
      <c r="B199" s="309">
        <v>21</v>
      </c>
      <c r="C199" s="527">
        <v>3</v>
      </c>
      <c r="D199" s="308" t="s">
        <v>6308</v>
      </c>
      <c r="E199" s="308" t="s">
        <v>6774</v>
      </c>
      <c r="F199" s="308" t="s">
        <v>66</v>
      </c>
      <c r="G199" s="308" t="s">
        <v>6592</v>
      </c>
      <c r="H199" s="309"/>
      <c r="I199" s="309" t="s">
        <v>7</v>
      </c>
      <c r="J199" s="528" t="s">
        <v>158</v>
      </c>
      <c r="K199" s="308" t="s">
        <v>66</v>
      </c>
      <c r="L199" s="308" t="s">
        <v>2497</v>
      </c>
      <c r="M199" s="308" t="s">
        <v>2497</v>
      </c>
      <c r="N199" s="57" t="s">
        <v>6775</v>
      </c>
      <c r="O199" s="529" t="s">
        <v>106</v>
      </c>
      <c r="P199" s="529" t="s">
        <v>107</v>
      </c>
      <c r="Q199" s="529"/>
      <c r="R199" s="309"/>
      <c r="S199" s="309" t="s">
        <v>2498</v>
      </c>
      <c r="T199" s="309">
        <v>152</v>
      </c>
      <c r="U199" s="308" t="s">
        <v>1581</v>
      </c>
      <c r="V199" s="57" t="s">
        <v>6776</v>
      </c>
      <c r="W199" s="529" t="s">
        <v>106</v>
      </c>
      <c r="X199" s="529" t="s">
        <v>107</v>
      </c>
      <c r="Y199" s="309" t="s">
        <v>4420</v>
      </c>
      <c r="Z199" s="309"/>
      <c r="AA199" s="309"/>
      <c r="AB199" s="527"/>
      <c r="AC199" s="527"/>
      <c r="AD199" s="527"/>
      <c r="AE199" s="527"/>
      <c r="AF199" s="527"/>
      <c r="AG199" s="527"/>
      <c r="AH199" s="527"/>
      <c r="AI199" s="527"/>
      <c r="AJ199" s="309"/>
      <c r="AK199" s="308"/>
      <c r="AL199" s="530" t="s">
        <v>6777</v>
      </c>
      <c r="AM199" s="309"/>
      <c r="AN199" s="309"/>
      <c r="AO199" s="309"/>
      <c r="AP199" s="527"/>
      <c r="AQ199" s="527"/>
      <c r="AR199" s="531"/>
      <c r="AS199" s="531">
        <v>1405</v>
      </c>
      <c r="AT199" s="531">
        <v>3</v>
      </c>
      <c r="AU199" s="531"/>
      <c r="AV199" s="531"/>
      <c r="AW199" s="532" t="str">
        <f t="shared" si="6"/>
        <v/>
      </c>
      <c r="AX199" s="532" t="str">
        <f t="shared" si="5"/>
        <v/>
      </c>
      <c r="AY199" s="532"/>
      <c r="AZ199" s="59" t="s">
        <v>6778</v>
      </c>
    </row>
    <row r="200" spans="1:52" ht="137.25" customHeight="1" x14ac:dyDescent="0.2">
      <c r="A200" s="497">
        <v>198</v>
      </c>
      <c r="B200" s="481">
        <v>22</v>
      </c>
      <c r="C200" s="16">
        <v>3</v>
      </c>
      <c r="D200" s="482" t="s">
        <v>6308</v>
      </c>
      <c r="E200" s="482" t="s">
        <v>6781</v>
      </c>
      <c r="F200" s="482" t="s">
        <v>2981</v>
      </c>
      <c r="G200" s="495" t="s">
        <v>6588</v>
      </c>
      <c r="H200" s="481" t="s">
        <v>504</v>
      </c>
      <c r="I200" s="481" t="s">
        <v>83</v>
      </c>
      <c r="J200" s="360" t="s">
        <v>158</v>
      </c>
      <c r="K200" s="482" t="s">
        <v>5577</v>
      </c>
      <c r="L200" s="482"/>
      <c r="M200" s="482" t="s">
        <v>334</v>
      </c>
      <c r="N200" s="41"/>
      <c r="O200" s="529" t="s">
        <v>106</v>
      </c>
      <c r="P200" s="529" t="s">
        <v>107</v>
      </c>
      <c r="Q200" s="13"/>
      <c r="R200" s="481"/>
      <c r="S200" s="481" t="s">
        <v>336</v>
      </c>
      <c r="T200" s="481"/>
      <c r="U200" s="482"/>
      <c r="V200" s="41"/>
      <c r="W200" s="13" t="s">
        <v>106</v>
      </c>
      <c r="X200" s="482" t="s">
        <v>107</v>
      </c>
      <c r="Y200" s="481"/>
      <c r="Z200" s="481" t="s">
        <v>6782</v>
      </c>
      <c r="AA200" s="481"/>
      <c r="AB200" s="16"/>
      <c r="AC200" s="16">
        <v>192</v>
      </c>
      <c r="AD200" s="16"/>
      <c r="AE200" s="16"/>
      <c r="AF200" s="16"/>
      <c r="AG200" s="16"/>
      <c r="AH200" s="16"/>
      <c r="AI200" s="16"/>
      <c r="AJ200" s="481">
        <v>4</v>
      </c>
      <c r="AK200" s="482"/>
      <c r="AL200" s="25"/>
      <c r="AM200" s="481"/>
      <c r="AN200" s="481"/>
      <c r="AO200" s="481"/>
      <c r="AP200" s="16"/>
      <c r="AQ200" s="16" t="s">
        <v>160</v>
      </c>
      <c r="AR200" s="130" t="s">
        <v>231</v>
      </c>
      <c r="AS200" s="130">
        <v>1405</v>
      </c>
      <c r="AT200" s="130">
        <v>3</v>
      </c>
      <c r="AU200" s="130">
        <v>1403</v>
      </c>
      <c r="AV200" s="130">
        <v>7</v>
      </c>
      <c r="AW200" s="12">
        <f t="shared" si="6"/>
        <v>20</v>
      </c>
      <c r="AX200" s="12" t="str">
        <f t="shared" si="5"/>
        <v/>
      </c>
      <c r="AY200" s="12"/>
      <c r="AZ200" s="523" t="s">
        <v>6795</v>
      </c>
    </row>
    <row r="201" spans="1:52" ht="89.25" customHeight="1" x14ac:dyDescent="0.2">
      <c r="A201" s="497">
        <v>199</v>
      </c>
      <c r="B201" s="481">
        <v>23</v>
      </c>
      <c r="C201" s="16">
        <v>3</v>
      </c>
      <c r="D201" s="482" t="s">
        <v>6308</v>
      </c>
      <c r="E201" s="482" t="s">
        <v>4051</v>
      </c>
      <c r="F201" s="482" t="s">
        <v>243</v>
      </c>
      <c r="G201" s="495" t="s">
        <v>6592</v>
      </c>
      <c r="H201" s="481" t="s">
        <v>4796</v>
      </c>
      <c r="I201" s="481" t="s">
        <v>83</v>
      </c>
      <c r="J201" s="360" t="s">
        <v>158</v>
      </c>
      <c r="K201" s="482" t="s">
        <v>5577</v>
      </c>
      <c r="L201" s="482"/>
      <c r="M201" s="482" t="s">
        <v>117</v>
      </c>
      <c r="N201" s="41" t="s">
        <v>6362</v>
      </c>
      <c r="O201" s="529" t="s">
        <v>106</v>
      </c>
      <c r="P201" s="529" t="s">
        <v>107</v>
      </c>
      <c r="Q201" s="13"/>
      <c r="R201" s="481"/>
      <c r="S201" s="481" t="s">
        <v>204</v>
      </c>
      <c r="T201" s="481"/>
      <c r="U201" s="482"/>
      <c r="V201" s="41" t="s">
        <v>6363</v>
      </c>
      <c r="W201" s="13" t="s">
        <v>69</v>
      </c>
      <c r="X201" s="482" t="s">
        <v>70</v>
      </c>
      <c r="Y201" s="481"/>
      <c r="Z201" s="481" t="s">
        <v>6789</v>
      </c>
      <c r="AA201" s="536">
        <v>243</v>
      </c>
      <c r="AB201" s="536">
        <v>225</v>
      </c>
      <c r="AC201" s="16">
        <v>225</v>
      </c>
      <c r="AD201" s="16"/>
      <c r="AE201" s="16"/>
      <c r="AF201" s="16"/>
      <c r="AG201" s="16"/>
      <c r="AH201" s="16"/>
      <c r="AI201" s="16"/>
      <c r="AJ201" s="481">
        <v>6</v>
      </c>
      <c r="AK201" s="482"/>
      <c r="AL201" s="25"/>
      <c r="AM201" s="481"/>
      <c r="AN201" s="481"/>
      <c r="AO201" s="481"/>
      <c r="AP201" s="16"/>
      <c r="AQ201" s="16" t="s">
        <v>160</v>
      </c>
      <c r="AR201" s="130" t="s">
        <v>161</v>
      </c>
      <c r="AS201" s="130">
        <v>1405</v>
      </c>
      <c r="AT201" s="130">
        <v>3</v>
      </c>
      <c r="AU201" s="130"/>
      <c r="AV201" s="130"/>
      <c r="AW201" s="12" t="str">
        <f t="shared" si="6"/>
        <v/>
      </c>
      <c r="AX201" s="12" t="str">
        <f t="shared" si="5"/>
        <v/>
      </c>
      <c r="AY201" s="12"/>
      <c r="AZ201" s="523" t="s">
        <v>6792</v>
      </c>
    </row>
    <row r="202" spans="1:52" ht="30" customHeight="1" x14ac:dyDescent="0.2">
      <c r="A202" s="497">
        <v>200</v>
      </c>
      <c r="B202" s="481">
        <v>23</v>
      </c>
      <c r="C202" s="16">
        <v>3</v>
      </c>
      <c r="D202" s="482" t="s">
        <v>6308</v>
      </c>
      <c r="E202" s="482" t="s">
        <v>6615</v>
      </c>
      <c r="F202" s="482" t="s">
        <v>66</v>
      </c>
      <c r="G202" s="495" t="s">
        <v>6592</v>
      </c>
      <c r="H202" s="481"/>
      <c r="I202" s="481" t="s">
        <v>7</v>
      </c>
      <c r="J202" s="360" t="s">
        <v>158</v>
      </c>
      <c r="K202" s="482" t="s">
        <v>3439</v>
      </c>
      <c r="L202" s="35" t="s">
        <v>218</v>
      </c>
      <c r="M202" s="35" t="s">
        <v>155</v>
      </c>
      <c r="N202" s="41" t="s">
        <v>6581</v>
      </c>
      <c r="O202" s="13" t="s">
        <v>106</v>
      </c>
      <c r="P202" s="13" t="s">
        <v>107</v>
      </c>
      <c r="Q202" s="13"/>
      <c r="R202" s="481"/>
      <c r="S202" s="33" t="s">
        <v>6655</v>
      </c>
      <c r="T202" s="33">
        <v>374</v>
      </c>
      <c r="U202" s="35" t="s">
        <v>555</v>
      </c>
      <c r="V202" s="41" t="s">
        <v>6788</v>
      </c>
      <c r="W202" s="13" t="s">
        <v>106</v>
      </c>
      <c r="X202" s="482" t="s">
        <v>107</v>
      </c>
      <c r="Y202" s="481"/>
      <c r="Z202" s="481" t="s">
        <v>6656</v>
      </c>
      <c r="AA202" s="481">
        <v>240</v>
      </c>
      <c r="AB202" s="16">
        <v>228</v>
      </c>
      <c r="AC202" s="16">
        <v>228</v>
      </c>
      <c r="AD202" s="16">
        <v>77</v>
      </c>
      <c r="AE202" s="16">
        <v>78</v>
      </c>
      <c r="AF202" s="16">
        <v>4</v>
      </c>
      <c r="AG202" s="16">
        <v>52</v>
      </c>
      <c r="AH202" s="16">
        <v>134</v>
      </c>
      <c r="AI202" s="16">
        <v>32</v>
      </c>
      <c r="AJ202" s="481">
        <v>8</v>
      </c>
      <c r="AK202" s="482"/>
      <c r="AL202" s="25" t="s">
        <v>6785</v>
      </c>
      <c r="AM202" s="481">
        <v>134</v>
      </c>
      <c r="AN202" s="481">
        <v>32</v>
      </c>
      <c r="AO202" s="481"/>
      <c r="AP202" s="16"/>
      <c r="AQ202" s="16" t="s">
        <v>160</v>
      </c>
      <c r="AR202" s="130" t="s">
        <v>165</v>
      </c>
      <c r="AS202" s="130">
        <v>1405</v>
      </c>
      <c r="AT202" s="130">
        <v>3</v>
      </c>
      <c r="AU202" s="130"/>
      <c r="AV202" s="130"/>
      <c r="AW202" s="12" t="str">
        <f t="shared" si="6"/>
        <v/>
      </c>
      <c r="AX202" s="12" t="str">
        <f t="shared" si="5"/>
        <v/>
      </c>
      <c r="AY202" s="12"/>
      <c r="AZ202" s="481"/>
    </row>
    <row r="203" spans="1:52" ht="30" customHeight="1" x14ac:dyDescent="0.2">
      <c r="A203" s="497">
        <v>201</v>
      </c>
      <c r="B203" s="481">
        <v>24</v>
      </c>
      <c r="C203" s="16">
        <v>3</v>
      </c>
      <c r="D203" s="482" t="s">
        <v>6308</v>
      </c>
      <c r="E203" s="482" t="s">
        <v>3074</v>
      </c>
      <c r="F203" s="482" t="s">
        <v>2981</v>
      </c>
      <c r="G203" s="495" t="s">
        <v>6588</v>
      </c>
      <c r="H203" s="481"/>
      <c r="I203" s="481" t="s">
        <v>7</v>
      </c>
      <c r="J203" s="360" t="s">
        <v>158</v>
      </c>
      <c r="K203" s="482" t="s">
        <v>3439</v>
      </c>
      <c r="L203" s="35" t="s">
        <v>226</v>
      </c>
      <c r="M203" s="35" t="s">
        <v>223</v>
      </c>
      <c r="N203" s="41"/>
      <c r="O203" s="13" t="s">
        <v>106</v>
      </c>
      <c r="P203" s="13" t="s">
        <v>107</v>
      </c>
      <c r="Q203" s="13"/>
      <c r="R203" s="481"/>
      <c r="S203" s="33" t="s">
        <v>298</v>
      </c>
      <c r="T203" s="33">
        <v>193</v>
      </c>
      <c r="U203" s="35" t="s">
        <v>1581</v>
      </c>
      <c r="V203" s="41"/>
      <c r="W203" s="13" t="s">
        <v>106</v>
      </c>
      <c r="X203" s="482" t="s">
        <v>107</v>
      </c>
      <c r="Y203" s="481" t="s">
        <v>5187</v>
      </c>
      <c r="Z203" s="481" t="s">
        <v>6322</v>
      </c>
      <c r="AA203" s="481">
        <v>208</v>
      </c>
      <c r="AB203" s="16">
        <v>186</v>
      </c>
      <c r="AC203" s="16">
        <v>186</v>
      </c>
      <c r="AD203" s="16">
        <v>91</v>
      </c>
      <c r="AE203" s="16">
        <v>180</v>
      </c>
      <c r="AF203" s="16">
        <v>3</v>
      </c>
      <c r="AG203" s="16">
        <v>24</v>
      </c>
      <c r="AH203" s="16">
        <v>207</v>
      </c>
      <c r="AI203" s="16">
        <v>4</v>
      </c>
      <c r="AJ203" s="481">
        <v>4</v>
      </c>
      <c r="AK203" s="482"/>
      <c r="AL203" s="25" t="s">
        <v>6786</v>
      </c>
      <c r="AM203" s="481">
        <v>207</v>
      </c>
      <c r="AN203" s="535">
        <v>4</v>
      </c>
      <c r="AO203" s="481"/>
      <c r="AP203" s="16"/>
      <c r="AQ203" s="16" t="s">
        <v>5080</v>
      </c>
      <c r="AR203" s="130" t="s">
        <v>6787</v>
      </c>
      <c r="AS203" s="130">
        <v>1405</v>
      </c>
      <c r="AT203" s="130">
        <v>3</v>
      </c>
      <c r="AU203" s="130"/>
      <c r="AV203" s="130"/>
      <c r="AW203" s="12" t="str">
        <f t="shared" si="6"/>
        <v/>
      </c>
      <c r="AX203" s="12" t="str">
        <f t="shared" si="5"/>
        <v/>
      </c>
      <c r="AY203" s="12"/>
      <c r="AZ203" s="481"/>
    </row>
    <row r="204" spans="1:52" ht="30" customHeight="1" x14ac:dyDescent="0.2">
      <c r="A204" s="497">
        <v>202</v>
      </c>
      <c r="B204" s="481">
        <v>24</v>
      </c>
      <c r="C204" s="16">
        <v>3</v>
      </c>
      <c r="D204" s="482" t="s">
        <v>6308</v>
      </c>
      <c r="E204" s="482" t="s">
        <v>2640</v>
      </c>
      <c r="F204" s="482" t="s">
        <v>10</v>
      </c>
      <c r="G204" s="495" t="s">
        <v>6588</v>
      </c>
      <c r="H204" s="481"/>
      <c r="I204" s="481" t="s">
        <v>7</v>
      </c>
      <c r="J204" s="360" t="s">
        <v>158</v>
      </c>
      <c r="K204" s="482" t="s">
        <v>3439</v>
      </c>
      <c r="L204" s="482" t="s">
        <v>68</v>
      </c>
      <c r="M204" s="482" t="s">
        <v>68</v>
      </c>
      <c r="N204" s="41"/>
      <c r="O204" s="13" t="s">
        <v>5170</v>
      </c>
      <c r="P204" s="13" t="s">
        <v>107</v>
      </c>
      <c r="Q204" s="13"/>
      <c r="R204" s="481"/>
      <c r="S204" s="481" t="s">
        <v>2959</v>
      </c>
      <c r="T204" s="481">
        <v>293</v>
      </c>
      <c r="U204" s="482" t="s">
        <v>1581</v>
      </c>
      <c r="V204" s="41"/>
      <c r="W204" s="13" t="s">
        <v>106</v>
      </c>
      <c r="X204" s="482" t="s">
        <v>107</v>
      </c>
      <c r="Y204" s="481" t="s">
        <v>4420</v>
      </c>
      <c r="Z204" s="481" t="s">
        <v>6720</v>
      </c>
      <c r="AA204" s="481">
        <v>224</v>
      </c>
      <c r="AB204" s="16">
        <v>213</v>
      </c>
      <c r="AC204" s="16">
        <v>213</v>
      </c>
      <c r="AD204" s="16">
        <v>117</v>
      </c>
      <c r="AE204" s="16">
        <v>181</v>
      </c>
      <c r="AF204" s="16">
        <v>3</v>
      </c>
      <c r="AG204" s="16">
        <v>70</v>
      </c>
      <c r="AH204" s="16">
        <v>254</v>
      </c>
      <c r="AI204" s="16">
        <v>13</v>
      </c>
      <c r="AJ204" s="481">
        <v>6</v>
      </c>
      <c r="AK204" s="482"/>
      <c r="AL204" s="25" t="s">
        <v>6786</v>
      </c>
      <c r="AM204" s="481">
        <v>254</v>
      </c>
      <c r="AN204" s="481">
        <v>13</v>
      </c>
      <c r="AO204" s="481"/>
      <c r="AP204" s="16"/>
      <c r="AQ204" s="16" t="s">
        <v>160</v>
      </c>
      <c r="AR204" s="130" t="s">
        <v>193</v>
      </c>
      <c r="AS204" s="130">
        <v>1405</v>
      </c>
      <c r="AT204" s="130">
        <v>3</v>
      </c>
      <c r="AU204" s="130"/>
      <c r="AV204" s="130"/>
      <c r="AW204" s="12" t="str">
        <f t="shared" si="6"/>
        <v/>
      </c>
      <c r="AX204" s="12" t="str">
        <f t="shared" si="5"/>
        <v/>
      </c>
      <c r="AY204" s="12"/>
      <c r="AZ204" s="481"/>
    </row>
    <row r="205" spans="1:52" ht="30" customHeight="1" x14ac:dyDescent="0.2">
      <c r="A205" s="497">
        <v>203</v>
      </c>
      <c r="B205" s="481">
        <v>24</v>
      </c>
      <c r="C205" s="16">
        <v>3</v>
      </c>
      <c r="D205" s="482" t="s">
        <v>6308</v>
      </c>
      <c r="E205" s="482" t="s">
        <v>3068</v>
      </c>
      <c r="F205" s="482" t="s">
        <v>2981</v>
      </c>
      <c r="G205" s="495" t="s">
        <v>6588</v>
      </c>
      <c r="H205" s="481"/>
      <c r="I205" s="481" t="s">
        <v>7</v>
      </c>
      <c r="J205" s="360" t="s">
        <v>158</v>
      </c>
      <c r="K205" s="482" t="s">
        <v>5577</v>
      </c>
      <c r="L205" s="482" t="s">
        <v>140</v>
      </c>
      <c r="M205" s="482" t="s">
        <v>140</v>
      </c>
      <c r="N205" s="41" t="s">
        <v>6784</v>
      </c>
      <c r="O205" s="13" t="s">
        <v>106</v>
      </c>
      <c r="P205" s="13" t="s">
        <v>107</v>
      </c>
      <c r="Q205" s="13"/>
      <c r="R205" s="481"/>
      <c r="S205" s="33" t="s">
        <v>1478</v>
      </c>
      <c r="T205" s="33">
        <v>6608</v>
      </c>
      <c r="U205" s="35" t="s">
        <v>769</v>
      </c>
      <c r="V205" s="41" t="s">
        <v>6776</v>
      </c>
      <c r="W205" s="13" t="s">
        <v>106</v>
      </c>
      <c r="X205" s="534" t="s">
        <v>107</v>
      </c>
      <c r="Y205" s="481" t="s">
        <v>5187</v>
      </c>
      <c r="Z205" s="481" t="s">
        <v>6504</v>
      </c>
      <c r="AA205" s="481">
        <v>198</v>
      </c>
      <c r="AB205" s="16">
        <v>174</v>
      </c>
      <c r="AC205" s="16">
        <v>180</v>
      </c>
      <c r="AD205" s="16">
        <v>64</v>
      </c>
      <c r="AE205" s="16">
        <v>131</v>
      </c>
      <c r="AF205" s="16">
        <v>2</v>
      </c>
      <c r="AG205" s="16">
        <v>47</v>
      </c>
      <c r="AH205" s="16">
        <v>180</v>
      </c>
      <c r="AI205" s="16">
        <v>10</v>
      </c>
      <c r="AJ205" s="481">
        <v>6</v>
      </c>
      <c r="AK205" s="482"/>
      <c r="AL205" s="25" t="s">
        <v>6785</v>
      </c>
      <c r="AM205" s="481">
        <v>180</v>
      </c>
      <c r="AN205" s="481">
        <v>10</v>
      </c>
      <c r="AO205" s="481"/>
      <c r="AP205" s="16"/>
      <c r="AQ205" s="16" t="s">
        <v>5080</v>
      </c>
      <c r="AR205" s="130" t="s">
        <v>112</v>
      </c>
      <c r="AS205" s="130">
        <v>1405</v>
      </c>
      <c r="AT205" s="130">
        <v>3</v>
      </c>
      <c r="AU205" s="130"/>
      <c r="AV205" s="130"/>
      <c r="AW205" s="12" t="str">
        <f t="shared" si="6"/>
        <v/>
      </c>
      <c r="AX205" s="12" t="str">
        <f t="shared" si="5"/>
        <v/>
      </c>
      <c r="AY205" s="12"/>
      <c r="AZ205" s="481" t="s">
        <v>3714</v>
      </c>
    </row>
    <row r="206" spans="1:52" ht="30" customHeight="1" x14ac:dyDescent="0.2">
      <c r="A206" s="497">
        <v>204</v>
      </c>
      <c r="B206" s="481">
        <v>24</v>
      </c>
      <c r="C206" s="16">
        <v>3</v>
      </c>
      <c r="D206" s="482" t="s">
        <v>6308</v>
      </c>
      <c r="E206" s="482" t="s">
        <v>5015</v>
      </c>
      <c r="F206" s="482" t="s">
        <v>6</v>
      </c>
      <c r="G206" s="495" t="s">
        <v>6588</v>
      </c>
      <c r="H206" s="481" t="s">
        <v>222</v>
      </c>
      <c r="I206" s="481" t="s">
        <v>83</v>
      </c>
      <c r="J206" s="360" t="s">
        <v>158</v>
      </c>
      <c r="K206" s="482" t="s">
        <v>2167</v>
      </c>
      <c r="L206" s="482"/>
      <c r="M206" s="482" t="s">
        <v>140</v>
      </c>
      <c r="N206" s="41" t="s">
        <v>5696</v>
      </c>
      <c r="O206" s="13" t="s">
        <v>106</v>
      </c>
      <c r="P206" s="13" t="s">
        <v>107</v>
      </c>
      <c r="Q206" s="13"/>
      <c r="R206" s="481"/>
      <c r="S206" s="481" t="s">
        <v>276</v>
      </c>
      <c r="T206" s="481"/>
      <c r="U206" s="482"/>
      <c r="V206" s="41" t="s">
        <v>6807</v>
      </c>
      <c r="W206" s="13" t="s">
        <v>106</v>
      </c>
      <c r="X206" s="482" t="s">
        <v>107</v>
      </c>
      <c r="Y206" s="481"/>
      <c r="Z206" s="481" t="s">
        <v>6808</v>
      </c>
      <c r="AA206" s="481"/>
      <c r="AB206" s="16">
        <v>207</v>
      </c>
      <c r="AC206" s="16">
        <v>207</v>
      </c>
      <c r="AD206" s="16"/>
      <c r="AE206" s="16"/>
      <c r="AF206" s="16"/>
      <c r="AG206" s="16"/>
      <c r="AH206" s="16"/>
      <c r="AI206" s="16"/>
      <c r="AJ206" s="481">
        <v>4</v>
      </c>
      <c r="AK206" s="482"/>
      <c r="AL206" s="25"/>
      <c r="AM206" s="481"/>
      <c r="AN206" s="481"/>
      <c r="AO206" s="481"/>
      <c r="AP206" s="16"/>
      <c r="AQ206" s="16"/>
      <c r="AR206" s="130"/>
      <c r="AS206" s="130">
        <v>1405</v>
      </c>
      <c r="AT206" s="130">
        <v>3</v>
      </c>
      <c r="AU206" s="130">
        <v>1404</v>
      </c>
      <c r="AV206" s="130">
        <v>7</v>
      </c>
      <c r="AW206" s="12">
        <f t="shared" si="6"/>
        <v>8</v>
      </c>
      <c r="AX206" s="12">
        <f t="shared" si="5"/>
        <v>8</v>
      </c>
      <c r="AY206" s="12"/>
      <c r="AZ206" s="481"/>
    </row>
    <row r="207" spans="1:52" ht="30" customHeight="1" x14ac:dyDescent="0.2">
      <c r="A207" s="497">
        <v>205</v>
      </c>
      <c r="B207" s="481">
        <v>25</v>
      </c>
      <c r="C207" s="16">
        <v>3</v>
      </c>
      <c r="D207" s="482" t="s">
        <v>6308</v>
      </c>
      <c r="E207" s="482" t="s">
        <v>6798</v>
      </c>
      <c r="F207" s="482" t="s">
        <v>10</v>
      </c>
      <c r="G207" s="495" t="s">
        <v>6592</v>
      </c>
      <c r="H207" s="481" t="s">
        <v>313</v>
      </c>
      <c r="I207" s="539" t="s">
        <v>83</v>
      </c>
      <c r="J207" s="360" t="s">
        <v>158</v>
      </c>
      <c r="K207" s="482" t="s">
        <v>5577</v>
      </c>
      <c r="L207" s="482"/>
      <c r="M207" s="482" t="s">
        <v>104</v>
      </c>
      <c r="N207" s="41"/>
      <c r="O207" s="13" t="s">
        <v>106</v>
      </c>
      <c r="P207" s="13" t="s">
        <v>107</v>
      </c>
      <c r="Q207" s="13"/>
      <c r="R207" s="481"/>
      <c r="S207" s="481" t="s">
        <v>306</v>
      </c>
      <c r="T207" s="481"/>
      <c r="U207" s="482"/>
      <c r="V207" s="41"/>
      <c r="W207" s="13" t="s">
        <v>106</v>
      </c>
      <c r="X207" s="482" t="s">
        <v>107</v>
      </c>
      <c r="Y207" s="481"/>
      <c r="Z207" s="481" t="s">
        <v>6806</v>
      </c>
      <c r="AA207" s="481">
        <v>217</v>
      </c>
      <c r="AB207" s="16">
        <v>208</v>
      </c>
      <c r="AC207" s="16">
        <v>208</v>
      </c>
      <c r="AD207" s="16"/>
      <c r="AE207" s="16"/>
      <c r="AF207" s="16"/>
      <c r="AG207" s="16"/>
      <c r="AH207" s="16"/>
      <c r="AI207" s="16"/>
      <c r="AJ207" s="481">
        <v>4</v>
      </c>
      <c r="AK207" s="482"/>
      <c r="AL207" s="25"/>
      <c r="AM207" s="481"/>
      <c r="AN207" s="481"/>
      <c r="AO207" s="481"/>
      <c r="AP207" s="16"/>
      <c r="AQ207" s="16"/>
      <c r="AR207" s="130"/>
      <c r="AS207" s="130">
        <v>1405</v>
      </c>
      <c r="AT207" s="130">
        <v>3</v>
      </c>
      <c r="AU207" s="130">
        <v>1403</v>
      </c>
      <c r="AV207" s="130">
        <v>12</v>
      </c>
      <c r="AW207" s="12">
        <f t="shared" si="6"/>
        <v>15</v>
      </c>
      <c r="AX207" s="12" t="str">
        <f t="shared" si="5"/>
        <v/>
      </c>
      <c r="AY207" s="12"/>
      <c r="AZ207" s="538" t="s">
        <v>3714</v>
      </c>
    </row>
    <row r="208" spans="1:52" ht="30" customHeight="1" x14ac:dyDescent="0.2">
      <c r="A208" s="497">
        <v>206</v>
      </c>
      <c r="B208" s="539">
        <v>25</v>
      </c>
      <c r="C208" s="16">
        <v>3</v>
      </c>
      <c r="D208" s="540" t="s">
        <v>6796</v>
      </c>
      <c r="E208" s="482" t="s">
        <v>3149</v>
      </c>
      <c r="F208" s="482" t="s">
        <v>6105</v>
      </c>
      <c r="G208" s="495" t="s">
        <v>6592</v>
      </c>
      <c r="H208" s="481" t="s">
        <v>504</v>
      </c>
      <c r="I208" s="539" t="s">
        <v>83</v>
      </c>
      <c r="J208" s="360" t="s">
        <v>158</v>
      </c>
      <c r="K208" s="482" t="s">
        <v>3439</v>
      </c>
      <c r="L208" s="482"/>
      <c r="M208" s="482" t="s">
        <v>155</v>
      </c>
      <c r="N208" s="41" t="s">
        <v>6664</v>
      </c>
      <c r="O208" s="13" t="s">
        <v>69</v>
      </c>
      <c r="P208" s="13" t="s">
        <v>70</v>
      </c>
      <c r="Q208" s="13"/>
      <c r="R208" s="481"/>
      <c r="S208" s="481" t="s">
        <v>170</v>
      </c>
      <c r="T208" s="481"/>
      <c r="U208" s="482"/>
      <c r="V208" s="41" t="s">
        <v>6665</v>
      </c>
      <c r="W208" s="13" t="s">
        <v>69</v>
      </c>
      <c r="X208" s="541" t="s">
        <v>70</v>
      </c>
      <c r="Y208" s="481"/>
      <c r="Z208" s="481" t="s">
        <v>6733</v>
      </c>
      <c r="AA208" s="481">
        <v>248</v>
      </c>
      <c r="AB208" s="16">
        <v>234</v>
      </c>
      <c r="AC208" s="16">
        <v>234</v>
      </c>
      <c r="AD208" s="16"/>
      <c r="AE208" s="16"/>
      <c r="AF208" s="16"/>
      <c r="AG208" s="16"/>
      <c r="AH208" s="16"/>
      <c r="AI208" s="16"/>
      <c r="AJ208" s="481">
        <v>6</v>
      </c>
      <c r="AK208" s="482"/>
      <c r="AL208" s="25"/>
      <c r="AM208" s="481"/>
      <c r="AN208" s="481"/>
      <c r="AO208" s="481"/>
      <c r="AP208" s="16"/>
      <c r="AQ208" s="16" t="s">
        <v>160</v>
      </c>
      <c r="AR208" s="130" t="s">
        <v>165</v>
      </c>
      <c r="AS208" s="130">
        <v>1405</v>
      </c>
      <c r="AT208" s="130">
        <v>3</v>
      </c>
      <c r="AU208" s="130">
        <v>1405</v>
      </c>
      <c r="AV208" s="130">
        <v>2</v>
      </c>
      <c r="AW208" s="12">
        <f t="shared" si="6"/>
        <v>1</v>
      </c>
      <c r="AX208" s="12">
        <f t="shared" si="5"/>
        <v>1</v>
      </c>
      <c r="AY208" s="12"/>
      <c r="AZ208" s="538" t="s">
        <v>3714</v>
      </c>
    </row>
    <row r="209" spans="1:52" ht="102.75" customHeight="1" x14ac:dyDescent="0.2">
      <c r="A209" s="497">
        <v>207</v>
      </c>
      <c r="B209" s="539">
        <v>25</v>
      </c>
      <c r="C209" s="16">
        <v>3</v>
      </c>
      <c r="D209" s="540" t="s">
        <v>6797</v>
      </c>
      <c r="E209" s="482" t="s">
        <v>4491</v>
      </c>
      <c r="F209" s="482" t="s">
        <v>6</v>
      </c>
      <c r="G209" s="495" t="s">
        <v>6592</v>
      </c>
      <c r="H209" s="542" t="s">
        <v>4038</v>
      </c>
      <c r="I209" s="539" t="s">
        <v>83</v>
      </c>
      <c r="J209" s="360" t="s">
        <v>158</v>
      </c>
      <c r="K209" s="482" t="s">
        <v>3439</v>
      </c>
      <c r="L209" s="482"/>
      <c r="M209" s="482" t="s">
        <v>68</v>
      </c>
      <c r="N209" s="41"/>
      <c r="O209" s="13" t="s">
        <v>106</v>
      </c>
      <c r="P209" s="13" t="s">
        <v>107</v>
      </c>
      <c r="Q209" s="13"/>
      <c r="R209" s="481"/>
      <c r="S209" s="481" t="s">
        <v>361</v>
      </c>
      <c r="T209" s="481"/>
      <c r="U209" s="482"/>
      <c r="V209" s="41"/>
      <c r="W209" s="13" t="s">
        <v>106</v>
      </c>
      <c r="X209" s="482" t="s">
        <v>107</v>
      </c>
      <c r="Y209" s="481"/>
      <c r="Z209" s="481" t="s">
        <v>6805</v>
      </c>
      <c r="AA209" s="481">
        <v>229</v>
      </c>
      <c r="AB209" s="16">
        <v>216</v>
      </c>
      <c r="AC209" s="16">
        <v>216</v>
      </c>
      <c r="AD209" s="16"/>
      <c r="AE209" s="16"/>
      <c r="AF209" s="16"/>
      <c r="AG209" s="16"/>
      <c r="AH209" s="16"/>
      <c r="AI209" s="16"/>
      <c r="AJ209" s="481">
        <v>6</v>
      </c>
      <c r="AK209" s="482"/>
      <c r="AL209" s="25"/>
      <c r="AM209" s="481"/>
      <c r="AN209" s="481"/>
      <c r="AO209" s="481"/>
      <c r="AP209" s="16"/>
      <c r="AQ209" s="16" t="s">
        <v>160</v>
      </c>
      <c r="AR209" s="130" t="s">
        <v>193</v>
      </c>
      <c r="AS209" s="130">
        <v>1405</v>
      </c>
      <c r="AT209" s="130">
        <v>3</v>
      </c>
      <c r="AU209" s="130">
        <v>1403</v>
      </c>
      <c r="AV209" s="130">
        <v>7</v>
      </c>
      <c r="AW209" s="12">
        <f t="shared" si="6"/>
        <v>20</v>
      </c>
      <c r="AX209" s="12" t="str">
        <f t="shared" si="5"/>
        <v/>
      </c>
      <c r="AY209" s="12"/>
      <c r="AZ209" s="544" t="s">
        <v>6810</v>
      </c>
    </row>
    <row r="210" spans="1:52" ht="30" customHeight="1" x14ac:dyDescent="0.2">
      <c r="A210" s="497">
        <v>208</v>
      </c>
      <c r="B210" s="481">
        <v>26</v>
      </c>
      <c r="C210" s="16">
        <v>3</v>
      </c>
      <c r="D210" s="482" t="s">
        <v>6308</v>
      </c>
      <c r="E210" s="482" t="s">
        <v>4051</v>
      </c>
      <c r="F210" s="482" t="s">
        <v>243</v>
      </c>
      <c r="G210" s="495" t="s">
        <v>6592</v>
      </c>
      <c r="H210" s="481"/>
      <c r="I210" s="481" t="s">
        <v>7</v>
      </c>
      <c r="J210" s="360" t="s">
        <v>158</v>
      </c>
      <c r="K210" s="482" t="s">
        <v>5577</v>
      </c>
      <c r="L210" s="482" t="s">
        <v>117</v>
      </c>
      <c r="M210" s="482" t="s">
        <v>117</v>
      </c>
      <c r="N210" s="41" t="s">
        <v>6803</v>
      </c>
      <c r="O210" s="13" t="s">
        <v>69</v>
      </c>
      <c r="P210" s="13" t="s">
        <v>70</v>
      </c>
      <c r="Q210" s="13"/>
      <c r="R210" s="481"/>
      <c r="S210" s="481" t="s">
        <v>204</v>
      </c>
      <c r="T210" s="481">
        <v>293</v>
      </c>
      <c r="U210" s="482" t="s">
        <v>260</v>
      </c>
      <c r="V210" s="41" t="s">
        <v>6363</v>
      </c>
      <c r="W210" s="13" t="s">
        <v>106</v>
      </c>
      <c r="X210" s="482" t="s">
        <v>107</v>
      </c>
      <c r="Y210" s="481" t="s">
        <v>4420</v>
      </c>
      <c r="Z210" s="481" t="s">
        <v>6789</v>
      </c>
      <c r="AA210" s="481">
        <v>243</v>
      </c>
      <c r="AB210" s="16">
        <v>225</v>
      </c>
      <c r="AC210" s="16">
        <v>225</v>
      </c>
      <c r="AD210" s="16">
        <v>50</v>
      </c>
      <c r="AE210" s="16">
        <v>107</v>
      </c>
      <c r="AF210" s="16">
        <v>4</v>
      </c>
      <c r="AG210" s="16">
        <v>51</v>
      </c>
      <c r="AH210" s="16">
        <v>162</v>
      </c>
      <c r="AI210" s="16">
        <v>15</v>
      </c>
      <c r="AJ210" s="481">
        <v>6</v>
      </c>
      <c r="AK210" s="482"/>
      <c r="AL210" s="25" t="s">
        <v>6804</v>
      </c>
      <c r="AM210" s="481">
        <v>162</v>
      </c>
      <c r="AN210" s="481">
        <v>15</v>
      </c>
      <c r="AO210" s="481"/>
      <c r="AP210" s="16"/>
      <c r="AQ210" s="16" t="s">
        <v>160</v>
      </c>
      <c r="AR210" s="130" t="s">
        <v>161</v>
      </c>
      <c r="AS210" s="130">
        <v>1405</v>
      </c>
      <c r="AT210" s="130">
        <v>3</v>
      </c>
      <c r="AU210" s="130"/>
      <c r="AV210" s="130"/>
      <c r="AW210" s="12" t="str">
        <f t="shared" si="6"/>
        <v/>
      </c>
      <c r="AX210" s="12" t="str">
        <f t="shared" si="5"/>
        <v/>
      </c>
      <c r="AY210" s="12"/>
      <c r="AZ210" s="538" t="s">
        <v>3714</v>
      </c>
    </row>
    <row r="211" spans="1:52" ht="30" customHeight="1" x14ac:dyDescent="0.2">
      <c r="A211" s="497">
        <v>209</v>
      </c>
      <c r="B211" s="481">
        <v>26</v>
      </c>
      <c r="C211" s="16">
        <v>3</v>
      </c>
      <c r="D211" s="482" t="s">
        <v>6308</v>
      </c>
      <c r="E211" s="482" t="s">
        <v>2021</v>
      </c>
      <c r="F211" s="482" t="s">
        <v>6</v>
      </c>
      <c r="G211" s="495" t="s">
        <v>6592</v>
      </c>
      <c r="H211" s="481" t="s">
        <v>504</v>
      </c>
      <c r="I211" s="481" t="s">
        <v>83</v>
      </c>
      <c r="J211" s="360" t="s">
        <v>158</v>
      </c>
      <c r="K211" s="482" t="s">
        <v>3439</v>
      </c>
      <c r="L211" s="482"/>
      <c r="M211" s="482" t="s">
        <v>68</v>
      </c>
      <c r="N211" s="41" t="s">
        <v>6560</v>
      </c>
      <c r="O211" s="13" t="s">
        <v>106</v>
      </c>
      <c r="P211" s="13" t="s">
        <v>107</v>
      </c>
      <c r="Q211" s="13"/>
      <c r="R211" s="481"/>
      <c r="S211" s="481" t="s">
        <v>131</v>
      </c>
      <c r="T211" s="481"/>
      <c r="U211" s="482"/>
      <c r="V211" s="41" t="s">
        <v>6561</v>
      </c>
      <c r="W211" s="13" t="s">
        <v>106</v>
      </c>
      <c r="X211" s="13" t="s">
        <v>107</v>
      </c>
      <c r="Y211" s="481"/>
      <c r="Z211" s="481" t="s">
        <v>6801</v>
      </c>
      <c r="AA211" s="481">
        <v>204</v>
      </c>
      <c r="AB211" s="16">
        <v>186</v>
      </c>
      <c r="AC211" s="16">
        <v>186</v>
      </c>
      <c r="AD211" s="16"/>
      <c r="AE211" s="16"/>
      <c r="AF211" s="16"/>
      <c r="AG211" s="16"/>
      <c r="AH211" s="16"/>
      <c r="AI211" s="16"/>
      <c r="AJ211" s="481">
        <v>6</v>
      </c>
      <c r="AK211" s="482"/>
      <c r="AL211" s="25"/>
      <c r="AM211" s="481"/>
      <c r="AN211" s="481"/>
      <c r="AO211" s="481"/>
      <c r="AP211" s="16"/>
      <c r="AQ211" s="16" t="s">
        <v>160</v>
      </c>
      <c r="AR211" s="130" t="s">
        <v>165</v>
      </c>
      <c r="AS211" s="130">
        <v>1405</v>
      </c>
      <c r="AT211" s="130">
        <v>3</v>
      </c>
      <c r="AU211" s="130">
        <v>1405</v>
      </c>
      <c r="AV211" s="130">
        <v>2</v>
      </c>
      <c r="AW211" s="12">
        <f t="shared" si="6"/>
        <v>1</v>
      </c>
      <c r="AX211" s="12">
        <f t="shared" ref="AX211:AX242" si="7">IF(AW211&lt;13,AW211,"")</f>
        <v>1</v>
      </c>
      <c r="AY211" s="12"/>
      <c r="AZ211" s="481"/>
    </row>
    <row r="212" spans="1:52" ht="30" customHeight="1" x14ac:dyDescent="0.2">
      <c r="A212" s="497">
        <v>210</v>
      </c>
      <c r="B212" s="481">
        <v>27</v>
      </c>
      <c r="C212" s="16">
        <v>3</v>
      </c>
      <c r="D212" s="482" t="s">
        <v>6308</v>
      </c>
      <c r="E212" s="482" t="s">
        <v>4181</v>
      </c>
      <c r="F212" s="482" t="s">
        <v>243</v>
      </c>
      <c r="G212" s="495" t="s">
        <v>6592</v>
      </c>
      <c r="H212" s="481" t="s">
        <v>6802</v>
      </c>
      <c r="I212" s="481" t="s">
        <v>83</v>
      </c>
      <c r="J212" s="360" t="s">
        <v>158</v>
      </c>
      <c r="K212" s="482" t="s">
        <v>5577</v>
      </c>
      <c r="L212" s="482"/>
      <c r="M212" s="482" t="s">
        <v>68</v>
      </c>
      <c r="N212" s="41" t="s">
        <v>4195</v>
      </c>
      <c r="O212" s="13" t="s">
        <v>106</v>
      </c>
      <c r="P212" s="13" t="s">
        <v>107</v>
      </c>
      <c r="Q212" s="13"/>
      <c r="R212" s="481"/>
      <c r="S212" s="481" t="s">
        <v>332</v>
      </c>
      <c r="T212" s="481"/>
      <c r="U212" s="482"/>
      <c r="V212" s="41" t="s">
        <v>4196</v>
      </c>
      <c r="W212" s="13" t="s">
        <v>106</v>
      </c>
      <c r="X212" s="482" t="s">
        <v>107</v>
      </c>
      <c r="Y212" s="481" t="s">
        <v>4420</v>
      </c>
      <c r="Z212" s="481" t="s">
        <v>6826</v>
      </c>
      <c r="AA212" s="481">
        <v>225</v>
      </c>
      <c r="AB212" s="16">
        <v>210</v>
      </c>
      <c r="AC212" s="16">
        <v>210</v>
      </c>
      <c r="AD212" s="16"/>
      <c r="AE212" s="16"/>
      <c r="AF212" s="16"/>
      <c r="AG212" s="16"/>
      <c r="AH212" s="16"/>
      <c r="AI212" s="16"/>
      <c r="AJ212" s="481">
        <v>6</v>
      </c>
      <c r="AK212" s="482"/>
      <c r="AL212" s="25"/>
      <c r="AM212" s="481"/>
      <c r="AN212" s="481"/>
      <c r="AO212" s="481"/>
      <c r="AP212" s="16"/>
      <c r="AQ212" s="16"/>
      <c r="AR212" s="130"/>
      <c r="AS212" s="130">
        <v>1405</v>
      </c>
      <c r="AT212" s="130">
        <v>3</v>
      </c>
      <c r="AU212" s="130"/>
      <c r="AV212" s="130"/>
      <c r="AW212" s="12" t="str">
        <f t="shared" si="6"/>
        <v/>
      </c>
      <c r="AX212" s="12" t="str">
        <f t="shared" si="7"/>
        <v/>
      </c>
      <c r="AY212" s="12"/>
      <c r="AZ212" s="20" t="s">
        <v>6809</v>
      </c>
    </row>
    <row r="213" spans="1:52" ht="30" customHeight="1" x14ac:dyDescent="0.2">
      <c r="A213" s="497">
        <v>211</v>
      </c>
      <c r="B213" s="481">
        <v>27</v>
      </c>
      <c r="C213" s="16">
        <v>3</v>
      </c>
      <c r="D213" s="482" t="s">
        <v>6308</v>
      </c>
      <c r="E213" s="482" t="s">
        <v>6669</v>
      </c>
      <c r="F213" s="482" t="s">
        <v>8</v>
      </c>
      <c r="G213" s="495" t="s">
        <v>6592</v>
      </c>
      <c r="H213" s="481"/>
      <c r="I213" s="481" t="s">
        <v>7</v>
      </c>
      <c r="J213" s="360" t="s">
        <v>158</v>
      </c>
      <c r="K213" s="482" t="s">
        <v>3439</v>
      </c>
      <c r="L213" s="35" t="s">
        <v>155</v>
      </c>
      <c r="M213" s="35" t="s">
        <v>104</v>
      </c>
      <c r="N213" s="41" t="s">
        <v>6799</v>
      </c>
      <c r="O213" s="13"/>
      <c r="P213" s="13"/>
      <c r="Q213" s="13"/>
      <c r="R213" s="481"/>
      <c r="S213" s="33" t="s">
        <v>170</v>
      </c>
      <c r="T213" s="33">
        <v>6609</v>
      </c>
      <c r="U213" s="35" t="s">
        <v>769</v>
      </c>
      <c r="V213" s="41" t="s">
        <v>6800</v>
      </c>
      <c r="W213" s="13"/>
      <c r="X213" s="482"/>
      <c r="Y213" s="481"/>
      <c r="Z213" s="481" t="s">
        <v>5936</v>
      </c>
      <c r="AA213" s="481">
        <v>186</v>
      </c>
      <c r="AB213" s="16">
        <v>183</v>
      </c>
      <c r="AC213" s="16">
        <v>180</v>
      </c>
      <c r="AD213" s="16">
        <v>63</v>
      </c>
      <c r="AE213" s="16">
        <v>166</v>
      </c>
      <c r="AF213" s="16">
        <v>20</v>
      </c>
      <c r="AG213" s="16">
        <v>10</v>
      </c>
      <c r="AH213" s="16">
        <v>196</v>
      </c>
      <c r="AI213" s="16">
        <v>15</v>
      </c>
      <c r="AJ213" s="481">
        <v>4</v>
      </c>
      <c r="AK213" s="482"/>
      <c r="AL213" s="25" t="s">
        <v>6583</v>
      </c>
      <c r="AM213" s="481">
        <v>196</v>
      </c>
      <c r="AN213" s="481">
        <v>15</v>
      </c>
      <c r="AO213" s="481"/>
      <c r="AP213" s="16"/>
      <c r="AQ213" s="16"/>
      <c r="AR213" s="130"/>
      <c r="AS213" s="130">
        <v>1405</v>
      </c>
      <c r="AT213" s="130">
        <v>3</v>
      </c>
      <c r="AU213" s="130"/>
      <c r="AV213" s="130"/>
      <c r="AW213" s="12" t="str">
        <f t="shared" si="6"/>
        <v/>
      </c>
      <c r="AX213" s="12" t="str">
        <f t="shared" si="7"/>
        <v/>
      </c>
      <c r="AY213" s="12"/>
      <c r="AZ213" s="481"/>
    </row>
    <row r="214" spans="1:52" ht="32.25" customHeight="1" x14ac:dyDescent="0.2">
      <c r="A214" s="497">
        <v>212</v>
      </c>
      <c r="B214" s="481">
        <v>29</v>
      </c>
      <c r="C214" s="16">
        <v>3</v>
      </c>
      <c r="D214" s="482" t="s">
        <v>6308</v>
      </c>
      <c r="E214" s="482" t="s">
        <v>6811</v>
      </c>
      <c r="F214" s="482" t="s">
        <v>20</v>
      </c>
      <c r="G214" s="495" t="s">
        <v>6592</v>
      </c>
      <c r="H214" s="481" t="s">
        <v>922</v>
      </c>
      <c r="I214" s="481" t="s">
        <v>83</v>
      </c>
      <c r="J214" s="360" t="s">
        <v>158</v>
      </c>
      <c r="K214" s="543" t="s">
        <v>6812</v>
      </c>
      <c r="L214" s="482"/>
      <c r="M214" s="482" t="s">
        <v>155</v>
      </c>
      <c r="N214" s="41"/>
      <c r="O214" s="13" t="s">
        <v>106</v>
      </c>
      <c r="P214" s="13" t="s">
        <v>107</v>
      </c>
      <c r="Q214" s="13"/>
      <c r="R214" s="481"/>
      <c r="S214" s="481" t="s">
        <v>167</v>
      </c>
      <c r="T214" s="481"/>
      <c r="U214" s="482"/>
      <c r="V214" s="41"/>
      <c r="W214" s="13" t="s">
        <v>106</v>
      </c>
      <c r="X214" s="13" t="s">
        <v>107</v>
      </c>
      <c r="Y214" s="481"/>
      <c r="Z214" s="481" t="s">
        <v>4273</v>
      </c>
      <c r="AA214" s="481"/>
      <c r="AB214" s="16">
        <v>210</v>
      </c>
      <c r="AC214" s="16">
        <v>210</v>
      </c>
      <c r="AD214" s="16"/>
      <c r="AE214" s="16"/>
      <c r="AF214" s="16"/>
      <c r="AG214" s="16"/>
      <c r="AH214" s="16"/>
      <c r="AI214" s="16"/>
      <c r="AJ214" s="481">
        <v>6</v>
      </c>
      <c r="AK214" s="482"/>
      <c r="AL214" s="25"/>
      <c r="AM214" s="481"/>
      <c r="AN214" s="481"/>
      <c r="AO214" s="481"/>
      <c r="AP214" s="16"/>
      <c r="AQ214" s="16"/>
      <c r="AR214" s="130"/>
      <c r="AS214" s="130">
        <v>1405</v>
      </c>
      <c r="AT214" s="130">
        <v>3</v>
      </c>
      <c r="AU214" s="130">
        <v>1402</v>
      </c>
      <c r="AV214" s="130">
        <v>11</v>
      </c>
      <c r="AW214" s="12">
        <f t="shared" si="6"/>
        <v>28</v>
      </c>
      <c r="AX214" s="12" t="str">
        <f t="shared" si="7"/>
        <v/>
      </c>
      <c r="AY214" s="12"/>
      <c r="AZ214" s="481"/>
    </row>
    <row r="215" spans="1:52" ht="30" customHeight="1" x14ac:dyDescent="0.2">
      <c r="A215" s="497">
        <v>213</v>
      </c>
      <c r="B215" s="481">
        <v>30</v>
      </c>
      <c r="C215" s="16">
        <v>3</v>
      </c>
      <c r="D215" s="482" t="s">
        <v>6308</v>
      </c>
      <c r="E215" s="482" t="s">
        <v>6813</v>
      </c>
      <c r="F215" s="482" t="s">
        <v>6105</v>
      </c>
      <c r="G215" s="495" t="s">
        <v>6592</v>
      </c>
      <c r="H215" s="481" t="s">
        <v>6469</v>
      </c>
      <c r="I215" s="481" t="s">
        <v>7</v>
      </c>
      <c r="J215" s="360" t="s">
        <v>158</v>
      </c>
      <c r="K215" s="482" t="s">
        <v>6454</v>
      </c>
      <c r="L215" s="482"/>
      <c r="M215" s="482" t="s">
        <v>68</v>
      </c>
      <c r="N215" s="41" t="s">
        <v>6818</v>
      </c>
      <c r="O215" s="13" t="s">
        <v>106</v>
      </c>
      <c r="P215" s="13" t="s">
        <v>107</v>
      </c>
      <c r="Q215" s="13"/>
      <c r="R215" s="481"/>
      <c r="S215" s="481"/>
      <c r="T215" s="481">
        <v>384</v>
      </c>
      <c r="U215" s="482" t="s">
        <v>485</v>
      </c>
      <c r="V215" s="41" t="s">
        <v>6819</v>
      </c>
      <c r="W215" s="13" t="s">
        <v>69</v>
      </c>
      <c r="X215" s="482" t="s">
        <v>70</v>
      </c>
      <c r="Y215" s="481" t="s">
        <v>4420</v>
      </c>
      <c r="Z215" s="481"/>
      <c r="AA215" s="481">
        <v>198</v>
      </c>
      <c r="AB215" s="16"/>
      <c r="AC215" s="16">
        <v>186</v>
      </c>
      <c r="AD215" s="16">
        <v>80</v>
      </c>
      <c r="AE215" s="16">
        <v>107</v>
      </c>
      <c r="AF215" s="16">
        <v>8</v>
      </c>
      <c r="AG215" s="16">
        <v>43</v>
      </c>
      <c r="AH215" s="16">
        <v>158</v>
      </c>
      <c r="AI215" s="16">
        <v>25</v>
      </c>
      <c r="AJ215" s="481">
        <v>6</v>
      </c>
      <c r="AK215" s="482"/>
      <c r="AL215" s="25" t="s">
        <v>6820</v>
      </c>
      <c r="AM215" s="481">
        <v>158</v>
      </c>
      <c r="AN215" s="481">
        <v>25</v>
      </c>
      <c r="AO215" s="481"/>
      <c r="AP215" s="16"/>
      <c r="AQ215" s="16" t="s">
        <v>160</v>
      </c>
      <c r="AR215" s="130" t="s">
        <v>193</v>
      </c>
      <c r="AS215" s="130">
        <v>1405</v>
      </c>
      <c r="AT215" s="130">
        <v>3</v>
      </c>
      <c r="AU215" s="130"/>
      <c r="AV215" s="130"/>
      <c r="AW215" s="12" t="str">
        <f t="shared" si="6"/>
        <v/>
      </c>
      <c r="AX215" s="12" t="str">
        <f t="shared" si="7"/>
        <v/>
      </c>
      <c r="AY215" s="12"/>
      <c r="AZ215" s="481"/>
    </row>
    <row r="216" spans="1:52" ht="30" customHeight="1" x14ac:dyDescent="0.2">
      <c r="A216" s="497">
        <v>214</v>
      </c>
      <c r="B216" s="481">
        <v>30</v>
      </c>
      <c r="C216" s="16">
        <v>3</v>
      </c>
      <c r="D216" s="482" t="s">
        <v>6308</v>
      </c>
      <c r="E216" s="482" t="s">
        <v>6798</v>
      </c>
      <c r="F216" s="482" t="s">
        <v>10</v>
      </c>
      <c r="G216" s="495" t="s">
        <v>6592</v>
      </c>
      <c r="H216" s="481"/>
      <c r="I216" s="481" t="s">
        <v>7</v>
      </c>
      <c r="J216" s="360" t="s">
        <v>158</v>
      </c>
      <c r="K216" s="482" t="s">
        <v>5577</v>
      </c>
      <c r="L216" s="35" t="s">
        <v>104</v>
      </c>
      <c r="M216" s="35" t="s">
        <v>223</v>
      </c>
      <c r="N216" s="41" t="s">
        <v>6816</v>
      </c>
      <c r="O216" s="13" t="s">
        <v>106</v>
      </c>
      <c r="P216" s="13" t="s">
        <v>107</v>
      </c>
      <c r="Q216" s="13"/>
      <c r="R216" s="481"/>
      <c r="S216" s="33" t="s">
        <v>306</v>
      </c>
      <c r="T216" s="33">
        <v>193</v>
      </c>
      <c r="U216" s="35" t="s">
        <v>144</v>
      </c>
      <c r="V216" s="41" t="s">
        <v>5187</v>
      </c>
      <c r="W216" s="13" t="s">
        <v>69</v>
      </c>
      <c r="X216" s="482" t="s">
        <v>70</v>
      </c>
      <c r="Y216" s="481"/>
      <c r="Z216" s="481" t="s">
        <v>6806</v>
      </c>
      <c r="AA216" s="481">
        <v>217</v>
      </c>
      <c r="AB216" s="16">
        <v>208</v>
      </c>
      <c r="AC216" s="16">
        <v>207</v>
      </c>
      <c r="AD216" s="16">
        <v>172</v>
      </c>
      <c r="AE216" s="16">
        <v>201</v>
      </c>
      <c r="AF216" s="16">
        <v>3</v>
      </c>
      <c r="AG216" s="16">
        <v>25</v>
      </c>
      <c r="AH216" s="16">
        <v>229</v>
      </c>
      <c r="AI216" s="16">
        <v>4</v>
      </c>
      <c r="AJ216" s="481">
        <v>4</v>
      </c>
      <c r="AK216" s="482"/>
      <c r="AL216" s="25" t="s">
        <v>6817</v>
      </c>
      <c r="AM216" s="481">
        <v>229</v>
      </c>
      <c r="AN216" s="481">
        <v>4</v>
      </c>
      <c r="AO216" s="481"/>
      <c r="AP216" s="16"/>
      <c r="AQ216" s="16" t="s">
        <v>5080</v>
      </c>
      <c r="AR216" s="130" t="s">
        <v>231</v>
      </c>
      <c r="AS216" s="130">
        <v>1405</v>
      </c>
      <c r="AT216" s="130">
        <v>3</v>
      </c>
      <c r="AU216" s="130"/>
      <c r="AV216" s="130"/>
      <c r="AW216" s="12" t="str">
        <f t="shared" si="6"/>
        <v/>
      </c>
      <c r="AX216" s="12" t="str">
        <f t="shared" si="7"/>
        <v/>
      </c>
      <c r="AY216" s="12"/>
      <c r="AZ216" s="481"/>
    </row>
    <row r="217" spans="1:52" ht="30" customHeight="1" x14ac:dyDescent="0.2">
      <c r="A217" s="497">
        <v>215</v>
      </c>
      <c r="B217" s="481">
        <v>30</v>
      </c>
      <c r="C217" s="16">
        <v>3</v>
      </c>
      <c r="D217" s="482" t="s">
        <v>6308</v>
      </c>
      <c r="E217" s="482" t="s">
        <v>3053</v>
      </c>
      <c r="F217" s="482" t="s">
        <v>20</v>
      </c>
      <c r="G217" s="495" t="s">
        <v>6592</v>
      </c>
      <c r="H217" s="481" t="s">
        <v>185</v>
      </c>
      <c r="I217" s="481" t="s">
        <v>83</v>
      </c>
      <c r="J217" s="360" t="s">
        <v>158</v>
      </c>
      <c r="K217" s="482" t="s">
        <v>3439</v>
      </c>
      <c r="L217" s="482"/>
      <c r="M217" s="482" t="s">
        <v>68</v>
      </c>
      <c r="N217" s="41"/>
      <c r="O217" s="13" t="s">
        <v>6814</v>
      </c>
      <c r="P217" s="13" t="s">
        <v>70</v>
      </c>
      <c r="Q217" s="13"/>
      <c r="R217" s="481"/>
      <c r="S217" s="481" t="s">
        <v>6815</v>
      </c>
      <c r="T217" s="481"/>
      <c r="U217" s="482"/>
      <c r="V217" s="41"/>
      <c r="W217" s="13" t="s">
        <v>6814</v>
      </c>
      <c r="X217" s="482" t="s">
        <v>70</v>
      </c>
      <c r="Y217" s="481"/>
      <c r="Z217" s="481" t="s">
        <v>4958</v>
      </c>
      <c r="AA217" s="481">
        <v>248</v>
      </c>
      <c r="AB217" s="16">
        <v>224</v>
      </c>
      <c r="AC217" s="16">
        <v>224</v>
      </c>
      <c r="AD217" s="16"/>
      <c r="AE217" s="16"/>
      <c r="AF217" s="16"/>
      <c r="AG217" s="16"/>
      <c r="AH217" s="16"/>
      <c r="AI217" s="16"/>
      <c r="AJ217" s="481">
        <v>6</v>
      </c>
      <c r="AK217" s="482"/>
      <c r="AL217" s="25"/>
      <c r="AM217" s="481"/>
      <c r="AN217" s="481"/>
      <c r="AO217" s="481"/>
      <c r="AP217" s="16"/>
      <c r="AQ217" s="16" t="s">
        <v>160</v>
      </c>
      <c r="AR217" s="130" t="s">
        <v>165</v>
      </c>
      <c r="AS217" s="130">
        <v>1405</v>
      </c>
      <c r="AT217" s="130">
        <v>3</v>
      </c>
      <c r="AU217" s="130">
        <v>1403</v>
      </c>
      <c r="AV217" s="130">
        <v>10</v>
      </c>
      <c r="AW217" s="12">
        <f t="shared" si="6"/>
        <v>17</v>
      </c>
      <c r="AX217" s="12" t="str">
        <f t="shared" si="7"/>
        <v/>
      </c>
      <c r="AY217" s="12"/>
      <c r="AZ217" s="481" t="s">
        <v>6828</v>
      </c>
    </row>
    <row r="218" spans="1:52" ht="30" customHeight="1" x14ac:dyDescent="0.2">
      <c r="A218" s="497">
        <v>216</v>
      </c>
      <c r="B218" s="481">
        <v>31</v>
      </c>
      <c r="C218" s="16">
        <v>3</v>
      </c>
      <c r="D218" s="482" t="s">
        <v>6308</v>
      </c>
      <c r="E218" s="482" t="s">
        <v>2558</v>
      </c>
      <c r="F218" s="482" t="s">
        <v>20</v>
      </c>
      <c r="G218" s="495" t="s">
        <v>6592</v>
      </c>
      <c r="H218" s="545" t="s">
        <v>4038</v>
      </c>
      <c r="I218" s="481" t="s">
        <v>83</v>
      </c>
      <c r="J218" s="360" t="s">
        <v>158</v>
      </c>
      <c r="K218" s="482" t="s">
        <v>3439</v>
      </c>
      <c r="L218" s="482"/>
      <c r="M218" s="482" t="s">
        <v>68</v>
      </c>
      <c r="N218" s="41" t="s">
        <v>3686</v>
      </c>
      <c r="O218" s="13" t="s">
        <v>106</v>
      </c>
      <c r="P218" s="13" t="s">
        <v>107</v>
      </c>
      <c r="Q218" s="13"/>
      <c r="R218" s="481"/>
      <c r="S218" s="481" t="s">
        <v>263</v>
      </c>
      <c r="T218" s="481"/>
      <c r="U218" s="482"/>
      <c r="V218" s="41" t="s">
        <v>3687</v>
      </c>
      <c r="W218" s="13" t="s">
        <v>106</v>
      </c>
      <c r="X218" s="13" t="s">
        <v>107</v>
      </c>
      <c r="Y218" s="481"/>
      <c r="Z218" s="481" t="s">
        <v>6825</v>
      </c>
      <c r="AA218" s="481">
        <v>176</v>
      </c>
      <c r="AB218" s="16">
        <v>162</v>
      </c>
      <c r="AC218" s="16">
        <v>162</v>
      </c>
      <c r="AD218" s="16"/>
      <c r="AE218" s="16"/>
      <c r="AF218" s="16"/>
      <c r="AG218" s="16"/>
      <c r="AH218" s="16"/>
      <c r="AI218" s="16"/>
      <c r="AJ218" s="481">
        <v>6</v>
      </c>
      <c r="AK218" s="482"/>
      <c r="AL218" s="25"/>
      <c r="AM218" s="481"/>
      <c r="AN218" s="481"/>
      <c r="AO218" s="481"/>
      <c r="AP218" s="16"/>
      <c r="AQ218" s="16"/>
      <c r="AR218" s="130"/>
      <c r="AS218" s="130">
        <v>1405</v>
      </c>
      <c r="AT218" s="130">
        <v>3</v>
      </c>
      <c r="AU218" s="130"/>
      <c r="AV218" s="130"/>
      <c r="AW218" s="12" t="str">
        <f t="shared" si="6"/>
        <v/>
      </c>
      <c r="AX218" s="12" t="str">
        <f t="shared" si="7"/>
        <v/>
      </c>
      <c r="AY218" s="12"/>
      <c r="AZ218" s="481"/>
    </row>
    <row r="219" spans="1:52" ht="30" customHeight="1" x14ac:dyDescent="0.2">
      <c r="A219" s="497">
        <v>217</v>
      </c>
      <c r="B219" s="481">
        <v>31</v>
      </c>
      <c r="C219" s="16">
        <v>3</v>
      </c>
      <c r="D219" s="482" t="s">
        <v>6308</v>
      </c>
      <c r="E219" s="482" t="s">
        <v>6821</v>
      </c>
      <c r="F219" s="482" t="s">
        <v>6105</v>
      </c>
      <c r="G219" s="495" t="s">
        <v>6592</v>
      </c>
      <c r="H219" s="481" t="s">
        <v>6469</v>
      </c>
      <c r="I219" s="481" t="s">
        <v>7</v>
      </c>
      <c r="J219" s="360" t="s">
        <v>158</v>
      </c>
      <c r="K219" s="482" t="s">
        <v>6454</v>
      </c>
      <c r="L219" s="482"/>
      <c r="M219" s="482" t="s">
        <v>218</v>
      </c>
      <c r="N219" s="41" t="s">
        <v>6822</v>
      </c>
      <c r="O219" s="13" t="s">
        <v>106</v>
      </c>
      <c r="P219" s="13" t="s">
        <v>107</v>
      </c>
      <c r="Q219" s="13"/>
      <c r="R219" s="481"/>
      <c r="S219" s="481"/>
      <c r="T219" s="481">
        <v>384</v>
      </c>
      <c r="U219" s="482" t="s">
        <v>260</v>
      </c>
      <c r="V219" s="41" t="s">
        <v>6823</v>
      </c>
      <c r="W219" s="13" t="s">
        <v>106</v>
      </c>
      <c r="X219" s="13" t="s">
        <v>107</v>
      </c>
      <c r="Y219" s="481" t="s">
        <v>4420</v>
      </c>
      <c r="Z219" s="481"/>
      <c r="AA219" s="481">
        <v>230</v>
      </c>
      <c r="AB219" s="16"/>
      <c r="AC219" s="16">
        <v>216</v>
      </c>
      <c r="AD219" s="16">
        <v>79</v>
      </c>
      <c r="AE219" s="16">
        <v>113</v>
      </c>
      <c r="AF219" s="16">
        <v>8</v>
      </c>
      <c r="AG219" s="16">
        <v>71</v>
      </c>
      <c r="AH219" s="16">
        <v>192</v>
      </c>
      <c r="AI219" s="16">
        <v>25</v>
      </c>
      <c r="AJ219" s="481">
        <v>6</v>
      </c>
      <c r="AK219" s="482"/>
      <c r="AL219" s="25" t="s">
        <v>6824</v>
      </c>
      <c r="AM219" s="481">
        <v>192</v>
      </c>
      <c r="AN219" s="481">
        <v>25</v>
      </c>
      <c r="AO219" s="481"/>
      <c r="AP219" s="16"/>
      <c r="AQ219" s="16" t="s">
        <v>160</v>
      </c>
      <c r="AR219" s="130" t="s">
        <v>165</v>
      </c>
      <c r="AS219" s="130">
        <v>1405</v>
      </c>
      <c r="AT219" s="130">
        <v>3</v>
      </c>
      <c r="AU219" s="130"/>
      <c r="AV219" s="130"/>
      <c r="AW219" s="12" t="str">
        <f t="shared" si="6"/>
        <v/>
      </c>
      <c r="AX219" s="12" t="str">
        <f t="shared" si="7"/>
        <v/>
      </c>
      <c r="AY219" s="12"/>
      <c r="AZ219" s="481"/>
    </row>
    <row r="220" spans="1:52" ht="30" customHeight="1" x14ac:dyDescent="0.2">
      <c r="A220" s="497">
        <v>218</v>
      </c>
      <c r="B220" s="481">
        <v>1</v>
      </c>
      <c r="C220" s="16">
        <v>4</v>
      </c>
      <c r="D220" s="482" t="s">
        <v>6308</v>
      </c>
      <c r="E220" s="482" t="s">
        <v>4986</v>
      </c>
      <c r="F220" s="482" t="s">
        <v>6</v>
      </c>
      <c r="G220" s="495" t="s">
        <v>6588</v>
      </c>
      <c r="H220" s="547" t="s">
        <v>4038</v>
      </c>
      <c r="I220" s="481" t="s">
        <v>83</v>
      </c>
      <c r="J220" s="360" t="s">
        <v>158</v>
      </c>
      <c r="K220" s="482" t="s">
        <v>3439</v>
      </c>
      <c r="L220" s="482"/>
      <c r="M220" s="482" t="s">
        <v>140</v>
      </c>
      <c r="N220" s="41" t="s">
        <v>3714</v>
      </c>
      <c r="O220" s="13" t="s">
        <v>106</v>
      </c>
      <c r="P220" s="13" t="s">
        <v>107</v>
      </c>
      <c r="Q220" s="13"/>
      <c r="R220" s="481"/>
      <c r="S220" s="481" t="s">
        <v>4818</v>
      </c>
      <c r="T220" s="481"/>
      <c r="U220" s="482"/>
      <c r="V220" s="41"/>
      <c r="W220" s="13" t="s">
        <v>106</v>
      </c>
      <c r="X220" s="13" t="s">
        <v>107</v>
      </c>
      <c r="Y220" s="481"/>
      <c r="Z220" s="481"/>
      <c r="AA220" s="481">
        <v>240</v>
      </c>
      <c r="AB220" s="16">
        <v>222</v>
      </c>
      <c r="AC220" s="16">
        <v>222</v>
      </c>
      <c r="AD220" s="16"/>
      <c r="AE220" s="16"/>
      <c r="AF220" s="16"/>
      <c r="AG220" s="16"/>
      <c r="AH220" s="16"/>
      <c r="AI220" s="16"/>
      <c r="AJ220" s="481">
        <v>4</v>
      </c>
      <c r="AK220" s="482"/>
      <c r="AL220" s="25"/>
      <c r="AM220" s="481"/>
      <c r="AN220" s="481"/>
      <c r="AO220" s="481"/>
      <c r="AP220" s="16"/>
      <c r="AQ220" s="16" t="s">
        <v>160</v>
      </c>
      <c r="AR220" s="130"/>
      <c r="AS220" s="130">
        <v>1405</v>
      </c>
      <c r="AT220" s="130">
        <v>3</v>
      </c>
      <c r="AU220" s="130"/>
      <c r="AV220" s="130"/>
      <c r="AW220" s="12" t="str">
        <f t="shared" si="6"/>
        <v/>
      </c>
      <c r="AX220" s="12" t="str">
        <f t="shared" si="7"/>
        <v/>
      </c>
      <c r="AY220" s="12"/>
      <c r="AZ220" s="481" t="s">
        <v>6827</v>
      </c>
    </row>
    <row r="221" spans="1:52" ht="30" customHeight="1" x14ac:dyDescent="0.2">
      <c r="A221" s="497">
        <v>219</v>
      </c>
      <c r="B221" s="481">
        <v>2</v>
      </c>
      <c r="C221" s="16">
        <v>4</v>
      </c>
      <c r="D221" s="482" t="s">
        <v>6308</v>
      </c>
      <c r="E221" s="482" t="s">
        <v>4051</v>
      </c>
      <c r="F221" s="482" t="s">
        <v>20</v>
      </c>
      <c r="G221" s="495" t="s">
        <v>6592</v>
      </c>
      <c r="H221" s="481" t="s">
        <v>504</v>
      </c>
      <c r="I221" s="481" t="s">
        <v>83</v>
      </c>
      <c r="J221" s="360" t="s">
        <v>158</v>
      </c>
      <c r="K221" s="482" t="s">
        <v>5577</v>
      </c>
      <c r="L221" s="482" t="s">
        <v>3714</v>
      </c>
      <c r="M221" s="482" t="s">
        <v>117</v>
      </c>
      <c r="N221" s="41" t="s">
        <v>6803</v>
      </c>
      <c r="O221" s="13" t="s">
        <v>69</v>
      </c>
      <c r="P221" s="13" t="s">
        <v>70</v>
      </c>
      <c r="Q221" s="13"/>
      <c r="R221" s="481"/>
      <c r="S221" s="481" t="s">
        <v>204</v>
      </c>
      <c r="T221" s="481"/>
      <c r="U221" s="482"/>
      <c r="V221" s="41" t="s">
        <v>6363</v>
      </c>
      <c r="W221" s="13" t="s">
        <v>106</v>
      </c>
      <c r="X221" s="482" t="s">
        <v>107</v>
      </c>
      <c r="Y221" s="481"/>
      <c r="Z221" s="481" t="s">
        <v>6829</v>
      </c>
      <c r="AA221" s="481">
        <v>243</v>
      </c>
      <c r="AB221" s="16">
        <v>225</v>
      </c>
      <c r="AC221" s="16">
        <v>225</v>
      </c>
      <c r="AD221" s="16"/>
      <c r="AE221" s="16"/>
      <c r="AF221" s="16"/>
      <c r="AG221" s="16"/>
      <c r="AH221" s="16"/>
      <c r="AI221" s="16"/>
      <c r="AJ221" s="481">
        <v>6</v>
      </c>
      <c r="AK221" s="482"/>
      <c r="AL221" s="25"/>
      <c r="AM221" s="481"/>
      <c r="AN221" s="481"/>
      <c r="AO221" s="481"/>
      <c r="AP221" s="16"/>
      <c r="AQ221" s="16" t="s">
        <v>160</v>
      </c>
      <c r="AR221" s="130" t="s">
        <v>161</v>
      </c>
      <c r="AS221" s="130">
        <v>1405</v>
      </c>
      <c r="AT221" s="130">
        <v>3</v>
      </c>
      <c r="AU221" s="130">
        <v>1405</v>
      </c>
      <c r="AV221" s="130">
        <v>3</v>
      </c>
      <c r="AW221" s="12">
        <f t="shared" si="6"/>
        <v>0</v>
      </c>
      <c r="AX221" s="12">
        <f t="shared" si="7"/>
        <v>0</v>
      </c>
      <c r="AY221" s="12"/>
      <c r="AZ221" s="481"/>
    </row>
    <row r="222" spans="1:52" ht="30" customHeight="1" x14ac:dyDescent="0.2">
      <c r="A222" s="497">
        <v>220</v>
      </c>
      <c r="B222" s="481">
        <v>2</v>
      </c>
      <c r="C222" s="16">
        <v>4</v>
      </c>
      <c r="D222" s="482" t="s">
        <v>6308</v>
      </c>
      <c r="E222" s="482" t="s">
        <v>3053</v>
      </c>
      <c r="F222" s="482" t="s">
        <v>20</v>
      </c>
      <c r="G222" s="495" t="s">
        <v>6592</v>
      </c>
      <c r="H222" s="481"/>
      <c r="I222" s="481" t="s">
        <v>7</v>
      </c>
      <c r="J222" s="360" t="s">
        <v>158</v>
      </c>
      <c r="K222" s="482" t="s">
        <v>3439</v>
      </c>
      <c r="L222" s="482" t="s">
        <v>68</v>
      </c>
      <c r="M222" s="482" t="s">
        <v>155</v>
      </c>
      <c r="N222" s="41" t="s">
        <v>6830</v>
      </c>
      <c r="O222" s="13" t="s">
        <v>106</v>
      </c>
      <c r="P222" s="13" t="s">
        <v>107</v>
      </c>
      <c r="Q222" s="13"/>
      <c r="R222" s="481"/>
      <c r="S222" s="546" t="s">
        <v>6815</v>
      </c>
      <c r="T222" s="481">
        <v>384</v>
      </c>
      <c r="U222" s="482" t="s">
        <v>441</v>
      </c>
      <c r="V222" s="41" t="s">
        <v>6831</v>
      </c>
      <c r="W222" s="13" t="s">
        <v>106</v>
      </c>
      <c r="X222" s="13" t="s">
        <v>107</v>
      </c>
      <c r="Y222" s="481" t="s">
        <v>5187</v>
      </c>
      <c r="Z222" s="481" t="s">
        <v>4958</v>
      </c>
      <c r="AA222" s="481">
        <v>248</v>
      </c>
      <c r="AB222" s="16">
        <v>224</v>
      </c>
      <c r="AC222" s="16">
        <v>224</v>
      </c>
      <c r="AD222" s="16">
        <v>96</v>
      </c>
      <c r="AE222" s="16">
        <v>124</v>
      </c>
      <c r="AF222" s="16">
        <v>10</v>
      </c>
      <c r="AG222" s="16">
        <v>23</v>
      </c>
      <c r="AH222" s="16">
        <v>156</v>
      </c>
      <c r="AI222" s="16">
        <v>27</v>
      </c>
      <c r="AJ222" s="481">
        <v>6</v>
      </c>
      <c r="AK222" s="482"/>
      <c r="AL222" s="25" t="s">
        <v>6832</v>
      </c>
      <c r="AM222" s="481">
        <v>156</v>
      </c>
      <c r="AN222" s="481">
        <v>27</v>
      </c>
      <c r="AO222" s="481"/>
      <c r="AP222" s="16"/>
      <c r="AQ222" s="16" t="s">
        <v>160</v>
      </c>
      <c r="AR222" s="130" t="s">
        <v>165</v>
      </c>
      <c r="AS222" s="130">
        <v>1405</v>
      </c>
      <c r="AT222" s="130">
        <v>3</v>
      </c>
      <c r="AU222" s="130"/>
      <c r="AV222" s="130"/>
      <c r="AW222" s="12" t="str">
        <f t="shared" si="6"/>
        <v/>
      </c>
      <c r="AX222" s="12" t="str">
        <f t="shared" si="7"/>
        <v/>
      </c>
      <c r="AY222" s="12"/>
      <c r="AZ222" s="481"/>
    </row>
    <row r="223" spans="1:52" ht="30" customHeight="1" x14ac:dyDescent="0.2">
      <c r="A223" s="497">
        <v>221</v>
      </c>
      <c r="B223" s="481">
        <v>6</v>
      </c>
      <c r="C223" s="16">
        <v>4</v>
      </c>
      <c r="D223" s="482" t="s">
        <v>6308</v>
      </c>
      <c r="E223" s="482" t="s">
        <v>3854</v>
      </c>
      <c r="F223" s="482" t="s">
        <v>10</v>
      </c>
      <c r="G223" s="495" t="s">
        <v>6592</v>
      </c>
      <c r="H223" s="547" t="s">
        <v>4038</v>
      </c>
      <c r="I223" s="481" t="s">
        <v>83</v>
      </c>
      <c r="J223" s="360" t="s">
        <v>158</v>
      </c>
      <c r="K223" s="482" t="s">
        <v>5577</v>
      </c>
      <c r="L223" s="482"/>
      <c r="M223" s="482" t="s">
        <v>334</v>
      </c>
      <c r="N223" s="41"/>
      <c r="O223" s="13" t="s">
        <v>106</v>
      </c>
      <c r="P223" s="13" t="s">
        <v>107</v>
      </c>
      <c r="Q223" s="13"/>
      <c r="R223" s="481"/>
      <c r="S223" s="481" t="s">
        <v>336</v>
      </c>
      <c r="T223" s="481"/>
      <c r="U223" s="482"/>
      <c r="V223" s="41"/>
      <c r="W223" s="13" t="s">
        <v>106</v>
      </c>
      <c r="X223" s="13" t="s">
        <v>107</v>
      </c>
      <c r="Y223" s="481"/>
      <c r="Z223" s="481" t="s">
        <v>6841</v>
      </c>
      <c r="AA223" s="481">
        <v>239</v>
      </c>
      <c r="AB223" s="16">
        <v>210</v>
      </c>
      <c r="AC223" s="16">
        <v>210</v>
      </c>
      <c r="AD223" s="16"/>
      <c r="AE223" s="16"/>
      <c r="AF223" s="16"/>
      <c r="AG223" s="16"/>
      <c r="AH223" s="16"/>
      <c r="AI223" s="16"/>
      <c r="AJ223" s="481">
        <v>6</v>
      </c>
      <c r="AK223" s="482"/>
      <c r="AL223" s="25"/>
      <c r="AM223" s="481"/>
      <c r="AN223" s="481"/>
      <c r="AO223" s="481"/>
      <c r="AP223" s="16"/>
      <c r="AQ223" s="16"/>
      <c r="AR223" s="130"/>
      <c r="AS223" s="130">
        <v>1405</v>
      </c>
      <c r="AT223" s="130">
        <v>3</v>
      </c>
      <c r="AU223" s="130">
        <v>1404</v>
      </c>
      <c r="AV223" s="130">
        <v>10</v>
      </c>
      <c r="AW223" s="12">
        <f t="shared" si="6"/>
        <v>5</v>
      </c>
      <c r="AX223" s="12">
        <f t="shared" si="7"/>
        <v>5</v>
      </c>
      <c r="AY223" s="12"/>
      <c r="AZ223" s="481"/>
    </row>
    <row r="224" spans="1:52" ht="30" customHeight="1" x14ac:dyDescent="0.2">
      <c r="A224" s="497">
        <v>222</v>
      </c>
      <c r="B224" s="481">
        <v>6</v>
      </c>
      <c r="C224" s="16">
        <v>4</v>
      </c>
      <c r="D224" s="482" t="s">
        <v>6308</v>
      </c>
      <c r="E224" s="482" t="s">
        <v>3616</v>
      </c>
      <c r="F224" s="482" t="s">
        <v>6</v>
      </c>
      <c r="G224" s="495" t="s">
        <v>6592</v>
      </c>
      <c r="H224" s="547" t="s">
        <v>4038</v>
      </c>
      <c r="I224" s="481" t="s">
        <v>83</v>
      </c>
      <c r="J224" s="360" t="s">
        <v>158</v>
      </c>
      <c r="K224" s="482" t="s">
        <v>3439</v>
      </c>
      <c r="L224" s="482"/>
      <c r="M224" s="482" t="s">
        <v>155</v>
      </c>
      <c r="N224" s="41"/>
      <c r="O224" s="13" t="s">
        <v>106</v>
      </c>
      <c r="P224" s="13" t="s">
        <v>107</v>
      </c>
      <c r="Q224" s="13"/>
      <c r="R224" s="481"/>
      <c r="S224" s="481" t="s">
        <v>6158</v>
      </c>
      <c r="T224" s="481"/>
      <c r="U224" s="482"/>
      <c r="V224" s="41"/>
      <c r="W224" s="13" t="s">
        <v>106</v>
      </c>
      <c r="X224" s="13" t="s">
        <v>107</v>
      </c>
      <c r="Y224" s="481"/>
      <c r="Z224" s="481" t="s">
        <v>6840</v>
      </c>
      <c r="AA224" s="481">
        <v>221</v>
      </c>
      <c r="AB224" s="16">
        <v>210</v>
      </c>
      <c r="AC224" s="16">
        <v>210</v>
      </c>
      <c r="AD224" s="16"/>
      <c r="AE224" s="16"/>
      <c r="AF224" s="16"/>
      <c r="AG224" s="16"/>
      <c r="AH224" s="16"/>
      <c r="AI224" s="16"/>
      <c r="AJ224" s="481">
        <v>6</v>
      </c>
      <c r="AK224" s="482"/>
      <c r="AL224" s="25"/>
      <c r="AM224" s="481"/>
      <c r="AN224" s="481"/>
      <c r="AO224" s="481"/>
      <c r="AP224" s="16"/>
      <c r="AQ224" s="16"/>
      <c r="AR224" s="130"/>
      <c r="AS224" s="130">
        <v>1405</v>
      </c>
      <c r="AT224" s="130">
        <v>3</v>
      </c>
      <c r="AU224" s="130">
        <v>1404</v>
      </c>
      <c r="AV224" s="130">
        <v>8</v>
      </c>
      <c r="AW224" s="12">
        <f t="shared" si="6"/>
        <v>7</v>
      </c>
      <c r="AX224" s="12">
        <f t="shared" si="7"/>
        <v>7</v>
      </c>
      <c r="AY224" s="12"/>
      <c r="AZ224" s="481"/>
    </row>
    <row r="225" spans="1:52" ht="30" customHeight="1" x14ac:dyDescent="0.2">
      <c r="A225" s="497">
        <v>223</v>
      </c>
      <c r="B225" s="481">
        <v>6</v>
      </c>
      <c r="C225" s="16">
        <v>4</v>
      </c>
      <c r="D225" s="482" t="s">
        <v>6308</v>
      </c>
      <c r="E225" s="482" t="s">
        <v>678</v>
      </c>
      <c r="F225" s="482" t="s">
        <v>6</v>
      </c>
      <c r="G225" s="495" t="s">
        <v>6592</v>
      </c>
      <c r="H225" s="547" t="s">
        <v>4038</v>
      </c>
      <c r="I225" s="481" t="s">
        <v>83</v>
      </c>
      <c r="J225" s="360" t="s">
        <v>158</v>
      </c>
      <c r="K225" s="482" t="s">
        <v>3439</v>
      </c>
      <c r="L225" s="482"/>
      <c r="M225" s="482" t="s">
        <v>117</v>
      </c>
      <c r="N225" s="41"/>
      <c r="O225" s="13" t="s">
        <v>106</v>
      </c>
      <c r="P225" s="13" t="s">
        <v>107</v>
      </c>
      <c r="Q225" s="13"/>
      <c r="R225" s="481"/>
      <c r="S225" s="481" t="s">
        <v>276</v>
      </c>
      <c r="T225" s="481"/>
      <c r="U225" s="482"/>
      <c r="V225" s="41"/>
      <c r="W225" s="13" t="s">
        <v>106</v>
      </c>
      <c r="X225" s="13" t="s">
        <v>107</v>
      </c>
      <c r="Y225" s="481"/>
      <c r="Z225" s="481" t="s">
        <v>6839</v>
      </c>
      <c r="AA225" s="481">
        <v>244</v>
      </c>
      <c r="AB225" s="16">
        <v>228</v>
      </c>
      <c r="AC225" s="16">
        <v>228</v>
      </c>
      <c r="AD225" s="16"/>
      <c r="AE225" s="16"/>
      <c r="AF225" s="16"/>
      <c r="AG225" s="16"/>
      <c r="AH225" s="16"/>
      <c r="AI225" s="16"/>
      <c r="AJ225" s="481">
        <v>6</v>
      </c>
      <c r="AK225" s="482"/>
      <c r="AL225" s="25"/>
      <c r="AM225" s="481"/>
      <c r="AN225" s="481"/>
      <c r="AO225" s="481"/>
      <c r="AP225" s="16"/>
      <c r="AQ225" s="16"/>
      <c r="AR225" s="130"/>
      <c r="AS225" s="130">
        <v>1405</v>
      </c>
      <c r="AT225" s="130">
        <v>3</v>
      </c>
      <c r="AU225" s="130">
        <v>1404</v>
      </c>
      <c r="AV225" s="130">
        <v>4</v>
      </c>
      <c r="AW225" s="12">
        <f t="shared" si="6"/>
        <v>11</v>
      </c>
      <c r="AX225" s="12">
        <f t="shared" si="7"/>
        <v>11</v>
      </c>
      <c r="AY225" s="12"/>
      <c r="AZ225" s="481"/>
    </row>
    <row r="226" spans="1:52" ht="30" customHeight="1" x14ac:dyDescent="0.2">
      <c r="A226" s="497">
        <v>224</v>
      </c>
      <c r="B226" s="481">
        <v>7</v>
      </c>
      <c r="C226" s="16">
        <v>4</v>
      </c>
      <c r="D226" s="482" t="s">
        <v>6308</v>
      </c>
      <c r="E226" s="482" t="s">
        <v>6836</v>
      </c>
      <c r="F226" s="548" t="s">
        <v>10</v>
      </c>
      <c r="G226" s="495" t="s">
        <v>6588</v>
      </c>
      <c r="H226" s="481"/>
      <c r="I226" s="481" t="s">
        <v>7</v>
      </c>
      <c r="J226" s="360" t="s">
        <v>158</v>
      </c>
      <c r="K226" s="482" t="s">
        <v>3439</v>
      </c>
      <c r="L226" s="482" t="s">
        <v>155</v>
      </c>
      <c r="M226" s="482" t="s">
        <v>117</v>
      </c>
      <c r="N226" s="41" t="s">
        <v>6803</v>
      </c>
      <c r="O226" s="13" t="s">
        <v>69</v>
      </c>
      <c r="P226" s="13" t="s">
        <v>70</v>
      </c>
      <c r="Q226" s="13"/>
      <c r="R226" s="481"/>
      <c r="S226" s="481" t="s">
        <v>324</v>
      </c>
      <c r="T226" s="481">
        <v>6608</v>
      </c>
      <c r="U226" s="482" t="s">
        <v>1581</v>
      </c>
      <c r="V226" s="41" t="s">
        <v>6837</v>
      </c>
      <c r="W226" s="13" t="s">
        <v>106</v>
      </c>
      <c r="X226" s="548" t="s">
        <v>107</v>
      </c>
      <c r="Y226" s="481" t="s">
        <v>5187</v>
      </c>
      <c r="Z226" s="481" t="s">
        <v>4294</v>
      </c>
      <c r="AA226" s="481">
        <v>247</v>
      </c>
      <c r="AB226" s="16">
        <v>222</v>
      </c>
      <c r="AC226" s="16">
        <v>231</v>
      </c>
      <c r="AD226" s="16">
        <v>106</v>
      </c>
      <c r="AE226" s="16">
        <v>134</v>
      </c>
      <c r="AF226" s="16">
        <v>3</v>
      </c>
      <c r="AG226" s="16">
        <v>35</v>
      </c>
      <c r="AH226" s="16">
        <v>172</v>
      </c>
      <c r="AI226" s="16">
        <v>12</v>
      </c>
      <c r="AJ226" s="481">
        <v>6</v>
      </c>
      <c r="AK226" s="482"/>
      <c r="AL226" s="25" t="s">
        <v>6838</v>
      </c>
      <c r="AM226" s="481">
        <v>172</v>
      </c>
      <c r="AN226" s="481">
        <v>12</v>
      </c>
      <c r="AO226" s="481"/>
      <c r="AP226" s="16"/>
      <c r="AQ226" s="16" t="s">
        <v>160</v>
      </c>
      <c r="AR226" s="130" t="s">
        <v>161</v>
      </c>
      <c r="AS226" s="130">
        <v>1405</v>
      </c>
      <c r="AT226" s="130">
        <v>3</v>
      </c>
      <c r="AU226" s="130"/>
      <c r="AV226" s="130"/>
      <c r="AW226" s="12" t="str">
        <f t="shared" si="6"/>
        <v/>
      </c>
      <c r="AX226" s="12" t="str">
        <f t="shared" si="7"/>
        <v/>
      </c>
      <c r="AY226" s="12"/>
      <c r="AZ226" s="481"/>
    </row>
    <row r="227" spans="1:52" ht="30" customHeight="1" x14ac:dyDescent="0.2">
      <c r="A227" s="497">
        <v>225</v>
      </c>
      <c r="B227" s="481">
        <v>7</v>
      </c>
      <c r="C227" s="16">
        <v>4</v>
      </c>
      <c r="D227" s="482" t="s">
        <v>6308</v>
      </c>
      <c r="E227" s="482" t="s">
        <v>4491</v>
      </c>
      <c r="F227" s="548" t="s">
        <v>6</v>
      </c>
      <c r="G227" s="495" t="s">
        <v>6588</v>
      </c>
      <c r="H227" s="481"/>
      <c r="I227" s="481" t="s">
        <v>7</v>
      </c>
      <c r="J227" s="360" t="s">
        <v>158</v>
      </c>
      <c r="K227" s="482" t="s">
        <v>3439</v>
      </c>
      <c r="L227" s="482" t="s">
        <v>68</v>
      </c>
      <c r="M227" s="482" t="s">
        <v>117</v>
      </c>
      <c r="N227" s="41" t="s">
        <v>6833</v>
      </c>
      <c r="O227" s="13" t="s">
        <v>69</v>
      </c>
      <c r="P227" s="13" t="s">
        <v>70</v>
      </c>
      <c r="Q227" s="13"/>
      <c r="R227" s="481"/>
      <c r="S227" s="481" t="s">
        <v>361</v>
      </c>
      <c r="T227" s="481">
        <v>293</v>
      </c>
      <c r="U227" s="482" t="s">
        <v>260</v>
      </c>
      <c r="V227" s="41" t="s">
        <v>6363</v>
      </c>
      <c r="W227" s="13" t="s">
        <v>6834</v>
      </c>
      <c r="X227" s="482" t="s">
        <v>107</v>
      </c>
      <c r="Y227" s="481" t="s">
        <v>5187</v>
      </c>
      <c r="Z227" s="481" t="s">
        <v>6805</v>
      </c>
      <c r="AA227" s="481">
        <v>229</v>
      </c>
      <c r="AB227" s="16">
        <v>216</v>
      </c>
      <c r="AC227" s="16">
        <v>216</v>
      </c>
      <c r="AD227" s="16">
        <v>95</v>
      </c>
      <c r="AE227" s="16">
        <v>144</v>
      </c>
      <c r="AF227" s="16">
        <v>4</v>
      </c>
      <c r="AG227" s="16">
        <v>5</v>
      </c>
      <c r="AH227" s="16">
        <v>153</v>
      </c>
      <c r="AI227" s="16">
        <v>16</v>
      </c>
      <c r="AJ227" s="481">
        <v>6</v>
      </c>
      <c r="AK227" s="482"/>
      <c r="AL227" s="25" t="s">
        <v>6835</v>
      </c>
      <c r="AM227" s="481">
        <v>153</v>
      </c>
      <c r="AN227" s="481">
        <v>16</v>
      </c>
      <c r="AO227" s="481"/>
      <c r="AP227" s="16"/>
      <c r="AQ227" s="16" t="s">
        <v>160</v>
      </c>
      <c r="AR227" s="130" t="s">
        <v>193</v>
      </c>
      <c r="AS227" s="130">
        <v>1405</v>
      </c>
      <c r="AT227" s="130">
        <v>3</v>
      </c>
      <c r="AU227" s="130"/>
      <c r="AV227" s="130"/>
      <c r="AW227" s="12" t="str">
        <f t="shared" si="6"/>
        <v/>
      </c>
      <c r="AX227" s="12" t="str">
        <f t="shared" si="7"/>
        <v/>
      </c>
      <c r="AY227" s="12"/>
      <c r="AZ227" s="481"/>
    </row>
    <row r="228" spans="1:52" ht="30" customHeight="1" x14ac:dyDescent="0.2">
      <c r="A228" s="497">
        <v>226</v>
      </c>
      <c r="B228" s="481">
        <v>8</v>
      </c>
      <c r="C228" s="16">
        <v>4</v>
      </c>
      <c r="D228" s="482" t="s">
        <v>6308</v>
      </c>
      <c r="E228" s="482" t="s">
        <v>321</v>
      </c>
      <c r="F228" s="482" t="s">
        <v>20</v>
      </c>
      <c r="G228" s="495" t="s">
        <v>6592</v>
      </c>
      <c r="H228" s="481"/>
      <c r="I228" s="481" t="s">
        <v>7</v>
      </c>
      <c r="J228" s="360" t="s">
        <v>158</v>
      </c>
      <c r="K228" s="549" t="s">
        <v>3439</v>
      </c>
      <c r="L228" s="482"/>
      <c r="M228" s="482" t="s">
        <v>718</v>
      </c>
      <c r="N228" s="41"/>
      <c r="O228" s="13" t="s">
        <v>106</v>
      </c>
      <c r="P228" s="13" t="s">
        <v>107</v>
      </c>
      <c r="Q228" s="13"/>
      <c r="R228" s="481"/>
      <c r="S228" s="481"/>
      <c r="T228" s="481">
        <v>152</v>
      </c>
      <c r="U228" s="482" t="s">
        <v>334</v>
      </c>
      <c r="V228" s="41"/>
      <c r="W228" s="13" t="s">
        <v>69</v>
      </c>
      <c r="X228" s="482" t="s">
        <v>70</v>
      </c>
      <c r="Y228" s="481"/>
      <c r="Z228" s="481" t="s">
        <v>317</v>
      </c>
      <c r="AA228" s="481">
        <v>172</v>
      </c>
      <c r="AB228" s="16">
        <v>156</v>
      </c>
      <c r="AC228" s="16">
        <v>156</v>
      </c>
      <c r="AD228" s="16"/>
      <c r="AE228" s="16"/>
      <c r="AF228" s="16"/>
      <c r="AG228" s="16"/>
      <c r="AH228" s="16"/>
      <c r="AI228" s="16"/>
      <c r="AJ228" s="481">
        <v>3</v>
      </c>
      <c r="AK228" s="482"/>
      <c r="AL228" s="25"/>
      <c r="AM228" s="481"/>
      <c r="AN228" s="481"/>
      <c r="AO228" s="481"/>
      <c r="AP228" s="16"/>
      <c r="AQ228" s="16"/>
      <c r="AR228" s="130"/>
      <c r="AS228" s="130">
        <v>1405</v>
      </c>
      <c r="AT228" s="130">
        <v>3</v>
      </c>
      <c r="AU228" s="130"/>
      <c r="AV228" s="130"/>
      <c r="AW228" s="12" t="str">
        <f t="shared" si="6"/>
        <v/>
      </c>
      <c r="AX228" s="12" t="str">
        <f t="shared" si="7"/>
        <v/>
      </c>
      <c r="AY228" s="12"/>
      <c r="AZ228" s="481"/>
    </row>
    <row r="229" spans="1:52" ht="30" customHeight="1" x14ac:dyDescent="0.2">
      <c r="A229" s="497">
        <v>227</v>
      </c>
      <c r="B229" s="481">
        <v>8</v>
      </c>
      <c r="C229" s="16">
        <v>4</v>
      </c>
      <c r="D229" s="482" t="s">
        <v>6308</v>
      </c>
      <c r="E229" s="482" t="s">
        <v>5802</v>
      </c>
      <c r="F229" s="482" t="s">
        <v>6105</v>
      </c>
      <c r="G229" s="495" t="s">
        <v>6592</v>
      </c>
      <c r="H229" s="481"/>
      <c r="I229" s="481" t="s">
        <v>7</v>
      </c>
      <c r="J229" s="360" t="s">
        <v>158</v>
      </c>
      <c r="K229" s="549" t="s">
        <v>3439</v>
      </c>
      <c r="L229" s="482"/>
      <c r="M229" s="482" t="s">
        <v>155</v>
      </c>
      <c r="N229" s="41"/>
      <c r="O229" s="13" t="s">
        <v>106</v>
      </c>
      <c r="P229" s="13" t="s">
        <v>107</v>
      </c>
      <c r="Q229" s="13"/>
      <c r="R229" s="481"/>
      <c r="S229" s="481"/>
      <c r="T229" s="481">
        <v>345</v>
      </c>
      <c r="U229" s="482" t="s">
        <v>441</v>
      </c>
      <c r="V229" s="41"/>
      <c r="W229" s="13"/>
      <c r="X229" s="482"/>
      <c r="Y229" s="481"/>
      <c r="Z229" s="481" t="s">
        <v>6848</v>
      </c>
      <c r="AA229" s="481">
        <v>247</v>
      </c>
      <c r="AB229" s="16">
        <v>233</v>
      </c>
      <c r="AC229" s="16">
        <v>233</v>
      </c>
      <c r="AD229" s="16"/>
      <c r="AE229" s="16"/>
      <c r="AF229" s="16"/>
      <c r="AG229" s="16"/>
      <c r="AH229" s="16"/>
      <c r="AI229" s="16"/>
      <c r="AJ229" s="481">
        <v>6</v>
      </c>
      <c r="AK229" s="482"/>
      <c r="AL229" s="25"/>
      <c r="AM229" s="481"/>
      <c r="AN229" s="481"/>
      <c r="AO229" s="481"/>
      <c r="AP229" s="16"/>
      <c r="AQ229" s="16"/>
      <c r="AR229" s="130"/>
      <c r="AS229" s="130">
        <v>1405</v>
      </c>
      <c r="AT229" s="130">
        <v>3</v>
      </c>
      <c r="AU229" s="130"/>
      <c r="AV229" s="130"/>
      <c r="AW229" s="12" t="str">
        <f t="shared" si="6"/>
        <v/>
      </c>
      <c r="AX229" s="12" t="str">
        <f t="shared" si="7"/>
        <v/>
      </c>
      <c r="AY229" s="12"/>
      <c r="AZ229" s="481"/>
    </row>
    <row r="230" spans="1:52" ht="30" customHeight="1" x14ac:dyDescent="0.2">
      <c r="A230" s="497">
        <v>228</v>
      </c>
      <c r="B230" s="481">
        <v>9</v>
      </c>
      <c r="C230" s="16">
        <v>4</v>
      </c>
      <c r="D230" s="549" t="s">
        <v>6308</v>
      </c>
      <c r="E230" s="482" t="s">
        <v>3854</v>
      </c>
      <c r="F230" s="482" t="s">
        <v>10</v>
      </c>
      <c r="G230" s="495" t="s">
        <v>6592</v>
      </c>
      <c r="H230" s="481"/>
      <c r="I230" s="481" t="s">
        <v>7</v>
      </c>
      <c r="J230" s="360" t="s">
        <v>158</v>
      </c>
      <c r="K230" s="482" t="s">
        <v>5577</v>
      </c>
      <c r="L230" s="482"/>
      <c r="M230" s="482" t="s">
        <v>334</v>
      </c>
      <c r="N230" s="41"/>
      <c r="O230" s="13" t="s">
        <v>69</v>
      </c>
      <c r="P230" s="13" t="s">
        <v>70</v>
      </c>
      <c r="Q230" s="13"/>
      <c r="R230" s="481"/>
      <c r="S230" s="481"/>
      <c r="T230" s="481">
        <v>233</v>
      </c>
      <c r="U230" s="482" t="s">
        <v>2258</v>
      </c>
      <c r="V230" s="41"/>
      <c r="W230" s="13" t="s">
        <v>69</v>
      </c>
      <c r="X230" s="482" t="s">
        <v>70</v>
      </c>
      <c r="Y230" s="481"/>
      <c r="Z230" s="481" t="s">
        <v>6841</v>
      </c>
      <c r="AA230" s="481"/>
      <c r="AB230" s="16">
        <v>210</v>
      </c>
      <c r="AC230" s="16">
        <v>210</v>
      </c>
      <c r="AD230" s="16"/>
      <c r="AE230" s="16"/>
      <c r="AF230" s="16"/>
      <c r="AG230" s="16"/>
      <c r="AH230" s="16"/>
      <c r="AI230" s="16"/>
      <c r="AJ230" s="481">
        <v>6</v>
      </c>
      <c r="AK230" s="482"/>
      <c r="AL230" s="25"/>
      <c r="AM230" s="481"/>
      <c r="AN230" s="481"/>
      <c r="AO230" s="481"/>
      <c r="AP230" s="16"/>
      <c r="AQ230" s="16"/>
      <c r="AR230" s="130"/>
      <c r="AS230" s="130">
        <v>1405</v>
      </c>
      <c r="AT230" s="130"/>
      <c r="AU230" s="130"/>
      <c r="AV230" s="130"/>
      <c r="AW230" s="12" t="str">
        <f t="shared" si="6"/>
        <v/>
      </c>
      <c r="AX230" s="12" t="str">
        <f t="shared" si="7"/>
        <v/>
      </c>
      <c r="AY230" s="12"/>
      <c r="AZ230" s="481"/>
    </row>
    <row r="231" spans="1:52" ht="30" customHeight="1" x14ac:dyDescent="0.2">
      <c r="A231" s="497">
        <v>229</v>
      </c>
      <c r="B231" s="481">
        <v>10</v>
      </c>
      <c r="C231" s="16">
        <v>4</v>
      </c>
      <c r="D231" s="549" t="s">
        <v>6308</v>
      </c>
      <c r="E231" s="482" t="s">
        <v>6842</v>
      </c>
      <c r="F231" s="482" t="s">
        <v>66</v>
      </c>
      <c r="G231" s="495"/>
      <c r="H231" s="481" t="s">
        <v>192</v>
      </c>
      <c r="I231" s="481" t="s">
        <v>5294</v>
      </c>
      <c r="J231" s="360" t="s">
        <v>158</v>
      </c>
      <c r="K231" s="482" t="s">
        <v>3439</v>
      </c>
      <c r="L231" s="482"/>
      <c r="M231" s="482" t="s">
        <v>334</v>
      </c>
      <c r="N231" s="41"/>
      <c r="O231" s="13" t="s">
        <v>106</v>
      </c>
      <c r="P231" s="13"/>
      <c r="Q231" s="13"/>
      <c r="R231" s="481"/>
      <c r="S231" s="481"/>
      <c r="T231" s="481"/>
      <c r="U231" s="482"/>
      <c r="V231" s="41"/>
      <c r="W231" s="13"/>
      <c r="X231" s="482"/>
      <c r="Y231" s="481"/>
      <c r="Z231" s="481"/>
      <c r="AA231" s="481"/>
      <c r="AB231" s="16"/>
      <c r="AC231" s="16"/>
      <c r="AD231" s="16"/>
      <c r="AE231" s="16"/>
      <c r="AF231" s="16"/>
      <c r="AG231" s="16"/>
      <c r="AH231" s="16"/>
      <c r="AI231" s="16"/>
      <c r="AJ231" s="481"/>
      <c r="AK231" s="482"/>
      <c r="AL231" s="25"/>
      <c r="AM231" s="481"/>
      <c r="AN231" s="481"/>
      <c r="AO231" s="481"/>
      <c r="AP231" s="16"/>
      <c r="AQ231" s="16"/>
      <c r="AR231" s="130"/>
      <c r="AS231" s="130">
        <v>1405</v>
      </c>
      <c r="AT231" s="130"/>
      <c r="AU231" s="130"/>
      <c r="AV231" s="130"/>
      <c r="AW231" s="12" t="str">
        <f t="shared" si="6"/>
        <v/>
      </c>
      <c r="AX231" s="12" t="str">
        <f t="shared" si="7"/>
        <v/>
      </c>
      <c r="AY231" s="12"/>
      <c r="AZ231" s="481"/>
    </row>
    <row r="232" spans="1:52" ht="30" customHeight="1" x14ac:dyDescent="0.2">
      <c r="A232" s="497">
        <v>230</v>
      </c>
      <c r="B232" s="481">
        <v>10</v>
      </c>
      <c r="C232" s="16">
        <v>4</v>
      </c>
      <c r="D232" s="549" t="s">
        <v>6308</v>
      </c>
      <c r="E232" s="482" t="s">
        <v>1101</v>
      </c>
      <c r="F232" s="482" t="s">
        <v>8</v>
      </c>
      <c r="G232" s="495"/>
      <c r="H232" s="481" t="s">
        <v>6847</v>
      </c>
      <c r="I232" s="481" t="s">
        <v>83</v>
      </c>
      <c r="J232" s="360" t="s">
        <v>158</v>
      </c>
      <c r="K232" s="549" t="s">
        <v>3439</v>
      </c>
      <c r="L232" s="482"/>
      <c r="M232" s="482"/>
      <c r="N232" s="41"/>
      <c r="O232" s="13"/>
      <c r="P232" s="13"/>
      <c r="Q232" s="13"/>
      <c r="R232" s="481"/>
      <c r="S232" s="481"/>
      <c r="T232" s="481"/>
      <c r="U232" s="482"/>
      <c r="V232" s="41"/>
      <c r="W232" s="13"/>
      <c r="X232" s="482"/>
      <c r="Y232" s="481"/>
      <c r="Z232" s="481"/>
      <c r="AA232" s="481"/>
      <c r="AB232" s="16"/>
      <c r="AC232" s="16"/>
      <c r="AD232" s="16"/>
      <c r="AE232" s="16"/>
      <c r="AF232" s="16"/>
      <c r="AG232" s="16"/>
      <c r="AH232" s="16"/>
      <c r="AI232" s="16"/>
      <c r="AJ232" s="481"/>
      <c r="AK232" s="482"/>
      <c r="AL232" s="25"/>
      <c r="AM232" s="481"/>
      <c r="AN232" s="481"/>
      <c r="AO232" s="481"/>
      <c r="AP232" s="16"/>
      <c r="AQ232" s="16"/>
      <c r="AR232" s="130"/>
      <c r="AS232" s="130">
        <v>1405</v>
      </c>
      <c r="AT232" s="130"/>
      <c r="AU232" s="130"/>
      <c r="AV232" s="130"/>
      <c r="AW232" s="12" t="str">
        <f t="shared" ref="AW232:AW295" si="8">IF(AS232*AU232&gt;0,(AS232-AU232)*12+(AT232-AV232),"")</f>
        <v/>
      </c>
      <c r="AX232" s="12" t="str">
        <f t="shared" si="7"/>
        <v/>
      </c>
      <c r="AY232" s="12"/>
      <c r="AZ232" s="481"/>
    </row>
    <row r="233" spans="1:52" ht="30" customHeight="1" x14ac:dyDescent="0.2">
      <c r="A233" s="497">
        <v>231</v>
      </c>
      <c r="B233" s="481">
        <v>10</v>
      </c>
      <c r="C233" s="16">
        <v>4</v>
      </c>
      <c r="D233" s="549" t="s">
        <v>6308</v>
      </c>
      <c r="E233" s="482" t="s">
        <v>1820</v>
      </c>
      <c r="F233" s="482" t="s">
        <v>66</v>
      </c>
      <c r="G233" s="495"/>
      <c r="H233" s="481"/>
      <c r="I233" s="481" t="s">
        <v>83</v>
      </c>
      <c r="J233" s="360" t="s">
        <v>158</v>
      </c>
      <c r="K233" s="482" t="s">
        <v>5577</v>
      </c>
      <c r="L233" s="482"/>
      <c r="M233" s="482"/>
      <c r="N233" s="41"/>
      <c r="O233" s="13"/>
      <c r="P233" s="13"/>
      <c r="Q233" s="13"/>
      <c r="R233" s="481"/>
      <c r="S233" s="481"/>
      <c r="T233" s="481"/>
      <c r="U233" s="482"/>
      <c r="V233" s="41"/>
      <c r="W233" s="13"/>
      <c r="X233" s="482"/>
      <c r="Y233" s="481"/>
      <c r="Z233" s="481"/>
      <c r="AA233" s="481"/>
      <c r="AB233" s="16"/>
      <c r="AC233" s="16"/>
      <c r="AD233" s="16"/>
      <c r="AE233" s="16"/>
      <c r="AF233" s="16"/>
      <c r="AG233" s="16"/>
      <c r="AH233" s="16"/>
      <c r="AI233" s="16"/>
      <c r="AJ233" s="481"/>
      <c r="AK233" s="482"/>
      <c r="AL233" s="25"/>
      <c r="AM233" s="481"/>
      <c r="AN233" s="481"/>
      <c r="AO233" s="481"/>
      <c r="AP233" s="16"/>
      <c r="AQ233" s="16"/>
      <c r="AR233" s="130"/>
      <c r="AS233" s="130">
        <v>1405</v>
      </c>
      <c r="AT233" s="130"/>
      <c r="AU233" s="130"/>
      <c r="AV233" s="130"/>
      <c r="AW233" s="12" t="str">
        <f t="shared" si="8"/>
        <v/>
      </c>
      <c r="AX233" s="12" t="str">
        <f t="shared" si="7"/>
        <v/>
      </c>
      <c r="AY233" s="12"/>
      <c r="AZ233" s="481"/>
    </row>
    <row r="234" spans="1:52" ht="30" customHeight="1" x14ac:dyDescent="0.2">
      <c r="A234" s="497">
        <v>232</v>
      </c>
      <c r="B234" s="481">
        <v>11</v>
      </c>
      <c r="C234" s="16">
        <v>4</v>
      </c>
      <c r="D234" s="549" t="s">
        <v>6308</v>
      </c>
      <c r="E234" s="482" t="s">
        <v>662</v>
      </c>
      <c r="F234" s="482" t="s">
        <v>10</v>
      </c>
      <c r="G234" s="495"/>
      <c r="H234" s="481" t="s">
        <v>6553</v>
      </c>
      <c r="I234" s="481" t="s">
        <v>83</v>
      </c>
      <c r="J234" s="360" t="s">
        <v>158</v>
      </c>
      <c r="K234" s="482" t="s">
        <v>5577</v>
      </c>
      <c r="L234" s="482"/>
      <c r="M234" s="482"/>
      <c r="N234" s="41"/>
      <c r="O234" s="13"/>
      <c r="P234" s="13"/>
      <c r="Q234" s="13"/>
      <c r="R234" s="481"/>
      <c r="S234" s="481"/>
      <c r="T234" s="481"/>
      <c r="U234" s="482"/>
      <c r="V234" s="41"/>
      <c r="W234" s="13"/>
      <c r="X234" s="482"/>
      <c r="Y234" s="481"/>
      <c r="Z234" s="481"/>
      <c r="AA234" s="481"/>
      <c r="AB234" s="16"/>
      <c r="AC234" s="16"/>
      <c r="AD234" s="16"/>
      <c r="AE234" s="16"/>
      <c r="AF234" s="16"/>
      <c r="AG234" s="16"/>
      <c r="AH234" s="16"/>
      <c r="AI234" s="16"/>
      <c r="AJ234" s="481"/>
      <c r="AK234" s="482"/>
      <c r="AL234" s="25"/>
      <c r="AM234" s="481"/>
      <c r="AN234" s="481"/>
      <c r="AO234" s="481"/>
      <c r="AP234" s="16"/>
      <c r="AQ234" s="16"/>
      <c r="AR234" s="130"/>
      <c r="AS234" s="130">
        <v>1405</v>
      </c>
      <c r="AT234" s="130"/>
      <c r="AU234" s="130"/>
      <c r="AV234" s="130"/>
      <c r="AW234" s="12" t="str">
        <f t="shared" si="8"/>
        <v/>
      </c>
      <c r="AX234" s="12" t="str">
        <f t="shared" si="7"/>
        <v/>
      </c>
      <c r="AY234" s="12"/>
      <c r="AZ234" s="481"/>
    </row>
    <row r="235" spans="1:52" ht="30" customHeight="1" x14ac:dyDescent="0.2">
      <c r="A235" s="497">
        <v>233</v>
      </c>
      <c r="B235" s="481">
        <v>11</v>
      </c>
      <c r="C235" s="16">
        <v>4</v>
      </c>
      <c r="D235" s="549" t="s">
        <v>6308</v>
      </c>
      <c r="E235" s="482" t="s">
        <v>678</v>
      </c>
      <c r="F235" s="482" t="s">
        <v>6</v>
      </c>
      <c r="G235" s="495"/>
      <c r="H235" s="481"/>
      <c r="I235" s="481" t="s">
        <v>7</v>
      </c>
      <c r="J235" s="360" t="s">
        <v>158</v>
      </c>
      <c r="K235" s="482" t="s">
        <v>3439</v>
      </c>
      <c r="L235" s="482"/>
      <c r="M235" s="482"/>
      <c r="N235" s="41"/>
      <c r="O235" s="13"/>
      <c r="P235" s="13"/>
      <c r="Q235" s="13"/>
      <c r="R235" s="481"/>
      <c r="S235" s="481"/>
      <c r="T235" s="481"/>
      <c r="U235" s="482"/>
      <c r="V235" s="41"/>
      <c r="W235" s="13"/>
      <c r="X235" s="482"/>
      <c r="Y235" s="481"/>
      <c r="Z235" s="481"/>
      <c r="AA235" s="481"/>
      <c r="AB235" s="16"/>
      <c r="AC235" s="16"/>
      <c r="AD235" s="16"/>
      <c r="AE235" s="16"/>
      <c r="AF235" s="16"/>
      <c r="AG235" s="16"/>
      <c r="AH235" s="16"/>
      <c r="AI235" s="16"/>
      <c r="AJ235" s="481"/>
      <c r="AK235" s="482"/>
      <c r="AL235" s="25"/>
      <c r="AM235" s="481"/>
      <c r="AN235" s="481"/>
      <c r="AO235" s="481"/>
      <c r="AP235" s="16"/>
      <c r="AQ235" s="16"/>
      <c r="AR235" s="130"/>
      <c r="AS235" s="130">
        <v>1405</v>
      </c>
      <c r="AT235" s="130"/>
      <c r="AU235" s="130"/>
      <c r="AV235" s="130"/>
      <c r="AW235" s="12" t="str">
        <f t="shared" si="8"/>
        <v/>
      </c>
      <c r="AX235" s="12" t="str">
        <f t="shared" si="7"/>
        <v/>
      </c>
      <c r="AY235" s="12"/>
      <c r="AZ235" s="481"/>
    </row>
    <row r="236" spans="1:52" ht="30" customHeight="1" x14ac:dyDescent="0.2">
      <c r="A236" s="497">
        <v>234</v>
      </c>
      <c r="B236" s="481">
        <v>13</v>
      </c>
      <c r="C236" s="16">
        <v>4</v>
      </c>
      <c r="D236" s="549" t="s">
        <v>6308</v>
      </c>
      <c r="E236" s="482" t="s">
        <v>5015</v>
      </c>
      <c r="F236" s="482" t="s">
        <v>6</v>
      </c>
      <c r="G236" s="495"/>
      <c r="H236" s="481" t="s">
        <v>192</v>
      </c>
      <c r="I236" s="550" t="s">
        <v>7</v>
      </c>
      <c r="J236" s="360" t="s">
        <v>158</v>
      </c>
      <c r="K236" s="482" t="s">
        <v>3439</v>
      </c>
      <c r="L236" s="482"/>
      <c r="M236" s="482"/>
      <c r="N236" s="41"/>
      <c r="O236" s="13"/>
      <c r="P236" s="13"/>
      <c r="Q236" s="13"/>
      <c r="R236" s="481"/>
      <c r="S236" s="481"/>
      <c r="T236" s="481"/>
      <c r="U236" s="482"/>
      <c r="V236" s="41"/>
      <c r="W236" s="13"/>
      <c r="X236" s="482"/>
      <c r="Y236" s="481"/>
      <c r="Z236" s="481"/>
      <c r="AA236" s="481"/>
      <c r="AB236" s="16"/>
      <c r="AC236" s="16"/>
      <c r="AD236" s="16"/>
      <c r="AE236" s="16"/>
      <c r="AF236" s="16"/>
      <c r="AG236" s="16"/>
      <c r="AH236" s="16"/>
      <c r="AI236" s="16"/>
      <c r="AJ236" s="481"/>
      <c r="AK236" s="482"/>
      <c r="AL236" s="25"/>
      <c r="AM236" s="481"/>
      <c r="AN236" s="481"/>
      <c r="AO236" s="481"/>
      <c r="AP236" s="16"/>
      <c r="AQ236" s="16"/>
      <c r="AR236" s="130"/>
      <c r="AS236" s="130">
        <v>1405</v>
      </c>
      <c r="AT236" s="130"/>
      <c r="AU236" s="130"/>
      <c r="AV236" s="130"/>
      <c r="AW236" s="12" t="str">
        <f t="shared" si="8"/>
        <v/>
      </c>
      <c r="AX236" s="12" t="str">
        <f t="shared" si="7"/>
        <v/>
      </c>
      <c r="AY236" s="12"/>
      <c r="AZ236" s="481"/>
    </row>
    <row r="237" spans="1:52" ht="30" customHeight="1" x14ac:dyDescent="0.2">
      <c r="A237" s="497">
        <v>235</v>
      </c>
      <c r="B237" s="481">
        <v>13</v>
      </c>
      <c r="C237" s="16">
        <v>4</v>
      </c>
      <c r="D237" s="549" t="s">
        <v>6308</v>
      </c>
      <c r="E237" s="482" t="s">
        <v>6843</v>
      </c>
      <c r="F237" s="482" t="s">
        <v>9</v>
      </c>
      <c r="G237" s="495"/>
      <c r="H237" s="550" t="s">
        <v>192</v>
      </c>
      <c r="I237" s="550" t="s">
        <v>7</v>
      </c>
      <c r="J237" s="360" t="s">
        <v>158</v>
      </c>
      <c r="K237" s="482" t="s">
        <v>3439</v>
      </c>
      <c r="L237" s="482"/>
      <c r="M237" s="482"/>
      <c r="N237" s="41"/>
      <c r="O237" s="13"/>
      <c r="P237" s="13"/>
      <c r="Q237" s="13"/>
      <c r="R237" s="481"/>
      <c r="S237" s="481"/>
      <c r="T237" s="481"/>
      <c r="U237" s="482"/>
      <c r="V237" s="41"/>
      <c r="W237" s="13"/>
      <c r="X237" s="482"/>
      <c r="Y237" s="481"/>
      <c r="Z237" s="481"/>
      <c r="AA237" s="481"/>
      <c r="AB237" s="16"/>
      <c r="AC237" s="16"/>
      <c r="AD237" s="16"/>
      <c r="AE237" s="16"/>
      <c r="AF237" s="16"/>
      <c r="AG237" s="16"/>
      <c r="AH237" s="16"/>
      <c r="AI237" s="16"/>
      <c r="AJ237" s="481"/>
      <c r="AK237" s="482"/>
      <c r="AL237" s="25"/>
      <c r="AM237" s="481"/>
      <c r="AN237" s="481"/>
      <c r="AO237" s="481"/>
      <c r="AP237" s="16"/>
      <c r="AQ237" s="16"/>
      <c r="AR237" s="130"/>
      <c r="AS237" s="130">
        <v>1405</v>
      </c>
      <c r="AT237" s="130"/>
      <c r="AU237" s="130"/>
      <c r="AV237" s="130"/>
      <c r="AW237" s="12" t="str">
        <f t="shared" si="8"/>
        <v/>
      </c>
      <c r="AX237" s="12" t="str">
        <f t="shared" si="7"/>
        <v/>
      </c>
      <c r="AY237" s="12"/>
      <c r="AZ237" s="481"/>
    </row>
    <row r="238" spans="1:52" ht="30" customHeight="1" x14ac:dyDescent="0.2">
      <c r="A238" s="497">
        <v>236</v>
      </c>
      <c r="B238" s="481">
        <v>13</v>
      </c>
      <c r="C238" s="16">
        <v>4</v>
      </c>
      <c r="D238" s="549" t="s">
        <v>6308</v>
      </c>
      <c r="E238" s="482" t="s">
        <v>6845</v>
      </c>
      <c r="F238" s="482" t="s">
        <v>6844</v>
      </c>
      <c r="G238" s="495"/>
      <c r="H238" s="481" t="s">
        <v>2184</v>
      </c>
      <c r="I238" s="481" t="s">
        <v>83</v>
      </c>
      <c r="J238" s="360" t="s">
        <v>158</v>
      </c>
      <c r="K238" s="482" t="s">
        <v>3439</v>
      </c>
      <c r="L238" s="482"/>
      <c r="M238" s="482"/>
      <c r="N238" s="41"/>
      <c r="O238" s="13"/>
      <c r="P238" s="13"/>
      <c r="Q238" s="13"/>
      <c r="R238" s="481"/>
      <c r="S238" s="481"/>
      <c r="T238" s="481"/>
      <c r="U238" s="482"/>
      <c r="V238" s="41"/>
      <c r="W238" s="13"/>
      <c r="X238" s="482"/>
      <c r="Y238" s="481"/>
      <c r="Z238" s="481"/>
      <c r="AA238" s="481"/>
      <c r="AB238" s="16"/>
      <c r="AC238" s="16"/>
      <c r="AD238" s="16"/>
      <c r="AE238" s="16"/>
      <c r="AF238" s="16"/>
      <c r="AG238" s="16"/>
      <c r="AH238" s="16"/>
      <c r="AI238" s="16"/>
      <c r="AJ238" s="481"/>
      <c r="AK238" s="482"/>
      <c r="AL238" s="25"/>
      <c r="AM238" s="481"/>
      <c r="AN238" s="481"/>
      <c r="AO238" s="481"/>
      <c r="AP238" s="16"/>
      <c r="AQ238" s="16"/>
      <c r="AR238" s="130"/>
      <c r="AS238" s="130">
        <v>1405</v>
      </c>
      <c r="AT238" s="130"/>
      <c r="AU238" s="130"/>
      <c r="AV238" s="130"/>
      <c r="AW238" s="12" t="str">
        <f t="shared" si="8"/>
        <v/>
      </c>
      <c r="AX238" s="12" t="str">
        <f t="shared" si="7"/>
        <v/>
      </c>
      <c r="AY238" s="12"/>
      <c r="AZ238" s="481"/>
    </row>
    <row r="239" spans="1:52" ht="30" customHeight="1" x14ac:dyDescent="0.2">
      <c r="A239" s="497">
        <v>237</v>
      </c>
      <c r="B239" s="481">
        <v>13</v>
      </c>
      <c r="C239" s="16">
        <v>4</v>
      </c>
      <c r="D239" s="549" t="s">
        <v>6308</v>
      </c>
      <c r="E239" s="482" t="s">
        <v>6846</v>
      </c>
      <c r="F239" s="482" t="s">
        <v>6</v>
      </c>
      <c r="G239" s="495"/>
      <c r="H239" s="481"/>
      <c r="I239" s="481"/>
      <c r="J239" s="360" t="s">
        <v>158</v>
      </c>
      <c r="K239" s="482"/>
      <c r="L239" s="482"/>
      <c r="M239" s="482"/>
      <c r="N239" s="41"/>
      <c r="O239" s="13"/>
      <c r="P239" s="13"/>
      <c r="Q239" s="13"/>
      <c r="R239" s="481"/>
      <c r="S239" s="481"/>
      <c r="T239" s="481"/>
      <c r="U239" s="482"/>
      <c r="V239" s="41"/>
      <c r="W239" s="13"/>
      <c r="X239" s="482"/>
      <c r="Y239" s="481"/>
      <c r="Z239" s="481"/>
      <c r="AA239" s="481"/>
      <c r="AB239" s="16"/>
      <c r="AC239" s="16"/>
      <c r="AD239" s="16"/>
      <c r="AE239" s="16"/>
      <c r="AF239" s="16"/>
      <c r="AG239" s="16"/>
      <c r="AH239" s="16"/>
      <c r="AI239" s="16"/>
      <c r="AJ239" s="481"/>
      <c r="AK239" s="482"/>
      <c r="AL239" s="25"/>
      <c r="AM239" s="481"/>
      <c r="AN239" s="481"/>
      <c r="AO239" s="481"/>
      <c r="AP239" s="16"/>
      <c r="AQ239" s="16"/>
      <c r="AR239" s="130"/>
      <c r="AS239" s="130">
        <v>1405</v>
      </c>
      <c r="AT239" s="130"/>
      <c r="AU239" s="130"/>
      <c r="AV239" s="130"/>
      <c r="AW239" s="12" t="str">
        <f t="shared" si="8"/>
        <v/>
      </c>
      <c r="AX239" s="12" t="str">
        <f t="shared" si="7"/>
        <v/>
      </c>
      <c r="AY239" s="12"/>
      <c r="AZ239" s="481"/>
    </row>
    <row r="240" spans="1:52" ht="30" customHeight="1" x14ac:dyDescent="0.2">
      <c r="A240" s="497">
        <v>238</v>
      </c>
      <c r="B240" s="481"/>
      <c r="C240" s="16"/>
      <c r="D240" s="482"/>
      <c r="E240" s="482"/>
      <c r="F240" s="482"/>
      <c r="G240" s="495"/>
      <c r="H240" s="481"/>
      <c r="I240" s="481"/>
      <c r="J240" s="360" t="s">
        <v>158</v>
      </c>
      <c r="K240" s="482"/>
      <c r="L240" s="482"/>
      <c r="M240" s="482"/>
      <c r="N240" s="41"/>
      <c r="O240" s="13"/>
      <c r="P240" s="13"/>
      <c r="Q240" s="13"/>
      <c r="R240" s="481"/>
      <c r="S240" s="481"/>
      <c r="T240" s="481"/>
      <c r="U240" s="482"/>
      <c r="V240" s="41"/>
      <c r="W240" s="13"/>
      <c r="X240" s="482"/>
      <c r="Y240" s="481"/>
      <c r="Z240" s="481"/>
      <c r="AA240" s="481"/>
      <c r="AB240" s="16"/>
      <c r="AC240" s="16"/>
      <c r="AD240" s="16"/>
      <c r="AE240" s="16"/>
      <c r="AF240" s="16"/>
      <c r="AG240" s="16"/>
      <c r="AH240" s="16"/>
      <c r="AI240" s="16"/>
      <c r="AJ240" s="481"/>
      <c r="AK240" s="482"/>
      <c r="AL240" s="25"/>
      <c r="AM240" s="481"/>
      <c r="AN240" s="481"/>
      <c r="AO240" s="481"/>
      <c r="AP240" s="16"/>
      <c r="AQ240" s="16"/>
      <c r="AR240" s="130"/>
      <c r="AS240" s="130">
        <v>1405</v>
      </c>
      <c r="AT240" s="130"/>
      <c r="AU240" s="130"/>
      <c r="AV240" s="130"/>
      <c r="AW240" s="12" t="str">
        <f t="shared" si="8"/>
        <v/>
      </c>
      <c r="AX240" s="12" t="str">
        <f t="shared" si="7"/>
        <v/>
      </c>
      <c r="AY240" s="12"/>
      <c r="AZ240" s="481"/>
    </row>
    <row r="241" spans="1:52" ht="30" customHeight="1" x14ac:dyDescent="0.2">
      <c r="A241" s="497">
        <v>239</v>
      </c>
      <c r="B241" s="481"/>
      <c r="C241" s="16"/>
      <c r="D241" s="482"/>
      <c r="E241" s="482"/>
      <c r="F241" s="482"/>
      <c r="G241" s="495"/>
      <c r="H241" s="481"/>
      <c r="I241" s="481"/>
      <c r="J241" s="360" t="s">
        <v>158</v>
      </c>
      <c r="K241" s="482"/>
      <c r="L241" s="482"/>
      <c r="M241" s="482"/>
      <c r="N241" s="41"/>
      <c r="O241" s="13"/>
      <c r="P241" s="13"/>
      <c r="Q241" s="13"/>
      <c r="R241" s="481"/>
      <c r="S241" s="481"/>
      <c r="T241" s="481"/>
      <c r="U241" s="482"/>
      <c r="V241" s="41"/>
      <c r="W241" s="13"/>
      <c r="X241" s="482"/>
      <c r="Y241" s="481"/>
      <c r="Z241" s="481"/>
      <c r="AA241" s="481"/>
      <c r="AB241" s="16"/>
      <c r="AC241" s="16"/>
      <c r="AD241" s="16"/>
      <c r="AE241" s="16"/>
      <c r="AF241" s="16"/>
      <c r="AG241" s="16"/>
      <c r="AH241" s="16"/>
      <c r="AI241" s="16"/>
      <c r="AJ241" s="481"/>
      <c r="AK241" s="482"/>
      <c r="AL241" s="25"/>
      <c r="AM241" s="481"/>
      <c r="AN241" s="481"/>
      <c r="AO241" s="481"/>
      <c r="AP241" s="16"/>
      <c r="AQ241" s="16"/>
      <c r="AR241" s="130"/>
      <c r="AS241" s="130">
        <v>1405</v>
      </c>
      <c r="AT241" s="130"/>
      <c r="AU241" s="130"/>
      <c r="AV241" s="130"/>
      <c r="AW241" s="12" t="str">
        <f t="shared" si="8"/>
        <v/>
      </c>
      <c r="AX241" s="12" t="str">
        <f t="shared" si="7"/>
        <v/>
      </c>
      <c r="AY241" s="12"/>
      <c r="AZ241" s="481"/>
    </row>
    <row r="242" spans="1:52" ht="30" customHeight="1" x14ac:dyDescent="0.2">
      <c r="A242" s="497">
        <v>240</v>
      </c>
      <c r="B242" s="481"/>
      <c r="C242" s="16"/>
      <c r="D242" s="482"/>
      <c r="E242" s="482"/>
      <c r="F242" s="482"/>
      <c r="G242" s="495"/>
      <c r="H242" s="481"/>
      <c r="I242" s="481"/>
      <c r="J242" s="360" t="s">
        <v>158</v>
      </c>
      <c r="K242" s="482"/>
      <c r="L242" s="482"/>
      <c r="M242" s="482"/>
      <c r="N242" s="41"/>
      <c r="O242" s="13"/>
      <c r="P242" s="13"/>
      <c r="Q242" s="13"/>
      <c r="R242" s="481"/>
      <c r="S242" s="481"/>
      <c r="T242" s="481"/>
      <c r="U242" s="482"/>
      <c r="V242" s="41"/>
      <c r="W242" s="13"/>
      <c r="X242" s="482"/>
      <c r="Y242" s="481"/>
      <c r="Z242" s="481"/>
      <c r="AA242" s="481"/>
      <c r="AB242" s="16"/>
      <c r="AC242" s="16"/>
      <c r="AD242" s="16"/>
      <c r="AE242" s="16"/>
      <c r="AF242" s="16"/>
      <c r="AG242" s="16"/>
      <c r="AH242" s="16"/>
      <c r="AI242" s="16"/>
      <c r="AJ242" s="481"/>
      <c r="AK242" s="482"/>
      <c r="AL242" s="25"/>
      <c r="AM242" s="481"/>
      <c r="AN242" s="481"/>
      <c r="AO242" s="481"/>
      <c r="AP242" s="16"/>
      <c r="AQ242" s="16"/>
      <c r="AR242" s="130"/>
      <c r="AS242" s="130">
        <v>1405</v>
      </c>
      <c r="AT242" s="130"/>
      <c r="AU242" s="130"/>
      <c r="AV242" s="130"/>
      <c r="AW242" s="12" t="str">
        <f t="shared" si="8"/>
        <v/>
      </c>
      <c r="AX242" s="12" t="str">
        <f t="shared" si="7"/>
        <v/>
      </c>
      <c r="AY242" s="12"/>
      <c r="AZ242" s="481"/>
    </row>
    <row r="243" spans="1:52" ht="30" customHeight="1" x14ac:dyDescent="0.2">
      <c r="A243" s="497">
        <v>241</v>
      </c>
      <c r="B243" s="481"/>
      <c r="C243" s="16"/>
      <c r="D243" s="482"/>
      <c r="E243" s="482"/>
      <c r="F243" s="482"/>
      <c r="G243" s="495"/>
      <c r="H243" s="481"/>
      <c r="I243" s="481"/>
      <c r="J243" s="360" t="s">
        <v>158</v>
      </c>
      <c r="K243" s="482"/>
      <c r="L243" s="482"/>
      <c r="M243" s="482"/>
      <c r="N243" s="41"/>
      <c r="O243" s="13"/>
      <c r="P243" s="13"/>
      <c r="Q243" s="13"/>
      <c r="R243" s="481"/>
      <c r="S243" s="481"/>
      <c r="T243" s="481"/>
      <c r="U243" s="482"/>
      <c r="V243" s="41"/>
      <c r="W243" s="13"/>
      <c r="X243" s="482"/>
      <c r="Y243" s="481"/>
      <c r="Z243" s="481"/>
      <c r="AA243" s="481"/>
      <c r="AB243" s="16"/>
      <c r="AC243" s="16"/>
      <c r="AD243" s="16"/>
      <c r="AE243" s="16"/>
      <c r="AF243" s="16"/>
      <c r="AG243" s="16"/>
      <c r="AH243" s="16"/>
      <c r="AI243" s="16"/>
      <c r="AJ243" s="481"/>
      <c r="AK243" s="482"/>
      <c r="AL243" s="25"/>
      <c r="AM243" s="481"/>
      <c r="AN243" s="481"/>
      <c r="AO243" s="481"/>
      <c r="AP243" s="16"/>
      <c r="AQ243" s="16"/>
      <c r="AR243" s="130"/>
      <c r="AS243" s="130">
        <v>1405</v>
      </c>
      <c r="AT243" s="130"/>
      <c r="AU243" s="130"/>
      <c r="AV243" s="130"/>
      <c r="AW243" s="12" t="str">
        <f t="shared" si="8"/>
        <v/>
      </c>
      <c r="AX243" s="12"/>
      <c r="AY243" s="12"/>
      <c r="AZ243" s="481"/>
    </row>
    <row r="244" spans="1:52" ht="30" customHeight="1" x14ac:dyDescent="0.2">
      <c r="A244" s="497">
        <v>242</v>
      </c>
      <c r="B244" s="481"/>
      <c r="C244" s="16"/>
      <c r="D244" s="482"/>
      <c r="E244" s="482"/>
      <c r="F244" s="482"/>
      <c r="G244" s="495"/>
      <c r="H244" s="481"/>
      <c r="I244" s="481"/>
      <c r="J244" s="360" t="s">
        <v>158</v>
      </c>
      <c r="K244" s="482"/>
      <c r="L244" s="482"/>
      <c r="M244" s="482"/>
      <c r="N244" s="41"/>
      <c r="O244" s="13"/>
      <c r="P244" s="13"/>
      <c r="Q244" s="13"/>
      <c r="R244" s="481"/>
      <c r="S244" s="481"/>
      <c r="T244" s="481"/>
      <c r="U244" s="482"/>
      <c r="V244" s="41"/>
      <c r="W244" s="13"/>
      <c r="X244" s="482"/>
      <c r="Y244" s="481"/>
      <c r="Z244" s="481"/>
      <c r="AA244" s="481"/>
      <c r="AB244" s="16"/>
      <c r="AC244" s="16"/>
      <c r="AD244" s="16"/>
      <c r="AE244" s="16"/>
      <c r="AF244" s="16"/>
      <c r="AG244" s="16"/>
      <c r="AH244" s="16"/>
      <c r="AI244" s="16"/>
      <c r="AJ244" s="481"/>
      <c r="AK244" s="482"/>
      <c r="AL244" s="25"/>
      <c r="AM244" s="481"/>
      <c r="AN244" s="481"/>
      <c r="AO244" s="481"/>
      <c r="AP244" s="16"/>
      <c r="AQ244" s="16"/>
      <c r="AR244" s="130"/>
      <c r="AS244" s="130">
        <v>1405</v>
      </c>
      <c r="AT244" s="130"/>
      <c r="AU244" s="130"/>
      <c r="AV244" s="130"/>
      <c r="AW244" s="12" t="str">
        <f t="shared" si="8"/>
        <v/>
      </c>
      <c r="AX244" s="12"/>
      <c r="AY244" s="12"/>
      <c r="AZ244" s="481"/>
    </row>
    <row r="245" spans="1:52" ht="30" customHeight="1" x14ac:dyDescent="0.2">
      <c r="A245" s="497">
        <v>243</v>
      </c>
      <c r="B245" s="481"/>
      <c r="C245" s="16"/>
      <c r="D245" s="482"/>
      <c r="E245" s="482"/>
      <c r="F245" s="482"/>
      <c r="G245" s="495"/>
      <c r="H245" s="481"/>
      <c r="I245" s="481"/>
      <c r="J245" s="360" t="s">
        <v>158</v>
      </c>
      <c r="K245" s="482"/>
      <c r="L245" s="482"/>
      <c r="M245" s="482"/>
      <c r="N245" s="41"/>
      <c r="O245" s="13"/>
      <c r="P245" s="13"/>
      <c r="Q245" s="13"/>
      <c r="R245" s="481"/>
      <c r="S245" s="481"/>
      <c r="T245" s="481"/>
      <c r="U245" s="482"/>
      <c r="V245" s="41"/>
      <c r="W245" s="13"/>
      <c r="X245" s="482"/>
      <c r="Y245" s="481"/>
      <c r="Z245" s="481"/>
      <c r="AA245" s="481"/>
      <c r="AB245" s="16"/>
      <c r="AC245" s="16"/>
      <c r="AD245" s="16"/>
      <c r="AE245" s="16"/>
      <c r="AF245" s="16"/>
      <c r="AG245" s="16"/>
      <c r="AH245" s="16"/>
      <c r="AI245" s="16"/>
      <c r="AJ245" s="481"/>
      <c r="AK245" s="482"/>
      <c r="AL245" s="25"/>
      <c r="AM245" s="481"/>
      <c r="AN245" s="481"/>
      <c r="AO245" s="481"/>
      <c r="AP245" s="16"/>
      <c r="AQ245" s="16"/>
      <c r="AR245" s="130"/>
      <c r="AS245" s="130">
        <v>1405</v>
      </c>
      <c r="AT245" s="130"/>
      <c r="AU245" s="130"/>
      <c r="AV245" s="130"/>
      <c r="AW245" s="12" t="str">
        <f t="shared" si="8"/>
        <v/>
      </c>
      <c r="AX245" s="12"/>
      <c r="AY245" s="12"/>
      <c r="AZ245" s="481"/>
    </row>
    <row r="246" spans="1:52" ht="30" customHeight="1" x14ac:dyDescent="0.2">
      <c r="A246" s="497">
        <v>244</v>
      </c>
      <c r="B246" s="481"/>
      <c r="C246" s="16"/>
      <c r="D246" s="482"/>
      <c r="E246" s="482"/>
      <c r="F246" s="482"/>
      <c r="G246" s="495"/>
      <c r="H246" s="481"/>
      <c r="I246" s="481"/>
      <c r="J246" s="360" t="s">
        <v>158</v>
      </c>
      <c r="K246" s="482"/>
      <c r="L246" s="482"/>
      <c r="M246" s="482"/>
      <c r="N246" s="41"/>
      <c r="O246" s="13"/>
      <c r="P246" s="13"/>
      <c r="Q246" s="13"/>
      <c r="R246" s="481"/>
      <c r="S246" s="481"/>
      <c r="T246" s="481"/>
      <c r="U246" s="482"/>
      <c r="V246" s="41"/>
      <c r="W246" s="13"/>
      <c r="X246" s="482"/>
      <c r="Y246" s="481"/>
      <c r="Z246" s="481"/>
      <c r="AA246" s="481"/>
      <c r="AB246" s="16"/>
      <c r="AC246" s="16"/>
      <c r="AD246" s="16"/>
      <c r="AE246" s="16"/>
      <c r="AF246" s="16"/>
      <c r="AG246" s="16"/>
      <c r="AH246" s="16"/>
      <c r="AI246" s="16"/>
      <c r="AJ246" s="481"/>
      <c r="AK246" s="482"/>
      <c r="AL246" s="25"/>
      <c r="AM246" s="481"/>
      <c r="AN246" s="481"/>
      <c r="AO246" s="481"/>
      <c r="AP246" s="16"/>
      <c r="AQ246" s="16"/>
      <c r="AR246" s="130"/>
      <c r="AS246" s="130">
        <v>1405</v>
      </c>
      <c r="AT246" s="130"/>
      <c r="AU246" s="130"/>
      <c r="AV246" s="130"/>
      <c r="AW246" s="12" t="str">
        <f t="shared" si="8"/>
        <v/>
      </c>
      <c r="AX246" s="12"/>
      <c r="AY246" s="12"/>
      <c r="AZ246" s="481"/>
    </row>
    <row r="247" spans="1:52" ht="30" customHeight="1" x14ac:dyDescent="0.2">
      <c r="A247" s="497">
        <v>245</v>
      </c>
      <c r="B247" s="481"/>
      <c r="C247" s="16"/>
      <c r="D247" s="482"/>
      <c r="E247" s="482"/>
      <c r="F247" s="482"/>
      <c r="G247" s="495"/>
      <c r="H247" s="481"/>
      <c r="I247" s="481"/>
      <c r="J247" s="360" t="s">
        <v>158</v>
      </c>
      <c r="K247" s="482"/>
      <c r="L247" s="482"/>
      <c r="M247" s="482"/>
      <c r="N247" s="41"/>
      <c r="O247" s="13"/>
      <c r="P247" s="13"/>
      <c r="Q247" s="13"/>
      <c r="R247" s="481"/>
      <c r="S247" s="481"/>
      <c r="T247" s="481"/>
      <c r="U247" s="482"/>
      <c r="V247" s="41"/>
      <c r="W247" s="13"/>
      <c r="X247" s="482"/>
      <c r="Y247" s="481"/>
      <c r="Z247" s="481"/>
      <c r="AA247" s="481"/>
      <c r="AB247" s="16"/>
      <c r="AC247" s="16"/>
      <c r="AD247" s="16"/>
      <c r="AE247" s="16"/>
      <c r="AF247" s="16"/>
      <c r="AG247" s="16"/>
      <c r="AH247" s="16"/>
      <c r="AI247" s="16"/>
      <c r="AJ247" s="481"/>
      <c r="AK247" s="482"/>
      <c r="AL247" s="25"/>
      <c r="AM247" s="481"/>
      <c r="AN247" s="481"/>
      <c r="AO247" s="481"/>
      <c r="AP247" s="16"/>
      <c r="AQ247" s="16"/>
      <c r="AR247" s="130"/>
      <c r="AS247" s="130">
        <v>1405</v>
      </c>
      <c r="AT247" s="130"/>
      <c r="AU247" s="130"/>
      <c r="AV247" s="130"/>
      <c r="AW247" s="12" t="str">
        <f t="shared" si="8"/>
        <v/>
      </c>
      <c r="AX247" s="12"/>
      <c r="AY247" s="12"/>
      <c r="AZ247" s="481"/>
    </row>
    <row r="248" spans="1:52" ht="30" customHeight="1" x14ac:dyDescent="0.2">
      <c r="A248" s="497">
        <v>246</v>
      </c>
      <c r="B248" s="481"/>
      <c r="C248" s="16"/>
      <c r="D248" s="482"/>
      <c r="E248" s="482"/>
      <c r="F248" s="482"/>
      <c r="G248" s="495"/>
      <c r="H248" s="481"/>
      <c r="I248" s="481"/>
      <c r="J248" s="360" t="s">
        <v>158</v>
      </c>
      <c r="K248" s="482"/>
      <c r="L248" s="482"/>
      <c r="M248" s="482"/>
      <c r="N248" s="41"/>
      <c r="O248" s="13"/>
      <c r="P248" s="13"/>
      <c r="Q248" s="13"/>
      <c r="R248" s="481"/>
      <c r="S248" s="481"/>
      <c r="T248" s="481"/>
      <c r="U248" s="482"/>
      <c r="V248" s="41"/>
      <c r="W248" s="13"/>
      <c r="X248" s="482"/>
      <c r="Y248" s="481"/>
      <c r="Z248" s="481"/>
      <c r="AA248" s="481"/>
      <c r="AB248" s="16"/>
      <c r="AC248" s="16"/>
      <c r="AD248" s="16"/>
      <c r="AE248" s="16"/>
      <c r="AF248" s="16"/>
      <c r="AG248" s="16"/>
      <c r="AH248" s="16"/>
      <c r="AI248" s="16"/>
      <c r="AJ248" s="481"/>
      <c r="AK248" s="482"/>
      <c r="AL248" s="25"/>
      <c r="AM248" s="481"/>
      <c r="AN248" s="481"/>
      <c r="AO248" s="481"/>
      <c r="AP248" s="16"/>
      <c r="AQ248" s="16"/>
      <c r="AR248" s="130"/>
      <c r="AS248" s="130">
        <v>1405</v>
      </c>
      <c r="AT248" s="130"/>
      <c r="AU248" s="130"/>
      <c r="AV248" s="130"/>
      <c r="AW248" s="12" t="str">
        <f t="shared" si="8"/>
        <v/>
      </c>
      <c r="AX248" s="12"/>
      <c r="AY248" s="12"/>
      <c r="AZ248" s="481"/>
    </row>
    <row r="249" spans="1:52" ht="30" customHeight="1" x14ac:dyDescent="0.2">
      <c r="A249" s="497">
        <v>247</v>
      </c>
      <c r="B249" s="481"/>
      <c r="C249" s="16"/>
      <c r="D249" s="482"/>
      <c r="E249" s="482"/>
      <c r="F249" s="482"/>
      <c r="G249" s="495"/>
      <c r="H249" s="481"/>
      <c r="I249" s="481"/>
      <c r="J249" s="360" t="s">
        <v>158</v>
      </c>
      <c r="K249" s="482"/>
      <c r="L249" s="482"/>
      <c r="M249" s="482"/>
      <c r="N249" s="41"/>
      <c r="O249" s="13"/>
      <c r="P249" s="13"/>
      <c r="Q249" s="13"/>
      <c r="R249" s="481"/>
      <c r="S249" s="481"/>
      <c r="T249" s="481"/>
      <c r="U249" s="482"/>
      <c r="V249" s="41"/>
      <c r="W249" s="13"/>
      <c r="X249" s="482"/>
      <c r="Y249" s="481"/>
      <c r="Z249" s="481"/>
      <c r="AA249" s="481"/>
      <c r="AB249" s="16"/>
      <c r="AC249" s="16"/>
      <c r="AD249" s="16"/>
      <c r="AE249" s="16"/>
      <c r="AF249" s="16"/>
      <c r="AG249" s="16"/>
      <c r="AH249" s="16"/>
      <c r="AI249" s="16"/>
      <c r="AJ249" s="481"/>
      <c r="AK249" s="482"/>
      <c r="AL249" s="25"/>
      <c r="AM249" s="481"/>
      <c r="AN249" s="481"/>
      <c r="AO249" s="481"/>
      <c r="AP249" s="16"/>
      <c r="AQ249" s="16"/>
      <c r="AR249" s="130"/>
      <c r="AS249" s="130">
        <v>1405</v>
      </c>
      <c r="AT249" s="130"/>
      <c r="AU249" s="130"/>
      <c r="AV249" s="130"/>
      <c r="AW249" s="12" t="str">
        <f t="shared" si="8"/>
        <v/>
      </c>
      <c r="AX249" s="12"/>
      <c r="AY249" s="12"/>
      <c r="AZ249" s="481"/>
    </row>
    <row r="250" spans="1:52" ht="30" customHeight="1" x14ac:dyDescent="0.2">
      <c r="A250" s="497">
        <v>248</v>
      </c>
      <c r="B250" s="481"/>
      <c r="C250" s="16"/>
      <c r="D250" s="482"/>
      <c r="E250" s="482"/>
      <c r="F250" s="482"/>
      <c r="G250" s="495"/>
      <c r="H250" s="481"/>
      <c r="I250" s="481"/>
      <c r="J250" s="360" t="s">
        <v>158</v>
      </c>
      <c r="K250" s="482"/>
      <c r="L250" s="482"/>
      <c r="M250" s="482"/>
      <c r="N250" s="41"/>
      <c r="O250" s="13"/>
      <c r="P250" s="13"/>
      <c r="Q250" s="13"/>
      <c r="R250" s="481"/>
      <c r="S250" s="481"/>
      <c r="T250" s="481"/>
      <c r="U250" s="482"/>
      <c r="V250" s="41"/>
      <c r="W250" s="13"/>
      <c r="X250" s="482"/>
      <c r="Y250" s="481"/>
      <c r="Z250" s="481"/>
      <c r="AA250" s="481"/>
      <c r="AB250" s="16"/>
      <c r="AC250" s="16"/>
      <c r="AD250" s="16"/>
      <c r="AE250" s="16"/>
      <c r="AF250" s="16"/>
      <c r="AG250" s="16"/>
      <c r="AH250" s="16"/>
      <c r="AI250" s="16"/>
      <c r="AJ250" s="481"/>
      <c r="AK250" s="482"/>
      <c r="AL250" s="25"/>
      <c r="AM250" s="481"/>
      <c r="AN250" s="481"/>
      <c r="AO250" s="481"/>
      <c r="AP250" s="16"/>
      <c r="AQ250" s="16"/>
      <c r="AR250" s="130"/>
      <c r="AS250" s="130">
        <v>1405</v>
      </c>
      <c r="AT250" s="130"/>
      <c r="AU250" s="130"/>
      <c r="AV250" s="130"/>
      <c r="AW250" s="12" t="str">
        <f t="shared" si="8"/>
        <v/>
      </c>
      <c r="AX250" s="12"/>
      <c r="AY250" s="12"/>
      <c r="AZ250" s="481"/>
    </row>
    <row r="251" spans="1:52" ht="30" customHeight="1" x14ac:dyDescent="0.2">
      <c r="A251" s="497">
        <v>249</v>
      </c>
      <c r="B251" s="481"/>
      <c r="C251" s="16"/>
      <c r="D251" s="482"/>
      <c r="E251" s="482"/>
      <c r="F251" s="482"/>
      <c r="G251" s="495"/>
      <c r="H251" s="481"/>
      <c r="I251" s="481"/>
      <c r="J251" s="360" t="s">
        <v>158</v>
      </c>
      <c r="K251" s="482"/>
      <c r="L251" s="482"/>
      <c r="M251" s="482"/>
      <c r="N251" s="41"/>
      <c r="O251" s="13"/>
      <c r="P251" s="13"/>
      <c r="Q251" s="13"/>
      <c r="R251" s="481"/>
      <c r="S251" s="481"/>
      <c r="T251" s="481"/>
      <c r="U251" s="482"/>
      <c r="V251" s="41"/>
      <c r="W251" s="13"/>
      <c r="X251" s="482"/>
      <c r="Y251" s="481"/>
      <c r="Z251" s="481"/>
      <c r="AA251" s="481"/>
      <c r="AB251" s="16"/>
      <c r="AC251" s="16"/>
      <c r="AD251" s="16"/>
      <c r="AE251" s="16"/>
      <c r="AF251" s="16"/>
      <c r="AG251" s="16"/>
      <c r="AH251" s="16"/>
      <c r="AI251" s="16"/>
      <c r="AJ251" s="481"/>
      <c r="AK251" s="482"/>
      <c r="AL251" s="25"/>
      <c r="AM251" s="481"/>
      <c r="AN251" s="481"/>
      <c r="AO251" s="481"/>
      <c r="AP251" s="16"/>
      <c r="AQ251" s="16"/>
      <c r="AR251" s="130"/>
      <c r="AS251" s="130">
        <v>1405</v>
      </c>
      <c r="AT251" s="130"/>
      <c r="AU251" s="130"/>
      <c r="AV251" s="130"/>
      <c r="AW251" s="12" t="str">
        <f t="shared" si="8"/>
        <v/>
      </c>
      <c r="AX251" s="12"/>
      <c r="AY251" s="12"/>
      <c r="AZ251" s="481"/>
    </row>
    <row r="252" spans="1:52" ht="30" customHeight="1" x14ac:dyDescent="0.2">
      <c r="A252" s="497">
        <v>250</v>
      </c>
      <c r="B252" s="481"/>
      <c r="C252" s="16"/>
      <c r="D252" s="482"/>
      <c r="E252" s="482"/>
      <c r="F252" s="482"/>
      <c r="G252" s="495"/>
      <c r="H252" s="481"/>
      <c r="I252" s="481"/>
      <c r="J252" s="360" t="s">
        <v>158</v>
      </c>
      <c r="K252" s="482"/>
      <c r="L252" s="482"/>
      <c r="M252" s="482"/>
      <c r="N252" s="41"/>
      <c r="O252" s="13"/>
      <c r="P252" s="13"/>
      <c r="Q252" s="13"/>
      <c r="R252" s="481"/>
      <c r="S252" s="481"/>
      <c r="T252" s="481"/>
      <c r="U252" s="482"/>
      <c r="V252" s="41"/>
      <c r="W252" s="13"/>
      <c r="X252" s="482"/>
      <c r="Y252" s="481"/>
      <c r="Z252" s="481"/>
      <c r="AA252" s="481"/>
      <c r="AB252" s="16"/>
      <c r="AC252" s="16"/>
      <c r="AD252" s="16"/>
      <c r="AE252" s="16"/>
      <c r="AF252" s="16"/>
      <c r="AG252" s="16"/>
      <c r="AH252" s="16"/>
      <c r="AI252" s="16"/>
      <c r="AJ252" s="481"/>
      <c r="AK252" s="482"/>
      <c r="AL252" s="25"/>
      <c r="AM252" s="481"/>
      <c r="AN252" s="481"/>
      <c r="AO252" s="481"/>
      <c r="AP252" s="16"/>
      <c r="AQ252" s="16"/>
      <c r="AR252" s="130"/>
      <c r="AS252" s="130">
        <v>1405</v>
      </c>
      <c r="AT252" s="130"/>
      <c r="AU252" s="130"/>
      <c r="AV252" s="130"/>
      <c r="AW252" s="12" t="str">
        <f t="shared" si="8"/>
        <v/>
      </c>
      <c r="AX252" s="12"/>
      <c r="AY252" s="12"/>
      <c r="AZ252" s="481"/>
    </row>
    <row r="253" spans="1:52" ht="30" customHeight="1" x14ac:dyDescent="0.2">
      <c r="A253" s="497">
        <v>251</v>
      </c>
      <c r="B253" s="481"/>
      <c r="C253" s="16"/>
      <c r="D253" s="482"/>
      <c r="E253" s="482"/>
      <c r="F253" s="482"/>
      <c r="G253" s="495"/>
      <c r="H253" s="481"/>
      <c r="I253" s="481"/>
      <c r="J253" s="360" t="s">
        <v>158</v>
      </c>
      <c r="K253" s="482"/>
      <c r="L253" s="482"/>
      <c r="M253" s="482"/>
      <c r="N253" s="41"/>
      <c r="O253" s="13"/>
      <c r="P253" s="13"/>
      <c r="Q253" s="13"/>
      <c r="R253" s="481"/>
      <c r="S253" s="481"/>
      <c r="T253" s="481"/>
      <c r="U253" s="482"/>
      <c r="V253" s="41"/>
      <c r="W253" s="13"/>
      <c r="X253" s="482"/>
      <c r="Y253" s="481"/>
      <c r="Z253" s="481"/>
      <c r="AA253" s="481"/>
      <c r="AB253" s="16"/>
      <c r="AC253" s="16"/>
      <c r="AD253" s="16"/>
      <c r="AE253" s="16"/>
      <c r="AF253" s="16"/>
      <c r="AG253" s="16"/>
      <c r="AH253" s="16"/>
      <c r="AI253" s="16"/>
      <c r="AJ253" s="481"/>
      <c r="AK253" s="482"/>
      <c r="AL253" s="25"/>
      <c r="AM253" s="481"/>
      <c r="AN253" s="481"/>
      <c r="AO253" s="481"/>
      <c r="AP253" s="16"/>
      <c r="AQ253" s="16"/>
      <c r="AR253" s="130"/>
      <c r="AS253" s="130">
        <v>1405</v>
      </c>
      <c r="AT253" s="130"/>
      <c r="AU253" s="130"/>
      <c r="AV253" s="130"/>
      <c r="AW253" s="12" t="str">
        <f t="shared" si="8"/>
        <v/>
      </c>
      <c r="AX253" s="12"/>
      <c r="AY253" s="12"/>
      <c r="AZ253" s="481"/>
    </row>
    <row r="254" spans="1:52" ht="30" customHeight="1" x14ac:dyDescent="0.2">
      <c r="A254" s="497">
        <v>252</v>
      </c>
      <c r="B254" s="481"/>
      <c r="C254" s="16"/>
      <c r="D254" s="482"/>
      <c r="E254" s="482"/>
      <c r="F254" s="482"/>
      <c r="G254" s="495"/>
      <c r="H254" s="481"/>
      <c r="I254" s="481"/>
      <c r="J254" s="360" t="s">
        <v>158</v>
      </c>
      <c r="K254" s="482"/>
      <c r="L254" s="482"/>
      <c r="M254" s="482"/>
      <c r="N254" s="41"/>
      <c r="O254" s="13"/>
      <c r="P254" s="13"/>
      <c r="Q254" s="13"/>
      <c r="R254" s="481"/>
      <c r="S254" s="481"/>
      <c r="T254" s="481"/>
      <c r="U254" s="482"/>
      <c r="V254" s="41"/>
      <c r="W254" s="13"/>
      <c r="X254" s="482"/>
      <c r="Y254" s="481"/>
      <c r="Z254" s="481"/>
      <c r="AA254" s="481"/>
      <c r="AB254" s="16"/>
      <c r="AC254" s="16"/>
      <c r="AD254" s="16"/>
      <c r="AE254" s="16"/>
      <c r="AF254" s="16"/>
      <c r="AG254" s="16"/>
      <c r="AH254" s="16"/>
      <c r="AI254" s="16"/>
      <c r="AJ254" s="481"/>
      <c r="AK254" s="482"/>
      <c r="AL254" s="25"/>
      <c r="AM254" s="481"/>
      <c r="AN254" s="481"/>
      <c r="AO254" s="481"/>
      <c r="AP254" s="16"/>
      <c r="AQ254" s="16"/>
      <c r="AR254" s="130"/>
      <c r="AS254" s="130">
        <v>1405</v>
      </c>
      <c r="AT254" s="130"/>
      <c r="AU254" s="130"/>
      <c r="AV254" s="130"/>
      <c r="AW254" s="12" t="str">
        <f t="shared" si="8"/>
        <v/>
      </c>
      <c r="AX254" s="12"/>
      <c r="AY254" s="12"/>
      <c r="AZ254" s="481"/>
    </row>
    <row r="255" spans="1:52" ht="30" customHeight="1" x14ac:dyDescent="0.2">
      <c r="A255" s="497">
        <v>253</v>
      </c>
      <c r="B255" s="481"/>
      <c r="C255" s="16"/>
      <c r="D255" s="482"/>
      <c r="E255" s="482"/>
      <c r="F255" s="482"/>
      <c r="G255" s="495"/>
      <c r="H255" s="481"/>
      <c r="I255" s="481"/>
      <c r="J255" s="360" t="s">
        <v>158</v>
      </c>
      <c r="K255" s="482"/>
      <c r="L255" s="482"/>
      <c r="M255" s="482"/>
      <c r="N255" s="41"/>
      <c r="O255" s="13"/>
      <c r="P255" s="13"/>
      <c r="Q255" s="13"/>
      <c r="R255" s="481"/>
      <c r="S255" s="481"/>
      <c r="T255" s="481"/>
      <c r="U255" s="482"/>
      <c r="V255" s="41"/>
      <c r="W255" s="13"/>
      <c r="X255" s="482"/>
      <c r="Y255" s="481"/>
      <c r="Z255" s="481"/>
      <c r="AA255" s="481"/>
      <c r="AB255" s="16"/>
      <c r="AC255" s="16"/>
      <c r="AD255" s="16"/>
      <c r="AE255" s="16"/>
      <c r="AF255" s="16"/>
      <c r="AG255" s="16"/>
      <c r="AH255" s="16"/>
      <c r="AI255" s="16"/>
      <c r="AJ255" s="481"/>
      <c r="AK255" s="482"/>
      <c r="AL255" s="25"/>
      <c r="AM255" s="481"/>
      <c r="AN255" s="481"/>
      <c r="AO255" s="481"/>
      <c r="AP255" s="16"/>
      <c r="AQ255" s="16"/>
      <c r="AR255" s="130"/>
      <c r="AS255" s="130">
        <v>1405</v>
      </c>
      <c r="AT255" s="130"/>
      <c r="AU255" s="130"/>
      <c r="AV255" s="130"/>
      <c r="AW255" s="12" t="str">
        <f t="shared" si="8"/>
        <v/>
      </c>
      <c r="AX255" s="12"/>
      <c r="AY255" s="12"/>
      <c r="AZ255" s="481"/>
    </row>
    <row r="256" spans="1:52" ht="30" customHeight="1" x14ac:dyDescent="0.2">
      <c r="A256" s="497">
        <v>254</v>
      </c>
      <c r="B256" s="481"/>
      <c r="C256" s="16"/>
      <c r="D256" s="482"/>
      <c r="E256" s="482"/>
      <c r="F256" s="482"/>
      <c r="G256" s="495"/>
      <c r="H256" s="481"/>
      <c r="I256" s="481"/>
      <c r="J256" s="360" t="s">
        <v>158</v>
      </c>
      <c r="K256" s="482"/>
      <c r="L256" s="482"/>
      <c r="M256" s="482"/>
      <c r="N256" s="41"/>
      <c r="O256" s="13"/>
      <c r="P256" s="13"/>
      <c r="Q256" s="13"/>
      <c r="R256" s="481"/>
      <c r="S256" s="481"/>
      <c r="T256" s="481"/>
      <c r="U256" s="482"/>
      <c r="V256" s="41"/>
      <c r="W256" s="13"/>
      <c r="X256" s="482"/>
      <c r="Y256" s="481"/>
      <c r="Z256" s="481"/>
      <c r="AA256" s="481"/>
      <c r="AB256" s="16"/>
      <c r="AC256" s="16"/>
      <c r="AD256" s="16"/>
      <c r="AE256" s="16"/>
      <c r="AF256" s="16"/>
      <c r="AG256" s="16"/>
      <c r="AH256" s="16"/>
      <c r="AI256" s="16"/>
      <c r="AJ256" s="481"/>
      <c r="AK256" s="482"/>
      <c r="AL256" s="25"/>
      <c r="AM256" s="481"/>
      <c r="AN256" s="481"/>
      <c r="AO256" s="481"/>
      <c r="AP256" s="16"/>
      <c r="AQ256" s="16"/>
      <c r="AR256" s="130"/>
      <c r="AS256" s="130">
        <v>1405</v>
      </c>
      <c r="AT256" s="130"/>
      <c r="AU256" s="130"/>
      <c r="AV256" s="130"/>
      <c r="AW256" s="12" t="str">
        <f t="shared" si="8"/>
        <v/>
      </c>
      <c r="AX256" s="12"/>
      <c r="AY256" s="12"/>
      <c r="AZ256" s="481"/>
    </row>
    <row r="257" spans="1:52" ht="30" customHeight="1" x14ac:dyDescent="0.2">
      <c r="A257" s="497">
        <v>255</v>
      </c>
      <c r="B257" s="481"/>
      <c r="C257" s="16"/>
      <c r="D257" s="482"/>
      <c r="E257" s="482"/>
      <c r="F257" s="482"/>
      <c r="G257" s="495"/>
      <c r="H257" s="481"/>
      <c r="I257" s="481"/>
      <c r="J257" s="360" t="s">
        <v>158</v>
      </c>
      <c r="K257" s="482"/>
      <c r="L257" s="482"/>
      <c r="M257" s="482"/>
      <c r="N257" s="41"/>
      <c r="O257" s="13"/>
      <c r="P257" s="13"/>
      <c r="Q257" s="13"/>
      <c r="R257" s="481"/>
      <c r="S257" s="481"/>
      <c r="T257" s="481"/>
      <c r="U257" s="482"/>
      <c r="V257" s="41"/>
      <c r="W257" s="13"/>
      <c r="X257" s="482"/>
      <c r="Y257" s="481"/>
      <c r="Z257" s="481"/>
      <c r="AA257" s="481"/>
      <c r="AB257" s="16"/>
      <c r="AC257" s="16"/>
      <c r="AD257" s="16"/>
      <c r="AE257" s="16"/>
      <c r="AF257" s="16"/>
      <c r="AG257" s="16"/>
      <c r="AH257" s="16"/>
      <c r="AI257" s="16"/>
      <c r="AJ257" s="481"/>
      <c r="AK257" s="482"/>
      <c r="AL257" s="25"/>
      <c r="AM257" s="481"/>
      <c r="AN257" s="481"/>
      <c r="AO257" s="481"/>
      <c r="AP257" s="16"/>
      <c r="AQ257" s="16"/>
      <c r="AR257" s="130"/>
      <c r="AS257" s="130">
        <v>1405</v>
      </c>
      <c r="AT257" s="130"/>
      <c r="AU257" s="130"/>
      <c r="AV257" s="130"/>
      <c r="AW257" s="12" t="str">
        <f t="shared" si="8"/>
        <v/>
      </c>
      <c r="AX257" s="12"/>
      <c r="AY257" s="12"/>
      <c r="AZ257" s="481"/>
    </row>
    <row r="258" spans="1:52" ht="30" customHeight="1" x14ac:dyDescent="0.2">
      <c r="A258" s="497">
        <v>256</v>
      </c>
      <c r="B258" s="481"/>
      <c r="C258" s="16"/>
      <c r="D258" s="482"/>
      <c r="E258" s="482"/>
      <c r="F258" s="482"/>
      <c r="G258" s="495"/>
      <c r="H258" s="481"/>
      <c r="I258" s="481"/>
      <c r="J258" s="360" t="s">
        <v>158</v>
      </c>
      <c r="K258" s="482"/>
      <c r="L258" s="482"/>
      <c r="M258" s="482"/>
      <c r="N258" s="41"/>
      <c r="O258" s="13"/>
      <c r="P258" s="13"/>
      <c r="Q258" s="13"/>
      <c r="R258" s="481"/>
      <c r="S258" s="481"/>
      <c r="T258" s="481"/>
      <c r="U258" s="482"/>
      <c r="V258" s="41"/>
      <c r="W258" s="13"/>
      <c r="X258" s="482"/>
      <c r="Y258" s="481"/>
      <c r="Z258" s="481"/>
      <c r="AA258" s="481"/>
      <c r="AB258" s="16"/>
      <c r="AC258" s="16"/>
      <c r="AD258" s="16"/>
      <c r="AE258" s="16"/>
      <c r="AF258" s="16"/>
      <c r="AG258" s="16"/>
      <c r="AH258" s="16"/>
      <c r="AI258" s="16"/>
      <c r="AJ258" s="481"/>
      <c r="AK258" s="482"/>
      <c r="AL258" s="25"/>
      <c r="AM258" s="481"/>
      <c r="AN258" s="481"/>
      <c r="AO258" s="481"/>
      <c r="AP258" s="16"/>
      <c r="AQ258" s="16"/>
      <c r="AR258" s="130"/>
      <c r="AS258" s="130">
        <v>1405</v>
      </c>
      <c r="AT258" s="130"/>
      <c r="AU258" s="130"/>
      <c r="AV258" s="130"/>
      <c r="AW258" s="12" t="str">
        <f t="shared" si="8"/>
        <v/>
      </c>
      <c r="AX258" s="12"/>
      <c r="AY258" s="12"/>
      <c r="AZ258" s="481"/>
    </row>
    <row r="259" spans="1:52" ht="30" customHeight="1" x14ac:dyDescent="0.2">
      <c r="A259" s="497">
        <v>257</v>
      </c>
      <c r="B259" s="481"/>
      <c r="C259" s="16"/>
      <c r="D259" s="482"/>
      <c r="E259" s="482"/>
      <c r="F259" s="482"/>
      <c r="G259" s="495"/>
      <c r="H259" s="481"/>
      <c r="I259" s="481"/>
      <c r="J259" s="360" t="s">
        <v>158</v>
      </c>
      <c r="K259" s="482"/>
      <c r="L259" s="482"/>
      <c r="M259" s="482"/>
      <c r="N259" s="41"/>
      <c r="O259" s="13"/>
      <c r="P259" s="13"/>
      <c r="Q259" s="13"/>
      <c r="R259" s="481"/>
      <c r="S259" s="481"/>
      <c r="T259" s="481"/>
      <c r="U259" s="482"/>
      <c r="V259" s="41"/>
      <c r="W259" s="13"/>
      <c r="X259" s="482"/>
      <c r="Y259" s="481"/>
      <c r="Z259" s="481"/>
      <c r="AA259" s="481"/>
      <c r="AB259" s="16"/>
      <c r="AC259" s="16"/>
      <c r="AD259" s="16"/>
      <c r="AE259" s="16"/>
      <c r="AF259" s="16"/>
      <c r="AG259" s="16"/>
      <c r="AH259" s="16"/>
      <c r="AI259" s="16"/>
      <c r="AJ259" s="481"/>
      <c r="AK259" s="482"/>
      <c r="AL259" s="25"/>
      <c r="AM259" s="481"/>
      <c r="AN259" s="481"/>
      <c r="AO259" s="481"/>
      <c r="AP259" s="16"/>
      <c r="AQ259" s="16"/>
      <c r="AR259" s="130"/>
      <c r="AS259" s="130">
        <v>1405</v>
      </c>
      <c r="AT259" s="130"/>
      <c r="AU259" s="130"/>
      <c r="AV259" s="130"/>
      <c r="AW259" s="12" t="str">
        <f t="shared" si="8"/>
        <v/>
      </c>
      <c r="AX259" s="12"/>
      <c r="AY259" s="12"/>
      <c r="AZ259" s="481"/>
    </row>
    <row r="260" spans="1:52" ht="30" customHeight="1" x14ac:dyDescent="0.2">
      <c r="A260" s="497">
        <v>258</v>
      </c>
      <c r="B260" s="481"/>
      <c r="C260" s="16"/>
      <c r="D260" s="482"/>
      <c r="E260" s="482"/>
      <c r="F260" s="482"/>
      <c r="G260" s="495"/>
      <c r="H260" s="481"/>
      <c r="I260" s="481"/>
      <c r="J260" s="360" t="s">
        <v>158</v>
      </c>
      <c r="K260" s="482"/>
      <c r="L260" s="482"/>
      <c r="M260" s="482"/>
      <c r="N260" s="41"/>
      <c r="O260" s="13"/>
      <c r="P260" s="13"/>
      <c r="Q260" s="13"/>
      <c r="R260" s="481"/>
      <c r="S260" s="481"/>
      <c r="T260" s="481"/>
      <c r="U260" s="482"/>
      <c r="V260" s="41"/>
      <c r="W260" s="13"/>
      <c r="X260" s="482"/>
      <c r="Y260" s="481"/>
      <c r="Z260" s="481"/>
      <c r="AA260" s="481"/>
      <c r="AB260" s="16"/>
      <c r="AC260" s="16"/>
      <c r="AD260" s="16"/>
      <c r="AE260" s="16"/>
      <c r="AF260" s="16"/>
      <c r="AG260" s="16"/>
      <c r="AH260" s="16"/>
      <c r="AI260" s="16"/>
      <c r="AJ260" s="481"/>
      <c r="AK260" s="482"/>
      <c r="AL260" s="25"/>
      <c r="AM260" s="481"/>
      <c r="AN260" s="481"/>
      <c r="AO260" s="481"/>
      <c r="AP260" s="16"/>
      <c r="AQ260" s="16"/>
      <c r="AR260" s="130"/>
      <c r="AS260" s="130">
        <v>1405</v>
      </c>
      <c r="AT260" s="130"/>
      <c r="AU260" s="130"/>
      <c r="AV260" s="130"/>
      <c r="AW260" s="12" t="str">
        <f t="shared" si="8"/>
        <v/>
      </c>
      <c r="AX260" s="12"/>
      <c r="AY260" s="12"/>
      <c r="AZ260" s="481"/>
    </row>
    <row r="261" spans="1:52" ht="30" customHeight="1" x14ac:dyDescent="0.2">
      <c r="A261" s="497">
        <v>259</v>
      </c>
      <c r="B261" s="481"/>
      <c r="C261" s="16"/>
      <c r="D261" s="482"/>
      <c r="E261" s="482"/>
      <c r="F261" s="482"/>
      <c r="G261" s="495"/>
      <c r="H261" s="481"/>
      <c r="I261" s="481"/>
      <c r="J261" s="360" t="s">
        <v>158</v>
      </c>
      <c r="K261" s="482"/>
      <c r="L261" s="482"/>
      <c r="M261" s="482"/>
      <c r="N261" s="41"/>
      <c r="O261" s="13"/>
      <c r="P261" s="13"/>
      <c r="Q261" s="13"/>
      <c r="R261" s="481"/>
      <c r="S261" s="481"/>
      <c r="T261" s="481"/>
      <c r="U261" s="482"/>
      <c r="V261" s="41"/>
      <c r="W261" s="13"/>
      <c r="X261" s="482"/>
      <c r="Y261" s="481"/>
      <c r="Z261" s="481"/>
      <c r="AA261" s="481"/>
      <c r="AB261" s="16"/>
      <c r="AC261" s="16"/>
      <c r="AD261" s="16"/>
      <c r="AE261" s="16"/>
      <c r="AF261" s="16"/>
      <c r="AG261" s="16"/>
      <c r="AH261" s="16"/>
      <c r="AI261" s="16"/>
      <c r="AJ261" s="481"/>
      <c r="AK261" s="482"/>
      <c r="AL261" s="25"/>
      <c r="AM261" s="481"/>
      <c r="AN261" s="481"/>
      <c r="AO261" s="481"/>
      <c r="AP261" s="16"/>
      <c r="AQ261" s="16"/>
      <c r="AR261" s="130"/>
      <c r="AS261" s="130">
        <v>1405</v>
      </c>
      <c r="AT261" s="130"/>
      <c r="AU261" s="130"/>
      <c r="AV261" s="130"/>
      <c r="AW261" s="12" t="str">
        <f t="shared" si="8"/>
        <v/>
      </c>
      <c r="AX261" s="12"/>
      <c r="AY261" s="12"/>
      <c r="AZ261" s="481"/>
    </row>
    <row r="262" spans="1:52" ht="30" customHeight="1" x14ac:dyDescent="0.2">
      <c r="A262" s="497">
        <v>260</v>
      </c>
      <c r="B262" s="481"/>
      <c r="C262" s="16"/>
      <c r="D262" s="482"/>
      <c r="E262" s="482"/>
      <c r="F262" s="482"/>
      <c r="G262" s="495"/>
      <c r="H262" s="481"/>
      <c r="I262" s="481"/>
      <c r="J262" s="360" t="s">
        <v>158</v>
      </c>
      <c r="K262" s="482"/>
      <c r="L262" s="482"/>
      <c r="M262" s="482"/>
      <c r="N262" s="41"/>
      <c r="O262" s="13"/>
      <c r="P262" s="13"/>
      <c r="Q262" s="13"/>
      <c r="R262" s="481"/>
      <c r="S262" s="481"/>
      <c r="T262" s="481"/>
      <c r="U262" s="482"/>
      <c r="V262" s="41"/>
      <c r="W262" s="13"/>
      <c r="X262" s="482"/>
      <c r="Y262" s="481"/>
      <c r="Z262" s="481"/>
      <c r="AA262" s="481"/>
      <c r="AB262" s="16"/>
      <c r="AC262" s="16"/>
      <c r="AD262" s="16"/>
      <c r="AE262" s="16"/>
      <c r="AF262" s="16"/>
      <c r="AG262" s="16"/>
      <c r="AH262" s="16"/>
      <c r="AI262" s="16"/>
      <c r="AJ262" s="481"/>
      <c r="AK262" s="482"/>
      <c r="AL262" s="25"/>
      <c r="AM262" s="481"/>
      <c r="AN262" s="481"/>
      <c r="AO262" s="481"/>
      <c r="AP262" s="16"/>
      <c r="AQ262" s="16"/>
      <c r="AR262" s="130"/>
      <c r="AS262" s="130">
        <v>1405</v>
      </c>
      <c r="AT262" s="130"/>
      <c r="AU262" s="130"/>
      <c r="AV262" s="130"/>
      <c r="AW262" s="12" t="str">
        <f t="shared" si="8"/>
        <v/>
      </c>
      <c r="AX262" s="12"/>
      <c r="AY262" s="12"/>
      <c r="AZ262" s="481"/>
    </row>
    <row r="263" spans="1:52" ht="30" customHeight="1" x14ac:dyDescent="0.2">
      <c r="A263" s="497">
        <v>261</v>
      </c>
      <c r="B263" s="481"/>
      <c r="C263" s="16"/>
      <c r="D263" s="482"/>
      <c r="E263" s="482"/>
      <c r="F263" s="482"/>
      <c r="G263" s="495"/>
      <c r="H263" s="481"/>
      <c r="I263" s="481"/>
      <c r="J263" s="360" t="s">
        <v>158</v>
      </c>
      <c r="K263" s="482"/>
      <c r="L263" s="482"/>
      <c r="M263" s="482"/>
      <c r="N263" s="41"/>
      <c r="O263" s="13"/>
      <c r="P263" s="13"/>
      <c r="Q263" s="13"/>
      <c r="R263" s="481"/>
      <c r="S263" s="481"/>
      <c r="T263" s="481"/>
      <c r="U263" s="482"/>
      <c r="V263" s="41"/>
      <c r="W263" s="13"/>
      <c r="X263" s="482"/>
      <c r="Y263" s="481"/>
      <c r="Z263" s="481"/>
      <c r="AA263" s="481"/>
      <c r="AB263" s="16"/>
      <c r="AC263" s="16"/>
      <c r="AD263" s="16"/>
      <c r="AE263" s="16"/>
      <c r="AF263" s="16"/>
      <c r="AG263" s="16"/>
      <c r="AH263" s="16"/>
      <c r="AI263" s="16"/>
      <c r="AJ263" s="481"/>
      <c r="AK263" s="482"/>
      <c r="AL263" s="25"/>
      <c r="AM263" s="481"/>
      <c r="AN263" s="481"/>
      <c r="AO263" s="481"/>
      <c r="AP263" s="16"/>
      <c r="AQ263" s="16"/>
      <c r="AR263" s="130"/>
      <c r="AS263" s="130">
        <v>1405</v>
      </c>
      <c r="AT263" s="130"/>
      <c r="AU263" s="130"/>
      <c r="AV263" s="130"/>
      <c r="AW263" s="12" t="str">
        <f t="shared" si="8"/>
        <v/>
      </c>
      <c r="AX263" s="12"/>
      <c r="AY263" s="12"/>
      <c r="AZ263" s="481"/>
    </row>
    <row r="264" spans="1:52" ht="30" customHeight="1" x14ac:dyDescent="0.2">
      <c r="A264" s="497">
        <v>262</v>
      </c>
      <c r="B264" s="481"/>
      <c r="C264" s="16"/>
      <c r="D264" s="482"/>
      <c r="E264" s="482"/>
      <c r="F264" s="482"/>
      <c r="G264" s="495"/>
      <c r="H264" s="481"/>
      <c r="I264" s="481"/>
      <c r="J264" s="360" t="s">
        <v>158</v>
      </c>
      <c r="K264" s="482"/>
      <c r="L264" s="482"/>
      <c r="M264" s="482"/>
      <c r="N264" s="41"/>
      <c r="O264" s="13"/>
      <c r="P264" s="13"/>
      <c r="Q264" s="13"/>
      <c r="R264" s="481"/>
      <c r="S264" s="481"/>
      <c r="T264" s="481"/>
      <c r="U264" s="482"/>
      <c r="V264" s="41"/>
      <c r="W264" s="13"/>
      <c r="X264" s="482"/>
      <c r="Y264" s="481"/>
      <c r="Z264" s="481"/>
      <c r="AA264" s="481"/>
      <c r="AB264" s="16"/>
      <c r="AC264" s="16"/>
      <c r="AD264" s="16"/>
      <c r="AE264" s="16"/>
      <c r="AF264" s="16"/>
      <c r="AG264" s="16"/>
      <c r="AH264" s="16"/>
      <c r="AI264" s="16"/>
      <c r="AJ264" s="481"/>
      <c r="AK264" s="482"/>
      <c r="AL264" s="25"/>
      <c r="AM264" s="481"/>
      <c r="AN264" s="481"/>
      <c r="AO264" s="481"/>
      <c r="AP264" s="16"/>
      <c r="AQ264" s="16"/>
      <c r="AR264" s="130"/>
      <c r="AS264" s="130">
        <v>1405</v>
      </c>
      <c r="AT264" s="130"/>
      <c r="AU264" s="130"/>
      <c r="AV264" s="130"/>
      <c r="AW264" s="12" t="str">
        <f t="shared" si="8"/>
        <v/>
      </c>
      <c r="AX264" s="12"/>
      <c r="AY264" s="12"/>
      <c r="AZ264" s="481"/>
    </row>
    <row r="265" spans="1:52" ht="30" customHeight="1" x14ac:dyDescent="0.2">
      <c r="A265" s="497">
        <v>263</v>
      </c>
      <c r="B265" s="481"/>
      <c r="C265" s="16"/>
      <c r="D265" s="482"/>
      <c r="E265" s="482"/>
      <c r="F265" s="482"/>
      <c r="G265" s="495"/>
      <c r="H265" s="481"/>
      <c r="I265" s="481"/>
      <c r="J265" s="360" t="s">
        <v>158</v>
      </c>
      <c r="K265" s="482"/>
      <c r="L265" s="482"/>
      <c r="M265" s="482"/>
      <c r="N265" s="41"/>
      <c r="O265" s="13"/>
      <c r="P265" s="13"/>
      <c r="Q265" s="13"/>
      <c r="R265" s="481"/>
      <c r="S265" s="481"/>
      <c r="T265" s="481"/>
      <c r="U265" s="482"/>
      <c r="V265" s="41"/>
      <c r="W265" s="13"/>
      <c r="X265" s="482"/>
      <c r="Y265" s="481"/>
      <c r="Z265" s="481"/>
      <c r="AA265" s="481"/>
      <c r="AB265" s="16"/>
      <c r="AC265" s="16"/>
      <c r="AD265" s="16"/>
      <c r="AE265" s="16"/>
      <c r="AF265" s="16"/>
      <c r="AG265" s="16"/>
      <c r="AH265" s="16"/>
      <c r="AI265" s="16"/>
      <c r="AJ265" s="481"/>
      <c r="AK265" s="482"/>
      <c r="AL265" s="25"/>
      <c r="AM265" s="481"/>
      <c r="AN265" s="481"/>
      <c r="AO265" s="481"/>
      <c r="AP265" s="16"/>
      <c r="AQ265" s="16"/>
      <c r="AR265" s="130"/>
      <c r="AS265" s="130">
        <v>1405</v>
      </c>
      <c r="AT265" s="130"/>
      <c r="AU265" s="130"/>
      <c r="AV265" s="130"/>
      <c r="AW265" s="12" t="str">
        <f t="shared" si="8"/>
        <v/>
      </c>
      <c r="AX265" s="12"/>
      <c r="AY265" s="12"/>
      <c r="AZ265" s="481"/>
    </row>
    <row r="266" spans="1:52" ht="30" customHeight="1" x14ac:dyDescent="0.2">
      <c r="A266" s="497">
        <v>264</v>
      </c>
      <c r="B266" s="481"/>
      <c r="C266" s="16"/>
      <c r="D266" s="482"/>
      <c r="E266" s="482"/>
      <c r="F266" s="482"/>
      <c r="G266" s="495"/>
      <c r="H266" s="481"/>
      <c r="I266" s="481"/>
      <c r="J266" s="360" t="s">
        <v>158</v>
      </c>
      <c r="K266" s="482"/>
      <c r="L266" s="482"/>
      <c r="M266" s="482"/>
      <c r="N266" s="41"/>
      <c r="O266" s="13"/>
      <c r="P266" s="13"/>
      <c r="Q266" s="13"/>
      <c r="R266" s="481"/>
      <c r="S266" s="481"/>
      <c r="T266" s="481"/>
      <c r="U266" s="482"/>
      <c r="V266" s="41"/>
      <c r="W266" s="13"/>
      <c r="X266" s="482"/>
      <c r="Y266" s="481"/>
      <c r="Z266" s="481"/>
      <c r="AA266" s="481"/>
      <c r="AB266" s="16"/>
      <c r="AC266" s="16"/>
      <c r="AD266" s="16"/>
      <c r="AE266" s="16"/>
      <c r="AF266" s="16"/>
      <c r="AG266" s="16"/>
      <c r="AH266" s="16"/>
      <c r="AI266" s="16"/>
      <c r="AJ266" s="481"/>
      <c r="AK266" s="482"/>
      <c r="AL266" s="25"/>
      <c r="AM266" s="481"/>
      <c r="AN266" s="481"/>
      <c r="AO266" s="481"/>
      <c r="AP266" s="16"/>
      <c r="AQ266" s="16"/>
      <c r="AR266" s="130"/>
      <c r="AS266" s="130">
        <v>1405</v>
      </c>
      <c r="AT266" s="130"/>
      <c r="AU266" s="130"/>
      <c r="AV266" s="130"/>
      <c r="AW266" s="12" t="str">
        <f t="shared" si="8"/>
        <v/>
      </c>
      <c r="AX266" s="12"/>
      <c r="AY266" s="12"/>
      <c r="AZ266" s="481"/>
    </row>
    <row r="267" spans="1:52" ht="30" customHeight="1" x14ac:dyDescent="0.2">
      <c r="A267" s="497">
        <v>265</v>
      </c>
      <c r="B267" s="481"/>
      <c r="C267" s="16"/>
      <c r="D267" s="482"/>
      <c r="E267" s="482"/>
      <c r="F267" s="482"/>
      <c r="G267" s="495"/>
      <c r="H267" s="481"/>
      <c r="I267" s="481"/>
      <c r="J267" s="360" t="s">
        <v>158</v>
      </c>
      <c r="K267" s="482"/>
      <c r="L267" s="482"/>
      <c r="M267" s="482"/>
      <c r="N267" s="41"/>
      <c r="O267" s="13"/>
      <c r="P267" s="13"/>
      <c r="Q267" s="13"/>
      <c r="R267" s="481"/>
      <c r="S267" s="481"/>
      <c r="T267" s="481"/>
      <c r="U267" s="482"/>
      <c r="V267" s="41"/>
      <c r="W267" s="13"/>
      <c r="X267" s="482"/>
      <c r="Y267" s="481"/>
      <c r="Z267" s="481"/>
      <c r="AA267" s="481"/>
      <c r="AB267" s="16"/>
      <c r="AC267" s="16"/>
      <c r="AD267" s="16"/>
      <c r="AE267" s="16"/>
      <c r="AF267" s="16"/>
      <c r="AG267" s="16"/>
      <c r="AH267" s="16"/>
      <c r="AI267" s="16"/>
      <c r="AJ267" s="481"/>
      <c r="AK267" s="482"/>
      <c r="AL267" s="25"/>
      <c r="AM267" s="481"/>
      <c r="AN267" s="481"/>
      <c r="AO267" s="481"/>
      <c r="AP267" s="16"/>
      <c r="AQ267" s="16"/>
      <c r="AR267" s="130"/>
      <c r="AS267" s="130">
        <v>1405</v>
      </c>
      <c r="AT267" s="130"/>
      <c r="AU267" s="130"/>
      <c r="AV267" s="130"/>
      <c r="AW267" s="12" t="str">
        <f t="shared" si="8"/>
        <v/>
      </c>
      <c r="AX267" s="12"/>
      <c r="AY267" s="12"/>
      <c r="AZ267" s="481"/>
    </row>
    <row r="268" spans="1:52" ht="30" customHeight="1" x14ac:dyDescent="0.2">
      <c r="A268" s="497">
        <v>266</v>
      </c>
      <c r="B268" s="481"/>
      <c r="C268" s="16"/>
      <c r="D268" s="482"/>
      <c r="E268" s="482"/>
      <c r="F268" s="482"/>
      <c r="G268" s="495"/>
      <c r="H268" s="481"/>
      <c r="I268" s="481"/>
      <c r="J268" s="360" t="s">
        <v>158</v>
      </c>
      <c r="K268" s="482"/>
      <c r="L268" s="482"/>
      <c r="M268" s="482"/>
      <c r="N268" s="41"/>
      <c r="O268" s="13"/>
      <c r="P268" s="13"/>
      <c r="Q268" s="13"/>
      <c r="R268" s="481"/>
      <c r="S268" s="481"/>
      <c r="T268" s="481"/>
      <c r="U268" s="482"/>
      <c r="V268" s="41"/>
      <c r="W268" s="13"/>
      <c r="X268" s="482"/>
      <c r="Y268" s="481"/>
      <c r="Z268" s="481"/>
      <c r="AA268" s="481"/>
      <c r="AB268" s="16"/>
      <c r="AC268" s="16"/>
      <c r="AD268" s="16"/>
      <c r="AE268" s="16"/>
      <c r="AF268" s="16"/>
      <c r="AG268" s="16"/>
      <c r="AH268" s="16"/>
      <c r="AI268" s="16"/>
      <c r="AJ268" s="481"/>
      <c r="AK268" s="482"/>
      <c r="AL268" s="25"/>
      <c r="AM268" s="481"/>
      <c r="AN268" s="481"/>
      <c r="AO268" s="481"/>
      <c r="AP268" s="16"/>
      <c r="AQ268" s="16"/>
      <c r="AR268" s="130"/>
      <c r="AS268" s="130">
        <v>1405</v>
      </c>
      <c r="AT268" s="130"/>
      <c r="AU268" s="130"/>
      <c r="AV268" s="130"/>
      <c r="AW268" s="12" t="str">
        <f t="shared" si="8"/>
        <v/>
      </c>
      <c r="AX268" s="12"/>
      <c r="AY268" s="12"/>
      <c r="AZ268" s="481"/>
    </row>
    <row r="269" spans="1:52" ht="30" customHeight="1" x14ac:dyDescent="0.2">
      <c r="A269" s="497">
        <v>267</v>
      </c>
      <c r="B269" s="481"/>
      <c r="C269" s="16"/>
      <c r="D269" s="482"/>
      <c r="E269" s="482"/>
      <c r="F269" s="482"/>
      <c r="G269" s="495"/>
      <c r="H269" s="481"/>
      <c r="I269" s="481"/>
      <c r="J269" s="360" t="s">
        <v>158</v>
      </c>
      <c r="K269" s="482"/>
      <c r="L269" s="482"/>
      <c r="M269" s="482"/>
      <c r="N269" s="41"/>
      <c r="O269" s="13"/>
      <c r="P269" s="13"/>
      <c r="Q269" s="13"/>
      <c r="R269" s="481"/>
      <c r="S269" s="481"/>
      <c r="T269" s="481"/>
      <c r="U269" s="482"/>
      <c r="V269" s="41"/>
      <c r="W269" s="13"/>
      <c r="X269" s="482"/>
      <c r="Y269" s="481"/>
      <c r="Z269" s="481"/>
      <c r="AA269" s="481"/>
      <c r="AB269" s="16"/>
      <c r="AC269" s="16"/>
      <c r="AD269" s="16"/>
      <c r="AE269" s="16"/>
      <c r="AF269" s="16"/>
      <c r="AG269" s="16"/>
      <c r="AH269" s="16"/>
      <c r="AI269" s="16"/>
      <c r="AJ269" s="481"/>
      <c r="AK269" s="482"/>
      <c r="AL269" s="25"/>
      <c r="AM269" s="481"/>
      <c r="AN269" s="481"/>
      <c r="AO269" s="481"/>
      <c r="AP269" s="16"/>
      <c r="AQ269" s="16"/>
      <c r="AR269" s="130"/>
      <c r="AS269" s="130">
        <v>1405</v>
      </c>
      <c r="AT269" s="130"/>
      <c r="AU269" s="130"/>
      <c r="AV269" s="130"/>
      <c r="AW269" s="12" t="str">
        <f t="shared" si="8"/>
        <v/>
      </c>
      <c r="AX269" s="12"/>
      <c r="AY269" s="12"/>
      <c r="AZ269" s="481"/>
    </row>
    <row r="270" spans="1:52" ht="30" customHeight="1" x14ac:dyDescent="0.2">
      <c r="A270" s="497">
        <v>268</v>
      </c>
      <c r="B270" s="481"/>
      <c r="C270" s="16"/>
      <c r="D270" s="482"/>
      <c r="E270" s="482"/>
      <c r="F270" s="482"/>
      <c r="G270" s="495"/>
      <c r="H270" s="481"/>
      <c r="I270" s="481"/>
      <c r="J270" s="360" t="s">
        <v>158</v>
      </c>
      <c r="K270" s="482"/>
      <c r="L270" s="482"/>
      <c r="M270" s="482"/>
      <c r="N270" s="41"/>
      <c r="O270" s="13"/>
      <c r="P270" s="13"/>
      <c r="Q270" s="13"/>
      <c r="R270" s="481"/>
      <c r="S270" s="481"/>
      <c r="T270" s="481"/>
      <c r="U270" s="482"/>
      <c r="V270" s="41"/>
      <c r="W270" s="13"/>
      <c r="X270" s="482"/>
      <c r="Y270" s="481"/>
      <c r="Z270" s="481"/>
      <c r="AA270" s="481"/>
      <c r="AB270" s="16"/>
      <c r="AC270" s="16"/>
      <c r="AD270" s="16"/>
      <c r="AE270" s="16"/>
      <c r="AF270" s="16"/>
      <c r="AG270" s="16"/>
      <c r="AH270" s="16"/>
      <c r="AI270" s="16"/>
      <c r="AJ270" s="481"/>
      <c r="AK270" s="482"/>
      <c r="AL270" s="25"/>
      <c r="AM270" s="481"/>
      <c r="AN270" s="481"/>
      <c r="AO270" s="481"/>
      <c r="AP270" s="16"/>
      <c r="AQ270" s="16"/>
      <c r="AR270" s="130"/>
      <c r="AS270" s="130">
        <v>1405</v>
      </c>
      <c r="AT270" s="130"/>
      <c r="AU270" s="130"/>
      <c r="AV270" s="130"/>
      <c r="AW270" s="12" t="str">
        <f t="shared" si="8"/>
        <v/>
      </c>
      <c r="AX270" s="12"/>
      <c r="AY270" s="12"/>
      <c r="AZ270" s="481"/>
    </row>
    <row r="271" spans="1:52" ht="30" customHeight="1" x14ac:dyDescent="0.2">
      <c r="A271" s="497">
        <v>269</v>
      </c>
      <c r="B271" s="481"/>
      <c r="C271" s="16"/>
      <c r="D271" s="482"/>
      <c r="E271" s="482"/>
      <c r="F271" s="482"/>
      <c r="G271" s="495"/>
      <c r="H271" s="481"/>
      <c r="I271" s="481"/>
      <c r="J271" s="360" t="s">
        <v>158</v>
      </c>
      <c r="K271" s="482"/>
      <c r="L271" s="482"/>
      <c r="M271" s="482"/>
      <c r="N271" s="41"/>
      <c r="O271" s="13"/>
      <c r="P271" s="13"/>
      <c r="Q271" s="13"/>
      <c r="R271" s="481"/>
      <c r="S271" s="481"/>
      <c r="T271" s="481"/>
      <c r="U271" s="482"/>
      <c r="V271" s="41"/>
      <c r="W271" s="13"/>
      <c r="X271" s="482"/>
      <c r="Y271" s="481"/>
      <c r="Z271" s="481"/>
      <c r="AA271" s="481"/>
      <c r="AB271" s="16"/>
      <c r="AC271" s="16"/>
      <c r="AD271" s="16"/>
      <c r="AE271" s="16"/>
      <c r="AF271" s="16"/>
      <c r="AG271" s="16"/>
      <c r="AH271" s="16"/>
      <c r="AI271" s="16"/>
      <c r="AJ271" s="481"/>
      <c r="AK271" s="482"/>
      <c r="AL271" s="25"/>
      <c r="AM271" s="481"/>
      <c r="AN271" s="481"/>
      <c r="AO271" s="481"/>
      <c r="AP271" s="16"/>
      <c r="AQ271" s="16"/>
      <c r="AR271" s="130"/>
      <c r="AS271" s="130">
        <v>1405</v>
      </c>
      <c r="AT271" s="130"/>
      <c r="AU271" s="130"/>
      <c r="AV271" s="130"/>
      <c r="AW271" s="12" t="str">
        <f t="shared" si="8"/>
        <v/>
      </c>
      <c r="AX271" s="12"/>
      <c r="AY271" s="12"/>
      <c r="AZ271" s="481"/>
    </row>
    <row r="272" spans="1:52" ht="30" customHeight="1" x14ac:dyDescent="0.2">
      <c r="A272" s="497">
        <v>270</v>
      </c>
      <c r="B272" s="481"/>
      <c r="C272" s="16"/>
      <c r="D272" s="482"/>
      <c r="E272" s="482"/>
      <c r="F272" s="482"/>
      <c r="G272" s="495"/>
      <c r="H272" s="481"/>
      <c r="I272" s="481"/>
      <c r="J272" s="360" t="s">
        <v>158</v>
      </c>
      <c r="K272" s="482"/>
      <c r="L272" s="482"/>
      <c r="M272" s="482"/>
      <c r="N272" s="41"/>
      <c r="O272" s="13"/>
      <c r="P272" s="13"/>
      <c r="Q272" s="13"/>
      <c r="R272" s="481"/>
      <c r="S272" s="481"/>
      <c r="T272" s="481"/>
      <c r="U272" s="482"/>
      <c r="V272" s="41"/>
      <c r="W272" s="13"/>
      <c r="X272" s="482"/>
      <c r="Y272" s="481"/>
      <c r="Z272" s="481"/>
      <c r="AA272" s="481"/>
      <c r="AB272" s="16"/>
      <c r="AC272" s="16"/>
      <c r="AD272" s="16"/>
      <c r="AE272" s="16"/>
      <c r="AF272" s="16"/>
      <c r="AG272" s="16"/>
      <c r="AH272" s="16"/>
      <c r="AI272" s="16"/>
      <c r="AJ272" s="481"/>
      <c r="AK272" s="482"/>
      <c r="AL272" s="25"/>
      <c r="AM272" s="481"/>
      <c r="AN272" s="481"/>
      <c r="AO272" s="481"/>
      <c r="AP272" s="16"/>
      <c r="AQ272" s="16"/>
      <c r="AR272" s="130"/>
      <c r="AS272" s="130">
        <v>1405</v>
      </c>
      <c r="AT272" s="130"/>
      <c r="AU272" s="130"/>
      <c r="AV272" s="130"/>
      <c r="AW272" s="12" t="str">
        <f t="shared" si="8"/>
        <v/>
      </c>
      <c r="AX272" s="12"/>
      <c r="AY272" s="12"/>
      <c r="AZ272" s="481"/>
    </row>
    <row r="273" spans="1:52" ht="30" customHeight="1" x14ac:dyDescent="0.2">
      <c r="A273" s="497">
        <v>271</v>
      </c>
      <c r="B273" s="481"/>
      <c r="C273" s="16"/>
      <c r="D273" s="482"/>
      <c r="E273" s="482"/>
      <c r="F273" s="482"/>
      <c r="G273" s="495"/>
      <c r="H273" s="481"/>
      <c r="I273" s="481"/>
      <c r="J273" s="360" t="s">
        <v>158</v>
      </c>
      <c r="K273" s="482"/>
      <c r="L273" s="482"/>
      <c r="M273" s="482"/>
      <c r="N273" s="41"/>
      <c r="O273" s="13"/>
      <c r="P273" s="13"/>
      <c r="Q273" s="13"/>
      <c r="R273" s="481"/>
      <c r="S273" s="481"/>
      <c r="T273" s="481"/>
      <c r="U273" s="482"/>
      <c r="V273" s="41"/>
      <c r="W273" s="13"/>
      <c r="X273" s="482"/>
      <c r="Y273" s="481"/>
      <c r="Z273" s="481"/>
      <c r="AA273" s="481"/>
      <c r="AB273" s="16"/>
      <c r="AC273" s="16"/>
      <c r="AD273" s="16"/>
      <c r="AE273" s="16"/>
      <c r="AF273" s="16"/>
      <c r="AG273" s="16"/>
      <c r="AH273" s="16"/>
      <c r="AI273" s="16"/>
      <c r="AJ273" s="481"/>
      <c r="AK273" s="482"/>
      <c r="AL273" s="25"/>
      <c r="AM273" s="481"/>
      <c r="AN273" s="481"/>
      <c r="AO273" s="481"/>
      <c r="AP273" s="16"/>
      <c r="AQ273" s="16"/>
      <c r="AR273" s="130"/>
      <c r="AS273" s="130">
        <v>1405</v>
      </c>
      <c r="AT273" s="130"/>
      <c r="AU273" s="130"/>
      <c r="AV273" s="130"/>
      <c r="AW273" s="12" t="str">
        <f t="shared" si="8"/>
        <v/>
      </c>
      <c r="AX273" s="12"/>
      <c r="AY273" s="12"/>
      <c r="AZ273" s="481"/>
    </row>
    <row r="274" spans="1:52" ht="30" customHeight="1" x14ac:dyDescent="0.2">
      <c r="A274" s="497">
        <v>272</v>
      </c>
      <c r="B274" s="481"/>
      <c r="C274" s="16"/>
      <c r="D274" s="482"/>
      <c r="E274" s="482"/>
      <c r="F274" s="482"/>
      <c r="G274" s="495"/>
      <c r="H274" s="481"/>
      <c r="I274" s="481"/>
      <c r="J274" s="360" t="s">
        <v>158</v>
      </c>
      <c r="K274" s="482"/>
      <c r="L274" s="482"/>
      <c r="M274" s="482"/>
      <c r="N274" s="41"/>
      <c r="O274" s="13"/>
      <c r="P274" s="13"/>
      <c r="Q274" s="13"/>
      <c r="R274" s="481"/>
      <c r="S274" s="481"/>
      <c r="T274" s="481"/>
      <c r="U274" s="482"/>
      <c r="V274" s="41"/>
      <c r="W274" s="13"/>
      <c r="X274" s="482"/>
      <c r="Y274" s="481"/>
      <c r="Z274" s="481"/>
      <c r="AA274" s="481"/>
      <c r="AB274" s="16"/>
      <c r="AC274" s="16"/>
      <c r="AD274" s="16"/>
      <c r="AE274" s="16"/>
      <c r="AF274" s="16"/>
      <c r="AG274" s="16"/>
      <c r="AH274" s="16"/>
      <c r="AI274" s="16"/>
      <c r="AJ274" s="481"/>
      <c r="AK274" s="482"/>
      <c r="AL274" s="25"/>
      <c r="AM274" s="481"/>
      <c r="AN274" s="481"/>
      <c r="AO274" s="481"/>
      <c r="AP274" s="16"/>
      <c r="AQ274" s="16"/>
      <c r="AR274" s="130"/>
      <c r="AS274" s="130">
        <v>1405</v>
      </c>
      <c r="AT274" s="130"/>
      <c r="AU274" s="130"/>
      <c r="AV274" s="130"/>
      <c r="AW274" s="12" t="str">
        <f t="shared" si="8"/>
        <v/>
      </c>
      <c r="AX274" s="12"/>
      <c r="AY274" s="12"/>
      <c r="AZ274" s="481"/>
    </row>
    <row r="275" spans="1:52" ht="30" customHeight="1" x14ac:dyDescent="0.2">
      <c r="A275" s="497">
        <v>273</v>
      </c>
      <c r="B275" s="481"/>
      <c r="C275" s="16"/>
      <c r="D275" s="482"/>
      <c r="E275" s="482"/>
      <c r="F275" s="482"/>
      <c r="G275" s="495"/>
      <c r="H275" s="481"/>
      <c r="I275" s="481"/>
      <c r="J275" s="360" t="s">
        <v>158</v>
      </c>
      <c r="K275" s="482"/>
      <c r="L275" s="482"/>
      <c r="M275" s="482"/>
      <c r="N275" s="41"/>
      <c r="O275" s="13"/>
      <c r="P275" s="13"/>
      <c r="Q275" s="13"/>
      <c r="R275" s="481"/>
      <c r="S275" s="481"/>
      <c r="T275" s="481"/>
      <c r="U275" s="482"/>
      <c r="V275" s="41"/>
      <c r="W275" s="13"/>
      <c r="X275" s="482"/>
      <c r="Y275" s="481"/>
      <c r="Z275" s="481"/>
      <c r="AA275" s="481"/>
      <c r="AB275" s="16"/>
      <c r="AC275" s="16"/>
      <c r="AD275" s="16"/>
      <c r="AE275" s="16"/>
      <c r="AF275" s="16"/>
      <c r="AG275" s="16"/>
      <c r="AH275" s="16"/>
      <c r="AI275" s="16"/>
      <c r="AJ275" s="481"/>
      <c r="AK275" s="482"/>
      <c r="AL275" s="25"/>
      <c r="AM275" s="481"/>
      <c r="AN275" s="481"/>
      <c r="AO275" s="481"/>
      <c r="AP275" s="16"/>
      <c r="AQ275" s="16"/>
      <c r="AR275" s="130"/>
      <c r="AS275" s="130">
        <v>1405</v>
      </c>
      <c r="AT275" s="130"/>
      <c r="AU275" s="130"/>
      <c r="AV275" s="130"/>
      <c r="AW275" s="12" t="str">
        <f t="shared" si="8"/>
        <v/>
      </c>
      <c r="AX275" s="12"/>
      <c r="AY275" s="12"/>
      <c r="AZ275" s="481"/>
    </row>
    <row r="276" spans="1:52" ht="30" customHeight="1" x14ac:dyDescent="0.2">
      <c r="A276" s="497">
        <v>274</v>
      </c>
      <c r="B276" s="481"/>
      <c r="C276" s="16"/>
      <c r="D276" s="482"/>
      <c r="E276" s="482"/>
      <c r="F276" s="482"/>
      <c r="G276" s="495"/>
      <c r="H276" s="481"/>
      <c r="I276" s="481"/>
      <c r="J276" s="360" t="s">
        <v>158</v>
      </c>
      <c r="K276" s="482"/>
      <c r="L276" s="482"/>
      <c r="M276" s="482"/>
      <c r="N276" s="41"/>
      <c r="O276" s="13"/>
      <c r="P276" s="13"/>
      <c r="Q276" s="13"/>
      <c r="R276" s="481"/>
      <c r="S276" s="481"/>
      <c r="T276" s="481"/>
      <c r="U276" s="482"/>
      <c r="V276" s="41"/>
      <c r="W276" s="13"/>
      <c r="X276" s="482"/>
      <c r="Y276" s="481"/>
      <c r="Z276" s="481"/>
      <c r="AA276" s="481"/>
      <c r="AB276" s="16"/>
      <c r="AC276" s="16"/>
      <c r="AD276" s="16"/>
      <c r="AE276" s="16"/>
      <c r="AF276" s="16"/>
      <c r="AG276" s="16"/>
      <c r="AH276" s="16"/>
      <c r="AI276" s="16"/>
      <c r="AJ276" s="481"/>
      <c r="AK276" s="482"/>
      <c r="AL276" s="25"/>
      <c r="AM276" s="481"/>
      <c r="AN276" s="481"/>
      <c r="AO276" s="481"/>
      <c r="AP276" s="16"/>
      <c r="AQ276" s="16"/>
      <c r="AR276" s="130"/>
      <c r="AS276" s="130">
        <v>1405</v>
      </c>
      <c r="AT276" s="130"/>
      <c r="AU276" s="130"/>
      <c r="AV276" s="130"/>
      <c r="AW276" s="12" t="str">
        <f t="shared" si="8"/>
        <v/>
      </c>
      <c r="AX276" s="12"/>
      <c r="AY276" s="12"/>
      <c r="AZ276" s="481"/>
    </row>
    <row r="277" spans="1:52" ht="30" customHeight="1" x14ac:dyDescent="0.2">
      <c r="A277" s="497">
        <v>275</v>
      </c>
      <c r="B277" s="481"/>
      <c r="C277" s="16"/>
      <c r="D277" s="482"/>
      <c r="E277" s="482"/>
      <c r="F277" s="482"/>
      <c r="G277" s="495"/>
      <c r="H277" s="481"/>
      <c r="I277" s="481"/>
      <c r="J277" s="360" t="s">
        <v>158</v>
      </c>
      <c r="K277" s="482"/>
      <c r="L277" s="482"/>
      <c r="M277" s="482"/>
      <c r="N277" s="41"/>
      <c r="O277" s="13"/>
      <c r="P277" s="13"/>
      <c r="Q277" s="13"/>
      <c r="R277" s="481"/>
      <c r="S277" s="481"/>
      <c r="T277" s="481"/>
      <c r="U277" s="482"/>
      <c r="V277" s="41"/>
      <c r="W277" s="13"/>
      <c r="X277" s="482"/>
      <c r="Y277" s="481"/>
      <c r="Z277" s="481"/>
      <c r="AA277" s="481"/>
      <c r="AB277" s="16"/>
      <c r="AC277" s="16"/>
      <c r="AD277" s="16"/>
      <c r="AE277" s="16"/>
      <c r="AF277" s="16"/>
      <c r="AG277" s="16"/>
      <c r="AH277" s="16"/>
      <c r="AI277" s="16"/>
      <c r="AJ277" s="481"/>
      <c r="AK277" s="482"/>
      <c r="AL277" s="25"/>
      <c r="AM277" s="481"/>
      <c r="AN277" s="481"/>
      <c r="AO277" s="481"/>
      <c r="AP277" s="16"/>
      <c r="AQ277" s="16"/>
      <c r="AR277" s="130"/>
      <c r="AS277" s="130">
        <v>1405</v>
      </c>
      <c r="AT277" s="130"/>
      <c r="AU277" s="130"/>
      <c r="AV277" s="130"/>
      <c r="AW277" s="12" t="str">
        <f t="shared" si="8"/>
        <v/>
      </c>
      <c r="AX277" s="12"/>
      <c r="AY277" s="12"/>
      <c r="AZ277" s="481"/>
    </row>
    <row r="278" spans="1:52" ht="30" customHeight="1" x14ac:dyDescent="0.2">
      <c r="A278" s="497">
        <v>276</v>
      </c>
      <c r="B278" s="481"/>
      <c r="C278" s="16"/>
      <c r="D278" s="482"/>
      <c r="E278" s="482"/>
      <c r="F278" s="482"/>
      <c r="G278" s="495"/>
      <c r="H278" s="481"/>
      <c r="I278" s="481"/>
      <c r="J278" s="360" t="s">
        <v>158</v>
      </c>
      <c r="K278" s="482"/>
      <c r="L278" s="482"/>
      <c r="M278" s="482"/>
      <c r="N278" s="41"/>
      <c r="O278" s="13"/>
      <c r="P278" s="13"/>
      <c r="Q278" s="13"/>
      <c r="R278" s="481"/>
      <c r="S278" s="481"/>
      <c r="T278" s="481"/>
      <c r="U278" s="482"/>
      <c r="V278" s="41"/>
      <c r="W278" s="13"/>
      <c r="X278" s="482"/>
      <c r="Y278" s="481"/>
      <c r="Z278" s="481"/>
      <c r="AA278" s="481"/>
      <c r="AB278" s="16"/>
      <c r="AC278" s="16"/>
      <c r="AD278" s="16"/>
      <c r="AE278" s="16"/>
      <c r="AF278" s="16"/>
      <c r="AG278" s="16"/>
      <c r="AH278" s="16"/>
      <c r="AI278" s="16"/>
      <c r="AJ278" s="481"/>
      <c r="AK278" s="482"/>
      <c r="AL278" s="25"/>
      <c r="AM278" s="481"/>
      <c r="AN278" s="481"/>
      <c r="AO278" s="481"/>
      <c r="AP278" s="16"/>
      <c r="AQ278" s="16"/>
      <c r="AR278" s="130"/>
      <c r="AS278" s="130">
        <v>1405</v>
      </c>
      <c r="AT278" s="130"/>
      <c r="AU278" s="130"/>
      <c r="AV278" s="130"/>
      <c r="AW278" s="12" t="str">
        <f t="shared" si="8"/>
        <v/>
      </c>
      <c r="AX278" s="12"/>
      <c r="AY278" s="12"/>
      <c r="AZ278" s="481"/>
    </row>
    <row r="279" spans="1:52" ht="30" customHeight="1" x14ac:dyDescent="0.2">
      <c r="A279" s="497">
        <v>277</v>
      </c>
      <c r="B279" s="481"/>
      <c r="C279" s="16"/>
      <c r="D279" s="482"/>
      <c r="E279" s="482"/>
      <c r="F279" s="482"/>
      <c r="G279" s="495"/>
      <c r="H279" s="481"/>
      <c r="I279" s="481"/>
      <c r="J279" s="360" t="s">
        <v>158</v>
      </c>
      <c r="K279" s="482"/>
      <c r="L279" s="482"/>
      <c r="M279" s="482"/>
      <c r="N279" s="41"/>
      <c r="O279" s="13"/>
      <c r="P279" s="13"/>
      <c r="Q279" s="13"/>
      <c r="R279" s="481"/>
      <c r="S279" s="481"/>
      <c r="T279" s="481"/>
      <c r="U279" s="482"/>
      <c r="V279" s="41"/>
      <c r="W279" s="13"/>
      <c r="X279" s="482"/>
      <c r="Y279" s="481"/>
      <c r="Z279" s="481"/>
      <c r="AA279" s="481"/>
      <c r="AB279" s="16"/>
      <c r="AC279" s="16"/>
      <c r="AD279" s="16"/>
      <c r="AE279" s="16"/>
      <c r="AF279" s="16"/>
      <c r="AG279" s="16"/>
      <c r="AH279" s="16"/>
      <c r="AI279" s="16"/>
      <c r="AJ279" s="481"/>
      <c r="AK279" s="482"/>
      <c r="AL279" s="25"/>
      <c r="AM279" s="481"/>
      <c r="AN279" s="481"/>
      <c r="AO279" s="481"/>
      <c r="AP279" s="16"/>
      <c r="AQ279" s="16"/>
      <c r="AR279" s="130"/>
      <c r="AS279" s="130">
        <v>1405</v>
      </c>
      <c r="AT279" s="130"/>
      <c r="AU279" s="130"/>
      <c r="AV279" s="130"/>
      <c r="AW279" s="12" t="str">
        <f t="shared" si="8"/>
        <v/>
      </c>
      <c r="AX279" s="12"/>
      <c r="AY279" s="12"/>
      <c r="AZ279" s="481"/>
    </row>
    <row r="280" spans="1:52" ht="30" customHeight="1" x14ac:dyDescent="0.2">
      <c r="A280" s="497">
        <v>278</v>
      </c>
      <c r="B280" s="481"/>
      <c r="C280" s="16"/>
      <c r="D280" s="482"/>
      <c r="E280" s="482"/>
      <c r="F280" s="482"/>
      <c r="G280" s="495"/>
      <c r="H280" s="481"/>
      <c r="I280" s="481"/>
      <c r="J280" s="360" t="s">
        <v>158</v>
      </c>
      <c r="K280" s="482"/>
      <c r="L280" s="482"/>
      <c r="M280" s="482"/>
      <c r="N280" s="41"/>
      <c r="O280" s="13"/>
      <c r="P280" s="13"/>
      <c r="Q280" s="13"/>
      <c r="R280" s="481"/>
      <c r="S280" s="481"/>
      <c r="T280" s="481"/>
      <c r="U280" s="482"/>
      <c r="V280" s="41"/>
      <c r="W280" s="13"/>
      <c r="X280" s="482"/>
      <c r="Y280" s="481"/>
      <c r="Z280" s="481"/>
      <c r="AA280" s="481"/>
      <c r="AB280" s="16"/>
      <c r="AC280" s="16"/>
      <c r="AD280" s="16"/>
      <c r="AE280" s="16"/>
      <c r="AF280" s="16"/>
      <c r="AG280" s="16"/>
      <c r="AH280" s="16"/>
      <c r="AI280" s="16"/>
      <c r="AJ280" s="481"/>
      <c r="AK280" s="482"/>
      <c r="AL280" s="25"/>
      <c r="AM280" s="481"/>
      <c r="AN280" s="481"/>
      <c r="AO280" s="481"/>
      <c r="AP280" s="16"/>
      <c r="AQ280" s="16"/>
      <c r="AR280" s="130"/>
      <c r="AS280" s="130">
        <v>1405</v>
      </c>
      <c r="AT280" s="130"/>
      <c r="AU280" s="130"/>
      <c r="AV280" s="130"/>
      <c r="AW280" s="12" t="str">
        <f t="shared" si="8"/>
        <v/>
      </c>
      <c r="AX280" s="12"/>
      <c r="AY280" s="12"/>
      <c r="AZ280" s="481"/>
    </row>
    <row r="281" spans="1:52" ht="30" customHeight="1" x14ac:dyDescent="0.2">
      <c r="A281" s="497">
        <v>279</v>
      </c>
      <c r="B281" s="481"/>
      <c r="C281" s="16"/>
      <c r="D281" s="482"/>
      <c r="E281" s="482"/>
      <c r="F281" s="482"/>
      <c r="G281" s="495"/>
      <c r="H281" s="481"/>
      <c r="I281" s="481"/>
      <c r="J281" s="360" t="s">
        <v>158</v>
      </c>
      <c r="K281" s="482"/>
      <c r="L281" s="482"/>
      <c r="M281" s="482"/>
      <c r="N281" s="41"/>
      <c r="O281" s="13"/>
      <c r="P281" s="13"/>
      <c r="Q281" s="13"/>
      <c r="R281" s="481"/>
      <c r="S281" s="481"/>
      <c r="T281" s="481"/>
      <c r="U281" s="482"/>
      <c r="V281" s="41"/>
      <c r="W281" s="13"/>
      <c r="X281" s="482"/>
      <c r="Y281" s="481"/>
      <c r="Z281" s="481"/>
      <c r="AA281" s="481"/>
      <c r="AB281" s="16"/>
      <c r="AC281" s="16"/>
      <c r="AD281" s="16"/>
      <c r="AE281" s="16"/>
      <c r="AF281" s="16"/>
      <c r="AG281" s="16"/>
      <c r="AH281" s="16"/>
      <c r="AI281" s="16"/>
      <c r="AJ281" s="481"/>
      <c r="AK281" s="482"/>
      <c r="AL281" s="25"/>
      <c r="AM281" s="481"/>
      <c r="AN281" s="481"/>
      <c r="AO281" s="481"/>
      <c r="AP281" s="16"/>
      <c r="AQ281" s="16"/>
      <c r="AR281" s="130"/>
      <c r="AS281" s="130">
        <v>1405</v>
      </c>
      <c r="AT281" s="130"/>
      <c r="AU281" s="130"/>
      <c r="AV281" s="130"/>
      <c r="AW281" s="12" t="str">
        <f t="shared" si="8"/>
        <v/>
      </c>
      <c r="AX281" s="12"/>
      <c r="AY281" s="12"/>
      <c r="AZ281" s="481"/>
    </row>
    <row r="282" spans="1:52" ht="30" customHeight="1" x14ac:dyDescent="0.2">
      <c r="A282" s="497">
        <v>280</v>
      </c>
      <c r="B282" s="481"/>
      <c r="C282" s="16"/>
      <c r="D282" s="482"/>
      <c r="E282" s="482"/>
      <c r="F282" s="482"/>
      <c r="G282" s="495"/>
      <c r="H282" s="481"/>
      <c r="I282" s="481"/>
      <c r="J282" s="360" t="s">
        <v>158</v>
      </c>
      <c r="K282" s="482"/>
      <c r="L282" s="482"/>
      <c r="M282" s="482"/>
      <c r="N282" s="41"/>
      <c r="O282" s="13"/>
      <c r="P282" s="13"/>
      <c r="Q282" s="13"/>
      <c r="R282" s="481"/>
      <c r="S282" s="481"/>
      <c r="T282" s="481"/>
      <c r="U282" s="482"/>
      <c r="V282" s="41"/>
      <c r="W282" s="13"/>
      <c r="X282" s="482"/>
      <c r="Y282" s="481"/>
      <c r="Z282" s="481"/>
      <c r="AA282" s="481"/>
      <c r="AB282" s="16"/>
      <c r="AC282" s="16"/>
      <c r="AD282" s="16"/>
      <c r="AE282" s="16"/>
      <c r="AF282" s="16"/>
      <c r="AG282" s="16"/>
      <c r="AH282" s="16"/>
      <c r="AI282" s="16"/>
      <c r="AJ282" s="481"/>
      <c r="AK282" s="482"/>
      <c r="AL282" s="25"/>
      <c r="AM282" s="481"/>
      <c r="AN282" s="481"/>
      <c r="AO282" s="481"/>
      <c r="AP282" s="16"/>
      <c r="AQ282" s="16"/>
      <c r="AR282" s="130"/>
      <c r="AS282" s="130">
        <v>1405</v>
      </c>
      <c r="AT282" s="130"/>
      <c r="AU282" s="130"/>
      <c r="AV282" s="130"/>
      <c r="AW282" s="12" t="str">
        <f t="shared" si="8"/>
        <v/>
      </c>
      <c r="AX282" s="12"/>
      <c r="AY282" s="12"/>
      <c r="AZ282" s="481"/>
    </row>
    <row r="283" spans="1:52" ht="30" customHeight="1" x14ac:dyDescent="0.2">
      <c r="A283" s="497">
        <v>281</v>
      </c>
      <c r="B283" s="481"/>
      <c r="C283" s="16"/>
      <c r="D283" s="482"/>
      <c r="E283" s="482"/>
      <c r="F283" s="482"/>
      <c r="G283" s="495"/>
      <c r="H283" s="481"/>
      <c r="I283" s="481"/>
      <c r="J283" s="360" t="s">
        <v>158</v>
      </c>
      <c r="K283" s="482"/>
      <c r="L283" s="482"/>
      <c r="M283" s="482"/>
      <c r="N283" s="41"/>
      <c r="O283" s="13"/>
      <c r="P283" s="13"/>
      <c r="Q283" s="13"/>
      <c r="R283" s="481"/>
      <c r="S283" s="481"/>
      <c r="T283" s="481"/>
      <c r="U283" s="482"/>
      <c r="V283" s="41"/>
      <c r="W283" s="13"/>
      <c r="X283" s="482"/>
      <c r="Y283" s="481"/>
      <c r="Z283" s="481"/>
      <c r="AA283" s="481"/>
      <c r="AB283" s="16"/>
      <c r="AC283" s="16"/>
      <c r="AD283" s="16"/>
      <c r="AE283" s="16"/>
      <c r="AF283" s="16"/>
      <c r="AG283" s="16"/>
      <c r="AH283" s="16"/>
      <c r="AI283" s="16"/>
      <c r="AJ283" s="481"/>
      <c r="AK283" s="482"/>
      <c r="AL283" s="25"/>
      <c r="AM283" s="481"/>
      <c r="AN283" s="481"/>
      <c r="AO283" s="481"/>
      <c r="AP283" s="16"/>
      <c r="AQ283" s="16"/>
      <c r="AR283" s="130"/>
      <c r="AS283" s="130">
        <v>1405</v>
      </c>
      <c r="AT283" s="130"/>
      <c r="AU283" s="130"/>
      <c r="AV283" s="130"/>
      <c r="AW283" s="12" t="str">
        <f t="shared" si="8"/>
        <v/>
      </c>
      <c r="AX283" s="12"/>
      <c r="AY283" s="12"/>
      <c r="AZ283" s="481"/>
    </row>
    <row r="284" spans="1:52" ht="30" customHeight="1" x14ac:dyDescent="0.2">
      <c r="A284" s="497">
        <v>282</v>
      </c>
      <c r="B284" s="481"/>
      <c r="C284" s="16"/>
      <c r="D284" s="482"/>
      <c r="E284" s="482"/>
      <c r="F284" s="482"/>
      <c r="G284" s="495"/>
      <c r="H284" s="481"/>
      <c r="I284" s="481"/>
      <c r="J284" s="360" t="s">
        <v>158</v>
      </c>
      <c r="K284" s="482"/>
      <c r="L284" s="482"/>
      <c r="M284" s="482"/>
      <c r="N284" s="41"/>
      <c r="O284" s="13"/>
      <c r="P284" s="13"/>
      <c r="Q284" s="13"/>
      <c r="R284" s="481"/>
      <c r="S284" s="481"/>
      <c r="T284" s="481"/>
      <c r="U284" s="482"/>
      <c r="V284" s="41"/>
      <c r="W284" s="13"/>
      <c r="X284" s="482"/>
      <c r="Y284" s="481"/>
      <c r="Z284" s="481"/>
      <c r="AA284" s="481"/>
      <c r="AB284" s="16"/>
      <c r="AC284" s="16"/>
      <c r="AD284" s="16"/>
      <c r="AE284" s="16"/>
      <c r="AF284" s="16"/>
      <c r="AG284" s="16"/>
      <c r="AH284" s="16"/>
      <c r="AI284" s="16"/>
      <c r="AJ284" s="481"/>
      <c r="AK284" s="482"/>
      <c r="AL284" s="25"/>
      <c r="AM284" s="481"/>
      <c r="AN284" s="481"/>
      <c r="AO284" s="481"/>
      <c r="AP284" s="16"/>
      <c r="AQ284" s="16"/>
      <c r="AR284" s="130"/>
      <c r="AS284" s="130">
        <v>1405</v>
      </c>
      <c r="AT284" s="130"/>
      <c r="AU284" s="130"/>
      <c r="AV284" s="130"/>
      <c r="AW284" s="12" t="str">
        <f t="shared" si="8"/>
        <v/>
      </c>
      <c r="AX284" s="12"/>
      <c r="AY284" s="12"/>
      <c r="AZ284" s="481"/>
    </row>
    <row r="285" spans="1:52" ht="30" customHeight="1" x14ac:dyDescent="0.2">
      <c r="A285" s="497">
        <v>283</v>
      </c>
      <c r="B285" s="481"/>
      <c r="C285" s="16"/>
      <c r="D285" s="482"/>
      <c r="E285" s="482"/>
      <c r="F285" s="482"/>
      <c r="G285" s="495"/>
      <c r="H285" s="481"/>
      <c r="I285" s="481"/>
      <c r="J285" s="360" t="s">
        <v>158</v>
      </c>
      <c r="K285" s="482"/>
      <c r="L285" s="482"/>
      <c r="M285" s="482"/>
      <c r="N285" s="41"/>
      <c r="O285" s="13"/>
      <c r="P285" s="13"/>
      <c r="Q285" s="13"/>
      <c r="R285" s="481"/>
      <c r="S285" s="481"/>
      <c r="T285" s="481"/>
      <c r="U285" s="482"/>
      <c r="V285" s="41"/>
      <c r="W285" s="13"/>
      <c r="X285" s="482"/>
      <c r="Y285" s="481"/>
      <c r="Z285" s="481"/>
      <c r="AA285" s="481"/>
      <c r="AB285" s="16"/>
      <c r="AC285" s="16"/>
      <c r="AD285" s="16"/>
      <c r="AE285" s="16"/>
      <c r="AF285" s="16"/>
      <c r="AG285" s="16"/>
      <c r="AH285" s="16"/>
      <c r="AI285" s="16"/>
      <c r="AJ285" s="481"/>
      <c r="AK285" s="482"/>
      <c r="AL285" s="25"/>
      <c r="AM285" s="481"/>
      <c r="AN285" s="481"/>
      <c r="AO285" s="481"/>
      <c r="AP285" s="16"/>
      <c r="AQ285" s="16"/>
      <c r="AR285" s="130"/>
      <c r="AS285" s="130">
        <v>1405</v>
      </c>
      <c r="AT285" s="130"/>
      <c r="AU285" s="130"/>
      <c r="AV285" s="130"/>
      <c r="AW285" s="12" t="str">
        <f t="shared" si="8"/>
        <v/>
      </c>
      <c r="AX285" s="12"/>
      <c r="AY285" s="12"/>
      <c r="AZ285" s="481"/>
    </row>
    <row r="286" spans="1:52" ht="30" customHeight="1" x14ac:dyDescent="0.2">
      <c r="A286" s="497">
        <v>284</v>
      </c>
      <c r="B286" s="481"/>
      <c r="C286" s="16"/>
      <c r="D286" s="482"/>
      <c r="E286" s="482"/>
      <c r="F286" s="482"/>
      <c r="G286" s="495"/>
      <c r="H286" s="481"/>
      <c r="I286" s="481"/>
      <c r="J286" s="360" t="s">
        <v>158</v>
      </c>
      <c r="K286" s="482"/>
      <c r="L286" s="482"/>
      <c r="M286" s="482"/>
      <c r="N286" s="41"/>
      <c r="O286" s="13"/>
      <c r="P286" s="13"/>
      <c r="Q286" s="13"/>
      <c r="R286" s="481"/>
      <c r="S286" s="481"/>
      <c r="T286" s="481"/>
      <c r="U286" s="482"/>
      <c r="V286" s="41"/>
      <c r="W286" s="13"/>
      <c r="X286" s="482"/>
      <c r="Y286" s="481"/>
      <c r="Z286" s="481"/>
      <c r="AA286" s="481"/>
      <c r="AB286" s="16"/>
      <c r="AC286" s="16"/>
      <c r="AD286" s="16"/>
      <c r="AE286" s="16"/>
      <c r="AF286" s="16"/>
      <c r="AG286" s="16"/>
      <c r="AH286" s="16"/>
      <c r="AI286" s="16"/>
      <c r="AJ286" s="481"/>
      <c r="AK286" s="482"/>
      <c r="AL286" s="25"/>
      <c r="AM286" s="481"/>
      <c r="AN286" s="481"/>
      <c r="AO286" s="481"/>
      <c r="AP286" s="16"/>
      <c r="AQ286" s="16"/>
      <c r="AR286" s="130"/>
      <c r="AS286" s="130">
        <v>1405</v>
      </c>
      <c r="AT286" s="130"/>
      <c r="AU286" s="130"/>
      <c r="AV286" s="130"/>
      <c r="AW286" s="12" t="str">
        <f t="shared" si="8"/>
        <v/>
      </c>
      <c r="AX286" s="12"/>
      <c r="AY286" s="12"/>
      <c r="AZ286" s="481"/>
    </row>
    <row r="287" spans="1:52" ht="30" customHeight="1" x14ac:dyDescent="0.2">
      <c r="A287" s="497">
        <v>285</v>
      </c>
      <c r="B287" s="481"/>
      <c r="C287" s="16"/>
      <c r="D287" s="482"/>
      <c r="E287" s="482"/>
      <c r="F287" s="482"/>
      <c r="G287" s="495"/>
      <c r="H287" s="481"/>
      <c r="I287" s="481"/>
      <c r="J287" s="360" t="s">
        <v>158</v>
      </c>
      <c r="K287" s="482"/>
      <c r="L287" s="482"/>
      <c r="M287" s="482"/>
      <c r="N287" s="41"/>
      <c r="O287" s="13"/>
      <c r="P287" s="13"/>
      <c r="Q287" s="13"/>
      <c r="R287" s="481"/>
      <c r="S287" s="481"/>
      <c r="T287" s="481"/>
      <c r="U287" s="482"/>
      <c r="V287" s="41"/>
      <c r="W287" s="13"/>
      <c r="X287" s="482"/>
      <c r="Y287" s="481"/>
      <c r="Z287" s="481"/>
      <c r="AA287" s="481"/>
      <c r="AB287" s="16"/>
      <c r="AC287" s="16"/>
      <c r="AD287" s="16"/>
      <c r="AE287" s="16"/>
      <c r="AF287" s="16"/>
      <c r="AG287" s="16"/>
      <c r="AH287" s="16"/>
      <c r="AI287" s="16"/>
      <c r="AJ287" s="481"/>
      <c r="AK287" s="482"/>
      <c r="AL287" s="25"/>
      <c r="AM287" s="481"/>
      <c r="AN287" s="481"/>
      <c r="AO287" s="481"/>
      <c r="AP287" s="16"/>
      <c r="AQ287" s="16"/>
      <c r="AR287" s="130"/>
      <c r="AS287" s="130">
        <v>1405</v>
      </c>
      <c r="AT287" s="130"/>
      <c r="AU287" s="130"/>
      <c r="AV287" s="130"/>
      <c r="AW287" s="12" t="str">
        <f t="shared" si="8"/>
        <v/>
      </c>
      <c r="AX287" s="12"/>
      <c r="AY287" s="12"/>
      <c r="AZ287" s="481"/>
    </row>
    <row r="288" spans="1:52" ht="30" customHeight="1" x14ac:dyDescent="0.2">
      <c r="A288" s="497">
        <v>286</v>
      </c>
      <c r="B288" s="481"/>
      <c r="C288" s="16"/>
      <c r="D288" s="482"/>
      <c r="E288" s="482"/>
      <c r="F288" s="482"/>
      <c r="G288" s="495"/>
      <c r="H288" s="481"/>
      <c r="I288" s="481"/>
      <c r="J288" s="360" t="s">
        <v>158</v>
      </c>
      <c r="K288" s="482"/>
      <c r="L288" s="482"/>
      <c r="M288" s="482"/>
      <c r="N288" s="41"/>
      <c r="O288" s="13"/>
      <c r="P288" s="13"/>
      <c r="Q288" s="13"/>
      <c r="R288" s="481"/>
      <c r="S288" s="481"/>
      <c r="T288" s="481"/>
      <c r="U288" s="482"/>
      <c r="V288" s="41"/>
      <c r="W288" s="13"/>
      <c r="X288" s="482"/>
      <c r="Y288" s="481"/>
      <c r="Z288" s="481"/>
      <c r="AA288" s="481"/>
      <c r="AB288" s="16"/>
      <c r="AC288" s="16"/>
      <c r="AD288" s="16"/>
      <c r="AE288" s="16"/>
      <c r="AF288" s="16"/>
      <c r="AG288" s="16"/>
      <c r="AH288" s="16"/>
      <c r="AI288" s="16"/>
      <c r="AJ288" s="481"/>
      <c r="AK288" s="482"/>
      <c r="AL288" s="25"/>
      <c r="AM288" s="481"/>
      <c r="AN288" s="481"/>
      <c r="AO288" s="481"/>
      <c r="AP288" s="16"/>
      <c r="AQ288" s="16"/>
      <c r="AR288" s="130"/>
      <c r="AS288" s="130">
        <v>1405</v>
      </c>
      <c r="AT288" s="130"/>
      <c r="AU288" s="130"/>
      <c r="AV288" s="130"/>
      <c r="AW288" s="12" t="str">
        <f t="shared" si="8"/>
        <v/>
      </c>
      <c r="AX288" s="12"/>
      <c r="AY288" s="12"/>
      <c r="AZ288" s="481"/>
    </row>
    <row r="289" spans="1:52" ht="30" customHeight="1" x14ac:dyDescent="0.2">
      <c r="A289" s="497">
        <v>287</v>
      </c>
      <c r="B289" s="481"/>
      <c r="C289" s="16"/>
      <c r="D289" s="482"/>
      <c r="E289" s="482"/>
      <c r="F289" s="482"/>
      <c r="G289" s="495"/>
      <c r="H289" s="481"/>
      <c r="I289" s="481"/>
      <c r="J289" s="360" t="s">
        <v>158</v>
      </c>
      <c r="K289" s="482"/>
      <c r="L289" s="482"/>
      <c r="M289" s="482"/>
      <c r="N289" s="41"/>
      <c r="O289" s="13"/>
      <c r="P289" s="13"/>
      <c r="Q289" s="13"/>
      <c r="R289" s="481"/>
      <c r="S289" s="481"/>
      <c r="T289" s="481"/>
      <c r="U289" s="482"/>
      <c r="V289" s="41"/>
      <c r="W289" s="13"/>
      <c r="X289" s="482"/>
      <c r="Y289" s="481"/>
      <c r="Z289" s="481"/>
      <c r="AA289" s="481"/>
      <c r="AB289" s="16"/>
      <c r="AC289" s="16"/>
      <c r="AD289" s="16"/>
      <c r="AE289" s="16"/>
      <c r="AF289" s="16"/>
      <c r="AG289" s="16"/>
      <c r="AH289" s="16"/>
      <c r="AI289" s="16"/>
      <c r="AJ289" s="481"/>
      <c r="AK289" s="482"/>
      <c r="AL289" s="25"/>
      <c r="AM289" s="481"/>
      <c r="AN289" s="481"/>
      <c r="AO289" s="481"/>
      <c r="AP289" s="16"/>
      <c r="AQ289" s="16"/>
      <c r="AR289" s="130"/>
      <c r="AS289" s="130">
        <v>1405</v>
      </c>
      <c r="AT289" s="130"/>
      <c r="AU289" s="130"/>
      <c r="AV289" s="130"/>
      <c r="AW289" s="12" t="str">
        <f t="shared" si="8"/>
        <v/>
      </c>
      <c r="AX289" s="12"/>
      <c r="AY289" s="12"/>
      <c r="AZ289" s="481"/>
    </row>
    <row r="290" spans="1:52" ht="30" customHeight="1" x14ac:dyDescent="0.2">
      <c r="A290" s="497">
        <v>288</v>
      </c>
      <c r="B290" s="481"/>
      <c r="C290" s="16"/>
      <c r="D290" s="482"/>
      <c r="E290" s="482"/>
      <c r="F290" s="482"/>
      <c r="G290" s="495"/>
      <c r="H290" s="481"/>
      <c r="I290" s="481"/>
      <c r="J290" s="360" t="s">
        <v>158</v>
      </c>
      <c r="K290" s="482"/>
      <c r="L290" s="482"/>
      <c r="M290" s="482"/>
      <c r="N290" s="41"/>
      <c r="O290" s="13"/>
      <c r="P290" s="13"/>
      <c r="Q290" s="13"/>
      <c r="R290" s="481"/>
      <c r="S290" s="481"/>
      <c r="T290" s="481"/>
      <c r="U290" s="482"/>
      <c r="V290" s="41"/>
      <c r="W290" s="13"/>
      <c r="X290" s="482"/>
      <c r="Y290" s="481"/>
      <c r="Z290" s="481"/>
      <c r="AA290" s="481"/>
      <c r="AB290" s="16"/>
      <c r="AC290" s="16"/>
      <c r="AD290" s="16"/>
      <c r="AE290" s="16"/>
      <c r="AF290" s="16"/>
      <c r="AG290" s="16"/>
      <c r="AH290" s="16"/>
      <c r="AI290" s="16"/>
      <c r="AJ290" s="481"/>
      <c r="AK290" s="482"/>
      <c r="AL290" s="25"/>
      <c r="AM290" s="481"/>
      <c r="AN290" s="481"/>
      <c r="AO290" s="481"/>
      <c r="AP290" s="16"/>
      <c r="AQ290" s="16"/>
      <c r="AR290" s="130"/>
      <c r="AS290" s="130">
        <v>1405</v>
      </c>
      <c r="AT290" s="130"/>
      <c r="AU290" s="130"/>
      <c r="AV290" s="130"/>
      <c r="AW290" s="12" t="str">
        <f t="shared" si="8"/>
        <v/>
      </c>
      <c r="AX290" s="12"/>
      <c r="AY290" s="12"/>
      <c r="AZ290" s="481"/>
    </row>
    <row r="291" spans="1:52" ht="30" customHeight="1" x14ac:dyDescent="0.2">
      <c r="A291" s="497">
        <v>289</v>
      </c>
      <c r="B291" s="481"/>
      <c r="C291" s="16"/>
      <c r="D291" s="482"/>
      <c r="E291" s="482"/>
      <c r="F291" s="482"/>
      <c r="G291" s="495"/>
      <c r="H291" s="481"/>
      <c r="I291" s="481"/>
      <c r="J291" s="360" t="s">
        <v>158</v>
      </c>
      <c r="K291" s="482"/>
      <c r="L291" s="482"/>
      <c r="M291" s="482"/>
      <c r="N291" s="41"/>
      <c r="O291" s="13"/>
      <c r="P291" s="13"/>
      <c r="Q291" s="13"/>
      <c r="R291" s="481"/>
      <c r="S291" s="481"/>
      <c r="T291" s="481"/>
      <c r="U291" s="482"/>
      <c r="V291" s="41"/>
      <c r="W291" s="13"/>
      <c r="X291" s="482"/>
      <c r="Y291" s="481"/>
      <c r="Z291" s="481"/>
      <c r="AA291" s="481"/>
      <c r="AB291" s="16"/>
      <c r="AC291" s="16"/>
      <c r="AD291" s="16"/>
      <c r="AE291" s="16"/>
      <c r="AF291" s="16"/>
      <c r="AG291" s="16"/>
      <c r="AH291" s="16"/>
      <c r="AI291" s="16"/>
      <c r="AJ291" s="481"/>
      <c r="AK291" s="482"/>
      <c r="AL291" s="25"/>
      <c r="AM291" s="481"/>
      <c r="AN291" s="481"/>
      <c r="AO291" s="481"/>
      <c r="AP291" s="16"/>
      <c r="AQ291" s="16"/>
      <c r="AR291" s="130"/>
      <c r="AS291" s="130">
        <v>1405</v>
      </c>
      <c r="AT291" s="130"/>
      <c r="AU291" s="130"/>
      <c r="AV291" s="130"/>
      <c r="AW291" s="12" t="str">
        <f t="shared" si="8"/>
        <v/>
      </c>
      <c r="AX291" s="12"/>
      <c r="AY291" s="12"/>
      <c r="AZ291" s="481"/>
    </row>
    <row r="292" spans="1:52" ht="30" customHeight="1" x14ac:dyDescent="0.2">
      <c r="A292" s="497">
        <v>290</v>
      </c>
      <c r="B292" s="481"/>
      <c r="C292" s="16"/>
      <c r="D292" s="482"/>
      <c r="E292" s="482"/>
      <c r="F292" s="482"/>
      <c r="G292" s="495"/>
      <c r="H292" s="481"/>
      <c r="I292" s="481"/>
      <c r="J292" s="360" t="s">
        <v>158</v>
      </c>
      <c r="K292" s="482"/>
      <c r="L292" s="482"/>
      <c r="M292" s="482"/>
      <c r="N292" s="41"/>
      <c r="O292" s="13"/>
      <c r="P292" s="13"/>
      <c r="Q292" s="13"/>
      <c r="R292" s="481"/>
      <c r="S292" s="481"/>
      <c r="T292" s="481"/>
      <c r="U292" s="482"/>
      <c r="V292" s="41"/>
      <c r="W292" s="13"/>
      <c r="X292" s="482"/>
      <c r="Y292" s="481"/>
      <c r="Z292" s="481"/>
      <c r="AA292" s="481"/>
      <c r="AB292" s="16"/>
      <c r="AC292" s="16"/>
      <c r="AD292" s="16"/>
      <c r="AE292" s="16"/>
      <c r="AF292" s="16"/>
      <c r="AG292" s="16"/>
      <c r="AH292" s="16"/>
      <c r="AI292" s="16"/>
      <c r="AJ292" s="481"/>
      <c r="AK292" s="482"/>
      <c r="AL292" s="25"/>
      <c r="AM292" s="481"/>
      <c r="AN292" s="481"/>
      <c r="AO292" s="481"/>
      <c r="AP292" s="16"/>
      <c r="AQ292" s="16"/>
      <c r="AR292" s="130"/>
      <c r="AS292" s="130">
        <v>1405</v>
      </c>
      <c r="AT292" s="130"/>
      <c r="AU292" s="130"/>
      <c r="AV292" s="130"/>
      <c r="AW292" s="12" t="str">
        <f t="shared" si="8"/>
        <v/>
      </c>
      <c r="AX292" s="12"/>
      <c r="AY292" s="12"/>
      <c r="AZ292" s="481"/>
    </row>
    <row r="293" spans="1:52" ht="30" customHeight="1" x14ac:dyDescent="0.2">
      <c r="A293" s="497">
        <v>291</v>
      </c>
      <c r="B293" s="481"/>
      <c r="C293" s="16"/>
      <c r="D293" s="482"/>
      <c r="E293" s="482"/>
      <c r="F293" s="482"/>
      <c r="G293" s="495"/>
      <c r="H293" s="481"/>
      <c r="I293" s="481"/>
      <c r="J293" s="360" t="s">
        <v>158</v>
      </c>
      <c r="K293" s="482"/>
      <c r="L293" s="482"/>
      <c r="M293" s="482"/>
      <c r="N293" s="41"/>
      <c r="O293" s="13"/>
      <c r="P293" s="13"/>
      <c r="Q293" s="13"/>
      <c r="R293" s="481"/>
      <c r="S293" s="481"/>
      <c r="T293" s="481"/>
      <c r="U293" s="482"/>
      <c r="V293" s="41"/>
      <c r="W293" s="13"/>
      <c r="X293" s="482"/>
      <c r="Y293" s="481"/>
      <c r="Z293" s="481"/>
      <c r="AA293" s="481"/>
      <c r="AB293" s="16"/>
      <c r="AC293" s="16"/>
      <c r="AD293" s="16"/>
      <c r="AE293" s="16"/>
      <c r="AF293" s="16"/>
      <c r="AG293" s="16"/>
      <c r="AH293" s="16"/>
      <c r="AI293" s="16"/>
      <c r="AJ293" s="481"/>
      <c r="AK293" s="482"/>
      <c r="AL293" s="25"/>
      <c r="AM293" s="481"/>
      <c r="AN293" s="481"/>
      <c r="AO293" s="481"/>
      <c r="AP293" s="16"/>
      <c r="AQ293" s="16"/>
      <c r="AR293" s="130"/>
      <c r="AS293" s="130">
        <v>1405</v>
      </c>
      <c r="AT293" s="130"/>
      <c r="AU293" s="130"/>
      <c r="AV293" s="130"/>
      <c r="AW293" s="12" t="str">
        <f t="shared" si="8"/>
        <v/>
      </c>
      <c r="AX293" s="12"/>
      <c r="AY293" s="12"/>
      <c r="AZ293" s="481"/>
    </row>
    <row r="294" spans="1:52" ht="30" customHeight="1" x14ac:dyDescent="0.2">
      <c r="A294" s="497">
        <v>292</v>
      </c>
      <c r="B294" s="481"/>
      <c r="C294" s="16"/>
      <c r="D294" s="482"/>
      <c r="E294" s="482"/>
      <c r="F294" s="482"/>
      <c r="G294" s="495"/>
      <c r="H294" s="481"/>
      <c r="I294" s="481"/>
      <c r="J294" s="360" t="s">
        <v>158</v>
      </c>
      <c r="K294" s="482"/>
      <c r="L294" s="482"/>
      <c r="M294" s="482"/>
      <c r="N294" s="41"/>
      <c r="O294" s="13"/>
      <c r="P294" s="13"/>
      <c r="Q294" s="13"/>
      <c r="R294" s="481"/>
      <c r="S294" s="481"/>
      <c r="T294" s="481"/>
      <c r="U294" s="482"/>
      <c r="V294" s="41"/>
      <c r="W294" s="13"/>
      <c r="X294" s="482"/>
      <c r="Y294" s="481"/>
      <c r="Z294" s="481"/>
      <c r="AA294" s="481"/>
      <c r="AB294" s="16"/>
      <c r="AC294" s="16"/>
      <c r="AD294" s="16"/>
      <c r="AE294" s="16"/>
      <c r="AF294" s="16"/>
      <c r="AG294" s="16"/>
      <c r="AH294" s="16"/>
      <c r="AI294" s="16"/>
      <c r="AJ294" s="481"/>
      <c r="AK294" s="482"/>
      <c r="AL294" s="25"/>
      <c r="AM294" s="481"/>
      <c r="AN294" s="481"/>
      <c r="AO294" s="481"/>
      <c r="AP294" s="16"/>
      <c r="AQ294" s="16"/>
      <c r="AR294" s="130"/>
      <c r="AS294" s="130">
        <v>1405</v>
      </c>
      <c r="AT294" s="130"/>
      <c r="AU294" s="130"/>
      <c r="AV294" s="130"/>
      <c r="AW294" s="12" t="str">
        <f t="shared" si="8"/>
        <v/>
      </c>
      <c r="AX294" s="12"/>
      <c r="AY294" s="12"/>
      <c r="AZ294" s="481"/>
    </row>
    <row r="295" spans="1:52" ht="30" customHeight="1" x14ac:dyDescent="0.2">
      <c r="A295" s="497">
        <v>293</v>
      </c>
      <c r="B295" s="481"/>
      <c r="C295" s="16"/>
      <c r="D295" s="482"/>
      <c r="E295" s="482"/>
      <c r="F295" s="482"/>
      <c r="G295" s="495"/>
      <c r="H295" s="481"/>
      <c r="I295" s="481"/>
      <c r="J295" s="360" t="s">
        <v>158</v>
      </c>
      <c r="K295" s="482"/>
      <c r="L295" s="482"/>
      <c r="M295" s="482"/>
      <c r="N295" s="41"/>
      <c r="O295" s="13"/>
      <c r="P295" s="13"/>
      <c r="Q295" s="13"/>
      <c r="R295" s="481"/>
      <c r="S295" s="481"/>
      <c r="T295" s="481"/>
      <c r="U295" s="482"/>
      <c r="V295" s="41"/>
      <c r="W295" s="13"/>
      <c r="X295" s="482"/>
      <c r="Y295" s="481"/>
      <c r="Z295" s="481"/>
      <c r="AA295" s="481"/>
      <c r="AB295" s="16"/>
      <c r="AC295" s="16"/>
      <c r="AD295" s="16"/>
      <c r="AE295" s="16"/>
      <c r="AF295" s="16"/>
      <c r="AG295" s="16"/>
      <c r="AH295" s="16"/>
      <c r="AI295" s="16"/>
      <c r="AJ295" s="481"/>
      <c r="AK295" s="482"/>
      <c r="AL295" s="25"/>
      <c r="AM295" s="481"/>
      <c r="AN295" s="481"/>
      <c r="AO295" s="481"/>
      <c r="AP295" s="16"/>
      <c r="AQ295" s="16"/>
      <c r="AR295" s="130"/>
      <c r="AS295" s="130">
        <v>1405</v>
      </c>
      <c r="AT295" s="130"/>
      <c r="AU295" s="130"/>
      <c r="AV295" s="130"/>
      <c r="AW295" s="12" t="str">
        <f t="shared" si="8"/>
        <v/>
      </c>
      <c r="AX295" s="12"/>
      <c r="AY295" s="12"/>
      <c r="AZ295" s="481"/>
    </row>
    <row r="296" spans="1:52" ht="30" customHeight="1" x14ac:dyDescent="0.2">
      <c r="A296" s="497">
        <v>294</v>
      </c>
      <c r="B296" s="481"/>
      <c r="C296" s="16"/>
      <c r="D296" s="482"/>
      <c r="E296" s="482"/>
      <c r="F296" s="482"/>
      <c r="G296" s="495"/>
      <c r="H296" s="481"/>
      <c r="I296" s="481"/>
      <c r="J296" s="360" t="s">
        <v>158</v>
      </c>
      <c r="K296" s="482"/>
      <c r="L296" s="482"/>
      <c r="M296" s="482"/>
      <c r="N296" s="41"/>
      <c r="O296" s="13"/>
      <c r="P296" s="13"/>
      <c r="Q296" s="13"/>
      <c r="R296" s="481"/>
      <c r="S296" s="481"/>
      <c r="T296" s="481"/>
      <c r="U296" s="482"/>
      <c r="V296" s="41"/>
      <c r="W296" s="13"/>
      <c r="X296" s="482"/>
      <c r="Y296" s="481"/>
      <c r="Z296" s="481"/>
      <c r="AA296" s="481"/>
      <c r="AB296" s="16"/>
      <c r="AC296" s="16"/>
      <c r="AD296" s="16"/>
      <c r="AE296" s="16"/>
      <c r="AF296" s="16"/>
      <c r="AG296" s="16"/>
      <c r="AH296" s="16"/>
      <c r="AI296" s="16"/>
      <c r="AJ296" s="481"/>
      <c r="AK296" s="482"/>
      <c r="AL296" s="25"/>
      <c r="AM296" s="481"/>
      <c r="AN296" s="481"/>
      <c r="AO296" s="481"/>
      <c r="AP296" s="16"/>
      <c r="AQ296" s="16"/>
      <c r="AR296" s="130"/>
      <c r="AS296" s="130">
        <v>1405</v>
      </c>
      <c r="AT296" s="130"/>
      <c r="AU296" s="130"/>
      <c r="AV296" s="130"/>
      <c r="AW296" s="12" t="str">
        <f t="shared" ref="AW296:AW309" si="9">IF(AS296*AU296&gt;0,(AS296-AU296)*12+(AT296-AV296),"")</f>
        <v/>
      </c>
      <c r="AX296" s="12"/>
      <c r="AY296" s="12"/>
      <c r="AZ296" s="481"/>
    </row>
    <row r="297" spans="1:52" ht="30" customHeight="1" x14ac:dyDescent="0.2">
      <c r="A297" s="497">
        <v>295</v>
      </c>
      <c r="B297" s="481"/>
      <c r="C297" s="16"/>
      <c r="D297" s="482"/>
      <c r="E297" s="482"/>
      <c r="F297" s="482"/>
      <c r="G297" s="495"/>
      <c r="H297" s="481"/>
      <c r="I297" s="481"/>
      <c r="J297" s="360" t="s">
        <v>158</v>
      </c>
      <c r="K297" s="482"/>
      <c r="L297" s="482"/>
      <c r="M297" s="482"/>
      <c r="N297" s="41"/>
      <c r="O297" s="13"/>
      <c r="P297" s="13"/>
      <c r="Q297" s="13"/>
      <c r="R297" s="481"/>
      <c r="S297" s="481"/>
      <c r="T297" s="481"/>
      <c r="U297" s="482"/>
      <c r="V297" s="41"/>
      <c r="W297" s="13"/>
      <c r="X297" s="482"/>
      <c r="Y297" s="481"/>
      <c r="Z297" s="481"/>
      <c r="AA297" s="481"/>
      <c r="AB297" s="16"/>
      <c r="AC297" s="16"/>
      <c r="AD297" s="16"/>
      <c r="AE297" s="16"/>
      <c r="AF297" s="16"/>
      <c r="AG297" s="16"/>
      <c r="AH297" s="16"/>
      <c r="AI297" s="16"/>
      <c r="AJ297" s="481"/>
      <c r="AK297" s="482"/>
      <c r="AL297" s="25"/>
      <c r="AM297" s="481"/>
      <c r="AN297" s="481"/>
      <c r="AO297" s="481"/>
      <c r="AP297" s="16"/>
      <c r="AQ297" s="16"/>
      <c r="AR297" s="130"/>
      <c r="AS297" s="130">
        <v>1405</v>
      </c>
      <c r="AT297" s="130"/>
      <c r="AU297" s="130"/>
      <c r="AV297" s="130"/>
      <c r="AW297" s="12" t="str">
        <f t="shared" si="9"/>
        <v/>
      </c>
      <c r="AX297" s="12"/>
      <c r="AY297" s="12"/>
      <c r="AZ297" s="481"/>
    </row>
    <row r="298" spans="1:52" ht="30" customHeight="1" x14ac:dyDescent="0.2">
      <c r="A298" s="497">
        <v>296</v>
      </c>
      <c r="B298" s="481"/>
      <c r="C298" s="16"/>
      <c r="D298" s="482"/>
      <c r="E298" s="482"/>
      <c r="F298" s="482"/>
      <c r="G298" s="495"/>
      <c r="H298" s="481"/>
      <c r="I298" s="481"/>
      <c r="J298" s="360" t="s">
        <v>158</v>
      </c>
      <c r="K298" s="482"/>
      <c r="L298" s="482"/>
      <c r="M298" s="482"/>
      <c r="N298" s="41"/>
      <c r="O298" s="13"/>
      <c r="P298" s="13"/>
      <c r="Q298" s="13"/>
      <c r="R298" s="481"/>
      <c r="S298" s="481"/>
      <c r="T298" s="481"/>
      <c r="U298" s="482"/>
      <c r="V298" s="41"/>
      <c r="W298" s="13"/>
      <c r="X298" s="482"/>
      <c r="Y298" s="481"/>
      <c r="Z298" s="481"/>
      <c r="AA298" s="481"/>
      <c r="AB298" s="16"/>
      <c r="AC298" s="16"/>
      <c r="AD298" s="16"/>
      <c r="AE298" s="16"/>
      <c r="AF298" s="16"/>
      <c r="AG298" s="16"/>
      <c r="AH298" s="16"/>
      <c r="AI298" s="16"/>
      <c r="AJ298" s="481"/>
      <c r="AK298" s="482"/>
      <c r="AL298" s="25"/>
      <c r="AM298" s="481"/>
      <c r="AN298" s="481"/>
      <c r="AO298" s="481"/>
      <c r="AP298" s="16"/>
      <c r="AQ298" s="16"/>
      <c r="AR298" s="130"/>
      <c r="AS298" s="130">
        <v>1405</v>
      </c>
      <c r="AT298" s="130"/>
      <c r="AU298" s="130"/>
      <c r="AV298" s="130"/>
      <c r="AW298" s="12" t="str">
        <f t="shared" si="9"/>
        <v/>
      </c>
      <c r="AX298" s="12"/>
      <c r="AY298" s="12"/>
      <c r="AZ298" s="481"/>
    </row>
    <row r="299" spans="1:52" ht="30" customHeight="1" x14ac:dyDescent="0.2">
      <c r="A299" s="497">
        <v>297</v>
      </c>
      <c r="B299" s="481"/>
      <c r="C299" s="16"/>
      <c r="D299" s="482"/>
      <c r="E299" s="482"/>
      <c r="F299" s="482"/>
      <c r="G299" s="495"/>
      <c r="H299" s="481"/>
      <c r="I299" s="481"/>
      <c r="J299" s="360" t="s">
        <v>158</v>
      </c>
      <c r="K299" s="482"/>
      <c r="L299" s="482"/>
      <c r="M299" s="482"/>
      <c r="N299" s="41"/>
      <c r="O299" s="13"/>
      <c r="P299" s="13"/>
      <c r="Q299" s="13"/>
      <c r="R299" s="481"/>
      <c r="S299" s="481"/>
      <c r="T299" s="481"/>
      <c r="U299" s="482"/>
      <c r="V299" s="41"/>
      <c r="W299" s="13"/>
      <c r="X299" s="482"/>
      <c r="Y299" s="481"/>
      <c r="Z299" s="481"/>
      <c r="AA299" s="481"/>
      <c r="AB299" s="16"/>
      <c r="AC299" s="16"/>
      <c r="AD299" s="16"/>
      <c r="AE299" s="16"/>
      <c r="AF299" s="16"/>
      <c r="AG299" s="16"/>
      <c r="AH299" s="16"/>
      <c r="AI299" s="16"/>
      <c r="AJ299" s="481"/>
      <c r="AK299" s="482"/>
      <c r="AL299" s="25"/>
      <c r="AM299" s="481"/>
      <c r="AN299" s="481"/>
      <c r="AO299" s="481"/>
      <c r="AP299" s="16"/>
      <c r="AQ299" s="16"/>
      <c r="AR299" s="130"/>
      <c r="AS299" s="130">
        <v>1405</v>
      </c>
      <c r="AT299" s="130"/>
      <c r="AU299" s="130"/>
      <c r="AV299" s="130"/>
      <c r="AW299" s="12" t="str">
        <f t="shared" si="9"/>
        <v/>
      </c>
      <c r="AX299" s="12"/>
      <c r="AY299" s="12"/>
      <c r="AZ299" s="481"/>
    </row>
    <row r="300" spans="1:52" ht="30" customHeight="1" x14ac:dyDescent="0.2">
      <c r="A300" s="497">
        <v>298</v>
      </c>
      <c r="B300" s="481"/>
      <c r="C300" s="16"/>
      <c r="D300" s="482"/>
      <c r="E300" s="482"/>
      <c r="F300" s="482"/>
      <c r="G300" s="495"/>
      <c r="H300" s="481"/>
      <c r="I300" s="481"/>
      <c r="J300" s="360" t="s">
        <v>158</v>
      </c>
      <c r="K300" s="482"/>
      <c r="L300" s="482"/>
      <c r="M300" s="482"/>
      <c r="N300" s="41"/>
      <c r="O300" s="13"/>
      <c r="P300" s="13"/>
      <c r="Q300" s="13"/>
      <c r="R300" s="481"/>
      <c r="S300" s="481"/>
      <c r="T300" s="481"/>
      <c r="U300" s="482"/>
      <c r="V300" s="41"/>
      <c r="W300" s="13"/>
      <c r="X300" s="482"/>
      <c r="Y300" s="481"/>
      <c r="Z300" s="481"/>
      <c r="AA300" s="481"/>
      <c r="AB300" s="16"/>
      <c r="AC300" s="16"/>
      <c r="AD300" s="16"/>
      <c r="AE300" s="16"/>
      <c r="AF300" s="16"/>
      <c r="AG300" s="16"/>
      <c r="AH300" s="16"/>
      <c r="AI300" s="16"/>
      <c r="AJ300" s="481"/>
      <c r="AK300" s="482"/>
      <c r="AL300" s="25"/>
      <c r="AM300" s="481"/>
      <c r="AN300" s="481"/>
      <c r="AO300" s="481"/>
      <c r="AP300" s="16"/>
      <c r="AQ300" s="16"/>
      <c r="AR300" s="130"/>
      <c r="AS300" s="130">
        <v>1405</v>
      </c>
      <c r="AT300" s="130"/>
      <c r="AU300" s="130"/>
      <c r="AV300" s="130"/>
      <c r="AW300" s="12" t="str">
        <f t="shared" si="9"/>
        <v/>
      </c>
      <c r="AX300" s="12"/>
      <c r="AY300" s="12"/>
      <c r="AZ300" s="481"/>
    </row>
    <row r="301" spans="1:52" ht="30" customHeight="1" x14ac:dyDescent="0.2">
      <c r="A301" s="497">
        <v>299</v>
      </c>
      <c r="B301" s="481"/>
      <c r="C301" s="16"/>
      <c r="D301" s="482"/>
      <c r="E301" s="482"/>
      <c r="F301" s="482"/>
      <c r="G301" s="495"/>
      <c r="H301" s="481"/>
      <c r="I301" s="481"/>
      <c r="J301" s="360" t="s">
        <v>158</v>
      </c>
      <c r="K301" s="482"/>
      <c r="L301" s="482"/>
      <c r="M301" s="482"/>
      <c r="N301" s="41"/>
      <c r="O301" s="13"/>
      <c r="P301" s="13"/>
      <c r="Q301" s="13"/>
      <c r="R301" s="481"/>
      <c r="S301" s="481"/>
      <c r="T301" s="481"/>
      <c r="U301" s="482"/>
      <c r="V301" s="41"/>
      <c r="W301" s="13"/>
      <c r="X301" s="482"/>
      <c r="Y301" s="481"/>
      <c r="Z301" s="481"/>
      <c r="AA301" s="481"/>
      <c r="AB301" s="16"/>
      <c r="AC301" s="16"/>
      <c r="AD301" s="16"/>
      <c r="AE301" s="16"/>
      <c r="AF301" s="16"/>
      <c r="AG301" s="16"/>
      <c r="AH301" s="16"/>
      <c r="AI301" s="16"/>
      <c r="AJ301" s="481"/>
      <c r="AK301" s="482"/>
      <c r="AL301" s="25"/>
      <c r="AM301" s="481"/>
      <c r="AN301" s="481"/>
      <c r="AO301" s="481"/>
      <c r="AP301" s="16"/>
      <c r="AQ301" s="16"/>
      <c r="AR301" s="130"/>
      <c r="AS301" s="130">
        <v>1405</v>
      </c>
      <c r="AT301" s="130"/>
      <c r="AU301" s="130"/>
      <c r="AV301" s="130"/>
      <c r="AW301" s="12" t="str">
        <f t="shared" si="9"/>
        <v/>
      </c>
      <c r="AX301" s="12"/>
      <c r="AY301" s="12"/>
      <c r="AZ301" s="481"/>
    </row>
    <row r="302" spans="1:52" ht="30" customHeight="1" x14ac:dyDescent="0.2">
      <c r="A302" s="497">
        <v>300</v>
      </c>
      <c r="B302" s="481"/>
      <c r="C302" s="16"/>
      <c r="D302" s="482"/>
      <c r="E302" s="482"/>
      <c r="F302" s="482"/>
      <c r="G302" s="495"/>
      <c r="H302" s="481"/>
      <c r="I302" s="481"/>
      <c r="J302" s="360" t="s">
        <v>158</v>
      </c>
      <c r="K302" s="482"/>
      <c r="L302" s="482"/>
      <c r="M302" s="482"/>
      <c r="N302" s="41"/>
      <c r="O302" s="13"/>
      <c r="P302" s="13"/>
      <c r="Q302" s="13"/>
      <c r="R302" s="481"/>
      <c r="S302" s="481"/>
      <c r="T302" s="481"/>
      <c r="U302" s="482"/>
      <c r="V302" s="41"/>
      <c r="W302" s="13"/>
      <c r="X302" s="482"/>
      <c r="Y302" s="481"/>
      <c r="Z302" s="481"/>
      <c r="AA302" s="481"/>
      <c r="AB302" s="16"/>
      <c r="AC302" s="16"/>
      <c r="AD302" s="16"/>
      <c r="AE302" s="16"/>
      <c r="AF302" s="16"/>
      <c r="AG302" s="16"/>
      <c r="AH302" s="16"/>
      <c r="AI302" s="16"/>
      <c r="AJ302" s="481"/>
      <c r="AK302" s="482"/>
      <c r="AL302" s="25"/>
      <c r="AM302" s="481"/>
      <c r="AN302" s="481"/>
      <c r="AO302" s="481"/>
      <c r="AP302" s="16"/>
      <c r="AQ302" s="16"/>
      <c r="AR302" s="130"/>
      <c r="AS302" s="130">
        <v>1405</v>
      </c>
      <c r="AT302" s="130"/>
      <c r="AU302" s="130"/>
      <c r="AV302" s="130"/>
      <c r="AW302" s="12" t="str">
        <f t="shared" si="9"/>
        <v/>
      </c>
      <c r="AX302" s="12"/>
      <c r="AY302" s="12"/>
      <c r="AZ302" s="481"/>
    </row>
    <row r="303" spans="1:52" ht="30" customHeight="1" x14ac:dyDescent="0.2">
      <c r="A303" s="497">
        <v>301</v>
      </c>
      <c r="B303" s="481"/>
      <c r="C303" s="16"/>
      <c r="D303" s="482"/>
      <c r="E303" s="482"/>
      <c r="F303" s="482"/>
      <c r="G303" s="495"/>
      <c r="H303" s="481"/>
      <c r="I303" s="481"/>
      <c r="J303" s="360" t="s">
        <v>158</v>
      </c>
      <c r="K303" s="482"/>
      <c r="L303" s="482"/>
      <c r="M303" s="482"/>
      <c r="N303" s="41"/>
      <c r="O303" s="13"/>
      <c r="P303" s="13"/>
      <c r="Q303" s="13"/>
      <c r="R303" s="481"/>
      <c r="S303" s="481"/>
      <c r="T303" s="481"/>
      <c r="U303" s="482"/>
      <c r="V303" s="41"/>
      <c r="W303" s="13"/>
      <c r="X303" s="482"/>
      <c r="Y303" s="481"/>
      <c r="Z303" s="481"/>
      <c r="AA303" s="481"/>
      <c r="AB303" s="16"/>
      <c r="AC303" s="16"/>
      <c r="AD303" s="16"/>
      <c r="AE303" s="16"/>
      <c r="AF303" s="16"/>
      <c r="AG303" s="16"/>
      <c r="AH303" s="16"/>
      <c r="AI303" s="16"/>
      <c r="AJ303" s="481"/>
      <c r="AK303" s="482"/>
      <c r="AL303" s="25"/>
      <c r="AM303" s="481"/>
      <c r="AN303" s="481"/>
      <c r="AO303" s="481"/>
      <c r="AP303" s="16"/>
      <c r="AQ303" s="16"/>
      <c r="AR303" s="130"/>
      <c r="AS303" s="130">
        <v>1405</v>
      </c>
      <c r="AT303" s="130"/>
      <c r="AU303" s="130"/>
      <c r="AV303" s="130"/>
      <c r="AW303" s="12" t="str">
        <f t="shared" si="9"/>
        <v/>
      </c>
      <c r="AX303" s="12"/>
      <c r="AY303" s="12"/>
      <c r="AZ303" s="481"/>
    </row>
    <row r="304" spans="1:52" ht="30" customHeight="1" x14ac:dyDescent="0.2">
      <c r="A304" s="497">
        <v>302</v>
      </c>
      <c r="B304" s="481"/>
      <c r="C304" s="16"/>
      <c r="D304" s="482"/>
      <c r="E304" s="482"/>
      <c r="F304" s="482"/>
      <c r="G304" s="495"/>
      <c r="H304" s="481"/>
      <c r="I304" s="481"/>
      <c r="J304" s="360" t="s">
        <v>158</v>
      </c>
      <c r="K304" s="482"/>
      <c r="L304" s="482"/>
      <c r="M304" s="482"/>
      <c r="N304" s="41"/>
      <c r="O304" s="13"/>
      <c r="P304" s="13"/>
      <c r="Q304" s="13"/>
      <c r="R304" s="481"/>
      <c r="S304" s="481"/>
      <c r="T304" s="481"/>
      <c r="U304" s="482"/>
      <c r="V304" s="41"/>
      <c r="W304" s="13"/>
      <c r="X304" s="482"/>
      <c r="Y304" s="481"/>
      <c r="Z304" s="481"/>
      <c r="AA304" s="481"/>
      <c r="AB304" s="16"/>
      <c r="AC304" s="16"/>
      <c r="AD304" s="16"/>
      <c r="AE304" s="16"/>
      <c r="AF304" s="16"/>
      <c r="AG304" s="16"/>
      <c r="AH304" s="16"/>
      <c r="AI304" s="16"/>
      <c r="AJ304" s="481"/>
      <c r="AK304" s="482"/>
      <c r="AL304" s="25"/>
      <c r="AM304" s="481"/>
      <c r="AN304" s="481"/>
      <c r="AO304" s="481"/>
      <c r="AP304" s="16"/>
      <c r="AQ304" s="16"/>
      <c r="AR304" s="130"/>
      <c r="AS304" s="130">
        <v>1405</v>
      </c>
      <c r="AT304" s="130"/>
      <c r="AU304" s="130"/>
      <c r="AV304" s="130"/>
      <c r="AW304" s="12" t="str">
        <f t="shared" si="9"/>
        <v/>
      </c>
      <c r="AX304" s="12"/>
      <c r="AY304" s="12"/>
      <c r="AZ304" s="481"/>
    </row>
    <row r="305" spans="1:52" ht="30" customHeight="1" x14ac:dyDescent="0.2">
      <c r="A305" s="497">
        <v>303</v>
      </c>
      <c r="B305" s="481"/>
      <c r="C305" s="16"/>
      <c r="D305" s="482"/>
      <c r="E305" s="482"/>
      <c r="F305" s="482"/>
      <c r="G305" s="495"/>
      <c r="H305" s="481"/>
      <c r="I305" s="481"/>
      <c r="J305" s="360" t="s">
        <v>158</v>
      </c>
      <c r="K305" s="482"/>
      <c r="L305" s="482"/>
      <c r="M305" s="482"/>
      <c r="N305" s="41"/>
      <c r="O305" s="13"/>
      <c r="P305" s="13"/>
      <c r="Q305" s="13"/>
      <c r="R305" s="481"/>
      <c r="S305" s="481"/>
      <c r="T305" s="481"/>
      <c r="U305" s="482"/>
      <c r="V305" s="41"/>
      <c r="W305" s="13"/>
      <c r="X305" s="482"/>
      <c r="Y305" s="481"/>
      <c r="Z305" s="481"/>
      <c r="AA305" s="481"/>
      <c r="AB305" s="16"/>
      <c r="AC305" s="16"/>
      <c r="AD305" s="16"/>
      <c r="AE305" s="16"/>
      <c r="AF305" s="16"/>
      <c r="AG305" s="16"/>
      <c r="AH305" s="16"/>
      <c r="AI305" s="16"/>
      <c r="AJ305" s="481"/>
      <c r="AK305" s="482"/>
      <c r="AL305" s="25"/>
      <c r="AM305" s="481"/>
      <c r="AN305" s="481"/>
      <c r="AO305" s="481"/>
      <c r="AP305" s="16"/>
      <c r="AQ305" s="16"/>
      <c r="AR305" s="130"/>
      <c r="AS305" s="130">
        <v>1405</v>
      </c>
      <c r="AT305" s="130"/>
      <c r="AU305" s="130"/>
      <c r="AV305" s="130"/>
      <c r="AW305" s="12" t="str">
        <f t="shared" si="9"/>
        <v/>
      </c>
      <c r="AX305" s="12"/>
      <c r="AY305" s="12"/>
      <c r="AZ305" s="481"/>
    </row>
    <row r="306" spans="1:52" ht="30" customHeight="1" x14ac:dyDescent="0.2">
      <c r="A306" s="497">
        <v>304</v>
      </c>
      <c r="B306" s="481"/>
      <c r="C306" s="16"/>
      <c r="D306" s="482"/>
      <c r="E306" s="482"/>
      <c r="F306" s="482"/>
      <c r="G306" s="495"/>
      <c r="H306" s="481"/>
      <c r="I306" s="481"/>
      <c r="J306" s="360" t="s">
        <v>158</v>
      </c>
      <c r="K306" s="482"/>
      <c r="L306" s="482"/>
      <c r="M306" s="482"/>
      <c r="N306" s="41"/>
      <c r="O306" s="13"/>
      <c r="P306" s="13"/>
      <c r="Q306" s="13"/>
      <c r="R306" s="481"/>
      <c r="S306" s="481"/>
      <c r="T306" s="481"/>
      <c r="U306" s="482"/>
      <c r="V306" s="41"/>
      <c r="W306" s="13"/>
      <c r="X306" s="482"/>
      <c r="Y306" s="481"/>
      <c r="Z306" s="481"/>
      <c r="AA306" s="481"/>
      <c r="AB306" s="16"/>
      <c r="AC306" s="16"/>
      <c r="AD306" s="16"/>
      <c r="AE306" s="16"/>
      <c r="AF306" s="16"/>
      <c r="AG306" s="16"/>
      <c r="AH306" s="16"/>
      <c r="AI306" s="16"/>
      <c r="AJ306" s="481"/>
      <c r="AK306" s="482"/>
      <c r="AL306" s="25"/>
      <c r="AM306" s="481"/>
      <c r="AN306" s="481"/>
      <c r="AO306" s="481"/>
      <c r="AP306" s="16"/>
      <c r="AQ306" s="16"/>
      <c r="AR306" s="130"/>
      <c r="AS306" s="130">
        <v>1405</v>
      </c>
      <c r="AT306" s="130"/>
      <c r="AU306" s="130"/>
      <c r="AV306" s="130"/>
      <c r="AW306" s="12" t="str">
        <f t="shared" si="9"/>
        <v/>
      </c>
      <c r="AX306" s="12"/>
      <c r="AY306" s="12"/>
      <c r="AZ306" s="481"/>
    </row>
    <row r="307" spans="1:52" ht="30" customHeight="1" x14ac:dyDescent="0.2">
      <c r="A307" s="497">
        <v>305</v>
      </c>
      <c r="B307" s="481"/>
      <c r="C307" s="16"/>
      <c r="D307" s="482"/>
      <c r="E307" s="482"/>
      <c r="F307" s="482"/>
      <c r="G307" s="495"/>
      <c r="H307" s="481"/>
      <c r="I307" s="481"/>
      <c r="J307" s="360" t="s">
        <v>158</v>
      </c>
      <c r="K307" s="482"/>
      <c r="L307" s="482"/>
      <c r="M307" s="482"/>
      <c r="N307" s="41"/>
      <c r="O307" s="13"/>
      <c r="P307" s="13"/>
      <c r="Q307" s="13"/>
      <c r="R307" s="481"/>
      <c r="S307" s="481"/>
      <c r="T307" s="481"/>
      <c r="U307" s="482"/>
      <c r="V307" s="41"/>
      <c r="W307" s="13"/>
      <c r="X307" s="482"/>
      <c r="Y307" s="481"/>
      <c r="Z307" s="481"/>
      <c r="AA307" s="481"/>
      <c r="AB307" s="16"/>
      <c r="AC307" s="16"/>
      <c r="AD307" s="16"/>
      <c r="AE307" s="16"/>
      <c r="AF307" s="16"/>
      <c r="AG307" s="16"/>
      <c r="AH307" s="16"/>
      <c r="AI307" s="16"/>
      <c r="AJ307" s="481"/>
      <c r="AK307" s="482"/>
      <c r="AL307" s="25"/>
      <c r="AM307" s="481"/>
      <c r="AN307" s="481"/>
      <c r="AO307" s="481"/>
      <c r="AP307" s="16"/>
      <c r="AQ307" s="16"/>
      <c r="AR307" s="130"/>
      <c r="AS307" s="130">
        <v>1405</v>
      </c>
      <c r="AT307" s="130"/>
      <c r="AU307" s="130"/>
      <c r="AV307" s="130"/>
      <c r="AW307" s="12" t="str">
        <f t="shared" si="9"/>
        <v/>
      </c>
      <c r="AX307" s="12"/>
      <c r="AY307" s="12"/>
      <c r="AZ307" s="481"/>
    </row>
    <row r="308" spans="1:52" ht="30" customHeight="1" x14ac:dyDescent="0.2">
      <c r="A308" s="497">
        <v>306</v>
      </c>
      <c r="B308" s="481"/>
      <c r="C308" s="16"/>
      <c r="D308" s="482"/>
      <c r="E308" s="482"/>
      <c r="F308" s="482"/>
      <c r="G308" s="495"/>
      <c r="H308" s="481"/>
      <c r="I308" s="481"/>
      <c r="J308" s="360" t="s">
        <v>158</v>
      </c>
      <c r="K308" s="482"/>
      <c r="L308" s="482"/>
      <c r="M308" s="482"/>
      <c r="N308" s="41"/>
      <c r="O308" s="13"/>
      <c r="P308" s="13"/>
      <c r="Q308" s="13"/>
      <c r="R308" s="481"/>
      <c r="S308" s="481"/>
      <c r="T308" s="481"/>
      <c r="U308" s="482"/>
      <c r="V308" s="41"/>
      <c r="W308" s="13"/>
      <c r="X308" s="482"/>
      <c r="Y308" s="481"/>
      <c r="Z308" s="481"/>
      <c r="AA308" s="481"/>
      <c r="AB308" s="16"/>
      <c r="AC308" s="16"/>
      <c r="AD308" s="16"/>
      <c r="AE308" s="16"/>
      <c r="AF308" s="16"/>
      <c r="AG308" s="16"/>
      <c r="AH308" s="16"/>
      <c r="AI308" s="16"/>
      <c r="AJ308" s="481"/>
      <c r="AK308" s="482"/>
      <c r="AL308" s="25"/>
      <c r="AM308" s="481"/>
      <c r="AN308" s="481"/>
      <c r="AO308" s="481"/>
      <c r="AP308" s="16"/>
      <c r="AQ308" s="16"/>
      <c r="AR308" s="130"/>
      <c r="AS308" s="130">
        <v>1405</v>
      </c>
      <c r="AT308" s="130"/>
      <c r="AU308" s="130"/>
      <c r="AV308" s="130"/>
      <c r="AW308" s="12" t="str">
        <f t="shared" si="9"/>
        <v/>
      </c>
      <c r="AX308" s="12"/>
      <c r="AY308" s="12"/>
      <c r="AZ308" s="481"/>
    </row>
    <row r="309" spans="1:52" ht="30" customHeight="1" x14ac:dyDescent="0.2">
      <c r="A309" s="497">
        <v>307</v>
      </c>
      <c r="B309" s="481"/>
      <c r="C309" s="16"/>
      <c r="D309" s="482"/>
      <c r="E309" s="482"/>
      <c r="F309" s="482"/>
      <c r="G309" s="495"/>
      <c r="H309" s="481"/>
      <c r="I309" s="481"/>
      <c r="J309" s="360" t="s">
        <v>158</v>
      </c>
      <c r="K309" s="482"/>
      <c r="L309" s="482"/>
      <c r="M309" s="482"/>
      <c r="N309" s="41"/>
      <c r="O309" s="13"/>
      <c r="P309" s="13"/>
      <c r="Q309" s="13"/>
      <c r="R309" s="481"/>
      <c r="S309" s="481"/>
      <c r="T309" s="481"/>
      <c r="U309" s="482"/>
      <c r="V309" s="41"/>
      <c r="W309" s="13"/>
      <c r="X309" s="482"/>
      <c r="Y309" s="481"/>
      <c r="Z309" s="481"/>
      <c r="AA309" s="481"/>
      <c r="AB309" s="16"/>
      <c r="AC309" s="16"/>
      <c r="AD309" s="16"/>
      <c r="AE309" s="16"/>
      <c r="AF309" s="16"/>
      <c r="AG309" s="16"/>
      <c r="AH309" s="16"/>
      <c r="AI309" s="16"/>
      <c r="AJ309" s="481"/>
      <c r="AK309" s="482"/>
      <c r="AL309" s="25"/>
      <c r="AM309" s="481"/>
      <c r="AN309" s="481"/>
      <c r="AO309" s="481"/>
      <c r="AP309" s="16"/>
      <c r="AQ309" s="16"/>
      <c r="AR309" s="130"/>
      <c r="AS309" s="130">
        <v>1405</v>
      </c>
      <c r="AT309" s="130"/>
      <c r="AU309" s="130"/>
      <c r="AV309" s="130"/>
      <c r="AW309" s="12" t="str">
        <f t="shared" si="9"/>
        <v/>
      </c>
      <c r="AX309" s="12"/>
      <c r="AY309" s="12"/>
      <c r="AZ309" s="481"/>
    </row>
    <row r="310" spans="1:52" ht="30" customHeight="1" x14ac:dyDescent="0.2">
      <c r="A310" s="497">
        <v>308</v>
      </c>
      <c r="B310" s="481"/>
      <c r="C310" s="16"/>
      <c r="D310" s="482"/>
      <c r="E310" s="482"/>
      <c r="F310" s="482"/>
      <c r="G310" s="495"/>
      <c r="H310" s="481"/>
      <c r="I310" s="481"/>
      <c r="J310" s="360" t="s">
        <v>158</v>
      </c>
      <c r="K310" s="482"/>
      <c r="L310" s="482"/>
      <c r="M310" s="482"/>
      <c r="N310" s="41"/>
      <c r="O310" s="13"/>
      <c r="P310" s="13"/>
      <c r="Q310" s="13"/>
      <c r="R310" s="481"/>
      <c r="S310" s="481"/>
      <c r="T310" s="481"/>
      <c r="U310" s="482"/>
      <c r="V310" s="41"/>
      <c r="W310" s="13"/>
      <c r="X310" s="482"/>
      <c r="Y310" s="481"/>
      <c r="Z310" s="481"/>
      <c r="AA310" s="481"/>
      <c r="AB310" s="16"/>
      <c r="AC310" s="16"/>
      <c r="AD310" s="16"/>
      <c r="AE310" s="16"/>
      <c r="AF310" s="16"/>
      <c r="AG310" s="16"/>
      <c r="AH310" s="16"/>
      <c r="AI310" s="16"/>
      <c r="AJ310" s="481"/>
      <c r="AK310" s="482"/>
      <c r="AL310" s="25"/>
      <c r="AM310" s="481"/>
      <c r="AN310" s="481"/>
      <c r="AO310" s="481"/>
      <c r="AP310" s="16"/>
      <c r="AQ310" s="16"/>
      <c r="AR310" s="130"/>
      <c r="AS310" s="130">
        <v>1405</v>
      </c>
      <c r="AT310" s="130"/>
      <c r="AU310" s="130"/>
      <c r="AV310" s="130"/>
      <c r="AW310" s="12"/>
      <c r="AX310" s="12"/>
      <c r="AY310" s="12"/>
      <c r="AZ310" s="481"/>
    </row>
    <row r="311" spans="1:52" ht="30" customHeight="1" x14ac:dyDescent="0.2">
      <c r="A311" s="497">
        <v>309</v>
      </c>
      <c r="B311" s="481"/>
      <c r="C311" s="16"/>
      <c r="D311" s="482"/>
      <c r="E311" s="482"/>
      <c r="F311" s="482"/>
      <c r="G311" s="495"/>
      <c r="H311" s="481"/>
      <c r="I311" s="481"/>
      <c r="J311" s="360" t="s">
        <v>158</v>
      </c>
      <c r="K311" s="482"/>
      <c r="L311" s="482"/>
      <c r="M311" s="482"/>
      <c r="N311" s="41"/>
      <c r="O311" s="13"/>
      <c r="P311" s="13"/>
      <c r="Q311" s="13"/>
      <c r="R311" s="481"/>
      <c r="S311" s="481"/>
      <c r="T311" s="481"/>
      <c r="U311" s="482"/>
      <c r="V311" s="41"/>
      <c r="W311" s="13"/>
      <c r="X311" s="482"/>
      <c r="Y311" s="481"/>
      <c r="Z311" s="481"/>
      <c r="AA311" s="481"/>
      <c r="AB311" s="16"/>
      <c r="AC311" s="16"/>
      <c r="AD311" s="16"/>
      <c r="AE311" s="16"/>
      <c r="AF311" s="16"/>
      <c r="AG311" s="16"/>
      <c r="AH311" s="16"/>
      <c r="AI311" s="16"/>
      <c r="AJ311" s="481"/>
      <c r="AK311" s="482"/>
      <c r="AL311" s="25"/>
      <c r="AM311" s="481"/>
      <c r="AN311" s="481"/>
      <c r="AO311" s="481"/>
      <c r="AP311" s="16"/>
      <c r="AQ311" s="16"/>
      <c r="AR311" s="130"/>
      <c r="AS311" s="130">
        <v>1405</v>
      </c>
      <c r="AT311" s="130"/>
      <c r="AU311" s="130"/>
      <c r="AV311" s="130"/>
      <c r="AW311" s="12"/>
      <c r="AX311" s="12"/>
      <c r="AY311" s="12"/>
      <c r="AZ311" s="481"/>
    </row>
    <row r="312" spans="1:52" ht="30" customHeight="1" x14ac:dyDescent="0.2">
      <c r="A312" s="497">
        <v>310</v>
      </c>
      <c r="B312" s="481"/>
      <c r="C312" s="16"/>
      <c r="D312" s="482"/>
      <c r="E312" s="482"/>
      <c r="F312" s="482"/>
      <c r="G312" s="495"/>
      <c r="H312" s="481"/>
      <c r="I312" s="481"/>
      <c r="J312" s="360" t="s">
        <v>158</v>
      </c>
      <c r="K312" s="482"/>
      <c r="L312" s="482"/>
      <c r="M312" s="482"/>
      <c r="N312" s="41"/>
      <c r="O312" s="13"/>
      <c r="P312" s="13"/>
      <c r="Q312" s="13"/>
      <c r="R312" s="481"/>
      <c r="S312" s="481"/>
      <c r="T312" s="481"/>
      <c r="U312" s="482"/>
      <c r="V312" s="41"/>
      <c r="W312" s="13"/>
      <c r="X312" s="482"/>
      <c r="Y312" s="481"/>
      <c r="Z312" s="481"/>
      <c r="AA312" s="481"/>
      <c r="AB312" s="16"/>
      <c r="AC312" s="16"/>
      <c r="AD312" s="16"/>
      <c r="AE312" s="16"/>
      <c r="AF312" s="16"/>
      <c r="AG312" s="16"/>
      <c r="AH312" s="16"/>
      <c r="AI312" s="16"/>
      <c r="AJ312" s="481"/>
      <c r="AK312" s="482"/>
      <c r="AL312" s="25"/>
      <c r="AM312" s="481"/>
      <c r="AN312" s="481"/>
      <c r="AO312" s="481"/>
      <c r="AP312" s="16"/>
      <c r="AQ312" s="16"/>
      <c r="AR312" s="130"/>
      <c r="AS312" s="130">
        <v>1405</v>
      </c>
      <c r="AT312" s="130"/>
      <c r="AU312" s="130"/>
      <c r="AV312" s="130"/>
      <c r="AW312" s="12"/>
      <c r="AX312" s="12"/>
      <c r="AY312" s="12"/>
      <c r="AZ312" s="481"/>
    </row>
    <row r="313" spans="1:52" ht="30" customHeight="1" x14ac:dyDescent="0.2">
      <c r="A313" s="497">
        <v>311</v>
      </c>
      <c r="B313" s="481"/>
      <c r="C313" s="16"/>
      <c r="D313" s="482"/>
      <c r="E313" s="482"/>
      <c r="F313" s="482"/>
      <c r="G313" s="495"/>
      <c r="H313" s="481"/>
      <c r="I313" s="481"/>
      <c r="J313" s="360" t="s">
        <v>158</v>
      </c>
      <c r="K313" s="482"/>
      <c r="L313" s="482"/>
      <c r="M313" s="482"/>
      <c r="N313" s="41"/>
      <c r="O313" s="13"/>
      <c r="P313" s="13"/>
      <c r="Q313" s="13"/>
      <c r="R313" s="481"/>
      <c r="S313" s="481"/>
      <c r="T313" s="481"/>
      <c r="U313" s="482"/>
      <c r="V313" s="41"/>
      <c r="W313" s="13"/>
      <c r="X313" s="482"/>
      <c r="Y313" s="481"/>
      <c r="Z313" s="481"/>
      <c r="AA313" s="481"/>
      <c r="AB313" s="16"/>
      <c r="AC313" s="16"/>
      <c r="AD313" s="16"/>
      <c r="AE313" s="16"/>
      <c r="AF313" s="16"/>
      <c r="AG313" s="16"/>
      <c r="AH313" s="16"/>
      <c r="AI313" s="16"/>
      <c r="AJ313" s="481"/>
      <c r="AK313" s="482"/>
      <c r="AL313" s="25"/>
      <c r="AM313" s="481"/>
      <c r="AN313" s="481"/>
      <c r="AO313" s="481"/>
      <c r="AP313" s="16"/>
      <c r="AQ313" s="16"/>
      <c r="AR313" s="130"/>
      <c r="AS313" s="130">
        <v>1405</v>
      </c>
      <c r="AT313" s="130"/>
      <c r="AU313" s="130"/>
      <c r="AV313" s="130"/>
      <c r="AW313" s="12"/>
      <c r="AX313" s="12"/>
      <c r="AY313" s="12"/>
      <c r="AZ313" s="481"/>
    </row>
    <row r="314" spans="1:52" ht="30" customHeight="1" x14ac:dyDescent="0.2">
      <c r="A314" s="497">
        <v>312</v>
      </c>
      <c r="B314" s="481"/>
      <c r="C314" s="16"/>
      <c r="D314" s="482"/>
      <c r="E314" s="482"/>
      <c r="F314" s="482"/>
      <c r="G314" s="495"/>
      <c r="H314" s="481"/>
      <c r="I314" s="481"/>
      <c r="J314" s="360" t="s">
        <v>158</v>
      </c>
      <c r="K314" s="482"/>
      <c r="L314" s="482"/>
      <c r="M314" s="482"/>
      <c r="N314" s="41"/>
      <c r="O314" s="13"/>
      <c r="P314" s="13"/>
      <c r="Q314" s="13"/>
      <c r="R314" s="481"/>
      <c r="S314" s="481"/>
      <c r="T314" s="481"/>
      <c r="U314" s="482"/>
      <c r="V314" s="41"/>
      <c r="W314" s="13"/>
      <c r="X314" s="482"/>
      <c r="Y314" s="481"/>
      <c r="Z314" s="481"/>
      <c r="AA314" s="481"/>
      <c r="AB314" s="16"/>
      <c r="AC314" s="16"/>
      <c r="AD314" s="16"/>
      <c r="AE314" s="16"/>
      <c r="AF314" s="16"/>
      <c r="AG314" s="16"/>
      <c r="AH314" s="16"/>
      <c r="AI314" s="16"/>
      <c r="AJ314" s="481"/>
      <c r="AK314" s="482"/>
      <c r="AL314" s="25"/>
      <c r="AM314" s="481"/>
      <c r="AN314" s="481"/>
      <c r="AO314" s="481"/>
      <c r="AP314" s="16"/>
      <c r="AQ314" s="16"/>
      <c r="AR314" s="130"/>
      <c r="AS314" s="130">
        <v>1405</v>
      </c>
      <c r="AT314" s="130"/>
      <c r="AU314" s="130"/>
      <c r="AV314" s="130"/>
      <c r="AW314" s="12"/>
      <c r="AX314" s="12"/>
      <c r="AY314" s="12"/>
      <c r="AZ314" s="481"/>
    </row>
    <row r="315" spans="1:52" ht="30" customHeight="1" x14ac:dyDescent="0.2">
      <c r="A315" s="497">
        <v>313</v>
      </c>
      <c r="B315" s="481"/>
      <c r="C315" s="16"/>
      <c r="D315" s="482"/>
      <c r="E315" s="482"/>
      <c r="F315" s="482"/>
      <c r="G315" s="495"/>
      <c r="H315" s="481"/>
      <c r="I315" s="481"/>
      <c r="J315" s="360" t="s">
        <v>158</v>
      </c>
      <c r="K315" s="482"/>
      <c r="L315" s="482"/>
      <c r="M315" s="482"/>
      <c r="N315" s="41"/>
      <c r="O315" s="13"/>
      <c r="P315" s="13"/>
      <c r="Q315" s="13"/>
      <c r="R315" s="481"/>
      <c r="S315" s="481"/>
      <c r="T315" s="481"/>
      <c r="U315" s="482"/>
      <c r="V315" s="41"/>
      <c r="W315" s="13"/>
      <c r="X315" s="482"/>
      <c r="Y315" s="481"/>
      <c r="Z315" s="481"/>
      <c r="AA315" s="481"/>
      <c r="AB315" s="16"/>
      <c r="AC315" s="16"/>
      <c r="AD315" s="16"/>
      <c r="AE315" s="16"/>
      <c r="AF315" s="16"/>
      <c r="AG315" s="16"/>
      <c r="AH315" s="16"/>
      <c r="AI315" s="16"/>
      <c r="AJ315" s="481"/>
      <c r="AK315" s="482"/>
      <c r="AL315" s="25"/>
      <c r="AM315" s="481"/>
      <c r="AN315" s="481"/>
      <c r="AO315" s="481"/>
      <c r="AP315" s="16"/>
      <c r="AQ315" s="16"/>
      <c r="AR315" s="130"/>
      <c r="AS315" s="130">
        <v>1405</v>
      </c>
      <c r="AT315" s="130"/>
      <c r="AU315" s="130"/>
      <c r="AV315" s="130"/>
      <c r="AW315" s="12"/>
      <c r="AX315" s="12"/>
      <c r="AY315" s="12"/>
      <c r="AZ315" s="481"/>
    </row>
    <row r="316" spans="1:52" ht="30" customHeight="1" x14ac:dyDescent="0.2">
      <c r="A316" s="497">
        <v>314</v>
      </c>
      <c r="B316" s="481"/>
      <c r="C316" s="16"/>
      <c r="D316" s="482"/>
      <c r="E316" s="482"/>
      <c r="F316" s="482"/>
      <c r="G316" s="495"/>
      <c r="H316" s="481"/>
      <c r="I316" s="481"/>
      <c r="J316" s="360" t="s">
        <v>158</v>
      </c>
      <c r="K316" s="482"/>
      <c r="L316" s="482"/>
      <c r="M316" s="482"/>
      <c r="N316" s="41"/>
      <c r="O316" s="13"/>
      <c r="P316" s="13"/>
      <c r="Q316" s="13"/>
      <c r="R316" s="481"/>
      <c r="S316" s="481"/>
      <c r="T316" s="481"/>
      <c r="U316" s="482"/>
      <c r="V316" s="41"/>
      <c r="W316" s="13"/>
      <c r="X316" s="482"/>
      <c r="Y316" s="481"/>
      <c r="Z316" s="481"/>
      <c r="AA316" s="481"/>
      <c r="AB316" s="16"/>
      <c r="AC316" s="16"/>
      <c r="AD316" s="16"/>
      <c r="AE316" s="16"/>
      <c r="AF316" s="16"/>
      <c r="AG316" s="16"/>
      <c r="AH316" s="16"/>
      <c r="AI316" s="16"/>
      <c r="AJ316" s="481"/>
      <c r="AK316" s="482"/>
      <c r="AL316" s="25"/>
      <c r="AM316" s="481"/>
      <c r="AN316" s="481"/>
      <c r="AO316" s="481"/>
      <c r="AP316" s="16"/>
      <c r="AQ316" s="16"/>
      <c r="AR316" s="130"/>
      <c r="AS316" s="130">
        <v>1405</v>
      </c>
      <c r="AT316" s="130"/>
      <c r="AU316" s="130"/>
      <c r="AV316" s="130"/>
      <c r="AW316" s="12"/>
      <c r="AX316" s="12"/>
      <c r="AY316" s="12"/>
      <c r="AZ316" s="481"/>
    </row>
    <row r="317" spans="1:52" ht="30" customHeight="1" x14ac:dyDescent="0.2">
      <c r="A317" s="497">
        <v>315</v>
      </c>
      <c r="B317" s="481"/>
      <c r="C317" s="16"/>
      <c r="D317" s="482"/>
      <c r="E317" s="482"/>
      <c r="F317" s="482"/>
      <c r="G317" s="495"/>
      <c r="H317" s="481"/>
      <c r="I317" s="481"/>
      <c r="J317" s="360" t="s">
        <v>158</v>
      </c>
      <c r="K317" s="482"/>
      <c r="L317" s="482"/>
      <c r="M317" s="482"/>
      <c r="N317" s="41"/>
      <c r="O317" s="13"/>
      <c r="P317" s="13"/>
      <c r="Q317" s="13"/>
      <c r="R317" s="481"/>
      <c r="S317" s="481"/>
      <c r="T317" s="481"/>
      <c r="U317" s="482"/>
      <c r="V317" s="41"/>
      <c r="W317" s="13"/>
      <c r="X317" s="482"/>
      <c r="Y317" s="481"/>
      <c r="Z317" s="481"/>
      <c r="AA317" s="481"/>
      <c r="AB317" s="16"/>
      <c r="AC317" s="16"/>
      <c r="AD317" s="16"/>
      <c r="AE317" s="16"/>
      <c r="AF317" s="16"/>
      <c r="AG317" s="16"/>
      <c r="AH317" s="16"/>
      <c r="AI317" s="16"/>
      <c r="AJ317" s="481"/>
      <c r="AK317" s="482"/>
      <c r="AL317" s="25"/>
      <c r="AM317" s="481"/>
      <c r="AN317" s="481"/>
      <c r="AO317" s="481"/>
      <c r="AP317" s="16"/>
      <c r="AQ317" s="16"/>
      <c r="AR317" s="130"/>
      <c r="AS317" s="130">
        <v>1405</v>
      </c>
      <c r="AT317" s="130"/>
      <c r="AU317" s="130"/>
      <c r="AV317" s="130"/>
      <c r="AW317" s="12"/>
      <c r="AX317" s="12"/>
      <c r="AY317" s="12"/>
      <c r="AZ317" s="481"/>
    </row>
    <row r="318" spans="1:52" ht="30" customHeight="1" x14ac:dyDescent="0.2">
      <c r="A318" s="497">
        <v>316</v>
      </c>
      <c r="B318" s="481"/>
      <c r="C318" s="16"/>
      <c r="D318" s="482"/>
      <c r="E318" s="482"/>
      <c r="F318" s="482"/>
      <c r="G318" s="495"/>
      <c r="H318" s="481"/>
      <c r="I318" s="481"/>
      <c r="J318" s="360" t="s">
        <v>158</v>
      </c>
      <c r="K318" s="482"/>
      <c r="L318" s="482"/>
      <c r="M318" s="482"/>
      <c r="N318" s="41"/>
      <c r="O318" s="13"/>
      <c r="P318" s="13"/>
      <c r="Q318" s="13"/>
      <c r="R318" s="481"/>
      <c r="S318" s="481"/>
      <c r="T318" s="481"/>
      <c r="U318" s="482"/>
      <c r="V318" s="41"/>
      <c r="W318" s="13"/>
      <c r="X318" s="482"/>
      <c r="Y318" s="481"/>
      <c r="Z318" s="481"/>
      <c r="AA318" s="481"/>
      <c r="AB318" s="16"/>
      <c r="AC318" s="16"/>
      <c r="AD318" s="16"/>
      <c r="AE318" s="16"/>
      <c r="AF318" s="16"/>
      <c r="AG318" s="16"/>
      <c r="AH318" s="16"/>
      <c r="AI318" s="16"/>
      <c r="AJ318" s="481"/>
      <c r="AK318" s="482"/>
      <c r="AL318" s="25"/>
      <c r="AM318" s="481"/>
      <c r="AN318" s="481"/>
      <c r="AO318" s="481"/>
      <c r="AP318" s="16"/>
      <c r="AQ318" s="16"/>
      <c r="AR318" s="130"/>
      <c r="AS318" s="130">
        <v>1405</v>
      </c>
      <c r="AT318" s="130"/>
      <c r="AU318" s="130"/>
      <c r="AV318" s="130"/>
      <c r="AW318" s="12"/>
      <c r="AX318" s="12"/>
      <c r="AY318" s="12"/>
      <c r="AZ318" s="481"/>
    </row>
    <row r="319" spans="1:52" ht="30" customHeight="1" x14ac:dyDescent="0.2">
      <c r="A319" s="497">
        <v>317</v>
      </c>
      <c r="B319" s="481"/>
      <c r="C319" s="16"/>
      <c r="D319" s="482"/>
      <c r="E319" s="482"/>
      <c r="F319" s="482"/>
      <c r="G319" s="495"/>
      <c r="H319" s="481"/>
      <c r="I319" s="481"/>
      <c r="J319" s="360" t="s">
        <v>158</v>
      </c>
      <c r="K319" s="482"/>
      <c r="L319" s="482"/>
      <c r="M319" s="482"/>
      <c r="N319" s="41"/>
      <c r="O319" s="13"/>
      <c r="P319" s="13"/>
      <c r="Q319" s="13"/>
      <c r="R319" s="481"/>
      <c r="S319" s="481"/>
      <c r="T319" s="481"/>
      <c r="U319" s="482"/>
      <c r="V319" s="41"/>
      <c r="W319" s="13"/>
      <c r="X319" s="482"/>
      <c r="Y319" s="481"/>
      <c r="Z319" s="481"/>
      <c r="AA319" s="481"/>
      <c r="AB319" s="16"/>
      <c r="AC319" s="16"/>
      <c r="AD319" s="16"/>
      <c r="AE319" s="16"/>
      <c r="AF319" s="16"/>
      <c r="AG319" s="16"/>
      <c r="AH319" s="16"/>
      <c r="AI319" s="16"/>
      <c r="AJ319" s="481"/>
      <c r="AK319" s="482"/>
      <c r="AL319" s="25"/>
      <c r="AM319" s="481"/>
      <c r="AN319" s="481"/>
      <c r="AO319" s="481"/>
      <c r="AP319" s="16"/>
      <c r="AQ319" s="16"/>
      <c r="AR319" s="130"/>
      <c r="AS319" s="130">
        <v>1405</v>
      </c>
      <c r="AT319" s="130"/>
      <c r="AU319" s="130"/>
      <c r="AV319" s="130"/>
      <c r="AW319" s="12"/>
      <c r="AX319" s="12"/>
      <c r="AY319" s="12"/>
      <c r="AZ319" s="481"/>
    </row>
    <row r="320" spans="1:52" ht="30" customHeight="1" x14ac:dyDescent="0.2">
      <c r="A320" s="497">
        <v>318</v>
      </c>
      <c r="B320" s="481"/>
      <c r="C320" s="16"/>
      <c r="D320" s="482"/>
      <c r="E320" s="482"/>
      <c r="F320" s="482"/>
      <c r="G320" s="495"/>
      <c r="H320" s="481"/>
      <c r="I320" s="481"/>
      <c r="J320" s="360" t="s">
        <v>158</v>
      </c>
      <c r="K320" s="482"/>
      <c r="L320" s="482"/>
      <c r="M320" s="482"/>
      <c r="N320" s="41"/>
      <c r="O320" s="13"/>
      <c r="P320" s="13"/>
      <c r="Q320" s="13"/>
      <c r="R320" s="481"/>
      <c r="S320" s="481"/>
      <c r="T320" s="481"/>
      <c r="U320" s="482"/>
      <c r="V320" s="41"/>
      <c r="W320" s="13"/>
      <c r="X320" s="482"/>
      <c r="Y320" s="481"/>
      <c r="Z320" s="481"/>
      <c r="AA320" s="481"/>
      <c r="AB320" s="16"/>
      <c r="AC320" s="16"/>
      <c r="AD320" s="16"/>
      <c r="AE320" s="16"/>
      <c r="AF320" s="16"/>
      <c r="AG320" s="16"/>
      <c r="AH320" s="16"/>
      <c r="AI320" s="16"/>
      <c r="AJ320" s="481"/>
      <c r="AK320" s="482"/>
      <c r="AL320" s="25"/>
      <c r="AM320" s="481"/>
      <c r="AN320" s="481"/>
      <c r="AO320" s="481"/>
      <c r="AP320" s="16"/>
      <c r="AQ320" s="16"/>
      <c r="AR320" s="130"/>
      <c r="AS320" s="130">
        <v>1405</v>
      </c>
      <c r="AT320" s="130"/>
      <c r="AU320" s="130"/>
      <c r="AV320" s="130"/>
      <c r="AW320" s="12"/>
      <c r="AX320" s="12"/>
      <c r="AY320" s="12"/>
      <c r="AZ320" s="481"/>
    </row>
    <row r="321" spans="1:52" ht="30" customHeight="1" x14ac:dyDescent="0.2">
      <c r="A321" s="497">
        <v>319</v>
      </c>
      <c r="B321" s="481"/>
      <c r="C321" s="16"/>
      <c r="D321" s="482"/>
      <c r="E321" s="482"/>
      <c r="F321" s="482"/>
      <c r="G321" s="495"/>
      <c r="H321" s="481"/>
      <c r="I321" s="481"/>
      <c r="J321" s="360" t="s">
        <v>158</v>
      </c>
      <c r="K321" s="482"/>
      <c r="L321" s="482"/>
      <c r="M321" s="482"/>
      <c r="N321" s="41"/>
      <c r="O321" s="13"/>
      <c r="P321" s="13"/>
      <c r="Q321" s="13"/>
      <c r="R321" s="481"/>
      <c r="S321" s="481"/>
      <c r="T321" s="481"/>
      <c r="U321" s="482"/>
      <c r="V321" s="41"/>
      <c r="W321" s="13"/>
      <c r="X321" s="482"/>
      <c r="Y321" s="481"/>
      <c r="Z321" s="481"/>
      <c r="AA321" s="481"/>
      <c r="AB321" s="16"/>
      <c r="AC321" s="16"/>
      <c r="AD321" s="16"/>
      <c r="AE321" s="16"/>
      <c r="AF321" s="16"/>
      <c r="AG321" s="16"/>
      <c r="AH321" s="16"/>
      <c r="AI321" s="16"/>
      <c r="AJ321" s="481"/>
      <c r="AK321" s="482"/>
      <c r="AL321" s="25"/>
      <c r="AM321" s="481"/>
      <c r="AN321" s="481"/>
      <c r="AO321" s="481"/>
      <c r="AP321" s="16"/>
      <c r="AQ321" s="16"/>
      <c r="AR321" s="130"/>
      <c r="AS321" s="130">
        <v>1405</v>
      </c>
      <c r="AT321" s="130"/>
      <c r="AU321" s="130"/>
      <c r="AV321" s="130"/>
      <c r="AW321" s="12"/>
      <c r="AX321" s="12"/>
      <c r="AY321" s="12"/>
      <c r="AZ321" s="481"/>
    </row>
    <row r="322" spans="1:52" ht="30" customHeight="1" x14ac:dyDescent="0.2">
      <c r="A322" s="497">
        <v>320</v>
      </c>
      <c r="B322" s="481"/>
      <c r="C322" s="16"/>
      <c r="D322" s="482"/>
      <c r="E322" s="482"/>
      <c r="F322" s="482"/>
      <c r="G322" s="495"/>
      <c r="H322" s="481"/>
      <c r="I322" s="481"/>
      <c r="J322" s="360" t="s">
        <v>158</v>
      </c>
      <c r="K322" s="482"/>
      <c r="L322" s="482"/>
      <c r="M322" s="482"/>
      <c r="N322" s="41"/>
      <c r="O322" s="13"/>
      <c r="P322" s="13"/>
      <c r="Q322" s="13"/>
      <c r="R322" s="481"/>
      <c r="S322" s="481"/>
      <c r="T322" s="481"/>
      <c r="U322" s="482"/>
      <c r="V322" s="41"/>
      <c r="W322" s="13"/>
      <c r="X322" s="482"/>
      <c r="Y322" s="481"/>
      <c r="Z322" s="481"/>
      <c r="AA322" s="481"/>
      <c r="AB322" s="16"/>
      <c r="AC322" s="16"/>
      <c r="AD322" s="16"/>
      <c r="AE322" s="16"/>
      <c r="AF322" s="16"/>
      <c r="AG322" s="16"/>
      <c r="AH322" s="16"/>
      <c r="AI322" s="16"/>
      <c r="AJ322" s="481"/>
      <c r="AK322" s="482"/>
      <c r="AL322" s="25"/>
      <c r="AM322" s="481"/>
      <c r="AN322" s="481"/>
      <c r="AO322" s="481"/>
      <c r="AP322" s="16"/>
      <c r="AQ322" s="16"/>
      <c r="AR322" s="130"/>
      <c r="AS322" s="130">
        <v>1405</v>
      </c>
      <c r="AT322" s="130"/>
      <c r="AU322" s="130"/>
      <c r="AV322" s="130"/>
      <c r="AW322" s="12"/>
      <c r="AX322" s="12"/>
      <c r="AY322" s="12"/>
      <c r="AZ322" s="481"/>
    </row>
    <row r="323" spans="1:52" ht="30" customHeight="1" x14ac:dyDescent="0.2">
      <c r="A323" s="497">
        <v>321</v>
      </c>
      <c r="B323" s="481"/>
      <c r="C323" s="16"/>
      <c r="D323" s="482"/>
      <c r="E323" s="482"/>
      <c r="F323" s="482"/>
      <c r="G323" s="495"/>
      <c r="H323" s="481"/>
      <c r="I323" s="481"/>
      <c r="J323" s="360" t="s">
        <v>158</v>
      </c>
      <c r="K323" s="482"/>
      <c r="L323" s="482"/>
      <c r="M323" s="482"/>
      <c r="N323" s="41"/>
      <c r="O323" s="13"/>
      <c r="P323" s="13"/>
      <c r="Q323" s="13"/>
      <c r="R323" s="481"/>
      <c r="S323" s="481"/>
      <c r="T323" s="481"/>
      <c r="U323" s="482"/>
      <c r="V323" s="41"/>
      <c r="W323" s="13"/>
      <c r="X323" s="482"/>
      <c r="Y323" s="481"/>
      <c r="Z323" s="481"/>
      <c r="AA323" s="481"/>
      <c r="AB323" s="16"/>
      <c r="AC323" s="16"/>
      <c r="AD323" s="16"/>
      <c r="AE323" s="16"/>
      <c r="AF323" s="16"/>
      <c r="AG323" s="16"/>
      <c r="AH323" s="16"/>
      <c r="AI323" s="16"/>
      <c r="AJ323" s="481"/>
      <c r="AK323" s="482"/>
      <c r="AL323" s="25"/>
      <c r="AM323" s="481"/>
      <c r="AN323" s="481"/>
      <c r="AO323" s="481"/>
      <c r="AP323" s="16"/>
      <c r="AQ323" s="16"/>
      <c r="AR323" s="130"/>
      <c r="AS323" s="130">
        <v>1405</v>
      </c>
      <c r="AT323" s="130"/>
      <c r="AU323" s="130"/>
      <c r="AV323" s="130"/>
      <c r="AW323" s="12"/>
      <c r="AX323" s="12"/>
      <c r="AY323" s="12"/>
      <c r="AZ323" s="481"/>
    </row>
    <row r="324" spans="1:52" ht="30" customHeight="1" x14ac:dyDescent="0.2">
      <c r="A324" s="497">
        <v>322</v>
      </c>
      <c r="B324" s="481"/>
      <c r="C324" s="16"/>
      <c r="D324" s="482"/>
      <c r="E324" s="482"/>
      <c r="F324" s="482"/>
      <c r="G324" s="495"/>
      <c r="H324" s="481"/>
      <c r="I324" s="481"/>
      <c r="J324" s="360" t="s">
        <v>158</v>
      </c>
      <c r="K324" s="482"/>
      <c r="L324" s="482"/>
      <c r="M324" s="482"/>
      <c r="N324" s="41"/>
      <c r="O324" s="13"/>
      <c r="P324" s="13"/>
      <c r="Q324" s="13"/>
      <c r="R324" s="481"/>
      <c r="S324" s="481"/>
      <c r="T324" s="481"/>
      <c r="U324" s="482"/>
      <c r="V324" s="41"/>
      <c r="W324" s="13"/>
      <c r="X324" s="482"/>
      <c r="Y324" s="481"/>
      <c r="Z324" s="481"/>
      <c r="AA324" s="481"/>
      <c r="AB324" s="16"/>
      <c r="AC324" s="16"/>
      <c r="AD324" s="16"/>
      <c r="AE324" s="16"/>
      <c r="AF324" s="16"/>
      <c r="AG324" s="16"/>
      <c r="AH324" s="16"/>
      <c r="AI324" s="16"/>
      <c r="AJ324" s="481"/>
      <c r="AK324" s="482"/>
      <c r="AL324" s="25"/>
      <c r="AM324" s="481"/>
      <c r="AN324" s="481"/>
      <c r="AO324" s="481"/>
      <c r="AP324" s="16"/>
      <c r="AQ324" s="16"/>
      <c r="AR324" s="130"/>
      <c r="AS324" s="130">
        <v>1405</v>
      </c>
      <c r="AT324" s="130"/>
      <c r="AU324" s="130"/>
      <c r="AV324" s="130"/>
      <c r="AW324" s="12"/>
      <c r="AX324" s="12"/>
      <c r="AY324" s="12"/>
      <c r="AZ324" s="481"/>
    </row>
    <row r="325" spans="1:52" ht="30" customHeight="1" x14ac:dyDescent="0.2">
      <c r="A325" s="497">
        <v>323</v>
      </c>
      <c r="B325" s="481"/>
      <c r="C325" s="16"/>
      <c r="D325" s="482"/>
      <c r="E325" s="482"/>
      <c r="F325" s="482"/>
      <c r="G325" s="495"/>
      <c r="H325" s="481"/>
      <c r="I325" s="481"/>
      <c r="J325" s="360" t="s">
        <v>158</v>
      </c>
      <c r="K325" s="482"/>
      <c r="L325" s="482"/>
      <c r="M325" s="482"/>
      <c r="N325" s="41"/>
      <c r="O325" s="13"/>
      <c r="P325" s="13"/>
      <c r="Q325" s="13"/>
      <c r="R325" s="481"/>
      <c r="S325" s="481"/>
      <c r="T325" s="481"/>
      <c r="U325" s="482"/>
      <c r="V325" s="41"/>
      <c r="W325" s="13"/>
      <c r="X325" s="482"/>
      <c r="Y325" s="481"/>
      <c r="Z325" s="481"/>
      <c r="AA325" s="481"/>
      <c r="AB325" s="16"/>
      <c r="AC325" s="16"/>
      <c r="AD325" s="16"/>
      <c r="AE325" s="16"/>
      <c r="AF325" s="16"/>
      <c r="AG325" s="16"/>
      <c r="AH325" s="16"/>
      <c r="AI325" s="16"/>
      <c r="AJ325" s="481"/>
      <c r="AK325" s="482"/>
      <c r="AL325" s="25"/>
      <c r="AM325" s="481"/>
      <c r="AN325" s="481"/>
      <c r="AO325" s="481"/>
      <c r="AP325" s="16"/>
      <c r="AQ325" s="16"/>
      <c r="AR325" s="130"/>
      <c r="AS325" s="130">
        <v>1405</v>
      </c>
      <c r="AT325" s="130"/>
      <c r="AU325" s="130"/>
      <c r="AV325" s="130"/>
      <c r="AW325" s="12"/>
      <c r="AX325" s="12"/>
      <c r="AY325" s="12"/>
      <c r="AZ325" s="481"/>
    </row>
    <row r="326" spans="1:52" ht="30" customHeight="1" x14ac:dyDescent="0.2">
      <c r="A326" s="497">
        <v>324</v>
      </c>
      <c r="B326" s="481"/>
      <c r="C326" s="16"/>
      <c r="D326" s="482"/>
      <c r="E326" s="482"/>
      <c r="F326" s="482"/>
      <c r="G326" s="495"/>
      <c r="H326" s="481"/>
      <c r="I326" s="481"/>
      <c r="J326" s="360" t="s">
        <v>158</v>
      </c>
      <c r="K326" s="482"/>
      <c r="L326" s="482"/>
      <c r="M326" s="482"/>
      <c r="N326" s="41"/>
      <c r="O326" s="13"/>
      <c r="P326" s="13"/>
      <c r="Q326" s="13"/>
      <c r="R326" s="481"/>
      <c r="S326" s="481"/>
      <c r="T326" s="481"/>
      <c r="U326" s="482"/>
      <c r="V326" s="41"/>
      <c r="W326" s="13"/>
      <c r="X326" s="482"/>
      <c r="Y326" s="481"/>
      <c r="Z326" s="481"/>
      <c r="AA326" s="481"/>
      <c r="AB326" s="16"/>
      <c r="AC326" s="16"/>
      <c r="AD326" s="16"/>
      <c r="AE326" s="16"/>
      <c r="AF326" s="16"/>
      <c r="AG326" s="16"/>
      <c r="AH326" s="16"/>
      <c r="AI326" s="16"/>
      <c r="AJ326" s="481"/>
      <c r="AK326" s="482"/>
      <c r="AL326" s="25"/>
      <c r="AM326" s="481"/>
      <c r="AN326" s="481"/>
      <c r="AO326" s="481"/>
      <c r="AP326" s="16"/>
      <c r="AQ326" s="16"/>
      <c r="AR326" s="130"/>
      <c r="AS326" s="130">
        <v>1405</v>
      </c>
      <c r="AT326" s="130"/>
      <c r="AU326" s="130"/>
      <c r="AV326" s="130"/>
      <c r="AW326" s="12"/>
      <c r="AX326" s="12"/>
      <c r="AY326" s="12"/>
      <c r="AZ326" s="481"/>
    </row>
    <row r="327" spans="1:52" ht="30" customHeight="1" x14ac:dyDescent="0.2">
      <c r="A327" s="497">
        <v>325</v>
      </c>
      <c r="B327" s="481"/>
      <c r="C327" s="16"/>
      <c r="D327" s="482"/>
      <c r="E327" s="482"/>
      <c r="F327" s="482"/>
      <c r="G327" s="495"/>
      <c r="H327" s="481"/>
      <c r="I327" s="481"/>
      <c r="J327" s="360" t="s">
        <v>158</v>
      </c>
      <c r="K327" s="482"/>
      <c r="L327" s="482"/>
      <c r="M327" s="482"/>
      <c r="N327" s="41"/>
      <c r="O327" s="13"/>
      <c r="P327" s="13"/>
      <c r="Q327" s="13"/>
      <c r="R327" s="481"/>
      <c r="S327" s="481"/>
      <c r="T327" s="481"/>
      <c r="U327" s="482"/>
      <c r="V327" s="41"/>
      <c r="W327" s="13"/>
      <c r="X327" s="482"/>
      <c r="Y327" s="481"/>
      <c r="Z327" s="481"/>
      <c r="AA327" s="481"/>
      <c r="AB327" s="16"/>
      <c r="AC327" s="16"/>
      <c r="AD327" s="16"/>
      <c r="AE327" s="16"/>
      <c r="AF327" s="16"/>
      <c r="AG327" s="16"/>
      <c r="AH327" s="16"/>
      <c r="AI327" s="16"/>
      <c r="AJ327" s="481"/>
      <c r="AK327" s="482"/>
      <c r="AL327" s="25"/>
      <c r="AM327" s="481"/>
      <c r="AN327" s="481"/>
      <c r="AO327" s="481"/>
      <c r="AP327" s="16"/>
      <c r="AQ327" s="16"/>
      <c r="AR327" s="130"/>
      <c r="AS327" s="130">
        <v>1405</v>
      </c>
      <c r="AT327" s="130"/>
      <c r="AU327" s="130"/>
      <c r="AV327" s="130"/>
      <c r="AW327" s="12"/>
      <c r="AX327" s="12"/>
      <c r="AY327" s="12"/>
      <c r="AZ327" s="481"/>
    </row>
    <row r="328" spans="1:52" ht="30" customHeight="1" x14ac:dyDescent="0.2">
      <c r="A328" s="497">
        <v>326</v>
      </c>
      <c r="B328" s="481"/>
      <c r="C328" s="16"/>
      <c r="D328" s="482"/>
      <c r="E328" s="482"/>
      <c r="F328" s="482"/>
      <c r="G328" s="495"/>
      <c r="H328" s="481"/>
      <c r="I328" s="481"/>
      <c r="J328" s="360" t="s">
        <v>158</v>
      </c>
      <c r="K328" s="482"/>
      <c r="L328" s="482"/>
      <c r="M328" s="482"/>
      <c r="N328" s="41"/>
      <c r="O328" s="13"/>
      <c r="P328" s="13"/>
      <c r="Q328" s="13"/>
      <c r="R328" s="481"/>
      <c r="S328" s="481"/>
      <c r="T328" s="481"/>
      <c r="U328" s="482"/>
      <c r="V328" s="41"/>
      <c r="W328" s="13"/>
      <c r="X328" s="482"/>
      <c r="Y328" s="481"/>
      <c r="Z328" s="481"/>
      <c r="AA328" s="481"/>
      <c r="AB328" s="16"/>
      <c r="AC328" s="16"/>
      <c r="AD328" s="16"/>
      <c r="AE328" s="16"/>
      <c r="AF328" s="16"/>
      <c r="AG328" s="16"/>
      <c r="AH328" s="16"/>
      <c r="AI328" s="16"/>
      <c r="AJ328" s="481"/>
      <c r="AK328" s="482"/>
      <c r="AL328" s="25"/>
      <c r="AM328" s="481"/>
      <c r="AN328" s="481"/>
      <c r="AO328" s="481"/>
      <c r="AP328" s="16"/>
      <c r="AQ328" s="16"/>
      <c r="AR328" s="130"/>
      <c r="AS328" s="130">
        <v>1405</v>
      </c>
      <c r="AT328" s="130"/>
      <c r="AU328" s="130"/>
      <c r="AV328" s="130"/>
      <c r="AW328" s="12"/>
      <c r="AX328" s="12"/>
      <c r="AY328" s="12"/>
      <c r="AZ328" s="481"/>
    </row>
    <row r="329" spans="1:52" ht="30" customHeight="1" x14ac:dyDescent="0.2">
      <c r="A329" s="497">
        <v>327</v>
      </c>
      <c r="B329" s="481"/>
      <c r="C329" s="16"/>
      <c r="D329" s="482"/>
      <c r="E329" s="482"/>
      <c r="F329" s="482"/>
      <c r="G329" s="495"/>
      <c r="H329" s="481"/>
      <c r="I329" s="481"/>
      <c r="J329" s="360" t="s">
        <v>158</v>
      </c>
      <c r="K329" s="482"/>
      <c r="L329" s="482"/>
      <c r="M329" s="482"/>
      <c r="N329" s="41"/>
      <c r="O329" s="13"/>
      <c r="P329" s="13"/>
      <c r="Q329" s="13"/>
      <c r="R329" s="481"/>
      <c r="S329" s="481"/>
      <c r="T329" s="481"/>
      <c r="U329" s="482"/>
      <c r="V329" s="41"/>
      <c r="W329" s="13"/>
      <c r="X329" s="482"/>
      <c r="Y329" s="481"/>
      <c r="Z329" s="481"/>
      <c r="AA329" s="481"/>
      <c r="AB329" s="16"/>
      <c r="AC329" s="16"/>
      <c r="AD329" s="16"/>
      <c r="AE329" s="16"/>
      <c r="AF329" s="16"/>
      <c r="AG329" s="16"/>
      <c r="AH329" s="16"/>
      <c r="AI329" s="16"/>
      <c r="AJ329" s="481"/>
      <c r="AK329" s="482"/>
      <c r="AL329" s="25"/>
      <c r="AM329" s="481"/>
      <c r="AN329" s="481"/>
      <c r="AO329" s="481"/>
      <c r="AP329" s="16"/>
      <c r="AQ329" s="16"/>
      <c r="AR329" s="130"/>
      <c r="AS329" s="130">
        <v>1405</v>
      </c>
      <c r="AT329" s="130"/>
      <c r="AU329" s="130"/>
      <c r="AV329" s="130"/>
      <c r="AW329" s="12"/>
      <c r="AX329" s="12"/>
      <c r="AY329" s="12"/>
      <c r="AZ329" s="481"/>
    </row>
    <row r="330" spans="1:52" ht="30" customHeight="1" x14ac:dyDescent="0.2">
      <c r="A330" s="497">
        <v>328</v>
      </c>
      <c r="B330" s="481"/>
      <c r="C330" s="16"/>
      <c r="D330" s="482"/>
      <c r="E330" s="482"/>
      <c r="F330" s="482"/>
      <c r="G330" s="495"/>
      <c r="H330" s="481"/>
      <c r="I330" s="481"/>
      <c r="J330" s="360" t="s">
        <v>158</v>
      </c>
      <c r="K330" s="482"/>
      <c r="L330" s="482"/>
      <c r="M330" s="482"/>
      <c r="N330" s="41"/>
      <c r="O330" s="13"/>
      <c r="P330" s="13"/>
      <c r="Q330" s="13"/>
      <c r="R330" s="481"/>
      <c r="S330" s="481"/>
      <c r="T330" s="481"/>
      <c r="U330" s="482"/>
      <c r="V330" s="41"/>
      <c r="W330" s="13"/>
      <c r="X330" s="482"/>
      <c r="Y330" s="481"/>
      <c r="Z330" s="481"/>
      <c r="AA330" s="481"/>
      <c r="AB330" s="16"/>
      <c r="AC330" s="16"/>
      <c r="AD330" s="16"/>
      <c r="AE330" s="16"/>
      <c r="AF330" s="16"/>
      <c r="AG330" s="16"/>
      <c r="AH330" s="16"/>
      <c r="AI330" s="16"/>
      <c r="AJ330" s="481"/>
      <c r="AK330" s="482"/>
      <c r="AL330" s="25"/>
      <c r="AM330" s="481"/>
      <c r="AN330" s="481"/>
      <c r="AO330" s="481"/>
      <c r="AP330" s="16"/>
      <c r="AQ330" s="16"/>
      <c r="AR330" s="130"/>
      <c r="AS330" s="130">
        <v>1405</v>
      </c>
      <c r="AT330" s="130"/>
      <c r="AU330" s="130"/>
      <c r="AV330" s="130"/>
      <c r="AW330" s="12"/>
      <c r="AX330" s="12"/>
      <c r="AY330" s="12"/>
      <c r="AZ330" s="481"/>
    </row>
    <row r="331" spans="1:52" ht="30" customHeight="1" x14ac:dyDescent="0.2">
      <c r="A331" s="497">
        <v>329</v>
      </c>
      <c r="B331" s="481"/>
      <c r="C331" s="16"/>
      <c r="D331" s="482"/>
      <c r="E331" s="482"/>
      <c r="F331" s="482"/>
      <c r="G331" s="495"/>
      <c r="H331" s="481"/>
      <c r="I331" s="481"/>
      <c r="J331" s="360" t="s">
        <v>158</v>
      </c>
      <c r="K331" s="482"/>
      <c r="L331" s="482"/>
      <c r="M331" s="482"/>
      <c r="N331" s="41"/>
      <c r="O331" s="13"/>
      <c r="P331" s="13"/>
      <c r="Q331" s="13"/>
      <c r="R331" s="481"/>
      <c r="S331" s="481"/>
      <c r="T331" s="481"/>
      <c r="U331" s="482"/>
      <c r="V331" s="41"/>
      <c r="W331" s="13"/>
      <c r="X331" s="482"/>
      <c r="Y331" s="481"/>
      <c r="Z331" s="481"/>
      <c r="AA331" s="481"/>
      <c r="AB331" s="16"/>
      <c r="AC331" s="16"/>
      <c r="AD331" s="16"/>
      <c r="AE331" s="16"/>
      <c r="AF331" s="16"/>
      <c r="AG331" s="16"/>
      <c r="AH331" s="16"/>
      <c r="AI331" s="16"/>
      <c r="AJ331" s="481"/>
      <c r="AK331" s="482"/>
      <c r="AL331" s="25"/>
      <c r="AM331" s="481"/>
      <c r="AN331" s="481"/>
      <c r="AO331" s="481"/>
      <c r="AP331" s="16"/>
      <c r="AQ331" s="16"/>
      <c r="AR331" s="130"/>
      <c r="AS331" s="130">
        <v>1405</v>
      </c>
      <c r="AT331" s="130"/>
      <c r="AU331" s="130"/>
      <c r="AV331" s="130"/>
      <c r="AW331" s="12"/>
      <c r="AX331" s="12"/>
      <c r="AY331" s="12"/>
      <c r="AZ331" s="481"/>
    </row>
    <row r="332" spans="1:52" ht="30" customHeight="1" x14ac:dyDescent="0.2">
      <c r="A332" s="497">
        <v>330</v>
      </c>
      <c r="B332" s="481"/>
      <c r="C332" s="16"/>
      <c r="D332" s="482"/>
      <c r="E332" s="482"/>
      <c r="F332" s="482"/>
      <c r="G332" s="495"/>
      <c r="H332" s="481"/>
      <c r="I332" s="481"/>
      <c r="J332" s="360" t="s">
        <v>158</v>
      </c>
      <c r="K332" s="482"/>
      <c r="L332" s="482"/>
      <c r="M332" s="482"/>
      <c r="N332" s="41"/>
      <c r="O332" s="13"/>
      <c r="P332" s="13"/>
      <c r="Q332" s="13"/>
      <c r="R332" s="481"/>
      <c r="S332" s="481"/>
      <c r="T332" s="481"/>
      <c r="U332" s="482"/>
      <c r="V332" s="41"/>
      <c r="W332" s="13"/>
      <c r="X332" s="482"/>
      <c r="Y332" s="481"/>
      <c r="Z332" s="481"/>
      <c r="AA332" s="481"/>
      <c r="AB332" s="16"/>
      <c r="AC332" s="16"/>
      <c r="AD332" s="16"/>
      <c r="AE332" s="16"/>
      <c r="AF332" s="16"/>
      <c r="AG332" s="16"/>
      <c r="AH332" s="16"/>
      <c r="AI332" s="16"/>
      <c r="AJ332" s="481"/>
      <c r="AK332" s="482"/>
      <c r="AL332" s="25"/>
      <c r="AM332" s="481"/>
      <c r="AN332" s="481"/>
      <c r="AO332" s="481"/>
      <c r="AP332" s="16"/>
      <c r="AQ332" s="16"/>
      <c r="AR332" s="130"/>
      <c r="AS332" s="130">
        <v>1405</v>
      </c>
      <c r="AT332" s="130"/>
      <c r="AU332" s="130"/>
      <c r="AV332" s="130"/>
      <c r="AW332" s="12"/>
      <c r="AX332" s="12"/>
      <c r="AY332" s="12"/>
      <c r="AZ332" s="481"/>
    </row>
    <row r="333" spans="1:52" ht="30" customHeight="1" x14ac:dyDescent="0.2">
      <c r="A333" s="497">
        <v>331</v>
      </c>
      <c r="B333" s="481"/>
      <c r="C333" s="16"/>
      <c r="D333" s="482"/>
      <c r="E333" s="482"/>
      <c r="F333" s="482"/>
      <c r="G333" s="495"/>
      <c r="H333" s="481"/>
      <c r="I333" s="481"/>
      <c r="J333" s="360" t="s">
        <v>158</v>
      </c>
      <c r="K333" s="482"/>
      <c r="L333" s="482"/>
      <c r="M333" s="482"/>
      <c r="N333" s="41"/>
      <c r="O333" s="13"/>
      <c r="P333" s="13"/>
      <c r="Q333" s="13"/>
      <c r="R333" s="481"/>
      <c r="S333" s="481"/>
      <c r="T333" s="481"/>
      <c r="U333" s="482"/>
      <c r="V333" s="41"/>
      <c r="W333" s="13"/>
      <c r="X333" s="482"/>
      <c r="Y333" s="481"/>
      <c r="Z333" s="481"/>
      <c r="AA333" s="481"/>
      <c r="AB333" s="16"/>
      <c r="AC333" s="16"/>
      <c r="AD333" s="16"/>
      <c r="AE333" s="16"/>
      <c r="AF333" s="16"/>
      <c r="AG333" s="16"/>
      <c r="AH333" s="16"/>
      <c r="AI333" s="16"/>
      <c r="AJ333" s="481"/>
      <c r="AK333" s="482"/>
      <c r="AL333" s="25"/>
      <c r="AM333" s="481"/>
      <c r="AN333" s="481"/>
      <c r="AO333" s="481"/>
      <c r="AP333" s="16"/>
      <c r="AQ333" s="16"/>
      <c r="AR333" s="130"/>
      <c r="AS333" s="130">
        <v>1405</v>
      </c>
      <c r="AT333" s="130"/>
      <c r="AU333" s="130"/>
      <c r="AV333" s="130"/>
      <c r="AW333" s="12"/>
      <c r="AX333" s="12"/>
      <c r="AY333" s="12"/>
      <c r="AZ333" s="481"/>
    </row>
    <row r="334" spans="1:52" ht="30" customHeight="1" x14ac:dyDescent="0.2">
      <c r="A334" s="497">
        <v>332</v>
      </c>
      <c r="B334" s="481"/>
      <c r="C334" s="16"/>
      <c r="D334" s="482"/>
      <c r="E334" s="482"/>
      <c r="F334" s="482"/>
      <c r="G334" s="495"/>
      <c r="H334" s="481"/>
      <c r="I334" s="481"/>
      <c r="J334" s="360" t="s">
        <v>158</v>
      </c>
      <c r="K334" s="482"/>
      <c r="L334" s="482"/>
      <c r="M334" s="482"/>
      <c r="N334" s="41"/>
      <c r="O334" s="13"/>
      <c r="P334" s="13"/>
      <c r="Q334" s="13"/>
      <c r="R334" s="481"/>
      <c r="S334" s="481"/>
      <c r="T334" s="481"/>
      <c r="U334" s="482"/>
      <c r="V334" s="41"/>
      <c r="W334" s="13"/>
      <c r="X334" s="482"/>
      <c r="Y334" s="481"/>
      <c r="Z334" s="481"/>
      <c r="AA334" s="481"/>
      <c r="AB334" s="16"/>
      <c r="AC334" s="16"/>
      <c r="AD334" s="16"/>
      <c r="AE334" s="16"/>
      <c r="AF334" s="16"/>
      <c r="AG334" s="16"/>
      <c r="AH334" s="16"/>
      <c r="AI334" s="16"/>
      <c r="AJ334" s="481"/>
      <c r="AK334" s="482"/>
      <c r="AL334" s="25"/>
      <c r="AM334" s="481"/>
      <c r="AN334" s="481"/>
      <c r="AO334" s="481"/>
      <c r="AP334" s="16"/>
      <c r="AQ334" s="16"/>
      <c r="AR334" s="130"/>
      <c r="AS334" s="130">
        <v>1405</v>
      </c>
      <c r="AT334" s="130"/>
      <c r="AU334" s="130"/>
      <c r="AV334" s="130"/>
      <c r="AW334" s="12"/>
      <c r="AX334" s="12"/>
      <c r="AY334" s="12"/>
      <c r="AZ334" s="481"/>
    </row>
    <row r="335" spans="1:52" ht="30" customHeight="1" x14ac:dyDescent="0.2">
      <c r="A335" s="497">
        <v>333</v>
      </c>
      <c r="B335" s="481"/>
      <c r="C335" s="16"/>
      <c r="D335" s="482"/>
      <c r="E335" s="482"/>
      <c r="F335" s="482"/>
      <c r="G335" s="495"/>
      <c r="H335" s="481"/>
      <c r="I335" s="481"/>
      <c r="J335" s="360" t="s">
        <v>158</v>
      </c>
      <c r="K335" s="482"/>
      <c r="L335" s="482"/>
      <c r="M335" s="482"/>
      <c r="N335" s="41"/>
      <c r="O335" s="13"/>
      <c r="P335" s="13"/>
      <c r="Q335" s="13"/>
      <c r="R335" s="481"/>
      <c r="S335" s="481"/>
      <c r="T335" s="481"/>
      <c r="U335" s="482"/>
      <c r="V335" s="41"/>
      <c r="W335" s="13"/>
      <c r="X335" s="482"/>
      <c r="Y335" s="481"/>
      <c r="Z335" s="481"/>
      <c r="AA335" s="481"/>
      <c r="AB335" s="16"/>
      <c r="AC335" s="16"/>
      <c r="AD335" s="16"/>
      <c r="AE335" s="16"/>
      <c r="AF335" s="16"/>
      <c r="AG335" s="16"/>
      <c r="AH335" s="16"/>
      <c r="AI335" s="16"/>
      <c r="AJ335" s="481"/>
      <c r="AK335" s="482"/>
      <c r="AL335" s="25"/>
      <c r="AM335" s="481"/>
      <c r="AN335" s="481"/>
      <c r="AO335" s="481"/>
      <c r="AP335" s="16"/>
      <c r="AQ335" s="16"/>
      <c r="AR335" s="130"/>
      <c r="AS335" s="130">
        <v>1405</v>
      </c>
      <c r="AT335" s="130"/>
      <c r="AU335" s="130"/>
      <c r="AV335" s="130"/>
      <c r="AW335" s="12"/>
      <c r="AX335" s="12"/>
      <c r="AY335" s="12"/>
      <c r="AZ335" s="481"/>
    </row>
    <row r="336" spans="1:52" ht="30" customHeight="1" x14ac:dyDescent="0.2">
      <c r="A336" s="497">
        <v>334</v>
      </c>
      <c r="B336" s="481"/>
      <c r="C336" s="16"/>
      <c r="D336" s="482"/>
      <c r="E336" s="482"/>
      <c r="F336" s="482"/>
      <c r="G336" s="495"/>
      <c r="H336" s="481"/>
      <c r="I336" s="481"/>
      <c r="J336" s="360" t="s">
        <v>158</v>
      </c>
      <c r="K336" s="482"/>
      <c r="L336" s="482"/>
      <c r="M336" s="482"/>
      <c r="N336" s="41"/>
      <c r="O336" s="13"/>
      <c r="P336" s="13"/>
      <c r="Q336" s="13"/>
      <c r="R336" s="481"/>
      <c r="S336" s="481"/>
      <c r="T336" s="481"/>
      <c r="U336" s="482"/>
      <c r="V336" s="41"/>
      <c r="W336" s="13"/>
      <c r="X336" s="482"/>
      <c r="Y336" s="481"/>
      <c r="Z336" s="481"/>
      <c r="AA336" s="481"/>
      <c r="AB336" s="16"/>
      <c r="AC336" s="16"/>
      <c r="AD336" s="16"/>
      <c r="AE336" s="16"/>
      <c r="AF336" s="16"/>
      <c r="AG336" s="16"/>
      <c r="AH336" s="16"/>
      <c r="AI336" s="16"/>
      <c r="AJ336" s="481"/>
      <c r="AK336" s="482"/>
      <c r="AL336" s="25"/>
      <c r="AM336" s="481"/>
      <c r="AN336" s="481"/>
      <c r="AO336" s="481"/>
      <c r="AP336" s="16"/>
      <c r="AQ336" s="16"/>
      <c r="AR336" s="130"/>
      <c r="AS336" s="130">
        <v>1405</v>
      </c>
      <c r="AT336" s="130"/>
      <c r="AU336" s="130"/>
      <c r="AV336" s="130"/>
      <c r="AW336" s="12"/>
      <c r="AX336" s="12"/>
      <c r="AY336" s="12"/>
      <c r="AZ336" s="481"/>
    </row>
    <row r="337" spans="1:52" ht="30" customHeight="1" x14ac:dyDescent="0.2">
      <c r="A337" s="497">
        <v>335</v>
      </c>
      <c r="B337" s="481"/>
      <c r="C337" s="16"/>
      <c r="D337" s="482"/>
      <c r="E337" s="482"/>
      <c r="F337" s="482"/>
      <c r="G337" s="495"/>
      <c r="H337" s="481"/>
      <c r="I337" s="481"/>
      <c r="J337" s="360" t="s">
        <v>158</v>
      </c>
      <c r="K337" s="482"/>
      <c r="L337" s="482"/>
      <c r="M337" s="482"/>
      <c r="N337" s="41"/>
      <c r="O337" s="13"/>
      <c r="P337" s="13"/>
      <c r="Q337" s="13"/>
      <c r="R337" s="481"/>
      <c r="S337" s="481"/>
      <c r="T337" s="481"/>
      <c r="U337" s="482"/>
      <c r="V337" s="41"/>
      <c r="W337" s="13"/>
      <c r="X337" s="482"/>
      <c r="Y337" s="481"/>
      <c r="Z337" s="481"/>
      <c r="AA337" s="481"/>
      <c r="AB337" s="16"/>
      <c r="AC337" s="16"/>
      <c r="AD337" s="16"/>
      <c r="AE337" s="16"/>
      <c r="AF337" s="16"/>
      <c r="AG337" s="16"/>
      <c r="AH337" s="16"/>
      <c r="AI337" s="16"/>
      <c r="AJ337" s="481"/>
      <c r="AK337" s="482"/>
      <c r="AL337" s="25"/>
      <c r="AM337" s="481"/>
      <c r="AN337" s="481"/>
      <c r="AO337" s="481"/>
      <c r="AP337" s="16"/>
      <c r="AQ337" s="16"/>
      <c r="AR337" s="130"/>
      <c r="AS337" s="130">
        <v>1405</v>
      </c>
      <c r="AT337" s="130"/>
      <c r="AU337" s="130"/>
      <c r="AV337" s="130"/>
      <c r="AW337" s="12"/>
      <c r="AX337" s="12"/>
      <c r="AY337" s="12"/>
      <c r="AZ337" s="481"/>
    </row>
    <row r="338" spans="1:52" ht="30" customHeight="1" x14ac:dyDescent="0.2">
      <c r="A338" s="497">
        <v>336</v>
      </c>
      <c r="B338" s="481"/>
      <c r="C338" s="16"/>
      <c r="D338" s="482"/>
      <c r="E338" s="482"/>
      <c r="F338" s="482"/>
      <c r="G338" s="495"/>
      <c r="H338" s="481"/>
      <c r="I338" s="481"/>
      <c r="J338" s="360" t="s">
        <v>158</v>
      </c>
      <c r="K338" s="482"/>
      <c r="L338" s="482"/>
      <c r="M338" s="482"/>
      <c r="N338" s="41"/>
      <c r="O338" s="13"/>
      <c r="P338" s="13"/>
      <c r="Q338" s="13"/>
      <c r="R338" s="481"/>
      <c r="S338" s="481"/>
      <c r="T338" s="481"/>
      <c r="U338" s="482"/>
      <c r="V338" s="41"/>
      <c r="W338" s="13"/>
      <c r="X338" s="482"/>
      <c r="Y338" s="481"/>
      <c r="Z338" s="481"/>
      <c r="AA338" s="481"/>
      <c r="AB338" s="16"/>
      <c r="AC338" s="16"/>
      <c r="AD338" s="16"/>
      <c r="AE338" s="16"/>
      <c r="AF338" s="16"/>
      <c r="AG338" s="16"/>
      <c r="AH338" s="16"/>
      <c r="AI338" s="16"/>
      <c r="AJ338" s="481"/>
      <c r="AK338" s="482"/>
      <c r="AL338" s="25"/>
      <c r="AM338" s="481"/>
      <c r="AN338" s="481"/>
      <c r="AO338" s="481"/>
      <c r="AP338" s="16"/>
      <c r="AQ338" s="16"/>
      <c r="AR338" s="130"/>
      <c r="AS338" s="130">
        <v>1405</v>
      </c>
      <c r="AT338" s="130"/>
      <c r="AU338" s="130"/>
      <c r="AV338" s="130"/>
      <c r="AW338" s="12"/>
      <c r="AX338" s="12"/>
      <c r="AY338" s="12"/>
      <c r="AZ338" s="481"/>
    </row>
    <row r="339" spans="1:52" ht="30" customHeight="1" x14ac:dyDescent="0.2">
      <c r="A339" s="497">
        <v>337</v>
      </c>
      <c r="B339" s="481"/>
      <c r="C339" s="16"/>
      <c r="D339" s="482"/>
      <c r="E339" s="482"/>
      <c r="F339" s="482"/>
      <c r="G339" s="495"/>
      <c r="H339" s="481"/>
      <c r="I339" s="481"/>
      <c r="J339" s="360" t="s">
        <v>158</v>
      </c>
      <c r="K339" s="482"/>
      <c r="L339" s="482"/>
      <c r="M339" s="482"/>
      <c r="N339" s="41"/>
      <c r="O339" s="13"/>
      <c r="P339" s="13"/>
      <c r="Q339" s="13"/>
      <c r="R339" s="481"/>
      <c r="S339" s="481"/>
      <c r="T339" s="481"/>
      <c r="U339" s="482"/>
      <c r="V339" s="41"/>
      <c r="W339" s="13"/>
      <c r="X339" s="482"/>
      <c r="Y339" s="481"/>
      <c r="Z339" s="481"/>
      <c r="AA339" s="481"/>
      <c r="AB339" s="16"/>
      <c r="AC339" s="16"/>
      <c r="AD339" s="16"/>
      <c r="AE339" s="16"/>
      <c r="AF339" s="16"/>
      <c r="AG339" s="16"/>
      <c r="AH339" s="16"/>
      <c r="AI339" s="16"/>
      <c r="AJ339" s="481"/>
      <c r="AK339" s="482"/>
      <c r="AL339" s="25"/>
      <c r="AM339" s="481"/>
      <c r="AN339" s="481"/>
      <c r="AO339" s="481"/>
      <c r="AP339" s="16"/>
      <c r="AQ339" s="16"/>
      <c r="AR339" s="130"/>
      <c r="AS339" s="130">
        <v>1405</v>
      </c>
      <c r="AT339" s="130"/>
      <c r="AU339" s="130"/>
      <c r="AV339" s="130"/>
      <c r="AW339" s="12"/>
      <c r="AX339" s="12"/>
      <c r="AY339" s="12"/>
      <c r="AZ339" s="481"/>
    </row>
    <row r="340" spans="1:52" ht="30" customHeight="1" x14ac:dyDescent="0.2">
      <c r="A340" s="497">
        <v>338</v>
      </c>
      <c r="B340" s="481"/>
      <c r="C340" s="16"/>
      <c r="D340" s="482"/>
      <c r="E340" s="482"/>
      <c r="F340" s="482"/>
      <c r="G340" s="495"/>
      <c r="H340" s="481"/>
      <c r="I340" s="481"/>
      <c r="J340" s="360" t="s">
        <v>158</v>
      </c>
      <c r="K340" s="482"/>
      <c r="L340" s="482"/>
      <c r="M340" s="482"/>
      <c r="N340" s="41"/>
      <c r="O340" s="13"/>
      <c r="P340" s="13"/>
      <c r="Q340" s="13"/>
      <c r="R340" s="481"/>
      <c r="S340" s="481"/>
      <c r="T340" s="481"/>
      <c r="U340" s="482"/>
      <c r="V340" s="41"/>
      <c r="W340" s="13"/>
      <c r="X340" s="482"/>
      <c r="Y340" s="481"/>
      <c r="Z340" s="481"/>
      <c r="AA340" s="481"/>
      <c r="AB340" s="16"/>
      <c r="AC340" s="16"/>
      <c r="AD340" s="16"/>
      <c r="AE340" s="16"/>
      <c r="AF340" s="16"/>
      <c r="AG340" s="16"/>
      <c r="AH340" s="16"/>
      <c r="AI340" s="16"/>
      <c r="AJ340" s="481"/>
      <c r="AK340" s="482"/>
      <c r="AL340" s="25"/>
      <c r="AM340" s="481"/>
      <c r="AN340" s="481"/>
      <c r="AO340" s="481"/>
      <c r="AP340" s="16"/>
      <c r="AQ340" s="16"/>
      <c r="AR340" s="130"/>
      <c r="AS340" s="130">
        <v>1405</v>
      </c>
      <c r="AT340" s="130"/>
      <c r="AU340" s="130"/>
      <c r="AV340" s="130"/>
      <c r="AW340" s="12"/>
      <c r="AX340" s="12"/>
      <c r="AY340" s="12"/>
      <c r="AZ340" s="481"/>
    </row>
    <row r="341" spans="1:52" ht="30" customHeight="1" x14ac:dyDescent="0.2">
      <c r="A341" s="497">
        <v>339</v>
      </c>
      <c r="B341" s="481"/>
      <c r="C341" s="16"/>
      <c r="D341" s="482"/>
      <c r="E341" s="482"/>
      <c r="F341" s="482"/>
      <c r="G341" s="495"/>
      <c r="H341" s="481"/>
      <c r="I341" s="481"/>
      <c r="J341" s="360" t="s">
        <v>158</v>
      </c>
      <c r="K341" s="482"/>
      <c r="L341" s="482"/>
      <c r="M341" s="482"/>
      <c r="N341" s="41"/>
      <c r="O341" s="13"/>
      <c r="P341" s="13"/>
      <c r="Q341" s="13"/>
      <c r="R341" s="481"/>
      <c r="S341" s="481"/>
      <c r="T341" s="481"/>
      <c r="U341" s="482"/>
      <c r="V341" s="41"/>
      <c r="W341" s="13"/>
      <c r="X341" s="482"/>
      <c r="Y341" s="481"/>
      <c r="Z341" s="481"/>
      <c r="AA341" s="481"/>
      <c r="AB341" s="16"/>
      <c r="AC341" s="16"/>
      <c r="AD341" s="16"/>
      <c r="AE341" s="16"/>
      <c r="AF341" s="16"/>
      <c r="AG341" s="16"/>
      <c r="AH341" s="16"/>
      <c r="AI341" s="16"/>
      <c r="AJ341" s="481"/>
      <c r="AK341" s="482"/>
      <c r="AL341" s="25"/>
      <c r="AM341" s="481"/>
      <c r="AN341" s="481"/>
      <c r="AO341" s="481"/>
      <c r="AP341" s="16"/>
      <c r="AQ341" s="16"/>
      <c r="AR341" s="130"/>
      <c r="AS341" s="130">
        <v>1405</v>
      </c>
      <c r="AT341" s="130"/>
      <c r="AU341" s="130"/>
      <c r="AV341" s="130"/>
      <c r="AW341" s="12"/>
      <c r="AX341" s="12"/>
      <c r="AY341" s="12"/>
      <c r="AZ341" s="481"/>
    </row>
    <row r="342" spans="1:52" ht="30" customHeight="1" x14ac:dyDescent="0.2">
      <c r="A342" s="497">
        <v>340</v>
      </c>
      <c r="B342" s="481"/>
      <c r="C342" s="16"/>
      <c r="D342" s="482"/>
      <c r="E342" s="482"/>
      <c r="F342" s="482"/>
      <c r="G342" s="495"/>
      <c r="H342" s="481"/>
      <c r="I342" s="481"/>
      <c r="J342" s="360" t="s">
        <v>158</v>
      </c>
      <c r="K342" s="482"/>
      <c r="L342" s="482"/>
      <c r="M342" s="482"/>
      <c r="N342" s="41"/>
      <c r="O342" s="13"/>
      <c r="P342" s="13"/>
      <c r="Q342" s="13"/>
      <c r="R342" s="481"/>
      <c r="S342" s="481"/>
      <c r="T342" s="481"/>
      <c r="U342" s="482"/>
      <c r="V342" s="41"/>
      <c r="W342" s="13"/>
      <c r="X342" s="482"/>
      <c r="Y342" s="481"/>
      <c r="Z342" s="481"/>
      <c r="AA342" s="481"/>
      <c r="AB342" s="16"/>
      <c r="AC342" s="16"/>
      <c r="AD342" s="16"/>
      <c r="AE342" s="16"/>
      <c r="AF342" s="16"/>
      <c r="AG342" s="16"/>
      <c r="AH342" s="16"/>
      <c r="AI342" s="16"/>
      <c r="AJ342" s="481"/>
      <c r="AK342" s="482"/>
      <c r="AL342" s="25"/>
      <c r="AM342" s="481"/>
      <c r="AN342" s="481"/>
      <c r="AO342" s="481"/>
      <c r="AP342" s="16"/>
      <c r="AQ342" s="16"/>
      <c r="AR342" s="130"/>
      <c r="AS342" s="130">
        <v>1405</v>
      </c>
      <c r="AT342" s="130"/>
      <c r="AU342" s="130"/>
      <c r="AV342" s="130"/>
      <c r="AW342" s="12"/>
      <c r="AX342" s="12"/>
      <c r="AY342" s="12"/>
      <c r="AZ342" s="481"/>
    </row>
    <row r="343" spans="1:52" ht="30" customHeight="1" x14ac:dyDescent="0.2">
      <c r="A343" s="497">
        <v>341</v>
      </c>
      <c r="B343" s="481"/>
      <c r="C343" s="16"/>
      <c r="D343" s="482"/>
      <c r="E343" s="482"/>
      <c r="F343" s="482"/>
      <c r="G343" s="495"/>
      <c r="H343" s="481"/>
      <c r="I343" s="481"/>
      <c r="J343" s="360" t="s">
        <v>158</v>
      </c>
      <c r="K343" s="482"/>
      <c r="L343" s="482"/>
      <c r="M343" s="482"/>
      <c r="N343" s="41"/>
      <c r="O343" s="13"/>
      <c r="P343" s="13"/>
      <c r="Q343" s="13"/>
      <c r="R343" s="481"/>
      <c r="S343" s="481"/>
      <c r="T343" s="481"/>
      <c r="U343" s="482"/>
      <c r="V343" s="41"/>
      <c r="W343" s="13"/>
      <c r="X343" s="482"/>
      <c r="Y343" s="481"/>
      <c r="Z343" s="481"/>
      <c r="AA343" s="481"/>
      <c r="AB343" s="16"/>
      <c r="AC343" s="16"/>
      <c r="AD343" s="16"/>
      <c r="AE343" s="16"/>
      <c r="AF343" s="16"/>
      <c r="AG343" s="16"/>
      <c r="AH343" s="16"/>
      <c r="AI343" s="16"/>
      <c r="AJ343" s="481"/>
      <c r="AK343" s="482"/>
      <c r="AL343" s="25"/>
      <c r="AM343" s="481"/>
      <c r="AN343" s="481"/>
      <c r="AO343" s="481"/>
      <c r="AP343" s="16"/>
      <c r="AQ343" s="16"/>
      <c r="AR343" s="130"/>
      <c r="AS343" s="130">
        <v>1405</v>
      </c>
      <c r="AT343" s="130"/>
      <c r="AU343" s="130"/>
      <c r="AV343" s="130"/>
      <c r="AW343" s="12"/>
      <c r="AX343" s="12"/>
      <c r="AY343" s="12"/>
      <c r="AZ343" s="481"/>
    </row>
    <row r="344" spans="1:52" ht="30" customHeight="1" x14ac:dyDescent="0.2">
      <c r="A344" s="497">
        <v>342</v>
      </c>
      <c r="B344" s="481"/>
      <c r="C344" s="16"/>
      <c r="D344" s="482"/>
      <c r="E344" s="482"/>
      <c r="F344" s="482"/>
      <c r="G344" s="495"/>
      <c r="H344" s="481"/>
      <c r="I344" s="481"/>
      <c r="J344" s="360" t="s">
        <v>158</v>
      </c>
      <c r="K344" s="482"/>
      <c r="L344" s="482"/>
      <c r="M344" s="482"/>
      <c r="N344" s="41"/>
      <c r="O344" s="13"/>
      <c r="P344" s="13"/>
      <c r="Q344" s="13"/>
      <c r="R344" s="481"/>
      <c r="S344" s="481"/>
      <c r="T344" s="481"/>
      <c r="U344" s="482"/>
      <c r="V344" s="41"/>
      <c r="W344" s="13"/>
      <c r="X344" s="482"/>
      <c r="Y344" s="481"/>
      <c r="Z344" s="481"/>
      <c r="AA344" s="481"/>
      <c r="AB344" s="16"/>
      <c r="AC344" s="16"/>
      <c r="AD344" s="16"/>
      <c r="AE344" s="16"/>
      <c r="AF344" s="16"/>
      <c r="AG344" s="16"/>
      <c r="AH344" s="16"/>
      <c r="AI344" s="16"/>
      <c r="AJ344" s="481"/>
      <c r="AK344" s="482"/>
      <c r="AL344" s="25"/>
      <c r="AM344" s="481"/>
      <c r="AN344" s="481"/>
      <c r="AO344" s="481"/>
      <c r="AP344" s="16"/>
      <c r="AQ344" s="16"/>
      <c r="AR344" s="130"/>
      <c r="AS344" s="130">
        <v>1405</v>
      </c>
      <c r="AT344" s="130"/>
      <c r="AU344" s="130"/>
      <c r="AV344" s="130"/>
      <c r="AW344" s="12"/>
      <c r="AX344" s="12"/>
      <c r="AY344" s="12"/>
      <c r="AZ344" s="481"/>
    </row>
    <row r="345" spans="1:52" ht="30" customHeight="1" x14ac:dyDescent="0.2">
      <c r="A345" s="497">
        <v>343</v>
      </c>
      <c r="B345" s="481"/>
      <c r="C345" s="16"/>
      <c r="D345" s="482"/>
      <c r="E345" s="482"/>
      <c r="F345" s="482"/>
      <c r="G345" s="495"/>
      <c r="H345" s="481"/>
      <c r="I345" s="481"/>
      <c r="J345" s="360" t="s">
        <v>158</v>
      </c>
      <c r="K345" s="482"/>
      <c r="L345" s="482"/>
      <c r="M345" s="482"/>
      <c r="N345" s="41"/>
      <c r="O345" s="13"/>
      <c r="P345" s="13"/>
      <c r="Q345" s="13"/>
      <c r="R345" s="481"/>
      <c r="S345" s="481"/>
      <c r="T345" s="481"/>
      <c r="U345" s="482"/>
      <c r="V345" s="41"/>
      <c r="W345" s="13"/>
      <c r="X345" s="482"/>
      <c r="Y345" s="481"/>
      <c r="Z345" s="481"/>
      <c r="AA345" s="481"/>
      <c r="AB345" s="16"/>
      <c r="AC345" s="16"/>
      <c r="AD345" s="16"/>
      <c r="AE345" s="16"/>
      <c r="AF345" s="16"/>
      <c r="AG345" s="16"/>
      <c r="AH345" s="16"/>
      <c r="AI345" s="16"/>
      <c r="AJ345" s="481"/>
      <c r="AK345" s="482"/>
      <c r="AL345" s="25"/>
      <c r="AM345" s="481"/>
      <c r="AN345" s="481"/>
      <c r="AO345" s="481"/>
      <c r="AP345" s="16"/>
      <c r="AQ345" s="16"/>
      <c r="AR345" s="130"/>
      <c r="AS345" s="130">
        <v>1405</v>
      </c>
      <c r="AT345" s="130"/>
      <c r="AU345" s="130"/>
      <c r="AV345" s="130"/>
      <c r="AW345" s="12"/>
      <c r="AX345" s="12"/>
      <c r="AY345" s="12"/>
      <c r="AZ345" s="481"/>
    </row>
    <row r="346" spans="1:52" ht="30" customHeight="1" x14ac:dyDescent="0.2">
      <c r="A346" s="497">
        <v>344</v>
      </c>
      <c r="B346" s="481"/>
      <c r="C346" s="16"/>
      <c r="D346" s="482"/>
      <c r="E346" s="482"/>
      <c r="F346" s="482"/>
      <c r="G346" s="495"/>
      <c r="H346" s="481"/>
      <c r="I346" s="481"/>
      <c r="J346" s="360" t="s">
        <v>158</v>
      </c>
      <c r="K346" s="482"/>
      <c r="L346" s="482"/>
      <c r="M346" s="482"/>
      <c r="N346" s="41"/>
      <c r="O346" s="13"/>
      <c r="P346" s="13"/>
      <c r="Q346" s="13"/>
      <c r="R346" s="481"/>
      <c r="S346" s="481"/>
      <c r="T346" s="481"/>
      <c r="U346" s="482"/>
      <c r="V346" s="41"/>
      <c r="W346" s="13"/>
      <c r="X346" s="482"/>
      <c r="Y346" s="481"/>
      <c r="Z346" s="481"/>
      <c r="AA346" s="481"/>
      <c r="AB346" s="16"/>
      <c r="AC346" s="16"/>
      <c r="AD346" s="16"/>
      <c r="AE346" s="16"/>
      <c r="AF346" s="16"/>
      <c r="AG346" s="16"/>
      <c r="AH346" s="16"/>
      <c r="AI346" s="16"/>
      <c r="AJ346" s="481"/>
      <c r="AK346" s="482"/>
      <c r="AL346" s="25"/>
      <c r="AM346" s="481"/>
      <c r="AN346" s="481"/>
      <c r="AO346" s="481"/>
      <c r="AP346" s="16"/>
      <c r="AQ346" s="16"/>
      <c r="AR346" s="130"/>
      <c r="AS346" s="130">
        <v>1405</v>
      </c>
      <c r="AT346" s="130"/>
      <c r="AU346" s="130"/>
      <c r="AV346" s="130"/>
      <c r="AW346" s="12"/>
      <c r="AX346" s="12"/>
      <c r="AY346" s="12"/>
      <c r="AZ346" s="481"/>
    </row>
    <row r="347" spans="1:52" ht="30" customHeight="1" x14ac:dyDescent="0.2">
      <c r="A347" s="497">
        <v>345</v>
      </c>
      <c r="B347" s="481"/>
      <c r="C347" s="16"/>
      <c r="D347" s="482"/>
      <c r="E347" s="482"/>
      <c r="F347" s="482"/>
      <c r="G347" s="495"/>
      <c r="H347" s="481"/>
      <c r="I347" s="481"/>
      <c r="J347" s="360" t="s">
        <v>158</v>
      </c>
      <c r="K347" s="482"/>
      <c r="L347" s="482"/>
      <c r="M347" s="482"/>
      <c r="N347" s="41"/>
      <c r="O347" s="13"/>
      <c r="P347" s="13"/>
      <c r="Q347" s="13"/>
      <c r="R347" s="481"/>
      <c r="S347" s="481"/>
      <c r="T347" s="481"/>
      <c r="U347" s="482"/>
      <c r="V347" s="41"/>
      <c r="W347" s="13"/>
      <c r="X347" s="482"/>
      <c r="Y347" s="481"/>
      <c r="Z347" s="481"/>
      <c r="AA347" s="481"/>
      <c r="AB347" s="16"/>
      <c r="AC347" s="16"/>
      <c r="AD347" s="16"/>
      <c r="AE347" s="16"/>
      <c r="AF347" s="16"/>
      <c r="AG347" s="16"/>
      <c r="AH347" s="16"/>
      <c r="AI347" s="16"/>
      <c r="AJ347" s="481"/>
      <c r="AK347" s="482"/>
      <c r="AL347" s="25"/>
      <c r="AM347" s="481"/>
      <c r="AN347" s="481"/>
      <c r="AO347" s="481"/>
      <c r="AP347" s="16"/>
      <c r="AQ347" s="16"/>
      <c r="AR347" s="130"/>
      <c r="AS347" s="130">
        <v>1405</v>
      </c>
      <c r="AT347" s="130"/>
      <c r="AU347" s="130"/>
      <c r="AV347" s="130"/>
      <c r="AW347" s="12"/>
      <c r="AX347" s="12"/>
      <c r="AY347" s="12"/>
      <c r="AZ347" s="481"/>
    </row>
    <row r="348" spans="1:52" ht="30" customHeight="1" x14ac:dyDescent="0.2">
      <c r="A348" s="497">
        <v>346</v>
      </c>
      <c r="B348" s="481"/>
      <c r="C348" s="16"/>
      <c r="D348" s="482"/>
      <c r="E348" s="482"/>
      <c r="F348" s="482"/>
      <c r="G348" s="495"/>
      <c r="H348" s="481"/>
      <c r="I348" s="481"/>
      <c r="J348" s="360" t="s">
        <v>158</v>
      </c>
      <c r="K348" s="482"/>
      <c r="L348" s="482"/>
      <c r="M348" s="482"/>
      <c r="N348" s="41"/>
      <c r="O348" s="13"/>
      <c r="P348" s="13"/>
      <c r="Q348" s="13"/>
      <c r="R348" s="481"/>
      <c r="S348" s="481"/>
      <c r="T348" s="481"/>
      <c r="U348" s="482"/>
      <c r="V348" s="41"/>
      <c r="W348" s="13"/>
      <c r="X348" s="482"/>
      <c r="Y348" s="481"/>
      <c r="Z348" s="481"/>
      <c r="AA348" s="481"/>
      <c r="AB348" s="16"/>
      <c r="AC348" s="16"/>
      <c r="AD348" s="16"/>
      <c r="AE348" s="16"/>
      <c r="AF348" s="16"/>
      <c r="AG348" s="16"/>
      <c r="AH348" s="16"/>
      <c r="AI348" s="16"/>
      <c r="AJ348" s="481"/>
      <c r="AK348" s="482"/>
      <c r="AL348" s="25"/>
      <c r="AM348" s="481"/>
      <c r="AN348" s="481"/>
      <c r="AO348" s="481"/>
      <c r="AP348" s="16"/>
      <c r="AQ348" s="16"/>
      <c r="AR348" s="130"/>
      <c r="AS348" s="130">
        <v>1405</v>
      </c>
      <c r="AT348" s="130"/>
      <c r="AU348" s="130"/>
      <c r="AV348" s="130"/>
      <c r="AW348" s="12"/>
      <c r="AX348" s="12"/>
      <c r="AY348" s="12"/>
      <c r="AZ348" s="481"/>
    </row>
    <row r="349" spans="1:52" ht="30" customHeight="1" x14ac:dyDescent="0.2">
      <c r="A349" s="497">
        <v>347</v>
      </c>
      <c r="B349" s="481"/>
      <c r="C349" s="16"/>
      <c r="D349" s="482"/>
      <c r="E349" s="482"/>
      <c r="F349" s="482"/>
      <c r="G349" s="495"/>
      <c r="H349" s="481"/>
      <c r="I349" s="481"/>
      <c r="J349" s="360" t="s">
        <v>158</v>
      </c>
      <c r="K349" s="482"/>
      <c r="L349" s="482"/>
      <c r="M349" s="482"/>
      <c r="N349" s="41"/>
      <c r="O349" s="13"/>
      <c r="P349" s="13"/>
      <c r="Q349" s="13"/>
      <c r="R349" s="481"/>
      <c r="S349" s="481"/>
      <c r="T349" s="481"/>
      <c r="U349" s="482"/>
      <c r="V349" s="41"/>
      <c r="W349" s="13"/>
      <c r="X349" s="482"/>
      <c r="Y349" s="481"/>
      <c r="Z349" s="481"/>
      <c r="AA349" s="481"/>
      <c r="AB349" s="16"/>
      <c r="AC349" s="16"/>
      <c r="AD349" s="16"/>
      <c r="AE349" s="16"/>
      <c r="AF349" s="16"/>
      <c r="AG349" s="16"/>
      <c r="AH349" s="16"/>
      <c r="AI349" s="16"/>
      <c r="AJ349" s="481"/>
      <c r="AK349" s="482"/>
      <c r="AL349" s="25"/>
      <c r="AM349" s="481"/>
      <c r="AN349" s="481"/>
      <c r="AO349" s="481"/>
      <c r="AP349" s="16"/>
      <c r="AQ349" s="16"/>
      <c r="AR349" s="130"/>
      <c r="AS349" s="130">
        <v>1405</v>
      </c>
      <c r="AT349" s="130"/>
      <c r="AU349" s="130"/>
      <c r="AV349" s="130"/>
      <c r="AW349" s="12"/>
      <c r="AX349" s="12"/>
      <c r="AY349" s="12"/>
      <c r="AZ349" s="481"/>
    </row>
    <row r="350" spans="1:52" ht="30" customHeight="1" x14ac:dyDescent="0.2">
      <c r="A350" s="497">
        <v>348</v>
      </c>
      <c r="B350" s="481"/>
      <c r="C350" s="16"/>
      <c r="D350" s="482"/>
      <c r="E350" s="482"/>
      <c r="F350" s="482"/>
      <c r="G350" s="495"/>
      <c r="H350" s="481"/>
      <c r="I350" s="481"/>
      <c r="J350" s="360" t="s">
        <v>158</v>
      </c>
      <c r="K350" s="482"/>
      <c r="L350" s="482"/>
      <c r="M350" s="482"/>
      <c r="N350" s="41"/>
      <c r="O350" s="13"/>
      <c r="P350" s="13"/>
      <c r="Q350" s="13"/>
      <c r="R350" s="481"/>
      <c r="S350" s="481"/>
      <c r="T350" s="481"/>
      <c r="U350" s="482"/>
      <c r="V350" s="41"/>
      <c r="W350" s="13"/>
      <c r="X350" s="482"/>
      <c r="Y350" s="481"/>
      <c r="Z350" s="481"/>
      <c r="AA350" s="481"/>
      <c r="AB350" s="16"/>
      <c r="AC350" s="16"/>
      <c r="AD350" s="16"/>
      <c r="AE350" s="16"/>
      <c r="AF350" s="16"/>
      <c r="AG350" s="16"/>
      <c r="AH350" s="16"/>
      <c r="AI350" s="16"/>
      <c r="AJ350" s="481"/>
      <c r="AK350" s="482"/>
      <c r="AL350" s="25"/>
      <c r="AM350" s="481"/>
      <c r="AN350" s="481"/>
      <c r="AO350" s="481"/>
      <c r="AP350" s="16"/>
      <c r="AQ350" s="16"/>
      <c r="AR350" s="130"/>
      <c r="AS350" s="130">
        <v>1405</v>
      </c>
      <c r="AT350" s="130"/>
      <c r="AU350" s="130"/>
      <c r="AV350" s="130"/>
      <c r="AW350" s="12"/>
      <c r="AX350" s="12"/>
      <c r="AY350" s="12"/>
      <c r="AZ350" s="481"/>
    </row>
    <row r="351" spans="1:52" ht="30" customHeight="1" x14ac:dyDescent="0.2">
      <c r="A351" s="497">
        <v>349</v>
      </c>
      <c r="B351" s="481"/>
      <c r="C351" s="16"/>
      <c r="D351" s="482"/>
      <c r="E351" s="482"/>
      <c r="F351" s="482"/>
      <c r="G351" s="495"/>
      <c r="H351" s="481"/>
      <c r="I351" s="481"/>
      <c r="J351" s="360" t="s">
        <v>158</v>
      </c>
      <c r="K351" s="482"/>
      <c r="L351" s="482"/>
      <c r="M351" s="482"/>
      <c r="N351" s="41"/>
      <c r="O351" s="13"/>
      <c r="P351" s="13"/>
      <c r="Q351" s="13"/>
      <c r="R351" s="481"/>
      <c r="S351" s="481"/>
      <c r="T351" s="481"/>
      <c r="U351" s="482"/>
      <c r="V351" s="41"/>
      <c r="W351" s="13"/>
      <c r="X351" s="482"/>
      <c r="Y351" s="481"/>
      <c r="Z351" s="481"/>
      <c r="AA351" s="481"/>
      <c r="AB351" s="16"/>
      <c r="AC351" s="16"/>
      <c r="AD351" s="16"/>
      <c r="AE351" s="16"/>
      <c r="AF351" s="16"/>
      <c r="AG351" s="16"/>
      <c r="AH351" s="16"/>
      <c r="AI351" s="16"/>
      <c r="AJ351" s="481"/>
      <c r="AK351" s="482"/>
      <c r="AL351" s="25"/>
      <c r="AM351" s="481"/>
      <c r="AN351" s="481"/>
      <c r="AO351" s="481"/>
      <c r="AP351" s="16"/>
      <c r="AQ351" s="16"/>
      <c r="AR351" s="130"/>
      <c r="AS351" s="130">
        <v>1405</v>
      </c>
      <c r="AT351" s="130"/>
      <c r="AU351" s="130"/>
      <c r="AV351" s="130"/>
      <c r="AW351" s="12"/>
      <c r="AX351" s="12"/>
      <c r="AY351" s="12"/>
      <c r="AZ351" s="481"/>
    </row>
    <row r="352" spans="1:52" ht="30" customHeight="1" x14ac:dyDescent="0.2">
      <c r="A352" s="497">
        <v>350</v>
      </c>
      <c r="B352" s="481"/>
      <c r="C352" s="16"/>
      <c r="D352" s="482"/>
      <c r="E352" s="482"/>
      <c r="F352" s="482"/>
      <c r="G352" s="495"/>
      <c r="H352" s="481"/>
      <c r="I352" s="481"/>
      <c r="J352" s="360" t="s">
        <v>158</v>
      </c>
      <c r="K352" s="482"/>
      <c r="L352" s="482"/>
      <c r="M352" s="482"/>
      <c r="N352" s="41"/>
      <c r="O352" s="13"/>
      <c r="P352" s="13"/>
      <c r="Q352" s="13"/>
      <c r="R352" s="481"/>
      <c r="S352" s="481"/>
      <c r="T352" s="481"/>
      <c r="U352" s="482"/>
      <c r="V352" s="41"/>
      <c r="W352" s="13"/>
      <c r="X352" s="482"/>
      <c r="Y352" s="481"/>
      <c r="Z352" s="481"/>
      <c r="AA352" s="481"/>
      <c r="AB352" s="16"/>
      <c r="AC352" s="16"/>
      <c r="AD352" s="16"/>
      <c r="AE352" s="16"/>
      <c r="AF352" s="16"/>
      <c r="AG352" s="16"/>
      <c r="AH352" s="16"/>
      <c r="AI352" s="16"/>
      <c r="AJ352" s="481"/>
      <c r="AK352" s="482"/>
      <c r="AL352" s="25"/>
      <c r="AM352" s="481"/>
      <c r="AN352" s="481"/>
      <c r="AO352" s="481"/>
      <c r="AP352" s="16"/>
      <c r="AQ352" s="16"/>
      <c r="AR352" s="130"/>
      <c r="AS352" s="130">
        <v>1405</v>
      </c>
      <c r="AT352" s="130"/>
      <c r="AU352" s="130"/>
      <c r="AV352" s="130"/>
      <c r="AW352" s="12"/>
      <c r="AX352" s="12"/>
      <c r="AY352" s="12"/>
      <c r="AZ352" s="481"/>
    </row>
    <row r="353" spans="1:52" ht="30" customHeight="1" x14ac:dyDescent="0.2">
      <c r="A353" s="497">
        <v>351</v>
      </c>
      <c r="B353" s="481"/>
      <c r="C353" s="16"/>
      <c r="D353" s="482"/>
      <c r="E353" s="482"/>
      <c r="F353" s="482"/>
      <c r="G353" s="495"/>
      <c r="H353" s="481"/>
      <c r="I353" s="481"/>
      <c r="J353" s="360" t="s">
        <v>158</v>
      </c>
      <c r="K353" s="482"/>
      <c r="L353" s="482"/>
      <c r="M353" s="482"/>
      <c r="N353" s="41"/>
      <c r="O353" s="13"/>
      <c r="P353" s="13"/>
      <c r="Q353" s="13"/>
      <c r="R353" s="481"/>
      <c r="S353" s="481"/>
      <c r="T353" s="481"/>
      <c r="U353" s="482"/>
      <c r="V353" s="41"/>
      <c r="W353" s="13"/>
      <c r="X353" s="482"/>
      <c r="Y353" s="481"/>
      <c r="Z353" s="481"/>
      <c r="AA353" s="481"/>
      <c r="AB353" s="16"/>
      <c r="AC353" s="16"/>
      <c r="AD353" s="16"/>
      <c r="AE353" s="16"/>
      <c r="AF353" s="16"/>
      <c r="AG353" s="16"/>
      <c r="AH353" s="16"/>
      <c r="AI353" s="16"/>
      <c r="AJ353" s="481"/>
      <c r="AK353" s="482"/>
      <c r="AL353" s="25"/>
      <c r="AM353" s="481"/>
      <c r="AN353" s="481"/>
      <c r="AO353" s="481"/>
      <c r="AP353" s="16"/>
      <c r="AQ353" s="16"/>
      <c r="AR353" s="130"/>
      <c r="AS353" s="130">
        <v>1405</v>
      </c>
      <c r="AT353" s="130"/>
      <c r="AU353" s="130"/>
      <c r="AV353" s="130"/>
      <c r="AW353" s="12"/>
      <c r="AX353" s="12"/>
      <c r="AY353" s="12"/>
      <c r="AZ353" s="481"/>
    </row>
    <row r="354" spans="1:52" ht="30" customHeight="1" x14ac:dyDescent="0.2">
      <c r="A354" s="497">
        <v>352</v>
      </c>
      <c r="B354" s="481"/>
      <c r="C354" s="16"/>
      <c r="D354" s="482"/>
      <c r="E354" s="482"/>
      <c r="F354" s="482"/>
      <c r="G354" s="495"/>
      <c r="H354" s="481"/>
      <c r="I354" s="481"/>
      <c r="J354" s="360" t="s">
        <v>158</v>
      </c>
      <c r="K354" s="482"/>
      <c r="L354" s="482"/>
      <c r="M354" s="482"/>
      <c r="N354" s="41"/>
      <c r="O354" s="13"/>
      <c r="P354" s="13"/>
      <c r="Q354" s="13"/>
      <c r="R354" s="481"/>
      <c r="S354" s="481"/>
      <c r="T354" s="481"/>
      <c r="U354" s="482"/>
      <c r="V354" s="41"/>
      <c r="W354" s="13"/>
      <c r="X354" s="482"/>
      <c r="Y354" s="481"/>
      <c r="Z354" s="481"/>
      <c r="AA354" s="481"/>
      <c r="AB354" s="16"/>
      <c r="AC354" s="16"/>
      <c r="AD354" s="16"/>
      <c r="AE354" s="16"/>
      <c r="AF354" s="16"/>
      <c r="AG354" s="16"/>
      <c r="AH354" s="16"/>
      <c r="AI354" s="16"/>
      <c r="AJ354" s="481"/>
      <c r="AK354" s="482"/>
      <c r="AL354" s="25"/>
      <c r="AM354" s="481"/>
      <c r="AN354" s="481"/>
      <c r="AO354" s="481"/>
      <c r="AP354" s="16"/>
      <c r="AQ354" s="16"/>
      <c r="AR354" s="130"/>
      <c r="AS354" s="130">
        <v>1405</v>
      </c>
      <c r="AT354" s="130"/>
      <c r="AU354" s="130"/>
      <c r="AV354" s="130"/>
      <c r="AW354" s="12"/>
      <c r="AX354" s="12"/>
      <c r="AY354" s="12"/>
      <c r="AZ354" s="481"/>
    </row>
    <row r="355" spans="1:52" ht="30" customHeight="1" x14ac:dyDescent="0.2">
      <c r="A355" s="497">
        <v>353</v>
      </c>
      <c r="B355" s="481"/>
      <c r="C355" s="16"/>
      <c r="D355" s="482"/>
      <c r="E355" s="482"/>
      <c r="F355" s="482"/>
      <c r="G355" s="495"/>
      <c r="H355" s="481"/>
      <c r="I355" s="481"/>
      <c r="J355" s="360" t="s">
        <v>158</v>
      </c>
      <c r="K355" s="482"/>
      <c r="L355" s="482"/>
      <c r="M355" s="482"/>
      <c r="N355" s="41"/>
      <c r="O355" s="13"/>
      <c r="P355" s="13"/>
      <c r="Q355" s="13"/>
      <c r="R355" s="481"/>
      <c r="S355" s="481"/>
      <c r="T355" s="481"/>
      <c r="U355" s="482"/>
      <c r="V355" s="41"/>
      <c r="W355" s="13"/>
      <c r="X355" s="482"/>
      <c r="Y355" s="481"/>
      <c r="Z355" s="481"/>
      <c r="AA355" s="481"/>
      <c r="AB355" s="16"/>
      <c r="AC355" s="16"/>
      <c r="AD355" s="16"/>
      <c r="AE355" s="16"/>
      <c r="AF355" s="16"/>
      <c r="AG355" s="16"/>
      <c r="AH355" s="16"/>
      <c r="AI355" s="16"/>
      <c r="AJ355" s="481"/>
      <c r="AK355" s="482"/>
      <c r="AL355" s="25"/>
      <c r="AM355" s="481"/>
      <c r="AN355" s="481"/>
      <c r="AO355" s="481"/>
      <c r="AP355" s="16"/>
      <c r="AQ355" s="16"/>
      <c r="AR355" s="130"/>
      <c r="AS355" s="130">
        <v>1405</v>
      </c>
      <c r="AT355" s="130"/>
      <c r="AU355" s="130"/>
      <c r="AV355" s="130"/>
      <c r="AW355" s="12"/>
      <c r="AX355" s="12"/>
      <c r="AY355" s="12"/>
      <c r="AZ355" s="481"/>
    </row>
    <row r="356" spans="1:52" ht="30" customHeight="1" x14ac:dyDescent="0.2">
      <c r="A356" s="497">
        <v>354</v>
      </c>
      <c r="B356" s="481"/>
      <c r="C356" s="16"/>
      <c r="D356" s="482"/>
      <c r="E356" s="482"/>
      <c r="F356" s="482"/>
      <c r="G356" s="495"/>
      <c r="H356" s="481"/>
      <c r="I356" s="481"/>
      <c r="J356" s="360" t="s">
        <v>158</v>
      </c>
      <c r="K356" s="482"/>
      <c r="L356" s="482"/>
      <c r="M356" s="482"/>
      <c r="N356" s="41"/>
      <c r="O356" s="13"/>
      <c r="P356" s="13"/>
      <c r="Q356" s="13"/>
      <c r="R356" s="481"/>
      <c r="S356" s="481"/>
      <c r="T356" s="481"/>
      <c r="U356" s="482"/>
      <c r="V356" s="41"/>
      <c r="W356" s="13"/>
      <c r="X356" s="482"/>
      <c r="Y356" s="481"/>
      <c r="Z356" s="481"/>
      <c r="AA356" s="481"/>
      <c r="AB356" s="16"/>
      <c r="AC356" s="16"/>
      <c r="AD356" s="16"/>
      <c r="AE356" s="16"/>
      <c r="AF356" s="16"/>
      <c r="AG356" s="16"/>
      <c r="AH356" s="16"/>
      <c r="AI356" s="16"/>
      <c r="AJ356" s="481"/>
      <c r="AK356" s="482"/>
      <c r="AL356" s="25"/>
      <c r="AM356" s="481"/>
      <c r="AN356" s="481"/>
      <c r="AO356" s="481"/>
      <c r="AP356" s="16"/>
      <c r="AQ356" s="16"/>
      <c r="AR356" s="130"/>
      <c r="AS356" s="130">
        <v>1405</v>
      </c>
      <c r="AT356" s="130"/>
      <c r="AU356" s="130"/>
      <c r="AV356" s="130"/>
      <c r="AW356" s="12"/>
      <c r="AX356" s="12"/>
      <c r="AY356" s="12"/>
      <c r="AZ356" s="481"/>
    </row>
    <row r="357" spans="1:52" ht="30" customHeight="1" x14ac:dyDescent="0.2">
      <c r="A357" s="497">
        <v>355</v>
      </c>
      <c r="B357" s="481"/>
      <c r="C357" s="16"/>
      <c r="D357" s="482"/>
      <c r="E357" s="482"/>
      <c r="F357" s="482"/>
      <c r="G357" s="495"/>
      <c r="H357" s="481"/>
      <c r="I357" s="481"/>
      <c r="J357" s="360" t="s">
        <v>158</v>
      </c>
      <c r="K357" s="482"/>
      <c r="L357" s="482"/>
      <c r="M357" s="482"/>
      <c r="N357" s="41"/>
      <c r="O357" s="13"/>
      <c r="P357" s="13"/>
      <c r="Q357" s="13"/>
      <c r="R357" s="481"/>
      <c r="S357" s="481"/>
      <c r="T357" s="481"/>
      <c r="U357" s="482"/>
      <c r="V357" s="41"/>
      <c r="W357" s="13"/>
      <c r="X357" s="482"/>
      <c r="Y357" s="481"/>
      <c r="Z357" s="481"/>
      <c r="AA357" s="481"/>
      <c r="AB357" s="16"/>
      <c r="AC357" s="16"/>
      <c r="AD357" s="16"/>
      <c r="AE357" s="16"/>
      <c r="AF357" s="16"/>
      <c r="AG357" s="16"/>
      <c r="AH357" s="16"/>
      <c r="AI357" s="16"/>
      <c r="AJ357" s="481"/>
      <c r="AK357" s="482"/>
      <c r="AL357" s="25"/>
      <c r="AM357" s="481"/>
      <c r="AN357" s="481"/>
      <c r="AO357" s="481"/>
      <c r="AP357" s="16"/>
      <c r="AQ357" s="16"/>
      <c r="AR357" s="130"/>
      <c r="AS357" s="130">
        <v>1405</v>
      </c>
      <c r="AT357" s="130"/>
      <c r="AU357" s="130"/>
      <c r="AV357" s="130"/>
      <c r="AW357" s="12"/>
      <c r="AX357" s="12"/>
      <c r="AY357" s="12"/>
      <c r="AZ357" s="481"/>
    </row>
    <row r="358" spans="1:52" ht="30" customHeight="1" x14ac:dyDescent="0.2">
      <c r="A358" s="497">
        <v>356</v>
      </c>
      <c r="B358" s="481"/>
      <c r="C358" s="16"/>
      <c r="D358" s="482"/>
      <c r="E358" s="482"/>
      <c r="F358" s="482"/>
      <c r="G358" s="495"/>
      <c r="H358" s="481"/>
      <c r="I358" s="481"/>
      <c r="J358" s="360" t="s">
        <v>158</v>
      </c>
      <c r="K358" s="482"/>
      <c r="L358" s="482"/>
      <c r="M358" s="482"/>
      <c r="N358" s="41"/>
      <c r="O358" s="13"/>
      <c r="P358" s="13"/>
      <c r="Q358" s="13"/>
      <c r="R358" s="481"/>
      <c r="S358" s="481"/>
      <c r="T358" s="481"/>
      <c r="U358" s="482"/>
      <c r="V358" s="41"/>
      <c r="W358" s="13"/>
      <c r="X358" s="482"/>
      <c r="Y358" s="481"/>
      <c r="Z358" s="481"/>
      <c r="AA358" s="481"/>
      <c r="AB358" s="16"/>
      <c r="AC358" s="16"/>
      <c r="AD358" s="16"/>
      <c r="AE358" s="16"/>
      <c r="AF358" s="16"/>
      <c r="AG358" s="16"/>
      <c r="AH358" s="16"/>
      <c r="AI358" s="16"/>
      <c r="AJ358" s="481"/>
      <c r="AK358" s="482"/>
      <c r="AL358" s="25"/>
      <c r="AM358" s="481"/>
      <c r="AN358" s="481"/>
      <c r="AO358" s="481"/>
      <c r="AP358" s="16"/>
      <c r="AQ358" s="16"/>
      <c r="AR358" s="130"/>
      <c r="AS358" s="130">
        <v>1405</v>
      </c>
      <c r="AT358" s="130"/>
      <c r="AU358" s="130"/>
      <c r="AV358" s="130"/>
      <c r="AW358" s="12"/>
      <c r="AX358" s="12"/>
      <c r="AY358" s="12"/>
      <c r="AZ358" s="481"/>
    </row>
    <row r="359" spans="1:52" ht="30" customHeight="1" x14ac:dyDescent="0.2">
      <c r="A359" s="497">
        <v>357</v>
      </c>
      <c r="B359" s="481"/>
      <c r="C359" s="16"/>
      <c r="D359" s="482"/>
      <c r="E359" s="482"/>
      <c r="F359" s="482"/>
      <c r="G359" s="495"/>
      <c r="H359" s="481"/>
      <c r="I359" s="481"/>
      <c r="J359" s="360" t="s">
        <v>158</v>
      </c>
      <c r="K359" s="482"/>
      <c r="L359" s="482"/>
      <c r="M359" s="482"/>
      <c r="N359" s="41"/>
      <c r="O359" s="13"/>
      <c r="P359" s="13"/>
      <c r="Q359" s="13"/>
      <c r="R359" s="481"/>
      <c r="S359" s="481"/>
      <c r="T359" s="481"/>
      <c r="U359" s="482"/>
      <c r="V359" s="41"/>
      <c r="W359" s="13"/>
      <c r="X359" s="482"/>
      <c r="Y359" s="481"/>
      <c r="Z359" s="481"/>
      <c r="AA359" s="481"/>
      <c r="AB359" s="16"/>
      <c r="AC359" s="16"/>
      <c r="AD359" s="16"/>
      <c r="AE359" s="16"/>
      <c r="AF359" s="16"/>
      <c r="AG359" s="16"/>
      <c r="AH359" s="16"/>
      <c r="AI359" s="16"/>
      <c r="AJ359" s="481"/>
      <c r="AK359" s="482"/>
      <c r="AL359" s="25"/>
      <c r="AM359" s="481"/>
      <c r="AN359" s="481"/>
      <c r="AO359" s="481"/>
      <c r="AP359" s="16"/>
      <c r="AQ359" s="16"/>
      <c r="AR359" s="130"/>
      <c r="AS359" s="130">
        <v>1405</v>
      </c>
      <c r="AT359" s="130"/>
      <c r="AU359" s="130"/>
      <c r="AV359" s="130"/>
      <c r="AW359" s="12"/>
      <c r="AX359" s="12"/>
      <c r="AY359" s="12"/>
      <c r="AZ359" s="481"/>
    </row>
    <row r="360" spans="1:52" ht="30" customHeight="1" x14ac:dyDescent="0.2">
      <c r="A360" s="497">
        <v>358</v>
      </c>
      <c r="B360" s="481"/>
      <c r="C360" s="16"/>
      <c r="D360" s="482"/>
      <c r="E360" s="482"/>
      <c r="F360" s="482"/>
      <c r="G360" s="495"/>
      <c r="H360" s="481"/>
      <c r="I360" s="481"/>
      <c r="J360" s="360" t="s">
        <v>158</v>
      </c>
      <c r="K360" s="482"/>
      <c r="L360" s="482"/>
      <c r="M360" s="482"/>
      <c r="N360" s="41"/>
      <c r="O360" s="13"/>
      <c r="P360" s="13"/>
      <c r="Q360" s="13"/>
      <c r="R360" s="481"/>
      <c r="S360" s="481"/>
      <c r="T360" s="481"/>
      <c r="U360" s="482"/>
      <c r="V360" s="41"/>
      <c r="W360" s="13"/>
      <c r="X360" s="482"/>
      <c r="Y360" s="481"/>
      <c r="Z360" s="481"/>
      <c r="AA360" s="481"/>
      <c r="AB360" s="16"/>
      <c r="AC360" s="16"/>
      <c r="AD360" s="16"/>
      <c r="AE360" s="16"/>
      <c r="AF360" s="16"/>
      <c r="AG360" s="16"/>
      <c r="AH360" s="16"/>
      <c r="AI360" s="16"/>
      <c r="AJ360" s="481"/>
      <c r="AK360" s="482"/>
      <c r="AL360" s="25"/>
      <c r="AM360" s="481"/>
      <c r="AN360" s="481"/>
      <c r="AO360" s="481"/>
      <c r="AP360" s="16"/>
      <c r="AQ360" s="16"/>
      <c r="AR360" s="130"/>
      <c r="AS360" s="130">
        <v>1405</v>
      </c>
      <c r="AT360" s="130"/>
      <c r="AU360" s="130"/>
      <c r="AV360" s="130"/>
      <c r="AW360" s="12"/>
      <c r="AX360" s="12"/>
      <c r="AY360" s="12"/>
      <c r="AZ360" s="481"/>
    </row>
    <row r="361" spans="1:52" ht="30" customHeight="1" x14ac:dyDescent="0.2">
      <c r="A361" s="497">
        <v>359</v>
      </c>
      <c r="B361" s="481"/>
      <c r="C361" s="16"/>
      <c r="D361" s="482"/>
      <c r="E361" s="482"/>
      <c r="F361" s="482"/>
      <c r="G361" s="495"/>
      <c r="H361" s="481"/>
      <c r="I361" s="481"/>
      <c r="J361" s="360" t="s">
        <v>158</v>
      </c>
      <c r="K361" s="482"/>
      <c r="L361" s="482"/>
      <c r="M361" s="482"/>
      <c r="N361" s="41"/>
      <c r="O361" s="13"/>
      <c r="P361" s="13"/>
      <c r="Q361" s="13"/>
      <c r="R361" s="481"/>
      <c r="S361" s="481"/>
      <c r="T361" s="481"/>
      <c r="U361" s="482"/>
      <c r="V361" s="41"/>
      <c r="W361" s="13"/>
      <c r="X361" s="482"/>
      <c r="Y361" s="481"/>
      <c r="Z361" s="481"/>
      <c r="AA361" s="481"/>
      <c r="AB361" s="16"/>
      <c r="AC361" s="16"/>
      <c r="AD361" s="16"/>
      <c r="AE361" s="16"/>
      <c r="AF361" s="16"/>
      <c r="AG361" s="16"/>
      <c r="AH361" s="16"/>
      <c r="AI361" s="16"/>
      <c r="AJ361" s="481"/>
      <c r="AK361" s="482"/>
      <c r="AL361" s="25"/>
      <c r="AM361" s="481"/>
      <c r="AN361" s="481"/>
      <c r="AO361" s="481"/>
      <c r="AP361" s="16"/>
      <c r="AQ361" s="16"/>
      <c r="AR361" s="130"/>
      <c r="AS361" s="130">
        <v>1405</v>
      </c>
      <c r="AT361" s="130"/>
      <c r="AU361" s="130"/>
      <c r="AV361" s="130"/>
      <c r="AW361" s="12"/>
      <c r="AX361" s="12"/>
      <c r="AY361" s="12"/>
      <c r="AZ361" s="481"/>
    </row>
    <row r="362" spans="1:52" ht="30" customHeight="1" x14ac:dyDescent="0.2">
      <c r="A362" s="497">
        <v>360</v>
      </c>
      <c r="B362" s="481"/>
      <c r="C362" s="16"/>
      <c r="D362" s="482"/>
      <c r="E362" s="482"/>
      <c r="F362" s="482"/>
      <c r="G362" s="495"/>
      <c r="H362" s="481"/>
      <c r="I362" s="481"/>
      <c r="J362" s="360" t="s">
        <v>158</v>
      </c>
      <c r="K362" s="482"/>
      <c r="L362" s="482"/>
      <c r="M362" s="482"/>
      <c r="N362" s="41"/>
      <c r="O362" s="13"/>
      <c r="P362" s="13"/>
      <c r="Q362" s="13"/>
      <c r="R362" s="481"/>
      <c r="S362" s="481"/>
      <c r="T362" s="481"/>
      <c r="U362" s="482"/>
      <c r="V362" s="41"/>
      <c r="W362" s="13"/>
      <c r="X362" s="482"/>
      <c r="Y362" s="481"/>
      <c r="Z362" s="481"/>
      <c r="AA362" s="481"/>
      <c r="AB362" s="16"/>
      <c r="AC362" s="16"/>
      <c r="AD362" s="16"/>
      <c r="AE362" s="16"/>
      <c r="AF362" s="16"/>
      <c r="AG362" s="16"/>
      <c r="AH362" s="16"/>
      <c r="AI362" s="16"/>
      <c r="AJ362" s="481"/>
      <c r="AK362" s="482"/>
      <c r="AL362" s="25"/>
      <c r="AM362" s="481"/>
      <c r="AN362" s="481"/>
      <c r="AO362" s="481"/>
      <c r="AP362" s="16"/>
      <c r="AQ362" s="16"/>
      <c r="AR362" s="130"/>
      <c r="AS362" s="130">
        <v>1405</v>
      </c>
      <c r="AT362" s="130"/>
      <c r="AU362" s="130"/>
      <c r="AV362" s="130"/>
      <c r="AW362" s="12"/>
      <c r="AX362" s="12"/>
      <c r="AY362" s="12"/>
      <c r="AZ362" s="481"/>
    </row>
    <row r="363" spans="1:52" ht="30" customHeight="1" x14ac:dyDescent="0.2">
      <c r="A363" s="497">
        <v>361</v>
      </c>
      <c r="B363" s="481"/>
      <c r="C363" s="16"/>
      <c r="D363" s="482"/>
      <c r="E363" s="482"/>
      <c r="F363" s="482"/>
      <c r="G363" s="495"/>
      <c r="H363" s="481"/>
      <c r="I363" s="481"/>
      <c r="J363" s="360" t="s">
        <v>158</v>
      </c>
      <c r="K363" s="482"/>
      <c r="L363" s="482"/>
      <c r="M363" s="482"/>
      <c r="N363" s="41"/>
      <c r="O363" s="13"/>
      <c r="P363" s="13"/>
      <c r="Q363" s="13"/>
      <c r="R363" s="481"/>
      <c r="S363" s="481"/>
      <c r="T363" s="481"/>
      <c r="U363" s="482"/>
      <c r="V363" s="41"/>
      <c r="W363" s="13"/>
      <c r="X363" s="482"/>
      <c r="Y363" s="481"/>
      <c r="Z363" s="481"/>
      <c r="AA363" s="481"/>
      <c r="AB363" s="16"/>
      <c r="AC363" s="16"/>
      <c r="AD363" s="16"/>
      <c r="AE363" s="16"/>
      <c r="AF363" s="16"/>
      <c r="AG363" s="16"/>
      <c r="AH363" s="16"/>
      <c r="AI363" s="16"/>
      <c r="AJ363" s="481"/>
      <c r="AK363" s="482"/>
      <c r="AL363" s="25"/>
      <c r="AM363" s="481"/>
      <c r="AN363" s="481"/>
      <c r="AO363" s="481"/>
      <c r="AP363" s="16"/>
      <c r="AQ363" s="16"/>
      <c r="AR363" s="130"/>
      <c r="AS363" s="130">
        <v>1405</v>
      </c>
      <c r="AT363" s="130"/>
      <c r="AU363" s="130"/>
      <c r="AV363" s="130"/>
      <c r="AW363" s="12"/>
      <c r="AX363" s="12"/>
      <c r="AY363" s="12"/>
      <c r="AZ363" s="481"/>
    </row>
    <row r="364" spans="1:52" ht="30" customHeight="1" x14ac:dyDescent="0.2">
      <c r="A364" s="497">
        <v>362</v>
      </c>
      <c r="B364" s="481"/>
      <c r="C364" s="16"/>
      <c r="D364" s="482"/>
      <c r="E364" s="482"/>
      <c r="F364" s="482"/>
      <c r="G364" s="495"/>
      <c r="H364" s="481"/>
      <c r="I364" s="481"/>
      <c r="J364" s="360" t="s">
        <v>158</v>
      </c>
      <c r="K364" s="482"/>
      <c r="L364" s="482"/>
      <c r="M364" s="482"/>
      <c r="N364" s="41"/>
      <c r="O364" s="13"/>
      <c r="P364" s="13"/>
      <c r="Q364" s="13"/>
      <c r="R364" s="481"/>
      <c r="S364" s="481"/>
      <c r="T364" s="481"/>
      <c r="U364" s="482"/>
      <c r="V364" s="41"/>
      <c r="W364" s="13"/>
      <c r="X364" s="482"/>
      <c r="Y364" s="481"/>
      <c r="Z364" s="481"/>
      <c r="AA364" s="481"/>
      <c r="AB364" s="16"/>
      <c r="AC364" s="16"/>
      <c r="AD364" s="16"/>
      <c r="AE364" s="16"/>
      <c r="AF364" s="16"/>
      <c r="AG364" s="16"/>
      <c r="AH364" s="16"/>
      <c r="AI364" s="16"/>
      <c r="AJ364" s="481"/>
      <c r="AK364" s="482"/>
      <c r="AL364" s="25"/>
      <c r="AM364" s="481"/>
      <c r="AN364" s="481"/>
      <c r="AO364" s="481"/>
      <c r="AP364" s="16"/>
      <c r="AQ364" s="16"/>
      <c r="AR364" s="130"/>
      <c r="AS364" s="130">
        <v>1405</v>
      </c>
      <c r="AT364" s="130"/>
      <c r="AU364" s="130"/>
      <c r="AV364" s="130"/>
      <c r="AW364" s="12"/>
      <c r="AX364" s="12"/>
      <c r="AY364" s="12"/>
      <c r="AZ364" s="481"/>
    </row>
    <row r="365" spans="1:52" ht="30" customHeight="1" x14ac:dyDescent="0.2">
      <c r="A365" s="497">
        <v>363</v>
      </c>
      <c r="B365" s="481"/>
      <c r="C365" s="16"/>
      <c r="D365" s="482"/>
      <c r="E365" s="482"/>
      <c r="F365" s="482"/>
      <c r="G365" s="495"/>
      <c r="H365" s="481"/>
      <c r="I365" s="481"/>
      <c r="J365" s="360" t="s">
        <v>158</v>
      </c>
      <c r="K365" s="482"/>
      <c r="L365" s="482"/>
      <c r="M365" s="482"/>
      <c r="N365" s="41"/>
      <c r="O365" s="13"/>
      <c r="P365" s="13"/>
      <c r="Q365" s="13"/>
      <c r="R365" s="481"/>
      <c r="S365" s="481"/>
      <c r="T365" s="481"/>
      <c r="U365" s="482"/>
      <c r="V365" s="41"/>
      <c r="W365" s="13"/>
      <c r="X365" s="482"/>
      <c r="Y365" s="481"/>
      <c r="Z365" s="481"/>
      <c r="AA365" s="481"/>
      <c r="AB365" s="16"/>
      <c r="AC365" s="16"/>
      <c r="AD365" s="16"/>
      <c r="AE365" s="16"/>
      <c r="AF365" s="16"/>
      <c r="AG365" s="16"/>
      <c r="AH365" s="16"/>
      <c r="AI365" s="16"/>
      <c r="AJ365" s="481"/>
      <c r="AK365" s="482"/>
      <c r="AL365" s="25"/>
      <c r="AM365" s="481"/>
      <c r="AN365" s="481"/>
      <c r="AO365" s="481"/>
      <c r="AP365" s="16"/>
      <c r="AQ365" s="16"/>
      <c r="AR365" s="130"/>
      <c r="AS365" s="130">
        <v>1405</v>
      </c>
      <c r="AT365" s="130"/>
      <c r="AU365" s="130"/>
      <c r="AV365" s="130"/>
      <c r="AW365" s="12"/>
      <c r="AX365" s="12"/>
      <c r="AY365" s="12"/>
      <c r="AZ365" s="481"/>
    </row>
    <row r="366" spans="1:52" ht="30" customHeight="1" x14ac:dyDescent="0.2">
      <c r="A366" s="497">
        <v>364</v>
      </c>
      <c r="B366" s="481"/>
      <c r="C366" s="16"/>
      <c r="D366" s="482"/>
      <c r="E366" s="482"/>
      <c r="F366" s="482"/>
      <c r="G366" s="495"/>
      <c r="H366" s="481"/>
      <c r="I366" s="481"/>
      <c r="J366" s="360" t="s">
        <v>158</v>
      </c>
      <c r="K366" s="482"/>
      <c r="L366" s="482"/>
      <c r="M366" s="482"/>
      <c r="N366" s="41"/>
      <c r="O366" s="13"/>
      <c r="P366" s="13"/>
      <c r="Q366" s="13"/>
      <c r="R366" s="481"/>
      <c r="S366" s="481"/>
      <c r="T366" s="481"/>
      <c r="U366" s="482"/>
      <c r="V366" s="41"/>
      <c r="W366" s="13"/>
      <c r="X366" s="482"/>
      <c r="Y366" s="481"/>
      <c r="Z366" s="481"/>
      <c r="AA366" s="481"/>
      <c r="AB366" s="16"/>
      <c r="AC366" s="16"/>
      <c r="AD366" s="16"/>
      <c r="AE366" s="16"/>
      <c r="AF366" s="16"/>
      <c r="AG366" s="16"/>
      <c r="AH366" s="16"/>
      <c r="AI366" s="16"/>
      <c r="AJ366" s="481"/>
      <c r="AK366" s="482"/>
      <c r="AL366" s="25"/>
      <c r="AM366" s="481"/>
      <c r="AN366" s="481"/>
      <c r="AO366" s="481"/>
      <c r="AP366" s="16"/>
      <c r="AQ366" s="16"/>
      <c r="AR366" s="130"/>
      <c r="AS366" s="130">
        <v>1405</v>
      </c>
      <c r="AT366" s="130"/>
      <c r="AU366" s="130"/>
      <c r="AV366" s="130"/>
      <c r="AW366" s="12"/>
      <c r="AX366" s="12"/>
      <c r="AY366" s="12"/>
      <c r="AZ366" s="481"/>
    </row>
    <row r="367" spans="1:52" ht="30" customHeight="1" x14ac:dyDescent="0.2">
      <c r="A367" s="497">
        <v>365</v>
      </c>
      <c r="B367" s="481"/>
      <c r="C367" s="16"/>
      <c r="D367" s="482"/>
      <c r="E367" s="482"/>
      <c r="F367" s="482"/>
      <c r="G367" s="495"/>
      <c r="H367" s="481"/>
      <c r="I367" s="481"/>
      <c r="J367" s="360" t="s">
        <v>158</v>
      </c>
      <c r="K367" s="482"/>
      <c r="L367" s="482"/>
      <c r="M367" s="482"/>
      <c r="N367" s="41"/>
      <c r="O367" s="13"/>
      <c r="P367" s="13"/>
      <c r="Q367" s="13"/>
      <c r="R367" s="481"/>
      <c r="S367" s="481"/>
      <c r="T367" s="481"/>
      <c r="U367" s="482"/>
      <c r="V367" s="41"/>
      <c r="W367" s="13"/>
      <c r="X367" s="482"/>
      <c r="Y367" s="481"/>
      <c r="Z367" s="481"/>
      <c r="AA367" s="481"/>
      <c r="AB367" s="16"/>
      <c r="AC367" s="16"/>
      <c r="AD367" s="16"/>
      <c r="AE367" s="16"/>
      <c r="AF367" s="16"/>
      <c r="AG367" s="16"/>
      <c r="AH367" s="16"/>
      <c r="AI367" s="16"/>
      <c r="AJ367" s="481"/>
      <c r="AK367" s="482"/>
      <c r="AL367" s="25"/>
      <c r="AM367" s="481"/>
      <c r="AN367" s="481"/>
      <c r="AO367" s="481"/>
      <c r="AP367" s="16"/>
      <c r="AQ367" s="16"/>
      <c r="AR367" s="130"/>
      <c r="AS367" s="130">
        <v>1405</v>
      </c>
      <c r="AT367" s="130"/>
      <c r="AU367" s="130"/>
      <c r="AV367" s="130"/>
      <c r="AW367" s="12"/>
      <c r="AX367" s="12"/>
      <c r="AY367" s="12"/>
      <c r="AZ367" s="481"/>
    </row>
    <row r="368" spans="1:52" ht="30" customHeight="1" x14ac:dyDescent="0.2">
      <c r="A368" s="497">
        <v>366</v>
      </c>
      <c r="B368" s="481"/>
      <c r="C368" s="16"/>
      <c r="D368" s="482"/>
      <c r="E368" s="482"/>
      <c r="F368" s="482"/>
      <c r="G368" s="495"/>
      <c r="H368" s="481"/>
      <c r="I368" s="481"/>
      <c r="J368" s="360" t="s">
        <v>158</v>
      </c>
      <c r="K368" s="482"/>
      <c r="L368" s="482"/>
      <c r="M368" s="482"/>
      <c r="N368" s="41"/>
      <c r="O368" s="13"/>
      <c r="P368" s="13"/>
      <c r="Q368" s="13"/>
      <c r="R368" s="481"/>
      <c r="S368" s="481"/>
      <c r="T368" s="481"/>
      <c r="U368" s="482"/>
      <c r="V368" s="41"/>
      <c r="W368" s="13"/>
      <c r="X368" s="482"/>
      <c r="Y368" s="481"/>
      <c r="Z368" s="481"/>
      <c r="AA368" s="481"/>
      <c r="AB368" s="16"/>
      <c r="AC368" s="16"/>
      <c r="AD368" s="16"/>
      <c r="AE368" s="16"/>
      <c r="AF368" s="16"/>
      <c r="AG368" s="16"/>
      <c r="AH368" s="16"/>
      <c r="AI368" s="16"/>
      <c r="AJ368" s="481"/>
      <c r="AK368" s="482"/>
      <c r="AL368" s="25"/>
      <c r="AM368" s="481"/>
      <c r="AN368" s="481"/>
      <c r="AO368" s="481"/>
      <c r="AP368" s="16"/>
      <c r="AQ368" s="16"/>
      <c r="AR368" s="130"/>
      <c r="AS368" s="130">
        <v>1405</v>
      </c>
      <c r="AT368" s="130"/>
      <c r="AU368" s="130"/>
      <c r="AV368" s="130"/>
      <c r="AW368" s="12"/>
      <c r="AX368" s="12"/>
      <c r="AY368" s="12"/>
      <c r="AZ368" s="481"/>
    </row>
    <row r="369" spans="1:52" ht="30" customHeight="1" x14ac:dyDescent="0.2">
      <c r="A369" s="497">
        <v>367</v>
      </c>
      <c r="B369" s="481"/>
      <c r="C369" s="16"/>
      <c r="D369" s="482"/>
      <c r="E369" s="482"/>
      <c r="F369" s="482"/>
      <c r="G369" s="495"/>
      <c r="H369" s="481"/>
      <c r="I369" s="481"/>
      <c r="J369" s="360" t="s">
        <v>158</v>
      </c>
      <c r="K369" s="482"/>
      <c r="L369" s="482"/>
      <c r="M369" s="482"/>
      <c r="N369" s="41"/>
      <c r="O369" s="13"/>
      <c r="P369" s="13"/>
      <c r="Q369" s="13"/>
      <c r="R369" s="481"/>
      <c r="S369" s="481"/>
      <c r="T369" s="481"/>
      <c r="U369" s="482"/>
      <c r="V369" s="41"/>
      <c r="W369" s="13"/>
      <c r="X369" s="482"/>
      <c r="Y369" s="481"/>
      <c r="Z369" s="481"/>
      <c r="AA369" s="481"/>
      <c r="AB369" s="16"/>
      <c r="AC369" s="16"/>
      <c r="AD369" s="16"/>
      <c r="AE369" s="16"/>
      <c r="AF369" s="16"/>
      <c r="AG369" s="16"/>
      <c r="AH369" s="16"/>
      <c r="AI369" s="16"/>
      <c r="AJ369" s="481"/>
      <c r="AK369" s="482"/>
      <c r="AL369" s="25"/>
      <c r="AM369" s="481"/>
      <c r="AN369" s="481"/>
      <c r="AO369" s="481"/>
      <c r="AP369" s="16"/>
      <c r="AQ369" s="16"/>
      <c r="AR369" s="130"/>
      <c r="AS369" s="130">
        <v>1405</v>
      </c>
      <c r="AT369" s="130"/>
      <c r="AU369" s="130"/>
      <c r="AV369" s="130"/>
      <c r="AW369" s="12"/>
      <c r="AX369" s="12"/>
      <c r="AY369" s="12"/>
      <c r="AZ369" s="481"/>
    </row>
    <row r="370" spans="1:52" ht="30" customHeight="1" x14ac:dyDescent="0.2">
      <c r="A370" s="497">
        <v>368</v>
      </c>
      <c r="B370" s="481"/>
      <c r="C370" s="16"/>
      <c r="D370" s="482"/>
      <c r="E370" s="482"/>
      <c r="F370" s="482"/>
      <c r="G370" s="495"/>
      <c r="H370" s="481"/>
      <c r="I370" s="481"/>
      <c r="J370" s="360" t="s">
        <v>158</v>
      </c>
      <c r="K370" s="482"/>
      <c r="L370" s="482"/>
      <c r="M370" s="482"/>
      <c r="N370" s="41"/>
      <c r="O370" s="13"/>
      <c r="P370" s="13"/>
      <c r="Q370" s="13"/>
      <c r="R370" s="481"/>
      <c r="S370" s="481"/>
      <c r="T370" s="481"/>
      <c r="U370" s="482"/>
      <c r="V370" s="41"/>
      <c r="W370" s="13"/>
      <c r="X370" s="482"/>
      <c r="Y370" s="481"/>
      <c r="Z370" s="481"/>
      <c r="AA370" s="481"/>
      <c r="AB370" s="16"/>
      <c r="AC370" s="16"/>
      <c r="AD370" s="16"/>
      <c r="AE370" s="16"/>
      <c r="AF370" s="16"/>
      <c r="AG370" s="16"/>
      <c r="AH370" s="16"/>
      <c r="AI370" s="16"/>
      <c r="AJ370" s="481"/>
      <c r="AK370" s="482"/>
      <c r="AL370" s="25"/>
      <c r="AM370" s="481"/>
      <c r="AN370" s="481"/>
      <c r="AO370" s="481"/>
      <c r="AP370" s="16"/>
      <c r="AQ370" s="16"/>
      <c r="AR370" s="130"/>
      <c r="AS370" s="130">
        <v>1405</v>
      </c>
      <c r="AT370" s="130"/>
      <c r="AU370" s="130"/>
      <c r="AV370" s="130"/>
      <c r="AW370" s="12"/>
      <c r="AX370" s="12"/>
      <c r="AY370" s="12"/>
      <c r="AZ370" s="481"/>
    </row>
    <row r="371" spans="1:52" ht="30" customHeight="1" x14ac:dyDescent="0.2">
      <c r="A371" s="497">
        <v>369</v>
      </c>
      <c r="B371" s="481"/>
      <c r="C371" s="16"/>
      <c r="D371" s="482"/>
      <c r="E371" s="482"/>
      <c r="F371" s="482"/>
      <c r="G371" s="495"/>
      <c r="H371" s="481"/>
      <c r="I371" s="481"/>
      <c r="J371" s="360" t="s">
        <v>158</v>
      </c>
      <c r="K371" s="482"/>
      <c r="L371" s="482"/>
      <c r="M371" s="482"/>
      <c r="N371" s="41"/>
      <c r="O371" s="13"/>
      <c r="P371" s="13"/>
      <c r="Q371" s="13"/>
      <c r="R371" s="481"/>
      <c r="S371" s="481"/>
      <c r="T371" s="481"/>
      <c r="U371" s="482"/>
      <c r="V371" s="41"/>
      <c r="W371" s="13"/>
      <c r="X371" s="482"/>
      <c r="Y371" s="481"/>
      <c r="Z371" s="481"/>
      <c r="AA371" s="481"/>
      <c r="AB371" s="16"/>
      <c r="AC371" s="16"/>
      <c r="AD371" s="16"/>
      <c r="AE371" s="16"/>
      <c r="AF371" s="16"/>
      <c r="AG371" s="16"/>
      <c r="AH371" s="16"/>
      <c r="AI371" s="16"/>
      <c r="AJ371" s="481"/>
      <c r="AK371" s="482"/>
      <c r="AL371" s="25"/>
      <c r="AM371" s="481"/>
      <c r="AN371" s="481"/>
      <c r="AO371" s="481"/>
      <c r="AP371" s="16"/>
      <c r="AQ371" s="16"/>
      <c r="AR371" s="130"/>
      <c r="AS371" s="130">
        <v>1405</v>
      </c>
      <c r="AT371" s="130"/>
      <c r="AU371" s="130"/>
      <c r="AV371" s="130"/>
      <c r="AW371" s="12"/>
      <c r="AX371" s="12"/>
      <c r="AY371" s="12"/>
      <c r="AZ371" s="481"/>
    </row>
    <row r="372" spans="1:52" ht="30" customHeight="1" x14ac:dyDescent="0.2">
      <c r="A372" s="497">
        <v>370</v>
      </c>
      <c r="B372" s="481"/>
      <c r="C372" s="16"/>
      <c r="D372" s="482"/>
      <c r="E372" s="482"/>
      <c r="F372" s="482"/>
      <c r="G372" s="495"/>
      <c r="H372" s="481"/>
      <c r="I372" s="481"/>
      <c r="J372" s="360" t="s">
        <v>158</v>
      </c>
      <c r="K372" s="482"/>
      <c r="L372" s="482"/>
      <c r="M372" s="482"/>
      <c r="N372" s="41"/>
      <c r="O372" s="13"/>
      <c r="P372" s="13"/>
      <c r="Q372" s="13"/>
      <c r="R372" s="481"/>
      <c r="S372" s="481"/>
      <c r="T372" s="481"/>
      <c r="U372" s="482"/>
      <c r="V372" s="41"/>
      <c r="W372" s="13"/>
      <c r="X372" s="482"/>
      <c r="Y372" s="481"/>
      <c r="Z372" s="481"/>
      <c r="AA372" s="481"/>
      <c r="AB372" s="16"/>
      <c r="AC372" s="16"/>
      <c r="AD372" s="16"/>
      <c r="AE372" s="16"/>
      <c r="AF372" s="16"/>
      <c r="AG372" s="16"/>
      <c r="AH372" s="16"/>
      <c r="AI372" s="16"/>
      <c r="AJ372" s="481"/>
      <c r="AK372" s="482"/>
      <c r="AL372" s="25"/>
      <c r="AM372" s="481"/>
      <c r="AN372" s="481"/>
      <c r="AO372" s="481"/>
      <c r="AP372" s="16"/>
      <c r="AQ372" s="16"/>
      <c r="AR372" s="130"/>
      <c r="AS372" s="130">
        <v>1405</v>
      </c>
      <c r="AT372" s="130"/>
      <c r="AU372" s="130"/>
      <c r="AV372" s="130"/>
      <c r="AW372" s="12"/>
      <c r="AX372" s="12"/>
      <c r="AY372" s="12"/>
      <c r="AZ372" s="481"/>
    </row>
    <row r="373" spans="1:52" ht="30" customHeight="1" x14ac:dyDescent="0.2">
      <c r="A373" s="497">
        <v>371</v>
      </c>
      <c r="B373" s="481"/>
      <c r="C373" s="16"/>
      <c r="D373" s="482"/>
      <c r="E373" s="482"/>
      <c r="F373" s="482"/>
      <c r="G373" s="495"/>
      <c r="H373" s="481"/>
      <c r="I373" s="481"/>
      <c r="J373" s="360" t="s">
        <v>158</v>
      </c>
      <c r="K373" s="482"/>
      <c r="L373" s="482"/>
      <c r="M373" s="482"/>
      <c r="N373" s="41"/>
      <c r="O373" s="13"/>
      <c r="P373" s="13"/>
      <c r="Q373" s="13"/>
      <c r="R373" s="481"/>
      <c r="S373" s="481"/>
      <c r="T373" s="481"/>
      <c r="U373" s="482"/>
      <c r="V373" s="41"/>
      <c r="W373" s="13"/>
      <c r="X373" s="482"/>
      <c r="Y373" s="481"/>
      <c r="Z373" s="481"/>
      <c r="AA373" s="481"/>
      <c r="AB373" s="16"/>
      <c r="AC373" s="16"/>
      <c r="AD373" s="16"/>
      <c r="AE373" s="16"/>
      <c r="AF373" s="16"/>
      <c r="AG373" s="16"/>
      <c r="AH373" s="16"/>
      <c r="AI373" s="16"/>
      <c r="AJ373" s="481"/>
      <c r="AK373" s="482"/>
      <c r="AL373" s="25"/>
      <c r="AM373" s="481"/>
      <c r="AN373" s="481"/>
      <c r="AO373" s="481"/>
      <c r="AP373" s="16"/>
      <c r="AQ373" s="16"/>
      <c r="AR373" s="130"/>
      <c r="AS373" s="130">
        <v>1405</v>
      </c>
      <c r="AT373" s="130"/>
      <c r="AU373" s="130"/>
      <c r="AV373" s="130"/>
      <c r="AW373" s="12"/>
      <c r="AX373" s="12"/>
      <c r="AY373" s="12"/>
      <c r="AZ373" s="481"/>
    </row>
    <row r="374" spans="1:52" ht="30" customHeight="1" x14ac:dyDescent="0.2">
      <c r="A374" s="497">
        <v>372</v>
      </c>
      <c r="B374" s="481"/>
      <c r="C374" s="16"/>
      <c r="D374" s="482"/>
      <c r="E374" s="482"/>
      <c r="F374" s="482"/>
      <c r="G374" s="495"/>
      <c r="H374" s="481"/>
      <c r="I374" s="481"/>
      <c r="J374" s="360" t="s">
        <v>158</v>
      </c>
      <c r="K374" s="482"/>
      <c r="L374" s="482"/>
      <c r="M374" s="482"/>
      <c r="N374" s="41"/>
      <c r="O374" s="13"/>
      <c r="P374" s="13"/>
      <c r="Q374" s="13"/>
      <c r="R374" s="481"/>
      <c r="S374" s="481"/>
      <c r="T374" s="481"/>
      <c r="U374" s="482"/>
      <c r="V374" s="41"/>
      <c r="W374" s="13"/>
      <c r="X374" s="482"/>
      <c r="Y374" s="481"/>
      <c r="Z374" s="481"/>
      <c r="AA374" s="481"/>
      <c r="AB374" s="16"/>
      <c r="AC374" s="16"/>
      <c r="AD374" s="16"/>
      <c r="AE374" s="16"/>
      <c r="AF374" s="16"/>
      <c r="AG374" s="16"/>
      <c r="AH374" s="16"/>
      <c r="AI374" s="16"/>
      <c r="AJ374" s="481"/>
      <c r="AK374" s="482"/>
      <c r="AL374" s="25"/>
      <c r="AM374" s="481"/>
      <c r="AN374" s="481"/>
      <c r="AO374" s="481"/>
      <c r="AP374" s="16"/>
      <c r="AQ374" s="16"/>
      <c r="AR374" s="130"/>
      <c r="AS374" s="130">
        <v>1405</v>
      </c>
      <c r="AT374" s="130"/>
      <c r="AU374" s="130"/>
      <c r="AV374" s="130"/>
      <c r="AW374" s="12"/>
      <c r="AX374" s="12"/>
      <c r="AY374" s="12"/>
      <c r="AZ374" s="481"/>
    </row>
    <row r="375" spans="1:52" ht="30" customHeight="1" x14ac:dyDescent="0.2">
      <c r="A375" s="497">
        <v>373</v>
      </c>
      <c r="B375" s="481"/>
      <c r="C375" s="16"/>
      <c r="D375" s="482"/>
      <c r="E375" s="482"/>
      <c r="F375" s="482"/>
      <c r="G375" s="495"/>
      <c r="H375" s="481"/>
      <c r="I375" s="481"/>
      <c r="J375" s="360" t="s">
        <v>158</v>
      </c>
      <c r="K375" s="482"/>
      <c r="L375" s="482"/>
      <c r="M375" s="482"/>
      <c r="N375" s="41"/>
      <c r="O375" s="13"/>
      <c r="P375" s="13"/>
      <c r="Q375" s="13"/>
      <c r="R375" s="481"/>
      <c r="S375" s="481"/>
      <c r="T375" s="481"/>
      <c r="U375" s="482"/>
      <c r="V375" s="41"/>
      <c r="W375" s="13"/>
      <c r="X375" s="482"/>
      <c r="Y375" s="481"/>
      <c r="Z375" s="481"/>
      <c r="AA375" s="481"/>
      <c r="AB375" s="16"/>
      <c r="AC375" s="16"/>
      <c r="AD375" s="16"/>
      <c r="AE375" s="16"/>
      <c r="AF375" s="16"/>
      <c r="AG375" s="16"/>
      <c r="AH375" s="16"/>
      <c r="AI375" s="16"/>
      <c r="AJ375" s="481"/>
      <c r="AK375" s="482"/>
      <c r="AL375" s="25"/>
      <c r="AM375" s="481"/>
      <c r="AN375" s="481"/>
      <c r="AO375" s="481"/>
      <c r="AP375" s="16"/>
      <c r="AQ375" s="16"/>
      <c r="AR375" s="130"/>
      <c r="AS375" s="130">
        <v>1405</v>
      </c>
      <c r="AT375" s="130"/>
      <c r="AU375" s="130"/>
      <c r="AV375" s="130"/>
      <c r="AW375" s="12"/>
      <c r="AX375" s="12"/>
      <c r="AY375" s="12"/>
      <c r="AZ375" s="481"/>
    </row>
    <row r="376" spans="1:52" ht="30" customHeight="1" x14ac:dyDescent="0.2">
      <c r="A376" s="497">
        <v>374</v>
      </c>
      <c r="B376" s="481"/>
      <c r="C376" s="16"/>
      <c r="D376" s="482"/>
      <c r="E376" s="482"/>
      <c r="F376" s="482"/>
      <c r="G376" s="495"/>
      <c r="H376" s="481"/>
      <c r="I376" s="481"/>
      <c r="J376" s="360" t="s">
        <v>158</v>
      </c>
      <c r="K376" s="482"/>
      <c r="L376" s="482"/>
      <c r="M376" s="482"/>
      <c r="N376" s="41"/>
      <c r="O376" s="13"/>
      <c r="P376" s="13"/>
      <c r="Q376" s="13"/>
      <c r="R376" s="481"/>
      <c r="S376" s="481"/>
      <c r="T376" s="481"/>
      <c r="U376" s="482"/>
      <c r="V376" s="41"/>
      <c r="W376" s="13"/>
      <c r="X376" s="482"/>
      <c r="Y376" s="481"/>
      <c r="Z376" s="481"/>
      <c r="AA376" s="481"/>
      <c r="AB376" s="16"/>
      <c r="AC376" s="16"/>
      <c r="AD376" s="16"/>
      <c r="AE376" s="16"/>
      <c r="AF376" s="16"/>
      <c r="AG376" s="16"/>
      <c r="AH376" s="16"/>
      <c r="AI376" s="16"/>
      <c r="AJ376" s="481"/>
      <c r="AK376" s="482"/>
      <c r="AL376" s="25"/>
      <c r="AM376" s="481"/>
      <c r="AN376" s="481"/>
      <c r="AO376" s="481"/>
      <c r="AP376" s="16"/>
      <c r="AQ376" s="16"/>
      <c r="AR376" s="130"/>
      <c r="AS376" s="130">
        <v>1405</v>
      </c>
      <c r="AT376" s="130"/>
      <c r="AU376" s="130"/>
      <c r="AV376" s="130"/>
      <c r="AW376" s="12"/>
      <c r="AX376" s="12"/>
      <c r="AY376" s="12"/>
      <c r="AZ376" s="481"/>
    </row>
    <row r="377" spans="1:52" ht="30" customHeight="1" x14ac:dyDescent="0.2">
      <c r="A377" s="497">
        <v>375</v>
      </c>
      <c r="B377" s="481"/>
      <c r="C377" s="16"/>
      <c r="D377" s="482"/>
      <c r="E377" s="482"/>
      <c r="F377" s="482"/>
      <c r="G377" s="495"/>
      <c r="H377" s="481"/>
      <c r="I377" s="481"/>
      <c r="J377" s="360" t="s">
        <v>158</v>
      </c>
      <c r="K377" s="482"/>
      <c r="L377" s="482"/>
      <c r="M377" s="482"/>
      <c r="N377" s="41"/>
      <c r="O377" s="13"/>
      <c r="P377" s="13"/>
      <c r="Q377" s="13"/>
      <c r="R377" s="481"/>
      <c r="S377" s="481"/>
      <c r="T377" s="481"/>
      <c r="U377" s="482"/>
      <c r="V377" s="41"/>
      <c r="W377" s="13"/>
      <c r="X377" s="482"/>
      <c r="Y377" s="481"/>
      <c r="Z377" s="481"/>
      <c r="AA377" s="481"/>
      <c r="AB377" s="16"/>
      <c r="AC377" s="16"/>
      <c r="AD377" s="16"/>
      <c r="AE377" s="16"/>
      <c r="AF377" s="16"/>
      <c r="AG377" s="16"/>
      <c r="AH377" s="16"/>
      <c r="AI377" s="16"/>
      <c r="AJ377" s="481"/>
      <c r="AK377" s="482"/>
      <c r="AL377" s="25"/>
      <c r="AM377" s="481"/>
      <c r="AN377" s="481"/>
      <c r="AO377" s="481"/>
      <c r="AP377" s="16"/>
      <c r="AQ377" s="16"/>
      <c r="AR377" s="130"/>
      <c r="AS377" s="130">
        <v>1405</v>
      </c>
      <c r="AT377" s="130"/>
      <c r="AU377" s="130"/>
      <c r="AV377" s="130"/>
      <c r="AW377" s="12"/>
      <c r="AX377" s="12"/>
      <c r="AY377" s="12"/>
      <c r="AZ377" s="481"/>
    </row>
    <row r="378" spans="1:52" ht="30" customHeight="1" x14ac:dyDescent="0.2">
      <c r="A378" s="497">
        <v>376</v>
      </c>
      <c r="B378" s="481"/>
      <c r="C378" s="16"/>
      <c r="D378" s="482"/>
      <c r="E378" s="482"/>
      <c r="F378" s="482"/>
      <c r="G378" s="495"/>
      <c r="H378" s="481"/>
      <c r="I378" s="481"/>
      <c r="J378" s="360" t="s">
        <v>158</v>
      </c>
      <c r="K378" s="482"/>
      <c r="L378" s="482"/>
      <c r="M378" s="482"/>
      <c r="N378" s="41"/>
      <c r="O378" s="13"/>
      <c r="P378" s="13"/>
      <c r="Q378" s="13"/>
      <c r="R378" s="481"/>
      <c r="S378" s="481"/>
      <c r="T378" s="481"/>
      <c r="U378" s="482"/>
      <c r="V378" s="41"/>
      <c r="W378" s="13"/>
      <c r="X378" s="482"/>
      <c r="Y378" s="481"/>
      <c r="Z378" s="481"/>
      <c r="AA378" s="481"/>
      <c r="AB378" s="16"/>
      <c r="AC378" s="16"/>
      <c r="AD378" s="16"/>
      <c r="AE378" s="16"/>
      <c r="AF378" s="16"/>
      <c r="AG378" s="16"/>
      <c r="AH378" s="16"/>
      <c r="AI378" s="16"/>
      <c r="AJ378" s="481"/>
      <c r="AK378" s="482"/>
      <c r="AL378" s="25"/>
      <c r="AM378" s="481"/>
      <c r="AN378" s="481"/>
      <c r="AO378" s="481"/>
      <c r="AP378" s="16"/>
      <c r="AQ378" s="16"/>
      <c r="AR378" s="130"/>
      <c r="AS378" s="130">
        <v>1405</v>
      </c>
      <c r="AT378" s="130"/>
      <c r="AU378" s="130"/>
      <c r="AV378" s="130"/>
      <c r="AW378" s="12"/>
      <c r="AX378" s="12"/>
      <c r="AY378" s="12"/>
      <c r="AZ378" s="481"/>
    </row>
    <row r="379" spans="1:52" ht="30" customHeight="1" x14ac:dyDescent="0.2">
      <c r="A379" s="497">
        <v>377</v>
      </c>
      <c r="B379" s="481"/>
      <c r="C379" s="16"/>
      <c r="D379" s="482"/>
      <c r="E379" s="482"/>
      <c r="F379" s="482"/>
      <c r="G379" s="495"/>
      <c r="H379" s="481"/>
      <c r="I379" s="481"/>
      <c r="J379" s="360" t="s">
        <v>158</v>
      </c>
      <c r="K379" s="482"/>
      <c r="L379" s="482"/>
      <c r="M379" s="482"/>
      <c r="N379" s="41"/>
      <c r="O379" s="13"/>
      <c r="P379" s="13"/>
      <c r="Q379" s="13"/>
      <c r="R379" s="481"/>
      <c r="S379" s="481"/>
      <c r="T379" s="481"/>
      <c r="U379" s="482"/>
      <c r="V379" s="41"/>
      <c r="W379" s="13"/>
      <c r="X379" s="482"/>
      <c r="Y379" s="481"/>
      <c r="Z379" s="481"/>
      <c r="AA379" s="481"/>
      <c r="AB379" s="16"/>
      <c r="AC379" s="16"/>
      <c r="AD379" s="16"/>
      <c r="AE379" s="16"/>
      <c r="AF379" s="16"/>
      <c r="AG379" s="16"/>
      <c r="AH379" s="16"/>
      <c r="AI379" s="16"/>
      <c r="AJ379" s="481"/>
      <c r="AK379" s="482"/>
      <c r="AL379" s="25"/>
      <c r="AM379" s="481"/>
      <c r="AN379" s="481"/>
      <c r="AO379" s="481"/>
      <c r="AP379" s="16"/>
      <c r="AQ379" s="16"/>
      <c r="AR379" s="130"/>
      <c r="AS379" s="130">
        <v>1405</v>
      </c>
      <c r="AT379" s="130"/>
      <c r="AU379" s="130"/>
      <c r="AV379" s="130"/>
      <c r="AW379" s="12"/>
      <c r="AX379" s="12"/>
      <c r="AY379" s="12"/>
      <c r="AZ379" s="481"/>
    </row>
    <row r="380" spans="1:52" ht="30" customHeight="1" x14ac:dyDescent="0.2">
      <c r="A380" s="497">
        <v>378</v>
      </c>
      <c r="B380" s="481"/>
      <c r="C380" s="16"/>
      <c r="D380" s="482"/>
      <c r="E380" s="482"/>
      <c r="F380" s="482"/>
      <c r="G380" s="495"/>
      <c r="H380" s="481"/>
      <c r="I380" s="481"/>
      <c r="J380" s="360" t="s">
        <v>158</v>
      </c>
      <c r="K380" s="482"/>
      <c r="L380" s="482"/>
      <c r="M380" s="482"/>
      <c r="N380" s="41"/>
      <c r="O380" s="13"/>
      <c r="P380" s="13"/>
      <c r="Q380" s="13"/>
      <c r="R380" s="481"/>
      <c r="S380" s="481"/>
      <c r="T380" s="481"/>
      <c r="U380" s="482"/>
      <c r="V380" s="41"/>
      <c r="W380" s="13"/>
      <c r="X380" s="482"/>
      <c r="Y380" s="481"/>
      <c r="Z380" s="481"/>
      <c r="AA380" s="481"/>
      <c r="AB380" s="16"/>
      <c r="AC380" s="16"/>
      <c r="AD380" s="16"/>
      <c r="AE380" s="16"/>
      <c r="AF380" s="16"/>
      <c r="AG380" s="16"/>
      <c r="AH380" s="16"/>
      <c r="AI380" s="16"/>
      <c r="AJ380" s="481"/>
      <c r="AK380" s="482"/>
      <c r="AL380" s="25"/>
      <c r="AM380" s="481"/>
      <c r="AN380" s="481"/>
      <c r="AO380" s="481"/>
      <c r="AP380" s="16"/>
      <c r="AQ380" s="16"/>
      <c r="AR380" s="130"/>
      <c r="AS380" s="130">
        <v>1405</v>
      </c>
      <c r="AT380" s="130"/>
      <c r="AU380" s="130"/>
      <c r="AV380" s="130"/>
      <c r="AW380" s="12"/>
      <c r="AX380" s="12"/>
      <c r="AY380" s="12"/>
      <c r="AZ380" s="481"/>
    </row>
    <row r="381" spans="1:52" ht="30" customHeight="1" x14ac:dyDescent="0.2">
      <c r="A381" s="497">
        <v>379</v>
      </c>
      <c r="B381" s="481"/>
      <c r="C381" s="16"/>
      <c r="D381" s="482"/>
      <c r="E381" s="482"/>
      <c r="F381" s="482"/>
      <c r="G381" s="495"/>
      <c r="H381" s="481"/>
      <c r="I381" s="481"/>
      <c r="J381" s="360" t="s">
        <v>158</v>
      </c>
      <c r="K381" s="482"/>
      <c r="L381" s="482"/>
      <c r="M381" s="482"/>
      <c r="N381" s="41"/>
      <c r="O381" s="13"/>
      <c r="P381" s="13"/>
      <c r="Q381" s="13"/>
      <c r="R381" s="481"/>
      <c r="S381" s="481"/>
      <c r="T381" s="481"/>
      <c r="U381" s="482"/>
      <c r="V381" s="41"/>
      <c r="W381" s="13"/>
      <c r="X381" s="482"/>
      <c r="Y381" s="481"/>
      <c r="Z381" s="481"/>
      <c r="AA381" s="481"/>
      <c r="AB381" s="16"/>
      <c r="AC381" s="16"/>
      <c r="AD381" s="16"/>
      <c r="AE381" s="16"/>
      <c r="AF381" s="16"/>
      <c r="AG381" s="16"/>
      <c r="AH381" s="16"/>
      <c r="AI381" s="16"/>
      <c r="AJ381" s="481"/>
      <c r="AK381" s="482"/>
      <c r="AL381" s="25"/>
      <c r="AM381" s="481"/>
      <c r="AN381" s="481"/>
      <c r="AO381" s="481"/>
      <c r="AP381" s="16"/>
      <c r="AQ381" s="16"/>
      <c r="AR381" s="130"/>
      <c r="AS381" s="130">
        <v>1405</v>
      </c>
      <c r="AT381" s="130"/>
      <c r="AU381" s="130"/>
      <c r="AV381" s="130"/>
      <c r="AW381" s="12"/>
      <c r="AX381" s="12"/>
      <c r="AY381" s="12"/>
      <c r="AZ381" s="481"/>
    </row>
    <row r="382" spans="1:52" ht="30" customHeight="1" x14ac:dyDescent="0.2">
      <c r="A382" s="497">
        <v>380</v>
      </c>
      <c r="B382" s="481"/>
      <c r="C382" s="16"/>
      <c r="D382" s="482"/>
      <c r="E382" s="482"/>
      <c r="F382" s="482"/>
      <c r="G382" s="495"/>
      <c r="H382" s="481"/>
      <c r="I382" s="481"/>
      <c r="J382" s="360" t="s">
        <v>158</v>
      </c>
      <c r="K382" s="482"/>
      <c r="L382" s="482"/>
      <c r="M382" s="482"/>
      <c r="N382" s="41"/>
      <c r="O382" s="13"/>
      <c r="P382" s="13"/>
      <c r="Q382" s="13"/>
      <c r="R382" s="481"/>
      <c r="S382" s="481"/>
      <c r="T382" s="481"/>
      <c r="U382" s="482"/>
      <c r="V382" s="41"/>
      <c r="W382" s="13"/>
      <c r="X382" s="482"/>
      <c r="Y382" s="481"/>
      <c r="Z382" s="481"/>
      <c r="AA382" s="481"/>
      <c r="AB382" s="16"/>
      <c r="AC382" s="16"/>
      <c r="AD382" s="16"/>
      <c r="AE382" s="16"/>
      <c r="AF382" s="16"/>
      <c r="AG382" s="16"/>
      <c r="AH382" s="16"/>
      <c r="AI382" s="16"/>
      <c r="AJ382" s="481"/>
      <c r="AK382" s="482"/>
      <c r="AL382" s="25"/>
      <c r="AM382" s="481"/>
      <c r="AN382" s="481"/>
      <c r="AO382" s="481"/>
      <c r="AP382" s="16"/>
      <c r="AQ382" s="16"/>
      <c r="AR382" s="130"/>
      <c r="AS382" s="130">
        <v>1405</v>
      </c>
      <c r="AT382" s="130"/>
      <c r="AU382" s="130"/>
      <c r="AV382" s="130"/>
      <c r="AW382" s="12"/>
      <c r="AX382" s="12"/>
      <c r="AY382" s="12"/>
      <c r="AZ382" s="481"/>
    </row>
    <row r="383" spans="1:52" ht="30" customHeight="1" x14ac:dyDescent="0.2">
      <c r="A383" s="497">
        <v>381</v>
      </c>
      <c r="B383" s="481"/>
      <c r="C383" s="16"/>
      <c r="D383" s="482"/>
      <c r="E383" s="482"/>
      <c r="F383" s="482"/>
      <c r="G383" s="495"/>
      <c r="H383" s="481"/>
      <c r="I383" s="481"/>
      <c r="J383" s="360" t="s">
        <v>158</v>
      </c>
      <c r="K383" s="482"/>
      <c r="L383" s="482"/>
      <c r="M383" s="482"/>
      <c r="N383" s="41"/>
      <c r="O383" s="13"/>
      <c r="P383" s="13"/>
      <c r="Q383" s="13"/>
      <c r="R383" s="481"/>
      <c r="S383" s="481"/>
      <c r="T383" s="481"/>
      <c r="U383" s="482"/>
      <c r="V383" s="41"/>
      <c r="W383" s="13"/>
      <c r="X383" s="482"/>
      <c r="Y383" s="481"/>
      <c r="Z383" s="481"/>
      <c r="AA383" s="481"/>
      <c r="AB383" s="16"/>
      <c r="AC383" s="16"/>
      <c r="AD383" s="16"/>
      <c r="AE383" s="16"/>
      <c r="AF383" s="16"/>
      <c r="AG383" s="16"/>
      <c r="AH383" s="16"/>
      <c r="AI383" s="16"/>
      <c r="AJ383" s="481"/>
      <c r="AK383" s="482"/>
      <c r="AL383" s="25"/>
      <c r="AM383" s="481"/>
      <c r="AN383" s="481"/>
      <c r="AO383" s="481"/>
      <c r="AP383" s="16"/>
      <c r="AQ383" s="16"/>
      <c r="AR383" s="130"/>
      <c r="AS383" s="130">
        <v>1405</v>
      </c>
      <c r="AT383" s="130"/>
      <c r="AU383" s="130"/>
      <c r="AV383" s="130"/>
      <c r="AW383" s="12"/>
      <c r="AX383" s="12"/>
      <c r="AY383" s="12"/>
      <c r="AZ383" s="481"/>
    </row>
    <row r="384" spans="1:52" ht="30" customHeight="1" x14ac:dyDescent="0.2">
      <c r="A384" s="497">
        <v>382</v>
      </c>
      <c r="B384" s="481"/>
      <c r="C384" s="16"/>
      <c r="D384" s="482"/>
      <c r="E384" s="482"/>
      <c r="F384" s="482"/>
      <c r="G384" s="495"/>
      <c r="H384" s="481"/>
      <c r="I384" s="481"/>
      <c r="J384" s="360" t="s">
        <v>158</v>
      </c>
      <c r="K384" s="482"/>
      <c r="L384" s="482"/>
      <c r="M384" s="482"/>
      <c r="N384" s="41"/>
      <c r="O384" s="13"/>
      <c r="P384" s="13"/>
      <c r="Q384" s="13"/>
      <c r="R384" s="481"/>
      <c r="S384" s="481"/>
      <c r="T384" s="481"/>
      <c r="U384" s="482"/>
      <c r="V384" s="41"/>
      <c r="W384" s="13"/>
      <c r="X384" s="482"/>
      <c r="Y384" s="481"/>
      <c r="Z384" s="481"/>
      <c r="AA384" s="481"/>
      <c r="AB384" s="16"/>
      <c r="AC384" s="16"/>
      <c r="AD384" s="16"/>
      <c r="AE384" s="16"/>
      <c r="AF384" s="16"/>
      <c r="AG384" s="16"/>
      <c r="AH384" s="16"/>
      <c r="AI384" s="16"/>
      <c r="AJ384" s="481"/>
      <c r="AK384" s="482"/>
      <c r="AL384" s="25"/>
      <c r="AM384" s="481"/>
      <c r="AN384" s="481"/>
      <c r="AO384" s="481"/>
      <c r="AP384" s="16"/>
      <c r="AQ384" s="16"/>
      <c r="AR384" s="130"/>
      <c r="AS384" s="130">
        <v>1405</v>
      </c>
      <c r="AT384" s="130"/>
      <c r="AU384" s="130"/>
      <c r="AV384" s="130"/>
      <c r="AW384" s="12"/>
      <c r="AX384" s="12"/>
      <c r="AY384" s="12"/>
      <c r="AZ384" s="481"/>
    </row>
    <row r="385" spans="1:52" ht="30" customHeight="1" x14ac:dyDescent="0.2">
      <c r="A385" s="497">
        <v>383</v>
      </c>
      <c r="B385" s="481"/>
      <c r="C385" s="16"/>
      <c r="D385" s="482"/>
      <c r="E385" s="482"/>
      <c r="F385" s="482"/>
      <c r="G385" s="495"/>
      <c r="H385" s="481"/>
      <c r="I385" s="481"/>
      <c r="J385" s="360" t="s">
        <v>158</v>
      </c>
      <c r="K385" s="482"/>
      <c r="L385" s="482"/>
      <c r="M385" s="482"/>
      <c r="N385" s="41"/>
      <c r="O385" s="13"/>
      <c r="P385" s="13"/>
      <c r="Q385" s="13"/>
      <c r="R385" s="481"/>
      <c r="S385" s="481"/>
      <c r="T385" s="481"/>
      <c r="U385" s="482"/>
      <c r="V385" s="41"/>
      <c r="W385" s="13"/>
      <c r="X385" s="482"/>
      <c r="Y385" s="481"/>
      <c r="Z385" s="481"/>
      <c r="AA385" s="481"/>
      <c r="AB385" s="16"/>
      <c r="AC385" s="16"/>
      <c r="AD385" s="16"/>
      <c r="AE385" s="16"/>
      <c r="AF385" s="16"/>
      <c r="AG385" s="16"/>
      <c r="AH385" s="16"/>
      <c r="AI385" s="16"/>
      <c r="AJ385" s="481"/>
      <c r="AK385" s="482"/>
      <c r="AL385" s="25"/>
      <c r="AM385" s="481"/>
      <c r="AN385" s="481"/>
      <c r="AO385" s="481"/>
      <c r="AP385" s="16"/>
      <c r="AQ385" s="16"/>
      <c r="AR385" s="130"/>
      <c r="AS385" s="130">
        <v>1405</v>
      </c>
      <c r="AT385" s="130"/>
      <c r="AU385" s="130"/>
      <c r="AV385" s="130"/>
      <c r="AW385" s="12"/>
      <c r="AX385" s="12"/>
      <c r="AY385" s="12"/>
      <c r="AZ385" s="481"/>
    </row>
    <row r="386" spans="1:52" ht="30" customHeight="1" x14ac:dyDescent="0.2">
      <c r="A386" s="497">
        <v>384</v>
      </c>
      <c r="B386" s="481"/>
      <c r="C386" s="16"/>
      <c r="D386" s="482"/>
      <c r="E386" s="482"/>
      <c r="F386" s="482"/>
      <c r="G386" s="495"/>
      <c r="H386" s="481"/>
      <c r="I386" s="481"/>
      <c r="J386" s="360" t="s">
        <v>158</v>
      </c>
      <c r="K386" s="482"/>
      <c r="L386" s="482"/>
      <c r="M386" s="482"/>
      <c r="N386" s="41"/>
      <c r="O386" s="13"/>
      <c r="P386" s="13"/>
      <c r="Q386" s="13"/>
      <c r="R386" s="481"/>
      <c r="S386" s="481"/>
      <c r="T386" s="481"/>
      <c r="U386" s="482"/>
      <c r="V386" s="41"/>
      <c r="W386" s="13"/>
      <c r="X386" s="482"/>
      <c r="Y386" s="481"/>
      <c r="Z386" s="481"/>
      <c r="AA386" s="481"/>
      <c r="AB386" s="16"/>
      <c r="AC386" s="16"/>
      <c r="AD386" s="16"/>
      <c r="AE386" s="16"/>
      <c r="AF386" s="16"/>
      <c r="AG386" s="16"/>
      <c r="AH386" s="16"/>
      <c r="AI386" s="16"/>
      <c r="AJ386" s="481"/>
      <c r="AK386" s="482"/>
      <c r="AL386" s="25"/>
      <c r="AM386" s="481"/>
      <c r="AN386" s="481"/>
      <c r="AO386" s="481"/>
      <c r="AP386" s="16"/>
      <c r="AQ386" s="16"/>
      <c r="AR386" s="130"/>
      <c r="AS386" s="130">
        <v>1405</v>
      </c>
      <c r="AT386" s="130"/>
      <c r="AU386" s="130"/>
      <c r="AV386" s="130"/>
      <c r="AW386" s="12"/>
      <c r="AX386" s="12"/>
      <c r="AY386" s="12"/>
      <c r="AZ386" s="481"/>
    </row>
    <row r="387" spans="1:52" ht="30" customHeight="1" x14ac:dyDescent="0.2">
      <c r="A387" s="497">
        <v>385</v>
      </c>
      <c r="B387" s="481"/>
      <c r="C387" s="16"/>
      <c r="D387" s="482"/>
      <c r="E387" s="482"/>
      <c r="F387" s="482"/>
      <c r="G387" s="495"/>
      <c r="H387" s="481"/>
      <c r="I387" s="481"/>
      <c r="J387" s="360" t="s">
        <v>158</v>
      </c>
      <c r="K387" s="482"/>
      <c r="L387" s="482"/>
      <c r="M387" s="482"/>
      <c r="N387" s="41"/>
      <c r="O387" s="13"/>
      <c r="P387" s="13"/>
      <c r="Q387" s="13"/>
      <c r="R387" s="481"/>
      <c r="S387" s="481"/>
      <c r="T387" s="481"/>
      <c r="U387" s="482"/>
      <c r="V387" s="41"/>
      <c r="W387" s="13"/>
      <c r="X387" s="482"/>
      <c r="Y387" s="481"/>
      <c r="Z387" s="481"/>
      <c r="AA387" s="481"/>
      <c r="AB387" s="16"/>
      <c r="AC387" s="16"/>
      <c r="AD387" s="16"/>
      <c r="AE387" s="16"/>
      <c r="AF387" s="16"/>
      <c r="AG387" s="16"/>
      <c r="AH387" s="16"/>
      <c r="AI387" s="16"/>
      <c r="AJ387" s="481"/>
      <c r="AK387" s="482"/>
      <c r="AL387" s="25"/>
      <c r="AM387" s="481"/>
      <c r="AN387" s="481"/>
      <c r="AO387" s="481"/>
      <c r="AP387" s="16"/>
      <c r="AQ387" s="16"/>
      <c r="AR387" s="130"/>
      <c r="AS387" s="130">
        <v>1405</v>
      </c>
      <c r="AT387" s="130"/>
      <c r="AU387" s="130"/>
      <c r="AV387" s="130"/>
      <c r="AW387" s="12"/>
      <c r="AX387" s="12"/>
      <c r="AY387" s="12"/>
      <c r="AZ387" s="481"/>
    </row>
    <row r="388" spans="1:52" ht="30" customHeight="1" x14ac:dyDescent="0.2">
      <c r="A388" s="497">
        <v>386</v>
      </c>
      <c r="B388" s="481"/>
      <c r="C388" s="16"/>
      <c r="D388" s="482"/>
      <c r="E388" s="482"/>
      <c r="F388" s="482"/>
      <c r="G388" s="495"/>
      <c r="H388" s="481"/>
      <c r="I388" s="481"/>
      <c r="J388" s="360" t="s">
        <v>158</v>
      </c>
      <c r="K388" s="482"/>
      <c r="L388" s="482"/>
      <c r="M388" s="482"/>
      <c r="N388" s="41"/>
      <c r="O388" s="13"/>
      <c r="P388" s="13"/>
      <c r="Q388" s="13"/>
      <c r="R388" s="481"/>
      <c r="S388" s="481"/>
      <c r="T388" s="481"/>
      <c r="U388" s="482"/>
      <c r="V388" s="41"/>
      <c r="W388" s="13"/>
      <c r="X388" s="482"/>
      <c r="Y388" s="481"/>
      <c r="Z388" s="481"/>
      <c r="AA388" s="481"/>
      <c r="AB388" s="16"/>
      <c r="AC388" s="16"/>
      <c r="AD388" s="16"/>
      <c r="AE388" s="16"/>
      <c r="AF388" s="16"/>
      <c r="AG388" s="16"/>
      <c r="AH388" s="16"/>
      <c r="AI388" s="16"/>
      <c r="AJ388" s="481"/>
      <c r="AK388" s="482"/>
      <c r="AL388" s="25"/>
      <c r="AM388" s="481"/>
      <c r="AN388" s="481"/>
      <c r="AO388" s="481"/>
      <c r="AP388" s="16"/>
      <c r="AQ388" s="16"/>
      <c r="AR388" s="130"/>
      <c r="AS388" s="130">
        <v>1405</v>
      </c>
      <c r="AT388" s="130"/>
      <c r="AU388" s="130"/>
      <c r="AV388" s="130"/>
      <c r="AW388" s="12"/>
      <c r="AX388" s="12"/>
      <c r="AY388" s="12"/>
      <c r="AZ388" s="481"/>
    </row>
    <row r="389" spans="1:52" ht="30" customHeight="1" x14ac:dyDescent="0.2">
      <c r="A389" s="497">
        <v>387</v>
      </c>
      <c r="B389" s="481"/>
      <c r="C389" s="16"/>
      <c r="D389" s="482"/>
      <c r="E389" s="482"/>
      <c r="F389" s="482"/>
      <c r="G389" s="495"/>
      <c r="H389" s="481"/>
      <c r="I389" s="481"/>
      <c r="J389" s="360" t="s">
        <v>158</v>
      </c>
      <c r="K389" s="482"/>
      <c r="L389" s="482"/>
      <c r="M389" s="482"/>
      <c r="N389" s="41"/>
      <c r="O389" s="13"/>
      <c r="P389" s="13"/>
      <c r="Q389" s="13"/>
      <c r="R389" s="481"/>
      <c r="S389" s="481"/>
      <c r="T389" s="481"/>
      <c r="U389" s="482"/>
      <c r="V389" s="41"/>
      <c r="W389" s="13"/>
      <c r="X389" s="482"/>
      <c r="Y389" s="481"/>
      <c r="Z389" s="481"/>
      <c r="AA389" s="481"/>
      <c r="AB389" s="16"/>
      <c r="AC389" s="16"/>
      <c r="AD389" s="16"/>
      <c r="AE389" s="16"/>
      <c r="AF389" s="16"/>
      <c r="AG389" s="16"/>
      <c r="AH389" s="16"/>
      <c r="AI389" s="16"/>
      <c r="AJ389" s="481"/>
      <c r="AK389" s="482"/>
      <c r="AL389" s="25"/>
      <c r="AM389" s="481"/>
      <c r="AN389" s="481"/>
      <c r="AO389" s="481"/>
      <c r="AP389" s="16"/>
      <c r="AQ389" s="16"/>
      <c r="AR389" s="130"/>
      <c r="AS389" s="130">
        <v>1405</v>
      </c>
      <c r="AT389" s="130"/>
      <c r="AU389" s="130"/>
      <c r="AV389" s="130"/>
      <c r="AW389" s="12"/>
      <c r="AX389" s="12"/>
      <c r="AY389" s="12"/>
      <c r="AZ389" s="481"/>
    </row>
    <row r="390" spans="1:52" ht="30" customHeight="1" x14ac:dyDescent="0.2">
      <c r="A390" s="497">
        <v>388</v>
      </c>
      <c r="B390" s="481"/>
      <c r="C390" s="16"/>
      <c r="D390" s="482"/>
      <c r="E390" s="482"/>
      <c r="F390" s="482"/>
      <c r="G390" s="495"/>
      <c r="H390" s="481"/>
      <c r="I390" s="481"/>
      <c r="J390" s="360" t="s">
        <v>158</v>
      </c>
      <c r="K390" s="482"/>
      <c r="L390" s="482"/>
      <c r="M390" s="482"/>
      <c r="N390" s="41"/>
      <c r="O390" s="13"/>
      <c r="P390" s="13"/>
      <c r="Q390" s="13"/>
      <c r="R390" s="481"/>
      <c r="S390" s="481"/>
      <c r="T390" s="481"/>
      <c r="U390" s="482"/>
      <c r="V390" s="41"/>
      <c r="W390" s="13"/>
      <c r="X390" s="482"/>
      <c r="Y390" s="481"/>
      <c r="Z390" s="481"/>
      <c r="AA390" s="481"/>
      <c r="AB390" s="16"/>
      <c r="AC390" s="16"/>
      <c r="AD390" s="16"/>
      <c r="AE390" s="16"/>
      <c r="AF390" s="16"/>
      <c r="AG390" s="16"/>
      <c r="AH390" s="16"/>
      <c r="AI390" s="16"/>
      <c r="AJ390" s="481"/>
      <c r="AK390" s="482"/>
      <c r="AL390" s="25"/>
      <c r="AM390" s="481"/>
      <c r="AN390" s="481"/>
      <c r="AO390" s="481"/>
      <c r="AP390" s="16"/>
      <c r="AQ390" s="16"/>
      <c r="AR390" s="130"/>
      <c r="AS390" s="130">
        <v>1405</v>
      </c>
      <c r="AT390" s="130"/>
      <c r="AU390" s="130"/>
      <c r="AV390" s="130"/>
      <c r="AW390" s="12"/>
      <c r="AX390" s="12"/>
      <c r="AY390" s="12"/>
      <c r="AZ390" s="481"/>
    </row>
    <row r="391" spans="1:52" ht="30" customHeight="1" x14ac:dyDescent="0.2">
      <c r="A391" s="497">
        <v>389</v>
      </c>
      <c r="B391" s="481"/>
      <c r="C391" s="16"/>
      <c r="D391" s="482"/>
      <c r="E391" s="482"/>
      <c r="F391" s="482"/>
      <c r="G391" s="495"/>
      <c r="H391" s="481"/>
      <c r="I391" s="481"/>
      <c r="J391" s="360" t="s">
        <v>158</v>
      </c>
      <c r="K391" s="482"/>
      <c r="L391" s="482"/>
      <c r="M391" s="482"/>
      <c r="N391" s="41"/>
      <c r="O391" s="13"/>
      <c r="P391" s="13"/>
      <c r="Q391" s="13"/>
      <c r="R391" s="481"/>
      <c r="S391" s="481"/>
      <c r="T391" s="481"/>
      <c r="U391" s="482"/>
      <c r="V391" s="41"/>
      <c r="W391" s="13"/>
      <c r="X391" s="482"/>
      <c r="Y391" s="481"/>
      <c r="Z391" s="481"/>
      <c r="AA391" s="481"/>
      <c r="AB391" s="16"/>
      <c r="AC391" s="16"/>
      <c r="AD391" s="16"/>
      <c r="AE391" s="16"/>
      <c r="AF391" s="16"/>
      <c r="AG391" s="16"/>
      <c r="AH391" s="16"/>
      <c r="AI391" s="16"/>
      <c r="AJ391" s="481"/>
      <c r="AK391" s="482"/>
      <c r="AL391" s="25"/>
      <c r="AM391" s="481"/>
      <c r="AN391" s="481"/>
      <c r="AO391" s="481"/>
      <c r="AP391" s="16"/>
      <c r="AQ391" s="16"/>
      <c r="AR391" s="130"/>
      <c r="AS391" s="130">
        <v>1405</v>
      </c>
      <c r="AT391" s="130"/>
      <c r="AU391" s="130"/>
      <c r="AV391" s="130"/>
      <c r="AW391" s="12"/>
      <c r="AX391" s="12"/>
      <c r="AY391" s="12"/>
      <c r="AZ391" s="481"/>
    </row>
    <row r="392" spans="1:52" ht="30" customHeight="1" x14ac:dyDescent="0.2">
      <c r="A392" s="497">
        <v>390</v>
      </c>
      <c r="B392" s="481"/>
      <c r="C392" s="16"/>
      <c r="D392" s="482"/>
      <c r="E392" s="482"/>
      <c r="F392" s="482"/>
      <c r="G392" s="495"/>
      <c r="H392" s="481"/>
      <c r="I392" s="481"/>
      <c r="J392" s="360" t="s">
        <v>158</v>
      </c>
      <c r="K392" s="482"/>
      <c r="L392" s="482"/>
      <c r="M392" s="482"/>
      <c r="N392" s="41"/>
      <c r="O392" s="13"/>
      <c r="P392" s="13"/>
      <c r="Q392" s="13"/>
      <c r="R392" s="481"/>
      <c r="S392" s="481"/>
      <c r="T392" s="481"/>
      <c r="U392" s="482"/>
      <c r="V392" s="41"/>
      <c r="W392" s="13"/>
      <c r="X392" s="482"/>
      <c r="Y392" s="481"/>
      <c r="Z392" s="481"/>
      <c r="AA392" s="481"/>
      <c r="AB392" s="16"/>
      <c r="AC392" s="16"/>
      <c r="AD392" s="16"/>
      <c r="AE392" s="16"/>
      <c r="AF392" s="16"/>
      <c r="AG392" s="16"/>
      <c r="AH392" s="16"/>
      <c r="AI392" s="16"/>
      <c r="AJ392" s="481"/>
      <c r="AK392" s="482"/>
      <c r="AL392" s="25"/>
      <c r="AM392" s="481"/>
      <c r="AN392" s="481"/>
      <c r="AO392" s="481"/>
      <c r="AP392" s="16"/>
      <c r="AQ392" s="16"/>
      <c r="AR392" s="130"/>
      <c r="AS392" s="130">
        <v>1405</v>
      </c>
      <c r="AT392" s="130"/>
      <c r="AU392" s="130"/>
      <c r="AV392" s="130"/>
      <c r="AW392" s="12"/>
      <c r="AX392" s="12"/>
      <c r="AY392" s="12"/>
      <c r="AZ392" s="481"/>
    </row>
    <row r="393" spans="1:52" ht="30" customHeight="1" x14ac:dyDescent="0.2">
      <c r="A393" s="497">
        <v>391</v>
      </c>
      <c r="B393" s="481"/>
      <c r="C393" s="16"/>
      <c r="D393" s="482"/>
      <c r="E393" s="482"/>
      <c r="F393" s="482"/>
      <c r="G393" s="495"/>
      <c r="H393" s="481"/>
      <c r="I393" s="481"/>
      <c r="J393" s="360" t="s">
        <v>158</v>
      </c>
      <c r="K393" s="482"/>
      <c r="L393" s="482"/>
      <c r="M393" s="482"/>
      <c r="N393" s="41"/>
      <c r="O393" s="13"/>
      <c r="P393" s="13"/>
      <c r="Q393" s="13"/>
      <c r="R393" s="481"/>
      <c r="S393" s="481"/>
      <c r="T393" s="481"/>
      <c r="U393" s="482"/>
      <c r="V393" s="41"/>
      <c r="W393" s="13"/>
      <c r="X393" s="482"/>
      <c r="Y393" s="481"/>
      <c r="Z393" s="481"/>
      <c r="AA393" s="481"/>
      <c r="AB393" s="16"/>
      <c r="AC393" s="16"/>
      <c r="AD393" s="16"/>
      <c r="AE393" s="16"/>
      <c r="AF393" s="16"/>
      <c r="AG393" s="16"/>
      <c r="AH393" s="16"/>
      <c r="AI393" s="16"/>
      <c r="AJ393" s="481"/>
      <c r="AK393" s="482"/>
      <c r="AL393" s="25"/>
      <c r="AM393" s="481"/>
      <c r="AN393" s="481"/>
      <c r="AO393" s="481"/>
      <c r="AP393" s="16"/>
      <c r="AQ393" s="16"/>
      <c r="AR393" s="130"/>
      <c r="AS393" s="130">
        <v>1405</v>
      </c>
      <c r="AT393" s="130"/>
      <c r="AU393" s="130"/>
      <c r="AV393" s="130"/>
      <c r="AW393" s="12"/>
      <c r="AX393" s="12"/>
      <c r="AY393" s="12"/>
      <c r="AZ393" s="481"/>
    </row>
    <row r="394" spans="1:52" ht="30" customHeight="1" x14ac:dyDescent="0.2">
      <c r="A394" s="497">
        <v>392</v>
      </c>
      <c r="B394" s="481"/>
      <c r="C394" s="16"/>
      <c r="D394" s="482"/>
      <c r="E394" s="482"/>
      <c r="F394" s="482"/>
      <c r="G394" s="495"/>
      <c r="H394" s="481"/>
      <c r="I394" s="481"/>
      <c r="J394" s="360" t="s">
        <v>158</v>
      </c>
      <c r="K394" s="482"/>
      <c r="L394" s="482"/>
      <c r="M394" s="482"/>
      <c r="N394" s="41"/>
      <c r="O394" s="13"/>
      <c r="P394" s="13"/>
      <c r="Q394" s="13"/>
      <c r="R394" s="481"/>
      <c r="S394" s="481"/>
      <c r="T394" s="481"/>
      <c r="U394" s="482"/>
      <c r="V394" s="41"/>
      <c r="W394" s="13"/>
      <c r="X394" s="482"/>
      <c r="Y394" s="481"/>
      <c r="Z394" s="481"/>
      <c r="AA394" s="481"/>
      <c r="AB394" s="16"/>
      <c r="AC394" s="16"/>
      <c r="AD394" s="16"/>
      <c r="AE394" s="16"/>
      <c r="AF394" s="16"/>
      <c r="AG394" s="16"/>
      <c r="AH394" s="16"/>
      <c r="AI394" s="16"/>
      <c r="AJ394" s="481"/>
      <c r="AK394" s="482"/>
      <c r="AL394" s="25"/>
      <c r="AM394" s="481"/>
      <c r="AN394" s="481"/>
      <c r="AO394" s="481"/>
      <c r="AP394" s="16"/>
      <c r="AQ394" s="16"/>
      <c r="AR394" s="130"/>
      <c r="AS394" s="130">
        <v>1405</v>
      </c>
      <c r="AT394" s="130"/>
      <c r="AU394" s="130"/>
      <c r="AV394" s="130"/>
      <c r="AW394" s="12"/>
      <c r="AX394" s="12"/>
      <c r="AY394" s="12"/>
      <c r="AZ394" s="481"/>
    </row>
    <row r="395" spans="1:52" ht="30" customHeight="1" x14ac:dyDescent="0.2">
      <c r="A395" s="497">
        <v>393</v>
      </c>
      <c r="B395" s="481"/>
      <c r="C395" s="16"/>
      <c r="D395" s="482"/>
      <c r="E395" s="482"/>
      <c r="F395" s="482"/>
      <c r="G395" s="495"/>
      <c r="H395" s="481"/>
      <c r="I395" s="481"/>
      <c r="J395" s="360" t="s">
        <v>158</v>
      </c>
      <c r="K395" s="482"/>
      <c r="L395" s="482"/>
      <c r="M395" s="482"/>
      <c r="N395" s="41"/>
      <c r="O395" s="13"/>
      <c r="P395" s="13"/>
      <c r="Q395" s="13"/>
      <c r="R395" s="481"/>
      <c r="S395" s="481"/>
      <c r="T395" s="481"/>
      <c r="U395" s="482"/>
      <c r="V395" s="41"/>
      <c r="W395" s="13"/>
      <c r="X395" s="482"/>
      <c r="Y395" s="481"/>
      <c r="Z395" s="481"/>
      <c r="AA395" s="481"/>
      <c r="AB395" s="16"/>
      <c r="AC395" s="16"/>
      <c r="AD395" s="16"/>
      <c r="AE395" s="16"/>
      <c r="AF395" s="16"/>
      <c r="AG395" s="16"/>
      <c r="AH395" s="16"/>
      <c r="AI395" s="16"/>
      <c r="AJ395" s="481"/>
      <c r="AK395" s="482"/>
      <c r="AL395" s="25"/>
      <c r="AM395" s="481"/>
      <c r="AN395" s="481"/>
      <c r="AO395" s="481"/>
      <c r="AP395" s="16"/>
      <c r="AQ395" s="16"/>
      <c r="AR395" s="130"/>
      <c r="AS395" s="130">
        <v>1405</v>
      </c>
      <c r="AT395" s="130"/>
      <c r="AU395" s="130"/>
      <c r="AV395" s="130"/>
      <c r="AW395" s="12"/>
      <c r="AX395" s="12"/>
      <c r="AY395" s="12"/>
      <c r="AZ395" s="481"/>
    </row>
    <row r="396" spans="1:52" ht="30" customHeight="1" x14ac:dyDescent="0.2">
      <c r="A396" s="497">
        <v>394</v>
      </c>
      <c r="B396" s="481"/>
      <c r="C396" s="16"/>
      <c r="D396" s="482"/>
      <c r="E396" s="482"/>
      <c r="F396" s="482"/>
      <c r="G396" s="495"/>
      <c r="H396" s="481"/>
      <c r="I396" s="481"/>
      <c r="J396" s="360" t="s">
        <v>158</v>
      </c>
      <c r="K396" s="482"/>
      <c r="L396" s="482"/>
      <c r="M396" s="482"/>
      <c r="N396" s="41"/>
      <c r="O396" s="13"/>
      <c r="P396" s="13"/>
      <c r="Q396" s="13"/>
      <c r="R396" s="481"/>
      <c r="S396" s="481"/>
      <c r="T396" s="481"/>
      <c r="U396" s="482"/>
      <c r="V396" s="41"/>
      <c r="W396" s="13"/>
      <c r="X396" s="482"/>
      <c r="Y396" s="481"/>
      <c r="Z396" s="481"/>
      <c r="AA396" s="481"/>
      <c r="AB396" s="16"/>
      <c r="AC396" s="16"/>
      <c r="AD396" s="16"/>
      <c r="AE396" s="16"/>
      <c r="AF396" s="16"/>
      <c r="AG396" s="16"/>
      <c r="AH396" s="16"/>
      <c r="AI396" s="16"/>
      <c r="AJ396" s="481"/>
      <c r="AK396" s="482"/>
      <c r="AL396" s="25"/>
      <c r="AM396" s="481"/>
      <c r="AN396" s="481"/>
      <c r="AO396" s="481"/>
      <c r="AP396" s="16"/>
      <c r="AQ396" s="16"/>
      <c r="AR396" s="130"/>
      <c r="AS396" s="130">
        <v>1405</v>
      </c>
      <c r="AT396" s="130"/>
      <c r="AU396" s="130"/>
      <c r="AV396" s="130"/>
      <c r="AW396" s="12"/>
      <c r="AX396" s="12"/>
      <c r="AY396" s="12"/>
      <c r="AZ396" s="481"/>
    </row>
    <row r="397" spans="1:52" ht="30" customHeight="1" x14ac:dyDescent="0.2">
      <c r="A397" s="497">
        <v>395</v>
      </c>
      <c r="B397" s="481"/>
      <c r="C397" s="16"/>
      <c r="D397" s="482"/>
      <c r="E397" s="482"/>
      <c r="F397" s="482"/>
      <c r="G397" s="495"/>
      <c r="H397" s="481"/>
      <c r="I397" s="481"/>
      <c r="J397" s="360" t="s">
        <v>158</v>
      </c>
      <c r="K397" s="482"/>
      <c r="L397" s="482"/>
      <c r="M397" s="482"/>
      <c r="N397" s="41"/>
      <c r="O397" s="13"/>
      <c r="P397" s="13"/>
      <c r="Q397" s="13"/>
      <c r="R397" s="481"/>
      <c r="S397" s="481"/>
      <c r="T397" s="481"/>
      <c r="U397" s="482"/>
      <c r="V397" s="41"/>
      <c r="W397" s="13"/>
      <c r="X397" s="482"/>
      <c r="Y397" s="481"/>
      <c r="Z397" s="481"/>
      <c r="AA397" s="481"/>
      <c r="AB397" s="16"/>
      <c r="AC397" s="16"/>
      <c r="AD397" s="16"/>
      <c r="AE397" s="16"/>
      <c r="AF397" s="16"/>
      <c r="AG397" s="16"/>
      <c r="AH397" s="16"/>
      <c r="AI397" s="16"/>
      <c r="AJ397" s="481"/>
      <c r="AK397" s="482"/>
      <c r="AL397" s="25"/>
      <c r="AM397" s="481"/>
      <c r="AN397" s="481"/>
      <c r="AO397" s="481"/>
      <c r="AP397" s="16"/>
      <c r="AQ397" s="16"/>
      <c r="AR397" s="130"/>
      <c r="AS397" s="130">
        <v>1405</v>
      </c>
      <c r="AT397" s="130"/>
      <c r="AU397" s="130"/>
      <c r="AV397" s="130"/>
      <c r="AW397" s="12"/>
      <c r="AX397" s="12"/>
      <c r="AY397" s="12"/>
      <c r="AZ397" s="481"/>
    </row>
    <row r="398" spans="1:52" ht="30" customHeight="1" x14ac:dyDescent="0.2">
      <c r="A398" s="497">
        <v>396</v>
      </c>
      <c r="B398" s="481"/>
      <c r="C398" s="16"/>
      <c r="D398" s="482"/>
      <c r="E398" s="482"/>
      <c r="F398" s="482"/>
      <c r="G398" s="495"/>
      <c r="H398" s="481"/>
      <c r="I398" s="481"/>
      <c r="J398" s="360" t="s">
        <v>158</v>
      </c>
      <c r="K398" s="482"/>
      <c r="L398" s="482"/>
      <c r="M398" s="482"/>
      <c r="N398" s="41"/>
      <c r="O398" s="13"/>
      <c r="P398" s="13"/>
      <c r="Q398" s="13"/>
      <c r="R398" s="481"/>
      <c r="S398" s="481"/>
      <c r="T398" s="481"/>
      <c r="U398" s="482"/>
      <c r="V398" s="41"/>
      <c r="W398" s="13"/>
      <c r="X398" s="482"/>
      <c r="Y398" s="481"/>
      <c r="Z398" s="481"/>
      <c r="AA398" s="481"/>
      <c r="AB398" s="16"/>
      <c r="AC398" s="16"/>
      <c r="AD398" s="16"/>
      <c r="AE398" s="16"/>
      <c r="AF398" s="16"/>
      <c r="AG398" s="16"/>
      <c r="AH398" s="16"/>
      <c r="AI398" s="16"/>
      <c r="AJ398" s="481"/>
      <c r="AK398" s="482"/>
      <c r="AL398" s="25"/>
      <c r="AM398" s="481"/>
      <c r="AN398" s="481"/>
      <c r="AO398" s="481"/>
      <c r="AP398" s="16"/>
      <c r="AQ398" s="16"/>
      <c r="AR398" s="130"/>
      <c r="AS398" s="130">
        <v>1405</v>
      </c>
      <c r="AT398" s="130"/>
      <c r="AU398" s="130"/>
      <c r="AV398" s="130"/>
      <c r="AW398" s="12"/>
      <c r="AX398" s="12"/>
      <c r="AY398" s="12"/>
      <c r="AZ398" s="481"/>
    </row>
    <row r="399" spans="1:52" ht="30" customHeight="1" x14ac:dyDescent="0.2">
      <c r="A399" s="497">
        <v>397</v>
      </c>
      <c r="B399" s="481"/>
      <c r="C399" s="16"/>
      <c r="D399" s="482"/>
      <c r="E399" s="482"/>
      <c r="F399" s="482"/>
      <c r="G399" s="495"/>
      <c r="H399" s="481"/>
      <c r="I399" s="481"/>
      <c r="J399" s="360" t="s">
        <v>158</v>
      </c>
      <c r="K399" s="482"/>
      <c r="L399" s="482"/>
      <c r="M399" s="482"/>
      <c r="N399" s="41"/>
      <c r="O399" s="13"/>
      <c r="P399" s="13"/>
      <c r="Q399" s="13"/>
      <c r="R399" s="481"/>
      <c r="S399" s="481"/>
      <c r="T399" s="481"/>
      <c r="U399" s="482"/>
      <c r="V399" s="41"/>
      <c r="W399" s="13"/>
      <c r="X399" s="482"/>
      <c r="Y399" s="481"/>
      <c r="Z399" s="481"/>
      <c r="AA399" s="481"/>
      <c r="AB399" s="16"/>
      <c r="AC399" s="16"/>
      <c r="AD399" s="16"/>
      <c r="AE399" s="16"/>
      <c r="AF399" s="16"/>
      <c r="AG399" s="16"/>
      <c r="AH399" s="16"/>
      <c r="AI399" s="16"/>
      <c r="AJ399" s="481"/>
      <c r="AK399" s="482"/>
      <c r="AL399" s="25"/>
      <c r="AM399" s="481"/>
      <c r="AN399" s="481"/>
      <c r="AO399" s="481"/>
      <c r="AP399" s="16"/>
      <c r="AQ399" s="16"/>
      <c r="AR399" s="130"/>
      <c r="AS399" s="130">
        <v>1405</v>
      </c>
      <c r="AT399" s="130"/>
      <c r="AU399" s="130"/>
      <c r="AV399" s="130"/>
      <c r="AW399" s="12"/>
      <c r="AX399" s="12"/>
      <c r="AY399" s="12"/>
      <c r="AZ399" s="481"/>
    </row>
    <row r="400" spans="1:52" ht="30" customHeight="1" x14ac:dyDescent="0.2">
      <c r="A400" s="497">
        <v>398</v>
      </c>
      <c r="B400" s="481"/>
      <c r="C400" s="16"/>
      <c r="D400" s="482"/>
      <c r="E400" s="482"/>
      <c r="F400" s="482"/>
      <c r="G400" s="495"/>
      <c r="H400" s="481"/>
      <c r="I400" s="481"/>
      <c r="J400" s="360" t="s">
        <v>158</v>
      </c>
      <c r="K400" s="482"/>
      <c r="L400" s="482"/>
      <c r="M400" s="482"/>
      <c r="N400" s="41"/>
      <c r="O400" s="13"/>
      <c r="P400" s="13"/>
      <c r="Q400" s="13"/>
      <c r="R400" s="481"/>
      <c r="S400" s="481"/>
      <c r="T400" s="481"/>
      <c r="U400" s="482"/>
      <c r="V400" s="41"/>
      <c r="W400" s="13"/>
      <c r="X400" s="482"/>
      <c r="Y400" s="481"/>
      <c r="Z400" s="481"/>
      <c r="AA400" s="481"/>
      <c r="AB400" s="16"/>
      <c r="AC400" s="16"/>
      <c r="AD400" s="16"/>
      <c r="AE400" s="16"/>
      <c r="AF400" s="16"/>
      <c r="AG400" s="16"/>
      <c r="AH400" s="16"/>
      <c r="AI400" s="16"/>
      <c r="AJ400" s="481"/>
      <c r="AK400" s="482"/>
      <c r="AL400" s="25"/>
      <c r="AM400" s="481"/>
      <c r="AN400" s="481"/>
      <c r="AO400" s="481"/>
      <c r="AP400" s="16"/>
      <c r="AQ400" s="16"/>
      <c r="AR400" s="130"/>
      <c r="AS400" s="130">
        <v>1405</v>
      </c>
      <c r="AT400" s="130"/>
      <c r="AU400" s="130"/>
      <c r="AV400" s="130"/>
      <c r="AW400" s="12"/>
      <c r="AX400" s="12"/>
      <c r="AY400" s="12"/>
      <c r="AZ400" s="481"/>
    </row>
    <row r="401" spans="1:52" ht="30" customHeight="1" x14ac:dyDescent="0.2">
      <c r="A401" s="497">
        <v>399</v>
      </c>
      <c r="B401" s="481"/>
      <c r="C401" s="16"/>
      <c r="D401" s="482"/>
      <c r="E401" s="482"/>
      <c r="F401" s="482"/>
      <c r="G401" s="495"/>
      <c r="H401" s="481"/>
      <c r="I401" s="481"/>
      <c r="J401" s="360" t="s">
        <v>158</v>
      </c>
      <c r="K401" s="482"/>
      <c r="L401" s="482"/>
      <c r="M401" s="482"/>
      <c r="N401" s="41"/>
      <c r="O401" s="13"/>
      <c r="P401" s="13"/>
      <c r="Q401" s="13"/>
      <c r="R401" s="481"/>
      <c r="S401" s="481"/>
      <c r="T401" s="481"/>
      <c r="U401" s="482"/>
      <c r="V401" s="41"/>
      <c r="W401" s="13"/>
      <c r="X401" s="482"/>
      <c r="Y401" s="481"/>
      <c r="Z401" s="481"/>
      <c r="AA401" s="481"/>
      <c r="AB401" s="16"/>
      <c r="AC401" s="16"/>
      <c r="AD401" s="16"/>
      <c r="AE401" s="16"/>
      <c r="AF401" s="16"/>
      <c r="AG401" s="16"/>
      <c r="AH401" s="16"/>
      <c r="AI401" s="16"/>
      <c r="AJ401" s="481"/>
      <c r="AK401" s="482"/>
      <c r="AL401" s="25"/>
      <c r="AM401" s="481"/>
      <c r="AN401" s="481"/>
      <c r="AO401" s="481"/>
      <c r="AP401" s="16"/>
      <c r="AQ401" s="16"/>
      <c r="AR401" s="130"/>
      <c r="AS401" s="130">
        <v>1405</v>
      </c>
      <c r="AT401" s="130"/>
      <c r="AU401" s="130"/>
      <c r="AV401" s="130"/>
      <c r="AW401" s="12"/>
      <c r="AX401" s="12"/>
      <c r="AY401" s="12"/>
      <c r="AZ401" s="481"/>
    </row>
    <row r="402" spans="1:52" ht="30" customHeight="1" x14ac:dyDescent="0.2">
      <c r="A402" s="497">
        <v>400</v>
      </c>
      <c r="B402" s="481"/>
      <c r="C402" s="16"/>
      <c r="D402" s="482"/>
      <c r="E402" s="482"/>
      <c r="F402" s="482"/>
      <c r="G402" s="495"/>
      <c r="H402" s="481"/>
      <c r="I402" s="481"/>
      <c r="J402" s="360" t="s">
        <v>158</v>
      </c>
      <c r="K402" s="482"/>
      <c r="L402" s="482"/>
      <c r="M402" s="482"/>
      <c r="N402" s="41"/>
      <c r="O402" s="13"/>
      <c r="P402" s="13"/>
      <c r="Q402" s="13"/>
      <c r="R402" s="481"/>
      <c r="S402" s="481"/>
      <c r="T402" s="481"/>
      <c r="U402" s="482"/>
      <c r="V402" s="41"/>
      <c r="W402" s="13"/>
      <c r="X402" s="482"/>
      <c r="Y402" s="481"/>
      <c r="Z402" s="481"/>
      <c r="AA402" s="481"/>
      <c r="AB402" s="16"/>
      <c r="AC402" s="16"/>
      <c r="AD402" s="16"/>
      <c r="AE402" s="16"/>
      <c r="AF402" s="16"/>
      <c r="AG402" s="16"/>
      <c r="AH402" s="16"/>
      <c r="AI402" s="16"/>
      <c r="AJ402" s="481"/>
      <c r="AK402" s="482"/>
      <c r="AL402" s="25"/>
      <c r="AM402" s="481"/>
      <c r="AN402" s="481"/>
      <c r="AO402" s="481"/>
      <c r="AP402" s="16"/>
      <c r="AQ402" s="16"/>
      <c r="AR402" s="130"/>
      <c r="AS402" s="130">
        <v>1405</v>
      </c>
      <c r="AT402" s="130"/>
      <c r="AU402" s="130"/>
      <c r="AV402" s="130"/>
      <c r="AW402" s="12"/>
      <c r="AX402" s="12"/>
      <c r="AY402" s="12"/>
      <c r="AZ402" s="481"/>
    </row>
    <row r="403" spans="1:52" ht="30" customHeight="1" x14ac:dyDescent="0.2">
      <c r="A403" s="497">
        <v>401</v>
      </c>
      <c r="B403" s="481"/>
      <c r="C403" s="16"/>
      <c r="D403" s="482"/>
      <c r="E403" s="482"/>
      <c r="F403" s="482"/>
      <c r="G403" s="495"/>
      <c r="H403" s="481"/>
      <c r="I403" s="481"/>
      <c r="J403" s="360" t="s">
        <v>158</v>
      </c>
      <c r="K403" s="482"/>
      <c r="L403" s="482"/>
      <c r="M403" s="482"/>
      <c r="N403" s="41"/>
      <c r="O403" s="13"/>
      <c r="P403" s="13"/>
      <c r="Q403" s="13"/>
      <c r="R403" s="481"/>
      <c r="S403" s="481"/>
      <c r="T403" s="481"/>
      <c r="U403" s="482"/>
      <c r="V403" s="41"/>
      <c r="W403" s="13"/>
      <c r="X403" s="482"/>
      <c r="Y403" s="481"/>
      <c r="Z403" s="481"/>
      <c r="AA403" s="481"/>
      <c r="AB403" s="16"/>
      <c r="AC403" s="16"/>
      <c r="AD403" s="16"/>
      <c r="AE403" s="16"/>
      <c r="AF403" s="16"/>
      <c r="AG403" s="16"/>
      <c r="AH403" s="16"/>
      <c r="AI403" s="16"/>
      <c r="AJ403" s="481"/>
      <c r="AK403" s="482"/>
      <c r="AL403" s="25"/>
      <c r="AM403" s="481"/>
      <c r="AN403" s="481"/>
      <c r="AO403" s="481"/>
      <c r="AP403" s="16"/>
      <c r="AQ403" s="16"/>
      <c r="AR403" s="130"/>
      <c r="AS403" s="130">
        <v>1405</v>
      </c>
      <c r="AT403" s="130"/>
      <c r="AU403" s="130"/>
      <c r="AV403" s="130"/>
      <c r="AW403" s="12"/>
      <c r="AX403" s="12"/>
      <c r="AY403" s="12"/>
      <c r="AZ403" s="481"/>
    </row>
    <row r="404" spans="1:52" ht="30" customHeight="1" x14ac:dyDescent="0.2">
      <c r="A404" s="497">
        <v>402</v>
      </c>
      <c r="B404" s="481"/>
      <c r="C404" s="16"/>
      <c r="D404" s="482"/>
      <c r="E404" s="482"/>
      <c r="F404" s="482"/>
      <c r="G404" s="495"/>
      <c r="H404" s="481"/>
      <c r="I404" s="481"/>
      <c r="J404" s="360" t="s">
        <v>158</v>
      </c>
      <c r="K404" s="482"/>
      <c r="L404" s="482"/>
      <c r="M404" s="482"/>
      <c r="N404" s="41"/>
      <c r="O404" s="13"/>
      <c r="P404" s="13"/>
      <c r="Q404" s="13"/>
      <c r="R404" s="481"/>
      <c r="S404" s="481"/>
      <c r="T404" s="481"/>
      <c r="U404" s="482"/>
      <c r="V404" s="41"/>
      <c r="W404" s="13"/>
      <c r="X404" s="482"/>
      <c r="Y404" s="481"/>
      <c r="Z404" s="481"/>
      <c r="AA404" s="481"/>
      <c r="AB404" s="16"/>
      <c r="AC404" s="16"/>
      <c r="AD404" s="16"/>
      <c r="AE404" s="16"/>
      <c r="AF404" s="16"/>
      <c r="AG404" s="16"/>
      <c r="AH404" s="16"/>
      <c r="AI404" s="16"/>
      <c r="AJ404" s="481"/>
      <c r="AK404" s="482"/>
      <c r="AL404" s="25"/>
      <c r="AM404" s="481"/>
      <c r="AN404" s="481"/>
      <c r="AO404" s="481"/>
      <c r="AP404" s="16"/>
      <c r="AQ404" s="16"/>
      <c r="AR404" s="130"/>
      <c r="AS404" s="130">
        <v>1405</v>
      </c>
      <c r="AT404" s="130"/>
      <c r="AU404" s="130"/>
      <c r="AV404" s="130"/>
      <c r="AW404" s="12"/>
      <c r="AX404" s="12"/>
      <c r="AY404" s="12"/>
      <c r="AZ404" s="481"/>
    </row>
    <row r="405" spans="1:52" ht="30" customHeight="1" x14ac:dyDescent="0.2">
      <c r="A405" s="497">
        <v>403</v>
      </c>
      <c r="B405" s="481"/>
      <c r="C405" s="16"/>
      <c r="D405" s="482"/>
      <c r="E405" s="482"/>
      <c r="F405" s="482"/>
      <c r="G405" s="495"/>
      <c r="H405" s="481"/>
      <c r="I405" s="481"/>
      <c r="J405" s="360" t="s">
        <v>158</v>
      </c>
      <c r="K405" s="482"/>
      <c r="L405" s="482"/>
      <c r="M405" s="482"/>
      <c r="N405" s="41"/>
      <c r="O405" s="13"/>
      <c r="P405" s="13"/>
      <c r="Q405" s="13"/>
      <c r="R405" s="481"/>
      <c r="S405" s="481"/>
      <c r="T405" s="481"/>
      <c r="U405" s="482"/>
      <c r="V405" s="41"/>
      <c r="W405" s="13"/>
      <c r="X405" s="482"/>
      <c r="Y405" s="481"/>
      <c r="Z405" s="481"/>
      <c r="AA405" s="481"/>
      <c r="AB405" s="16"/>
      <c r="AC405" s="16"/>
      <c r="AD405" s="16"/>
      <c r="AE405" s="16"/>
      <c r="AF405" s="16"/>
      <c r="AG405" s="16"/>
      <c r="AH405" s="16"/>
      <c r="AI405" s="16"/>
      <c r="AJ405" s="481"/>
      <c r="AK405" s="482"/>
      <c r="AL405" s="25"/>
      <c r="AM405" s="481"/>
      <c r="AN405" s="481"/>
      <c r="AO405" s="481"/>
      <c r="AP405" s="16"/>
      <c r="AQ405" s="16"/>
      <c r="AR405" s="130"/>
      <c r="AS405" s="130">
        <v>1405</v>
      </c>
      <c r="AT405" s="130"/>
      <c r="AU405" s="130"/>
      <c r="AV405" s="130"/>
      <c r="AW405" s="12"/>
      <c r="AX405" s="12"/>
      <c r="AY405" s="12"/>
      <c r="AZ405" s="481"/>
    </row>
    <row r="406" spans="1:52" ht="30" customHeight="1" x14ac:dyDescent="0.2">
      <c r="A406" s="497">
        <v>404</v>
      </c>
      <c r="B406" s="481"/>
      <c r="C406" s="16"/>
      <c r="D406" s="482"/>
      <c r="E406" s="482"/>
      <c r="F406" s="482"/>
      <c r="G406" s="495"/>
      <c r="H406" s="481"/>
      <c r="I406" s="481"/>
      <c r="J406" s="360" t="s">
        <v>158</v>
      </c>
      <c r="K406" s="482"/>
      <c r="L406" s="482"/>
      <c r="M406" s="482"/>
      <c r="N406" s="41"/>
      <c r="O406" s="13"/>
      <c r="P406" s="13"/>
      <c r="Q406" s="13"/>
      <c r="R406" s="481"/>
      <c r="S406" s="481"/>
      <c r="T406" s="481"/>
      <c r="U406" s="482"/>
      <c r="V406" s="41"/>
      <c r="W406" s="13"/>
      <c r="X406" s="482"/>
      <c r="Y406" s="481"/>
      <c r="Z406" s="481"/>
      <c r="AA406" s="481"/>
      <c r="AB406" s="16"/>
      <c r="AC406" s="16"/>
      <c r="AD406" s="16"/>
      <c r="AE406" s="16"/>
      <c r="AF406" s="16"/>
      <c r="AG406" s="16"/>
      <c r="AH406" s="16"/>
      <c r="AI406" s="16"/>
      <c r="AJ406" s="481"/>
      <c r="AK406" s="482"/>
      <c r="AL406" s="25"/>
      <c r="AM406" s="481"/>
      <c r="AN406" s="481"/>
      <c r="AO406" s="481"/>
      <c r="AP406" s="16"/>
      <c r="AQ406" s="16"/>
      <c r="AR406" s="130"/>
      <c r="AS406" s="130">
        <v>1405</v>
      </c>
      <c r="AT406" s="130"/>
      <c r="AU406" s="130"/>
      <c r="AV406" s="130"/>
      <c r="AW406" s="12"/>
      <c r="AX406" s="12"/>
      <c r="AY406" s="12"/>
      <c r="AZ406" s="481"/>
    </row>
    <row r="407" spans="1:52" ht="30" customHeight="1" x14ac:dyDescent="0.2">
      <c r="A407" s="497">
        <v>405</v>
      </c>
      <c r="B407" s="481"/>
      <c r="C407" s="16"/>
      <c r="D407" s="482"/>
      <c r="E407" s="482"/>
      <c r="F407" s="482"/>
      <c r="G407" s="495"/>
      <c r="H407" s="481"/>
      <c r="I407" s="481"/>
      <c r="J407" s="360" t="s">
        <v>158</v>
      </c>
      <c r="K407" s="482"/>
      <c r="L407" s="482"/>
      <c r="M407" s="482"/>
      <c r="N407" s="41"/>
      <c r="O407" s="13"/>
      <c r="P407" s="13"/>
      <c r="Q407" s="13"/>
      <c r="R407" s="481"/>
      <c r="S407" s="481"/>
      <c r="T407" s="481"/>
      <c r="U407" s="482"/>
      <c r="V407" s="41"/>
      <c r="W407" s="13"/>
      <c r="X407" s="482"/>
      <c r="Y407" s="481"/>
      <c r="Z407" s="481"/>
      <c r="AA407" s="481"/>
      <c r="AB407" s="16"/>
      <c r="AC407" s="16"/>
      <c r="AD407" s="16"/>
      <c r="AE407" s="16"/>
      <c r="AF407" s="16"/>
      <c r="AG407" s="16"/>
      <c r="AH407" s="16"/>
      <c r="AI407" s="16"/>
      <c r="AJ407" s="481"/>
      <c r="AK407" s="482"/>
      <c r="AL407" s="25"/>
      <c r="AM407" s="481"/>
      <c r="AN407" s="481"/>
      <c r="AO407" s="481"/>
      <c r="AP407" s="16"/>
      <c r="AQ407" s="16"/>
      <c r="AR407" s="130"/>
      <c r="AS407" s="130">
        <v>1405</v>
      </c>
      <c r="AT407" s="130"/>
      <c r="AU407" s="130"/>
      <c r="AV407" s="130"/>
      <c r="AW407" s="12"/>
      <c r="AX407" s="12"/>
      <c r="AY407" s="12"/>
      <c r="AZ407" s="481"/>
    </row>
    <row r="408" spans="1:52" ht="30" customHeight="1" x14ac:dyDescent="0.2">
      <c r="A408" s="497">
        <v>406</v>
      </c>
      <c r="B408" s="481"/>
      <c r="C408" s="16"/>
      <c r="D408" s="482"/>
      <c r="E408" s="482"/>
      <c r="F408" s="482"/>
      <c r="G408" s="495"/>
      <c r="H408" s="481"/>
      <c r="I408" s="481"/>
      <c r="J408" s="360" t="s">
        <v>158</v>
      </c>
      <c r="K408" s="482"/>
      <c r="L408" s="482"/>
      <c r="M408" s="482"/>
      <c r="N408" s="41"/>
      <c r="O408" s="13"/>
      <c r="P408" s="13"/>
      <c r="Q408" s="13"/>
      <c r="R408" s="481"/>
      <c r="S408" s="481"/>
      <c r="T408" s="481"/>
      <c r="U408" s="482"/>
      <c r="V408" s="41"/>
      <c r="W408" s="13"/>
      <c r="X408" s="482"/>
      <c r="Y408" s="481"/>
      <c r="Z408" s="481"/>
      <c r="AA408" s="481"/>
      <c r="AB408" s="16"/>
      <c r="AC408" s="16"/>
      <c r="AD408" s="16"/>
      <c r="AE408" s="16"/>
      <c r="AF408" s="16"/>
      <c r="AG408" s="16"/>
      <c r="AH408" s="16"/>
      <c r="AI408" s="16"/>
      <c r="AJ408" s="481"/>
      <c r="AK408" s="482"/>
      <c r="AL408" s="25"/>
      <c r="AM408" s="481"/>
      <c r="AN408" s="481"/>
      <c r="AO408" s="481"/>
      <c r="AP408" s="16"/>
      <c r="AQ408" s="16"/>
      <c r="AR408" s="130"/>
      <c r="AS408" s="130">
        <v>1405</v>
      </c>
      <c r="AT408" s="130"/>
      <c r="AU408" s="130"/>
      <c r="AV408" s="130"/>
      <c r="AW408" s="12"/>
      <c r="AX408" s="12"/>
      <c r="AY408" s="12"/>
      <c r="AZ408" s="481"/>
    </row>
    <row r="409" spans="1:52" ht="30" customHeight="1" x14ac:dyDescent="0.2">
      <c r="A409" s="497">
        <v>407</v>
      </c>
      <c r="B409" s="481"/>
      <c r="C409" s="16"/>
      <c r="D409" s="482"/>
      <c r="E409" s="482"/>
      <c r="F409" s="482"/>
      <c r="G409" s="495"/>
      <c r="H409" s="481"/>
      <c r="I409" s="481"/>
      <c r="J409" s="360" t="s">
        <v>158</v>
      </c>
      <c r="K409" s="482"/>
      <c r="L409" s="482"/>
      <c r="M409" s="482"/>
      <c r="N409" s="41"/>
      <c r="O409" s="13"/>
      <c r="P409" s="13"/>
      <c r="Q409" s="13"/>
      <c r="R409" s="481"/>
      <c r="S409" s="481"/>
      <c r="T409" s="481"/>
      <c r="U409" s="482"/>
      <c r="V409" s="41"/>
      <c r="W409" s="13"/>
      <c r="X409" s="482"/>
      <c r="Y409" s="481"/>
      <c r="Z409" s="481"/>
      <c r="AA409" s="481"/>
      <c r="AB409" s="16"/>
      <c r="AC409" s="16"/>
      <c r="AD409" s="16"/>
      <c r="AE409" s="16"/>
      <c r="AF409" s="16"/>
      <c r="AG409" s="16"/>
      <c r="AH409" s="16"/>
      <c r="AI409" s="16"/>
      <c r="AJ409" s="481"/>
      <c r="AK409" s="482"/>
      <c r="AL409" s="25"/>
      <c r="AM409" s="481"/>
      <c r="AN409" s="481"/>
      <c r="AO409" s="481"/>
      <c r="AP409" s="16"/>
      <c r="AQ409" s="16"/>
      <c r="AR409" s="130"/>
      <c r="AS409" s="130">
        <v>1405</v>
      </c>
      <c r="AT409" s="130"/>
      <c r="AU409" s="130"/>
      <c r="AV409" s="130"/>
      <c r="AW409" s="12"/>
      <c r="AX409" s="12"/>
      <c r="AY409" s="12"/>
      <c r="AZ409" s="481"/>
    </row>
    <row r="410" spans="1:52" ht="30" customHeight="1" x14ac:dyDescent="0.2">
      <c r="A410" s="497">
        <v>408</v>
      </c>
      <c r="B410" s="481"/>
      <c r="C410" s="16"/>
      <c r="D410" s="482"/>
      <c r="E410" s="482"/>
      <c r="F410" s="482"/>
      <c r="G410" s="495"/>
      <c r="H410" s="481"/>
      <c r="I410" s="481"/>
      <c r="J410" s="360" t="s">
        <v>158</v>
      </c>
      <c r="K410" s="482"/>
      <c r="L410" s="482"/>
      <c r="M410" s="482"/>
      <c r="N410" s="41"/>
      <c r="O410" s="13"/>
      <c r="P410" s="13"/>
      <c r="Q410" s="13"/>
      <c r="R410" s="481"/>
      <c r="S410" s="481"/>
      <c r="T410" s="481"/>
      <c r="U410" s="482"/>
      <c r="V410" s="41"/>
      <c r="W410" s="13"/>
      <c r="X410" s="482"/>
      <c r="Y410" s="481"/>
      <c r="Z410" s="481"/>
      <c r="AA410" s="481"/>
      <c r="AB410" s="16"/>
      <c r="AC410" s="16"/>
      <c r="AD410" s="16"/>
      <c r="AE410" s="16"/>
      <c r="AF410" s="16"/>
      <c r="AG410" s="16"/>
      <c r="AH410" s="16"/>
      <c r="AI410" s="16"/>
      <c r="AJ410" s="481"/>
      <c r="AK410" s="482"/>
      <c r="AL410" s="25"/>
      <c r="AM410" s="481"/>
      <c r="AN410" s="481"/>
      <c r="AO410" s="481"/>
      <c r="AP410" s="16"/>
      <c r="AQ410" s="16"/>
      <c r="AR410" s="130"/>
      <c r="AS410" s="130">
        <v>1405</v>
      </c>
      <c r="AT410" s="130"/>
      <c r="AU410" s="130"/>
      <c r="AV410" s="130"/>
      <c r="AW410" s="12"/>
      <c r="AX410" s="12"/>
      <c r="AY410" s="12"/>
      <c r="AZ410" s="481"/>
    </row>
    <row r="411" spans="1:52" ht="30" customHeight="1" x14ac:dyDescent="0.2">
      <c r="A411" s="497">
        <v>409</v>
      </c>
      <c r="B411" s="481"/>
      <c r="C411" s="16"/>
      <c r="D411" s="482"/>
      <c r="E411" s="482"/>
      <c r="F411" s="482"/>
      <c r="G411" s="495"/>
      <c r="H411" s="481"/>
      <c r="I411" s="481"/>
      <c r="J411" s="360" t="s">
        <v>158</v>
      </c>
      <c r="K411" s="482"/>
      <c r="L411" s="482"/>
      <c r="M411" s="482"/>
      <c r="N411" s="41"/>
      <c r="O411" s="13"/>
      <c r="P411" s="13"/>
      <c r="Q411" s="13"/>
      <c r="R411" s="481"/>
      <c r="S411" s="481"/>
      <c r="T411" s="481"/>
      <c r="U411" s="482"/>
      <c r="V411" s="41"/>
      <c r="W411" s="13"/>
      <c r="X411" s="482"/>
      <c r="Y411" s="481"/>
      <c r="Z411" s="481"/>
      <c r="AA411" s="481"/>
      <c r="AB411" s="16"/>
      <c r="AC411" s="16"/>
      <c r="AD411" s="16"/>
      <c r="AE411" s="16"/>
      <c r="AF411" s="16"/>
      <c r="AG411" s="16"/>
      <c r="AH411" s="16"/>
      <c r="AI411" s="16"/>
      <c r="AJ411" s="481"/>
      <c r="AK411" s="482"/>
      <c r="AL411" s="25"/>
      <c r="AM411" s="481"/>
      <c r="AN411" s="481"/>
      <c r="AO411" s="481"/>
      <c r="AP411" s="16"/>
      <c r="AQ411" s="16"/>
      <c r="AR411" s="130"/>
      <c r="AS411" s="130">
        <v>1405</v>
      </c>
      <c r="AT411" s="130"/>
      <c r="AU411" s="130"/>
      <c r="AV411" s="130"/>
      <c r="AW411" s="12"/>
      <c r="AX411" s="12"/>
      <c r="AY411" s="12"/>
      <c r="AZ411" s="481"/>
    </row>
    <row r="412" spans="1:52" ht="30" customHeight="1" x14ac:dyDescent="0.2">
      <c r="A412" s="497">
        <v>410</v>
      </c>
      <c r="B412" s="481"/>
      <c r="C412" s="16"/>
      <c r="D412" s="482"/>
      <c r="E412" s="482"/>
      <c r="F412" s="482"/>
      <c r="G412" s="495"/>
      <c r="H412" s="481"/>
      <c r="I412" s="481"/>
      <c r="J412" s="360" t="s">
        <v>158</v>
      </c>
      <c r="K412" s="482"/>
      <c r="L412" s="482"/>
      <c r="M412" s="482"/>
      <c r="N412" s="41"/>
      <c r="O412" s="13"/>
      <c r="P412" s="13"/>
      <c r="Q412" s="13"/>
      <c r="R412" s="481"/>
      <c r="S412" s="481"/>
      <c r="T412" s="481"/>
      <c r="U412" s="482"/>
      <c r="V412" s="41"/>
      <c r="W412" s="13"/>
      <c r="X412" s="482"/>
      <c r="Y412" s="481"/>
      <c r="Z412" s="481"/>
      <c r="AA412" s="481"/>
      <c r="AB412" s="16"/>
      <c r="AC412" s="16"/>
      <c r="AD412" s="16"/>
      <c r="AE412" s="16"/>
      <c r="AF412" s="16"/>
      <c r="AG412" s="16"/>
      <c r="AH412" s="16"/>
      <c r="AI412" s="16"/>
      <c r="AJ412" s="481"/>
      <c r="AK412" s="482"/>
      <c r="AL412" s="25"/>
      <c r="AM412" s="481"/>
      <c r="AN412" s="481"/>
      <c r="AO412" s="481"/>
      <c r="AP412" s="16"/>
      <c r="AQ412" s="16"/>
      <c r="AR412" s="130"/>
      <c r="AS412" s="130">
        <v>1405</v>
      </c>
      <c r="AT412" s="130"/>
      <c r="AU412" s="130"/>
      <c r="AV412" s="130"/>
      <c r="AW412" s="12"/>
      <c r="AX412" s="12"/>
      <c r="AY412" s="12"/>
      <c r="AZ412" s="481"/>
    </row>
    <row r="413" spans="1:52" ht="30" customHeight="1" x14ac:dyDescent="0.2">
      <c r="A413" s="497">
        <v>411</v>
      </c>
      <c r="B413" s="481"/>
      <c r="C413" s="16"/>
      <c r="D413" s="482"/>
      <c r="E413" s="482"/>
      <c r="F413" s="482"/>
      <c r="G413" s="495"/>
      <c r="H413" s="481"/>
      <c r="I413" s="481"/>
      <c r="J413" s="360" t="s">
        <v>158</v>
      </c>
      <c r="K413" s="482"/>
      <c r="L413" s="482"/>
      <c r="M413" s="482"/>
      <c r="N413" s="41"/>
      <c r="O413" s="13"/>
      <c r="P413" s="13"/>
      <c r="Q413" s="13"/>
      <c r="R413" s="481"/>
      <c r="S413" s="481"/>
      <c r="T413" s="481"/>
      <c r="U413" s="482"/>
      <c r="V413" s="41"/>
      <c r="W413" s="13"/>
      <c r="X413" s="482"/>
      <c r="Y413" s="481"/>
      <c r="Z413" s="481"/>
      <c r="AA413" s="481"/>
      <c r="AB413" s="16"/>
      <c r="AC413" s="16"/>
      <c r="AD413" s="16"/>
      <c r="AE413" s="16"/>
      <c r="AF413" s="16"/>
      <c r="AG413" s="16"/>
      <c r="AH413" s="16"/>
      <c r="AI413" s="16"/>
      <c r="AJ413" s="481"/>
      <c r="AK413" s="482"/>
      <c r="AL413" s="25"/>
      <c r="AM413" s="481"/>
      <c r="AN413" s="481"/>
      <c r="AO413" s="481"/>
      <c r="AP413" s="16"/>
      <c r="AQ413" s="16"/>
      <c r="AR413" s="130"/>
      <c r="AS413" s="130">
        <v>1405</v>
      </c>
      <c r="AT413" s="130"/>
      <c r="AU413" s="130"/>
      <c r="AV413" s="130"/>
      <c r="AW413" s="12"/>
      <c r="AX413" s="12"/>
      <c r="AY413" s="12"/>
      <c r="AZ413" s="481"/>
    </row>
    <row r="414" spans="1:52" ht="30" customHeight="1" x14ac:dyDescent="0.2">
      <c r="A414" s="497">
        <v>412</v>
      </c>
      <c r="B414" s="481"/>
      <c r="C414" s="16"/>
      <c r="D414" s="482"/>
      <c r="E414" s="482"/>
      <c r="F414" s="482"/>
      <c r="G414" s="495"/>
      <c r="H414" s="481"/>
      <c r="I414" s="481"/>
      <c r="J414" s="360" t="s">
        <v>158</v>
      </c>
      <c r="K414" s="482"/>
      <c r="L414" s="482"/>
      <c r="M414" s="482"/>
      <c r="N414" s="41"/>
      <c r="O414" s="13"/>
      <c r="P414" s="13"/>
      <c r="Q414" s="13"/>
      <c r="R414" s="481"/>
      <c r="S414" s="481"/>
      <c r="T414" s="481"/>
      <c r="U414" s="482"/>
      <c r="V414" s="41"/>
      <c r="W414" s="13"/>
      <c r="X414" s="482"/>
      <c r="Y414" s="481"/>
      <c r="Z414" s="481"/>
      <c r="AA414" s="481"/>
      <c r="AB414" s="16"/>
      <c r="AC414" s="16"/>
      <c r="AD414" s="16"/>
      <c r="AE414" s="16"/>
      <c r="AF414" s="16"/>
      <c r="AG414" s="16"/>
      <c r="AH414" s="16"/>
      <c r="AI414" s="16"/>
      <c r="AJ414" s="481"/>
      <c r="AK414" s="482"/>
      <c r="AL414" s="25"/>
      <c r="AM414" s="481"/>
      <c r="AN414" s="481"/>
      <c r="AO414" s="481"/>
      <c r="AP414" s="16"/>
      <c r="AQ414" s="16"/>
      <c r="AR414" s="130"/>
      <c r="AS414" s="130">
        <v>1405</v>
      </c>
      <c r="AT414" s="130"/>
      <c r="AU414" s="130"/>
      <c r="AV414" s="130"/>
      <c r="AW414" s="12"/>
      <c r="AX414" s="12"/>
      <c r="AY414" s="12"/>
      <c r="AZ414" s="481"/>
    </row>
    <row r="415" spans="1:52" ht="30" customHeight="1" x14ac:dyDescent="0.2">
      <c r="A415" s="497">
        <v>413</v>
      </c>
      <c r="B415" s="481"/>
      <c r="C415" s="16"/>
      <c r="D415" s="482"/>
      <c r="E415" s="482"/>
      <c r="F415" s="482"/>
      <c r="G415" s="495"/>
      <c r="H415" s="481"/>
      <c r="I415" s="481"/>
      <c r="J415" s="360" t="s">
        <v>158</v>
      </c>
      <c r="K415" s="482"/>
      <c r="L415" s="482"/>
      <c r="M415" s="482"/>
      <c r="N415" s="41"/>
      <c r="O415" s="13"/>
      <c r="P415" s="13"/>
      <c r="Q415" s="13"/>
      <c r="R415" s="481"/>
      <c r="S415" s="481"/>
      <c r="T415" s="481"/>
      <c r="U415" s="482"/>
      <c r="V415" s="41"/>
      <c r="W415" s="13"/>
      <c r="X415" s="482"/>
      <c r="Y415" s="481"/>
      <c r="Z415" s="481"/>
      <c r="AA415" s="481"/>
      <c r="AB415" s="16"/>
      <c r="AC415" s="16"/>
      <c r="AD415" s="16"/>
      <c r="AE415" s="16"/>
      <c r="AF415" s="16"/>
      <c r="AG415" s="16"/>
      <c r="AH415" s="16"/>
      <c r="AI415" s="16"/>
      <c r="AJ415" s="481"/>
      <c r="AK415" s="482"/>
      <c r="AL415" s="25"/>
      <c r="AM415" s="481"/>
      <c r="AN415" s="481"/>
      <c r="AO415" s="481"/>
      <c r="AP415" s="16"/>
      <c r="AQ415" s="16"/>
      <c r="AR415" s="130"/>
      <c r="AS415" s="130">
        <v>1405</v>
      </c>
      <c r="AT415" s="130"/>
      <c r="AU415" s="130"/>
      <c r="AV415" s="130"/>
      <c r="AW415" s="12"/>
      <c r="AX415" s="12"/>
      <c r="AY415" s="12"/>
      <c r="AZ415" s="481"/>
    </row>
    <row r="416" spans="1:52" ht="30" customHeight="1" x14ac:dyDescent="0.2">
      <c r="A416" s="497">
        <v>414</v>
      </c>
      <c r="B416" s="481"/>
      <c r="C416" s="16"/>
      <c r="D416" s="482"/>
      <c r="E416" s="482"/>
      <c r="F416" s="482"/>
      <c r="G416" s="495"/>
      <c r="H416" s="481"/>
      <c r="I416" s="481"/>
      <c r="J416" s="360" t="s">
        <v>158</v>
      </c>
      <c r="K416" s="482"/>
      <c r="L416" s="482"/>
      <c r="M416" s="482"/>
      <c r="N416" s="41"/>
      <c r="O416" s="13"/>
      <c r="P416" s="13"/>
      <c r="Q416" s="13"/>
      <c r="R416" s="481"/>
      <c r="S416" s="481"/>
      <c r="T416" s="481"/>
      <c r="U416" s="482"/>
      <c r="V416" s="41"/>
      <c r="W416" s="13"/>
      <c r="X416" s="482"/>
      <c r="Y416" s="481"/>
      <c r="Z416" s="481"/>
      <c r="AA416" s="481"/>
      <c r="AB416" s="16"/>
      <c r="AC416" s="16"/>
      <c r="AD416" s="16"/>
      <c r="AE416" s="16"/>
      <c r="AF416" s="16"/>
      <c r="AG416" s="16"/>
      <c r="AH416" s="16"/>
      <c r="AI416" s="16"/>
      <c r="AJ416" s="481"/>
      <c r="AK416" s="482"/>
      <c r="AL416" s="25"/>
      <c r="AM416" s="481"/>
      <c r="AN416" s="481"/>
      <c r="AO416" s="481"/>
      <c r="AP416" s="16"/>
      <c r="AQ416" s="16"/>
      <c r="AR416" s="130"/>
      <c r="AS416" s="130">
        <v>1405</v>
      </c>
      <c r="AT416" s="130"/>
      <c r="AU416" s="130"/>
      <c r="AV416" s="130"/>
      <c r="AW416" s="12"/>
      <c r="AX416" s="12"/>
      <c r="AY416" s="12"/>
      <c r="AZ416" s="481"/>
    </row>
    <row r="417" spans="1:52" ht="30" customHeight="1" x14ac:dyDescent="0.2">
      <c r="A417" s="497">
        <v>415</v>
      </c>
      <c r="B417" s="481"/>
      <c r="C417" s="16"/>
      <c r="D417" s="482"/>
      <c r="E417" s="482"/>
      <c r="F417" s="482"/>
      <c r="G417" s="495"/>
      <c r="H417" s="481"/>
      <c r="I417" s="481"/>
      <c r="J417" s="360" t="s">
        <v>158</v>
      </c>
      <c r="K417" s="482"/>
      <c r="L417" s="482"/>
      <c r="M417" s="482"/>
      <c r="N417" s="41"/>
      <c r="O417" s="13"/>
      <c r="P417" s="13"/>
      <c r="Q417" s="13"/>
      <c r="R417" s="481"/>
      <c r="S417" s="481"/>
      <c r="T417" s="481"/>
      <c r="U417" s="482"/>
      <c r="V417" s="41"/>
      <c r="W417" s="13"/>
      <c r="X417" s="482"/>
      <c r="Y417" s="481"/>
      <c r="Z417" s="481"/>
      <c r="AA417" s="481"/>
      <c r="AB417" s="16"/>
      <c r="AC417" s="16"/>
      <c r="AD417" s="16"/>
      <c r="AE417" s="16"/>
      <c r="AF417" s="16"/>
      <c r="AG417" s="16"/>
      <c r="AH417" s="16"/>
      <c r="AI417" s="16"/>
      <c r="AJ417" s="481"/>
      <c r="AK417" s="482"/>
      <c r="AL417" s="25"/>
      <c r="AM417" s="481"/>
      <c r="AN417" s="481"/>
      <c r="AO417" s="481"/>
      <c r="AP417" s="16"/>
      <c r="AQ417" s="16"/>
      <c r="AR417" s="130"/>
      <c r="AS417" s="130">
        <v>1405</v>
      </c>
      <c r="AT417" s="130"/>
      <c r="AU417" s="130"/>
      <c r="AV417" s="130"/>
      <c r="AW417" s="12"/>
      <c r="AX417" s="12"/>
      <c r="AY417" s="12"/>
      <c r="AZ417" s="481"/>
    </row>
    <row r="418" spans="1:52" ht="30" customHeight="1" x14ac:dyDescent="0.2">
      <c r="A418" s="497">
        <v>416</v>
      </c>
      <c r="B418" s="481"/>
      <c r="C418" s="16"/>
      <c r="D418" s="482"/>
      <c r="E418" s="482"/>
      <c r="F418" s="482"/>
      <c r="G418" s="495"/>
      <c r="H418" s="481"/>
      <c r="I418" s="481"/>
      <c r="J418" s="360" t="s">
        <v>158</v>
      </c>
      <c r="K418" s="482"/>
      <c r="L418" s="482"/>
      <c r="M418" s="482"/>
      <c r="N418" s="41"/>
      <c r="O418" s="13"/>
      <c r="P418" s="13"/>
      <c r="Q418" s="13"/>
      <c r="R418" s="481"/>
      <c r="S418" s="481"/>
      <c r="T418" s="481"/>
      <c r="U418" s="482"/>
      <c r="V418" s="41"/>
      <c r="W418" s="13"/>
      <c r="X418" s="482"/>
      <c r="Y418" s="481"/>
      <c r="Z418" s="481"/>
      <c r="AA418" s="481"/>
      <c r="AB418" s="16"/>
      <c r="AC418" s="16"/>
      <c r="AD418" s="16"/>
      <c r="AE418" s="16"/>
      <c r="AF418" s="16"/>
      <c r="AG418" s="16"/>
      <c r="AH418" s="16"/>
      <c r="AI418" s="16"/>
      <c r="AJ418" s="481"/>
      <c r="AK418" s="482"/>
      <c r="AL418" s="25"/>
      <c r="AM418" s="481"/>
      <c r="AN418" s="481"/>
      <c r="AO418" s="481"/>
      <c r="AP418" s="16"/>
      <c r="AQ418" s="16"/>
      <c r="AR418" s="130"/>
      <c r="AS418" s="130">
        <v>1405</v>
      </c>
      <c r="AT418" s="130"/>
      <c r="AU418" s="130"/>
      <c r="AV418" s="130"/>
      <c r="AW418" s="12"/>
      <c r="AX418" s="12"/>
      <c r="AY418" s="12"/>
      <c r="AZ418" s="481"/>
    </row>
    <row r="419" spans="1:52" ht="30" customHeight="1" x14ac:dyDescent="0.2">
      <c r="A419" s="497">
        <v>417</v>
      </c>
      <c r="B419" s="481"/>
      <c r="C419" s="16"/>
      <c r="D419" s="482"/>
      <c r="E419" s="482"/>
      <c r="F419" s="482"/>
      <c r="G419" s="495"/>
      <c r="H419" s="481"/>
      <c r="I419" s="481"/>
      <c r="J419" s="360" t="s">
        <v>158</v>
      </c>
      <c r="K419" s="482"/>
      <c r="L419" s="482"/>
      <c r="M419" s="482"/>
      <c r="N419" s="41"/>
      <c r="O419" s="13"/>
      <c r="P419" s="13"/>
      <c r="Q419" s="13"/>
      <c r="R419" s="481"/>
      <c r="S419" s="481"/>
      <c r="T419" s="481"/>
      <c r="U419" s="482"/>
      <c r="V419" s="41"/>
      <c r="W419" s="13"/>
      <c r="X419" s="482"/>
      <c r="Y419" s="481"/>
      <c r="Z419" s="481"/>
      <c r="AA419" s="481"/>
      <c r="AB419" s="16"/>
      <c r="AC419" s="16"/>
      <c r="AD419" s="16"/>
      <c r="AE419" s="16"/>
      <c r="AF419" s="16"/>
      <c r="AG419" s="16"/>
      <c r="AH419" s="16"/>
      <c r="AI419" s="16"/>
      <c r="AJ419" s="481"/>
      <c r="AK419" s="482"/>
      <c r="AL419" s="25"/>
      <c r="AM419" s="481"/>
      <c r="AN419" s="481"/>
      <c r="AO419" s="481"/>
      <c r="AP419" s="16"/>
      <c r="AQ419" s="16"/>
      <c r="AR419" s="130"/>
      <c r="AS419" s="130">
        <v>1405</v>
      </c>
      <c r="AT419" s="130"/>
      <c r="AU419" s="130"/>
      <c r="AV419" s="130"/>
      <c r="AW419" s="12"/>
      <c r="AX419" s="12"/>
      <c r="AY419" s="12"/>
      <c r="AZ419" s="481"/>
    </row>
    <row r="420" spans="1:52" ht="30" customHeight="1" x14ac:dyDescent="0.2">
      <c r="A420" s="497">
        <v>418</v>
      </c>
      <c r="B420" s="481"/>
      <c r="C420" s="16"/>
      <c r="D420" s="482"/>
      <c r="E420" s="482"/>
      <c r="F420" s="482"/>
      <c r="G420" s="495"/>
      <c r="H420" s="481"/>
      <c r="I420" s="481"/>
      <c r="J420" s="360" t="s">
        <v>158</v>
      </c>
      <c r="K420" s="482"/>
      <c r="L420" s="482"/>
      <c r="M420" s="482"/>
      <c r="N420" s="41"/>
      <c r="O420" s="13"/>
      <c r="P420" s="13"/>
      <c r="Q420" s="13"/>
      <c r="R420" s="481"/>
      <c r="S420" s="481"/>
      <c r="T420" s="481"/>
      <c r="U420" s="482"/>
      <c r="V420" s="41"/>
      <c r="W420" s="13"/>
      <c r="X420" s="482"/>
      <c r="Y420" s="481"/>
      <c r="Z420" s="481"/>
      <c r="AA420" s="481"/>
      <c r="AB420" s="16"/>
      <c r="AC420" s="16"/>
      <c r="AD420" s="16"/>
      <c r="AE420" s="16"/>
      <c r="AF420" s="16"/>
      <c r="AG420" s="16"/>
      <c r="AH420" s="16"/>
      <c r="AI420" s="16"/>
      <c r="AJ420" s="481"/>
      <c r="AK420" s="482"/>
      <c r="AL420" s="25"/>
      <c r="AM420" s="481"/>
      <c r="AN420" s="481"/>
      <c r="AO420" s="481"/>
      <c r="AP420" s="16"/>
      <c r="AQ420" s="16"/>
      <c r="AR420" s="130"/>
      <c r="AS420" s="130">
        <v>1405</v>
      </c>
      <c r="AT420" s="130"/>
      <c r="AU420" s="130"/>
      <c r="AV420" s="130"/>
      <c r="AW420" s="12"/>
      <c r="AX420" s="12"/>
      <c r="AY420" s="12"/>
      <c r="AZ420" s="481"/>
    </row>
    <row r="421" spans="1:52" ht="30" customHeight="1" x14ac:dyDescent="0.2">
      <c r="A421" s="497">
        <v>419</v>
      </c>
      <c r="B421" s="481"/>
      <c r="C421" s="16"/>
      <c r="D421" s="482"/>
      <c r="E421" s="482"/>
      <c r="F421" s="482"/>
      <c r="G421" s="495"/>
      <c r="H421" s="481"/>
      <c r="I421" s="481"/>
      <c r="J421" s="360" t="s">
        <v>158</v>
      </c>
      <c r="K421" s="482"/>
      <c r="L421" s="482"/>
      <c r="M421" s="482"/>
      <c r="N421" s="41"/>
      <c r="O421" s="13"/>
      <c r="P421" s="13"/>
      <c r="Q421" s="13"/>
      <c r="R421" s="481"/>
      <c r="S421" s="481"/>
      <c r="T421" s="481"/>
      <c r="U421" s="482"/>
      <c r="V421" s="41"/>
      <c r="W421" s="13"/>
      <c r="X421" s="482"/>
      <c r="Y421" s="481"/>
      <c r="Z421" s="481"/>
      <c r="AA421" s="481"/>
      <c r="AB421" s="16"/>
      <c r="AC421" s="16"/>
      <c r="AD421" s="16"/>
      <c r="AE421" s="16"/>
      <c r="AF421" s="16"/>
      <c r="AG421" s="16"/>
      <c r="AH421" s="16"/>
      <c r="AI421" s="16"/>
      <c r="AJ421" s="481"/>
      <c r="AK421" s="482"/>
      <c r="AL421" s="25"/>
      <c r="AM421" s="481"/>
      <c r="AN421" s="481"/>
      <c r="AO421" s="481"/>
      <c r="AP421" s="16"/>
      <c r="AQ421" s="16"/>
      <c r="AR421" s="130"/>
      <c r="AS421" s="130">
        <v>1405</v>
      </c>
      <c r="AT421" s="130"/>
      <c r="AU421" s="130"/>
      <c r="AV421" s="130"/>
      <c r="AW421" s="12"/>
      <c r="AX421" s="12"/>
      <c r="AY421" s="12"/>
      <c r="AZ421" s="481"/>
    </row>
    <row r="422" spans="1:52" ht="30" customHeight="1" x14ac:dyDescent="0.2">
      <c r="A422" s="497">
        <v>420</v>
      </c>
      <c r="B422" s="481"/>
      <c r="C422" s="16"/>
      <c r="D422" s="482"/>
      <c r="E422" s="482"/>
      <c r="F422" s="482"/>
      <c r="G422" s="495"/>
      <c r="H422" s="481"/>
      <c r="I422" s="481"/>
      <c r="J422" s="360" t="s">
        <v>158</v>
      </c>
      <c r="K422" s="482"/>
      <c r="L422" s="482"/>
      <c r="M422" s="482"/>
      <c r="N422" s="41"/>
      <c r="O422" s="13"/>
      <c r="P422" s="13"/>
      <c r="Q422" s="13"/>
      <c r="R422" s="481"/>
      <c r="S422" s="481"/>
      <c r="T422" s="481"/>
      <c r="U422" s="482"/>
      <c r="V422" s="41"/>
      <c r="W422" s="13"/>
      <c r="X422" s="482"/>
      <c r="Y422" s="481"/>
      <c r="Z422" s="481"/>
      <c r="AA422" s="481"/>
      <c r="AB422" s="16"/>
      <c r="AC422" s="16"/>
      <c r="AD422" s="16"/>
      <c r="AE422" s="16"/>
      <c r="AF422" s="16"/>
      <c r="AG422" s="16"/>
      <c r="AH422" s="16"/>
      <c r="AI422" s="16"/>
      <c r="AJ422" s="481"/>
      <c r="AK422" s="482"/>
      <c r="AL422" s="25"/>
      <c r="AM422" s="481"/>
      <c r="AN422" s="481"/>
      <c r="AO422" s="481"/>
      <c r="AP422" s="16"/>
      <c r="AQ422" s="16"/>
      <c r="AR422" s="130"/>
      <c r="AS422" s="130">
        <v>1405</v>
      </c>
      <c r="AT422" s="130"/>
      <c r="AU422" s="130"/>
      <c r="AV422" s="130"/>
      <c r="AW422" s="12"/>
      <c r="AX422" s="12"/>
      <c r="AY422" s="12"/>
      <c r="AZ422" s="481"/>
    </row>
    <row r="423" spans="1:52" ht="30" customHeight="1" x14ac:dyDescent="0.2">
      <c r="A423" s="497">
        <v>421</v>
      </c>
      <c r="B423" s="481"/>
      <c r="C423" s="16"/>
      <c r="D423" s="482"/>
      <c r="E423" s="482"/>
      <c r="F423" s="482"/>
      <c r="G423" s="495"/>
      <c r="H423" s="481"/>
      <c r="I423" s="481"/>
      <c r="J423" s="360" t="s">
        <v>158</v>
      </c>
      <c r="K423" s="482"/>
      <c r="L423" s="482"/>
      <c r="M423" s="482"/>
      <c r="N423" s="41"/>
      <c r="O423" s="13"/>
      <c r="P423" s="13"/>
      <c r="Q423" s="13"/>
      <c r="R423" s="481"/>
      <c r="S423" s="481"/>
      <c r="T423" s="481"/>
      <c r="U423" s="482"/>
      <c r="V423" s="41"/>
      <c r="W423" s="13"/>
      <c r="X423" s="482"/>
      <c r="Y423" s="481"/>
      <c r="Z423" s="481"/>
      <c r="AA423" s="481"/>
      <c r="AB423" s="16"/>
      <c r="AC423" s="16"/>
      <c r="AD423" s="16"/>
      <c r="AE423" s="16"/>
      <c r="AF423" s="16"/>
      <c r="AG423" s="16"/>
      <c r="AH423" s="16"/>
      <c r="AI423" s="16"/>
      <c r="AJ423" s="481"/>
      <c r="AK423" s="482"/>
      <c r="AL423" s="25"/>
      <c r="AM423" s="481"/>
      <c r="AN423" s="481"/>
      <c r="AO423" s="481"/>
      <c r="AP423" s="16"/>
      <c r="AQ423" s="16"/>
      <c r="AR423" s="130"/>
      <c r="AS423" s="130">
        <v>1405</v>
      </c>
      <c r="AT423" s="130"/>
      <c r="AU423" s="130"/>
      <c r="AV423" s="130"/>
      <c r="AW423" s="12"/>
      <c r="AX423" s="12"/>
      <c r="AY423" s="12"/>
      <c r="AZ423" s="481"/>
    </row>
    <row r="424" spans="1:52" ht="30" customHeight="1" x14ac:dyDescent="0.2">
      <c r="A424" s="497">
        <v>422</v>
      </c>
      <c r="B424" s="481"/>
      <c r="C424" s="16"/>
      <c r="D424" s="482"/>
      <c r="E424" s="482"/>
      <c r="F424" s="482"/>
      <c r="G424" s="495"/>
      <c r="H424" s="481"/>
      <c r="I424" s="481"/>
      <c r="J424" s="360" t="s">
        <v>158</v>
      </c>
      <c r="K424" s="482"/>
      <c r="L424" s="482"/>
      <c r="M424" s="482"/>
      <c r="N424" s="41"/>
      <c r="O424" s="13"/>
      <c r="P424" s="13"/>
      <c r="Q424" s="13"/>
      <c r="R424" s="481"/>
      <c r="S424" s="481"/>
      <c r="T424" s="481"/>
      <c r="U424" s="482"/>
      <c r="V424" s="41"/>
      <c r="W424" s="13"/>
      <c r="X424" s="482"/>
      <c r="Y424" s="481"/>
      <c r="Z424" s="481"/>
      <c r="AA424" s="481"/>
      <c r="AB424" s="16"/>
      <c r="AC424" s="16"/>
      <c r="AD424" s="16"/>
      <c r="AE424" s="16"/>
      <c r="AF424" s="16"/>
      <c r="AG424" s="16"/>
      <c r="AH424" s="16"/>
      <c r="AI424" s="16"/>
      <c r="AJ424" s="481"/>
      <c r="AK424" s="482"/>
      <c r="AL424" s="25"/>
      <c r="AM424" s="481"/>
      <c r="AN424" s="481"/>
      <c r="AO424" s="481"/>
      <c r="AP424" s="16"/>
      <c r="AQ424" s="16"/>
      <c r="AR424" s="130"/>
      <c r="AS424" s="130">
        <v>1405</v>
      </c>
      <c r="AT424" s="130"/>
      <c r="AU424" s="130"/>
      <c r="AV424" s="130"/>
      <c r="AW424" s="12"/>
      <c r="AX424" s="12"/>
      <c r="AY424" s="12"/>
      <c r="AZ424" s="481"/>
    </row>
    <row r="425" spans="1:52" ht="30" customHeight="1" x14ac:dyDescent="0.2">
      <c r="A425" s="497">
        <v>423</v>
      </c>
      <c r="B425" s="481"/>
      <c r="C425" s="16"/>
      <c r="D425" s="482"/>
      <c r="E425" s="482"/>
      <c r="F425" s="482"/>
      <c r="G425" s="495"/>
      <c r="H425" s="481"/>
      <c r="I425" s="481"/>
      <c r="J425" s="360" t="s">
        <v>158</v>
      </c>
      <c r="K425" s="482"/>
      <c r="L425" s="482"/>
      <c r="M425" s="482"/>
      <c r="N425" s="41"/>
      <c r="O425" s="13"/>
      <c r="P425" s="13"/>
      <c r="Q425" s="13"/>
      <c r="R425" s="481"/>
      <c r="S425" s="481"/>
      <c r="T425" s="481"/>
      <c r="U425" s="482"/>
      <c r="V425" s="41"/>
      <c r="W425" s="13"/>
      <c r="X425" s="482"/>
      <c r="Y425" s="481"/>
      <c r="Z425" s="481"/>
      <c r="AA425" s="481"/>
      <c r="AB425" s="16"/>
      <c r="AC425" s="16"/>
      <c r="AD425" s="16"/>
      <c r="AE425" s="16"/>
      <c r="AF425" s="16"/>
      <c r="AG425" s="16"/>
      <c r="AH425" s="16"/>
      <c r="AI425" s="16"/>
      <c r="AJ425" s="481"/>
      <c r="AK425" s="482"/>
      <c r="AL425" s="25"/>
      <c r="AM425" s="481"/>
      <c r="AN425" s="481"/>
      <c r="AO425" s="481"/>
      <c r="AP425" s="16"/>
      <c r="AQ425" s="16"/>
      <c r="AR425" s="130"/>
      <c r="AS425" s="130">
        <v>1405</v>
      </c>
      <c r="AT425" s="130"/>
      <c r="AU425" s="130"/>
      <c r="AV425" s="130"/>
      <c r="AW425" s="12"/>
      <c r="AX425" s="12"/>
      <c r="AY425" s="12"/>
      <c r="AZ425" s="481"/>
    </row>
    <row r="426" spans="1:52" ht="30" customHeight="1" x14ac:dyDescent="0.2">
      <c r="A426" s="497">
        <v>424</v>
      </c>
      <c r="B426" s="481"/>
      <c r="C426" s="16"/>
      <c r="D426" s="482"/>
      <c r="E426" s="482"/>
      <c r="F426" s="482"/>
      <c r="G426" s="495"/>
      <c r="H426" s="481"/>
      <c r="I426" s="481"/>
      <c r="J426" s="360" t="s">
        <v>158</v>
      </c>
      <c r="K426" s="482"/>
      <c r="L426" s="482"/>
      <c r="M426" s="482"/>
      <c r="N426" s="41"/>
      <c r="O426" s="13"/>
      <c r="P426" s="13"/>
      <c r="Q426" s="13"/>
      <c r="R426" s="481"/>
      <c r="S426" s="481"/>
      <c r="T426" s="481"/>
      <c r="U426" s="482"/>
      <c r="V426" s="41"/>
      <c r="W426" s="13"/>
      <c r="X426" s="482"/>
      <c r="Y426" s="481"/>
      <c r="Z426" s="481"/>
      <c r="AA426" s="481"/>
      <c r="AB426" s="16"/>
      <c r="AC426" s="16"/>
      <c r="AD426" s="16"/>
      <c r="AE426" s="16"/>
      <c r="AF426" s="16"/>
      <c r="AG426" s="16"/>
      <c r="AH426" s="16"/>
      <c r="AI426" s="16"/>
      <c r="AJ426" s="481"/>
      <c r="AK426" s="482"/>
      <c r="AL426" s="25"/>
      <c r="AM426" s="481"/>
      <c r="AN426" s="481"/>
      <c r="AO426" s="481"/>
      <c r="AP426" s="16"/>
      <c r="AQ426" s="16"/>
      <c r="AR426" s="130"/>
      <c r="AS426" s="130">
        <v>1405</v>
      </c>
      <c r="AT426" s="130"/>
      <c r="AU426" s="130"/>
      <c r="AV426" s="130"/>
      <c r="AW426" s="12"/>
      <c r="AX426" s="12"/>
      <c r="AY426" s="12"/>
      <c r="AZ426" s="481"/>
    </row>
    <row r="427" spans="1:52" ht="30" customHeight="1" x14ac:dyDescent="0.2">
      <c r="A427" s="497">
        <v>425</v>
      </c>
      <c r="B427" s="481"/>
      <c r="C427" s="16"/>
      <c r="D427" s="482"/>
      <c r="E427" s="482"/>
      <c r="F427" s="482"/>
      <c r="G427" s="495"/>
      <c r="H427" s="481"/>
      <c r="I427" s="481"/>
      <c r="J427" s="360" t="s">
        <v>158</v>
      </c>
      <c r="K427" s="482"/>
      <c r="L427" s="482"/>
      <c r="M427" s="482"/>
      <c r="N427" s="41"/>
      <c r="O427" s="13"/>
      <c r="P427" s="13"/>
      <c r="Q427" s="13"/>
      <c r="R427" s="481"/>
      <c r="S427" s="481"/>
      <c r="T427" s="481"/>
      <c r="U427" s="482"/>
      <c r="V427" s="41"/>
      <c r="W427" s="13"/>
      <c r="X427" s="482"/>
      <c r="Y427" s="481"/>
      <c r="Z427" s="481"/>
      <c r="AA427" s="481"/>
      <c r="AB427" s="16"/>
      <c r="AC427" s="16"/>
      <c r="AD427" s="16"/>
      <c r="AE427" s="16"/>
      <c r="AF427" s="16"/>
      <c r="AG427" s="16"/>
      <c r="AH427" s="16"/>
      <c r="AI427" s="16"/>
      <c r="AJ427" s="481"/>
      <c r="AK427" s="482"/>
      <c r="AL427" s="25"/>
      <c r="AM427" s="481"/>
      <c r="AN427" s="481"/>
      <c r="AO427" s="481"/>
      <c r="AP427" s="16"/>
      <c r="AQ427" s="16"/>
      <c r="AR427" s="130"/>
      <c r="AS427" s="130">
        <v>1405</v>
      </c>
      <c r="AT427" s="130"/>
      <c r="AU427" s="130"/>
      <c r="AV427" s="130"/>
      <c r="AW427" s="12"/>
      <c r="AX427" s="12"/>
      <c r="AY427" s="12"/>
      <c r="AZ427" s="481"/>
    </row>
    <row r="428" spans="1:52" ht="30" customHeight="1" x14ac:dyDescent="0.2">
      <c r="A428" s="497">
        <v>426</v>
      </c>
      <c r="B428" s="481"/>
      <c r="C428" s="16"/>
      <c r="D428" s="482"/>
      <c r="E428" s="482"/>
      <c r="F428" s="482"/>
      <c r="G428" s="495"/>
      <c r="H428" s="481"/>
      <c r="I428" s="481"/>
      <c r="J428" s="360" t="s">
        <v>158</v>
      </c>
      <c r="K428" s="482"/>
      <c r="L428" s="482"/>
      <c r="M428" s="482"/>
      <c r="N428" s="41"/>
      <c r="O428" s="13"/>
      <c r="P428" s="13"/>
      <c r="Q428" s="13"/>
      <c r="R428" s="481"/>
      <c r="S428" s="481"/>
      <c r="T428" s="481"/>
      <c r="U428" s="482"/>
      <c r="V428" s="41"/>
      <c r="W428" s="13"/>
      <c r="X428" s="482"/>
      <c r="Y428" s="481"/>
      <c r="Z428" s="481"/>
      <c r="AA428" s="481"/>
      <c r="AB428" s="16"/>
      <c r="AC428" s="16"/>
      <c r="AD428" s="16"/>
      <c r="AE428" s="16"/>
      <c r="AF428" s="16"/>
      <c r="AG428" s="16"/>
      <c r="AH428" s="16"/>
      <c r="AI428" s="16"/>
      <c r="AJ428" s="481"/>
      <c r="AK428" s="482"/>
      <c r="AL428" s="25"/>
      <c r="AM428" s="481"/>
      <c r="AN428" s="481"/>
      <c r="AO428" s="481"/>
      <c r="AP428" s="16"/>
      <c r="AQ428" s="16"/>
      <c r="AR428" s="130"/>
      <c r="AS428" s="130">
        <v>1405</v>
      </c>
      <c r="AT428" s="130"/>
      <c r="AU428" s="130"/>
      <c r="AV428" s="130"/>
      <c r="AW428" s="12"/>
      <c r="AX428" s="12"/>
      <c r="AY428" s="12"/>
      <c r="AZ428" s="481"/>
    </row>
    <row r="429" spans="1:52" ht="30" customHeight="1" x14ac:dyDescent="0.2">
      <c r="A429" s="497">
        <v>427</v>
      </c>
      <c r="B429" s="481"/>
      <c r="C429" s="16"/>
      <c r="D429" s="482"/>
      <c r="E429" s="482"/>
      <c r="F429" s="482"/>
      <c r="G429" s="495"/>
      <c r="H429" s="481"/>
      <c r="I429" s="481"/>
      <c r="J429" s="360" t="s">
        <v>158</v>
      </c>
      <c r="K429" s="482"/>
      <c r="L429" s="482"/>
      <c r="M429" s="482"/>
      <c r="N429" s="41"/>
      <c r="O429" s="13"/>
      <c r="P429" s="13"/>
      <c r="Q429" s="13"/>
      <c r="R429" s="481"/>
      <c r="S429" s="481"/>
      <c r="T429" s="481"/>
      <c r="U429" s="482"/>
      <c r="V429" s="41"/>
      <c r="W429" s="13"/>
      <c r="X429" s="482"/>
      <c r="Y429" s="481"/>
      <c r="Z429" s="481"/>
      <c r="AA429" s="481"/>
      <c r="AB429" s="16"/>
      <c r="AC429" s="16"/>
      <c r="AD429" s="16"/>
      <c r="AE429" s="16"/>
      <c r="AF429" s="16"/>
      <c r="AG429" s="16"/>
      <c r="AH429" s="16"/>
      <c r="AI429" s="16"/>
      <c r="AJ429" s="481"/>
      <c r="AK429" s="482"/>
      <c r="AL429" s="25"/>
      <c r="AM429" s="481"/>
      <c r="AN429" s="481"/>
      <c r="AO429" s="481"/>
      <c r="AP429" s="16"/>
      <c r="AQ429" s="16"/>
      <c r="AR429" s="130"/>
      <c r="AS429" s="130">
        <v>1405</v>
      </c>
      <c r="AT429" s="130"/>
      <c r="AU429" s="130"/>
      <c r="AV429" s="130"/>
      <c r="AW429" s="12"/>
      <c r="AX429" s="12"/>
      <c r="AY429" s="12"/>
      <c r="AZ429" s="481"/>
    </row>
    <row r="430" spans="1:52" ht="30" customHeight="1" x14ac:dyDescent="0.2">
      <c r="A430" s="497">
        <v>428</v>
      </c>
      <c r="B430" s="481"/>
      <c r="C430" s="16"/>
      <c r="D430" s="482"/>
      <c r="E430" s="482"/>
      <c r="F430" s="482"/>
      <c r="G430" s="495"/>
      <c r="H430" s="481"/>
      <c r="I430" s="481"/>
      <c r="J430" s="360" t="s">
        <v>158</v>
      </c>
      <c r="K430" s="482"/>
      <c r="L430" s="482"/>
      <c r="M430" s="482"/>
      <c r="N430" s="41"/>
      <c r="O430" s="13"/>
      <c r="P430" s="13"/>
      <c r="Q430" s="13"/>
      <c r="R430" s="481"/>
      <c r="S430" s="481"/>
      <c r="T430" s="481"/>
      <c r="U430" s="482"/>
      <c r="V430" s="41"/>
      <c r="W430" s="13"/>
      <c r="X430" s="482"/>
      <c r="Y430" s="481"/>
      <c r="Z430" s="481"/>
      <c r="AA430" s="481"/>
      <c r="AB430" s="16"/>
      <c r="AC430" s="16"/>
      <c r="AD430" s="16"/>
      <c r="AE430" s="16"/>
      <c r="AF430" s="16"/>
      <c r="AG430" s="16"/>
      <c r="AH430" s="16"/>
      <c r="AI430" s="16"/>
      <c r="AJ430" s="481"/>
      <c r="AK430" s="482"/>
      <c r="AL430" s="25"/>
      <c r="AM430" s="481"/>
      <c r="AN430" s="481"/>
      <c r="AO430" s="481"/>
      <c r="AP430" s="16"/>
      <c r="AQ430" s="16"/>
      <c r="AR430" s="130"/>
      <c r="AS430" s="130">
        <v>1405</v>
      </c>
      <c r="AT430" s="130"/>
      <c r="AU430" s="130"/>
      <c r="AV430" s="130"/>
      <c r="AW430" s="12"/>
      <c r="AX430" s="12"/>
      <c r="AY430" s="12"/>
      <c r="AZ430" s="481"/>
    </row>
    <row r="431" spans="1:52" ht="30" customHeight="1" x14ac:dyDescent="0.2">
      <c r="A431" s="497">
        <v>429</v>
      </c>
      <c r="B431" s="481"/>
      <c r="C431" s="16"/>
      <c r="D431" s="482"/>
      <c r="E431" s="482"/>
      <c r="F431" s="482"/>
      <c r="G431" s="495"/>
      <c r="H431" s="481"/>
      <c r="I431" s="481"/>
      <c r="J431" s="360" t="s">
        <v>158</v>
      </c>
      <c r="K431" s="482"/>
      <c r="L431" s="482"/>
      <c r="M431" s="482"/>
      <c r="N431" s="41"/>
      <c r="O431" s="13"/>
      <c r="P431" s="13"/>
      <c r="Q431" s="13"/>
      <c r="R431" s="481"/>
      <c r="S431" s="481"/>
      <c r="T431" s="481"/>
      <c r="U431" s="482"/>
      <c r="V431" s="41"/>
      <c r="W431" s="13"/>
      <c r="X431" s="482"/>
      <c r="Y431" s="481"/>
      <c r="Z431" s="481"/>
      <c r="AA431" s="481"/>
      <c r="AB431" s="16"/>
      <c r="AC431" s="16"/>
      <c r="AD431" s="16"/>
      <c r="AE431" s="16"/>
      <c r="AF431" s="16"/>
      <c r="AG431" s="16"/>
      <c r="AH431" s="16"/>
      <c r="AI431" s="16"/>
      <c r="AJ431" s="481"/>
      <c r="AK431" s="482"/>
      <c r="AL431" s="25"/>
      <c r="AM431" s="481"/>
      <c r="AN431" s="481"/>
      <c r="AO431" s="481"/>
      <c r="AP431" s="16"/>
      <c r="AQ431" s="16"/>
      <c r="AR431" s="130"/>
      <c r="AS431" s="130">
        <v>1405</v>
      </c>
      <c r="AT431" s="130"/>
      <c r="AU431" s="130"/>
      <c r="AV431" s="130"/>
      <c r="AW431" s="12"/>
      <c r="AX431" s="12"/>
      <c r="AY431" s="12"/>
      <c r="AZ431" s="481"/>
    </row>
    <row r="432" spans="1:52" ht="30" customHeight="1" x14ac:dyDescent="0.2">
      <c r="A432" s="497">
        <v>430</v>
      </c>
      <c r="B432" s="481"/>
      <c r="C432" s="16"/>
      <c r="D432" s="482"/>
      <c r="E432" s="482"/>
      <c r="F432" s="482"/>
      <c r="G432" s="495"/>
      <c r="H432" s="481"/>
      <c r="I432" s="481"/>
      <c r="J432" s="360" t="s">
        <v>158</v>
      </c>
      <c r="K432" s="482"/>
      <c r="L432" s="482"/>
      <c r="M432" s="482"/>
      <c r="N432" s="41"/>
      <c r="O432" s="13"/>
      <c r="P432" s="13"/>
      <c r="Q432" s="13"/>
      <c r="R432" s="481"/>
      <c r="S432" s="481"/>
      <c r="T432" s="481"/>
      <c r="U432" s="482"/>
      <c r="V432" s="41"/>
      <c r="W432" s="13"/>
      <c r="X432" s="482"/>
      <c r="Y432" s="481"/>
      <c r="Z432" s="481"/>
      <c r="AA432" s="481"/>
      <c r="AB432" s="16"/>
      <c r="AC432" s="16"/>
      <c r="AD432" s="16"/>
      <c r="AE432" s="16"/>
      <c r="AF432" s="16"/>
      <c r="AG432" s="16"/>
      <c r="AH432" s="16"/>
      <c r="AI432" s="16"/>
      <c r="AJ432" s="481"/>
      <c r="AK432" s="482"/>
      <c r="AL432" s="25"/>
      <c r="AM432" s="481"/>
      <c r="AN432" s="481"/>
      <c r="AO432" s="481"/>
      <c r="AP432" s="16"/>
      <c r="AQ432" s="16"/>
      <c r="AR432" s="130"/>
      <c r="AS432" s="130">
        <v>1405</v>
      </c>
      <c r="AT432" s="130"/>
      <c r="AU432" s="130"/>
      <c r="AV432" s="130"/>
      <c r="AW432" s="12"/>
      <c r="AX432" s="12"/>
      <c r="AY432" s="12"/>
      <c r="AZ432" s="481"/>
    </row>
    <row r="433" spans="1:52" ht="30" customHeight="1" x14ac:dyDescent="0.2">
      <c r="A433" s="497">
        <v>431</v>
      </c>
      <c r="B433" s="481"/>
      <c r="C433" s="16"/>
      <c r="D433" s="482"/>
      <c r="E433" s="482"/>
      <c r="F433" s="482"/>
      <c r="G433" s="495"/>
      <c r="H433" s="481"/>
      <c r="I433" s="481"/>
      <c r="J433" s="360" t="s">
        <v>158</v>
      </c>
      <c r="K433" s="482"/>
      <c r="L433" s="482"/>
      <c r="M433" s="482"/>
      <c r="N433" s="41"/>
      <c r="O433" s="13"/>
      <c r="P433" s="13"/>
      <c r="Q433" s="13"/>
      <c r="R433" s="481"/>
      <c r="S433" s="481"/>
      <c r="T433" s="481"/>
      <c r="U433" s="482"/>
      <c r="V433" s="41"/>
      <c r="W433" s="13"/>
      <c r="X433" s="482"/>
      <c r="Y433" s="481"/>
      <c r="Z433" s="481"/>
      <c r="AA433" s="481"/>
      <c r="AB433" s="16"/>
      <c r="AC433" s="16"/>
      <c r="AD433" s="16"/>
      <c r="AE433" s="16"/>
      <c r="AF433" s="16"/>
      <c r="AG433" s="16"/>
      <c r="AH433" s="16"/>
      <c r="AI433" s="16"/>
      <c r="AJ433" s="481"/>
      <c r="AK433" s="482"/>
      <c r="AL433" s="25"/>
      <c r="AM433" s="481"/>
      <c r="AN433" s="481"/>
      <c r="AO433" s="481"/>
      <c r="AP433" s="16"/>
      <c r="AQ433" s="16"/>
      <c r="AR433" s="130"/>
      <c r="AS433" s="130">
        <v>1405</v>
      </c>
      <c r="AT433" s="130"/>
      <c r="AU433" s="130"/>
      <c r="AV433" s="130"/>
      <c r="AW433" s="12"/>
      <c r="AX433" s="12"/>
      <c r="AY433" s="12"/>
      <c r="AZ433" s="481"/>
    </row>
    <row r="434" spans="1:52" ht="30" customHeight="1" x14ac:dyDescent="0.2">
      <c r="A434" s="497">
        <v>432</v>
      </c>
      <c r="B434" s="481"/>
      <c r="C434" s="16"/>
      <c r="D434" s="482"/>
      <c r="E434" s="482"/>
      <c r="F434" s="482"/>
      <c r="G434" s="495"/>
      <c r="H434" s="481"/>
      <c r="I434" s="481"/>
      <c r="J434" s="360" t="s">
        <v>158</v>
      </c>
      <c r="K434" s="482"/>
      <c r="L434" s="482"/>
      <c r="M434" s="482"/>
      <c r="N434" s="41"/>
      <c r="O434" s="13"/>
      <c r="P434" s="13"/>
      <c r="Q434" s="13"/>
      <c r="R434" s="481"/>
      <c r="S434" s="481"/>
      <c r="T434" s="481"/>
      <c r="U434" s="482"/>
      <c r="V434" s="41"/>
      <c r="W434" s="13"/>
      <c r="X434" s="482"/>
      <c r="Y434" s="481"/>
      <c r="Z434" s="481"/>
      <c r="AA434" s="481"/>
      <c r="AB434" s="16"/>
      <c r="AC434" s="16"/>
      <c r="AD434" s="16"/>
      <c r="AE434" s="16"/>
      <c r="AF434" s="16"/>
      <c r="AG434" s="16"/>
      <c r="AH434" s="16"/>
      <c r="AI434" s="16"/>
      <c r="AJ434" s="481"/>
      <c r="AK434" s="482"/>
      <c r="AL434" s="25"/>
      <c r="AM434" s="481"/>
      <c r="AN434" s="481"/>
      <c r="AO434" s="481"/>
      <c r="AP434" s="16"/>
      <c r="AQ434" s="16"/>
      <c r="AR434" s="130"/>
      <c r="AS434" s="130">
        <v>1405</v>
      </c>
      <c r="AT434" s="130"/>
      <c r="AU434" s="130"/>
      <c r="AV434" s="130"/>
      <c r="AW434" s="12"/>
      <c r="AX434" s="12"/>
      <c r="AY434" s="12"/>
      <c r="AZ434" s="481"/>
    </row>
    <row r="435" spans="1:52" ht="30" customHeight="1" x14ac:dyDescent="0.2">
      <c r="A435" s="497">
        <v>433</v>
      </c>
      <c r="B435" s="481"/>
      <c r="C435" s="16"/>
      <c r="D435" s="482"/>
      <c r="E435" s="482"/>
      <c r="F435" s="482"/>
      <c r="G435" s="495"/>
      <c r="H435" s="481"/>
      <c r="I435" s="481"/>
      <c r="J435" s="360" t="s">
        <v>158</v>
      </c>
      <c r="K435" s="482"/>
      <c r="L435" s="482"/>
      <c r="M435" s="482"/>
      <c r="N435" s="41"/>
      <c r="O435" s="13"/>
      <c r="P435" s="13"/>
      <c r="Q435" s="13"/>
      <c r="R435" s="481"/>
      <c r="S435" s="481"/>
      <c r="T435" s="481"/>
      <c r="U435" s="482"/>
      <c r="V435" s="41"/>
      <c r="W435" s="13"/>
      <c r="X435" s="482"/>
      <c r="Y435" s="481"/>
      <c r="Z435" s="481"/>
      <c r="AA435" s="481"/>
      <c r="AB435" s="16"/>
      <c r="AC435" s="16"/>
      <c r="AD435" s="16"/>
      <c r="AE435" s="16"/>
      <c r="AF435" s="16"/>
      <c r="AG435" s="16"/>
      <c r="AH435" s="16"/>
      <c r="AI435" s="16"/>
      <c r="AJ435" s="481"/>
      <c r="AK435" s="482"/>
      <c r="AL435" s="25"/>
      <c r="AM435" s="481"/>
      <c r="AN435" s="481"/>
      <c r="AO435" s="481"/>
      <c r="AP435" s="16"/>
      <c r="AQ435" s="16"/>
      <c r="AR435" s="130"/>
      <c r="AS435" s="130">
        <v>1405</v>
      </c>
      <c r="AT435" s="130"/>
      <c r="AU435" s="130"/>
      <c r="AV435" s="130"/>
      <c r="AW435" s="12"/>
      <c r="AX435" s="12"/>
      <c r="AY435" s="12"/>
      <c r="AZ435" s="481"/>
    </row>
    <row r="436" spans="1:52" ht="30" customHeight="1" x14ac:dyDescent="0.2">
      <c r="A436" s="497">
        <v>434</v>
      </c>
      <c r="B436" s="481"/>
      <c r="C436" s="16"/>
      <c r="D436" s="482"/>
      <c r="E436" s="482"/>
      <c r="F436" s="482"/>
      <c r="G436" s="495"/>
      <c r="H436" s="481"/>
      <c r="I436" s="481"/>
      <c r="J436" s="360" t="s">
        <v>158</v>
      </c>
      <c r="K436" s="482"/>
      <c r="L436" s="482"/>
      <c r="M436" s="482"/>
      <c r="N436" s="41"/>
      <c r="O436" s="13"/>
      <c r="P436" s="13"/>
      <c r="Q436" s="13"/>
      <c r="R436" s="481"/>
      <c r="S436" s="481"/>
      <c r="T436" s="481"/>
      <c r="U436" s="482"/>
      <c r="V436" s="41"/>
      <c r="W436" s="13"/>
      <c r="X436" s="482"/>
      <c r="Y436" s="481"/>
      <c r="Z436" s="481"/>
      <c r="AA436" s="481"/>
      <c r="AB436" s="16"/>
      <c r="AC436" s="16"/>
      <c r="AD436" s="16"/>
      <c r="AE436" s="16"/>
      <c r="AF436" s="16"/>
      <c r="AG436" s="16"/>
      <c r="AH436" s="16"/>
      <c r="AI436" s="16"/>
      <c r="AJ436" s="481"/>
      <c r="AK436" s="482"/>
      <c r="AL436" s="25"/>
      <c r="AM436" s="481"/>
      <c r="AN436" s="481"/>
      <c r="AO436" s="481"/>
      <c r="AP436" s="16"/>
      <c r="AQ436" s="16"/>
      <c r="AR436" s="130"/>
      <c r="AS436" s="130">
        <v>1405</v>
      </c>
      <c r="AT436" s="130"/>
      <c r="AU436" s="130"/>
      <c r="AV436" s="130"/>
      <c r="AW436" s="12"/>
      <c r="AX436" s="12"/>
      <c r="AY436" s="12"/>
      <c r="AZ436" s="481"/>
    </row>
    <row r="437" spans="1:52" ht="30" customHeight="1" x14ac:dyDescent="0.2">
      <c r="A437" s="497">
        <v>435</v>
      </c>
      <c r="B437" s="481"/>
      <c r="C437" s="16"/>
      <c r="D437" s="482"/>
      <c r="E437" s="482"/>
      <c r="F437" s="482"/>
      <c r="G437" s="495"/>
      <c r="H437" s="481"/>
      <c r="I437" s="481"/>
      <c r="J437" s="360" t="s">
        <v>158</v>
      </c>
      <c r="K437" s="482"/>
      <c r="L437" s="482"/>
      <c r="M437" s="482"/>
      <c r="N437" s="41"/>
      <c r="O437" s="13"/>
      <c r="P437" s="13"/>
      <c r="Q437" s="13"/>
      <c r="R437" s="481"/>
      <c r="S437" s="481"/>
      <c r="T437" s="481"/>
      <c r="U437" s="482"/>
      <c r="V437" s="41"/>
      <c r="W437" s="13"/>
      <c r="X437" s="482"/>
      <c r="Y437" s="481"/>
      <c r="Z437" s="481"/>
      <c r="AA437" s="481"/>
      <c r="AB437" s="16"/>
      <c r="AC437" s="16"/>
      <c r="AD437" s="16"/>
      <c r="AE437" s="16"/>
      <c r="AF437" s="16"/>
      <c r="AG437" s="16"/>
      <c r="AH437" s="16"/>
      <c r="AI437" s="16"/>
      <c r="AJ437" s="481"/>
      <c r="AK437" s="482"/>
      <c r="AL437" s="25"/>
      <c r="AM437" s="481"/>
      <c r="AN437" s="481"/>
      <c r="AO437" s="481"/>
      <c r="AP437" s="16"/>
      <c r="AQ437" s="16"/>
      <c r="AR437" s="130"/>
      <c r="AS437" s="130">
        <v>1405</v>
      </c>
      <c r="AT437" s="130"/>
      <c r="AU437" s="130"/>
      <c r="AV437" s="130"/>
      <c r="AW437" s="12"/>
      <c r="AX437" s="12"/>
      <c r="AY437" s="12"/>
      <c r="AZ437" s="481"/>
    </row>
    <row r="438" spans="1:52" ht="30" customHeight="1" x14ac:dyDescent="0.2">
      <c r="A438" s="497">
        <v>436</v>
      </c>
      <c r="B438" s="481"/>
      <c r="C438" s="16"/>
      <c r="D438" s="482"/>
      <c r="E438" s="482"/>
      <c r="F438" s="482"/>
      <c r="G438" s="495"/>
      <c r="H438" s="481"/>
      <c r="I438" s="481"/>
      <c r="J438" s="360" t="s">
        <v>158</v>
      </c>
      <c r="K438" s="482"/>
      <c r="L438" s="482"/>
      <c r="M438" s="482"/>
      <c r="N438" s="41"/>
      <c r="O438" s="13"/>
      <c r="P438" s="13"/>
      <c r="Q438" s="13"/>
      <c r="R438" s="481"/>
      <c r="S438" s="481"/>
      <c r="T438" s="481"/>
      <c r="U438" s="482"/>
      <c r="V438" s="41"/>
      <c r="W438" s="13"/>
      <c r="X438" s="482"/>
      <c r="Y438" s="481"/>
      <c r="Z438" s="481"/>
      <c r="AA438" s="481"/>
      <c r="AB438" s="16"/>
      <c r="AC438" s="16"/>
      <c r="AD438" s="16"/>
      <c r="AE438" s="16"/>
      <c r="AF438" s="16"/>
      <c r="AG438" s="16"/>
      <c r="AH438" s="16"/>
      <c r="AI438" s="16"/>
      <c r="AJ438" s="481"/>
      <c r="AK438" s="482"/>
      <c r="AL438" s="25"/>
      <c r="AM438" s="481"/>
      <c r="AN438" s="481"/>
      <c r="AO438" s="481"/>
      <c r="AP438" s="16"/>
      <c r="AQ438" s="16"/>
      <c r="AR438" s="130"/>
      <c r="AS438" s="130">
        <v>1405</v>
      </c>
      <c r="AT438" s="130"/>
      <c r="AU438" s="130"/>
      <c r="AV438" s="130"/>
      <c r="AW438" s="12"/>
      <c r="AX438" s="12"/>
      <c r="AY438" s="12"/>
      <c r="AZ438" s="481"/>
    </row>
    <row r="439" spans="1:52" ht="30" customHeight="1" x14ac:dyDescent="0.2">
      <c r="A439" s="497">
        <v>437</v>
      </c>
      <c r="B439" s="481"/>
      <c r="C439" s="16"/>
      <c r="D439" s="482"/>
      <c r="E439" s="482"/>
      <c r="F439" s="482"/>
      <c r="G439" s="495"/>
      <c r="H439" s="481"/>
      <c r="I439" s="481"/>
      <c r="J439" s="360" t="s">
        <v>158</v>
      </c>
      <c r="K439" s="482"/>
      <c r="L439" s="482"/>
      <c r="M439" s="482"/>
      <c r="N439" s="41"/>
      <c r="O439" s="13"/>
      <c r="P439" s="13"/>
      <c r="Q439" s="13"/>
      <c r="R439" s="481"/>
      <c r="S439" s="481"/>
      <c r="T439" s="481"/>
      <c r="U439" s="482"/>
      <c r="V439" s="41"/>
      <c r="W439" s="13"/>
      <c r="X439" s="482"/>
      <c r="Y439" s="481"/>
      <c r="Z439" s="481"/>
      <c r="AA439" s="481"/>
      <c r="AB439" s="16"/>
      <c r="AC439" s="16"/>
      <c r="AD439" s="16"/>
      <c r="AE439" s="16"/>
      <c r="AF439" s="16"/>
      <c r="AG439" s="16"/>
      <c r="AH439" s="16"/>
      <c r="AI439" s="16"/>
      <c r="AJ439" s="481"/>
      <c r="AK439" s="482"/>
      <c r="AL439" s="25"/>
      <c r="AM439" s="481"/>
      <c r="AN439" s="481"/>
      <c r="AO439" s="481"/>
      <c r="AP439" s="16"/>
      <c r="AQ439" s="16"/>
      <c r="AR439" s="130"/>
      <c r="AS439" s="130">
        <v>1405</v>
      </c>
      <c r="AT439" s="130"/>
      <c r="AU439" s="130"/>
      <c r="AV439" s="130"/>
      <c r="AW439" s="12"/>
      <c r="AX439" s="12"/>
      <c r="AY439" s="12"/>
      <c r="AZ439" s="481"/>
    </row>
    <row r="440" spans="1:52" ht="30" customHeight="1" x14ac:dyDescent="0.2">
      <c r="A440" s="497">
        <v>438</v>
      </c>
      <c r="B440" s="481"/>
      <c r="C440" s="16"/>
      <c r="D440" s="482"/>
      <c r="E440" s="482"/>
      <c r="F440" s="482"/>
      <c r="G440" s="495"/>
      <c r="H440" s="481"/>
      <c r="I440" s="481"/>
      <c r="J440" s="360" t="s">
        <v>158</v>
      </c>
      <c r="K440" s="482"/>
      <c r="L440" s="482"/>
      <c r="M440" s="482"/>
      <c r="N440" s="41"/>
      <c r="O440" s="13"/>
      <c r="P440" s="13"/>
      <c r="Q440" s="13"/>
      <c r="R440" s="481"/>
      <c r="S440" s="481"/>
      <c r="T440" s="481"/>
      <c r="U440" s="482"/>
      <c r="V440" s="41"/>
      <c r="W440" s="13"/>
      <c r="X440" s="482"/>
      <c r="Y440" s="481"/>
      <c r="Z440" s="481"/>
      <c r="AA440" s="481"/>
      <c r="AB440" s="16"/>
      <c r="AC440" s="16"/>
      <c r="AD440" s="16"/>
      <c r="AE440" s="16"/>
      <c r="AF440" s="16"/>
      <c r="AG440" s="16"/>
      <c r="AH440" s="16"/>
      <c r="AI440" s="16"/>
      <c r="AJ440" s="481"/>
      <c r="AK440" s="482"/>
      <c r="AL440" s="25"/>
      <c r="AM440" s="481"/>
      <c r="AN440" s="481"/>
      <c r="AO440" s="481"/>
      <c r="AP440" s="16"/>
      <c r="AQ440" s="16"/>
      <c r="AR440" s="130"/>
      <c r="AS440" s="130">
        <v>1405</v>
      </c>
      <c r="AT440" s="130"/>
      <c r="AU440" s="130"/>
      <c r="AV440" s="130"/>
      <c r="AW440" s="12"/>
      <c r="AX440" s="12"/>
      <c r="AY440" s="12"/>
      <c r="AZ440" s="481"/>
    </row>
    <row r="441" spans="1:52" ht="30" customHeight="1" x14ac:dyDescent="0.2">
      <c r="A441" s="497">
        <v>439</v>
      </c>
      <c r="B441" s="481"/>
      <c r="C441" s="16"/>
      <c r="D441" s="482"/>
      <c r="E441" s="482"/>
      <c r="F441" s="482"/>
      <c r="G441" s="495"/>
      <c r="H441" s="481"/>
      <c r="I441" s="481"/>
      <c r="J441" s="360" t="s">
        <v>158</v>
      </c>
      <c r="K441" s="482"/>
      <c r="L441" s="482"/>
      <c r="M441" s="482"/>
      <c r="N441" s="41"/>
      <c r="O441" s="13"/>
      <c r="P441" s="13"/>
      <c r="Q441" s="13"/>
      <c r="R441" s="481"/>
      <c r="S441" s="481"/>
      <c r="T441" s="481"/>
      <c r="U441" s="482"/>
      <c r="V441" s="41"/>
      <c r="W441" s="13"/>
      <c r="X441" s="482"/>
      <c r="Y441" s="481"/>
      <c r="Z441" s="481"/>
      <c r="AA441" s="481"/>
      <c r="AB441" s="16"/>
      <c r="AC441" s="16"/>
      <c r="AD441" s="16"/>
      <c r="AE441" s="16"/>
      <c r="AF441" s="16"/>
      <c r="AG441" s="16"/>
      <c r="AH441" s="16"/>
      <c r="AI441" s="16"/>
      <c r="AJ441" s="481"/>
      <c r="AK441" s="482"/>
      <c r="AL441" s="25"/>
      <c r="AM441" s="481"/>
      <c r="AN441" s="481"/>
      <c r="AO441" s="481"/>
      <c r="AP441" s="16"/>
      <c r="AQ441" s="16"/>
      <c r="AR441" s="130"/>
      <c r="AS441" s="130">
        <v>1405</v>
      </c>
      <c r="AT441" s="130"/>
      <c r="AU441" s="130"/>
      <c r="AV441" s="130"/>
      <c r="AW441" s="12"/>
      <c r="AX441" s="12"/>
      <c r="AY441" s="12"/>
      <c r="AZ441" s="481"/>
    </row>
    <row r="442" spans="1:52" ht="30" customHeight="1" x14ac:dyDescent="0.2">
      <c r="A442" s="497">
        <v>440</v>
      </c>
      <c r="B442" s="481"/>
      <c r="C442" s="16"/>
      <c r="D442" s="482"/>
      <c r="E442" s="482"/>
      <c r="F442" s="482"/>
      <c r="G442" s="495"/>
      <c r="H442" s="481"/>
      <c r="I442" s="481"/>
      <c r="J442" s="360" t="s">
        <v>158</v>
      </c>
      <c r="K442" s="482"/>
      <c r="L442" s="482"/>
      <c r="M442" s="482"/>
      <c r="N442" s="41"/>
      <c r="O442" s="13"/>
      <c r="P442" s="13"/>
      <c r="Q442" s="13"/>
      <c r="R442" s="481"/>
      <c r="S442" s="481"/>
      <c r="T442" s="481"/>
      <c r="U442" s="482"/>
      <c r="V442" s="41"/>
      <c r="W442" s="13"/>
      <c r="X442" s="482"/>
      <c r="Y442" s="481"/>
      <c r="Z442" s="481"/>
      <c r="AA442" s="481"/>
      <c r="AB442" s="16"/>
      <c r="AC442" s="16"/>
      <c r="AD442" s="16"/>
      <c r="AE442" s="16"/>
      <c r="AF442" s="16"/>
      <c r="AG442" s="16"/>
      <c r="AH442" s="16"/>
      <c r="AI442" s="16"/>
      <c r="AJ442" s="481"/>
      <c r="AK442" s="482"/>
      <c r="AL442" s="25"/>
      <c r="AM442" s="481"/>
      <c r="AN442" s="481"/>
      <c r="AO442" s="481"/>
      <c r="AP442" s="16"/>
      <c r="AQ442" s="16"/>
      <c r="AR442" s="130"/>
      <c r="AS442" s="130">
        <v>1405</v>
      </c>
      <c r="AT442" s="130"/>
      <c r="AU442" s="130"/>
      <c r="AV442" s="130"/>
      <c r="AW442" s="12"/>
      <c r="AX442" s="12"/>
      <c r="AY442" s="12"/>
      <c r="AZ442" s="481"/>
    </row>
    <row r="443" spans="1:52" ht="30" customHeight="1" x14ac:dyDescent="0.2">
      <c r="A443" s="497">
        <v>441</v>
      </c>
      <c r="B443" s="481"/>
      <c r="C443" s="16"/>
      <c r="D443" s="482"/>
      <c r="E443" s="482"/>
      <c r="F443" s="482"/>
      <c r="G443" s="495"/>
      <c r="H443" s="481"/>
      <c r="I443" s="481"/>
      <c r="J443" s="360" t="s">
        <v>158</v>
      </c>
      <c r="K443" s="482"/>
      <c r="L443" s="482"/>
      <c r="M443" s="482"/>
      <c r="N443" s="41"/>
      <c r="O443" s="13"/>
      <c r="P443" s="13"/>
      <c r="Q443" s="13"/>
      <c r="R443" s="481"/>
      <c r="S443" s="481"/>
      <c r="T443" s="481"/>
      <c r="U443" s="482"/>
      <c r="V443" s="41"/>
      <c r="W443" s="13"/>
      <c r="X443" s="482"/>
      <c r="Y443" s="481"/>
      <c r="Z443" s="481"/>
      <c r="AA443" s="481"/>
      <c r="AB443" s="16"/>
      <c r="AC443" s="16"/>
      <c r="AD443" s="16"/>
      <c r="AE443" s="16"/>
      <c r="AF443" s="16"/>
      <c r="AG443" s="16"/>
      <c r="AH443" s="16"/>
      <c r="AI443" s="16"/>
      <c r="AJ443" s="481"/>
      <c r="AK443" s="482"/>
      <c r="AL443" s="25"/>
      <c r="AM443" s="481"/>
      <c r="AN443" s="481"/>
      <c r="AO443" s="481"/>
      <c r="AP443" s="16"/>
      <c r="AQ443" s="16"/>
      <c r="AR443" s="130"/>
      <c r="AS443" s="130">
        <v>1405</v>
      </c>
      <c r="AT443" s="130"/>
      <c r="AU443" s="130"/>
      <c r="AV443" s="130"/>
      <c r="AW443" s="12"/>
      <c r="AX443" s="12"/>
      <c r="AY443" s="12"/>
      <c r="AZ443" s="481"/>
    </row>
    <row r="444" spans="1:52" ht="30" customHeight="1" x14ac:dyDescent="0.2">
      <c r="A444" s="497">
        <v>442</v>
      </c>
      <c r="B444" s="481"/>
      <c r="C444" s="16"/>
      <c r="D444" s="482"/>
      <c r="E444" s="482"/>
      <c r="F444" s="482"/>
      <c r="G444" s="495"/>
      <c r="H444" s="481"/>
      <c r="I444" s="481"/>
      <c r="J444" s="360" t="s">
        <v>158</v>
      </c>
      <c r="K444" s="482"/>
      <c r="L444" s="482"/>
      <c r="M444" s="482"/>
      <c r="N444" s="41"/>
      <c r="O444" s="13"/>
      <c r="P444" s="13"/>
      <c r="Q444" s="13"/>
      <c r="R444" s="481"/>
      <c r="S444" s="481"/>
      <c r="T444" s="481"/>
      <c r="U444" s="482"/>
      <c r="V444" s="41"/>
      <c r="W444" s="13"/>
      <c r="X444" s="482"/>
      <c r="Y444" s="481"/>
      <c r="Z444" s="481"/>
      <c r="AA444" s="481"/>
      <c r="AB444" s="16"/>
      <c r="AC444" s="16"/>
      <c r="AD444" s="16"/>
      <c r="AE444" s="16"/>
      <c r="AF444" s="16"/>
      <c r="AG444" s="16"/>
      <c r="AH444" s="16"/>
      <c r="AI444" s="16"/>
      <c r="AJ444" s="481"/>
      <c r="AK444" s="482"/>
      <c r="AL444" s="25"/>
      <c r="AM444" s="481"/>
      <c r="AN444" s="481"/>
      <c r="AO444" s="481"/>
      <c r="AP444" s="16"/>
      <c r="AQ444" s="16"/>
      <c r="AR444" s="130"/>
      <c r="AS444" s="130">
        <v>1405</v>
      </c>
      <c r="AT444" s="130"/>
      <c r="AU444" s="130"/>
      <c r="AV444" s="130"/>
      <c r="AW444" s="12"/>
      <c r="AX444" s="12"/>
      <c r="AY444" s="12"/>
      <c r="AZ444" s="481"/>
    </row>
    <row r="445" spans="1:52" ht="30" customHeight="1" x14ac:dyDescent="0.2">
      <c r="A445" s="497">
        <v>443</v>
      </c>
      <c r="B445" s="481"/>
      <c r="C445" s="16"/>
      <c r="D445" s="482"/>
      <c r="E445" s="482"/>
      <c r="F445" s="482"/>
      <c r="G445" s="495"/>
      <c r="H445" s="481"/>
      <c r="I445" s="481"/>
      <c r="J445" s="360" t="s">
        <v>158</v>
      </c>
      <c r="K445" s="482"/>
      <c r="L445" s="482"/>
      <c r="M445" s="482"/>
      <c r="N445" s="41"/>
      <c r="O445" s="13"/>
      <c r="P445" s="13"/>
      <c r="Q445" s="13"/>
      <c r="R445" s="481"/>
      <c r="S445" s="481"/>
      <c r="T445" s="481"/>
      <c r="U445" s="482"/>
      <c r="V445" s="41"/>
      <c r="W445" s="13"/>
      <c r="X445" s="482"/>
      <c r="Y445" s="481"/>
      <c r="Z445" s="481"/>
      <c r="AA445" s="481"/>
      <c r="AB445" s="16"/>
      <c r="AC445" s="16"/>
      <c r="AD445" s="16"/>
      <c r="AE445" s="16"/>
      <c r="AF445" s="16"/>
      <c r="AG445" s="16"/>
      <c r="AH445" s="16"/>
      <c r="AI445" s="16"/>
      <c r="AJ445" s="481"/>
      <c r="AK445" s="482"/>
      <c r="AL445" s="25"/>
      <c r="AM445" s="481"/>
      <c r="AN445" s="481"/>
      <c r="AO445" s="481"/>
      <c r="AP445" s="16"/>
      <c r="AQ445" s="16"/>
      <c r="AR445" s="130"/>
      <c r="AS445" s="130">
        <v>1405</v>
      </c>
      <c r="AT445" s="130"/>
      <c r="AU445" s="130"/>
      <c r="AV445" s="130"/>
      <c r="AW445" s="12"/>
      <c r="AX445" s="12"/>
      <c r="AY445" s="12"/>
      <c r="AZ445" s="481"/>
    </row>
    <row r="446" spans="1:52" ht="30" customHeight="1" x14ac:dyDescent="0.2">
      <c r="A446" s="497">
        <v>444</v>
      </c>
      <c r="B446" s="481"/>
      <c r="C446" s="16"/>
      <c r="D446" s="482"/>
      <c r="E446" s="482"/>
      <c r="F446" s="482"/>
      <c r="G446" s="495"/>
      <c r="H446" s="481"/>
      <c r="I446" s="481"/>
      <c r="J446" s="360" t="s">
        <v>158</v>
      </c>
      <c r="K446" s="482"/>
      <c r="L446" s="482"/>
      <c r="M446" s="482"/>
      <c r="N446" s="41"/>
      <c r="O446" s="13"/>
      <c r="P446" s="13"/>
      <c r="Q446" s="13"/>
      <c r="R446" s="481"/>
      <c r="S446" s="481"/>
      <c r="T446" s="481"/>
      <c r="U446" s="482"/>
      <c r="V446" s="41"/>
      <c r="W446" s="13"/>
      <c r="X446" s="482"/>
      <c r="Y446" s="481"/>
      <c r="Z446" s="481"/>
      <c r="AA446" s="481"/>
      <c r="AB446" s="16"/>
      <c r="AC446" s="16"/>
      <c r="AD446" s="16"/>
      <c r="AE446" s="16"/>
      <c r="AF446" s="16"/>
      <c r="AG446" s="16"/>
      <c r="AH446" s="16"/>
      <c r="AI446" s="16"/>
      <c r="AJ446" s="481"/>
      <c r="AK446" s="482"/>
      <c r="AL446" s="25"/>
      <c r="AM446" s="481"/>
      <c r="AN446" s="481"/>
      <c r="AO446" s="481"/>
      <c r="AP446" s="16"/>
      <c r="AQ446" s="16"/>
      <c r="AR446" s="130"/>
      <c r="AS446" s="130">
        <v>1405</v>
      </c>
      <c r="AT446" s="130"/>
      <c r="AU446" s="130"/>
      <c r="AV446" s="130"/>
      <c r="AW446" s="12"/>
      <c r="AX446" s="12"/>
      <c r="AY446" s="12"/>
      <c r="AZ446" s="481"/>
    </row>
    <row r="447" spans="1:52" ht="30" customHeight="1" x14ac:dyDescent="0.2">
      <c r="A447" s="497">
        <v>445</v>
      </c>
      <c r="B447" s="481"/>
      <c r="C447" s="16"/>
      <c r="D447" s="482"/>
      <c r="E447" s="482"/>
      <c r="F447" s="482"/>
      <c r="G447" s="495"/>
      <c r="H447" s="481"/>
      <c r="I447" s="481"/>
      <c r="J447" s="360" t="s">
        <v>158</v>
      </c>
      <c r="K447" s="482"/>
      <c r="L447" s="482"/>
      <c r="M447" s="482"/>
      <c r="N447" s="41"/>
      <c r="O447" s="13"/>
      <c r="P447" s="13"/>
      <c r="Q447" s="13"/>
      <c r="R447" s="481"/>
      <c r="S447" s="481"/>
      <c r="T447" s="481"/>
      <c r="U447" s="482"/>
      <c r="V447" s="41"/>
      <c r="W447" s="13"/>
      <c r="X447" s="482"/>
      <c r="Y447" s="481"/>
      <c r="Z447" s="481"/>
      <c r="AA447" s="481"/>
      <c r="AB447" s="16"/>
      <c r="AC447" s="16"/>
      <c r="AD447" s="16"/>
      <c r="AE447" s="16"/>
      <c r="AF447" s="16"/>
      <c r="AG447" s="16"/>
      <c r="AH447" s="16"/>
      <c r="AI447" s="16"/>
      <c r="AJ447" s="481"/>
      <c r="AK447" s="482"/>
      <c r="AL447" s="25"/>
      <c r="AM447" s="481"/>
      <c r="AN447" s="481"/>
      <c r="AO447" s="481"/>
      <c r="AP447" s="16"/>
      <c r="AQ447" s="16"/>
      <c r="AR447" s="130"/>
      <c r="AS447" s="130">
        <v>1405</v>
      </c>
      <c r="AT447" s="130"/>
      <c r="AU447" s="130"/>
      <c r="AV447" s="130"/>
      <c r="AW447" s="12"/>
      <c r="AX447" s="12"/>
      <c r="AY447" s="12"/>
      <c r="AZ447" s="481"/>
    </row>
    <row r="448" spans="1:52" ht="30" customHeight="1" x14ac:dyDescent="0.2">
      <c r="A448" s="497">
        <v>446</v>
      </c>
      <c r="B448" s="481"/>
      <c r="C448" s="16"/>
      <c r="D448" s="482"/>
      <c r="E448" s="482"/>
      <c r="F448" s="482"/>
      <c r="G448" s="495"/>
      <c r="H448" s="481"/>
      <c r="I448" s="481"/>
      <c r="J448" s="360" t="s">
        <v>158</v>
      </c>
      <c r="K448" s="482"/>
      <c r="L448" s="482"/>
      <c r="M448" s="482"/>
      <c r="N448" s="41"/>
      <c r="O448" s="13"/>
      <c r="P448" s="13"/>
      <c r="Q448" s="13"/>
      <c r="R448" s="481"/>
      <c r="S448" s="481"/>
      <c r="T448" s="481"/>
      <c r="U448" s="482"/>
      <c r="V448" s="41"/>
      <c r="W448" s="13"/>
      <c r="X448" s="482"/>
      <c r="Y448" s="481"/>
      <c r="Z448" s="481"/>
      <c r="AA448" s="481"/>
      <c r="AB448" s="16"/>
      <c r="AC448" s="16"/>
      <c r="AD448" s="16"/>
      <c r="AE448" s="16"/>
      <c r="AF448" s="16"/>
      <c r="AG448" s="16"/>
      <c r="AH448" s="16"/>
      <c r="AI448" s="16"/>
      <c r="AJ448" s="481"/>
      <c r="AK448" s="482"/>
      <c r="AL448" s="25"/>
      <c r="AM448" s="481"/>
      <c r="AN448" s="481"/>
      <c r="AO448" s="481"/>
      <c r="AP448" s="16"/>
      <c r="AQ448" s="16"/>
      <c r="AR448" s="130"/>
      <c r="AS448" s="130">
        <v>1405</v>
      </c>
      <c r="AT448" s="130"/>
      <c r="AU448" s="130"/>
      <c r="AV448" s="130"/>
      <c r="AW448" s="12"/>
      <c r="AX448" s="12"/>
      <c r="AY448" s="12"/>
      <c r="AZ448" s="481"/>
    </row>
    <row r="449" spans="1:52" ht="30" customHeight="1" x14ac:dyDescent="0.2">
      <c r="A449" s="497">
        <v>447</v>
      </c>
      <c r="B449" s="481"/>
      <c r="C449" s="16"/>
      <c r="D449" s="482"/>
      <c r="E449" s="482"/>
      <c r="F449" s="482"/>
      <c r="G449" s="495"/>
      <c r="H449" s="481"/>
      <c r="I449" s="481"/>
      <c r="J449" s="360" t="s">
        <v>158</v>
      </c>
      <c r="K449" s="482"/>
      <c r="L449" s="482"/>
      <c r="M449" s="482"/>
      <c r="N449" s="41"/>
      <c r="O449" s="13"/>
      <c r="P449" s="13"/>
      <c r="Q449" s="13"/>
      <c r="R449" s="481"/>
      <c r="S449" s="481"/>
      <c r="T449" s="481"/>
      <c r="U449" s="482"/>
      <c r="V449" s="41"/>
      <c r="W449" s="13"/>
      <c r="X449" s="482"/>
      <c r="Y449" s="481"/>
      <c r="Z449" s="481"/>
      <c r="AA449" s="481"/>
      <c r="AB449" s="16"/>
      <c r="AC449" s="16"/>
      <c r="AD449" s="16"/>
      <c r="AE449" s="16"/>
      <c r="AF449" s="16"/>
      <c r="AG449" s="16"/>
      <c r="AH449" s="16"/>
      <c r="AI449" s="16"/>
      <c r="AJ449" s="481"/>
      <c r="AK449" s="482"/>
      <c r="AL449" s="25"/>
      <c r="AM449" s="481"/>
      <c r="AN449" s="481"/>
      <c r="AO449" s="481"/>
      <c r="AP449" s="16"/>
      <c r="AQ449" s="16"/>
      <c r="AR449" s="130"/>
      <c r="AS449" s="130">
        <v>1405</v>
      </c>
      <c r="AT449" s="130"/>
      <c r="AU449" s="130"/>
      <c r="AV449" s="130"/>
      <c r="AW449" s="12"/>
      <c r="AX449" s="12"/>
      <c r="AY449" s="12"/>
      <c r="AZ449" s="481"/>
    </row>
    <row r="450" spans="1:52" ht="30" customHeight="1" x14ac:dyDescent="0.2">
      <c r="A450" s="497">
        <v>448</v>
      </c>
      <c r="B450" s="481"/>
      <c r="C450" s="16"/>
      <c r="D450" s="482"/>
      <c r="E450" s="482"/>
      <c r="F450" s="482"/>
      <c r="G450" s="495"/>
      <c r="H450" s="481"/>
      <c r="I450" s="481"/>
      <c r="J450" s="360" t="s">
        <v>158</v>
      </c>
      <c r="K450" s="482"/>
      <c r="L450" s="482"/>
      <c r="M450" s="482"/>
      <c r="N450" s="41"/>
      <c r="O450" s="13"/>
      <c r="P450" s="13"/>
      <c r="Q450" s="13"/>
      <c r="R450" s="481"/>
      <c r="S450" s="481"/>
      <c r="T450" s="481"/>
      <c r="U450" s="482"/>
      <c r="V450" s="41"/>
      <c r="W450" s="13"/>
      <c r="X450" s="482"/>
      <c r="Y450" s="481"/>
      <c r="Z450" s="481"/>
      <c r="AA450" s="481"/>
      <c r="AB450" s="16"/>
      <c r="AC450" s="16"/>
      <c r="AD450" s="16"/>
      <c r="AE450" s="16"/>
      <c r="AF450" s="16"/>
      <c r="AG450" s="16"/>
      <c r="AH450" s="16"/>
      <c r="AI450" s="16"/>
      <c r="AJ450" s="481"/>
      <c r="AK450" s="482"/>
      <c r="AL450" s="25"/>
      <c r="AM450" s="481"/>
      <c r="AN450" s="481"/>
      <c r="AO450" s="481"/>
      <c r="AP450" s="16"/>
      <c r="AQ450" s="16"/>
      <c r="AR450" s="130"/>
      <c r="AS450" s="130">
        <v>1405</v>
      </c>
      <c r="AT450" s="130"/>
      <c r="AU450" s="130"/>
      <c r="AV450" s="130"/>
      <c r="AW450" s="12"/>
      <c r="AX450" s="12"/>
      <c r="AY450" s="12"/>
      <c r="AZ450" s="481"/>
    </row>
    <row r="451" spans="1:52" ht="30" customHeight="1" x14ac:dyDescent="0.2">
      <c r="A451" s="497">
        <v>449</v>
      </c>
      <c r="B451" s="481"/>
      <c r="C451" s="16"/>
      <c r="D451" s="482"/>
      <c r="E451" s="482"/>
      <c r="F451" s="482"/>
      <c r="G451" s="495"/>
      <c r="H451" s="481"/>
      <c r="I451" s="481"/>
      <c r="J451" s="360" t="s">
        <v>158</v>
      </c>
      <c r="K451" s="482"/>
      <c r="L451" s="482"/>
      <c r="M451" s="482"/>
      <c r="N451" s="41"/>
      <c r="O451" s="13"/>
      <c r="P451" s="13"/>
      <c r="Q451" s="13"/>
      <c r="R451" s="481"/>
      <c r="S451" s="481"/>
      <c r="T451" s="481"/>
      <c r="U451" s="482"/>
      <c r="V451" s="41"/>
      <c r="W451" s="13"/>
      <c r="X451" s="482"/>
      <c r="Y451" s="481"/>
      <c r="Z451" s="481"/>
      <c r="AA451" s="481"/>
      <c r="AB451" s="16"/>
      <c r="AC451" s="16"/>
      <c r="AD451" s="16"/>
      <c r="AE451" s="16"/>
      <c r="AF451" s="16"/>
      <c r="AG451" s="16"/>
      <c r="AH451" s="16"/>
      <c r="AI451" s="16"/>
      <c r="AJ451" s="481"/>
      <c r="AK451" s="482"/>
      <c r="AL451" s="25"/>
      <c r="AM451" s="481"/>
      <c r="AN451" s="481"/>
      <c r="AO451" s="481"/>
      <c r="AP451" s="16"/>
      <c r="AQ451" s="16"/>
      <c r="AR451" s="130"/>
      <c r="AS451" s="130">
        <v>1405</v>
      </c>
      <c r="AT451" s="130"/>
      <c r="AU451" s="130"/>
      <c r="AV451" s="130"/>
      <c r="AW451" s="12"/>
      <c r="AX451" s="12"/>
      <c r="AY451" s="12"/>
      <c r="AZ451" s="481"/>
    </row>
    <row r="452" spans="1:52" ht="30" customHeight="1" x14ac:dyDescent="0.2">
      <c r="A452" s="497">
        <v>450</v>
      </c>
      <c r="B452" s="481"/>
      <c r="C452" s="16"/>
      <c r="D452" s="482"/>
      <c r="E452" s="482"/>
      <c r="F452" s="482"/>
      <c r="G452" s="495"/>
      <c r="H452" s="481"/>
      <c r="I452" s="481"/>
      <c r="J452" s="360" t="s">
        <v>158</v>
      </c>
      <c r="K452" s="482"/>
      <c r="L452" s="482"/>
      <c r="M452" s="482"/>
      <c r="N452" s="41"/>
      <c r="O452" s="13"/>
      <c r="P452" s="13"/>
      <c r="Q452" s="13"/>
      <c r="R452" s="481"/>
      <c r="S452" s="481"/>
      <c r="T452" s="481"/>
      <c r="U452" s="482"/>
      <c r="V452" s="41"/>
      <c r="W452" s="13"/>
      <c r="X452" s="482"/>
      <c r="Y452" s="481"/>
      <c r="Z452" s="481"/>
      <c r="AA452" s="481"/>
      <c r="AB452" s="16"/>
      <c r="AC452" s="16"/>
      <c r="AD452" s="16"/>
      <c r="AE452" s="16"/>
      <c r="AF452" s="16"/>
      <c r="AG452" s="16"/>
      <c r="AH452" s="16"/>
      <c r="AI452" s="16"/>
      <c r="AJ452" s="481"/>
      <c r="AK452" s="482"/>
      <c r="AL452" s="25"/>
      <c r="AM452" s="481"/>
      <c r="AN452" s="481"/>
      <c r="AO452" s="481"/>
      <c r="AP452" s="16"/>
      <c r="AQ452" s="16"/>
      <c r="AR452" s="130"/>
      <c r="AS452" s="130">
        <v>1405</v>
      </c>
      <c r="AT452" s="130"/>
      <c r="AU452" s="130"/>
      <c r="AV452" s="130"/>
      <c r="AW452" s="12"/>
      <c r="AX452" s="12"/>
      <c r="AY452" s="12"/>
      <c r="AZ452" s="481"/>
    </row>
    <row r="453" spans="1:52" ht="30" customHeight="1" x14ac:dyDescent="0.2">
      <c r="A453" s="497">
        <v>451</v>
      </c>
      <c r="B453" s="481"/>
      <c r="C453" s="16"/>
      <c r="D453" s="482"/>
      <c r="E453" s="482"/>
      <c r="F453" s="482"/>
      <c r="G453" s="495"/>
      <c r="H453" s="481"/>
      <c r="I453" s="481"/>
      <c r="J453" s="360" t="s">
        <v>158</v>
      </c>
      <c r="K453" s="482"/>
      <c r="L453" s="482"/>
      <c r="M453" s="482"/>
      <c r="N453" s="41"/>
      <c r="O453" s="13"/>
      <c r="P453" s="13"/>
      <c r="Q453" s="13"/>
      <c r="R453" s="481"/>
      <c r="S453" s="481"/>
      <c r="T453" s="481"/>
      <c r="U453" s="482"/>
      <c r="V453" s="41"/>
      <c r="W453" s="13"/>
      <c r="X453" s="482"/>
      <c r="Y453" s="481"/>
      <c r="Z453" s="481"/>
      <c r="AA453" s="481"/>
      <c r="AB453" s="16"/>
      <c r="AC453" s="16"/>
      <c r="AD453" s="16"/>
      <c r="AE453" s="16"/>
      <c r="AF453" s="16"/>
      <c r="AG453" s="16"/>
      <c r="AH453" s="16"/>
      <c r="AI453" s="16"/>
      <c r="AJ453" s="481"/>
      <c r="AK453" s="482"/>
      <c r="AL453" s="25"/>
      <c r="AM453" s="481"/>
      <c r="AN453" s="481"/>
      <c r="AO453" s="481"/>
      <c r="AP453" s="16"/>
      <c r="AQ453" s="16"/>
      <c r="AR453" s="130"/>
      <c r="AS453" s="130">
        <v>1405</v>
      </c>
      <c r="AT453" s="130"/>
      <c r="AU453" s="130"/>
      <c r="AV453" s="130"/>
      <c r="AW453" s="12"/>
      <c r="AX453" s="12"/>
      <c r="AY453" s="12"/>
      <c r="AZ453" s="481"/>
    </row>
    <row r="454" spans="1:52" ht="30" customHeight="1" x14ac:dyDescent="0.2">
      <c r="A454" s="497">
        <v>452</v>
      </c>
      <c r="B454" s="481"/>
      <c r="C454" s="16"/>
      <c r="D454" s="482"/>
      <c r="E454" s="482"/>
      <c r="F454" s="482"/>
      <c r="G454" s="495"/>
      <c r="H454" s="481"/>
      <c r="I454" s="481"/>
      <c r="J454" s="360" t="s">
        <v>158</v>
      </c>
      <c r="K454" s="482"/>
      <c r="L454" s="482"/>
      <c r="M454" s="482"/>
      <c r="N454" s="41"/>
      <c r="O454" s="13"/>
      <c r="P454" s="13"/>
      <c r="Q454" s="13"/>
      <c r="R454" s="481"/>
      <c r="S454" s="481"/>
      <c r="T454" s="481"/>
      <c r="U454" s="482"/>
      <c r="V454" s="41"/>
      <c r="W454" s="13"/>
      <c r="X454" s="482"/>
      <c r="Y454" s="481"/>
      <c r="Z454" s="481"/>
      <c r="AA454" s="481"/>
      <c r="AB454" s="16"/>
      <c r="AC454" s="16"/>
      <c r="AD454" s="16"/>
      <c r="AE454" s="16"/>
      <c r="AF454" s="16"/>
      <c r="AG454" s="16"/>
      <c r="AH454" s="16"/>
      <c r="AI454" s="16"/>
      <c r="AJ454" s="481"/>
      <c r="AK454" s="482"/>
      <c r="AL454" s="25"/>
      <c r="AM454" s="481"/>
      <c r="AN454" s="481"/>
      <c r="AO454" s="481"/>
      <c r="AP454" s="16"/>
      <c r="AQ454" s="16"/>
      <c r="AR454" s="130"/>
      <c r="AS454" s="130">
        <v>1405</v>
      </c>
      <c r="AT454" s="130"/>
      <c r="AU454" s="130"/>
      <c r="AV454" s="130"/>
      <c r="AW454" s="12"/>
      <c r="AX454" s="12"/>
      <c r="AY454" s="12"/>
      <c r="AZ454" s="481"/>
    </row>
    <row r="455" spans="1:52" ht="30" customHeight="1" x14ac:dyDescent="0.2">
      <c r="A455" s="497">
        <v>453</v>
      </c>
      <c r="B455" s="481"/>
      <c r="C455" s="16"/>
      <c r="D455" s="482"/>
      <c r="E455" s="482"/>
      <c r="F455" s="482"/>
      <c r="G455" s="495"/>
      <c r="H455" s="481"/>
      <c r="I455" s="481"/>
      <c r="J455" s="360" t="s">
        <v>158</v>
      </c>
      <c r="K455" s="482"/>
      <c r="L455" s="482"/>
      <c r="M455" s="482"/>
      <c r="N455" s="41"/>
      <c r="O455" s="13"/>
      <c r="P455" s="13"/>
      <c r="Q455" s="13"/>
      <c r="R455" s="481"/>
      <c r="S455" s="481"/>
      <c r="T455" s="481"/>
      <c r="U455" s="482"/>
      <c r="V455" s="41"/>
      <c r="W455" s="13"/>
      <c r="X455" s="482"/>
      <c r="Y455" s="481"/>
      <c r="Z455" s="481"/>
      <c r="AA455" s="481"/>
      <c r="AB455" s="16"/>
      <c r="AC455" s="16"/>
      <c r="AD455" s="16"/>
      <c r="AE455" s="16"/>
      <c r="AF455" s="16"/>
      <c r="AG455" s="16"/>
      <c r="AH455" s="16"/>
      <c r="AI455" s="16"/>
      <c r="AJ455" s="481"/>
      <c r="AK455" s="482"/>
      <c r="AL455" s="25"/>
      <c r="AM455" s="481"/>
      <c r="AN455" s="481"/>
      <c r="AO455" s="481"/>
      <c r="AP455" s="16"/>
      <c r="AQ455" s="16"/>
      <c r="AR455" s="130"/>
      <c r="AS455" s="130">
        <v>1405</v>
      </c>
      <c r="AT455" s="130"/>
      <c r="AU455" s="130"/>
      <c r="AV455" s="130"/>
      <c r="AW455" s="12"/>
      <c r="AX455" s="12"/>
      <c r="AY455" s="12"/>
      <c r="AZ455" s="481"/>
    </row>
    <row r="456" spans="1:52" ht="30" customHeight="1" x14ac:dyDescent="0.2">
      <c r="A456" s="497">
        <v>454</v>
      </c>
      <c r="B456" s="481"/>
      <c r="C456" s="16"/>
      <c r="D456" s="482"/>
      <c r="E456" s="482"/>
      <c r="F456" s="482"/>
      <c r="G456" s="495"/>
      <c r="H456" s="481"/>
      <c r="I456" s="481"/>
      <c r="J456" s="360" t="s">
        <v>158</v>
      </c>
      <c r="K456" s="482"/>
      <c r="L456" s="482"/>
      <c r="M456" s="482"/>
      <c r="N456" s="41"/>
      <c r="O456" s="13"/>
      <c r="P456" s="13"/>
      <c r="Q456" s="13"/>
      <c r="R456" s="481"/>
      <c r="S456" s="481"/>
      <c r="T456" s="481"/>
      <c r="U456" s="482"/>
      <c r="V456" s="41"/>
      <c r="W456" s="13"/>
      <c r="X456" s="482"/>
      <c r="Y456" s="481"/>
      <c r="Z456" s="481"/>
      <c r="AA456" s="481"/>
      <c r="AB456" s="16"/>
      <c r="AC456" s="16"/>
      <c r="AD456" s="16"/>
      <c r="AE456" s="16"/>
      <c r="AF456" s="16"/>
      <c r="AG456" s="16"/>
      <c r="AH456" s="16"/>
      <c r="AI456" s="16"/>
      <c r="AJ456" s="481"/>
      <c r="AK456" s="482"/>
      <c r="AL456" s="25"/>
      <c r="AM456" s="481"/>
      <c r="AN456" s="481"/>
      <c r="AO456" s="481"/>
      <c r="AP456" s="16"/>
      <c r="AQ456" s="16"/>
      <c r="AR456" s="130"/>
      <c r="AS456" s="130">
        <v>1405</v>
      </c>
      <c r="AT456" s="130"/>
      <c r="AU456" s="130"/>
      <c r="AV456" s="130"/>
      <c r="AW456" s="12"/>
      <c r="AX456" s="12"/>
      <c r="AY456" s="12"/>
      <c r="AZ456" s="481"/>
    </row>
    <row r="457" spans="1:52" ht="30" customHeight="1" x14ac:dyDescent="0.2">
      <c r="A457" s="497">
        <v>455</v>
      </c>
      <c r="B457" s="481"/>
      <c r="C457" s="16"/>
      <c r="D457" s="482"/>
      <c r="E457" s="482"/>
      <c r="F457" s="482"/>
      <c r="G457" s="495"/>
      <c r="H457" s="481"/>
      <c r="I457" s="481"/>
      <c r="J457" s="360" t="s">
        <v>158</v>
      </c>
      <c r="K457" s="482"/>
      <c r="L457" s="482"/>
      <c r="M457" s="482"/>
      <c r="N457" s="41"/>
      <c r="O457" s="13"/>
      <c r="P457" s="13"/>
      <c r="Q457" s="13"/>
      <c r="R457" s="481"/>
      <c r="S457" s="481"/>
      <c r="T457" s="481"/>
      <c r="U457" s="482"/>
      <c r="V457" s="41"/>
      <c r="W457" s="13"/>
      <c r="X457" s="482"/>
      <c r="Y457" s="481"/>
      <c r="Z457" s="481"/>
      <c r="AA457" s="481"/>
      <c r="AB457" s="16"/>
      <c r="AC457" s="16"/>
      <c r="AD457" s="16"/>
      <c r="AE457" s="16"/>
      <c r="AF457" s="16"/>
      <c r="AG457" s="16"/>
      <c r="AH457" s="16"/>
      <c r="AI457" s="16"/>
      <c r="AJ457" s="481"/>
      <c r="AK457" s="482"/>
      <c r="AL457" s="25"/>
      <c r="AM457" s="481"/>
      <c r="AN457" s="481"/>
      <c r="AO457" s="481"/>
      <c r="AP457" s="16"/>
      <c r="AQ457" s="16"/>
      <c r="AR457" s="130"/>
      <c r="AS457" s="130">
        <v>1405</v>
      </c>
      <c r="AT457" s="130"/>
      <c r="AU457" s="130"/>
      <c r="AV457" s="130"/>
      <c r="AW457" s="12"/>
      <c r="AX457" s="12"/>
      <c r="AY457" s="12"/>
      <c r="AZ457" s="481"/>
    </row>
    <row r="458" spans="1:52" ht="30" customHeight="1" x14ac:dyDescent="0.2">
      <c r="A458" s="497">
        <v>456</v>
      </c>
      <c r="B458" s="481"/>
      <c r="C458" s="16"/>
      <c r="D458" s="482"/>
      <c r="E458" s="482"/>
      <c r="F458" s="482"/>
      <c r="G458" s="495"/>
      <c r="H458" s="481"/>
      <c r="I458" s="481"/>
      <c r="J458" s="360" t="s">
        <v>158</v>
      </c>
      <c r="K458" s="482"/>
      <c r="L458" s="482"/>
      <c r="M458" s="482"/>
      <c r="N458" s="41"/>
      <c r="O458" s="13"/>
      <c r="P458" s="13"/>
      <c r="Q458" s="13"/>
      <c r="R458" s="481"/>
      <c r="S458" s="481"/>
      <c r="T458" s="481"/>
      <c r="U458" s="482"/>
      <c r="V458" s="41"/>
      <c r="W458" s="13"/>
      <c r="X458" s="482"/>
      <c r="Y458" s="481"/>
      <c r="Z458" s="481"/>
      <c r="AA458" s="481"/>
      <c r="AB458" s="16"/>
      <c r="AC458" s="16"/>
      <c r="AD458" s="16"/>
      <c r="AE458" s="16"/>
      <c r="AF458" s="16"/>
      <c r="AG458" s="16"/>
      <c r="AH458" s="16"/>
      <c r="AI458" s="16"/>
      <c r="AJ458" s="481"/>
      <c r="AK458" s="482"/>
      <c r="AL458" s="25"/>
      <c r="AM458" s="481"/>
      <c r="AN458" s="481"/>
      <c r="AO458" s="481"/>
      <c r="AP458" s="16"/>
      <c r="AQ458" s="16"/>
      <c r="AR458" s="130"/>
      <c r="AS458" s="130">
        <v>1405</v>
      </c>
      <c r="AT458" s="130"/>
      <c r="AU458" s="130"/>
      <c r="AV458" s="130"/>
      <c r="AW458" s="12"/>
      <c r="AX458" s="12"/>
      <c r="AY458" s="12"/>
      <c r="AZ458" s="481"/>
    </row>
    <row r="459" spans="1:52" ht="30" customHeight="1" x14ac:dyDescent="0.2">
      <c r="A459" s="497">
        <v>457</v>
      </c>
      <c r="B459" s="481"/>
      <c r="C459" s="16"/>
      <c r="D459" s="482"/>
      <c r="E459" s="482"/>
      <c r="F459" s="482"/>
      <c r="G459" s="495"/>
      <c r="H459" s="481"/>
      <c r="I459" s="481"/>
      <c r="J459" s="360" t="s">
        <v>158</v>
      </c>
      <c r="K459" s="482"/>
      <c r="L459" s="482"/>
      <c r="M459" s="482"/>
      <c r="N459" s="41"/>
      <c r="O459" s="13"/>
      <c r="P459" s="13"/>
      <c r="Q459" s="13"/>
      <c r="R459" s="481"/>
      <c r="S459" s="481"/>
      <c r="T459" s="481"/>
      <c r="U459" s="482"/>
      <c r="V459" s="41"/>
      <c r="W459" s="13"/>
      <c r="X459" s="482"/>
      <c r="Y459" s="481"/>
      <c r="Z459" s="481"/>
      <c r="AA459" s="481"/>
      <c r="AB459" s="16"/>
      <c r="AC459" s="16"/>
      <c r="AD459" s="16"/>
      <c r="AE459" s="16"/>
      <c r="AF459" s="16"/>
      <c r="AG459" s="16"/>
      <c r="AH459" s="16"/>
      <c r="AI459" s="16"/>
      <c r="AJ459" s="481"/>
      <c r="AK459" s="482"/>
      <c r="AL459" s="25"/>
      <c r="AM459" s="481"/>
      <c r="AN459" s="481"/>
      <c r="AO459" s="481"/>
      <c r="AP459" s="16"/>
      <c r="AQ459" s="16"/>
      <c r="AR459" s="130"/>
      <c r="AS459" s="130">
        <v>1405</v>
      </c>
      <c r="AT459" s="130"/>
      <c r="AU459" s="130"/>
      <c r="AV459" s="130"/>
      <c r="AW459" s="12"/>
      <c r="AX459" s="12"/>
      <c r="AY459" s="12"/>
      <c r="AZ459" s="481"/>
    </row>
    <row r="460" spans="1:52" ht="30" customHeight="1" x14ac:dyDescent="0.2">
      <c r="A460" s="497">
        <v>458</v>
      </c>
      <c r="B460" s="481"/>
      <c r="C460" s="16"/>
      <c r="D460" s="482"/>
      <c r="E460" s="482"/>
      <c r="F460" s="482"/>
      <c r="G460" s="495"/>
      <c r="H460" s="481"/>
      <c r="I460" s="481"/>
      <c r="J460" s="360" t="s">
        <v>158</v>
      </c>
      <c r="K460" s="482"/>
      <c r="L460" s="482"/>
      <c r="M460" s="482"/>
      <c r="N460" s="41"/>
      <c r="O460" s="13"/>
      <c r="P460" s="13"/>
      <c r="Q460" s="13"/>
      <c r="R460" s="481"/>
      <c r="S460" s="481"/>
      <c r="T460" s="481"/>
      <c r="U460" s="482"/>
      <c r="V460" s="41"/>
      <c r="W460" s="13"/>
      <c r="X460" s="482"/>
      <c r="Y460" s="481"/>
      <c r="Z460" s="481"/>
      <c r="AA460" s="481"/>
      <c r="AB460" s="16"/>
      <c r="AC460" s="16"/>
      <c r="AD460" s="16"/>
      <c r="AE460" s="16"/>
      <c r="AF460" s="16"/>
      <c r="AG460" s="16"/>
      <c r="AH460" s="16"/>
      <c r="AI460" s="16"/>
      <c r="AJ460" s="481"/>
      <c r="AK460" s="482"/>
      <c r="AL460" s="25"/>
      <c r="AM460" s="481"/>
      <c r="AN460" s="481"/>
      <c r="AO460" s="481"/>
      <c r="AP460" s="16"/>
      <c r="AQ460" s="16"/>
      <c r="AR460" s="130"/>
      <c r="AS460" s="130">
        <v>1405</v>
      </c>
      <c r="AT460" s="130"/>
      <c r="AU460" s="130"/>
      <c r="AV460" s="130"/>
      <c r="AW460" s="12"/>
      <c r="AX460" s="12"/>
      <c r="AY460" s="12"/>
      <c r="AZ460" s="481"/>
    </row>
    <row r="461" spans="1:52" ht="30" customHeight="1" x14ac:dyDescent="0.2">
      <c r="A461" s="497">
        <v>459</v>
      </c>
      <c r="B461" s="481"/>
      <c r="C461" s="16"/>
      <c r="D461" s="482"/>
      <c r="E461" s="482"/>
      <c r="F461" s="482"/>
      <c r="G461" s="495"/>
      <c r="H461" s="481"/>
      <c r="I461" s="481"/>
      <c r="J461" s="360" t="s">
        <v>158</v>
      </c>
      <c r="K461" s="482"/>
      <c r="L461" s="482"/>
      <c r="M461" s="482"/>
      <c r="N461" s="41"/>
      <c r="O461" s="13"/>
      <c r="P461" s="13"/>
      <c r="Q461" s="13"/>
      <c r="R461" s="481"/>
      <c r="S461" s="481"/>
      <c r="T461" s="481"/>
      <c r="U461" s="482"/>
      <c r="V461" s="41"/>
      <c r="W461" s="13"/>
      <c r="X461" s="482"/>
      <c r="Y461" s="481"/>
      <c r="Z461" s="481"/>
      <c r="AA461" s="481"/>
      <c r="AB461" s="16"/>
      <c r="AC461" s="16"/>
      <c r="AD461" s="16"/>
      <c r="AE461" s="16"/>
      <c r="AF461" s="16"/>
      <c r="AG461" s="16"/>
      <c r="AH461" s="16"/>
      <c r="AI461" s="16"/>
      <c r="AJ461" s="481"/>
      <c r="AK461" s="482"/>
      <c r="AL461" s="25"/>
      <c r="AM461" s="481"/>
      <c r="AN461" s="481"/>
      <c r="AO461" s="481"/>
      <c r="AP461" s="16"/>
      <c r="AQ461" s="16"/>
      <c r="AR461" s="130"/>
      <c r="AS461" s="130">
        <v>1405</v>
      </c>
      <c r="AT461" s="130"/>
      <c r="AU461" s="130"/>
      <c r="AV461" s="130"/>
      <c r="AW461" s="12"/>
      <c r="AX461" s="12"/>
      <c r="AY461" s="12"/>
      <c r="AZ461" s="481"/>
    </row>
    <row r="462" spans="1:52" ht="30" customHeight="1" x14ac:dyDescent="0.2">
      <c r="A462" s="497">
        <v>460</v>
      </c>
      <c r="B462" s="481"/>
      <c r="C462" s="16"/>
      <c r="D462" s="482"/>
      <c r="E462" s="482"/>
      <c r="F462" s="482"/>
      <c r="G462" s="495"/>
      <c r="H462" s="481"/>
      <c r="I462" s="481"/>
      <c r="J462" s="360" t="s">
        <v>158</v>
      </c>
      <c r="K462" s="482"/>
      <c r="L462" s="482"/>
      <c r="M462" s="482"/>
      <c r="N462" s="41"/>
      <c r="O462" s="13"/>
      <c r="P462" s="13"/>
      <c r="Q462" s="13"/>
      <c r="R462" s="481"/>
      <c r="S462" s="481"/>
      <c r="T462" s="481"/>
      <c r="U462" s="482"/>
      <c r="V462" s="41"/>
      <c r="W462" s="13"/>
      <c r="X462" s="482"/>
      <c r="Y462" s="481"/>
      <c r="Z462" s="481"/>
      <c r="AA462" s="481"/>
      <c r="AB462" s="16"/>
      <c r="AC462" s="16"/>
      <c r="AD462" s="16"/>
      <c r="AE462" s="16"/>
      <c r="AF462" s="16"/>
      <c r="AG462" s="16"/>
      <c r="AH462" s="16"/>
      <c r="AI462" s="16"/>
      <c r="AJ462" s="481"/>
      <c r="AK462" s="482"/>
      <c r="AL462" s="25"/>
      <c r="AM462" s="481"/>
      <c r="AN462" s="481"/>
      <c r="AO462" s="481"/>
      <c r="AP462" s="16"/>
      <c r="AQ462" s="16"/>
      <c r="AR462" s="130"/>
      <c r="AS462" s="130">
        <v>1405</v>
      </c>
      <c r="AT462" s="130"/>
      <c r="AU462" s="130"/>
      <c r="AV462" s="130"/>
      <c r="AW462" s="12"/>
      <c r="AX462" s="12"/>
      <c r="AY462" s="12"/>
      <c r="AZ462" s="481"/>
    </row>
    <row r="463" spans="1:52" ht="30" customHeight="1" x14ac:dyDescent="0.2">
      <c r="A463" s="497">
        <v>461</v>
      </c>
      <c r="B463" s="481"/>
      <c r="C463" s="16"/>
      <c r="D463" s="482"/>
      <c r="E463" s="482"/>
      <c r="F463" s="482"/>
      <c r="G463" s="495"/>
      <c r="H463" s="481"/>
      <c r="I463" s="481"/>
      <c r="J463" s="360" t="s">
        <v>158</v>
      </c>
      <c r="K463" s="482"/>
      <c r="L463" s="482"/>
      <c r="M463" s="482"/>
      <c r="N463" s="41"/>
      <c r="O463" s="13"/>
      <c r="P463" s="13"/>
      <c r="Q463" s="13"/>
      <c r="R463" s="481"/>
      <c r="S463" s="481"/>
      <c r="T463" s="481"/>
      <c r="U463" s="482"/>
      <c r="V463" s="41"/>
      <c r="W463" s="13"/>
      <c r="X463" s="482"/>
      <c r="Y463" s="481"/>
      <c r="Z463" s="481"/>
      <c r="AA463" s="481"/>
      <c r="AB463" s="16"/>
      <c r="AC463" s="16"/>
      <c r="AD463" s="16"/>
      <c r="AE463" s="16"/>
      <c r="AF463" s="16"/>
      <c r="AG463" s="16"/>
      <c r="AH463" s="16"/>
      <c r="AI463" s="16"/>
      <c r="AJ463" s="481"/>
      <c r="AK463" s="482"/>
      <c r="AL463" s="25"/>
      <c r="AM463" s="481"/>
      <c r="AN463" s="481"/>
      <c r="AO463" s="481"/>
      <c r="AP463" s="16"/>
      <c r="AQ463" s="16"/>
      <c r="AR463" s="130"/>
      <c r="AS463" s="130">
        <v>1405</v>
      </c>
      <c r="AT463" s="130"/>
      <c r="AU463" s="130"/>
      <c r="AV463" s="130"/>
      <c r="AW463" s="12"/>
      <c r="AX463" s="12"/>
      <c r="AY463" s="12"/>
      <c r="AZ463" s="481"/>
    </row>
    <row r="464" spans="1:52" ht="30" customHeight="1" x14ac:dyDescent="0.2">
      <c r="A464" s="497">
        <v>462</v>
      </c>
      <c r="B464" s="481"/>
      <c r="C464" s="16"/>
      <c r="D464" s="482"/>
      <c r="E464" s="482"/>
      <c r="F464" s="482"/>
      <c r="G464" s="495"/>
      <c r="H464" s="481"/>
      <c r="I464" s="481"/>
      <c r="J464" s="360" t="s">
        <v>158</v>
      </c>
      <c r="K464" s="482"/>
      <c r="L464" s="482"/>
      <c r="M464" s="482"/>
      <c r="N464" s="41"/>
      <c r="O464" s="13"/>
      <c r="P464" s="13"/>
      <c r="Q464" s="13"/>
      <c r="R464" s="481"/>
      <c r="S464" s="481"/>
      <c r="T464" s="481"/>
      <c r="U464" s="482"/>
      <c r="V464" s="41"/>
      <c r="W464" s="13"/>
      <c r="X464" s="482"/>
      <c r="Y464" s="481"/>
      <c r="Z464" s="481"/>
      <c r="AA464" s="481"/>
      <c r="AB464" s="16"/>
      <c r="AC464" s="16"/>
      <c r="AD464" s="16"/>
      <c r="AE464" s="16"/>
      <c r="AF464" s="16"/>
      <c r="AG464" s="16"/>
      <c r="AH464" s="16"/>
      <c r="AI464" s="16"/>
      <c r="AJ464" s="481"/>
      <c r="AK464" s="482"/>
      <c r="AL464" s="25"/>
      <c r="AM464" s="481"/>
      <c r="AN464" s="481"/>
      <c r="AO464" s="481"/>
      <c r="AP464" s="16"/>
      <c r="AQ464" s="16"/>
      <c r="AR464" s="130"/>
      <c r="AS464" s="130">
        <v>1405</v>
      </c>
      <c r="AT464" s="130"/>
      <c r="AU464" s="130"/>
      <c r="AV464" s="130"/>
      <c r="AW464" s="12"/>
      <c r="AX464" s="12"/>
      <c r="AY464" s="12"/>
      <c r="AZ464" s="481"/>
    </row>
    <row r="465" spans="1:52" ht="30" customHeight="1" x14ac:dyDescent="0.2">
      <c r="A465" s="497">
        <v>463</v>
      </c>
      <c r="B465" s="481"/>
      <c r="C465" s="16"/>
      <c r="D465" s="482"/>
      <c r="E465" s="482"/>
      <c r="F465" s="482"/>
      <c r="G465" s="495"/>
      <c r="H465" s="481"/>
      <c r="I465" s="481"/>
      <c r="J465" s="360" t="s">
        <v>158</v>
      </c>
      <c r="K465" s="482"/>
      <c r="L465" s="482"/>
      <c r="M465" s="482"/>
      <c r="N465" s="41"/>
      <c r="O465" s="13"/>
      <c r="P465" s="13"/>
      <c r="Q465" s="13"/>
      <c r="R465" s="481"/>
      <c r="S465" s="481"/>
      <c r="T465" s="481"/>
      <c r="U465" s="482"/>
      <c r="V465" s="41"/>
      <c r="W465" s="13"/>
      <c r="X465" s="482"/>
      <c r="Y465" s="481"/>
      <c r="Z465" s="481"/>
      <c r="AA465" s="481"/>
      <c r="AB465" s="16"/>
      <c r="AC465" s="16"/>
      <c r="AD465" s="16"/>
      <c r="AE465" s="16"/>
      <c r="AF465" s="16"/>
      <c r="AG465" s="16"/>
      <c r="AH465" s="16"/>
      <c r="AI465" s="16"/>
      <c r="AJ465" s="481"/>
      <c r="AK465" s="482"/>
      <c r="AL465" s="25"/>
      <c r="AM465" s="481"/>
      <c r="AN465" s="481"/>
      <c r="AO465" s="481"/>
      <c r="AP465" s="16"/>
      <c r="AQ465" s="16"/>
      <c r="AR465" s="130"/>
      <c r="AS465" s="130">
        <v>1405</v>
      </c>
      <c r="AT465" s="130"/>
      <c r="AU465" s="130"/>
      <c r="AV465" s="130"/>
      <c r="AW465" s="12"/>
      <c r="AX465" s="12"/>
      <c r="AY465" s="12"/>
      <c r="AZ465" s="481"/>
    </row>
    <row r="466" spans="1:52" ht="30" customHeight="1" x14ac:dyDescent="0.2">
      <c r="A466" s="497">
        <v>464</v>
      </c>
      <c r="B466" s="481"/>
      <c r="C466" s="16"/>
      <c r="D466" s="482"/>
      <c r="E466" s="482"/>
      <c r="F466" s="482"/>
      <c r="G466" s="495"/>
      <c r="H466" s="481"/>
      <c r="I466" s="481"/>
      <c r="J466" s="360" t="s">
        <v>158</v>
      </c>
      <c r="K466" s="482"/>
      <c r="L466" s="482"/>
      <c r="M466" s="482"/>
      <c r="N466" s="41"/>
      <c r="O466" s="13"/>
      <c r="P466" s="13"/>
      <c r="Q466" s="13"/>
      <c r="R466" s="481"/>
      <c r="S466" s="481"/>
      <c r="T466" s="481"/>
      <c r="U466" s="482"/>
      <c r="V466" s="41"/>
      <c r="W466" s="13"/>
      <c r="X466" s="482"/>
      <c r="Y466" s="481"/>
      <c r="Z466" s="481"/>
      <c r="AA466" s="481"/>
      <c r="AB466" s="16"/>
      <c r="AC466" s="16"/>
      <c r="AD466" s="16"/>
      <c r="AE466" s="16"/>
      <c r="AF466" s="16"/>
      <c r="AG466" s="16"/>
      <c r="AH466" s="16"/>
      <c r="AI466" s="16"/>
      <c r="AJ466" s="481"/>
      <c r="AK466" s="482"/>
      <c r="AL466" s="25"/>
      <c r="AM466" s="481"/>
      <c r="AN466" s="481"/>
      <c r="AO466" s="481"/>
      <c r="AP466" s="16"/>
      <c r="AQ466" s="16"/>
      <c r="AR466" s="130"/>
      <c r="AS466" s="130">
        <v>1405</v>
      </c>
      <c r="AT466" s="130"/>
      <c r="AU466" s="130"/>
      <c r="AV466" s="130"/>
      <c r="AW466" s="12"/>
      <c r="AX466" s="12"/>
      <c r="AY466" s="12"/>
      <c r="AZ466" s="481"/>
    </row>
    <row r="467" spans="1:52" ht="30" customHeight="1" x14ac:dyDescent="0.2">
      <c r="A467" s="497">
        <v>465</v>
      </c>
      <c r="B467" s="481"/>
      <c r="C467" s="16"/>
      <c r="D467" s="482"/>
      <c r="E467" s="482"/>
      <c r="F467" s="482"/>
      <c r="G467" s="495"/>
      <c r="H467" s="481"/>
      <c r="I467" s="481"/>
      <c r="J467" s="360" t="s">
        <v>158</v>
      </c>
      <c r="K467" s="482"/>
      <c r="L467" s="482"/>
      <c r="M467" s="482"/>
      <c r="N467" s="41"/>
      <c r="O467" s="13"/>
      <c r="P467" s="13"/>
      <c r="Q467" s="13"/>
      <c r="R467" s="481"/>
      <c r="S467" s="481"/>
      <c r="T467" s="481"/>
      <c r="U467" s="482"/>
      <c r="V467" s="41"/>
      <c r="W467" s="13"/>
      <c r="X467" s="482"/>
      <c r="Y467" s="481"/>
      <c r="Z467" s="481"/>
      <c r="AA467" s="481"/>
      <c r="AB467" s="16"/>
      <c r="AC467" s="16"/>
      <c r="AD467" s="16"/>
      <c r="AE467" s="16"/>
      <c r="AF467" s="16"/>
      <c r="AG467" s="16"/>
      <c r="AH467" s="16"/>
      <c r="AI467" s="16"/>
      <c r="AJ467" s="481"/>
      <c r="AK467" s="482"/>
      <c r="AL467" s="25"/>
      <c r="AM467" s="481"/>
      <c r="AN467" s="481"/>
      <c r="AO467" s="481"/>
      <c r="AP467" s="16"/>
      <c r="AQ467" s="16"/>
      <c r="AR467" s="130"/>
      <c r="AS467" s="130">
        <v>1405</v>
      </c>
      <c r="AT467" s="130"/>
      <c r="AU467" s="130"/>
      <c r="AV467" s="130"/>
      <c r="AW467" s="12"/>
      <c r="AX467" s="12"/>
      <c r="AY467" s="12"/>
      <c r="AZ467" s="481"/>
    </row>
    <row r="468" spans="1:52" ht="30" customHeight="1" x14ac:dyDescent="0.2">
      <c r="A468" s="497">
        <v>466</v>
      </c>
      <c r="B468" s="481"/>
      <c r="C468" s="16"/>
      <c r="D468" s="482"/>
      <c r="E468" s="482"/>
      <c r="F468" s="482"/>
      <c r="G468" s="495"/>
      <c r="H468" s="481"/>
      <c r="I468" s="481"/>
      <c r="J468" s="360" t="s">
        <v>158</v>
      </c>
      <c r="K468" s="482"/>
      <c r="L468" s="482"/>
      <c r="M468" s="482"/>
      <c r="N468" s="41"/>
      <c r="O468" s="13"/>
      <c r="P468" s="13"/>
      <c r="Q468" s="13"/>
      <c r="R468" s="481"/>
      <c r="S468" s="481"/>
      <c r="T468" s="481"/>
      <c r="U468" s="482"/>
      <c r="V468" s="41"/>
      <c r="W468" s="13"/>
      <c r="X468" s="482"/>
      <c r="Y468" s="481"/>
      <c r="Z468" s="481"/>
      <c r="AA468" s="481"/>
      <c r="AB468" s="16"/>
      <c r="AC468" s="16"/>
      <c r="AD468" s="16"/>
      <c r="AE468" s="16"/>
      <c r="AF468" s="16"/>
      <c r="AG468" s="16"/>
      <c r="AH468" s="16"/>
      <c r="AI468" s="16"/>
      <c r="AJ468" s="481"/>
      <c r="AK468" s="482"/>
      <c r="AL468" s="25"/>
      <c r="AM468" s="481"/>
      <c r="AN468" s="481"/>
      <c r="AO468" s="481"/>
      <c r="AP468" s="16"/>
      <c r="AQ468" s="16"/>
      <c r="AR468" s="130"/>
      <c r="AS468" s="130">
        <v>1405</v>
      </c>
      <c r="AT468" s="130"/>
      <c r="AU468" s="130"/>
      <c r="AV468" s="130"/>
      <c r="AW468" s="12"/>
      <c r="AX468" s="12"/>
      <c r="AY468" s="12"/>
      <c r="AZ468" s="481"/>
    </row>
    <row r="469" spans="1:52" ht="30" customHeight="1" x14ac:dyDescent="0.2">
      <c r="A469" s="497">
        <v>467</v>
      </c>
      <c r="B469" s="481"/>
      <c r="C469" s="16"/>
      <c r="D469" s="482"/>
      <c r="E469" s="482"/>
      <c r="F469" s="482"/>
      <c r="G469" s="495"/>
      <c r="H469" s="481"/>
      <c r="I469" s="481"/>
      <c r="J469" s="360" t="s">
        <v>158</v>
      </c>
      <c r="K469" s="482"/>
      <c r="L469" s="482"/>
      <c r="M469" s="482"/>
      <c r="N469" s="41"/>
      <c r="O469" s="13"/>
      <c r="P469" s="13"/>
      <c r="Q469" s="13"/>
      <c r="R469" s="481"/>
      <c r="S469" s="481"/>
      <c r="T469" s="481"/>
      <c r="U469" s="482"/>
      <c r="V469" s="41"/>
      <c r="W469" s="13"/>
      <c r="X469" s="482"/>
      <c r="Y469" s="481"/>
      <c r="Z469" s="481"/>
      <c r="AA469" s="481"/>
      <c r="AB469" s="16"/>
      <c r="AC469" s="16"/>
      <c r="AD469" s="16"/>
      <c r="AE469" s="16"/>
      <c r="AF469" s="16"/>
      <c r="AG469" s="16"/>
      <c r="AH469" s="16"/>
      <c r="AI469" s="16"/>
      <c r="AJ469" s="481"/>
      <c r="AK469" s="482"/>
      <c r="AL469" s="25"/>
      <c r="AM469" s="481"/>
      <c r="AN469" s="481"/>
      <c r="AO469" s="481"/>
      <c r="AP469" s="16"/>
      <c r="AQ469" s="16"/>
      <c r="AR469" s="130"/>
      <c r="AS469" s="130">
        <v>1405</v>
      </c>
      <c r="AT469" s="130"/>
      <c r="AU469" s="130"/>
      <c r="AV469" s="130"/>
      <c r="AW469" s="12"/>
      <c r="AX469" s="12"/>
      <c r="AY469" s="12"/>
      <c r="AZ469" s="481"/>
    </row>
    <row r="470" spans="1:52" ht="30" customHeight="1" x14ac:dyDescent="0.2">
      <c r="A470" s="497">
        <v>468</v>
      </c>
      <c r="B470" s="481"/>
      <c r="C470" s="16"/>
      <c r="D470" s="482"/>
      <c r="E470" s="482"/>
      <c r="F470" s="482"/>
      <c r="G470" s="495"/>
      <c r="H470" s="481"/>
      <c r="I470" s="481"/>
      <c r="J470" s="360" t="s">
        <v>158</v>
      </c>
      <c r="K470" s="482"/>
      <c r="L470" s="482"/>
      <c r="M470" s="482"/>
      <c r="N470" s="41"/>
      <c r="O470" s="13"/>
      <c r="P470" s="13"/>
      <c r="Q470" s="13"/>
      <c r="R470" s="481"/>
      <c r="S470" s="481"/>
      <c r="T470" s="481"/>
      <c r="U470" s="482"/>
      <c r="V470" s="41"/>
      <c r="W470" s="13"/>
      <c r="X470" s="482"/>
      <c r="Y470" s="481"/>
      <c r="Z470" s="481"/>
      <c r="AA470" s="481"/>
      <c r="AB470" s="16"/>
      <c r="AC470" s="16"/>
      <c r="AD470" s="16"/>
      <c r="AE470" s="16"/>
      <c r="AF470" s="16"/>
      <c r="AG470" s="16"/>
      <c r="AH470" s="16"/>
      <c r="AI470" s="16"/>
      <c r="AJ470" s="481"/>
      <c r="AK470" s="482"/>
      <c r="AL470" s="25"/>
      <c r="AM470" s="481"/>
      <c r="AN470" s="481"/>
      <c r="AO470" s="481"/>
      <c r="AP470" s="16"/>
      <c r="AQ470" s="16"/>
      <c r="AR470" s="130"/>
      <c r="AS470" s="130">
        <v>1405</v>
      </c>
      <c r="AT470" s="130"/>
      <c r="AU470" s="130"/>
      <c r="AV470" s="130"/>
      <c r="AW470" s="12"/>
      <c r="AX470" s="12"/>
      <c r="AY470" s="12"/>
      <c r="AZ470" s="481"/>
    </row>
    <row r="471" spans="1:52" ht="30" customHeight="1" x14ac:dyDescent="0.2">
      <c r="A471" s="497">
        <v>469</v>
      </c>
      <c r="B471" s="481"/>
      <c r="C471" s="16"/>
      <c r="D471" s="482"/>
      <c r="E471" s="482"/>
      <c r="F471" s="482"/>
      <c r="G471" s="495"/>
      <c r="H471" s="481"/>
      <c r="I471" s="481"/>
      <c r="J471" s="360" t="s">
        <v>158</v>
      </c>
      <c r="K471" s="482"/>
      <c r="L471" s="482"/>
      <c r="M471" s="482"/>
      <c r="N471" s="41"/>
      <c r="O471" s="13"/>
      <c r="P471" s="13"/>
      <c r="Q471" s="13"/>
      <c r="R471" s="481"/>
      <c r="S471" s="481"/>
      <c r="T471" s="481"/>
      <c r="U471" s="482"/>
      <c r="V471" s="41"/>
      <c r="W471" s="13"/>
      <c r="X471" s="482"/>
      <c r="Y471" s="481"/>
      <c r="Z471" s="481"/>
      <c r="AA471" s="481"/>
      <c r="AB471" s="16"/>
      <c r="AC471" s="16"/>
      <c r="AD471" s="16"/>
      <c r="AE471" s="16"/>
      <c r="AF471" s="16"/>
      <c r="AG471" s="16"/>
      <c r="AH471" s="16"/>
      <c r="AI471" s="16"/>
      <c r="AJ471" s="481"/>
      <c r="AK471" s="482"/>
      <c r="AL471" s="25"/>
      <c r="AM471" s="481"/>
      <c r="AN471" s="481"/>
      <c r="AO471" s="481"/>
      <c r="AP471" s="16"/>
      <c r="AQ471" s="16"/>
      <c r="AR471" s="130"/>
      <c r="AS471" s="130">
        <v>1405</v>
      </c>
      <c r="AT471" s="130"/>
      <c r="AU471" s="130"/>
      <c r="AV471" s="130"/>
      <c r="AW471" s="12"/>
      <c r="AX471" s="12"/>
      <c r="AY471" s="12"/>
      <c r="AZ471" s="481"/>
    </row>
    <row r="472" spans="1:52" ht="30" customHeight="1" x14ac:dyDescent="0.2">
      <c r="A472" s="497">
        <v>470</v>
      </c>
      <c r="B472" s="481"/>
      <c r="C472" s="16"/>
      <c r="D472" s="482"/>
      <c r="E472" s="482"/>
      <c r="F472" s="482"/>
      <c r="G472" s="495"/>
      <c r="H472" s="481"/>
      <c r="I472" s="481"/>
      <c r="J472" s="360" t="s">
        <v>158</v>
      </c>
      <c r="K472" s="482"/>
      <c r="L472" s="482"/>
      <c r="M472" s="482"/>
      <c r="N472" s="41"/>
      <c r="O472" s="13"/>
      <c r="P472" s="13"/>
      <c r="Q472" s="13"/>
      <c r="R472" s="481"/>
      <c r="S472" s="481"/>
      <c r="T472" s="481"/>
      <c r="U472" s="482"/>
      <c r="V472" s="41"/>
      <c r="W472" s="13"/>
      <c r="X472" s="482"/>
      <c r="Y472" s="481"/>
      <c r="Z472" s="481"/>
      <c r="AA472" s="481"/>
      <c r="AB472" s="16"/>
      <c r="AC472" s="16"/>
      <c r="AD472" s="16"/>
      <c r="AE472" s="16"/>
      <c r="AF472" s="16"/>
      <c r="AG472" s="16"/>
      <c r="AH472" s="16"/>
      <c r="AI472" s="16"/>
      <c r="AJ472" s="481"/>
      <c r="AK472" s="482"/>
      <c r="AL472" s="25"/>
      <c r="AM472" s="481"/>
      <c r="AN472" s="481"/>
      <c r="AO472" s="481"/>
      <c r="AP472" s="16"/>
      <c r="AQ472" s="16"/>
      <c r="AR472" s="130"/>
      <c r="AS472" s="130">
        <v>1405</v>
      </c>
      <c r="AT472" s="130"/>
      <c r="AU472" s="130"/>
      <c r="AV472" s="130"/>
      <c r="AW472" s="12"/>
      <c r="AX472" s="12"/>
      <c r="AY472" s="12"/>
      <c r="AZ472" s="481"/>
    </row>
    <row r="473" spans="1:52" ht="30" customHeight="1" x14ac:dyDescent="0.2">
      <c r="A473" s="497">
        <v>471</v>
      </c>
      <c r="B473" s="481"/>
      <c r="C473" s="16"/>
      <c r="D473" s="482"/>
      <c r="E473" s="482"/>
      <c r="F473" s="482"/>
      <c r="G473" s="495"/>
      <c r="H473" s="481"/>
      <c r="I473" s="481"/>
      <c r="J473" s="360" t="s">
        <v>158</v>
      </c>
      <c r="K473" s="482"/>
      <c r="L473" s="482"/>
      <c r="M473" s="482"/>
      <c r="N473" s="41"/>
      <c r="O473" s="13"/>
      <c r="P473" s="13"/>
      <c r="Q473" s="13"/>
      <c r="R473" s="481"/>
      <c r="S473" s="481"/>
      <c r="T473" s="481"/>
      <c r="U473" s="482"/>
      <c r="V473" s="41"/>
      <c r="W473" s="13"/>
      <c r="X473" s="482"/>
      <c r="Y473" s="481"/>
      <c r="Z473" s="481"/>
      <c r="AA473" s="481"/>
      <c r="AB473" s="16"/>
      <c r="AC473" s="16"/>
      <c r="AD473" s="16"/>
      <c r="AE473" s="16"/>
      <c r="AF473" s="16"/>
      <c r="AG473" s="16"/>
      <c r="AH473" s="16"/>
      <c r="AI473" s="16"/>
      <c r="AJ473" s="481"/>
      <c r="AK473" s="482"/>
      <c r="AL473" s="25"/>
      <c r="AM473" s="481"/>
      <c r="AN473" s="481"/>
      <c r="AO473" s="481"/>
      <c r="AP473" s="16"/>
      <c r="AQ473" s="16"/>
      <c r="AR473" s="130"/>
      <c r="AS473" s="130">
        <v>1405</v>
      </c>
      <c r="AT473" s="130"/>
      <c r="AU473" s="130"/>
      <c r="AV473" s="130"/>
      <c r="AW473" s="12"/>
      <c r="AX473" s="12"/>
      <c r="AY473" s="12"/>
      <c r="AZ473" s="481"/>
    </row>
    <row r="474" spans="1:52" ht="30" customHeight="1" x14ac:dyDescent="0.2">
      <c r="A474" s="497">
        <v>472</v>
      </c>
      <c r="B474" s="481"/>
      <c r="C474" s="16"/>
      <c r="D474" s="482"/>
      <c r="E474" s="482"/>
      <c r="F474" s="482"/>
      <c r="G474" s="495"/>
      <c r="H474" s="481"/>
      <c r="I474" s="481"/>
      <c r="J474" s="360" t="s">
        <v>158</v>
      </c>
      <c r="K474" s="482"/>
      <c r="L474" s="482"/>
      <c r="M474" s="482"/>
      <c r="N474" s="41"/>
      <c r="O474" s="13"/>
      <c r="P474" s="13"/>
      <c r="Q474" s="13"/>
      <c r="R474" s="481"/>
      <c r="S474" s="481"/>
      <c r="T474" s="481"/>
      <c r="U474" s="482"/>
      <c r="V474" s="41"/>
      <c r="W474" s="13"/>
      <c r="X474" s="482"/>
      <c r="Y474" s="481"/>
      <c r="Z474" s="481"/>
      <c r="AA474" s="481"/>
      <c r="AB474" s="16"/>
      <c r="AC474" s="16"/>
      <c r="AD474" s="16"/>
      <c r="AE474" s="16"/>
      <c r="AF474" s="16"/>
      <c r="AG474" s="16"/>
      <c r="AH474" s="16"/>
      <c r="AI474" s="16"/>
      <c r="AJ474" s="481"/>
      <c r="AK474" s="482"/>
      <c r="AL474" s="25"/>
      <c r="AM474" s="481"/>
      <c r="AN474" s="481"/>
      <c r="AO474" s="481"/>
      <c r="AP474" s="16"/>
      <c r="AQ474" s="16"/>
      <c r="AR474" s="130"/>
      <c r="AS474" s="130">
        <v>1405</v>
      </c>
      <c r="AT474" s="130"/>
      <c r="AU474" s="130"/>
      <c r="AV474" s="130"/>
      <c r="AW474" s="12"/>
      <c r="AX474" s="12"/>
      <c r="AY474" s="12"/>
      <c r="AZ474" s="481"/>
    </row>
    <row r="475" spans="1:52" ht="30" customHeight="1" x14ac:dyDescent="0.2">
      <c r="A475" s="497">
        <v>473</v>
      </c>
      <c r="B475" s="481"/>
      <c r="C475" s="16"/>
      <c r="D475" s="482"/>
      <c r="E475" s="482"/>
      <c r="F475" s="482"/>
      <c r="G475" s="495"/>
      <c r="H475" s="481"/>
      <c r="I475" s="481"/>
      <c r="J475" s="360" t="s">
        <v>158</v>
      </c>
      <c r="K475" s="482"/>
      <c r="L475" s="482"/>
      <c r="M475" s="482"/>
      <c r="N475" s="41"/>
      <c r="O475" s="13"/>
      <c r="P475" s="13"/>
      <c r="Q475" s="13"/>
      <c r="R475" s="481"/>
      <c r="S475" s="481"/>
      <c r="T475" s="481"/>
      <c r="U475" s="482"/>
      <c r="V475" s="41"/>
      <c r="W475" s="13"/>
      <c r="X475" s="482"/>
      <c r="Y475" s="481"/>
      <c r="Z475" s="481"/>
      <c r="AA475" s="481"/>
      <c r="AB475" s="16"/>
      <c r="AC475" s="16"/>
      <c r="AD475" s="16"/>
      <c r="AE475" s="16"/>
      <c r="AF475" s="16"/>
      <c r="AG475" s="16"/>
      <c r="AH475" s="16"/>
      <c r="AI475" s="16"/>
      <c r="AJ475" s="481"/>
      <c r="AK475" s="482"/>
      <c r="AL475" s="25"/>
      <c r="AM475" s="481"/>
      <c r="AN475" s="481"/>
      <c r="AO475" s="481"/>
      <c r="AP475" s="16"/>
      <c r="AQ475" s="16"/>
      <c r="AR475" s="130"/>
      <c r="AS475" s="130">
        <v>1405</v>
      </c>
      <c r="AT475" s="130"/>
      <c r="AU475" s="130"/>
      <c r="AV475" s="130"/>
      <c r="AW475" s="12"/>
      <c r="AX475" s="12"/>
      <c r="AY475" s="12"/>
      <c r="AZ475" s="481"/>
    </row>
    <row r="476" spans="1:52" ht="30" customHeight="1" x14ac:dyDescent="0.2">
      <c r="A476" s="497">
        <v>474</v>
      </c>
      <c r="B476" s="481"/>
      <c r="C476" s="16"/>
      <c r="D476" s="482"/>
      <c r="E476" s="482"/>
      <c r="F476" s="482"/>
      <c r="G476" s="495"/>
      <c r="H476" s="481"/>
      <c r="I476" s="481"/>
      <c r="J476" s="360" t="s">
        <v>158</v>
      </c>
      <c r="K476" s="482"/>
      <c r="L476" s="482"/>
      <c r="M476" s="482"/>
      <c r="N476" s="41"/>
      <c r="O476" s="13"/>
      <c r="P476" s="13"/>
      <c r="Q476" s="13"/>
      <c r="R476" s="481"/>
      <c r="S476" s="481"/>
      <c r="T476" s="481"/>
      <c r="U476" s="482"/>
      <c r="V476" s="41"/>
      <c r="W476" s="13"/>
      <c r="X476" s="482"/>
      <c r="Y476" s="481"/>
      <c r="Z476" s="481"/>
      <c r="AA476" s="481"/>
      <c r="AB476" s="16"/>
      <c r="AC476" s="16"/>
      <c r="AD476" s="16"/>
      <c r="AE476" s="16"/>
      <c r="AF476" s="16"/>
      <c r="AG476" s="16"/>
      <c r="AH476" s="16"/>
      <c r="AI476" s="16"/>
      <c r="AJ476" s="481"/>
      <c r="AK476" s="482"/>
      <c r="AL476" s="25"/>
      <c r="AM476" s="481"/>
      <c r="AN476" s="481"/>
      <c r="AO476" s="481"/>
      <c r="AP476" s="16"/>
      <c r="AQ476" s="16"/>
      <c r="AR476" s="130"/>
      <c r="AS476" s="130">
        <v>1405</v>
      </c>
      <c r="AT476" s="130"/>
      <c r="AU476" s="130"/>
      <c r="AV476" s="130"/>
      <c r="AW476" s="12"/>
      <c r="AX476" s="12"/>
      <c r="AY476" s="12"/>
      <c r="AZ476" s="481"/>
    </row>
    <row r="477" spans="1:52" ht="30" customHeight="1" x14ac:dyDescent="0.2">
      <c r="A477" s="497">
        <v>475</v>
      </c>
      <c r="B477" s="481"/>
      <c r="C477" s="16"/>
      <c r="D477" s="482"/>
      <c r="E477" s="482"/>
      <c r="F477" s="482"/>
      <c r="G477" s="495"/>
      <c r="H477" s="481"/>
      <c r="I477" s="481"/>
      <c r="J477" s="360" t="s">
        <v>158</v>
      </c>
      <c r="K477" s="482"/>
      <c r="L477" s="482"/>
      <c r="M477" s="482"/>
      <c r="N477" s="41"/>
      <c r="O477" s="13"/>
      <c r="P477" s="13"/>
      <c r="Q477" s="13"/>
      <c r="R477" s="481"/>
      <c r="S477" s="481"/>
      <c r="T477" s="481"/>
      <c r="U477" s="482"/>
      <c r="V477" s="41"/>
      <c r="W477" s="13"/>
      <c r="X477" s="482"/>
      <c r="Y477" s="481"/>
      <c r="Z477" s="481"/>
      <c r="AA477" s="481"/>
      <c r="AB477" s="16"/>
      <c r="AC477" s="16"/>
      <c r="AD477" s="16"/>
      <c r="AE477" s="16"/>
      <c r="AF477" s="16"/>
      <c r="AG477" s="16"/>
      <c r="AH477" s="16"/>
      <c r="AI477" s="16"/>
      <c r="AJ477" s="481"/>
      <c r="AK477" s="482"/>
      <c r="AL477" s="25"/>
      <c r="AM477" s="481"/>
      <c r="AN477" s="481"/>
      <c r="AO477" s="481"/>
      <c r="AP477" s="16"/>
      <c r="AQ477" s="16"/>
      <c r="AR477" s="130"/>
      <c r="AS477" s="130">
        <v>1405</v>
      </c>
      <c r="AT477" s="130"/>
      <c r="AU477" s="130"/>
      <c r="AV477" s="130"/>
      <c r="AW477" s="12"/>
      <c r="AX477" s="12"/>
      <c r="AY477" s="12"/>
      <c r="AZ477" s="481"/>
    </row>
    <row r="478" spans="1:52" ht="30" customHeight="1" x14ac:dyDescent="0.2">
      <c r="A478" s="497">
        <v>476</v>
      </c>
      <c r="B478" s="481"/>
      <c r="C478" s="16"/>
      <c r="D478" s="482"/>
      <c r="E478" s="482"/>
      <c r="F478" s="482"/>
      <c r="G478" s="495"/>
      <c r="H478" s="481"/>
      <c r="I478" s="481"/>
      <c r="J478" s="360" t="s">
        <v>158</v>
      </c>
      <c r="K478" s="482"/>
      <c r="L478" s="482"/>
      <c r="M478" s="482"/>
      <c r="N478" s="41"/>
      <c r="O478" s="13"/>
      <c r="P478" s="13"/>
      <c r="Q478" s="13"/>
      <c r="R478" s="481"/>
      <c r="S478" s="481"/>
      <c r="T478" s="481"/>
      <c r="U478" s="482"/>
      <c r="V478" s="41"/>
      <c r="W478" s="13"/>
      <c r="X478" s="482"/>
      <c r="Y478" s="481"/>
      <c r="Z478" s="481"/>
      <c r="AA478" s="481"/>
      <c r="AB478" s="16"/>
      <c r="AC478" s="16"/>
      <c r="AD478" s="16"/>
      <c r="AE478" s="16"/>
      <c r="AF478" s="16"/>
      <c r="AG478" s="16"/>
      <c r="AH478" s="16"/>
      <c r="AI478" s="16"/>
      <c r="AJ478" s="481"/>
      <c r="AK478" s="482"/>
      <c r="AL478" s="25"/>
      <c r="AM478" s="481"/>
      <c r="AN478" s="481"/>
      <c r="AO478" s="481"/>
      <c r="AP478" s="16"/>
      <c r="AQ478" s="16"/>
      <c r="AR478" s="130"/>
      <c r="AS478" s="130">
        <v>1405</v>
      </c>
      <c r="AT478" s="130"/>
      <c r="AU478" s="130"/>
      <c r="AV478" s="130"/>
      <c r="AW478" s="12"/>
      <c r="AX478" s="12"/>
      <c r="AY478" s="12"/>
      <c r="AZ478" s="481"/>
    </row>
    <row r="479" spans="1:52" ht="30" customHeight="1" x14ac:dyDescent="0.2">
      <c r="A479" s="497">
        <v>477</v>
      </c>
      <c r="B479" s="481"/>
      <c r="C479" s="16"/>
      <c r="D479" s="482"/>
      <c r="E479" s="482"/>
      <c r="F479" s="482"/>
      <c r="G479" s="495"/>
      <c r="H479" s="481"/>
      <c r="I479" s="481"/>
      <c r="J479" s="360" t="s">
        <v>158</v>
      </c>
      <c r="K479" s="482"/>
      <c r="L479" s="482"/>
      <c r="M479" s="482"/>
      <c r="N479" s="41"/>
      <c r="O479" s="13"/>
      <c r="P479" s="13"/>
      <c r="Q479" s="13"/>
      <c r="R479" s="481"/>
      <c r="S479" s="481"/>
      <c r="T479" s="481"/>
      <c r="U479" s="482"/>
      <c r="V479" s="41"/>
      <c r="W479" s="13"/>
      <c r="X479" s="482"/>
      <c r="Y479" s="481"/>
      <c r="Z479" s="481"/>
      <c r="AA479" s="481"/>
      <c r="AB479" s="16"/>
      <c r="AC479" s="16"/>
      <c r="AD479" s="16"/>
      <c r="AE479" s="16"/>
      <c r="AF479" s="16"/>
      <c r="AG479" s="16"/>
      <c r="AH479" s="16"/>
      <c r="AI479" s="16"/>
      <c r="AJ479" s="481"/>
      <c r="AK479" s="482"/>
      <c r="AL479" s="25"/>
      <c r="AM479" s="481"/>
      <c r="AN479" s="481"/>
      <c r="AO479" s="481"/>
      <c r="AP479" s="16"/>
      <c r="AQ479" s="16"/>
      <c r="AR479" s="130"/>
      <c r="AS479" s="130">
        <v>1405</v>
      </c>
      <c r="AT479" s="130"/>
      <c r="AU479" s="130"/>
      <c r="AV479" s="130"/>
      <c r="AW479" s="12"/>
      <c r="AX479" s="12"/>
      <c r="AY479" s="12"/>
      <c r="AZ479" s="481"/>
    </row>
    <row r="480" spans="1:52" ht="30" customHeight="1" x14ac:dyDescent="0.2">
      <c r="A480" s="497">
        <v>478</v>
      </c>
      <c r="B480" s="481"/>
      <c r="C480" s="16"/>
      <c r="D480" s="482"/>
      <c r="E480" s="482"/>
      <c r="F480" s="482"/>
      <c r="G480" s="495"/>
      <c r="H480" s="481"/>
      <c r="I480" s="481"/>
      <c r="J480" s="360" t="s">
        <v>158</v>
      </c>
      <c r="K480" s="482"/>
      <c r="L480" s="482"/>
      <c r="M480" s="482"/>
      <c r="N480" s="41"/>
      <c r="O480" s="13"/>
      <c r="P480" s="13"/>
      <c r="Q480" s="13"/>
      <c r="R480" s="481"/>
      <c r="S480" s="481"/>
      <c r="T480" s="481"/>
      <c r="U480" s="482"/>
      <c r="V480" s="41"/>
      <c r="W480" s="13"/>
      <c r="X480" s="482"/>
      <c r="Y480" s="481"/>
      <c r="Z480" s="481"/>
      <c r="AA480" s="481"/>
      <c r="AB480" s="16"/>
      <c r="AC480" s="16"/>
      <c r="AD480" s="16"/>
      <c r="AE480" s="16"/>
      <c r="AF480" s="16"/>
      <c r="AG480" s="16"/>
      <c r="AH480" s="16"/>
      <c r="AI480" s="16"/>
      <c r="AJ480" s="481"/>
      <c r="AK480" s="482"/>
      <c r="AL480" s="25"/>
      <c r="AM480" s="481"/>
      <c r="AN480" s="481"/>
      <c r="AO480" s="481"/>
      <c r="AP480" s="16"/>
      <c r="AQ480" s="16"/>
      <c r="AR480" s="130"/>
      <c r="AS480" s="130">
        <v>1405</v>
      </c>
      <c r="AT480" s="130"/>
      <c r="AU480" s="130"/>
      <c r="AV480" s="130"/>
      <c r="AW480" s="12"/>
      <c r="AX480" s="12"/>
      <c r="AY480" s="12"/>
      <c r="AZ480" s="481"/>
    </row>
    <row r="481" spans="1:52" ht="30" customHeight="1" x14ac:dyDescent="0.2">
      <c r="A481" s="497">
        <v>479</v>
      </c>
      <c r="B481" s="481"/>
      <c r="C481" s="16"/>
      <c r="D481" s="482"/>
      <c r="E481" s="482"/>
      <c r="F481" s="482"/>
      <c r="G481" s="495"/>
      <c r="H481" s="481"/>
      <c r="I481" s="481"/>
      <c r="J481" s="360" t="s">
        <v>158</v>
      </c>
      <c r="K481" s="482"/>
      <c r="L481" s="482"/>
      <c r="M481" s="482"/>
      <c r="N481" s="41"/>
      <c r="O481" s="13"/>
      <c r="P481" s="13"/>
      <c r="Q481" s="13"/>
      <c r="R481" s="481"/>
      <c r="S481" s="481"/>
      <c r="T481" s="481"/>
      <c r="U481" s="482"/>
      <c r="V481" s="41"/>
      <c r="W481" s="13"/>
      <c r="X481" s="482"/>
      <c r="Y481" s="481"/>
      <c r="Z481" s="481"/>
      <c r="AA481" s="481"/>
      <c r="AB481" s="16"/>
      <c r="AC481" s="16"/>
      <c r="AD481" s="16"/>
      <c r="AE481" s="16"/>
      <c r="AF481" s="16"/>
      <c r="AG481" s="16"/>
      <c r="AH481" s="16"/>
      <c r="AI481" s="16"/>
      <c r="AJ481" s="481"/>
      <c r="AK481" s="482"/>
      <c r="AL481" s="25"/>
      <c r="AM481" s="481"/>
      <c r="AN481" s="481"/>
      <c r="AO481" s="481"/>
      <c r="AP481" s="16"/>
      <c r="AQ481" s="16"/>
      <c r="AR481" s="130"/>
      <c r="AS481" s="130">
        <v>1405</v>
      </c>
      <c r="AT481" s="130"/>
      <c r="AU481" s="130"/>
      <c r="AV481" s="130"/>
      <c r="AW481" s="12"/>
      <c r="AX481" s="12"/>
      <c r="AY481" s="12"/>
      <c r="AZ481" s="481"/>
    </row>
    <row r="482" spans="1:52" ht="30" customHeight="1" x14ac:dyDescent="0.2">
      <c r="A482" s="497">
        <v>480</v>
      </c>
      <c r="B482" s="481"/>
      <c r="C482" s="16"/>
      <c r="D482" s="482"/>
      <c r="E482" s="482"/>
      <c r="F482" s="482"/>
      <c r="G482" s="495"/>
      <c r="H482" s="481"/>
      <c r="I482" s="481"/>
      <c r="J482" s="360" t="s">
        <v>158</v>
      </c>
      <c r="K482" s="482"/>
      <c r="L482" s="482"/>
      <c r="M482" s="482"/>
      <c r="N482" s="41"/>
      <c r="O482" s="13"/>
      <c r="P482" s="13"/>
      <c r="Q482" s="13"/>
      <c r="R482" s="481"/>
      <c r="S482" s="481"/>
      <c r="T482" s="481"/>
      <c r="U482" s="482"/>
      <c r="V482" s="41"/>
      <c r="W482" s="13"/>
      <c r="X482" s="482"/>
      <c r="Y482" s="481"/>
      <c r="Z482" s="481"/>
      <c r="AA482" s="481"/>
      <c r="AB482" s="16"/>
      <c r="AC482" s="16"/>
      <c r="AD482" s="16"/>
      <c r="AE482" s="16"/>
      <c r="AF482" s="16"/>
      <c r="AG482" s="16"/>
      <c r="AH482" s="16"/>
      <c r="AI482" s="16"/>
      <c r="AJ482" s="481"/>
      <c r="AK482" s="482"/>
      <c r="AL482" s="25"/>
      <c r="AM482" s="481"/>
      <c r="AN482" s="481"/>
      <c r="AO482" s="481"/>
      <c r="AP482" s="16"/>
      <c r="AQ482" s="16"/>
      <c r="AR482" s="130"/>
      <c r="AS482" s="130">
        <v>1405</v>
      </c>
      <c r="AT482" s="130"/>
      <c r="AU482" s="130"/>
      <c r="AV482" s="130"/>
      <c r="AW482" s="12"/>
      <c r="AX482" s="12"/>
      <c r="AY482" s="12"/>
      <c r="AZ482" s="481"/>
    </row>
    <row r="483" spans="1:52" ht="30" customHeight="1" x14ac:dyDescent="0.2">
      <c r="A483" s="497">
        <v>481</v>
      </c>
      <c r="B483" s="481"/>
      <c r="C483" s="16"/>
      <c r="D483" s="482"/>
      <c r="E483" s="482"/>
      <c r="F483" s="482"/>
      <c r="G483" s="495"/>
      <c r="H483" s="481"/>
      <c r="I483" s="481"/>
      <c r="J483" s="360" t="s">
        <v>158</v>
      </c>
      <c r="K483" s="482"/>
      <c r="L483" s="482"/>
      <c r="M483" s="482"/>
      <c r="N483" s="41"/>
      <c r="O483" s="13"/>
      <c r="P483" s="13"/>
      <c r="Q483" s="13"/>
      <c r="R483" s="481"/>
      <c r="S483" s="481"/>
      <c r="T483" s="481"/>
      <c r="U483" s="482"/>
      <c r="V483" s="41"/>
      <c r="W483" s="13"/>
      <c r="X483" s="482"/>
      <c r="Y483" s="481"/>
      <c r="Z483" s="481"/>
      <c r="AA483" s="481"/>
      <c r="AB483" s="16"/>
      <c r="AC483" s="16"/>
      <c r="AD483" s="16"/>
      <c r="AE483" s="16"/>
      <c r="AF483" s="16"/>
      <c r="AG483" s="16"/>
      <c r="AH483" s="16"/>
      <c r="AI483" s="16"/>
      <c r="AJ483" s="481"/>
      <c r="AK483" s="482"/>
      <c r="AL483" s="25"/>
      <c r="AM483" s="481"/>
      <c r="AN483" s="481"/>
      <c r="AO483" s="481"/>
      <c r="AP483" s="16"/>
      <c r="AQ483" s="16"/>
      <c r="AR483" s="130"/>
      <c r="AS483" s="130">
        <v>1405</v>
      </c>
      <c r="AT483" s="130"/>
      <c r="AU483" s="130"/>
      <c r="AV483" s="130"/>
      <c r="AW483" s="12"/>
      <c r="AX483" s="12"/>
      <c r="AY483" s="12"/>
      <c r="AZ483" s="481"/>
    </row>
    <row r="484" spans="1:52" ht="30" customHeight="1" x14ac:dyDescent="0.2">
      <c r="A484" s="497">
        <v>482</v>
      </c>
      <c r="B484" s="481"/>
      <c r="C484" s="16"/>
      <c r="D484" s="482"/>
      <c r="E484" s="482"/>
      <c r="F484" s="482"/>
      <c r="G484" s="495"/>
      <c r="H484" s="481"/>
      <c r="I484" s="481"/>
      <c r="J484" s="360" t="s">
        <v>158</v>
      </c>
      <c r="K484" s="482"/>
      <c r="L484" s="482"/>
      <c r="M484" s="482"/>
      <c r="N484" s="41"/>
      <c r="O484" s="13"/>
      <c r="P484" s="13"/>
      <c r="Q484" s="13"/>
      <c r="R484" s="481"/>
      <c r="S484" s="481"/>
      <c r="T484" s="481"/>
      <c r="U484" s="482"/>
      <c r="V484" s="41"/>
      <c r="W484" s="13"/>
      <c r="X484" s="482"/>
      <c r="Y484" s="481"/>
      <c r="Z484" s="481"/>
      <c r="AA484" s="481"/>
      <c r="AB484" s="16"/>
      <c r="AC484" s="16"/>
      <c r="AD484" s="16"/>
      <c r="AE484" s="16"/>
      <c r="AF484" s="16"/>
      <c r="AG484" s="16"/>
      <c r="AH484" s="16"/>
      <c r="AI484" s="16"/>
      <c r="AJ484" s="481"/>
      <c r="AK484" s="482"/>
      <c r="AL484" s="25"/>
      <c r="AM484" s="481"/>
      <c r="AN484" s="481"/>
      <c r="AO484" s="481"/>
      <c r="AP484" s="16"/>
      <c r="AQ484" s="16"/>
      <c r="AR484" s="130"/>
      <c r="AS484" s="130">
        <v>1405</v>
      </c>
      <c r="AT484" s="130"/>
      <c r="AU484" s="130"/>
      <c r="AV484" s="130"/>
      <c r="AW484" s="12"/>
      <c r="AX484" s="12"/>
      <c r="AY484" s="12"/>
      <c r="AZ484" s="481"/>
    </row>
    <row r="485" spans="1:52" ht="30" customHeight="1" x14ac:dyDescent="0.2">
      <c r="A485" s="497">
        <v>483</v>
      </c>
      <c r="B485" s="481"/>
      <c r="C485" s="16"/>
      <c r="D485" s="482"/>
      <c r="E485" s="482"/>
      <c r="F485" s="482"/>
      <c r="G485" s="495"/>
      <c r="H485" s="481"/>
      <c r="I485" s="481"/>
      <c r="J485" s="360" t="s">
        <v>158</v>
      </c>
      <c r="K485" s="482"/>
      <c r="L485" s="482"/>
      <c r="M485" s="482"/>
      <c r="N485" s="41"/>
      <c r="O485" s="13"/>
      <c r="P485" s="13"/>
      <c r="Q485" s="13"/>
      <c r="R485" s="481"/>
      <c r="S485" s="481"/>
      <c r="T485" s="481"/>
      <c r="U485" s="482"/>
      <c r="V485" s="41"/>
      <c r="W485" s="13"/>
      <c r="X485" s="482"/>
      <c r="Y485" s="481"/>
      <c r="Z485" s="481"/>
      <c r="AA485" s="481"/>
      <c r="AB485" s="16"/>
      <c r="AC485" s="16"/>
      <c r="AD485" s="16"/>
      <c r="AE485" s="16"/>
      <c r="AF485" s="16"/>
      <c r="AG485" s="16"/>
      <c r="AH485" s="16"/>
      <c r="AI485" s="16"/>
      <c r="AJ485" s="481"/>
      <c r="AK485" s="482"/>
      <c r="AL485" s="25"/>
      <c r="AM485" s="481"/>
      <c r="AN485" s="481"/>
      <c r="AO485" s="481"/>
      <c r="AP485" s="16"/>
      <c r="AQ485" s="16"/>
      <c r="AR485" s="130"/>
      <c r="AS485" s="130">
        <v>1405</v>
      </c>
      <c r="AT485" s="130"/>
      <c r="AU485" s="130"/>
      <c r="AV485" s="130"/>
      <c r="AW485" s="12"/>
      <c r="AX485" s="12"/>
      <c r="AY485" s="12"/>
      <c r="AZ485" s="481"/>
    </row>
    <row r="486" spans="1:52" ht="30" customHeight="1" x14ac:dyDescent="0.2">
      <c r="A486" s="497">
        <v>484</v>
      </c>
      <c r="B486" s="481"/>
      <c r="C486" s="16"/>
      <c r="D486" s="482"/>
      <c r="E486" s="482"/>
      <c r="F486" s="482"/>
      <c r="G486" s="495"/>
      <c r="H486" s="481"/>
      <c r="I486" s="481"/>
      <c r="J486" s="360" t="s">
        <v>158</v>
      </c>
      <c r="K486" s="482"/>
      <c r="L486" s="482"/>
      <c r="M486" s="482"/>
      <c r="N486" s="41"/>
      <c r="O486" s="13"/>
      <c r="P486" s="13"/>
      <c r="Q486" s="13"/>
      <c r="R486" s="481"/>
      <c r="S486" s="481"/>
      <c r="T486" s="481"/>
      <c r="U486" s="482"/>
      <c r="V486" s="41"/>
      <c r="W486" s="13"/>
      <c r="X486" s="482"/>
      <c r="Y486" s="481"/>
      <c r="Z486" s="481"/>
      <c r="AA486" s="481"/>
      <c r="AB486" s="16"/>
      <c r="AC486" s="16"/>
      <c r="AD486" s="16"/>
      <c r="AE486" s="16"/>
      <c r="AF486" s="16"/>
      <c r="AG486" s="16"/>
      <c r="AH486" s="16"/>
      <c r="AI486" s="16"/>
      <c r="AJ486" s="481"/>
      <c r="AK486" s="482"/>
      <c r="AL486" s="25"/>
      <c r="AM486" s="481"/>
      <c r="AN486" s="481"/>
      <c r="AO486" s="481"/>
      <c r="AP486" s="16"/>
      <c r="AQ486" s="16"/>
      <c r="AR486" s="130"/>
      <c r="AS486" s="130">
        <v>1405</v>
      </c>
      <c r="AT486" s="130"/>
      <c r="AU486" s="130"/>
      <c r="AV486" s="130"/>
      <c r="AW486" s="12"/>
      <c r="AX486" s="12"/>
      <c r="AY486" s="12"/>
      <c r="AZ486" s="481"/>
    </row>
    <row r="487" spans="1:52" ht="30" customHeight="1" x14ac:dyDescent="0.2">
      <c r="A487" s="497">
        <v>485</v>
      </c>
      <c r="B487" s="481"/>
      <c r="C487" s="16"/>
      <c r="D487" s="482"/>
      <c r="E487" s="482"/>
      <c r="F487" s="482"/>
      <c r="G487" s="495"/>
      <c r="H487" s="481"/>
      <c r="I487" s="481"/>
      <c r="J487" s="360" t="s">
        <v>158</v>
      </c>
      <c r="K487" s="482"/>
      <c r="L487" s="482"/>
      <c r="M487" s="482"/>
      <c r="N487" s="41"/>
      <c r="O487" s="13"/>
      <c r="P487" s="13"/>
      <c r="Q487" s="13"/>
      <c r="R487" s="481"/>
      <c r="S487" s="481"/>
      <c r="T487" s="481"/>
      <c r="U487" s="482"/>
      <c r="V487" s="41"/>
      <c r="W487" s="13"/>
      <c r="X487" s="482"/>
      <c r="Y487" s="481"/>
      <c r="Z487" s="481"/>
      <c r="AA487" s="481"/>
      <c r="AB487" s="16"/>
      <c r="AC487" s="16"/>
      <c r="AD487" s="16"/>
      <c r="AE487" s="16"/>
      <c r="AF487" s="16"/>
      <c r="AG487" s="16"/>
      <c r="AH487" s="16"/>
      <c r="AI487" s="16"/>
      <c r="AJ487" s="481"/>
      <c r="AK487" s="482"/>
      <c r="AL487" s="25"/>
      <c r="AM487" s="481"/>
      <c r="AN487" s="481"/>
      <c r="AO487" s="481"/>
      <c r="AP487" s="16"/>
      <c r="AQ487" s="16"/>
      <c r="AR487" s="130"/>
      <c r="AS487" s="130">
        <v>1405</v>
      </c>
      <c r="AT487" s="130"/>
      <c r="AU487" s="130"/>
      <c r="AV487" s="130"/>
      <c r="AW487" s="12"/>
      <c r="AX487" s="12"/>
      <c r="AY487" s="12"/>
      <c r="AZ487" s="481"/>
    </row>
    <row r="488" spans="1:52" ht="30" customHeight="1" x14ac:dyDescent="0.2">
      <c r="A488" s="497">
        <v>486</v>
      </c>
      <c r="B488" s="481"/>
      <c r="C488" s="16"/>
      <c r="D488" s="482"/>
      <c r="E488" s="482"/>
      <c r="F488" s="482"/>
      <c r="G488" s="495"/>
      <c r="H488" s="481"/>
      <c r="I488" s="481"/>
      <c r="J488" s="360" t="s">
        <v>158</v>
      </c>
      <c r="K488" s="482"/>
      <c r="L488" s="482"/>
      <c r="M488" s="482"/>
      <c r="N488" s="41"/>
      <c r="O488" s="13"/>
      <c r="P488" s="13"/>
      <c r="Q488" s="13"/>
      <c r="R488" s="481"/>
      <c r="S488" s="481"/>
      <c r="T488" s="481"/>
      <c r="U488" s="482"/>
      <c r="V488" s="41"/>
      <c r="W488" s="13"/>
      <c r="X488" s="482"/>
      <c r="Y488" s="481"/>
      <c r="Z488" s="481"/>
      <c r="AA488" s="481"/>
      <c r="AB488" s="16"/>
      <c r="AC488" s="16"/>
      <c r="AD488" s="16"/>
      <c r="AE488" s="16"/>
      <c r="AF488" s="16"/>
      <c r="AG488" s="16"/>
      <c r="AH488" s="16"/>
      <c r="AI488" s="16"/>
      <c r="AJ488" s="481"/>
      <c r="AK488" s="482"/>
      <c r="AL488" s="25"/>
      <c r="AM488" s="481"/>
      <c r="AN488" s="481"/>
      <c r="AO488" s="481"/>
      <c r="AP488" s="16"/>
      <c r="AQ488" s="16"/>
      <c r="AR488" s="130"/>
      <c r="AS488" s="130">
        <v>1405</v>
      </c>
      <c r="AT488" s="130"/>
      <c r="AU488" s="130"/>
      <c r="AV488" s="130"/>
      <c r="AW488" s="12"/>
      <c r="AX488" s="12"/>
      <c r="AY488" s="12"/>
      <c r="AZ488" s="481"/>
    </row>
    <row r="489" spans="1:52" ht="30" customHeight="1" x14ac:dyDescent="0.2">
      <c r="A489" s="497">
        <v>487</v>
      </c>
      <c r="B489" s="481"/>
      <c r="C489" s="16"/>
      <c r="D489" s="482"/>
      <c r="E489" s="482"/>
      <c r="F489" s="482"/>
      <c r="G489" s="495"/>
      <c r="H489" s="481"/>
      <c r="I489" s="481"/>
      <c r="J489" s="360" t="s">
        <v>158</v>
      </c>
      <c r="K489" s="482"/>
      <c r="L489" s="482"/>
      <c r="M489" s="482"/>
      <c r="N489" s="41"/>
      <c r="O489" s="13"/>
      <c r="P489" s="13"/>
      <c r="Q489" s="13"/>
      <c r="R489" s="481"/>
      <c r="S489" s="481"/>
      <c r="T489" s="481"/>
      <c r="U489" s="482"/>
      <c r="V489" s="41"/>
      <c r="W489" s="13"/>
      <c r="X489" s="482"/>
      <c r="Y489" s="481"/>
      <c r="Z489" s="481"/>
      <c r="AA489" s="481"/>
      <c r="AB489" s="16"/>
      <c r="AC489" s="16"/>
      <c r="AD489" s="16"/>
      <c r="AE489" s="16"/>
      <c r="AF489" s="16"/>
      <c r="AG489" s="16"/>
      <c r="AH489" s="16"/>
      <c r="AI489" s="16"/>
      <c r="AJ489" s="481"/>
      <c r="AK489" s="482"/>
      <c r="AL489" s="25"/>
      <c r="AM489" s="481"/>
      <c r="AN489" s="481"/>
      <c r="AO489" s="481"/>
      <c r="AP489" s="16"/>
      <c r="AQ489" s="16"/>
      <c r="AR489" s="130"/>
      <c r="AS489" s="130">
        <v>1405</v>
      </c>
      <c r="AT489" s="130"/>
      <c r="AU489" s="130"/>
      <c r="AV489" s="130"/>
      <c r="AW489" s="12"/>
      <c r="AX489" s="12"/>
      <c r="AY489" s="12"/>
      <c r="AZ489" s="481"/>
    </row>
    <row r="490" spans="1:52" ht="30" customHeight="1" x14ac:dyDescent="0.2">
      <c r="A490" s="497">
        <v>488</v>
      </c>
      <c r="B490" s="481"/>
      <c r="C490" s="16"/>
      <c r="D490" s="482"/>
      <c r="E490" s="482"/>
      <c r="F490" s="482"/>
      <c r="G490" s="495"/>
      <c r="H490" s="481"/>
      <c r="I490" s="481"/>
      <c r="J490" s="360" t="s">
        <v>158</v>
      </c>
      <c r="K490" s="482"/>
      <c r="L490" s="482"/>
      <c r="M490" s="482"/>
      <c r="N490" s="41"/>
      <c r="O490" s="13"/>
      <c r="P490" s="13"/>
      <c r="Q490" s="13"/>
      <c r="R490" s="481"/>
      <c r="S490" s="481"/>
      <c r="T490" s="481"/>
      <c r="U490" s="482"/>
      <c r="V490" s="41"/>
      <c r="W490" s="13"/>
      <c r="X490" s="482"/>
      <c r="Y490" s="481"/>
      <c r="Z490" s="481"/>
      <c r="AA490" s="481"/>
      <c r="AB490" s="16"/>
      <c r="AC490" s="16"/>
      <c r="AD490" s="16"/>
      <c r="AE490" s="16"/>
      <c r="AF490" s="16"/>
      <c r="AG490" s="16"/>
      <c r="AH490" s="16"/>
      <c r="AI490" s="16"/>
      <c r="AJ490" s="481"/>
      <c r="AK490" s="482"/>
      <c r="AL490" s="25"/>
      <c r="AM490" s="481"/>
      <c r="AN490" s="481"/>
      <c r="AO490" s="481"/>
      <c r="AP490" s="16"/>
      <c r="AQ490" s="16"/>
      <c r="AR490" s="130"/>
      <c r="AS490" s="130">
        <v>1405</v>
      </c>
      <c r="AT490" s="130"/>
      <c r="AU490" s="130"/>
      <c r="AV490" s="130"/>
      <c r="AW490" s="12"/>
      <c r="AX490" s="12"/>
      <c r="AY490" s="12"/>
      <c r="AZ490" s="481"/>
    </row>
    <row r="491" spans="1:52" ht="30" customHeight="1" x14ac:dyDescent="0.2">
      <c r="A491" s="497">
        <v>489</v>
      </c>
      <c r="B491" s="481"/>
      <c r="C491" s="16"/>
      <c r="D491" s="482"/>
      <c r="E491" s="482"/>
      <c r="F491" s="482"/>
      <c r="G491" s="495"/>
      <c r="H491" s="481"/>
      <c r="I491" s="481"/>
      <c r="J491" s="360" t="s">
        <v>158</v>
      </c>
      <c r="K491" s="482"/>
      <c r="L491" s="482"/>
      <c r="M491" s="482"/>
      <c r="N491" s="41"/>
      <c r="O491" s="13"/>
      <c r="P491" s="13"/>
      <c r="Q491" s="13"/>
      <c r="R491" s="481"/>
      <c r="S491" s="481"/>
      <c r="T491" s="481"/>
      <c r="U491" s="482"/>
      <c r="V491" s="41"/>
      <c r="W491" s="13"/>
      <c r="X491" s="482"/>
      <c r="Y491" s="481"/>
      <c r="Z491" s="481"/>
      <c r="AA491" s="481"/>
      <c r="AB491" s="16"/>
      <c r="AC491" s="16"/>
      <c r="AD491" s="16"/>
      <c r="AE491" s="16"/>
      <c r="AF491" s="16"/>
      <c r="AG491" s="16"/>
      <c r="AH491" s="16"/>
      <c r="AI491" s="16"/>
      <c r="AJ491" s="481"/>
      <c r="AK491" s="482"/>
      <c r="AL491" s="25"/>
      <c r="AM491" s="481"/>
      <c r="AN491" s="481"/>
      <c r="AO491" s="481"/>
      <c r="AP491" s="16"/>
      <c r="AQ491" s="16"/>
      <c r="AR491" s="130"/>
      <c r="AS491" s="130">
        <v>1405</v>
      </c>
      <c r="AT491" s="130"/>
      <c r="AU491" s="130"/>
      <c r="AV491" s="130"/>
      <c r="AW491" s="12"/>
      <c r="AX491" s="12"/>
      <c r="AY491" s="12"/>
      <c r="AZ491" s="481"/>
    </row>
    <row r="492" spans="1:52" ht="30" customHeight="1" x14ac:dyDescent="0.2">
      <c r="A492" s="497">
        <v>490</v>
      </c>
      <c r="B492" s="481"/>
      <c r="C492" s="16"/>
      <c r="D492" s="482"/>
      <c r="E492" s="482"/>
      <c r="F492" s="482"/>
      <c r="G492" s="495"/>
      <c r="H492" s="481"/>
      <c r="I492" s="481"/>
      <c r="J492" s="360" t="s">
        <v>158</v>
      </c>
      <c r="K492" s="482"/>
      <c r="L492" s="482"/>
      <c r="M492" s="482"/>
      <c r="N492" s="41"/>
      <c r="O492" s="13"/>
      <c r="P492" s="13"/>
      <c r="Q492" s="13"/>
      <c r="R492" s="481"/>
      <c r="S492" s="481"/>
      <c r="T492" s="481"/>
      <c r="U492" s="482"/>
      <c r="V492" s="41"/>
      <c r="W492" s="13"/>
      <c r="X492" s="482"/>
      <c r="Y492" s="481"/>
      <c r="Z492" s="481"/>
      <c r="AA492" s="481"/>
      <c r="AB492" s="16"/>
      <c r="AC492" s="16"/>
      <c r="AD492" s="16"/>
      <c r="AE492" s="16"/>
      <c r="AF492" s="16"/>
      <c r="AG492" s="16"/>
      <c r="AH492" s="16"/>
      <c r="AI492" s="16"/>
      <c r="AJ492" s="481"/>
      <c r="AK492" s="482"/>
      <c r="AL492" s="25"/>
      <c r="AM492" s="481"/>
      <c r="AN492" s="481"/>
      <c r="AO492" s="481"/>
      <c r="AP492" s="16"/>
      <c r="AQ492" s="16"/>
      <c r="AR492" s="130"/>
      <c r="AS492" s="130">
        <v>1405</v>
      </c>
      <c r="AT492" s="130"/>
      <c r="AU492" s="130"/>
      <c r="AV492" s="130"/>
      <c r="AW492" s="12"/>
      <c r="AX492" s="12"/>
      <c r="AY492" s="12"/>
      <c r="AZ492" s="481"/>
    </row>
    <row r="493" spans="1:52" ht="30" customHeight="1" x14ac:dyDescent="0.2">
      <c r="A493" s="497">
        <v>491</v>
      </c>
      <c r="B493" s="481"/>
      <c r="C493" s="16"/>
      <c r="D493" s="482"/>
      <c r="E493" s="482"/>
      <c r="F493" s="482"/>
      <c r="G493" s="495"/>
      <c r="H493" s="481"/>
      <c r="I493" s="481"/>
      <c r="J493" s="360" t="s">
        <v>158</v>
      </c>
      <c r="K493" s="482"/>
      <c r="L493" s="482"/>
      <c r="M493" s="482"/>
      <c r="N493" s="41"/>
      <c r="O493" s="13"/>
      <c r="P493" s="13"/>
      <c r="Q493" s="13"/>
      <c r="R493" s="481"/>
      <c r="S493" s="481"/>
      <c r="T493" s="481"/>
      <c r="U493" s="482"/>
      <c r="V493" s="41"/>
      <c r="W493" s="13"/>
      <c r="X493" s="482"/>
      <c r="Y493" s="481"/>
      <c r="Z493" s="481"/>
      <c r="AA493" s="481"/>
      <c r="AB493" s="16"/>
      <c r="AC493" s="16"/>
      <c r="AD493" s="16"/>
      <c r="AE493" s="16"/>
      <c r="AF493" s="16"/>
      <c r="AG493" s="16"/>
      <c r="AH493" s="16"/>
      <c r="AI493" s="16"/>
      <c r="AJ493" s="481"/>
      <c r="AK493" s="482"/>
      <c r="AL493" s="25"/>
      <c r="AM493" s="481"/>
      <c r="AN493" s="481"/>
      <c r="AO493" s="481"/>
      <c r="AP493" s="16"/>
      <c r="AQ493" s="16"/>
      <c r="AR493" s="130"/>
      <c r="AS493" s="130">
        <v>1405</v>
      </c>
      <c r="AT493" s="130"/>
      <c r="AU493" s="130"/>
      <c r="AV493" s="130"/>
      <c r="AW493" s="12"/>
      <c r="AX493" s="12"/>
      <c r="AY493" s="12"/>
      <c r="AZ493" s="481"/>
    </row>
    <row r="494" spans="1:52" ht="30" customHeight="1" x14ac:dyDescent="0.2">
      <c r="A494" s="497">
        <v>492</v>
      </c>
      <c r="B494" s="481"/>
      <c r="C494" s="16"/>
      <c r="D494" s="482"/>
      <c r="E494" s="482"/>
      <c r="F494" s="482"/>
      <c r="G494" s="495"/>
      <c r="H494" s="481"/>
      <c r="I494" s="481"/>
      <c r="J494" s="360" t="s">
        <v>158</v>
      </c>
      <c r="K494" s="482"/>
      <c r="L494" s="482"/>
      <c r="M494" s="482"/>
      <c r="N494" s="41"/>
      <c r="O494" s="13"/>
      <c r="P494" s="13"/>
      <c r="Q494" s="13"/>
      <c r="R494" s="481"/>
      <c r="S494" s="481"/>
      <c r="T494" s="481"/>
      <c r="U494" s="482"/>
      <c r="V494" s="41"/>
      <c r="W494" s="13"/>
      <c r="X494" s="482"/>
      <c r="Y494" s="481"/>
      <c r="Z494" s="481"/>
      <c r="AA494" s="481"/>
      <c r="AB494" s="16"/>
      <c r="AC494" s="16"/>
      <c r="AD494" s="16"/>
      <c r="AE494" s="16"/>
      <c r="AF494" s="16"/>
      <c r="AG494" s="16"/>
      <c r="AH494" s="16"/>
      <c r="AI494" s="16"/>
      <c r="AJ494" s="481"/>
      <c r="AK494" s="482"/>
      <c r="AL494" s="25"/>
      <c r="AM494" s="481"/>
      <c r="AN494" s="481"/>
      <c r="AO494" s="481"/>
      <c r="AP494" s="16"/>
      <c r="AQ494" s="16"/>
      <c r="AR494" s="130"/>
      <c r="AS494" s="130">
        <v>1405</v>
      </c>
      <c r="AT494" s="130"/>
      <c r="AU494" s="130"/>
      <c r="AV494" s="130"/>
      <c r="AW494" s="12"/>
      <c r="AX494" s="12"/>
      <c r="AY494" s="12"/>
      <c r="AZ494" s="481"/>
    </row>
    <row r="495" spans="1:52" ht="30" customHeight="1" x14ac:dyDescent="0.2">
      <c r="A495" s="497">
        <v>493</v>
      </c>
      <c r="B495" s="481"/>
      <c r="C495" s="16"/>
      <c r="D495" s="482"/>
      <c r="E495" s="482"/>
      <c r="F495" s="482"/>
      <c r="G495" s="495"/>
      <c r="H495" s="481"/>
      <c r="I495" s="481"/>
      <c r="J495" s="360" t="s">
        <v>158</v>
      </c>
      <c r="K495" s="482"/>
      <c r="L495" s="482"/>
      <c r="M495" s="482"/>
      <c r="N495" s="41"/>
      <c r="O495" s="13"/>
      <c r="P495" s="13"/>
      <c r="Q495" s="13"/>
      <c r="R495" s="481"/>
      <c r="S495" s="481"/>
      <c r="T495" s="481"/>
      <c r="U495" s="482"/>
      <c r="V495" s="41"/>
      <c r="W495" s="13"/>
      <c r="X495" s="482"/>
      <c r="Y495" s="481"/>
      <c r="Z495" s="481"/>
      <c r="AA495" s="481"/>
      <c r="AB495" s="16"/>
      <c r="AC495" s="16"/>
      <c r="AD495" s="16"/>
      <c r="AE495" s="16"/>
      <c r="AF495" s="16"/>
      <c r="AG495" s="16"/>
      <c r="AH495" s="16"/>
      <c r="AI495" s="16"/>
      <c r="AJ495" s="481"/>
      <c r="AK495" s="482"/>
      <c r="AL495" s="25"/>
      <c r="AM495" s="481"/>
      <c r="AN495" s="481"/>
      <c r="AO495" s="481"/>
      <c r="AP495" s="16"/>
      <c r="AQ495" s="16"/>
      <c r="AR495" s="130"/>
      <c r="AS495" s="130">
        <v>1405</v>
      </c>
      <c r="AT495" s="130"/>
      <c r="AU495" s="130"/>
      <c r="AV495" s="130"/>
      <c r="AW495" s="12"/>
      <c r="AX495" s="12"/>
      <c r="AY495" s="12"/>
      <c r="AZ495" s="481"/>
    </row>
    <row r="496" spans="1:52" ht="30" customHeight="1" x14ac:dyDescent="0.2">
      <c r="A496" s="497">
        <v>494</v>
      </c>
      <c r="B496" s="481"/>
      <c r="C496" s="16"/>
      <c r="D496" s="482"/>
      <c r="E496" s="482"/>
      <c r="F496" s="482"/>
      <c r="G496" s="495"/>
      <c r="H496" s="481"/>
      <c r="I496" s="481"/>
      <c r="J496" s="360" t="s">
        <v>158</v>
      </c>
      <c r="K496" s="482"/>
      <c r="L496" s="482"/>
      <c r="M496" s="482"/>
      <c r="N496" s="41"/>
      <c r="O496" s="13"/>
      <c r="P496" s="13"/>
      <c r="Q496" s="13"/>
      <c r="R496" s="481"/>
      <c r="S496" s="481"/>
      <c r="T496" s="481"/>
      <c r="U496" s="482"/>
      <c r="V496" s="41"/>
      <c r="W496" s="13"/>
      <c r="X496" s="482"/>
      <c r="Y496" s="481"/>
      <c r="Z496" s="481"/>
      <c r="AA496" s="481"/>
      <c r="AB496" s="16"/>
      <c r="AC496" s="16"/>
      <c r="AD496" s="16"/>
      <c r="AE496" s="16"/>
      <c r="AF496" s="16"/>
      <c r="AG496" s="16"/>
      <c r="AH496" s="16"/>
      <c r="AI496" s="16"/>
      <c r="AJ496" s="481"/>
      <c r="AK496" s="482"/>
      <c r="AL496" s="25"/>
      <c r="AM496" s="481"/>
      <c r="AN496" s="481"/>
      <c r="AO496" s="481"/>
      <c r="AP496" s="16"/>
      <c r="AQ496" s="16"/>
      <c r="AR496" s="130"/>
      <c r="AS496" s="130">
        <v>1405</v>
      </c>
      <c r="AT496" s="130"/>
      <c r="AU496" s="130"/>
      <c r="AV496" s="130"/>
      <c r="AW496" s="12"/>
      <c r="AX496" s="12"/>
      <c r="AY496" s="12"/>
      <c r="AZ496" s="481"/>
    </row>
    <row r="497" spans="1:52" ht="30" customHeight="1" x14ac:dyDescent="0.2">
      <c r="A497" s="497">
        <v>495</v>
      </c>
      <c r="B497" s="481"/>
      <c r="C497" s="16"/>
      <c r="D497" s="482"/>
      <c r="E497" s="482"/>
      <c r="F497" s="482"/>
      <c r="G497" s="495"/>
      <c r="H497" s="481"/>
      <c r="I497" s="481"/>
      <c r="J497" s="360" t="s">
        <v>158</v>
      </c>
      <c r="K497" s="482"/>
      <c r="L497" s="482"/>
      <c r="M497" s="482"/>
      <c r="N497" s="41"/>
      <c r="O497" s="13"/>
      <c r="P497" s="13"/>
      <c r="Q497" s="13"/>
      <c r="R497" s="481"/>
      <c r="S497" s="481"/>
      <c r="T497" s="481"/>
      <c r="U497" s="482"/>
      <c r="V497" s="41"/>
      <c r="W497" s="13"/>
      <c r="X497" s="482"/>
      <c r="Y497" s="481"/>
      <c r="Z497" s="481"/>
      <c r="AA497" s="481"/>
      <c r="AB497" s="16"/>
      <c r="AC497" s="16"/>
      <c r="AD497" s="16"/>
      <c r="AE497" s="16"/>
      <c r="AF497" s="16"/>
      <c r="AG497" s="16"/>
      <c r="AH497" s="16"/>
      <c r="AI497" s="16"/>
      <c r="AJ497" s="481"/>
      <c r="AK497" s="482"/>
      <c r="AL497" s="25"/>
      <c r="AM497" s="481"/>
      <c r="AN497" s="481"/>
      <c r="AO497" s="481"/>
      <c r="AP497" s="16"/>
      <c r="AQ497" s="16"/>
      <c r="AR497" s="130"/>
      <c r="AS497" s="130">
        <v>1405</v>
      </c>
      <c r="AT497" s="130"/>
      <c r="AU497" s="130"/>
      <c r="AV497" s="130"/>
      <c r="AW497" s="12"/>
      <c r="AX497" s="12"/>
      <c r="AY497" s="12"/>
      <c r="AZ497" s="481"/>
    </row>
    <row r="498" spans="1:52" ht="30" customHeight="1" x14ac:dyDescent="0.2">
      <c r="A498" s="497">
        <v>496</v>
      </c>
      <c r="B498" s="481"/>
      <c r="C498" s="16"/>
      <c r="D498" s="482"/>
      <c r="E498" s="482"/>
      <c r="F498" s="482"/>
      <c r="G498" s="495"/>
      <c r="H498" s="481"/>
      <c r="I498" s="481"/>
      <c r="J498" s="360" t="s">
        <v>158</v>
      </c>
      <c r="K498" s="482"/>
      <c r="L498" s="482"/>
      <c r="M498" s="482"/>
      <c r="N498" s="41"/>
      <c r="O498" s="13"/>
      <c r="P498" s="13"/>
      <c r="Q498" s="13"/>
      <c r="R498" s="481"/>
      <c r="S498" s="481"/>
      <c r="T498" s="481"/>
      <c r="U498" s="482"/>
      <c r="V498" s="41"/>
      <c r="W498" s="13"/>
      <c r="X498" s="482"/>
      <c r="Y498" s="481"/>
      <c r="Z498" s="481"/>
      <c r="AA498" s="481"/>
      <c r="AB498" s="16"/>
      <c r="AC498" s="16"/>
      <c r="AD498" s="16"/>
      <c r="AE498" s="16"/>
      <c r="AF498" s="16"/>
      <c r="AG498" s="16"/>
      <c r="AH498" s="16"/>
      <c r="AI498" s="16"/>
      <c r="AJ498" s="481"/>
      <c r="AK498" s="482"/>
      <c r="AL498" s="25"/>
      <c r="AM498" s="481"/>
      <c r="AN498" s="481"/>
      <c r="AO498" s="481"/>
      <c r="AP498" s="16"/>
      <c r="AQ498" s="16"/>
      <c r="AR498" s="130"/>
      <c r="AS498" s="130">
        <v>1405</v>
      </c>
      <c r="AT498" s="130"/>
      <c r="AU498" s="130"/>
      <c r="AV498" s="130"/>
      <c r="AW498" s="12"/>
      <c r="AX498" s="12"/>
      <c r="AY498" s="12"/>
      <c r="AZ498" s="481"/>
    </row>
    <row r="499" spans="1:52" ht="30" customHeight="1" x14ac:dyDescent="0.2">
      <c r="A499" s="497">
        <v>497</v>
      </c>
      <c r="B499" s="481"/>
      <c r="C499" s="16"/>
      <c r="D499" s="482"/>
      <c r="E499" s="482"/>
      <c r="F499" s="482"/>
      <c r="G499" s="495"/>
      <c r="H499" s="481"/>
      <c r="I499" s="481"/>
      <c r="J499" s="360" t="s">
        <v>158</v>
      </c>
      <c r="K499" s="482"/>
      <c r="L499" s="482"/>
      <c r="M499" s="482"/>
      <c r="N499" s="41"/>
      <c r="O499" s="13"/>
      <c r="P499" s="13"/>
      <c r="Q499" s="13"/>
      <c r="R499" s="481"/>
      <c r="S499" s="481"/>
      <c r="T499" s="481"/>
      <c r="U499" s="482"/>
      <c r="V499" s="41"/>
      <c r="W499" s="13"/>
      <c r="X499" s="482"/>
      <c r="Y499" s="481"/>
      <c r="Z499" s="481"/>
      <c r="AA499" s="481"/>
      <c r="AB499" s="16"/>
      <c r="AC499" s="16"/>
      <c r="AD499" s="16"/>
      <c r="AE499" s="16"/>
      <c r="AF499" s="16"/>
      <c r="AG499" s="16"/>
      <c r="AH499" s="16"/>
      <c r="AI499" s="16"/>
      <c r="AJ499" s="481"/>
      <c r="AK499" s="482"/>
      <c r="AL499" s="25"/>
      <c r="AM499" s="481"/>
      <c r="AN499" s="481"/>
      <c r="AO499" s="481"/>
      <c r="AP499" s="16"/>
      <c r="AQ499" s="16"/>
      <c r="AR499" s="130"/>
      <c r="AS499" s="130">
        <v>1405</v>
      </c>
      <c r="AT499" s="130"/>
      <c r="AU499" s="130"/>
      <c r="AV499" s="130"/>
      <c r="AW499" s="12"/>
      <c r="AX499" s="12"/>
      <c r="AY499" s="12"/>
      <c r="AZ499" s="481"/>
    </row>
    <row r="500" spans="1:52" ht="30" customHeight="1" x14ac:dyDescent="0.2">
      <c r="A500" s="497">
        <v>498</v>
      </c>
      <c r="B500" s="481"/>
      <c r="C500" s="16"/>
      <c r="D500" s="482"/>
      <c r="E500" s="482"/>
      <c r="F500" s="482"/>
      <c r="G500" s="495"/>
      <c r="H500" s="481"/>
      <c r="I500" s="481"/>
      <c r="J500" s="360" t="s">
        <v>158</v>
      </c>
      <c r="K500" s="482"/>
      <c r="L500" s="482"/>
      <c r="M500" s="482"/>
      <c r="N500" s="41"/>
      <c r="O500" s="13"/>
      <c r="P500" s="13"/>
      <c r="Q500" s="13"/>
      <c r="R500" s="481"/>
      <c r="S500" s="481"/>
      <c r="T500" s="481"/>
      <c r="U500" s="482"/>
      <c r="V500" s="41"/>
      <c r="W500" s="13"/>
      <c r="X500" s="482"/>
      <c r="Y500" s="481"/>
      <c r="Z500" s="481"/>
      <c r="AA500" s="481"/>
      <c r="AB500" s="16"/>
      <c r="AC500" s="16"/>
      <c r="AD500" s="16"/>
      <c r="AE500" s="16"/>
      <c r="AF500" s="16"/>
      <c r="AG500" s="16"/>
      <c r="AH500" s="16"/>
      <c r="AI500" s="16"/>
      <c r="AJ500" s="481"/>
      <c r="AK500" s="482"/>
      <c r="AL500" s="25"/>
      <c r="AM500" s="481"/>
      <c r="AN500" s="481"/>
      <c r="AO500" s="481"/>
      <c r="AP500" s="16"/>
      <c r="AQ500" s="16"/>
      <c r="AR500" s="130"/>
      <c r="AS500" s="130">
        <v>1405</v>
      </c>
      <c r="AT500" s="130"/>
      <c r="AU500" s="130"/>
      <c r="AV500" s="130"/>
      <c r="AW500" s="12"/>
      <c r="AX500" s="12"/>
      <c r="AY500" s="12"/>
      <c r="AZ500" s="481"/>
    </row>
    <row r="501" spans="1:52" ht="30" customHeight="1" x14ac:dyDescent="0.2">
      <c r="A501" s="497">
        <v>499</v>
      </c>
      <c r="B501" s="481"/>
      <c r="C501" s="16"/>
      <c r="D501" s="482"/>
      <c r="E501" s="482"/>
      <c r="F501" s="482"/>
      <c r="G501" s="495"/>
      <c r="H501" s="481"/>
      <c r="I501" s="481"/>
      <c r="J501" s="360" t="s">
        <v>158</v>
      </c>
      <c r="K501" s="482"/>
      <c r="L501" s="482"/>
      <c r="M501" s="482"/>
      <c r="N501" s="41"/>
      <c r="O501" s="13"/>
      <c r="P501" s="13"/>
      <c r="Q501" s="13"/>
      <c r="R501" s="481"/>
      <c r="S501" s="481"/>
      <c r="T501" s="481"/>
      <c r="U501" s="482"/>
      <c r="V501" s="41"/>
      <c r="W501" s="13"/>
      <c r="X501" s="482"/>
      <c r="Y501" s="481"/>
      <c r="Z501" s="481"/>
      <c r="AA501" s="481"/>
      <c r="AB501" s="16"/>
      <c r="AC501" s="16"/>
      <c r="AD501" s="16"/>
      <c r="AE501" s="16"/>
      <c r="AF501" s="16"/>
      <c r="AG501" s="16"/>
      <c r="AH501" s="16"/>
      <c r="AI501" s="16"/>
      <c r="AJ501" s="481"/>
      <c r="AK501" s="482"/>
      <c r="AL501" s="25"/>
      <c r="AM501" s="481"/>
      <c r="AN501" s="481"/>
      <c r="AO501" s="481"/>
      <c r="AP501" s="16"/>
      <c r="AQ501" s="16"/>
      <c r="AR501" s="130"/>
      <c r="AS501" s="130">
        <v>1405</v>
      </c>
      <c r="AT501" s="130"/>
      <c r="AU501" s="130"/>
      <c r="AV501" s="130"/>
      <c r="AW501" s="12"/>
      <c r="AX501" s="12"/>
      <c r="AY501" s="12"/>
      <c r="AZ501" s="481"/>
    </row>
    <row r="502" spans="1:52" ht="30" customHeight="1" x14ac:dyDescent="0.2">
      <c r="A502" s="497">
        <v>500</v>
      </c>
      <c r="B502" s="481"/>
      <c r="C502" s="16"/>
      <c r="D502" s="482"/>
      <c r="E502" s="482"/>
      <c r="F502" s="482"/>
      <c r="G502" s="495"/>
      <c r="H502" s="481"/>
      <c r="I502" s="481"/>
      <c r="J502" s="360" t="s">
        <v>158</v>
      </c>
      <c r="K502" s="482"/>
      <c r="L502" s="482"/>
      <c r="M502" s="482"/>
      <c r="N502" s="41"/>
      <c r="O502" s="13"/>
      <c r="P502" s="13"/>
      <c r="Q502" s="13"/>
      <c r="R502" s="481"/>
      <c r="S502" s="481"/>
      <c r="T502" s="481"/>
      <c r="U502" s="482"/>
      <c r="V502" s="41"/>
      <c r="W502" s="13"/>
      <c r="X502" s="482"/>
      <c r="Y502" s="481"/>
      <c r="Z502" s="481"/>
      <c r="AA502" s="481"/>
      <c r="AB502" s="16"/>
      <c r="AC502" s="16"/>
      <c r="AD502" s="16"/>
      <c r="AE502" s="16"/>
      <c r="AF502" s="16"/>
      <c r="AG502" s="16"/>
      <c r="AH502" s="16"/>
      <c r="AI502" s="16"/>
      <c r="AJ502" s="481"/>
      <c r="AK502" s="482"/>
      <c r="AL502" s="25"/>
      <c r="AM502" s="481"/>
      <c r="AN502" s="481"/>
      <c r="AO502" s="481"/>
      <c r="AP502" s="16"/>
      <c r="AQ502" s="16"/>
      <c r="AR502" s="130"/>
      <c r="AS502" s="130">
        <v>1405</v>
      </c>
      <c r="AT502" s="130"/>
      <c r="AU502" s="130"/>
      <c r="AV502" s="130"/>
      <c r="AW502" s="12"/>
      <c r="AX502" s="12"/>
      <c r="AY502" s="12"/>
      <c r="AZ502" s="481"/>
    </row>
    <row r="503" spans="1:52" ht="30" customHeight="1" x14ac:dyDescent="0.2">
      <c r="A503" s="497">
        <v>501</v>
      </c>
      <c r="B503" s="481"/>
      <c r="C503" s="16"/>
      <c r="D503" s="482"/>
      <c r="E503" s="482"/>
      <c r="F503" s="482"/>
      <c r="G503" s="495"/>
      <c r="H503" s="481"/>
      <c r="I503" s="481"/>
      <c r="J503" s="360" t="s">
        <v>158</v>
      </c>
      <c r="K503" s="482"/>
      <c r="L503" s="482"/>
      <c r="M503" s="482"/>
      <c r="N503" s="41"/>
      <c r="O503" s="13"/>
      <c r="P503" s="13"/>
      <c r="Q503" s="13"/>
      <c r="R503" s="481"/>
      <c r="S503" s="481"/>
      <c r="T503" s="481"/>
      <c r="U503" s="482"/>
      <c r="V503" s="41"/>
      <c r="W503" s="13"/>
      <c r="X503" s="482"/>
      <c r="Y503" s="481"/>
      <c r="Z503" s="481"/>
      <c r="AA503" s="481"/>
      <c r="AB503" s="16"/>
      <c r="AC503" s="16"/>
      <c r="AD503" s="16"/>
      <c r="AE503" s="16"/>
      <c r="AF503" s="16"/>
      <c r="AG503" s="16"/>
      <c r="AH503" s="16"/>
      <c r="AI503" s="16"/>
      <c r="AJ503" s="481"/>
      <c r="AK503" s="482"/>
      <c r="AL503" s="25"/>
      <c r="AM503" s="481"/>
      <c r="AN503" s="481"/>
      <c r="AO503" s="481"/>
      <c r="AP503" s="16"/>
      <c r="AQ503" s="16"/>
      <c r="AR503" s="130"/>
      <c r="AS503" s="130">
        <v>1405</v>
      </c>
      <c r="AT503" s="130"/>
      <c r="AU503" s="130"/>
      <c r="AV503" s="130"/>
      <c r="AW503" s="12"/>
      <c r="AX503" s="12"/>
      <c r="AY503" s="12"/>
      <c r="AZ503" s="481"/>
    </row>
    <row r="504" spans="1:52" ht="30" customHeight="1" x14ac:dyDescent="0.2">
      <c r="A504" s="497">
        <v>502</v>
      </c>
      <c r="B504" s="481"/>
      <c r="C504" s="16"/>
      <c r="D504" s="482"/>
      <c r="E504" s="482"/>
      <c r="F504" s="482"/>
      <c r="G504" s="495"/>
      <c r="H504" s="481"/>
      <c r="I504" s="481"/>
      <c r="J504" s="360" t="s">
        <v>158</v>
      </c>
      <c r="K504" s="482"/>
      <c r="L504" s="482"/>
      <c r="M504" s="482"/>
      <c r="N504" s="41"/>
      <c r="O504" s="13"/>
      <c r="P504" s="13"/>
      <c r="Q504" s="13"/>
      <c r="R504" s="481"/>
      <c r="S504" s="481"/>
      <c r="T504" s="481"/>
      <c r="U504" s="482"/>
      <c r="V504" s="41"/>
      <c r="W504" s="13"/>
      <c r="X504" s="482"/>
      <c r="Y504" s="481"/>
      <c r="Z504" s="481"/>
      <c r="AA504" s="481"/>
      <c r="AB504" s="16"/>
      <c r="AC504" s="16"/>
      <c r="AD504" s="16"/>
      <c r="AE504" s="16"/>
      <c r="AF504" s="16"/>
      <c r="AG504" s="16"/>
      <c r="AH504" s="16"/>
      <c r="AI504" s="16"/>
      <c r="AJ504" s="481"/>
      <c r="AK504" s="482"/>
      <c r="AL504" s="25"/>
      <c r="AM504" s="481"/>
      <c r="AN504" s="481"/>
      <c r="AO504" s="481"/>
      <c r="AP504" s="16"/>
      <c r="AQ504" s="16"/>
      <c r="AR504" s="130"/>
      <c r="AS504" s="130">
        <v>1405</v>
      </c>
      <c r="AT504" s="130"/>
      <c r="AU504" s="130"/>
      <c r="AV504" s="130"/>
      <c r="AW504" s="12"/>
      <c r="AX504" s="12"/>
      <c r="AY504" s="12"/>
      <c r="AZ504" s="481"/>
    </row>
    <row r="505" spans="1:52" ht="30" customHeight="1" x14ac:dyDescent="0.2">
      <c r="A505" s="497">
        <v>503</v>
      </c>
      <c r="B505" s="481"/>
      <c r="C505" s="16"/>
      <c r="D505" s="482"/>
      <c r="E505" s="482"/>
      <c r="F505" s="482"/>
      <c r="G505" s="495"/>
      <c r="H505" s="481"/>
      <c r="I505" s="481"/>
      <c r="J505" s="360" t="s">
        <v>158</v>
      </c>
      <c r="K505" s="482"/>
      <c r="L505" s="482"/>
      <c r="M505" s="482"/>
      <c r="N505" s="41"/>
      <c r="O505" s="13"/>
      <c r="P505" s="13"/>
      <c r="Q505" s="13"/>
      <c r="R505" s="481"/>
      <c r="S505" s="481"/>
      <c r="T505" s="481"/>
      <c r="U505" s="482"/>
      <c r="V505" s="41"/>
      <c r="W505" s="13"/>
      <c r="X505" s="482"/>
      <c r="Y505" s="481"/>
      <c r="Z505" s="481"/>
      <c r="AA505" s="481"/>
      <c r="AB505" s="16"/>
      <c r="AC505" s="16"/>
      <c r="AD505" s="16"/>
      <c r="AE505" s="16"/>
      <c r="AF505" s="16"/>
      <c r="AG505" s="16"/>
      <c r="AH505" s="16"/>
      <c r="AI505" s="16"/>
      <c r="AJ505" s="481"/>
      <c r="AK505" s="482"/>
      <c r="AL505" s="25"/>
      <c r="AM505" s="481"/>
      <c r="AN505" s="481"/>
      <c r="AO505" s="481"/>
      <c r="AP505" s="16"/>
      <c r="AQ505" s="16"/>
      <c r="AR505" s="130"/>
      <c r="AS505" s="130">
        <v>1405</v>
      </c>
      <c r="AT505" s="130"/>
      <c r="AU505" s="130"/>
      <c r="AV505" s="130"/>
      <c r="AW505" s="12"/>
      <c r="AX505" s="12"/>
      <c r="AY505" s="12"/>
      <c r="AZ505" s="481"/>
    </row>
    <row r="506" spans="1:52" ht="30" customHeight="1" x14ac:dyDescent="0.2">
      <c r="A506" s="497">
        <v>504</v>
      </c>
      <c r="B506" s="481"/>
      <c r="C506" s="16"/>
      <c r="D506" s="482"/>
      <c r="E506" s="482"/>
      <c r="F506" s="482"/>
      <c r="G506" s="495"/>
      <c r="H506" s="481"/>
      <c r="I506" s="481"/>
      <c r="J506" s="360" t="s">
        <v>158</v>
      </c>
      <c r="K506" s="482"/>
      <c r="L506" s="482"/>
      <c r="M506" s="482"/>
      <c r="N506" s="41"/>
      <c r="O506" s="13"/>
      <c r="P506" s="13"/>
      <c r="Q506" s="13"/>
      <c r="R506" s="481"/>
      <c r="S506" s="481"/>
      <c r="T506" s="481"/>
      <c r="U506" s="482"/>
      <c r="V506" s="41"/>
      <c r="W506" s="13"/>
      <c r="X506" s="482"/>
      <c r="Y506" s="481"/>
      <c r="Z506" s="481"/>
      <c r="AA506" s="481"/>
      <c r="AB506" s="16"/>
      <c r="AC506" s="16"/>
      <c r="AD506" s="16"/>
      <c r="AE506" s="16"/>
      <c r="AF506" s="16"/>
      <c r="AG506" s="16"/>
      <c r="AH506" s="16"/>
      <c r="AI506" s="16"/>
      <c r="AJ506" s="481"/>
      <c r="AK506" s="482"/>
      <c r="AL506" s="25"/>
      <c r="AM506" s="481"/>
      <c r="AN506" s="481"/>
      <c r="AO506" s="481"/>
      <c r="AP506" s="16"/>
      <c r="AQ506" s="16"/>
      <c r="AR506" s="130"/>
      <c r="AS506" s="130">
        <v>1405</v>
      </c>
      <c r="AT506" s="130"/>
      <c r="AU506" s="130"/>
      <c r="AV506" s="130"/>
      <c r="AW506" s="12"/>
      <c r="AX506" s="12"/>
      <c r="AY506" s="12"/>
      <c r="AZ506" s="481"/>
    </row>
    <row r="507" spans="1:52" ht="30" customHeight="1" x14ac:dyDescent="0.2">
      <c r="A507" s="497">
        <v>505</v>
      </c>
      <c r="B507" s="481"/>
      <c r="C507" s="16"/>
      <c r="D507" s="482"/>
      <c r="E507" s="482"/>
      <c r="F507" s="482"/>
      <c r="G507" s="495"/>
      <c r="H507" s="481"/>
      <c r="I507" s="481"/>
      <c r="J507" s="360" t="s">
        <v>158</v>
      </c>
      <c r="K507" s="482"/>
      <c r="L507" s="482"/>
      <c r="M507" s="482"/>
      <c r="N507" s="41"/>
      <c r="O507" s="13"/>
      <c r="P507" s="13"/>
      <c r="Q507" s="13"/>
      <c r="R507" s="481"/>
      <c r="S507" s="481"/>
      <c r="T507" s="481"/>
      <c r="U507" s="482"/>
      <c r="V507" s="41"/>
      <c r="W507" s="13"/>
      <c r="X507" s="482"/>
      <c r="Y507" s="481"/>
      <c r="Z507" s="481"/>
      <c r="AA507" s="481"/>
      <c r="AB507" s="16"/>
      <c r="AC507" s="16"/>
      <c r="AD507" s="16"/>
      <c r="AE507" s="16"/>
      <c r="AF507" s="16"/>
      <c r="AG507" s="16"/>
      <c r="AH507" s="16"/>
      <c r="AI507" s="16"/>
      <c r="AJ507" s="481"/>
      <c r="AK507" s="482"/>
      <c r="AL507" s="25"/>
      <c r="AM507" s="481"/>
      <c r="AN507" s="481"/>
      <c r="AO507" s="481"/>
      <c r="AP507" s="16"/>
      <c r="AQ507" s="16"/>
      <c r="AR507" s="130"/>
      <c r="AS507" s="130">
        <v>1405</v>
      </c>
      <c r="AT507" s="130"/>
      <c r="AU507" s="130"/>
      <c r="AV507" s="130"/>
      <c r="AW507" s="12"/>
      <c r="AX507" s="12"/>
      <c r="AY507" s="12"/>
      <c r="AZ507" s="481"/>
    </row>
    <row r="508" spans="1:52" ht="30" customHeight="1" x14ac:dyDescent="0.2">
      <c r="A508" s="497">
        <v>506</v>
      </c>
      <c r="B508" s="481"/>
      <c r="C508" s="16"/>
      <c r="D508" s="482"/>
      <c r="E508" s="482"/>
      <c r="F508" s="482"/>
      <c r="G508" s="495"/>
      <c r="H508" s="481"/>
      <c r="I508" s="481"/>
      <c r="J508" s="360" t="s">
        <v>158</v>
      </c>
      <c r="K508" s="482"/>
      <c r="L508" s="482"/>
      <c r="M508" s="482"/>
      <c r="N508" s="41"/>
      <c r="O508" s="13"/>
      <c r="P508" s="13"/>
      <c r="Q508" s="13"/>
      <c r="R508" s="481"/>
      <c r="S508" s="481"/>
      <c r="T508" s="481"/>
      <c r="U508" s="482"/>
      <c r="V508" s="41"/>
      <c r="W508" s="13"/>
      <c r="X508" s="482"/>
      <c r="Y508" s="481"/>
      <c r="Z508" s="481"/>
      <c r="AA508" s="481"/>
      <c r="AB508" s="16"/>
      <c r="AC508" s="16"/>
      <c r="AD508" s="16"/>
      <c r="AE508" s="16"/>
      <c r="AF508" s="16"/>
      <c r="AG508" s="16"/>
      <c r="AH508" s="16"/>
      <c r="AI508" s="16"/>
      <c r="AJ508" s="481"/>
      <c r="AK508" s="482"/>
      <c r="AL508" s="25"/>
      <c r="AM508" s="481"/>
      <c r="AN508" s="481"/>
      <c r="AO508" s="481"/>
      <c r="AP508" s="16"/>
      <c r="AQ508" s="16"/>
      <c r="AR508" s="130"/>
      <c r="AS508" s="130">
        <v>1405</v>
      </c>
      <c r="AT508" s="130"/>
      <c r="AU508" s="130"/>
      <c r="AV508" s="130"/>
      <c r="AW508" s="12"/>
      <c r="AX508" s="12"/>
      <c r="AY508" s="12"/>
      <c r="AZ508" s="481"/>
    </row>
    <row r="509" spans="1:52" ht="30" customHeight="1" x14ac:dyDescent="0.2">
      <c r="A509" s="497">
        <v>507</v>
      </c>
      <c r="B509" s="481"/>
      <c r="C509" s="16"/>
      <c r="D509" s="482"/>
      <c r="E509" s="482"/>
      <c r="F509" s="482"/>
      <c r="G509" s="495"/>
      <c r="H509" s="481"/>
      <c r="I509" s="481"/>
      <c r="J509" s="360" t="s">
        <v>158</v>
      </c>
      <c r="K509" s="482"/>
      <c r="L509" s="482"/>
      <c r="M509" s="482"/>
      <c r="N509" s="41"/>
      <c r="O509" s="13"/>
      <c r="P509" s="13"/>
      <c r="Q509" s="13"/>
      <c r="R509" s="481"/>
      <c r="S509" s="481"/>
      <c r="T509" s="481"/>
      <c r="U509" s="482"/>
      <c r="V509" s="41"/>
      <c r="W509" s="13"/>
      <c r="X509" s="482"/>
      <c r="Y509" s="481"/>
      <c r="Z509" s="481"/>
      <c r="AA509" s="481"/>
      <c r="AB509" s="16"/>
      <c r="AC509" s="16"/>
      <c r="AD509" s="16"/>
      <c r="AE509" s="16"/>
      <c r="AF509" s="16"/>
      <c r="AG509" s="16"/>
      <c r="AH509" s="16"/>
      <c r="AI509" s="16"/>
      <c r="AJ509" s="481"/>
      <c r="AK509" s="482"/>
      <c r="AL509" s="25"/>
      <c r="AM509" s="481"/>
      <c r="AN509" s="481"/>
      <c r="AO509" s="481"/>
      <c r="AP509" s="16"/>
      <c r="AQ509" s="16"/>
      <c r="AR509" s="130"/>
      <c r="AS509" s="130">
        <v>1405</v>
      </c>
      <c r="AT509" s="130"/>
      <c r="AU509" s="130"/>
      <c r="AV509" s="130"/>
      <c r="AW509" s="12"/>
      <c r="AX509" s="12"/>
      <c r="AY509" s="12"/>
      <c r="AZ509" s="481"/>
    </row>
    <row r="510" spans="1:52" ht="30" customHeight="1" x14ac:dyDescent="0.2">
      <c r="A510" s="497">
        <v>508</v>
      </c>
      <c r="B510" s="481"/>
      <c r="C510" s="16"/>
      <c r="D510" s="482"/>
      <c r="E510" s="482"/>
      <c r="F510" s="482"/>
      <c r="G510" s="495"/>
      <c r="H510" s="481"/>
      <c r="I510" s="481"/>
      <c r="J510" s="360" t="s">
        <v>158</v>
      </c>
      <c r="K510" s="482"/>
      <c r="L510" s="482"/>
      <c r="M510" s="482"/>
      <c r="N510" s="41"/>
      <c r="O510" s="13"/>
      <c r="P510" s="13"/>
      <c r="Q510" s="13"/>
      <c r="R510" s="481"/>
      <c r="S510" s="481"/>
      <c r="T510" s="481"/>
      <c r="U510" s="482"/>
      <c r="V510" s="41"/>
      <c r="W510" s="13"/>
      <c r="X510" s="482"/>
      <c r="Y510" s="481"/>
      <c r="Z510" s="481"/>
      <c r="AA510" s="481"/>
      <c r="AB510" s="16"/>
      <c r="AC510" s="16"/>
      <c r="AD510" s="16"/>
      <c r="AE510" s="16"/>
      <c r="AF510" s="16"/>
      <c r="AG510" s="16"/>
      <c r="AH510" s="16"/>
      <c r="AI510" s="16"/>
      <c r="AJ510" s="481"/>
      <c r="AK510" s="482"/>
      <c r="AL510" s="25"/>
      <c r="AM510" s="481"/>
      <c r="AN510" s="481"/>
      <c r="AO510" s="481"/>
      <c r="AP510" s="16"/>
      <c r="AQ510" s="16"/>
      <c r="AR510" s="130"/>
      <c r="AS510" s="130">
        <v>1405</v>
      </c>
      <c r="AT510" s="130"/>
      <c r="AU510" s="130"/>
      <c r="AV510" s="130"/>
      <c r="AW510" s="12"/>
      <c r="AX510" s="12"/>
      <c r="AY510" s="12"/>
      <c r="AZ510" s="481"/>
    </row>
    <row r="511" spans="1:52" ht="30" customHeight="1" x14ac:dyDescent="0.2">
      <c r="A511" s="497">
        <v>509</v>
      </c>
      <c r="B511" s="481"/>
      <c r="C511" s="16"/>
      <c r="D511" s="482"/>
      <c r="E511" s="482"/>
      <c r="F511" s="482"/>
      <c r="G511" s="495"/>
      <c r="H511" s="481"/>
      <c r="I511" s="481"/>
      <c r="J511" s="360" t="s">
        <v>158</v>
      </c>
      <c r="K511" s="482"/>
      <c r="L511" s="482"/>
      <c r="M511" s="482"/>
      <c r="N511" s="41"/>
      <c r="O511" s="13"/>
      <c r="P511" s="13"/>
      <c r="Q511" s="13"/>
      <c r="R511" s="481"/>
      <c r="S511" s="481"/>
      <c r="T511" s="481"/>
      <c r="U511" s="482"/>
      <c r="V511" s="41"/>
      <c r="W511" s="13"/>
      <c r="X511" s="482"/>
      <c r="Y511" s="481"/>
      <c r="Z511" s="481"/>
      <c r="AA511" s="481"/>
      <c r="AB511" s="16"/>
      <c r="AC511" s="16"/>
      <c r="AD511" s="16"/>
      <c r="AE511" s="16"/>
      <c r="AF511" s="16"/>
      <c r="AG511" s="16"/>
      <c r="AH511" s="16"/>
      <c r="AI511" s="16"/>
      <c r="AJ511" s="481"/>
      <c r="AK511" s="482"/>
      <c r="AL511" s="25"/>
      <c r="AM511" s="481"/>
      <c r="AN511" s="481"/>
      <c r="AO511" s="481"/>
      <c r="AP511" s="16"/>
      <c r="AQ511" s="16"/>
      <c r="AR511" s="130"/>
      <c r="AS511" s="130">
        <v>1405</v>
      </c>
      <c r="AT511" s="130"/>
      <c r="AU511" s="130"/>
      <c r="AV511" s="130"/>
      <c r="AW511" s="12"/>
      <c r="AX511" s="12"/>
      <c r="AY511" s="12"/>
      <c r="AZ511" s="481"/>
    </row>
    <row r="512" spans="1:52" ht="30" customHeight="1" x14ac:dyDescent="0.2">
      <c r="A512" s="497">
        <v>510</v>
      </c>
      <c r="B512" s="481"/>
      <c r="C512" s="16"/>
      <c r="D512" s="482"/>
      <c r="E512" s="482"/>
      <c r="F512" s="482"/>
      <c r="G512" s="495"/>
      <c r="H512" s="481"/>
      <c r="I512" s="481"/>
      <c r="J512" s="360" t="s">
        <v>158</v>
      </c>
      <c r="K512" s="482"/>
      <c r="L512" s="482"/>
      <c r="M512" s="482"/>
      <c r="N512" s="41"/>
      <c r="O512" s="13"/>
      <c r="P512" s="13"/>
      <c r="Q512" s="13"/>
      <c r="R512" s="481"/>
      <c r="S512" s="481"/>
      <c r="T512" s="481"/>
      <c r="U512" s="482"/>
      <c r="V512" s="41"/>
      <c r="W512" s="13"/>
      <c r="X512" s="482"/>
      <c r="Y512" s="481"/>
      <c r="Z512" s="481"/>
      <c r="AA512" s="481"/>
      <c r="AB512" s="16"/>
      <c r="AC512" s="16"/>
      <c r="AD512" s="16"/>
      <c r="AE512" s="16"/>
      <c r="AF512" s="16"/>
      <c r="AG512" s="16"/>
      <c r="AH512" s="16"/>
      <c r="AI512" s="16"/>
      <c r="AJ512" s="481"/>
      <c r="AK512" s="482"/>
      <c r="AL512" s="25"/>
      <c r="AM512" s="481"/>
      <c r="AN512" s="481"/>
      <c r="AO512" s="481"/>
      <c r="AP512" s="16"/>
      <c r="AQ512" s="16"/>
      <c r="AR512" s="130"/>
      <c r="AS512" s="130">
        <v>1405</v>
      </c>
      <c r="AT512" s="130"/>
      <c r="AU512" s="130"/>
      <c r="AV512" s="130"/>
      <c r="AW512" s="12"/>
      <c r="AX512" s="12"/>
      <c r="AY512" s="12"/>
      <c r="AZ512" s="481"/>
    </row>
    <row r="513" spans="1:52" ht="30" customHeight="1" x14ac:dyDescent="0.2">
      <c r="A513" s="497">
        <v>511</v>
      </c>
      <c r="B513" s="481"/>
      <c r="C513" s="16"/>
      <c r="D513" s="482"/>
      <c r="E513" s="482"/>
      <c r="F513" s="482"/>
      <c r="G513" s="495"/>
      <c r="H513" s="481"/>
      <c r="I513" s="481"/>
      <c r="J513" s="360" t="s">
        <v>158</v>
      </c>
      <c r="K513" s="482"/>
      <c r="L513" s="482"/>
      <c r="M513" s="482"/>
      <c r="N513" s="41"/>
      <c r="O513" s="13"/>
      <c r="P513" s="13"/>
      <c r="Q513" s="13"/>
      <c r="R513" s="481"/>
      <c r="S513" s="481"/>
      <c r="T513" s="481"/>
      <c r="U513" s="482"/>
      <c r="V513" s="41"/>
      <c r="W513" s="13"/>
      <c r="X513" s="482"/>
      <c r="Y513" s="481"/>
      <c r="Z513" s="481"/>
      <c r="AA513" s="481"/>
      <c r="AB513" s="16"/>
      <c r="AC513" s="16"/>
      <c r="AD513" s="16"/>
      <c r="AE513" s="16"/>
      <c r="AF513" s="16"/>
      <c r="AG513" s="16"/>
      <c r="AH513" s="16"/>
      <c r="AI513" s="16"/>
      <c r="AJ513" s="481"/>
      <c r="AK513" s="482"/>
      <c r="AL513" s="25"/>
      <c r="AM513" s="481"/>
      <c r="AN513" s="481"/>
      <c r="AO513" s="481"/>
      <c r="AP513" s="16"/>
      <c r="AQ513" s="16"/>
      <c r="AR513" s="130"/>
      <c r="AS513" s="130">
        <v>1405</v>
      </c>
      <c r="AT513" s="130"/>
      <c r="AU513" s="130"/>
      <c r="AV513" s="130"/>
      <c r="AW513" s="12"/>
      <c r="AX513" s="12"/>
      <c r="AY513" s="12"/>
      <c r="AZ513" s="481"/>
    </row>
    <row r="514" spans="1:52" ht="30" customHeight="1" x14ac:dyDescent="0.2">
      <c r="A514" s="497">
        <v>512</v>
      </c>
      <c r="B514" s="481"/>
      <c r="C514" s="16"/>
      <c r="D514" s="482"/>
      <c r="E514" s="482"/>
      <c r="F514" s="482"/>
      <c r="G514" s="495"/>
      <c r="H514" s="481"/>
      <c r="I514" s="481"/>
      <c r="J514" s="360" t="s">
        <v>158</v>
      </c>
      <c r="K514" s="482"/>
      <c r="L514" s="482"/>
      <c r="M514" s="482"/>
      <c r="N514" s="41"/>
      <c r="O514" s="13"/>
      <c r="P514" s="13"/>
      <c r="Q514" s="13"/>
      <c r="R514" s="481"/>
      <c r="S514" s="481"/>
      <c r="T514" s="481"/>
      <c r="U514" s="482"/>
      <c r="V514" s="41"/>
      <c r="W514" s="13"/>
      <c r="X514" s="482"/>
      <c r="Y514" s="481"/>
      <c r="Z514" s="481"/>
      <c r="AA514" s="481"/>
      <c r="AB514" s="16"/>
      <c r="AC514" s="16"/>
      <c r="AD514" s="16"/>
      <c r="AE514" s="16"/>
      <c r="AF514" s="16"/>
      <c r="AG514" s="16"/>
      <c r="AH514" s="16"/>
      <c r="AI514" s="16"/>
      <c r="AJ514" s="481"/>
      <c r="AK514" s="482"/>
      <c r="AL514" s="25"/>
      <c r="AM514" s="481"/>
      <c r="AN514" s="481"/>
      <c r="AO514" s="481"/>
      <c r="AP514" s="16"/>
      <c r="AQ514" s="16"/>
      <c r="AR514" s="130"/>
      <c r="AS514" s="130">
        <v>1405</v>
      </c>
      <c r="AT514" s="130"/>
      <c r="AU514" s="130"/>
      <c r="AV514" s="130"/>
      <c r="AW514" s="12"/>
      <c r="AX514" s="12"/>
      <c r="AY514" s="12"/>
      <c r="AZ514" s="481"/>
    </row>
    <row r="515" spans="1:52" ht="30" customHeight="1" x14ac:dyDescent="0.2">
      <c r="A515" s="497">
        <v>513</v>
      </c>
      <c r="B515" s="481"/>
      <c r="C515" s="16"/>
      <c r="D515" s="482"/>
      <c r="E515" s="482"/>
      <c r="F515" s="482"/>
      <c r="G515" s="495"/>
      <c r="H515" s="481"/>
      <c r="I515" s="481"/>
      <c r="J515" s="360" t="s">
        <v>158</v>
      </c>
      <c r="K515" s="482"/>
      <c r="L515" s="482"/>
      <c r="M515" s="482"/>
      <c r="N515" s="41"/>
      <c r="O515" s="13"/>
      <c r="P515" s="13"/>
      <c r="Q515" s="13"/>
      <c r="R515" s="481"/>
      <c r="S515" s="481"/>
      <c r="T515" s="481"/>
      <c r="U515" s="482"/>
      <c r="V515" s="41"/>
      <c r="W515" s="13"/>
      <c r="X515" s="482"/>
      <c r="Y515" s="481"/>
      <c r="Z515" s="481"/>
      <c r="AA515" s="481"/>
      <c r="AB515" s="16"/>
      <c r="AC515" s="16"/>
      <c r="AD515" s="16"/>
      <c r="AE515" s="16"/>
      <c r="AF515" s="16"/>
      <c r="AG515" s="16"/>
      <c r="AH515" s="16"/>
      <c r="AI515" s="16"/>
      <c r="AJ515" s="481"/>
      <c r="AK515" s="482"/>
      <c r="AL515" s="25"/>
      <c r="AM515" s="481"/>
      <c r="AN515" s="481"/>
      <c r="AO515" s="481"/>
      <c r="AP515" s="16"/>
      <c r="AQ515" s="16"/>
      <c r="AR515" s="130"/>
      <c r="AS515" s="130">
        <v>1405</v>
      </c>
      <c r="AT515" s="130"/>
      <c r="AU515" s="130"/>
      <c r="AV515" s="130"/>
      <c r="AW515" s="12"/>
      <c r="AX515" s="12"/>
      <c r="AY515" s="12"/>
      <c r="AZ515" s="481"/>
    </row>
    <row r="516" spans="1:52" ht="30" customHeight="1" x14ac:dyDescent="0.2">
      <c r="A516" s="497">
        <v>514</v>
      </c>
      <c r="B516" s="481"/>
      <c r="C516" s="16"/>
      <c r="D516" s="482"/>
      <c r="E516" s="482"/>
      <c r="F516" s="482"/>
      <c r="G516" s="495"/>
      <c r="H516" s="481"/>
      <c r="I516" s="481"/>
      <c r="J516" s="360" t="s">
        <v>158</v>
      </c>
      <c r="K516" s="482"/>
      <c r="L516" s="482"/>
      <c r="M516" s="482"/>
      <c r="N516" s="41"/>
      <c r="O516" s="13"/>
      <c r="P516" s="13"/>
      <c r="Q516" s="13"/>
      <c r="R516" s="481"/>
      <c r="S516" s="481"/>
      <c r="T516" s="481"/>
      <c r="U516" s="482"/>
      <c r="V516" s="41"/>
      <c r="W516" s="13"/>
      <c r="X516" s="482"/>
      <c r="Y516" s="481"/>
      <c r="Z516" s="481"/>
      <c r="AA516" s="481"/>
      <c r="AB516" s="16"/>
      <c r="AC516" s="16"/>
      <c r="AD516" s="16"/>
      <c r="AE516" s="16"/>
      <c r="AF516" s="16"/>
      <c r="AG516" s="16"/>
      <c r="AH516" s="16"/>
      <c r="AI516" s="16"/>
      <c r="AJ516" s="481"/>
      <c r="AK516" s="482"/>
      <c r="AL516" s="25"/>
      <c r="AM516" s="481"/>
      <c r="AN516" s="481"/>
      <c r="AO516" s="481"/>
      <c r="AP516" s="16"/>
      <c r="AQ516" s="16"/>
      <c r="AR516" s="130"/>
      <c r="AS516" s="130">
        <v>1405</v>
      </c>
      <c r="AT516" s="130"/>
      <c r="AU516" s="130"/>
      <c r="AV516" s="130"/>
      <c r="AW516" s="12"/>
      <c r="AX516" s="12"/>
      <c r="AY516" s="12"/>
      <c r="AZ516" s="481"/>
    </row>
    <row r="517" spans="1:52" ht="30" customHeight="1" x14ac:dyDescent="0.2">
      <c r="A517" s="497">
        <v>515</v>
      </c>
      <c r="B517" s="481"/>
      <c r="C517" s="16"/>
      <c r="D517" s="482"/>
      <c r="E517" s="482"/>
      <c r="F517" s="482"/>
      <c r="G517" s="495"/>
      <c r="H517" s="481"/>
      <c r="I517" s="481"/>
      <c r="J517" s="360" t="s">
        <v>158</v>
      </c>
      <c r="K517" s="482"/>
      <c r="L517" s="482"/>
      <c r="M517" s="482"/>
      <c r="N517" s="41"/>
      <c r="O517" s="13"/>
      <c r="P517" s="13"/>
      <c r="Q517" s="13"/>
      <c r="R517" s="481"/>
      <c r="S517" s="481"/>
      <c r="T517" s="481"/>
      <c r="U517" s="482"/>
      <c r="V517" s="41"/>
      <c r="W517" s="13"/>
      <c r="X517" s="482"/>
      <c r="Y517" s="481"/>
      <c r="Z517" s="481"/>
      <c r="AA517" s="481"/>
      <c r="AB517" s="16"/>
      <c r="AC517" s="16"/>
      <c r="AD517" s="16"/>
      <c r="AE517" s="16"/>
      <c r="AF517" s="16"/>
      <c r="AG517" s="16"/>
      <c r="AH517" s="16"/>
      <c r="AI517" s="16"/>
      <c r="AJ517" s="481"/>
      <c r="AK517" s="482"/>
      <c r="AL517" s="25"/>
      <c r="AM517" s="481"/>
      <c r="AN517" s="481"/>
      <c r="AO517" s="481"/>
      <c r="AP517" s="16"/>
      <c r="AQ517" s="16"/>
      <c r="AR517" s="130"/>
      <c r="AS517" s="130">
        <v>1405</v>
      </c>
      <c r="AT517" s="130"/>
      <c r="AU517" s="130"/>
      <c r="AV517" s="130"/>
      <c r="AW517" s="12"/>
      <c r="AX517" s="12"/>
      <c r="AY517" s="12"/>
      <c r="AZ517" s="481"/>
    </row>
    <row r="518" spans="1:52" ht="30" customHeight="1" x14ac:dyDescent="0.2">
      <c r="A518" s="497">
        <v>516</v>
      </c>
      <c r="B518" s="481"/>
      <c r="C518" s="16"/>
      <c r="D518" s="482"/>
      <c r="E518" s="482"/>
      <c r="F518" s="482"/>
      <c r="G518" s="495"/>
      <c r="H518" s="481"/>
      <c r="I518" s="481"/>
      <c r="J518" s="360" t="s">
        <v>158</v>
      </c>
      <c r="K518" s="482"/>
      <c r="L518" s="482"/>
      <c r="M518" s="482"/>
      <c r="N518" s="41"/>
      <c r="O518" s="13"/>
      <c r="P518" s="13"/>
      <c r="Q518" s="13"/>
      <c r="R518" s="481"/>
      <c r="S518" s="481"/>
      <c r="T518" s="481"/>
      <c r="U518" s="482"/>
      <c r="V518" s="41"/>
      <c r="W518" s="13"/>
      <c r="X518" s="482"/>
      <c r="Y518" s="481"/>
      <c r="Z518" s="481"/>
      <c r="AA518" s="481"/>
      <c r="AB518" s="16"/>
      <c r="AC518" s="16"/>
      <c r="AD518" s="16"/>
      <c r="AE518" s="16"/>
      <c r="AF518" s="16"/>
      <c r="AG518" s="16"/>
      <c r="AH518" s="16"/>
      <c r="AI518" s="16"/>
      <c r="AJ518" s="481"/>
      <c r="AK518" s="482"/>
      <c r="AL518" s="25"/>
      <c r="AM518" s="481"/>
      <c r="AN518" s="481"/>
      <c r="AO518" s="481"/>
      <c r="AP518" s="16"/>
      <c r="AQ518" s="16"/>
      <c r="AR518" s="130"/>
      <c r="AS518" s="130">
        <v>1405</v>
      </c>
      <c r="AT518" s="130"/>
      <c r="AU518" s="130"/>
      <c r="AV518" s="130"/>
      <c r="AW518" s="12"/>
      <c r="AX518" s="12"/>
      <c r="AY518" s="12"/>
      <c r="AZ518" s="481"/>
    </row>
    <row r="519" spans="1:52" ht="30" customHeight="1" x14ac:dyDescent="0.2">
      <c r="A519" s="497">
        <v>517</v>
      </c>
      <c r="B519" s="481"/>
      <c r="C519" s="16"/>
      <c r="D519" s="482"/>
      <c r="E519" s="482"/>
      <c r="F519" s="482"/>
      <c r="G519" s="495"/>
      <c r="H519" s="481"/>
      <c r="I519" s="481"/>
      <c r="J519" s="360" t="s">
        <v>158</v>
      </c>
      <c r="K519" s="482"/>
      <c r="L519" s="482"/>
      <c r="M519" s="482"/>
      <c r="N519" s="41"/>
      <c r="O519" s="13"/>
      <c r="P519" s="13"/>
      <c r="Q519" s="13"/>
      <c r="R519" s="481"/>
      <c r="S519" s="481"/>
      <c r="T519" s="481"/>
      <c r="U519" s="482"/>
      <c r="V519" s="41"/>
      <c r="W519" s="13"/>
      <c r="X519" s="482"/>
      <c r="Y519" s="481"/>
      <c r="Z519" s="481"/>
      <c r="AA519" s="481"/>
      <c r="AB519" s="16"/>
      <c r="AC519" s="16"/>
      <c r="AD519" s="16"/>
      <c r="AE519" s="16"/>
      <c r="AF519" s="16"/>
      <c r="AG519" s="16"/>
      <c r="AH519" s="16"/>
      <c r="AI519" s="16"/>
      <c r="AJ519" s="481"/>
      <c r="AK519" s="482"/>
      <c r="AL519" s="25"/>
      <c r="AM519" s="481"/>
      <c r="AN519" s="481"/>
      <c r="AO519" s="481"/>
      <c r="AP519" s="16"/>
      <c r="AQ519" s="16"/>
      <c r="AR519" s="130"/>
      <c r="AS519" s="130">
        <v>1405</v>
      </c>
      <c r="AT519" s="130"/>
      <c r="AU519" s="130"/>
      <c r="AV519" s="130"/>
      <c r="AW519" s="12"/>
      <c r="AX519" s="12"/>
      <c r="AY519" s="12"/>
      <c r="AZ519" s="481"/>
    </row>
    <row r="520" spans="1:52" ht="30" customHeight="1" x14ac:dyDescent="0.2">
      <c r="A520" s="497">
        <v>518</v>
      </c>
      <c r="B520" s="481"/>
      <c r="C520" s="16"/>
      <c r="D520" s="482"/>
      <c r="E520" s="482"/>
      <c r="F520" s="482"/>
      <c r="G520" s="495"/>
      <c r="H520" s="481"/>
      <c r="I520" s="481"/>
      <c r="J520" s="360" t="s">
        <v>158</v>
      </c>
      <c r="K520" s="482"/>
      <c r="L520" s="482"/>
      <c r="M520" s="482"/>
      <c r="N520" s="41"/>
      <c r="O520" s="13"/>
      <c r="P520" s="13"/>
      <c r="Q520" s="13"/>
      <c r="R520" s="481"/>
      <c r="S520" s="481"/>
      <c r="T520" s="481"/>
      <c r="U520" s="482"/>
      <c r="V520" s="41"/>
      <c r="W520" s="13"/>
      <c r="X520" s="482"/>
      <c r="Y520" s="481"/>
      <c r="Z520" s="481"/>
      <c r="AA520" s="481"/>
      <c r="AB520" s="16"/>
      <c r="AC520" s="16"/>
      <c r="AD520" s="16"/>
      <c r="AE520" s="16"/>
      <c r="AF520" s="16"/>
      <c r="AG520" s="16"/>
      <c r="AH520" s="16"/>
      <c r="AI520" s="16"/>
      <c r="AJ520" s="481"/>
      <c r="AK520" s="482"/>
      <c r="AL520" s="25"/>
      <c r="AM520" s="481"/>
      <c r="AN520" s="481"/>
      <c r="AO520" s="481"/>
      <c r="AP520" s="16"/>
      <c r="AQ520" s="16"/>
      <c r="AR520" s="130"/>
      <c r="AS520" s="130">
        <v>1405</v>
      </c>
      <c r="AT520" s="130"/>
      <c r="AU520" s="130"/>
      <c r="AV520" s="130"/>
      <c r="AW520" s="12"/>
      <c r="AX520" s="12"/>
      <c r="AY520" s="12"/>
      <c r="AZ520" s="481"/>
    </row>
    <row r="521" spans="1:52" ht="30" customHeight="1" x14ac:dyDescent="0.2">
      <c r="A521" s="497">
        <v>519</v>
      </c>
      <c r="B521" s="481"/>
      <c r="C521" s="16"/>
      <c r="D521" s="482"/>
      <c r="E521" s="482"/>
      <c r="F521" s="482"/>
      <c r="G521" s="495"/>
      <c r="H521" s="481"/>
      <c r="I521" s="481"/>
      <c r="J521" s="360" t="s">
        <v>158</v>
      </c>
      <c r="K521" s="482"/>
      <c r="L521" s="482"/>
      <c r="M521" s="482"/>
      <c r="N521" s="41"/>
      <c r="O521" s="13"/>
      <c r="P521" s="13"/>
      <c r="Q521" s="13"/>
      <c r="R521" s="481"/>
      <c r="S521" s="481"/>
      <c r="T521" s="481"/>
      <c r="U521" s="482"/>
      <c r="V521" s="41"/>
      <c r="W521" s="13"/>
      <c r="X521" s="482"/>
      <c r="Y521" s="481"/>
      <c r="Z521" s="481"/>
      <c r="AA521" s="481"/>
      <c r="AB521" s="16"/>
      <c r="AC521" s="16"/>
      <c r="AD521" s="16"/>
      <c r="AE521" s="16"/>
      <c r="AF521" s="16"/>
      <c r="AG521" s="16"/>
      <c r="AH521" s="16"/>
      <c r="AI521" s="16"/>
      <c r="AJ521" s="481"/>
      <c r="AK521" s="482"/>
      <c r="AL521" s="25"/>
      <c r="AM521" s="481"/>
      <c r="AN521" s="481"/>
      <c r="AO521" s="481"/>
      <c r="AP521" s="16"/>
      <c r="AQ521" s="16"/>
      <c r="AR521" s="130"/>
      <c r="AS521" s="130">
        <v>1405</v>
      </c>
      <c r="AT521" s="130"/>
      <c r="AU521" s="130"/>
      <c r="AV521" s="130"/>
      <c r="AW521" s="12"/>
      <c r="AX521" s="12"/>
      <c r="AY521" s="12"/>
      <c r="AZ521" s="481"/>
    </row>
    <row r="522" spans="1:52" ht="30" customHeight="1" x14ac:dyDescent="0.2">
      <c r="A522" s="497">
        <v>520</v>
      </c>
      <c r="B522" s="481"/>
      <c r="C522" s="16"/>
      <c r="D522" s="482"/>
      <c r="E522" s="482"/>
      <c r="F522" s="482"/>
      <c r="G522" s="495"/>
      <c r="H522" s="481"/>
      <c r="I522" s="481"/>
      <c r="J522" s="360" t="s">
        <v>158</v>
      </c>
      <c r="K522" s="482"/>
      <c r="L522" s="482"/>
      <c r="M522" s="482"/>
      <c r="N522" s="41"/>
      <c r="O522" s="13"/>
      <c r="P522" s="13"/>
      <c r="Q522" s="13"/>
      <c r="R522" s="481"/>
      <c r="S522" s="481"/>
      <c r="T522" s="481"/>
      <c r="U522" s="482"/>
      <c r="V522" s="41"/>
      <c r="W522" s="13"/>
      <c r="X522" s="482"/>
      <c r="Y522" s="481"/>
      <c r="Z522" s="481"/>
      <c r="AA522" s="481"/>
      <c r="AB522" s="16"/>
      <c r="AC522" s="16"/>
      <c r="AD522" s="16"/>
      <c r="AE522" s="16"/>
      <c r="AF522" s="16"/>
      <c r="AG522" s="16"/>
      <c r="AH522" s="16"/>
      <c r="AI522" s="16"/>
      <c r="AJ522" s="481"/>
      <c r="AK522" s="482"/>
      <c r="AL522" s="25"/>
      <c r="AM522" s="481"/>
      <c r="AN522" s="481"/>
      <c r="AO522" s="481"/>
      <c r="AP522" s="16"/>
      <c r="AQ522" s="16"/>
      <c r="AR522" s="130"/>
      <c r="AS522" s="130">
        <v>1405</v>
      </c>
      <c r="AT522" s="130"/>
      <c r="AU522" s="130"/>
      <c r="AV522" s="130"/>
      <c r="AW522" s="12"/>
      <c r="AX522" s="12"/>
      <c r="AY522" s="12"/>
      <c r="AZ522" s="481"/>
    </row>
    <row r="523" spans="1:52" ht="30" customHeight="1" x14ac:dyDescent="0.2">
      <c r="A523" s="497">
        <v>521</v>
      </c>
      <c r="B523" s="481"/>
      <c r="C523" s="16"/>
      <c r="D523" s="482"/>
      <c r="E523" s="482"/>
      <c r="F523" s="482"/>
      <c r="G523" s="495"/>
      <c r="H523" s="481"/>
      <c r="I523" s="481"/>
      <c r="J523" s="360" t="s">
        <v>158</v>
      </c>
      <c r="K523" s="482"/>
      <c r="L523" s="482"/>
      <c r="M523" s="482"/>
      <c r="N523" s="41"/>
      <c r="O523" s="13"/>
      <c r="P523" s="13"/>
      <c r="Q523" s="13"/>
      <c r="R523" s="481"/>
      <c r="S523" s="481"/>
      <c r="T523" s="481"/>
      <c r="U523" s="482"/>
      <c r="V523" s="41"/>
      <c r="W523" s="13"/>
      <c r="X523" s="482"/>
      <c r="Y523" s="481"/>
      <c r="Z523" s="481"/>
      <c r="AA523" s="481"/>
      <c r="AB523" s="16"/>
      <c r="AC523" s="16"/>
      <c r="AD523" s="16"/>
      <c r="AE523" s="16"/>
      <c r="AF523" s="16"/>
      <c r="AG523" s="16"/>
      <c r="AH523" s="16"/>
      <c r="AI523" s="16"/>
      <c r="AJ523" s="481"/>
      <c r="AK523" s="482"/>
      <c r="AL523" s="25"/>
      <c r="AM523" s="481"/>
      <c r="AN523" s="481"/>
      <c r="AO523" s="481"/>
      <c r="AP523" s="16"/>
      <c r="AQ523" s="16"/>
      <c r="AR523" s="130"/>
      <c r="AS523" s="130">
        <v>1405</v>
      </c>
      <c r="AT523" s="130"/>
      <c r="AU523" s="130"/>
      <c r="AV523" s="130"/>
      <c r="AW523" s="12"/>
      <c r="AX523" s="12"/>
      <c r="AY523" s="12"/>
      <c r="AZ523" s="481"/>
    </row>
    <row r="524" spans="1:52" ht="30" customHeight="1" x14ac:dyDescent="0.2">
      <c r="A524" s="497">
        <v>522</v>
      </c>
      <c r="B524" s="481"/>
      <c r="C524" s="16"/>
      <c r="D524" s="482"/>
      <c r="E524" s="482"/>
      <c r="F524" s="482"/>
      <c r="G524" s="495"/>
      <c r="H524" s="481"/>
      <c r="I524" s="481"/>
      <c r="J524" s="360" t="s">
        <v>158</v>
      </c>
      <c r="K524" s="482"/>
      <c r="L524" s="482"/>
      <c r="M524" s="482"/>
      <c r="N524" s="41"/>
      <c r="O524" s="13"/>
      <c r="P524" s="13"/>
      <c r="Q524" s="13"/>
      <c r="R524" s="481"/>
      <c r="S524" s="481"/>
      <c r="T524" s="481"/>
      <c r="U524" s="482"/>
      <c r="V524" s="41"/>
      <c r="W524" s="13"/>
      <c r="X524" s="482"/>
      <c r="Y524" s="481"/>
      <c r="Z524" s="481"/>
      <c r="AA524" s="481"/>
      <c r="AB524" s="16"/>
      <c r="AC524" s="16"/>
      <c r="AD524" s="16"/>
      <c r="AE524" s="16"/>
      <c r="AF524" s="16"/>
      <c r="AG524" s="16"/>
      <c r="AH524" s="16"/>
      <c r="AI524" s="16"/>
      <c r="AJ524" s="481"/>
      <c r="AK524" s="482"/>
      <c r="AL524" s="25"/>
      <c r="AM524" s="481"/>
      <c r="AN524" s="481"/>
      <c r="AO524" s="481"/>
      <c r="AP524" s="16"/>
      <c r="AQ524" s="16"/>
      <c r="AR524" s="130"/>
      <c r="AS524" s="130">
        <v>1405</v>
      </c>
      <c r="AT524" s="130"/>
      <c r="AU524" s="130"/>
      <c r="AV524" s="130"/>
      <c r="AW524" s="12"/>
      <c r="AX524" s="12"/>
      <c r="AY524" s="12"/>
      <c r="AZ524" s="481"/>
    </row>
    <row r="525" spans="1:52" ht="30" customHeight="1" x14ac:dyDescent="0.2">
      <c r="A525" s="497">
        <v>523</v>
      </c>
      <c r="B525" s="481"/>
      <c r="C525" s="16"/>
      <c r="D525" s="482"/>
      <c r="E525" s="482"/>
      <c r="F525" s="482"/>
      <c r="G525" s="495"/>
      <c r="H525" s="481"/>
      <c r="I525" s="481"/>
      <c r="J525" s="360" t="s">
        <v>158</v>
      </c>
      <c r="K525" s="482"/>
      <c r="L525" s="482"/>
      <c r="M525" s="482"/>
      <c r="N525" s="41"/>
      <c r="O525" s="13"/>
      <c r="P525" s="13"/>
      <c r="Q525" s="13"/>
      <c r="R525" s="481"/>
      <c r="S525" s="481"/>
      <c r="T525" s="481"/>
      <c r="U525" s="482"/>
      <c r="V525" s="41"/>
      <c r="W525" s="13"/>
      <c r="X525" s="482"/>
      <c r="Y525" s="481"/>
      <c r="Z525" s="481"/>
      <c r="AA525" s="481"/>
      <c r="AB525" s="16"/>
      <c r="AC525" s="16"/>
      <c r="AD525" s="16"/>
      <c r="AE525" s="16"/>
      <c r="AF525" s="16"/>
      <c r="AG525" s="16"/>
      <c r="AH525" s="16"/>
      <c r="AI525" s="16"/>
      <c r="AJ525" s="481"/>
      <c r="AK525" s="482"/>
      <c r="AL525" s="25"/>
      <c r="AM525" s="481"/>
      <c r="AN525" s="481"/>
      <c r="AO525" s="481"/>
      <c r="AP525" s="16"/>
      <c r="AQ525" s="16"/>
      <c r="AR525" s="130"/>
      <c r="AS525" s="130">
        <v>1405</v>
      </c>
      <c r="AT525" s="130"/>
      <c r="AU525" s="130"/>
      <c r="AV525" s="130"/>
      <c r="AW525" s="12"/>
      <c r="AX525" s="12"/>
      <c r="AY525" s="12"/>
      <c r="AZ525" s="481"/>
    </row>
    <row r="526" spans="1:52" ht="30" customHeight="1" x14ac:dyDescent="0.2">
      <c r="A526" s="497">
        <v>524</v>
      </c>
      <c r="B526" s="481"/>
      <c r="C526" s="16"/>
      <c r="D526" s="482"/>
      <c r="E526" s="482"/>
      <c r="F526" s="482"/>
      <c r="G526" s="495"/>
      <c r="H526" s="481"/>
      <c r="I526" s="481"/>
      <c r="J526" s="360" t="s">
        <v>158</v>
      </c>
      <c r="K526" s="482"/>
      <c r="L526" s="482"/>
      <c r="M526" s="482"/>
      <c r="N526" s="41"/>
      <c r="O526" s="13"/>
      <c r="P526" s="13"/>
      <c r="Q526" s="13"/>
      <c r="R526" s="481"/>
      <c r="S526" s="481"/>
      <c r="T526" s="481"/>
      <c r="U526" s="482"/>
      <c r="V526" s="41"/>
      <c r="W526" s="13"/>
      <c r="X526" s="482"/>
      <c r="Y526" s="481"/>
      <c r="Z526" s="481"/>
      <c r="AA526" s="481"/>
      <c r="AB526" s="16"/>
      <c r="AC526" s="16"/>
      <c r="AD526" s="16"/>
      <c r="AE526" s="16"/>
      <c r="AF526" s="16"/>
      <c r="AG526" s="16"/>
      <c r="AH526" s="16"/>
      <c r="AI526" s="16"/>
      <c r="AJ526" s="481"/>
      <c r="AK526" s="482"/>
      <c r="AL526" s="25"/>
      <c r="AM526" s="481"/>
      <c r="AN526" s="481"/>
      <c r="AO526" s="481"/>
      <c r="AP526" s="16"/>
      <c r="AQ526" s="16"/>
      <c r="AR526" s="130"/>
      <c r="AS526" s="130">
        <v>1405</v>
      </c>
      <c r="AT526" s="130"/>
      <c r="AU526" s="130"/>
      <c r="AV526" s="130"/>
      <c r="AW526" s="12"/>
      <c r="AX526" s="12"/>
      <c r="AY526" s="12"/>
      <c r="AZ526" s="481"/>
    </row>
    <row r="527" spans="1:52" ht="30" customHeight="1" x14ac:dyDescent="0.2">
      <c r="A527" s="497">
        <v>525</v>
      </c>
      <c r="B527" s="481"/>
      <c r="C527" s="16"/>
      <c r="D527" s="482"/>
      <c r="E527" s="482"/>
      <c r="F527" s="482"/>
      <c r="G527" s="495"/>
      <c r="H527" s="481"/>
      <c r="I527" s="481"/>
      <c r="J527" s="360" t="s">
        <v>158</v>
      </c>
      <c r="K527" s="482"/>
      <c r="L527" s="482"/>
      <c r="M527" s="482"/>
      <c r="N527" s="41"/>
      <c r="O527" s="13"/>
      <c r="P527" s="13"/>
      <c r="Q527" s="13"/>
      <c r="R527" s="481"/>
      <c r="S527" s="481"/>
      <c r="T527" s="481"/>
      <c r="U527" s="482"/>
      <c r="V527" s="41"/>
      <c r="W527" s="13"/>
      <c r="X527" s="482"/>
      <c r="Y527" s="481"/>
      <c r="Z527" s="481"/>
      <c r="AA527" s="481"/>
      <c r="AB527" s="16"/>
      <c r="AC527" s="16"/>
      <c r="AD527" s="16"/>
      <c r="AE527" s="16"/>
      <c r="AF527" s="16"/>
      <c r="AG527" s="16"/>
      <c r="AH527" s="16"/>
      <c r="AI527" s="16"/>
      <c r="AJ527" s="481"/>
      <c r="AK527" s="482"/>
      <c r="AL527" s="25"/>
      <c r="AM527" s="481"/>
      <c r="AN527" s="481"/>
      <c r="AO527" s="481"/>
      <c r="AP527" s="16"/>
      <c r="AQ527" s="16"/>
      <c r="AR527" s="130"/>
      <c r="AS527" s="130">
        <v>1405</v>
      </c>
      <c r="AT527" s="130"/>
      <c r="AU527" s="130"/>
      <c r="AV527" s="130"/>
      <c r="AW527" s="12"/>
      <c r="AX527" s="12"/>
      <c r="AY527" s="12"/>
      <c r="AZ527" s="481"/>
    </row>
    <row r="528" spans="1:52" ht="30" customHeight="1" x14ac:dyDescent="0.2">
      <c r="A528" s="497">
        <v>526</v>
      </c>
      <c r="B528" s="481"/>
      <c r="C528" s="16"/>
      <c r="D528" s="482"/>
      <c r="E528" s="482"/>
      <c r="F528" s="482"/>
      <c r="G528" s="495"/>
      <c r="H528" s="481"/>
      <c r="I528" s="481"/>
      <c r="J528" s="360" t="s">
        <v>158</v>
      </c>
      <c r="K528" s="482"/>
      <c r="L528" s="482"/>
      <c r="M528" s="482"/>
      <c r="N528" s="41"/>
      <c r="O528" s="13"/>
      <c r="P528" s="13"/>
      <c r="Q528" s="13"/>
      <c r="R528" s="481"/>
      <c r="S528" s="481"/>
      <c r="T528" s="481"/>
      <c r="U528" s="482"/>
      <c r="V528" s="41"/>
      <c r="W528" s="13"/>
      <c r="X528" s="482"/>
      <c r="Y528" s="481"/>
      <c r="Z528" s="481"/>
      <c r="AA528" s="481"/>
      <c r="AB528" s="16"/>
      <c r="AC528" s="16"/>
      <c r="AD528" s="16"/>
      <c r="AE528" s="16"/>
      <c r="AF528" s="16"/>
      <c r="AG528" s="16"/>
      <c r="AH528" s="16"/>
      <c r="AI528" s="16"/>
      <c r="AJ528" s="481"/>
      <c r="AK528" s="482"/>
      <c r="AL528" s="25"/>
      <c r="AM528" s="481"/>
      <c r="AN528" s="481"/>
      <c r="AO528" s="481"/>
      <c r="AP528" s="16"/>
      <c r="AQ528" s="16"/>
      <c r="AR528" s="130"/>
      <c r="AS528" s="130">
        <v>1405</v>
      </c>
      <c r="AT528" s="130"/>
      <c r="AU528" s="130"/>
      <c r="AV528" s="130"/>
      <c r="AW528" s="12"/>
      <c r="AX528" s="12"/>
      <c r="AY528" s="12"/>
      <c r="AZ528" s="481"/>
    </row>
    <row r="529" spans="1:52" ht="30" customHeight="1" x14ac:dyDescent="0.2">
      <c r="A529" s="497">
        <v>527</v>
      </c>
      <c r="B529" s="481"/>
      <c r="C529" s="16"/>
      <c r="D529" s="482"/>
      <c r="E529" s="482"/>
      <c r="F529" s="482"/>
      <c r="G529" s="495"/>
      <c r="H529" s="481"/>
      <c r="I529" s="481"/>
      <c r="J529" s="360" t="s">
        <v>158</v>
      </c>
      <c r="K529" s="482"/>
      <c r="L529" s="482"/>
      <c r="M529" s="482"/>
      <c r="N529" s="41"/>
      <c r="O529" s="13"/>
      <c r="P529" s="13"/>
      <c r="Q529" s="13"/>
      <c r="R529" s="481"/>
      <c r="S529" s="481"/>
      <c r="T529" s="481"/>
      <c r="U529" s="482"/>
      <c r="V529" s="41"/>
      <c r="W529" s="13"/>
      <c r="X529" s="482"/>
      <c r="Y529" s="481"/>
      <c r="Z529" s="481"/>
      <c r="AA529" s="481"/>
      <c r="AB529" s="16"/>
      <c r="AC529" s="16"/>
      <c r="AD529" s="16"/>
      <c r="AE529" s="16"/>
      <c r="AF529" s="16"/>
      <c r="AG529" s="16"/>
      <c r="AH529" s="16"/>
      <c r="AI529" s="16"/>
      <c r="AJ529" s="481"/>
      <c r="AK529" s="482"/>
      <c r="AL529" s="25"/>
      <c r="AM529" s="481"/>
      <c r="AN529" s="481"/>
      <c r="AO529" s="481"/>
      <c r="AP529" s="16"/>
      <c r="AQ529" s="16"/>
      <c r="AR529" s="130"/>
      <c r="AS529" s="130">
        <v>1405</v>
      </c>
      <c r="AT529" s="130"/>
      <c r="AU529" s="130"/>
      <c r="AV529" s="130"/>
      <c r="AW529" s="12"/>
      <c r="AX529" s="12"/>
      <c r="AY529" s="12"/>
      <c r="AZ529" s="481"/>
    </row>
    <row r="530" spans="1:52" ht="30" customHeight="1" x14ac:dyDescent="0.2">
      <c r="A530" s="497">
        <v>528</v>
      </c>
      <c r="B530" s="481"/>
      <c r="C530" s="16"/>
      <c r="D530" s="482"/>
      <c r="E530" s="482"/>
      <c r="F530" s="482"/>
      <c r="G530" s="495"/>
      <c r="H530" s="481"/>
      <c r="I530" s="481"/>
      <c r="J530" s="360" t="s">
        <v>158</v>
      </c>
      <c r="K530" s="482"/>
      <c r="L530" s="482"/>
      <c r="M530" s="482"/>
      <c r="N530" s="41"/>
      <c r="O530" s="13"/>
      <c r="P530" s="13"/>
      <c r="Q530" s="13"/>
      <c r="R530" s="481"/>
      <c r="S530" s="481"/>
      <c r="T530" s="481"/>
      <c r="U530" s="482"/>
      <c r="V530" s="41"/>
      <c r="W530" s="13"/>
      <c r="X530" s="482"/>
      <c r="Y530" s="481"/>
      <c r="Z530" s="481"/>
      <c r="AA530" s="481"/>
      <c r="AB530" s="16"/>
      <c r="AC530" s="16"/>
      <c r="AD530" s="16"/>
      <c r="AE530" s="16"/>
      <c r="AF530" s="16"/>
      <c r="AG530" s="16"/>
      <c r="AH530" s="16"/>
      <c r="AI530" s="16"/>
      <c r="AJ530" s="481"/>
      <c r="AK530" s="482"/>
      <c r="AL530" s="25"/>
      <c r="AM530" s="481"/>
      <c r="AN530" s="481"/>
      <c r="AO530" s="481"/>
      <c r="AP530" s="16"/>
      <c r="AQ530" s="16"/>
      <c r="AR530" s="130"/>
      <c r="AS530" s="130">
        <v>1405</v>
      </c>
      <c r="AT530" s="130"/>
      <c r="AU530" s="130"/>
      <c r="AV530" s="130"/>
      <c r="AW530" s="12"/>
      <c r="AX530" s="12"/>
      <c r="AY530" s="12"/>
      <c r="AZ530" s="481"/>
    </row>
    <row r="531" spans="1:52" ht="30" customHeight="1" x14ac:dyDescent="0.2">
      <c r="A531" s="497">
        <v>529</v>
      </c>
      <c r="B531" s="481"/>
      <c r="C531" s="16"/>
      <c r="D531" s="482"/>
      <c r="E531" s="482"/>
      <c r="F531" s="482"/>
      <c r="G531" s="495"/>
      <c r="H531" s="481"/>
      <c r="I531" s="481"/>
      <c r="J531" s="360" t="s">
        <v>158</v>
      </c>
      <c r="K531" s="482"/>
      <c r="L531" s="482"/>
      <c r="M531" s="482"/>
      <c r="N531" s="41"/>
      <c r="O531" s="13"/>
      <c r="P531" s="13"/>
      <c r="Q531" s="13"/>
      <c r="R531" s="481"/>
      <c r="S531" s="481"/>
      <c r="T531" s="481"/>
      <c r="U531" s="482"/>
      <c r="V531" s="41"/>
      <c r="W531" s="13"/>
      <c r="X531" s="482"/>
      <c r="Y531" s="481"/>
      <c r="Z531" s="481"/>
      <c r="AA531" s="481"/>
      <c r="AB531" s="16"/>
      <c r="AC531" s="16"/>
      <c r="AD531" s="16"/>
      <c r="AE531" s="16"/>
      <c r="AF531" s="16"/>
      <c r="AG531" s="16"/>
      <c r="AH531" s="16"/>
      <c r="AI531" s="16"/>
      <c r="AJ531" s="481"/>
      <c r="AK531" s="482"/>
      <c r="AL531" s="25"/>
      <c r="AM531" s="481"/>
      <c r="AN531" s="481"/>
      <c r="AO531" s="481"/>
      <c r="AP531" s="16"/>
      <c r="AQ531" s="16"/>
      <c r="AR531" s="130"/>
      <c r="AS531" s="130">
        <v>1405</v>
      </c>
      <c r="AT531" s="130"/>
      <c r="AU531" s="130"/>
      <c r="AV531" s="130"/>
      <c r="AW531" s="12"/>
      <c r="AX531" s="12"/>
      <c r="AY531" s="12"/>
      <c r="AZ531" s="481"/>
    </row>
    <row r="532" spans="1:52" ht="30" customHeight="1" x14ac:dyDescent="0.2">
      <c r="A532" s="497">
        <v>530</v>
      </c>
      <c r="B532" s="481"/>
      <c r="C532" s="16"/>
      <c r="D532" s="482"/>
      <c r="E532" s="482"/>
      <c r="F532" s="482"/>
      <c r="G532" s="495"/>
      <c r="H532" s="481"/>
      <c r="I532" s="481"/>
      <c r="J532" s="360" t="s">
        <v>158</v>
      </c>
      <c r="K532" s="482"/>
      <c r="L532" s="482"/>
      <c r="M532" s="482"/>
      <c r="N532" s="41"/>
      <c r="O532" s="13"/>
      <c r="P532" s="13"/>
      <c r="Q532" s="13"/>
      <c r="R532" s="481"/>
      <c r="S532" s="481"/>
      <c r="T532" s="481"/>
      <c r="U532" s="482"/>
      <c r="V532" s="41"/>
      <c r="W532" s="13"/>
      <c r="X532" s="482"/>
      <c r="Y532" s="481"/>
      <c r="Z532" s="481"/>
      <c r="AA532" s="481"/>
      <c r="AB532" s="16"/>
      <c r="AC532" s="16"/>
      <c r="AD532" s="16"/>
      <c r="AE532" s="16"/>
      <c r="AF532" s="16"/>
      <c r="AG532" s="16"/>
      <c r="AH532" s="16"/>
      <c r="AI532" s="16"/>
      <c r="AJ532" s="481"/>
      <c r="AK532" s="482"/>
      <c r="AL532" s="25"/>
      <c r="AM532" s="481"/>
      <c r="AN532" s="481"/>
      <c r="AO532" s="481"/>
      <c r="AP532" s="16"/>
      <c r="AQ532" s="16"/>
      <c r="AR532" s="130"/>
      <c r="AS532" s="130">
        <v>1405</v>
      </c>
      <c r="AT532" s="130"/>
      <c r="AU532" s="130"/>
      <c r="AV532" s="130"/>
      <c r="AW532" s="12"/>
      <c r="AX532" s="12"/>
      <c r="AY532" s="12"/>
      <c r="AZ532" s="481"/>
    </row>
    <row r="533" spans="1:52" ht="30" customHeight="1" x14ac:dyDescent="0.2">
      <c r="A533" s="497">
        <v>531</v>
      </c>
      <c r="B533" s="481"/>
      <c r="C533" s="16"/>
      <c r="D533" s="482"/>
      <c r="E533" s="482"/>
      <c r="F533" s="482"/>
      <c r="G533" s="495"/>
      <c r="H533" s="481"/>
      <c r="I533" s="481"/>
      <c r="J533" s="360" t="s">
        <v>158</v>
      </c>
      <c r="K533" s="482"/>
      <c r="L533" s="482"/>
      <c r="M533" s="482"/>
      <c r="N533" s="41"/>
      <c r="O533" s="13"/>
      <c r="P533" s="13"/>
      <c r="Q533" s="13"/>
      <c r="R533" s="481"/>
      <c r="S533" s="481"/>
      <c r="T533" s="481"/>
      <c r="U533" s="482"/>
      <c r="V533" s="41"/>
      <c r="W533" s="13"/>
      <c r="X533" s="482"/>
      <c r="Y533" s="481"/>
      <c r="Z533" s="481"/>
      <c r="AA533" s="481"/>
      <c r="AB533" s="16"/>
      <c r="AC533" s="16"/>
      <c r="AD533" s="16"/>
      <c r="AE533" s="16"/>
      <c r="AF533" s="16"/>
      <c r="AG533" s="16"/>
      <c r="AH533" s="16"/>
      <c r="AI533" s="16"/>
      <c r="AJ533" s="481"/>
      <c r="AK533" s="482"/>
      <c r="AL533" s="25"/>
      <c r="AM533" s="481"/>
      <c r="AN533" s="481"/>
      <c r="AO533" s="481"/>
      <c r="AP533" s="16"/>
      <c r="AQ533" s="16"/>
      <c r="AR533" s="130"/>
      <c r="AS533" s="130">
        <v>1405</v>
      </c>
      <c r="AT533" s="130"/>
      <c r="AU533" s="130"/>
      <c r="AV533" s="130"/>
      <c r="AW533" s="12"/>
      <c r="AX533" s="12"/>
      <c r="AY533" s="12"/>
      <c r="AZ533" s="481"/>
    </row>
    <row r="534" spans="1:52" ht="30" customHeight="1" x14ac:dyDescent="0.2">
      <c r="A534" s="497">
        <v>532</v>
      </c>
      <c r="B534" s="481"/>
      <c r="C534" s="16"/>
      <c r="D534" s="482"/>
      <c r="E534" s="482"/>
      <c r="F534" s="482"/>
      <c r="G534" s="495"/>
      <c r="H534" s="481"/>
      <c r="I534" s="481"/>
      <c r="J534" s="360" t="s">
        <v>158</v>
      </c>
      <c r="K534" s="482"/>
      <c r="L534" s="482"/>
      <c r="M534" s="482"/>
      <c r="N534" s="41"/>
      <c r="O534" s="13"/>
      <c r="P534" s="13"/>
      <c r="Q534" s="13"/>
      <c r="R534" s="481"/>
      <c r="S534" s="481"/>
      <c r="T534" s="481"/>
      <c r="U534" s="482"/>
      <c r="V534" s="41"/>
      <c r="W534" s="13"/>
      <c r="X534" s="482"/>
      <c r="Y534" s="481"/>
      <c r="Z534" s="481"/>
      <c r="AA534" s="481"/>
      <c r="AB534" s="16"/>
      <c r="AC534" s="16"/>
      <c r="AD534" s="16"/>
      <c r="AE534" s="16"/>
      <c r="AF534" s="16"/>
      <c r="AG534" s="16"/>
      <c r="AH534" s="16"/>
      <c r="AI534" s="16"/>
      <c r="AJ534" s="481"/>
      <c r="AK534" s="482"/>
      <c r="AL534" s="25"/>
      <c r="AM534" s="481"/>
      <c r="AN534" s="481"/>
      <c r="AO534" s="481"/>
      <c r="AP534" s="16"/>
      <c r="AQ534" s="16"/>
      <c r="AR534" s="130"/>
      <c r="AS534" s="130">
        <v>1405</v>
      </c>
      <c r="AT534" s="130"/>
      <c r="AU534" s="130"/>
      <c r="AV534" s="130"/>
      <c r="AW534" s="12"/>
      <c r="AX534" s="12"/>
      <c r="AY534" s="12"/>
      <c r="AZ534" s="481"/>
    </row>
    <row r="535" spans="1:52" ht="30" customHeight="1" x14ac:dyDescent="0.2">
      <c r="A535" s="497">
        <v>533</v>
      </c>
      <c r="B535" s="481"/>
      <c r="C535" s="16"/>
      <c r="D535" s="482"/>
      <c r="E535" s="482"/>
      <c r="F535" s="482"/>
      <c r="G535" s="495"/>
      <c r="H535" s="481"/>
      <c r="I535" s="481"/>
      <c r="J535" s="360" t="s">
        <v>158</v>
      </c>
      <c r="K535" s="482"/>
      <c r="L535" s="482"/>
      <c r="M535" s="482"/>
      <c r="N535" s="41"/>
      <c r="O535" s="13"/>
      <c r="P535" s="13"/>
      <c r="Q535" s="13"/>
      <c r="R535" s="481"/>
      <c r="S535" s="481"/>
      <c r="T535" s="481"/>
      <c r="U535" s="482"/>
      <c r="V535" s="41"/>
      <c r="W535" s="13"/>
      <c r="X535" s="482"/>
      <c r="Y535" s="481"/>
      <c r="Z535" s="481"/>
      <c r="AA535" s="481"/>
      <c r="AB535" s="16"/>
      <c r="AC535" s="16"/>
      <c r="AD535" s="16"/>
      <c r="AE535" s="16"/>
      <c r="AF535" s="16"/>
      <c r="AG535" s="16"/>
      <c r="AH535" s="16"/>
      <c r="AI535" s="16"/>
      <c r="AJ535" s="481"/>
      <c r="AK535" s="482"/>
      <c r="AL535" s="25"/>
      <c r="AM535" s="481"/>
      <c r="AN535" s="481"/>
      <c r="AO535" s="481"/>
      <c r="AP535" s="16"/>
      <c r="AQ535" s="16"/>
      <c r="AR535" s="130"/>
      <c r="AS535" s="130">
        <v>1405</v>
      </c>
      <c r="AT535" s="130"/>
      <c r="AU535" s="130"/>
      <c r="AV535" s="130"/>
      <c r="AW535" s="12"/>
      <c r="AX535" s="12"/>
      <c r="AY535" s="12"/>
      <c r="AZ535" s="481"/>
    </row>
    <row r="536" spans="1:52" ht="30" customHeight="1" x14ac:dyDescent="0.2">
      <c r="A536" s="497">
        <v>534</v>
      </c>
      <c r="B536" s="481"/>
      <c r="C536" s="16"/>
      <c r="D536" s="482"/>
      <c r="E536" s="482"/>
      <c r="F536" s="482"/>
      <c r="G536" s="495"/>
      <c r="H536" s="481"/>
      <c r="I536" s="481"/>
      <c r="J536" s="360" t="s">
        <v>158</v>
      </c>
      <c r="K536" s="482"/>
      <c r="L536" s="482"/>
      <c r="M536" s="482"/>
      <c r="N536" s="41"/>
      <c r="O536" s="13"/>
      <c r="P536" s="13"/>
      <c r="Q536" s="13"/>
      <c r="R536" s="481"/>
      <c r="S536" s="481"/>
      <c r="T536" s="481"/>
      <c r="U536" s="482"/>
      <c r="V536" s="41"/>
      <c r="W536" s="13"/>
      <c r="X536" s="482"/>
      <c r="Y536" s="481"/>
      <c r="Z536" s="481"/>
      <c r="AA536" s="481"/>
      <c r="AB536" s="16"/>
      <c r="AC536" s="16"/>
      <c r="AD536" s="16"/>
      <c r="AE536" s="16"/>
      <c r="AF536" s="16"/>
      <c r="AG536" s="16"/>
      <c r="AH536" s="16"/>
      <c r="AI536" s="16"/>
      <c r="AJ536" s="481"/>
      <c r="AK536" s="482"/>
      <c r="AL536" s="25"/>
      <c r="AM536" s="481"/>
      <c r="AN536" s="481"/>
      <c r="AO536" s="481"/>
      <c r="AP536" s="16"/>
      <c r="AQ536" s="16"/>
      <c r="AR536" s="130"/>
      <c r="AS536" s="130">
        <v>1405</v>
      </c>
      <c r="AT536" s="130"/>
      <c r="AU536" s="130"/>
      <c r="AV536" s="130"/>
      <c r="AW536" s="12"/>
      <c r="AX536" s="12"/>
      <c r="AY536" s="12"/>
      <c r="AZ536" s="481"/>
    </row>
    <row r="537" spans="1:52" ht="30" customHeight="1" x14ac:dyDescent="0.2">
      <c r="A537" s="497">
        <v>535</v>
      </c>
      <c r="B537" s="481"/>
      <c r="C537" s="16"/>
      <c r="D537" s="482"/>
      <c r="E537" s="482"/>
      <c r="F537" s="482"/>
      <c r="G537" s="495"/>
      <c r="H537" s="481"/>
      <c r="I537" s="481"/>
      <c r="J537" s="360" t="s">
        <v>158</v>
      </c>
      <c r="K537" s="482"/>
      <c r="L537" s="482"/>
      <c r="M537" s="482"/>
      <c r="N537" s="41"/>
      <c r="O537" s="13"/>
      <c r="P537" s="13"/>
      <c r="Q537" s="13"/>
      <c r="R537" s="481"/>
      <c r="S537" s="481"/>
      <c r="T537" s="481"/>
      <c r="U537" s="482"/>
      <c r="V537" s="41"/>
      <c r="W537" s="13"/>
      <c r="X537" s="482"/>
      <c r="Y537" s="481"/>
      <c r="Z537" s="481"/>
      <c r="AA537" s="481"/>
      <c r="AB537" s="16"/>
      <c r="AC537" s="16"/>
      <c r="AD537" s="16"/>
      <c r="AE537" s="16"/>
      <c r="AF537" s="16"/>
      <c r="AG537" s="16"/>
      <c r="AH537" s="16"/>
      <c r="AI537" s="16"/>
      <c r="AJ537" s="481"/>
      <c r="AK537" s="482"/>
      <c r="AL537" s="25"/>
      <c r="AM537" s="481"/>
      <c r="AN537" s="481"/>
      <c r="AO537" s="481"/>
      <c r="AP537" s="16"/>
      <c r="AQ537" s="16"/>
      <c r="AR537" s="130"/>
      <c r="AS537" s="130">
        <v>1405</v>
      </c>
      <c r="AT537" s="130"/>
      <c r="AU537" s="130"/>
      <c r="AV537" s="130"/>
      <c r="AW537" s="12"/>
      <c r="AX537" s="12"/>
      <c r="AY537" s="12"/>
      <c r="AZ537" s="481"/>
    </row>
    <row r="538" spans="1:52" ht="30" customHeight="1" x14ac:dyDescent="0.2">
      <c r="A538" s="497">
        <v>536</v>
      </c>
      <c r="B538" s="481"/>
      <c r="C538" s="16"/>
      <c r="D538" s="482"/>
      <c r="E538" s="482"/>
      <c r="F538" s="482"/>
      <c r="G538" s="495"/>
      <c r="H538" s="481"/>
      <c r="I538" s="481"/>
      <c r="J538" s="360" t="s">
        <v>158</v>
      </c>
      <c r="K538" s="482"/>
      <c r="L538" s="482"/>
      <c r="M538" s="482"/>
      <c r="N538" s="41"/>
      <c r="O538" s="13"/>
      <c r="P538" s="13"/>
      <c r="Q538" s="13"/>
      <c r="R538" s="481"/>
      <c r="S538" s="481"/>
      <c r="T538" s="481"/>
      <c r="U538" s="482"/>
      <c r="V538" s="41"/>
      <c r="W538" s="13"/>
      <c r="X538" s="482"/>
      <c r="Y538" s="481"/>
      <c r="Z538" s="481"/>
      <c r="AA538" s="481"/>
      <c r="AB538" s="16"/>
      <c r="AC538" s="16"/>
      <c r="AD538" s="16"/>
      <c r="AE538" s="16"/>
      <c r="AF538" s="16"/>
      <c r="AG538" s="16"/>
      <c r="AH538" s="16"/>
      <c r="AI538" s="16"/>
      <c r="AJ538" s="481"/>
      <c r="AK538" s="482"/>
      <c r="AL538" s="25"/>
      <c r="AM538" s="481"/>
      <c r="AN538" s="481"/>
      <c r="AO538" s="481"/>
      <c r="AP538" s="16"/>
      <c r="AQ538" s="16"/>
      <c r="AR538" s="130"/>
      <c r="AS538" s="130">
        <v>1405</v>
      </c>
      <c r="AT538" s="130"/>
      <c r="AU538" s="130"/>
      <c r="AV538" s="130"/>
      <c r="AW538" s="12"/>
      <c r="AX538" s="12"/>
      <c r="AY538" s="12"/>
      <c r="AZ538" s="481"/>
    </row>
    <row r="539" spans="1:52" ht="30" customHeight="1" x14ac:dyDescent="0.2">
      <c r="A539" s="497">
        <v>537</v>
      </c>
      <c r="B539" s="481"/>
      <c r="C539" s="16"/>
      <c r="D539" s="482"/>
      <c r="E539" s="482"/>
      <c r="F539" s="482"/>
      <c r="G539" s="495"/>
      <c r="H539" s="481"/>
      <c r="I539" s="481"/>
      <c r="J539" s="360" t="s">
        <v>158</v>
      </c>
      <c r="K539" s="482"/>
      <c r="L539" s="482"/>
      <c r="M539" s="482"/>
      <c r="N539" s="41"/>
      <c r="O539" s="13"/>
      <c r="P539" s="13"/>
      <c r="Q539" s="13"/>
      <c r="R539" s="481"/>
      <c r="S539" s="481"/>
      <c r="T539" s="481"/>
      <c r="U539" s="482"/>
      <c r="V539" s="41"/>
      <c r="W539" s="13"/>
      <c r="X539" s="482"/>
      <c r="Y539" s="481"/>
      <c r="Z539" s="481"/>
      <c r="AA539" s="481"/>
      <c r="AB539" s="16"/>
      <c r="AC539" s="16"/>
      <c r="AD539" s="16"/>
      <c r="AE539" s="16"/>
      <c r="AF539" s="16"/>
      <c r="AG539" s="16"/>
      <c r="AH539" s="16"/>
      <c r="AI539" s="16"/>
      <c r="AJ539" s="481"/>
      <c r="AK539" s="482"/>
      <c r="AL539" s="25"/>
      <c r="AM539" s="481"/>
      <c r="AN539" s="481"/>
      <c r="AO539" s="481"/>
      <c r="AP539" s="16"/>
      <c r="AQ539" s="16"/>
      <c r="AR539" s="130"/>
      <c r="AS539" s="130">
        <v>1405</v>
      </c>
      <c r="AT539" s="130"/>
      <c r="AU539" s="130"/>
      <c r="AV539" s="130"/>
      <c r="AW539" s="12"/>
      <c r="AX539" s="12"/>
      <c r="AY539" s="12"/>
      <c r="AZ539" s="481"/>
    </row>
    <row r="540" spans="1:52" ht="30" customHeight="1" x14ac:dyDescent="0.2">
      <c r="A540" s="497">
        <v>538</v>
      </c>
      <c r="B540" s="481"/>
      <c r="C540" s="16"/>
      <c r="D540" s="482"/>
      <c r="E540" s="482"/>
      <c r="F540" s="482"/>
      <c r="G540" s="495"/>
      <c r="H540" s="481"/>
      <c r="I540" s="481"/>
      <c r="J540" s="360" t="s">
        <v>158</v>
      </c>
      <c r="K540" s="482"/>
      <c r="L540" s="482"/>
      <c r="M540" s="482"/>
      <c r="N540" s="41"/>
      <c r="O540" s="13"/>
      <c r="P540" s="13"/>
      <c r="Q540" s="13"/>
      <c r="R540" s="481"/>
      <c r="S540" s="481"/>
      <c r="T540" s="481"/>
      <c r="U540" s="482"/>
      <c r="V540" s="41"/>
      <c r="W540" s="13"/>
      <c r="X540" s="482"/>
      <c r="Y540" s="481"/>
      <c r="Z540" s="481"/>
      <c r="AA540" s="481"/>
      <c r="AB540" s="16"/>
      <c r="AC540" s="16"/>
      <c r="AD540" s="16"/>
      <c r="AE540" s="16"/>
      <c r="AF540" s="16"/>
      <c r="AG540" s="16"/>
      <c r="AH540" s="16"/>
      <c r="AI540" s="16"/>
      <c r="AJ540" s="481"/>
      <c r="AK540" s="482"/>
      <c r="AL540" s="25"/>
      <c r="AM540" s="481"/>
      <c r="AN540" s="481"/>
      <c r="AO540" s="481"/>
      <c r="AP540" s="16"/>
      <c r="AQ540" s="16"/>
      <c r="AR540" s="130"/>
      <c r="AS540" s="130">
        <v>1405</v>
      </c>
      <c r="AT540" s="130"/>
      <c r="AU540" s="130"/>
      <c r="AV540" s="130"/>
      <c r="AW540" s="12"/>
      <c r="AX540" s="12"/>
      <c r="AY540" s="12"/>
      <c r="AZ540" s="481"/>
    </row>
    <row r="541" spans="1:52" ht="30" customHeight="1" x14ac:dyDescent="0.2">
      <c r="A541" s="497">
        <v>539</v>
      </c>
      <c r="B541" s="481"/>
      <c r="C541" s="16"/>
      <c r="D541" s="482"/>
      <c r="E541" s="482"/>
      <c r="F541" s="482"/>
      <c r="G541" s="495"/>
      <c r="H541" s="481"/>
      <c r="I541" s="481"/>
      <c r="J541" s="360" t="s">
        <v>158</v>
      </c>
      <c r="K541" s="482"/>
      <c r="L541" s="482"/>
      <c r="M541" s="482"/>
      <c r="N541" s="41"/>
      <c r="O541" s="13"/>
      <c r="P541" s="13"/>
      <c r="Q541" s="13"/>
      <c r="R541" s="481"/>
      <c r="S541" s="481"/>
      <c r="T541" s="481"/>
      <c r="U541" s="482"/>
      <c r="V541" s="41"/>
      <c r="W541" s="13"/>
      <c r="X541" s="482"/>
      <c r="Y541" s="481"/>
      <c r="Z541" s="481"/>
      <c r="AA541" s="481"/>
      <c r="AB541" s="16"/>
      <c r="AC541" s="16"/>
      <c r="AD541" s="16"/>
      <c r="AE541" s="16"/>
      <c r="AF541" s="16"/>
      <c r="AG541" s="16"/>
      <c r="AH541" s="16"/>
      <c r="AI541" s="16"/>
      <c r="AJ541" s="481"/>
      <c r="AK541" s="482"/>
      <c r="AL541" s="25"/>
      <c r="AM541" s="481"/>
      <c r="AN541" s="481"/>
      <c r="AO541" s="481"/>
      <c r="AP541" s="16"/>
      <c r="AQ541" s="16"/>
      <c r="AR541" s="130"/>
      <c r="AS541" s="130">
        <v>1405</v>
      </c>
      <c r="AT541" s="130"/>
      <c r="AU541" s="130"/>
      <c r="AV541" s="130"/>
      <c r="AW541" s="12"/>
      <c r="AX541" s="12"/>
      <c r="AY541" s="12"/>
      <c r="AZ541" s="481"/>
    </row>
    <row r="542" spans="1:52" ht="30" customHeight="1" x14ac:dyDescent="0.2">
      <c r="A542" s="497">
        <v>540</v>
      </c>
      <c r="B542" s="481"/>
      <c r="C542" s="16"/>
      <c r="D542" s="482"/>
      <c r="E542" s="482"/>
      <c r="F542" s="482"/>
      <c r="G542" s="495"/>
      <c r="H542" s="481"/>
      <c r="I542" s="481"/>
      <c r="J542" s="360" t="s">
        <v>158</v>
      </c>
      <c r="K542" s="482"/>
      <c r="L542" s="482"/>
      <c r="M542" s="482"/>
      <c r="N542" s="41"/>
      <c r="O542" s="13"/>
      <c r="P542" s="13"/>
      <c r="Q542" s="13"/>
      <c r="R542" s="481"/>
      <c r="S542" s="481"/>
      <c r="T542" s="481"/>
      <c r="U542" s="482"/>
      <c r="V542" s="41"/>
      <c r="W542" s="13"/>
      <c r="X542" s="482"/>
      <c r="Y542" s="481"/>
      <c r="Z542" s="481"/>
      <c r="AA542" s="481"/>
      <c r="AB542" s="16"/>
      <c r="AC542" s="16"/>
      <c r="AD542" s="16"/>
      <c r="AE542" s="16"/>
      <c r="AF542" s="16"/>
      <c r="AG542" s="16"/>
      <c r="AH542" s="16"/>
      <c r="AI542" s="16"/>
      <c r="AJ542" s="481"/>
      <c r="AK542" s="482"/>
      <c r="AL542" s="25"/>
      <c r="AM542" s="481"/>
      <c r="AN542" s="481"/>
      <c r="AO542" s="481"/>
      <c r="AP542" s="16"/>
      <c r="AQ542" s="16"/>
      <c r="AR542" s="130"/>
      <c r="AS542" s="130">
        <v>1405</v>
      </c>
      <c r="AT542" s="130"/>
      <c r="AU542" s="130"/>
      <c r="AV542" s="130"/>
      <c r="AW542" s="12"/>
      <c r="AX542" s="12"/>
      <c r="AY542" s="12"/>
      <c r="AZ542" s="481"/>
    </row>
    <row r="543" spans="1:52" ht="30" customHeight="1" x14ac:dyDescent="0.2">
      <c r="A543" s="497">
        <v>541</v>
      </c>
      <c r="B543" s="481"/>
      <c r="C543" s="16"/>
      <c r="D543" s="482"/>
      <c r="E543" s="482"/>
      <c r="F543" s="482"/>
      <c r="G543" s="495"/>
      <c r="H543" s="481"/>
      <c r="I543" s="481"/>
      <c r="J543" s="360" t="s">
        <v>158</v>
      </c>
      <c r="K543" s="482"/>
      <c r="L543" s="482"/>
      <c r="M543" s="482"/>
      <c r="N543" s="41"/>
      <c r="O543" s="13"/>
      <c r="P543" s="13"/>
      <c r="Q543" s="13"/>
      <c r="R543" s="481"/>
      <c r="S543" s="481"/>
      <c r="T543" s="481"/>
      <c r="U543" s="482"/>
      <c r="V543" s="41"/>
      <c r="W543" s="13"/>
      <c r="X543" s="482"/>
      <c r="Y543" s="481"/>
      <c r="Z543" s="481"/>
      <c r="AA543" s="481"/>
      <c r="AB543" s="16"/>
      <c r="AC543" s="16"/>
      <c r="AD543" s="16"/>
      <c r="AE543" s="16"/>
      <c r="AF543" s="16"/>
      <c r="AG543" s="16"/>
      <c r="AH543" s="16"/>
      <c r="AI543" s="16"/>
      <c r="AJ543" s="481"/>
      <c r="AK543" s="482"/>
      <c r="AL543" s="25"/>
      <c r="AM543" s="481"/>
      <c r="AN543" s="481"/>
      <c r="AO543" s="481"/>
      <c r="AP543" s="16"/>
      <c r="AQ543" s="16"/>
      <c r="AR543" s="130"/>
      <c r="AS543" s="130">
        <v>1405</v>
      </c>
      <c r="AT543" s="130"/>
      <c r="AU543" s="130"/>
      <c r="AV543" s="130"/>
      <c r="AW543" s="12"/>
      <c r="AX543" s="12"/>
      <c r="AY543" s="12"/>
      <c r="AZ543" s="481"/>
    </row>
    <row r="544" spans="1:52" ht="30" customHeight="1" x14ac:dyDescent="0.2">
      <c r="A544" s="497">
        <v>542</v>
      </c>
      <c r="B544" s="481"/>
      <c r="C544" s="16"/>
      <c r="D544" s="482"/>
      <c r="E544" s="482"/>
      <c r="F544" s="482"/>
      <c r="G544" s="495"/>
      <c r="H544" s="481"/>
      <c r="I544" s="481"/>
      <c r="J544" s="360" t="s">
        <v>158</v>
      </c>
      <c r="K544" s="482"/>
      <c r="L544" s="482"/>
      <c r="M544" s="482"/>
      <c r="N544" s="41"/>
      <c r="O544" s="13"/>
      <c r="P544" s="13"/>
      <c r="Q544" s="13"/>
      <c r="R544" s="481"/>
      <c r="S544" s="481"/>
      <c r="T544" s="481"/>
      <c r="U544" s="482"/>
      <c r="V544" s="41"/>
      <c r="W544" s="13"/>
      <c r="X544" s="482"/>
      <c r="Y544" s="481"/>
      <c r="Z544" s="481"/>
      <c r="AA544" s="481"/>
      <c r="AB544" s="16"/>
      <c r="AC544" s="16"/>
      <c r="AD544" s="16"/>
      <c r="AE544" s="16"/>
      <c r="AF544" s="16"/>
      <c r="AG544" s="16"/>
      <c r="AH544" s="16"/>
      <c r="AI544" s="16"/>
      <c r="AJ544" s="481"/>
      <c r="AK544" s="482"/>
      <c r="AL544" s="25"/>
      <c r="AM544" s="481"/>
      <c r="AN544" s="481"/>
      <c r="AO544" s="481"/>
      <c r="AP544" s="16"/>
      <c r="AQ544" s="16"/>
      <c r="AR544" s="130"/>
      <c r="AS544" s="130">
        <v>1405</v>
      </c>
      <c r="AT544" s="130"/>
      <c r="AU544" s="130"/>
      <c r="AV544" s="130"/>
      <c r="AW544" s="12"/>
      <c r="AX544" s="12"/>
      <c r="AY544" s="12"/>
      <c r="AZ544" s="481"/>
    </row>
    <row r="545" spans="1:52" ht="30" customHeight="1" x14ac:dyDescent="0.2">
      <c r="A545" s="497">
        <v>543</v>
      </c>
      <c r="B545" s="481"/>
      <c r="C545" s="16"/>
      <c r="D545" s="482"/>
      <c r="E545" s="482"/>
      <c r="F545" s="482"/>
      <c r="G545" s="495"/>
      <c r="H545" s="481"/>
      <c r="I545" s="481"/>
      <c r="J545" s="360" t="s">
        <v>158</v>
      </c>
      <c r="K545" s="482"/>
      <c r="L545" s="482"/>
      <c r="M545" s="482"/>
      <c r="N545" s="41"/>
      <c r="O545" s="13"/>
      <c r="P545" s="13"/>
      <c r="Q545" s="13"/>
      <c r="R545" s="481"/>
      <c r="S545" s="481"/>
      <c r="T545" s="481"/>
      <c r="U545" s="482"/>
      <c r="V545" s="41"/>
      <c r="W545" s="13"/>
      <c r="X545" s="482"/>
      <c r="Y545" s="481"/>
      <c r="Z545" s="481"/>
      <c r="AA545" s="481"/>
      <c r="AB545" s="16"/>
      <c r="AC545" s="16"/>
      <c r="AD545" s="16"/>
      <c r="AE545" s="16"/>
      <c r="AF545" s="16"/>
      <c r="AG545" s="16"/>
      <c r="AH545" s="16"/>
      <c r="AI545" s="16"/>
      <c r="AJ545" s="481"/>
      <c r="AK545" s="482"/>
      <c r="AL545" s="25"/>
      <c r="AM545" s="481"/>
      <c r="AN545" s="481"/>
      <c r="AO545" s="481"/>
      <c r="AP545" s="16"/>
      <c r="AQ545" s="16"/>
      <c r="AR545" s="130"/>
      <c r="AS545" s="130">
        <v>1405</v>
      </c>
      <c r="AT545" s="130"/>
      <c r="AU545" s="130"/>
      <c r="AV545" s="130"/>
      <c r="AW545" s="12"/>
      <c r="AX545" s="12"/>
      <c r="AY545" s="12"/>
      <c r="AZ545" s="481"/>
    </row>
    <row r="546" spans="1:52" ht="30" customHeight="1" x14ac:dyDescent="0.2">
      <c r="A546" s="497">
        <v>544</v>
      </c>
      <c r="B546" s="481"/>
      <c r="C546" s="16"/>
      <c r="D546" s="482"/>
      <c r="E546" s="482"/>
      <c r="F546" s="482"/>
      <c r="G546" s="495"/>
      <c r="H546" s="481"/>
      <c r="I546" s="481"/>
      <c r="J546" s="360" t="s">
        <v>158</v>
      </c>
      <c r="K546" s="482"/>
      <c r="L546" s="482"/>
      <c r="M546" s="482"/>
      <c r="N546" s="41"/>
      <c r="O546" s="13"/>
      <c r="P546" s="13"/>
      <c r="Q546" s="13"/>
      <c r="R546" s="481"/>
      <c r="S546" s="481"/>
      <c r="T546" s="481"/>
      <c r="U546" s="482"/>
      <c r="V546" s="41"/>
      <c r="W546" s="13"/>
      <c r="X546" s="482"/>
      <c r="Y546" s="481"/>
      <c r="Z546" s="481"/>
      <c r="AA546" s="481"/>
      <c r="AB546" s="16"/>
      <c r="AC546" s="16"/>
      <c r="AD546" s="16"/>
      <c r="AE546" s="16"/>
      <c r="AF546" s="16"/>
      <c r="AG546" s="16"/>
      <c r="AH546" s="16"/>
      <c r="AI546" s="16"/>
      <c r="AJ546" s="481"/>
      <c r="AK546" s="482"/>
      <c r="AL546" s="25"/>
      <c r="AM546" s="481"/>
      <c r="AN546" s="481"/>
      <c r="AO546" s="481"/>
      <c r="AP546" s="16"/>
      <c r="AQ546" s="16"/>
      <c r="AR546" s="130"/>
      <c r="AS546" s="130">
        <v>1405</v>
      </c>
      <c r="AT546" s="130"/>
      <c r="AU546" s="130"/>
      <c r="AV546" s="130"/>
      <c r="AW546" s="12"/>
      <c r="AX546" s="12"/>
      <c r="AY546" s="12"/>
      <c r="AZ546" s="481"/>
    </row>
    <row r="547" spans="1:52" ht="30" customHeight="1" x14ac:dyDescent="0.2">
      <c r="A547" s="497">
        <v>545</v>
      </c>
      <c r="B547" s="481"/>
      <c r="C547" s="16"/>
      <c r="D547" s="482"/>
      <c r="E547" s="482"/>
      <c r="F547" s="482"/>
      <c r="G547" s="495"/>
      <c r="H547" s="481"/>
      <c r="I547" s="481"/>
      <c r="J547" s="360" t="s">
        <v>158</v>
      </c>
      <c r="K547" s="482"/>
      <c r="L547" s="482"/>
      <c r="M547" s="482"/>
      <c r="N547" s="41"/>
      <c r="O547" s="13"/>
      <c r="P547" s="13"/>
      <c r="Q547" s="13"/>
      <c r="R547" s="481"/>
      <c r="S547" s="481"/>
      <c r="T547" s="481"/>
      <c r="U547" s="482"/>
      <c r="V547" s="41"/>
      <c r="W547" s="13"/>
      <c r="X547" s="482"/>
      <c r="Y547" s="481"/>
      <c r="Z547" s="481"/>
      <c r="AA547" s="481"/>
      <c r="AB547" s="16"/>
      <c r="AC547" s="16"/>
      <c r="AD547" s="16"/>
      <c r="AE547" s="16"/>
      <c r="AF547" s="16"/>
      <c r="AG547" s="16"/>
      <c r="AH547" s="16"/>
      <c r="AI547" s="16"/>
      <c r="AJ547" s="481"/>
      <c r="AK547" s="482"/>
      <c r="AL547" s="25"/>
      <c r="AM547" s="481"/>
      <c r="AN547" s="481"/>
      <c r="AO547" s="481"/>
      <c r="AP547" s="16"/>
      <c r="AQ547" s="16"/>
      <c r="AR547" s="130"/>
      <c r="AS547" s="130">
        <v>1405</v>
      </c>
      <c r="AT547" s="130"/>
      <c r="AU547" s="130"/>
      <c r="AV547" s="130"/>
      <c r="AW547" s="12"/>
      <c r="AX547" s="12"/>
      <c r="AY547" s="12"/>
      <c r="AZ547" s="481"/>
    </row>
    <row r="548" spans="1:52" ht="30" customHeight="1" x14ac:dyDescent="0.2">
      <c r="A548" s="497">
        <v>546</v>
      </c>
      <c r="B548" s="481"/>
      <c r="C548" s="16"/>
      <c r="D548" s="482"/>
      <c r="E548" s="482"/>
      <c r="F548" s="482"/>
      <c r="G548" s="495"/>
      <c r="H548" s="481"/>
      <c r="I548" s="481"/>
      <c r="J548" s="360" t="s">
        <v>158</v>
      </c>
      <c r="K548" s="482"/>
      <c r="L548" s="482"/>
      <c r="M548" s="482"/>
      <c r="N548" s="41"/>
      <c r="O548" s="13"/>
      <c r="P548" s="13"/>
      <c r="Q548" s="13"/>
      <c r="R548" s="481"/>
      <c r="S548" s="481"/>
      <c r="T548" s="481"/>
      <c r="U548" s="482"/>
      <c r="V548" s="41"/>
      <c r="W548" s="13"/>
      <c r="X548" s="482"/>
      <c r="Y548" s="481"/>
      <c r="Z548" s="481"/>
      <c r="AA548" s="481"/>
      <c r="AB548" s="16"/>
      <c r="AC548" s="16"/>
      <c r="AD548" s="16"/>
      <c r="AE548" s="16"/>
      <c r="AF548" s="16"/>
      <c r="AG548" s="16"/>
      <c r="AH548" s="16"/>
      <c r="AI548" s="16"/>
      <c r="AJ548" s="481"/>
      <c r="AK548" s="482"/>
      <c r="AL548" s="25"/>
      <c r="AM548" s="481"/>
      <c r="AN548" s="481"/>
      <c r="AO548" s="481"/>
      <c r="AP548" s="16"/>
      <c r="AQ548" s="16"/>
      <c r="AR548" s="130"/>
      <c r="AS548" s="130">
        <v>1405</v>
      </c>
      <c r="AT548" s="130"/>
      <c r="AU548" s="130"/>
      <c r="AV548" s="130"/>
      <c r="AW548" s="12"/>
      <c r="AX548" s="12"/>
      <c r="AY548" s="12"/>
      <c r="AZ548" s="481"/>
    </row>
    <row r="549" spans="1:52" ht="30" customHeight="1" x14ac:dyDescent="0.2">
      <c r="A549" s="497">
        <v>547</v>
      </c>
      <c r="B549" s="481"/>
      <c r="C549" s="16"/>
      <c r="D549" s="482"/>
      <c r="E549" s="482"/>
      <c r="F549" s="482"/>
      <c r="G549" s="495"/>
      <c r="H549" s="481"/>
      <c r="I549" s="481"/>
      <c r="J549" s="360" t="s">
        <v>158</v>
      </c>
      <c r="K549" s="482"/>
      <c r="L549" s="482"/>
      <c r="M549" s="482"/>
      <c r="N549" s="41"/>
      <c r="O549" s="13"/>
      <c r="P549" s="13"/>
      <c r="Q549" s="13"/>
      <c r="R549" s="481"/>
      <c r="S549" s="481"/>
      <c r="T549" s="481"/>
      <c r="U549" s="482"/>
      <c r="V549" s="41"/>
      <c r="W549" s="13"/>
      <c r="X549" s="482"/>
      <c r="Y549" s="481"/>
      <c r="Z549" s="481"/>
      <c r="AA549" s="481"/>
      <c r="AB549" s="16"/>
      <c r="AC549" s="16"/>
      <c r="AD549" s="16"/>
      <c r="AE549" s="16"/>
      <c r="AF549" s="16"/>
      <c r="AG549" s="16"/>
      <c r="AH549" s="16"/>
      <c r="AI549" s="16"/>
      <c r="AJ549" s="481"/>
      <c r="AK549" s="482"/>
      <c r="AL549" s="25"/>
      <c r="AM549" s="481"/>
      <c r="AN549" s="481"/>
      <c r="AO549" s="481"/>
      <c r="AP549" s="16"/>
      <c r="AQ549" s="16"/>
      <c r="AR549" s="130"/>
      <c r="AS549" s="130">
        <v>1405</v>
      </c>
      <c r="AT549" s="130"/>
      <c r="AU549" s="130"/>
      <c r="AV549" s="130"/>
      <c r="AW549" s="12"/>
      <c r="AX549" s="12"/>
      <c r="AY549" s="12"/>
      <c r="AZ549" s="481"/>
    </row>
    <row r="550" spans="1:52" ht="30" customHeight="1" x14ac:dyDescent="0.2">
      <c r="A550" s="497">
        <v>548</v>
      </c>
      <c r="B550" s="481"/>
      <c r="C550" s="16"/>
      <c r="D550" s="482"/>
      <c r="E550" s="482"/>
      <c r="F550" s="482"/>
      <c r="G550" s="495"/>
      <c r="H550" s="481"/>
      <c r="I550" s="481"/>
      <c r="J550" s="360" t="s">
        <v>158</v>
      </c>
      <c r="K550" s="482"/>
      <c r="L550" s="482"/>
      <c r="M550" s="482"/>
      <c r="N550" s="41"/>
      <c r="O550" s="13"/>
      <c r="P550" s="13"/>
      <c r="Q550" s="13"/>
      <c r="R550" s="481"/>
      <c r="S550" s="481"/>
      <c r="T550" s="481"/>
      <c r="U550" s="482"/>
      <c r="V550" s="41"/>
      <c r="W550" s="13"/>
      <c r="X550" s="482"/>
      <c r="Y550" s="481"/>
      <c r="Z550" s="481"/>
      <c r="AA550" s="481"/>
      <c r="AB550" s="16"/>
      <c r="AC550" s="16"/>
      <c r="AD550" s="16"/>
      <c r="AE550" s="16"/>
      <c r="AF550" s="16"/>
      <c r="AG550" s="16"/>
      <c r="AH550" s="16"/>
      <c r="AI550" s="16"/>
      <c r="AJ550" s="481"/>
      <c r="AK550" s="482"/>
      <c r="AL550" s="25"/>
      <c r="AM550" s="481"/>
      <c r="AN550" s="481"/>
      <c r="AO550" s="481"/>
      <c r="AP550" s="16"/>
      <c r="AQ550" s="16"/>
      <c r="AR550" s="130"/>
      <c r="AS550" s="130">
        <v>1405</v>
      </c>
      <c r="AT550" s="130"/>
      <c r="AU550" s="130"/>
      <c r="AV550" s="130"/>
      <c r="AW550" s="12"/>
      <c r="AX550" s="12"/>
      <c r="AY550" s="12"/>
      <c r="AZ550" s="481"/>
    </row>
    <row r="551" spans="1:52" ht="30" customHeight="1" x14ac:dyDescent="0.2">
      <c r="A551" s="497">
        <v>549</v>
      </c>
      <c r="B551" s="481"/>
      <c r="C551" s="16"/>
      <c r="D551" s="482"/>
      <c r="E551" s="482"/>
      <c r="F551" s="482"/>
      <c r="G551" s="495"/>
      <c r="H551" s="481"/>
      <c r="I551" s="481"/>
      <c r="J551" s="360" t="s">
        <v>158</v>
      </c>
      <c r="K551" s="482"/>
      <c r="L551" s="482"/>
      <c r="M551" s="482"/>
      <c r="N551" s="41"/>
      <c r="O551" s="13"/>
      <c r="P551" s="13"/>
      <c r="Q551" s="13"/>
      <c r="R551" s="481"/>
      <c r="S551" s="481"/>
      <c r="T551" s="481"/>
      <c r="U551" s="482"/>
      <c r="V551" s="41"/>
      <c r="W551" s="13"/>
      <c r="X551" s="482"/>
      <c r="Y551" s="481"/>
      <c r="Z551" s="481"/>
      <c r="AA551" s="481"/>
      <c r="AB551" s="16"/>
      <c r="AC551" s="16"/>
      <c r="AD551" s="16"/>
      <c r="AE551" s="16"/>
      <c r="AF551" s="16"/>
      <c r="AG551" s="16"/>
      <c r="AH551" s="16"/>
      <c r="AI551" s="16"/>
      <c r="AJ551" s="481"/>
      <c r="AK551" s="482"/>
      <c r="AL551" s="25"/>
      <c r="AM551" s="481"/>
      <c r="AN551" s="481"/>
      <c r="AO551" s="481"/>
      <c r="AP551" s="16"/>
      <c r="AQ551" s="16"/>
      <c r="AR551" s="130"/>
      <c r="AS551" s="130">
        <v>1405</v>
      </c>
      <c r="AT551" s="130"/>
      <c r="AU551" s="130"/>
      <c r="AV551" s="130"/>
      <c r="AW551" s="12"/>
      <c r="AX551" s="12"/>
      <c r="AY551" s="12"/>
      <c r="AZ551" s="481"/>
    </row>
    <row r="552" spans="1:52" ht="30" customHeight="1" x14ac:dyDescent="0.2">
      <c r="A552" s="497">
        <v>550</v>
      </c>
      <c r="B552" s="481"/>
      <c r="C552" s="16"/>
      <c r="D552" s="482"/>
      <c r="E552" s="482"/>
      <c r="F552" s="482"/>
      <c r="G552" s="495"/>
      <c r="H552" s="481"/>
      <c r="I552" s="481"/>
      <c r="J552" s="360" t="s">
        <v>158</v>
      </c>
      <c r="K552" s="482"/>
      <c r="L552" s="482"/>
      <c r="M552" s="482"/>
      <c r="N552" s="41"/>
      <c r="O552" s="13"/>
      <c r="P552" s="13"/>
      <c r="Q552" s="13"/>
      <c r="R552" s="481"/>
      <c r="S552" s="481"/>
      <c r="T552" s="481"/>
      <c r="U552" s="482"/>
      <c r="V552" s="41"/>
      <c r="W552" s="13"/>
      <c r="X552" s="482"/>
      <c r="Y552" s="481"/>
      <c r="Z552" s="481"/>
      <c r="AA552" s="481"/>
      <c r="AB552" s="16"/>
      <c r="AC552" s="16"/>
      <c r="AD552" s="16"/>
      <c r="AE552" s="16"/>
      <c r="AF552" s="16"/>
      <c r="AG552" s="16"/>
      <c r="AH552" s="16"/>
      <c r="AI552" s="16"/>
      <c r="AJ552" s="481"/>
      <c r="AK552" s="482"/>
      <c r="AL552" s="25"/>
      <c r="AM552" s="481"/>
      <c r="AN552" s="481"/>
      <c r="AO552" s="481"/>
      <c r="AP552" s="16"/>
      <c r="AQ552" s="16"/>
      <c r="AR552" s="130"/>
      <c r="AS552" s="130">
        <v>1405</v>
      </c>
      <c r="AT552" s="130"/>
      <c r="AU552" s="130"/>
      <c r="AV552" s="130"/>
      <c r="AW552" s="12"/>
      <c r="AX552" s="12"/>
      <c r="AY552" s="12"/>
      <c r="AZ552" s="481"/>
    </row>
    <row r="553" spans="1:52" ht="30" customHeight="1" x14ac:dyDescent="0.2">
      <c r="A553" s="497">
        <v>551</v>
      </c>
      <c r="B553" s="481"/>
      <c r="C553" s="16"/>
      <c r="D553" s="482"/>
      <c r="E553" s="482"/>
      <c r="F553" s="482"/>
      <c r="G553" s="495"/>
      <c r="H553" s="481"/>
      <c r="I553" s="481"/>
      <c r="J553" s="360" t="s">
        <v>158</v>
      </c>
      <c r="K553" s="482"/>
      <c r="L553" s="482"/>
      <c r="M553" s="482"/>
      <c r="N553" s="41"/>
      <c r="O553" s="13"/>
      <c r="P553" s="13"/>
      <c r="Q553" s="13"/>
      <c r="R553" s="481"/>
      <c r="S553" s="481"/>
      <c r="T553" s="481"/>
      <c r="U553" s="482"/>
      <c r="V553" s="41"/>
      <c r="W553" s="13"/>
      <c r="X553" s="482"/>
      <c r="Y553" s="481"/>
      <c r="Z553" s="481"/>
      <c r="AA553" s="481"/>
      <c r="AB553" s="16"/>
      <c r="AC553" s="16"/>
      <c r="AD553" s="16"/>
      <c r="AE553" s="16"/>
      <c r="AF553" s="16"/>
      <c r="AG553" s="16"/>
      <c r="AH553" s="16"/>
      <c r="AI553" s="16"/>
      <c r="AJ553" s="481"/>
      <c r="AK553" s="482"/>
      <c r="AL553" s="25"/>
      <c r="AM553" s="481"/>
      <c r="AN553" s="481"/>
      <c r="AO553" s="481"/>
      <c r="AP553" s="16"/>
      <c r="AQ553" s="16"/>
      <c r="AR553" s="130"/>
      <c r="AS553" s="130">
        <v>1405</v>
      </c>
      <c r="AT553" s="130"/>
      <c r="AU553" s="130"/>
      <c r="AV553" s="130"/>
      <c r="AW553" s="12"/>
      <c r="AX553" s="12"/>
      <c r="AY553" s="12"/>
      <c r="AZ553" s="481"/>
    </row>
    <row r="554" spans="1:52" ht="30" customHeight="1" x14ac:dyDescent="0.2">
      <c r="A554" s="497">
        <v>552</v>
      </c>
      <c r="B554" s="481"/>
      <c r="C554" s="16"/>
      <c r="D554" s="482"/>
      <c r="E554" s="482"/>
      <c r="F554" s="482"/>
      <c r="G554" s="495"/>
      <c r="H554" s="481"/>
      <c r="I554" s="481"/>
      <c r="J554" s="360" t="s">
        <v>158</v>
      </c>
      <c r="K554" s="482"/>
      <c r="L554" s="482"/>
      <c r="M554" s="482"/>
      <c r="N554" s="41"/>
      <c r="O554" s="13"/>
      <c r="P554" s="13"/>
      <c r="Q554" s="13"/>
      <c r="R554" s="481"/>
      <c r="S554" s="481"/>
      <c r="T554" s="481"/>
      <c r="U554" s="482"/>
      <c r="V554" s="41"/>
      <c r="W554" s="13"/>
      <c r="X554" s="482"/>
      <c r="Y554" s="481"/>
      <c r="Z554" s="481"/>
      <c r="AA554" s="481"/>
      <c r="AB554" s="16"/>
      <c r="AC554" s="16"/>
      <c r="AD554" s="16"/>
      <c r="AE554" s="16"/>
      <c r="AF554" s="16"/>
      <c r="AG554" s="16"/>
      <c r="AH554" s="16"/>
      <c r="AI554" s="16"/>
      <c r="AJ554" s="481"/>
      <c r="AK554" s="482"/>
      <c r="AL554" s="25"/>
      <c r="AM554" s="481"/>
      <c r="AN554" s="481"/>
      <c r="AO554" s="481"/>
      <c r="AP554" s="16"/>
      <c r="AQ554" s="16"/>
      <c r="AR554" s="130"/>
      <c r="AS554" s="130">
        <v>1405</v>
      </c>
      <c r="AT554" s="130"/>
      <c r="AU554" s="130"/>
      <c r="AV554" s="130"/>
      <c r="AW554" s="12"/>
      <c r="AX554" s="12"/>
      <c r="AY554" s="12"/>
      <c r="AZ554" s="481"/>
    </row>
    <row r="555" spans="1:52" ht="30" customHeight="1" x14ac:dyDescent="0.2">
      <c r="A555" s="497">
        <v>553</v>
      </c>
      <c r="B555" s="481"/>
      <c r="C555" s="16"/>
      <c r="D555" s="482"/>
      <c r="E555" s="482"/>
      <c r="F555" s="482"/>
      <c r="G555" s="495"/>
      <c r="H555" s="481"/>
      <c r="I555" s="481"/>
      <c r="J555" s="360" t="s">
        <v>158</v>
      </c>
      <c r="K555" s="482"/>
      <c r="L555" s="482"/>
      <c r="M555" s="482"/>
      <c r="N555" s="41"/>
      <c r="O555" s="13"/>
      <c r="P555" s="13"/>
      <c r="Q555" s="13"/>
      <c r="R555" s="481"/>
      <c r="S555" s="481"/>
      <c r="T555" s="481"/>
      <c r="U555" s="482"/>
      <c r="V555" s="41"/>
      <c r="W555" s="13"/>
      <c r="X555" s="482"/>
      <c r="Y555" s="481"/>
      <c r="Z555" s="481"/>
      <c r="AA555" s="481"/>
      <c r="AB555" s="16"/>
      <c r="AC555" s="16"/>
      <c r="AD555" s="16"/>
      <c r="AE555" s="16"/>
      <c r="AF555" s="16"/>
      <c r="AG555" s="16"/>
      <c r="AH555" s="16"/>
      <c r="AI555" s="16"/>
      <c r="AJ555" s="481"/>
      <c r="AK555" s="482"/>
      <c r="AL555" s="25"/>
      <c r="AM555" s="481"/>
      <c r="AN555" s="481"/>
      <c r="AO555" s="481"/>
      <c r="AP555" s="16"/>
      <c r="AQ555" s="16"/>
      <c r="AR555" s="130"/>
      <c r="AS555" s="130">
        <v>1405</v>
      </c>
      <c r="AT555" s="130"/>
      <c r="AU555" s="130"/>
      <c r="AV555" s="130"/>
      <c r="AW555" s="12"/>
      <c r="AX555" s="12"/>
      <c r="AY555" s="12"/>
      <c r="AZ555" s="481"/>
    </row>
    <row r="556" spans="1:52" ht="30" customHeight="1" x14ac:dyDescent="0.2">
      <c r="A556" s="497">
        <v>554</v>
      </c>
      <c r="B556" s="481"/>
      <c r="C556" s="16"/>
      <c r="D556" s="482"/>
      <c r="E556" s="482"/>
      <c r="F556" s="482"/>
      <c r="G556" s="495"/>
      <c r="H556" s="481"/>
      <c r="I556" s="481"/>
      <c r="J556" s="360" t="s">
        <v>158</v>
      </c>
      <c r="K556" s="482"/>
      <c r="L556" s="482"/>
      <c r="M556" s="482"/>
      <c r="N556" s="41"/>
      <c r="O556" s="13"/>
      <c r="P556" s="13"/>
      <c r="Q556" s="13"/>
      <c r="R556" s="481"/>
      <c r="S556" s="481"/>
      <c r="T556" s="481"/>
      <c r="U556" s="482"/>
      <c r="V556" s="41"/>
      <c r="W556" s="13"/>
      <c r="X556" s="482"/>
      <c r="Y556" s="481"/>
      <c r="Z556" s="481"/>
      <c r="AA556" s="481"/>
      <c r="AB556" s="16"/>
      <c r="AC556" s="16"/>
      <c r="AD556" s="16"/>
      <c r="AE556" s="16"/>
      <c r="AF556" s="16"/>
      <c r="AG556" s="16"/>
      <c r="AH556" s="16"/>
      <c r="AI556" s="16"/>
      <c r="AJ556" s="481"/>
      <c r="AK556" s="482"/>
      <c r="AL556" s="25"/>
      <c r="AM556" s="481"/>
      <c r="AN556" s="481"/>
      <c r="AO556" s="481"/>
      <c r="AP556" s="16"/>
      <c r="AQ556" s="16"/>
      <c r="AR556" s="130"/>
      <c r="AS556" s="130">
        <v>1405</v>
      </c>
      <c r="AT556" s="130"/>
      <c r="AU556" s="130"/>
      <c r="AV556" s="130"/>
      <c r="AW556" s="12"/>
      <c r="AX556" s="12"/>
      <c r="AY556" s="12"/>
      <c r="AZ556" s="481"/>
    </row>
    <row r="557" spans="1:52" ht="30" customHeight="1" x14ac:dyDescent="0.2">
      <c r="A557" s="497">
        <v>555</v>
      </c>
      <c r="B557" s="481"/>
      <c r="C557" s="16"/>
      <c r="D557" s="482"/>
      <c r="E557" s="482"/>
      <c r="F557" s="482"/>
      <c r="G557" s="495"/>
      <c r="H557" s="481"/>
      <c r="I557" s="481"/>
      <c r="J557" s="360" t="s">
        <v>158</v>
      </c>
      <c r="K557" s="482"/>
      <c r="L557" s="482"/>
      <c r="M557" s="482"/>
      <c r="N557" s="41"/>
      <c r="O557" s="13"/>
      <c r="P557" s="13"/>
      <c r="Q557" s="13"/>
      <c r="R557" s="481"/>
      <c r="S557" s="481"/>
      <c r="T557" s="481"/>
      <c r="U557" s="482"/>
      <c r="V557" s="41"/>
      <c r="W557" s="13"/>
      <c r="X557" s="482"/>
      <c r="Y557" s="481"/>
      <c r="Z557" s="481"/>
      <c r="AA557" s="481"/>
      <c r="AB557" s="16"/>
      <c r="AC557" s="16"/>
      <c r="AD557" s="16"/>
      <c r="AE557" s="16"/>
      <c r="AF557" s="16"/>
      <c r="AG557" s="16"/>
      <c r="AH557" s="16"/>
      <c r="AI557" s="16"/>
      <c r="AJ557" s="481"/>
      <c r="AK557" s="482"/>
      <c r="AL557" s="25"/>
      <c r="AM557" s="481"/>
      <c r="AN557" s="481"/>
      <c r="AO557" s="481"/>
      <c r="AP557" s="16"/>
      <c r="AQ557" s="16"/>
      <c r="AR557" s="130"/>
      <c r="AS557" s="130">
        <v>1405</v>
      </c>
      <c r="AT557" s="130"/>
      <c r="AU557" s="130"/>
      <c r="AV557" s="130"/>
      <c r="AW557" s="12"/>
      <c r="AX557" s="12"/>
      <c r="AY557" s="12"/>
      <c r="AZ557" s="481"/>
    </row>
    <row r="558" spans="1:52" ht="30" customHeight="1" x14ac:dyDescent="0.2">
      <c r="A558" s="497">
        <v>556</v>
      </c>
      <c r="B558" s="481"/>
      <c r="C558" s="16"/>
      <c r="D558" s="482"/>
      <c r="E558" s="482"/>
      <c r="F558" s="482"/>
      <c r="G558" s="495"/>
      <c r="H558" s="481"/>
      <c r="I558" s="481"/>
      <c r="J558" s="360" t="s">
        <v>158</v>
      </c>
      <c r="K558" s="482"/>
      <c r="L558" s="482"/>
      <c r="M558" s="482"/>
      <c r="N558" s="41"/>
      <c r="O558" s="13"/>
      <c r="P558" s="13"/>
      <c r="Q558" s="13"/>
      <c r="R558" s="481"/>
      <c r="S558" s="481"/>
      <c r="T558" s="481"/>
      <c r="U558" s="482"/>
      <c r="V558" s="41"/>
      <c r="W558" s="13"/>
      <c r="X558" s="482"/>
      <c r="Y558" s="481"/>
      <c r="Z558" s="481"/>
      <c r="AA558" s="481"/>
      <c r="AB558" s="16"/>
      <c r="AC558" s="16"/>
      <c r="AD558" s="16"/>
      <c r="AE558" s="16"/>
      <c r="AF558" s="16"/>
      <c r="AG558" s="16"/>
      <c r="AH558" s="16"/>
      <c r="AI558" s="16"/>
      <c r="AJ558" s="481"/>
      <c r="AK558" s="482"/>
      <c r="AL558" s="25"/>
      <c r="AM558" s="481"/>
      <c r="AN558" s="481"/>
      <c r="AO558" s="481"/>
      <c r="AP558" s="16"/>
      <c r="AQ558" s="16"/>
      <c r="AR558" s="130"/>
      <c r="AS558" s="130">
        <v>1405</v>
      </c>
      <c r="AT558" s="130"/>
      <c r="AU558" s="130"/>
      <c r="AV558" s="130"/>
      <c r="AW558" s="12"/>
      <c r="AX558" s="12"/>
      <c r="AY558" s="12"/>
      <c r="AZ558" s="481"/>
    </row>
    <row r="559" spans="1:52" ht="30" customHeight="1" x14ac:dyDescent="0.2">
      <c r="A559" s="497">
        <v>557</v>
      </c>
      <c r="B559" s="481"/>
      <c r="C559" s="16"/>
      <c r="D559" s="482"/>
      <c r="E559" s="482"/>
      <c r="F559" s="482"/>
      <c r="G559" s="495"/>
      <c r="H559" s="481"/>
      <c r="I559" s="481"/>
      <c r="J559" s="360" t="s">
        <v>158</v>
      </c>
      <c r="K559" s="482"/>
      <c r="L559" s="482"/>
      <c r="M559" s="482"/>
      <c r="N559" s="41"/>
      <c r="O559" s="13"/>
      <c r="P559" s="13"/>
      <c r="Q559" s="13"/>
      <c r="R559" s="481"/>
      <c r="S559" s="481"/>
      <c r="T559" s="481"/>
      <c r="U559" s="482"/>
      <c r="V559" s="41"/>
      <c r="W559" s="13"/>
      <c r="X559" s="482"/>
      <c r="Y559" s="481"/>
      <c r="Z559" s="481"/>
      <c r="AA559" s="481"/>
      <c r="AB559" s="16"/>
      <c r="AC559" s="16"/>
      <c r="AD559" s="16"/>
      <c r="AE559" s="16"/>
      <c r="AF559" s="16"/>
      <c r="AG559" s="16"/>
      <c r="AH559" s="16"/>
      <c r="AI559" s="16"/>
      <c r="AJ559" s="481"/>
      <c r="AK559" s="482"/>
      <c r="AL559" s="25"/>
      <c r="AM559" s="481"/>
      <c r="AN559" s="481"/>
      <c r="AO559" s="481"/>
      <c r="AP559" s="16"/>
      <c r="AQ559" s="16"/>
      <c r="AR559" s="130"/>
      <c r="AS559" s="130">
        <v>1405</v>
      </c>
      <c r="AT559" s="130"/>
      <c r="AU559" s="130"/>
      <c r="AV559" s="130"/>
      <c r="AW559" s="12"/>
      <c r="AX559" s="12"/>
      <c r="AY559" s="12"/>
      <c r="AZ559" s="481"/>
    </row>
    <row r="560" spans="1:52" ht="30" customHeight="1" x14ac:dyDescent="0.2">
      <c r="A560" s="497">
        <v>558</v>
      </c>
      <c r="B560" s="481"/>
      <c r="C560" s="16"/>
      <c r="D560" s="482"/>
      <c r="E560" s="482"/>
      <c r="F560" s="482"/>
      <c r="G560" s="495"/>
      <c r="H560" s="481"/>
      <c r="I560" s="481"/>
      <c r="J560" s="360" t="s">
        <v>158</v>
      </c>
      <c r="K560" s="482"/>
      <c r="L560" s="482"/>
      <c r="M560" s="482"/>
      <c r="N560" s="41"/>
      <c r="O560" s="13"/>
      <c r="P560" s="13"/>
      <c r="Q560" s="13"/>
      <c r="R560" s="481"/>
      <c r="S560" s="481"/>
      <c r="T560" s="481"/>
      <c r="U560" s="482"/>
      <c r="V560" s="41"/>
      <c r="W560" s="13"/>
      <c r="X560" s="482"/>
      <c r="Y560" s="481"/>
      <c r="Z560" s="481"/>
      <c r="AA560" s="481"/>
      <c r="AB560" s="16"/>
      <c r="AC560" s="16"/>
      <c r="AD560" s="16"/>
      <c r="AE560" s="16"/>
      <c r="AF560" s="16"/>
      <c r="AG560" s="16"/>
      <c r="AH560" s="16"/>
      <c r="AI560" s="16"/>
      <c r="AJ560" s="481"/>
      <c r="AK560" s="482"/>
      <c r="AL560" s="25"/>
      <c r="AM560" s="481"/>
      <c r="AN560" s="481"/>
      <c r="AO560" s="481"/>
      <c r="AP560" s="16"/>
      <c r="AQ560" s="16"/>
      <c r="AR560" s="130"/>
      <c r="AS560" s="130">
        <v>1405</v>
      </c>
      <c r="AT560" s="130"/>
      <c r="AU560" s="130"/>
      <c r="AV560" s="130"/>
      <c r="AW560" s="12"/>
      <c r="AX560" s="12"/>
      <c r="AY560" s="12"/>
      <c r="AZ560" s="481"/>
    </row>
    <row r="561" spans="1:52" ht="30" customHeight="1" x14ac:dyDescent="0.2">
      <c r="A561" s="497">
        <v>559</v>
      </c>
      <c r="B561" s="481"/>
      <c r="C561" s="16"/>
      <c r="D561" s="482"/>
      <c r="E561" s="482"/>
      <c r="F561" s="482"/>
      <c r="G561" s="495"/>
      <c r="H561" s="481"/>
      <c r="I561" s="481"/>
      <c r="J561" s="360" t="s">
        <v>158</v>
      </c>
      <c r="K561" s="482"/>
      <c r="L561" s="482"/>
      <c r="M561" s="482"/>
      <c r="N561" s="41"/>
      <c r="O561" s="13"/>
      <c r="P561" s="13"/>
      <c r="Q561" s="13"/>
      <c r="R561" s="481"/>
      <c r="S561" s="481"/>
      <c r="T561" s="481"/>
      <c r="U561" s="482"/>
      <c r="V561" s="41"/>
      <c r="W561" s="13"/>
      <c r="X561" s="482"/>
      <c r="Y561" s="481"/>
      <c r="Z561" s="481"/>
      <c r="AA561" s="481"/>
      <c r="AB561" s="16"/>
      <c r="AC561" s="16"/>
      <c r="AD561" s="16"/>
      <c r="AE561" s="16"/>
      <c r="AF561" s="16"/>
      <c r="AG561" s="16"/>
      <c r="AH561" s="16"/>
      <c r="AI561" s="16"/>
      <c r="AJ561" s="481"/>
      <c r="AK561" s="482"/>
      <c r="AL561" s="25"/>
      <c r="AM561" s="481"/>
      <c r="AN561" s="481"/>
      <c r="AO561" s="481"/>
      <c r="AP561" s="16"/>
      <c r="AQ561" s="16"/>
      <c r="AR561" s="130"/>
      <c r="AS561" s="130">
        <v>1405</v>
      </c>
      <c r="AT561" s="130"/>
      <c r="AU561" s="130"/>
      <c r="AV561" s="130"/>
      <c r="AW561" s="12"/>
      <c r="AX561" s="12"/>
      <c r="AY561" s="12"/>
      <c r="AZ561" s="481"/>
    </row>
    <row r="562" spans="1:52" ht="30" customHeight="1" x14ac:dyDescent="0.2">
      <c r="A562" s="497">
        <v>560</v>
      </c>
      <c r="B562" s="481"/>
      <c r="C562" s="16"/>
      <c r="D562" s="482"/>
      <c r="E562" s="482"/>
      <c r="F562" s="482"/>
      <c r="G562" s="495"/>
      <c r="H562" s="481"/>
      <c r="I562" s="481"/>
      <c r="J562" s="360" t="s">
        <v>158</v>
      </c>
      <c r="K562" s="482"/>
      <c r="L562" s="482"/>
      <c r="M562" s="482"/>
      <c r="N562" s="41"/>
      <c r="O562" s="13"/>
      <c r="P562" s="13"/>
      <c r="Q562" s="13"/>
      <c r="R562" s="481"/>
      <c r="S562" s="481"/>
      <c r="T562" s="481"/>
      <c r="U562" s="482"/>
      <c r="V562" s="41"/>
      <c r="W562" s="13"/>
      <c r="X562" s="482"/>
      <c r="Y562" s="481"/>
      <c r="Z562" s="481"/>
      <c r="AA562" s="481"/>
      <c r="AB562" s="16"/>
      <c r="AC562" s="16"/>
      <c r="AD562" s="16"/>
      <c r="AE562" s="16"/>
      <c r="AF562" s="16"/>
      <c r="AG562" s="16"/>
      <c r="AH562" s="16"/>
      <c r="AI562" s="16"/>
      <c r="AJ562" s="481"/>
      <c r="AK562" s="482"/>
      <c r="AL562" s="25"/>
      <c r="AM562" s="481"/>
      <c r="AN562" s="481"/>
      <c r="AO562" s="481"/>
      <c r="AP562" s="16"/>
      <c r="AQ562" s="16"/>
      <c r="AR562" s="130"/>
      <c r="AS562" s="130">
        <v>1405</v>
      </c>
      <c r="AT562" s="130"/>
      <c r="AU562" s="130"/>
      <c r="AV562" s="130"/>
      <c r="AW562" s="12"/>
      <c r="AX562" s="12"/>
      <c r="AY562" s="12"/>
      <c r="AZ562" s="481"/>
    </row>
    <row r="563" spans="1:52" ht="30" customHeight="1" x14ac:dyDescent="0.2">
      <c r="A563" s="497">
        <v>561</v>
      </c>
      <c r="B563" s="481"/>
      <c r="C563" s="16"/>
      <c r="D563" s="482"/>
      <c r="E563" s="482"/>
      <c r="F563" s="482"/>
      <c r="G563" s="495"/>
      <c r="H563" s="481"/>
      <c r="I563" s="481"/>
      <c r="J563" s="360" t="s">
        <v>158</v>
      </c>
      <c r="K563" s="482"/>
      <c r="L563" s="482"/>
      <c r="M563" s="482"/>
      <c r="N563" s="41"/>
      <c r="O563" s="13"/>
      <c r="P563" s="13"/>
      <c r="Q563" s="13"/>
      <c r="R563" s="481"/>
      <c r="S563" s="481"/>
      <c r="T563" s="481"/>
      <c r="U563" s="482"/>
      <c r="V563" s="41"/>
      <c r="W563" s="13"/>
      <c r="X563" s="482"/>
      <c r="Y563" s="481"/>
      <c r="Z563" s="481"/>
      <c r="AA563" s="481"/>
      <c r="AB563" s="16"/>
      <c r="AC563" s="16"/>
      <c r="AD563" s="16"/>
      <c r="AE563" s="16"/>
      <c r="AF563" s="16"/>
      <c r="AG563" s="16"/>
      <c r="AH563" s="16"/>
      <c r="AI563" s="16"/>
      <c r="AJ563" s="481"/>
      <c r="AK563" s="482"/>
      <c r="AL563" s="25"/>
      <c r="AM563" s="481"/>
      <c r="AN563" s="481"/>
      <c r="AO563" s="481"/>
      <c r="AP563" s="16"/>
      <c r="AQ563" s="16"/>
      <c r="AR563" s="130"/>
      <c r="AS563" s="130">
        <v>1405</v>
      </c>
      <c r="AT563" s="130"/>
      <c r="AU563" s="130"/>
      <c r="AV563" s="130"/>
      <c r="AW563" s="12"/>
      <c r="AX563" s="12"/>
      <c r="AY563" s="12"/>
      <c r="AZ563" s="481"/>
    </row>
    <row r="564" spans="1:52" ht="30" customHeight="1" x14ac:dyDescent="0.2">
      <c r="A564" s="497">
        <v>562</v>
      </c>
      <c r="B564" s="481"/>
      <c r="C564" s="16"/>
      <c r="D564" s="482"/>
      <c r="E564" s="482"/>
      <c r="F564" s="482"/>
      <c r="G564" s="495"/>
      <c r="H564" s="481"/>
      <c r="I564" s="481"/>
      <c r="J564" s="360" t="s">
        <v>158</v>
      </c>
      <c r="K564" s="482"/>
      <c r="L564" s="482"/>
      <c r="M564" s="482"/>
      <c r="N564" s="41"/>
      <c r="O564" s="13"/>
      <c r="P564" s="13"/>
      <c r="Q564" s="13"/>
      <c r="R564" s="481"/>
      <c r="S564" s="481"/>
      <c r="T564" s="481"/>
      <c r="U564" s="482"/>
      <c r="V564" s="41"/>
      <c r="W564" s="13"/>
      <c r="X564" s="482"/>
      <c r="Y564" s="481"/>
      <c r="Z564" s="481"/>
      <c r="AA564" s="481"/>
      <c r="AB564" s="16"/>
      <c r="AC564" s="16"/>
      <c r="AD564" s="16"/>
      <c r="AE564" s="16"/>
      <c r="AF564" s="16"/>
      <c r="AG564" s="16"/>
      <c r="AH564" s="16"/>
      <c r="AI564" s="16"/>
      <c r="AJ564" s="481"/>
      <c r="AK564" s="482"/>
      <c r="AL564" s="25"/>
      <c r="AM564" s="481"/>
      <c r="AN564" s="481"/>
      <c r="AO564" s="481"/>
      <c r="AP564" s="16"/>
      <c r="AQ564" s="16"/>
      <c r="AR564" s="130"/>
      <c r="AS564" s="130">
        <v>1405</v>
      </c>
      <c r="AT564" s="130"/>
      <c r="AU564" s="130"/>
      <c r="AV564" s="130"/>
      <c r="AW564" s="12"/>
      <c r="AX564" s="12"/>
      <c r="AY564" s="12"/>
      <c r="AZ564" s="481"/>
    </row>
    <row r="565" spans="1:52" ht="30" customHeight="1" x14ac:dyDescent="0.2">
      <c r="A565" s="497">
        <v>563</v>
      </c>
      <c r="B565" s="481"/>
      <c r="C565" s="16"/>
      <c r="D565" s="482"/>
      <c r="E565" s="482"/>
      <c r="F565" s="482"/>
      <c r="G565" s="495"/>
      <c r="H565" s="481"/>
      <c r="I565" s="481"/>
      <c r="J565" s="360" t="s">
        <v>158</v>
      </c>
      <c r="K565" s="482"/>
      <c r="L565" s="482"/>
      <c r="M565" s="482"/>
      <c r="N565" s="41"/>
      <c r="O565" s="13"/>
      <c r="P565" s="13"/>
      <c r="Q565" s="13"/>
      <c r="R565" s="481"/>
      <c r="S565" s="481"/>
      <c r="T565" s="481"/>
      <c r="U565" s="482"/>
      <c r="V565" s="41"/>
      <c r="W565" s="13"/>
      <c r="X565" s="482"/>
      <c r="Y565" s="481"/>
      <c r="Z565" s="481"/>
      <c r="AA565" s="481"/>
      <c r="AB565" s="16"/>
      <c r="AC565" s="16"/>
      <c r="AD565" s="16"/>
      <c r="AE565" s="16"/>
      <c r="AF565" s="16"/>
      <c r="AG565" s="16"/>
      <c r="AH565" s="16"/>
      <c r="AI565" s="16"/>
      <c r="AJ565" s="481"/>
      <c r="AK565" s="482"/>
      <c r="AL565" s="25"/>
      <c r="AM565" s="481"/>
      <c r="AN565" s="481"/>
      <c r="AO565" s="481"/>
      <c r="AP565" s="16"/>
      <c r="AQ565" s="16"/>
      <c r="AR565" s="130"/>
      <c r="AS565" s="130">
        <v>1405</v>
      </c>
      <c r="AT565" s="130"/>
      <c r="AU565" s="130"/>
      <c r="AV565" s="130"/>
      <c r="AW565" s="12"/>
      <c r="AX565" s="12"/>
      <c r="AY565" s="12"/>
      <c r="AZ565" s="481"/>
    </row>
    <row r="566" spans="1:52" ht="30" customHeight="1" x14ac:dyDescent="0.2">
      <c r="A566" s="497">
        <v>564</v>
      </c>
      <c r="B566" s="481"/>
      <c r="C566" s="16"/>
      <c r="D566" s="482"/>
      <c r="E566" s="482"/>
      <c r="F566" s="482"/>
      <c r="G566" s="495"/>
      <c r="H566" s="481"/>
      <c r="I566" s="481"/>
      <c r="J566" s="360" t="s">
        <v>158</v>
      </c>
      <c r="K566" s="482"/>
      <c r="L566" s="482"/>
      <c r="M566" s="482"/>
      <c r="N566" s="41"/>
      <c r="O566" s="13"/>
      <c r="P566" s="13"/>
      <c r="Q566" s="13"/>
      <c r="R566" s="481"/>
      <c r="S566" s="481"/>
      <c r="T566" s="481"/>
      <c r="U566" s="482"/>
      <c r="V566" s="41"/>
      <c r="W566" s="13"/>
      <c r="X566" s="482"/>
      <c r="Y566" s="481"/>
      <c r="Z566" s="481"/>
      <c r="AA566" s="481"/>
      <c r="AB566" s="16"/>
      <c r="AC566" s="16"/>
      <c r="AD566" s="16"/>
      <c r="AE566" s="16"/>
      <c r="AF566" s="16"/>
      <c r="AG566" s="16"/>
      <c r="AH566" s="16"/>
      <c r="AI566" s="16"/>
      <c r="AJ566" s="481"/>
      <c r="AK566" s="482"/>
      <c r="AL566" s="25"/>
      <c r="AM566" s="481"/>
      <c r="AN566" s="481"/>
      <c r="AO566" s="481"/>
      <c r="AP566" s="16"/>
      <c r="AQ566" s="16"/>
      <c r="AR566" s="130"/>
      <c r="AS566" s="130">
        <v>1405</v>
      </c>
      <c r="AT566" s="130"/>
      <c r="AU566" s="130"/>
      <c r="AV566" s="130"/>
      <c r="AW566" s="12"/>
      <c r="AX566" s="12"/>
      <c r="AY566" s="12"/>
      <c r="AZ566" s="481"/>
    </row>
    <row r="567" spans="1:52" ht="30" customHeight="1" x14ac:dyDescent="0.2">
      <c r="A567" s="497">
        <v>565</v>
      </c>
      <c r="B567" s="481"/>
      <c r="C567" s="16"/>
      <c r="D567" s="482"/>
      <c r="E567" s="482"/>
      <c r="F567" s="482"/>
      <c r="G567" s="495"/>
      <c r="H567" s="481"/>
      <c r="I567" s="481"/>
      <c r="J567" s="360" t="s">
        <v>158</v>
      </c>
      <c r="K567" s="482"/>
      <c r="L567" s="482"/>
      <c r="M567" s="482"/>
      <c r="N567" s="41"/>
      <c r="O567" s="13"/>
      <c r="P567" s="13"/>
      <c r="Q567" s="13"/>
      <c r="R567" s="481"/>
      <c r="S567" s="481"/>
      <c r="T567" s="481"/>
      <c r="U567" s="482"/>
      <c r="V567" s="41"/>
      <c r="W567" s="13"/>
      <c r="X567" s="482"/>
      <c r="Y567" s="481"/>
      <c r="Z567" s="481"/>
      <c r="AA567" s="481"/>
      <c r="AB567" s="16"/>
      <c r="AC567" s="16"/>
      <c r="AD567" s="16"/>
      <c r="AE567" s="16"/>
      <c r="AF567" s="16"/>
      <c r="AG567" s="16"/>
      <c r="AH567" s="16"/>
      <c r="AI567" s="16"/>
      <c r="AJ567" s="481"/>
      <c r="AK567" s="482"/>
      <c r="AL567" s="25"/>
      <c r="AM567" s="481"/>
      <c r="AN567" s="481"/>
      <c r="AO567" s="481"/>
      <c r="AP567" s="16"/>
      <c r="AQ567" s="16"/>
      <c r="AR567" s="130"/>
      <c r="AS567" s="130">
        <v>1405</v>
      </c>
      <c r="AT567" s="130"/>
      <c r="AU567" s="130"/>
      <c r="AV567" s="130"/>
      <c r="AW567" s="12"/>
      <c r="AX567" s="12"/>
      <c r="AY567" s="12"/>
      <c r="AZ567" s="481"/>
    </row>
    <row r="568" spans="1:52" ht="30" customHeight="1" x14ac:dyDescent="0.2">
      <c r="A568" s="497">
        <v>566</v>
      </c>
      <c r="B568" s="481"/>
      <c r="C568" s="16"/>
      <c r="D568" s="482"/>
      <c r="E568" s="482"/>
      <c r="F568" s="482"/>
      <c r="G568" s="495"/>
      <c r="H568" s="481"/>
      <c r="I568" s="481"/>
      <c r="J568" s="360" t="s">
        <v>158</v>
      </c>
      <c r="K568" s="482"/>
      <c r="L568" s="482"/>
      <c r="M568" s="482"/>
      <c r="N568" s="41"/>
      <c r="O568" s="13"/>
      <c r="P568" s="13"/>
      <c r="Q568" s="13"/>
      <c r="R568" s="481"/>
      <c r="S568" s="481"/>
      <c r="T568" s="481"/>
      <c r="U568" s="482"/>
      <c r="V568" s="41"/>
      <c r="W568" s="13"/>
      <c r="X568" s="482"/>
      <c r="Y568" s="481"/>
      <c r="Z568" s="481"/>
      <c r="AA568" s="481"/>
      <c r="AB568" s="16"/>
      <c r="AC568" s="16"/>
      <c r="AD568" s="16"/>
      <c r="AE568" s="16"/>
      <c r="AF568" s="16"/>
      <c r="AG568" s="16"/>
      <c r="AH568" s="16"/>
      <c r="AI568" s="16"/>
      <c r="AJ568" s="481"/>
      <c r="AK568" s="482"/>
      <c r="AL568" s="25"/>
      <c r="AM568" s="481"/>
      <c r="AN568" s="481"/>
      <c r="AO568" s="481"/>
      <c r="AP568" s="16"/>
      <c r="AQ568" s="16"/>
      <c r="AR568" s="130"/>
      <c r="AS568" s="130">
        <v>1405</v>
      </c>
      <c r="AT568" s="130"/>
      <c r="AU568" s="130"/>
      <c r="AV568" s="130"/>
      <c r="AW568" s="12"/>
      <c r="AX568" s="12"/>
      <c r="AY568" s="12"/>
      <c r="AZ568" s="481"/>
    </row>
    <row r="569" spans="1:52" ht="30" customHeight="1" x14ac:dyDescent="0.2">
      <c r="A569" s="497">
        <v>567</v>
      </c>
      <c r="B569" s="481"/>
      <c r="C569" s="16"/>
      <c r="D569" s="482"/>
      <c r="E569" s="482"/>
      <c r="F569" s="482"/>
      <c r="G569" s="495"/>
      <c r="H569" s="481"/>
      <c r="I569" s="481"/>
      <c r="J569" s="360" t="s">
        <v>158</v>
      </c>
      <c r="K569" s="482"/>
      <c r="L569" s="482"/>
      <c r="M569" s="482"/>
      <c r="N569" s="41"/>
      <c r="O569" s="13"/>
      <c r="P569" s="13"/>
      <c r="Q569" s="13"/>
      <c r="R569" s="481"/>
      <c r="S569" s="481"/>
      <c r="T569" s="481"/>
      <c r="U569" s="482"/>
      <c r="V569" s="41"/>
      <c r="W569" s="13"/>
      <c r="X569" s="482"/>
      <c r="Y569" s="481"/>
      <c r="Z569" s="481"/>
      <c r="AA569" s="481"/>
      <c r="AB569" s="16"/>
      <c r="AC569" s="16"/>
      <c r="AD569" s="16"/>
      <c r="AE569" s="16"/>
      <c r="AF569" s="16"/>
      <c r="AG569" s="16"/>
      <c r="AH569" s="16"/>
      <c r="AI569" s="16"/>
      <c r="AJ569" s="481"/>
      <c r="AK569" s="482"/>
      <c r="AL569" s="25"/>
      <c r="AM569" s="481"/>
      <c r="AN569" s="481"/>
      <c r="AO569" s="481"/>
      <c r="AP569" s="16"/>
      <c r="AQ569" s="16"/>
      <c r="AR569" s="130"/>
      <c r="AS569" s="130">
        <v>1405</v>
      </c>
      <c r="AT569" s="130"/>
      <c r="AU569" s="130"/>
      <c r="AV569" s="130"/>
      <c r="AW569" s="12"/>
      <c r="AX569" s="12"/>
      <c r="AY569" s="12"/>
      <c r="AZ569" s="481"/>
    </row>
    <row r="570" spans="1:52" ht="30" customHeight="1" x14ac:dyDescent="0.2">
      <c r="A570" s="497">
        <v>568</v>
      </c>
      <c r="B570" s="481"/>
      <c r="C570" s="16"/>
      <c r="D570" s="482"/>
      <c r="E570" s="482"/>
      <c r="F570" s="482"/>
      <c r="G570" s="495"/>
      <c r="H570" s="481"/>
      <c r="I570" s="481"/>
      <c r="J570" s="360" t="s">
        <v>158</v>
      </c>
      <c r="K570" s="482"/>
      <c r="L570" s="482"/>
      <c r="M570" s="482"/>
      <c r="N570" s="41"/>
      <c r="O570" s="13"/>
      <c r="P570" s="13"/>
      <c r="Q570" s="13"/>
      <c r="R570" s="481"/>
      <c r="S570" s="481"/>
      <c r="T570" s="481"/>
      <c r="U570" s="482"/>
      <c r="V570" s="41"/>
      <c r="W570" s="13"/>
      <c r="X570" s="482"/>
      <c r="Y570" s="481"/>
      <c r="Z570" s="481"/>
      <c r="AA570" s="481"/>
      <c r="AB570" s="16"/>
      <c r="AC570" s="16"/>
      <c r="AD570" s="16"/>
      <c r="AE570" s="16"/>
      <c r="AF570" s="16"/>
      <c r="AG570" s="16"/>
      <c r="AH570" s="16"/>
      <c r="AI570" s="16"/>
      <c r="AJ570" s="481"/>
      <c r="AK570" s="482"/>
      <c r="AL570" s="25"/>
      <c r="AM570" s="481"/>
      <c r="AN570" s="481"/>
      <c r="AO570" s="481"/>
      <c r="AP570" s="16"/>
      <c r="AQ570" s="16"/>
      <c r="AR570" s="130"/>
      <c r="AS570" s="130">
        <v>1405</v>
      </c>
      <c r="AT570" s="130"/>
      <c r="AU570" s="130"/>
      <c r="AV570" s="130"/>
      <c r="AW570" s="12"/>
      <c r="AX570" s="12"/>
      <c r="AY570" s="12"/>
      <c r="AZ570" s="481"/>
    </row>
    <row r="571" spans="1:52" ht="30" customHeight="1" x14ac:dyDescent="0.2">
      <c r="A571" s="497">
        <v>569</v>
      </c>
      <c r="B571" s="481"/>
      <c r="C571" s="16"/>
      <c r="D571" s="482"/>
      <c r="E571" s="482"/>
      <c r="F571" s="482"/>
      <c r="G571" s="495"/>
      <c r="H571" s="481"/>
      <c r="I571" s="481"/>
      <c r="J571" s="360" t="s">
        <v>158</v>
      </c>
      <c r="K571" s="482"/>
      <c r="L571" s="482"/>
      <c r="M571" s="482"/>
      <c r="N571" s="41"/>
      <c r="O571" s="13"/>
      <c r="P571" s="13"/>
      <c r="Q571" s="13"/>
      <c r="R571" s="481"/>
      <c r="S571" s="481"/>
      <c r="T571" s="481"/>
      <c r="U571" s="482"/>
      <c r="V571" s="41"/>
      <c r="W571" s="13"/>
      <c r="X571" s="482"/>
      <c r="Y571" s="481"/>
      <c r="Z571" s="481"/>
      <c r="AA571" s="481"/>
      <c r="AB571" s="16"/>
      <c r="AC571" s="16"/>
      <c r="AD571" s="16"/>
      <c r="AE571" s="16"/>
      <c r="AF571" s="16"/>
      <c r="AG571" s="16"/>
      <c r="AH571" s="16"/>
      <c r="AI571" s="16"/>
      <c r="AJ571" s="481"/>
      <c r="AK571" s="482"/>
      <c r="AL571" s="25"/>
      <c r="AM571" s="481"/>
      <c r="AN571" s="481"/>
      <c r="AO571" s="481"/>
      <c r="AP571" s="16"/>
      <c r="AQ571" s="16"/>
      <c r="AR571" s="130"/>
      <c r="AS571" s="130">
        <v>1405</v>
      </c>
      <c r="AT571" s="130"/>
      <c r="AU571" s="130"/>
      <c r="AV571" s="130"/>
      <c r="AW571" s="12"/>
      <c r="AX571" s="12"/>
      <c r="AY571" s="12"/>
      <c r="AZ571" s="481"/>
    </row>
    <row r="572" spans="1:52" ht="30" customHeight="1" x14ac:dyDescent="0.2">
      <c r="A572" s="497">
        <v>570</v>
      </c>
      <c r="B572" s="481"/>
      <c r="C572" s="16"/>
      <c r="D572" s="482"/>
      <c r="E572" s="482"/>
      <c r="F572" s="482"/>
      <c r="G572" s="495"/>
      <c r="H572" s="481"/>
      <c r="I572" s="481"/>
      <c r="J572" s="360" t="s">
        <v>158</v>
      </c>
      <c r="K572" s="482"/>
      <c r="L572" s="482"/>
      <c r="M572" s="482"/>
      <c r="N572" s="41"/>
      <c r="O572" s="13"/>
      <c r="P572" s="13"/>
      <c r="Q572" s="13"/>
      <c r="R572" s="481"/>
      <c r="S572" s="481"/>
      <c r="T572" s="481"/>
      <c r="U572" s="482"/>
      <c r="V572" s="41"/>
      <c r="W572" s="13"/>
      <c r="X572" s="482"/>
      <c r="Y572" s="481"/>
      <c r="Z572" s="481"/>
      <c r="AA572" s="481"/>
      <c r="AB572" s="16"/>
      <c r="AC572" s="16"/>
      <c r="AD572" s="16"/>
      <c r="AE572" s="16"/>
      <c r="AF572" s="16"/>
      <c r="AG572" s="16"/>
      <c r="AH572" s="16"/>
      <c r="AI572" s="16"/>
      <c r="AJ572" s="481"/>
      <c r="AK572" s="482"/>
      <c r="AL572" s="25"/>
      <c r="AM572" s="481"/>
      <c r="AN572" s="481"/>
      <c r="AO572" s="481"/>
      <c r="AP572" s="16"/>
      <c r="AQ572" s="16"/>
      <c r="AR572" s="130"/>
      <c r="AS572" s="130">
        <v>1405</v>
      </c>
      <c r="AT572" s="130"/>
      <c r="AU572" s="130"/>
      <c r="AV572" s="130"/>
      <c r="AW572" s="12"/>
      <c r="AX572" s="12"/>
      <c r="AY572" s="12"/>
      <c r="AZ572" s="481"/>
    </row>
    <row r="573" spans="1:52" ht="30" customHeight="1" x14ac:dyDescent="0.2">
      <c r="A573" s="497">
        <v>571</v>
      </c>
      <c r="B573" s="481"/>
      <c r="C573" s="16"/>
      <c r="D573" s="482"/>
      <c r="E573" s="482"/>
      <c r="F573" s="482"/>
      <c r="G573" s="495"/>
      <c r="H573" s="481"/>
      <c r="I573" s="481"/>
      <c r="J573" s="360" t="s">
        <v>158</v>
      </c>
      <c r="K573" s="482"/>
      <c r="L573" s="482"/>
      <c r="M573" s="482"/>
      <c r="N573" s="41"/>
      <c r="O573" s="13"/>
      <c r="P573" s="13"/>
      <c r="Q573" s="13"/>
      <c r="R573" s="481"/>
      <c r="S573" s="481"/>
      <c r="T573" s="481"/>
      <c r="U573" s="482"/>
      <c r="V573" s="41"/>
      <c r="W573" s="13"/>
      <c r="X573" s="482"/>
      <c r="Y573" s="481"/>
      <c r="Z573" s="481"/>
      <c r="AA573" s="481"/>
      <c r="AB573" s="16"/>
      <c r="AC573" s="16"/>
      <c r="AD573" s="16"/>
      <c r="AE573" s="16"/>
      <c r="AF573" s="16"/>
      <c r="AG573" s="16"/>
      <c r="AH573" s="16"/>
      <c r="AI573" s="16"/>
      <c r="AJ573" s="481"/>
      <c r="AK573" s="482"/>
      <c r="AL573" s="25"/>
      <c r="AM573" s="481"/>
      <c r="AN573" s="481"/>
      <c r="AO573" s="481"/>
      <c r="AP573" s="16"/>
      <c r="AQ573" s="16"/>
      <c r="AR573" s="130"/>
      <c r="AS573" s="130">
        <v>1405</v>
      </c>
      <c r="AT573" s="130"/>
      <c r="AU573" s="130"/>
      <c r="AV573" s="130"/>
      <c r="AW573" s="12"/>
      <c r="AX573" s="12"/>
      <c r="AY573" s="12"/>
      <c r="AZ573" s="481"/>
    </row>
    <row r="574" spans="1:52" ht="30" customHeight="1" x14ac:dyDescent="0.2">
      <c r="A574" s="497">
        <v>572</v>
      </c>
      <c r="B574" s="481"/>
      <c r="C574" s="16"/>
      <c r="D574" s="482"/>
      <c r="E574" s="482"/>
      <c r="F574" s="482"/>
      <c r="G574" s="495"/>
      <c r="H574" s="481"/>
      <c r="I574" s="481"/>
      <c r="J574" s="360" t="s">
        <v>158</v>
      </c>
      <c r="K574" s="482"/>
      <c r="L574" s="482"/>
      <c r="M574" s="482"/>
      <c r="N574" s="41"/>
      <c r="O574" s="13"/>
      <c r="P574" s="13"/>
      <c r="Q574" s="13"/>
      <c r="R574" s="481"/>
      <c r="S574" s="481"/>
      <c r="T574" s="481"/>
      <c r="U574" s="482"/>
      <c r="V574" s="41"/>
      <c r="W574" s="13"/>
      <c r="X574" s="482"/>
      <c r="Y574" s="481"/>
      <c r="Z574" s="481"/>
      <c r="AA574" s="481"/>
      <c r="AB574" s="16"/>
      <c r="AC574" s="16"/>
      <c r="AD574" s="16"/>
      <c r="AE574" s="16"/>
      <c r="AF574" s="16"/>
      <c r="AG574" s="16"/>
      <c r="AH574" s="16"/>
      <c r="AI574" s="16"/>
      <c r="AJ574" s="481"/>
      <c r="AK574" s="482"/>
      <c r="AL574" s="25"/>
      <c r="AM574" s="481"/>
      <c r="AN574" s="481"/>
      <c r="AO574" s="481"/>
      <c r="AP574" s="16"/>
      <c r="AQ574" s="16"/>
      <c r="AR574" s="130"/>
      <c r="AS574" s="130">
        <v>1405</v>
      </c>
      <c r="AT574" s="130"/>
      <c r="AU574" s="130"/>
      <c r="AV574" s="130"/>
      <c r="AW574" s="12"/>
      <c r="AX574" s="12"/>
      <c r="AY574" s="12"/>
      <c r="AZ574" s="481"/>
    </row>
    <row r="575" spans="1:52" ht="30" customHeight="1" x14ac:dyDescent="0.2">
      <c r="A575" s="497">
        <v>573</v>
      </c>
      <c r="B575" s="481"/>
      <c r="C575" s="16"/>
      <c r="D575" s="482"/>
      <c r="E575" s="482"/>
      <c r="F575" s="482"/>
      <c r="G575" s="495"/>
      <c r="H575" s="481"/>
      <c r="I575" s="481"/>
      <c r="J575" s="360" t="s">
        <v>158</v>
      </c>
      <c r="K575" s="482"/>
      <c r="L575" s="482"/>
      <c r="M575" s="482"/>
      <c r="N575" s="41"/>
      <c r="O575" s="13"/>
      <c r="P575" s="13"/>
      <c r="Q575" s="13"/>
      <c r="R575" s="481"/>
      <c r="S575" s="481"/>
      <c r="T575" s="481"/>
      <c r="U575" s="482"/>
      <c r="V575" s="41"/>
      <c r="W575" s="13"/>
      <c r="X575" s="482"/>
      <c r="Y575" s="481"/>
      <c r="Z575" s="481"/>
      <c r="AA575" s="481"/>
      <c r="AB575" s="16"/>
      <c r="AC575" s="16"/>
      <c r="AD575" s="16"/>
      <c r="AE575" s="16"/>
      <c r="AF575" s="16"/>
      <c r="AG575" s="16"/>
      <c r="AH575" s="16"/>
      <c r="AI575" s="16"/>
      <c r="AJ575" s="481"/>
      <c r="AK575" s="482"/>
      <c r="AL575" s="25"/>
      <c r="AM575" s="481"/>
      <c r="AN575" s="481"/>
      <c r="AO575" s="481"/>
      <c r="AP575" s="16"/>
      <c r="AQ575" s="16"/>
      <c r="AR575" s="130"/>
      <c r="AS575" s="130">
        <v>1405</v>
      </c>
      <c r="AT575" s="130"/>
      <c r="AU575" s="130"/>
      <c r="AV575" s="130"/>
      <c r="AW575" s="12"/>
      <c r="AX575" s="12"/>
      <c r="AY575" s="12"/>
      <c r="AZ575" s="481"/>
    </row>
    <row r="576" spans="1:52" ht="30" customHeight="1" x14ac:dyDescent="0.2">
      <c r="A576" s="497">
        <v>574</v>
      </c>
      <c r="B576" s="481"/>
      <c r="C576" s="16"/>
      <c r="D576" s="482"/>
      <c r="E576" s="482"/>
      <c r="F576" s="482"/>
      <c r="G576" s="495"/>
      <c r="H576" s="481"/>
      <c r="I576" s="481"/>
      <c r="J576" s="360" t="s">
        <v>158</v>
      </c>
      <c r="K576" s="482"/>
      <c r="L576" s="482"/>
      <c r="M576" s="482"/>
      <c r="N576" s="41"/>
      <c r="O576" s="13"/>
      <c r="P576" s="13"/>
      <c r="Q576" s="13"/>
      <c r="R576" s="481"/>
      <c r="S576" s="481"/>
      <c r="T576" s="481"/>
      <c r="U576" s="482"/>
      <c r="V576" s="41"/>
      <c r="W576" s="13"/>
      <c r="X576" s="482"/>
      <c r="Y576" s="481"/>
      <c r="Z576" s="481"/>
      <c r="AA576" s="481"/>
      <c r="AB576" s="16"/>
      <c r="AC576" s="16"/>
      <c r="AD576" s="16"/>
      <c r="AE576" s="16"/>
      <c r="AF576" s="16"/>
      <c r="AG576" s="16"/>
      <c r="AH576" s="16"/>
      <c r="AI576" s="16"/>
      <c r="AJ576" s="481"/>
      <c r="AK576" s="482"/>
      <c r="AL576" s="25"/>
      <c r="AM576" s="481"/>
      <c r="AN576" s="481"/>
      <c r="AO576" s="481"/>
      <c r="AP576" s="16"/>
      <c r="AQ576" s="16"/>
      <c r="AR576" s="130"/>
      <c r="AS576" s="130">
        <v>1405</v>
      </c>
      <c r="AT576" s="130"/>
      <c r="AU576" s="130"/>
      <c r="AV576" s="130"/>
      <c r="AW576" s="12"/>
      <c r="AX576" s="12"/>
      <c r="AY576" s="12"/>
      <c r="AZ576" s="481"/>
    </row>
    <row r="577" spans="1:52" ht="30" customHeight="1" x14ac:dyDescent="0.2">
      <c r="A577" s="497">
        <v>575</v>
      </c>
      <c r="B577" s="481"/>
      <c r="C577" s="16"/>
      <c r="D577" s="482"/>
      <c r="E577" s="482"/>
      <c r="F577" s="482"/>
      <c r="G577" s="495"/>
      <c r="H577" s="481"/>
      <c r="I577" s="481"/>
      <c r="J577" s="360" t="s">
        <v>158</v>
      </c>
      <c r="K577" s="482"/>
      <c r="L577" s="482"/>
      <c r="M577" s="482"/>
      <c r="N577" s="41"/>
      <c r="O577" s="13"/>
      <c r="P577" s="13"/>
      <c r="Q577" s="13"/>
      <c r="R577" s="481"/>
      <c r="S577" s="481"/>
      <c r="T577" s="481"/>
      <c r="U577" s="482"/>
      <c r="V577" s="41"/>
      <c r="W577" s="13"/>
      <c r="X577" s="482"/>
      <c r="Y577" s="481"/>
      <c r="Z577" s="481"/>
      <c r="AA577" s="481"/>
      <c r="AB577" s="16"/>
      <c r="AC577" s="16"/>
      <c r="AD577" s="16"/>
      <c r="AE577" s="16"/>
      <c r="AF577" s="16"/>
      <c r="AG577" s="16"/>
      <c r="AH577" s="16"/>
      <c r="AI577" s="16"/>
      <c r="AJ577" s="481"/>
      <c r="AK577" s="482"/>
      <c r="AL577" s="25"/>
      <c r="AM577" s="481"/>
      <c r="AN577" s="481"/>
      <c r="AO577" s="481"/>
      <c r="AP577" s="16"/>
      <c r="AQ577" s="16"/>
      <c r="AR577" s="130"/>
      <c r="AS577" s="130">
        <v>1405</v>
      </c>
      <c r="AT577" s="130"/>
      <c r="AU577" s="130"/>
      <c r="AV577" s="130"/>
      <c r="AW577" s="12"/>
      <c r="AX577" s="12"/>
      <c r="AY577" s="12"/>
      <c r="AZ577" s="481"/>
    </row>
    <row r="578" spans="1:52" ht="30" customHeight="1" x14ac:dyDescent="0.2">
      <c r="A578" s="497">
        <v>576</v>
      </c>
      <c r="B578" s="481"/>
      <c r="C578" s="16"/>
      <c r="D578" s="482"/>
      <c r="E578" s="482"/>
      <c r="F578" s="482"/>
      <c r="G578" s="495"/>
      <c r="H578" s="481"/>
      <c r="I578" s="481"/>
      <c r="J578" s="360" t="s">
        <v>158</v>
      </c>
      <c r="K578" s="482"/>
      <c r="L578" s="482"/>
      <c r="M578" s="482"/>
      <c r="N578" s="41"/>
      <c r="O578" s="13"/>
      <c r="P578" s="13"/>
      <c r="Q578" s="13"/>
      <c r="R578" s="481"/>
      <c r="S578" s="481"/>
      <c r="T578" s="481"/>
      <c r="U578" s="482"/>
      <c r="V578" s="41"/>
      <c r="W578" s="13"/>
      <c r="X578" s="482"/>
      <c r="Y578" s="481"/>
      <c r="Z578" s="481"/>
      <c r="AA578" s="481"/>
      <c r="AB578" s="16"/>
      <c r="AC578" s="16"/>
      <c r="AD578" s="16"/>
      <c r="AE578" s="16"/>
      <c r="AF578" s="16"/>
      <c r="AG578" s="16"/>
      <c r="AH578" s="16"/>
      <c r="AI578" s="16"/>
      <c r="AJ578" s="481"/>
      <c r="AK578" s="482"/>
      <c r="AL578" s="25"/>
      <c r="AM578" s="481"/>
      <c r="AN578" s="481"/>
      <c r="AO578" s="481"/>
      <c r="AP578" s="16"/>
      <c r="AQ578" s="16"/>
      <c r="AR578" s="130"/>
      <c r="AS578" s="130">
        <v>1405</v>
      </c>
      <c r="AT578" s="130"/>
      <c r="AU578" s="130"/>
      <c r="AV578" s="130"/>
      <c r="AW578" s="12"/>
      <c r="AX578" s="12"/>
      <c r="AY578" s="12"/>
      <c r="AZ578" s="481"/>
    </row>
    <row r="579" spans="1:52" ht="30" customHeight="1" x14ac:dyDescent="0.2">
      <c r="A579" s="497">
        <v>577</v>
      </c>
      <c r="B579" s="481"/>
      <c r="C579" s="16"/>
      <c r="D579" s="482"/>
      <c r="E579" s="482"/>
      <c r="F579" s="482"/>
      <c r="G579" s="495"/>
      <c r="H579" s="481"/>
      <c r="I579" s="481"/>
      <c r="J579" s="360" t="s">
        <v>158</v>
      </c>
      <c r="K579" s="482"/>
      <c r="L579" s="482"/>
      <c r="M579" s="482"/>
      <c r="N579" s="41"/>
      <c r="O579" s="13"/>
      <c r="P579" s="13"/>
      <c r="Q579" s="13"/>
      <c r="R579" s="481"/>
      <c r="S579" s="481"/>
      <c r="T579" s="481"/>
      <c r="U579" s="482"/>
      <c r="V579" s="41"/>
      <c r="W579" s="13"/>
      <c r="X579" s="482"/>
      <c r="Y579" s="481"/>
      <c r="Z579" s="481"/>
      <c r="AA579" s="481"/>
      <c r="AB579" s="16"/>
      <c r="AC579" s="16"/>
      <c r="AD579" s="16"/>
      <c r="AE579" s="16"/>
      <c r="AF579" s="16"/>
      <c r="AG579" s="16"/>
      <c r="AH579" s="16"/>
      <c r="AI579" s="16"/>
      <c r="AJ579" s="481"/>
      <c r="AK579" s="482"/>
      <c r="AL579" s="25"/>
      <c r="AM579" s="481"/>
      <c r="AN579" s="481"/>
      <c r="AO579" s="481"/>
      <c r="AP579" s="16"/>
      <c r="AQ579" s="16"/>
      <c r="AR579" s="130"/>
      <c r="AS579" s="130">
        <v>1405</v>
      </c>
      <c r="AT579" s="130"/>
      <c r="AU579" s="130"/>
      <c r="AV579" s="130"/>
      <c r="AW579" s="12"/>
      <c r="AX579" s="12"/>
      <c r="AY579" s="12"/>
      <c r="AZ579" s="481"/>
    </row>
    <row r="580" spans="1:52" ht="30" customHeight="1" x14ac:dyDescent="0.2">
      <c r="A580" s="497">
        <v>578</v>
      </c>
      <c r="B580" s="481"/>
      <c r="C580" s="16"/>
      <c r="D580" s="482"/>
      <c r="E580" s="482"/>
      <c r="F580" s="482"/>
      <c r="G580" s="495"/>
      <c r="H580" s="481"/>
      <c r="I580" s="481"/>
      <c r="J580" s="360" t="s">
        <v>158</v>
      </c>
      <c r="K580" s="482"/>
      <c r="L580" s="482"/>
      <c r="M580" s="482"/>
      <c r="N580" s="41"/>
      <c r="O580" s="13"/>
      <c r="P580" s="13"/>
      <c r="Q580" s="13"/>
      <c r="R580" s="481"/>
      <c r="S580" s="481"/>
      <c r="T580" s="481"/>
      <c r="U580" s="482"/>
      <c r="V580" s="41"/>
      <c r="W580" s="13"/>
      <c r="X580" s="482"/>
      <c r="Y580" s="481"/>
      <c r="Z580" s="481"/>
      <c r="AA580" s="481"/>
      <c r="AB580" s="16"/>
      <c r="AC580" s="16"/>
      <c r="AD580" s="16"/>
      <c r="AE580" s="16"/>
      <c r="AF580" s="16"/>
      <c r="AG580" s="16"/>
      <c r="AH580" s="16"/>
      <c r="AI580" s="16"/>
      <c r="AJ580" s="481"/>
      <c r="AK580" s="482"/>
      <c r="AL580" s="25"/>
      <c r="AM580" s="481"/>
      <c r="AN580" s="481"/>
      <c r="AO580" s="481"/>
      <c r="AP580" s="16"/>
      <c r="AQ580" s="16"/>
      <c r="AR580" s="130"/>
      <c r="AS580" s="130">
        <v>1405</v>
      </c>
      <c r="AT580" s="130"/>
      <c r="AU580" s="130"/>
      <c r="AV580" s="130"/>
      <c r="AW580" s="12"/>
      <c r="AX580" s="12"/>
      <c r="AY580" s="12"/>
      <c r="AZ580" s="481"/>
    </row>
    <row r="581" spans="1:52" ht="30" customHeight="1" x14ac:dyDescent="0.2">
      <c r="A581" s="497">
        <v>579</v>
      </c>
      <c r="B581" s="481"/>
      <c r="C581" s="16"/>
      <c r="D581" s="482"/>
      <c r="E581" s="482"/>
      <c r="F581" s="482"/>
      <c r="G581" s="495"/>
      <c r="H581" s="481"/>
      <c r="I581" s="481"/>
      <c r="J581" s="360" t="s">
        <v>158</v>
      </c>
      <c r="K581" s="482"/>
      <c r="L581" s="482"/>
      <c r="M581" s="482"/>
      <c r="N581" s="41"/>
      <c r="O581" s="13"/>
      <c r="P581" s="13"/>
      <c r="Q581" s="13"/>
      <c r="R581" s="481"/>
      <c r="S581" s="481"/>
      <c r="T581" s="481"/>
      <c r="U581" s="482"/>
      <c r="V581" s="41"/>
      <c r="W581" s="13"/>
      <c r="X581" s="482"/>
      <c r="Y581" s="481"/>
      <c r="Z581" s="481"/>
      <c r="AA581" s="481"/>
      <c r="AB581" s="16"/>
      <c r="AC581" s="16"/>
      <c r="AD581" s="16"/>
      <c r="AE581" s="16"/>
      <c r="AF581" s="16"/>
      <c r="AG581" s="16"/>
      <c r="AH581" s="16"/>
      <c r="AI581" s="16"/>
      <c r="AJ581" s="481"/>
      <c r="AK581" s="482"/>
      <c r="AL581" s="25"/>
      <c r="AM581" s="481"/>
      <c r="AN581" s="481"/>
      <c r="AO581" s="481"/>
      <c r="AP581" s="16"/>
      <c r="AQ581" s="16"/>
      <c r="AR581" s="130"/>
      <c r="AS581" s="130">
        <v>1405</v>
      </c>
      <c r="AT581" s="130"/>
      <c r="AU581" s="130"/>
      <c r="AV581" s="130"/>
      <c r="AW581" s="12"/>
      <c r="AX581" s="12"/>
      <c r="AY581" s="12"/>
      <c r="AZ581" s="481"/>
    </row>
    <row r="582" spans="1:52" ht="30" customHeight="1" x14ac:dyDescent="0.2">
      <c r="A582" s="497">
        <v>580</v>
      </c>
      <c r="B582" s="481"/>
      <c r="C582" s="16"/>
      <c r="D582" s="482"/>
      <c r="E582" s="482"/>
      <c r="F582" s="482"/>
      <c r="G582" s="495"/>
      <c r="H582" s="481"/>
      <c r="I582" s="481"/>
      <c r="J582" s="360" t="s">
        <v>158</v>
      </c>
      <c r="K582" s="482"/>
      <c r="L582" s="482"/>
      <c r="M582" s="482"/>
      <c r="N582" s="41"/>
      <c r="O582" s="13"/>
      <c r="P582" s="13"/>
      <c r="Q582" s="13"/>
      <c r="R582" s="481"/>
      <c r="S582" s="481"/>
      <c r="T582" s="481"/>
      <c r="U582" s="482"/>
      <c r="V582" s="41"/>
      <c r="W582" s="13"/>
      <c r="X582" s="482"/>
      <c r="Y582" s="481"/>
      <c r="Z582" s="481"/>
      <c r="AA582" s="481"/>
      <c r="AB582" s="16"/>
      <c r="AC582" s="16"/>
      <c r="AD582" s="16"/>
      <c r="AE582" s="16"/>
      <c r="AF582" s="16"/>
      <c r="AG582" s="16"/>
      <c r="AH582" s="16"/>
      <c r="AI582" s="16"/>
      <c r="AJ582" s="481"/>
      <c r="AK582" s="482"/>
      <c r="AL582" s="25"/>
      <c r="AM582" s="481"/>
      <c r="AN582" s="481"/>
      <c r="AO582" s="481"/>
      <c r="AP582" s="16"/>
      <c r="AQ582" s="16"/>
      <c r="AR582" s="130"/>
      <c r="AS582" s="130">
        <v>1405</v>
      </c>
      <c r="AT582" s="130"/>
      <c r="AU582" s="130"/>
      <c r="AV582" s="130"/>
      <c r="AW582" s="12"/>
      <c r="AX582" s="12"/>
      <c r="AY582" s="12"/>
      <c r="AZ582" s="481"/>
    </row>
    <row r="583" spans="1:52" ht="30" customHeight="1" x14ac:dyDescent="0.2">
      <c r="A583" s="497">
        <v>581</v>
      </c>
      <c r="B583" s="481"/>
      <c r="C583" s="16"/>
      <c r="D583" s="482"/>
      <c r="E583" s="482"/>
      <c r="F583" s="482"/>
      <c r="G583" s="495"/>
      <c r="H583" s="481"/>
      <c r="I583" s="481"/>
      <c r="J583" s="360" t="s">
        <v>158</v>
      </c>
      <c r="K583" s="482"/>
      <c r="L583" s="482"/>
      <c r="M583" s="482"/>
      <c r="N583" s="41"/>
      <c r="O583" s="13"/>
      <c r="P583" s="13"/>
      <c r="Q583" s="13"/>
      <c r="R583" s="481"/>
      <c r="S583" s="481"/>
      <c r="T583" s="481"/>
      <c r="U583" s="482"/>
      <c r="V583" s="41"/>
      <c r="W583" s="13"/>
      <c r="X583" s="482"/>
      <c r="Y583" s="481"/>
      <c r="Z583" s="481"/>
      <c r="AA583" s="481"/>
      <c r="AB583" s="16"/>
      <c r="AC583" s="16"/>
      <c r="AD583" s="16"/>
      <c r="AE583" s="16"/>
      <c r="AF583" s="16"/>
      <c r="AG583" s="16"/>
      <c r="AH583" s="16"/>
      <c r="AI583" s="16"/>
      <c r="AJ583" s="481"/>
      <c r="AK583" s="482"/>
      <c r="AL583" s="25"/>
      <c r="AM583" s="481"/>
      <c r="AN583" s="481"/>
      <c r="AO583" s="481"/>
      <c r="AP583" s="16"/>
      <c r="AQ583" s="16"/>
      <c r="AR583" s="130"/>
      <c r="AS583" s="130">
        <v>1405</v>
      </c>
      <c r="AT583" s="130"/>
      <c r="AU583" s="130"/>
      <c r="AV583" s="130"/>
      <c r="AW583" s="12"/>
      <c r="AX583" s="12"/>
      <c r="AY583" s="12"/>
      <c r="AZ583" s="481"/>
    </row>
    <row r="584" spans="1:52" ht="30" customHeight="1" x14ac:dyDescent="0.2">
      <c r="A584" s="497">
        <v>582</v>
      </c>
      <c r="B584" s="481"/>
      <c r="C584" s="16"/>
      <c r="D584" s="482"/>
      <c r="E584" s="482"/>
      <c r="F584" s="482"/>
      <c r="G584" s="495"/>
      <c r="H584" s="481"/>
      <c r="I584" s="481"/>
      <c r="J584" s="360" t="s">
        <v>158</v>
      </c>
      <c r="K584" s="482"/>
      <c r="L584" s="482"/>
      <c r="M584" s="482"/>
      <c r="N584" s="41"/>
      <c r="O584" s="13"/>
      <c r="P584" s="13"/>
      <c r="Q584" s="13"/>
      <c r="R584" s="481"/>
      <c r="S584" s="481"/>
      <c r="T584" s="481"/>
      <c r="U584" s="482"/>
      <c r="V584" s="41"/>
      <c r="W584" s="13"/>
      <c r="X584" s="482"/>
      <c r="Y584" s="481"/>
      <c r="Z584" s="481"/>
      <c r="AA584" s="481"/>
      <c r="AB584" s="16"/>
      <c r="AC584" s="16"/>
      <c r="AD584" s="16"/>
      <c r="AE584" s="16"/>
      <c r="AF584" s="16"/>
      <c r="AG584" s="16"/>
      <c r="AH584" s="16"/>
      <c r="AI584" s="16"/>
      <c r="AJ584" s="481"/>
      <c r="AK584" s="482"/>
      <c r="AL584" s="25"/>
      <c r="AM584" s="481"/>
      <c r="AN584" s="481"/>
      <c r="AO584" s="481"/>
      <c r="AP584" s="16"/>
      <c r="AQ584" s="16"/>
      <c r="AR584" s="130"/>
      <c r="AS584" s="130">
        <v>1405</v>
      </c>
      <c r="AT584" s="130"/>
      <c r="AU584" s="130"/>
      <c r="AV584" s="130"/>
      <c r="AW584" s="12"/>
      <c r="AX584" s="12"/>
      <c r="AY584" s="12"/>
      <c r="AZ584" s="481"/>
    </row>
    <row r="585" spans="1:52" ht="30" customHeight="1" x14ac:dyDescent="0.2">
      <c r="A585" s="497">
        <v>583</v>
      </c>
      <c r="B585" s="481"/>
      <c r="C585" s="16"/>
      <c r="D585" s="482"/>
      <c r="E585" s="482"/>
      <c r="F585" s="482"/>
      <c r="G585" s="495"/>
      <c r="H585" s="481"/>
      <c r="I585" s="481"/>
      <c r="J585" s="360" t="s">
        <v>158</v>
      </c>
      <c r="K585" s="482"/>
      <c r="L585" s="482"/>
      <c r="M585" s="482"/>
      <c r="N585" s="41"/>
      <c r="O585" s="13"/>
      <c r="P585" s="13"/>
      <c r="Q585" s="13"/>
      <c r="R585" s="481"/>
      <c r="S585" s="481"/>
      <c r="T585" s="481"/>
      <c r="U585" s="482"/>
      <c r="V585" s="41"/>
      <c r="W585" s="13"/>
      <c r="X585" s="482"/>
      <c r="Y585" s="481"/>
      <c r="Z585" s="481"/>
      <c r="AA585" s="481"/>
      <c r="AB585" s="16"/>
      <c r="AC585" s="16"/>
      <c r="AD585" s="16"/>
      <c r="AE585" s="16"/>
      <c r="AF585" s="16"/>
      <c r="AG585" s="16"/>
      <c r="AH585" s="16"/>
      <c r="AI585" s="16"/>
      <c r="AJ585" s="481"/>
      <c r="AK585" s="482"/>
      <c r="AL585" s="25"/>
      <c r="AM585" s="481"/>
      <c r="AN585" s="481"/>
      <c r="AO585" s="481"/>
      <c r="AP585" s="16"/>
      <c r="AQ585" s="16"/>
      <c r="AR585" s="130"/>
      <c r="AS585" s="130">
        <v>1405</v>
      </c>
      <c r="AT585" s="130"/>
      <c r="AU585" s="130"/>
      <c r="AV585" s="130"/>
      <c r="AW585" s="12"/>
      <c r="AX585" s="12"/>
      <c r="AY585" s="12"/>
      <c r="AZ585" s="481"/>
    </row>
    <row r="586" spans="1:52" ht="30" customHeight="1" x14ac:dyDescent="0.2">
      <c r="A586" s="497">
        <v>584</v>
      </c>
      <c r="B586" s="481"/>
      <c r="C586" s="16"/>
      <c r="D586" s="482"/>
      <c r="E586" s="482"/>
      <c r="F586" s="482"/>
      <c r="G586" s="495"/>
      <c r="H586" s="481"/>
      <c r="I586" s="481"/>
      <c r="J586" s="360" t="s">
        <v>158</v>
      </c>
      <c r="K586" s="482"/>
      <c r="L586" s="482"/>
      <c r="M586" s="482"/>
      <c r="N586" s="41"/>
      <c r="O586" s="13"/>
      <c r="P586" s="13"/>
      <c r="Q586" s="13"/>
      <c r="R586" s="481"/>
      <c r="S586" s="481"/>
      <c r="T586" s="481"/>
      <c r="U586" s="482"/>
      <c r="V586" s="41"/>
      <c r="W586" s="13"/>
      <c r="X586" s="482"/>
      <c r="Y586" s="481"/>
      <c r="Z586" s="481"/>
      <c r="AA586" s="481"/>
      <c r="AB586" s="16"/>
      <c r="AC586" s="16"/>
      <c r="AD586" s="16"/>
      <c r="AE586" s="16"/>
      <c r="AF586" s="16"/>
      <c r="AG586" s="16"/>
      <c r="AH586" s="16"/>
      <c r="AI586" s="16"/>
      <c r="AJ586" s="481"/>
      <c r="AK586" s="482"/>
      <c r="AL586" s="25"/>
      <c r="AM586" s="481"/>
      <c r="AN586" s="481"/>
      <c r="AO586" s="481"/>
      <c r="AP586" s="16"/>
      <c r="AQ586" s="16"/>
      <c r="AR586" s="130"/>
      <c r="AS586" s="130">
        <v>1405</v>
      </c>
      <c r="AT586" s="130"/>
      <c r="AU586" s="130"/>
      <c r="AV586" s="130"/>
      <c r="AW586" s="12"/>
      <c r="AX586" s="12"/>
      <c r="AY586" s="12"/>
      <c r="AZ586" s="481"/>
    </row>
    <row r="587" spans="1:52" ht="30" customHeight="1" x14ac:dyDescent="0.2">
      <c r="A587" s="497">
        <v>585</v>
      </c>
      <c r="B587" s="481"/>
      <c r="C587" s="16"/>
      <c r="D587" s="482"/>
      <c r="E587" s="482"/>
      <c r="F587" s="482"/>
      <c r="G587" s="495"/>
      <c r="H587" s="481"/>
      <c r="I587" s="481"/>
      <c r="J587" s="360" t="s">
        <v>158</v>
      </c>
      <c r="K587" s="482"/>
      <c r="L587" s="482"/>
      <c r="M587" s="482"/>
      <c r="N587" s="41"/>
      <c r="O587" s="13"/>
      <c r="P587" s="13"/>
      <c r="Q587" s="13"/>
      <c r="R587" s="481"/>
      <c r="S587" s="481"/>
      <c r="T587" s="481"/>
      <c r="U587" s="482"/>
      <c r="V587" s="41"/>
      <c r="W587" s="13"/>
      <c r="X587" s="482"/>
      <c r="Y587" s="481"/>
      <c r="Z587" s="481"/>
      <c r="AA587" s="481"/>
      <c r="AB587" s="16"/>
      <c r="AC587" s="16"/>
      <c r="AD587" s="16"/>
      <c r="AE587" s="16"/>
      <c r="AF587" s="16"/>
      <c r="AG587" s="16"/>
      <c r="AH587" s="16"/>
      <c r="AI587" s="16"/>
      <c r="AJ587" s="481"/>
      <c r="AK587" s="482"/>
      <c r="AL587" s="25"/>
      <c r="AM587" s="481"/>
      <c r="AN587" s="481"/>
      <c r="AO587" s="481"/>
      <c r="AP587" s="16"/>
      <c r="AQ587" s="16"/>
      <c r="AR587" s="130"/>
      <c r="AS587" s="130">
        <v>1405</v>
      </c>
      <c r="AT587" s="130"/>
      <c r="AU587" s="130"/>
      <c r="AV587" s="130"/>
      <c r="AW587" s="12"/>
      <c r="AX587" s="12"/>
      <c r="AY587" s="12"/>
      <c r="AZ587" s="481"/>
    </row>
    <row r="588" spans="1:52" ht="30" customHeight="1" x14ac:dyDescent="0.2">
      <c r="A588" s="497">
        <v>586</v>
      </c>
      <c r="B588" s="481"/>
      <c r="C588" s="16"/>
      <c r="D588" s="482"/>
      <c r="E588" s="482"/>
      <c r="F588" s="482"/>
      <c r="G588" s="495"/>
      <c r="H588" s="481"/>
      <c r="I588" s="481"/>
      <c r="J588" s="360" t="s">
        <v>158</v>
      </c>
      <c r="K588" s="482"/>
      <c r="L588" s="482"/>
      <c r="M588" s="482"/>
      <c r="N588" s="41"/>
      <c r="O588" s="13"/>
      <c r="P588" s="13"/>
      <c r="Q588" s="13"/>
      <c r="R588" s="481"/>
      <c r="S588" s="481"/>
      <c r="T588" s="481"/>
      <c r="U588" s="482"/>
      <c r="V588" s="41"/>
      <c r="W588" s="13"/>
      <c r="X588" s="482"/>
      <c r="Y588" s="481"/>
      <c r="Z588" s="481"/>
      <c r="AA588" s="481"/>
      <c r="AB588" s="16"/>
      <c r="AC588" s="16"/>
      <c r="AD588" s="16"/>
      <c r="AE588" s="16"/>
      <c r="AF588" s="16"/>
      <c r="AG588" s="16"/>
      <c r="AH588" s="16"/>
      <c r="AI588" s="16"/>
      <c r="AJ588" s="481"/>
      <c r="AK588" s="482"/>
      <c r="AL588" s="25"/>
      <c r="AM588" s="481"/>
      <c r="AN588" s="481"/>
      <c r="AO588" s="481"/>
      <c r="AP588" s="16"/>
      <c r="AQ588" s="16"/>
      <c r="AR588" s="130"/>
      <c r="AS588" s="130">
        <v>1405</v>
      </c>
      <c r="AT588" s="130"/>
      <c r="AU588" s="130"/>
      <c r="AV588" s="130"/>
      <c r="AW588" s="12"/>
      <c r="AX588" s="12"/>
      <c r="AY588" s="12"/>
      <c r="AZ588" s="481"/>
    </row>
    <row r="589" spans="1:52" ht="30" customHeight="1" x14ac:dyDescent="0.2">
      <c r="A589" s="497">
        <v>587</v>
      </c>
      <c r="B589" s="481"/>
      <c r="C589" s="16"/>
      <c r="D589" s="482"/>
      <c r="E589" s="482"/>
      <c r="F589" s="482"/>
      <c r="G589" s="495"/>
      <c r="H589" s="481"/>
      <c r="I589" s="481"/>
      <c r="J589" s="360" t="s">
        <v>158</v>
      </c>
      <c r="K589" s="482"/>
      <c r="L589" s="482"/>
      <c r="M589" s="482"/>
      <c r="N589" s="41"/>
      <c r="O589" s="13"/>
      <c r="P589" s="13"/>
      <c r="Q589" s="13"/>
      <c r="R589" s="481"/>
      <c r="S589" s="481"/>
      <c r="T589" s="481"/>
      <c r="U589" s="482"/>
      <c r="V589" s="41"/>
      <c r="W589" s="13"/>
      <c r="X589" s="482"/>
      <c r="Y589" s="481"/>
      <c r="Z589" s="481"/>
      <c r="AA589" s="481"/>
      <c r="AB589" s="16"/>
      <c r="AC589" s="16"/>
      <c r="AD589" s="16"/>
      <c r="AE589" s="16"/>
      <c r="AF589" s="16"/>
      <c r="AG589" s="16"/>
      <c r="AH589" s="16"/>
      <c r="AI589" s="16"/>
      <c r="AJ589" s="481"/>
      <c r="AK589" s="482"/>
      <c r="AL589" s="25"/>
      <c r="AM589" s="481"/>
      <c r="AN589" s="481"/>
      <c r="AO589" s="481"/>
      <c r="AP589" s="16"/>
      <c r="AQ589" s="16"/>
      <c r="AR589" s="130"/>
      <c r="AS589" s="130">
        <v>1405</v>
      </c>
      <c r="AT589" s="130"/>
      <c r="AU589" s="130"/>
      <c r="AV589" s="130"/>
      <c r="AW589" s="12"/>
      <c r="AX589" s="12"/>
      <c r="AY589" s="12"/>
      <c r="AZ589" s="481"/>
    </row>
    <row r="590" spans="1:52" ht="30" customHeight="1" x14ac:dyDescent="0.2">
      <c r="A590" s="497">
        <v>588</v>
      </c>
      <c r="B590" s="481"/>
      <c r="C590" s="16"/>
      <c r="D590" s="482"/>
      <c r="E590" s="482"/>
      <c r="F590" s="482"/>
      <c r="G590" s="495"/>
      <c r="H590" s="481"/>
      <c r="I590" s="481"/>
      <c r="J590" s="360" t="s">
        <v>158</v>
      </c>
      <c r="K590" s="482"/>
      <c r="L590" s="482"/>
      <c r="M590" s="482"/>
      <c r="N590" s="41"/>
      <c r="O590" s="13"/>
      <c r="P590" s="13"/>
      <c r="Q590" s="13"/>
      <c r="R590" s="481"/>
      <c r="S590" s="481"/>
      <c r="T590" s="481"/>
      <c r="U590" s="482"/>
      <c r="V590" s="41"/>
      <c r="W590" s="13"/>
      <c r="X590" s="482"/>
      <c r="Y590" s="481"/>
      <c r="Z590" s="481"/>
      <c r="AA590" s="481"/>
      <c r="AB590" s="16"/>
      <c r="AC590" s="16"/>
      <c r="AD590" s="16"/>
      <c r="AE590" s="16"/>
      <c r="AF590" s="16"/>
      <c r="AG590" s="16"/>
      <c r="AH590" s="16"/>
      <c r="AI590" s="16"/>
      <c r="AJ590" s="481"/>
      <c r="AK590" s="482"/>
      <c r="AL590" s="25"/>
      <c r="AM590" s="481"/>
      <c r="AN590" s="481"/>
      <c r="AO590" s="481"/>
      <c r="AP590" s="16"/>
      <c r="AQ590" s="16"/>
      <c r="AR590" s="130"/>
      <c r="AS590" s="130">
        <v>1405</v>
      </c>
      <c r="AT590" s="130"/>
      <c r="AU590" s="130"/>
      <c r="AV590" s="130"/>
      <c r="AW590" s="12"/>
      <c r="AX590" s="12"/>
      <c r="AY590" s="12"/>
      <c r="AZ590" s="481"/>
    </row>
    <row r="591" spans="1:52" ht="30" customHeight="1" x14ac:dyDescent="0.2">
      <c r="A591" s="497">
        <v>589</v>
      </c>
      <c r="B591" s="481"/>
      <c r="C591" s="16"/>
      <c r="D591" s="482"/>
      <c r="E591" s="482"/>
      <c r="F591" s="482"/>
      <c r="G591" s="495"/>
      <c r="H591" s="481"/>
      <c r="I591" s="481"/>
      <c r="J591" s="360" t="s">
        <v>158</v>
      </c>
      <c r="K591" s="482"/>
      <c r="L591" s="482"/>
      <c r="M591" s="482"/>
      <c r="N591" s="41"/>
      <c r="O591" s="13"/>
      <c r="P591" s="13"/>
      <c r="Q591" s="13"/>
      <c r="R591" s="481"/>
      <c r="S591" s="481"/>
      <c r="T591" s="481"/>
      <c r="U591" s="482"/>
      <c r="V591" s="41"/>
      <c r="W591" s="13"/>
      <c r="X591" s="482"/>
      <c r="Y591" s="481"/>
      <c r="Z591" s="481"/>
      <c r="AA591" s="481"/>
      <c r="AB591" s="16"/>
      <c r="AC591" s="16"/>
      <c r="AD591" s="16"/>
      <c r="AE591" s="16"/>
      <c r="AF591" s="16"/>
      <c r="AG591" s="16"/>
      <c r="AH591" s="16"/>
      <c r="AI591" s="16"/>
      <c r="AJ591" s="481"/>
      <c r="AK591" s="482"/>
      <c r="AL591" s="25"/>
      <c r="AM591" s="481"/>
      <c r="AN591" s="481"/>
      <c r="AO591" s="481"/>
      <c r="AP591" s="16"/>
      <c r="AQ591" s="16"/>
      <c r="AR591" s="130"/>
      <c r="AS591" s="130">
        <v>1405</v>
      </c>
      <c r="AT591" s="130"/>
      <c r="AU591" s="130"/>
      <c r="AV591" s="130"/>
      <c r="AW591" s="12"/>
      <c r="AX591" s="12"/>
      <c r="AY591" s="12"/>
      <c r="AZ591" s="481"/>
    </row>
    <row r="592" spans="1:52" ht="30" customHeight="1" x14ac:dyDescent="0.2">
      <c r="A592" s="497">
        <v>590</v>
      </c>
      <c r="B592" s="481"/>
      <c r="C592" s="16"/>
      <c r="D592" s="482"/>
      <c r="E592" s="482"/>
      <c r="F592" s="482"/>
      <c r="G592" s="495"/>
      <c r="H592" s="481"/>
      <c r="I592" s="481"/>
      <c r="J592" s="360" t="s">
        <v>158</v>
      </c>
      <c r="K592" s="482"/>
      <c r="L592" s="482"/>
      <c r="M592" s="482"/>
      <c r="N592" s="41"/>
      <c r="O592" s="13"/>
      <c r="P592" s="13"/>
      <c r="Q592" s="13"/>
      <c r="R592" s="481"/>
      <c r="S592" s="481"/>
      <c r="T592" s="481"/>
      <c r="U592" s="482"/>
      <c r="V592" s="41"/>
      <c r="W592" s="13"/>
      <c r="X592" s="482"/>
      <c r="Y592" s="481"/>
      <c r="Z592" s="481"/>
      <c r="AA592" s="481"/>
      <c r="AB592" s="16"/>
      <c r="AC592" s="16"/>
      <c r="AD592" s="16"/>
      <c r="AE592" s="16"/>
      <c r="AF592" s="16"/>
      <c r="AG592" s="16"/>
      <c r="AH592" s="16"/>
      <c r="AI592" s="16"/>
      <c r="AJ592" s="481"/>
      <c r="AK592" s="482"/>
      <c r="AL592" s="25"/>
      <c r="AM592" s="481"/>
      <c r="AN592" s="481"/>
      <c r="AO592" s="481"/>
      <c r="AP592" s="16"/>
      <c r="AQ592" s="16"/>
      <c r="AR592" s="130"/>
      <c r="AS592" s="130">
        <v>1405</v>
      </c>
      <c r="AT592" s="130"/>
      <c r="AU592" s="130"/>
      <c r="AV592" s="130"/>
      <c r="AW592" s="12"/>
      <c r="AX592" s="12"/>
      <c r="AY592" s="12"/>
      <c r="AZ592" s="481"/>
    </row>
    <row r="593" spans="1:52" ht="30" customHeight="1" x14ac:dyDescent="0.2">
      <c r="A593" s="497">
        <v>591</v>
      </c>
      <c r="B593" s="481"/>
      <c r="C593" s="16"/>
      <c r="D593" s="482"/>
      <c r="E593" s="482"/>
      <c r="F593" s="482"/>
      <c r="G593" s="495"/>
      <c r="H593" s="481"/>
      <c r="I593" s="481"/>
      <c r="J593" s="360" t="s">
        <v>158</v>
      </c>
      <c r="K593" s="482"/>
      <c r="L593" s="482"/>
      <c r="M593" s="482"/>
      <c r="N593" s="41"/>
      <c r="O593" s="13"/>
      <c r="P593" s="13"/>
      <c r="Q593" s="13"/>
      <c r="R593" s="481"/>
      <c r="S593" s="481"/>
      <c r="T593" s="481"/>
      <c r="U593" s="482"/>
      <c r="V593" s="41"/>
      <c r="W593" s="13"/>
      <c r="X593" s="482"/>
      <c r="Y593" s="481"/>
      <c r="Z593" s="481"/>
      <c r="AA593" s="481"/>
      <c r="AB593" s="16"/>
      <c r="AC593" s="16"/>
      <c r="AD593" s="16"/>
      <c r="AE593" s="16"/>
      <c r="AF593" s="16"/>
      <c r="AG593" s="16"/>
      <c r="AH593" s="16"/>
      <c r="AI593" s="16"/>
      <c r="AJ593" s="481"/>
      <c r="AK593" s="482"/>
      <c r="AL593" s="25"/>
      <c r="AM593" s="481"/>
      <c r="AN593" s="481"/>
      <c r="AO593" s="481"/>
      <c r="AP593" s="16"/>
      <c r="AQ593" s="16"/>
      <c r="AR593" s="130"/>
      <c r="AS593" s="130">
        <v>1405</v>
      </c>
      <c r="AT593" s="130"/>
      <c r="AU593" s="130"/>
      <c r="AV593" s="130"/>
      <c r="AW593" s="12"/>
      <c r="AX593" s="12"/>
      <c r="AY593" s="12"/>
      <c r="AZ593" s="481"/>
    </row>
    <row r="594" spans="1:52" ht="30" customHeight="1" x14ac:dyDescent="0.2">
      <c r="A594" s="497">
        <v>592</v>
      </c>
      <c r="B594" s="481"/>
      <c r="C594" s="16"/>
      <c r="D594" s="482"/>
      <c r="E594" s="482"/>
      <c r="F594" s="482"/>
      <c r="G594" s="495"/>
      <c r="H594" s="481"/>
      <c r="I594" s="481"/>
      <c r="J594" s="360" t="s">
        <v>158</v>
      </c>
      <c r="K594" s="482"/>
      <c r="L594" s="482"/>
      <c r="M594" s="482"/>
      <c r="N594" s="41"/>
      <c r="O594" s="13"/>
      <c r="P594" s="13"/>
      <c r="Q594" s="13"/>
      <c r="R594" s="481"/>
      <c r="S594" s="481"/>
      <c r="T594" s="481"/>
      <c r="U594" s="482"/>
      <c r="V594" s="41"/>
      <c r="W594" s="13"/>
      <c r="X594" s="482"/>
      <c r="Y594" s="481"/>
      <c r="Z594" s="481"/>
      <c r="AA594" s="481"/>
      <c r="AB594" s="16"/>
      <c r="AC594" s="16"/>
      <c r="AD594" s="16"/>
      <c r="AE594" s="16"/>
      <c r="AF594" s="16"/>
      <c r="AG594" s="16"/>
      <c r="AH594" s="16"/>
      <c r="AI594" s="16"/>
      <c r="AJ594" s="481"/>
      <c r="AK594" s="482"/>
      <c r="AL594" s="25"/>
      <c r="AM594" s="481"/>
      <c r="AN594" s="481"/>
      <c r="AO594" s="481"/>
      <c r="AP594" s="16"/>
      <c r="AQ594" s="16"/>
      <c r="AR594" s="130"/>
      <c r="AS594" s="130">
        <v>1405</v>
      </c>
      <c r="AT594" s="130"/>
      <c r="AU594" s="130"/>
      <c r="AV594" s="130"/>
      <c r="AW594" s="12"/>
      <c r="AX594" s="12"/>
      <c r="AY594" s="12"/>
      <c r="AZ594" s="481"/>
    </row>
    <row r="595" spans="1:52" ht="30" customHeight="1" x14ac:dyDescent="0.2">
      <c r="A595" s="497">
        <v>593</v>
      </c>
      <c r="B595" s="481"/>
      <c r="C595" s="16"/>
      <c r="D595" s="482"/>
      <c r="E595" s="482"/>
      <c r="F595" s="482"/>
      <c r="G595" s="495"/>
      <c r="H595" s="481"/>
      <c r="I595" s="481"/>
      <c r="J595" s="360" t="s">
        <v>158</v>
      </c>
      <c r="K595" s="482"/>
      <c r="L595" s="482"/>
      <c r="M595" s="482"/>
      <c r="N595" s="41"/>
      <c r="O595" s="13"/>
      <c r="P595" s="13"/>
      <c r="Q595" s="13"/>
      <c r="R595" s="481"/>
      <c r="S595" s="481"/>
      <c r="T595" s="481"/>
      <c r="U595" s="482"/>
      <c r="V595" s="41"/>
      <c r="W595" s="13"/>
      <c r="X595" s="482"/>
      <c r="Y595" s="481"/>
      <c r="Z595" s="481"/>
      <c r="AA595" s="481"/>
      <c r="AB595" s="16"/>
      <c r="AC595" s="16"/>
      <c r="AD595" s="16"/>
      <c r="AE595" s="16"/>
      <c r="AF595" s="16"/>
      <c r="AG595" s="16"/>
      <c r="AH595" s="16"/>
      <c r="AI595" s="16"/>
      <c r="AJ595" s="481"/>
      <c r="AK595" s="482"/>
      <c r="AL595" s="25"/>
      <c r="AM595" s="481"/>
      <c r="AN595" s="481"/>
      <c r="AO595" s="481"/>
      <c r="AP595" s="16"/>
      <c r="AQ595" s="16"/>
      <c r="AR595" s="130"/>
      <c r="AS595" s="130">
        <v>1405</v>
      </c>
      <c r="AT595" s="130"/>
      <c r="AU595" s="130"/>
      <c r="AV595" s="130"/>
      <c r="AW595" s="12"/>
      <c r="AX595" s="12"/>
      <c r="AY595" s="12"/>
      <c r="AZ595" s="481"/>
    </row>
    <row r="596" spans="1:52" ht="30" customHeight="1" x14ac:dyDescent="0.2">
      <c r="A596" s="497">
        <v>594</v>
      </c>
      <c r="B596" s="481"/>
      <c r="C596" s="16"/>
      <c r="D596" s="482"/>
      <c r="E596" s="482"/>
      <c r="F596" s="482"/>
      <c r="G596" s="495"/>
      <c r="H596" s="481"/>
      <c r="I596" s="481"/>
      <c r="J596" s="360" t="s">
        <v>158</v>
      </c>
      <c r="K596" s="482"/>
      <c r="L596" s="482"/>
      <c r="M596" s="482"/>
      <c r="N596" s="41"/>
      <c r="O596" s="13"/>
      <c r="P596" s="13"/>
      <c r="Q596" s="13"/>
      <c r="R596" s="481"/>
      <c r="S596" s="481"/>
      <c r="T596" s="481"/>
      <c r="U596" s="482"/>
      <c r="V596" s="41"/>
      <c r="W596" s="13"/>
      <c r="X596" s="482"/>
      <c r="Y596" s="481"/>
      <c r="Z596" s="481"/>
      <c r="AA596" s="481"/>
      <c r="AB596" s="16"/>
      <c r="AC596" s="16"/>
      <c r="AD596" s="16"/>
      <c r="AE596" s="16"/>
      <c r="AF596" s="16"/>
      <c r="AG596" s="16"/>
      <c r="AH596" s="16"/>
      <c r="AI596" s="16"/>
      <c r="AJ596" s="481"/>
      <c r="AK596" s="482"/>
      <c r="AL596" s="25"/>
      <c r="AM596" s="481"/>
      <c r="AN596" s="481"/>
      <c r="AO596" s="481"/>
      <c r="AP596" s="16"/>
      <c r="AQ596" s="16"/>
      <c r="AR596" s="130"/>
      <c r="AS596" s="130">
        <v>1405</v>
      </c>
      <c r="AT596" s="130"/>
      <c r="AU596" s="130"/>
      <c r="AV596" s="130"/>
      <c r="AW596" s="12"/>
      <c r="AX596" s="12"/>
      <c r="AY596" s="12"/>
      <c r="AZ596" s="481"/>
    </row>
    <row r="597" spans="1:52" ht="30" customHeight="1" x14ac:dyDescent="0.2">
      <c r="A597" s="497">
        <v>595</v>
      </c>
      <c r="B597" s="481"/>
      <c r="C597" s="16"/>
      <c r="D597" s="482"/>
      <c r="E597" s="482"/>
      <c r="F597" s="482"/>
      <c r="G597" s="495"/>
      <c r="H597" s="481"/>
      <c r="I597" s="481"/>
      <c r="J597" s="360" t="s">
        <v>158</v>
      </c>
      <c r="K597" s="482"/>
      <c r="L597" s="482"/>
      <c r="M597" s="482"/>
      <c r="N597" s="41"/>
      <c r="O597" s="13"/>
      <c r="P597" s="13"/>
      <c r="Q597" s="13"/>
      <c r="R597" s="481"/>
      <c r="S597" s="481"/>
      <c r="T597" s="481"/>
      <c r="U597" s="482"/>
      <c r="V597" s="41"/>
      <c r="W597" s="13"/>
      <c r="X597" s="482"/>
      <c r="Y597" s="481"/>
      <c r="Z597" s="481"/>
      <c r="AA597" s="481"/>
      <c r="AB597" s="16"/>
      <c r="AC597" s="16"/>
      <c r="AD597" s="16"/>
      <c r="AE597" s="16"/>
      <c r="AF597" s="16"/>
      <c r="AG597" s="16"/>
      <c r="AH597" s="16"/>
      <c r="AI597" s="16"/>
      <c r="AJ597" s="481"/>
      <c r="AK597" s="482"/>
      <c r="AL597" s="25"/>
      <c r="AM597" s="481"/>
      <c r="AN597" s="481"/>
      <c r="AO597" s="481"/>
      <c r="AP597" s="16"/>
      <c r="AQ597" s="16"/>
      <c r="AR597" s="130"/>
      <c r="AS597" s="130">
        <v>1405</v>
      </c>
      <c r="AT597" s="130"/>
      <c r="AU597" s="130"/>
      <c r="AV597" s="130"/>
      <c r="AW597" s="12"/>
      <c r="AX597" s="12"/>
      <c r="AY597" s="12"/>
      <c r="AZ597" s="481"/>
    </row>
    <row r="598" spans="1:52" ht="30" customHeight="1" x14ac:dyDescent="0.2">
      <c r="A598" s="497">
        <v>596</v>
      </c>
      <c r="B598" s="481"/>
      <c r="C598" s="16"/>
      <c r="D598" s="482"/>
      <c r="E598" s="482"/>
      <c r="F598" s="482"/>
      <c r="G598" s="495"/>
      <c r="H598" s="481"/>
      <c r="I598" s="481"/>
      <c r="J598" s="360" t="s">
        <v>158</v>
      </c>
      <c r="K598" s="482"/>
      <c r="L598" s="482"/>
      <c r="M598" s="482"/>
      <c r="N598" s="41"/>
      <c r="O598" s="13"/>
      <c r="P598" s="13"/>
      <c r="Q598" s="13"/>
      <c r="R598" s="481"/>
      <c r="S598" s="481"/>
      <c r="T598" s="481"/>
      <c r="U598" s="482"/>
      <c r="V598" s="41"/>
      <c r="W598" s="13"/>
      <c r="X598" s="482"/>
      <c r="Y598" s="481"/>
      <c r="Z598" s="481"/>
      <c r="AA598" s="481"/>
      <c r="AB598" s="16"/>
      <c r="AC598" s="16"/>
      <c r="AD598" s="16"/>
      <c r="AE598" s="16"/>
      <c r="AF598" s="16"/>
      <c r="AG598" s="16"/>
      <c r="AH598" s="16"/>
      <c r="AI598" s="16"/>
      <c r="AJ598" s="481"/>
      <c r="AK598" s="482"/>
      <c r="AL598" s="25"/>
      <c r="AM598" s="481"/>
      <c r="AN598" s="481"/>
      <c r="AO598" s="481"/>
      <c r="AP598" s="16"/>
      <c r="AQ598" s="16"/>
      <c r="AR598" s="130"/>
      <c r="AS598" s="130">
        <v>1405</v>
      </c>
      <c r="AT598" s="130"/>
      <c r="AU598" s="130"/>
      <c r="AV598" s="130"/>
      <c r="AW598" s="12"/>
      <c r="AX598" s="12"/>
      <c r="AY598" s="12"/>
      <c r="AZ598" s="481"/>
    </row>
    <row r="599" spans="1:52" ht="30" customHeight="1" x14ac:dyDescent="0.2">
      <c r="A599" s="497">
        <v>597</v>
      </c>
      <c r="B599" s="481"/>
      <c r="C599" s="16"/>
      <c r="D599" s="482"/>
      <c r="E599" s="482"/>
      <c r="F599" s="482"/>
      <c r="G599" s="495"/>
      <c r="H599" s="481"/>
      <c r="I599" s="481"/>
      <c r="J599" s="360" t="s">
        <v>158</v>
      </c>
      <c r="K599" s="482"/>
      <c r="L599" s="482"/>
      <c r="M599" s="482"/>
      <c r="N599" s="41"/>
      <c r="O599" s="13"/>
      <c r="P599" s="13"/>
      <c r="Q599" s="13"/>
      <c r="R599" s="481"/>
      <c r="S599" s="481"/>
      <c r="T599" s="481"/>
      <c r="U599" s="482"/>
      <c r="V599" s="41"/>
      <c r="W599" s="13"/>
      <c r="X599" s="482"/>
      <c r="Y599" s="481"/>
      <c r="Z599" s="481"/>
      <c r="AA599" s="481"/>
      <c r="AB599" s="16"/>
      <c r="AC599" s="16"/>
      <c r="AD599" s="16"/>
      <c r="AE599" s="16"/>
      <c r="AF599" s="16"/>
      <c r="AG599" s="16"/>
      <c r="AH599" s="16"/>
      <c r="AI599" s="16"/>
      <c r="AJ599" s="481"/>
      <c r="AK599" s="482"/>
      <c r="AL599" s="25"/>
      <c r="AM599" s="481"/>
      <c r="AN599" s="481"/>
      <c r="AO599" s="481"/>
      <c r="AP599" s="16"/>
      <c r="AQ599" s="16"/>
      <c r="AR599" s="130"/>
      <c r="AS599" s="130">
        <v>1405</v>
      </c>
      <c r="AT599" s="130"/>
      <c r="AU599" s="130"/>
      <c r="AV599" s="130"/>
      <c r="AW599" s="12"/>
      <c r="AX599" s="12"/>
      <c r="AY599" s="12"/>
      <c r="AZ599" s="481"/>
    </row>
    <row r="600" spans="1:52" ht="30" customHeight="1" x14ac:dyDescent="0.2">
      <c r="A600" s="497">
        <v>598</v>
      </c>
      <c r="B600" s="481"/>
      <c r="C600" s="16"/>
      <c r="D600" s="482"/>
      <c r="E600" s="482"/>
      <c r="F600" s="482"/>
      <c r="G600" s="495"/>
      <c r="H600" s="481"/>
      <c r="I600" s="481"/>
      <c r="J600" s="360" t="s">
        <v>158</v>
      </c>
      <c r="K600" s="482"/>
      <c r="L600" s="482"/>
      <c r="M600" s="482"/>
      <c r="N600" s="41"/>
      <c r="O600" s="13"/>
      <c r="P600" s="13"/>
      <c r="Q600" s="13"/>
      <c r="R600" s="481"/>
      <c r="S600" s="481"/>
      <c r="T600" s="481"/>
      <c r="U600" s="482"/>
      <c r="V600" s="41"/>
      <c r="W600" s="13"/>
      <c r="X600" s="482"/>
      <c r="Y600" s="481"/>
      <c r="Z600" s="481"/>
      <c r="AA600" s="481"/>
      <c r="AB600" s="16"/>
      <c r="AC600" s="16"/>
      <c r="AD600" s="16"/>
      <c r="AE600" s="16"/>
      <c r="AF600" s="16"/>
      <c r="AG600" s="16"/>
      <c r="AH600" s="16"/>
      <c r="AI600" s="16"/>
      <c r="AJ600" s="481"/>
      <c r="AK600" s="482"/>
      <c r="AL600" s="25"/>
      <c r="AM600" s="481"/>
      <c r="AN600" s="481"/>
      <c r="AO600" s="481"/>
      <c r="AP600" s="16"/>
      <c r="AQ600" s="16"/>
      <c r="AR600" s="130"/>
      <c r="AS600" s="130">
        <v>1405</v>
      </c>
      <c r="AT600" s="130"/>
      <c r="AU600" s="130"/>
      <c r="AV600" s="130"/>
      <c r="AW600" s="12"/>
      <c r="AX600" s="12"/>
      <c r="AY600" s="12"/>
      <c r="AZ600" s="481"/>
    </row>
    <row r="601" spans="1:52" ht="30" customHeight="1" x14ac:dyDescent="0.2">
      <c r="A601" s="497">
        <v>599</v>
      </c>
      <c r="B601" s="481"/>
      <c r="C601" s="16"/>
      <c r="D601" s="482"/>
      <c r="E601" s="482"/>
      <c r="F601" s="482"/>
      <c r="G601" s="495"/>
      <c r="H601" s="481"/>
      <c r="I601" s="481"/>
      <c r="J601" s="360" t="s">
        <v>158</v>
      </c>
      <c r="K601" s="482"/>
      <c r="L601" s="482"/>
      <c r="M601" s="482"/>
      <c r="N601" s="41"/>
      <c r="O601" s="13"/>
      <c r="P601" s="13"/>
      <c r="Q601" s="13"/>
      <c r="R601" s="481"/>
      <c r="S601" s="481"/>
      <c r="T601" s="481"/>
      <c r="U601" s="482"/>
      <c r="V601" s="41"/>
      <c r="W601" s="13"/>
      <c r="X601" s="482"/>
      <c r="Y601" s="481"/>
      <c r="Z601" s="481"/>
      <c r="AA601" s="481"/>
      <c r="AB601" s="16"/>
      <c r="AC601" s="16"/>
      <c r="AD601" s="16"/>
      <c r="AE601" s="16"/>
      <c r="AF601" s="16"/>
      <c r="AG601" s="16"/>
      <c r="AH601" s="16"/>
      <c r="AI601" s="16"/>
      <c r="AJ601" s="481"/>
      <c r="AK601" s="482"/>
      <c r="AL601" s="25"/>
      <c r="AM601" s="481"/>
      <c r="AN601" s="481"/>
      <c r="AO601" s="481"/>
      <c r="AP601" s="16"/>
      <c r="AQ601" s="16"/>
      <c r="AR601" s="130"/>
      <c r="AS601" s="130">
        <v>1405</v>
      </c>
      <c r="AT601" s="130"/>
      <c r="AU601" s="130"/>
      <c r="AV601" s="130"/>
      <c r="AW601" s="12"/>
      <c r="AX601" s="12"/>
      <c r="AY601" s="12"/>
      <c r="AZ601" s="481"/>
    </row>
    <row r="602" spans="1:52" ht="30" customHeight="1" x14ac:dyDescent="0.2">
      <c r="A602" s="497">
        <v>600</v>
      </c>
      <c r="B602" s="481"/>
      <c r="C602" s="16"/>
      <c r="D602" s="482"/>
      <c r="E602" s="482"/>
      <c r="F602" s="482"/>
      <c r="G602" s="495"/>
      <c r="H602" s="481"/>
      <c r="I602" s="481"/>
      <c r="J602" s="360" t="s">
        <v>158</v>
      </c>
      <c r="K602" s="482"/>
      <c r="L602" s="482"/>
      <c r="M602" s="482"/>
      <c r="N602" s="41"/>
      <c r="O602" s="13"/>
      <c r="P602" s="13"/>
      <c r="Q602" s="13"/>
      <c r="R602" s="481"/>
      <c r="S602" s="481"/>
      <c r="T602" s="481"/>
      <c r="U602" s="482"/>
      <c r="V602" s="41"/>
      <c r="W602" s="13"/>
      <c r="X602" s="482"/>
      <c r="Y602" s="481"/>
      <c r="Z602" s="481"/>
      <c r="AA602" s="481"/>
      <c r="AB602" s="16"/>
      <c r="AC602" s="16"/>
      <c r="AD602" s="16"/>
      <c r="AE602" s="16"/>
      <c r="AF602" s="16"/>
      <c r="AG602" s="16"/>
      <c r="AH602" s="16"/>
      <c r="AI602" s="16"/>
      <c r="AJ602" s="481"/>
      <c r="AK602" s="482"/>
      <c r="AL602" s="25"/>
      <c r="AM602" s="481"/>
      <c r="AN602" s="481"/>
      <c r="AO602" s="481"/>
      <c r="AP602" s="16"/>
      <c r="AQ602" s="16"/>
      <c r="AR602" s="130"/>
      <c r="AS602" s="130">
        <v>1405</v>
      </c>
      <c r="AT602" s="130"/>
      <c r="AU602" s="130"/>
      <c r="AV602" s="130"/>
      <c r="AW602" s="12"/>
      <c r="AX602" s="12"/>
      <c r="AY602" s="12"/>
      <c r="AZ602" s="481"/>
    </row>
    <row r="603" spans="1:52" ht="30" customHeight="1" x14ac:dyDescent="0.2">
      <c r="A603" s="497">
        <v>601</v>
      </c>
      <c r="B603" s="481"/>
      <c r="C603" s="16"/>
      <c r="D603" s="482"/>
      <c r="E603" s="482"/>
      <c r="F603" s="482"/>
      <c r="G603" s="495"/>
      <c r="H603" s="481"/>
      <c r="I603" s="481"/>
      <c r="J603" s="360" t="s">
        <v>158</v>
      </c>
      <c r="K603" s="482"/>
      <c r="L603" s="482"/>
      <c r="M603" s="482"/>
      <c r="N603" s="41"/>
      <c r="O603" s="13"/>
      <c r="P603" s="13"/>
      <c r="Q603" s="13"/>
      <c r="R603" s="481"/>
      <c r="S603" s="481"/>
      <c r="T603" s="481"/>
      <c r="U603" s="482"/>
      <c r="V603" s="41"/>
      <c r="W603" s="13"/>
      <c r="X603" s="482"/>
      <c r="Y603" s="481"/>
      <c r="Z603" s="481"/>
      <c r="AA603" s="481"/>
      <c r="AB603" s="16"/>
      <c r="AC603" s="16"/>
      <c r="AD603" s="16"/>
      <c r="AE603" s="16"/>
      <c r="AF603" s="16"/>
      <c r="AG603" s="16"/>
      <c r="AH603" s="16"/>
      <c r="AI603" s="16"/>
      <c r="AJ603" s="481"/>
      <c r="AK603" s="482"/>
      <c r="AL603" s="25"/>
      <c r="AM603" s="481"/>
      <c r="AN603" s="481"/>
      <c r="AO603" s="481"/>
      <c r="AP603" s="16"/>
      <c r="AQ603" s="16"/>
      <c r="AR603" s="130"/>
      <c r="AS603" s="130">
        <v>1405</v>
      </c>
      <c r="AT603" s="130"/>
      <c r="AU603" s="130"/>
      <c r="AV603" s="130"/>
      <c r="AW603" s="12"/>
      <c r="AX603" s="12"/>
      <c r="AY603" s="12"/>
      <c r="AZ603" s="481"/>
    </row>
    <row r="604" spans="1:52" ht="30" customHeight="1" x14ac:dyDescent="0.2">
      <c r="A604" s="497">
        <v>602</v>
      </c>
      <c r="B604" s="481"/>
      <c r="C604" s="16"/>
      <c r="D604" s="482"/>
      <c r="E604" s="482"/>
      <c r="F604" s="482"/>
      <c r="G604" s="495"/>
      <c r="H604" s="481"/>
      <c r="I604" s="481"/>
      <c r="J604" s="360" t="s">
        <v>158</v>
      </c>
      <c r="K604" s="482"/>
      <c r="L604" s="482"/>
      <c r="M604" s="482"/>
      <c r="N604" s="41"/>
      <c r="O604" s="13"/>
      <c r="P604" s="13"/>
      <c r="Q604" s="13"/>
      <c r="R604" s="481"/>
      <c r="S604" s="481"/>
      <c r="T604" s="481"/>
      <c r="U604" s="482"/>
      <c r="V604" s="41"/>
      <c r="W604" s="13"/>
      <c r="X604" s="482"/>
      <c r="Y604" s="481"/>
      <c r="Z604" s="481"/>
      <c r="AA604" s="481"/>
      <c r="AB604" s="16"/>
      <c r="AC604" s="16"/>
      <c r="AD604" s="16"/>
      <c r="AE604" s="16"/>
      <c r="AF604" s="16"/>
      <c r="AG604" s="16"/>
      <c r="AH604" s="16"/>
      <c r="AI604" s="16"/>
      <c r="AJ604" s="481"/>
      <c r="AK604" s="482"/>
      <c r="AL604" s="25"/>
      <c r="AM604" s="481"/>
      <c r="AN604" s="481"/>
      <c r="AO604" s="481"/>
      <c r="AP604" s="16"/>
      <c r="AQ604" s="16"/>
      <c r="AR604" s="130"/>
      <c r="AS604" s="130">
        <v>1405</v>
      </c>
      <c r="AT604" s="130"/>
      <c r="AU604" s="130"/>
      <c r="AV604" s="130"/>
      <c r="AW604" s="12"/>
      <c r="AX604" s="12"/>
      <c r="AY604" s="12"/>
      <c r="AZ604" s="481"/>
    </row>
    <row r="605" spans="1:52" ht="30" customHeight="1" x14ac:dyDescent="0.2">
      <c r="A605" s="497">
        <v>603</v>
      </c>
      <c r="B605" s="481"/>
      <c r="C605" s="16"/>
      <c r="D605" s="482"/>
      <c r="E605" s="482"/>
      <c r="F605" s="482"/>
      <c r="G605" s="495"/>
      <c r="H605" s="481"/>
      <c r="I605" s="481"/>
      <c r="J605" s="360" t="s">
        <v>158</v>
      </c>
      <c r="K605" s="482"/>
      <c r="L605" s="482"/>
      <c r="M605" s="482"/>
      <c r="N605" s="41"/>
      <c r="O605" s="13"/>
      <c r="P605" s="13"/>
      <c r="Q605" s="13"/>
      <c r="R605" s="481"/>
      <c r="S605" s="481"/>
      <c r="T605" s="481"/>
      <c r="U605" s="482"/>
      <c r="V605" s="41"/>
      <c r="W605" s="13"/>
      <c r="X605" s="482"/>
      <c r="Y605" s="481"/>
      <c r="Z605" s="481"/>
      <c r="AA605" s="481"/>
      <c r="AB605" s="16"/>
      <c r="AC605" s="16"/>
      <c r="AD605" s="16"/>
      <c r="AE605" s="16"/>
      <c r="AF605" s="16"/>
      <c r="AG605" s="16"/>
      <c r="AH605" s="16"/>
      <c r="AI605" s="16"/>
      <c r="AJ605" s="481"/>
      <c r="AK605" s="482"/>
      <c r="AL605" s="25"/>
      <c r="AM605" s="481"/>
      <c r="AN605" s="481"/>
      <c r="AO605" s="481"/>
      <c r="AP605" s="16"/>
      <c r="AQ605" s="16"/>
      <c r="AR605" s="130"/>
      <c r="AS605" s="130">
        <v>1405</v>
      </c>
      <c r="AT605" s="130"/>
      <c r="AU605" s="130"/>
      <c r="AV605" s="130"/>
      <c r="AW605" s="12"/>
      <c r="AX605" s="12"/>
      <c r="AY605" s="12"/>
      <c r="AZ605" s="481"/>
    </row>
    <row r="606" spans="1:52" ht="30" customHeight="1" x14ac:dyDescent="0.2">
      <c r="A606" s="497">
        <v>604</v>
      </c>
      <c r="B606" s="481"/>
      <c r="C606" s="16"/>
      <c r="D606" s="482"/>
      <c r="E606" s="482"/>
      <c r="F606" s="482"/>
      <c r="G606" s="495"/>
      <c r="H606" s="481"/>
      <c r="I606" s="481"/>
      <c r="J606" s="360" t="s">
        <v>158</v>
      </c>
      <c r="K606" s="482"/>
      <c r="L606" s="482"/>
      <c r="M606" s="482"/>
      <c r="N606" s="41"/>
      <c r="O606" s="13"/>
      <c r="P606" s="13"/>
      <c r="Q606" s="13"/>
      <c r="R606" s="481"/>
      <c r="S606" s="481"/>
      <c r="T606" s="481"/>
      <c r="U606" s="482"/>
      <c r="V606" s="41"/>
      <c r="W606" s="13"/>
      <c r="X606" s="482"/>
      <c r="Y606" s="481"/>
      <c r="Z606" s="481"/>
      <c r="AA606" s="481"/>
      <c r="AB606" s="16"/>
      <c r="AC606" s="16"/>
      <c r="AD606" s="16"/>
      <c r="AE606" s="16"/>
      <c r="AF606" s="16"/>
      <c r="AG606" s="16"/>
      <c r="AH606" s="16"/>
      <c r="AI606" s="16"/>
      <c r="AJ606" s="481"/>
      <c r="AK606" s="482"/>
      <c r="AL606" s="25"/>
      <c r="AM606" s="481"/>
      <c r="AN606" s="481"/>
      <c r="AO606" s="481"/>
      <c r="AP606" s="16"/>
      <c r="AQ606" s="16"/>
      <c r="AR606" s="130"/>
      <c r="AS606" s="130">
        <v>1405</v>
      </c>
      <c r="AT606" s="130"/>
      <c r="AU606" s="130"/>
      <c r="AV606" s="130"/>
      <c r="AW606" s="12"/>
      <c r="AX606" s="12"/>
      <c r="AY606" s="12"/>
      <c r="AZ606" s="481"/>
    </row>
    <row r="607" spans="1:52" ht="30" customHeight="1" x14ac:dyDescent="0.2">
      <c r="A607" s="497">
        <v>605</v>
      </c>
      <c r="B607" s="481"/>
      <c r="C607" s="16"/>
      <c r="D607" s="482"/>
      <c r="E607" s="482"/>
      <c r="F607" s="482"/>
      <c r="G607" s="495"/>
      <c r="H607" s="481"/>
      <c r="I607" s="481"/>
      <c r="J607" s="360" t="s">
        <v>158</v>
      </c>
      <c r="K607" s="482"/>
      <c r="L607" s="482"/>
      <c r="M607" s="482"/>
      <c r="N607" s="41"/>
      <c r="O607" s="13"/>
      <c r="P607" s="13"/>
      <c r="Q607" s="13"/>
      <c r="R607" s="481"/>
      <c r="S607" s="481"/>
      <c r="T607" s="481"/>
      <c r="U607" s="482"/>
      <c r="V607" s="41"/>
      <c r="W607" s="13"/>
      <c r="X607" s="482"/>
      <c r="Y607" s="481"/>
      <c r="Z607" s="481"/>
      <c r="AA607" s="481"/>
      <c r="AB607" s="16"/>
      <c r="AC607" s="16"/>
      <c r="AD607" s="16"/>
      <c r="AE607" s="16"/>
      <c r="AF607" s="16"/>
      <c r="AG607" s="16"/>
      <c r="AH607" s="16"/>
      <c r="AI607" s="16"/>
      <c r="AJ607" s="481"/>
      <c r="AK607" s="482"/>
      <c r="AL607" s="25"/>
      <c r="AM607" s="481"/>
      <c r="AN607" s="481"/>
      <c r="AO607" s="481"/>
      <c r="AP607" s="16"/>
      <c r="AQ607" s="16"/>
      <c r="AR607" s="130"/>
      <c r="AS607" s="130">
        <v>1405</v>
      </c>
      <c r="AT607" s="130"/>
      <c r="AU607" s="130"/>
      <c r="AV607" s="130"/>
      <c r="AW607" s="12"/>
      <c r="AX607" s="12"/>
      <c r="AY607" s="12"/>
      <c r="AZ607" s="481"/>
    </row>
    <row r="608" spans="1:52" ht="30" customHeight="1" x14ac:dyDescent="0.2">
      <c r="A608" s="497">
        <v>606</v>
      </c>
      <c r="B608" s="481"/>
      <c r="C608" s="16"/>
      <c r="D608" s="482"/>
      <c r="E608" s="482"/>
      <c r="F608" s="482"/>
      <c r="G608" s="495"/>
      <c r="H608" s="481"/>
      <c r="I608" s="481"/>
      <c r="J608" s="360" t="s">
        <v>158</v>
      </c>
      <c r="K608" s="482"/>
      <c r="L608" s="482"/>
      <c r="M608" s="482"/>
      <c r="N608" s="41"/>
      <c r="O608" s="13"/>
      <c r="P608" s="13"/>
      <c r="Q608" s="13"/>
      <c r="R608" s="481"/>
      <c r="S608" s="481"/>
      <c r="T608" s="481"/>
      <c r="U608" s="482"/>
      <c r="V608" s="41"/>
      <c r="W608" s="13"/>
      <c r="X608" s="482"/>
      <c r="Y608" s="481"/>
      <c r="Z608" s="481"/>
      <c r="AA608" s="481"/>
      <c r="AB608" s="16"/>
      <c r="AC608" s="16"/>
      <c r="AD608" s="16"/>
      <c r="AE608" s="16"/>
      <c r="AF608" s="16"/>
      <c r="AG608" s="16"/>
      <c r="AH608" s="16"/>
      <c r="AI608" s="16"/>
      <c r="AJ608" s="481"/>
      <c r="AK608" s="482"/>
      <c r="AL608" s="25"/>
      <c r="AM608" s="481"/>
      <c r="AN608" s="481"/>
      <c r="AO608" s="481"/>
      <c r="AP608" s="16"/>
      <c r="AQ608" s="16"/>
      <c r="AR608" s="130"/>
      <c r="AS608" s="130">
        <v>1405</v>
      </c>
      <c r="AT608" s="130"/>
      <c r="AU608" s="130"/>
      <c r="AV608" s="130"/>
      <c r="AW608" s="12"/>
      <c r="AX608" s="12"/>
      <c r="AY608" s="12"/>
      <c r="AZ608" s="481"/>
    </row>
    <row r="609" spans="1:52" ht="30" customHeight="1" x14ac:dyDescent="0.2">
      <c r="A609" s="497">
        <v>607</v>
      </c>
      <c r="B609" s="481"/>
      <c r="C609" s="16"/>
      <c r="D609" s="482"/>
      <c r="E609" s="482"/>
      <c r="F609" s="482"/>
      <c r="G609" s="495"/>
      <c r="H609" s="481"/>
      <c r="I609" s="481"/>
      <c r="J609" s="360" t="s">
        <v>158</v>
      </c>
      <c r="K609" s="482"/>
      <c r="L609" s="482"/>
      <c r="M609" s="482"/>
      <c r="N609" s="41"/>
      <c r="O609" s="13"/>
      <c r="P609" s="13"/>
      <c r="Q609" s="13"/>
      <c r="R609" s="481"/>
      <c r="S609" s="481"/>
      <c r="T609" s="481"/>
      <c r="U609" s="482"/>
      <c r="V609" s="41"/>
      <c r="W609" s="13"/>
      <c r="X609" s="482"/>
      <c r="Y609" s="481"/>
      <c r="Z609" s="481"/>
      <c r="AA609" s="481"/>
      <c r="AB609" s="16"/>
      <c r="AC609" s="16"/>
      <c r="AD609" s="16"/>
      <c r="AE609" s="16"/>
      <c r="AF609" s="16"/>
      <c r="AG609" s="16"/>
      <c r="AH609" s="16"/>
      <c r="AI609" s="16"/>
      <c r="AJ609" s="481"/>
      <c r="AK609" s="482"/>
      <c r="AL609" s="25"/>
      <c r="AM609" s="481"/>
      <c r="AN609" s="481"/>
      <c r="AO609" s="481"/>
      <c r="AP609" s="16"/>
      <c r="AQ609" s="16"/>
      <c r="AR609" s="130"/>
      <c r="AS609" s="130">
        <v>1405</v>
      </c>
      <c r="AT609" s="130"/>
      <c r="AU609" s="130"/>
      <c r="AV609" s="130"/>
      <c r="AW609" s="12"/>
      <c r="AX609" s="12"/>
      <c r="AY609" s="12"/>
      <c r="AZ609" s="481"/>
    </row>
    <row r="610" spans="1:52" ht="30" customHeight="1" x14ac:dyDescent="0.2">
      <c r="A610" s="497">
        <v>608</v>
      </c>
      <c r="B610" s="481"/>
      <c r="C610" s="16"/>
      <c r="D610" s="482"/>
      <c r="E610" s="482"/>
      <c r="F610" s="482"/>
      <c r="G610" s="495"/>
      <c r="H610" s="481"/>
      <c r="I610" s="481"/>
      <c r="J610" s="360" t="s">
        <v>158</v>
      </c>
      <c r="K610" s="482"/>
      <c r="L610" s="482"/>
      <c r="M610" s="482"/>
      <c r="N610" s="41"/>
      <c r="O610" s="13"/>
      <c r="P610" s="13"/>
      <c r="Q610" s="13"/>
      <c r="R610" s="481"/>
      <c r="S610" s="481"/>
      <c r="T610" s="481"/>
      <c r="U610" s="482"/>
      <c r="V610" s="41"/>
      <c r="W610" s="13"/>
      <c r="X610" s="482"/>
      <c r="Y610" s="481"/>
      <c r="Z610" s="481"/>
      <c r="AA610" s="481"/>
      <c r="AB610" s="16"/>
      <c r="AC610" s="16"/>
      <c r="AD610" s="16"/>
      <c r="AE610" s="16"/>
      <c r="AF610" s="16"/>
      <c r="AG610" s="16"/>
      <c r="AH610" s="16"/>
      <c r="AI610" s="16"/>
      <c r="AJ610" s="481"/>
      <c r="AK610" s="482"/>
      <c r="AL610" s="25"/>
      <c r="AM610" s="481"/>
      <c r="AN610" s="481"/>
      <c r="AO610" s="481"/>
      <c r="AP610" s="16"/>
      <c r="AQ610" s="16"/>
      <c r="AR610" s="130"/>
      <c r="AS610" s="130">
        <v>1405</v>
      </c>
      <c r="AT610" s="130"/>
      <c r="AU610" s="130"/>
      <c r="AV610" s="130"/>
      <c r="AW610" s="12"/>
      <c r="AX610" s="12"/>
      <c r="AY610" s="12"/>
      <c r="AZ610" s="481"/>
    </row>
    <row r="611" spans="1:52" ht="30" customHeight="1" x14ac:dyDescent="0.2">
      <c r="A611" s="497">
        <v>609</v>
      </c>
      <c r="B611" s="481"/>
      <c r="C611" s="16"/>
      <c r="D611" s="482"/>
      <c r="E611" s="482"/>
      <c r="F611" s="482"/>
      <c r="G611" s="495"/>
      <c r="H611" s="481"/>
      <c r="I611" s="481"/>
      <c r="J611" s="360" t="s">
        <v>158</v>
      </c>
      <c r="K611" s="482"/>
      <c r="L611" s="482"/>
      <c r="M611" s="482"/>
      <c r="N611" s="41"/>
      <c r="O611" s="13"/>
      <c r="P611" s="13"/>
      <c r="Q611" s="13"/>
      <c r="R611" s="481"/>
      <c r="S611" s="481"/>
      <c r="T611" s="481"/>
      <c r="U611" s="482"/>
      <c r="V611" s="41"/>
      <c r="W611" s="13"/>
      <c r="X611" s="482"/>
      <c r="Y611" s="481"/>
      <c r="Z611" s="481"/>
      <c r="AA611" s="481"/>
      <c r="AB611" s="16"/>
      <c r="AC611" s="16"/>
      <c r="AD611" s="16"/>
      <c r="AE611" s="16"/>
      <c r="AF611" s="16"/>
      <c r="AG611" s="16"/>
      <c r="AH611" s="16"/>
      <c r="AI611" s="16"/>
      <c r="AJ611" s="481"/>
      <c r="AK611" s="482"/>
      <c r="AL611" s="25"/>
      <c r="AM611" s="481"/>
      <c r="AN611" s="481"/>
      <c r="AO611" s="481"/>
      <c r="AP611" s="16"/>
      <c r="AQ611" s="16"/>
      <c r="AR611" s="130"/>
      <c r="AS611" s="130">
        <v>1405</v>
      </c>
      <c r="AT611" s="130"/>
      <c r="AU611" s="130"/>
      <c r="AV611" s="130"/>
      <c r="AW611" s="12"/>
      <c r="AX611" s="12"/>
      <c r="AY611" s="12"/>
      <c r="AZ611" s="481"/>
    </row>
    <row r="612" spans="1:52" ht="30" customHeight="1" x14ac:dyDescent="0.2">
      <c r="A612" s="497">
        <v>610</v>
      </c>
      <c r="B612" s="481"/>
      <c r="C612" s="16"/>
      <c r="D612" s="482"/>
      <c r="E612" s="482"/>
      <c r="F612" s="482"/>
      <c r="G612" s="495"/>
      <c r="H612" s="481"/>
      <c r="I612" s="481"/>
      <c r="J612" s="360" t="s">
        <v>158</v>
      </c>
      <c r="K612" s="482"/>
      <c r="L612" s="482"/>
      <c r="M612" s="482"/>
      <c r="N612" s="41"/>
      <c r="O612" s="13"/>
      <c r="P612" s="13"/>
      <c r="Q612" s="13"/>
      <c r="R612" s="481"/>
      <c r="S612" s="481"/>
      <c r="T612" s="481"/>
      <c r="U612" s="482"/>
      <c r="V612" s="41"/>
      <c r="W612" s="13"/>
      <c r="X612" s="482"/>
      <c r="Y612" s="481"/>
      <c r="Z612" s="481"/>
      <c r="AA612" s="481"/>
      <c r="AB612" s="16"/>
      <c r="AC612" s="16"/>
      <c r="AD612" s="16"/>
      <c r="AE612" s="16"/>
      <c r="AF612" s="16"/>
      <c r="AG612" s="16"/>
      <c r="AH612" s="16"/>
      <c r="AI612" s="16"/>
      <c r="AJ612" s="481"/>
      <c r="AK612" s="482"/>
      <c r="AL612" s="25"/>
      <c r="AM612" s="481"/>
      <c r="AN612" s="481"/>
      <c r="AO612" s="481"/>
      <c r="AP612" s="16"/>
      <c r="AQ612" s="16"/>
      <c r="AR612" s="130"/>
      <c r="AS612" s="130">
        <v>1405</v>
      </c>
      <c r="AT612" s="130"/>
      <c r="AU612" s="130"/>
      <c r="AV612" s="130"/>
      <c r="AW612" s="12"/>
      <c r="AX612" s="12"/>
      <c r="AY612" s="12"/>
      <c r="AZ612" s="481"/>
    </row>
    <row r="613" spans="1:52" ht="30" customHeight="1" x14ac:dyDescent="0.2">
      <c r="A613" s="497">
        <v>611</v>
      </c>
      <c r="B613" s="481"/>
      <c r="C613" s="16"/>
      <c r="D613" s="482"/>
      <c r="E613" s="482"/>
      <c r="F613" s="482"/>
      <c r="G613" s="495"/>
      <c r="H613" s="481"/>
      <c r="I613" s="481"/>
      <c r="J613" s="360" t="s">
        <v>158</v>
      </c>
      <c r="K613" s="482"/>
      <c r="L613" s="482"/>
      <c r="M613" s="482"/>
      <c r="N613" s="41"/>
      <c r="O613" s="13"/>
      <c r="P613" s="13"/>
      <c r="Q613" s="13"/>
      <c r="R613" s="481"/>
      <c r="S613" s="481"/>
      <c r="T613" s="481"/>
      <c r="U613" s="482"/>
      <c r="V613" s="41"/>
      <c r="W613" s="13"/>
      <c r="X613" s="482"/>
      <c r="Y613" s="481"/>
      <c r="Z613" s="481"/>
      <c r="AA613" s="481"/>
      <c r="AB613" s="16"/>
      <c r="AC613" s="16"/>
      <c r="AD613" s="16"/>
      <c r="AE613" s="16"/>
      <c r="AF613" s="16"/>
      <c r="AG613" s="16"/>
      <c r="AH613" s="16"/>
      <c r="AI613" s="16"/>
      <c r="AJ613" s="481"/>
      <c r="AK613" s="482"/>
      <c r="AL613" s="25"/>
      <c r="AM613" s="481"/>
      <c r="AN613" s="481"/>
      <c r="AO613" s="481"/>
      <c r="AP613" s="16"/>
      <c r="AQ613" s="16"/>
      <c r="AR613" s="130"/>
      <c r="AS613" s="130">
        <v>1405</v>
      </c>
      <c r="AT613" s="130"/>
      <c r="AU613" s="130"/>
      <c r="AV613" s="130"/>
      <c r="AW613" s="12"/>
      <c r="AX613" s="12"/>
      <c r="AY613" s="12"/>
      <c r="AZ613" s="481"/>
    </row>
    <row r="614" spans="1:52" ht="30" customHeight="1" x14ac:dyDescent="0.2">
      <c r="A614" s="497">
        <v>612</v>
      </c>
      <c r="B614" s="481"/>
      <c r="C614" s="16"/>
      <c r="D614" s="482"/>
      <c r="E614" s="482"/>
      <c r="F614" s="482"/>
      <c r="G614" s="495"/>
      <c r="H614" s="481"/>
      <c r="I614" s="481"/>
      <c r="J614" s="360" t="s">
        <v>158</v>
      </c>
      <c r="K614" s="482"/>
      <c r="L614" s="482"/>
      <c r="M614" s="482"/>
      <c r="N614" s="41"/>
      <c r="O614" s="13"/>
      <c r="P614" s="13"/>
      <c r="Q614" s="13"/>
      <c r="R614" s="481"/>
      <c r="S614" s="481"/>
      <c r="T614" s="481"/>
      <c r="U614" s="482"/>
      <c r="V614" s="41"/>
      <c r="W614" s="13"/>
      <c r="X614" s="482"/>
      <c r="Y614" s="481"/>
      <c r="Z614" s="481"/>
      <c r="AA614" s="481"/>
      <c r="AB614" s="16"/>
      <c r="AC614" s="16"/>
      <c r="AD614" s="16"/>
      <c r="AE614" s="16"/>
      <c r="AF614" s="16"/>
      <c r="AG614" s="16"/>
      <c r="AH614" s="16"/>
      <c r="AI614" s="16"/>
      <c r="AJ614" s="481"/>
      <c r="AK614" s="482"/>
      <c r="AL614" s="25"/>
      <c r="AM614" s="481"/>
      <c r="AN614" s="481"/>
      <c r="AO614" s="481"/>
      <c r="AP614" s="16"/>
      <c r="AQ614" s="16"/>
      <c r="AR614" s="130"/>
      <c r="AS614" s="130">
        <v>1405</v>
      </c>
      <c r="AT614" s="130"/>
      <c r="AU614" s="130"/>
      <c r="AV614" s="130"/>
      <c r="AW614" s="12"/>
      <c r="AX614" s="12"/>
      <c r="AY614" s="12"/>
      <c r="AZ614" s="481"/>
    </row>
    <row r="615" spans="1:52" ht="30" customHeight="1" x14ac:dyDescent="0.2">
      <c r="A615" s="497">
        <v>613</v>
      </c>
      <c r="B615" s="481"/>
      <c r="C615" s="16"/>
      <c r="D615" s="482"/>
      <c r="E615" s="482"/>
      <c r="F615" s="482"/>
      <c r="G615" s="495"/>
      <c r="H615" s="481"/>
      <c r="I615" s="481"/>
      <c r="J615" s="360" t="s">
        <v>158</v>
      </c>
      <c r="K615" s="482"/>
      <c r="L615" s="482"/>
      <c r="M615" s="482"/>
      <c r="N615" s="41"/>
      <c r="O615" s="13"/>
      <c r="P615" s="13"/>
      <c r="Q615" s="13"/>
      <c r="R615" s="481"/>
      <c r="S615" s="481"/>
      <c r="T615" s="481"/>
      <c r="U615" s="482"/>
      <c r="V615" s="41"/>
      <c r="W615" s="13"/>
      <c r="X615" s="482"/>
      <c r="Y615" s="481"/>
      <c r="Z615" s="481"/>
      <c r="AA615" s="481"/>
      <c r="AB615" s="16"/>
      <c r="AC615" s="16"/>
      <c r="AD615" s="16"/>
      <c r="AE615" s="16"/>
      <c r="AF615" s="16"/>
      <c r="AG615" s="16"/>
      <c r="AH615" s="16"/>
      <c r="AI615" s="16"/>
      <c r="AJ615" s="481"/>
      <c r="AK615" s="482"/>
      <c r="AL615" s="25"/>
      <c r="AM615" s="481"/>
      <c r="AN615" s="481"/>
      <c r="AO615" s="481"/>
      <c r="AP615" s="16"/>
      <c r="AQ615" s="16"/>
      <c r="AR615" s="130"/>
      <c r="AS615" s="130">
        <v>1405</v>
      </c>
      <c r="AT615" s="130"/>
      <c r="AU615" s="130"/>
      <c r="AV615" s="130"/>
      <c r="AW615" s="12"/>
      <c r="AX615" s="12"/>
      <c r="AY615" s="12"/>
      <c r="AZ615" s="481"/>
    </row>
    <row r="616" spans="1:52" ht="30" customHeight="1" x14ac:dyDescent="0.2">
      <c r="A616" s="497">
        <v>614</v>
      </c>
      <c r="B616" s="481"/>
      <c r="C616" s="16"/>
      <c r="D616" s="482"/>
      <c r="E616" s="482"/>
      <c r="F616" s="482"/>
      <c r="G616" s="495"/>
      <c r="H616" s="481"/>
      <c r="I616" s="481"/>
      <c r="J616" s="360" t="s">
        <v>158</v>
      </c>
      <c r="K616" s="482"/>
      <c r="L616" s="482"/>
      <c r="M616" s="482"/>
      <c r="N616" s="41"/>
      <c r="O616" s="13"/>
      <c r="P616" s="13"/>
      <c r="Q616" s="13"/>
      <c r="R616" s="481"/>
      <c r="S616" s="481"/>
      <c r="T616" s="481"/>
      <c r="U616" s="482"/>
      <c r="V616" s="41"/>
      <c r="W616" s="13"/>
      <c r="X616" s="482"/>
      <c r="Y616" s="481"/>
      <c r="Z616" s="481"/>
      <c r="AA616" s="481"/>
      <c r="AB616" s="16"/>
      <c r="AC616" s="16"/>
      <c r="AD616" s="16"/>
      <c r="AE616" s="16"/>
      <c r="AF616" s="16"/>
      <c r="AG616" s="16"/>
      <c r="AH616" s="16"/>
      <c r="AI616" s="16"/>
      <c r="AJ616" s="481"/>
      <c r="AK616" s="482"/>
      <c r="AL616" s="25"/>
      <c r="AM616" s="481"/>
      <c r="AN616" s="481"/>
      <c r="AO616" s="481"/>
      <c r="AP616" s="16"/>
      <c r="AQ616" s="16"/>
      <c r="AR616" s="130"/>
      <c r="AS616" s="130">
        <v>1405</v>
      </c>
      <c r="AT616" s="130"/>
      <c r="AU616" s="130"/>
      <c r="AV616" s="130"/>
      <c r="AW616" s="12"/>
      <c r="AX616" s="12"/>
      <c r="AY616" s="12"/>
      <c r="AZ616" s="481"/>
    </row>
    <row r="617" spans="1:52" ht="30" customHeight="1" x14ac:dyDescent="0.2">
      <c r="A617" s="497">
        <v>615</v>
      </c>
      <c r="B617" s="481"/>
      <c r="C617" s="16"/>
      <c r="D617" s="482"/>
      <c r="E617" s="482"/>
      <c r="F617" s="482"/>
      <c r="G617" s="495"/>
      <c r="H617" s="481"/>
      <c r="I617" s="481"/>
      <c r="J617" s="360" t="s">
        <v>158</v>
      </c>
      <c r="K617" s="482"/>
      <c r="L617" s="482"/>
      <c r="M617" s="482"/>
      <c r="N617" s="41"/>
      <c r="O617" s="13"/>
      <c r="P617" s="13"/>
      <c r="Q617" s="13"/>
      <c r="R617" s="481"/>
      <c r="S617" s="481"/>
      <c r="T617" s="481"/>
      <c r="U617" s="482"/>
      <c r="V617" s="41"/>
      <c r="W617" s="13"/>
      <c r="X617" s="482"/>
      <c r="Y617" s="481"/>
      <c r="Z617" s="481"/>
      <c r="AA617" s="481"/>
      <c r="AB617" s="16"/>
      <c r="AC617" s="16"/>
      <c r="AD617" s="16"/>
      <c r="AE617" s="16"/>
      <c r="AF617" s="16"/>
      <c r="AG617" s="16"/>
      <c r="AH617" s="16"/>
      <c r="AI617" s="16"/>
      <c r="AJ617" s="481"/>
      <c r="AK617" s="482"/>
      <c r="AL617" s="25"/>
      <c r="AM617" s="481"/>
      <c r="AN617" s="481"/>
      <c r="AO617" s="481"/>
      <c r="AP617" s="16"/>
      <c r="AQ617" s="16"/>
      <c r="AR617" s="130"/>
      <c r="AS617" s="130">
        <v>1405</v>
      </c>
      <c r="AT617" s="130"/>
      <c r="AU617" s="130"/>
      <c r="AV617" s="130"/>
      <c r="AW617" s="12"/>
      <c r="AX617" s="12"/>
      <c r="AY617" s="12"/>
      <c r="AZ617" s="481"/>
    </row>
    <row r="618" spans="1:52" ht="30" customHeight="1" x14ac:dyDescent="0.2">
      <c r="A618" s="497">
        <v>616</v>
      </c>
      <c r="B618" s="481"/>
      <c r="C618" s="16"/>
      <c r="D618" s="482"/>
      <c r="E618" s="482"/>
      <c r="F618" s="482"/>
      <c r="G618" s="495"/>
      <c r="H618" s="481"/>
      <c r="I618" s="481"/>
      <c r="J618" s="360" t="s">
        <v>158</v>
      </c>
      <c r="K618" s="482"/>
      <c r="L618" s="482"/>
      <c r="M618" s="482"/>
      <c r="N618" s="41"/>
      <c r="O618" s="13"/>
      <c r="P618" s="13"/>
      <c r="Q618" s="13"/>
      <c r="R618" s="481"/>
      <c r="S618" s="481"/>
      <c r="T618" s="481"/>
      <c r="U618" s="482"/>
      <c r="V618" s="41"/>
      <c r="W618" s="13"/>
      <c r="X618" s="482"/>
      <c r="Y618" s="481"/>
      <c r="Z618" s="481"/>
      <c r="AA618" s="481"/>
      <c r="AB618" s="16"/>
      <c r="AC618" s="16"/>
      <c r="AD618" s="16"/>
      <c r="AE618" s="16"/>
      <c r="AF618" s="16"/>
      <c r="AG618" s="16"/>
      <c r="AH618" s="16"/>
      <c r="AI618" s="16"/>
      <c r="AJ618" s="481"/>
      <c r="AK618" s="482"/>
      <c r="AL618" s="25"/>
      <c r="AM618" s="481"/>
      <c r="AN618" s="481"/>
      <c r="AO618" s="481"/>
      <c r="AP618" s="16"/>
      <c r="AQ618" s="16"/>
      <c r="AR618" s="130"/>
      <c r="AS618" s="130">
        <v>1405</v>
      </c>
      <c r="AT618" s="130"/>
      <c r="AU618" s="130"/>
      <c r="AV618" s="130"/>
      <c r="AW618" s="12"/>
      <c r="AX618" s="12"/>
      <c r="AY618" s="12"/>
      <c r="AZ618" s="481"/>
    </row>
    <row r="619" spans="1:52" ht="30" customHeight="1" x14ac:dyDescent="0.2">
      <c r="A619" s="497">
        <v>617</v>
      </c>
      <c r="B619" s="481"/>
      <c r="C619" s="16"/>
      <c r="D619" s="482"/>
      <c r="E619" s="482"/>
      <c r="F619" s="482"/>
      <c r="G619" s="495"/>
      <c r="H619" s="481"/>
      <c r="I619" s="481"/>
      <c r="J619" s="360" t="s">
        <v>158</v>
      </c>
      <c r="K619" s="482"/>
      <c r="L619" s="482"/>
      <c r="M619" s="482"/>
      <c r="N619" s="41"/>
      <c r="O619" s="13"/>
      <c r="P619" s="13"/>
      <c r="Q619" s="13"/>
      <c r="R619" s="481"/>
      <c r="S619" s="481"/>
      <c r="T619" s="481"/>
      <c r="U619" s="482"/>
      <c r="V619" s="41"/>
      <c r="W619" s="13"/>
      <c r="X619" s="482"/>
      <c r="Y619" s="481"/>
      <c r="Z619" s="481"/>
      <c r="AA619" s="481"/>
      <c r="AB619" s="16"/>
      <c r="AC619" s="16"/>
      <c r="AD619" s="16"/>
      <c r="AE619" s="16"/>
      <c r="AF619" s="16"/>
      <c r="AG619" s="16"/>
      <c r="AH619" s="16"/>
      <c r="AI619" s="16"/>
      <c r="AJ619" s="481"/>
      <c r="AK619" s="482"/>
      <c r="AL619" s="25"/>
      <c r="AM619" s="481"/>
      <c r="AN619" s="481"/>
      <c r="AO619" s="481"/>
      <c r="AP619" s="16"/>
      <c r="AQ619" s="16"/>
      <c r="AR619" s="130"/>
      <c r="AS619" s="130">
        <v>1405</v>
      </c>
      <c r="AT619" s="130"/>
      <c r="AU619" s="130"/>
      <c r="AV619" s="130"/>
      <c r="AW619" s="12"/>
      <c r="AX619" s="12"/>
      <c r="AY619" s="12"/>
      <c r="AZ619" s="481"/>
    </row>
    <row r="620" spans="1:52" ht="30" customHeight="1" x14ac:dyDescent="0.2">
      <c r="A620" s="497">
        <v>618</v>
      </c>
      <c r="B620" s="481"/>
      <c r="C620" s="16"/>
      <c r="D620" s="482"/>
      <c r="E620" s="482"/>
      <c r="F620" s="482"/>
      <c r="G620" s="495"/>
      <c r="H620" s="481"/>
      <c r="I620" s="481"/>
      <c r="J620" s="360" t="s">
        <v>158</v>
      </c>
      <c r="K620" s="482"/>
      <c r="L620" s="482"/>
      <c r="M620" s="482"/>
      <c r="N620" s="41"/>
      <c r="O620" s="13"/>
      <c r="P620" s="13"/>
      <c r="Q620" s="13"/>
      <c r="R620" s="481"/>
      <c r="S620" s="481"/>
      <c r="T620" s="481"/>
      <c r="U620" s="482"/>
      <c r="V620" s="41"/>
      <c r="W620" s="13"/>
      <c r="X620" s="482"/>
      <c r="Y620" s="481"/>
      <c r="Z620" s="481"/>
      <c r="AA620" s="481"/>
      <c r="AB620" s="16"/>
      <c r="AC620" s="16"/>
      <c r="AD620" s="16"/>
      <c r="AE620" s="16"/>
      <c r="AF620" s="16"/>
      <c r="AG620" s="16"/>
      <c r="AH620" s="16"/>
      <c r="AI620" s="16"/>
      <c r="AJ620" s="481"/>
      <c r="AK620" s="482"/>
      <c r="AL620" s="25"/>
      <c r="AM620" s="481"/>
      <c r="AN620" s="481"/>
      <c r="AO620" s="481"/>
      <c r="AP620" s="16"/>
      <c r="AQ620" s="16"/>
      <c r="AR620" s="130"/>
      <c r="AS620" s="130">
        <v>1405</v>
      </c>
      <c r="AT620" s="130"/>
      <c r="AU620" s="130"/>
      <c r="AV620" s="130"/>
      <c r="AW620" s="12"/>
      <c r="AX620" s="12"/>
      <c r="AY620" s="12"/>
      <c r="AZ620" s="481"/>
    </row>
    <row r="621" spans="1:52" ht="30" customHeight="1" x14ac:dyDescent="0.2">
      <c r="A621" s="497">
        <v>619</v>
      </c>
      <c r="B621" s="481"/>
      <c r="C621" s="16"/>
      <c r="D621" s="482"/>
      <c r="E621" s="482"/>
      <c r="F621" s="482"/>
      <c r="G621" s="495"/>
      <c r="H621" s="481"/>
      <c r="I621" s="481"/>
      <c r="J621" s="360" t="s">
        <v>158</v>
      </c>
      <c r="K621" s="482"/>
      <c r="L621" s="482"/>
      <c r="M621" s="482"/>
      <c r="N621" s="41"/>
      <c r="O621" s="13"/>
      <c r="P621" s="13"/>
      <c r="Q621" s="13"/>
      <c r="R621" s="481"/>
      <c r="S621" s="481"/>
      <c r="T621" s="481"/>
      <c r="U621" s="482"/>
      <c r="V621" s="41"/>
      <c r="W621" s="13"/>
      <c r="X621" s="482"/>
      <c r="Y621" s="481"/>
      <c r="Z621" s="481"/>
      <c r="AA621" s="481"/>
      <c r="AB621" s="16"/>
      <c r="AC621" s="16"/>
      <c r="AD621" s="16"/>
      <c r="AE621" s="16"/>
      <c r="AF621" s="16"/>
      <c r="AG621" s="16"/>
      <c r="AH621" s="16"/>
      <c r="AI621" s="16"/>
      <c r="AJ621" s="481"/>
      <c r="AK621" s="482"/>
      <c r="AL621" s="25"/>
      <c r="AM621" s="481"/>
      <c r="AN621" s="481"/>
      <c r="AO621" s="481"/>
      <c r="AP621" s="16"/>
      <c r="AQ621" s="16"/>
      <c r="AR621" s="130"/>
      <c r="AS621" s="130">
        <v>1405</v>
      </c>
      <c r="AT621" s="130"/>
      <c r="AU621" s="130"/>
      <c r="AV621" s="130"/>
      <c r="AW621" s="12"/>
      <c r="AX621" s="12"/>
      <c r="AY621" s="12"/>
      <c r="AZ621" s="481"/>
    </row>
    <row r="622" spans="1:52" ht="30" customHeight="1" x14ac:dyDescent="0.2">
      <c r="A622" s="497">
        <v>620</v>
      </c>
      <c r="B622" s="481"/>
      <c r="C622" s="16"/>
      <c r="D622" s="482"/>
      <c r="E622" s="482"/>
      <c r="F622" s="482"/>
      <c r="G622" s="495"/>
      <c r="H622" s="481"/>
      <c r="I622" s="481"/>
      <c r="J622" s="360" t="s">
        <v>158</v>
      </c>
      <c r="K622" s="482"/>
      <c r="L622" s="482"/>
      <c r="M622" s="482"/>
      <c r="N622" s="41"/>
      <c r="O622" s="13"/>
      <c r="P622" s="13"/>
      <c r="Q622" s="13"/>
      <c r="R622" s="481"/>
      <c r="S622" s="481"/>
      <c r="T622" s="481"/>
      <c r="U622" s="482"/>
      <c r="V622" s="41"/>
      <c r="W622" s="13"/>
      <c r="X622" s="482"/>
      <c r="Y622" s="481"/>
      <c r="Z622" s="481"/>
      <c r="AA622" s="481"/>
      <c r="AB622" s="16"/>
      <c r="AC622" s="16"/>
      <c r="AD622" s="16"/>
      <c r="AE622" s="16"/>
      <c r="AF622" s="16"/>
      <c r="AG622" s="16"/>
      <c r="AH622" s="16"/>
      <c r="AI622" s="16"/>
      <c r="AJ622" s="481"/>
      <c r="AK622" s="482"/>
      <c r="AL622" s="25"/>
      <c r="AM622" s="481"/>
      <c r="AN622" s="481"/>
      <c r="AO622" s="481"/>
      <c r="AP622" s="16"/>
      <c r="AQ622" s="16"/>
      <c r="AR622" s="130"/>
      <c r="AS622" s="130">
        <v>1405</v>
      </c>
      <c r="AT622" s="130"/>
      <c r="AU622" s="130"/>
      <c r="AV622" s="130"/>
      <c r="AW622" s="12"/>
      <c r="AX622" s="12"/>
      <c r="AY622" s="12"/>
      <c r="AZ622" s="481"/>
    </row>
    <row r="623" spans="1:52" ht="30" customHeight="1" x14ac:dyDescent="0.2">
      <c r="A623" s="497">
        <v>621</v>
      </c>
      <c r="B623" s="481"/>
      <c r="C623" s="16"/>
      <c r="D623" s="482"/>
      <c r="E623" s="482"/>
      <c r="F623" s="482"/>
      <c r="G623" s="495"/>
      <c r="H623" s="481"/>
      <c r="I623" s="481"/>
      <c r="J623" s="360" t="s">
        <v>158</v>
      </c>
      <c r="K623" s="482"/>
      <c r="L623" s="482"/>
      <c r="M623" s="482"/>
      <c r="N623" s="41"/>
      <c r="O623" s="13"/>
      <c r="P623" s="13"/>
      <c r="Q623" s="13"/>
      <c r="R623" s="481"/>
      <c r="S623" s="481"/>
      <c r="T623" s="481"/>
      <c r="U623" s="482"/>
      <c r="V623" s="41"/>
      <c r="W623" s="13"/>
      <c r="X623" s="482"/>
      <c r="Y623" s="481"/>
      <c r="Z623" s="481"/>
      <c r="AA623" s="481"/>
      <c r="AB623" s="16"/>
      <c r="AC623" s="16"/>
      <c r="AD623" s="16"/>
      <c r="AE623" s="16"/>
      <c r="AF623" s="16"/>
      <c r="AG623" s="16"/>
      <c r="AH623" s="16"/>
      <c r="AI623" s="16"/>
      <c r="AJ623" s="481"/>
      <c r="AK623" s="482"/>
      <c r="AL623" s="25"/>
      <c r="AM623" s="481"/>
      <c r="AN623" s="481"/>
      <c r="AO623" s="481"/>
      <c r="AP623" s="16"/>
      <c r="AQ623" s="16"/>
      <c r="AR623" s="130"/>
      <c r="AS623" s="130">
        <v>1405</v>
      </c>
      <c r="AT623" s="130"/>
      <c r="AU623" s="130"/>
      <c r="AV623" s="130"/>
      <c r="AW623" s="12"/>
      <c r="AX623" s="12"/>
      <c r="AY623" s="12"/>
      <c r="AZ623" s="481"/>
    </row>
    <row r="624" spans="1:52" ht="30" customHeight="1" x14ac:dyDescent="0.2">
      <c r="A624" s="497">
        <v>622</v>
      </c>
      <c r="B624" s="481"/>
      <c r="C624" s="16"/>
      <c r="D624" s="482"/>
      <c r="E624" s="482"/>
      <c r="F624" s="482"/>
      <c r="G624" s="495"/>
      <c r="H624" s="481"/>
      <c r="I624" s="481"/>
      <c r="J624" s="360" t="s">
        <v>158</v>
      </c>
      <c r="K624" s="482"/>
      <c r="L624" s="482"/>
      <c r="M624" s="482"/>
      <c r="N624" s="41"/>
      <c r="O624" s="13"/>
      <c r="P624" s="13"/>
      <c r="Q624" s="13"/>
      <c r="R624" s="481"/>
      <c r="S624" s="481"/>
      <c r="T624" s="481"/>
      <c r="U624" s="482"/>
      <c r="V624" s="41"/>
      <c r="W624" s="13"/>
      <c r="X624" s="482"/>
      <c r="Y624" s="481"/>
      <c r="Z624" s="481"/>
      <c r="AA624" s="481"/>
      <c r="AB624" s="16"/>
      <c r="AC624" s="16"/>
      <c r="AD624" s="16"/>
      <c r="AE624" s="16"/>
      <c r="AF624" s="16"/>
      <c r="AG624" s="16"/>
      <c r="AH624" s="16"/>
      <c r="AI624" s="16"/>
      <c r="AJ624" s="481"/>
      <c r="AK624" s="482"/>
      <c r="AL624" s="25"/>
      <c r="AM624" s="481"/>
      <c r="AN624" s="481"/>
      <c r="AO624" s="481"/>
      <c r="AP624" s="16"/>
      <c r="AQ624" s="16"/>
      <c r="AR624" s="130"/>
      <c r="AS624" s="130">
        <v>1405</v>
      </c>
      <c r="AT624" s="130"/>
      <c r="AU624" s="130"/>
      <c r="AV624" s="130"/>
      <c r="AW624" s="12"/>
      <c r="AX624" s="12"/>
      <c r="AY624" s="12"/>
      <c r="AZ624" s="481"/>
    </row>
    <row r="625" spans="1:52" ht="30" customHeight="1" x14ac:dyDescent="0.2">
      <c r="A625" s="497">
        <v>623</v>
      </c>
      <c r="B625" s="481"/>
      <c r="C625" s="16"/>
      <c r="D625" s="482"/>
      <c r="E625" s="482"/>
      <c r="F625" s="482"/>
      <c r="G625" s="495"/>
      <c r="H625" s="481"/>
      <c r="I625" s="481"/>
      <c r="J625" s="360" t="s">
        <v>158</v>
      </c>
      <c r="K625" s="482"/>
      <c r="L625" s="482"/>
      <c r="M625" s="482"/>
      <c r="N625" s="41"/>
      <c r="O625" s="13"/>
      <c r="P625" s="13"/>
      <c r="Q625" s="13"/>
      <c r="R625" s="481"/>
      <c r="S625" s="481"/>
      <c r="T625" s="481"/>
      <c r="U625" s="482"/>
      <c r="V625" s="41"/>
      <c r="W625" s="13"/>
      <c r="X625" s="482"/>
      <c r="Y625" s="481"/>
      <c r="Z625" s="481"/>
      <c r="AA625" s="481"/>
      <c r="AB625" s="16"/>
      <c r="AC625" s="16"/>
      <c r="AD625" s="16"/>
      <c r="AE625" s="16"/>
      <c r="AF625" s="16"/>
      <c r="AG625" s="16"/>
      <c r="AH625" s="16"/>
      <c r="AI625" s="16"/>
      <c r="AJ625" s="481"/>
      <c r="AK625" s="482"/>
      <c r="AL625" s="25"/>
      <c r="AM625" s="481"/>
      <c r="AN625" s="481"/>
      <c r="AO625" s="481"/>
      <c r="AP625" s="16"/>
      <c r="AQ625" s="16"/>
      <c r="AR625" s="130"/>
      <c r="AS625" s="130">
        <v>1405</v>
      </c>
      <c r="AT625" s="130"/>
      <c r="AU625" s="130"/>
      <c r="AV625" s="130"/>
      <c r="AW625" s="12"/>
      <c r="AX625" s="12"/>
      <c r="AY625" s="12"/>
      <c r="AZ625" s="481"/>
    </row>
    <row r="626" spans="1:52" ht="30" customHeight="1" x14ac:dyDescent="0.2">
      <c r="A626" s="497">
        <v>624</v>
      </c>
      <c r="B626" s="481"/>
      <c r="C626" s="16"/>
      <c r="D626" s="482"/>
      <c r="E626" s="482"/>
      <c r="F626" s="482"/>
      <c r="G626" s="495"/>
      <c r="H626" s="481"/>
      <c r="I626" s="481"/>
      <c r="J626" s="360" t="s">
        <v>158</v>
      </c>
      <c r="K626" s="482"/>
      <c r="L626" s="482"/>
      <c r="M626" s="482"/>
      <c r="N626" s="41"/>
      <c r="O626" s="13"/>
      <c r="P626" s="13"/>
      <c r="Q626" s="13"/>
      <c r="R626" s="481"/>
      <c r="S626" s="481"/>
      <c r="T626" s="481"/>
      <c r="U626" s="482"/>
      <c r="V626" s="41"/>
      <c r="W626" s="13"/>
      <c r="X626" s="482"/>
      <c r="Y626" s="481"/>
      <c r="Z626" s="481"/>
      <c r="AA626" s="481"/>
      <c r="AB626" s="16"/>
      <c r="AC626" s="16"/>
      <c r="AD626" s="16"/>
      <c r="AE626" s="16"/>
      <c r="AF626" s="16"/>
      <c r="AG626" s="16"/>
      <c r="AH626" s="16"/>
      <c r="AI626" s="16"/>
      <c r="AJ626" s="481"/>
      <c r="AK626" s="482"/>
      <c r="AL626" s="25"/>
      <c r="AM626" s="481"/>
      <c r="AN626" s="481"/>
      <c r="AO626" s="481"/>
      <c r="AP626" s="16"/>
      <c r="AQ626" s="16"/>
      <c r="AR626" s="130"/>
      <c r="AS626" s="130">
        <v>1405</v>
      </c>
      <c r="AT626" s="130"/>
      <c r="AU626" s="130"/>
      <c r="AV626" s="130"/>
      <c r="AW626" s="12"/>
      <c r="AX626" s="12"/>
      <c r="AY626" s="12"/>
      <c r="AZ626" s="481"/>
    </row>
    <row r="627" spans="1:52" ht="30" customHeight="1" x14ac:dyDescent="0.2">
      <c r="A627" s="497">
        <v>625</v>
      </c>
      <c r="B627" s="481"/>
      <c r="C627" s="16"/>
      <c r="D627" s="482"/>
      <c r="E627" s="482"/>
      <c r="F627" s="482"/>
      <c r="G627" s="495"/>
      <c r="H627" s="481"/>
      <c r="I627" s="481"/>
      <c r="J627" s="360" t="s">
        <v>158</v>
      </c>
      <c r="K627" s="482"/>
      <c r="L627" s="482"/>
      <c r="M627" s="482"/>
      <c r="N627" s="41"/>
      <c r="O627" s="13"/>
      <c r="P627" s="13"/>
      <c r="Q627" s="13"/>
      <c r="R627" s="481"/>
      <c r="S627" s="481"/>
      <c r="T627" s="481"/>
      <c r="U627" s="482"/>
      <c r="V627" s="41"/>
      <c r="W627" s="13"/>
      <c r="X627" s="482"/>
      <c r="Y627" s="481"/>
      <c r="Z627" s="481"/>
      <c r="AA627" s="481"/>
      <c r="AB627" s="16"/>
      <c r="AC627" s="16"/>
      <c r="AD627" s="16"/>
      <c r="AE627" s="16"/>
      <c r="AF627" s="16"/>
      <c r="AG627" s="16"/>
      <c r="AH627" s="16"/>
      <c r="AI627" s="16"/>
      <c r="AJ627" s="481"/>
      <c r="AK627" s="482"/>
      <c r="AL627" s="25"/>
      <c r="AM627" s="481"/>
      <c r="AN627" s="481"/>
      <c r="AO627" s="481"/>
      <c r="AP627" s="16"/>
      <c r="AQ627" s="16"/>
      <c r="AR627" s="130"/>
      <c r="AS627" s="130">
        <v>1405</v>
      </c>
      <c r="AT627" s="130"/>
      <c r="AU627" s="130"/>
      <c r="AV627" s="130"/>
      <c r="AW627" s="12"/>
      <c r="AX627" s="12"/>
      <c r="AY627" s="12"/>
      <c r="AZ627" s="481"/>
    </row>
    <row r="628" spans="1:52" ht="30" customHeight="1" x14ac:dyDescent="0.2">
      <c r="A628" s="497">
        <v>626</v>
      </c>
      <c r="B628" s="481"/>
      <c r="C628" s="16"/>
      <c r="D628" s="482"/>
      <c r="E628" s="482"/>
      <c r="F628" s="482"/>
      <c r="G628" s="495"/>
      <c r="H628" s="481"/>
      <c r="I628" s="481"/>
      <c r="J628" s="360" t="s">
        <v>158</v>
      </c>
      <c r="K628" s="482"/>
      <c r="L628" s="482"/>
      <c r="M628" s="482"/>
      <c r="N628" s="41"/>
      <c r="O628" s="13"/>
      <c r="P628" s="13"/>
      <c r="Q628" s="13"/>
      <c r="R628" s="481"/>
      <c r="S628" s="481"/>
      <c r="T628" s="481"/>
      <c r="U628" s="482"/>
      <c r="V628" s="41"/>
      <c r="W628" s="13"/>
      <c r="X628" s="482"/>
      <c r="Y628" s="481"/>
      <c r="Z628" s="481"/>
      <c r="AA628" s="481"/>
      <c r="AB628" s="16"/>
      <c r="AC628" s="16"/>
      <c r="AD628" s="16"/>
      <c r="AE628" s="16"/>
      <c r="AF628" s="16"/>
      <c r="AG628" s="16"/>
      <c r="AH628" s="16"/>
      <c r="AI628" s="16"/>
      <c r="AJ628" s="481"/>
      <c r="AK628" s="482"/>
      <c r="AL628" s="25"/>
      <c r="AM628" s="481"/>
      <c r="AN628" s="481"/>
      <c r="AO628" s="481"/>
      <c r="AP628" s="16"/>
      <c r="AQ628" s="16"/>
      <c r="AR628" s="130"/>
      <c r="AS628" s="130">
        <v>1405</v>
      </c>
      <c r="AT628" s="130"/>
      <c r="AU628" s="130"/>
      <c r="AV628" s="130"/>
      <c r="AW628" s="12"/>
      <c r="AX628" s="12"/>
      <c r="AY628" s="12"/>
      <c r="AZ628" s="481"/>
    </row>
    <row r="629" spans="1:52" ht="30" customHeight="1" x14ac:dyDescent="0.2">
      <c r="A629" s="497">
        <v>627</v>
      </c>
      <c r="B629" s="481"/>
      <c r="C629" s="16"/>
      <c r="D629" s="482"/>
      <c r="E629" s="482"/>
      <c r="F629" s="482"/>
      <c r="G629" s="495"/>
      <c r="H629" s="481"/>
      <c r="I629" s="481"/>
      <c r="J629" s="360" t="s">
        <v>158</v>
      </c>
      <c r="K629" s="482"/>
      <c r="L629" s="482"/>
      <c r="M629" s="482"/>
      <c r="N629" s="41"/>
      <c r="O629" s="13"/>
      <c r="P629" s="13"/>
      <c r="Q629" s="13"/>
      <c r="R629" s="481"/>
      <c r="S629" s="481"/>
      <c r="T629" s="481"/>
      <c r="U629" s="482"/>
      <c r="V629" s="41"/>
      <c r="W629" s="13"/>
      <c r="X629" s="482"/>
      <c r="Y629" s="481"/>
      <c r="Z629" s="481"/>
      <c r="AA629" s="481"/>
      <c r="AB629" s="16"/>
      <c r="AC629" s="16"/>
      <c r="AD629" s="16"/>
      <c r="AE629" s="16"/>
      <c r="AF629" s="16"/>
      <c r="AG629" s="16"/>
      <c r="AH629" s="16"/>
      <c r="AI629" s="16"/>
      <c r="AJ629" s="481"/>
      <c r="AK629" s="482"/>
      <c r="AL629" s="25"/>
      <c r="AM629" s="481"/>
      <c r="AN629" s="481"/>
      <c r="AO629" s="481"/>
      <c r="AP629" s="16"/>
      <c r="AQ629" s="16"/>
      <c r="AR629" s="130"/>
      <c r="AS629" s="130">
        <v>1405</v>
      </c>
      <c r="AT629" s="130"/>
      <c r="AU629" s="130"/>
      <c r="AV629" s="130"/>
      <c r="AW629" s="12"/>
      <c r="AX629" s="12"/>
      <c r="AY629" s="12"/>
      <c r="AZ629" s="481"/>
    </row>
    <row r="630" spans="1:52" ht="30" customHeight="1" x14ac:dyDescent="0.2">
      <c r="A630" s="497">
        <v>628</v>
      </c>
      <c r="B630" s="481"/>
      <c r="C630" s="16"/>
      <c r="D630" s="482"/>
      <c r="E630" s="482"/>
      <c r="F630" s="482"/>
      <c r="G630" s="495"/>
      <c r="H630" s="481"/>
      <c r="I630" s="481"/>
      <c r="J630" s="360" t="s">
        <v>158</v>
      </c>
      <c r="K630" s="482"/>
      <c r="L630" s="482"/>
      <c r="M630" s="482"/>
      <c r="N630" s="41"/>
      <c r="O630" s="13"/>
      <c r="P630" s="13"/>
      <c r="Q630" s="13"/>
      <c r="R630" s="481"/>
      <c r="S630" s="481"/>
      <c r="T630" s="481"/>
      <c r="U630" s="482"/>
      <c r="V630" s="41"/>
      <c r="W630" s="13"/>
      <c r="X630" s="482"/>
      <c r="Y630" s="481"/>
      <c r="Z630" s="481"/>
      <c r="AA630" s="481"/>
      <c r="AB630" s="16"/>
      <c r="AC630" s="16"/>
      <c r="AD630" s="16"/>
      <c r="AE630" s="16"/>
      <c r="AF630" s="16"/>
      <c r="AG630" s="16"/>
      <c r="AH630" s="16"/>
      <c r="AI630" s="16"/>
      <c r="AJ630" s="481"/>
      <c r="AK630" s="482"/>
      <c r="AL630" s="25"/>
      <c r="AM630" s="481"/>
      <c r="AN630" s="481"/>
      <c r="AO630" s="481"/>
      <c r="AP630" s="16"/>
      <c r="AQ630" s="16"/>
      <c r="AR630" s="130"/>
      <c r="AS630" s="130">
        <v>1405</v>
      </c>
      <c r="AT630" s="130"/>
      <c r="AU630" s="130"/>
      <c r="AV630" s="130"/>
      <c r="AW630" s="12"/>
      <c r="AX630" s="12"/>
      <c r="AY630" s="12"/>
      <c r="AZ630" s="481"/>
    </row>
    <row r="631" spans="1:52" ht="30" customHeight="1" x14ac:dyDescent="0.2">
      <c r="A631" s="497">
        <v>629</v>
      </c>
      <c r="B631" s="481"/>
      <c r="C631" s="16"/>
      <c r="D631" s="482"/>
      <c r="E631" s="482"/>
      <c r="F631" s="482"/>
      <c r="G631" s="495"/>
      <c r="H631" s="481"/>
      <c r="I631" s="481"/>
      <c r="J631" s="360" t="s">
        <v>158</v>
      </c>
      <c r="K631" s="482"/>
      <c r="L631" s="482"/>
      <c r="M631" s="482"/>
      <c r="N631" s="41"/>
      <c r="O631" s="13"/>
      <c r="P631" s="13"/>
      <c r="Q631" s="13"/>
      <c r="R631" s="481"/>
      <c r="S631" s="481"/>
      <c r="T631" s="481"/>
      <c r="U631" s="482"/>
      <c r="V631" s="41"/>
      <c r="W631" s="13"/>
      <c r="X631" s="482"/>
      <c r="Y631" s="481"/>
      <c r="Z631" s="481"/>
      <c r="AA631" s="481"/>
      <c r="AB631" s="16"/>
      <c r="AC631" s="16"/>
      <c r="AD631" s="16"/>
      <c r="AE631" s="16"/>
      <c r="AF631" s="16"/>
      <c r="AG631" s="16"/>
      <c r="AH631" s="16"/>
      <c r="AI631" s="16"/>
      <c r="AJ631" s="481"/>
      <c r="AK631" s="482"/>
      <c r="AL631" s="25"/>
      <c r="AM631" s="481"/>
      <c r="AN631" s="481"/>
      <c r="AO631" s="481"/>
      <c r="AP631" s="16"/>
      <c r="AQ631" s="16"/>
      <c r="AR631" s="130"/>
      <c r="AS631" s="130">
        <v>1405</v>
      </c>
      <c r="AT631" s="130"/>
      <c r="AU631" s="130"/>
      <c r="AV631" s="130"/>
      <c r="AW631" s="12"/>
      <c r="AX631" s="12"/>
      <c r="AY631" s="12"/>
      <c r="AZ631" s="481"/>
    </row>
    <row r="632" spans="1:52" ht="30" customHeight="1" x14ac:dyDescent="0.2">
      <c r="A632" s="497">
        <v>630</v>
      </c>
      <c r="B632" s="481"/>
      <c r="C632" s="16"/>
      <c r="D632" s="482"/>
      <c r="E632" s="482"/>
      <c r="F632" s="482"/>
      <c r="G632" s="495"/>
      <c r="H632" s="481"/>
      <c r="I632" s="481"/>
      <c r="J632" s="360" t="s">
        <v>158</v>
      </c>
      <c r="K632" s="482"/>
      <c r="L632" s="482"/>
      <c r="M632" s="482"/>
      <c r="N632" s="41"/>
      <c r="O632" s="13"/>
      <c r="P632" s="13"/>
      <c r="Q632" s="13"/>
      <c r="R632" s="481"/>
      <c r="S632" s="481"/>
      <c r="T632" s="481"/>
      <c r="U632" s="482"/>
      <c r="V632" s="41"/>
      <c r="W632" s="13"/>
      <c r="X632" s="482"/>
      <c r="Y632" s="481"/>
      <c r="Z632" s="481"/>
      <c r="AA632" s="481"/>
      <c r="AB632" s="16"/>
      <c r="AC632" s="16"/>
      <c r="AD632" s="16"/>
      <c r="AE632" s="16"/>
      <c r="AF632" s="16"/>
      <c r="AG632" s="16"/>
      <c r="AH632" s="16"/>
      <c r="AI632" s="16"/>
      <c r="AJ632" s="481"/>
      <c r="AK632" s="482"/>
      <c r="AL632" s="25"/>
      <c r="AM632" s="481"/>
      <c r="AN632" s="481"/>
      <c r="AO632" s="481"/>
      <c r="AP632" s="16"/>
      <c r="AQ632" s="16"/>
      <c r="AR632" s="130"/>
      <c r="AS632" s="130">
        <v>1405</v>
      </c>
      <c r="AT632" s="130"/>
      <c r="AU632" s="130"/>
      <c r="AV632" s="130"/>
      <c r="AW632" s="12"/>
      <c r="AX632" s="12"/>
      <c r="AY632" s="12"/>
      <c r="AZ632" s="481"/>
    </row>
    <row r="633" spans="1:52" ht="30" customHeight="1" x14ac:dyDescent="0.2">
      <c r="A633" s="497">
        <v>631</v>
      </c>
      <c r="B633" s="481"/>
      <c r="C633" s="16"/>
      <c r="D633" s="482"/>
      <c r="E633" s="482"/>
      <c r="F633" s="482"/>
      <c r="G633" s="495"/>
      <c r="H633" s="481"/>
      <c r="I633" s="481"/>
      <c r="J633" s="360" t="s">
        <v>158</v>
      </c>
      <c r="K633" s="482"/>
      <c r="L633" s="482"/>
      <c r="M633" s="482"/>
      <c r="N633" s="41"/>
      <c r="O633" s="13"/>
      <c r="P633" s="13"/>
      <c r="Q633" s="13"/>
      <c r="R633" s="481"/>
      <c r="S633" s="481"/>
      <c r="T633" s="481"/>
      <c r="U633" s="482"/>
      <c r="V633" s="41"/>
      <c r="W633" s="13"/>
      <c r="X633" s="482"/>
      <c r="Y633" s="481"/>
      <c r="Z633" s="481"/>
      <c r="AA633" s="481"/>
      <c r="AB633" s="16"/>
      <c r="AC633" s="16"/>
      <c r="AD633" s="16"/>
      <c r="AE633" s="16"/>
      <c r="AF633" s="16"/>
      <c r="AG633" s="16"/>
      <c r="AH633" s="16"/>
      <c r="AI633" s="16"/>
      <c r="AJ633" s="481"/>
      <c r="AK633" s="482"/>
      <c r="AL633" s="25"/>
      <c r="AM633" s="481"/>
      <c r="AN633" s="481"/>
      <c r="AO633" s="481"/>
      <c r="AP633" s="16"/>
      <c r="AQ633" s="16"/>
      <c r="AR633" s="130"/>
      <c r="AS633" s="130">
        <v>1405</v>
      </c>
      <c r="AT633" s="130"/>
      <c r="AU633" s="130"/>
      <c r="AV633" s="130"/>
      <c r="AW633" s="12"/>
      <c r="AX633" s="12"/>
      <c r="AY633" s="12"/>
      <c r="AZ633" s="481"/>
    </row>
    <row r="634" spans="1:52" ht="30" customHeight="1" x14ac:dyDescent="0.2">
      <c r="A634" s="497">
        <v>632</v>
      </c>
      <c r="B634" s="481"/>
      <c r="C634" s="16"/>
      <c r="D634" s="482"/>
      <c r="E634" s="482"/>
      <c r="F634" s="482"/>
      <c r="G634" s="495"/>
      <c r="H634" s="481"/>
      <c r="I634" s="481"/>
      <c r="J634" s="360" t="s">
        <v>158</v>
      </c>
      <c r="K634" s="482"/>
      <c r="L634" s="482"/>
      <c r="M634" s="482"/>
      <c r="N634" s="41"/>
      <c r="O634" s="13"/>
      <c r="P634" s="13"/>
      <c r="Q634" s="13"/>
      <c r="R634" s="481"/>
      <c r="S634" s="481"/>
      <c r="T634" s="481"/>
      <c r="U634" s="482"/>
      <c r="V634" s="41"/>
      <c r="W634" s="13"/>
      <c r="X634" s="482"/>
      <c r="Y634" s="481"/>
      <c r="Z634" s="481"/>
      <c r="AA634" s="481"/>
      <c r="AB634" s="16"/>
      <c r="AC634" s="16"/>
      <c r="AD634" s="16"/>
      <c r="AE634" s="16"/>
      <c r="AF634" s="16"/>
      <c r="AG634" s="16"/>
      <c r="AH634" s="16"/>
      <c r="AI634" s="16"/>
      <c r="AJ634" s="481"/>
      <c r="AK634" s="482"/>
      <c r="AL634" s="25"/>
      <c r="AM634" s="481"/>
      <c r="AN634" s="481"/>
      <c r="AO634" s="481"/>
      <c r="AP634" s="16"/>
      <c r="AQ634" s="16"/>
      <c r="AR634" s="130"/>
      <c r="AS634" s="130">
        <v>1405</v>
      </c>
      <c r="AT634" s="130"/>
      <c r="AU634" s="130"/>
      <c r="AV634" s="130"/>
      <c r="AW634" s="12"/>
      <c r="AX634" s="12"/>
      <c r="AY634" s="12"/>
      <c r="AZ634" s="481"/>
    </row>
    <row r="635" spans="1:52" ht="30" customHeight="1" x14ac:dyDescent="0.2">
      <c r="A635" s="497">
        <v>633</v>
      </c>
      <c r="B635" s="481"/>
      <c r="C635" s="16"/>
      <c r="D635" s="482"/>
      <c r="E635" s="482"/>
      <c r="F635" s="482"/>
      <c r="G635" s="495"/>
      <c r="H635" s="481"/>
      <c r="I635" s="481"/>
      <c r="J635" s="360" t="s">
        <v>158</v>
      </c>
      <c r="K635" s="482"/>
      <c r="L635" s="482"/>
      <c r="M635" s="482"/>
      <c r="N635" s="41"/>
      <c r="O635" s="13"/>
      <c r="P635" s="13"/>
      <c r="Q635" s="13"/>
      <c r="R635" s="481"/>
      <c r="S635" s="481"/>
      <c r="T635" s="481"/>
      <c r="U635" s="482"/>
      <c r="V635" s="41"/>
      <c r="W635" s="13"/>
      <c r="X635" s="482"/>
      <c r="Y635" s="481"/>
      <c r="Z635" s="481"/>
      <c r="AA635" s="481"/>
      <c r="AB635" s="16"/>
      <c r="AC635" s="16"/>
      <c r="AD635" s="16"/>
      <c r="AE635" s="16"/>
      <c r="AF635" s="16"/>
      <c r="AG635" s="16"/>
      <c r="AH635" s="16"/>
      <c r="AI635" s="16"/>
      <c r="AJ635" s="481"/>
      <c r="AK635" s="482"/>
      <c r="AL635" s="25"/>
      <c r="AM635" s="481"/>
      <c r="AN635" s="481"/>
      <c r="AO635" s="481"/>
      <c r="AP635" s="16"/>
      <c r="AQ635" s="16"/>
      <c r="AR635" s="130"/>
      <c r="AS635" s="130">
        <v>1405</v>
      </c>
      <c r="AT635" s="130"/>
      <c r="AU635" s="130"/>
      <c r="AV635" s="130"/>
      <c r="AW635" s="12"/>
      <c r="AX635" s="12"/>
      <c r="AY635" s="12"/>
      <c r="AZ635" s="481"/>
    </row>
    <row r="636" spans="1:52" ht="30" customHeight="1" x14ac:dyDescent="0.2">
      <c r="A636" s="497">
        <v>634</v>
      </c>
      <c r="B636" s="481"/>
      <c r="C636" s="16"/>
      <c r="D636" s="482"/>
      <c r="E636" s="482"/>
      <c r="F636" s="482"/>
      <c r="G636" s="495"/>
      <c r="H636" s="481"/>
      <c r="I636" s="481"/>
      <c r="J636" s="360" t="s">
        <v>158</v>
      </c>
      <c r="K636" s="482"/>
      <c r="L636" s="482"/>
      <c r="M636" s="482"/>
      <c r="N636" s="41"/>
      <c r="O636" s="13"/>
      <c r="P636" s="13"/>
      <c r="Q636" s="13"/>
      <c r="R636" s="481"/>
      <c r="S636" s="481"/>
      <c r="T636" s="481"/>
      <c r="U636" s="482"/>
      <c r="V636" s="41"/>
      <c r="W636" s="13"/>
      <c r="X636" s="482"/>
      <c r="Y636" s="481"/>
      <c r="Z636" s="481"/>
      <c r="AA636" s="481"/>
      <c r="AB636" s="16"/>
      <c r="AC636" s="16"/>
      <c r="AD636" s="16"/>
      <c r="AE636" s="16"/>
      <c r="AF636" s="16"/>
      <c r="AG636" s="16"/>
      <c r="AH636" s="16"/>
      <c r="AI636" s="16"/>
      <c r="AJ636" s="481"/>
      <c r="AK636" s="482"/>
      <c r="AL636" s="25"/>
      <c r="AM636" s="481"/>
      <c r="AN636" s="481"/>
      <c r="AO636" s="481"/>
      <c r="AP636" s="16"/>
      <c r="AQ636" s="16"/>
      <c r="AR636" s="130"/>
      <c r="AS636" s="130">
        <v>1405</v>
      </c>
      <c r="AT636" s="130"/>
      <c r="AU636" s="130"/>
      <c r="AV636" s="130"/>
      <c r="AW636" s="12"/>
      <c r="AX636" s="12"/>
      <c r="AY636" s="12"/>
      <c r="AZ636" s="481"/>
    </row>
    <row r="637" spans="1:52" ht="30" customHeight="1" x14ac:dyDescent="0.2">
      <c r="A637" s="497">
        <v>635</v>
      </c>
      <c r="B637" s="481"/>
      <c r="C637" s="16"/>
      <c r="D637" s="482"/>
      <c r="E637" s="482"/>
      <c r="F637" s="482"/>
      <c r="G637" s="495"/>
      <c r="H637" s="481"/>
      <c r="I637" s="481"/>
      <c r="J637" s="360" t="s">
        <v>158</v>
      </c>
      <c r="K637" s="482"/>
      <c r="L637" s="482"/>
      <c r="M637" s="482"/>
      <c r="N637" s="41"/>
      <c r="O637" s="13"/>
      <c r="P637" s="13"/>
      <c r="Q637" s="13"/>
      <c r="R637" s="481"/>
      <c r="S637" s="481"/>
      <c r="T637" s="481"/>
      <c r="U637" s="482"/>
      <c r="V637" s="41"/>
      <c r="W637" s="13"/>
      <c r="X637" s="482"/>
      <c r="Y637" s="481"/>
      <c r="Z637" s="481"/>
      <c r="AA637" s="481"/>
      <c r="AB637" s="16"/>
      <c r="AC637" s="16"/>
      <c r="AD637" s="16"/>
      <c r="AE637" s="16"/>
      <c r="AF637" s="16"/>
      <c r="AG637" s="16"/>
      <c r="AH637" s="16"/>
      <c r="AI637" s="16"/>
      <c r="AJ637" s="481"/>
      <c r="AK637" s="482"/>
      <c r="AL637" s="25"/>
      <c r="AM637" s="481"/>
      <c r="AN637" s="481"/>
      <c r="AO637" s="481"/>
      <c r="AP637" s="16"/>
      <c r="AQ637" s="16"/>
      <c r="AR637" s="130"/>
      <c r="AS637" s="130">
        <v>1405</v>
      </c>
      <c r="AT637" s="130"/>
      <c r="AU637" s="130"/>
      <c r="AV637" s="130"/>
      <c r="AW637" s="12"/>
      <c r="AX637" s="12"/>
      <c r="AY637" s="12"/>
      <c r="AZ637" s="481"/>
    </row>
    <row r="638" spans="1:52" ht="30" customHeight="1" x14ac:dyDescent="0.2">
      <c r="A638" s="497">
        <v>636</v>
      </c>
      <c r="B638" s="481"/>
      <c r="C638" s="16"/>
      <c r="D638" s="482"/>
      <c r="E638" s="482"/>
      <c r="F638" s="482"/>
      <c r="G638" s="495"/>
      <c r="H638" s="481"/>
      <c r="I638" s="481"/>
      <c r="J638" s="360" t="s">
        <v>158</v>
      </c>
      <c r="K638" s="482"/>
      <c r="L638" s="482"/>
      <c r="M638" s="482"/>
      <c r="N638" s="41"/>
      <c r="O638" s="13"/>
      <c r="P638" s="13"/>
      <c r="Q638" s="13"/>
      <c r="R638" s="481"/>
      <c r="S638" s="481"/>
      <c r="T638" s="481"/>
      <c r="U638" s="482"/>
      <c r="V638" s="41"/>
      <c r="W638" s="13"/>
      <c r="X638" s="482"/>
      <c r="Y638" s="481"/>
      <c r="Z638" s="481"/>
      <c r="AA638" s="481"/>
      <c r="AB638" s="16"/>
      <c r="AC638" s="16"/>
      <c r="AD638" s="16"/>
      <c r="AE638" s="16"/>
      <c r="AF638" s="16"/>
      <c r="AG638" s="16"/>
      <c r="AH638" s="16"/>
      <c r="AI638" s="16"/>
      <c r="AJ638" s="481"/>
      <c r="AK638" s="482"/>
      <c r="AL638" s="25"/>
      <c r="AM638" s="481"/>
      <c r="AN638" s="481"/>
      <c r="AO638" s="481"/>
      <c r="AP638" s="16"/>
      <c r="AQ638" s="16"/>
      <c r="AR638" s="130"/>
      <c r="AS638" s="130">
        <v>1405</v>
      </c>
      <c r="AT638" s="130"/>
      <c r="AU638" s="130"/>
      <c r="AV638" s="130"/>
      <c r="AW638" s="12"/>
      <c r="AX638" s="12"/>
      <c r="AY638" s="12"/>
      <c r="AZ638" s="481"/>
    </row>
    <row r="639" spans="1:52" ht="30" customHeight="1" x14ac:dyDescent="0.2">
      <c r="A639" s="497">
        <v>637</v>
      </c>
      <c r="B639" s="481"/>
      <c r="C639" s="16"/>
      <c r="D639" s="482"/>
      <c r="E639" s="482"/>
      <c r="F639" s="482"/>
      <c r="G639" s="495"/>
      <c r="H639" s="481"/>
      <c r="I639" s="481"/>
      <c r="J639" s="360" t="s">
        <v>158</v>
      </c>
      <c r="K639" s="482"/>
      <c r="L639" s="482"/>
      <c r="M639" s="482"/>
      <c r="N639" s="41"/>
      <c r="O639" s="13"/>
      <c r="P639" s="13"/>
      <c r="Q639" s="13"/>
      <c r="R639" s="481"/>
      <c r="S639" s="481"/>
      <c r="T639" s="481"/>
      <c r="U639" s="482"/>
      <c r="V639" s="41"/>
      <c r="W639" s="13"/>
      <c r="X639" s="482"/>
      <c r="Y639" s="481"/>
      <c r="Z639" s="481"/>
      <c r="AA639" s="481"/>
      <c r="AB639" s="16"/>
      <c r="AC639" s="16"/>
      <c r="AD639" s="16"/>
      <c r="AE639" s="16"/>
      <c r="AF639" s="16"/>
      <c r="AG639" s="16"/>
      <c r="AH639" s="16"/>
      <c r="AI639" s="16"/>
      <c r="AJ639" s="481"/>
      <c r="AK639" s="482"/>
      <c r="AL639" s="25"/>
      <c r="AM639" s="481"/>
      <c r="AN639" s="481"/>
      <c r="AO639" s="481"/>
      <c r="AP639" s="16"/>
      <c r="AQ639" s="16"/>
      <c r="AR639" s="130"/>
      <c r="AS639" s="130">
        <v>1405</v>
      </c>
      <c r="AT639" s="130"/>
      <c r="AU639" s="130"/>
      <c r="AV639" s="130"/>
      <c r="AW639" s="12"/>
      <c r="AX639" s="12"/>
      <c r="AY639" s="12"/>
      <c r="AZ639" s="481"/>
    </row>
    <row r="640" spans="1:52" ht="30" customHeight="1" x14ac:dyDescent="0.2">
      <c r="A640" s="497">
        <v>638</v>
      </c>
      <c r="B640" s="481"/>
      <c r="C640" s="16"/>
      <c r="D640" s="482"/>
      <c r="E640" s="482"/>
      <c r="F640" s="482"/>
      <c r="G640" s="495"/>
      <c r="H640" s="481"/>
      <c r="I640" s="481"/>
      <c r="J640" s="360" t="s">
        <v>158</v>
      </c>
      <c r="K640" s="482"/>
      <c r="L640" s="482"/>
      <c r="M640" s="482"/>
      <c r="N640" s="41"/>
      <c r="O640" s="13"/>
      <c r="P640" s="13"/>
      <c r="Q640" s="13"/>
      <c r="R640" s="481"/>
      <c r="S640" s="481"/>
      <c r="T640" s="481"/>
      <c r="U640" s="482"/>
      <c r="V640" s="41"/>
      <c r="W640" s="13"/>
      <c r="X640" s="482"/>
      <c r="Y640" s="481"/>
      <c r="Z640" s="481"/>
      <c r="AA640" s="481"/>
      <c r="AB640" s="16"/>
      <c r="AC640" s="16"/>
      <c r="AD640" s="16"/>
      <c r="AE640" s="16"/>
      <c r="AF640" s="16"/>
      <c r="AG640" s="16"/>
      <c r="AH640" s="16"/>
      <c r="AI640" s="16"/>
      <c r="AJ640" s="481"/>
      <c r="AK640" s="482"/>
      <c r="AL640" s="25"/>
      <c r="AM640" s="481"/>
      <c r="AN640" s="481"/>
      <c r="AO640" s="481"/>
      <c r="AP640" s="16"/>
      <c r="AQ640" s="16"/>
      <c r="AR640" s="130"/>
      <c r="AS640" s="130">
        <v>1405</v>
      </c>
      <c r="AT640" s="130"/>
      <c r="AU640" s="130"/>
      <c r="AV640" s="130"/>
      <c r="AW640" s="12"/>
      <c r="AX640" s="12"/>
      <c r="AY640" s="12"/>
      <c r="AZ640" s="481"/>
    </row>
    <row r="641" spans="1:52" ht="30" customHeight="1" x14ac:dyDescent="0.2">
      <c r="A641" s="497">
        <v>639</v>
      </c>
      <c r="B641" s="481"/>
      <c r="C641" s="16"/>
      <c r="D641" s="482"/>
      <c r="E641" s="482"/>
      <c r="F641" s="482"/>
      <c r="G641" s="495"/>
      <c r="H641" s="481"/>
      <c r="I641" s="481"/>
      <c r="J641" s="360" t="s">
        <v>158</v>
      </c>
      <c r="K641" s="482"/>
      <c r="L641" s="482"/>
      <c r="M641" s="482"/>
      <c r="N641" s="41"/>
      <c r="O641" s="13"/>
      <c r="P641" s="13"/>
      <c r="Q641" s="13"/>
      <c r="R641" s="481"/>
      <c r="S641" s="481"/>
      <c r="T641" s="481"/>
      <c r="U641" s="482"/>
      <c r="V641" s="41"/>
      <c r="W641" s="13"/>
      <c r="X641" s="482"/>
      <c r="Y641" s="481"/>
      <c r="Z641" s="481"/>
      <c r="AA641" s="481"/>
      <c r="AB641" s="16"/>
      <c r="AC641" s="16"/>
      <c r="AD641" s="16"/>
      <c r="AE641" s="16"/>
      <c r="AF641" s="16"/>
      <c r="AG641" s="16"/>
      <c r="AH641" s="16"/>
      <c r="AI641" s="16"/>
      <c r="AJ641" s="481"/>
      <c r="AK641" s="482"/>
      <c r="AL641" s="25"/>
      <c r="AM641" s="481"/>
      <c r="AN641" s="481"/>
      <c r="AO641" s="481"/>
      <c r="AP641" s="16"/>
      <c r="AQ641" s="16"/>
      <c r="AR641" s="130"/>
      <c r="AS641" s="130">
        <v>1405</v>
      </c>
      <c r="AT641" s="130"/>
      <c r="AU641" s="130"/>
      <c r="AV641" s="130"/>
      <c r="AW641" s="12"/>
      <c r="AX641" s="12"/>
      <c r="AY641" s="12"/>
      <c r="AZ641" s="481"/>
    </row>
    <row r="642" spans="1:52" ht="30" customHeight="1" x14ac:dyDescent="0.2">
      <c r="A642" s="497">
        <v>640</v>
      </c>
      <c r="B642" s="481"/>
      <c r="C642" s="16"/>
      <c r="D642" s="482"/>
      <c r="E642" s="482"/>
      <c r="F642" s="482"/>
      <c r="G642" s="495"/>
      <c r="H642" s="481"/>
      <c r="I642" s="481"/>
      <c r="J642" s="360" t="s">
        <v>158</v>
      </c>
      <c r="K642" s="482"/>
      <c r="L642" s="482"/>
      <c r="M642" s="482"/>
      <c r="N642" s="41"/>
      <c r="O642" s="13"/>
      <c r="P642" s="13"/>
      <c r="Q642" s="13"/>
      <c r="R642" s="481"/>
      <c r="S642" s="481"/>
      <c r="T642" s="481"/>
      <c r="U642" s="482"/>
      <c r="V642" s="41"/>
      <c r="W642" s="13"/>
      <c r="X642" s="482"/>
      <c r="Y642" s="481"/>
      <c r="Z642" s="481"/>
      <c r="AA642" s="481"/>
      <c r="AB642" s="16"/>
      <c r="AC642" s="16"/>
      <c r="AD642" s="16"/>
      <c r="AE642" s="16"/>
      <c r="AF642" s="16"/>
      <c r="AG642" s="16"/>
      <c r="AH642" s="16"/>
      <c r="AI642" s="16"/>
      <c r="AJ642" s="481"/>
      <c r="AK642" s="482"/>
      <c r="AL642" s="25"/>
      <c r="AM642" s="481"/>
      <c r="AN642" s="481"/>
      <c r="AO642" s="481"/>
      <c r="AP642" s="16"/>
      <c r="AQ642" s="16"/>
      <c r="AR642" s="130"/>
      <c r="AS642" s="130">
        <v>1405</v>
      </c>
      <c r="AT642" s="130"/>
      <c r="AU642" s="130"/>
      <c r="AV642" s="130"/>
      <c r="AW642" s="12"/>
      <c r="AX642" s="12"/>
      <c r="AY642" s="12"/>
      <c r="AZ642" s="481"/>
    </row>
    <row r="643" spans="1:52" ht="30" customHeight="1" x14ac:dyDescent="0.2">
      <c r="A643" s="497">
        <v>641</v>
      </c>
      <c r="B643" s="481"/>
      <c r="C643" s="16"/>
      <c r="D643" s="482"/>
      <c r="E643" s="482"/>
      <c r="F643" s="482"/>
      <c r="G643" s="495"/>
      <c r="H643" s="481"/>
      <c r="I643" s="481"/>
      <c r="J643" s="360" t="s">
        <v>158</v>
      </c>
      <c r="K643" s="482"/>
      <c r="L643" s="482"/>
      <c r="M643" s="482"/>
      <c r="N643" s="41"/>
      <c r="O643" s="13"/>
      <c r="P643" s="13"/>
      <c r="Q643" s="13"/>
      <c r="R643" s="481"/>
      <c r="S643" s="481"/>
      <c r="T643" s="481"/>
      <c r="U643" s="482"/>
      <c r="V643" s="41"/>
      <c r="W643" s="13"/>
      <c r="X643" s="482"/>
      <c r="Y643" s="481"/>
      <c r="Z643" s="481"/>
      <c r="AA643" s="481"/>
      <c r="AB643" s="16"/>
      <c r="AC643" s="16"/>
      <c r="AD643" s="16"/>
      <c r="AE643" s="16"/>
      <c r="AF643" s="16"/>
      <c r="AG643" s="16"/>
      <c r="AH643" s="16"/>
      <c r="AI643" s="16"/>
      <c r="AJ643" s="481"/>
      <c r="AK643" s="482"/>
      <c r="AL643" s="25"/>
      <c r="AM643" s="481"/>
      <c r="AN643" s="481"/>
      <c r="AO643" s="481"/>
      <c r="AP643" s="16"/>
      <c r="AQ643" s="16"/>
      <c r="AR643" s="130"/>
      <c r="AS643" s="130">
        <v>1405</v>
      </c>
      <c r="AT643" s="130"/>
      <c r="AU643" s="130"/>
      <c r="AV643" s="130"/>
      <c r="AW643" s="12"/>
      <c r="AX643" s="12"/>
      <c r="AY643" s="12"/>
      <c r="AZ643" s="481"/>
    </row>
    <row r="644" spans="1:52" ht="30" customHeight="1" x14ac:dyDescent="0.2">
      <c r="A644" s="497">
        <v>642</v>
      </c>
      <c r="B644" s="481"/>
      <c r="C644" s="16"/>
      <c r="D644" s="482"/>
      <c r="E644" s="482"/>
      <c r="F644" s="482"/>
      <c r="G644" s="495"/>
      <c r="H644" s="481"/>
      <c r="I644" s="481"/>
      <c r="J644" s="360" t="s">
        <v>158</v>
      </c>
      <c r="K644" s="482"/>
      <c r="L644" s="482"/>
      <c r="M644" s="482"/>
      <c r="N644" s="41"/>
      <c r="O644" s="13"/>
      <c r="P644" s="13"/>
      <c r="Q644" s="13"/>
      <c r="R644" s="481"/>
      <c r="S644" s="481"/>
      <c r="T644" s="481"/>
      <c r="U644" s="482"/>
      <c r="V644" s="41"/>
      <c r="W644" s="13"/>
      <c r="X644" s="482"/>
      <c r="Y644" s="481"/>
      <c r="Z644" s="481"/>
      <c r="AA644" s="481"/>
      <c r="AB644" s="16"/>
      <c r="AC644" s="16"/>
      <c r="AD644" s="16"/>
      <c r="AE644" s="16"/>
      <c r="AF644" s="16"/>
      <c r="AG644" s="16"/>
      <c r="AH644" s="16"/>
      <c r="AI644" s="16"/>
      <c r="AJ644" s="481"/>
      <c r="AK644" s="482"/>
      <c r="AL644" s="25"/>
      <c r="AM644" s="481"/>
      <c r="AN644" s="481"/>
      <c r="AO644" s="481"/>
      <c r="AP644" s="16"/>
      <c r="AQ644" s="16"/>
      <c r="AR644" s="130"/>
      <c r="AS644" s="130">
        <v>1405</v>
      </c>
      <c r="AT644" s="130"/>
      <c r="AU644" s="130"/>
      <c r="AV644" s="130"/>
      <c r="AW644" s="12"/>
      <c r="AX644" s="12"/>
      <c r="AY644" s="12"/>
      <c r="AZ644" s="481"/>
    </row>
    <row r="645" spans="1:52" ht="30" customHeight="1" x14ac:dyDescent="0.2">
      <c r="A645" s="497">
        <v>643</v>
      </c>
      <c r="B645" s="481"/>
      <c r="C645" s="16"/>
      <c r="D645" s="482"/>
      <c r="E645" s="482"/>
      <c r="F645" s="482"/>
      <c r="G645" s="495"/>
      <c r="H645" s="481"/>
      <c r="I645" s="481"/>
      <c r="J645" s="360" t="s">
        <v>158</v>
      </c>
      <c r="K645" s="482"/>
      <c r="L645" s="482"/>
      <c r="M645" s="482"/>
      <c r="N645" s="41"/>
      <c r="O645" s="13"/>
      <c r="P645" s="13"/>
      <c r="Q645" s="13"/>
      <c r="R645" s="481"/>
      <c r="S645" s="481"/>
      <c r="T645" s="481"/>
      <c r="U645" s="482"/>
      <c r="V645" s="41"/>
      <c r="W645" s="13"/>
      <c r="X645" s="482"/>
      <c r="Y645" s="481"/>
      <c r="Z645" s="481"/>
      <c r="AA645" s="481"/>
      <c r="AB645" s="16"/>
      <c r="AC645" s="16"/>
      <c r="AD645" s="16"/>
      <c r="AE645" s="16"/>
      <c r="AF645" s="16"/>
      <c r="AG645" s="16"/>
      <c r="AH645" s="16"/>
      <c r="AI645" s="16"/>
      <c r="AJ645" s="481"/>
      <c r="AK645" s="482"/>
      <c r="AL645" s="25"/>
      <c r="AM645" s="481"/>
      <c r="AN645" s="481"/>
      <c r="AO645" s="481"/>
      <c r="AP645" s="16"/>
      <c r="AQ645" s="16"/>
      <c r="AR645" s="130"/>
      <c r="AS645" s="130">
        <v>1405</v>
      </c>
      <c r="AT645" s="130"/>
      <c r="AU645" s="130"/>
      <c r="AV645" s="130"/>
      <c r="AW645" s="12"/>
      <c r="AX645" s="12"/>
      <c r="AY645" s="12"/>
      <c r="AZ645" s="481"/>
    </row>
    <row r="646" spans="1:52" ht="30" customHeight="1" x14ac:dyDescent="0.2">
      <c r="A646" s="497">
        <v>644</v>
      </c>
      <c r="B646" s="481"/>
      <c r="C646" s="16"/>
      <c r="D646" s="482"/>
      <c r="E646" s="482"/>
      <c r="F646" s="482"/>
      <c r="G646" s="495"/>
      <c r="H646" s="481"/>
      <c r="I646" s="481"/>
      <c r="J646" s="360" t="s">
        <v>158</v>
      </c>
      <c r="K646" s="482"/>
      <c r="L646" s="482"/>
      <c r="M646" s="482"/>
      <c r="N646" s="41"/>
      <c r="O646" s="13"/>
      <c r="P646" s="13"/>
      <c r="Q646" s="13"/>
      <c r="R646" s="481"/>
      <c r="S646" s="481"/>
      <c r="T646" s="481"/>
      <c r="U646" s="482"/>
      <c r="V646" s="41"/>
      <c r="W646" s="13"/>
      <c r="X646" s="482"/>
      <c r="Y646" s="481"/>
      <c r="Z646" s="481"/>
      <c r="AA646" s="481"/>
      <c r="AB646" s="16"/>
      <c r="AC646" s="16"/>
      <c r="AD646" s="16"/>
      <c r="AE646" s="16"/>
      <c r="AF646" s="16"/>
      <c r="AG646" s="16"/>
      <c r="AH646" s="16"/>
      <c r="AI646" s="16"/>
      <c r="AJ646" s="481"/>
      <c r="AK646" s="482"/>
      <c r="AL646" s="25"/>
      <c r="AM646" s="481"/>
      <c r="AN646" s="481"/>
      <c r="AO646" s="481"/>
      <c r="AP646" s="16"/>
      <c r="AQ646" s="16"/>
      <c r="AR646" s="130"/>
      <c r="AS646" s="130">
        <v>1405</v>
      </c>
      <c r="AT646" s="130"/>
      <c r="AU646" s="130"/>
      <c r="AV646" s="130"/>
      <c r="AW646" s="12"/>
      <c r="AX646" s="12"/>
      <c r="AY646" s="12"/>
      <c r="AZ646" s="481"/>
    </row>
    <row r="647" spans="1:52" ht="30" customHeight="1" x14ac:dyDescent="0.2">
      <c r="A647" s="497">
        <v>645</v>
      </c>
      <c r="B647" s="481"/>
      <c r="C647" s="16"/>
      <c r="D647" s="482"/>
      <c r="E647" s="482"/>
      <c r="F647" s="482"/>
      <c r="G647" s="495"/>
      <c r="H647" s="481"/>
      <c r="I647" s="481"/>
      <c r="J647" s="360" t="s">
        <v>158</v>
      </c>
      <c r="K647" s="482"/>
      <c r="L647" s="482"/>
      <c r="M647" s="482"/>
      <c r="N647" s="41"/>
      <c r="O647" s="13"/>
      <c r="P647" s="13"/>
      <c r="Q647" s="13"/>
      <c r="R647" s="481"/>
      <c r="S647" s="481"/>
      <c r="T647" s="481"/>
      <c r="U647" s="482"/>
      <c r="V647" s="41"/>
      <c r="W647" s="13"/>
      <c r="X647" s="482"/>
      <c r="Y647" s="481"/>
      <c r="Z647" s="481"/>
      <c r="AA647" s="481"/>
      <c r="AB647" s="16"/>
      <c r="AC647" s="16"/>
      <c r="AD647" s="16"/>
      <c r="AE647" s="16"/>
      <c r="AF647" s="16"/>
      <c r="AG647" s="16"/>
      <c r="AH647" s="16"/>
      <c r="AI647" s="16"/>
      <c r="AJ647" s="481"/>
      <c r="AK647" s="482"/>
      <c r="AL647" s="25"/>
      <c r="AM647" s="481"/>
      <c r="AN647" s="481"/>
      <c r="AO647" s="481"/>
      <c r="AP647" s="16"/>
      <c r="AQ647" s="16"/>
      <c r="AR647" s="130"/>
      <c r="AS647" s="130">
        <v>1405</v>
      </c>
      <c r="AT647" s="130"/>
      <c r="AU647" s="130"/>
      <c r="AV647" s="130"/>
      <c r="AW647" s="12"/>
      <c r="AX647" s="12"/>
      <c r="AY647" s="12"/>
      <c r="AZ647" s="481"/>
    </row>
    <row r="648" spans="1:52" ht="30" customHeight="1" x14ac:dyDescent="0.2">
      <c r="A648" s="497">
        <v>646</v>
      </c>
      <c r="B648" s="481"/>
      <c r="C648" s="16"/>
      <c r="D648" s="482"/>
      <c r="E648" s="482"/>
      <c r="F648" s="482"/>
      <c r="G648" s="495"/>
      <c r="H648" s="481"/>
      <c r="I648" s="481"/>
      <c r="J648" s="360" t="s">
        <v>158</v>
      </c>
      <c r="K648" s="482"/>
      <c r="L648" s="482"/>
      <c r="M648" s="482"/>
      <c r="N648" s="41"/>
      <c r="O648" s="13"/>
      <c r="P648" s="13"/>
      <c r="Q648" s="13"/>
      <c r="R648" s="481"/>
      <c r="S648" s="481"/>
      <c r="T648" s="481"/>
      <c r="U648" s="482"/>
      <c r="V648" s="41"/>
      <c r="W648" s="13"/>
      <c r="X648" s="482"/>
      <c r="Y648" s="481"/>
      <c r="Z648" s="481"/>
      <c r="AA648" s="481"/>
      <c r="AB648" s="16"/>
      <c r="AC648" s="16"/>
      <c r="AD648" s="16"/>
      <c r="AE648" s="16"/>
      <c r="AF648" s="16"/>
      <c r="AG648" s="16"/>
      <c r="AH648" s="16"/>
      <c r="AI648" s="16"/>
      <c r="AJ648" s="481"/>
      <c r="AK648" s="482"/>
      <c r="AL648" s="25"/>
      <c r="AM648" s="481"/>
      <c r="AN648" s="481"/>
      <c r="AO648" s="481"/>
      <c r="AP648" s="16"/>
      <c r="AQ648" s="16"/>
      <c r="AR648" s="130"/>
      <c r="AS648" s="130">
        <v>1405</v>
      </c>
      <c r="AT648" s="130"/>
      <c r="AU648" s="130"/>
      <c r="AV648" s="130"/>
      <c r="AW648" s="12"/>
      <c r="AX648" s="12"/>
      <c r="AY648" s="12"/>
      <c r="AZ648" s="481"/>
    </row>
    <row r="649" spans="1:52" ht="30" customHeight="1" x14ac:dyDescent="0.2">
      <c r="A649" s="497">
        <v>647</v>
      </c>
      <c r="B649" s="481"/>
      <c r="C649" s="16"/>
      <c r="D649" s="482"/>
      <c r="E649" s="482"/>
      <c r="F649" s="482"/>
      <c r="G649" s="495"/>
      <c r="H649" s="481"/>
      <c r="I649" s="481"/>
      <c r="J649" s="360" t="s">
        <v>158</v>
      </c>
      <c r="K649" s="482"/>
      <c r="L649" s="482"/>
      <c r="M649" s="482"/>
      <c r="N649" s="41"/>
      <c r="O649" s="13"/>
      <c r="P649" s="13"/>
      <c r="Q649" s="13"/>
      <c r="R649" s="481"/>
      <c r="S649" s="481"/>
      <c r="T649" s="481"/>
      <c r="U649" s="482"/>
      <c r="V649" s="41"/>
      <c r="W649" s="13"/>
      <c r="X649" s="482"/>
      <c r="Y649" s="481"/>
      <c r="Z649" s="481"/>
      <c r="AA649" s="481"/>
      <c r="AB649" s="16"/>
      <c r="AC649" s="16"/>
      <c r="AD649" s="16"/>
      <c r="AE649" s="16"/>
      <c r="AF649" s="16"/>
      <c r="AG649" s="16"/>
      <c r="AH649" s="16"/>
      <c r="AI649" s="16"/>
      <c r="AJ649" s="481"/>
      <c r="AK649" s="482"/>
      <c r="AL649" s="25"/>
      <c r="AM649" s="481"/>
      <c r="AN649" s="481"/>
      <c r="AO649" s="481"/>
      <c r="AP649" s="16"/>
      <c r="AQ649" s="16"/>
      <c r="AR649" s="130"/>
      <c r="AS649" s="130">
        <v>1405</v>
      </c>
      <c r="AT649" s="130"/>
      <c r="AU649" s="130"/>
      <c r="AV649" s="130"/>
      <c r="AW649" s="12"/>
      <c r="AX649" s="12"/>
      <c r="AY649" s="12"/>
      <c r="AZ649" s="481"/>
    </row>
    <row r="650" spans="1:52" ht="30" customHeight="1" x14ac:dyDescent="0.2">
      <c r="A650" s="497">
        <v>648</v>
      </c>
      <c r="B650" s="481"/>
      <c r="C650" s="16"/>
      <c r="D650" s="482"/>
      <c r="E650" s="482"/>
      <c r="F650" s="482"/>
      <c r="G650" s="495"/>
      <c r="H650" s="481"/>
      <c r="I650" s="481"/>
      <c r="J650" s="360" t="s">
        <v>158</v>
      </c>
      <c r="K650" s="482"/>
      <c r="L650" s="482"/>
      <c r="M650" s="482"/>
      <c r="N650" s="41"/>
      <c r="O650" s="13"/>
      <c r="P650" s="13"/>
      <c r="Q650" s="13"/>
      <c r="R650" s="481"/>
      <c r="S650" s="481"/>
      <c r="T650" s="481"/>
      <c r="U650" s="482"/>
      <c r="V650" s="41"/>
      <c r="W650" s="13"/>
      <c r="X650" s="482"/>
      <c r="Y650" s="481"/>
      <c r="Z650" s="481"/>
      <c r="AA650" s="481"/>
      <c r="AB650" s="16"/>
      <c r="AC650" s="16"/>
      <c r="AD650" s="16"/>
      <c r="AE650" s="16"/>
      <c r="AF650" s="16"/>
      <c r="AG650" s="16"/>
      <c r="AH650" s="16"/>
      <c r="AI650" s="16"/>
      <c r="AJ650" s="481"/>
      <c r="AK650" s="482"/>
      <c r="AL650" s="25"/>
      <c r="AM650" s="481"/>
      <c r="AN650" s="481"/>
      <c r="AO650" s="481"/>
      <c r="AP650" s="16"/>
      <c r="AQ650" s="16"/>
      <c r="AR650" s="130"/>
      <c r="AS650" s="130">
        <v>1405</v>
      </c>
      <c r="AT650" s="130"/>
      <c r="AU650" s="130"/>
      <c r="AV650" s="130"/>
      <c r="AW650" s="12"/>
      <c r="AX650" s="12"/>
      <c r="AY650" s="12"/>
      <c r="AZ650" s="481"/>
    </row>
    <row r="651" spans="1:52" ht="30" customHeight="1" x14ac:dyDescent="0.2">
      <c r="A651" s="497">
        <v>649</v>
      </c>
      <c r="B651" s="481"/>
      <c r="C651" s="16"/>
      <c r="D651" s="482"/>
      <c r="E651" s="482"/>
      <c r="F651" s="482"/>
      <c r="G651" s="495"/>
      <c r="H651" s="481"/>
      <c r="I651" s="481"/>
      <c r="J651" s="360" t="s">
        <v>158</v>
      </c>
      <c r="K651" s="482"/>
      <c r="L651" s="482"/>
      <c r="M651" s="482"/>
      <c r="N651" s="41"/>
      <c r="O651" s="13"/>
      <c r="P651" s="13"/>
      <c r="Q651" s="13"/>
      <c r="R651" s="481"/>
      <c r="S651" s="481"/>
      <c r="T651" s="481"/>
      <c r="U651" s="482"/>
      <c r="V651" s="41"/>
      <c r="W651" s="13"/>
      <c r="X651" s="482"/>
      <c r="Y651" s="481"/>
      <c r="Z651" s="481"/>
      <c r="AA651" s="481"/>
      <c r="AB651" s="16"/>
      <c r="AC651" s="16"/>
      <c r="AD651" s="16"/>
      <c r="AE651" s="16"/>
      <c r="AF651" s="16"/>
      <c r="AG651" s="16"/>
      <c r="AH651" s="16"/>
      <c r="AI651" s="16"/>
      <c r="AJ651" s="481"/>
      <c r="AK651" s="482"/>
      <c r="AL651" s="25"/>
      <c r="AM651" s="481"/>
      <c r="AN651" s="481"/>
      <c r="AO651" s="481"/>
      <c r="AP651" s="16"/>
      <c r="AQ651" s="16"/>
      <c r="AR651" s="130"/>
      <c r="AS651" s="130">
        <v>1405</v>
      </c>
      <c r="AT651" s="130"/>
      <c r="AU651" s="130"/>
      <c r="AV651" s="130"/>
      <c r="AW651" s="12"/>
      <c r="AX651" s="12"/>
      <c r="AY651" s="12"/>
      <c r="AZ651" s="481"/>
    </row>
    <row r="652" spans="1:52" ht="30" customHeight="1" x14ac:dyDescent="0.2">
      <c r="A652" s="497">
        <v>650</v>
      </c>
      <c r="B652" s="481"/>
      <c r="C652" s="16"/>
      <c r="D652" s="482"/>
      <c r="E652" s="482"/>
      <c r="F652" s="482"/>
      <c r="G652" s="495"/>
      <c r="H652" s="481"/>
      <c r="I652" s="481"/>
      <c r="J652" s="360" t="s">
        <v>158</v>
      </c>
      <c r="K652" s="482"/>
      <c r="L652" s="482"/>
      <c r="M652" s="482"/>
      <c r="N652" s="41"/>
      <c r="O652" s="13"/>
      <c r="P652" s="13"/>
      <c r="Q652" s="13"/>
      <c r="R652" s="481"/>
      <c r="S652" s="481"/>
      <c r="T652" s="481"/>
      <c r="U652" s="482"/>
      <c r="V652" s="41"/>
      <c r="W652" s="13"/>
      <c r="X652" s="482"/>
      <c r="Y652" s="481"/>
      <c r="Z652" s="481"/>
      <c r="AA652" s="481"/>
      <c r="AB652" s="16"/>
      <c r="AC652" s="16"/>
      <c r="AD652" s="16"/>
      <c r="AE652" s="16"/>
      <c r="AF652" s="16"/>
      <c r="AG652" s="16"/>
      <c r="AH652" s="16"/>
      <c r="AI652" s="16"/>
      <c r="AJ652" s="481"/>
      <c r="AK652" s="482"/>
      <c r="AL652" s="25"/>
      <c r="AM652" s="481"/>
      <c r="AN652" s="481"/>
      <c r="AO652" s="481"/>
      <c r="AP652" s="16"/>
      <c r="AQ652" s="16"/>
      <c r="AR652" s="130"/>
      <c r="AS652" s="130">
        <v>1405</v>
      </c>
      <c r="AT652" s="130"/>
      <c r="AU652" s="130"/>
      <c r="AV652" s="130"/>
      <c r="AW652" s="12"/>
      <c r="AX652" s="12"/>
      <c r="AY652" s="12"/>
      <c r="AZ652" s="481"/>
    </row>
    <row r="653" spans="1:52" ht="30" customHeight="1" x14ac:dyDescent="0.2">
      <c r="A653" s="497">
        <v>651</v>
      </c>
      <c r="B653" s="481"/>
      <c r="C653" s="16"/>
      <c r="D653" s="482"/>
      <c r="E653" s="482"/>
      <c r="F653" s="482"/>
      <c r="G653" s="495"/>
      <c r="H653" s="481"/>
      <c r="I653" s="481"/>
      <c r="J653" s="360" t="s">
        <v>158</v>
      </c>
      <c r="K653" s="482"/>
      <c r="L653" s="482"/>
      <c r="M653" s="482"/>
      <c r="N653" s="41"/>
      <c r="O653" s="13"/>
      <c r="P653" s="13"/>
      <c r="Q653" s="13"/>
      <c r="R653" s="481"/>
      <c r="S653" s="481"/>
      <c r="T653" s="481"/>
      <c r="U653" s="482"/>
      <c r="V653" s="41"/>
      <c r="W653" s="13"/>
      <c r="X653" s="482"/>
      <c r="Y653" s="481"/>
      <c r="Z653" s="481"/>
      <c r="AA653" s="481"/>
      <c r="AB653" s="16"/>
      <c r="AC653" s="16"/>
      <c r="AD653" s="16"/>
      <c r="AE653" s="16"/>
      <c r="AF653" s="16"/>
      <c r="AG653" s="16"/>
      <c r="AH653" s="16"/>
      <c r="AI653" s="16"/>
      <c r="AJ653" s="481"/>
      <c r="AK653" s="482"/>
      <c r="AL653" s="25"/>
      <c r="AM653" s="481"/>
      <c r="AN653" s="481"/>
      <c r="AO653" s="481"/>
      <c r="AP653" s="16"/>
      <c r="AQ653" s="16"/>
      <c r="AR653" s="130"/>
      <c r="AS653" s="130">
        <v>1405</v>
      </c>
      <c r="AT653" s="130"/>
      <c r="AU653" s="130"/>
      <c r="AV653" s="130"/>
      <c r="AW653" s="12"/>
      <c r="AX653" s="12"/>
      <c r="AY653" s="12"/>
      <c r="AZ653" s="481"/>
    </row>
    <row r="654" spans="1:52" ht="30" customHeight="1" x14ac:dyDescent="0.2">
      <c r="A654" s="497">
        <v>652</v>
      </c>
      <c r="B654" s="481"/>
      <c r="C654" s="16"/>
      <c r="D654" s="482"/>
      <c r="E654" s="482"/>
      <c r="F654" s="482"/>
      <c r="G654" s="495"/>
      <c r="H654" s="481"/>
      <c r="I654" s="481"/>
      <c r="J654" s="360" t="s">
        <v>158</v>
      </c>
      <c r="K654" s="482"/>
      <c r="L654" s="482"/>
      <c r="M654" s="482"/>
      <c r="N654" s="41"/>
      <c r="O654" s="13"/>
      <c r="P654" s="13"/>
      <c r="Q654" s="13"/>
      <c r="R654" s="481"/>
      <c r="S654" s="481"/>
      <c r="T654" s="481"/>
      <c r="U654" s="482"/>
      <c r="V654" s="41"/>
      <c r="W654" s="13"/>
      <c r="X654" s="482"/>
      <c r="Y654" s="481"/>
      <c r="Z654" s="481"/>
      <c r="AA654" s="481"/>
      <c r="AB654" s="16"/>
      <c r="AC654" s="16"/>
      <c r="AD654" s="16"/>
      <c r="AE654" s="16"/>
      <c r="AF654" s="16"/>
      <c r="AG654" s="16"/>
      <c r="AH654" s="16"/>
      <c r="AI654" s="16"/>
      <c r="AJ654" s="481"/>
      <c r="AK654" s="482"/>
      <c r="AL654" s="25"/>
      <c r="AM654" s="481"/>
      <c r="AN654" s="481"/>
      <c r="AO654" s="481"/>
      <c r="AP654" s="16"/>
      <c r="AQ654" s="16"/>
      <c r="AR654" s="130"/>
      <c r="AS654" s="130">
        <v>1405</v>
      </c>
      <c r="AT654" s="130"/>
      <c r="AU654" s="130"/>
      <c r="AV654" s="130"/>
      <c r="AW654" s="12"/>
      <c r="AX654" s="12"/>
      <c r="AY654" s="12"/>
      <c r="AZ654" s="481"/>
    </row>
    <row r="655" spans="1:52" ht="30" customHeight="1" x14ac:dyDescent="0.2">
      <c r="A655" s="497">
        <v>653</v>
      </c>
      <c r="B655" s="481"/>
      <c r="C655" s="16"/>
      <c r="D655" s="482"/>
      <c r="E655" s="482"/>
      <c r="F655" s="482"/>
      <c r="G655" s="495"/>
      <c r="H655" s="481"/>
      <c r="I655" s="481"/>
      <c r="J655" s="360" t="s">
        <v>158</v>
      </c>
      <c r="K655" s="482"/>
      <c r="L655" s="482"/>
      <c r="M655" s="482"/>
      <c r="N655" s="41"/>
      <c r="O655" s="13"/>
      <c r="P655" s="13"/>
      <c r="Q655" s="13"/>
      <c r="R655" s="481"/>
      <c r="S655" s="481"/>
      <c r="T655" s="481"/>
      <c r="U655" s="482"/>
      <c r="V655" s="41"/>
      <c r="W655" s="13"/>
      <c r="X655" s="482"/>
      <c r="Y655" s="481"/>
      <c r="Z655" s="481"/>
      <c r="AA655" s="481"/>
      <c r="AB655" s="16"/>
      <c r="AC655" s="16"/>
      <c r="AD655" s="16"/>
      <c r="AE655" s="16"/>
      <c r="AF655" s="16"/>
      <c r="AG655" s="16"/>
      <c r="AH655" s="16"/>
      <c r="AI655" s="16"/>
      <c r="AJ655" s="481"/>
      <c r="AK655" s="482"/>
      <c r="AL655" s="25"/>
      <c r="AM655" s="481"/>
      <c r="AN655" s="481"/>
      <c r="AO655" s="481"/>
      <c r="AP655" s="16"/>
      <c r="AQ655" s="16"/>
      <c r="AR655" s="130"/>
      <c r="AS655" s="130">
        <v>1405</v>
      </c>
      <c r="AT655" s="130"/>
      <c r="AU655" s="130"/>
      <c r="AV655" s="130"/>
      <c r="AW655" s="12"/>
      <c r="AX655" s="12"/>
      <c r="AY655" s="12"/>
      <c r="AZ655" s="481"/>
    </row>
    <row r="656" spans="1:52" ht="30" customHeight="1" x14ac:dyDescent="0.2">
      <c r="A656" s="497">
        <v>654</v>
      </c>
      <c r="B656" s="481"/>
      <c r="C656" s="16"/>
      <c r="D656" s="482"/>
      <c r="E656" s="482"/>
      <c r="F656" s="482"/>
      <c r="G656" s="495"/>
      <c r="H656" s="481"/>
      <c r="I656" s="481"/>
      <c r="J656" s="360" t="s">
        <v>158</v>
      </c>
      <c r="K656" s="482"/>
      <c r="L656" s="482"/>
      <c r="M656" s="482"/>
      <c r="N656" s="41"/>
      <c r="O656" s="13"/>
      <c r="P656" s="13"/>
      <c r="Q656" s="13"/>
      <c r="R656" s="481"/>
      <c r="S656" s="481"/>
      <c r="T656" s="481"/>
      <c r="U656" s="482"/>
      <c r="V656" s="41"/>
      <c r="W656" s="13"/>
      <c r="X656" s="482"/>
      <c r="Y656" s="481"/>
      <c r="Z656" s="481"/>
      <c r="AA656" s="481"/>
      <c r="AB656" s="16"/>
      <c r="AC656" s="16"/>
      <c r="AD656" s="16"/>
      <c r="AE656" s="16"/>
      <c r="AF656" s="16"/>
      <c r="AG656" s="16"/>
      <c r="AH656" s="16"/>
      <c r="AI656" s="16"/>
      <c r="AJ656" s="481"/>
      <c r="AK656" s="482"/>
      <c r="AL656" s="25"/>
      <c r="AM656" s="481"/>
      <c r="AN656" s="481"/>
      <c r="AO656" s="481"/>
      <c r="AP656" s="16"/>
      <c r="AQ656" s="16"/>
      <c r="AR656" s="130"/>
      <c r="AS656" s="130">
        <v>1405</v>
      </c>
      <c r="AT656" s="130"/>
      <c r="AU656" s="130"/>
      <c r="AV656" s="130"/>
      <c r="AW656" s="12"/>
      <c r="AX656" s="12"/>
      <c r="AY656" s="12"/>
      <c r="AZ656" s="481"/>
    </row>
    <row r="657" spans="1:52" ht="30" customHeight="1" x14ac:dyDescent="0.2">
      <c r="A657" s="497">
        <v>655</v>
      </c>
      <c r="B657" s="481"/>
      <c r="C657" s="16"/>
      <c r="D657" s="482"/>
      <c r="E657" s="482"/>
      <c r="F657" s="482"/>
      <c r="G657" s="495"/>
      <c r="H657" s="481"/>
      <c r="I657" s="481"/>
      <c r="J657" s="360" t="s">
        <v>158</v>
      </c>
      <c r="K657" s="482"/>
      <c r="L657" s="482"/>
      <c r="M657" s="482"/>
      <c r="N657" s="41"/>
      <c r="O657" s="13"/>
      <c r="P657" s="13"/>
      <c r="Q657" s="13"/>
      <c r="R657" s="481"/>
      <c r="S657" s="481"/>
      <c r="T657" s="481"/>
      <c r="U657" s="482"/>
      <c r="V657" s="41"/>
      <c r="W657" s="13"/>
      <c r="X657" s="482"/>
      <c r="Y657" s="481"/>
      <c r="Z657" s="481"/>
      <c r="AA657" s="481"/>
      <c r="AB657" s="16"/>
      <c r="AC657" s="16"/>
      <c r="AD657" s="16"/>
      <c r="AE657" s="16"/>
      <c r="AF657" s="16"/>
      <c r="AG657" s="16"/>
      <c r="AH657" s="16"/>
      <c r="AI657" s="16"/>
      <c r="AJ657" s="481"/>
      <c r="AK657" s="482"/>
      <c r="AL657" s="25"/>
      <c r="AM657" s="481"/>
      <c r="AN657" s="481"/>
      <c r="AO657" s="481"/>
      <c r="AP657" s="16"/>
      <c r="AQ657" s="16"/>
      <c r="AR657" s="130"/>
      <c r="AS657" s="130">
        <v>1405</v>
      </c>
      <c r="AT657" s="130"/>
      <c r="AU657" s="130"/>
      <c r="AV657" s="130"/>
      <c r="AW657" s="12"/>
      <c r="AX657" s="12"/>
      <c r="AY657" s="12"/>
      <c r="AZ657" s="481"/>
    </row>
    <row r="658" spans="1:52" ht="30" customHeight="1" x14ac:dyDescent="0.2">
      <c r="A658" s="497">
        <v>656</v>
      </c>
      <c r="B658" s="481"/>
      <c r="C658" s="16"/>
      <c r="D658" s="482"/>
      <c r="E658" s="482"/>
      <c r="F658" s="482"/>
      <c r="G658" s="495"/>
      <c r="H658" s="481"/>
      <c r="I658" s="481"/>
      <c r="J658" s="360" t="s">
        <v>158</v>
      </c>
      <c r="K658" s="482"/>
      <c r="L658" s="482"/>
      <c r="M658" s="482"/>
      <c r="N658" s="41"/>
      <c r="O658" s="13"/>
      <c r="P658" s="13"/>
      <c r="Q658" s="13"/>
      <c r="R658" s="481"/>
      <c r="S658" s="481"/>
      <c r="T658" s="481"/>
      <c r="U658" s="482"/>
      <c r="V658" s="41"/>
      <c r="W658" s="13"/>
      <c r="X658" s="482"/>
      <c r="Y658" s="481"/>
      <c r="Z658" s="481"/>
      <c r="AA658" s="481"/>
      <c r="AB658" s="16"/>
      <c r="AC658" s="16"/>
      <c r="AD658" s="16"/>
      <c r="AE658" s="16"/>
      <c r="AF658" s="16"/>
      <c r="AG658" s="16"/>
      <c r="AH658" s="16"/>
      <c r="AI658" s="16"/>
      <c r="AJ658" s="481"/>
      <c r="AK658" s="482"/>
      <c r="AL658" s="25"/>
      <c r="AM658" s="481"/>
      <c r="AN658" s="481"/>
      <c r="AO658" s="481"/>
      <c r="AP658" s="16"/>
      <c r="AQ658" s="16"/>
      <c r="AR658" s="130"/>
      <c r="AS658" s="130">
        <v>1405</v>
      </c>
      <c r="AT658" s="130"/>
      <c r="AU658" s="130"/>
      <c r="AV658" s="130"/>
      <c r="AW658" s="12"/>
      <c r="AX658" s="12"/>
      <c r="AY658" s="12"/>
      <c r="AZ658" s="481"/>
    </row>
    <row r="659" spans="1:52" ht="30" customHeight="1" x14ac:dyDescent="0.2">
      <c r="A659" s="497">
        <v>657</v>
      </c>
      <c r="B659" s="481"/>
      <c r="C659" s="16"/>
      <c r="D659" s="482"/>
      <c r="E659" s="482"/>
      <c r="F659" s="482"/>
      <c r="G659" s="495"/>
      <c r="H659" s="481"/>
      <c r="I659" s="481"/>
      <c r="J659" s="360" t="s">
        <v>158</v>
      </c>
      <c r="K659" s="482"/>
      <c r="L659" s="482"/>
      <c r="M659" s="482"/>
      <c r="N659" s="41"/>
      <c r="O659" s="13"/>
      <c r="P659" s="13"/>
      <c r="Q659" s="13"/>
      <c r="R659" s="481"/>
      <c r="S659" s="481"/>
      <c r="T659" s="481"/>
      <c r="U659" s="482"/>
      <c r="V659" s="41"/>
      <c r="W659" s="13"/>
      <c r="X659" s="482"/>
      <c r="Y659" s="481"/>
      <c r="Z659" s="481"/>
      <c r="AA659" s="481"/>
      <c r="AB659" s="16"/>
      <c r="AC659" s="16"/>
      <c r="AD659" s="16"/>
      <c r="AE659" s="16"/>
      <c r="AF659" s="16"/>
      <c r="AG659" s="16"/>
      <c r="AH659" s="16"/>
      <c r="AI659" s="16"/>
      <c r="AJ659" s="481"/>
      <c r="AK659" s="482"/>
      <c r="AL659" s="25"/>
      <c r="AM659" s="481"/>
      <c r="AN659" s="481"/>
      <c r="AO659" s="481"/>
      <c r="AP659" s="16"/>
      <c r="AQ659" s="16"/>
      <c r="AR659" s="130"/>
      <c r="AS659" s="130">
        <v>1405</v>
      </c>
      <c r="AT659" s="130"/>
      <c r="AU659" s="130"/>
      <c r="AV659" s="130"/>
      <c r="AW659" s="12"/>
      <c r="AX659" s="12"/>
      <c r="AY659" s="12"/>
      <c r="AZ659" s="481"/>
    </row>
    <row r="660" spans="1:52" ht="30" customHeight="1" x14ac:dyDescent="0.2">
      <c r="A660" s="497">
        <v>658</v>
      </c>
      <c r="B660" s="481"/>
      <c r="C660" s="16"/>
      <c r="D660" s="482"/>
      <c r="E660" s="482"/>
      <c r="F660" s="482"/>
      <c r="G660" s="495"/>
      <c r="H660" s="481"/>
      <c r="I660" s="481"/>
      <c r="J660" s="360" t="s">
        <v>158</v>
      </c>
      <c r="K660" s="482"/>
      <c r="L660" s="482"/>
      <c r="M660" s="482"/>
      <c r="N660" s="41"/>
      <c r="O660" s="13"/>
      <c r="P660" s="13"/>
      <c r="Q660" s="13"/>
      <c r="R660" s="481"/>
      <c r="S660" s="481"/>
      <c r="T660" s="481"/>
      <c r="U660" s="482"/>
      <c r="V660" s="41"/>
      <c r="W660" s="13"/>
      <c r="X660" s="482"/>
      <c r="Y660" s="481"/>
      <c r="Z660" s="481"/>
      <c r="AA660" s="481"/>
      <c r="AB660" s="16"/>
      <c r="AC660" s="16"/>
      <c r="AD660" s="16"/>
      <c r="AE660" s="16"/>
      <c r="AF660" s="16"/>
      <c r="AG660" s="16"/>
      <c r="AH660" s="16"/>
      <c r="AI660" s="16"/>
      <c r="AJ660" s="481"/>
      <c r="AK660" s="482"/>
      <c r="AL660" s="25"/>
      <c r="AM660" s="481"/>
      <c r="AN660" s="481"/>
      <c r="AO660" s="481"/>
      <c r="AP660" s="16"/>
      <c r="AQ660" s="16"/>
      <c r="AR660" s="130"/>
      <c r="AS660" s="130">
        <v>1405</v>
      </c>
      <c r="AT660" s="130"/>
      <c r="AU660" s="130"/>
      <c r="AV660" s="130"/>
      <c r="AW660" s="12"/>
      <c r="AX660" s="12"/>
      <c r="AY660" s="12"/>
      <c r="AZ660" s="481"/>
    </row>
    <row r="661" spans="1:52" ht="30" customHeight="1" x14ac:dyDescent="0.2">
      <c r="A661" s="497">
        <v>659</v>
      </c>
      <c r="B661" s="481"/>
      <c r="C661" s="16"/>
      <c r="D661" s="482"/>
      <c r="E661" s="482"/>
      <c r="F661" s="482"/>
      <c r="G661" s="495"/>
      <c r="H661" s="481"/>
      <c r="I661" s="481"/>
      <c r="J661" s="360" t="s">
        <v>158</v>
      </c>
      <c r="K661" s="482"/>
      <c r="L661" s="482"/>
      <c r="M661" s="482"/>
      <c r="N661" s="41"/>
      <c r="O661" s="13"/>
      <c r="P661" s="13"/>
      <c r="Q661" s="13"/>
      <c r="R661" s="481"/>
      <c r="S661" s="481"/>
      <c r="T661" s="481"/>
      <c r="U661" s="482"/>
      <c r="V661" s="41"/>
      <c r="W661" s="13"/>
      <c r="X661" s="482"/>
      <c r="Y661" s="481"/>
      <c r="Z661" s="481"/>
      <c r="AA661" s="481"/>
      <c r="AB661" s="16"/>
      <c r="AC661" s="16"/>
      <c r="AD661" s="16"/>
      <c r="AE661" s="16"/>
      <c r="AF661" s="16"/>
      <c r="AG661" s="16"/>
      <c r="AH661" s="16"/>
      <c r="AI661" s="16"/>
      <c r="AJ661" s="481"/>
      <c r="AK661" s="482"/>
      <c r="AL661" s="25"/>
      <c r="AM661" s="481"/>
      <c r="AN661" s="481"/>
      <c r="AO661" s="481"/>
      <c r="AP661" s="16"/>
      <c r="AQ661" s="16"/>
      <c r="AR661" s="130"/>
      <c r="AS661" s="130">
        <v>1405</v>
      </c>
      <c r="AT661" s="130"/>
      <c r="AU661" s="130"/>
      <c r="AV661" s="130"/>
      <c r="AW661" s="12"/>
      <c r="AX661" s="12"/>
      <c r="AY661" s="12"/>
      <c r="AZ661" s="481"/>
    </row>
    <row r="662" spans="1:52" ht="30" customHeight="1" x14ac:dyDescent="0.2">
      <c r="A662" s="497">
        <v>660</v>
      </c>
      <c r="B662" s="481"/>
      <c r="C662" s="16"/>
      <c r="D662" s="482"/>
      <c r="E662" s="482"/>
      <c r="F662" s="482"/>
      <c r="G662" s="495"/>
      <c r="H662" s="481"/>
      <c r="I662" s="481"/>
      <c r="J662" s="360" t="s">
        <v>158</v>
      </c>
      <c r="K662" s="482"/>
      <c r="L662" s="482"/>
      <c r="M662" s="482"/>
      <c r="N662" s="41"/>
      <c r="O662" s="13"/>
      <c r="P662" s="13"/>
      <c r="Q662" s="13"/>
      <c r="R662" s="481"/>
      <c r="S662" s="481"/>
      <c r="T662" s="481"/>
      <c r="U662" s="482"/>
      <c r="V662" s="41"/>
      <c r="W662" s="13"/>
      <c r="X662" s="482"/>
      <c r="Y662" s="481"/>
      <c r="Z662" s="481"/>
      <c r="AA662" s="481"/>
      <c r="AB662" s="16"/>
      <c r="AC662" s="16"/>
      <c r="AD662" s="16"/>
      <c r="AE662" s="16"/>
      <c r="AF662" s="16"/>
      <c r="AG662" s="16"/>
      <c r="AH662" s="16"/>
      <c r="AI662" s="16"/>
      <c r="AJ662" s="481"/>
      <c r="AK662" s="482"/>
      <c r="AL662" s="25"/>
      <c r="AM662" s="481"/>
      <c r="AN662" s="481"/>
      <c r="AO662" s="481"/>
      <c r="AP662" s="16"/>
      <c r="AQ662" s="16"/>
      <c r="AR662" s="130"/>
      <c r="AS662" s="130">
        <v>1405</v>
      </c>
      <c r="AT662" s="130"/>
      <c r="AU662" s="130"/>
      <c r="AV662" s="130"/>
      <c r="AW662" s="12"/>
      <c r="AX662" s="12"/>
      <c r="AY662" s="12"/>
      <c r="AZ662" s="481"/>
    </row>
    <row r="663" spans="1:52" ht="30" customHeight="1" x14ac:dyDescent="0.2">
      <c r="A663" s="497">
        <v>661</v>
      </c>
      <c r="B663" s="481"/>
      <c r="C663" s="16"/>
      <c r="D663" s="482"/>
      <c r="E663" s="482"/>
      <c r="F663" s="482"/>
      <c r="G663" s="495"/>
      <c r="H663" s="481"/>
      <c r="I663" s="481"/>
      <c r="J663" s="360" t="s">
        <v>158</v>
      </c>
      <c r="K663" s="482"/>
      <c r="L663" s="482"/>
      <c r="M663" s="482"/>
      <c r="N663" s="41"/>
      <c r="O663" s="13"/>
      <c r="P663" s="13"/>
      <c r="Q663" s="13"/>
      <c r="R663" s="481"/>
      <c r="S663" s="481"/>
      <c r="T663" s="481"/>
      <c r="U663" s="482"/>
      <c r="V663" s="41"/>
      <c r="W663" s="13"/>
      <c r="X663" s="482"/>
      <c r="Y663" s="481"/>
      <c r="Z663" s="481"/>
      <c r="AA663" s="481"/>
      <c r="AB663" s="16"/>
      <c r="AC663" s="16"/>
      <c r="AD663" s="16"/>
      <c r="AE663" s="16"/>
      <c r="AF663" s="16"/>
      <c r="AG663" s="16"/>
      <c r="AH663" s="16"/>
      <c r="AI663" s="16"/>
      <c r="AJ663" s="481"/>
      <c r="AK663" s="482"/>
      <c r="AL663" s="25"/>
      <c r="AM663" s="481"/>
      <c r="AN663" s="481"/>
      <c r="AO663" s="481"/>
      <c r="AP663" s="16"/>
      <c r="AQ663" s="16"/>
      <c r="AR663" s="130"/>
      <c r="AS663" s="130">
        <v>1405</v>
      </c>
      <c r="AT663" s="130"/>
      <c r="AU663" s="130"/>
      <c r="AV663" s="130"/>
      <c r="AW663" s="12"/>
      <c r="AX663" s="12"/>
      <c r="AY663" s="12"/>
      <c r="AZ663" s="481"/>
    </row>
    <row r="664" spans="1:52" ht="30" customHeight="1" x14ac:dyDescent="0.2">
      <c r="A664" s="497">
        <v>662</v>
      </c>
      <c r="B664" s="481"/>
      <c r="C664" s="16"/>
      <c r="D664" s="482"/>
      <c r="E664" s="482"/>
      <c r="F664" s="482"/>
      <c r="G664" s="495"/>
      <c r="H664" s="481"/>
      <c r="I664" s="481"/>
      <c r="J664" s="360" t="s">
        <v>158</v>
      </c>
      <c r="K664" s="482"/>
      <c r="L664" s="482"/>
      <c r="M664" s="482"/>
      <c r="N664" s="41"/>
      <c r="O664" s="13"/>
      <c r="P664" s="13"/>
      <c r="Q664" s="13"/>
      <c r="R664" s="481"/>
      <c r="S664" s="481"/>
      <c r="T664" s="481"/>
      <c r="U664" s="482"/>
      <c r="V664" s="41"/>
      <c r="W664" s="13"/>
      <c r="X664" s="482"/>
      <c r="Y664" s="481"/>
      <c r="Z664" s="481"/>
      <c r="AA664" s="481"/>
      <c r="AB664" s="16"/>
      <c r="AC664" s="16"/>
      <c r="AD664" s="16"/>
      <c r="AE664" s="16"/>
      <c r="AF664" s="16"/>
      <c r="AG664" s="16"/>
      <c r="AH664" s="16"/>
      <c r="AI664" s="16"/>
      <c r="AJ664" s="481"/>
      <c r="AK664" s="482"/>
      <c r="AL664" s="25"/>
      <c r="AM664" s="481"/>
      <c r="AN664" s="481"/>
      <c r="AO664" s="481"/>
      <c r="AP664" s="16"/>
      <c r="AQ664" s="16"/>
      <c r="AR664" s="130"/>
      <c r="AS664" s="130">
        <v>1405</v>
      </c>
      <c r="AT664" s="130"/>
      <c r="AU664" s="130"/>
      <c r="AV664" s="130"/>
      <c r="AW664" s="12"/>
      <c r="AX664" s="12"/>
      <c r="AY664" s="12"/>
      <c r="AZ664" s="481"/>
    </row>
    <row r="665" spans="1:52" ht="30" customHeight="1" x14ac:dyDescent="0.2">
      <c r="A665" s="497">
        <v>663</v>
      </c>
      <c r="B665" s="481"/>
      <c r="C665" s="16"/>
      <c r="D665" s="482"/>
      <c r="E665" s="482"/>
      <c r="F665" s="482"/>
      <c r="G665" s="495"/>
      <c r="H665" s="481"/>
      <c r="I665" s="481"/>
      <c r="J665" s="360" t="s">
        <v>158</v>
      </c>
      <c r="K665" s="482"/>
      <c r="L665" s="482"/>
      <c r="M665" s="482"/>
      <c r="N665" s="41"/>
      <c r="O665" s="13"/>
      <c r="P665" s="13"/>
      <c r="Q665" s="13"/>
      <c r="R665" s="481"/>
      <c r="S665" s="481"/>
      <c r="T665" s="481"/>
      <c r="U665" s="482"/>
      <c r="V665" s="41"/>
      <c r="W665" s="13"/>
      <c r="X665" s="482"/>
      <c r="Y665" s="481"/>
      <c r="Z665" s="481"/>
      <c r="AA665" s="481"/>
      <c r="AB665" s="16"/>
      <c r="AC665" s="16"/>
      <c r="AD665" s="16"/>
      <c r="AE665" s="16"/>
      <c r="AF665" s="16"/>
      <c r="AG665" s="16"/>
      <c r="AH665" s="16"/>
      <c r="AI665" s="16"/>
      <c r="AJ665" s="481"/>
      <c r="AK665" s="482"/>
      <c r="AL665" s="25"/>
      <c r="AM665" s="481"/>
      <c r="AN665" s="481"/>
      <c r="AO665" s="481"/>
      <c r="AP665" s="16"/>
      <c r="AQ665" s="16"/>
      <c r="AR665" s="130"/>
      <c r="AS665" s="130">
        <v>1405</v>
      </c>
      <c r="AT665" s="130"/>
      <c r="AU665" s="130"/>
      <c r="AV665" s="130"/>
      <c r="AW665" s="12"/>
      <c r="AX665" s="12"/>
      <c r="AY665" s="12"/>
      <c r="AZ665" s="481"/>
    </row>
    <row r="666" spans="1:52" ht="30" customHeight="1" x14ac:dyDescent="0.2">
      <c r="A666" s="497">
        <v>664</v>
      </c>
      <c r="B666" s="481"/>
      <c r="C666" s="16"/>
      <c r="D666" s="482"/>
      <c r="E666" s="482"/>
      <c r="F666" s="482"/>
      <c r="G666" s="495"/>
      <c r="H666" s="481"/>
      <c r="I666" s="481"/>
      <c r="J666" s="360" t="s">
        <v>158</v>
      </c>
      <c r="K666" s="482"/>
      <c r="L666" s="482"/>
      <c r="M666" s="482"/>
      <c r="N666" s="41"/>
      <c r="O666" s="13"/>
      <c r="P666" s="13"/>
      <c r="Q666" s="13"/>
      <c r="R666" s="481"/>
      <c r="S666" s="481"/>
      <c r="T666" s="481"/>
      <c r="U666" s="482"/>
      <c r="V666" s="41"/>
      <c r="W666" s="13"/>
      <c r="X666" s="482"/>
      <c r="Y666" s="481"/>
      <c r="Z666" s="481"/>
      <c r="AA666" s="481"/>
      <c r="AB666" s="16"/>
      <c r="AC666" s="16"/>
      <c r="AD666" s="16"/>
      <c r="AE666" s="16"/>
      <c r="AF666" s="16"/>
      <c r="AG666" s="16"/>
      <c r="AH666" s="16"/>
      <c r="AI666" s="16"/>
      <c r="AJ666" s="481"/>
      <c r="AK666" s="482"/>
      <c r="AL666" s="25"/>
      <c r="AM666" s="481"/>
      <c r="AN666" s="481"/>
      <c r="AO666" s="481"/>
      <c r="AP666" s="16"/>
      <c r="AQ666" s="16"/>
      <c r="AR666" s="130"/>
      <c r="AS666" s="130">
        <v>1405</v>
      </c>
      <c r="AT666" s="130"/>
      <c r="AU666" s="130"/>
      <c r="AV666" s="130"/>
      <c r="AW666" s="12"/>
      <c r="AX666" s="12"/>
      <c r="AY666" s="12"/>
      <c r="AZ666" s="481"/>
    </row>
    <row r="667" spans="1:52" ht="30" customHeight="1" x14ac:dyDescent="0.2">
      <c r="A667" s="497">
        <v>665</v>
      </c>
      <c r="B667" s="481"/>
      <c r="C667" s="16"/>
      <c r="D667" s="482"/>
      <c r="E667" s="482"/>
      <c r="F667" s="482"/>
      <c r="G667" s="495"/>
      <c r="H667" s="481"/>
      <c r="I667" s="481"/>
      <c r="J667" s="360" t="s">
        <v>158</v>
      </c>
      <c r="K667" s="482"/>
      <c r="L667" s="482"/>
      <c r="M667" s="482"/>
      <c r="N667" s="41"/>
      <c r="O667" s="13"/>
      <c r="P667" s="13"/>
      <c r="Q667" s="13"/>
      <c r="R667" s="481"/>
      <c r="S667" s="481"/>
      <c r="T667" s="481"/>
      <c r="U667" s="482"/>
      <c r="V667" s="41"/>
      <c r="W667" s="13"/>
      <c r="X667" s="482"/>
      <c r="Y667" s="481"/>
      <c r="Z667" s="481"/>
      <c r="AA667" s="481"/>
      <c r="AB667" s="16"/>
      <c r="AC667" s="16"/>
      <c r="AD667" s="16"/>
      <c r="AE667" s="16"/>
      <c r="AF667" s="16"/>
      <c r="AG667" s="16"/>
      <c r="AH667" s="16"/>
      <c r="AI667" s="16"/>
      <c r="AJ667" s="481"/>
      <c r="AK667" s="482"/>
      <c r="AL667" s="25"/>
      <c r="AM667" s="481"/>
      <c r="AN667" s="481"/>
      <c r="AO667" s="481"/>
      <c r="AP667" s="16"/>
      <c r="AQ667" s="16"/>
      <c r="AR667" s="130"/>
      <c r="AS667" s="130">
        <v>1405</v>
      </c>
      <c r="AT667" s="130"/>
      <c r="AU667" s="130"/>
      <c r="AV667" s="130"/>
      <c r="AW667" s="12"/>
      <c r="AX667" s="12"/>
      <c r="AY667" s="12"/>
      <c r="AZ667" s="481"/>
    </row>
    <row r="668" spans="1:52" ht="30" customHeight="1" x14ac:dyDescent="0.2">
      <c r="A668" s="497">
        <v>666</v>
      </c>
      <c r="B668" s="481"/>
      <c r="C668" s="16"/>
      <c r="D668" s="482"/>
      <c r="E668" s="482"/>
      <c r="F668" s="482"/>
      <c r="G668" s="495"/>
      <c r="H668" s="481"/>
      <c r="I668" s="481"/>
      <c r="J668" s="360" t="s">
        <v>158</v>
      </c>
      <c r="K668" s="482"/>
      <c r="L668" s="482"/>
      <c r="M668" s="482"/>
      <c r="N668" s="41"/>
      <c r="O668" s="13"/>
      <c r="P668" s="13"/>
      <c r="Q668" s="13"/>
      <c r="R668" s="481"/>
      <c r="S668" s="481"/>
      <c r="T668" s="481"/>
      <c r="U668" s="482"/>
      <c r="V668" s="41"/>
      <c r="W668" s="13"/>
      <c r="X668" s="482"/>
      <c r="Y668" s="481"/>
      <c r="Z668" s="481"/>
      <c r="AA668" s="481"/>
      <c r="AB668" s="16"/>
      <c r="AC668" s="16"/>
      <c r="AD668" s="16"/>
      <c r="AE668" s="16"/>
      <c r="AF668" s="16"/>
      <c r="AG668" s="16"/>
      <c r="AH668" s="16"/>
      <c r="AI668" s="16"/>
      <c r="AJ668" s="481"/>
      <c r="AK668" s="482"/>
      <c r="AL668" s="25"/>
      <c r="AM668" s="481"/>
      <c r="AN668" s="481"/>
      <c r="AO668" s="481"/>
      <c r="AP668" s="16"/>
      <c r="AQ668" s="16"/>
      <c r="AR668" s="130"/>
      <c r="AS668" s="130">
        <v>1405</v>
      </c>
      <c r="AT668" s="130"/>
      <c r="AU668" s="130"/>
      <c r="AV668" s="130"/>
      <c r="AW668" s="12"/>
      <c r="AX668" s="12"/>
      <c r="AY668" s="12"/>
      <c r="AZ668" s="481"/>
    </row>
    <row r="669" spans="1:52" ht="30" customHeight="1" x14ac:dyDescent="0.2">
      <c r="A669" s="497">
        <v>667</v>
      </c>
      <c r="B669" s="481"/>
      <c r="C669" s="16"/>
      <c r="D669" s="482"/>
      <c r="E669" s="482"/>
      <c r="F669" s="482"/>
      <c r="G669" s="495"/>
      <c r="H669" s="481"/>
      <c r="I669" s="481"/>
      <c r="J669" s="360" t="s">
        <v>158</v>
      </c>
      <c r="K669" s="482"/>
      <c r="L669" s="482"/>
      <c r="M669" s="482"/>
      <c r="N669" s="41"/>
      <c r="O669" s="13"/>
      <c r="P669" s="13"/>
      <c r="Q669" s="13"/>
      <c r="R669" s="481"/>
      <c r="S669" s="481"/>
      <c r="T669" s="481"/>
      <c r="U669" s="482"/>
      <c r="V669" s="41"/>
      <c r="W669" s="13"/>
      <c r="X669" s="482"/>
      <c r="Y669" s="481"/>
      <c r="Z669" s="481"/>
      <c r="AA669" s="481"/>
      <c r="AB669" s="16"/>
      <c r="AC669" s="16"/>
      <c r="AD669" s="16"/>
      <c r="AE669" s="16"/>
      <c r="AF669" s="16"/>
      <c r="AG669" s="16"/>
      <c r="AH669" s="16"/>
      <c r="AI669" s="16"/>
      <c r="AJ669" s="481"/>
      <c r="AK669" s="482"/>
      <c r="AL669" s="25"/>
      <c r="AM669" s="481"/>
      <c r="AN669" s="481"/>
      <c r="AO669" s="481"/>
      <c r="AP669" s="16"/>
      <c r="AQ669" s="16"/>
      <c r="AR669" s="130"/>
      <c r="AS669" s="130">
        <v>1405</v>
      </c>
      <c r="AT669" s="130"/>
      <c r="AU669" s="130"/>
      <c r="AV669" s="130"/>
      <c r="AW669" s="12"/>
      <c r="AX669" s="12"/>
      <c r="AY669" s="12"/>
      <c r="AZ669" s="481"/>
    </row>
    <row r="670" spans="1:52" ht="30" customHeight="1" x14ac:dyDescent="0.2">
      <c r="A670" s="497">
        <v>668</v>
      </c>
      <c r="B670" s="481"/>
      <c r="C670" s="16"/>
      <c r="D670" s="482"/>
      <c r="E670" s="482"/>
      <c r="F670" s="482"/>
      <c r="G670" s="495"/>
      <c r="H670" s="481"/>
      <c r="I670" s="481"/>
      <c r="J670" s="360" t="s">
        <v>158</v>
      </c>
      <c r="K670" s="482"/>
      <c r="L670" s="482"/>
      <c r="M670" s="482"/>
      <c r="N670" s="41"/>
      <c r="O670" s="13"/>
      <c r="P670" s="13"/>
      <c r="Q670" s="13"/>
      <c r="R670" s="481"/>
      <c r="S670" s="481"/>
      <c r="T670" s="481"/>
      <c r="U670" s="482"/>
      <c r="V670" s="41"/>
      <c r="W670" s="13"/>
      <c r="X670" s="482"/>
      <c r="Y670" s="481"/>
      <c r="Z670" s="481"/>
      <c r="AA670" s="481"/>
      <c r="AB670" s="16"/>
      <c r="AC670" s="16"/>
      <c r="AD670" s="16"/>
      <c r="AE670" s="16"/>
      <c r="AF670" s="16"/>
      <c r="AG670" s="16"/>
      <c r="AH670" s="16"/>
      <c r="AI670" s="16"/>
      <c r="AJ670" s="481"/>
      <c r="AK670" s="482"/>
      <c r="AL670" s="25"/>
      <c r="AM670" s="481"/>
      <c r="AN670" s="481"/>
      <c r="AO670" s="481"/>
      <c r="AP670" s="16"/>
      <c r="AQ670" s="16"/>
      <c r="AR670" s="130"/>
      <c r="AS670" s="130">
        <v>1405</v>
      </c>
      <c r="AT670" s="130"/>
      <c r="AU670" s="130"/>
      <c r="AV670" s="130"/>
      <c r="AW670" s="12"/>
      <c r="AX670" s="12"/>
      <c r="AY670" s="12"/>
      <c r="AZ670" s="481"/>
    </row>
    <row r="671" spans="1:52" ht="30" customHeight="1" x14ac:dyDescent="0.2">
      <c r="A671" s="497">
        <v>669</v>
      </c>
      <c r="B671" s="481"/>
      <c r="C671" s="16"/>
      <c r="D671" s="482"/>
      <c r="E671" s="482"/>
      <c r="F671" s="482"/>
      <c r="G671" s="495"/>
      <c r="H671" s="481"/>
      <c r="I671" s="481"/>
      <c r="J671" s="360" t="s">
        <v>158</v>
      </c>
      <c r="K671" s="482"/>
      <c r="L671" s="482"/>
      <c r="M671" s="482"/>
      <c r="N671" s="41"/>
      <c r="O671" s="13"/>
      <c r="P671" s="13"/>
      <c r="Q671" s="13"/>
      <c r="R671" s="481"/>
      <c r="S671" s="481"/>
      <c r="T671" s="481"/>
      <c r="U671" s="482"/>
      <c r="V671" s="41"/>
      <c r="W671" s="13"/>
      <c r="X671" s="482"/>
      <c r="Y671" s="481"/>
      <c r="Z671" s="481"/>
      <c r="AA671" s="481"/>
      <c r="AB671" s="16"/>
      <c r="AC671" s="16"/>
      <c r="AD671" s="16"/>
      <c r="AE671" s="16"/>
      <c r="AF671" s="16"/>
      <c r="AG671" s="16"/>
      <c r="AH671" s="16"/>
      <c r="AI671" s="16"/>
      <c r="AJ671" s="481"/>
      <c r="AK671" s="482"/>
      <c r="AL671" s="25"/>
      <c r="AM671" s="481"/>
      <c r="AN671" s="481"/>
      <c r="AO671" s="481"/>
      <c r="AP671" s="16"/>
      <c r="AQ671" s="16"/>
      <c r="AR671" s="130"/>
      <c r="AS671" s="130">
        <v>1405</v>
      </c>
      <c r="AT671" s="130"/>
      <c r="AU671" s="130"/>
      <c r="AV671" s="130"/>
      <c r="AW671" s="12"/>
      <c r="AX671" s="12"/>
      <c r="AY671" s="12"/>
      <c r="AZ671" s="481"/>
    </row>
    <row r="672" spans="1:52" ht="30" customHeight="1" x14ac:dyDescent="0.2">
      <c r="A672" s="497">
        <v>670</v>
      </c>
      <c r="B672" s="481"/>
      <c r="C672" s="16"/>
      <c r="D672" s="482"/>
      <c r="E672" s="482"/>
      <c r="F672" s="482"/>
      <c r="G672" s="495"/>
      <c r="H672" s="481"/>
      <c r="I672" s="481"/>
      <c r="J672" s="360" t="s">
        <v>158</v>
      </c>
      <c r="K672" s="482"/>
      <c r="L672" s="482"/>
      <c r="M672" s="482"/>
      <c r="N672" s="41"/>
      <c r="O672" s="13"/>
      <c r="P672" s="13"/>
      <c r="Q672" s="13"/>
      <c r="R672" s="481"/>
      <c r="S672" s="481"/>
      <c r="T672" s="481"/>
      <c r="U672" s="482"/>
      <c r="V672" s="41"/>
      <c r="W672" s="13"/>
      <c r="X672" s="482"/>
      <c r="Y672" s="481"/>
      <c r="Z672" s="481"/>
      <c r="AA672" s="481"/>
      <c r="AB672" s="16"/>
      <c r="AC672" s="16"/>
      <c r="AD672" s="16"/>
      <c r="AE672" s="16"/>
      <c r="AF672" s="16"/>
      <c r="AG672" s="16"/>
      <c r="AH672" s="16"/>
      <c r="AI672" s="16"/>
      <c r="AJ672" s="481"/>
      <c r="AK672" s="482"/>
      <c r="AL672" s="25"/>
      <c r="AM672" s="481"/>
      <c r="AN672" s="481"/>
      <c r="AO672" s="481"/>
      <c r="AP672" s="16"/>
      <c r="AQ672" s="16"/>
      <c r="AR672" s="130"/>
      <c r="AS672" s="130">
        <v>1405</v>
      </c>
      <c r="AT672" s="130"/>
      <c r="AU672" s="130"/>
      <c r="AV672" s="130"/>
      <c r="AW672" s="12"/>
      <c r="AX672" s="12"/>
      <c r="AY672" s="12"/>
      <c r="AZ672" s="481"/>
    </row>
    <row r="673" spans="1:52" ht="30" customHeight="1" x14ac:dyDescent="0.2">
      <c r="A673" s="497">
        <v>671</v>
      </c>
      <c r="B673" s="481"/>
      <c r="C673" s="16"/>
      <c r="D673" s="482"/>
      <c r="E673" s="482"/>
      <c r="F673" s="482"/>
      <c r="G673" s="495"/>
      <c r="H673" s="481"/>
      <c r="I673" s="481"/>
      <c r="J673" s="360" t="s">
        <v>158</v>
      </c>
      <c r="K673" s="482"/>
      <c r="L673" s="482"/>
      <c r="M673" s="482"/>
      <c r="N673" s="41"/>
      <c r="O673" s="13"/>
      <c r="P673" s="13"/>
      <c r="Q673" s="13"/>
      <c r="R673" s="481"/>
      <c r="S673" s="481"/>
      <c r="T673" s="481"/>
      <c r="U673" s="482"/>
      <c r="V673" s="41"/>
      <c r="W673" s="13"/>
      <c r="X673" s="482"/>
      <c r="Y673" s="481"/>
      <c r="Z673" s="481"/>
      <c r="AA673" s="481"/>
      <c r="AB673" s="16"/>
      <c r="AC673" s="16"/>
      <c r="AD673" s="16"/>
      <c r="AE673" s="16"/>
      <c r="AF673" s="16"/>
      <c r="AG673" s="16"/>
      <c r="AH673" s="16"/>
      <c r="AI673" s="16"/>
      <c r="AJ673" s="481"/>
      <c r="AK673" s="482"/>
      <c r="AL673" s="25"/>
      <c r="AM673" s="481"/>
      <c r="AN673" s="481"/>
      <c r="AO673" s="481"/>
      <c r="AP673" s="16"/>
      <c r="AQ673" s="16"/>
      <c r="AR673" s="130"/>
      <c r="AS673" s="130">
        <v>1405</v>
      </c>
      <c r="AT673" s="130"/>
      <c r="AU673" s="130"/>
      <c r="AV673" s="130"/>
      <c r="AW673" s="12"/>
      <c r="AX673" s="12"/>
      <c r="AY673" s="12"/>
      <c r="AZ673" s="481"/>
    </row>
    <row r="674" spans="1:52" ht="30" customHeight="1" x14ac:dyDescent="0.2">
      <c r="A674" s="497">
        <v>672</v>
      </c>
      <c r="B674" s="481"/>
      <c r="C674" s="16"/>
      <c r="D674" s="482"/>
      <c r="E674" s="482"/>
      <c r="F674" s="482"/>
      <c r="G674" s="495"/>
      <c r="H674" s="481"/>
      <c r="I674" s="481"/>
      <c r="J674" s="360" t="s">
        <v>158</v>
      </c>
      <c r="K674" s="482"/>
      <c r="L674" s="482"/>
      <c r="M674" s="482"/>
      <c r="N674" s="41"/>
      <c r="O674" s="13"/>
      <c r="P674" s="13"/>
      <c r="Q674" s="13"/>
      <c r="R674" s="481"/>
      <c r="S674" s="481"/>
      <c r="T674" s="481"/>
      <c r="U674" s="482"/>
      <c r="V674" s="41"/>
      <c r="W674" s="13"/>
      <c r="X674" s="482"/>
      <c r="Y674" s="481"/>
      <c r="Z674" s="481"/>
      <c r="AA674" s="481"/>
      <c r="AB674" s="16"/>
      <c r="AC674" s="16"/>
      <c r="AD674" s="16"/>
      <c r="AE674" s="16"/>
      <c r="AF674" s="16"/>
      <c r="AG674" s="16"/>
      <c r="AH674" s="16"/>
      <c r="AI674" s="16"/>
      <c r="AJ674" s="481"/>
      <c r="AK674" s="482"/>
      <c r="AL674" s="25"/>
      <c r="AM674" s="481"/>
      <c r="AN674" s="481"/>
      <c r="AO674" s="481"/>
      <c r="AP674" s="16"/>
      <c r="AQ674" s="16"/>
      <c r="AR674" s="130"/>
      <c r="AS674" s="130">
        <v>1405</v>
      </c>
      <c r="AT674" s="130"/>
      <c r="AU674" s="130"/>
      <c r="AV674" s="130"/>
      <c r="AW674" s="12"/>
      <c r="AX674" s="12"/>
      <c r="AY674" s="12"/>
      <c r="AZ674" s="481"/>
    </row>
    <row r="675" spans="1:52" ht="30" customHeight="1" x14ac:dyDescent="0.2">
      <c r="A675" s="497">
        <v>673</v>
      </c>
      <c r="B675" s="481"/>
      <c r="C675" s="16"/>
      <c r="D675" s="482"/>
      <c r="E675" s="482"/>
      <c r="F675" s="482"/>
      <c r="G675" s="495"/>
      <c r="H675" s="481"/>
      <c r="I675" s="481"/>
      <c r="J675" s="360" t="s">
        <v>158</v>
      </c>
      <c r="K675" s="482"/>
      <c r="L675" s="482"/>
      <c r="M675" s="482"/>
      <c r="N675" s="41"/>
      <c r="O675" s="13"/>
      <c r="P675" s="13"/>
      <c r="Q675" s="13"/>
      <c r="R675" s="481"/>
      <c r="S675" s="481"/>
      <c r="T675" s="481"/>
      <c r="U675" s="482"/>
      <c r="V675" s="41"/>
      <c r="W675" s="13"/>
      <c r="X675" s="482"/>
      <c r="Y675" s="481"/>
      <c r="Z675" s="481"/>
      <c r="AA675" s="481"/>
      <c r="AB675" s="16"/>
      <c r="AC675" s="16"/>
      <c r="AD675" s="16"/>
      <c r="AE675" s="16"/>
      <c r="AF675" s="16"/>
      <c r="AG675" s="16"/>
      <c r="AH675" s="16"/>
      <c r="AI675" s="16"/>
      <c r="AJ675" s="481"/>
      <c r="AK675" s="482"/>
      <c r="AL675" s="25"/>
      <c r="AM675" s="481"/>
      <c r="AN675" s="481"/>
      <c r="AO675" s="481"/>
      <c r="AP675" s="16"/>
      <c r="AQ675" s="16"/>
      <c r="AR675" s="130"/>
      <c r="AS675" s="130">
        <v>1405</v>
      </c>
      <c r="AT675" s="130"/>
      <c r="AU675" s="130"/>
      <c r="AV675" s="130"/>
      <c r="AW675" s="12"/>
      <c r="AX675" s="12"/>
      <c r="AY675" s="12"/>
      <c r="AZ675" s="481"/>
    </row>
    <row r="676" spans="1:52" ht="30" customHeight="1" x14ac:dyDescent="0.2">
      <c r="A676" s="497">
        <v>674</v>
      </c>
      <c r="B676" s="481"/>
      <c r="C676" s="16"/>
      <c r="D676" s="482"/>
      <c r="E676" s="482"/>
      <c r="F676" s="482"/>
      <c r="G676" s="495"/>
      <c r="H676" s="481"/>
      <c r="I676" s="481"/>
      <c r="J676" s="360" t="s">
        <v>158</v>
      </c>
      <c r="K676" s="482"/>
      <c r="L676" s="482"/>
      <c r="M676" s="482"/>
      <c r="N676" s="41"/>
      <c r="O676" s="13"/>
      <c r="P676" s="13"/>
      <c r="Q676" s="13"/>
      <c r="R676" s="481"/>
      <c r="S676" s="481"/>
      <c r="T676" s="481"/>
      <c r="U676" s="482"/>
      <c r="V676" s="41"/>
      <c r="W676" s="13"/>
      <c r="X676" s="482"/>
      <c r="Y676" s="481"/>
      <c r="Z676" s="481"/>
      <c r="AA676" s="481"/>
      <c r="AB676" s="16"/>
      <c r="AC676" s="16"/>
      <c r="AD676" s="16"/>
      <c r="AE676" s="16"/>
      <c r="AF676" s="16"/>
      <c r="AG676" s="16"/>
      <c r="AH676" s="16"/>
      <c r="AI676" s="16"/>
      <c r="AJ676" s="481"/>
      <c r="AK676" s="482"/>
      <c r="AL676" s="25"/>
      <c r="AM676" s="481"/>
      <c r="AN676" s="481"/>
      <c r="AO676" s="481"/>
      <c r="AP676" s="16"/>
      <c r="AQ676" s="16"/>
      <c r="AR676" s="130"/>
      <c r="AS676" s="130">
        <v>1405</v>
      </c>
      <c r="AT676" s="130"/>
      <c r="AU676" s="130"/>
      <c r="AV676" s="130"/>
      <c r="AW676" s="12"/>
      <c r="AX676" s="12"/>
      <c r="AY676" s="12"/>
      <c r="AZ676" s="481"/>
    </row>
    <row r="677" spans="1:52" ht="30" customHeight="1" x14ac:dyDescent="0.2">
      <c r="A677" s="497">
        <v>675</v>
      </c>
      <c r="B677" s="481"/>
      <c r="C677" s="16"/>
      <c r="D677" s="482"/>
      <c r="E677" s="482"/>
      <c r="F677" s="482"/>
      <c r="G677" s="495"/>
      <c r="H677" s="481"/>
      <c r="I677" s="481"/>
      <c r="J677" s="360" t="s">
        <v>158</v>
      </c>
      <c r="K677" s="482"/>
      <c r="L677" s="482"/>
      <c r="M677" s="482"/>
      <c r="N677" s="41"/>
      <c r="O677" s="13"/>
      <c r="P677" s="13"/>
      <c r="Q677" s="13"/>
      <c r="R677" s="481"/>
      <c r="S677" s="481"/>
      <c r="T677" s="481"/>
      <c r="U677" s="482"/>
      <c r="V677" s="41"/>
      <c r="W677" s="13"/>
      <c r="X677" s="482"/>
      <c r="Y677" s="481"/>
      <c r="Z677" s="481"/>
      <c r="AA677" s="481"/>
      <c r="AB677" s="16"/>
      <c r="AC677" s="16"/>
      <c r="AD677" s="16"/>
      <c r="AE677" s="16"/>
      <c r="AF677" s="16"/>
      <c r="AG677" s="16"/>
      <c r="AH677" s="16"/>
      <c r="AI677" s="16"/>
      <c r="AJ677" s="481"/>
      <c r="AK677" s="482"/>
      <c r="AL677" s="25"/>
      <c r="AM677" s="481"/>
      <c r="AN677" s="481"/>
      <c r="AO677" s="481"/>
      <c r="AP677" s="16"/>
      <c r="AQ677" s="16"/>
      <c r="AR677" s="130"/>
      <c r="AS677" s="130">
        <v>1405</v>
      </c>
      <c r="AT677" s="130"/>
      <c r="AU677" s="130"/>
      <c r="AV677" s="130"/>
      <c r="AW677" s="12"/>
      <c r="AX677" s="12"/>
      <c r="AY677" s="12"/>
      <c r="AZ677" s="481"/>
    </row>
    <row r="678" spans="1:52" ht="30" customHeight="1" x14ac:dyDescent="0.2">
      <c r="A678" s="497">
        <v>676</v>
      </c>
      <c r="B678" s="481"/>
      <c r="C678" s="16"/>
      <c r="D678" s="482"/>
      <c r="E678" s="482"/>
      <c r="F678" s="482"/>
      <c r="G678" s="495"/>
      <c r="H678" s="481"/>
      <c r="I678" s="481"/>
      <c r="J678" s="360" t="s">
        <v>158</v>
      </c>
      <c r="K678" s="482"/>
      <c r="L678" s="482"/>
      <c r="M678" s="482"/>
      <c r="N678" s="41"/>
      <c r="O678" s="13"/>
      <c r="P678" s="13"/>
      <c r="Q678" s="13"/>
      <c r="R678" s="481"/>
      <c r="S678" s="481"/>
      <c r="T678" s="481"/>
      <c r="U678" s="482"/>
      <c r="V678" s="41"/>
      <c r="W678" s="13"/>
      <c r="X678" s="482"/>
      <c r="Y678" s="481"/>
      <c r="Z678" s="481"/>
      <c r="AA678" s="481"/>
      <c r="AB678" s="16"/>
      <c r="AC678" s="16"/>
      <c r="AD678" s="16"/>
      <c r="AE678" s="16"/>
      <c r="AF678" s="16"/>
      <c r="AG678" s="16"/>
      <c r="AH678" s="16"/>
      <c r="AI678" s="16"/>
      <c r="AJ678" s="481"/>
      <c r="AK678" s="482"/>
      <c r="AL678" s="25"/>
      <c r="AM678" s="481"/>
      <c r="AN678" s="481"/>
      <c r="AO678" s="481"/>
      <c r="AP678" s="16"/>
      <c r="AQ678" s="16"/>
      <c r="AR678" s="130"/>
      <c r="AS678" s="130">
        <v>1405</v>
      </c>
      <c r="AT678" s="130"/>
      <c r="AU678" s="130"/>
      <c r="AV678" s="130"/>
      <c r="AW678" s="12"/>
      <c r="AX678" s="12"/>
      <c r="AY678" s="12"/>
      <c r="AZ678" s="481"/>
    </row>
    <row r="679" spans="1:52" ht="30" customHeight="1" x14ac:dyDescent="0.2">
      <c r="A679" s="497">
        <v>677</v>
      </c>
      <c r="B679" s="481"/>
      <c r="C679" s="16"/>
      <c r="D679" s="482"/>
      <c r="E679" s="482"/>
      <c r="F679" s="482"/>
      <c r="G679" s="495"/>
      <c r="H679" s="481"/>
      <c r="I679" s="481"/>
      <c r="J679" s="360" t="s">
        <v>158</v>
      </c>
      <c r="K679" s="482"/>
      <c r="L679" s="482"/>
      <c r="M679" s="482"/>
      <c r="N679" s="41"/>
      <c r="O679" s="13"/>
      <c r="P679" s="13"/>
      <c r="Q679" s="13"/>
      <c r="R679" s="481"/>
      <c r="S679" s="481"/>
      <c r="T679" s="481"/>
      <c r="U679" s="482"/>
      <c r="V679" s="41"/>
      <c r="W679" s="13"/>
      <c r="X679" s="482"/>
      <c r="Y679" s="481"/>
      <c r="Z679" s="481"/>
      <c r="AA679" s="481"/>
      <c r="AB679" s="16"/>
      <c r="AC679" s="16"/>
      <c r="AD679" s="16"/>
      <c r="AE679" s="16"/>
      <c r="AF679" s="16"/>
      <c r="AG679" s="16"/>
      <c r="AH679" s="16"/>
      <c r="AI679" s="16"/>
      <c r="AJ679" s="481"/>
      <c r="AK679" s="482"/>
      <c r="AL679" s="25"/>
      <c r="AM679" s="481"/>
      <c r="AN679" s="481"/>
      <c r="AO679" s="481"/>
      <c r="AP679" s="16"/>
      <c r="AQ679" s="16"/>
      <c r="AR679" s="130"/>
      <c r="AS679" s="130">
        <v>1405</v>
      </c>
      <c r="AT679" s="130"/>
      <c r="AU679" s="130"/>
      <c r="AV679" s="130"/>
      <c r="AW679" s="12"/>
      <c r="AX679" s="12"/>
      <c r="AY679" s="12"/>
      <c r="AZ679" s="481"/>
    </row>
    <row r="680" spans="1:52" ht="30" customHeight="1" x14ac:dyDescent="0.2">
      <c r="A680" s="497">
        <v>678</v>
      </c>
      <c r="B680" s="481"/>
      <c r="C680" s="16"/>
      <c r="D680" s="482"/>
      <c r="E680" s="482"/>
      <c r="F680" s="482"/>
      <c r="G680" s="495"/>
      <c r="H680" s="481"/>
      <c r="I680" s="481"/>
      <c r="J680" s="360" t="s">
        <v>158</v>
      </c>
      <c r="K680" s="482"/>
      <c r="L680" s="482"/>
      <c r="M680" s="482"/>
      <c r="N680" s="41"/>
      <c r="O680" s="13"/>
      <c r="P680" s="13"/>
      <c r="Q680" s="13"/>
      <c r="R680" s="481"/>
      <c r="S680" s="481"/>
      <c r="T680" s="481"/>
      <c r="U680" s="482"/>
      <c r="V680" s="41"/>
      <c r="W680" s="13"/>
      <c r="X680" s="482"/>
      <c r="Y680" s="481"/>
      <c r="Z680" s="481"/>
      <c r="AA680" s="481"/>
      <c r="AB680" s="16"/>
      <c r="AC680" s="16"/>
      <c r="AD680" s="16"/>
      <c r="AE680" s="16"/>
      <c r="AF680" s="16"/>
      <c r="AG680" s="16"/>
      <c r="AH680" s="16"/>
      <c r="AI680" s="16"/>
      <c r="AJ680" s="481"/>
      <c r="AK680" s="482"/>
      <c r="AL680" s="25"/>
      <c r="AM680" s="481"/>
      <c r="AN680" s="481"/>
      <c r="AO680" s="481"/>
      <c r="AP680" s="16"/>
      <c r="AQ680" s="16"/>
      <c r="AR680" s="130"/>
      <c r="AS680" s="130">
        <v>1405</v>
      </c>
      <c r="AT680" s="130"/>
      <c r="AU680" s="130"/>
      <c r="AV680" s="130"/>
      <c r="AW680" s="12"/>
      <c r="AX680" s="12"/>
      <c r="AY680" s="12"/>
      <c r="AZ680" s="481"/>
    </row>
    <row r="681" spans="1:52" ht="30" customHeight="1" x14ac:dyDescent="0.2">
      <c r="A681" s="497">
        <v>679</v>
      </c>
      <c r="B681" s="481"/>
      <c r="C681" s="16"/>
      <c r="D681" s="482"/>
      <c r="E681" s="482"/>
      <c r="F681" s="482"/>
      <c r="G681" s="495"/>
      <c r="H681" s="481"/>
      <c r="I681" s="481"/>
      <c r="J681" s="360" t="s">
        <v>158</v>
      </c>
      <c r="K681" s="482"/>
      <c r="L681" s="482"/>
      <c r="M681" s="482"/>
      <c r="N681" s="41"/>
      <c r="O681" s="13"/>
      <c r="P681" s="13"/>
      <c r="Q681" s="13"/>
      <c r="R681" s="481"/>
      <c r="S681" s="481"/>
      <c r="T681" s="481"/>
      <c r="U681" s="482"/>
      <c r="V681" s="41"/>
      <c r="W681" s="13"/>
      <c r="X681" s="482"/>
      <c r="Y681" s="481"/>
      <c r="Z681" s="481"/>
      <c r="AA681" s="481"/>
      <c r="AB681" s="16"/>
      <c r="AC681" s="16"/>
      <c r="AD681" s="16"/>
      <c r="AE681" s="16"/>
      <c r="AF681" s="16"/>
      <c r="AG681" s="16"/>
      <c r="AH681" s="16"/>
      <c r="AI681" s="16"/>
      <c r="AJ681" s="481"/>
      <c r="AK681" s="482"/>
      <c r="AL681" s="25"/>
      <c r="AM681" s="481"/>
      <c r="AN681" s="481"/>
      <c r="AO681" s="481"/>
      <c r="AP681" s="16"/>
      <c r="AQ681" s="16"/>
      <c r="AR681" s="130"/>
      <c r="AS681" s="130">
        <v>1405</v>
      </c>
      <c r="AT681" s="130"/>
      <c r="AU681" s="130"/>
      <c r="AV681" s="130"/>
      <c r="AW681" s="12"/>
      <c r="AX681" s="12"/>
      <c r="AY681" s="12"/>
      <c r="AZ681" s="481"/>
    </row>
    <row r="682" spans="1:52" ht="30" customHeight="1" x14ac:dyDescent="0.2">
      <c r="A682" s="497">
        <v>680</v>
      </c>
      <c r="B682" s="481"/>
      <c r="C682" s="16"/>
      <c r="D682" s="482"/>
      <c r="E682" s="482"/>
      <c r="F682" s="482"/>
      <c r="G682" s="495"/>
      <c r="H682" s="481"/>
      <c r="I682" s="481"/>
      <c r="J682" s="360" t="s">
        <v>158</v>
      </c>
      <c r="K682" s="482"/>
      <c r="L682" s="482"/>
      <c r="M682" s="482"/>
      <c r="N682" s="41"/>
      <c r="O682" s="13"/>
      <c r="P682" s="13"/>
      <c r="Q682" s="13"/>
      <c r="R682" s="481"/>
      <c r="S682" s="481"/>
      <c r="T682" s="481"/>
      <c r="U682" s="482"/>
      <c r="V682" s="41"/>
      <c r="W682" s="13"/>
      <c r="X682" s="482"/>
      <c r="Y682" s="481"/>
      <c r="Z682" s="481"/>
      <c r="AA682" s="481"/>
      <c r="AB682" s="16"/>
      <c r="AC682" s="16"/>
      <c r="AD682" s="16"/>
      <c r="AE682" s="16"/>
      <c r="AF682" s="16"/>
      <c r="AG682" s="16"/>
      <c r="AH682" s="16"/>
      <c r="AI682" s="16"/>
      <c r="AJ682" s="481"/>
      <c r="AK682" s="482"/>
      <c r="AL682" s="25"/>
      <c r="AM682" s="481"/>
      <c r="AN682" s="481"/>
      <c r="AO682" s="481"/>
      <c r="AP682" s="16"/>
      <c r="AQ682" s="16"/>
      <c r="AR682" s="130"/>
      <c r="AS682" s="130">
        <v>1405</v>
      </c>
      <c r="AT682" s="130"/>
      <c r="AU682" s="130"/>
      <c r="AV682" s="130"/>
      <c r="AW682" s="12"/>
      <c r="AX682" s="12"/>
      <c r="AY682" s="12"/>
      <c r="AZ682" s="481"/>
    </row>
    <row r="683" spans="1:52" ht="30" customHeight="1" x14ac:dyDescent="0.2">
      <c r="A683" s="497">
        <v>681</v>
      </c>
      <c r="B683" s="481"/>
      <c r="C683" s="16"/>
      <c r="D683" s="482"/>
      <c r="E683" s="482"/>
      <c r="F683" s="482"/>
      <c r="G683" s="495"/>
      <c r="H683" s="481"/>
      <c r="I683" s="481"/>
      <c r="J683" s="360" t="s">
        <v>158</v>
      </c>
      <c r="K683" s="482"/>
      <c r="L683" s="482"/>
      <c r="M683" s="482"/>
      <c r="N683" s="41"/>
      <c r="O683" s="13"/>
      <c r="P683" s="13"/>
      <c r="Q683" s="13"/>
      <c r="R683" s="481"/>
      <c r="S683" s="481"/>
      <c r="T683" s="481"/>
      <c r="U683" s="482"/>
      <c r="V683" s="41"/>
      <c r="W683" s="13"/>
      <c r="X683" s="482"/>
      <c r="Y683" s="481"/>
      <c r="Z683" s="481"/>
      <c r="AA683" s="481"/>
      <c r="AB683" s="16"/>
      <c r="AC683" s="16"/>
      <c r="AD683" s="16"/>
      <c r="AE683" s="16"/>
      <c r="AF683" s="16"/>
      <c r="AG683" s="16"/>
      <c r="AH683" s="16"/>
      <c r="AI683" s="16"/>
      <c r="AJ683" s="481"/>
      <c r="AK683" s="482"/>
      <c r="AL683" s="25"/>
      <c r="AM683" s="481"/>
      <c r="AN683" s="481"/>
      <c r="AO683" s="481"/>
      <c r="AP683" s="16"/>
      <c r="AQ683" s="16"/>
      <c r="AR683" s="130"/>
      <c r="AS683" s="130">
        <v>1405</v>
      </c>
      <c r="AT683" s="130"/>
      <c r="AU683" s="130"/>
      <c r="AV683" s="130"/>
      <c r="AW683" s="12"/>
      <c r="AX683" s="12"/>
      <c r="AY683" s="12"/>
      <c r="AZ683" s="481"/>
    </row>
    <row r="684" spans="1:52" ht="30" customHeight="1" x14ac:dyDescent="0.2">
      <c r="A684" s="497">
        <v>682</v>
      </c>
      <c r="B684" s="481"/>
      <c r="C684" s="16"/>
      <c r="D684" s="482"/>
      <c r="E684" s="482"/>
      <c r="F684" s="482"/>
      <c r="G684" s="495"/>
      <c r="H684" s="481"/>
      <c r="I684" s="481"/>
      <c r="J684" s="360" t="s">
        <v>158</v>
      </c>
      <c r="K684" s="482"/>
      <c r="L684" s="482"/>
      <c r="M684" s="482"/>
      <c r="N684" s="41"/>
      <c r="O684" s="13"/>
      <c r="P684" s="13"/>
      <c r="Q684" s="13"/>
      <c r="R684" s="481"/>
      <c r="S684" s="481"/>
      <c r="T684" s="481"/>
      <c r="U684" s="482"/>
      <c r="V684" s="41"/>
      <c r="W684" s="13"/>
      <c r="X684" s="482"/>
      <c r="Y684" s="481"/>
      <c r="Z684" s="481"/>
      <c r="AA684" s="481"/>
      <c r="AB684" s="16"/>
      <c r="AC684" s="16"/>
      <c r="AD684" s="16"/>
      <c r="AE684" s="16"/>
      <c r="AF684" s="16"/>
      <c r="AG684" s="16"/>
      <c r="AH684" s="16"/>
      <c r="AI684" s="16"/>
      <c r="AJ684" s="481"/>
      <c r="AK684" s="482"/>
      <c r="AL684" s="25"/>
      <c r="AM684" s="481"/>
      <c r="AN684" s="481"/>
      <c r="AO684" s="481"/>
      <c r="AP684" s="16"/>
      <c r="AQ684" s="16"/>
      <c r="AR684" s="130"/>
      <c r="AS684" s="130">
        <v>1405</v>
      </c>
      <c r="AT684" s="130"/>
      <c r="AU684" s="130"/>
      <c r="AV684" s="130"/>
      <c r="AW684" s="12"/>
      <c r="AX684" s="12"/>
      <c r="AY684" s="12"/>
      <c r="AZ684" s="481"/>
    </row>
    <row r="685" spans="1:52" ht="30" customHeight="1" x14ac:dyDescent="0.2">
      <c r="A685" s="497">
        <v>683</v>
      </c>
      <c r="B685" s="481"/>
      <c r="C685" s="16"/>
      <c r="D685" s="482"/>
      <c r="E685" s="482"/>
      <c r="F685" s="482"/>
      <c r="G685" s="495"/>
      <c r="H685" s="481"/>
      <c r="I685" s="481"/>
      <c r="J685" s="360" t="s">
        <v>158</v>
      </c>
      <c r="K685" s="482"/>
      <c r="L685" s="482"/>
      <c r="M685" s="482"/>
      <c r="N685" s="41"/>
      <c r="O685" s="13"/>
      <c r="P685" s="13"/>
      <c r="Q685" s="13"/>
      <c r="R685" s="481"/>
      <c r="S685" s="481"/>
      <c r="T685" s="481"/>
      <c r="U685" s="482"/>
      <c r="V685" s="41"/>
      <c r="W685" s="13"/>
      <c r="X685" s="482"/>
      <c r="Y685" s="481"/>
      <c r="Z685" s="481"/>
      <c r="AA685" s="481"/>
      <c r="AB685" s="16"/>
      <c r="AC685" s="16"/>
      <c r="AD685" s="16"/>
      <c r="AE685" s="16"/>
      <c r="AF685" s="16"/>
      <c r="AG685" s="16"/>
      <c r="AH685" s="16"/>
      <c r="AI685" s="16"/>
      <c r="AJ685" s="481"/>
      <c r="AK685" s="482"/>
      <c r="AL685" s="25"/>
      <c r="AM685" s="481"/>
      <c r="AN685" s="481"/>
      <c r="AO685" s="481"/>
      <c r="AP685" s="16"/>
      <c r="AQ685" s="16"/>
      <c r="AR685" s="130"/>
      <c r="AS685" s="130">
        <v>1405</v>
      </c>
      <c r="AT685" s="130"/>
      <c r="AU685" s="130"/>
      <c r="AV685" s="130"/>
      <c r="AW685" s="12"/>
      <c r="AX685" s="12"/>
      <c r="AY685" s="12"/>
      <c r="AZ685" s="481"/>
    </row>
    <row r="686" spans="1:52" ht="30" customHeight="1" x14ac:dyDescent="0.2">
      <c r="A686" s="497">
        <v>684</v>
      </c>
      <c r="B686" s="481"/>
      <c r="C686" s="16"/>
      <c r="D686" s="482"/>
      <c r="E686" s="482"/>
      <c r="F686" s="482"/>
      <c r="G686" s="495"/>
      <c r="H686" s="481"/>
      <c r="I686" s="481"/>
      <c r="J686" s="360" t="s">
        <v>158</v>
      </c>
      <c r="K686" s="482"/>
      <c r="L686" s="482"/>
      <c r="M686" s="482"/>
      <c r="N686" s="41"/>
      <c r="O686" s="13"/>
      <c r="P686" s="13"/>
      <c r="Q686" s="13"/>
      <c r="R686" s="481"/>
      <c r="S686" s="481"/>
      <c r="T686" s="481"/>
      <c r="U686" s="482"/>
      <c r="V686" s="41"/>
      <c r="W686" s="13"/>
      <c r="X686" s="482"/>
      <c r="Y686" s="481"/>
      <c r="Z686" s="481"/>
      <c r="AA686" s="481"/>
      <c r="AB686" s="16"/>
      <c r="AC686" s="16"/>
      <c r="AD686" s="16"/>
      <c r="AE686" s="16"/>
      <c r="AF686" s="16"/>
      <c r="AG686" s="16"/>
      <c r="AH686" s="16"/>
      <c r="AI686" s="16"/>
      <c r="AJ686" s="481"/>
      <c r="AK686" s="482"/>
      <c r="AL686" s="25"/>
      <c r="AM686" s="481"/>
      <c r="AN686" s="481"/>
      <c r="AO686" s="481"/>
      <c r="AP686" s="16"/>
      <c r="AQ686" s="16"/>
      <c r="AR686" s="130"/>
      <c r="AS686" s="130">
        <v>1405</v>
      </c>
      <c r="AT686" s="130"/>
      <c r="AU686" s="130"/>
      <c r="AV686" s="130"/>
      <c r="AW686" s="12"/>
      <c r="AX686" s="12"/>
      <c r="AY686" s="12"/>
      <c r="AZ686" s="481"/>
    </row>
    <row r="687" spans="1:52" ht="30" customHeight="1" x14ac:dyDescent="0.2">
      <c r="A687" s="497">
        <v>685</v>
      </c>
      <c r="B687" s="481"/>
      <c r="C687" s="16"/>
      <c r="D687" s="482"/>
      <c r="E687" s="482"/>
      <c r="F687" s="482"/>
      <c r="G687" s="495"/>
      <c r="H687" s="481"/>
      <c r="I687" s="481"/>
      <c r="J687" s="360" t="s">
        <v>158</v>
      </c>
      <c r="K687" s="482"/>
      <c r="L687" s="482"/>
      <c r="M687" s="482"/>
      <c r="N687" s="41"/>
      <c r="O687" s="13"/>
      <c r="P687" s="13"/>
      <c r="Q687" s="13"/>
      <c r="R687" s="481"/>
      <c r="S687" s="481"/>
      <c r="T687" s="481"/>
      <c r="U687" s="482"/>
      <c r="V687" s="41"/>
      <c r="W687" s="13"/>
      <c r="X687" s="482"/>
      <c r="Y687" s="481"/>
      <c r="Z687" s="481"/>
      <c r="AA687" s="481"/>
      <c r="AB687" s="16"/>
      <c r="AC687" s="16"/>
      <c r="AD687" s="16"/>
      <c r="AE687" s="16"/>
      <c r="AF687" s="16"/>
      <c r="AG687" s="16"/>
      <c r="AH687" s="16"/>
      <c r="AI687" s="16"/>
      <c r="AJ687" s="481"/>
      <c r="AK687" s="482"/>
      <c r="AL687" s="25"/>
      <c r="AM687" s="481"/>
      <c r="AN687" s="481"/>
      <c r="AO687" s="481"/>
      <c r="AP687" s="16"/>
      <c r="AQ687" s="16"/>
      <c r="AR687" s="130"/>
      <c r="AS687" s="130">
        <v>1405</v>
      </c>
      <c r="AT687" s="130"/>
      <c r="AU687" s="130"/>
      <c r="AV687" s="130"/>
      <c r="AW687" s="12"/>
      <c r="AX687" s="12"/>
      <c r="AY687" s="12"/>
      <c r="AZ687" s="481"/>
    </row>
    <row r="688" spans="1:52" ht="30" customHeight="1" x14ac:dyDescent="0.2">
      <c r="A688" s="497">
        <v>686</v>
      </c>
      <c r="B688" s="481"/>
      <c r="C688" s="16"/>
      <c r="D688" s="482"/>
      <c r="E688" s="482"/>
      <c r="F688" s="482"/>
      <c r="G688" s="495"/>
      <c r="H688" s="481"/>
      <c r="I688" s="481"/>
      <c r="J688" s="360" t="s">
        <v>158</v>
      </c>
      <c r="K688" s="482"/>
      <c r="L688" s="482"/>
      <c r="M688" s="482"/>
      <c r="N688" s="41"/>
      <c r="O688" s="13"/>
      <c r="P688" s="13"/>
      <c r="Q688" s="13"/>
      <c r="R688" s="481"/>
      <c r="S688" s="481"/>
      <c r="T688" s="481"/>
      <c r="U688" s="482"/>
      <c r="V688" s="41"/>
      <c r="W688" s="13"/>
      <c r="X688" s="482"/>
      <c r="Y688" s="481"/>
      <c r="Z688" s="481"/>
      <c r="AA688" s="481"/>
      <c r="AB688" s="16"/>
      <c r="AC688" s="16"/>
      <c r="AD688" s="16"/>
      <c r="AE688" s="16"/>
      <c r="AF688" s="16"/>
      <c r="AG688" s="16"/>
      <c r="AH688" s="16"/>
      <c r="AI688" s="16"/>
      <c r="AJ688" s="481"/>
      <c r="AK688" s="482"/>
      <c r="AL688" s="25"/>
      <c r="AM688" s="481"/>
      <c r="AN688" s="481"/>
      <c r="AO688" s="481"/>
      <c r="AP688" s="16"/>
      <c r="AQ688" s="16"/>
      <c r="AR688" s="130"/>
      <c r="AS688" s="130">
        <v>1405</v>
      </c>
      <c r="AT688" s="130"/>
      <c r="AU688" s="130"/>
      <c r="AV688" s="130"/>
      <c r="AW688" s="12"/>
      <c r="AX688" s="12"/>
      <c r="AY688" s="12"/>
      <c r="AZ688" s="481"/>
    </row>
    <row r="689" spans="1:52" ht="30" customHeight="1" x14ac:dyDescent="0.2">
      <c r="A689" s="497">
        <v>687</v>
      </c>
      <c r="B689" s="481"/>
      <c r="C689" s="16"/>
      <c r="D689" s="482"/>
      <c r="E689" s="482"/>
      <c r="F689" s="482"/>
      <c r="G689" s="495"/>
      <c r="H689" s="481"/>
      <c r="I689" s="481"/>
      <c r="J689" s="360" t="s">
        <v>158</v>
      </c>
      <c r="K689" s="482"/>
      <c r="L689" s="482"/>
      <c r="M689" s="482"/>
      <c r="N689" s="41"/>
      <c r="O689" s="13"/>
      <c r="P689" s="13"/>
      <c r="Q689" s="13"/>
      <c r="R689" s="481"/>
      <c r="S689" s="481"/>
      <c r="T689" s="481"/>
      <c r="U689" s="482"/>
      <c r="V689" s="41"/>
      <c r="W689" s="13"/>
      <c r="X689" s="482"/>
      <c r="Y689" s="481"/>
      <c r="Z689" s="481"/>
      <c r="AA689" s="481"/>
      <c r="AB689" s="16"/>
      <c r="AC689" s="16"/>
      <c r="AD689" s="16"/>
      <c r="AE689" s="16"/>
      <c r="AF689" s="16"/>
      <c r="AG689" s="16"/>
      <c r="AH689" s="16"/>
      <c r="AI689" s="16"/>
      <c r="AJ689" s="481"/>
      <c r="AK689" s="482"/>
      <c r="AL689" s="25"/>
      <c r="AM689" s="481"/>
      <c r="AN689" s="481"/>
      <c r="AO689" s="481"/>
      <c r="AP689" s="16"/>
      <c r="AQ689" s="16"/>
      <c r="AR689" s="130"/>
      <c r="AS689" s="130">
        <v>1405</v>
      </c>
      <c r="AT689" s="130"/>
      <c r="AU689" s="130"/>
      <c r="AV689" s="130"/>
      <c r="AW689" s="12"/>
      <c r="AX689" s="12"/>
      <c r="AY689" s="12"/>
      <c r="AZ689" s="481"/>
    </row>
    <row r="690" spans="1:52" ht="30" customHeight="1" x14ac:dyDescent="0.2">
      <c r="A690" s="497">
        <v>688</v>
      </c>
      <c r="B690" s="481"/>
      <c r="C690" s="16"/>
      <c r="D690" s="482"/>
      <c r="E690" s="482"/>
      <c r="F690" s="482"/>
      <c r="G690" s="495"/>
      <c r="H690" s="481"/>
      <c r="I690" s="481"/>
      <c r="J690" s="360" t="s">
        <v>158</v>
      </c>
      <c r="K690" s="482"/>
      <c r="L690" s="482"/>
      <c r="M690" s="482"/>
      <c r="N690" s="41"/>
      <c r="O690" s="13"/>
      <c r="P690" s="13"/>
      <c r="Q690" s="13"/>
      <c r="R690" s="481"/>
      <c r="S690" s="481"/>
      <c r="T690" s="481"/>
      <c r="U690" s="482"/>
      <c r="V690" s="41"/>
      <c r="W690" s="13"/>
      <c r="X690" s="482"/>
      <c r="Y690" s="481"/>
      <c r="Z690" s="481"/>
      <c r="AA690" s="481"/>
      <c r="AB690" s="16"/>
      <c r="AC690" s="16"/>
      <c r="AD690" s="16"/>
      <c r="AE690" s="16"/>
      <c r="AF690" s="16"/>
      <c r="AG690" s="16"/>
      <c r="AH690" s="16"/>
      <c r="AI690" s="16"/>
      <c r="AJ690" s="481"/>
      <c r="AK690" s="482"/>
      <c r="AL690" s="25"/>
      <c r="AM690" s="481"/>
      <c r="AN690" s="481"/>
      <c r="AO690" s="481"/>
      <c r="AP690" s="16"/>
      <c r="AQ690" s="16"/>
      <c r="AR690" s="130"/>
      <c r="AS690" s="130">
        <v>1405</v>
      </c>
      <c r="AT690" s="130"/>
      <c r="AU690" s="130"/>
      <c r="AV690" s="130"/>
      <c r="AW690" s="12"/>
      <c r="AX690" s="12"/>
      <c r="AY690" s="12"/>
      <c r="AZ690" s="481"/>
    </row>
    <row r="691" spans="1:52" ht="30" customHeight="1" x14ac:dyDescent="0.2">
      <c r="A691" s="497">
        <v>689</v>
      </c>
      <c r="B691" s="481"/>
      <c r="C691" s="16"/>
      <c r="D691" s="482"/>
      <c r="E691" s="482"/>
      <c r="F691" s="482"/>
      <c r="G691" s="495"/>
      <c r="H691" s="481"/>
      <c r="I691" s="481"/>
      <c r="J691" s="360" t="s">
        <v>158</v>
      </c>
      <c r="K691" s="482"/>
      <c r="L691" s="482"/>
      <c r="M691" s="482"/>
      <c r="N691" s="41"/>
      <c r="O691" s="13"/>
      <c r="P691" s="13"/>
      <c r="Q691" s="13"/>
      <c r="R691" s="481"/>
      <c r="S691" s="481"/>
      <c r="T691" s="481"/>
      <c r="U691" s="482"/>
      <c r="V691" s="41"/>
      <c r="W691" s="13"/>
      <c r="X691" s="482"/>
      <c r="Y691" s="481"/>
      <c r="Z691" s="481"/>
      <c r="AA691" s="481"/>
      <c r="AB691" s="16"/>
      <c r="AC691" s="16"/>
      <c r="AD691" s="16"/>
      <c r="AE691" s="16"/>
      <c r="AF691" s="16"/>
      <c r="AG691" s="16"/>
      <c r="AH691" s="16"/>
      <c r="AI691" s="16"/>
      <c r="AJ691" s="481"/>
      <c r="AK691" s="482"/>
      <c r="AL691" s="25"/>
      <c r="AM691" s="481"/>
      <c r="AN691" s="481"/>
      <c r="AO691" s="481"/>
      <c r="AP691" s="16"/>
      <c r="AQ691" s="16"/>
      <c r="AR691" s="130"/>
      <c r="AS691" s="130">
        <v>1405</v>
      </c>
      <c r="AT691" s="130"/>
      <c r="AU691" s="130"/>
      <c r="AV691" s="130"/>
      <c r="AW691" s="12"/>
      <c r="AX691" s="12"/>
      <c r="AY691" s="12"/>
      <c r="AZ691" s="481"/>
    </row>
    <row r="692" spans="1:52" ht="30" customHeight="1" x14ac:dyDescent="0.2">
      <c r="A692" s="497">
        <v>690</v>
      </c>
      <c r="B692" s="481"/>
      <c r="C692" s="16"/>
      <c r="D692" s="482"/>
      <c r="E692" s="482"/>
      <c r="F692" s="482"/>
      <c r="G692" s="495"/>
      <c r="H692" s="481"/>
      <c r="I692" s="481"/>
      <c r="J692" s="360" t="s">
        <v>158</v>
      </c>
      <c r="K692" s="482"/>
      <c r="L692" s="482"/>
      <c r="M692" s="482"/>
      <c r="N692" s="41"/>
      <c r="O692" s="13"/>
      <c r="P692" s="13"/>
      <c r="Q692" s="13"/>
      <c r="R692" s="481"/>
      <c r="S692" s="481"/>
      <c r="T692" s="481"/>
      <c r="U692" s="482"/>
      <c r="V692" s="41"/>
      <c r="W692" s="13"/>
      <c r="X692" s="482"/>
      <c r="Y692" s="481"/>
      <c r="Z692" s="481"/>
      <c r="AA692" s="481"/>
      <c r="AB692" s="16"/>
      <c r="AC692" s="16"/>
      <c r="AD692" s="16"/>
      <c r="AE692" s="16"/>
      <c r="AF692" s="16"/>
      <c r="AG692" s="16"/>
      <c r="AH692" s="16"/>
      <c r="AI692" s="16"/>
      <c r="AJ692" s="481"/>
      <c r="AK692" s="482"/>
      <c r="AL692" s="25"/>
      <c r="AM692" s="481"/>
      <c r="AN692" s="481"/>
      <c r="AO692" s="481"/>
      <c r="AP692" s="16"/>
      <c r="AQ692" s="16"/>
      <c r="AR692" s="130"/>
      <c r="AS692" s="130">
        <v>1405</v>
      </c>
      <c r="AT692" s="130"/>
      <c r="AU692" s="130"/>
      <c r="AV692" s="130"/>
      <c r="AW692" s="12"/>
      <c r="AX692" s="12"/>
      <c r="AY692" s="12"/>
      <c r="AZ692" s="481"/>
    </row>
    <row r="693" spans="1:52" ht="30" customHeight="1" x14ac:dyDescent="0.2">
      <c r="A693" s="497">
        <v>691</v>
      </c>
      <c r="B693" s="481"/>
      <c r="C693" s="16"/>
      <c r="D693" s="482"/>
      <c r="E693" s="482"/>
      <c r="F693" s="482"/>
      <c r="G693" s="495"/>
      <c r="H693" s="481"/>
      <c r="I693" s="481"/>
      <c r="J693" s="360" t="s">
        <v>158</v>
      </c>
      <c r="K693" s="482"/>
      <c r="L693" s="482"/>
      <c r="M693" s="482"/>
      <c r="N693" s="41"/>
      <c r="O693" s="13"/>
      <c r="P693" s="13"/>
      <c r="Q693" s="13"/>
      <c r="R693" s="481"/>
      <c r="S693" s="481"/>
      <c r="T693" s="481"/>
      <c r="U693" s="482"/>
      <c r="V693" s="41"/>
      <c r="W693" s="13"/>
      <c r="X693" s="482"/>
      <c r="Y693" s="481"/>
      <c r="Z693" s="481"/>
      <c r="AA693" s="481"/>
      <c r="AB693" s="16"/>
      <c r="AC693" s="16"/>
      <c r="AD693" s="16"/>
      <c r="AE693" s="16"/>
      <c r="AF693" s="16"/>
      <c r="AG693" s="16"/>
      <c r="AH693" s="16"/>
      <c r="AI693" s="16"/>
      <c r="AJ693" s="481"/>
      <c r="AK693" s="482"/>
      <c r="AL693" s="25"/>
      <c r="AM693" s="481"/>
      <c r="AN693" s="481"/>
      <c r="AO693" s="481"/>
      <c r="AP693" s="16"/>
      <c r="AQ693" s="16"/>
      <c r="AR693" s="130"/>
      <c r="AS693" s="130">
        <v>1405</v>
      </c>
      <c r="AT693" s="130"/>
      <c r="AU693" s="130"/>
      <c r="AV693" s="130"/>
      <c r="AW693" s="12"/>
      <c r="AX693" s="12"/>
      <c r="AY693" s="12"/>
      <c r="AZ693" s="481"/>
    </row>
    <row r="694" spans="1:52" ht="30" customHeight="1" x14ac:dyDescent="0.2">
      <c r="A694" s="497">
        <v>692</v>
      </c>
      <c r="B694" s="481"/>
      <c r="C694" s="16"/>
      <c r="D694" s="482"/>
      <c r="E694" s="482"/>
      <c r="F694" s="482"/>
      <c r="G694" s="495"/>
      <c r="H694" s="481"/>
      <c r="I694" s="481"/>
      <c r="J694" s="360" t="s">
        <v>158</v>
      </c>
      <c r="K694" s="482"/>
      <c r="L694" s="482"/>
      <c r="M694" s="482"/>
      <c r="N694" s="41"/>
      <c r="O694" s="13"/>
      <c r="P694" s="13"/>
      <c r="Q694" s="13"/>
      <c r="R694" s="481"/>
      <c r="S694" s="481"/>
      <c r="T694" s="481"/>
      <c r="U694" s="482"/>
      <c r="V694" s="41"/>
      <c r="W694" s="13"/>
      <c r="X694" s="482"/>
      <c r="Y694" s="481"/>
      <c r="Z694" s="481"/>
      <c r="AA694" s="481"/>
      <c r="AB694" s="16"/>
      <c r="AC694" s="16"/>
      <c r="AD694" s="16"/>
      <c r="AE694" s="16"/>
      <c r="AF694" s="16"/>
      <c r="AG694" s="16"/>
      <c r="AH694" s="16"/>
      <c r="AI694" s="16"/>
      <c r="AJ694" s="481"/>
      <c r="AK694" s="482"/>
      <c r="AL694" s="25"/>
      <c r="AM694" s="481"/>
      <c r="AN694" s="481"/>
      <c r="AO694" s="481"/>
      <c r="AP694" s="16"/>
      <c r="AQ694" s="16"/>
      <c r="AR694" s="130"/>
      <c r="AS694" s="130">
        <v>1405</v>
      </c>
      <c r="AT694" s="130"/>
      <c r="AU694" s="130"/>
      <c r="AV694" s="130"/>
      <c r="AW694" s="12"/>
      <c r="AX694" s="12"/>
      <c r="AY694" s="12"/>
      <c r="AZ694" s="481"/>
    </row>
    <row r="695" spans="1:52" ht="30" customHeight="1" x14ac:dyDescent="0.2">
      <c r="A695" s="497">
        <v>693</v>
      </c>
      <c r="B695" s="481"/>
      <c r="C695" s="16"/>
      <c r="D695" s="482"/>
      <c r="E695" s="482"/>
      <c r="F695" s="482"/>
      <c r="G695" s="495"/>
      <c r="H695" s="481"/>
      <c r="I695" s="481"/>
      <c r="J695" s="360" t="s">
        <v>158</v>
      </c>
      <c r="K695" s="482"/>
      <c r="L695" s="482"/>
      <c r="M695" s="482"/>
      <c r="N695" s="41"/>
      <c r="O695" s="13"/>
      <c r="P695" s="13"/>
      <c r="Q695" s="13"/>
      <c r="R695" s="481"/>
      <c r="S695" s="481"/>
      <c r="T695" s="481"/>
      <c r="U695" s="482"/>
      <c r="V695" s="41"/>
      <c r="W695" s="13"/>
      <c r="X695" s="482"/>
      <c r="Y695" s="481"/>
      <c r="Z695" s="481"/>
      <c r="AA695" s="481"/>
      <c r="AB695" s="16"/>
      <c r="AC695" s="16"/>
      <c r="AD695" s="16"/>
      <c r="AE695" s="16"/>
      <c r="AF695" s="16"/>
      <c r="AG695" s="16"/>
      <c r="AH695" s="16"/>
      <c r="AI695" s="16"/>
      <c r="AJ695" s="481"/>
      <c r="AK695" s="482"/>
      <c r="AL695" s="25"/>
      <c r="AM695" s="481"/>
      <c r="AN695" s="481"/>
      <c r="AO695" s="481"/>
      <c r="AP695" s="16"/>
      <c r="AQ695" s="16"/>
      <c r="AR695" s="130"/>
      <c r="AS695" s="130">
        <v>1405</v>
      </c>
      <c r="AT695" s="130"/>
      <c r="AU695" s="130"/>
      <c r="AV695" s="130"/>
      <c r="AW695" s="12"/>
      <c r="AX695" s="12"/>
      <c r="AY695" s="12"/>
      <c r="AZ695" s="481"/>
    </row>
    <row r="696" spans="1:52" ht="30" customHeight="1" x14ac:dyDescent="0.2">
      <c r="A696" s="497">
        <v>694</v>
      </c>
      <c r="B696" s="481"/>
      <c r="C696" s="16"/>
      <c r="D696" s="482"/>
      <c r="E696" s="482"/>
      <c r="F696" s="482"/>
      <c r="G696" s="495"/>
      <c r="H696" s="481"/>
      <c r="I696" s="481"/>
      <c r="J696" s="360" t="s">
        <v>158</v>
      </c>
      <c r="K696" s="482"/>
      <c r="L696" s="482"/>
      <c r="M696" s="482"/>
      <c r="N696" s="41"/>
      <c r="O696" s="13"/>
      <c r="P696" s="13"/>
      <c r="Q696" s="13"/>
      <c r="R696" s="481"/>
      <c r="S696" s="481"/>
      <c r="T696" s="481"/>
      <c r="U696" s="482"/>
      <c r="V696" s="41"/>
      <c r="W696" s="13"/>
      <c r="X696" s="482"/>
      <c r="Y696" s="481"/>
      <c r="Z696" s="481"/>
      <c r="AA696" s="481"/>
      <c r="AB696" s="16"/>
      <c r="AC696" s="16"/>
      <c r="AD696" s="16"/>
      <c r="AE696" s="16"/>
      <c r="AF696" s="16"/>
      <c r="AG696" s="16"/>
      <c r="AH696" s="16"/>
      <c r="AI696" s="16"/>
      <c r="AJ696" s="481"/>
      <c r="AK696" s="482"/>
      <c r="AL696" s="25"/>
      <c r="AM696" s="481"/>
      <c r="AN696" s="481"/>
      <c r="AO696" s="481"/>
      <c r="AP696" s="16"/>
      <c r="AQ696" s="16"/>
      <c r="AR696" s="130"/>
      <c r="AS696" s="130">
        <v>1405</v>
      </c>
      <c r="AT696" s="130"/>
      <c r="AU696" s="130"/>
      <c r="AV696" s="130"/>
      <c r="AW696" s="12"/>
      <c r="AX696" s="12"/>
      <c r="AY696" s="12"/>
      <c r="AZ696" s="481"/>
    </row>
    <row r="697" spans="1:52" ht="30" customHeight="1" x14ac:dyDescent="0.2">
      <c r="A697" s="497">
        <v>695</v>
      </c>
      <c r="B697" s="481"/>
      <c r="C697" s="16"/>
      <c r="D697" s="482"/>
      <c r="E697" s="482"/>
      <c r="F697" s="482"/>
      <c r="G697" s="495"/>
      <c r="H697" s="481"/>
      <c r="I697" s="481"/>
      <c r="J697" s="360" t="s">
        <v>158</v>
      </c>
      <c r="K697" s="482"/>
      <c r="L697" s="482"/>
      <c r="M697" s="482"/>
      <c r="N697" s="41"/>
      <c r="O697" s="13"/>
      <c r="P697" s="13"/>
      <c r="Q697" s="13"/>
      <c r="R697" s="481"/>
      <c r="S697" s="481"/>
      <c r="T697" s="481"/>
      <c r="U697" s="482"/>
      <c r="V697" s="41"/>
      <c r="W697" s="13"/>
      <c r="X697" s="482"/>
      <c r="Y697" s="481"/>
      <c r="Z697" s="481"/>
      <c r="AA697" s="481"/>
      <c r="AB697" s="16"/>
      <c r="AC697" s="16"/>
      <c r="AD697" s="16"/>
      <c r="AE697" s="16"/>
      <c r="AF697" s="16"/>
      <c r="AG697" s="16"/>
      <c r="AH697" s="16"/>
      <c r="AI697" s="16"/>
      <c r="AJ697" s="481"/>
      <c r="AK697" s="482"/>
      <c r="AL697" s="25"/>
      <c r="AM697" s="481"/>
      <c r="AN697" s="481"/>
      <c r="AO697" s="481"/>
      <c r="AP697" s="16"/>
      <c r="AQ697" s="16"/>
      <c r="AR697" s="130"/>
      <c r="AS697" s="130">
        <v>1405</v>
      </c>
      <c r="AT697" s="130"/>
      <c r="AU697" s="130"/>
      <c r="AV697" s="130"/>
      <c r="AW697" s="12"/>
      <c r="AX697" s="12"/>
      <c r="AY697" s="12"/>
      <c r="AZ697" s="481"/>
    </row>
    <row r="698" spans="1:52" ht="30" customHeight="1" x14ac:dyDescent="0.2">
      <c r="A698" s="497">
        <v>696</v>
      </c>
      <c r="B698" s="481"/>
      <c r="C698" s="16"/>
      <c r="D698" s="482"/>
      <c r="E698" s="482"/>
      <c r="F698" s="482"/>
      <c r="G698" s="495"/>
      <c r="H698" s="481"/>
      <c r="I698" s="481"/>
      <c r="J698" s="360" t="s">
        <v>158</v>
      </c>
      <c r="K698" s="482"/>
      <c r="L698" s="482"/>
      <c r="M698" s="482"/>
      <c r="N698" s="41"/>
      <c r="O698" s="13"/>
      <c r="P698" s="13"/>
      <c r="Q698" s="13"/>
      <c r="R698" s="481"/>
      <c r="S698" s="481"/>
      <c r="T698" s="481"/>
      <c r="U698" s="482"/>
      <c r="V698" s="41"/>
      <c r="W698" s="13"/>
      <c r="X698" s="482"/>
      <c r="Y698" s="481"/>
      <c r="Z698" s="481"/>
      <c r="AA698" s="481"/>
      <c r="AB698" s="16"/>
      <c r="AC698" s="16"/>
      <c r="AD698" s="16"/>
      <c r="AE698" s="16"/>
      <c r="AF698" s="16"/>
      <c r="AG698" s="16"/>
      <c r="AH698" s="16"/>
      <c r="AI698" s="16"/>
      <c r="AJ698" s="481"/>
      <c r="AK698" s="482"/>
      <c r="AL698" s="25"/>
      <c r="AM698" s="481"/>
      <c r="AN698" s="481"/>
      <c r="AO698" s="481"/>
      <c r="AP698" s="16"/>
      <c r="AQ698" s="16"/>
      <c r="AR698" s="130"/>
      <c r="AS698" s="130">
        <v>1405</v>
      </c>
      <c r="AT698" s="130"/>
      <c r="AU698" s="130"/>
      <c r="AV698" s="130"/>
      <c r="AW698" s="12"/>
      <c r="AX698" s="12"/>
      <c r="AY698" s="12"/>
      <c r="AZ698" s="481"/>
    </row>
    <row r="699" spans="1:52" ht="30" customHeight="1" x14ac:dyDescent="0.2">
      <c r="A699" s="497">
        <v>697</v>
      </c>
      <c r="B699" s="481"/>
      <c r="C699" s="16"/>
      <c r="D699" s="482"/>
      <c r="E699" s="482"/>
      <c r="F699" s="482"/>
      <c r="G699" s="495"/>
      <c r="H699" s="481"/>
      <c r="I699" s="481"/>
      <c r="J699" s="360" t="s">
        <v>158</v>
      </c>
      <c r="K699" s="482"/>
      <c r="L699" s="482"/>
      <c r="M699" s="482"/>
      <c r="N699" s="41"/>
      <c r="O699" s="13"/>
      <c r="P699" s="13"/>
      <c r="Q699" s="13"/>
      <c r="R699" s="481"/>
      <c r="S699" s="481"/>
      <c r="T699" s="481"/>
      <c r="U699" s="482"/>
      <c r="V699" s="41"/>
      <c r="W699" s="13"/>
      <c r="X699" s="482"/>
      <c r="Y699" s="481"/>
      <c r="Z699" s="481"/>
      <c r="AA699" s="481"/>
      <c r="AB699" s="16"/>
      <c r="AC699" s="16"/>
      <c r="AD699" s="16"/>
      <c r="AE699" s="16"/>
      <c r="AF699" s="16"/>
      <c r="AG699" s="16"/>
      <c r="AH699" s="16"/>
      <c r="AI699" s="16"/>
      <c r="AJ699" s="481"/>
      <c r="AK699" s="482"/>
      <c r="AL699" s="25"/>
      <c r="AM699" s="481"/>
      <c r="AN699" s="481"/>
      <c r="AO699" s="481"/>
      <c r="AP699" s="16"/>
      <c r="AQ699" s="16"/>
      <c r="AR699" s="130"/>
      <c r="AS699" s="130">
        <v>1405</v>
      </c>
      <c r="AT699" s="130"/>
      <c r="AU699" s="130"/>
      <c r="AV699" s="130"/>
      <c r="AW699" s="12"/>
      <c r="AX699" s="12"/>
      <c r="AY699" s="12"/>
      <c r="AZ699" s="481"/>
    </row>
    <row r="700" spans="1:52" ht="30" customHeight="1" x14ac:dyDescent="0.2">
      <c r="A700" s="497">
        <v>698</v>
      </c>
      <c r="B700" s="481"/>
      <c r="C700" s="16"/>
      <c r="D700" s="482"/>
      <c r="E700" s="482"/>
      <c r="F700" s="482"/>
      <c r="G700" s="495"/>
      <c r="H700" s="481"/>
      <c r="I700" s="481"/>
      <c r="J700" s="360" t="s">
        <v>158</v>
      </c>
      <c r="K700" s="482"/>
      <c r="L700" s="482"/>
      <c r="M700" s="482"/>
      <c r="N700" s="41"/>
      <c r="O700" s="13"/>
      <c r="P700" s="13"/>
      <c r="Q700" s="13"/>
      <c r="R700" s="481"/>
      <c r="S700" s="481"/>
      <c r="T700" s="481"/>
      <c r="U700" s="482"/>
      <c r="V700" s="41"/>
      <c r="W700" s="13"/>
      <c r="X700" s="482"/>
      <c r="Y700" s="481"/>
      <c r="Z700" s="481"/>
      <c r="AA700" s="481"/>
      <c r="AB700" s="16"/>
      <c r="AC700" s="16"/>
      <c r="AD700" s="16"/>
      <c r="AE700" s="16"/>
      <c r="AF700" s="16"/>
      <c r="AG700" s="16"/>
      <c r="AH700" s="16"/>
      <c r="AI700" s="16"/>
      <c r="AJ700" s="481"/>
      <c r="AK700" s="482"/>
      <c r="AL700" s="25"/>
      <c r="AM700" s="481"/>
      <c r="AN700" s="481"/>
      <c r="AO700" s="481"/>
      <c r="AP700" s="16"/>
      <c r="AQ700" s="16"/>
      <c r="AR700" s="130"/>
      <c r="AS700" s="130">
        <v>1405</v>
      </c>
      <c r="AT700" s="130"/>
      <c r="AU700" s="130"/>
      <c r="AV700" s="130"/>
      <c r="AW700" s="12"/>
      <c r="AX700" s="12"/>
      <c r="AY700" s="12"/>
      <c r="AZ700" s="481"/>
    </row>
    <row r="701" spans="1:52" ht="30" customHeight="1" x14ac:dyDescent="0.2">
      <c r="A701" s="497">
        <v>699</v>
      </c>
      <c r="B701" s="481"/>
      <c r="C701" s="16"/>
      <c r="D701" s="482"/>
      <c r="E701" s="482"/>
      <c r="F701" s="482"/>
      <c r="G701" s="495"/>
      <c r="H701" s="481"/>
      <c r="I701" s="481"/>
      <c r="J701" s="360" t="s">
        <v>158</v>
      </c>
      <c r="K701" s="482"/>
      <c r="L701" s="482"/>
      <c r="M701" s="482"/>
      <c r="N701" s="41"/>
      <c r="O701" s="13"/>
      <c r="P701" s="13"/>
      <c r="Q701" s="13"/>
      <c r="R701" s="481"/>
      <c r="S701" s="481"/>
      <c r="T701" s="481"/>
      <c r="U701" s="482"/>
      <c r="V701" s="41"/>
      <c r="W701" s="13"/>
      <c r="X701" s="482"/>
      <c r="Y701" s="481"/>
      <c r="Z701" s="481"/>
      <c r="AA701" s="481"/>
      <c r="AB701" s="16"/>
      <c r="AC701" s="16"/>
      <c r="AD701" s="16"/>
      <c r="AE701" s="16"/>
      <c r="AF701" s="16"/>
      <c r="AG701" s="16"/>
      <c r="AH701" s="16"/>
      <c r="AI701" s="16"/>
      <c r="AJ701" s="481"/>
      <c r="AK701" s="482"/>
      <c r="AL701" s="25"/>
      <c r="AM701" s="481"/>
      <c r="AN701" s="481"/>
      <c r="AO701" s="481"/>
      <c r="AP701" s="16"/>
      <c r="AQ701" s="16"/>
      <c r="AR701" s="130"/>
      <c r="AS701" s="130">
        <v>1405</v>
      </c>
      <c r="AT701" s="130"/>
      <c r="AU701" s="130"/>
      <c r="AV701" s="130"/>
      <c r="AW701" s="12"/>
      <c r="AX701" s="12"/>
      <c r="AY701" s="12"/>
      <c r="AZ701" s="481"/>
    </row>
    <row r="702" spans="1:52" ht="30" customHeight="1" x14ac:dyDescent="0.2">
      <c r="A702" s="497">
        <v>700</v>
      </c>
      <c r="B702" s="481"/>
      <c r="C702" s="16"/>
      <c r="D702" s="482"/>
      <c r="E702" s="482"/>
      <c r="F702" s="482"/>
      <c r="G702" s="495"/>
      <c r="H702" s="481"/>
      <c r="I702" s="481"/>
      <c r="J702" s="360" t="s">
        <v>158</v>
      </c>
      <c r="K702" s="482"/>
      <c r="L702" s="482"/>
      <c r="M702" s="482"/>
      <c r="N702" s="41"/>
      <c r="O702" s="13"/>
      <c r="P702" s="13"/>
      <c r="Q702" s="13"/>
      <c r="R702" s="481"/>
      <c r="S702" s="481"/>
      <c r="T702" s="481"/>
      <c r="U702" s="482"/>
      <c r="V702" s="41"/>
      <c r="W702" s="13"/>
      <c r="X702" s="482"/>
      <c r="Y702" s="481"/>
      <c r="Z702" s="481"/>
      <c r="AA702" s="481"/>
      <c r="AB702" s="16"/>
      <c r="AC702" s="16"/>
      <c r="AD702" s="16"/>
      <c r="AE702" s="16"/>
      <c r="AF702" s="16"/>
      <c r="AG702" s="16"/>
      <c r="AH702" s="16"/>
      <c r="AI702" s="16"/>
      <c r="AJ702" s="481"/>
      <c r="AK702" s="482"/>
      <c r="AL702" s="25"/>
      <c r="AM702" s="481"/>
      <c r="AN702" s="481"/>
      <c r="AO702" s="481"/>
      <c r="AP702" s="16"/>
      <c r="AQ702" s="16"/>
      <c r="AR702" s="130"/>
      <c r="AS702" s="130">
        <v>1405</v>
      </c>
      <c r="AT702" s="130"/>
      <c r="AU702" s="130"/>
      <c r="AV702" s="130"/>
      <c r="AW702" s="12"/>
      <c r="AX702" s="12"/>
      <c r="AY702" s="12"/>
      <c r="AZ702" s="481"/>
    </row>
  </sheetData>
  <mergeCells count="40">
    <mergeCell ref="AW1:AW2"/>
    <mergeCell ref="AX1:AX2"/>
    <mergeCell ref="AY1:AY2"/>
    <mergeCell ref="AZ1:AZ2"/>
    <mergeCell ref="AQ1:AQ2"/>
    <mergeCell ref="AR1:AR2"/>
    <mergeCell ref="AS1:AS2"/>
    <mergeCell ref="AT1:AT2"/>
    <mergeCell ref="AU1:AU2"/>
    <mergeCell ref="AV1:AV2"/>
    <mergeCell ref="AK1:AK2"/>
    <mergeCell ref="AL1:AL2"/>
    <mergeCell ref="AM1:AM2"/>
    <mergeCell ref="AN1:AN2"/>
    <mergeCell ref="AO1:AO2"/>
    <mergeCell ref="AP1:AP2"/>
    <mergeCell ref="AE1:AE2"/>
    <mergeCell ref="AF1:AF2"/>
    <mergeCell ref="AG1:AG2"/>
    <mergeCell ref="AH1:AH2"/>
    <mergeCell ref="AI1:AI2"/>
    <mergeCell ref="AJ1:AJ2"/>
    <mergeCell ref="Y1:Y2"/>
    <mergeCell ref="Z1:Z2"/>
    <mergeCell ref="AA1:AA2"/>
    <mergeCell ref="AB1:AB2"/>
    <mergeCell ref="AC1:AC2"/>
    <mergeCell ref="AD1:AD2"/>
    <mergeCell ref="H1:H2"/>
    <mergeCell ref="I1:I2"/>
    <mergeCell ref="J1:J2"/>
    <mergeCell ref="K1:K2"/>
    <mergeCell ref="L1:R1"/>
    <mergeCell ref="S1:X1"/>
    <mergeCell ref="A1:A2"/>
    <mergeCell ref="B1:B2"/>
    <mergeCell ref="C1:C2"/>
    <mergeCell ref="D1:D2"/>
    <mergeCell ref="E1:E2"/>
    <mergeCell ref="F1:F2"/>
  </mergeCells>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D11B2-6BD9-4F19-9EB3-B746B9244B29}">
  <sheetPr filterMode="1"/>
  <dimension ref="A1:AY590"/>
  <sheetViews>
    <sheetView rightToLeft="1" zoomScaleNormal="100" workbookViewId="0">
      <selection activeCell="L320" sqref="L320"/>
    </sheetView>
  </sheetViews>
  <sheetFormatPr defaultColWidth="9.7109375" defaultRowHeight="30" customHeight="1" x14ac:dyDescent="0.2"/>
  <cols>
    <col min="1" max="1" width="4.7109375" style="2" bestFit="1" customWidth="1"/>
    <col min="2" max="3" width="4.7109375" style="2" customWidth="1"/>
    <col min="4" max="4" width="5.5703125" style="5" bestFit="1" customWidth="1"/>
    <col min="5" max="5" width="15.5703125" style="1" customWidth="1"/>
    <col min="6" max="6" width="7.85546875" style="1" customWidth="1"/>
    <col min="7" max="7" width="23" style="1" customWidth="1"/>
    <col min="8" max="8" width="14.42578125" style="1" customWidth="1"/>
    <col min="9" max="9" width="7.5703125" style="1" customWidth="1"/>
    <col min="10" max="10" width="10" style="7" customWidth="1"/>
    <col min="11" max="11" width="6" style="7" customWidth="1"/>
    <col min="12" max="12" width="6" style="8" customWidth="1"/>
    <col min="13" max="13" width="5.5703125" style="8" customWidth="1"/>
    <col min="14" max="14" width="11.42578125" style="1" customWidth="1"/>
    <col min="15" max="16" width="9.5703125" style="1" customWidth="1"/>
    <col min="17" max="17" width="13.140625" style="1" customWidth="1"/>
    <col min="18" max="18" width="11.5703125" style="1" customWidth="1"/>
    <col min="19" max="19" width="17.85546875" style="8" bestFit="1" customWidth="1"/>
    <col min="20" max="20" width="5.140625" style="8" customWidth="1"/>
    <col min="21" max="21" width="7.85546875" style="8" customWidth="1"/>
    <col min="22" max="22" width="11.42578125" style="1" customWidth="1"/>
    <col min="23" max="24" width="9.5703125" style="1" customWidth="1"/>
    <col min="25" max="25" width="12.42578125" style="1" customWidth="1"/>
    <col min="26" max="36" width="4.7109375" style="1" customWidth="1"/>
    <col min="37" max="37" width="14.140625" style="1" customWidth="1"/>
    <col min="38" max="40" width="4.7109375" style="1" customWidth="1"/>
    <col min="41" max="41" width="6.42578125" style="1" customWidth="1"/>
    <col min="42" max="47" width="4.7109375" customWidth="1"/>
    <col min="48" max="48" width="4" customWidth="1"/>
    <col min="49" max="49" width="4" style="285" customWidth="1"/>
    <col min="50" max="50" width="9.7109375" style="4"/>
    <col min="51" max="51" width="84.5703125" style="4" customWidth="1"/>
    <col min="52" max="52" width="10.7109375" style="4" customWidth="1"/>
    <col min="53" max="16384" width="9.7109375" style="4"/>
  </cols>
  <sheetData>
    <row r="1" spans="1:51" s="3" customFormat="1" ht="30" customHeight="1" x14ac:dyDescent="0.2">
      <c r="A1" s="551" t="s">
        <v>0</v>
      </c>
      <c r="B1" s="551" t="s">
        <v>5102</v>
      </c>
      <c r="C1" s="551" t="s">
        <v>53</v>
      </c>
      <c r="D1" s="553" t="s">
        <v>6227</v>
      </c>
      <c r="E1" s="553" t="s">
        <v>2</v>
      </c>
      <c r="F1" s="553" t="s">
        <v>5</v>
      </c>
      <c r="G1" s="553" t="s">
        <v>40</v>
      </c>
      <c r="H1" s="553" t="s">
        <v>55</v>
      </c>
      <c r="I1" s="555" t="s">
        <v>52</v>
      </c>
      <c r="J1" s="553" t="s">
        <v>3</v>
      </c>
      <c r="K1" s="556" t="s">
        <v>18</v>
      </c>
      <c r="L1" s="557"/>
      <c r="M1" s="557"/>
      <c r="N1" s="557"/>
      <c r="O1" s="557"/>
      <c r="P1" s="557"/>
      <c r="Q1" s="558"/>
      <c r="R1" s="559" t="s">
        <v>14</v>
      </c>
      <c r="S1" s="559"/>
      <c r="T1" s="559"/>
      <c r="U1" s="559"/>
      <c r="V1" s="559"/>
      <c r="W1" s="559"/>
      <c r="X1" s="560" t="s">
        <v>22</v>
      </c>
      <c r="Y1" s="553" t="s">
        <v>4</v>
      </c>
      <c r="Z1" s="555" t="s">
        <v>149</v>
      </c>
      <c r="AA1" s="555" t="s">
        <v>48</v>
      </c>
      <c r="AB1" s="555" t="s">
        <v>47</v>
      </c>
      <c r="AC1" s="555" t="s">
        <v>31</v>
      </c>
      <c r="AD1" s="555" t="s">
        <v>32</v>
      </c>
      <c r="AE1" s="555" t="s">
        <v>33</v>
      </c>
      <c r="AF1" s="555" t="s">
        <v>34</v>
      </c>
      <c r="AG1" s="555" t="s">
        <v>35</v>
      </c>
      <c r="AH1" s="555" t="s">
        <v>37</v>
      </c>
      <c r="AI1" s="555" t="s">
        <v>3740</v>
      </c>
      <c r="AJ1" s="555" t="s">
        <v>5239</v>
      </c>
      <c r="AK1" s="553" t="s">
        <v>61</v>
      </c>
      <c r="AL1" s="555" t="s">
        <v>24</v>
      </c>
      <c r="AM1" s="555" t="s">
        <v>25</v>
      </c>
      <c r="AN1" s="551" t="s">
        <v>5263</v>
      </c>
      <c r="AO1" s="551" t="s">
        <v>5240</v>
      </c>
      <c r="AP1" s="555" t="s">
        <v>23</v>
      </c>
      <c r="AQ1" s="551" t="s">
        <v>60</v>
      </c>
      <c r="AR1" s="562" t="s">
        <v>27</v>
      </c>
      <c r="AS1" s="562" t="s">
        <v>28</v>
      </c>
      <c r="AT1" s="562" t="s">
        <v>11</v>
      </c>
      <c r="AU1" s="562" t="s">
        <v>12</v>
      </c>
      <c r="AV1" s="562" t="s">
        <v>13</v>
      </c>
      <c r="AW1" s="562" t="s">
        <v>54</v>
      </c>
      <c r="AX1" s="564" t="s">
        <v>5227</v>
      </c>
      <c r="AY1" s="565" t="s">
        <v>29</v>
      </c>
    </row>
    <row r="2" spans="1:51" s="3" customFormat="1" ht="118.5" hidden="1" customHeight="1" x14ac:dyDescent="0.2">
      <c r="A2" s="552"/>
      <c r="B2" s="552"/>
      <c r="C2" s="552"/>
      <c r="D2" s="554"/>
      <c r="E2" s="554"/>
      <c r="F2" s="554"/>
      <c r="G2" s="554"/>
      <c r="H2" s="554"/>
      <c r="I2" s="552"/>
      <c r="J2" s="554"/>
      <c r="K2" s="9" t="s">
        <v>50</v>
      </c>
      <c r="L2" s="9" t="s">
        <v>51</v>
      </c>
      <c r="M2" s="9" t="s">
        <v>26</v>
      </c>
      <c r="N2" s="9" t="s">
        <v>16</v>
      </c>
      <c r="O2" s="10" t="s">
        <v>15</v>
      </c>
      <c r="P2" s="9" t="s">
        <v>5965</v>
      </c>
      <c r="Q2" s="9" t="s">
        <v>5295</v>
      </c>
      <c r="R2" s="10" t="s">
        <v>36</v>
      </c>
      <c r="S2" s="11" t="s">
        <v>49</v>
      </c>
      <c r="T2" s="11" t="s">
        <v>3676</v>
      </c>
      <c r="U2" s="11" t="s">
        <v>26</v>
      </c>
      <c r="V2" s="9" t="s">
        <v>16</v>
      </c>
      <c r="W2" s="10" t="s">
        <v>15</v>
      </c>
      <c r="X2" s="561"/>
      <c r="Y2" s="554"/>
      <c r="Z2" s="552"/>
      <c r="AA2" s="552"/>
      <c r="AB2" s="552"/>
      <c r="AC2" s="552"/>
      <c r="AD2" s="552"/>
      <c r="AE2" s="552"/>
      <c r="AF2" s="552"/>
      <c r="AG2" s="552"/>
      <c r="AH2" s="552"/>
      <c r="AI2" s="552"/>
      <c r="AJ2" s="552"/>
      <c r="AK2" s="554"/>
      <c r="AL2" s="552"/>
      <c r="AM2" s="552"/>
      <c r="AN2" s="552"/>
      <c r="AO2" s="552"/>
      <c r="AP2" s="552"/>
      <c r="AQ2" s="552"/>
      <c r="AR2" s="563"/>
      <c r="AS2" s="563"/>
      <c r="AT2" s="563"/>
      <c r="AU2" s="563"/>
      <c r="AV2" s="563"/>
      <c r="AW2" s="563"/>
      <c r="AX2" s="563"/>
      <c r="AY2" s="566"/>
    </row>
    <row r="3" spans="1:51" s="19" customFormat="1" ht="30" hidden="1" customHeight="1" x14ac:dyDescent="0.2">
      <c r="A3" s="301">
        <v>1</v>
      </c>
      <c r="B3" s="307">
        <v>2</v>
      </c>
      <c r="C3" s="307">
        <v>1</v>
      </c>
      <c r="D3" s="16">
        <v>1404</v>
      </c>
      <c r="E3" s="300" t="s">
        <v>3872</v>
      </c>
      <c r="F3" s="300" t="s">
        <v>6</v>
      </c>
      <c r="G3" s="300" t="s">
        <v>5250</v>
      </c>
      <c r="H3" s="301" t="s">
        <v>7</v>
      </c>
      <c r="I3" s="360" t="s">
        <v>158</v>
      </c>
      <c r="J3" s="16" t="s">
        <v>84</v>
      </c>
      <c r="K3" s="300" t="s">
        <v>141</v>
      </c>
      <c r="L3" s="300" t="s">
        <v>141</v>
      </c>
      <c r="M3" s="300"/>
      <c r="N3" s="300" t="s">
        <v>106</v>
      </c>
      <c r="O3" s="301" t="s">
        <v>107</v>
      </c>
      <c r="P3" s="436"/>
      <c r="Q3" s="439"/>
      <c r="R3" s="300" t="s">
        <v>1478</v>
      </c>
      <c r="S3" s="300" t="s">
        <v>2961</v>
      </c>
      <c r="T3" s="300" t="s">
        <v>2348</v>
      </c>
      <c r="U3" s="300"/>
      <c r="V3" s="300" t="s">
        <v>106</v>
      </c>
      <c r="W3" s="300" t="s">
        <v>107</v>
      </c>
      <c r="X3" s="316"/>
      <c r="Y3" s="301"/>
      <c r="Z3" s="301">
        <v>215</v>
      </c>
      <c r="AA3" s="301">
        <v>198</v>
      </c>
      <c r="AB3" s="16">
        <v>198</v>
      </c>
      <c r="AC3" s="16">
        <v>158</v>
      </c>
      <c r="AD3" s="16">
        <v>198</v>
      </c>
      <c r="AE3" s="16">
        <v>1</v>
      </c>
      <c r="AF3" s="16">
        <v>5</v>
      </c>
      <c r="AG3" s="16">
        <v>204</v>
      </c>
      <c r="AH3" s="16">
        <v>7</v>
      </c>
      <c r="AI3" s="16">
        <v>6</v>
      </c>
      <c r="AJ3" s="301"/>
      <c r="AK3" s="300" t="s">
        <v>5079</v>
      </c>
      <c r="AL3" s="25"/>
      <c r="AM3" s="301"/>
      <c r="AN3" s="331"/>
      <c r="AO3" s="331"/>
      <c r="AP3" s="16" t="s">
        <v>5080</v>
      </c>
      <c r="AQ3" s="16" t="s">
        <v>112</v>
      </c>
      <c r="AR3" s="130">
        <f t="shared" ref="AR3:AR66" si="0">D3</f>
        <v>1404</v>
      </c>
      <c r="AS3" s="130">
        <f t="shared" ref="AS3:AS66" si="1">C3</f>
        <v>1</v>
      </c>
      <c r="AT3" s="130"/>
      <c r="AU3" s="130"/>
      <c r="AV3" s="12" t="str">
        <f t="shared" ref="AV3:AV68" si="2">IF(AR3*AT3&gt;0,(AR3-AT3)*12+(AS3-AU3),"")</f>
        <v/>
      </c>
      <c r="AW3" s="12" t="str">
        <f>IF(AV3&lt;13,AV3,"")</f>
        <v/>
      </c>
      <c r="AX3" s="12"/>
      <c r="AY3" s="309"/>
    </row>
    <row r="4" spans="1:51" s="19" customFormat="1" ht="30" hidden="1" customHeight="1" x14ac:dyDescent="0.2">
      <c r="A4" s="301">
        <v>2</v>
      </c>
      <c r="B4" s="307">
        <v>2</v>
      </c>
      <c r="C4" s="307">
        <v>1</v>
      </c>
      <c r="D4" s="16">
        <v>1404</v>
      </c>
      <c r="E4" s="300" t="s">
        <v>1401</v>
      </c>
      <c r="F4" s="300" t="s">
        <v>10</v>
      </c>
      <c r="G4" s="300" t="s">
        <v>5247</v>
      </c>
      <c r="H4" s="301" t="s">
        <v>7</v>
      </c>
      <c r="I4" s="360" t="s">
        <v>158</v>
      </c>
      <c r="J4" s="16" t="s">
        <v>84</v>
      </c>
      <c r="K4" s="35" t="s">
        <v>68</v>
      </c>
      <c r="L4" s="35" t="s">
        <v>140</v>
      </c>
      <c r="M4" s="300"/>
      <c r="N4" s="300" t="s">
        <v>106</v>
      </c>
      <c r="O4" s="301" t="s">
        <v>107</v>
      </c>
      <c r="P4" s="436"/>
      <c r="Q4" s="436"/>
      <c r="R4" s="35" t="s">
        <v>5083</v>
      </c>
      <c r="S4" s="35" t="s">
        <v>2961</v>
      </c>
      <c r="T4" s="35" t="s">
        <v>769</v>
      </c>
      <c r="U4" s="300"/>
      <c r="V4" s="300" t="s">
        <v>106</v>
      </c>
      <c r="W4" s="300" t="s">
        <v>107</v>
      </c>
      <c r="X4" s="316" t="s">
        <v>5187</v>
      </c>
      <c r="Y4" s="301"/>
      <c r="Z4" s="301">
        <v>225</v>
      </c>
      <c r="AA4" s="301">
        <v>210</v>
      </c>
      <c r="AB4" s="16">
        <v>210</v>
      </c>
      <c r="AC4" s="16">
        <v>105</v>
      </c>
      <c r="AD4" s="16">
        <v>164</v>
      </c>
      <c r="AE4" s="16">
        <v>1</v>
      </c>
      <c r="AF4" s="16">
        <v>60</v>
      </c>
      <c r="AG4" s="16">
        <v>225</v>
      </c>
      <c r="AH4" s="16">
        <v>8</v>
      </c>
      <c r="AI4" s="16">
        <v>6</v>
      </c>
      <c r="AJ4" s="301"/>
      <c r="AK4" s="300" t="s">
        <v>5081</v>
      </c>
      <c r="AL4" s="25"/>
      <c r="AM4" s="301"/>
      <c r="AN4" s="331"/>
      <c r="AO4" s="331"/>
      <c r="AP4" s="16"/>
      <c r="AQ4" s="16"/>
      <c r="AR4" s="130">
        <f t="shared" si="0"/>
        <v>1404</v>
      </c>
      <c r="AS4" s="130">
        <f t="shared" si="1"/>
        <v>1</v>
      </c>
      <c r="AT4" s="130"/>
      <c r="AU4" s="130"/>
      <c r="AV4" s="12" t="str">
        <f t="shared" si="2"/>
        <v/>
      </c>
      <c r="AW4" s="12" t="str">
        <f t="shared" ref="AW4:AW69" si="3">IF(AV4&lt;13,AV4,"")</f>
        <v/>
      </c>
      <c r="AX4" s="12"/>
      <c r="AY4" s="309"/>
    </row>
    <row r="5" spans="1:51" s="19" customFormat="1" ht="30" hidden="1" customHeight="1" x14ac:dyDescent="0.2">
      <c r="A5" s="356">
        <v>3</v>
      </c>
      <c r="B5" s="307">
        <v>2</v>
      </c>
      <c r="C5" s="307">
        <v>1</v>
      </c>
      <c r="D5" s="16">
        <v>1404</v>
      </c>
      <c r="E5" s="300" t="s">
        <v>4804</v>
      </c>
      <c r="F5" s="300" t="s">
        <v>10</v>
      </c>
      <c r="G5" s="300" t="s">
        <v>5247</v>
      </c>
      <c r="H5" s="301" t="s">
        <v>7</v>
      </c>
      <c r="I5" s="360" t="s">
        <v>158</v>
      </c>
      <c r="J5" s="16" t="s">
        <v>84</v>
      </c>
      <c r="K5" s="300"/>
      <c r="L5" s="300" t="s">
        <v>218</v>
      </c>
      <c r="M5" s="300"/>
      <c r="N5" s="300" t="s">
        <v>106</v>
      </c>
      <c r="O5" s="301" t="s">
        <v>107</v>
      </c>
      <c r="P5" s="436"/>
      <c r="Q5" s="436"/>
      <c r="R5" s="300"/>
      <c r="S5" s="300" t="s">
        <v>3679</v>
      </c>
      <c r="T5" s="300" t="s">
        <v>260</v>
      </c>
      <c r="U5" s="300"/>
      <c r="V5" s="300" t="s">
        <v>106</v>
      </c>
      <c r="W5" s="300" t="s">
        <v>107</v>
      </c>
      <c r="X5" s="316"/>
      <c r="Y5" s="301"/>
      <c r="Z5" s="567"/>
      <c r="AA5" s="569"/>
      <c r="AB5" s="16">
        <v>188</v>
      </c>
      <c r="AC5" s="581" t="s">
        <v>5077</v>
      </c>
      <c r="AD5" s="582"/>
      <c r="AE5" s="582"/>
      <c r="AF5" s="582"/>
      <c r="AG5" s="582"/>
      <c r="AH5" s="583"/>
      <c r="AI5" s="16">
        <v>6</v>
      </c>
      <c r="AJ5" s="301"/>
      <c r="AK5" s="300" t="s">
        <v>5078</v>
      </c>
      <c r="AL5" s="25"/>
      <c r="AM5" s="301"/>
      <c r="AN5" s="331"/>
      <c r="AO5" s="331"/>
      <c r="AP5" s="16" t="s">
        <v>160</v>
      </c>
      <c r="AQ5" s="16" t="s">
        <v>165</v>
      </c>
      <c r="AR5" s="130">
        <f t="shared" si="0"/>
        <v>1404</v>
      </c>
      <c r="AS5" s="130">
        <f t="shared" si="1"/>
        <v>1</v>
      </c>
      <c r="AT5" s="130"/>
      <c r="AU5" s="130"/>
      <c r="AV5" s="12" t="str">
        <f t="shared" si="2"/>
        <v/>
      </c>
      <c r="AW5" s="12" t="str">
        <f t="shared" si="3"/>
        <v/>
      </c>
      <c r="AX5" s="12"/>
      <c r="AY5" s="309"/>
    </row>
    <row r="6" spans="1:51" s="19" customFormat="1" ht="30" hidden="1" customHeight="1" x14ac:dyDescent="0.2">
      <c r="A6" s="356">
        <v>4</v>
      </c>
      <c r="B6" s="20">
        <v>3</v>
      </c>
      <c r="C6" s="20">
        <v>1</v>
      </c>
      <c r="D6" s="20">
        <v>1404</v>
      </c>
      <c r="E6" s="30" t="s">
        <v>2501</v>
      </c>
      <c r="F6" s="30" t="s">
        <v>9</v>
      </c>
      <c r="G6" s="30" t="s">
        <v>202</v>
      </c>
      <c r="H6" s="20" t="s">
        <v>83</v>
      </c>
      <c r="I6" s="360" t="s">
        <v>158</v>
      </c>
      <c r="J6" s="29" t="s">
        <v>92</v>
      </c>
      <c r="K6" s="30"/>
      <c r="L6" s="30" t="s">
        <v>117</v>
      </c>
      <c r="M6" s="30"/>
      <c r="N6" s="30" t="s">
        <v>106</v>
      </c>
      <c r="O6" s="20" t="s">
        <v>107</v>
      </c>
      <c r="P6" s="20"/>
      <c r="Q6" s="20"/>
      <c r="R6" s="30"/>
      <c r="S6" s="30" t="s">
        <v>2245</v>
      </c>
      <c r="T6" s="30" t="s">
        <v>260</v>
      </c>
      <c r="U6" s="30"/>
      <c r="V6" s="30" t="s">
        <v>69</v>
      </c>
      <c r="W6" s="30" t="s">
        <v>70</v>
      </c>
      <c r="X6" s="30"/>
      <c r="Y6" s="29" t="s">
        <v>5004</v>
      </c>
      <c r="Z6" s="20"/>
      <c r="AA6" s="20"/>
      <c r="AB6" s="29">
        <v>210</v>
      </c>
      <c r="AC6" s="29"/>
      <c r="AD6" s="29"/>
      <c r="AE6" s="29"/>
      <c r="AF6" s="29"/>
      <c r="AG6" s="29"/>
      <c r="AH6" s="29"/>
      <c r="AI6" s="29">
        <v>6</v>
      </c>
      <c r="AJ6" s="20"/>
      <c r="AK6" s="30"/>
      <c r="AL6" s="36"/>
      <c r="AM6" s="20"/>
      <c r="AN6" s="20"/>
      <c r="AO6" s="20"/>
      <c r="AP6" s="29" t="s">
        <v>160</v>
      </c>
      <c r="AQ6" s="29" t="s">
        <v>193</v>
      </c>
      <c r="AR6" s="130">
        <f t="shared" si="0"/>
        <v>1404</v>
      </c>
      <c r="AS6" s="130">
        <f t="shared" si="1"/>
        <v>1</v>
      </c>
      <c r="AT6" s="30" t="s">
        <v>4378</v>
      </c>
      <c r="AU6" s="30" t="s">
        <v>116</v>
      </c>
      <c r="AV6" s="31">
        <f t="shared" si="2"/>
        <v>2</v>
      </c>
      <c r="AW6" s="31">
        <f t="shared" si="3"/>
        <v>2</v>
      </c>
      <c r="AX6" s="31" t="s">
        <v>5233</v>
      </c>
      <c r="AY6" s="59" t="s">
        <v>5094</v>
      </c>
    </row>
    <row r="7" spans="1:51" s="19" customFormat="1" ht="30" hidden="1" customHeight="1" x14ac:dyDescent="0.2">
      <c r="A7" s="356">
        <v>5</v>
      </c>
      <c r="B7" s="307">
        <v>7</v>
      </c>
      <c r="C7" s="307">
        <v>1</v>
      </c>
      <c r="D7" s="16">
        <v>1404</v>
      </c>
      <c r="E7" s="300" t="s">
        <v>3558</v>
      </c>
      <c r="F7" s="300" t="s">
        <v>20</v>
      </c>
      <c r="G7" s="308" t="s">
        <v>481</v>
      </c>
      <c r="H7" s="301" t="s">
        <v>83</v>
      </c>
      <c r="I7" s="360" t="s">
        <v>158</v>
      </c>
      <c r="J7" s="16" t="s">
        <v>92</v>
      </c>
      <c r="K7" s="300"/>
      <c r="L7" s="303" t="s">
        <v>68</v>
      </c>
      <c r="M7" s="303"/>
      <c r="N7" s="303" t="s">
        <v>106</v>
      </c>
      <c r="O7" s="302" t="s">
        <v>107</v>
      </c>
      <c r="P7" s="436"/>
      <c r="Q7" s="436"/>
      <c r="R7" s="300"/>
      <c r="S7" s="303" t="s">
        <v>3679</v>
      </c>
      <c r="T7" s="303" t="s">
        <v>485</v>
      </c>
      <c r="U7" s="303"/>
      <c r="V7" s="303" t="s">
        <v>106</v>
      </c>
      <c r="W7" s="303" t="s">
        <v>107</v>
      </c>
      <c r="X7" s="316"/>
      <c r="Y7" s="301" t="s">
        <v>4603</v>
      </c>
      <c r="Z7" s="301"/>
      <c r="AA7" s="301"/>
      <c r="AB7" s="16">
        <v>228</v>
      </c>
      <c r="AC7" s="16"/>
      <c r="AD7" s="16"/>
      <c r="AE7" s="16"/>
      <c r="AF7" s="16"/>
      <c r="AG7" s="16"/>
      <c r="AH7" s="16"/>
      <c r="AI7" s="16">
        <v>6</v>
      </c>
      <c r="AJ7" s="301"/>
      <c r="AK7" s="300"/>
      <c r="AL7" s="25"/>
      <c r="AM7" s="301"/>
      <c r="AN7" s="331"/>
      <c r="AO7" s="331"/>
      <c r="AP7" s="16" t="s">
        <v>160</v>
      </c>
      <c r="AQ7" s="16" t="s">
        <v>193</v>
      </c>
      <c r="AR7" s="130">
        <f t="shared" si="0"/>
        <v>1404</v>
      </c>
      <c r="AS7" s="130">
        <f t="shared" si="1"/>
        <v>1</v>
      </c>
      <c r="AT7" s="130" t="s">
        <v>113</v>
      </c>
      <c r="AU7" s="130" t="s">
        <v>124</v>
      </c>
      <c r="AV7" s="12">
        <f t="shared" si="2"/>
        <v>21</v>
      </c>
      <c r="AW7" s="12" t="str">
        <f t="shared" si="3"/>
        <v/>
      </c>
      <c r="AX7" s="12"/>
      <c r="AY7" s="309" t="s">
        <v>5093</v>
      </c>
    </row>
    <row r="8" spans="1:51" s="19" customFormat="1" ht="30" hidden="1" customHeight="1" x14ac:dyDescent="0.2">
      <c r="A8" s="356">
        <v>6</v>
      </c>
      <c r="B8" s="307">
        <v>7</v>
      </c>
      <c r="C8" s="307">
        <v>1</v>
      </c>
      <c r="D8" s="16">
        <v>1404</v>
      </c>
      <c r="E8" s="300" t="s">
        <v>5085</v>
      </c>
      <c r="F8" s="300" t="s">
        <v>20</v>
      </c>
      <c r="G8" s="300" t="s">
        <v>5247</v>
      </c>
      <c r="H8" s="301" t="s">
        <v>7</v>
      </c>
      <c r="I8" s="360" t="s">
        <v>158</v>
      </c>
      <c r="J8" s="16" t="s">
        <v>84</v>
      </c>
      <c r="K8" s="35" t="s">
        <v>769</v>
      </c>
      <c r="L8" s="35" t="s">
        <v>334</v>
      </c>
      <c r="M8" s="300" t="s">
        <v>5087</v>
      </c>
      <c r="N8" s="300" t="s">
        <v>106</v>
      </c>
      <c r="O8" s="301" t="s">
        <v>107</v>
      </c>
      <c r="P8" s="436"/>
      <c r="Q8" s="436"/>
      <c r="R8" s="35" t="s">
        <v>757</v>
      </c>
      <c r="S8" s="35" t="s">
        <v>1809</v>
      </c>
      <c r="T8" s="35" t="s">
        <v>2258</v>
      </c>
      <c r="U8" s="300" t="s">
        <v>5088</v>
      </c>
      <c r="V8" s="300" t="s">
        <v>106</v>
      </c>
      <c r="W8" s="300" t="s">
        <v>107</v>
      </c>
      <c r="X8" s="316" t="s">
        <v>5187</v>
      </c>
      <c r="Y8" s="301"/>
      <c r="Z8" s="301">
        <v>143</v>
      </c>
      <c r="AA8" s="33">
        <v>138</v>
      </c>
      <c r="AB8" s="34">
        <v>132</v>
      </c>
      <c r="AC8" s="16">
        <v>90</v>
      </c>
      <c r="AD8" s="16">
        <v>107</v>
      </c>
      <c r="AE8" s="16">
        <v>4</v>
      </c>
      <c r="AF8" s="16">
        <v>38</v>
      </c>
      <c r="AG8" s="16">
        <v>149</v>
      </c>
      <c r="AH8" s="16">
        <v>8</v>
      </c>
      <c r="AI8" s="16">
        <v>4</v>
      </c>
      <c r="AJ8" s="301"/>
      <c r="AK8" s="300" t="s">
        <v>5086</v>
      </c>
      <c r="AL8" s="25">
        <v>150</v>
      </c>
      <c r="AM8" s="301">
        <v>7.2</v>
      </c>
      <c r="AN8" s="331"/>
      <c r="AO8" s="331"/>
      <c r="AP8" s="16" t="s">
        <v>5080</v>
      </c>
      <c r="AQ8" s="16" t="s">
        <v>231</v>
      </c>
      <c r="AR8" s="130">
        <f t="shared" si="0"/>
        <v>1404</v>
      </c>
      <c r="AS8" s="130">
        <f t="shared" si="1"/>
        <v>1</v>
      </c>
      <c r="AT8" s="130"/>
      <c r="AU8" s="130"/>
      <c r="AV8" s="12" t="str">
        <f t="shared" si="2"/>
        <v/>
      </c>
      <c r="AW8" s="12" t="str">
        <f t="shared" si="3"/>
        <v/>
      </c>
      <c r="AX8" s="12"/>
      <c r="AY8" s="309"/>
    </row>
    <row r="9" spans="1:51" s="19" customFormat="1" ht="30" hidden="1" customHeight="1" x14ac:dyDescent="0.2">
      <c r="A9" s="356">
        <v>7</v>
      </c>
      <c r="B9" s="307">
        <v>8</v>
      </c>
      <c r="C9" s="307">
        <v>1</v>
      </c>
      <c r="D9" s="16">
        <v>1404</v>
      </c>
      <c r="E9" s="300" t="s">
        <v>1456</v>
      </c>
      <c r="F9" s="300" t="s">
        <v>8</v>
      </c>
      <c r="G9" s="308" t="s">
        <v>481</v>
      </c>
      <c r="H9" s="301" t="s">
        <v>83</v>
      </c>
      <c r="I9" s="360" t="s">
        <v>158</v>
      </c>
      <c r="J9" s="16" t="s">
        <v>92</v>
      </c>
      <c r="K9" s="300"/>
      <c r="L9" s="41" t="s">
        <v>155</v>
      </c>
      <c r="M9" s="41" t="s">
        <v>1661</v>
      </c>
      <c r="N9" s="41" t="s">
        <v>69</v>
      </c>
      <c r="O9" s="13" t="s">
        <v>70</v>
      </c>
      <c r="P9" s="13"/>
      <c r="Q9" s="13"/>
      <c r="R9" s="300"/>
      <c r="S9" s="300" t="s">
        <v>3679</v>
      </c>
      <c r="T9" s="300" t="s">
        <v>441</v>
      </c>
      <c r="U9" s="41" t="s">
        <v>1073</v>
      </c>
      <c r="V9" s="41" t="s">
        <v>106</v>
      </c>
      <c r="W9" s="41" t="s">
        <v>107</v>
      </c>
      <c r="X9" s="41"/>
      <c r="Y9" s="301" t="s">
        <v>5089</v>
      </c>
      <c r="Z9" s="301"/>
      <c r="AA9" s="301"/>
      <c r="AB9" s="16">
        <v>192</v>
      </c>
      <c r="AC9" s="16"/>
      <c r="AD9" s="16"/>
      <c r="AE9" s="16"/>
      <c r="AF9" s="16"/>
      <c r="AG9" s="16"/>
      <c r="AH9" s="16"/>
      <c r="AI9" s="16">
        <v>6</v>
      </c>
      <c r="AJ9" s="301"/>
      <c r="AK9" s="300"/>
      <c r="AL9" s="25"/>
      <c r="AM9" s="301"/>
      <c r="AN9" s="331"/>
      <c r="AO9" s="331"/>
      <c r="AP9" s="16" t="s">
        <v>2155</v>
      </c>
      <c r="AQ9" s="16"/>
      <c r="AR9" s="130">
        <f t="shared" si="0"/>
        <v>1404</v>
      </c>
      <c r="AS9" s="130">
        <f t="shared" si="1"/>
        <v>1</v>
      </c>
      <c r="AT9" s="130" t="s">
        <v>115</v>
      </c>
      <c r="AU9" s="130" t="s">
        <v>266</v>
      </c>
      <c r="AV9" s="12">
        <f t="shared" si="2"/>
        <v>28</v>
      </c>
      <c r="AW9" s="12" t="str">
        <f t="shared" si="3"/>
        <v/>
      </c>
      <c r="AX9" s="12"/>
      <c r="AY9" s="309" t="s">
        <v>5092</v>
      </c>
    </row>
    <row r="10" spans="1:51" s="19" customFormat="1" ht="30" hidden="1" customHeight="1" x14ac:dyDescent="0.2">
      <c r="A10" s="356">
        <v>8</v>
      </c>
      <c r="B10" s="307">
        <v>8</v>
      </c>
      <c r="C10" s="307">
        <v>1</v>
      </c>
      <c r="D10" s="16">
        <v>1404</v>
      </c>
      <c r="E10" s="300" t="s">
        <v>1297</v>
      </c>
      <c r="F10" s="300" t="s">
        <v>6</v>
      </c>
      <c r="G10" s="300" t="s">
        <v>5250</v>
      </c>
      <c r="H10" s="301" t="s">
        <v>7</v>
      </c>
      <c r="I10" s="360" t="s">
        <v>158</v>
      </c>
      <c r="J10" s="16" t="s">
        <v>84</v>
      </c>
      <c r="K10" s="300"/>
      <c r="L10" s="300" t="s">
        <v>117</v>
      </c>
      <c r="M10" s="300" t="s">
        <v>1797</v>
      </c>
      <c r="N10" s="300" t="s">
        <v>106</v>
      </c>
      <c r="O10" s="301" t="s">
        <v>107</v>
      </c>
      <c r="P10" s="436"/>
      <c r="Q10" s="436"/>
      <c r="R10" s="300"/>
      <c r="S10" s="300" t="s">
        <v>2961</v>
      </c>
      <c r="T10" s="300" t="s">
        <v>144</v>
      </c>
      <c r="U10" s="300" t="s">
        <v>5091</v>
      </c>
      <c r="V10" s="300" t="s">
        <v>73</v>
      </c>
      <c r="W10" s="300" t="s">
        <v>70</v>
      </c>
      <c r="X10" s="316"/>
      <c r="Y10" s="301"/>
      <c r="Z10" s="301">
        <v>251</v>
      </c>
      <c r="AA10" s="301">
        <v>234</v>
      </c>
      <c r="AB10" s="16">
        <v>234</v>
      </c>
      <c r="AC10" s="16">
        <v>145</v>
      </c>
      <c r="AD10" s="16">
        <v>158</v>
      </c>
      <c r="AE10" s="16">
        <v>2</v>
      </c>
      <c r="AF10" s="16">
        <v>38</v>
      </c>
      <c r="AG10" s="16">
        <v>198</v>
      </c>
      <c r="AH10" s="16">
        <v>10</v>
      </c>
      <c r="AI10" s="16">
        <v>6</v>
      </c>
      <c r="AJ10" s="301"/>
      <c r="AK10" s="300" t="s">
        <v>5090</v>
      </c>
      <c r="AL10" s="25">
        <v>211</v>
      </c>
      <c r="AM10" s="301">
        <v>11</v>
      </c>
      <c r="AN10" s="331"/>
      <c r="AO10" s="331"/>
      <c r="AP10" s="16" t="s">
        <v>160</v>
      </c>
      <c r="AQ10" s="16"/>
      <c r="AR10" s="130">
        <f t="shared" si="0"/>
        <v>1404</v>
      </c>
      <c r="AS10" s="130">
        <f t="shared" si="1"/>
        <v>1</v>
      </c>
      <c r="AT10" s="130"/>
      <c r="AU10" s="130"/>
      <c r="AV10" s="12" t="str">
        <f t="shared" si="2"/>
        <v/>
      </c>
      <c r="AW10" s="12" t="str">
        <f t="shared" si="3"/>
        <v/>
      </c>
      <c r="AX10" s="12"/>
      <c r="AY10" s="309"/>
    </row>
    <row r="11" spans="1:51" s="19" customFormat="1" ht="30" hidden="1" customHeight="1" x14ac:dyDescent="0.2">
      <c r="A11" s="356">
        <v>9</v>
      </c>
      <c r="B11" s="20">
        <v>9</v>
      </c>
      <c r="C11" s="20">
        <v>1</v>
      </c>
      <c r="D11" s="20">
        <v>1404</v>
      </c>
      <c r="E11" s="30" t="s">
        <v>557</v>
      </c>
      <c r="F11" s="30" t="s">
        <v>66</v>
      </c>
      <c r="G11" s="56" t="s">
        <v>481</v>
      </c>
      <c r="H11" s="20" t="s">
        <v>83</v>
      </c>
      <c r="I11" s="360" t="s">
        <v>158</v>
      </c>
      <c r="J11" s="29" t="s">
        <v>92</v>
      </c>
      <c r="K11" s="30"/>
      <c r="L11" s="30" t="s">
        <v>334</v>
      </c>
      <c r="M11" s="30" t="s">
        <v>558</v>
      </c>
      <c r="N11" s="30" t="s">
        <v>142</v>
      </c>
      <c r="O11" s="20" t="s">
        <v>70</v>
      </c>
      <c r="P11" s="20"/>
      <c r="Q11" s="20"/>
      <c r="R11" s="30"/>
      <c r="S11" s="30" t="s">
        <v>2961</v>
      </c>
      <c r="T11" s="30" t="s">
        <v>116</v>
      </c>
      <c r="U11" s="30" t="s">
        <v>560</v>
      </c>
      <c r="V11" s="30" t="s">
        <v>106</v>
      </c>
      <c r="W11" s="30" t="s">
        <v>107</v>
      </c>
      <c r="X11" s="30"/>
      <c r="Y11" s="29" t="s">
        <v>5029</v>
      </c>
      <c r="Z11" s="20"/>
      <c r="AA11" s="20"/>
      <c r="AB11" s="29">
        <v>210</v>
      </c>
      <c r="AC11" s="29"/>
      <c r="AD11" s="29"/>
      <c r="AE11" s="29"/>
      <c r="AF11" s="29"/>
      <c r="AG11" s="29"/>
      <c r="AH11" s="29"/>
      <c r="AI11" s="29">
        <v>4</v>
      </c>
      <c r="AJ11" s="20"/>
      <c r="AK11" s="30"/>
      <c r="AL11" s="36"/>
      <c r="AM11" s="20"/>
      <c r="AN11" s="20"/>
      <c r="AO11" s="20"/>
      <c r="AP11" s="29" t="s">
        <v>5080</v>
      </c>
      <c r="AQ11" s="29"/>
      <c r="AR11" s="130">
        <f t="shared" si="0"/>
        <v>1404</v>
      </c>
      <c r="AS11" s="130">
        <f t="shared" si="1"/>
        <v>1</v>
      </c>
      <c r="AT11" s="30" t="s">
        <v>4378</v>
      </c>
      <c r="AU11" s="30" t="s">
        <v>260</v>
      </c>
      <c r="AV11" s="31">
        <f t="shared" si="2"/>
        <v>1</v>
      </c>
      <c r="AW11" s="31">
        <f t="shared" si="3"/>
        <v>1</v>
      </c>
      <c r="AX11" s="31" t="s">
        <v>5231</v>
      </c>
      <c r="AY11" s="59" t="s">
        <v>5095</v>
      </c>
    </row>
    <row r="12" spans="1:51" s="19" customFormat="1" ht="30" hidden="1" customHeight="1" x14ac:dyDescent="0.2">
      <c r="A12" s="356">
        <v>10</v>
      </c>
      <c r="B12" s="307">
        <v>10</v>
      </c>
      <c r="C12" s="307">
        <v>1</v>
      </c>
      <c r="D12" s="307">
        <v>1404</v>
      </c>
      <c r="E12" s="300" t="s">
        <v>557</v>
      </c>
      <c r="F12" s="300" t="s">
        <v>66</v>
      </c>
      <c r="G12" s="300" t="s">
        <v>5247</v>
      </c>
      <c r="H12" s="301" t="s">
        <v>7</v>
      </c>
      <c r="I12" s="360" t="s">
        <v>158</v>
      </c>
      <c r="J12" s="16" t="s">
        <v>92</v>
      </c>
      <c r="K12" s="35" t="s">
        <v>334</v>
      </c>
      <c r="L12" s="35" t="s">
        <v>226</v>
      </c>
      <c r="M12" s="300"/>
      <c r="N12" s="300" t="s">
        <v>106</v>
      </c>
      <c r="O12" s="301" t="s">
        <v>107</v>
      </c>
      <c r="P12" s="436"/>
      <c r="Q12" s="436"/>
      <c r="R12" s="35" t="s">
        <v>559</v>
      </c>
      <c r="S12" s="35" t="s">
        <v>2325</v>
      </c>
      <c r="T12" s="35" t="s">
        <v>2348</v>
      </c>
      <c r="U12" s="300"/>
      <c r="V12" s="300" t="s">
        <v>106</v>
      </c>
      <c r="W12" s="300" t="s">
        <v>107</v>
      </c>
      <c r="X12" s="316" t="s">
        <v>5187</v>
      </c>
      <c r="Y12" s="301">
        <v>0</v>
      </c>
      <c r="Z12" s="301">
        <v>227</v>
      </c>
      <c r="AA12" s="301">
        <v>210</v>
      </c>
      <c r="AB12" s="16">
        <v>210</v>
      </c>
      <c r="AC12" s="16">
        <v>97</v>
      </c>
      <c r="AD12" s="16">
        <v>201</v>
      </c>
      <c r="AE12" s="16">
        <v>5</v>
      </c>
      <c r="AF12" s="16">
        <v>30</v>
      </c>
      <c r="AG12" s="16">
        <v>236</v>
      </c>
      <c r="AH12" s="16">
        <v>3</v>
      </c>
      <c r="AI12" s="16">
        <v>4</v>
      </c>
      <c r="AJ12" s="301"/>
      <c r="AK12" s="300" t="s">
        <v>5098</v>
      </c>
      <c r="AL12" s="25">
        <v>234</v>
      </c>
      <c r="AM12" s="301">
        <v>3.6</v>
      </c>
      <c r="AN12" s="331"/>
      <c r="AO12" s="331"/>
      <c r="AP12" s="16" t="s">
        <v>5080</v>
      </c>
      <c r="AQ12" s="16"/>
      <c r="AR12" s="130">
        <f t="shared" si="0"/>
        <v>1404</v>
      </c>
      <c r="AS12" s="130">
        <f t="shared" si="1"/>
        <v>1</v>
      </c>
      <c r="AT12" s="130"/>
      <c r="AU12" s="130"/>
      <c r="AV12" s="12" t="str">
        <f t="shared" si="2"/>
        <v/>
      </c>
      <c r="AW12" s="12" t="str">
        <f t="shared" si="3"/>
        <v/>
      </c>
      <c r="AX12" s="12"/>
      <c r="AY12" s="309"/>
    </row>
    <row r="13" spans="1:51" s="19" customFormat="1" ht="30" hidden="1" customHeight="1" x14ac:dyDescent="0.2">
      <c r="A13" s="356">
        <v>11</v>
      </c>
      <c r="B13" s="20">
        <v>12</v>
      </c>
      <c r="C13" s="20">
        <v>1</v>
      </c>
      <c r="D13" s="20">
        <v>1404</v>
      </c>
      <c r="E13" s="30" t="s">
        <v>5085</v>
      </c>
      <c r="F13" s="30" t="s">
        <v>20</v>
      </c>
      <c r="G13" s="30" t="s">
        <v>1642</v>
      </c>
      <c r="H13" s="20" t="s">
        <v>83</v>
      </c>
      <c r="I13" s="360" t="s">
        <v>158</v>
      </c>
      <c r="J13" s="29" t="s">
        <v>84</v>
      </c>
      <c r="K13" s="30"/>
      <c r="L13" s="30" t="s">
        <v>334</v>
      </c>
      <c r="M13" s="30" t="s">
        <v>5087</v>
      </c>
      <c r="N13" s="30" t="s">
        <v>106</v>
      </c>
      <c r="O13" s="20" t="s">
        <v>107</v>
      </c>
      <c r="P13" s="20"/>
      <c r="Q13" s="20"/>
      <c r="R13" s="30"/>
      <c r="S13" s="30" t="s">
        <v>1809</v>
      </c>
      <c r="T13" s="30" t="s">
        <v>2258</v>
      </c>
      <c r="U13" s="30" t="s">
        <v>5088</v>
      </c>
      <c r="V13" s="30" t="s">
        <v>106</v>
      </c>
      <c r="W13" s="30" t="s">
        <v>107</v>
      </c>
      <c r="X13" s="30"/>
      <c r="Y13" s="29" t="s">
        <v>5084</v>
      </c>
      <c r="Z13" s="20"/>
      <c r="AA13" s="20"/>
      <c r="AB13" s="29">
        <v>132</v>
      </c>
      <c r="AC13" s="29"/>
      <c r="AD13" s="29"/>
      <c r="AE13" s="29"/>
      <c r="AF13" s="29"/>
      <c r="AG13" s="29"/>
      <c r="AH13" s="29"/>
      <c r="AI13" s="29">
        <v>4</v>
      </c>
      <c r="AJ13" s="20"/>
      <c r="AK13" s="30"/>
      <c r="AL13" s="36"/>
      <c r="AM13" s="20"/>
      <c r="AN13" s="20"/>
      <c r="AO13" s="20"/>
      <c r="AP13" s="29" t="s">
        <v>5080</v>
      </c>
      <c r="AQ13" s="29" t="s">
        <v>231</v>
      </c>
      <c r="AR13" s="130">
        <f t="shared" si="0"/>
        <v>1404</v>
      </c>
      <c r="AS13" s="130">
        <f t="shared" si="1"/>
        <v>1</v>
      </c>
      <c r="AT13" s="30" t="s">
        <v>5082</v>
      </c>
      <c r="AU13" s="30" t="s">
        <v>114</v>
      </c>
      <c r="AV13" s="31">
        <f t="shared" si="2"/>
        <v>0</v>
      </c>
      <c r="AW13" s="31">
        <f t="shared" si="3"/>
        <v>0</v>
      </c>
      <c r="AX13" s="31" t="s">
        <v>5232</v>
      </c>
      <c r="AY13" s="59" t="s">
        <v>5097</v>
      </c>
    </row>
    <row r="14" spans="1:51" s="19" customFormat="1" ht="30" hidden="1" customHeight="1" x14ac:dyDescent="0.2">
      <c r="A14" s="356">
        <v>12</v>
      </c>
      <c r="B14" s="307">
        <v>14</v>
      </c>
      <c r="C14" s="307">
        <v>1</v>
      </c>
      <c r="D14" s="16">
        <v>1404</v>
      </c>
      <c r="E14" s="300" t="s">
        <v>5085</v>
      </c>
      <c r="F14" s="300" t="s">
        <v>20</v>
      </c>
      <c r="G14" s="300" t="s">
        <v>5247</v>
      </c>
      <c r="H14" s="301" t="s">
        <v>7</v>
      </c>
      <c r="I14" s="360" t="s">
        <v>158</v>
      </c>
      <c r="J14" s="16" t="s">
        <v>84</v>
      </c>
      <c r="K14" s="300" t="s">
        <v>334</v>
      </c>
      <c r="L14" s="300" t="s">
        <v>334</v>
      </c>
      <c r="M14" s="300" t="s">
        <v>5087</v>
      </c>
      <c r="N14" s="305" t="s">
        <v>106</v>
      </c>
      <c r="O14" s="304" t="s">
        <v>107</v>
      </c>
      <c r="P14" s="436"/>
      <c r="Q14" s="436"/>
      <c r="R14" s="300" t="s">
        <v>1013</v>
      </c>
      <c r="S14" s="300" t="s">
        <v>1809</v>
      </c>
      <c r="T14" s="300" t="s">
        <v>2258</v>
      </c>
      <c r="U14" s="300" t="s">
        <v>5088</v>
      </c>
      <c r="V14" s="300" t="s">
        <v>106</v>
      </c>
      <c r="W14" s="300" t="s">
        <v>107</v>
      </c>
      <c r="X14" s="316"/>
      <c r="Y14" s="301"/>
      <c r="Z14" s="301">
        <v>143</v>
      </c>
      <c r="AA14" s="301">
        <v>132</v>
      </c>
      <c r="AB14" s="16">
        <v>132</v>
      </c>
      <c r="AC14" s="16">
        <v>90</v>
      </c>
      <c r="AD14" s="16">
        <v>107</v>
      </c>
      <c r="AE14" s="16">
        <v>4</v>
      </c>
      <c r="AF14" s="16">
        <v>38</v>
      </c>
      <c r="AG14" s="16">
        <v>149</v>
      </c>
      <c r="AH14" s="16">
        <v>8</v>
      </c>
      <c r="AI14" s="16">
        <v>4</v>
      </c>
      <c r="AJ14" s="301"/>
      <c r="AK14" s="300" t="s">
        <v>5096</v>
      </c>
      <c r="AL14" s="25">
        <v>150</v>
      </c>
      <c r="AM14" s="301">
        <v>7</v>
      </c>
      <c r="AN14" s="331"/>
      <c r="AO14" s="331"/>
      <c r="AP14" s="16" t="s">
        <v>5080</v>
      </c>
      <c r="AQ14" s="16" t="s">
        <v>231</v>
      </c>
      <c r="AR14" s="130">
        <f t="shared" si="0"/>
        <v>1404</v>
      </c>
      <c r="AS14" s="130">
        <f t="shared" si="1"/>
        <v>1</v>
      </c>
      <c r="AT14" s="130"/>
      <c r="AU14" s="130"/>
      <c r="AV14" s="12" t="str">
        <f t="shared" si="2"/>
        <v/>
      </c>
      <c r="AW14" s="12" t="str">
        <f t="shared" si="3"/>
        <v/>
      </c>
      <c r="AX14" s="12"/>
      <c r="AY14" s="309"/>
    </row>
    <row r="15" spans="1:51" s="19" customFormat="1" ht="30" hidden="1" customHeight="1" x14ac:dyDescent="0.2">
      <c r="A15" s="356">
        <v>13</v>
      </c>
      <c r="B15" s="307">
        <v>14</v>
      </c>
      <c r="C15" s="307">
        <v>1</v>
      </c>
      <c r="D15" s="16">
        <v>1404</v>
      </c>
      <c r="E15" s="300" t="s">
        <v>443</v>
      </c>
      <c r="F15" s="300" t="s">
        <v>9</v>
      </c>
      <c r="G15" s="300" t="s">
        <v>1587</v>
      </c>
      <c r="H15" s="301" t="s">
        <v>83</v>
      </c>
      <c r="I15" s="360" t="s">
        <v>158</v>
      </c>
      <c r="J15" s="16" t="s">
        <v>92</v>
      </c>
      <c r="K15" s="300"/>
      <c r="L15" s="300" t="s">
        <v>155</v>
      </c>
      <c r="M15" s="300" t="s">
        <v>810</v>
      </c>
      <c r="N15" s="300" t="s">
        <v>69</v>
      </c>
      <c r="O15" s="301" t="s">
        <v>70</v>
      </c>
      <c r="P15" s="436"/>
      <c r="Q15" s="436"/>
      <c r="R15" s="300"/>
      <c r="S15" s="300" t="s">
        <v>3679</v>
      </c>
      <c r="T15" s="300" t="s">
        <v>718</v>
      </c>
      <c r="U15" s="300" t="s">
        <v>811</v>
      </c>
      <c r="V15" s="300" t="s">
        <v>142</v>
      </c>
      <c r="W15" s="300" t="s">
        <v>70</v>
      </c>
      <c r="X15" s="316"/>
      <c r="Y15" s="301" t="s">
        <v>5099</v>
      </c>
      <c r="Z15" s="301"/>
      <c r="AA15" s="301"/>
      <c r="AB15" s="16">
        <v>174</v>
      </c>
      <c r="AC15" s="16"/>
      <c r="AD15" s="16"/>
      <c r="AE15" s="16"/>
      <c r="AF15" s="16"/>
      <c r="AG15" s="16"/>
      <c r="AH15" s="16"/>
      <c r="AI15" s="16">
        <v>6</v>
      </c>
      <c r="AJ15" s="301"/>
      <c r="AK15" s="300"/>
      <c r="AL15" s="25"/>
      <c r="AM15" s="301"/>
      <c r="AN15" s="331"/>
      <c r="AO15" s="331"/>
      <c r="AP15" s="16" t="s">
        <v>5080</v>
      </c>
      <c r="AQ15" s="16" t="s">
        <v>161</v>
      </c>
      <c r="AR15" s="130">
        <f t="shared" si="0"/>
        <v>1404</v>
      </c>
      <c r="AS15" s="130">
        <f t="shared" si="1"/>
        <v>1</v>
      </c>
      <c r="AT15" s="130" t="s">
        <v>115</v>
      </c>
      <c r="AU15" s="130" t="s">
        <v>124</v>
      </c>
      <c r="AV15" s="12">
        <f t="shared" si="2"/>
        <v>33</v>
      </c>
      <c r="AW15" s="12" t="str">
        <f t="shared" si="3"/>
        <v/>
      </c>
      <c r="AX15" s="12"/>
      <c r="AY15" s="309"/>
    </row>
    <row r="16" spans="1:51" s="19" customFormat="1" ht="30" hidden="1" customHeight="1" x14ac:dyDescent="0.2">
      <c r="A16" s="356">
        <v>14</v>
      </c>
      <c r="B16" s="307">
        <v>15</v>
      </c>
      <c r="C16" s="307">
        <v>1</v>
      </c>
      <c r="D16" s="16">
        <v>1404</v>
      </c>
      <c r="E16" s="300" t="s">
        <v>5100</v>
      </c>
      <c r="F16" s="300" t="s">
        <v>66</v>
      </c>
      <c r="G16" s="300" t="s">
        <v>5111</v>
      </c>
      <c r="H16" s="301" t="s">
        <v>83</v>
      </c>
      <c r="I16" s="360" t="s">
        <v>158</v>
      </c>
      <c r="J16" s="16" t="s">
        <v>84</v>
      </c>
      <c r="K16" s="300"/>
      <c r="L16" s="300" t="s">
        <v>116</v>
      </c>
      <c r="M16" s="300"/>
      <c r="N16" s="300" t="s">
        <v>69</v>
      </c>
      <c r="O16" s="301" t="s">
        <v>70</v>
      </c>
      <c r="P16" s="436"/>
      <c r="Q16" s="436"/>
      <c r="R16" s="300"/>
      <c r="S16" s="300" t="s">
        <v>2325</v>
      </c>
      <c r="T16" s="300" t="s">
        <v>441</v>
      </c>
      <c r="U16" s="300"/>
      <c r="V16" s="300" t="s">
        <v>69</v>
      </c>
      <c r="W16" s="300" t="s">
        <v>70</v>
      </c>
      <c r="X16" s="316"/>
      <c r="Y16" s="301"/>
      <c r="Z16" s="301"/>
      <c r="AA16" s="301"/>
      <c r="AB16" s="16">
        <v>108</v>
      </c>
      <c r="AC16" s="16"/>
      <c r="AD16" s="16"/>
      <c r="AE16" s="16"/>
      <c r="AF16" s="16"/>
      <c r="AG16" s="16"/>
      <c r="AH16" s="16"/>
      <c r="AI16" s="16">
        <v>3</v>
      </c>
      <c r="AJ16" s="301"/>
      <c r="AK16" s="300"/>
      <c r="AL16" s="25"/>
      <c r="AM16" s="301"/>
      <c r="AN16" s="331"/>
      <c r="AO16" s="331"/>
      <c r="AP16" s="16"/>
      <c r="AQ16" s="16"/>
      <c r="AR16" s="130">
        <f t="shared" si="0"/>
        <v>1404</v>
      </c>
      <c r="AS16" s="130">
        <f t="shared" si="1"/>
        <v>1</v>
      </c>
      <c r="AT16" s="130"/>
      <c r="AU16" s="130"/>
      <c r="AV16" s="12" t="str">
        <f t="shared" si="2"/>
        <v/>
      </c>
      <c r="AW16" s="12" t="str">
        <f t="shared" si="3"/>
        <v/>
      </c>
      <c r="AX16" s="12"/>
      <c r="AY16" s="309"/>
    </row>
    <row r="17" spans="1:51" s="19" customFormat="1" ht="30" hidden="1" customHeight="1" x14ac:dyDescent="0.2">
      <c r="A17" s="356">
        <v>15</v>
      </c>
      <c r="B17" s="307">
        <v>15</v>
      </c>
      <c r="C17" s="307">
        <v>1</v>
      </c>
      <c r="D17" s="16">
        <v>1404</v>
      </c>
      <c r="E17" s="306" t="s">
        <v>5100</v>
      </c>
      <c r="F17" s="311" t="s">
        <v>66</v>
      </c>
      <c r="G17" s="300" t="s">
        <v>5111</v>
      </c>
      <c r="H17" s="301" t="s">
        <v>7</v>
      </c>
      <c r="I17" s="360" t="s">
        <v>158</v>
      </c>
      <c r="J17" s="16" t="s">
        <v>84</v>
      </c>
      <c r="K17" s="300" t="s">
        <v>116</v>
      </c>
      <c r="L17" s="300" t="s">
        <v>116</v>
      </c>
      <c r="M17" s="300"/>
      <c r="N17" s="300" t="s">
        <v>69</v>
      </c>
      <c r="O17" s="301" t="s">
        <v>70</v>
      </c>
      <c r="P17" s="436"/>
      <c r="Q17" s="436"/>
      <c r="R17" s="317" t="s">
        <v>1243</v>
      </c>
      <c r="S17" s="300" t="s">
        <v>2325</v>
      </c>
      <c r="T17" s="300" t="s">
        <v>441</v>
      </c>
      <c r="U17" s="300"/>
      <c r="V17" s="300" t="s">
        <v>69</v>
      </c>
      <c r="W17" s="300" t="s">
        <v>70</v>
      </c>
      <c r="X17" s="316"/>
      <c r="Y17" s="301"/>
      <c r="Z17" s="301"/>
      <c r="AA17" s="301"/>
      <c r="AB17" s="16">
        <v>108</v>
      </c>
      <c r="AC17" s="581" t="s">
        <v>5184</v>
      </c>
      <c r="AD17" s="582"/>
      <c r="AE17" s="582"/>
      <c r="AF17" s="582"/>
      <c r="AG17" s="582"/>
      <c r="AH17" s="583"/>
      <c r="AI17" s="16">
        <v>3</v>
      </c>
      <c r="AJ17" s="301"/>
      <c r="AK17" s="300"/>
      <c r="AL17" s="25"/>
      <c r="AM17" s="301"/>
      <c r="AN17" s="331"/>
      <c r="AO17" s="331"/>
      <c r="AP17" s="16"/>
      <c r="AQ17" s="16"/>
      <c r="AR17" s="130">
        <f t="shared" si="0"/>
        <v>1404</v>
      </c>
      <c r="AS17" s="130">
        <f t="shared" si="1"/>
        <v>1</v>
      </c>
      <c r="AT17" s="130"/>
      <c r="AU17" s="130"/>
      <c r="AV17" s="12" t="str">
        <f t="shared" si="2"/>
        <v/>
      </c>
      <c r="AW17" s="12" t="str">
        <f t="shared" si="3"/>
        <v/>
      </c>
      <c r="AX17" s="12"/>
      <c r="AY17" s="309"/>
    </row>
    <row r="18" spans="1:51" s="19" customFormat="1" ht="30" hidden="1" customHeight="1" x14ac:dyDescent="0.2">
      <c r="A18" s="356">
        <v>16</v>
      </c>
      <c r="B18" s="307">
        <v>16</v>
      </c>
      <c r="C18" s="307">
        <v>1</v>
      </c>
      <c r="D18" s="16">
        <v>1404</v>
      </c>
      <c r="E18" s="300" t="s">
        <v>5101</v>
      </c>
      <c r="F18" s="300" t="s">
        <v>9</v>
      </c>
      <c r="G18" s="300" t="s">
        <v>185</v>
      </c>
      <c r="H18" s="301" t="s">
        <v>83</v>
      </c>
      <c r="I18" s="360" t="s">
        <v>158</v>
      </c>
      <c r="J18" s="16" t="s">
        <v>92</v>
      </c>
      <c r="K18" s="311"/>
      <c r="L18" s="311" t="s">
        <v>68</v>
      </c>
      <c r="M18" s="311"/>
      <c r="N18" s="311" t="s">
        <v>142</v>
      </c>
      <c r="O18" s="310" t="s">
        <v>70</v>
      </c>
      <c r="P18" s="436"/>
      <c r="Q18" s="436"/>
      <c r="R18" s="311" t="s">
        <v>429</v>
      </c>
      <c r="S18" s="311" t="s">
        <v>3677</v>
      </c>
      <c r="T18" s="311" t="s">
        <v>485</v>
      </c>
      <c r="U18" s="311"/>
      <c r="V18" s="311" t="s">
        <v>69</v>
      </c>
      <c r="W18" s="311" t="s">
        <v>70</v>
      </c>
      <c r="X18" s="316"/>
      <c r="Y18" s="310" t="s">
        <v>5108</v>
      </c>
      <c r="Z18" s="310"/>
      <c r="AA18" s="310"/>
      <c r="AB18" s="16">
        <v>144</v>
      </c>
      <c r="AC18" s="16"/>
      <c r="AD18" s="16"/>
      <c r="AE18" s="16"/>
      <c r="AF18" s="16"/>
      <c r="AG18" s="16"/>
      <c r="AH18" s="16"/>
      <c r="AI18" s="16">
        <v>4</v>
      </c>
      <c r="AJ18" s="301"/>
      <c r="AK18" s="311"/>
      <c r="AL18" s="25"/>
      <c r="AM18" s="310"/>
      <c r="AN18" s="331"/>
      <c r="AO18" s="331"/>
      <c r="AP18" s="16" t="s">
        <v>5080</v>
      </c>
      <c r="AQ18" s="16"/>
      <c r="AR18" s="130">
        <f t="shared" si="0"/>
        <v>1404</v>
      </c>
      <c r="AS18" s="130">
        <f t="shared" si="1"/>
        <v>1</v>
      </c>
      <c r="AT18" s="130" t="s">
        <v>136</v>
      </c>
      <c r="AU18" s="130" t="s">
        <v>296</v>
      </c>
      <c r="AV18" s="12">
        <f t="shared" si="2"/>
        <v>47</v>
      </c>
      <c r="AW18" s="12" t="str">
        <f t="shared" si="3"/>
        <v/>
      </c>
      <c r="AX18" s="12"/>
      <c r="AY18" s="309" t="s">
        <v>5103</v>
      </c>
    </row>
    <row r="19" spans="1:51" s="19" customFormat="1" ht="30" hidden="1" customHeight="1" x14ac:dyDescent="0.2">
      <c r="A19" s="356">
        <v>17</v>
      </c>
      <c r="B19" s="307">
        <v>16</v>
      </c>
      <c r="C19" s="307">
        <v>1</v>
      </c>
      <c r="D19" s="16">
        <v>1404</v>
      </c>
      <c r="E19" s="306" t="s">
        <v>5101</v>
      </c>
      <c r="F19" s="306" t="s">
        <v>9</v>
      </c>
      <c r="G19" s="300" t="s">
        <v>5247</v>
      </c>
      <c r="H19" s="301" t="s">
        <v>7</v>
      </c>
      <c r="I19" s="360" t="s">
        <v>158</v>
      </c>
      <c r="J19" s="16" t="s">
        <v>92</v>
      </c>
      <c r="K19" s="35" t="s">
        <v>68</v>
      </c>
      <c r="L19" s="35" t="s">
        <v>104</v>
      </c>
      <c r="M19" s="311" t="s">
        <v>5104</v>
      </c>
      <c r="N19" s="311" t="s">
        <v>106</v>
      </c>
      <c r="O19" s="310" t="s">
        <v>107</v>
      </c>
      <c r="P19" s="436"/>
      <c r="Q19" s="436"/>
      <c r="R19" s="35" t="s">
        <v>263</v>
      </c>
      <c r="S19" s="35" t="s">
        <v>3677</v>
      </c>
      <c r="T19" s="35" t="s">
        <v>555</v>
      </c>
      <c r="U19" s="311" t="s">
        <v>5106</v>
      </c>
      <c r="V19" s="311" t="s">
        <v>106</v>
      </c>
      <c r="W19" s="311" t="s">
        <v>107</v>
      </c>
      <c r="X19" s="316" t="s">
        <v>5187</v>
      </c>
      <c r="Y19" s="310"/>
      <c r="Z19" s="310"/>
      <c r="AA19" s="310">
        <v>144</v>
      </c>
      <c r="AB19" s="16">
        <v>144</v>
      </c>
      <c r="AC19" s="16">
        <v>95</v>
      </c>
      <c r="AD19" s="16">
        <v>115</v>
      </c>
      <c r="AE19" s="16">
        <v>13</v>
      </c>
      <c r="AF19" s="16">
        <v>50</v>
      </c>
      <c r="AG19" s="16">
        <v>178</v>
      </c>
      <c r="AH19" s="16">
        <v>17</v>
      </c>
      <c r="AI19" s="16">
        <v>4</v>
      </c>
      <c r="AJ19" s="301"/>
      <c r="AK19" s="311" t="s">
        <v>5109</v>
      </c>
      <c r="AL19" s="25">
        <v>174</v>
      </c>
      <c r="AM19" s="310">
        <v>21</v>
      </c>
      <c r="AN19" s="331"/>
      <c r="AO19" s="331"/>
      <c r="AP19" s="16" t="s">
        <v>5080</v>
      </c>
      <c r="AQ19" s="16"/>
      <c r="AR19" s="130">
        <f t="shared" si="0"/>
        <v>1404</v>
      </c>
      <c r="AS19" s="130">
        <f t="shared" si="1"/>
        <v>1</v>
      </c>
      <c r="AT19" s="130"/>
      <c r="AU19" s="130"/>
      <c r="AV19" s="12" t="str">
        <f t="shared" si="2"/>
        <v/>
      </c>
      <c r="AW19" s="12" t="str">
        <f t="shared" si="3"/>
        <v/>
      </c>
      <c r="AX19" s="12"/>
      <c r="AY19" s="309"/>
    </row>
    <row r="20" spans="1:51" s="19" customFormat="1" ht="30" hidden="1" customHeight="1" x14ac:dyDescent="0.2">
      <c r="A20" s="356">
        <v>18</v>
      </c>
      <c r="B20" s="307">
        <v>17</v>
      </c>
      <c r="C20" s="307">
        <v>1</v>
      </c>
      <c r="D20" s="16">
        <v>1404</v>
      </c>
      <c r="E20" s="300" t="s">
        <v>3898</v>
      </c>
      <c r="F20" s="300" t="s">
        <v>20</v>
      </c>
      <c r="G20" s="300" t="s">
        <v>481</v>
      </c>
      <c r="H20" s="301" t="s">
        <v>83</v>
      </c>
      <c r="I20" s="360" t="s">
        <v>158</v>
      </c>
      <c r="J20" s="16" t="s">
        <v>92</v>
      </c>
      <c r="K20" s="311"/>
      <c r="L20" s="311" t="s">
        <v>155</v>
      </c>
      <c r="M20" s="311" t="s">
        <v>3905</v>
      </c>
      <c r="N20" s="311" t="s">
        <v>106</v>
      </c>
      <c r="O20" s="310" t="s">
        <v>107</v>
      </c>
      <c r="P20" s="436"/>
      <c r="Q20" s="436"/>
      <c r="R20" s="311" t="s">
        <v>429</v>
      </c>
      <c r="S20" s="311" t="s">
        <v>3677</v>
      </c>
      <c r="T20" s="311" t="s">
        <v>718</v>
      </c>
      <c r="U20" s="311" t="s">
        <v>3906</v>
      </c>
      <c r="V20" s="311" t="s">
        <v>106</v>
      </c>
      <c r="W20" s="311" t="s">
        <v>107</v>
      </c>
      <c r="X20" s="316"/>
      <c r="Y20" s="310" t="s">
        <v>3897</v>
      </c>
      <c r="Z20" s="310"/>
      <c r="AA20" s="310"/>
      <c r="AB20" s="16">
        <v>233</v>
      </c>
      <c r="AC20" s="16"/>
      <c r="AD20" s="16"/>
      <c r="AE20" s="16"/>
      <c r="AF20" s="16"/>
      <c r="AG20" s="16"/>
      <c r="AH20" s="16"/>
      <c r="AI20" s="16">
        <v>6</v>
      </c>
      <c r="AJ20" s="301"/>
      <c r="AK20" s="311"/>
      <c r="AL20" s="25"/>
      <c r="AM20" s="310"/>
      <c r="AN20" s="331"/>
      <c r="AO20" s="331"/>
      <c r="AP20" s="16" t="s">
        <v>160</v>
      </c>
      <c r="AQ20" s="16" t="s">
        <v>165</v>
      </c>
      <c r="AR20" s="130">
        <f t="shared" si="0"/>
        <v>1404</v>
      </c>
      <c r="AS20" s="130">
        <f t="shared" si="1"/>
        <v>1</v>
      </c>
      <c r="AT20" s="130" t="s">
        <v>113</v>
      </c>
      <c r="AU20" s="130" t="s">
        <v>344</v>
      </c>
      <c r="AV20" s="12">
        <f t="shared" si="2"/>
        <v>18</v>
      </c>
      <c r="AW20" s="12" t="str">
        <f t="shared" si="3"/>
        <v/>
      </c>
      <c r="AX20" s="12"/>
      <c r="AY20" s="309"/>
    </row>
    <row r="21" spans="1:51" s="19" customFormat="1" ht="30" hidden="1" customHeight="1" x14ac:dyDescent="0.2">
      <c r="A21" s="356">
        <v>19</v>
      </c>
      <c r="B21" s="307">
        <v>18</v>
      </c>
      <c r="C21" s="307">
        <v>1</v>
      </c>
      <c r="D21" s="16">
        <v>1404</v>
      </c>
      <c r="E21" s="300" t="s">
        <v>3898</v>
      </c>
      <c r="F21" s="300" t="s">
        <v>20</v>
      </c>
      <c r="G21" s="300" t="s">
        <v>5247</v>
      </c>
      <c r="H21" s="301" t="s">
        <v>7</v>
      </c>
      <c r="I21" s="360" t="s">
        <v>158</v>
      </c>
      <c r="J21" s="16" t="s">
        <v>92</v>
      </c>
      <c r="K21" s="311" t="s">
        <v>155</v>
      </c>
      <c r="L21" s="311" t="s">
        <v>155</v>
      </c>
      <c r="M21" s="311" t="s">
        <v>5105</v>
      </c>
      <c r="N21" s="311" t="s">
        <v>106</v>
      </c>
      <c r="O21" s="310" t="s">
        <v>107</v>
      </c>
      <c r="P21" s="436"/>
      <c r="Q21" s="436"/>
      <c r="R21" s="35" t="s">
        <v>156</v>
      </c>
      <c r="S21" s="35" t="s">
        <v>3680</v>
      </c>
      <c r="T21" s="35" t="s">
        <v>2348</v>
      </c>
      <c r="U21" s="311" t="s">
        <v>5107</v>
      </c>
      <c r="V21" s="311" t="s">
        <v>73</v>
      </c>
      <c r="W21" s="311" t="s">
        <v>70</v>
      </c>
      <c r="X21" s="316" t="s">
        <v>5187</v>
      </c>
      <c r="Y21" s="310">
        <v>0</v>
      </c>
      <c r="Z21" s="310">
        <v>251</v>
      </c>
      <c r="AA21" s="310">
        <v>233</v>
      </c>
      <c r="AB21" s="16">
        <v>233</v>
      </c>
      <c r="AC21" s="16">
        <v>118</v>
      </c>
      <c r="AD21" s="16">
        <v>153</v>
      </c>
      <c r="AE21" s="16">
        <v>5</v>
      </c>
      <c r="AF21" s="16">
        <v>32</v>
      </c>
      <c r="AG21" s="16">
        <v>190</v>
      </c>
      <c r="AH21" s="16">
        <v>20</v>
      </c>
      <c r="AI21" s="16">
        <v>6</v>
      </c>
      <c r="AJ21" s="301"/>
      <c r="AK21" s="311" t="s">
        <v>5110</v>
      </c>
      <c r="AL21" s="25">
        <v>195</v>
      </c>
      <c r="AM21" s="310">
        <v>19.7</v>
      </c>
      <c r="AN21" s="331"/>
      <c r="AO21" s="331"/>
      <c r="AP21" s="16" t="s">
        <v>160</v>
      </c>
      <c r="AQ21" s="16" t="s">
        <v>165</v>
      </c>
      <c r="AR21" s="130">
        <f t="shared" si="0"/>
        <v>1404</v>
      </c>
      <c r="AS21" s="130">
        <f t="shared" si="1"/>
        <v>1</v>
      </c>
      <c r="AT21" s="130"/>
      <c r="AU21" s="130"/>
      <c r="AV21" s="12" t="str">
        <f t="shared" si="2"/>
        <v/>
      </c>
      <c r="AW21" s="12" t="str">
        <f t="shared" si="3"/>
        <v/>
      </c>
      <c r="AX21" s="12"/>
      <c r="AY21" s="309"/>
    </row>
    <row r="22" spans="1:51" s="19" customFormat="1" ht="30" hidden="1" customHeight="1" x14ac:dyDescent="0.2">
      <c r="A22" s="356">
        <v>20</v>
      </c>
      <c r="B22" s="307">
        <v>20</v>
      </c>
      <c r="C22" s="307">
        <v>1</v>
      </c>
      <c r="D22" s="16">
        <v>1404</v>
      </c>
      <c r="E22" s="300" t="s">
        <v>5112</v>
      </c>
      <c r="F22" s="300" t="s">
        <v>2981</v>
      </c>
      <c r="G22" s="300" t="s">
        <v>1587</v>
      </c>
      <c r="H22" s="301" t="s">
        <v>222</v>
      </c>
      <c r="I22" s="360" t="s">
        <v>158</v>
      </c>
      <c r="J22" s="16" t="s">
        <v>92</v>
      </c>
      <c r="K22" s="300"/>
      <c r="L22" s="311" t="s">
        <v>141</v>
      </c>
      <c r="M22" s="311"/>
      <c r="N22" s="311" t="s">
        <v>106</v>
      </c>
      <c r="O22" s="310" t="s">
        <v>107</v>
      </c>
      <c r="P22" s="436"/>
      <c r="Q22" s="436"/>
      <c r="R22" s="300"/>
      <c r="S22" s="311" t="s">
        <v>1809</v>
      </c>
      <c r="T22" s="311" t="s">
        <v>769</v>
      </c>
      <c r="U22" s="311"/>
      <c r="V22" s="311" t="s">
        <v>106</v>
      </c>
      <c r="W22" s="311" t="s">
        <v>107</v>
      </c>
      <c r="X22" s="316"/>
      <c r="Y22" s="16" t="s">
        <v>4229</v>
      </c>
      <c r="Z22" s="301"/>
      <c r="AA22" s="301"/>
      <c r="AB22" s="16">
        <v>168</v>
      </c>
      <c r="AC22" s="16"/>
      <c r="AD22" s="16"/>
      <c r="AE22" s="16"/>
      <c r="AF22" s="16"/>
      <c r="AG22" s="16"/>
      <c r="AH22" s="16"/>
      <c r="AI22" s="16">
        <v>6</v>
      </c>
      <c r="AJ22" s="301"/>
      <c r="AK22" s="300"/>
      <c r="AL22" s="25"/>
      <c r="AM22" s="301"/>
      <c r="AN22" s="331"/>
      <c r="AO22" s="331"/>
      <c r="AP22" s="16" t="s">
        <v>5080</v>
      </c>
      <c r="AQ22" s="16" t="s">
        <v>231</v>
      </c>
      <c r="AR22" s="130">
        <f t="shared" si="0"/>
        <v>1404</v>
      </c>
      <c r="AS22" s="130">
        <f t="shared" si="1"/>
        <v>1</v>
      </c>
      <c r="AT22" s="130">
        <v>1402</v>
      </c>
      <c r="AU22" s="130">
        <v>11</v>
      </c>
      <c r="AV22" s="12">
        <f t="shared" si="2"/>
        <v>14</v>
      </c>
      <c r="AW22" s="12" t="str">
        <f t="shared" si="3"/>
        <v/>
      </c>
      <c r="AX22" s="12"/>
      <c r="AY22" s="309"/>
    </row>
    <row r="23" spans="1:51" s="19" customFormat="1" ht="30" hidden="1" customHeight="1" x14ac:dyDescent="0.2">
      <c r="A23" s="356">
        <v>21</v>
      </c>
      <c r="B23" s="307">
        <v>20</v>
      </c>
      <c r="C23" s="307">
        <v>1</v>
      </c>
      <c r="D23" s="16">
        <v>1404</v>
      </c>
      <c r="E23" s="300" t="s">
        <v>614</v>
      </c>
      <c r="F23" s="300" t="s">
        <v>6</v>
      </c>
      <c r="G23" s="300" t="s">
        <v>185</v>
      </c>
      <c r="H23" s="301" t="s">
        <v>83</v>
      </c>
      <c r="I23" s="360" t="s">
        <v>158</v>
      </c>
      <c r="J23" s="16" t="s">
        <v>84</v>
      </c>
      <c r="K23" s="300"/>
      <c r="L23" s="41" t="s">
        <v>155</v>
      </c>
      <c r="M23" s="41" t="s">
        <v>631</v>
      </c>
      <c r="N23" s="41" t="s">
        <v>106</v>
      </c>
      <c r="O23" s="13" t="s">
        <v>107</v>
      </c>
      <c r="P23" s="13"/>
      <c r="Q23" s="13"/>
      <c r="R23" s="300"/>
      <c r="S23" s="300" t="s">
        <v>3679</v>
      </c>
      <c r="T23" s="300" t="s">
        <v>718</v>
      </c>
      <c r="U23" s="41" t="s">
        <v>632</v>
      </c>
      <c r="V23" s="41" t="s">
        <v>106</v>
      </c>
      <c r="W23" s="41" t="s">
        <v>107</v>
      </c>
      <c r="X23" s="41"/>
      <c r="Y23" s="40" t="s">
        <v>5114</v>
      </c>
      <c r="Z23" s="301"/>
      <c r="AA23" s="301"/>
      <c r="AB23" s="16">
        <v>186</v>
      </c>
      <c r="AC23" s="16"/>
      <c r="AD23" s="16"/>
      <c r="AE23" s="16"/>
      <c r="AF23" s="16"/>
      <c r="AG23" s="16"/>
      <c r="AH23" s="16"/>
      <c r="AI23" s="16" t="s">
        <v>3839</v>
      </c>
      <c r="AJ23" s="301"/>
      <c r="AK23" s="300"/>
      <c r="AL23" s="25"/>
      <c r="AM23" s="301"/>
      <c r="AN23" s="331"/>
      <c r="AO23" s="331"/>
      <c r="AP23" s="16" t="s">
        <v>160</v>
      </c>
      <c r="AQ23" s="16"/>
      <c r="AR23" s="130">
        <f t="shared" si="0"/>
        <v>1404</v>
      </c>
      <c r="AS23" s="130">
        <f t="shared" si="1"/>
        <v>1</v>
      </c>
      <c r="AT23" s="130">
        <v>1401</v>
      </c>
      <c r="AU23" s="130">
        <v>3</v>
      </c>
      <c r="AV23" s="12">
        <f t="shared" si="2"/>
        <v>34</v>
      </c>
      <c r="AW23" s="12" t="str">
        <f t="shared" si="3"/>
        <v/>
      </c>
      <c r="AX23" s="12"/>
      <c r="AY23" s="309"/>
    </row>
    <row r="24" spans="1:51" s="19" customFormat="1" ht="30" hidden="1" customHeight="1" x14ac:dyDescent="0.2">
      <c r="A24" s="356">
        <v>22</v>
      </c>
      <c r="B24" s="310">
        <v>20</v>
      </c>
      <c r="C24" s="310">
        <v>1</v>
      </c>
      <c r="D24" s="16">
        <v>1404</v>
      </c>
      <c r="E24" s="311" t="s">
        <v>87</v>
      </c>
      <c r="F24" s="300" t="s">
        <v>6</v>
      </c>
      <c r="G24" s="300" t="s">
        <v>174</v>
      </c>
      <c r="H24" s="301" t="s">
        <v>83</v>
      </c>
      <c r="I24" s="360" t="s">
        <v>158</v>
      </c>
      <c r="J24" s="16" t="s">
        <v>84</v>
      </c>
      <c r="K24" s="300"/>
      <c r="L24" s="155">
        <v>62</v>
      </c>
      <c r="M24" s="155">
        <v>3625</v>
      </c>
      <c r="N24" s="155" t="s">
        <v>69</v>
      </c>
      <c r="O24" s="155" t="s">
        <v>70</v>
      </c>
      <c r="P24" s="155"/>
      <c r="Q24" s="155"/>
      <c r="R24" s="300"/>
      <c r="S24" s="155">
        <v>293</v>
      </c>
      <c r="T24" s="155">
        <v>17</v>
      </c>
      <c r="U24" s="155">
        <v>159216</v>
      </c>
      <c r="V24" s="155" t="s">
        <v>69</v>
      </c>
      <c r="W24" s="155" t="s">
        <v>70</v>
      </c>
      <c r="X24" s="155"/>
      <c r="Y24" s="16" t="s">
        <v>4036</v>
      </c>
      <c r="Z24" s="301"/>
      <c r="AA24" s="301"/>
      <c r="AB24" s="16">
        <v>225</v>
      </c>
      <c r="AC24" s="16"/>
      <c r="AD24" s="16"/>
      <c r="AE24" s="16"/>
      <c r="AF24" s="16"/>
      <c r="AG24" s="16"/>
      <c r="AH24" s="16"/>
      <c r="AI24" s="16">
        <v>6</v>
      </c>
      <c r="AJ24" s="301"/>
      <c r="AK24" s="300"/>
      <c r="AL24" s="25"/>
      <c r="AM24" s="301"/>
      <c r="AN24" s="331"/>
      <c r="AO24" s="331"/>
      <c r="AP24" s="16" t="s">
        <v>160</v>
      </c>
      <c r="AQ24" s="16" t="s">
        <v>193</v>
      </c>
      <c r="AR24" s="130">
        <f t="shared" si="0"/>
        <v>1404</v>
      </c>
      <c r="AS24" s="130">
        <f t="shared" si="1"/>
        <v>1</v>
      </c>
      <c r="AT24" s="130">
        <v>1402</v>
      </c>
      <c r="AU24" s="130">
        <v>8</v>
      </c>
      <c r="AV24" s="12">
        <f t="shared" si="2"/>
        <v>17</v>
      </c>
      <c r="AW24" s="12" t="str">
        <f t="shared" si="3"/>
        <v/>
      </c>
      <c r="AX24" s="12"/>
      <c r="AY24" s="309" t="s">
        <v>5128</v>
      </c>
    </row>
    <row r="25" spans="1:51" s="19" customFormat="1" ht="30" hidden="1" customHeight="1" x14ac:dyDescent="0.2">
      <c r="A25" s="356">
        <v>23</v>
      </c>
      <c r="B25" s="310">
        <v>21</v>
      </c>
      <c r="C25" s="310">
        <v>1</v>
      </c>
      <c r="D25" s="16">
        <v>1404</v>
      </c>
      <c r="E25" s="300" t="s">
        <v>626</v>
      </c>
      <c r="F25" s="300" t="s">
        <v>9</v>
      </c>
      <c r="G25" s="300" t="s">
        <v>5250</v>
      </c>
      <c r="H25" s="301" t="s">
        <v>7</v>
      </c>
      <c r="I25" s="360" t="s">
        <v>158</v>
      </c>
      <c r="J25" s="16" t="s">
        <v>84</v>
      </c>
      <c r="K25" s="300" t="s">
        <v>155</v>
      </c>
      <c r="L25" s="300" t="s">
        <v>155</v>
      </c>
      <c r="M25" s="300" t="s">
        <v>645</v>
      </c>
      <c r="N25" s="300" t="s">
        <v>106</v>
      </c>
      <c r="O25" s="301" t="s">
        <v>107</v>
      </c>
      <c r="P25" s="436"/>
      <c r="Q25" s="436"/>
      <c r="R25" s="35" t="s">
        <v>156</v>
      </c>
      <c r="S25" s="35" t="s">
        <v>3677</v>
      </c>
      <c r="T25" s="35" t="s">
        <v>441</v>
      </c>
      <c r="U25" s="300" t="s">
        <v>1636</v>
      </c>
      <c r="V25" s="300" t="s">
        <v>106</v>
      </c>
      <c r="W25" s="300" t="s">
        <v>107</v>
      </c>
      <c r="X25" s="316" t="s">
        <v>5187</v>
      </c>
      <c r="Y25" s="301">
        <v>0</v>
      </c>
      <c r="Z25" s="301">
        <v>229</v>
      </c>
      <c r="AA25" s="301">
        <v>210</v>
      </c>
      <c r="AB25" s="16">
        <v>210</v>
      </c>
      <c r="AC25" s="16">
        <v>166</v>
      </c>
      <c r="AD25" s="16">
        <v>186</v>
      </c>
      <c r="AE25" s="16">
        <v>7</v>
      </c>
      <c r="AF25" s="16">
        <v>20</v>
      </c>
      <c r="AG25" s="16">
        <v>213</v>
      </c>
      <c r="AH25" s="16">
        <v>23</v>
      </c>
      <c r="AI25" s="16">
        <v>6</v>
      </c>
      <c r="AJ25" s="301"/>
      <c r="AK25" s="300" t="s">
        <v>5115</v>
      </c>
      <c r="AL25" s="25">
        <v>218</v>
      </c>
      <c r="AM25" s="301">
        <v>23.9</v>
      </c>
      <c r="AN25" s="331"/>
      <c r="AO25" s="331"/>
      <c r="AP25" s="16" t="s">
        <v>160</v>
      </c>
      <c r="AQ25" s="16" t="s">
        <v>165</v>
      </c>
      <c r="AR25" s="130">
        <f t="shared" si="0"/>
        <v>1404</v>
      </c>
      <c r="AS25" s="130">
        <f t="shared" si="1"/>
        <v>1</v>
      </c>
      <c r="AT25" s="130"/>
      <c r="AU25" s="130"/>
      <c r="AV25" s="12" t="str">
        <f t="shared" si="2"/>
        <v/>
      </c>
      <c r="AW25" s="12" t="str">
        <f t="shared" si="3"/>
        <v/>
      </c>
      <c r="AX25" s="12"/>
      <c r="AY25" s="309"/>
    </row>
    <row r="26" spans="1:51" s="19" customFormat="1" ht="30" hidden="1" customHeight="1" x14ac:dyDescent="0.2">
      <c r="A26" s="356">
        <v>24</v>
      </c>
      <c r="B26" s="310">
        <v>21</v>
      </c>
      <c r="C26" s="310">
        <v>1</v>
      </c>
      <c r="D26" s="16">
        <v>1404</v>
      </c>
      <c r="E26" s="300" t="s">
        <v>5113</v>
      </c>
      <c r="F26" s="300" t="s">
        <v>66</v>
      </c>
      <c r="G26" s="300" t="s">
        <v>481</v>
      </c>
      <c r="H26" s="301" t="s">
        <v>83</v>
      </c>
      <c r="I26" s="360" t="s">
        <v>158</v>
      </c>
      <c r="J26" s="16" t="s">
        <v>84</v>
      </c>
      <c r="K26" s="300"/>
      <c r="L26" s="300" t="s">
        <v>334</v>
      </c>
      <c r="M26" s="300"/>
      <c r="N26" s="300" t="s">
        <v>106</v>
      </c>
      <c r="O26" s="301" t="s">
        <v>107</v>
      </c>
      <c r="P26" s="436"/>
      <c r="Q26" s="436"/>
      <c r="R26" s="300"/>
      <c r="S26" s="300" t="s">
        <v>2245</v>
      </c>
      <c r="T26" s="300" t="s">
        <v>555</v>
      </c>
      <c r="U26" s="300"/>
      <c r="V26" s="300" t="s">
        <v>106</v>
      </c>
      <c r="W26" s="300" t="s">
        <v>107</v>
      </c>
      <c r="X26" s="316"/>
      <c r="Y26" s="301"/>
      <c r="Z26" s="301"/>
      <c r="AA26" s="301"/>
      <c r="AB26" s="16">
        <v>68</v>
      </c>
      <c r="AC26" s="16"/>
      <c r="AD26" s="16"/>
      <c r="AE26" s="16"/>
      <c r="AF26" s="16"/>
      <c r="AG26" s="16"/>
      <c r="AH26" s="16"/>
      <c r="AI26" s="16">
        <v>4</v>
      </c>
      <c r="AJ26" s="301"/>
      <c r="AK26" s="300"/>
      <c r="AL26" s="25"/>
      <c r="AM26" s="301"/>
      <c r="AN26" s="331"/>
      <c r="AO26" s="331"/>
      <c r="AP26" s="16"/>
      <c r="AQ26" s="16"/>
      <c r="AR26" s="130">
        <f t="shared" si="0"/>
        <v>1404</v>
      </c>
      <c r="AS26" s="130">
        <f t="shared" si="1"/>
        <v>1</v>
      </c>
      <c r="AT26" s="130"/>
      <c r="AU26" s="130"/>
      <c r="AV26" s="12" t="str">
        <f t="shared" si="2"/>
        <v/>
      </c>
      <c r="AW26" s="12" t="str">
        <f t="shared" si="3"/>
        <v/>
      </c>
      <c r="AX26" s="12"/>
      <c r="AY26" s="309"/>
    </row>
    <row r="27" spans="1:51" s="19" customFormat="1" ht="30" hidden="1" customHeight="1" x14ac:dyDescent="0.2">
      <c r="A27" s="356">
        <v>25</v>
      </c>
      <c r="B27" s="310">
        <v>21</v>
      </c>
      <c r="C27" s="310">
        <v>1</v>
      </c>
      <c r="D27" s="16">
        <v>1404</v>
      </c>
      <c r="E27" s="311" t="s">
        <v>5113</v>
      </c>
      <c r="F27" s="311" t="s">
        <v>66</v>
      </c>
      <c r="G27" s="300" t="s">
        <v>5247</v>
      </c>
      <c r="H27" s="301" t="s">
        <v>7</v>
      </c>
      <c r="I27" s="360" t="s">
        <v>158</v>
      </c>
      <c r="J27" s="16" t="s">
        <v>84</v>
      </c>
      <c r="K27" s="300" t="s">
        <v>334</v>
      </c>
      <c r="L27" s="300" t="s">
        <v>334</v>
      </c>
      <c r="M27" s="300"/>
      <c r="N27" s="300" t="s">
        <v>69</v>
      </c>
      <c r="O27" s="301" t="s">
        <v>70</v>
      </c>
      <c r="P27" s="436"/>
      <c r="Q27" s="436"/>
      <c r="R27" s="300" t="s">
        <v>714</v>
      </c>
      <c r="S27" s="300" t="s">
        <v>2245</v>
      </c>
      <c r="T27" s="300" t="s">
        <v>555</v>
      </c>
      <c r="U27" s="300"/>
      <c r="V27" s="300" t="s">
        <v>69</v>
      </c>
      <c r="W27" s="300" t="s">
        <v>70</v>
      </c>
      <c r="X27" s="316"/>
      <c r="Y27" s="301"/>
      <c r="Z27" s="301"/>
      <c r="AA27" s="301"/>
      <c r="AB27" s="16">
        <v>68</v>
      </c>
      <c r="AC27" s="581" t="s">
        <v>5184</v>
      </c>
      <c r="AD27" s="582"/>
      <c r="AE27" s="582"/>
      <c r="AF27" s="582"/>
      <c r="AG27" s="582"/>
      <c r="AH27" s="583"/>
      <c r="AI27" s="16">
        <v>4</v>
      </c>
      <c r="AJ27" s="301"/>
      <c r="AK27" s="300"/>
      <c r="AL27" s="25"/>
      <c r="AM27" s="301"/>
      <c r="AN27" s="331"/>
      <c r="AO27" s="331"/>
      <c r="AP27" s="16"/>
      <c r="AQ27" s="16"/>
      <c r="AR27" s="130">
        <f t="shared" si="0"/>
        <v>1404</v>
      </c>
      <c r="AS27" s="130">
        <f t="shared" si="1"/>
        <v>1</v>
      </c>
      <c r="AT27" s="130"/>
      <c r="AU27" s="130"/>
      <c r="AV27" s="12" t="str">
        <f t="shared" si="2"/>
        <v/>
      </c>
      <c r="AW27" s="12" t="str">
        <f t="shared" si="3"/>
        <v/>
      </c>
      <c r="AX27" s="12"/>
      <c r="AY27" s="309"/>
    </row>
    <row r="28" spans="1:51" s="19" customFormat="1" ht="30" hidden="1" customHeight="1" x14ac:dyDescent="0.2">
      <c r="A28" s="356">
        <v>26</v>
      </c>
      <c r="B28" s="310">
        <v>21</v>
      </c>
      <c r="C28" s="310">
        <v>1</v>
      </c>
      <c r="D28" s="16">
        <v>1404</v>
      </c>
      <c r="E28" s="300" t="s">
        <v>4151</v>
      </c>
      <c r="F28" s="300" t="s">
        <v>2981</v>
      </c>
      <c r="G28" s="300" t="s">
        <v>192</v>
      </c>
      <c r="H28" s="301" t="s">
        <v>7</v>
      </c>
      <c r="I28" s="360" t="s">
        <v>158</v>
      </c>
      <c r="J28" s="16" t="s">
        <v>92</v>
      </c>
      <c r="K28" s="300" t="s">
        <v>2155</v>
      </c>
      <c r="L28" s="300" t="s">
        <v>68</v>
      </c>
      <c r="M28" s="300" t="s">
        <v>5116</v>
      </c>
      <c r="N28" s="300" t="s">
        <v>69</v>
      </c>
      <c r="O28" s="301" t="s">
        <v>70</v>
      </c>
      <c r="P28" s="436"/>
      <c r="Q28" s="436"/>
      <c r="R28" s="300" t="s">
        <v>2155</v>
      </c>
      <c r="S28" s="300" t="s">
        <v>3677</v>
      </c>
      <c r="T28" s="300" t="s">
        <v>485</v>
      </c>
      <c r="U28" s="300" t="s">
        <v>5117</v>
      </c>
      <c r="V28" s="300" t="s">
        <v>106</v>
      </c>
      <c r="W28" s="300" t="s">
        <v>107</v>
      </c>
      <c r="X28" s="316"/>
      <c r="Y28" s="301" t="s">
        <v>2155</v>
      </c>
      <c r="Z28" s="301">
        <v>247</v>
      </c>
      <c r="AA28" s="301">
        <v>0</v>
      </c>
      <c r="AB28" s="16">
        <v>234</v>
      </c>
      <c r="AC28" s="16">
        <v>84</v>
      </c>
      <c r="AD28" s="16">
        <v>151</v>
      </c>
      <c r="AE28" s="16">
        <v>4</v>
      </c>
      <c r="AF28" s="16">
        <v>47</v>
      </c>
      <c r="AG28" s="16">
        <v>202</v>
      </c>
      <c r="AH28" s="16">
        <v>18</v>
      </c>
      <c r="AI28" s="16">
        <v>6</v>
      </c>
      <c r="AJ28" s="301"/>
      <c r="AK28" s="300" t="s">
        <v>5118</v>
      </c>
      <c r="AL28" s="25">
        <v>194</v>
      </c>
      <c r="AM28" s="301">
        <v>21.4</v>
      </c>
      <c r="AN28" s="331"/>
      <c r="AO28" s="331"/>
      <c r="AP28" s="16" t="s">
        <v>160</v>
      </c>
      <c r="AQ28" s="16" t="s">
        <v>193</v>
      </c>
      <c r="AR28" s="130">
        <f t="shared" si="0"/>
        <v>1404</v>
      </c>
      <c r="AS28" s="130">
        <f t="shared" si="1"/>
        <v>1</v>
      </c>
      <c r="AT28" s="130"/>
      <c r="AU28" s="130"/>
      <c r="AV28" s="12" t="str">
        <f t="shared" si="2"/>
        <v/>
      </c>
      <c r="AW28" s="12" t="str">
        <f t="shared" si="3"/>
        <v/>
      </c>
      <c r="AX28" s="12"/>
      <c r="AY28" s="309"/>
    </row>
    <row r="29" spans="1:51" s="19" customFormat="1" ht="30" hidden="1" customHeight="1" x14ac:dyDescent="0.2">
      <c r="A29" s="356">
        <v>27</v>
      </c>
      <c r="B29" s="313">
        <v>22</v>
      </c>
      <c r="C29" s="307">
        <v>1</v>
      </c>
      <c r="D29" s="16">
        <v>1404</v>
      </c>
      <c r="E29" s="300" t="s">
        <v>2372</v>
      </c>
      <c r="F29" s="300" t="s">
        <v>20</v>
      </c>
      <c r="G29" s="300" t="s">
        <v>922</v>
      </c>
      <c r="H29" s="301" t="s">
        <v>83</v>
      </c>
      <c r="I29" s="360" t="s">
        <v>158</v>
      </c>
      <c r="J29" s="16" t="s">
        <v>84</v>
      </c>
      <c r="K29" s="300"/>
      <c r="L29" s="300" t="s">
        <v>155</v>
      </c>
      <c r="M29" s="300"/>
      <c r="N29" s="300" t="s">
        <v>69</v>
      </c>
      <c r="O29" s="301" t="s">
        <v>70</v>
      </c>
      <c r="P29" s="436"/>
      <c r="Q29" s="436"/>
      <c r="R29" s="300"/>
      <c r="S29" s="300" t="s">
        <v>3677</v>
      </c>
      <c r="T29" s="300" t="s">
        <v>718</v>
      </c>
      <c r="U29" s="312" t="s">
        <v>3847</v>
      </c>
      <c r="V29" s="312" t="s">
        <v>106</v>
      </c>
      <c r="W29" s="312" t="s">
        <v>107</v>
      </c>
      <c r="X29" s="316"/>
      <c r="Y29" s="16" t="s">
        <v>3843</v>
      </c>
      <c r="Z29" s="301"/>
      <c r="AA29" s="301"/>
      <c r="AB29" s="16">
        <v>180</v>
      </c>
      <c r="AC29" s="16"/>
      <c r="AD29" s="16"/>
      <c r="AE29" s="16"/>
      <c r="AF29" s="16"/>
      <c r="AG29" s="16"/>
      <c r="AH29" s="16"/>
      <c r="AI29" s="16">
        <v>6</v>
      </c>
      <c r="AJ29" s="301"/>
      <c r="AK29" s="300"/>
      <c r="AL29" s="25"/>
      <c r="AM29" s="301"/>
      <c r="AN29" s="331"/>
      <c r="AO29" s="331"/>
      <c r="AP29" s="16" t="s">
        <v>160</v>
      </c>
      <c r="AQ29" s="16" t="s">
        <v>165</v>
      </c>
      <c r="AR29" s="130">
        <f t="shared" si="0"/>
        <v>1404</v>
      </c>
      <c r="AS29" s="130">
        <f t="shared" si="1"/>
        <v>1</v>
      </c>
      <c r="AT29" s="130">
        <v>1402</v>
      </c>
      <c r="AU29" s="130">
        <v>6</v>
      </c>
      <c r="AV29" s="12">
        <f t="shared" si="2"/>
        <v>19</v>
      </c>
      <c r="AW29" s="12" t="str">
        <f t="shared" si="3"/>
        <v/>
      </c>
      <c r="AX29" s="12"/>
      <c r="AY29" s="309" t="s">
        <v>5127</v>
      </c>
    </row>
    <row r="30" spans="1:51" s="19" customFormat="1" ht="30" hidden="1" customHeight="1" x14ac:dyDescent="0.2">
      <c r="A30" s="356">
        <v>28</v>
      </c>
      <c r="B30" s="307">
        <v>23</v>
      </c>
      <c r="C30" s="307">
        <v>1</v>
      </c>
      <c r="D30" s="16">
        <v>1404</v>
      </c>
      <c r="E30" s="300" t="s">
        <v>5053</v>
      </c>
      <c r="F30" s="300" t="s">
        <v>6</v>
      </c>
      <c r="G30" s="300" t="s">
        <v>5247</v>
      </c>
      <c r="H30" s="301" t="s">
        <v>7</v>
      </c>
      <c r="I30" s="360" t="s">
        <v>158</v>
      </c>
      <c r="J30" s="16" t="s">
        <v>84</v>
      </c>
      <c r="K30" s="35" t="s">
        <v>155</v>
      </c>
      <c r="L30" s="35" t="s">
        <v>141</v>
      </c>
      <c r="M30" s="300" t="s">
        <v>5119</v>
      </c>
      <c r="N30" s="300" t="s">
        <v>106</v>
      </c>
      <c r="O30" s="301" t="s">
        <v>107</v>
      </c>
      <c r="P30" s="436"/>
      <c r="Q30" s="436"/>
      <c r="R30" s="35" t="s">
        <v>167</v>
      </c>
      <c r="S30" s="35" t="s">
        <v>1809</v>
      </c>
      <c r="T30" s="35" t="s">
        <v>1581</v>
      </c>
      <c r="U30" s="300" t="s">
        <v>5120</v>
      </c>
      <c r="V30" s="300" t="s">
        <v>69</v>
      </c>
      <c r="W30" s="300" t="s">
        <v>70</v>
      </c>
      <c r="X30" s="316" t="s">
        <v>5187</v>
      </c>
      <c r="Y30" s="301"/>
      <c r="Z30" s="301">
        <v>238</v>
      </c>
      <c r="AA30" s="301">
        <v>234</v>
      </c>
      <c r="AB30" s="16">
        <v>231</v>
      </c>
      <c r="AC30" s="16">
        <v>189.4</v>
      </c>
      <c r="AD30" s="16">
        <v>228</v>
      </c>
      <c r="AE30" s="16">
        <v>4</v>
      </c>
      <c r="AF30" s="16">
        <v>9</v>
      </c>
      <c r="AG30" s="16">
        <v>241</v>
      </c>
      <c r="AH30" s="16">
        <v>6</v>
      </c>
      <c r="AI30" s="16">
        <v>4</v>
      </c>
      <c r="AJ30" s="301"/>
      <c r="AK30" s="300" t="s">
        <v>5124</v>
      </c>
      <c r="AL30" s="25">
        <v>239</v>
      </c>
      <c r="AM30" s="301">
        <v>6.5</v>
      </c>
      <c r="AN30" s="331"/>
      <c r="AO30" s="331"/>
      <c r="AP30" s="16" t="s">
        <v>160</v>
      </c>
      <c r="AQ30" s="16" t="s">
        <v>112</v>
      </c>
      <c r="AR30" s="130">
        <f t="shared" si="0"/>
        <v>1404</v>
      </c>
      <c r="AS30" s="130">
        <f t="shared" si="1"/>
        <v>1</v>
      </c>
      <c r="AT30" s="130"/>
      <c r="AU30" s="130"/>
      <c r="AV30" s="12" t="str">
        <f t="shared" si="2"/>
        <v/>
      </c>
      <c r="AW30" s="12" t="str">
        <f t="shared" si="3"/>
        <v/>
      </c>
      <c r="AX30" s="12"/>
      <c r="AY30" s="309" t="s">
        <v>5121</v>
      </c>
    </row>
    <row r="31" spans="1:51" s="19" customFormat="1" ht="30" hidden="1" customHeight="1" x14ac:dyDescent="0.2">
      <c r="A31" s="356">
        <v>29</v>
      </c>
      <c r="B31" s="307">
        <v>24</v>
      </c>
      <c r="C31" s="313">
        <v>1</v>
      </c>
      <c r="D31" s="16">
        <v>1404</v>
      </c>
      <c r="E31" s="300" t="s">
        <v>3558</v>
      </c>
      <c r="F31" s="300" t="s">
        <v>20</v>
      </c>
      <c r="G31" s="300" t="s">
        <v>5247</v>
      </c>
      <c r="H31" s="301" t="s">
        <v>7</v>
      </c>
      <c r="I31" s="360" t="s">
        <v>158</v>
      </c>
      <c r="J31" s="16" t="s">
        <v>92</v>
      </c>
      <c r="K31" s="35" t="s">
        <v>68</v>
      </c>
      <c r="L31" s="35" t="s">
        <v>155</v>
      </c>
      <c r="M31" s="300" t="s">
        <v>5193</v>
      </c>
      <c r="N31" s="300" t="s">
        <v>69</v>
      </c>
      <c r="O31" s="301" t="s">
        <v>70</v>
      </c>
      <c r="P31" s="436"/>
      <c r="Q31" s="436"/>
      <c r="R31" s="35" t="s">
        <v>332</v>
      </c>
      <c r="S31" s="35" t="s">
        <v>3679</v>
      </c>
      <c r="T31" s="35" t="s">
        <v>441</v>
      </c>
      <c r="U31" s="300" t="s">
        <v>5122</v>
      </c>
      <c r="V31" s="300" t="s">
        <v>106</v>
      </c>
      <c r="W31" s="300" t="s">
        <v>107</v>
      </c>
      <c r="X31" s="316" t="s">
        <v>5187</v>
      </c>
      <c r="Y31" s="301"/>
      <c r="Z31" s="301">
        <v>244</v>
      </c>
      <c r="AA31" s="301">
        <v>228</v>
      </c>
      <c r="AB31" s="16">
        <v>228</v>
      </c>
      <c r="AC31" s="16">
        <v>104</v>
      </c>
      <c r="AD31" s="16">
        <v>141</v>
      </c>
      <c r="AE31" s="16">
        <v>8</v>
      </c>
      <c r="AF31" s="16">
        <v>28</v>
      </c>
      <c r="AG31" s="16">
        <v>177</v>
      </c>
      <c r="AH31" s="16">
        <v>28</v>
      </c>
      <c r="AI31" s="16">
        <v>6</v>
      </c>
      <c r="AJ31" s="301"/>
      <c r="AK31" s="300" t="s">
        <v>5125</v>
      </c>
      <c r="AL31" s="25">
        <v>172</v>
      </c>
      <c r="AM31" s="301">
        <v>28.8</v>
      </c>
      <c r="AN31" s="331"/>
      <c r="AO31" s="331"/>
      <c r="AP31" s="16" t="s">
        <v>160</v>
      </c>
      <c r="AQ31" s="16" t="s">
        <v>193</v>
      </c>
      <c r="AR31" s="130">
        <f t="shared" si="0"/>
        <v>1404</v>
      </c>
      <c r="AS31" s="130">
        <f t="shared" si="1"/>
        <v>1</v>
      </c>
      <c r="AT31" s="130"/>
      <c r="AU31" s="130"/>
      <c r="AV31" s="12" t="str">
        <f t="shared" si="2"/>
        <v/>
      </c>
      <c r="AW31" s="12" t="str">
        <f t="shared" si="3"/>
        <v/>
      </c>
      <c r="AX31" s="12"/>
      <c r="AY31" s="309"/>
    </row>
    <row r="32" spans="1:51" s="19" customFormat="1" ht="30" hidden="1" customHeight="1" x14ac:dyDescent="0.2">
      <c r="A32" s="356">
        <v>30</v>
      </c>
      <c r="B32" s="307">
        <v>24</v>
      </c>
      <c r="C32" s="313">
        <v>1</v>
      </c>
      <c r="D32" s="16">
        <v>1404</v>
      </c>
      <c r="E32" s="300" t="s">
        <v>4804</v>
      </c>
      <c r="F32" s="300" t="s">
        <v>10</v>
      </c>
      <c r="G32" s="300" t="s">
        <v>5247</v>
      </c>
      <c r="H32" s="301" t="s">
        <v>7</v>
      </c>
      <c r="I32" s="360" t="s">
        <v>158</v>
      </c>
      <c r="J32" s="16" t="s">
        <v>84</v>
      </c>
      <c r="K32" s="35" t="s">
        <v>218</v>
      </c>
      <c r="L32" s="35" t="s">
        <v>104</v>
      </c>
      <c r="M32" s="300" t="s">
        <v>1914</v>
      </c>
      <c r="N32" s="300" t="s">
        <v>106</v>
      </c>
      <c r="O32" s="301" t="s">
        <v>107</v>
      </c>
      <c r="P32" s="436"/>
      <c r="Q32" s="436"/>
      <c r="R32" s="35" t="s">
        <v>453</v>
      </c>
      <c r="S32" s="35" t="s">
        <v>1510</v>
      </c>
      <c r="T32" s="35" t="s">
        <v>2258</v>
      </c>
      <c r="U32" s="300" t="s">
        <v>5123</v>
      </c>
      <c r="V32" s="300" t="s">
        <v>73</v>
      </c>
      <c r="W32" s="300" t="s">
        <v>70</v>
      </c>
      <c r="X32" s="316" t="s">
        <v>5187</v>
      </c>
      <c r="Y32" s="301"/>
      <c r="Z32" s="301">
        <v>195</v>
      </c>
      <c r="AA32" s="301">
        <v>188</v>
      </c>
      <c r="AB32" s="16">
        <v>188</v>
      </c>
      <c r="AC32" s="16">
        <v>153</v>
      </c>
      <c r="AD32" s="16">
        <v>185</v>
      </c>
      <c r="AE32" s="16">
        <v>12</v>
      </c>
      <c r="AF32" s="16">
        <v>18</v>
      </c>
      <c r="AG32" s="16">
        <v>205</v>
      </c>
      <c r="AH32" s="16">
        <v>13.5</v>
      </c>
      <c r="AI32" s="16">
        <v>4</v>
      </c>
      <c r="AJ32" s="301"/>
      <c r="AK32" s="300" t="s">
        <v>5126</v>
      </c>
      <c r="AL32" s="25">
        <v>208</v>
      </c>
      <c r="AM32" s="301">
        <v>17</v>
      </c>
      <c r="AN32" s="331"/>
      <c r="AO32" s="331"/>
      <c r="AP32" s="16" t="s">
        <v>160</v>
      </c>
      <c r="AQ32" s="16" t="s">
        <v>161</v>
      </c>
      <c r="AR32" s="130">
        <f t="shared" si="0"/>
        <v>1404</v>
      </c>
      <c r="AS32" s="130">
        <f t="shared" si="1"/>
        <v>1</v>
      </c>
      <c r="AT32" s="130"/>
      <c r="AU32" s="130"/>
      <c r="AV32" s="12" t="str">
        <f t="shared" si="2"/>
        <v/>
      </c>
      <c r="AW32" s="12" t="str">
        <f t="shared" si="3"/>
        <v/>
      </c>
      <c r="AX32" s="12"/>
      <c r="AY32" s="309"/>
    </row>
    <row r="33" spans="1:51" s="19" customFormat="1" ht="30" hidden="1" customHeight="1" x14ac:dyDescent="0.2">
      <c r="A33" s="356">
        <v>31</v>
      </c>
      <c r="B33" s="307">
        <v>25</v>
      </c>
      <c r="C33" s="307">
        <v>1</v>
      </c>
      <c r="D33" s="16">
        <v>1404</v>
      </c>
      <c r="E33" s="300" t="s">
        <v>5129</v>
      </c>
      <c r="F33" s="300" t="s">
        <v>8</v>
      </c>
      <c r="G33" s="300" t="s">
        <v>5247</v>
      </c>
      <c r="H33" s="301" t="s">
        <v>7</v>
      </c>
      <c r="I33" s="360" t="s">
        <v>158</v>
      </c>
      <c r="J33" s="16" t="s">
        <v>92</v>
      </c>
      <c r="K33" s="300" t="s">
        <v>155</v>
      </c>
      <c r="L33" s="300" t="s">
        <v>155</v>
      </c>
      <c r="M33" s="300" t="s">
        <v>5178</v>
      </c>
      <c r="N33" s="300" t="s">
        <v>106</v>
      </c>
      <c r="O33" s="301" t="s">
        <v>107</v>
      </c>
      <c r="P33" s="436"/>
      <c r="Q33" s="436"/>
      <c r="R33" s="35" t="s">
        <v>167</v>
      </c>
      <c r="S33" s="35" t="s">
        <v>3677</v>
      </c>
      <c r="T33" s="35" t="s">
        <v>441</v>
      </c>
      <c r="U33" s="300" t="s">
        <v>5179</v>
      </c>
      <c r="V33" s="300" t="s">
        <v>106</v>
      </c>
      <c r="W33" s="300" t="s">
        <v>107</v>
      </c>
      <c r="X33" s="316" t="s">
        <v>5187</v>
      </c>
      <c r="Y33" s="301"/>
      <c r="Z33" s="301">
        <v>204</v>
      </c>
      <c r="AA33" s="301">
        <v>192</v>
      </c>
      <c r="AB33" s="16">
        <v>192</v>
      </c>
      <c r="AC33" s="16">
        <v>101</v>
      </c>
      <c r="AD33" s="16">
        <v>147</v>
      </c>
      <c r="AE33" s="16">
        <v>6</v>
      </c>
      <c r="AF33" s="16">
        <v>70</v>
      </c>
      <c r="AG33" s="16">
        <v>223</v>
      </c>
      <c r="AH33" s="16">
        <v>23</v>
      </c>
      <c r="AI33" s="16">
        <v>6</v>
      </c>
      <c r="AJ33" s="301"/>
      <c r="AK33" s="300" t="s">
        <v>5180</v>
      </c>
      <c r="AL33" s="25">
        <v>218</v>
      </c>
      <c r="AM33" s="301">
        <v>22.7</v>
      </c>
      <c r="AN33" s="331"/>
      <c r="AO33" s="331"/>
      <c r="AP33" s="16" t="s">
        <v>160</v>
      </c>
      <c r="AQ33" s="16" t="s">
        <v>193</v>
      </c>
      <c r="AR33" s="130">
        <f t="shared" si="0"/>
        <v>1404</v>
      </c>
      <c r="AS33" s="130">
        <f t="shared" si="1"/>
        <v>1</v>
      </c>
      <c r="AT33" s="130"/>
      <c r="AU33" s="130"/>
      <c r="AV33" s="12" t="str">
        <f t="shared" si="2"/>
        <v/>
      </c>
      <c r="AW33" s="12" t="str">
        <f t="shared" si="3"/>
        <v/>
      </c>
      <c r="AX33" s="12"/>
      <c r="AY33" s="309"/>
    </row>
    <row r="34" spans="1:51" s="19" customFormat="1" ht="30" hidden="1" customHeight="1" x14ac:dyDescent="0.2">
      <c r="A34" s="356">
        <v>32</v>
      </c>
      <c r="B34" s="314">
        <v>25</v>
      </c>
      <c r="C34" s="314">
        <v>1</v>
      </c>
      <c r="D34" s="16">
        <v>1404</v>
      </c>
      <c r="E34" s="300" t="s">
        <v>1347</v>
      </c>
      <c r="F34" s="300" t="s">
        <v>2981</v>
      </c>
      <c r="G34" s="300" t="s">
        <v>192</v>
      </c>
      <c r="H34" s="301" t="s">
        <v>7</v>
      </c>
      <c r="I34" s="360" t="s">
        <v>158</v>
      </c>
      <c r="J34" s="16" t="s">
        <v>84</v>
      </c>
      <c r="K34" s="300"/>
      <c r="L34" s="300" t="s">
        <v>104</v>
      </c>
      <c r="M34" s="300" t="s">
        <v>3480</v>
      </c>
      <c r="N34" s="300" t="s">
        <v>106</v>
      </c>
      <c r="O34" s="301" t="s">
        <v>107</v>
      </c>
      <c r="P34" s="436"/>
      <c r="Q34" s="436"/>
      <c r="R34" s="300"/>
      <c r="S34" s="300" t="s">
        <v>3679</v>
      </c>
      <c r="T34" s="300" t="s">
        <v>465</v>
      </c>
      <c r="U34" s="300" t="s">
        <v>5181</v>
      </c>
      <c r="V34" s="300" t="s">
        <v>106</v>
      </c>
      <c r="W34" s="300" t="s">
        <v>107</v>
      </c>
      <c r="X34" s="316"/>
      <c r="Y34" s="301"/>
      <c r="Z34" s="301">
        <v>230</v>
      </c>
      <c r="AA34" s="301">
        <v>0</v>
      </c>
      <c r="AB34" s="16">
        <v>210</v>
      </c>
      <c r="AC34" s="16">
        <v>76</v>
      </c>
      <c r="AD34" s="16">
        <v>87</v>
      </c>
      <c r="AE34" s="16">
        <v>6</v>
      </c>
      <c r="AF34" s="16">
        <v>10</v>
      </c>
      <c r="AG34" s="16">
        <v>103</v>
      </c>
      <c r="AH34" s="16">
        <v>25</v>
      </c>
      <c r="AI34" s="16">
        <v>6</v>
      </c>
      <c r="AJ34" s="301"/>
      <c r="AK34" s="300" t="s">
        <v>5125</v>
      </c>
      <c r="AL34" s="25">
        <v>103</v>
      </c>
      <c r="AM34" s="301">
        <v>29</v>
      </c>
      <c r="AN34" s="331"/>
      <c r="AO34" s="331"/>
      <c r="AP34" s="16" t="s">
        <v>160</v>
      </c>
      <c r="AQ34" s="16"/>
      <c r="AR34" s="130">
        <f t="shared" si="0"/>
        <v>1404</v>
      </c>
      <c r="AS34" s="130">
        <f t="shared" si="1"/>
        <v>1</v>
      </c>
      <c r="AT34" s="130"/>
      <c r="AU34" s="130"/>
      <c r="AV34" s="12" t="str">
        <f t="shared" si="2"/>
        <v/>
      </c>
      <c r="AW34" s="12" t="str">
        <f t="shared" si="3"/>
        <v/>
      </c>
      <c r="AX34" s="12"/>
      <c r="AY34" s="309"/>
    </row>
    <row r="35" spans="1:51" s="19" customFormat="1" ht="30" hidden="1" customHeight="1" x14ac:dyDescent="0.2">
      <c r="A35" s="356">
        <v>33</v>
      </c>
      <c r="B35" s="307">
        <v>26</v>
      </c>
      <c r="C35" s="307">
        <v>1</v>
      </c>
      <c r="D35" s="16">
        <v>1404</v>
      </c>
      <c r="E35" s="300" t="s">
        <v>452</v>
      </c>
      <c r="F35" s="300" t="s">
        <v>9</v>
      </c>
      <c r="G35" s="300" t="s">
        <v>222</v>
      </c>
      <c r="H35" s="301" t="s">
        <v>83</v>
      </c>
      <c r="I35" s="360" t="s">
        <v>158</v>
      </c>
      <c r="J35" s="16"/>
      <c r="K35" s="300"/>
      <c r="L35" s="316" t="s">
        <v>251</v>
      </c>
      <c r="M35" s="41"/>
      <c r="N35" s="41" t="s">
        <v>119</v>
      </c>
      <c r="O35" s="13" t="s">
        <v>107</v>
      </c>
      <c r="P35" s="13"/>
      <c r="Q35" s="13"/>
      <c r="R35" s="300"/>
      <c r="S35" s="300" t="s">
        <v>3677</v>
      </c>
      <c r="T35" s="300" t="s">
        <v>260</v>
      </c>
      <c r="U35" s="300"/>
      <c r="V35" s="300" t="s">
        <v>119</v>
      </c>
      <c r="W35" s="300" t="s">
        <v>107</v>
      </c>
      <c r="X35" s="316"/>
      <c r="Y35" s="301" t="s">
        <v>5182</v>
      </c>
      <c r="Z35" s="301"/>
      <c r="AA35" s="301"/>
      <c r="AB35" s="16">
        <v>238</v>
      </c>
      <c r="AC35" s="16"/>
      <c r="AD35" s="16"/>
      <c r="AE35" s="16"/>
      <c r="AF35" s="16"/>
      <c r="AG35" s="16"/>
      <c r="AH35" s="16"/>
      <c r="AI35" s="16">
        <v>6</v>
      </c>
      <c r="AJ35" s="301"/>
      <c r="AK35" s="300"/>
      <c r="AL35" s="25"/>
      <c r="AM35" s="301"/>
      <c r="AN35" s="331"/>
      <c r="AO35" s="331"/>
      <c r="AP35" s="16" t="s">
        <v>160</v>
      </c>
      <c r="AQ35" s="16"/>
      <c r="AR35" s="130">
        <f t="shared" si="0"/>
        <v>1404</v>
      </c>
      <c r="AS35" s="130">
        <f t="shared" si="1"/>
        <v>1</v>
      </c>
      <c r="AT35" s="130">
        <v>1401</v>
      </c>
      <c r="AU35" s="130">
        <v>1</v>
      </c>
      <c r="AV35" s="12">
        <f t="shared" si="2"/>
        <v>36</v>
      </c>
      <c r="AW35" s="12" t="str">
        <f t="shared" si="3"/>
        <v/>
      </c>
      <c r="AX35" s="12"/>
      <c r="AY35" s="309" t="s">
        <v>5188</v>
      </c>
    </row>
    <row r="36" spans="1:51" s="19" customFormat="1" ht="30" hidden="1" customHeight="1" x14ac:dyDescent="0.2">
      <c r="A36" s="356">
        <v>34</v>
      </c>
      <c r="B36" s="307">
        <v>26</v>
      </c>
      <c r="C36" s="307">
        <v>1</v>
      </c>
      <c r="D36" s="16">
        <v>1404</v>
      </c>
      <c r="E36" s="300" t="s">
        <v>30</v>
      </c>
      <c r="F36" s="300" t="s">
        <v>2981</v>
      </c>
      <c r="G36" s="300" t="s">
        <v>192</v>
      </c>
      <c r="H36" s="301" t="s">
        <v>7</v>
      </c>
      <c r="I36" s="360" t="s">
        <v>158</v>
      </c>
      <c r="J36" s="16" t="s">
        <v>84</v>
      </c>
      <c r="K36" s="300"/>
      <c r="L36" s="300" t="s">
        <v>104</v>
      </c>
      <c r="M36" s="300" t="s">
        <v>5104</v>
      </c>
      <c r="N36" s="300" t="s">
        <v>106</v>
      </c>
      <c r="O36" s="301" t="s">
        <v>107</v>
      </c>
      <c r="P36" s="436"/>
      <c r="Q36" s="436"/>
      <c r="R36" s="300"/>
      <c r="S36" s="300" t="s">
        <v>3677</v>
      </c>
      <c r="T36" s="300" t="s">
        <v>555</v>
      </c>
      <c r="U36" s="300" t="s">
        <v>5106</v>
      </c>
      <c r="V36" s="300" t="s">
        <v>106</v>
      </c>
      <c r="W36" s="300" t="s">
        <v>107</v>
      </c>
      <c r="X36" s="316"/>
      <c r="Y36" s="301"/>
      <c r="Z36" s="301">
        <v>243</v>
      </c>
      <c r="AA36" s="301">
        <v>0</v>
      </c>
      <c r="AB36" s="16">
        <v>213</v>
      </c>
      <c r="AC36" s="16">
        <v>62</v>
      </c>
      <c r="AD36" s="16">
        <v>109</v>
      </c>
      <c r="AE36" s="16">
        <v>4</v>
      </c>
      <c r="AF36" s="16">
        <v>42</v>
      </c>
      <c r="AG36" s="16">
        <v>155</v>
      </c>
      <c r="AH36" s="16">
        <v>19</v>
      </c>
      <c r="AI36" s="16">
        <v>6</v>
      </c>
      <c r="AJ36" s="301"/>
      <c r="AK36" s="300" t="s">
        <v>5183</v>
      </c>
      <c r="AL36" s="25">
        <v>151</v>
      </c>
      <c r="AM36" s="301">
        <v>23.6</v>
      </c>
      <c r="AN36" s="331"/>
      <c r="AO36" s="331"/>
      <c r="AP36" s="16" t="s">
        <v>160</v>
      </c>
      <c r="AQ36" s="16" t="s">
        <v>193</v>
      </c>
      <c r="AR36" s="130">
        <f t="shared" si="0"/>
        <v>1404</v>
      </c>
      <c r="AS36" s="130">
        <f t="shared" si="1"/>
        <v>1</v>
      </c>
      <c r="AT36" s="130"/>
      <c r="AU36" s="130"/>
      <c r="AV36" s="12" t="str">
        <f t="shared" si="2"/>
        <v/>
      </c>
      <c r="AW36" s="12" t="str">
        <f t="shared" si="3"/>
        <v/>
      </c>
      <c r="AX36" s="12"/>
      <c r="AY36" s="309"/>
    </row>
    <row r="37" spans="1:51" s="19" customFormat="1" ht="30" hidden="1" customHeight="1" x14ac:dyDescent="0.2">
      <c r="A37" s="356">
        <v>35</v>
      </c>
      <c r="B37" s="314">
        <v>27</v>
      </c>
      <c r="C37" s="314">
        <v>1</v>
      </c>
      <c r="D37" s="16">
        <v>1404</v>
      </c>
      <c r="E37" s="300" t="s">
        <v>2634</v>
      </c>
      <c r="F37" s="300" t="s">
        <v>66</v>
      </c>
      <c r="G37" s="300" t="s">
        <v>481</v>
      </c>
      <c r="H37" s="301" t="s">
        <v>83</v>
      </c>
      <c r="I37" s="360" t="s">
        <v>158</v>
      </c>
      <c r="J37" s="16"/>
      <c r="K37" s="300"/>
      <c r="L37" s="300" t="s">
        <v>226</v>
      </c>
      <c r="M37" s="300"/>
      <c r="N37" s="300" t="s">
        <v>142</v>
      </c>
      <c r="O37" s="301" t="s">
        <v>70</v>
      </c>
      <c r="P37" s="436"/>
      <c r="Q37" s="436"/>
      <c r="R37" s="300"/>
      <c r="S37" s="300" t="s">
        <v>2245</v>
      </c>
      <c r="T37" s="300" t="s">
        <v>506</v>
      </c>
      <c r="U37" s="300"/>
      <c r="V37" s="300" t="s">
        <v>119</v>
      </c>
      <c r="W37" s="300" t="s">
        <v>107</v>
      </c>
      <c r="X37" s="316"/>
      <c r="Y37" s="301" t="s">
        <v>5132</v>
      </c>
      <c r="Z37" s="301"/>
      <c r="AA37" s="301"/>
      <c r="AB37" s="16">
        <v>132</v>
      </c>
      <c r="AC37" s="16"/>
      <c r="AD37" s="16"/>
      <c r="AE37" s="16"/>
      <c r="AF37" s="16"/>
      <c r="AG37" s="16"/>
      <c r="AH37" s="16"/>
      <c r="AI37" s="16">
        <v>4</v>
      </c>
      <c r="AJ37" s="301"/>
      <c r="AK37" s="300"/>
      <c r="AL37" s="25"/>
      <c r="AM37" s="301"/>
      <c r="AN37" s="331"/>
      <c r="AO37" s="331"/>
      <c r="AP37" s="16" t="s">
        <v>5080</v>
      </c>
      <c r="AQ37" s="16" t="s">
        <v>1956</v>
      </c>
      <c r="AR37" s="130">
        <f t="shared" si="0"/>
        <v>1404</v>
      </c>
      <c r="AS37" s="130">
        <f t="shared" si="1"/>
        <v>1</v>
      </c>
      <c r="AT37" s="130">
        <v>1400</v>
      </c>
      <c r="AU37" s="130">
        <v>11</v>
      </c>
      <c r="AV37" s="12">
        <f t="shared" si="2"/>
        <v>38</v>
      </c>
      <c r="AW37" s="12" t="str">
        <f t="shared" si="3"/>
        <v/>
      </c>
      <c r="AX37" s="12"/>
      <c r="AY37" s="309"/>
    </row>
    <row r="38" spans="1:51" s="19" customFormat="1" ht="30" hidden="1" customHeight="1" x14ac:dyDescent="0.2">
      <c r="A38" s="356">
        <v>36</v>
      </c>
      <c r="B38" s="314">
        <v>27</v>
      </c>
      <c r="C38" s="314">
        <v>1</v>
      </c>
      <c r="D38" s="16">
        <v>1404</v>
      </c>
      <c r="E38" s="315" t="s">
        <v>2634</v>
      </c>
      <c r="F38" s="315" t="s">
        <v>66</v>
      </c>
      <c r="G38" s="315" t="s">
        <v>5247</v>
      </c>
      <c r="H38" s="314" t="s">
        <v>7</v>
      </c>
      <c r="I38" s="360" t="s">
        <v>158</v>
      </c>
      <c r="J38" s="16"/>
      <c r="K38" s="315" t="s">
        <v>226</v>
      </c>
      <c r="L38" s="315" t="s">
        <v>226</v>
      </c>
      <c r="M38" s="315"/>
      <c r="N38" s="315" t="s">
        <v>69</v>
      </c>
      <c r="O38" s="314" t="s">
        <v>70</v>
      </c>
      <c r="P38" s="436"/>
      <c r="Q38" s="436"/>
      <c r="R38" s="315" t="s">
        <v>2253</v>
      </c>
      <c r="S38" s="315" t="s">
        <v>2245</v>
      </c>
      <c r="T38" s="315" t="s">
        <v>506</v>
      </c>
      <c r="U38" s="315"/>
      <c r="V38" s="315" t="s">
        <v>69</v>
      </c>
      <c r="W38" s="315" t="s">
        <v>70</v>
      </c>
      <c r="X38" s="316"/>
      <c r="Y38" s="314"/>
      <c r="Z38" s="314"/>
      <c r="AA38" s="314"/>
      <c r="AB38" s="16">
        <v>132</v>
      </c>
      <c r="AC38" s="581" t="s">
        <v>5184</v>
      </c>
      <c r="AD38" s="582"/>
      <c r="AE38" s="582"/>
      <c r="AF38" s="582"/>
      <c r="AG38" s="582"/>
      <c r="AH38" s="583"/>
      <c r="AI38" s="16">
        <v>4</v>
      </c>
      <c r="AJ38" s="314"/>
      <c r="AK38" s="315"/>
      <c r="AL38" s="25"/>
      <c r="AM38" s="314"/>
      <c r="AN38" s="331"/>
      <c r="AO38" s="331"/>
      <c r="AP38" s="16" t="s">
        <v>5080</v>
      </c>
      <c r="AQ38" s="16" t="s">
        <v>1956</v>
      </c>
      <c r="AR38" s="130">
        <f t="shared" si="0"/>
        <v>1404</v>
      </c>
      <c r="AS38" s="130">
        <f t="shared" si="1"/>
        <v>1</v>
      </c>
      <c r="AT38" s="130"/>
      <c r="AU38" s="130"/>
      <c r="AV38" s="12"/>
      <c r="AW38" s="12"/>
      <c r="AX38" s="12"/>
      <c r="AY38" s="309" t="s">
        <v>5185</v>
      </c>
    </row>
    <row r="39" spans="1:51" s="19" customFormat="1" ht="30" hidden="1" customHeight="1" x14ac:dyDescent="0.2">
      <c r="A39" s="356">
        <v>37</v>
      </c>
      <c r="B39" s="314">
        <v>27</v>
      </c>
      <c r="C39" s="314">
        <v>1</v>
      </c>
      <c r="D39" s="16">
        <v>1404</v>
      </c>
      <c r="E39" s="300" t="s">
        <v>480</v>
      </c>
      <c r="F39" s="300" t="s">
        <v>9</v>
      </c>
      <c r="G39" s="300" t="s">
        <v>481</v>
      </c>
      <c r="H39" s="301" t="s">
        <v>83</v>
      </c>
      <c r="I39" s="360" t="s">
        <v>158</v>
      </c>
      <c r="J39" s="16" t="s">
        <v>84</v>
      </c>
      <c r="K39" s="300"/>
      <c r="L39" s="41" t="s">
        <v>155</v>
      </c>
      <c r="M39" s="41" t="s">
        <v>487</v>
      </c>
      <c r="N39" s="41" t="s">
        <v>106</v>
      </c>
      <c r="O39" s="13" t="s">
        <v>107</v>
      </c>
      <c r="P39" s="13"/>
      <c r="Q39" s="13"/>
      <c r="R39" s="300"/>
      <c r="S39" s="300" t="s">
        <v>3679</v>
      </c>
      <c r="T39" s="300" t="s">
        <v>718</v>
      </c>
      <c r="U39" s="41" t="s">
        <v>488</v>
      </c>
      <c r="V39" s="41" t="s">
        <v>106</v>
      </c>
      <c r="W39" s="41" t="s">
        <v>107</v>
      </c>
      <c r="X39" s="41"/>
      <c r="Y39" s="301" t="s">
        <v>5131</v>
      </c>
      <c r="Z39" s="301"/>
      <c r="AA39" s="301"/>
      <c r="AB39" s="16">
        <v>222</v>
      </c>
      <c r="AC39" s="16"/>
      <c r="AD39" s="16"/>
      <c r="AE39" s="16"/>
      <c r="AF39" s="16"/>
      <c r="AG39" s="16"/>
      <c r="AH39" s="16"/>
      <c r="AI39" s="16">
        <v>6</v>
      </c>
      <c r="AJ39" s="301"/>
      <c r="AK39" s="300"/>
      <c r="AL39" s="25"/>
      <c r="AM39" s="301"/>
      <c r="AN39" s="331"/>
      <c r="AO39" s="331"/>
      <c r="AP39" s="16" t="s">
        <v>160</v>
      </c>
      <c r="AQ39" s="16" t="s">
        <v>165</v>
      </c>
      <c r="AR39" s="130">
        <f t="shared" si="0"/>
        <v>1404</v>
      </c>
      <c r="AS39" s="130">
        <f t="shared" si="1"/>
        <v>1</v>
      </c>
      <c r="AT39" s="130">
        <v>1401</v>
      </c>
      <c r="AU39" s="130">
        <v>1</v>
      </c>
      <c r="AV39" s="12">
        <f t="shared" si="2"/>
        <v>36</v>
      </c>
      <c r="AW39" s="12" t="str">
        <f t="shared" si="3"/>
        <v/>
      </c>
      <c r="AX39" s="12"/>
      <c r="AY39" s="309"/>
    </row>
    <row r="40" spans="1:51" s="19" customFormat="1" ht="30" hidden="1" customHeight="1" x14ac:dyDescent="0.2">
      <c r="A40" s="356">
        <v>38</v>
      </c>
      <c r="B40" s="314">
        <v>28</v>
      </c>
      <c r="C40" s="314">
        <v>1</v>
      </c>
      <c r="D40" s="16">
        <v>1404</v>
      </c>
      <c r="E40" s="315" t="s">
        <v>480</v>
      </c>
      <c r="F40" s="315" t="s">
        <v>9</v>
      </c>
      <c r="G40" s="300" t="s">
        <v>5247</v>
      </c>
      <c r="H40" s="301" t="s">
        <v>7</v>
      </c>
      <c r="I40" s="360" t="s">
        <v>158</v>
      </c>
      <c r="J40" s="16" t="s">
        <v>84</v>
      </c>
      <c r="K40" s="35" t="s">
        <v>155</v>
      </c>
      <c r="L40" s="35" t="s">
        <v>140</v>
      </c>
      <c r="M40" s="300" t="s">
        <v>748</v>
      </c>
      <c r="N40" s="300" t="s">
        <v>106</v>
      </c>
      <c r="O40" s="301" t="s">
        <v>107</v>
      </c>
      <c r="P40" s="436"/>
      <c r="Q40" s="436"/>
      <c r="R40" s="35" t="s">
        <v>324</v>
      </c>
      <c r="S40" s="35" t="s">
        <v>2245</v>
      </c>
      <c r="T40" s="35" t="s">
        <v>116</v>
      </c>
      <c r="U40" s="300" t="s">
        <v>5192</v>
      </c>
      <c r="V40" s="300" t="s">
        <v>106</v>
      </c>
      <c r="W40" s="300" t="s">
        <v>107</v>
      </c>
      <c r="X40" s="316" t="s">
        <v>5187</v>
      </c>
      <c r="Y40" s="301"/>
      <c r="Z40" s="301">
        <v>234</v>
      </c>
      <c r="AA40" s="301">
        <v>222</v>
      </c>
      <c r="AB40" s="16">
        <v>222</v>
      </c>
      <c r="AC40" s="16">
        <v>158</v>
      </c>
      <c r="AD40" s="16">
        <v>166</v>
      </c>
      <c r="AE40" s="16">
        <v>3</v>
      </c>
      <c r="AF40" s="16">
        <v>5</v>
      </c>
      <c r="AG40" s="16">
        <v>174</v>
      </c>
      <c r="AH40" s="16">
        <v>14</v>
      </c>
      <c r="AI40" s="16">
        <v>6</v>
      </c>
      <c r="AJ40" s="301"/>
      <c r="AK40" s="300" t="s">
        <v>5186</v>
      </c>
      <c r="AL40" s="25">
        <v>182</v>
      </c>
      <c r="AM40" s="301">
        <v>12.5</v>
      </c>
      <c r="AN40" s="331"/>
      <c r="AO40" s="331"/>
      <c r="AP40" s="16" t="s">
        <v>160</v>
      </c>
      <c r="AQ40" s="16" t="s">
        <v>161</v>
      </c>
      <c r="AR40" s="130">
        <f t="shared" si="0"/>
        <v>1404</v>
      </c>
      <c r="AS40" s="130">
        <f t="shared" si="1"/>
        <v>1</v>
      </c>
      <c r="AT40" s="130"/>
      <c r="AU40" s="130"/>
      <c r="AV40" s="12" t="str">
        <f t="shared" si="2"/>
        <v/>
      </c>
      <c r="AW40" s="12" t="str">
        <f t="shared" si="3"/>
        <v/>
      </c>
      <c r="AX40" s="12"/>
      <c r="AY40" s="309"/>
    </row>
    <row r="41" spans="1:51" s="19" customFormat="1" ht="30" hidden="1" customHeight="1" x14ac:dyDescent="0.2">
      <c r="A41" s="356">
        <v>39</v>
      </c>
      <c r="B41" s="314">
        <v>29</v>
      </c>
      <c r="C41" s="314">
        <v>1</v>
      </c>
      <c r="D41" s="16">
        <v>1404</v>
      </c>
      <c r="E41" s="300" t="s">
        <v>5130</v>
      </c>
      <c r="F41" s="300" t="s">
        <v>66</v>
      </c>
      <c r="G41" s="300" t="s">
        <v>481</v>
      </c>
      <c r="H41" s="301" t="s">
        <v>83</v>
      </c>
      <c r="I41" s="360" t="s">
        <v>158</v>
      </c>
      <c r="J41" s="16"/>
      <c r="K41" s="300"/>
      <c r="L41" s="41" t="s">
        <v>334</v>
      </c>
      <c r="M41" s="41" t="s">
        <v>775</v>
      </c>
      <c r="N41" s="41" t="s">
        <v>106</v>
      </c>
      <c r="O41" s="13" t="s">
        <v>107</v>
      </c>
      <c r="P41" s="13"/>
      <c r="Q41" s="13"/>
      <c r="R41" s="300"/>
      <c r="S41" s="300" t="s">
        <v>1809</v>
      </c>
      <c r="T41" s="300" t="s">
        <v>2348</v>
      </c>
      <c r="U41" s="41" t="s">
        <v>776</v>
      </c>
      <c r="V41" s="41" t="s">
        <v>142</v>
      </c>
      <c r="W41" s="41" t="s">
        <v>70</v>
      </c>
      <c r="X41" s="41"/>
      <c r="Y41" s="301" t="s">
        <v>4547</v>
      </c>
      <c r="Z41" s="301"/>
      <c r="AA41" s="301"/>
      <c r="AB41" s="16">
        <v>144</v>
      </c>
      <c r="AC41" s="16"/>
      <c r="AD41" s="16"/>
      <c r="AE41" s="16"/>
      <c r="AF41" s="16"/>
      <c r="AG41" s="16"/>
      <c r="AH41" s="16"/>
      <c r="AI41" s="16">
        <v>4</v>
      </c>
      <c r="AJ41" s="301"/>
      <c r="AK41" s="300"/>
      <c r="AL41" s="25"/>
      <c r="AM41" s="301"/>
      <c r="AN41" s="331"/>
      <c r="AO41" s="331"/>
      <c r="AP41" s="16"/>
      <c r="AQ41" s="16"/>
      <c r="AR41" s="130">
        <f t="shared" si="0"/>
        <v>1404</v>
      </c>
      <c r="AS41" s="130">
        <f t="shared" si="1"/>
        <v>1</v>
      </c>
      <c r="AT41" s="130">
        <v>1401</v>
      </c>
      <c r="AU41" s="130">
        <v>5</v>
      </c>
      <c r="AV41" s="12">
        <f t="shared" si="2"/>
        <v>32</v>
      </c>
      <c r="AW41" s="12" t="str">
        <f t="shared" si="3"/>
        <v/>
      </c>
      <c r="AX41" s="12"/>
      <c r="AY41" s="309"/>
    </row>
    <row r="42" spans="1:51" s="19" customFormat="1" ht="30" hidden="1" customHeight="1" x14ac:dyDescent="0.2">
      <c r="A42" s="356">
        <v>40</v>
      </c>
      <c r="B42" s="314">
        <v>29</v>
      </c>
      <c r="C42" s="314">
        <v>1</v>
      </c>
      <c r="D42" s="16">
        <v>1404</v>
      </c>
      <c r="E42" s="315" t="s">
        <v>5130</v>
      </c>
      <c r="F42" s="315" t="s">
        <v>66</v>
      </c>
      <c r="G42" s="300" t="s">
        <v>5247</v>
      </c>
      <c r="H42" s="301" t="s">
        <v>7</v>
      </c>
      <c r="I42" s="360" t="s">
        <v>158</v>
      </c>
      <c r="J42" s="16"/>
      <c r="K42" s="300" t="s">
        <v>334</v>
      </c>
      <c r="L42" s="300" t="s">
        <v>334</v>
      </c>
      <c r="M42" s="300" t="s">
        <v>5194</v>
      </c>
      <c r="N42" s="300" t="s">
        <v>69</v>
      </c>
      <c r="O42" s="301" t="s">
        <v>70</v>
      </c>
      <c r="P42" s="436"/>
      <c r="Q42" s="436"/>
      <c r="R42" s="300"/>
      <c r="S42" s="300" t="s">
        <v>1809</v>
      </c>
      <c r="T42" s="300" t="s">
        <v>2348</v>
      </c>
      <c r="U42" s="300" t="s">
        <v>5195</v>
      </c>
      <c r="V42" s="300" t="s">
        <v>69</v>
      </c>
      <c r="W42" s="300" t="s">
        <v>70</v>
      </c>
      <c r="X42" s="316"/>
      <c r="Y42" s="301"/>
      <c r="Z42" s="301"/>
      <c r="AA42" s="301"/>
      <c r="AB42" s="16">
        <v>144</v>
      </c>
      <c r="AC42" s="581" t="s">
        <v>5184</v>
      </c>
      <c r="AD42" s="582"/>
      <c r="AE42" s="582"/>
      <c r="AF42" s="582"/>
      <c r="AG42" s="582"/>
      <c r="AH42" s="583"/>
      <c r="AI42" s="16">
        <v>4</v>
      </c>
      <c r="AJ42" s="301"/>
      <c r="AK42" s="300"/>
      <c r="AL42" s="25"/>
      <c r="AM42" s="301"/>
      <c r="AN42" s="331"/>
      <c r="AO42" s="331"/>
      <c r="AP42" s="16"/>
      <c r="AQ42" s="16"/>
      <c r="AR42" s="130">
        <f t="shared" si="0"/>
        <v>1404</v>
      </c>
      <c r="AS42" s="130">
        <f t="shared" si="1"/>
        <v>1</v>
      </c>
      <c r="AT42" s="130"/>
      <c r="AU42" s="130"/>
      <c r="AV42" s="12" t="str">
        <f t="shared" si="2"/>
        <v/>
      </c>
      <c r="AW42" s="12" t="str">
        <f t="shared" si="3"/>
        <v/>
      </c>
      <c r="AX42" s="12"/>
      <c r="AY42" s="309"/>
    </row>
    <row r="43" spans="1:51" s="19" customFormat="1" ht="30" hidden="1" customHeight="1" x14ac:dyDescent="0.2">
      <c r="A43" s="356">
        <v>41</v>
      </c>
      <c r="B43" s="20">
        <v>31</v>
      </c>
      <c r="C43" s="20">
        <v>1</v>
      </c>
      <c r="D43" s="29">
        <v>1404</v>
      </c>
      <c r="E43" s="30" t="s">
        <v>480</v>
      </c>
      <c r="F43" s="30" t="s">
        <v>9</v>
      </c>
      <c r="G43" s="30" t="s">
        <v>481</v>
      </c>
      <c r="H43" s="20" t="s">
        <v>83</v>
      </c>
      <c r="I43" s="360" t="s">
        <v>158</v>
      </c>
      <c r="J43" s="29" t="s">
        <v>84</v>
      </c>
      <c r="K43" s="30"/>
      <c r="L43" s="30" t="s">
        <v>140</v>
      </c>
      <c r="M43" s="30" t="s">
        <v>748</v>
      </c>
      <c r="N43" s="30" t="s">
        <v>106</v>
      </c>
      <c r="O43" s="20" t="s">
        <v>107</v>
      </c>
      <c r="P43" s="20"/>
      <c r="Q43" s="20"/>
      <c r="R43" s="30"/>
      <c r="S43" s="30" t="s">
        <v>2245</v>
      </c>
      <c r="T43" s="30" t="s">
        <v>116</v>
      </c>
      <c r="U43" s="30" t="s">
        <v>5192</v>
      </c>
      <c r="V43" s="30" t="s">
        <v>106</v>
      </c>
      <c r="W43" s="30" t="s">
        <v>107</v>
      </c>
      <c r="X43" s="30"/>
      <c r="Y43" s="20" t="s">
        <v>5196</v>
      </c>
      <c r="Z43" s="20"/>
      <c r="AA43" s="20"/>
      <c r="AB43" s="29">
        <v>222</v>
      </c>
      <c r="AC43" s="29"/>
      <c r="AD43" s="29"/>
      <c r="AE43" s="29"/>
      <c r="AF43" s="29"/>
      <c r="AG43" s="29"/>
      <c r="AH43" s="29"/>
      <c r="AI43" s="29">
        <v>6</v>
      </c>
      <c r="AJ43" s="20"/>
      <c r="AK43" s="30"/>
      <c r="AL43" s="36"/>
      <c r="AM43" s="20"/>
      <c r="AN43" s="20"/>
      <c r="AO43" s="20"/>
      <c r="AP43" s="29" t="s">
        <v>160</v>
      </c>
      <c r="AQ43" s="29" t="s">
        <v>161</v>
      </c>
      <c r="AR43" s="130">
        <f t="shared" si="0"/>
        <v>1404</v>
      </c>
      <c r="AS43" s="130">
        <f t="shared" si="1"/>
        <v>1</v>
      </c>
      <c r="AT43" s="318">
        <v>1404</v>
      </c>
      <c r="AU43" s="318">
        <v>1</v>
      </c>
      <c r="AV43" s="31">
        <f t="shared" si="2"/>
        <v>0</v>
      </c>
      <c r="AW43" s="31">
        <f t="shared" si="3"/>
        <v>0</v>
      </c>
      <c r="AX43" s="31" t="s">
        <v>5231</v>
      </c>
      <c r="AY43" s="59" t="s">
        <v>5197</v>
      </c>
    </row>
    <row r="44" spans="1:51" s="19" customFormat="1" ht="30" hidden="1" customHeight="1" x14ac:dyDescent="0.2">
      <c r="A44" s="356">
        <v>42</v>
      </c>
      <c r="B44" s="20">
        <v>2</v>
      </c>
      <c r="C44" s="20">
        <v>2</v>
      </c>
      <c r="D44" s="29">
        <v>1404</v>
      </c>
      <c r="E44" s="30" t="s">
        <v>1764</v>
      </c>
      <c r="F44" s="30" t="s">
        <v>10</v>
      </c>
      <c r="G44" s="30" t="s">
        <v>202</v>
      </c>
      <c r="H44" s="20" t="s">
        <v>83</v>
      </c>
      <c r="I44" s="360" t="s">
        <v>158</v>
      </c>
      <c r="J44" s="29" t="s">
        <v>84</v>
      </c>
      <c r="K44" s="30"/>
      <c r="L44" s="30" t="s">
        <v>155</v>
      </c>
      <c r="M44" s="30" t="s">
        <v>4913</v>
      </c>
      <c r="N44" s="30" t="s">
        <v>106</v>
      </c>
      <c r="O44" s="20" t="s">
        <v>107</v>
      </c>
      <c r="P44" s="20"/>
      <c r="Q44" s="20"/>
      <c r="R44" s="30"/>
      <c r="S44" s="30" t="s">
        <v>3677</v>
      </c>
      <c r="T44" s="30" t="s">
        <v>718</v>
      </c>
      <c r="U44" s="30" t="s">
        <v>4914</v>
      </c>
      <c r="V44" s="30" t="s">
        <v>106</v>
      </c>
      <c r="W44" s="30" t="s">
        <v>107</v>
      </c>
      <c r="X44" s="30"/>
      <c r="Y44" s="29" t="s">
        <v>4908</v>
      </c>
      <c r="Z44" s="20"/>
      <c r="AA44" s="20"/>
      <c r="AB44" s="29">
        <v>240</v>
      </c>
      <c r="AC44" s="29"/>
      <c r="AD44" s="29"/>
      <c r="AE44" s="29"/>
      <c r="AF44" s="29"/>
      <c r="AG44" s="29"/>
      <c r="AH44" s="29"/>
      <c r="AI44" s="29">
        <v>6</v>
      </c>
      <c r="AJ44" s="20"/>
      <c r="AK44" s="30"/>
      <c r="AL44" s="36"/>
      <c r="AM44" s="20"/>
      <c r="AN44" s="20"/>
      <c r="AO44" s="20"/>
      <c r="AP44" s="29" t="s">
        <v>160</v>
      </c>
      <c r="AQ44" s="29" t="s">
        <v>165</v>
      </c>
      <c r="AR44" s="130">
        <f t="shared" si="0"/>
        <v>1404</v>
      </c>
      <c r="AS44" s="130">
        <f t="shared" si="1"/>
        <v>2</v>
      </c>
      <c r="AT44" s="318">
        <v>1403</v>
      </c>
      <c r="AU44" s="318">
        <v>10</v>
      </c>
      <c r="AV44" s="31">
        <f t="shared" si="2"/>
        <v>4</v>
      </c>
      <c r="AW44" s="31">
        <f t="shared" si="3"/>
        <v>4</v>
      </c>
      <c r="AX44" s="31" t="s">
        <v>5230</v>
      </c>
      <c r="AY44" s="59"/>
    </row>
    <row r="45" spans="1:51" s="19" customFormat="1" ht="30" hidden="1" customHeight="1" x14ac:dyDescent="0.2">
      <c r="A45" s="356">
        <v>43</v>
      </c>
      <c r="B45" s="20">
        <v>2</v>
      </c>
      <c r="C45" s="20">
        <v>2</v>
      </c>
      <c r="D45" s="29">
        <v>1404</v>
      </c>
      <c r="E45" s="30" t="s">
        <v>4151</v>
      </c>
      <c r="F45" s="30" t="s">
        <v>2981</v>
      </c>
      <c r="G45" s="30" t="s">
        <v>202</v>
      </c>
      <c r="H45" s="20" t="s">
        <v>83</v>
      </c>
      <c r="I45" s="360" t="s">
        <v>158</v>
      </c>
      <c r="J45" s="29" t="s">
        <v>92</v>
      </c>
      <c r="K45" s="30" t="s">
        <v>2155</v>
      </c>
      <c r="L45" s="30" t="s">
        <v>68</v>
      </c>
      <c r="M45" s="30" t="s">
        <v>5116</v>
      </c>
      <c r="N45" s="30" t="s">
        <v>69</v>
      </c>
      <c r="O45" s="20" t="s">
        <v>70</v>
      </c>
      <c r="P45" s="20"/>
      <c r="Q45" s="20"/>
      <c r="R45" s="30" t="s">
        <v>2155</v>
      </c>
      <c r="S45" s="30" t="s">
        <v>3677</v>
      </c>
      <c r="T45" s="30" t="s">
        <v>485</v>
      </c>
      <c r="U45" s="30" t="s">
        <v>5117</v>
      </c>
      <c r="V45" s="30" t="s">
        <v>106</v>
      </c>
      <c r="W45" s="30" t="s">
        <v>107</v>
      </c>
      <c r="X45" s="30"/>
      <c r="Y45" s="29" t="s">
        <v>5126</v>
      </c>
      <c r="Z45" s="20"/>
      <c r="AA45" s="20"/>
      <c r="AB45" s="29">
        <v>234</v>
      </c>
      <c r="AC45" s="29"/>
      <c r="AD45" s="29"/>
      <c r="AE45" s="29"/>
      <c r="AF45" s="29"/>
      <c r="AG45" s="29"/>
      <c r="AH45" s="29"/>
      <c r="AI45" s="29">
        <v>6</v>
      </c>
      <c r="AJ45" s="20"/>
      <c r="AK45" s="30"/>
      <c r="AL45" s="36"/>
      <c r="AM45" s="20"/>
      <c r="AN45" s="20"/>
      <c r="AO45" s="20"/>
      <c r="AP45" s="29" t="s">
        <v>5198</v>
      </c>
      <c r="AQ45" s="29" t="s">
        <v>193</v>
      </c>
      <c r="AR45" s="130">
        <f t="shared" si="0"/>
        <v>1404</v>
      </c>
      <c r="AS45" s="130">
        <f t="shared" si="1"/>
        <v>2</v>
      </c>
      <c r="AT45" s="318">
        <v>1404</v>
      </c>
      <c r="AU45" s="318">
        <v>1</v>
      </c>
      <c r="AV45" s="31">
        <f t="shared" si="2"/>
        <v>1</v>
      </c>
      <c r="AW45" s="31">
        <f t="shared" si="3"/>
        <v>1</v>
      </c>
      <c r="AX45" s="31" t="s">
        <v>5230</v>
      </c>
      <c r="AY45" s="59"/>
    </row>
    <row r="46" spans="1:51" s="19" customFormat="1" ht="30" hidden="1" customHeight="1" x14ac:dyDescent="0.2">
      <c r="A46" s="356">
        <v>44</v>
      </c>
      <c r="B46" s="307">
        <v>3</v>
      </c>
      <c r="C46" s="307">
        <v>2</v>
      </c>
      <c r="D46" s="16">
        <v>1404</v>
      </c>
      <c r="E46" s="300" t="s">
        <v>2881</v>
      </c>
      <c r="F46" s="300" t="s">
        <v>10</v>
      </c>
      <c r="G46" s="300" t="s">
        <v>5250</v>
      </c>
      <c r="H46" s="301" t="s">
        <v>7</v>
      </c>
      <c r="I46" s="360" t="s">
        <v>158</v>
      </c>
      <c r="J46" s="16" t="s">
        <v>92</v>
      </c>
      <c r="K46" s="35" t="s">
        <v>68</v>
      </c>
      <c r="L46" s="35" t="s">
        <v>104</v>
      </c>
      <c r="M46" s="300" t="s">
        <v>882</v>
      </c>
      <c r="N46" s="300" t="s">
        <v>106</v>
      </c>
      <c r="O46" s="301" t="s">
        <v>107</v>
      </c>
      <c r="P46" s="436"/>
      <c r="Q46" s="436"/>
      <c r="R46" s="35" t="s">
        <v>1727</v>
      </c>
      <c r="S46" s="35" t="s">
        <v>2961</v>
      </c>
      <c r="T46" s="35" t="s">
        <v>1581</v>
      </c>
      <c r="U46" s="300" t="s">
        <v>5200</v>
      </c>
      <c r="V46" s="300" t="s">
        <v>106</v>
      </c>
      <c r="W46" s="300" t="s">
        <v>107</v>
      </c>
      <c r="X46" s="316" t="s">
        <v>5187</v>
      </c>
      <c r="Y46" s="301"/>
      <c r="Z46" s="301">
        <v>238</v>
      </c>
      <c r="AA46" s="33">
        <v>219</v>
      </c>
      <c r="AB46" s="34">
        <v>210</v>
      </c>
      <c r="AC46" s="16">
        <v>160</v>
      </c>
      <c r="AD46" s="16">
        <v>169</v>
      </c>
      <c r="AE46" s="16">
        <v>1</v>
      </c>
      <c r="AF46" s="16">
        <v>40</v>
      </c>
      <c r="AG46" s="16">
        <v>210</v>
      </c>
      <c r="AH46" s="16">
        <v>10</v>
      </c>
      <c r="AI46" s="16">
        <v>6</v>
      </c>
      <c r="AJ46" s="301"/>
      <c r="AK46" s="300"/>
      <c r="AL46" s="25"/>
      <c r="AM46" s="301"/>
      <c r="AN46" s="331"/>
      <c r="AO46" s="331"/>
      <c r="AP46" s="16" t="s">
        <v>160</v>
      </c>
      <c r="AQ46" s="16" t="s">
        <v>161</v>
      </c>
      <c r="AR46" s="130">
        <f t="shared" si="0"/>
        <v>1404</v>
      </c>
      <c r="AS46" s="130">
        <f t="shared" si="1"/>
        <v>2</v>
      </c>
      <c r="AT46" s="130"/>
      <c r="AU46" s="130"/>
      <c r="AV46" s="12" t="str">
        <f t="shared" si="2"/>
        <v/>
      </c>
      <c r="AW46" s="12" t="str">
        <f t="shared" si="3"/>
        <v/>
      </c>
      <c r="AX46" s="12"/>
      <c r="AY46" s="309"/>
    </row>
    <row r="47" spans="1:51" s="19" customFormat="1" ht="30" hidden="1" customHeight="1" x14ac:dyDescent="0.2">
      <c r="A47" s="356">
        <v>45</v>
      </c>
      <c r="B47" s="321">
        <v>3</v>
      </c>
      <c r="C47" s="321">
        <v>2</v>
      </c>
      <c r="D47" s="16">
        <v>1404</v>
      </c>
      <c r="E47" s="324" t="s">
        <v>5205</v>
      </c>
      <c r="F47" s="322" t="s">
        <v>243</v>
      </c>
      <c r="G47" s="322" t="s">
        <v>481</v>
      </c>
      <c r="H47" s="321" t="s">
        <v>83</v>
      </c>
      <c r="I47" s="360" t="s">
        <v>158</v>
      </c>
      <c r="J47" s="16" t="s">
        <v>84</v>
      </c>
      <c r="K47" s="322"/>
      <c r="L47" s="322" t="s">
        <v>140</v>
      </c>
      <c r="M47" s="322" t="s">
        <v>5206</v>
      </c>
      <c r="N47" s="322" t="s">
        <v>119</v>
      </c>
      <c r="O47" s="321" t="s">
        <v>107</v>
      </c>
      <c r="P47" s="436"/>
      <c r="Q47" s="436"/>
      <c r="R47" s="322"/>
      <c r="S47" s="322" t="s">
        <v>2245</v>
      </c>
      <c r="T47" s="322" t="s">
        <v>116</v>
      </c>
      <c r="U47" s="322" t="s">
        <v>5207</v>
      </c>
      <c r="V47" s="322" t="s">
        <v>574</v>
      </c>
      <c r="W47" s="322" t="s">
        <v>107</v>
      </c>
      <c r="X47" s="322"/>
      <c r="Y47" s="16" t="s">
        <v>5208</v>
      </c>
      <c r="Z47" s="321"/>
      <c r="AA47" s="321"/>
      <c r="AB47" s="16">
        <v>231</v>
      </c>
      <c r="AC47" s="16"/>
      <c r="AD47" s="16"/>
      <c r="AE47" s="16"/>
      <c r="AF47" s="16"/>
      <c r="AG47" s="16"/>
      <c r="AH47" s="16"/>
      <c r="AI47" s="16">
        <v>4</v>
      </c>
      <c r="AJ47" s="321"/>
      <c r="AK47" s="322"/>
      <c r="AL47" s="25"/>
      <c r="AM47" s="321"/>
      <c r="AN47" s="331"/>
      <c r="AO47" s="331"/>
      <c r="AP47" s="16" t="s">
        <v>160</v>
      </c>
      <c r="AQ47" s="16" t="s">
        <v>193</v>
      </c>
      <c r="AR47" s="130">
        <f t="shared" si="0"/>
        <v>1404</v>
      </c>
      <c r="AS47" s="130">
        <f t="shared" si="1"/>
        <v>2</v>
      </c>
      <c r="AT47" s="130">
        <v>1398</v>
      </c>
      <c r="AU47" s="130">
        <v>11</v>
      </c>
      <c r="AV47" s="12">
        <f t="shared" si="2"/>
        <v>63</v>
      </c>
      <c r="AW47" s="12" t="str">
        <f t="shared" si="3"/>
        <v/>
      </c>
      <c r="AX47" s="12"/>
      <c r="AY47" s="309"/>
    </row>
    <row r="48" spans="1:51" s="19" customFormat="1" ht="30" hidden="1" customHeight="1" x14ac:dyDescent="0.2">
      <c r="A48" s="356">
        <v>46</v>
      </c>
      <c r="B48" s="307">
        <v>4</v>
      </c>
      <c r="C48" s="307">
        <v>2</v>
      </c>
      <c r="D48" s="16">
        <v>1404</v>
      </c>
      <c r="E48" s="300" t="s">
        <v>5199</v>
      </c>
      <c r="F48" s="300" t="s">
        <v>10</v>
      </c>
      <c r="G48" s="300" t="s">
        <v>202</v>
      </c>
      <c r="H48" s="301" t="s">
        <v>83</v>
      </c>
      <c r="I48" s="360" t="s">
        <v>158</v>
      </c>
      <c r="J48" s="16" t="s">
        <v>84</v>
      </c>
      <c r="K48" s="300"/>
      <c r="L48" s="320" t="s">
        <v>68</v>
      </c>
      <c r="M48" s="320" t="s">
        <v>3681</v>
      </c>
      <c r="N48" s="320" t="s">
        <v>106</v>
      </c>
      <c r="O48" s="319" t="s">
        <v>107</v>
      </c>
      <c r="P48" s="436"/>
      <c r="Q48" s="436"/>
      <c r="R48" s="300"/>
      <c r="S48" s="300" t="s">
        <v>3680</v>
      </c>
      <c r="T48" s="300" t="s">
        <v>2348</v>
      </c>
      <c r="U48" s="320" t="s">
        <v>3682</v>
      </c>
      <c r="V48" s="320" t="s">
        <v>73</v>
      </c>
      <c r="W48" s="320" t="s">
        <v>70</v>
      </c>
      <c r="X48" s="316"/>
      <c r="Y48" s="16" t="s">
        <v>3647</v>
      </c>
      <c r="Z48" s="301"/>
      <c r="AA48" s="301"/>
      <c r="AB48" s="16">
        <v>199</v>
      </c>
      <c r="AC48" s="16"/>
      <c r="AD48" s="16"/>
      <c r="AE48" s="16"/>
      <c r="AF48" s="16"/>
      <c r="AG48" s="16"/>
      <c r="AH48" s="16"/>
      <c r="AI48" s="16">
        <v>6</v>
      </c>
      <c r="AJ48" s="301"/>
      <c r="AK48" s="300"/>
      <c r="AL48" s="25"/>
      <c r="AM48" s="301"/>
      <c r="AN48" s="331"/>
      <c r="AO48" s="331"/>
      <c r="AP48" s="16" t="s">
        <v>5080</v>
      </c>
      <c r="AQ48" s="16" t="s">
        <v>193</v>
      </c>
      <c r="AR48" s="130">
        <f t="shared" si="0"/>
        <v>1404</v>
      </c>
      <c r="AS48" s="130">
        <f t="shared" si="1"/>
        <v>2</v>
      </c>
      <c r="AT48" s="130">
        <v>1402</v>
      </c>
      <c r="AU48" s="130">
        <v>5</v>
      </c>
      <c r="AV48" s="12">
        <f t="shared" si="2"/>
        <v>21</v>
      </c>
      <c r="AW48" s="12" t="str">
        <f t="shared" si="3"/>
        <v/>
      </c>
      <c r="AX48" s="12"/>
      <c r="AY48" s="309"/>
    </row>
    <row r="49" spans="1:51" s="2" customFormat="1" ht="30" hidden="1" customHeight="1" x14ac:dyDescent="0.2">
      <c r="A49" s="356">
        <v>47</v>
      </c>
      <c r="B49" s="20">
        <v>4</v>
      </c>
      <c r="C49" s="20">
        <v>2</v>
      </c>
      <c r="D49" s="29">
        <v>1404</v>
      </c>
      <c r="E49" s="30" t="s">
        <v>2163</v>
      </c>
      <c r="F49" s="30" t="s">
        <v>20</v>
      </c>
      <c r="G49" s="30" t="s">
        <v>481</v>
      </c>
      <c r="H49" s="20" t="s">
        <v>83</v>
      </c>
      <c r="I49" s="360" t="s">
        <v>158</v>
      </c>
      <c r="J49" s="29" t="s">
        <v>84</v>
      </c>
      <c r="K49" s="30"/>
      <c r="L49" s="30" t="s">
        <v>68</v>
      </c>
      <c r="M49" s="30"/>
      <c r="N49" s="30" t="s">
        <v>106</v>
      </c>
      <c r="O49" s="20" t="s">
        <v>107</v>
      </c>
      <c r="P49" s="20"/>
      <c r="Q49" s="20"/>
      <c r="R49" s="30"/>
      <c r="S49" s="30" t="s">
        <v>2245</v>
      </c>
      <c r="T49" s="30" t="s">
        <v>769</v>
      </c>
      <c r="U49" s="30"/>
      <c r="V49" s="30" t="s">
        <v>106</v>
      </c>
      <c r="W49" s="30" t="s">
        <v>107</v>
      </c>
      <c r="X49" s="30"/>
      <c r="Y49" s="20" t="s">
        <v>4671</v>
      </c>
      <c r="Z49" s="20"/>
      <c r="AA49" s="20"/>
      <c r="AB49" s="29">
        <v>177</v>
      </c>
      <c r="AC49" s="29"/>
      <c r="AD49" s="29"/>
      <c r="AE49" s="29"/>
      <c r="AF49" s="29"/>
      <c r="AG49" s="29"/>
      <c r="AH49" s="29"/>
      <c r="AI49" s="29">
        <v>6</v>
      </c>
      <c r="AJ49" s="20"/>
      <c r="AK49" s="30"/>
      <c r="AL49" s="36"/>
      <c r="AM49" s="20"/>
      <c r="AN49" s="20"/>
      <c r="AO49" s="20"/>
      <c r="AP49" s="29" t="s">
        <v>5080</v>
      </c>
      <c r="AQ49" s="29" t="s">
        <v>161</v>
      </c>
      <c r="AR49" s="130">
        <f t="shared" si="0"/>
        <v>1404</v>
      </c>
      <c r="AS49" s="130">
        <f t="shared" si="1"/>
        <v>2</v>
      </c>
      <c r="AT49" s="318">
        <v>1403</v>
      </c>
      <c r="AU49" s="318">
        <v>5</v>
      </c>
      <c r="AV49" s="31">
        <f t="shared" si="2"/>
        <v>9</v>
      </c>
      <c r="AW49" s="31">
        <f t="shared" si="3"/>
        <v>9</v>
      </c>
      <c r="AX49" s="31" t="s">
        <v>5229</v>
      </c>
      <c r="AY49" s="59" t="s">
        <v>5209</v>
      </c>
    </row>
    <row r="50" spans="1:51" s="19" customFormat="1" ht="30" hidden="1" customHeight="1" x14ac:dyDescent="0.2">
      <c r="A50" s="356">
        <v>48</v>
      </c>
      <c r="B50" s="307">
        <v>5</v>
      </c>
      <c r="C50" s="307">
        <v>4</v>
      </c>
      <c r="D50" s="16">
        <v>1404</v>
      </c>
      <c r="E50" s="300" t="s">
        <v>5201</v>
      </c>
      <c r="F50" s="300" t="s">
        <v>2981</v>
      </c>
      <c r="G50" s="300" t="s">
        <v>481</v>
      </c>
      <c r="H50" s="301" t="s">
        <v>83</v>
      </c>
      <c r="I50" s="360" t="s">
        <v>158</v>
      </c>
      <c r="J50" s="16" t="s">
        <v>84</v>
      </c>
      <c r="K50" s="300"/>
      <c r="L50" s="300" t="s">
        <v>140</v>
      </c>
      <c r="M50" s="300" t="s">
        <v>5202</v>
      </c>
      <c r="N50" s="300" t="s">
        <v>142</v>
      </c>
      <c r="O50" s="301" t="s">
        <v>70</v>
      </c>
      <c r="P50" s="436"/>
      <c r="Q50" s="436"/>
      <c r="R50" s="300"/>
      <c r="S50" s="300" t="s">
        <v>3677</v>
      </c>
      <c r="T50" s="300" t="s">
        <v>506</v>
      </c>
      <c r="U50" s="300" t="s">
        <v>5203</v>
      </c>
      <c r="V50" s="300" t="s">
        <v>142</v>
      </c>
      <c r="W50" s="300" t="s">
        <v>70</v>
      </c>
      <c r="X50" s="316"/>
      <c r="Y50" s="323" t="s">
        <v>5204</v>
      </c>
      <c r="Z50" s="301"/>
      <c r="AA50" s="301"/>
      <c r="AB50" s="16">
        <v>162</v>
      </c>
      <c r="AC50" s="16"/>
      <c r="AD50" s="16"/>
      <c r="AE50" s="16"/>
      <c r="AF50" s="16"/>
      <c r="AG50" s="16"/>
      <c r="AH50" s="16"/>
      <c r="AI50" s="16">
        <v>6</v>
      </c>
      <c r="AJ50" s="301"/>
      <c r="AK50" s="300"/>
      <c r="AL50" s="25"/>
      <c r="AM50" s="301"/>
      <c r="AN50" s="331"/>
      <c r="AO50" s="331"/>
      <c r="AP50" s="16" t="s">
        <v>5080</v>
      </c>
      <c r="AQ50" s="16" t="s">
        <v>231</v>
      </c>
      <c r="AR50" s="130">
        <f t="shared" si="0"/>
        <v>1404</v>
      </c>
      <c r="AS50" s="130">
        <f t="shared" si="1"/>
        <v>4</v>
      </c>
      <c r="AT50" s="130">
        <v>1394</v>
      </c>
      <c r="AU50" s="130">
        <v>10</v>
      </c>
      <c r="AV50" s="12">
        <f t="shared" si="2"/>
        <v>114</v>
      </c>
      <c r="AW50" s="12" t="str">
        <f t="shared" si="3"/>
        <v/>
      </c>
      <c r="AX50" s="12"/>
      <c r="AY50" s="309"/>
    </row>
    <row r="51" spans="1:51" s="19" customFormat="1" ht="30" hidden="1" customHeight="1" x14ac:dyDescent="0.2">
      <c r="A51" s="356">
        <v>49</v>
      </c>
      <c r="B51" s="307">
        <v>6</v>
      </c>
      <c r="C51" s="307">
        <v>2</v>
      </c>
      <c r="D51" s="16">
        <v>1404</v>
      </c>
      <c r="E51" s="300" t="s">
        <v>614</v>
      </c>
      <c r="F51" s="300" t="s">
        <v>6</v>
      </c>
      <c r="G51" s="300" t="s">
        <v>5247</v>
      </c>
      <c r="H51" s="301" t="s">
        <v>7</v>
      </c>
      <c r="I51" s="360" t="s">
        <v>158</v>
      </c>
      <c r="J51" s="16" t="s">
        <v>84</v>
      </c>
      <c r="K51" s="300" t="s">
        <v>155</v>
      </c>
      <c r="L51" s="300" t="s">
        <v>155</v>
      </c>
      <c r="M51" s="300" t="s">
        <v>1635</v>
      </c>
      <c r="N51" s="300" t="s">
        <v>106</v>
      </c>
      <c r="O51" s="301" t="s">
        <v>107</v>
      </c>
      <c r="P51" s="436"/>
      <c r="Q51" s="436"/>
      <c r="R51" s="35" t="s">
        <v>324</v>
      </c>
      <c r="S51" s="35" t="s">
        <v>3679</v>
      </c>
      <c r="T51" s="35" t="s">
        <v>441</v>
      </c>
      <c r="U51" s="300" t="s">
        <v>5211</v>
      </c>
      <c r="V51" s="300" t="s">
        <v>106</v>
      </c>
      <c r="W51" s="300" t="s">
        <v>107</v>
      </c>
      <c r="X51" s="316" t="s">
        <v>5187</v>
      </c>
      <c r="Y51" s="323"/>
      <c r="Z51" s="301">
        <v>199</v>
      </c>
      <c r="AA51" s="33">
        <v>186</v>
      </c>
      <c r="AB51" s="34">
        <v>183</v>
      </c>
      <c r="AC51" s="16">
        <v>78</v>
      </c>
      <c r="AD51" s="16">
        <v>94</v>
      </c>
      <c r="AE51" s="16">
        <v>6</v>
      </c>
      <c r="AF51" s="16">
        <v>80</v>
      </c>
      <c r="AG51" s="16">
        <v>180</v>
      </c>
      <c r="AH51" s="16">
        <v>25</v>
      </c>
      <c r="AI51" s="16">
        <v>6</v>
      </c>
      <c r="AJ51" s="301"/>
      <c r="AK51" s="300"/>
      <c r="AL51" s="25"/>
      <c r="AM51" s="301"/>
      <c r="AN51" s="331"/>
      <c r="AO51" s="331"/>
      <c r="AP51" s="16" t="s">
        <v>160</v>
      </c>
      <c r="AQ51" s="16" t="s">
        <v>193</v>
      </c>
      <c r="AR51" s="130">
        <f t="shared" si="0"/>
        <v>1404</v>
      </c>
      <c r="AS51" s="130">
        <f t="shared" si="1"/>
        <v>2</v>
      </c>
      <c r="AT51" s="130"/>
      <c r="AU51" s="130"/>
      <c r="AV51" s="12" t="str">
        <f t="shared" si="2"/>
        <v/>
      </c>
      <c r="AW51" s="12" t="str">
        <f t="shared" si="3"/>
        <v/>
      </c>
      <c r="AX51" s="12"/>
      <c r="AY51" s="309" t="s">
        <v>5210</v>
      </c>
    </row>
    <row r="52" spans="1:51" s="19" customFormat="1" ht="30" hidden="1" customHeight="1" x14ac:dyDescent="0.2">
      <c r="A52" s="356">
        <v>50</v>
      </c>
      <c r="B52" s="332">
        <v>6</v>
      </c>
      <c r="C52" s="332">
        <v>2</v>
      </c>
      <c r="D52" s="16">
        <v>1404</v>
      </c>
      <c r="E52" s="333" t="s">
        <v>5248</v>
      </c>
      <c r="F52" s="333" t="s">
        <v>66</v>
      </c>
      <c r="G52" s="333" t="s">
        <v>481</v>
      </c>
      <c r="H52" s="332" t="s">
        <v>83</v>
      </c>
      <c r="I52" s="360" t="s">
        <v>158</v>
      </c>
      <c r="J52" s="16" t="s">
        <v>84</v>
      </c>
      <c r="K52" s="333"/>
      <c r="L52" s="333" t="s">
        <v>506</v>
      </c>
      <c r="M52" s="333"/>
      <c r="N52" s="333" t="s">
        <v>69</v>
      </c>
      <c r="O52" s="332" t="s">
        <v>70</v>
      </c>
      <c r="P52" s="436"/>
      <c r="Q52" s="436"/>
      <c r="R52" s="333"/>
      <c r="S52" s="333" t="s">
        <v>4016</v>
      </c>
      <c r="T52" s="333" t="s">
        <v>2348</v>
      </c>
      <c r="U52" s="333"/>
      <c r="V52" s="333" t="s">
        <v>69</v>
      </c>
      <c r="W52" s="333" t="s">
        <v>70</v>
      </c>
      <c r="X52" s="333"/>
      <c r="Y52" s="323"/>
      <c r="Z52" s="332"/>
      <c r="AA52" s="33"/>
      <c r="AB52" s="34">
        <v>96</v>
      </c>
      <c r="AC52" s="16"/>
      <c r="AD52" s="16"/>
      <c r="AE52" s="16"/>
      <c r="AF52" s="16"/>
      <c r="AG52" s="16"/>
      <c r="AH52" s="16"/>
      <c r="AI52" s="16">
        <v>3</v>
      </c>
      <c r="AJ52" s="332"/>
      <c r="AK52" s="333"/>
      <c r="AL52" s="25"/>
      <c r="AM52" s="332"/>
      <c r="AN52" s="332"/>
      <c r="AO52" s="332"/>
      <c r="AP52" s="16"/>
      <c r="AQ52" s="16"/>
      <c r="AR52" s="130">
        <f t="shared" si="0"/>
        <v>1404</v>
      </c>
      <c r="AS52" s="130">
        <f t="shared" si="1"/>
        <v>2</v>
      </c>
      <c r="AT52" s="130"/>
      <c r="AU52" s="130"/>
      <c r="AV52" s="12" t="str">
        <f t="shared" si="2"/>
        <v/>
      </c>
      <c r="AW52" s="12" t="str">
        <f t="shared" si="3"/>
        <v/>
      </c>
      <c r="AX52" s="12"/>
      <c r="AY52" s="309"/>
    </row>
    <row r="53" spans="1:51" s="19" customFormat="1" ht="30" hidden="1" customHeight="1" x14ac:dyDescent="0.2">
      <c r="A53" s="356">
        <v>51</v>
      </c>
      <c r="B53" s="332">
        <v>6</v>
      </c>
      <c r="C53" s="332">
        <v>2</v>
      </c>
      <c r="D53" s="16">
        <v>1404</v>
      </c>
      <c r="E53" s="333" t="s">
        <v>5248</v>
      </c>
      <c r="F53" s="333" t="s">
        <v>66</v>
      </c>
      <c r="G53" s="333" t="s">
        <v>5247</v>
      </c>
      <c r="H53" s="332" t="s">
        <v>7</v>
      </c>
      <c r="I53" s="360" t="s">
        <v>158</v>
      </c>
      <c r="J53" s="16" t="s">
        <v>84</v>
      </c>
      <c r="K53" s="333" t="s">
        <v>506</v>
      </c>
      <c r="L53" s="333" t="s">
        <v>506</v>
      </c>
      <c r="M53" s="333"/>
      <c r="N53" s="333" t="s">
        <v>69</v>
      </c>
      <c r="O53" s="332" t="s">
        <v>70</v>
      </c>
      <c r="P53" s="436"/>
      <c r="Q53" s="436"/>
      <c r="R53" s="333" t="s">
        <v>1929</v>
      </c>
      <c r="S53" s="333" t="s">
        <v>4016</v>
      </c>
      <c r="T53" s="333" t="s">
        <v>2348</v>
      </c>
      <c r="U53" s="333"/>
      <c r="V53" s="333" t="s">
        <v>69</v>
      </c>
      <c r="W53" s="333" t="s">
        <v>70</v>
      </c>
      <c r="X53" s="333"/>
      <c r="Y53" s="323"/>
      <c r="Z53" s="332"/>
      <c r="AA53" s="33"/>
      <c r="AB53" s="34">
        <v>96</v>
      </c>
      <c r="AC53" s="16"/>
      <c r="AD53" s="16"/>
      <c r="AE53" s="16"/>
      <c r="AF53" s="16"/>
      <c r="AG53" s="16"/>
      <c r="AH53" s="16"/>
      <c r="AI53" s="16">
        <v>3</v>
      </c>
      <c r="AJ53" s="332"/>
      <c r="AK53" s="333"/>
      <c r="AL53" s="25"/>
      <c r="AM53" s="332"/>
      <c r="AN53" s="332"/>
      <c r="AO53" s="332"/>
      <c r="AP53" s="16"/>
      <c r="AQ53" s="16"/>
      <c r="AR53" s="130">
        <f t="shared" si="0"/>
        <v>1404</v>
      </c>
      <c r="AS53" s="130">
        <f t="shared" si="1"/>
        <v>2</v>
      </c>
      <c r="AT53" s="130"/>
      <c r="AU53" s="130"/>
      <c r="AV53" s="12" t="str">
        <f t="shared" si="2"/>
        <v/>
      </c>
      <c r="AW53" s="12" t="str">
        <f t="shared" si="3"/>
        <v/>
      </c>
      <c r="AX53" s="12"/>
      <c r="AY53" s="309"/>
    </row>
    <row r="54" spans="1:51" s="19" customFormat="1" ht="30" hidden="1" customHeight="1" x14ac:dyDescent="0.2">
      <c r="A54" s="356">
        <v>52</v>
      </c>
      <c r="B54" s="307">
        <v>8</v>
      </c>
      <c r="C54" s="307">
        <v>2</v>
      </c>
      <c r="D54" s="16">
        <v>1404</v>
      </c>
      <c r="E54" s="300" t="s">
        <v>2372</v>
      </c>
      <c r="F54" s="300" t="s">
        <v>20</v>
      </c>
      <c r="G54" s="300" t="s">
        <v>5247</v>
      </c>
      <c r="H54" s="301" t="s">
        <v>7</v>
      </c>
      <c r="I54" s="360" t="s">
        <v>158</v>
      </c>
      <c r="J54" s="16" t="s">
        <v>84</v>
      </c>
      <c r="K54" s="35" t="s">
        <v>155</v>
      </c>
      <c r="L54" s="35" t="s">
        <v>117</v>
      </c>
      <c r="M54" s="300"/>
      <c r="N54" s="300" t="s">
        <v>106</v>
      </c>
      <c r="O54" s="301" t="s">
        <v>107</v>
      </c>
      <c r="P54" s="436"/>
      <c r="Q54" s="436"/>
      <c r="R54" s="35" t="s">
        <v>156</v>
      </c>
      <c r="S54" s="35" t="s">
        <v>2245</v>
      </c>
      <c r="T54" s="35" t="s">
        <v>260</v>
      </c>
      <c r="U54" s="300"/>
      <c r="V54" s="300" t="s">
        <v>106</v>
      </c>
      <c r="W54" s="300" t="s">
        <v>107</v>
      </c>
      <c r="X54" s="316" t="s">
        <v>5187</v>
      </c>
      <c r="Y54" s="301"/>
      <c r="Z54" s="301">
        <v>200</v>
      </c>
      <c r="AA54" s="301">
        <v>180</v>
      </c>
      <c r="AB54" s="16">
        <v>180</v>
      </c>
      <c r="AC54" s="16">
        <v>108</v>
      </c>
      <c r="AD54" s="16">
        <v>154</v>
      </c>
      <c r="AE54" s="16">
        <v>2</v>
      </c>
      <c r="AF54" s="16">
        <v>46</v>
      </c>
      <c r="AG54" s="16">
        <v>202</v>
      </c>
      <c r="AH54" s="16">
        <v>12</v>
      </c>
      <c r="AI54" s="16">
        <v>6</v>
      </c>
      <c r="AJ54" s="301"/>
      <c r="AK54" s="300" t="s">
        <v>5213</v>
      </c>
      <c r="AL54" s="25">
        <v>213</v>
      </c>
      <c r="AM54" s="301">
        <v>12.8</v>
      </c>
      <c r="AN54" s="331"/>
      <c r="AO54" s="331"/>
      <c r="AP54" s="16" t="s">
        <v>160</v>
      </c>
      <c r="AQ54" s="16" t="s">
        <v>161</v>
      </c>
      <c r="AR54" s="130">
        <f t="shared" si="0"/>
        <v>1404</v>
      </c>
      <c r="AS54" s="130">
        <f t="shared" si="1"/>
        <v>2</v>
      </c>
      <c r="AT54" s="130"/>
      <c r="AU54" s="130"/>
      <c r="AV54" s="12" t="str">
        <f t="shared" si="2"/>
        <v/>
      </c>
      <c r="AW54" s="12" t="str">
        <f t="shared" si="3"/>
        <v/>
      </c>
      <c r="AX54" s="12"/>
      <c r="AY54" s="309"/>
    </row>
    <row r="55" spans="1:51" s="19" customFormat="1" ht="30" hidden="1" customHeight="1" x14ac:dyDescent="0.2">
      <c r="A55" s="356">
        <v>53</v>
      </c>
      <c r="B55" s="307">
        <v>9</v>
      </c>
      <c r="C55" s="307">
        <v>2</v>
      </c>
      <c r="D55" s="16">
        <v>1404</v>
      </c>
      <c r="E55" s="300" t="s">
        <v>173</v>
      </c>
      <c r="F55" s="300" t="s">
        <v>9</v>
      </c>
      <c r="G55" s="300" t="s">
        <v>192</v>
      </c>
      <c r="H55" s="301" t="s">
        <v>7</v>
      </c>
      <c r="I55" s="360" t="s">
        <v>158</v>
      </c>
      <c r="J55" s="16" t="s">
        <v>84</v>
      </c>
      <c r="K55" s="300"/>
      <c r="L55" s="300" t="s">
        <v>155</v>
      </c>
      <c r="M55" s="300" t="s">
        <v>5215</v>
      </c>
      <c r="N55" s="300" t="s">
        <v>106</v>
      </c>
      <c r="O55" s="301" t="s">
        <v>107</v>
      </c>
      <c r="P55" s="436"/>
      <c r="Q55" s="436"/>
      <c r="R55" s="300"/>
      <c r="S55" s="300" t="s">
        <v>3680</v>
      </c>
      <c r="T55" s="300" t="s">
        <v>769</v>
      </c>
      <c r="U55" s="300" t="s">
        <v>5216</v>
      </c>
      <c r="V55" s="300" t="s">
        <v>73</v>
      </c>
      <c r="W55" s="300" t="s">
        <v>70</v>
      </c>
      <c r="X55" s="316"/>
      <c r="Y55" s="301"/>
      <c r="Z55" s="301">
        <v>250</v>
      </c>
      <c r="AA55" s="301">
        <v>0</v>
      </c>
      <c r="AB55" s="16">
        <v>216</v>
      </c>
      <c r="AC55" s="16">
        <v>170</v>
      </c>
      <c r="AD55" s="16">
        <v>180</v>
      </c>
      <c r="AE55" s="16">
        <v>4</v>
      </c>
      <c r="AF55" s="16">
        <v>35</v>
      </c>
      <c r="AG55" s="16">
        <v>219</v>
      </c>
      <c r="AH55" s="16">
        <v>18</v>
      </c>
      <c r="AI55" s="16">
        <v>6</v>
      </c>
      <c r="AJ55" s="301"/>
      <c r="AK55" s="300" t="s">
        <v>5214</v>
      </c>
      <c r="AL55" s="25">
        <v>223</v>
      </c>
      <c r="AM55" s="301">
        <v>18.399999999999999</v>
      </c>
      <c r="AN55" s="331"/>
      <c r="AO55" s="331"/>
      <c r="AP55" s="16" t="s">
        <v>160</v>
      </c>
      <c r="AQ55" s="16" t="s">
        <v>193</v>
      </c>
      <c r="AR55" s="130">
        <f t="shared" si="0"/>
        <v>1404</v>
      </c>
      <c r="AS55" s="130">
        <f t="shared" si="1"/>
        <v>2</v>
      </c>
      <c r="AT55" s="130"/>
      <c r="AU55" s="130"/>
      <c r="AV55" s="12" t="str">
        <f t="shared" si="2"/>
        <v/>
      </c>
      <c r="AW55" s="12" t="str">
        <f t="shared" si="3"/>
        <v/>
      </c>
      <c r="AX55" s="12"/>
      <c r="AY55" s="309"/>
    </row>
    <row r="56" spans="1:51" s="19" customFormat="1" ht="30" hidden="1" customHeight="1" x14ac:dyDescent="0.2">
      <c r="A56" s="356">
        <v>54</v>
      </c>
      <c r="B56" s="325">
        <v>9</v>
      </c>
      <c r="C56" s="325">
        <v>2</v>
      </c>
      <c r="D56" s="16">
        <v>1404</v>
      </c>
      <c r="E56" s="300" t="s">
        <v>5212</v>
      </c>
      <c r="F56" s="300" t="s">
        <v>20</v>
      </c>
      <c r="G56" s="300" t="s">
        <v>3661</v>
      </c>
      <c r="H56" s="301" t="s">
        <v>83</v>
      </c>
      <c r="I56" s="360" t="s">
        <v>158</v>
      </c>
      <c r="J56" s="16" t="s">
        <v>92</v>
      </c>
      <c r="K56" s="300"/>
      <c r="L56" s="300" t="s">
        <v>141</v>
      </c>
      <c r="M56" s="300" t="s">
        <v>1033</v>
      </c>
      <c r="N56" s="300" t="s">
        <v>142</v>
      </c>
      <c r="O56" s="301" t="s">
        <v>70</v>
      </c>
      <c r="P56" s="436"/>
      <c r="Q56" s="436"/>
      <c r="R56" s="300"/>
      <c r="S56" s="300" t="s">
        <v>2245</v>
      </c>
      <c r="T56" s="300" t="s">
        <v>485</v>
      </c>
      <c r="U56" s="300"/>
      <c r="V56" s="300" t="s">
        <v>119</v>
      </c>
      <c r="W56" s="300" t="s">
        <v>107</v>
      </c>
      <c r="X56" s="316"/>
      <c r="Y56" s="301" t="s">
        <v>5326</v>
      </c>
      <c r="Z56" s="301"/>
      <c r="AA56" s="301"/>
      <c r="AB56" s="16">
        <v>162</v>
      </c>
      <c r="AC56" s="16"/>
      <c r="AD56" s="16"/>
      <c r="AE56" s="16"/>
      <c r="AF56" s="16"/>
      <c r="AG56" s="16"/>
      <c r="AH56" s="16"/>
      <c r="AI56" s="16">
        <v>6</v>
      </c>
      <c r="AJ56" s="301"/>
      <c r="AK56" s="300"/>
      <c r="AL56" s="25"/>
      <c r="AM56" s="301"/>
      <c r="AN56" s="331"/>
      <c r="AO56" s="331"/>
      <c r="AP56" s="16"/>
      <c r="AQ56" s="16"/>
      <c r="AR56" s="130">
        <f t="shared" si="0"/>
        <v>1404</v>
      </c>
      <c r="AS56" s="130">
        <f t="shared" si="1"/>
        <v>2</v>
      </c>
      <c r="AT56" s="130">
        <v>1396</v>
      </c>
      <c r="AU56" s="130">
        <v>5</v>
      </c>
      <c r="AV56" s="12">
        <f t="shared" si="2"/>
        <v>93</v>
      </c>
      <c r="AW56" s="12" t="str">
        <f t="shared" si="3"/>
        <v/>
      </c>
      <c r="AX56" s="12"/>
      <c r="AY56" s="309"/>
    </row>
    <row r="57" spans="1:51" s="19" customFormat="1" ht="30" hidden="1" customHeight="1" x14ac:dyDescent="0.2">
      <c r="A57" s="356">
        <v>55</v>
      </c>
      <c r="B57" s="307">
        <v>10</v>
      </c>
      <c r="C57" s="307">
        <v>2</v>
      </c>
      <c r="D57" s="16">
        <v>1404</v>
      </c>
      <c r="E57" s="300" t="s">
        <v>5234</v>
      </c>
      <c r="F57" s="300" t="s">
        <v>243</v>
      </c>
      <c r="G57" s="300" t="s">
        <v>481</v>
      </c>
      <c r="H57" s="301" t="s">
        <v>83</v>
      </c>
      <c r="I57" s="360" t="s">
        <v>158</v>
      </c>
      <c r="J57" s="16" t="s">
        <v>84</v>
      </c>
      <c r="K57" s="300"/>
      <c r="L57" s="327" t="s">
        <v>104</v>
      </c>
      <c r="M57" s="327" t="s">
        <v>4386</v>
      </c>
      <c r="N57" s="327" t="s">
        <v>106</v>
      </c>
      <c r="O57" s="326" t="s">
        <v>107</v>
      </c>
      <c r="P57" s="436"/>
      <c r="Q57" s="436"/>
      <c r="R57" s="300"/>
      <c r="S57" s="327" t="s">
        <v>3679</v>
      </c>
      <c r="T57" s="327" t="s">
        <v>555</v>
      </c>
      <c r="U57" s="327" t="s">
        <v>4387</v>
      </c>
      <c r="V57" s="327" t="s">
        <v>106</v>
      </c>
      <c r="W57" s="327" t="s">
        <v>107</v>
      </c>
      <c r="X57" s="316"/>
      <c r="Y57" s="16" t="s">
        <v>4366</v>
      </c>
      <c r="Z57" s="301"/>
      <c r="AA57" s="301"/>
      <c r="AB57" s="16">
        <v>144</v>
      </c>
      <c r="AC57" s="16"/>
      <c r="AD57" s="16"/>
      <c r="AE57" s="16"/>
      <c r="AF57" s="16"/>
      <c r="AG57" s="16"/>
      <c r="AH57" s="16"/>
      <c r="AI57" s="16">
        <v>6</v>
      </c>
      <c r="AJ57" s="301"/>
      <c r="AK57" s="300"/>
      <c r="AL57" s="25"/>
      <c r="AM57" s="301"/>
      <c r="AN57" s="331"/>
      <c r="AO57" s="331"/>
      <c r="AP57" s="16" t="s">
        <v>5080</v>
      </c>
      <c r="AQ57" s="16" t="s">
        <v>5220</v>
      </c>
      <c r="AR57" s="130">
        <f t="shared" si="0"/>
        <v>1404</v>
      </c>
      <c r="AS57" s="130">
        <f t="shared" si="1"/>
        <v>2</v>
      </c>
      <c r="AT57" s="130">
        <v>1403</v>
      </c>
      <c r="AU57" s="130">
        <v>1</v>
      </c>
      <c r="AV57" s="12">
        <f t="shared" si="2"/>
        <v>13</v>
      </c>
      <c r="AW57" s="12" t="str">
        <f t="shared" si="3"/>
        <v/>
      </c>
      <c r="AX57" s="12"/>
      <c r="AY57" s="309"/>
    </row>
    <row r="58" spans="1:51" s="19" customFormat="1" ht="30" hidden="1" customHeight="1" x14ac:dyDescent="0.2">
      <c r="A58" s="356">
        <v>56</v>
      </c>
      <c r="B58" s="307">
        <v>11</v>
      </c>
      <c r="C58" s="307">
        <v>2</v>
      </c>
      <c r="D58" s="16">
        <v>1404</v>
      </c>
      <c r="E58" s="300" t="s">
        <v>2163</v>
      </c>
      <c r="F58" s="300" t="s">
        <v>20</v>
      </c>
      <c r="G58" s="300" t="s">
        <v>5247</v>
      </c>
      <c r="H58" s="301" t="s">
        <v>7</v>
      </c>
      <c r="I58" s="360" t="s">
        <v>158</v>
      </c>
      <c r="J58" s="16" t="s">
        <v>92</v>
      </c>
      <c r="K58" s="300" t="s">
        <v>68</v>
      </c>
      <c r="L58" s="300" t="s">
        <v>68</v>
      </c>
      <c r="M58" s="300" t="s">
        <v>5116</v>
      </c>
      <c r="N58" s="300" t="s">
        <v>369</v>
      </c>
      <c r="O58" s="301" t="s">
        <v>369</v>
      </c>
      <c r="P58" s="436"/>
      <c r="Q58" s="436"/>
      <c r="R58" s="300" t="s">
        <v>1727</v>
      </c>
      <c r="S58" s="300" t="s">
        <v>2245</v>
      </c>
      <c r="T58" s="300" t="s">
        <v>769</v>
      </c>
      <c r="U58" s="300"/>
      <c r="V58" s="300" t="s">
        <v>106</v>
      </c>
      <c r="W58" s="300" t="s">
        <v>107</v>
      </c>
      <c r="X58" s="316"/>
      <c r="Y58" s="301"/>
      <c r="Z58" s="301">
        <v>190</v>
      </c>
      <c r="AA58" s="301">
        <v>177</v>
      </c>
      <c r="AB58" s="16">
        <v>177</v>
      </c>
      <c r="AC58" s="16">
        <v>54</v>
      </c>
      <c r="AD58" s="16">
        <v>160</v>
      </c>
      <c r="AE58" s="16">
        <v>2</v>
      </c>
      <c r="AF58" s="16">
        <v>100</v>
      </c>
      <c r="AG58" s="16">
        <v>222</v>
      </c>
      <c r="AH58" s="16">
        <v>14</v>
      </c>
      <c r="AI58" s="16">
        <v>6</v>
      </c>
      <c r="AJ58" s="301"/>
      <c r="AK58" s="300" t="s">
        <v>5221</v>
      </c>
      <c r="AL58" s="25">
        <v>226</v>
      </c>
      <c r="AM58" s="301">
        <v>14.8</v>
      </c>
      <c r="AN58" s="331"/>
      <c r="AO58" s="331"/>
      <c r="AP58" s="16" t="s">
        <v>5080</v>
      </c>
      <c r="AQ58" s="16" t="s">
        <v>161</v>
      </c>
      <c r="AR58" s="130">
        <f t="shared" si="0"/>
        <v>1404</v>
      </c>
      <c r="AS58" s="130">
        <f t="shared" si="1"/>
        <v>2</v>
      </c>
      <c r="AT58" s="130"/>
      <c r="AU58" s="130"/>
      <c r="AV58" s="12" t="str">
        <f t="shared" si="2"/>
        <v/>
      </c>
      <c r="AW58" s="12" t="str">
        <f t="shared" si="3"/>
        <v/>
      </c>
      <c r="AX58" s="12"/>
      <c r="AY58" s="309"/>
    </row>
    <row r="59" spans="1:51" s="19" customFormat="1" ht="30" hidden="1" customHeight="1" x14ac:dyDescent="0.2">
      <c r="A59" s="356">
        <v>57</v>
      </c>
      <c r="B59" s="307">
        <v>11</v>
      </c>
      <c r="C59" s="307">
        <v>2</v>
      </c>
      <c r="D59" s="16">
        <v>1404</v>
      </c>
      <c r="E59" s="300" t="s">
        <v>2217</v>
      </c>
      <c r="F59" s="300" t="s">
        <v>6</v>
      </c>
      <c r="G59" s="300" t="s">
        <v>481</v>
      </c>
      <c r="H59" s="301" t="s">
        <v>83</v>
      </c>
      <c r="I59" s="360" t="s">
        <v>158</v>
      </c>
      <c r="J59" s="16" t="s">
        <v>84</v>
      </c>
      <c r="K59" s="300"/>
      <c r="L59" s="300" t="s">
        <v>223</v>
      </c>
      <c r="M59" s="300"/>
      <c r="N59" s="300" t="s">
        <v>369</v>
      </c>
      <c r="O59" s="301" t="s">
        <v>369</v>
      </c>
      <c r="P59" s="436"/>
      <c r="Q59" s="436"/>
      <c r="R59" s="300"/>
      <c r="S59" s="300" t="s">
        <v>1809</v>
      </c>
      <c r="T59" s="300" t="s">
        <v>2258</v>
      </c>
      <c r="U59" s="300"/>
      <c r="V59" s="300" t="s">
        <v>69</v>
      </c>
      <c r="W59" s="300" t="s">
        <v>70</v>
      </c>
      <c r="X59" s="316"/>
      <c r="Y59" s="301" t="s">
        <v>5222</v>
      </c>
      <c r="Z59" s="301"/>
      <c r="AA59" s="301"/>
      <c r="AB59" s="16">
        <v>222</v>
      </c>
      <c r="AC59" s="16"/>
      <c r="AD59" s="16"/>
      <c r="AE59" s="16"/>
      <c r="AF59" s="16"/>
      <c r="AG59" s="16"/>
      <c r="AH59" s="16"/>
      <c r="AI59" s="16">
        <v>4</v>
      </c>
      <c r="AJ59" s="301"/>
      <c r="AK59" s="300"/>
      <c r="AL59" s="25"/>
      <c r="AM59" s="301"/>
      <c r="AN59" s="331"/>
      <c r="AO59" s="331"/>
      <c r="AP59" s="16" t="s">
        <v>160</v>
      </c>
      <c r="AQ59" s="16"/>
      <c r="AR59" s="130">
        <f t="shared" si="0"/>
        <v>1404</v>
      </c>
      <c r="AS59" s="130">
        <f t="shared" si="1"/>
        <v>2</v>
      </c>
      <c r="AT59" s="130">
        <v>1400</v>
      </c>
      <c r="AU59" s="130">
        <v>11</v>
      </c>
      <c r="AV59" s="12">
        <f t="shared" si="2"/>
        <v>39</v>
      </c>
      <c r="AW59" s="12" t="str">
        <f t="shared" si="3"/>
        <v/>
      </c>
      <c r="AX59" s="12"/>
      <c r="AY59" s="309"/>
    </row>
    <row r="60" spans="1:51" s="19" customFormat="1" ht="30" hidden="1" customHeight="1" x14ac:dyDescent="0.2">
      <c r="A60" s="356">
        <v>58</v>
      </c>
      <c r="B60" s="307">
        <v>12</v>
      </c>
      <c r="C60" s="307">
        <v>2</v>
      </c>
      <c r="D60" s="16">
        <v>1404</v>
      </c>
      <c r="E60" s="300" t="s">
        <v>5217</v>
      </c>
      <c r="F60" s="300" t="s">
        <v>10</v>
      </c>
      <c r="G60" s="300" t="s">
        <v>1587</v>
      </c>
      <c r="H60" s="301" t="s">
        <v>83</v>
      </c>
      <c r="I60" s="360" t="s">
        <v>158</v>
      </c>
      <c r="J60" s="16" t="s">
        <v>84</v>
      </c>
      <c r="K60" s="300"/>
      <c r="L60" s="300" t="s">
        <v>140</v>
      </c>
      <c r="M60" s="300"/>
      <c r="N60" s="300" t="s">
        <v>142</v>
      </c>
      <c r="O60" s="301" t="s">
        <v>70</v>
      </c>
      <c r="P60" s="436"/>
      <c r="Q60" s="436"/>
      <c r="R60" s="300"/>
      <c r="S60" s="300" t="s">
        <v>2245</v>
      </c>
      <c r="T60" s="300" t="s">
        <v>116</v>
      </c>
      <c r="U60" s="300"/>
      <c r="V60" s="300" t="s">
        <v>142</v>
      </c>
      <c r="W60" s="300" t="s">
        <v>70</v>
      </c>
      <c r="X60" s="316"/>
      <c r="Y60" s="301" t="s">
        <v>5223</v>
      </c>
      <c r="Z60" s="301"/>
      <c r="AA60" s="301"/>
      <c r="AB60" s="16">
        <v>192</v>
      </c>
      <c r="AC60" s="16"/>
      <c r="AD60" s="16"/>
      <c r="AE60" s="16"/>
      <c r="AF60" s="16"/>
      <c r="AG60" s="16"/>
      <c r="AH60" s="16"/>
      <c r="AI60" s="16">
        <v>6</v>
      </c>
      <c r="AJ60" s="301"/>
      <c r="AK60" s="300"/>
      <c r="AL60" s="25"/>
      <c r="AM60" s="301"/>
      <c r="AN60" s="331"/>
      <c r="AO60" s="331"/>
      <c r="AP60" s="16" t="s">
        <v>5080</v>
      </c>
      <c r="AQ60" s="16" t="s">
        <v>161</v>
      </c>
      <c r="AR60" s="130">
        <f t="shared" si="0"/>
        <v>1404</v>
      </c>
      <c r="AS60" s="130">
        <f t="shared" si="1"/>
        <v>2</v>
      </c>
      <c r="AT60" s="130">
        <v>1398</v>
      </c>
      <c r="AU60" s="130">
        <v>12</v>
      </c>
      <c r="AV60" s="12">
        <f t="shared" si="2"/>
        <v>62</v>
      </c>
      <c r="AW60" s="12" t="str">
        <f t="shared" si="3"/>
        <v/>
      </c>
      <c r="AX60" s="12"/>
      <c r="AY60" s="309"/>
    </row>
    <row r="61" spans="1:51" s="19" customFormat="1" ht="30" hidden="1" customHeight="1" x14ac:dyDescent="0.2">
      <c r="A61" s="356">
        <v>59</v>
      </c>
      <c r="B61" s="307">
        <v>12</v>
      </c>
      <c r="C61" s="307">
        <v>2</v>
      </c>
      <c r="D61" s="16">
        <v>1404</v>
      </c>
      <c r="E61" s="300" t="s">
        <v>5218</v>
      </c>
      <c r="F61" s="300" t="s">
        <v>66</v>
      </c>
      <c r="G61" s="300" t="s">
        <v>192</v>
      </c>
      <c r="H61" s="301" t="s">
        <v>7</v>
      </c>
      <c r="I61" s="360" t="s">
        <v>158</v>
      </c>
      <c r="J61" s="16" t="s">
        <v>92</v>
      </c>
      <c r="K61" s="300"/>
      <c r="L61" s="300" t="s">
        <v>141</v>
      </c>
      <c r="M61" s="300"/>
      <c r="N61" s="349" t="s">
        <v>106</v>
      </c>
      <c r="O61" s="350" t="s">
        <v>107</v>
      </c>
      <c r="P61" s="436"/>
      <c r="Q61" s="436"/>
      <c r="R61" s="300"/>
      <c r="S61" s="300" t="s">
        <v>1809</v>
      </c>
      <c r="T61" s="300" t="s">
        <v>144</v>
      </c>
      <c r="U61" s="300"/>
      <c r="V61" s="300" t="s">
        <v>69</v>
      </c>
      <c r="W61" s="300" t="s">
        <v>70</v>
      </c>
      <c r="X61" s="316"/>
      <c r="Y61" s="301"/>
      <c r="Z61" s="301">
        <v>178</v>
      </c>
      <c r="AA61" s="301">
        <v>0</v>
      </c>
      <c r="AB61" s="16">
        <v>170</v>
      </c>
      <c r="AC61" s="16">
        <v>71</v>
      </c>
      <c r="AD61" s="16">
        <v>140</v>
      </c>
      <c r="AE61" s="16">
        <v>4</v>
      </c>
      <c r="AF61" s="16">
        <v>40</v>
      </c>
      <c r="AG61" s="16">
        <v>184</v>
      </c>
      <c r="AH61" s="16">
        <v>7</v>
      </c>
      <c r="AI61" s="16">
        <v>4</v>
      </c>
      <c r="AJ61" s="301"/>
      <c r="AK61" s="300"/>
      <c r="AL61" s="25"/>
      <c r="AM61" s="301"/>
      <c r="AN61" s="331"/>
      <c r="AO61" s="331"/>
      <c r="AP61" s="16"/>
      <c r="AQ61" s="16"/>
      <c r="AR61" s="130">
        <f t="shared" si="0"/>
        <v>1404</v>
      </c>
      <c r="AS61" s="130">
        <f t="shared" si="1"/>
        <v>2</v>
      </c>
      <c r="AT61" s="130"/>
      <c r="AU61" s="130"/>
      <c r="AV61" s="12" t="str">
        <f t="shared" si="2"/>
        <v/>
      </c>
      <c r="AW61" s="12" t="str">
        <f t="shared" si="3"/>
        <v/>
      </c>
      <c r="AX61" s="12"/>
      <c r="AY61" s="309"/>
    </row>
    <row r="62" spans="1:51" s="19" customFormat="1" ht="30" hidden="1" customHeight="1" x14ac:dyDescent="0.2">
      <c r="A62" s="356">
        <v>60</v>
      </c>
      <c r="B62" s="307">
        <v>13</v>
      </c>
      <c r="C62" s="307">
        <v>2</v>
      </c>
      <c r="D62" s="16">
        <v>1404</v>
      </c>
      <c r="E62" s="300" t="s">
        <v>3217</v>
      </c>
      <c r="F62" s="300" t="s">
        <v>10</v>
      </c>
      <c r="G62" s="300" t="s">
        <v>192</v>
      </c>
      <c r="H62" s="301" t="s">
        <v>7</v>
      </c>
      <c r="I62" s="360" t="s">
        <v>158</v>
      </c>
      <c r="J62" s="16" t="s">
        <v>84</v>
      </c>
      <c r="K62" s="300"/>
      <c r="L62" s="300" t="s">
        <v>155</v>
      </c>
      <c r="M62" s="300"/>
      <c r="N62" s="327" t="s">
        <v>106</v>
      </c>
      <c r="O62" s="326" t="s">
        <v>107</v>
      </c>
      <c r="P62" s="436"/>
      <c r="Q62" s="436"/>
      <c r="R62" s="300"/>
      <c r="S62" s="300" t="s">
        <v>3680</v>
      </c>
      <c r="T62" s="300" t="s">
        <v>769</v>
      </c>
      <c r="U62" s="300"/>
      <c r="V62" s="327" t="s">
        <v>73</v>
      </c>
      <c r="W62" s="327" t="s">
        <v>70</v>
      </c>
      <c r="X62" s="316"/>
      <c r="Y62" s="301"/>
      <c r="Z62" s="301">
        <v>229</v>
      </c>
      <c r="AA62" s="301">
        <v>0</v>
      </c>
      <c r="AB62" s="16">
        <v>216</v>
      </c>
      <c r="AC62" s="16">
        <v>114</v>
      </c>
      <c r="AD62" s="16">
        <v>132</v>
      </c>
      <c r="AE62" s="16">
        <v>6</v>
      </c>
      <c r="AF62" s="16">
        <v>38</v>
      </c>
      <c r="AG62" s="16">
        <v>176</v>
      </c>
      <c r="AH62" s="16">
        <v>22</v>
      </c>
      <c r="AI62" s="16">
        <v>6</v>
      </c>
      <c r="AJ62" s="301"/>
      <c r="AK62" s="300" t="s">
        <v>5219</v>
      </c>
      <c r="AL62" s="25">
        <v>180</v>
      </c>
      <c r="AM62" s="301">
        <v>23</v>
      </c>
      <c r="AN62" s="331"/>
      <c r="AO62" s="331"/>
      <c r="AP62" s="16" t="s">
        <v>160</v>
      </c>
      <c r="AQ62" s="16" t="s">
        <v>193</v>
      </c>
      <c r="AR62" s="130">
        <f t="shared" si="0"/>
        <v>1404</v>
      </c>
      <c r="AS62" s="130">
        <f t="shared" si="1"/>
        <v>2</v>
      </c>
      <c r="AT62" s="130"/>
      <c r="AU62" s="130"/>
      <c r="AV62" s="12" t="str">
        <f t="shared" si="2"/>
        <v/>
      </c>
      <c r="AW62" s="12" t="str">
        <f t="shared" si="3"/>
        <v/>
      </c>
      <c r="AX62" s="12"/>
      <c r="AY62" s="309"/>
    </row>
    <row r="63" spans="1:51" s="19" customFormat="1" ht="30" hidden="1" customHeight="1" x14ac:dyDescent="0.2">
      <c r="A63" s="356">
        <v>61</v>
      </c>
      <c r="B63" s="20">
        <v>13</v>
      </c>
      <c r="C63" s="20">
        <v>2</v>
      </c>
      <c r="D63" s="29">
        <v>1404</v>
      </c>
      <c r="E63" s="30" t="s">
        <v>4995</v>
      </c>
      <c r="F63" s="30" t="s">
        <v>9</v>
      </c>
      <c r="G63" s="30" t="s">
        <v>481</v>
      </c>
      <c r="H63" s="20" t="s">
        <v>83</v>
      </c>
      <c r="I63" s="360" t="s">
        <v>158</v>
      </c>
      <c r="J63" s="29" t="s">
        <v>92</v>
      </c>
      <c r="K63" s="30"/>
      <c r="L63" s="30" t="s">
        <v>117</v>
      </c>
      <c r="M63" s="30"/>
      <c r="N63" s="30" t="s">
        <v>106</v>
      </c>
      <c r="O63" s="20" t="s">
        <v>107</v>
      </c>
      <c r="P63" s="20"/>
      <c r="Q63" s="20"/>
      <c r="R63" s="30"/>
      <c r="S63" s="30" t="s">
        <v>2961</v>
      </c>
      <c r="T63" s="30" t="s">
        <v>1581</v>
      </c>
      <c r="U63" s="30"/>
      <c r="V63" s="30" t="s">
        <v>73</v>
      </c>
      <c r="W63" s="30" t="s">
        <v>70</v>
      </c>
      <c r="X63" s="30"/>
      <c r="Y63" s="20" t="s">
        <v>4996</v>
      </c>
      <c r="Z63" s="20"/>
      <c r="AA63" s="20"/>
      <c r="AB63" s="29">
        <v>219.5</v>
      </c>
      <c r="AC63" s="29"/>
      <c r="AD63" s="29"/>
      <c r="AE63" s="29"/>
      <c r="AF63" s="29"/>
      <c r="AG63" s="29"/>
      <c r="AH63" s="29"/>
      <c r="AI63" s="29">
        <v>6</v>
      </c>
      <c r="AJ63" s="20"/>
      <c r="AK63" s="30"/>
      <c r="AL63" s="36"/>
      <c r="AM63" s="20"/>
      <c r="AN63" s="20"/>
      <c r="AO63" s="20"/>
      <c r="AP63" s="29" t="s">
        <v>160</v>
      </c>
      <c r="AQ63" s="29" t="s">
        <v>193</v>
      </c>
      <c r="AR63" s="130">
        <f t="shared" si="0"/>
        <v>1404</v>
      </c>
      <c r="AS63" s="130">
        <f t="shared" si="1"/>
        <v>2</v>
      </c>
      <c r="AT63" s="318">
        <v>1403</v>
      </c>
      <c r="AU63" s="318">
        <v>11</v>
      </c>
      <c r="AV63" s="31">
        <f t="shared" si="2"/>
        <v>3</v>
      </c>
      <c r="AW63" s="31">
        <f t="shared" si="3"/>
        <v>3</v>
      </c>
      <c r="AX63" s="31" t="s">
        <v>5228</v>
      </c>
      <c r="AY63" s="59" t="s">
        <v>5259</v>
      </c>
    </row>
    <row r="64" spans="1:51" s="19" customFormat="1" ht="30" hidden="1" customHeight="1" x14ac:dyDescent="0.2">
      <c r="A64" s="356">
        <v>62</v>
      </c>
      <c r="B64" s="20">
        <v>14</v>
      </c>
      <c r="C64" s="20">
        <v>2</v>
      </c>
      <c r="D64" s="29">
        <v>1404</v>
      </c>
      <c r="E64" s="30" t="s">
        <v>5042</v>
      </c>
      <c r="F64" s="30" t="s">
        <v>2981</v>
      </c>
      <c r="G64" s="30" t="s">
        <v>202</v>
      </c>
      <c r="H64" s="20" t="s">
        <v>83</v>
      </c>
      <c r="I64" s="360" t="s">
        <v>158</v>
      </c>
      <c r="J64" s="29" t="s">
        <v>84</v>
      </c>
      <c r="K64" s="30"/>
      <c r="L64" s="30" t="s">
        <v>104</v>
      </c>
      <c r="M64" s="30" t="s">
        <v>5066</v>
      </c>
      <c r="N64" s="30" t="s">
        <v>106</v>
      </c>
      <c r="O64" s="20" t="s">
        <v>107</v>
      </c>
      <c r="P64" s="20"/>
      <c r="Q64" s="20"/>
      <c r="R64" s="30"/>
      <c r="S64" s="30" t="s">
        <v>3679</v>
      </c>
      <c r="T64" s="30" t="s">
        <v>555</v>
      </c>
      <c r="U64" s="30" t="s">
        <v>5065</v>
      </c>
      <c r="V64" s="30" t="s">
        <v>106</v>
      </c>
      <c r="W64" s="30" t="s">
        <v>107</v>
      </c>
      <c r="X64" s="30"/>
      <c r="Y64" s="29" t="s">
        <v>5041</v>
      </c>
      <c r="Z64" s="20"/>
      <c r="AA64" s="20"/>
      <c r="AB64" s="29">
        <v>222</v>
      </c>
      <c r="AC64" s="29"/>
      <c r="AD64" s="29"/>
      <c r="AE64" s="29"/>
      <c r="AF64" s="29"/>
      <c r="AG64" s="29"/>
      <c r="AH64" s="29"/>
      <c r="AI64" s="29">
        <v>6</v>
      </c>
      <c r="AJ64" s="20"/>
      <c r="AK64" s="30"/>
      <c r="AL64" s="36"/>
      <c r="AM64" s="20"/>
      <c r="AN64" s="20"/>
      <c r="AO64" s="20"/>
      <c r="AP64" s="29" t="s">
        <v>160</v>
      </c>
      <c r="AQ64" s="29" t="s">
        <v>161</v>
      </c>
      <c r="AR64" s="130">
        <f t="shared" si="0"/>
        <v>1404</v>
      </c>
      <c r="AS64" s="130">
        <f t="shared" si="1"/>
        <v>2</v>
      </c>
      <c r="AT64" s="318">
        <v>1403</v>
      </c>
      <c r="AU64" s="318">
        <v>12</v>
      </c>
      <c r="AV64" s="31">
        <f t="shared" si="2"/>
        <v>2</v>
      </c>
      <c r="AW64" s="31">
        <f t="shared" si="3"/>
        <v>2</v>
      </c>
      <c r="AX64" s="31" t="s">
        <v>5230</v>
      </c>
      <c r="AY64" s="59"/>
    </row>
    <row r="65" spans="1:51" s="19" customFormat="1" ht="30" hidden="1" customHeight="1" x14ac:dyDescent="0.2">
      <c r="A65" s="356">
        <v>63</v>
      </c>
      <c r="B65" s="307">
        <v>15</v>
      </c>
      <c r="C65" s="307">
        <v>2</v>
      </c>
      <c r="D65" s="16">
        <v>1404</v>
      </c>
      <c r="E65" s="300" t="s">
        <v>4995</v>
      </c>
      <c r="F65" s="300" t="s">
        <v>9</v>
      </c>
      <c r="G65" s="300" t="s">
        <v>5247</v>
      </c>
      <c r="H65" s="301" t="s">
        <v>7</v>
      </c>
      <c r="I65" s="360" t="s">
        <v>158</v>
      </c>
      <c r="J65" s="16" t="s">
        <v>92</v>
      </c>
      <c r="K65" s="35" t="s">
        <v>117</v>
      </c>
      <c r="L65" s="35" t="s">
        <v>104</v>
      </c>
      <c r="M65" s="300"/>
      <c r="N65" s="300" t="s">
        <v>106</v>
      </c>
      <c r="O65" s="301" t="s">
        <v>107</v>
      </c>
      <c r="P65" s="436"/>
      <c r="Q65" s="436"/>
      <c r="R65" s="35" t="s">
        <v>5083</v>
      </c>
      <c r="S65" s="35" t="s">
        <v>2245</v>
      </c>
      <c r="T65" s="35" t="s">
        <v>260</v>
      </c>
      <c r="U65" s="300"/>
      <c r="V65" s="300" t="s">
        <v>69</v>
      </c>
      <c r="W65" s="300" t="s">
        <v>70</v>
      </c>
      <c r="X65" s="316" t="s">
        <v>5187</v>
      </c>
      <c r="Y65" s="301"/>
      <c r="Z65" s="301"/>
      <c r="AA65" s="33">
        <v>216</v>
      </c>
      <c r="AB65" s="34">
        <v>213.5</v>
      </c>
      <c r="AC65" s="16">
        <v>136</v>
      </c>
      <c r="AD65" s="16">
        <v>187</v>
      </c>
      <c r="AE65" s="16">
        <v>3</v>
      </c>
      <c r="AF65" s="16">
        <v>20</v>
      </c>
      <c r="AG65" s="16">
        <v>210</v>
      </c>
      <c r="AH65" s="16">
        <v>12</v>
      </c>
      <c r="AI65" s="16">
        <v>6</v>
      </c>
      <c r="AJ65" s="301"/>
      <c r="AK65" s="300" t="s">
        <v>5219</v>
      </c>
      <c r="AL65" s="25">
        <v>212</v>
      </c>
      <c r="AM65" s="301">
        <v>12.4</v>
      </c>
      <c r="AN65" s="331"/>
      <c r="AO65" s="331"/>
      <c r="AP65" s="16" t="s">
        <v>160</v>
      </c>
      <c r="AQ65" s="16" t="s">
        <v>193</v>
      </c>
      <c r="AR65" s="130">
        <f t="shared" si="0"/>
        <v>1404</v>
      </c>
      <c r="AS65" s="130">
        <f t="shared" si="1"/>
        <v>2</v>
      </c>
      <c r="AT65" s="130"/>
      <c r="AU65" s="130"/>
      <c r="AV65" s="12" t="str">
        <f t="shared" si="2"/>
        <v/>
      </c>
      <c r="AW65" s="12" t="str">
        <f t="shared" si="3"/>
        <v/>
      </c>
      <c r="AX65" s="12"/>
      <c r="AY65" s="309"/>
    </row>
    <row r="66" spans="1:51" s="19" customFormat="1" ht="30" hidden="1" customHeight="1" x14ac:dyDescent="0.2">
      <c r="A66" s="356">
        <v>64</v>
      </c>
      <c r="B66" s="307">
        <v>15</v>
      </c>
      <c r="C66" s="307">
        <v>2</v>
      </c>
      <c r="D66" s="16">
        <v>1404</v>
      </c>
      <c r="E66" s="300" t="s">
        <v>5224</v>
      </c>
      <c r="F66" s="300" t="s">
        <v>243</v>
      </c>
      <c r="G66" s="300" t="s">
        <v>192</v>
      </c>
      <c r="H66" s="301" t="s">
        <v>7</v>
      </c>
      <c r="I66" s="360" t="s">
        <v>158</v>
      </c>
      <c r="J66" s="16" t="s">
        <v>84</v>
      </c>
      <c r="K66" s="300"/>
      <c r="L66" s="300" t="s">
        <v>68</v>
      </c>
      <c r="M66" s="300"/>
      <c r="N66" s="329" t="s">
        <v>106</v>
      </c>
      <c r="O66" s="328" t="s">
        <v>107</v>
      </c>
      <c r="P66" s="436"/>
      <c r="Q66" s="436"/>
      <c r="R66" s="300"/>
      <c r="S66" s="300" t="s">
        <v>3677</v>
      </c>
      <c r="T66" s="300" t="s">
        <v>485</v>
      </c>
      <c r="U66" s="300"/>
      <c r="V66" s="329" t="s">
        <v>106</v>
      </c>
      <c r="W66" s="328" t="s">
        <v>107</v>
      </c>
      <c r="X66" s="316"/>
      <c r="Y66" s="301"/>
      <c r="Z66" s="328">
        <v>228</v>
      </c>
      <c r="AA66" s="301">
        <v>0</v>
      </c>
      <c r="AB66" s="16">
        <v>216</v>
      </c>
      <c r="AC66" s="16">
        <v>43</v>
      </c>
      <c r="AD66" s="16">
        <v>64</v>
      </c>
      <c r="AE66" s="16">
        <v>7</v>
      </c>
      <c r="AF66" s="16">
        <v>29</v>
      </c>
      <c r="AG66" s="16">
        <v>100</v>
      </c>
      <c r="AH66" s="16">
        <v>23</v>
      </c>
      <c r="AI66" s="16">
        <v>6</v>
      </c>
      <c r="AJ66" s="301"/>
      <c r="AK66" s="300" t="s">
        <v>5225</v>
      </c>
      <c r="AL66" s="25">
        <v>146</v>
      </c>
      <c r="AM66" s="301">
        <v>24</v>
      </c>
      <c r="AN66" s="331"/>
      <c r="AO66" s="331"/>
      <c r="AP66" s="16" t="s">
        <v>160</v>
      </c>
      <c r="AQ66" s="16" t="s">
        <v>193</v>
      </c>
      <c r="AR66" s="130">
        <f t="shared" si="0"/>
        <v>1404</v>
      </c>
      <c r="AS66" s="130">
        <f t="shared" si="1"/>
        <v>2</v>
      </c>
      <c r="AT66" s="130"/>
      <c r="AU66" s="130"/>
      <c r="AV66" s="12" t="str">
        <f t="shared" si="2"/>
        <v/>
      </c>
      <c r="AW66" s="12" t="str">
        <f t="shared" si="3"/>
        <v/>
      </c>
      <c r="AX66" s="12"/>
      <c r="AY66" s="309" t="s">
        <v>5226</v>
      </c>
    </row>
    <row r="67" spans="1:51" s="19" customFormat="1" ht="30" hidden="1" customHeight="1" x14ac:dyDescent="0.2">
      <c r="A67" s="356">
        <v>65</v>
      </c>
      <c r="B67" s="307">
        <v>16</v>
      </c>
      <c r="C67" s="307">
        <v>2</v>
      </c>
      <c r="D67" s="16">
        <v>1404</v>
      </c>
      <c r="E67" s="300" t="s">
        <v>5234</v>
      </c>
      <c r="F67" s="300" t="s">
        <v>243</v>
      </c>
      <c r="G67" s="300" t="s">
        <v>5247</v>
      </c>
      <c r="H67" s="301" t="s">
        <v>7</v>
      </c>
      <c r="I67" s="360" t="s">
        <v>158</v>
      </c>
      <c r="J67" s="16" t="s">
        <v>92</v>
      </c>
      <c r="K67" s="35" t="s">
        <v>104</v>
      </c>
      <c r="L67" s="35" t="s">
        <v>68</v>
      </c>
      <c r="M67" s="300"/>
      <c r="N67" s="300" t="s">
        <v>106</v>
      </c>
      <c r="O67" s="301" t="s">
        <v>107</v>
      </c>
      <c r="P67" s="436"/>
      <c r="Q67" s="436"/>
      <c r="R67" s="35" t="s">
        <v>108</v>
      </c>
      <c r="S67" s="35" t="s">
        <v>3679</v>
      </c>
      <c r="T67" s="35" t="s">
        <v>485</v>
      </c>
      <c r="U67" s="300"/>
      <c r="V67" s="300" t="s">
        <v>106</v>
      </c>
      <c r="W67" s="300" t="s">
        <v>107</v>
      </c>
      <c r="X67" s="316" t="s">
        <v>5187</v>
      </c>
      <c r="Y67" s="301"/>
      <c r="Z67" s="301">
        <v>188</v>
      </c>
      <c r="AA67" s="301">
        <v>144</v>
      </c>
      <c r="AB67" s="16">
        <v>144</v>
      </c>
      <c r="AC67" s="16">
        <v>55</v>
      </c>
      <c r="AD67" s="16">
        <v>59</v>
      </c>
      <c r="AE67" s="16">
        <v>6</v>
      </c>
      <c r="AF67" s="16">
        <v>68</v>
      </c>
      <c r="AG67" s="16">
        <v>133</v>
      </c>
      <c r="AH67" s="16">
        <v>31</v>
      </c>
      <c r="AI67" s="16">
        <v>6</v>
      </c>
      <c r="AJ67" s="301"/>
      <c r="AK67" s="300" t="s">
        <v>5235</v>
      </c>
      <c r="AL67" s="25">
        <v>137</v>
      </c>
      <c r="AM67" s="301">
        <v>29.2</v>
      </c>
      <c r="AN67" s="331"/>
      <c r="AO67" s="331"/>
      <c r="AP67" s="16" t="s">
        <v>5080</v>
      </c>
      <c r="AQ67" s="16" t="s">
        <v>5236</v>
      </c>
      <c r="AR67" s="130">
        <f t="shared" ref="AR67:AR130" si="4">D67</f>
        <v>1404</v>
      </c>
      <c r="AS67" s="130">
        <f t="shared" ref="AS67:AS130" si="5">C67</f>
        <v>2</v>
      </c>
      <c r="AT67" s="130"/>
      <c r="AU67" s="130"/>
      <c r="AV67" s="12" t="str">
        <f t="shared" si="2"/>
        <v/>
      </c>
      <c r="AW67" s="12" t="str">
        <f t="shared" si="3"/>
        <v/>
      </c>
      <c r="AX67" s="12"/>
      <c r="AY67" s="309"/>
    </row>
    <row r="68" spans="1:51" s="19" customFormat="1" ht="30" hidden="1" customHeight="1" x14ac:dyDescent="0.2">
      <c r="A68" s="356">
        <v>66</v>
      </c>
      <c r="B68" s="307">
        <v>17</v>
      </c>
      <c r="C68" s="330">
        <v>2</v>
      </c>
      <c r="D68" s="16">
        <v>1404</v>
      </c>
      <c r="E68" s="300" t="s">
        <v>1176</v>
      </c>
      <c r="F68" s="300" t="s">
        <v>243</v>
      </c>
      <c r="G68" s="300" t="s">
        <v>192</v>
      </c>
      <c r="H68" s="301" t="s">
        <v>7</v>
      </c>
      <c r="I68" s="360" t="s">
        <v>158</v>
      </c>
      <c r="J68" s="16" t="s">
        <v>92</v>
      </c>
      <c r="K68" s="300"/>
      <c r="L68" s="300" t="s">
        <v>68</v>
      </c>
      <c r="M68" s="300"/>
      <c r="N68" s="300" t="s">
        <v>69</v>
      </c>
      <c r="O68" s="301" t="s">
        <v>70</v>
      </c>
      <c r="P68" s="436"/>
      <c r="Q68" s="436"/>
      <c r="R68" s="300"/>
      <c r="S68" s="300" t="s">
        <v>3677</v>
      </c>
      <c r="T68" s="300" t="s">
        <v>485</v>
      </c>
      <c r="U68" s="300"/>
      <c r="V68" s="300" t="s">
        <v>262</v>
      </c>
      <c r="W68" s="300" t="s">
        <v>70</v>
      </c>
      <c r="X68" s="316"/>
      <c r="Y68" s="301"/>
      <c r="Z68" s="301">
        <v>220</v>
      </c>
      <c r="AA68" s="301">
        <v>0</v>
      </c>
      <c r="AB68" s="16">
        <v>202</v>
      </c>
      <c r="AC68" s="16">
        <v>90</v>
      </c>
      <c r="AD68" s="16">
        <v>125</v>
      </c>
      <c r="AE68" s="16">
        <v>6</v>
      </c>
      <c r="AF68" s="16">
        <v>30</v>
      </c>
      <c r="AG68" s="16">
        <v>161</v>
      </c>
      <c r="AH68" s="16">
        <v>23</v>
      </c>
      <c r="AI68" s="16">
        <v>6</v>
      </c>
      <c r="AJ68" s="301"/>
      <c r="AK68" s="300" t="s">
        <v>5237</v>
      </c>
      <c r="AL68" s="25">
        <v>169</v>
      </c>
      <c r="AM68" s="301">
        <v>26.9</v>
      </c>
      <c r="AN68" s="331"/>
      <c r="AO68" s="331"/>
      <c r="AP68" s="16" t="s">
        <v>160</v>
      </c>
      <c r="AQ68" s="16" t="s">
        <v>193</v>
      </c>
      <c r="AR68" s="130">
        <f t="shared" si="4"/>
        <v>1404</v>
      </c>
      <c r="AS68" s="130">
        <f t="shared" si="5"/>
        <v>2</v>
      </c>
      <c r="AT68" s="130"/>
      <c r="AU68" s="130"/>
      <c r="AV68" s="12" t="str">
        <f t="shared" si="2"/>
        <v/>
      </c>
      <c r="AW68" s="12" t="str">
        <f t="shared" si="3"/>
        <v/>
      </c>
      <c r="AX68" s="12"/>
      <c r="AY68" s="309"/>
    </row>
    <row r="69" spans="1:51" s="19" customFormat="1" ht="30" hidden="1" customHeight="1" x14ac:dyDescent="0.2">
      <c r="A69" s="356">
        <v>67</v>
      </c>
      <c r="B69" s="330">
        <v>17</v>
      </c>
      <c r="C69" s="330">
        <v>2</v>
      </c>
      <c r="D69" s="16">
        <v>1404</v>
      </c>
      <c r="E69" s="300" t="s">
        <v>3212</v>
      </c>
      <c r="F69" s="300" t="s">
        <v>6</v>
      </c>
      <c r="G69" s="300" t="s">
        <v>192</v>
      </c>
      <c r="H69" s="301" t="s">
        <v>7</v>
      </c>
      <c r="I69" s="360" t="s">
        <v>158</v>
      </c>
      <c r="J69" s="16" t="s">
        <v>84</v>
      </c>
      <c r="K69" s="300"/>
      <c r="L69" s="300" t="s">
        <v>155</v>
      </c>
      <c r="M69" s="300"/>
      <c r="N69" s="300" t="s">
        <v>106</v>
      </c>
      <c r="O69" s="301" t="s">
        <v>107</v>
      </c>
      <c r="P69" s="436"/>
      <c r="Q69" s="436"/>
      <c r="R69" s="300"/>
      <c r="S69" s="300" t="s">
        <v>3677</v>
      </c>
      <c r="T69" s="300" t="s">
        <v>441</v>
      </c>
      <c r="U69" s="300"/>
      <c r="V69" s="300" t="s">
        <v>106</v>
      </c>
      <c r="W69" s="300" t="s">
        <v>107</v>
      </c>
      <c r="X69" s="316"/>
      <c r="Y69" s="301"/>
      <c r="Z69" s="301">
        <v>248</v>
      </c>
      <c r="AA69" s="301">
        <v>0</v>
      </c>
      <c r="AB69" s="16">
        <v>231</v>
      </c>
      <c r="AC69" s="16">
        <v>163</v>
      </c>
      <c r="AD69" s="16">
        <v>203</v>
      </c>
      <c r="AE69" s="16">
        <v>4</v>
      </c>
      <c r="AF69" s="16">
        <v>43</v>
      </c>
      <c r="AG69" s="16"/>
      <c r="AH69" s="16">
        <v>18</v>
      </c>
      <c r="AI69" s="16">
        <v>6</v>
      </c>
      <c r="AJ69" s="301"/>
      <c r="AK69" s="300" t="s">
        <v>5238</v>
      </c>
      <c r="AL69" s="25">
        <v>249</v>
      </c>
      <c r="AM69" s="301">
        <v>18.600000000000001</v>
      </c>
      <c r="AN69" s="331"/>
      <c r="AO69" s="331"/>
      <c r="AP69" s="16" t="s">
        <v>160</v>
      </c>
      <c r="AQ69" s="16" t="s">
        <v>165</v>
      </c>
      <c r="AR69" s="130">
        <f t="shared" si="4"/>
        <v>1404</v>
      </c>
      <c r="AS69" s="130">
        <f t="shared" si="5"/>
        <v>2</v>
      </c>
      <c r="AT69" s="130"/>
      <c r="AU69" s="130"/>
      <c r="AV69" s="12" t="str">
        <f t="shared" ref="AV69:AV132" si="6">IF(AR69*AT69&gt;0,(AR69-AT69)*12+(AS69-AU69),"")</f>
        <v/>
      </c>
      <c r="AW69" s="12" t="str">
        <f t="shared" si="3"/>
        <v/>
      </c>
      <c r="AX69" s="12"/>
      <c r="AY69" s="309"/>
    </row>
    <row r="70" spans="1:51" s="19" customFormat="1" ht="30" hidden="1" customHeight="1" x14ac:dyDescent="0.2">
      <c r="A70" s="356">
        <v>68</v>
      </c>
      <c r="B70" s="330">
        <v>17</v>
      </c>
      <c r="C70" s="330">
        <v>2</v>
      </c>
      <c r="D70" s="16">
        <v>1404</v>
      </c>
      <c r="E70" s="300" t="s">
        <v>4968</v>
      </c>
      <c r="F70" s="300" t="s">
        <v>20</v>
      </c>
      <c r="G70" s="300" t="s">
        <v>5250</v>
      </c>
      <c r="H70" s="301" t="s">
        <v>7</v>
      </c>
      <c r="I70" s="360" t="s">
        <v>158</v>
      </c>
      <c r="J70" s="16" t="s">
        <v>84</v>
      </c>
      <c r="K70" s="300" t="s">
        <v>68</v>
      </c>
      <c r="L70" s="300" t="s">
        <v>68</v>
      </c>
      <c r="M70" s="300"/>
      <c r="N70" s="300" t="s">
        <v>106</v>
      </c>
      <c r="O70" s="301" t="s">
        <v>107</v>
      </c>
      <c r="P70" s="436"/>
      <c r="Q70" s="436"/>
      <c r="R70" s="35" t="s">
        <v>332</v>
      </c>
      <c r="S70" s="35" t="s">
        <v>1510</v>
      </c>
      <c r="T70" s="35" t="s">
        <v>769</v>
      </c>
      <c r="U70" s="300"/>
      <c r="V70" s="300" t="s">
        <v>106</v>
      </c>
      <c r="W70" s="300" t="s">
        <v>107</v>
      </c>
      <c r="X70" s="316" t="s">
        <v>5187</v>
      </c>
      <c r="Y70" s="301"/>
      <c r="Z70" s="301">
        <v>218</v>
      </c>
      <c r="AA70" s="33">
        <v>216</v>
      </c>
      <c r="AB70" s="34">
        <v>207</v>
      </c>
      <c r="AC70" s="16">
        <v>103</v>
      </c>
      <c r="AD70" s="16">
        <v>166</v>
      </c>
      <c r="AE70" s="16">
        <v>4</v>
      </c>
      <c r="AF70" s="16">
        <v>20</v>
      </c>
      <c r="AG70" s="16">
        <v>190</v>
      </c>
      <c r="AH70" s="16">
        <v>16</v>
      </c>
      <c r="AI70" s="16">
        <v>6</v>
      </c>
      <c r="AJ70" s="301"/>
      <c r="AK70" s="300" t="s">
        <v>5238</v>
      </c>
      <c r="AL70" s="25">
        <v>186</v>
      </c>
      <c r="AM70" s="301">
        <v>17</v>
      </c>
      <c r="AN70" s="331"/>
      <c r="AO70" s="331"/>
      <c r="AP70" s="16" t="s">
        <v>160</v>
      </c>
      <c r="AQ70" s="16" t="s">
        <v>193</v>
      </c>
      <c r="AR70" s="130">
        <f t="shared" si="4"/>
        <v>1404</v>
      </c>
      <c r="AS70" s="130">
        <f t="shared" si="5"/>
        <v>2</v>
      </c>
      <c r="AT70" s="130"/>
      <c r="AU70" s="130"/>
      <c r="AV70" s="12" t="str">
        <f t="shared" si="6"/>
        <v/>
      </c>
      <c r="AW70" s="12" t="str">
        <f t="shared" ref="AW70:AW133" si="7">IF(AV70&lt;13,AV70,"")</f>
        <v/>
      </c>
      <c r="AX70" s="12"/>
      <c r="AY70" s="309"/>
    </row>
    <row r="71" spans="1:51" s="19" customFormat="1" ht="30" hidden="1" customHeight="1" x14ac:dyDescent="0.2">
      <c r="A71" s="356">
        <v>69</v>
      </c>
      <c r="B71" s="331">
        <v>18</v>
      </c>
      <c r="C71" s="307">
        <v>2</v>
      </c>
      <c r="D71" s="16">
        <v>1404</v>
      </c>
      <c r="E71" s="300" t="s">
        <v>2658</v>
      </c>
      <c r="F71" s="300" t="s">
        <v>6</v>
      </c>
      <c r="G71" s="300" t="s">
        <v>481</v>
      </c>
      <c r="H71" s="301" t="s">
        <v>83</v>
      </c>
      <c r="I71" s="360" t="s">
        <v>158</v>
      </c>
      <c r="J71" s="16" t="s">
        <v>84</v>
      </c>
      <c r="K71" s="300"/>
      <c r="L71" s="300" t="s">
        <v>155</v>
      </c>
      <c r="M71" s="300"/>
      <c r="N71" s="300" t="s">
        <v>119</v>
      </c>
      <c r="O71" s="301" t="s">
        <v>107</v>
      </c>
      <c r="P71" s="436"/>
      <c r="Q71" s="436"/>
      <c r="R71" s="300"/>
      <c r="S71" s="300" t="s">
        <v>3679</v>
      </c>
      <c r="T71" s="300" t="s">
        <v>718</v>
      </c>
      <c r="U71" s="300"/>
      <c r="V71" s="300" t="s">
        <v>142</v>
      </c>
      <c r="W71" s="300" t="s">
        <v>70</v>
      </c>
      <c r="X71" s="316"/>
      <c r="Y71" s="301"/>
      <c r="Z71" s="301"/>
      <c r="AA71" s="301"/>
      <c r="AB71" s="16">
        <v>156</v>
      </c>
      <c r="AC71" s="16"/>
      <c r="AD71" s="16"/>
      <c r="AE71" s="16"/>
      <c r="AF71" s="16"/>
      <c r="AG71" s="16"/>
      <c r="AH71" s="16"/>
      <c r="AI71" s="16">
        <v>6</v>
      </c>
      <c r="AJ71" s="301"/>
      <c r="AK71" s="300"/>
      <c r="AL71" s="25"/>
      <c r="AM71" s="301"/>
      <c r="AN71" s="331"/>
      <c r="AO71" s="331"/>
      <c r="AP71" s="16" t="s">
        <v>5080</v>
      </c>
      <c r="AQ71" s="16" t="s">
        <v>161</v>
      </c>
      <c r="AR71" s="130">
        <f t="shared" si="4"/>
        <v>1404</v>
      </c>
      <c r="AS71" s="130">
        <f t="shared" si="5"/>
        <v>2</v>
      </c>
      <c r="AT71" s="130">
        <v>1400</v>
      </c>
      <c r="AU71" s="130">
        <v>12</v>
      </c>
      <c r="AV71" s="12">
        <f t="shared" si="6"/>
        <v>38</v>
      </c>
      <c r="AW71" s="12" t="str">
        <f t="shared" si="7"/>
        <v/>
      </c>
      <c r="AX71" s="12" t="s">
        <v>5241</v>
      </c>
      <c r="AY71" s="309" t="s">
        <v>5242</v>
      </c>
    </row>
    <row r="72" spans="1:51" s="19" customFormat="1" ht="30" hidden="1" customHeight="1" x14ac:dyDescent="0.2">
      <c r="A72" s="356">
        <v>70</v>
      </c>
      <c r="B72" s="307">
        <v>19</v>
      </c>
      <c r="C72" s="307">
        <v>2</v>
      </c>
      <c r="D72" s="16">
        <v>1404</v>
      </c>
      <c r="E72" s="300" t="s">
        <v>5243</v>
      </c>
      <c r="F72" s="300" t="s">
        <v>66</v>
      </c>
      <c r="G72" s="300" t="s">
        <v>192</v>
      </c>
      <c r="H72" s="301" t="s">
        <v>7</v>
      </c>
      <c r="I72" s="360" t="s">
        <v>158</v>
      </c>
      <c r="J72" s="16" t="s">
        <v>84</v>
      </c>
      <c r="K72" s="300"/>
      <c r="L72" s="300" t="s">
        <v>718</v>
      </c>
      <c r="M72" s="300"/>
      <c r="N72" s="300" t="s">
        <v>69</v>
      </c>
      <c r="O72" s="301" t="s">
        <v>70</v>
      </c>
      <c r="P72" s="436"/>
      <c r="Q72" s="436"/>
      <c r="R72" s="300"/>
      <c r="S72" s="300" t="s">
        <v>4016</v>
      </c>
      <c r="T72" s="300" t="s">
        <v>334</v>
      </c>
      <c r="U72" s="300"/>
      <c r="V72" s="300" t="s">
        <v>69</v>
      </c>
      <c r="W72" s="300" t="s">
        <v>70</v>
      </c>
      <c r="X72" s="316"/>
      <c r="Y72" s="301"/>
      <c r="Z72" s="301">
        <v>200</v>
      </c>
      <c r="AA72" s="301">
        <v>0</v>
      </c>
      <c r="AB72" s="16">
        <v>186</v>
      </c>
      <c r="AC72" s="16">
        <v>83</v>
      </c>
      <c r="AD72" s="16">
        <v>173</v>
      </c>
      <c r="AE72" s="16">
        <v>1</v>
      </c>
      <c r="AF72" s="16">
        <v>7</v>
      </c>
      <c r="AG72" s="16">
        <v>181</v>
      </c>
      <c r="AH72" s="16">
        <v>2.5</v>
      </c>
      <c r="AI72" s="16">
        <v>4</v>
      </c>
      <c r="AJ72" s="301"/>
      <c r="AK72" s="300" t="s">
        <v>5245</v>
      </c>
      <c r="AL72" s="25"/>
      <c r="AM72" s="301"/>
      <c r="AN72" s="331" t="s">
        <v>5244</v>
      </c>
      <c r="AO72" s="331">
        <v>184</v>
      </c>
      <c r="AP72" s="16" t="s">
        <v>160</v>
      </c>
      <c r="AQ72" s="16" t="s">
        <v>1956</v>
      </c>
      <c r="AR72" s="130">
        <f t="shared" si="4"/>
        <v>1404</v>
      </c>
      <c r="AS72" s="130">
        <f t="shared" si="5"/>
        <v>2</v>
      </c>
      <c r="AT72" s="130"/>
      <c r="AU72" s="130"/>
      <c r="AV72" s="12" t="str">
        <f t="shared" si="6"/>
        <v/>
      </c>
      <c r="AW72" s="12" t="str">
        <f t="shared" si="7"/>
        <v/>
      </c>
      <c r="AX72" s="12"/>
      <c r="AY72" s="309"/>
    </row>
    <row r="73" spans="1:51" s="19" customFormat="1" ht="30" hidden="1" customHeight="1" x14ac:dyDescent="0.2">
      <c r="A73" s="356">
        <v>71</v>
      </c>
      <c r="B73" s="331">
        <v>19</v>
      </c>
      <c r="C73" s="331">
        <v>2</v>
      </c>
      <c r="D73" s="16">
        <v>1404</v>
      </c>
      <c r="E73" s="300" t="s">
        <v>2501</v>
      </c>
      <c r="F73" s="300" t="s">
        <v>9</v>
      </c>
      <c r="G73" s="300" t="s">
        <v>5250</v>
      </c>
      <c r="H73" s="301" t="s">
        <v>7</v>
      </c>
      <c r="I73" s="360" t="s">
        <v>158</v>
      </c>
      <c r="J73" s="16" t="s">
        <v>92</v>
      </c>
      <c r="K73" s="35" t="s">
        <v>117</v>
      </c>
      <c r="L73" s="35" t="s">
        <v>141</v>
      </c>
      <c r="M73" s="300"/>
      <c r="N73" s="300" t="s">
        <v>69</v>
      </c>
      <c r="O73" s="301" t="s">
        <v>70</v>
      </c>
      <c r="P73" s="436"/>
      <c r="Q73" s="436"/>
      <c r="R73" s="35" t="s">
        <v>204</v>
      </c>
      <c r="S73" s="35" t="s">
        <v>2961</v>
      </c>
      <c r="T73" s="35" t="s">
        <v>2258</v>
      </c>
      <c r="U73" s="300"/>
      <c r="V73" s="300" t="s">
        <v>73</v>
      </c>
      <c r="W73" s="300" t="s">
        <v>70</v>
      </c>
      <c r="X73" s="316" t="s">
        <v>5187</v>
      </c>
      <c r="Y73" s="301"/>
      <c r="Z73" s="301">
        <v>223</v>
      </c>
      <c r="AA73" s="301">
        <v>210</v>
      </c>
      <c r="AB73" s="16">
        <v>210</v>
      </c>
      <c r="AC73" s="16">
        <v>135</v>
      </c>
      <c r="AD73" s="16">
        <v>173</v>
      </c>
      <c r="AE73" s="16">
        <v>2</v>
      </c>
      <c r="AF73" s="16">
        <v>5</v>
      </c>
      <c r="AG73" s="16">
        <v>180</v>
      </c>
      <c r="AH73" s="16">
        <v>8</v>
      </c>
      <c r="AI73" s="16">
        <v>6</v>
      </c>
      <c r="AJ73" s="301"/>
      <c r="AK73" s="300" t="s">
        <v>5246</v>
      </c>
      <c r="AL73" s="25">
        <v>168</v>
      </c>
      <c r="AM73" s="301">
        <v>9.3000000000000007</v>
      </c>
      <c r="AN73" s="331" t="s">
        <v>5187</v>
      </c>
      <c r="AO73" s="331" t="s">
        <v>5212</v>
      </c>
      <c r="AP73" s="16" t="s">
        <v>160</v>
      </c>
      <c r="AQ73" s="16" t="s">
        <v>112</v>
      </c>
      <c r="AR73" s="130">
        <f t="shared" si="4"/>
        <v>1404</v>
      </c>
      <c r="AS73" s="130">
        <f t="shared" si="5"/>
        <v>2</v>
      </c>
      <c r="AT73" s="130"/>
      <c r="AU73" s="130"/>
      <c r="AV73" s="12" t="str">
        <f t="shared" si="6"/>
        <v/>
      </c>
      <c r="AW73" s="12" t="str">
        <f t="shared" si="7"/>
        <v/>
      </c>
      <c r="AX73" s="12"/>
      <c r="AY73" s="309"/>
    </row>
    <row r="74" spans="1:51" s="19" customFormat="1" ht="30" hidden="1" customHeight="1" x14ac:dyDescent="0.2">
      <c r="A74" s="356">
        <v>72</v>
      </c>
      <c r="B74" s="307">
        <v>20</v>
      </c>
      <c r="C74" s="307">
        <v>2</v>
      </c>
      <c r="D74" s="16">
        <v>1404</v>
      </c>
      <c r="E74" s="300" t="s">
        <v>2217</v>
      </c>
      <c r="F74" s="300" t="s">
        <v>6</v>
      </c>
      <c r="G74" s="300" t="s">
        <v>5247</v>
      </c>
      <c r="H74" s="301" t="s">
        <v>7</v>
      </c>
      <c r="I74" s="360" t="s">
        <v>158</v>
      </c>
      <c r="J74" s="16" t="s">
        <v>84</v>
      </c>
      <c r="K74" s="35" t="s">
        <v>223</v>
      </c>
      <c r="L74" s="35" t="s">
        <v>226</v>
      </c>
      <c r="M74" s="300" t="s">
        <v>5252</v>
      </c>
      <c r="N74" s="300" t="s">
        <v>106</v>
      </c>
      <c r="O74" s="301" t="s">
        <v>107</v>
      </c>
      <c r="P74" s="436"/>
      <c r="Q74" s="436"/>
      <c r="R74" s="35" t="s">
        <v>1013</v>
      </c>
      <c r="S74" s="35" t="s">
        <v>2325</v>
      </c>
      <c r="T74" s="35" t="s">
        <v>2258</v>
      </c>
      <c r="U74" s="300" t="s">
        <v>5253</v>
      </c>
      <c r="V74" s="300" t="s">
        <v>106</v>
      </c>
      <c r="W74" s="300" t="s">
        <v>107</v>
      </c>
      <c r="X74" s="316" t="s">
        <v>5187</v>
      </c>
      <c r="Y74" s="301"/>
      <c r="Z74" s="301">
        <v>221</v>
      </c>
      <c r="AA74" s="33">
        <v>122</v>
      </c>
      <c r="AB74" s="34">
        <v>113</v>
      </c>
      <c r="AC74" s="16">
        <v>189</v>
      </c>
      <c r="AD74" s="16">
        <v>205</v>
      </c>
      <c r="AE74" s="16">
        <v>1</v>
      </c>
      <c r="AF74" s="16">
        <v>5</v>
      </c>
      <c r="AG74" s="16">
        <v>211</v>
      </c>
      <c r="AH74" s="16">
        <v>3</v>
      </c>
      <c r="AI74" s="16">
        <v>4</v>
      </c>
      <c r="AJ74" s="301"/>
      <c r="AK74" s="300" t="s">
        <v>5251</v>
      </c>
      <c r="AL74" s="25">
        <v>218</v>
      </c>
      <c r="AM74" s="301">
        <v>3.1</v>
      </c>
      <c r="AN74" s="331" t="s">
        <v>369</v>
      </c>
      <c r="AO74" s="331" t="s">
        <v>369</v>
      </c>
      <c r="AP74" s="16" t="s">
        <v>5080</v>
      </c>
      <c r="AQ74" s="16" t="s">
        <v>231</v>
      </c>
      <c r="AR74" s="130">
        <f t="shared" si="4"/>
        <v>1404</v>
      </c>
      <c r="AS74" s="130">
        <f t="shared" si="5"/>
        <v>2</v>
      </c>
      <c r="AT74" s="130"/>
      <c r="AU74" s="130"/>
      <c r="AV74" s="12" t="str">
        <f t="shared" si="6"/>
        <v/>
      </c>
      <c r="AW74" s="12" t="str">
        <f t="shared" si="7"/>
        <v/>
      </c>
      <c r="AX74" s="12"/>
      <c r="AY74" s="309"/>
    </row>
    <row r="75" spans="1:51" s="19" customFormat="1" ht="30" hidden="1" customHeight="1" x14ac:dyDescent="0.2">
      <c r="A75" s="356">
        <v>73</v>
      </c>
      <c r="B75" s="332">
        <v>20</v>
      </c>
      <c r="C75" s="332">
        <v>2</v>
      </c>
      <c r="D75" s="16">
        <v>1404</v>
      </c>
      <c r="E75" s="300" t="s">
        <v>5249</v>
      </c>
      <c r="F75" s="300" t="s">
        <v>6</v>
      </c>
      <c r="G75" s="300" t="s">
        <v>185</v>
      </c>
      <c r="H75" s="301" t="s">
        <v>83</v>
      </c>
      <c r="I75" s="360" t="s">
        <v>158</v>
      </c>
      <c r="J75" s="16" t="s">
        <v>84</v>
      </c>
      <c r="K75" s="300"/>
      <c r="L75" s="300" t="s">
        <v>155</v>
      </c>
      <c r="M75" s="300" t="s">
        <v>5254</v>
      </c>
      <c r="N75" s="300" t="s">
        <v>69</v>
      </c>
      <c r="O75" s="301" t="s">
        <v>70</v>
      </c>
      <c r="P75" s="436"/>
      <c r="Q75" s="436"/>
      <c r="R75" s="300"/>
      <c r="S75" s="300" t="s">
        <v>3679</v>
      </c>
      <c r="T75" s="300" t="s">
        <v>441</v>
      </c>
      <c r="U75" s="300" t="s">
        <v>5255</v>
      </c>
      <c r="V75" s="300" t="s">
        <v>69</v>
      </c>
      <c r="W75" s="300" t="s">
        <v>70</v>
      </c>
      <c r="X75" s="316"/>
      <c r="Y75" s="301" t="s">
        <v>5256</v>
      </c>
      <c r="Z75" s="301"/>
      <c r="AA75" s="301"/>
      <c r="AB75" s="16">
        <v>218</v>
      </c>
      <c r="AC75" s="16"/>
      <c r="AD75" s="16"/>
      <c r="AE75" s="16"/>
      <c r="AF75" s="16"/>
      <c r="AG75" s="16"/>
      <c r="AH75" s="16"/>
      <c r="AI75" s="16">
        <v>6</v>
      </c>
      <c r="AJ75" s="301"/>
      <c r="AK75" s="300"/>
      <c r="AL75" s="25"/>
      <c r="AM75" s="301"/>
      <c r="AN75" s="331"/>
      <c r="AO75" s="331"/>
      <c r="AP75" s="16" t="s">
        <v>160</v>
      </c>
      <c r="AQ75" s="16" t="s">
        <v>165</v>
      </c>
      <c r="AR75" s="130">
        <f t="shared" si="4"/>
        <v>1404</v>
      </c>
      <c r="AS75" s="130">
        <f t="shared" si="5"/>
        <v>2</v>
      </c>
      <c r="AT75" s="130">
        <v>1398</v>
      </c>
      <c r="AU75" s="130">
        <v>3</v>
      </c>
      <c r="AV75" s="12">
        <f t="shared" si="6"/>
        <v>71</v>
      </c>
      <c r="AW75" s="12" t="str">
        <f t="shared" si="7"/>
        <v/>
      </c>
      <c r="AX75" s="12" t="s">
        <v>185</v>
      </c>
      <c r="AY75" s="309" t="s">
        <v>5257</v>
      </c>
    </row>
    <row r="76" spans="1:51" s="19" customFormat="1" ht="30" hidden="1" customHeight="1" x14ac:dyDescent="0.2">
      <c r="A76" s="356">
        <v>74</v>
      </c>
      <c r="B76" s="307">
        <v>21</v>
      </c>
      <c r="C76" s="307">
        <v>2</v>
      </c>
      <c r="D76" s="16">
        <v>1404</v>
      </c>
      <c r="E76" s="300" t="s">
        <v>2045</v>
      </c>
      <c r="F76" s="300" t="s">
        <v>6</v>
      </c>
      <c r="G76" s="300" t="s">
        <v>185</v>
      </c>
      <c r="H76" s="301" t="s">
        <v>83</v>
      </c>
      <c r="I76" s="360" t="s">
        <v>158</v>
      </c>
      <c r="J76" s="16" t="s">
        <v>92</v>
      </c>
      <c r="K76" s="300"/>
      <c r="L76" s="335" t="s">
        <v>155</v>
      </c>
      <c r="M76" s="335" t="s">
        <v>3470</v>
      </c>
      <c r="N76" s="335" t="s">
        <v>106</v>
      </c>
      <c r="O76" s="334" t="s">
        <v>107</v>
      </c>
      <c r="P76" s="436"/>
      <c r="Q76" s="436"/>
      <c r="R76" s="300"/>
      <c r="S76" s="300" t="s">
        <v>1510</v>
      </c>
      <c r="T76" s="300" t="s">
        <v>2186</v>
      </c>
      <c r="U76" s="335" t="s">
        <v>3471</v>
      </c>
      <c r="V76" s="335" t="s">
        <v>106</v>
      </c>
      <c r="W76" s="335" t="s">
        <v>107</v>
      </c>
      <c r="X76" s="316"/>
      <c r="Y76" s="301" t="s">
        <v>3421</v>
      </c>
      <c r="Z76" s="301"/>
      <c r="AA76" s="301"/>
      <c r="AB76" s="16">
        <v>210</v>
      </c>
      <c r="AC76" s="16"/>
      <c r="AD76" s="16"/>
      <c r="AE76" s="16"/>
      <c r="AF76" s="16"/>
      <c r="AG76" s="16"/>
      <c r="AH76" s="16"/>
      <c r="AI76" s="16">
        <v>6</v>
      </c>
      <c r="AJ76" s="301"/>
      <c r="AK76" s="300"/>
      <c r="AL76" s="25"/>
      <c r="AM76" s="301"/>
      <c r="AN76" s="331"/>
      <c r="AO76" s="331"/>
      <c r="AP76" s="16" t="s">
        <v>160</v>
      </c>
      <c r="AQ76" s="16" t="s">
        <v>165</v>
      </c>
      <c r="AR76" s="130">
        <f t="shared" si="4"/>
        <v>1404</v>
      </c>
      <c r="AS76" s="130">
        <f t="shared" si="5"/>
        <v>2</v>
      </c>
      <c r="AT76" s="130">
        <v>1402</v>
      </c>
      <c r="AU76" s="130">
        <v>3</v>
      </c>
      <c r="AV76" s="12">
        <f t="shared" si="6"/>
        <v>23</v>
      </c>
      <c r="AW76" s="12" t="str">
        <f t="shared" si="7"/>
        <v/>
      </c>
      <c r="AX76" s="12" t="s">
        <v>4038</v>
      </c>
      <c r="AY76" s="309" t="s">
        <v>5258</v>
      </c>
    </row>
    <row r="77" spans="1:51" s="19" customFormat="1" ht="30" hidden="1" customHeight="1" x14ac:dyDescent="0.2">
      <c r="A77" s="356">
        <v>75</v>
      </c>
      <c r="B77" s="307">
        <v>22</v>
      </c>
      <c r="C77" s="307">
        <v>2</v>
      </c>
      <c r="D77" s="16">
        <v>1404</v>
      </c>
      <c r="E77" s="300" t="s">
        <v>5260</v>
      </c>
      <c r="F77" s="300" t="s">
        <v>9</v>
      </c>
      <c r="G77" s="300" t="s">
        <v>1587</v>
      </c>
      <c r="H77" s="301" t="s">
        <v>222</v>
      </c>
      <c r="I77" s="360" t="s">
        <v>158</v>
      </c>
      <c r="J77" s="16" t="s">
        <v>92</v>
      </c>
      <c r="K77" s="300"/>
      <c r="L77" s="336" t="s">
        <v>117</v>
      </c>
      <c r="M77" s="336" t="s">
        <v>4049</v>
      </c>
      <c r="N77" s="336" t="s">
        <v>106</v>
      </c>
      <c r="O77" s="337" t="s">
        <v>107</v>
      </c>
      <c r="P77" s="436"/>
      <c r="Q77" s="436"/>
      <c r="R77" s="300"/>
      <c r="S77" s="336" t="s">
        <v>2961</v>
      </c>
      <c r="T77" s="336" t="s">
        <v>226</v>
      </c>
      <c r="U77" s="336" t="s">
        <v>309</v>
      </c>
      <c r="V77" s="336" t="s">
        <v>369</v>
      </c>
      <c r="W77" s="336" t="s">
        <v>369</v>
      </c>
      <c r="X77" s="316"/>
      <c r="Y77" s="16" t="s">
        <v>4047</v>
      </c>
      <c r="Z77" s="301"/>
      <c r="AA77" s="301"/>
      <c r="AB77" s="16">
        <v>204</v>
      </c>
      <c r="AC77" s="16"/>
      <c r="AD77" s="16"/>
      <c r="AE77" s="16"/>
      <c r="AF77" s="16"/>
      <c r="AG77" s="16"/>
      <c r="AH77" s="16"/>
      <c r="AI77" s="16"/>
      <c r="AJ77" s="301"/>
      <c r="AK77" s="300"/>
      <c r="AL77" s="25"/>
      <c r="AM77" s="301"/>
      <c r="AN77" s="331"/>
      <c r="AO77" s="331" t="s">
        <v>5262</v>
      </c>
      <c r="AP77" s="16" t="s">
        <v>5080</v>
      </c>
      <c r="AQ77" s="16" t="s">
        <v>161</v>
      </c>
      <c r="AR77" s="130">
        <f t="shared" si="4"/>
        <v>1404</v>
      </c>
      <c r="AS77" s="130">
        <f t="shared" si="5"/>
        <v>2</v>
      </c>
      <c r="AT77" s="130">
        <v>1402</v>
      </c>
      <c r="AU77" s="130">
        <v>9</v>
      </c>
      <c r="AV77" s="12">
        <f t="shared" si="6"/>
        <v>17</v>
      </c>
      <c r="AW77" s="12" t="str">
        <f t="shared" si="7"/>
        <v/>
      </c>
      <c r="AX77" s="12"/>
      <c r="AY77" s="309"/>
    </row>
    <row r="78" spans="1:51" s="19" customFormat="1" ht="30" hidden="1" customHeight="1" x14ac:dyDescent="0.2">
      <c r="A78" s="356">
        <v>76</v>
      </c>
      <c r="B78" s="307">
        <v>23</v>
      </c>
      <c r="C78" s="307">
        <v>2</v>
      </c>
      <c r="D78" s="16">
        <v>1404</v>
      </c>
      <c r="E78" s="300" t="s">
        <v>5261</v>
      </c>
      <c r="F78" s="300" t="s">
        <v>6</v>
      </c>
      <c r="G78" s="300" t="s">
        <v>1587</v>
      </c>
      <c r="H78" s="301" t="s">
        <v>222</v>
      </c>
      <c r="I78" s="360" t="s">
        <v>158</v>
      </c>
      <c r="J78" s="16" t="s">
        <v>84</v>
      </c>
      <c r="K78" s="300"/>
      <c r="L78" s="336" t="s">
        <v>141</v>
      </c>
      <c r="M78" s="336" t="s">
        <v>4215</v>
      </c>
      <c r="N78" s="336" t="s">
        <v>106</v>
      </c>
      <c r="O78" s="337" t="s">
        <v>107</v>
      </c>
      <c r="P78" s="436"/>
      <c r="Q78" s="436"/>
      <c r="R78" s="300"/>
      <c r="S78" s="300" t="s">
        <v>1809</v>
      </c>
      <c r="T78" s="300" t="s">
        <v>144</v>
      </c>
      <c r="U78" s="336" t="s">
        <v>4216</v>
      </c>
      <c r="V78" s="336" t="s">
        <v>106</v>
      </c>
      <c r="W78" s="336" t="s">
        <v>107</v>
      </c>
      <c r="X78" s="316"/>
      <c r="Y78" s="16" t="s">
        <v>4209</v>
      </c>
      <c r="Z78" s="301"/>
      <c r="AA78" s="301"/>
      <c r="AB78" s="16">
        <v>183</v>
      </c>
      <c r="AC78" s="16"/>
      <c r="AD78" s="16"/>
      <c r="AE78" s="16"/>
      <c r="AF78" s="16"/>
      <c r="AG78" s="16"/>
      <c r="AH78" s="16"/>
      <c r="AI78" s="16">
        <v>3</v>
      </c>
      <c r="AJ78" s="301"/>
      <c r="AK78" s="300"/>
      <c r="AL78" s="25"/>
      <c r="AM78" s="301"/>
      <c r="AN78" s="331"/>
      <c r="AO78" s="331"/>
      <c r="AP78" s="16" t="s">
        <v>5080</v>
      </c>
      <c r="AQ78" s="16" t="s">
        <v>231</v>
      </c>
      <c r="AR78" s="130">
        <f t="shared" si="4"/>
        <v>1404</v>
      </c>
      <c r="AS78" s="130">
        <f t="shared" si="5"/>
        <v>2</v>
      </c>
      <c r="AT78" s="130">
        <v>1402</v>
      </c>
      <c r="AU78" s="130">
        <v>11</v>
      </c>
      <c r="AV78" s="12">
        <f t="shared" si="6"/>
        <v>15</v>
      </c>
      <c r="AW78" s="12" t="str">
        <f t="shared" si="7"/>
        <v/>
      </c>
      <c r="AX78" s="12"/>
      <c r="AY78" s="309"/>
    </row>
    <row r="79" spans="1:51" s="19" customFormat="1" ht="30" hidden="1" customHeight="1" x14ac:dyDescent="0.2">
      <c r="A79" s="356">
        <v>77</v>
      </c>
      <c r="B79" s="307">
        <v>23</v>
      </c>
      <c r="C79" s="307">
        <v>2</v>
      </c>
      <c r="D79" s="16">
        <v>1404</v>
      </c>
      <c r="E79" s="300" t="s">
        <v>1182</v>
      </c>
      <c r="F79" s="300" t="s">
        <v>20</v>
      </c>
      <c r="G79" s="300" t="s">
        <v>5247</v>
      </c>
      <c r="H79" s="301" t="s">
        <v>7</v>
      </c>
      <c r="I79" s="360" t="s">
        <v>158</v>
      </c>
      <c r="J79" s="16" t="s">
        <v>84</v>
      </c>
      <c r="K79" s="35" t="s">
        <v>104</v>
      </c>
      <c r="L79" s="35" t="s">
        <v>769</v>
      </c>
      <c r="M79" s="300"/>
      <c r="N79" s="300" t="s">
        <v>106</v>
      </c>
      <c r="O79" s="301" t="s">
        <v>107</v>
      </c>
      <c r="P79" s="436"/>
      <c r="Q79" s="436"/>
      <c r="R79" s="35" t="s">
        <v>361</v>
      </c>
      <c r="S79" s="35" t="s">
        <v>2325</v>
      </c>
      <c r="T79" s="35" t="s">
        <v>260</v>
      </c>
      <c r="U79" s="300"/>
      <c r="V79" s="300" t="s">
        <v>106</v>
      </c>
      <c r="W79" s="300" t="s">
        <v>107</v>
      </c>
      <c r="X79" s="316" t="s">
        <v>5187</v>
      </c>
      <c r="Y79" s="301"/>
      <c r="Z79" s="301">
        <v>168</v>
      </c>
      <c r="AA79" s="33">
        <v>162</v>
      </c>
      <c r="AB79" s="34">
        <v>156</v>
      </c>
      <c r="AC79" s="16">
        <v>78</v>
      </c>
      <c r="AD79" s="16">
        <v>117</v>
      </c>
      <c r="AE79" s="16">
        <v>3</v>
      </c>
      <c r="AF79" s="16">
        <v>46</v>
      </c>
      <c r="AG79" s="16">
        <v>166</v>
      </c>
      <c r="AH79" s="16">
        <v>5</v>
      </c>
      <c r="AI79" s="16">
        <v>4</v>
      </c>
      <c r="AJ79" s="301"/>
      <c r="AK79" s="300" t="s">
        <v>5264</v>
      </c>
      <c r="AL79" s="25"/>
      <c r="AM79" s="301"/>
      <c r="AN79" s="331" t="s">
        <v>5187</v>
      </c>
      <c r="AO79" s="331"/>
      <c r="AP79" s="16" t="s">
        <v>5080</v>
      </c>
      <c r="AQ79" s="16" t="s">
        <v>231</v>
      </c>
      <c r="AR79" s="130">
        <f t="shared" si="4"/>
        <v>1404</v>
      </c>
      <c r="AS79" s="130">
        <f t="shared" si="5"/>
        <v>2</v>
      </c>
      <c r="AT79" s="130"/>
      <c r="AU79" s="130"/>
      <c r="AV79" s="12" t="str">
        <f t="shared" si="6"/>
        <v/>
      </c>
      <c r="AW79" s="12" t="str">
        <f t="shared" si="7"/>
        <v/>
      </c>
      <c r="AX79" s="12"/>
      <c r="AY79" s="309"/>
    </row>
    <row r="80" spans="1:51" s="19" customFormat="1" ht="30" hidden="1" customHeight="1" x14ac:dyDescent="0.2">
      <c r="A80" s="356">
        <v>78</v>
      </c>
      <c r="B80" s="307">
        <v>24</v>
      </c>
      <c r="C80" s="339">
        <v>2</v>
      </c>
      <c r="D80" s="16">
        <v>1404</v>
      </c>
      <c r="E80" s="300" t="s">
        <v>5265</v>
      </c>
      <c r="F80" s="300" t="s">
        <v>66</v>
      </c>
      <c r="G80" s="300" t="s">
        <v>481</v>
      </c>
      <c r="H80" s="301" t="s">
        <v>83</v>
      </c>
      <c r="I80" s="360" t="s">
        <v>158</v>
      </c>
      <c r="J80" s="16" t="s">
        <v>92</v>
      </c>
      <c r="K80" s="300"/>
      <c r="L80" s="300" t="s">
        <v>718</v>
      </c>
      <c r="M80" s="300"/>
      <c r="N80" s="300" t="s">
        <v>69</v>
      </c>
      <c r="O80" s="301" t="s">
        <v>70</v>
      </c>
      <c r="P80" s="436"/>
      <c r="Q80" s="436"/>
      <c r="R80" s="300"/>
      <c r="S80" s="300" t="s">
        <v>1809</v>
      </c>
      <c r="T80" s="300" t="s">
        <v>506</v>
      </c>
      <c r="U80" s="300"/>
      <c r="V80" s="300" t="s">
        <v>106</v>
      </c>
      <c r="W80" s="300" t="s">
        <v>107</v>
      </c>
      <c r="X80" s="316"/>
      <c r="Y80" s="301" t="s">
        <v>66</v>
      </c>
      <c r="Z80" s="301"/>
      <c r="AA80" s="301"/>
      <c r="AB80" s="16"/>
      <c r="AC80" s="16"/>
      <c r="AD80" s="16"/>
      <c r="AE80" s="16"/>
      <c r="AF80" s="16"/>
      <c r="AG80" s="16"/>
      <c r="AH80" s="16"/>
      <c r="AI80" s="16"/>
      <c r="AJ80" s="301"/>
      <c r="AK80" s="300"/>
      <c r="AL80" s="25"/>
      <c r="AM80" s="301"/>
      <c r="AN80" s="331"/>
      <c r="AO80" s="331"/>
      <c r="AP80" s="16" t="s">
        <v>4420</v>
      </c>
      <c r="AQ80" s="16"/>
      <c r="AR80" s="130">
        <f t="shared" si="4"/>
        <v>1404</v>
      </c>
      <c r="AS80" s="130">
        <f t="shared" si="5"/>
        <v>2</v>
      </c>
      <c r="AT80" s="130"/>
      <c r="AU80" s="130"/>
      <c r="AV80" s="12" t="str">
        <f t="shared" si="6"/>
        <v/>
      </c>
      <c r="AW80" s="12" t="str">
        <f t="shared" si="7"/>
        <v/>
      </c>
      <c r="AX80" s="12"/>
      <c r="AY80" s="309"/>
    </row>
    <row r="81" spans="1:51" s="19" customFormat="1" ht="30" hidden="1" customHeight="1" x14ac:dyDescent="0.2">
      <c r="A81" s="356">
        <v>79</v>
      </c>
      <c r="B81" s="339">
        <v>24</v>
      </c>
      <c r="C81" s="339">
        <v>2</v>
      </c>
      <c r="D81" s="16">
        <v>1404</v>
      </c>
      <c r="E81" s="338" t="s">
        <v>5265</v>
      </c>
      <c r="F81" s="338" t="s">
        <v>66</v>
      </c>
      <c r="G81" s="300" t="s">
        <v>5247</v>
      </c>
      <c r="H81" s="301" t="s">
        <v>7</v>
      </c>
      <c r="I81" s="360" t="s">
        <v>158</v>
      </c>
      <c r="J81" s="16" t="s">
        <v>92</v>
      </c>
      <c r="K81" s="300" t="s">
        <v>718</v>
      </c>
      <c r="L81" s="300" t="s">
        <v>718</v>
      </c>
      <c r="M81" s="300"/>
      <c r="N81" s="300" t="s">
        <v>69</v>
      </c>
      <c r="O81" s="301" t="s">
        <v>70</v>
      </c>
      <c r="P81" s="436"/>
      <c r="Q81" s="436"/>
      <c r="R81" s="300" t="s">
        <v>1530</v>
      </c>
      <c r="S81" s="300" t="s">
        <v>1809</v>
      </c>
      <c r="T81" s="300" t="s">
        <v>506</v>
      </c>
      <c r="U81" s="300"/>
      <c r="V81" s="300" t="s">
        <v>69</v>
      </c>
      <c r="W81" s="300" t="s">
        <v>70</v>
      </c>
      <c r="X81" s="316"/>
      <c r="Y81" s="301"/>
      <c r="Z81" s="567" t="s">
        <v>5184</v>
      </c>
      <c r="AA81" s="568"/>
      <c r="AB81" s="568"/>
      <c r="AC81" s="568"/>
      <c r="AD81" s="568"/>
      <c r="AE81" s="568"/>
      <c r="AF81" s="568"/>
      <c r="AG81" s="568"/>
      <c r="AH81" s="569"/>
      <c r="AI81" s="16"/>
      <c r="AJ81" s="301"/>
      <c r="AK81" s="300"/>
      <c r="AL81" s="25"/>
      <c r="AM81" s="301"/>
      <c r="AN81" s="331"/>
      <c r="AO81" s="331"/>
      <c r="AP81" s="16" t="s">
        <v>4420</v>
      </c>
      <c r="AQ81" s="16"/>
      <c r="AR81" s="130">
        <f t="shared" si="4"/>
        <v>1404</v>
      </c>
      <c r="AS81" s="130">
        <f t="shared" si="5"/>
        <v>2</v>
      </c>
      <c r="AT81" s="130"/>
      <c r="AU81" s="130"/>
      <c r="AV81" s="12" t="str">
        <f t="shared" si="6"/>
        <v/>
      </c>
      <c r="AW81" s="12" t="str">
        <f t="shared" si="7"/>
        <v/>
      </c>
      <c r="AX81" s="12"/>
      <c r="AY81" s="309"/>
    </row>
    <row r="82" spans="1:51" s="19" customFormat="1" ht="30" hidden="1" customHeight="1" x14ac:dyDescent="0.2">
      <c r="A82" s="356">
        <v>80</v>
      </c>
      <c r="B82" s="339">
        <v>24</v>
      </c>
      <c r="C82" s="339">
        <v>2</v>
      </c>
      <c r="D82" s="16">
        <v>1404</v>
      </c>
      <c r="E82" s="300" t="s">
        <v>5266</v>
      </c>
      <c r="F82" s="300" t="s">
        <v>6</v>
      </c>
      <c r="G82" s="300" t="s">
        <v>1587</v>
      </c>
      <c r="H82" s="301" t="s">
        <v>222</v>
      </c>
      <c r="I82" s="360" t="s">
        <v>158</v>
      </c>
      <c r="J82" s="16" t="s">
        <v>84</v>
      </c>
      <c r="K82" s="300"/>
      <c r="L82" s="41" t="s">
        <v>140</v>
      </c>
      <c r="M82" s="41" t="s">
        <v>1380</v>
      </c>
      <c r="N82" s="41" t="s">
        <v>106</v>
      </c>
      <c r="O82" s="13" t="s">
        <v>107</v>
      </c>
      <c r="P82" s="13"/>
      <c r="Q82" s="13"/>
      <c r="R82" s="300"/>
      <c r="S82" s="300" t="s">
        <v>2961</v>
      </c>
      <c r="T82" s="300" t="s">
        <v>769</v>
      </c>
      <c r="U82" s="41" t="s">
        <v>1381</v>
      </c>
      <c r="V82" s="41" t="s">
        <v>73</v>
      </c>
      <c r="W82" s="41" t="s">
        <v>70</v>
      </c>
      <c r="X82" s="316"/>
      <c r="Y82" s="301" t="s">
        <v>5268</v>
      </c>
      <c r="Z82" s="301"/>
      <c r="AA82" s="301"/>
      <c r="AB82" s="16">
        <v>204</v>
      </c>
      <c r="AC82" s="16"/>
      <c r="AD82" s="16"/>
      <c r="AE82" s="16"/>
      <c r="AF82" s="16"/>
      <c r="AG82" s="16"/>
      <c r="AH82" s="16"/>
      <c r="AI82" s="16">
        <v>6</v>
      </c>
      <c r="AJ82" s="301"/>
      <c r="AK82" s="300"/>
      <c r="AL82" s="25"/>
      <c r="AM82" s="301"/>
      <c r="AN82" s="331"/>
      <c r="AO82" s="331"/>
      <c r="AP82" s="16"/>
      <c r="AQ82" s="16"/>
      <c r="AR82" s="130">
        <f t="shared" si="4"/>
        <v>1404</v>
      </c>
      <c r="AS82" s="130">
        <f t="shared" si="5"/>
        <v>2</v>
      </c>
      <c r="AT82" s="130">
        <v>1401</v>
      </c>
      <c r="AU82" s="130">
        <v>8</v>
      </c>
      <c r="AV82" s="12">
        <f t="shared" si="6"/>
        <v>30</v>
      </c>
      <c r="AW82" s="12" t="str">
        <f t="shared" si="7"/>
        <v/>
      </c>
      <c r="AX82" s="12"/>
      <c r="AY82" s="309"/>
    </row>
    <row r="83" spans="1:51" s="19" customFormat="1" ht="30" hidden="1" customHeight="1" x14ac:dyDescent="0.2">
      <c r="A83" s="356">
        <v>81</v>
      </c>
      <c r="B83" s="339">
        <v>24</v>
      </c>
      <c r="C83" s="339">
        <v>2</v>
      </c>
      <c r="D83" s="16">
        <v>1404</v>
      </c>
      <c r="E83" s="300" t="s">
        <v>5267</v>
      </c>
      <c r="F83" s="300" t="s">
        <v>243</v>
      </c>
      <c r="G83" s="300" t="s">
        <v>1587</v>
      </c>
      <c r="H83" s="301" t="s">
        <v>222</v>
      </c>
      <c r="I83" s="360" t="s">
        <v>158</v>
      </c>
      <c r="J83" s="16" t="s">
        <v>84</v>
      </c>
      <c r="K83" s="300"/>
      <c r="L83" s="300" t="s">
        <v>117</v>
      </c>
      <c r="M83" s="41" t="s">
        <v>815</v>
      </c>
      <c r="N83" s="41" t="s">
        <v>106</v>
      </c>
      <c r="O83" s="13" t="s">
        <v>107</v>
      </c>
      <c r="P83" s="13"/>
      <c r="Q83" s="13"/>
      <c r="R83" s="300"/>
      <c r="S83" s="300" t="s">
        <v>2961</v>
      </c>
      <c r="T83" s="300" t="s">
        <v>769</v>
      </c>
      <c r="U83" s="41" t="s">
        <v>1482</v>
      </c>
      <c r="V83" s="41" t="s">
        <v>73</v>
      </c>
      <c r="W83" s="41" t="s">
        <v>70</v>
      </c>
      <c r="X83" s="316"/>
      <c r="Y83" s="301" t="s">
        <v>5270</v>
      </c>
      <c r="Z83" s="301"/>
      <c r="AA83" s="301"/>
      <c r="AB83" s="16">
        <v>186</v>
      </c>
      <c r="AC83" s="16"/>
      <c r="AD83" s="16"/>
      <c r="AE83" s="16"/>
      <c r="AF83" s="16"/>
      <c r="AG83" s="16"/>
      <c r="AH83" s="16"/>
      <c r="AI83" s="16">
        <v>6</v>
      </c>
      <c r="AJ83" s="301"/>
      <c r="AK83" s="300"/>
      <c r="AL83" s="25"/>
      <c r="AM83" s="301"/>
      <c r="AN83" s="331"/>
      <c r="AO83" s="331"/>
      <c r="AP83" s="16" t="s">
        <v>5080</v>
      </c>
      <c r="AQ83" s="16" t="s">
        <v>161</v>
      </c>
      <c r="AR83" s="130">
        <f t="shared" si="4"/>
        <v>1404</v>
      </c>
      <c r="AS83" s="130">
        <f t="shared" si="5"/>
        <v>2</v>
      </c>
      <c r="AT83" s="130">
        <v>1401</v>
      </c>
      <c r="AU83" s="130">
        <v>8</v>
      </c>
      <c r="AV83" s="12">
        <f t="shared" si="6"/>
        <v>30</v>
      </c>
      <c r="AW83" s="12" t="str">
        <f t="shared" si="7"/>
        <v/>
      </c>
      <c r="AX83" s="12"/>
      <c r="AY83" s="309"/>
    </row>
    <row r="84" spans="1:51" s="19" customFormat="1" ht="30" hidden="1" customHeight="1" x14ac:dyDescent="0.2">
      <c r="A84" s="356">
        <v>82</v>
      </c>
      <c r="B84" s="307">
        <v>25</v>
      </c>
      <c r="C84" s="307">
        <v>2</v>
      </c>
      <c r="D84" s="16">
        <v>1404</v>
      </c>
      <c r="E84" s="300" t="s">
        <v>5269</v>
      </c>
      <c r="F84" s="300" t="s">
        <v>6</v>
      </c>
      <c r="G84" s="300" t="s">
        <v>192</v>
      </c>
      <c r="H84" s="301" t="s">
        <v>7</v>
      </c>
      <c r="I84" s="360" t="s">
        <v>158</v>
      </c>
      <c r="J84" s="16" t="s">
        <v>84</v>
      </c>
      <c r="K84" s="300"/>
      <c r="L84" s="300" t="s">
        <v>68</v>
      </c>
      <c r="M84" s="300"/>
      <c r="N84" s="300" t="s">
        <v>106</v>
      </c>
      <c r="O84" s="301" t="s">
        <v>107</v>
      </c>
      <c r="P84" s="436"/>
      <c r="Q84" s="436"/>
      <c r="R84" s="300"/>
      <c r="S84" s="300" t="s">
        <v>3677</v>
      </c>
      <c r="T84" s="300" t="s">
        <v>485</v>
      </c>
      <c r="U84" s="300"/>
      <c r="V84" s="300" t="s">
        <v>106</v>
      </c>
      <c r="W84" s="300" t="s">
        <v>107</v>
      </c>
      <c r="X84" s="316"/>
      <c r="Y84" s="301"/>
      <c r="Z84" s="301">
        <v>250</v>
      </c>
      <c r="AA84" s="301">
        <v>0</v>
      </c>
      <c r="AB84" s="16">
        <v>238</v>
      </c>
      <c r="AC84" s="16">
        <v>148</v>
      </c>
      <c r="AD84" s="16">
        <v>196</v>
      </c>
      <c r="AE84" s="16">
        <v>4</v>
      </c>
      <c r="AF84" s="16">
        <v>20</v>
      </c>
      <c r="AG84" s="16">
        <v>220</v>
      </c>
      <c r="AH84" s="16">
        <v>18</v>
      </c>
      <c r="AI84" s="16">
        <v>6</v>
      </c>
      <c r="AJ84" s="301"/>
      <c r="AK84" s="300" t="s">
        <v>5272</v>
      </c>
      <c r="AL84" s="25">
        <v>215</v>
      </c>
      <c r="AM84" s="301">
        <v>16</v>
      </c>
      <c r="AN84" s="331" t="s">
        <v>5244</v>
      </c>
      <c r="AO84" s="331" t="s">
        <v>5053</v>
      </c>
      <c r="AP84" s="16" t="s">
        <v>160</v>
      </c>
      <c r="AQ84" s="16" t="s">
        <v>193</v>
      </c>
      <c r="AR84" s="130">
        <f t="shared" si="4"/>
        <v>1404</v>
      </c>
      <c r="AS84" s="130">
        <f t="shared" si="5"/>
        <v>2</v>
      </c>
      <c r="AT84" s="130"/>
      <c r="AU84" s="130"/>
      <c r="AV84" s="12" t="str">
        <f t="shared" si="6"/>
        <v/>
      </c>
      <c r="AW84" s="12" t="str">
        <f t="shared" si="7"/>
        <v/>
      </c>
      <c r="AX84" s="12"/>
      <c r="AY84" s="309"/>
    </row>
    <row r="85" spans="1:51" s="19" customFormat="1" ht="30" hidden="1" customHeight="1" x14ac:dyDescent="0.2">
      <c r="A85" s="356">
        <v>83</v>
      </c>
      <c r="B85" s="307">
        <v>25</v>
      </c>
      <c r="C85" s="307">
        <v>2</v>
      </c>
      <c r="D85" s="16">
        <v>1404</v>
      </c>
      <c r="E85" s="300" t="s">
        <v>1764</v>
      </c>
      <c r="F85" s="300" t="s">
        <v>10</v>
      </c>
      <c r="G85" s="300" t="s">
        <v>1587</v>
      </c>
      <c r="H85" s="301" t="s">
        <v>222</v>
      </c>
      <c r="I85" s="360" t="s">
        <v>158</v>
      </c>
      <c r="J85" s="16" t="s">
        <v>84</v>
      </c>
      <c r="K85" s="300"/>
      <c r="L85" s="300" t="s">
        <v>141</v>
      </c>
      <c r="M85" s="41" t="s">
        <v>1887</v>
      </c>
      <c r="N85" s="41" t="s">
        <v>106</v>
      </c>
      <c r="O85" s="13" t="s">
        <v>107</v>
      </c>
      <c r="P85" s="13"/>
      <c r="Q85" s="13"/>
      <c r="R85" s="300"/>
      <c r="S85" s="300" t="s">
        <v>1809</v>
      </c>
      <c r="T85" s="300" t="s">
        <v>144</v>
      </c>
      <c r="U85" s="41" t="s">
        <v>1968</v>
      </c>
      <c r="V85" s="41" t="s">
        <v>69</v>
      </c>
      <c r="W85" s="41" t="s">
        <v>70</v>
      </c>
      <c r="X85" s="316"/>
      <c r="Y85" s="301" t="s">
        <v>5271</v>
      </c>
      <c r="Z85" s="301"/>
      <c r="AA85" s="301"/>
      <c r="AB85" s="16">
        <v>192</v>
      </c>
      <c r="AC85" s="16"/>
      <c r="AD85" s="16"/>
      <c r="AE85" s="16"/>
      <c r="AF85" s="16"/>
      <c r="AG85" s="16"/>
      <c r="AH85" s="16"/>
      <c r="AI85" s="16">
        <v>6</v>
      </c>
      <c r="AJ85" s="301"/>
      <c r="AK85" s="300"/>
      <c r="AL85" s="25"/>
      <c r="AM85" s="301"/>
      <c r="AN85" s="331"/>
      <c r="AO85" s="331"/>
      <c r="AP85" s="16" t="s">
        <v>5080</v>
      </c>
      <c r="AQ85" s="16" t="s">
        <v>112</v>
      </c>
      <c r="AR85" s="130">
        <f t="shared" si="4"/>
        <v>1404</v>
      </c>
      <c r="AS85" s="130">
        <f t="shared" si="5"/>
        <v>2</v>
      </c>
      <c r="AT85" s="130">
        <v>1401</v>
      </c>
      <c r="AU85" s="130">
        <v>11</v>
      </c>
      <c r="AV85" s="12">
        <f t="shared" si="6"/>
        <v>27</v>
      </c>
      <c r="AW85" s="12" t="str">
        <f t="shared" si="7"/>
        <v/>
      </c>
      <c r="AX85" s="12"/>
      <c r="AY85" s="309"/>
    </row>
    <row r="86" spans="1:51" s="19" customFormat="1" ht="30" hidden="1" customHeight="1" x14ac:dyDescent="0.2">
      <c r="A86" s="356">
        <v>84</v>
      </c>
      <c r="B86" s="307">
        <v>26</v>
      </c>
      <c r="C86" s="307">
        <v>2</v>
      </c>
      <c r="D86" s="16">
        <v>1404</v>
      </c>
      <c r="E86" s="300" t="s">
        <v>5201</v>
      </c>
      <c r="F86" s="300" t="s">
        <v>2981</v>
      </c>
      <c r="G86" s="300" t="s">
        <v>5247</v>
      </c>
      <c r="H86" s="301" t="s">
        <v>7</v>
      </c>
      <c r="I86" s="360" t="s">
        <v>158</v>
      </c>
      <c r="J86" s="16" t="s">
        <v>92</v>
      </c>
      <c r="K86" s="35" t="s">
        <v>140</v>
      </c>
      <c r="L86" s="35" t="s">
        <v>525</v>
      </c>
      <c r="M86" s="300"/>
      <c r="N86" s="300" t="s">
        <v>106</v>
      </c>
      <c r="O86" s="301" t="s">
        <v>107</v>
      </c>
      <c r="P86" s="436"/>
      <c r="Q86" s="436"/>
      <c r="R86" s="35" t="s">
        <v>188</v>
      </c>
      <c r="S86" s="35" t="s">
        <v>2961</v>
      </c>
      <c r="T86" s="35" t="s">
        <v>2258</v>
      </c>
      <c r="U86" s="300"/>
      <c r="V86" s="300" t="s">
        <v>106</v>
      </c>
      <c r="W86" s="300" t="s">
        <v>107</v>
      </c>
      <c r="X86" s="316" t="s">
        <v>5187</v>
      </c>
      <c r="Y86" s="301"/>
      <c r="Z86" s="301">
        <v>169</v>
      </c>
      <c r="AA86" s="301">
        <v>162</v>
      </c>
      <c r="AB86" s="16">
        <v>156</v>
      </c>
      <c r="AC86" s="16">
        <v>48</v>
      </c>
      <c r="AD86" s="16">
        <v>124</v>
      </c>
      <c r="AE86" s="16">
        <v>3</v>
      </c>
      <c r="AF86" s="16">
        <v>13</v>
      </c>
      <c r="AG86" s="16">
        <v>140</v>
      </c>
      <c r="AH86" s="16">
        <v>11</v>
      </c>
      <c r="AI86" s="16">
        <v>6</v>
      </c>
      <c r="AJ86" s="301"/>
      <c r="AK86" s="300" t="s">
        <v>5273</v>
      </c>
      <c r="AL86" s="590" t="s">
        <v>5274</v>
      </c>
      <c r="AM86" s="591"/>
      <c r="AN86" s="331" t="s">
        <v>369</v>
      </c>
      <c r="AO86" s="331" t="s">
        <v>369</v>
      </c>
      <c r="AP86" s="16" t="s">
        <v>5080</v>
      </c>
      <c r="AQ86" s="16" t="s">
        <v>231</v>
      </c>
      <c r="AR86" s="130">
        <f t="shared" si="4"/>
        <v>1404</v>
      </c>
      <c r="AS86" s="130">
        <f t="shared" si="5"/>
        <v>2</v>
      </c>
      <c r="AT86" s="130"/>
      <c r="AU86" s="130"/>
      <c r="AV86" s="12" t="str">
        <f t="shared" si="6"/>
        <v/>
      </c>
      <c r="AW86" s="12" t="str">
        <f t="shared" si="7"/>
        <v/>
      </c>
      <c r="AX86" s="12"/>
      <c r="AY86" s="309"/>
    </row>
    <row r="87" spans="1:51" s="19" customFormat="1" ht="30" hidden="1" customHeight="1" x14ac:dyDescent="0.2">
      <c r="A87" s="356">
        <v>85</v>
      </c>
      <c r="B87" s="307">
        <v>27</v>
      </c>
      <c r="C87" s="307">
        <v>2</v>
      </c>
      <c r="D87" s="16">
        <v>1404</v>
      </c>
      <c r="E87" s="300" t="s">
        <v>672</v>
      </c>
      <c r="F87" s="300" t="s">
        <v>9</v>
      </c>
      <c r="G87" s="300" t="s">
        <v>481</v>
      </c>
      <c r="H87" s="301" t="s">
        <v>83</v>
      </c>
      <c r="I87" s="360" t="s">
        <v>158</v>
      </c>
      <c r="J87" s="16" t="s">
        <v>92</v>
      </c>
      <c r="K87" s="300"/>
      <c r="L87" s="341" t="s">
        <v>117</v>
      </c>
      <c r="M87" s="341" t="s">
        <v>4236</v>
      </c>
      <c r="N87" s="341" t="s">
        <v>106</v>
      </c>
      <c r="O87" s="340" t="s">
        <v>107</v>
      </c>
      <c r="P87" s="436"/>
      <c r="Q87" s="436"/>
      <c r="R87" s="341"/>
      <c r="S87" s="341" t="s">
        <v>2961</v>
      </c>
      <c r="T87" s="341" t="s">
        <v>1581</v>
      </c>
      <c r="U87" s="341" t="s">
        <v>4237</v>
      </c>
      <c r="V87" s="341" t="s">
        <v>106</v>
      </c>
      <c r="W87" s="341" t="s">
        <v>107</v>
      </c>
      <c r="X87" s="316"/>
      <c r="Y87" s="16" t="s">
        <v>4233</v>
      </c>
      <c r="Z87" s="301"/>
      <c r="AA87" s="301"/>
      <c r="AB87" s="16">
        <v>216</v>
      </c>
      <c r="AC87" s="16"/>
      <c r="AD87" s="16"/>
      <c r="AE87" s="16"/>
      <c r="AF87" s="16"/>
      <c r="AG87" s="16"/>
      <c r="AH87" s="16"/>
      <c r="AI87" s="16">
        <v>6</v>
      </c>
      <c r="AJ87" s="301"/>
      <c r="AK87" s="300"/>
      <c r="AL87" s="25"/>
      <c r="AM87" s="301"/>
      <c r="AN87" s="331"/>
      <c r="AO87" s="331"/>
      <c r="AP87" s="16"/>
      <c r="AQ87" s="16"/>
      <c r="AR87" s="130">
        <f t="shared" si="4"/>
        <v>1404</v>
      </c>
      <c r="AS87" s="130">
        <f t="shared" si="5"/>
        <v>2</v>
      </c>
      <c r="AT87" s="130">
        <v>1402</v>
      </c>
      <c r="AU87" s="130">
        <v>11</v>
      </c>
      <c r="AV87" s="12">
        <f t="shared" si="6"/>
        <v>15</v>
      </c>
      <c r="AW87" s="12" t="str">
        <f t="shared" si="7"/>
        <v/>
      </c>
      <c r="AX87" s="12"/>
      <c r="AY87" s="309"/>
    </row>
    <row r="88" spans="1:51" s="19" customFormat="1" ht="30" hidden="1" customHeight="1" x14ac:dyDescent="0.2">
      <c r="A88" s="356">
        <v>86</v>
      </c>
      <c r="B88" s="307">
        <v>27</v>
      </c>
      <c r="C88" s="307">
        <v>2</v>
      </c>
      <c r="D88" s="16">
        <v>1404</v>
      </c>
      <c r="E88" s="300" t="s">
        <v>480</v>
      </c>
      <c r="F88" s="300" t="s">
        <v>9</v>
      </c>
      <c r="G88" s="300" t="s">
        <v>5247</v>
      </c>
      <c r="H88" s="301" t="s">
        <v>7</v>
      </c>
      <c r="I88" s="360" t="s">
        <v>158</v>
      </c>
      <c r="J88" s="16" t="s">
        <v>84</v>
      </c>
      <c r="K88" s="35" t="s">
        <v>155</v>
      </c>
      <c r="L88" s="35" t="s">
        <v>140</v>
      </c>
      <c r="M88" s="300"/>
      <c r="N88" s="300" t="s">
        <v>106</v>
      </c>
      <c r="O88" s="301" t="s">
        <v>107</v>
      </c>
      <c r="P88" s="436"/>
      <c r="Q88" s="436"/>
      <c r="R88" s="35" t="s">
        <v>324</v>
      </c>
      <c r="S88" s="35" t="s">
        <v>2245</v>
      </c>
      <c r="T88" s="35" t="s">
        <v>116</v>
      </c>
      <c r="U88" s="300"/>
      <c r="V88" s="300" t="s">
        <v>106</v>
      </c>
      <c r="W88" s="300" t="s">
        <v>107</v>
      </c>
      <c r="X88" s="316" t="s">
        <v>5187</v>
      </c>
      <c r="Y88" s="301"/>
      <c r="Z88" s="301">
        <v>234</v>
      </c>
      <c r="AA88" s="301">
        <v>222</v>
      </c>
      <c r="AB88" s="16">
        <v>222</v>
      </c>
      <c r="AC88" s="16">
        <v>158</v>
      </c>
      <c r="AD88" s="16">
        <v>166</v>
      </c>
      <c r="AE88" s="16">
        <v>3</v>
      </c>
      <c r="AF88" s="16">
        <v>5</v>
      </c>
      <c r="AG88" s="16">
        <v>174</v>
      </c>
      <c r="AH88" s="16">
        <v>14</v>
      </c>
      <c r="AI88" s="16">
        <v>6</v>
      </c>
      <c r="AJ88" s="301"/>
      <c r="AK88" s="300" t="s">
        <v>5186</v>
      </c>
      <c r="AL88" s="25">
        <v>182</v>
      </c>
      <c r="AM88" s="301">
        <v>12.4</v>
      </c>
      <c r="AN88" s="331" t="s">
        <v>5187</v>
      </c>
      <c r="AO88" s="331"/>
      <c r="AP88" s="16" t="s">
        <v>160</v>
      </c>
      <c r="AQ88" s="16" t="s">
        <v>193</v>
      </c>
      <c r="AR88" s="130">
        <f t="shared" si="4"/>
        <v>1404</v>
      </c>
      <c r="AS88" s="130">
        <f t="shared" si="5"/>
        <v>2</v>
      </c>
      <c r="AT88" s="130"/>
      <c r="AU88" s="130"/>
      <c r="AV88" s="12" t="str">
        <f t="shared" si="6"/>
        <v/>
      </c>
      <c r="AW88" s="12" t="str">
        <f t="shared" si="7"/>
        <v/>
      </c>
      <c r="AX88" s="12"/>
      <c r="AY88" s="309"/>
    </row>
    <row r="89" spans="1:51" s="19" customFormat="1" ht="30" hidden="1" customHeight="1" x14ac:dyDescent="0.2">
      <c r="A89" s="356">
        <v>87</v>
      </c>
      <c r="B89" s="307">
        <v>28</v>
      </c>
      <c r="C89" s="307">
        <v>2</v>
      </c>
      <c r="D89" s="16">
        <v>1404</v>
      </c>
      <c r="E89" s="300" t="s">
        <v>2978</v>
      </c>
      <c r="F89" s="300" t="s">
        <v>10</v>
      </c>
      <c r="G89" s="300" t="s">
        <v>481</v>
      </c>
      <c r="H89" s="301" t="s">
        <v>83</v>
      </c>
      <c r="I89" s="360" t="s">
        <v>158</v>
      </c>
      <c r="J89" s="16" t="s">
        <v>84</v>
      </c>
      <c r="K89" s="300"/>
      <c r="L89" s="300" t="s">
        <v>155</v>
      </c>
      <c r="M89" s="300"/>
      <c r="N89" s="300" t="s">
        <v>119</v>
      </c>
      <c r="O89" s="301" t="s">
        <v>107</v>
      </c>
      <c r="P89" s="436"/>
      <c r="Q89" s="436"/>
      <c r="R89" s="300"/>
      <c r="S89" s="300" t="s">
        <v>3679</v>
      </c>
      <c r="T89" s="300" t="s">
        <v>441</v>
      </c>
      <c r="U89" s="300"/>
      <c r="V89" s="300" t="s">
        <v>119</v>
      </c>
      <c r="W89" s="300" t="s">
        <v>107</v>
      </c>
      <c r="X89" s="316"/>
      <c r="Y89" s="301" t="s">
        <v>5275</v>
      </c>
      <c r="Z89" s="301"/>
      <c r="AA89" s="301"/>
      <c r="AB89" s="16">
        <v>192</v>
      </c>
      <c r="AC89" s="16"/>
      <c r="AD89" s="16"/>
      <c r="AE89" s="16"/>
      <c r="AF89" s="16"/>
      <c r="AG89" s="16"/>
      <c r="AH89" s="16"/>
      <c r="AI89" s="16">
        <v>6</v>
      </c>
      <c r="AJ89" s="301"/>
      <c r="AK89" s="300"/>
      <c r="AL89" s="25"/>
      <c r="AM89" s="301"/>
      <c r="AN89" s="331"/>
      <c r="AO89" s="331"/>
      <c r="AP89" s="16" t="s">
        <v>5080</v>
      </c>
      <c r="AQ89" s="16"/>
      <c r="AR89" s="130">
        <f t="shared" si="4"/>
        <v>1404</v>
      </c>
      <c r="AS89" s="130">
        <f t="shared" si="5"/>
        <v>2</v>
      </c>
      <c r="AT89" s="130">
        <v>1398</v>
      </c>
      <c r="AU89" s="130">
        <v>1</v>
      </c>
      <c r="AV89" s="12">
        <f t="shared" si="6"/>
        <v>73</v>
      </c>
      <c r="AW89" s="12" t="str">
        <f t="shared" si="7"/>
        <v/>
      </c>
      <c r="AX89" s="12"/>
      <c r="AY89" s="309"/>
    </row>
    <row r="90" spans="1:51" s="19" customFormat="1" ht="30" hidden="1" customHeight="1" x14ac:dyDescent="0.2">
      <c r="A90" s="356">
        <v>88</v>
      </c>
      <c r="B90" s="307">
        <v>30</v>
      </c>
      <c r="C90" s="307">
        <v>2</v>
      </c>
      <c r="D90" s="16">
        <v>1404</v>
      </c>
      <c r="E90" s="300" t="s">
        <v>4151</v>
      </c>
      <c r="F90" s="300" t="s">
        <v>2981</v>
      </c>
      <c r="G90" s="300" t="s">
        <v>5247</v>
      </c>
      <c r="H90" s="301" t="s">
        <v>7</v>
      </c>
      <c r="I90" s="360" t="s">
        <v>158</v>
      </c>
      <c r="J90" s="16" t="s">
        <v>92</v>
      </c>
      <c r="K90" s="300" t="s">
        <v>68</v>
      </c>
      <c r="L90" s="300" t="s">
        <v>68</v>
      </c>
      <c r="M90" s="300"/>
      <c r="N90" s="300" t="s">
        <v>106</v>
      </c>
      <c r="O90" s="301" t="s">
        <v>107</v>
      </c>
      <c r="P90" s="436"/>
      <c r="Q90" s="436"/>
      <c r="R90" s="35" t="s">
        <v>263</v>
      </c>
      <c r="S90" s="35" t="s">
        <v>3680</v>
      </c>
      <c r="T90" s="35" t="s">
        <v>2348</v>
      </c>
      <c r="U90" s="300"/>
      <c r="V90" s="300" t="s">
        <v>73</v>
      </c>
      <c r="W90" s="300" t="s">
        <v>70</v>
      </c>
      <c r="X90" s="316" t="s">
        <v>5187</v>
      </c>
      <c r="Y90" s="301"/>
      <c r="Z90" s="301">
        <v>247</v>
      </c>
      <c r="AA90" s="301">
        <v>234</v>
      </c>
      <c r="AB90" s="16">
        <v>234</v>
      </c>
      <c r="AC90" s="16">
        <v>68</v>
      </c>
      <c r="AD90" s="16">
        <v>113</v>
      </c>
      <c r="AE90" s="16">
        <v>7</v>
      </c>
      <c r="AF90" s="16">
        <v>47</v>
      </c>
      <c r="AG90" s="16">
        <v>167</v>
      </c>
      <c r="AH90" s="16">
        <v>22</v>
      </c>
      <c r="AI90" s="16">
        <v>6</v>
      </c>
      <c r="AJ90" s="301"/>
      <c r="AK90" s="300" t="s">
        <v>5278</v>
      </c>
      <c r="AL90" s="25">
        <v>168</v>
      </c>
      <c r="AM90" s="301">
        <v>22.5</v>
      </c>
      <c r="AN90" s="331" t="s">
        <v>4420</v>
      </c>
      <c r="AO90" s="331"/>
      <c r="AP90" s="16" t="s">
        <v>160</v>
      </c>
      <c r="AQ90" s="16" t="s">
        <v>193</v>
      </c>
      <c r="AR90" s="130">
        <f t="shared" si="4"/>
        <v>1404</v>
      </c>
      <c r="AS90" s="130">
        <f t="shared" si="5"/>
        <v>2</v>
      </c>
      <c r="AT90" s="130"/>
      <c r="AU90" s="130"/>
      <c r="AV90" s="12" t="str">
        <f t="shared" si="6"/>
        <v/>
      </c>
      <c r="AW90" s="12" t="str">
        <f t="shared" si="7"/>
        <v/>
      </c>
      <c r="AX90" s="12"/>
      <c r="AY90" s="309"/>
    </row>
    <row r="91" spans="1:51" s="19" customFormat="1" ht="30" hidden="1" customHeight="1" x14ac:dyDescent="0.2">
      <c r="A91" s="356">
        <v>89</v>
      </c>
      <c r="B91" s="307">
        <v>30</v>
      </c>
      <c r="C91" s="307">
        <v>2</v>
      </c>
      <c r="D91" s="16">
        <v>1404</v>
      </c>
      <c r="E91" s="300" t="s">
        <v>2045</v>
      </c>
      <c r="F91" s="300" t="s">
        <v>6</v>
      </c>
      <c r="G91" s="300" t="s">
        <v>5247</v>
      </c>
      <c r="H91" s="301" t="s">
        <v>7</v>
      </c>
      <c r="I91" s="360" t="s">
        <v>158</v>
      </c>
      <c r="J91" s="16" t="s">
        <v>84</v>
      </c>
      <c r="K91" s="35" t="s">
        <v>155</v>
      </c>
      <c r="L91" s="35" t="s">
        <v>117</v>
      </c>
      <c r="M91" s="300"/>
      <c r="N91" s="300" t="s">
        <v>106</v>
      </c>
      <c r="O91" s="301" t="s">
        <v>107</v>
      </c>
      <c r="P91" s="436"/>
      <c r="Q91" s="436"/>
      <c r="R91" s="35" t="s">
        <v>5279</v>
      </c>
      <c r="S91" s="35" t="s">
        <v>2961</v>
      </c>
      <c r="T91" s="35" t="s">
        <v>226</v>
      </c>
      <c r="U91" s="300"/>
      <c r="V91" s="300" t="s">
        <v>106</v>
      </c>
      <c r="W91" s="300" t="s">
        <v>107</v>
      </c>
      <c r="X91" s="316" t="s">
        <v>5187</v>
      </c>
      <c r="Y91" s="301"/>
      <c r="Z91" s="301">
        <v>219</v>
      </c>
      <c r="AA91" s="33">
        <v>210</v>
      </c>
      <c r="AB91" s="34">
        <v>207</v>
      </c>
      <c r="AC91" s="16">
        <v>129</v>
      </c>
      <c r="AD91" s="16">
        <v>194</v>
      </c>
      <c r="AE91" s="16">
        <v>1</v>
      </c>
      <c r="AF91" s="16">
        <v>75</v>
      </c>
      <c r="AG91" s="16">
        <v>270</v>
      </c>
      <c r="AH91" s="16">
        <v>7</v>
      </c>
      <c r="AI91" s="16">
        <v>6</v>
      </c>
      <c r="AJ91" s="301"/>
      <c r="AK91" s="300" t="s">
        <v>5280</v>
      </c>
      <c r="AL91" s="25">
        <v>270</v>
      </c>
      <c r="AM91" s="301">
        <v>7.44</v>
      </c>
      <c r="AN91" s="331" t="s">
        <v>5187</v>
      </c>
      <c r="AO91" s="331"/>
      <c r="AP91" s="16" t="s">
        <v>160</v>
      </c>
      <c r="AQ91" s="16" t="s">
        <v>193</v>
      </c>
      <c r="AR91" s="130">
        <f t="shared" si="4"/>
        <v>1404</v>
      </c>
      <c r="AS91" s="130">
        <f t="shared" si="5"/>
        <v>2</v>
      </c>
      <c r="AT91" s="130"/>
      <c r="AU91" s="130"/>
      <c r="AV91" s="12" t="str">
        <f t="shared" si="6"/>
        <v/>
      </c>
      <c r="AW91" s="12" t="str">
        <f t="shared" si="7"/>
        <v/>
      </c>
      <c r="AX91" s="12"/>
      <c r="AY91" s="309"/>
    </row>
    <row r="92" spans="1:51" s="19" customFormat="1" ht="30" hidden="1" customHeight="1" x14ac:dyDescent="0.2">
      <c r="A92" s="356">
        <v>90</v>
      </c>
      <c r="B92" s="20">
        <v>31</v>
      </c>
      <c r="C92" s="20">
        <v>2</v>
      </c>
      <c r="D92" s="29">
        <v>1404</v>
      </c>
      <c r="E92" s="30" t="s">
        <v>5224</v>
      </c>
      <c r="F92" s="30" t="s">
        <v>243</v>
      </c>
      <c r="G92" s="30"/>
      <c r="H92" s="20" t="s">
        <v>83</v>
      </c>
      <c r="I92" s="360" t="s">
        <v>158</v>
      </c>
      <c r="J92" s="29" t="s">
        <v>84</v>
      </c>
      <c r="K92" s="30"/>
      <c r="L92" s="30" t="s">
        <v>68</v>
      </c>
      <c r="M92" s="30"/>
      <c r="N92" s="30" t="s">
        <v>106</v>
      </c>
      <c r="O92" s="20" t="s">
        <v>107</v>
      </c>
      <c r="P92" s="20"/>
      <c r="Q92" s="20"/>
      <c r="R92" s="30"/>
      <c r="S92" s="30" t="s">
        <v>3677</v>
      </c>
      <c r="T92" s="30" t="s">
        <v>485</v>
      </c>
      <c r="U92" s="30"/>
      <c r="V92" s="30" t="s">
        <v>106</v>
      </c>
      <c r="W92" s="20" t="s">
        <v>107</v>
      </c>
      <c r="X92" s="30"/>
      <c r="Y92" s="20" t="s">
        <v>5237</v>
      </c>
      <c r="Z92" s="20"/>
      <c r="AA92" s="20"/>
      <c r="AB92" s="29">
        <v>216</v>
      </c>
      <c r="AC92" s="29"/>
      <c r="AD92" s="29"/>
      <c r="AE92" s="29"/>
      <c r="AF92" s="29"/>
      <c r="AG92" s="29"/>
      <c r="AH92" s="29"/>
      <c r="AI92" s="29">
        <v>6</v>
      </c>
      <c r="AJ92" s="20"/>
      <c r="AK92" s="30"/>
      <c r="AL92" s="36"/>
      <c r="AM92" s="20"/>
      <c r="AN92" s="20"/>
      <c r="AO92" s="20"/>
      <c r="AP92" s="29" t="s">
        <v>160</v>
      </c>
      <c r="AQ92" s="29" t="s">
        <v>193</v>
      </c>
      <c r="AR92" s="130">
        <f t="shared" si="4"/>
        <v>1404</v>
      </c>
      <c r="AS92" s="130">
        <f t="shared" si="5"/>
        <v>2</v>
      </c>
      <c r="AT92" s="318">
        <v>1404</v>
      </c>
      <c r="AU92" s="318">
        <v>2</v>
      </c>
      <c r="AV92" s="31">
        <f t="shared" si="6"/>
        <v>0</v>
      </c>
      <c r="AW92" s="31">
        <f t="shared" si="7"/>
        <v>0</v>
      </c>
      <c r="AX92" s="31" t="s">
        <v>504</v>
      </c>
      <c r="AY92" s="59" t="s">
        <v>5276</v>
      </c>
    </row>
    <row r="93" spans="1:51" s="19" customFormat="1" ht="30" hidden="1" customHeight="1" x14ac:dyDescent="0.2">
      <c r="A93" s="356">
        <v>91</v>
      </c>
      <c r="B93" s="342">
        <v>31</v>
      </c>
      <c r="C93" s="342">
        <v>2</v>
      </c>
      <c r="D93" s="16">
        <v>1404</v>
      </c>
      <c r="E93" s="300" t="s">
        <v>5212</v>
      </c>
      <c r="F93" s="300" t="s">
        <v>20</v>
      </c>
      <c r="G93" s="300" t="s">
        <v>5247</v>
      </c>
      <c r="H93" s="301" t="s">
        <v>7</v>
      </c>
      <c r="I93" s="360" t="s">
        <v>158</v>
      </c>
      <c r="J93" s="16" t="s">
        <v>92</v>
      </c>
      <c r="K93" s="300" t="s">
        <v>141</v>
      </c>
      <c r="L93" s="300" t="s">
        <v>141</v>
      </c>
      <c r="M93" s="300"/>
      <c r="N93" s="300" t="s">
        <v>106</v>
      </c>
      <c r="O93" s="301" t="s">
        <v>107</v>
      </c>
      <c r="P93" s="436"/>
      <c r="Q93" s="436"/>
      <c r="R93" s="35" t="s">
        <v>1704</v>
      </c>
      <c r="S93" s="35" t="s">
        <v>2961</v>
      </c>
      <c r="T93" s="35" t="s">
        <v>2258</v>
      </c>
      <c r="U93" s="300"/>
      <c r="V93" s="300" t="s">
        <v>106</v>
      </c>
      <c r="W93" s="300" t="s">
        <v>107</v>
      </c>
      <c r="X93" s="316" t="s">
        <v>5187</v>
      </c>
      <c r="Y93" s="301"/>
      <c r="Z93" s="301">
        <v>169</v>
      </c>
      <c r="AA93" s="33">
        <v>162</v>
      </c>
      <c r="AB93" s="34">
        <v>156</v>
      </c>
      <c r="AC93" s="16">
        <v>76</v>
      </c>
      <c r="AD93" s="16">
        <v>111</v>
      </c>
      <c r="AE93" s="16">
        <v>1</v>
      </c>
      <c r="AF93" s="16">
        <v>27</v>
      </c>
      <c r="AG93" s="16">
        <v>139</v>
      </c>
      <c r="AH93" s="16">
        <v>12</v>
      </c>
      <c r="AI93" s="16">
        <v>6</v>
      </c>
      <c r="AJ93" s="301"/>
      <c r="AK93" s="300" t="s">
        <v>5280</v>
      </c>
      <c r="AL93" s="25">
        <v>143</v>
      </c>
      <c r="AM93" s="301">
        <v>10.76</v>
      </c>
      <c r="AN93" s="331" t="s">
        <v>4420</v>
      </c>
      <c r="AO93" s="331"/>
      <c r="AP93" s="16" t="s">
        <v>5080</v>
      </c>
      <c r="AQ93" s="16" t="s">
        <v>231</v>
      </c>
      <c r="AR93" s="130">
        <f t="shared" si="4"/>
        <v>1404</v>
      </c>
      <c r="AS93" s="130">
        <f t="shared" si="5"/>
        <v>2</v>
      </c>
      <c r="AT93" s="130"/>
      <c r="AU93" s="130"/>
      <c r="AV93" s="12" t="str">
        <f t="shared" si="6"/>
        <v/>
      </c>
      <c r="AW93" s="12" t="str">
        <f t="shared" si="7"/>
        <v/>
      </c>
      <c r="AX93" s="12"/>
      <c r="AY93" s="309"/>
    </row>
    <row r="94" spans="1:51" s="19" customFormat="1" ht="30" hidden="1" customHeight="1" x14ac:dyDescent="0.2">
      <c r="A94" s="356">
        <v>92</v>
      </c>
      <c r="B94" s="307">
        <v>2</v>
      </c>
      <c r="C94" s="307">
        <v>3</v>
      </c>
      <c r="D94" s="16">
        <v>1404</v>
      </c>
      <c r="E94" s="300" t="s">
        <v>5205</v>
      </c>
      <c r="F94" s="300" t="s">
        <v>243</v>
      </c>
      <c r="G94" s="300" t="s">
        <v>5247</v>
      </c>
      <c r="H94" s="301" t="s">
        <v>7</v>
      </c>
      <c r="I94" s="360" t="s">
        <v>158</v>
      </c>
      <c r="J94" s="16" t="s">
        <v>84</v>
      </c>
      <c r="K94" s="35" t="s">
        <v>68</v>
      </c>
      <c r="L94" s="35" t="s">
        <v>226</v>
      </c>
      <c r="M94" s="300"/>
      <c r="N94" s="300" t="s">
        <v>106</v>
      </c>
      <c r="O94" s="301" t="s">
        <v>107</v>
      </c>
      <c r="P94" s="436"/>
      <c r="Q94" s="436"/>
      <c r="R94" s="35" t="s">
        <v>263</v>
      </c>
      <c r="S94" s="35" t="s">
        <v>2325</v>
      </c>
      <c r="T94" s="35" t="s">
        <v>2258</v>
      </c>
      <c r="U94" s="300"/>
      <c r="V94" s="300" t="s">
        <v>106</v>
      </c>
      <c r="W94" s="300" t="s">
        <v>107</v>
      </c>
      <c r="X94" s="316" t="s">
        <v>5187</v>
      </c>
      <c r="Y94" s="301"/>
      <c r="Z94" s="301">
        <v>243</v>
      </c>
      <c r="AA94" s="301">
        <v>232</v>
      </c>
      <c r="AB94" s="16">
        <v>232</v>
      </c>
      <c r="AC94" s="16">
        <v>95</v>
      </c>
      <c r="AD94" s="16">
        <v>187</v>
      </c>
      <c r="AE94" s="16">
        <v>2</v>
      </c>
      <c r="AF94" s="16">
        <v>6</v>
      </c>
      <c r="AG94" s="16">
        <v>195</v>
      </c>
      <c r="AH94" s="16">
        <v>3.5</v>
      </c>
      <c r="AI94" s="16">
        <v>4</v>
      </c>
      <c r="AJ94" s="301"/>
      <c r="AK94" s="300" t="s">
        <v>5281</v>
      </c>
      <c r="AL94" s="25">
        <v>206</v>
      </c>
      <c r="AM94" s="301">
        <v>4.1900000000000004</v>
      </c>
      <c r="AN94" s="331" t="s">
        <v>5187</v>
      </c>
      <c r="AO94" s="331"/>
      <c r="AP94" s="16" t="s">
        <v>160</v>
      </c>
      <c r="AQ94" s="16" t="s">
        <v>231</v>
      </c>
      <c r="AR94" s="130">
        <f t="shared" si="4"/>
        <v>1404</v>
      </c>
      <c r="AS94" s="130">
        <f t="shared" si="5"/>
        <v>3</v>
      </c>
      <c r="AT94" s="130"/>
      <c r="AU94" s="130"/>
      <c r="AV94" s="12" t="str">
        <f t="shared" si="6"/>
        <v/>
      </c>
      <c r="AW94" s="12" t="str">
        <f t="shared" si="7"/>
        <v/>
      </c>
      <c r="AX94" s="12"/>
      <c r="AY94" s="309"/>
    </row>
    <row r="95" spans="1:51" s="19" customFormat="1" ht="30" hidden="1" customHeight="1" x14ac:dyDescent="0.2">
      <c r="A95" s="356">
        <v>93</v>
      </c>
      <c r="B95" s="307">
        <v>3</v>
      </c>
      <c r="C95" s="307">
        <v>3</v>
      </c>
      <c r="D95" s="16">
        <v>1404</v>
      </c>
      <c r="E95" s="300" t="s">
        <v>5277</v>
      </c>
      <c r="F95" s="300" t="s">
        <v>20</v>
      </c>
      <c r="G95" s="300" t="s">
        <v>5247</v>
      </c>
      <c r="H95" s="301" t="s">
        <v>7</v>
      </c>
      <c r="I95" s="360" t="s">
        <v>158</v>
      </c>
      <c r="J95" s="16" t="s">
        <v>84</v>
      </c>
      <c r="K95" s="35" t="s">
        <v>226</v>
      </c>
      <c r="L95" s="35" t="s">
        <v>334</v>
      </c>
      <c r="M95" s="300"/>
      <c r="N95" s="300" t="s">
        <v>106</v>
      </c>
      <c r="O95" s="301" t="s">
        <v>107</v>
      </c>
      <c r="P95" s="436"/>
      <c r="Q95" s="436"/>
      <c r="R95" s="35" t="s">
        <v>425</v>
      </c>
      <c r="S95" s="35" t="s">
        <v>1809</v>
      </c>
      <c r="T95" s="35" t="s">
        <v>260</v>
      </c>
      <c r="U95" s="300"/>
      <c r="V95" s="300" t="s">
        <v>106</v>
      </c>
      <c r="W95" s="300" t="s">
        <v>107</v>
      </c>
      <c r="X95" s="316" t="s">
        <v>5187</v>
      </c>
      <c r="Y95" s="301"/>
      <c r="Z95" s="301">
        <v>94</v>
      </c>
      <c r="AA95" s="33">
        <v>94</v>
      </c>
      <c r="AB95" s="34">
        <v>88</v>
      </c>
      <c r="AC95" s="16">
        <v>75</v>
      </c>
      <c r="AD95" s="16">
        <v>80</v>
      </c>
      <c r="AE95" s="16">
        <v>3</v>
      </c>
      <c r="AF95" s="16">
        <v>47</v>
      </c>
      <c r="AG95" s="16">
        <v>130</v>
      </c>
      <c r="AH95" s="16">
        <v>8</v>
      </c>
      <c r="AI95" s="16">
        <v>4</v>
      </c>
      <c r="AJ95" s="301"/>
      <c r="AK95" s="300" t="s">
        <v>5282</v>
      </c>
      <c r="AL95" s="25">
        <v>141</v>
      </c>
      <c r="AM95" s="301">
        <v>7.9</v>
      </c>
      <c r="AN95" s="331" t="s">
        <v>5187</v>
      </c>
      <c r="AO95" s="331"/>
      <c r="AP95" s="16" t="s">
        <v>5080</v>
      </c>
      <c r="AQ95" s="16" t="s">
        <v>330</v>
      </c>
      <c r="AR95" s="130">
        <f t="shared" si="4"/>
        <v>1404</v>
      </c>
      <c r="AS95" s="130">
        <f t="shared" si="5"/>
        <v>3</v>
      </c>
      <c r="AT95" s="130"/>
      <c r="AU95" s="130"/>
      <c r="AV95" s="12" t="str">
        <f t="shared" si="6"/>
        <v/>
      </c>
      <c r="AW95" s="12" t="str">
        <f t="shared" si="7"/>
        <v/>
      </c>
      <c r="AX95" s="12"/>
      <c r="AY95" s="309"/>
    </row>
    <row r="96" spans="1:51" s="19" customFormat="1" ht="30" hidden="1" customHeight="1" x14ac:dyDescent="0.2">
      <c r="A96" s="356">
        <v>94</v>
      </c>
      <c r="B96" s="307">
        <v>4</v>
      </c>
      <c r="C96" s="307">
        <v>3</v>
      </c>
      <c r="D96" s="16">
        <v>1404</v>
      </c>
      <c r="E96" s="300" t="s">
        <v>3175</v>
      </c>
      <c r="F96" s="300" t="s">
        <v>6</v>
      </c>
      <c r="G96" s="300" t="s">
        <v>481</v>
      </c>
      <c r="H96" s="301" t="s">
        <v>83</v>
      </c>
      <c r="I96" s="360" t="s">
        <v>158</v>
      </c>
      <c r="J96" s="16" t="s">
        <v>84</v>
      </c>
      <c r="K96" s="300"/>
      <c r="L96" s="300" t="s">
        <v>104</v>
      </c>
      <c r="M96" s="300"/>
      <c r="N96" s="300" t="s">
        <v>142</v>
      </c>
      <c r="O96" s="301" t="s">
        <v>70</v>
      </c>
      <c r="P96" s="436"/>
      <c r="Q96" s="436"/>
      <c r="R96" s="300"/>
      <c r="S96" s="300" t="s">
        <v>3677</v>
      </c>
      <c r="T96" s="300" t="s">
        <v>555</v>
      </c>
      <c r="U96" s="300"/>
      <c r="V96" s="300" t="s">
        <v>119</v>
      </c>
      <c r="W96" s="300" t="s">
        <v>107</v>
      </c>
      <c r="X96" s="316"/>
      <c r="Y96" s="301" t="s">
        <v>5283</v>
      </c>
      <c r="Z96" s="301"/>
      <c r="AA96" s="301"/>
      <c r="AB96" s="16">
        <v>186</v>
      </c>
      <c r="AC96" s="16"/>
      <c r="AD96" s="16"/>
      <c r="AE96" s="16"/>
      <c r="AF96" s="16"/>
      <c r="AG96" s="16"/>
      <c r="AH96" s="16"/>
      <c r="AI96" s="16">
        <v>6</v>
      </c>
      <c r="AJ96" s="301"/>
      <c r="AK96" s="300"/>
      <c r="AL96" s="25"/>
      <c r="AM96" s="301"/>
      <c r="AN96" s="331"/>
      <c r="AO96" s="331"/>
      <c r="AP96" s="16" t="s">
        <v>160</v>
      </c>
      <c r="AQ96" s="16" t="s">
        <v>193</v>
      </c>
      <c r="AR96" s="130">
        <f t="shared" si="4"/>
        <v>1404</v>
      </c>
      <c r="AS96" s="130">
        <f t="shared" si="5"/>
        <v>3</v>
      </c>
      <c r="AT96" s="130">
        <v>1398</v>
      </c>
      <c r="AU96" s="130">
        <v>8</v>
      </c>
      <c r="AV96" s="12">
        <f t="shared" si="6"/>
        <v>67</v>
      </c>
      <c r="AW96" s="12" t="str">
        <f t="shared" si="7"/>
        <v/>
      </c>
      <c r="AX96" s="12"/>
      <c r="AY96" s="309" t="s">
        <v>5292</v>
      </c>
    </row>
    <row r="97" spans="1:51" s="19" customFormat="1" ht="30" hidden="1" customHeight="1" x14ac:dyDescent="0.2">
      <c r="A97" s="356">
        <v>95</v>
      </c>
      <c r="B97" s="307">
        <v>5</v>
      </c>
      <c r="C97" s="343">
        <v>3</v>
      </c>
      <c r="D97" s="16">
        <v>1404</v>
      </c>
      <c r="E97" s="300" t="s">
        <v>672</v>
      </c>
      <c r="F97" s="300" t="s">
        <v>9</v>
      </c>
      <c r="G97" s="300"/>
      <c r="H97" s="301" t="s">
        <v>7</v>
      </c>
      <c r="I97" s="360" t="s">
        <v>158</v>
      </c>
      <c r="J97" s="16" t="s">
        <v>84</v>
      </c>
      <c r="K97" s="300" t="s">
        <v>117</v>
      </c>
      <c r="L97" s="300" t="s">
        <v>117</v>
      </c>
      <c r="M97" s="300"/>
      <c r="N97" s="300" t="s">
        <v>106</v>
      </c>
      <c r="O97" s="301" t="s">
        <v>107</v>
      </c>
      <c r="P97" s="436"/>
      <c r="Q97" s="436"/>
      <c r="R97" s="300" t="s">
        <v>5083</v>
      </c>
      <c r="S97" s="300" t="s">
        <v>2961</v>
      </c>
      <c r="T97" s="300" t="s">
        <v>1581</v>
      </c>
      <c r="U97" s="300"/>
      <c r="V97" s="300" t="s">
        <v>106</v>
      </c>
      <c r="W97" s="300" t="s">
        <v>107</v>
      </c>
      <c r="X97" s="316"/>
      <c r="Y97" s="301"/>
      <c r="Z97" s="301">
        <v>226</v>
      </c>
      <c r="AA97" s="33">
        <v>216</v>
      </c>
      <c r="AB97" s="34">
        <v>213</v>
      </c>
      <c r="AC97" s="16">
        <v>145</v>
      </c>
      <c r="AD97" s="16">
        <v>198</v>
      </c>
      <c r="AE97" s="16">
        <v>2</v>
      </c>
      <c r="AF97" s="16">
        <v>60</v>
      </c>
      <c r="AG97" s="16">
        <v>260</v>
      </c>
      <c r="AH97" s="16">
        <v>7.5</v>
      </c>
      <c r="AI97" s="16">
        <v>6</v>
      </c>
      <c r="AJ97" s="301"/>
      <c r="AK97" s="300" t="s">
        <v>5290</v>
      </c>
      <c r="AL97" s="25">
        <v>255</v>
      </c>
      <c r="AM97" s="301">
        <v>8.6</v>
      </c>
      <c r="AN97" s="331"/>
      <c r="AO97" s="331"/>
      <c r="AP97" s="16" t="s">
        <v>5080</v>
      </c>
      <c r="AQ97" s="16" t="s">
        <v>112</v>
      </c>
      <c r="AR97" s="130">
        <f t="shared" si="4"/>
        <v>1404</v>
      </c>
      <c r="AS97" s="130">
        <f t="shared" si="5"/>
        <v>3</v>
      </c>
      <c r="AT97" s="130"/>
      <c r="AU97" s="130"/>
      <c r="AV97" s="12" t="str">
        <f t="shared" si="6"/>
        <v/>
      </c>
      <c r="AW97" s="12" t="str">
        <f t="shared" si="7"/>
        <v/>
      </c>
      <c r="AX97" s="12"/>
      <c r="AY97" s="309"/>
    </row>
    <row r="98" spans="1:51" s="19" customFormat="1" ht="30" hidden="1" customHeight="1" x14ac:dyDescent="0.2">
      <c r="A98" s="356">
        <v>96</v>
      </c>
      <c r="B98" s="343">
        <v>5</v>
      </c>
      <c r="C98" s="343">
        <v>3</v>
      </c>
      <c r="D98" s="16">
        <v>1404</v>
      </c>
      <c r="E98" s="300" t="s">
        <v>1558</v>
      </c>
      <c r="F98" s="300" t="s">
        <v>2981</v>
      </c>
      <c r="G98" s="300"/>
      <c r="H98" s="301" t="s">
        <v>83</v>
      </c>
      <c r="I98" s="360" t="s">
        <v>158</v>
      </c>
      <c r="J98" s="355" t="s">
        <v>92</v>
      </c>
      <c r="K98" s="300"/>
      <c r="L98" s="346" t="s">
        <v>218</v>
      </c>
      <c r="M98" s="41" t="s">
        <v>1909</v>
      </c>
      <c r="N98" s="41" t="s">
        <v>262</v>
      </c>
      <c r="O98" s="13" t="s">
        <v>70</v>
      </c>
      <c r="P98" s="13"/>
      <c r="Q98" s="13"/>
      <c r="R98" s="300"/>
      <c r="S98" s="300" t="s">
        <v>3679</v>
      </c>
      <c r="T98" s="300" t="s">
        <v>441</v>
      </c>
      <c r="U98" s="41" t="s">
        <v>1910</v>
      </c>
      <c r="V98" s="41" t="s">
        <v>106</v>
      </c>
      <c r="W98" s="41" t="s">
        <v>107</v>
      </c>
      <c r="X98" s="316"/>
      <c r="Y98" s="301"/>
      <c r="Z98" s="301"/>
      <c r="AA98" s="301"/>
      <c r="AB98" s="16">
        <v>228</v>
      </c>
      <c r="AC98" s="16"/>
      <c r="AD98" s="16"/>
      <c r="AE98" s="16"/>
      <c r="AF98" s="16"/>
      <c r="AG98" s="16"/>
      <c r="AH98" s="16"/>
      <c r="AI98" s="16">
        <v>6</v>
      </c>
      <c r="AJ98" s="301"/>
      <c r="AK98" s="300"/>
      <c r="AL98" s="25"/>
      <c r="AM98" s="301"/>
      <c r="AN98" s="331"/>
      <c r="AO98" s="331"/>
      <c r="AP98" s="16" t="s">
        <v>160</v>
      </c>
      <c r="AQ98" s="16" t="s">
        <v>165</v>
      </c>
      <c r="AR98" s="130">
        <f t="shared" si="4"/>
        <v>1404</v>
      </c>
      <c r="AS98" s="130">
        <f t="shared" si="5"/>
        <v>3</v>
      </c>
      <c r="AT98" s="130">
        <v>1401</v>
      </c>
      <c r="AU98" s="130">
        <v>11</v>
      </c>
      <c r="AV98" s="12">
        <f t="shared" si="6"/>
        <v>28</v>
      </c>
      <c r="AW98" s="12" t="str">
        <f t="shared" si="7"/>
        <v/>
      </c>
      <c r="AX98" s="12"/>
      <c r="AY98" s="309"/>
    </row>
    <row r="99" spans="1:51" s="19" customFormat="1" ht="30" hidden="1" customHeight="1" x14ac:dyDescent="0.2">
      <c r="A99" s="356">
        <v>97</v>
      </c>
      <c r="B99" s="307">
        <v>6</v>
      </c>
      <c r="C99" s="307">
        <v>3</v>
      </c>
      <c r="D99" s="16">
        <v>1404</v>
      </c>
      <c r="E99" s="300" t="s">
        <v>5284</v>
      </c>
      <c r="F99" s="300" t="s">
        <v>8</v>
      </c>
      <c r="G99" s="300"/>
      <c r="H99" s="301" t="s">
        <v>7</v>
      </c>
      <c r="I99" s="360" t="s">
        <v>158</v>
      </c>
      <c r="J99" s="355" t="s">
        <v>92</v>
      </c>
      <c r="K99" s="300" t="s">
        <v>68</v>
      </c>
      <c r="L99" s="300" t="s">
        <v>68</v>
      </c>
      <c r="M99" s="300"/>
      <c r="N99" s="300" t="s">
        <v>106</v>
      </c>
      <c r="O99" s="301" t="s">
        <v>107</v>
      </c>
      <c r="P99" s="436"/>
      <c r="Q99" s="436"/>
      <c r="R99" s="35" t="s">
        <v>332</v>
      </c>
      <c r="S99" s="35" t="s">
        <v>3677</v>
      </c>
      <c r="T99" s="35" t="s">
        <v>485</v>
      </c>
      <c r="U99" s="300"/>
      <c r="V99" s="300" t="s">
        <v>106</v>
      </c>
      <c r="W99" s="300" t="s">
        <v>107</v>
      </c>
      <c r="X99" s="316" t="s">
        <v>5187</v>
      </c>
      <c r="Y99" s="301"/>
      <c r="Z99" s="301">
        <v>192</v>
      </c>
      <c r="AA99" s="301">
        <v>138</v>
      </c>
      <c r="AB99" s="16">
        <v>174</v>
      </c>
      <c r="AC99" s="16">
        <v>65</v>
      </c>
      <c r="AD99" s="16">
        <v>95</v>
      </c>
      <c r="AE99" s="16">
        <v>5</v>
      </c>
      <c r="AF99" s="16">
        <v>75</v>
      </c>
      <c r="AG99" s="16">
        <v>175</v>
      </c>
      <c r="AH99" s="16">
        <v>22</v>
      </c>
      <c r="AI99" s="16">
        <v>6</v>
      </c>
      <c r="AJ99" s="301"/>
      <c r="AK99" s="300" t="s">
        <v>5291</v>
      </c>
      <c r="AL99" s="25">
        <v>170</v>
      </c>
      <c r="AM99" s="301">
        <v>23.12</v>
      </c>
      <c r="AN99" s="331" t="s">
        <v>5187</v>
      </c>
      <c r="AO99" s="331" t="s">
        <v>1176</v>
      </c>
      <c r="AP99" s="16" t="s">
        <v>5080</v>
      </c>
      <c r="AQ99" s="16" t="s">
        <v>161</v>
      </c>
      <c r="AR99" s="130">
        <f t="shared" si="4"/>
        <v>1404</v>
      </c>
      <c r="AS99" s="130">
        <f t="shared" si="5"/>
        <v>3</v>
      </c>
      <c r="AT99" s="130"/>
      <c r="AU99" s="130"/>
      <c r="AV99" s="12" t="str">
        <f t="shared" si="6"/>
        <v/>
      </c>
      <c r="AW99" s="12" t="str">
        <f t="shared" si="7"/>
        <v/>
      </c>
      <c r="AX99" s="12"/>
      <c r="AY99" s="309"/>
    </row>
    <row r="100" spans="1:51" s="19" customFormat="1" ht="30" hidden="1" customHeight="1" x14ac:dyDescent="0.2">
      <c r="A100" s="356">
        <v>98</v>
      </c>
      <c r="B100" s="20">
        <v>7</v>
      </c>
      <c r="C100" s="20">
        <v>3</v>
      </c>
      <c r="D100" s="29">
        <v>1404</v>
      </c>
      <c r="E100" s="30" t="s">
        <v>1675</v>
      </c>
      <c r="F100" s="30" t="s">
        <v>8</v>
      </c>
      <c r="G100" s="30"/>
      <c r="H100" s="20" t="s">
        <v>83</v>
      </c>
      <c r="I100" s="360" t="s">
        <v>158</v>
      </c>
      <c r="J100" s="355" t="s">
        <v>92</v>
      </c>
      <c r="K100" s="30"/>
      <c r="L100" s="30" t="s">
        <v>223</v>
      </c>
      <c r="M100" s="30"/>
      <c r="N100" s="30" t="s">
        <v>106</v>
      </c>
      <c r="O100" s="20" t="s">
        <v>107</v>
      </c>
      <c r="P100" s="20"/>
      <c r="Q100" s="20"/>
      <c r="R100" s="30"/>
      <c r="S100" s="30" t="s">
        <v>2325</v>
      </c>
      <c r="T100" s="30" t="s">
        <v>1581</v>
      </c>
      <c r="U100" s="30"/>
      <c r="V100" s="30" t="s">
        <v>69</v>
      </c>
      <c r="W100" s="30" t="s">
        <v>70</v>
      </c>
      <c r="X100" s="30"/>
      <c r="Y100" s="20" t="s">
        <v>5018</v>
      </c>
      <c r="Z100" s="20"/>
      <c r="AA100" s="20"/>
      <c r="AB100" s="29">
        <v>180</v>
      </c>
      <c r="AC100" s="29"/>
      <c r="AD100" s="29"/>
      <c r="AE100" s="29"/>
      <c r="AF100" s="29"/>
      <c r="AG100" s="29"/>
      <c r="AH100" s="29"/>
      <c r="AI100" s="29">
        <v>4</v>
      </c>
      <c r="AJ100" s="20"/>
      <c r="AK100" s="30"/>
      <c r="AL100" s="36"/>
      <c r="AM100" s="20"/>
      <c r="AN100" s="20"/>
      <c r="AO100" s="20"/>
      <c r="AP100" s="29" t="s">
        <v>5080</v>
      </c>
      <c r="AQ100" s="29" t="s">
        <v>330</v>
      </c>
      <c r="AR100" s="130">
        <f t="shared" si="4"/>
        <v>1404</v>
      </c>
      <c r="AS100" s="130">
        <f t="shared" si="5"/>
        <v>3</v>
      </c>
      <c r="AT100" s="318">
        <v>1403</v>
      </c>
      <c r="AU100" s="318">
        <v>11</v>
      </c>
      <c r="AV100" s="31">
        <f t="shared" si="6"/>
        <v>4</v>
      </c>
      <c r="AW100" s="31">
        <f t="shared" si="7"/>
        <v>4</v>
      </c>
      <c r="AX100" s="31"/>
      <c r="AY100" s="59"/>
    </row>
    <row r="101" spans="1:51" s="19" customFormat="1" ht="30" hidden="1" customHeight="1" x14ac:dyDescent="0.2">
      <c r="A101" s="356">
        <v>99</v>
      </c>
      <c r="B101" s="307">
        <v>8</v>
      </c>
      <c r="C101" s="307">
        <v>3</v>
      </c>
      <c r="D101" s="16">
        <v>1404</v>
      </c>
      <c r="E101" s="300" t="s">
        <v>5285</v>
      </c>
      <c r="F101" s="300" t="s">
        <v>6</v>
      </c>
      <c r="G101" s="300" t="s">
        <v>185</v>
      </c>
      <c r="H101" s="301" t="s">
        <v>83</v>
      </c>
      <c r="I101" s="360" t="s">
        <v>158</v>
      </c>
      <c r="J101" s="16" t="s">
        <v>84</v>
      </c>
      <c r="K101" s="300"/>
      <c r="L101" s="300" t="s">
        <v>218</v>
      </c>
      <c r="M101" s="300" t="s">
        <v>5330</v>
      </c>
      <c r="N101" s="300" t="s">
        <v>119</v>
      </c>
      <c r="O101" s="301" t="s">
        <v>107</v>
      </c>
      <c r="P101" s="436"/>
      <c r="Q101" s="436"/>
      <c r="R101" s="300"/>
      <c r="S101" s="300" t="s">
        <v>3679</v>
      </c>
      <c r="T101" s="300" t="s">
        <v>260</v>
      </c>
      <c r="U101" s="300" t="s">
        <v>5331</v>
      </c>
      <c r="V101" s="300" t="s">
        <v>262</v>
      </c>
      <c r="W101" s="300" t="s">
        <v>70</v>
      </c>
      <c r="X101" s="316"/>
      <c r="Y101" s="301" t="s">
        <v>5332</v>
      </c>
      <c r="Z101" s="301"/>
      <c r="AA101" s="301"/>
      <c r="AB101" s="16">
        <v>210</v>
      </c>
      <c r="AC101" s="16"/>
      <c r="AD101" s="16"/>
      <c r="AE101" s="16"/>
      <c r="AF101" s="16"/>
      <c r="AG101" s="16"/>
      <c r="AH101" s="16"/>
      <c r="AI101" s="16">
        <v>6</v>
      </c>
      <c r="AJ101" s="301"/>
      <c r="AK101" s="300"/>
      <c r="AL101" s="25"/>
      <c r="AM101" s="301"/>
      <c r="AN101" s="331"/>
      <c r="AO101" s="331"/>
      <c r="AP101" s="16"/>
      <c r="AQ101" s="16"/>
      <c r="AR101" s="130">
        <f t="shared" si="4"/>
        <v>1404</v>
      </c>
      <c r="AS101" s="130">
        <f t="shared" si="5"/>
        <v>3</v>
      </c>
      <c r="AT101" s="130">
        <v>1396</v>
      </c>
      <c r="AU101" s="130">
        <v>4</v>
      </c>
      <c r="AV101" s="12">
        <f t="shared" si="6"/>
        <v>95</v>
      </c>
      <c r="AW101" s="12" t="str">
        <f t="shared" si="7"/>
        <v/>
      </c>
      <c r="AX101" s="12"/>
      <c r="AY101" s="309"/>
    </row>
    <row r="102" spans="1:51" s="19" customFormat="1" ht="30" hidden="1" customHeight="1" x14ac:dyDescent="0.2">
      <c r="A102" s="356">
        <v>100</v>
      </c>
      <c r="B102" s="307">
        <v>8</v>
      </c>
      <c r="C102" s="307">
        <v>3</v>
      </c>
      <c r="D102" s="16">
        <v>1404</v>
      </c>
      <c r="E102" s="300" t="s">
        <v>5286</v>
      </c>
      <c r="F102" s="300" t="s">
        <v>243</v>
      </c>
      <c r="G102" s="300" t="s">
        <v>174</v>
      </c>
      <c r="H102" s="301" t="s">
        <v>83</v>
      </c>
      <c r="I102" s="360" t="s">
        <v>158</v>
      </c>
      <c r="J102" s="355" t="s">
        <v>92</v>
      </c>
      <c r="K102" s="300"/>
      <c r="L102" s="300" t="s">
        <v>104</v>
      </c>
      <c r="M102" s="300" t="s">
        <v>5327</v>
      </c>
      <c r="N102" s="300" t="s">
        <v>2699</v>
      </c>
      <c r="O102" s="301" t="s">
        <v>107</v>
      </c>
      <c r="P102" s="436"/>
      <c r="Q102" s="436"/>
      <c r="R102" s="300"/>
      <c r="S102" s="300" t="s">
        <v>3679</v>
      </c>
      <c r="T102" s="300" t="s">
        <v>555</v>
      </c>
      <c r="U102" s="300" t="s">
        <v>5328</v>
      </c>
      <c r="V102" s="300" t="s">
        <v>69</v>
      </c>
      <c r="W102" s="300" t="s">
        <v>70</v>
      </c>
      <c r="X102" s="316"/>
      <c r="Y102" s="301" t="s">
        <v>5329</v>
      </c>
      <c r="Z102" s="301"/>
      <c r="AA102" s="301"/>
      <c r="AB102" s="16">
        <v>105</v>
      </c>
      <c r="AC102" s="16"/>
      <c r="AD102" s="16"/>
      <c r="AE102" s="16"/>
      <c r="AF102" s="16"/>
      <c r="AG102" s="16"/>
      <c r="AH102" s="16"/>
      <c r="AI102" s="16">
        <v>6</v>
      </c>
      <c r="AJ102" s="301"/>
      <c r="AK102" s="300"/>
      <c r="AL102" s="25"/>
      <c r="AM102" s="301"/>
      <c r="AN102" s="331"/>
      <c r="AO102" s="331"/>
      <c r="AP102" s="16"/>
      <c r="AQ102" s="16"/>
      <c r="AR102" s="130">
        <f t="shared" si="4"/>
        <v>1404</v>
      </c>
      <c r="AS102" s="130">
        <f t="shared" si="5"/>
        <v>3</v>
      </c>
      <c r="AT102" s="130">
        <v>1397</v>
      </c>
      <c r="AU102" s="130">
        <v>12</v>
      </c>
      <c r="AV102" s="12">
        <f t="shared" si="6"/>
        <v>75</v>
      </c>
      <c r="AW102" s="12" t="str">
        <f t="shared" si="7"/>
        <v/>
      </c>
      <c r="AX102" s="12"/>
      <c r="AY102" s="309"/>
    </row>
    <row r="103" spans="1:51" s="19" customFormat="1" ht="30" hidden="1" customHeight="1" x14ac:dyDescent="0.2">
      <c r="A103" s="356">
        <v>101</v>
      </c>
      <c r="B103" s="20">
        <v>9</v>
      </c>
      <c r="C103" s="20">
        <v>3</v>
      </c>
      <c r="D103" s="29">
        <v>1404</v>
      </c>
      <c r="E103" s="30" t="s">
        <v>3217</v>
      </c>
      <c r="F103" s="30" t="s">
        <v>10</v>
      </c>
      <c r="G103" s="30" t="s">
        <v>202</v>
      </c>
      <c r="H103" s="20" t="s">
        <v>83</v>
      </c>
      <c r="I103" s="360" t="s">
        <v>158</v>
      </c>
      <c r="J103" s="29"/>
      <c r="K103" s="30"/>
      <c r="L103" s="30" t="s">
        <v>155</v>
      </c>
      <c r="M103" s="30"/>
      <c r="N103" s="30" t="s">
        <v>106</v>
      </c>
      <c r="O103" s="20" t="s">
        <v>107</v>
      </c>
      <c r="P103" s="20"/>
      <c r="Q103" s="20"/>
      <c r="R103" s="30"/>
      <c r="S103" s="30" t="s">
        <v>3680</v>
      </c>
      <c r="T103" s="30" t="s">
        <v>769</v>
      </c>
      <c r="U103" s="30"/>
      <c r="V103" s="30" t="s">
        <v>73</v>
      </c>
      <c r="W103" s="30" t="s">
        <v>70</v>
      </c>
      <c r="X103" s="30"/>
      <c r="Y103" s="20" t="s">
        <v>5235</v>
      </c>
      <c r="Z103" s="20"/>
      <c r="AA103" s="20"/>
      <c r="AB103" s="29">
        <v>216</v>
      </c>
      <c r="AC103" s="29"/>
      <c r="AD103" s="29"/>
      <c r="AE103" s="29"/>
      <c r="AF103" s="29"/>
      <c r="AG103" s="29"/>
      <c r="AH103" s="29"/>
      <c r="AI103" s="29">
        <v>6</v>
      </c>
      <c r="AJ103" s="20"/>
      <c r="AK103" s="30"/>
      <c r="AL103" s="36"/>
      <c r="AM103" s="20"/>
      <c r="AN103" s="20"/>
      <c r="AO103" s="20"/>
      <c r="AP103" s="29" t="s">
        <v>160</v>
      </c>
      <c r="AQ103" s="29" t="s">
        <v>193</v>
      </c>
      <c r="AR103" s="130">
        <f t="shared" si="4"/>
        <v>1404</v>
      </c>
      <c r="AS103" s="130">
        <f t="shared" si="5"/>
        <v>3</v>
      </c>
      <c r="AT103" s="318">
        <v>1404</v>
      </c>
      <c r="AU103" s="318">
        <v>2</v>
      </c>
      <c r="AV103" s="31">
        <f t="shared" si="6"/>
        <v>1</v>
      </c>
      <c r="AW103" s="31">
        <f t="shared" si="7"/>
        <v>1</v>
      </c>
      <c r="AX103" s="31" t="s">
        <v>504</v>
      </c>
      <c r="AY103" s="59"/>
    </row>
    <row r="104" spans="1:51" s="19" customFormat="1" ht="30" hidden="1" customHeight="1" x14ac:dyDescent="0.2">
      <c r="A104" s="356">
        <v>102</v>
      </c>
      <c r="B104" s="307">
        <v>9</v>
      </c>
      <c r="C104" s="307">
        <v>3</v>
      </c>
      <c r="D104" s="16">
        <v>1404</v>
      </c>
      <c r="E104" s="300" t="s">
        <v>4963</v>
      </c>
      <c r="F104" s="300" t="s">
        <v>20</v>
      </c>
      <c r="G104" s="300" t="s">
        <v>5247</v>
      </c>
      <c r="H104" s="301" t="s">
        <v>7</v>
      </c>
      <c r="I104" s="360" t="s">
        <v>158</v>
      </c>
      <c r="J104" s="355" t="s">
        <v>84</v>
      </c>
      <c r="K104" s="300"/>
      <c r="L104" s="300" t="s">
        <v>141</v>
      </c>
      <c r="M104" s="300"/>
      <c r="N104" s="300" t="s">
        <v>106</v>
      </c>
      <c r="O104" s="301" t="s">
        <v>107</v>
      </c>
      <c r="P104" s="436"/>
      <c r="Q104" s="436"/>
      <c r="R104" s="300"/>
      <c r="S104" s="300" t="s">
        <v>3677</v>
      </c>
      <c r="T104" s="300" t="s">
        <v>458</v>
      </c>
      <c r="U104" s="300"/>
      <c r="V104" s="349" t="s">
        <v>106</v>
      </c>
      <c r="W104" s="350" t="s">
        <v>107</v>
      </c>
      <c r="X104" s="316"/>
      <c r="Y104" s="301"/>
      <c r="Z104" s="301"/>
      <c r="AA104" s="301"/>
      <c r="AB104" s="16"/>
      <c r="AC104" s="16"/>
      <c r="AD104" s="16"/>
      <c r="AE104" s="16"/>
      <c r="AF104" s="16"/>
      <c r="AG104" s="16"/>
      <c r="AH104" s="16"/>
      <c r="AI104" s="16"/>
      <c r="AJ104" s="301"/>
      <c r="AK104" s="300"/>
      <c r="AL104" s="25"/>
      <c r="AM104" s="301"/>
      <c r="AN104" s="331"/>
      <c r="AO104" s="331"/>
      <c r="AP104" s="16"/>
      <c r="AQ104" s="16"/>
      <c r="AR104" s="130">
        <f t="shared" si="4"/>
        <v>1404</v>
      </c>
      <c r="AS104" s="130">
        <f t="shared" si="5"/>
        <v>3</v>
      </c>
      <c r="AT104" s="130"/>
      <c r="AU104" s="130"/>
      <c r="AV104" s="12" t="str">
        <f t="shared" si="6"/>
        <v/>
      </c>
      <c r="AW104" s="12" t="str">
        <f t="shared" si="7"/>
        <v/>
      </c>
      <c r="AX104" s="12"/>
      <c r="AY104" s="309"/>
    </row>
    <row r="105" spans="1:51" s="19" customFormat="1" ht="30" hidden="1" customHeight="1" x14ac:dyDescent="0.2">
      <c r="A105" s="356">
        <v>103</v>
      </c>
      <c r="B105" s="307">
        <v>10</v>
      </c>
      <c r="C105" s="345">
        <v>3</v>
      </c>
      <c r="D105" s="16">
        <v>1404</v>
      </c>
      <c r="E105" s="300" t="s">
        <v>2658</v>
      </c>
      <c r="F105" s="300" t="s">
        <v>6</v>
      </c>
      <c r="G105" s="300" t="s">
        <v>5247</v>
      </c>
      <c r="H105" s="301" t="s">
        <v>7</v>
      </c>
      <c r="I105" s="360" t="s">
        <v>158</v>
      </c>
      <c r="J105" s="355" t="s">
        <v>92</v>
      </c>
      <c r="K105" s="35" t="s">
        <v>155</v>
      </c>
      <c r="L105" s="35" t="s">
        <v>140</v>
      </c>
      <c r="M105" s="300"/>
      <c r="N105" s="344" t="s">
        <v>106</v>
      </c>
      <c r="O105" s="345" t="s">
        <v>107</v>
      </c>
      <c r="P105" s="436"/>
      <c r="Q105" s="436"/>
      <c r="R105" s="35" t="s">
        <v>324</v>
      </c>
      <c r="S105" s="35" t="s">
        <v>2961</v>
      </c>
      <c r="T105" s="35" t="s">
        <v>2348</v>
      </c>
      <c r="U105" s="300"/>
      <c r="V105" s="300" t="s">
        <v>262</v>
      </c>
      <c r="W105" s="300" t="s">
        <v>70</v>
      </c>
      <c r="X105" s="316"/>
      <c r="Y105" s="301"/>
      <c r="Z105" s="301">
        <v>162</v>
      </c>
      <c r="AA105" s="33">
        <v>156</v>
      </c>
      <c r="AB105" s="34">
        <v>150</v>
      </c>
      <c r="AC105" s="16">
        <v>81</v>
      </c>
      <c r="AD105" s="16">
        <v>121</v>
      </c>
      <c r="AE105" s="16">
        <v>1</v>
      </c>
      <c r="AF105" s="16">
        <v>35</v>
      </c>
      <c r="AG105" s="16">
        <v>157</v>
      </c>
      <c r="AH105" s="16">
        <v>10</v>
      </c>
      <c r="AI105" s="16">
        <v>6</v>
      </c>
      <c r="AJ105" s="301"/>
      <c r="AK105" s="300" t="s">
        <v>5287</v>
      </c>
      <c r="AL105" s="25">
        <v>154</v>
      </c>
      <c r="AM105" s="301">
        <v>11.5</v>
      </c>
      <c r="AN105" s="331" t="s">
        <v>5187</v>
      </c>
      <c r="AO105" s="331" t="s">
        <v>5288</v>
      </c>
      <c r="AP105" s="16" t="s">
        <v>5080</v>
      </c>
      <c r="AQ105" s="16" t="s">
        <v>5289</v>
      </c>
      <c r="AR105" s="130">
        <f t="shared" si="4"/>
        <v>1404</v>
      </c>
      <c r="AS105" s="130">
        <f t="shared" si="5"/>
        <v>3</v>
      </c>
      <c r="AT105" s="130"/>
      <c r="AU105" s="130"/>
      <c r="AV105" s="12" t="str">
        <f t="shared" si="6"/>
        <v/>
      </c>
      <c r="AW105" s="12" t="str">
        <f t="shared" si="7"/>
        <v/>
      </c>
      <c r="AX105" s="12"/>
      <c r="AY105" s="309"/>
    </row>
    <row r="106" spans="1:51" s="19" customFormat="1" ht="30" hidden="1" customHeight="1" x14ac:dyDescent="0.2">
      <c r="A106" s="356">
        <v>104</v>
      </c>
      <c r="B106" s="351">
        <v>11</v>
      </c>
      <c r="C106" s="351">
        <v>3</v>
      </c>
      <c r="D106" s="16">
        <v>1404</v>
      </c>
      <c r="E106" s="352" t="s">
        <v>87</v>
      </c>
      <c r="F106" s="352" t="s">
        <v>6</v>
      </c>
      <c r="G106" s="352" t="s">
        <v>5247</v>
      </c>
      <c r="H106" s="351" t="s">
        <v>7</v>
      </c>
      <c r="I106" s="360" t="s">
        <v>158</v>
      </c>
      <c r="J106" s="16" t="s">
        <v>84</v>
      </c>
      <c r="K106" s="35" t="s">
        <v>68</v>
      </c>
      <c r="L106" s="35" t="s">
        <v>141</v>
      </c>
      <c r="M106" s="352"/>
      <c r="N106" s="352" t="s">
        <v>69</v>
      </c>
      <c r="O106" s="351" t="s">
        <v>70</v>
      </c>
      <c r="P106" s="436"/>
      <c r="Q106" s="436"/>
      <c r="R106" s="35" t="s">
        <v>2959</v>
      </c>
      <c r="S106" s="35" t="s">
        <v>2961</v>
      </c>
      <c r="T106" s="35" t="s">
        <v>2258</v>
      </c>
      <c r="U106" s="352"/>
      <c r="V106" s="352" t="s">
        <v>73</v>
      </c>
      <c r="W106" s="352" t="s">
        <v>70</v>
      </c>
      <c r="X106" s="352" t="s">
        <v>5187</v>
      </c>
      <c r="Y106" s="351"/>
      <c r="Z106" s="351">
        <v>238</v>
      </c>
      <c r="AA106" s="351">
        <v>225</v>
      </c>
      <c r="AB106" s="16">
        <v>225</v>
      </c>
      <c r="AC106" s="16">
        <v>127</v>
      </c>
      <c r="AD106" s="16">
        <v>157</v>
      </c>
      <c r="AE106" s="16">
        <v>1</v>
      </c>
      <c r="AF106" s="16">
        <v>28</v>
      </c>
      <c r="AG106" s="16">
        <v>186</v>
      </c>
      <c r="AH106" s="16">
        <v>8</v>
      </c>
      <c r="AI106" s="16">
        <v>6</v>
      </c>
      <c r="AJ106" s="351"/>
      <c r="AK106" s="352" t="s">
        <v>5287</v>
      </c>
      <c r="AL106" s="25">
        <v>195</v>
      </c>
      <c r="AM106" s="351">
        <v>7.65</v>
      </c>
      <c r="AN106" s="351" t="s">
        <v>5187</v>
      </c>
      <c r="AO106" s="351"/>
      <c r="AP106" s="16" t="s">
        <v>160</v>
      </c>
      <c r="AQ106" s="16"/>
      <c r="AR106" s="130">
        <f t="shared" si="4"/>
        <v>1404</v>
      </c>
      <c r="AS106" s="130">
        <f t="shared" si="5"/>
        <v>3</v>
      </c>
      <c r="AT106" s="130"/>
      <c r="AU106" s="130"/>
      <c r="AV106" s="12" t="str">
        <f t="shared" si="6"/>
        <v/>
      </c>
      <c r="AW106" s="12" t="str">
        <f t="shared" si="7"/>
        <v/>
      </c>
      <c r="AX106" s="12"/>
      <c r="AY106" s="309"/>
    </row>
    <row r="107" spans="1:51" s="19" customFormat="1" ht="30" hidden="1" customHeight="1" x14ac:dyDescent="0.2">
      <c r="A107" s="356">
        <v>105</v>
      </c>
      <c r="B107" s="351">
        <v>12</v>
      </c>
      <c r="C107" s="351">
        <v>3</v>
      </c>
      <c r="D107" s="16">
        <v>1404</v>
      </c>
      <c r="E107" s="352" t="s">
        <v>1558</v>
      </c>
      <c r="F107" s="352" t="s">
        <v>2981</v>
      </c>
      <c r="G107" s="352" t="s">
        <v>5247</v>
      </c>
      <c r="H107" s="351" t="s">
        <v>7</v>
      </c>
      <c r="I107" s="360" t="s">
        <v>158</v>
      </c>
      <c r="J107" s="16" t="s">
        <v>84</v>
      </c>
      <c r="K107" s="35" t="s">
        <v>155</v>
      </c>
      <c r="L107" s="35" t="s">
        <v>117</v>
      </c>
      <c r="M107" s="352"/>
      <c r="N107" s="352" t="s">
        <v>106</v>
      </c>
      <c r="O107" s="351" t="s">
        <v>107</v>
      </c>
      <c r="P107" s="436"/>
      <c r="Q107" s="436"/>
      <c r="R107" s="35" t="s">
        <v>167</v>
      </c>
      <c r="S107" s="35" t="s">
        <v>2961</v>
      </c>
      <c r="T107" s="35" t="s">
        <v>1581</v>
      </c>
      <c r="U107" s="352"/>
      <c r="V107" s="352" t="s">
        <v>106</v>
      </c>
      <c r="W107" s="352" t="s">
        <v>107</v>
      </c>
      <c r="X107" s="352" t="s">
        <v>5187</v>
      </c>
      <c r="Y107" s="351"/>
      <c r="Z107" s="351">
        <v>252</v>
      </c>
      <c r="AA107" s="33">
        <v>210</v>
      </c>
      <c r="AB107" s="34">
        <v>207</v>
      </c>
      <c r="AC107" s="16">
        <v>121</v>
      </c>
      <c r="AD107" s="16">
        <v>181</v>
      </c>
      <c r="AE107" s="16">
        <v>1</v>
      </c>
      <c r="AF107" s="16">
        <v>64</v>
      </c>
      <c r="AG107" s="16">
        <v>246</v>
      </c>
      <c r="AH107" s="16">
        <v>8</v>
      </c>
      <c r="AI107" s="16">
        <v>6</v>
      </c>
      <c r="AJ107" s="351"/>
      <c r="AK107" s="352" t="s">
        <v>5307</v>
      </c>
      <c r="AL107" s="25">
        <v>255</v>
      </c>
      <c r="AM107" s="351">
        <v>8.93</v>
      </c>
      <c r="AN107" s="351" t="s">
        <v>5187</v>
      </c>
      <c r="AO107" s="351" t="s">
        <v>5308</v>
      </c>
      <c r="AP107" s="16" t="s">
        <v>160</v>
      </c>
      <c r="AQ107" s="16" t="s">
        <v>5309</v>
      </c>
      <c r="AR107" s="130">
        <f t="shared" si="4"/>
        <v>1404</v>
      </c>
      <c r="AS107" s="130">
        <f t="shared" si="5"/>
        <v>3</v>
      </c>
      <c r="AT107" s="130"/>
      <c r="AU107" s="130"/>
      <c r="AV107" s="12" t="str">
        <f t="shared" si="6"/>
        <v/>
      </c>
      <c r="AW107" s="12" t="str">
        <f t="shared" si="7"/>
        <v/>
      </c>
      <c r="AX107" s="12"/>
      <c r="AY107" s="309"/>
    </row>
    <row r="108" spans="1:51" s="19" customFormat="1" ht="30" hidden="1" customHeight="1" x14ac:dyDescent="0.2">
      <c r="A108" s="356">
        <v>106</v>
      </c>
      <c r="B108" s="351">
        <v>13</v>
      </c>
      <c r="C108" s="351">
        <v>3</v>
      </c>
      <c r="D108" s="16">
        <v>1404</v>
      </c>
      <c r="E108" s="352" t="s">
        <v>5224</v>
      </c>
      <c r="F108" s="352" t="s">
        <v>243</v>
      </c>
      <c r="G108" s="352" t="s">
        <v>5247</v>
      </c>
      <c r="H108" s="351" t="s">
        <v>7</v>
      </c>
      <c r="I108" s="360" t="s">
        <v>158</v>
      </c>
      <c r="J108" s="16" t="s">
        <v>84</v>
      </c>
      <c r="K108" s="35" t="s">
        <v>68</v>
      </c>
      <c r="L108" s="35" t="s">
        <v>140</v>
      </c>
      <c r="M108" s="352"/>
      <c r="N108" s="352" t="s">
        <v>106</v>
      </c>
      <c r="O108" s="351" t="s">
        <v>107</v>
      </c>
      <c r="P108" s="436"/>
      <c r="Q108" s="436"/>
      <c r="R108" s="35" t="s">
        <v>263</v>
      </c>
      <c r="S108" s="35" t="s">
        <v>3680</v>
      </c>
      <c r="T108" s="35" t="s">
        <v>718</v>
      </c>
      <c r="U108" s="352"/>
      <c r="V108" s="352" t="s">
        <v>73</v>
      </c>
      <c r="W108" s="352" t="s">
        <v>70</v>
      </c>
      <c r="X108" s="352" t="s">
        <v>5187</v>
      </c>
      <c r="Y108" s="351"/>
      <c r="Z108" s="351">
        <v>228</v>
      </c>
      <c r="AA108" s="33">
        <v>216</v>
      </c>
      <c r="AB108" s="34">
        <v>207</v>
      </c>
      <c r="AC108" s="16">
        <v>43</v>
      </c>
      <c r="AD108" s="16">
        <v>64</v>
      </c>
      <c r="AE108" s="16">
        <v>7</v>
      </c>
      <c r="AF108" s="16">
        <v>29</v>
      </c>
      <c r="AG108" s="16">
        <v>100</v>
      </c>
      <c r="AH108" s="16">
        <v>23</v>
      </c>
      <c r="AI108" s="16">
        <v>6</v>
      </c>
      <c r="AJ108" s="351"/>
      <c r="AK108" s="352"/>
      <c r="AL108" s="25"/>
      <c r="AM108" s="351"/>
      <c r="AN108" s="351"/>
      <c r="AO108" s="351"/>
      <c r="AP108" s="16"/>
      <c r="AQ108" s="16"/>
      <c r="AR108" s="130">
        <f t="shared" si="4"/>
        <v>1404</v>
      </c>
      <c r="AS108" s="130">
        <f t="shared" si="5"/>
        <v>3</v>
      </c>
      <c r="AT108" s="130"/>
      <c r="AU108" s="130"/>
      <c r="AV108" s="12" t="str">
        <f t="shared" si="6"/>
        <v/>
      </c>
      <c r="AW108" s="12" t="str">
        <f t="shared" si="7"/>
        <v/>
      </c>
      <c r="AX108" s="12"/>
      <c r="AY108" s="309"/>
    </row>
    <row r="109" spans="1:51" s="19" customFormat="1" ht="30" hidden="1" customHeight="1" x14ac:dyDescent="0.2">
      <c r="A109" s="356">
        <v>107</v>
      </c>
      <c r="B109" s="351">
        <v>14</v>
      </c>
      <c r="C109" s="351">
        <v>3</v>
      </c>
      <c r="D109" s="16">
        <v>1404</v>
      </c>
      <c r="E109" s="352" t="s">
        <v>5286</v>
      </c>
      <c r="F109" s="352" t="s">
        <v>243</v>
      </c>
      <c r="G109" s="352" t="s">
        <v>5247</v>
      </c>
      <c r="H109" s="351" t="s">
        <v>7</v>
      </c>
      <c r="I109" s="360" t="s">
        <v>158</v>
      </c>
      <c r="J109" s="16" t="s">
        <v>92</v>
      </c>
      <c r="K109" s="35" t="s">
        <v>104</v>
      </c>
      <c r="L109" s="35" t="s">
        <v>226</v>
      </c>
      <c r="M109" s="352"/>
      <c r="N109" s="352" t="s">
        <v>106</v>
      </c>
      <c r="O109" s="351" t="s">
        <v>107</v>
      </c>
      <c r="P109" s="436"/>
      <c r="Q109" s="436"/>
      <c r="R109" s="35" t="s">
        <v>108</v>
      </c>
      <c r="S109" s="35" t="s">
        <v>1809</v>
      </c>
      <c r="T109" s="35" t="s">
        <v>718</v>
      </c>
      <c r="U109" s="352"/>
      <c r="V109" s="352" t="s">
        <v>106</v>
      </c>
      <c r="W109" s="352" t="s">
        <v>107</v>
      </c>
      <c r="X109" s="352" t="s">
        <v>5187</v>
      </c>
      <c r="Y109" s="351"/>
      <c r="Z109" s="351">
        <v>107</v>
      </c>
      <c r="AA109" s="351">
        <v>105</v>
      </c>
      <c r="AB109" s="16">
        <v>101</v>
      </c>
      <c r="AC109" s="16">
        <v>70</v>
      </c>
      <c r="AD109" s="16">
        <v>90</v>
      </c>
      <c r="AE109" s="16">
        <v>1</v>
      </c>
      <c r="AF109" s="16">
        <v>38</v>
      </c>
      <c r="AG109" s="16">
        <v>129</v>
      </c>
      <c r="AH109" s="16">
        <v>6</v>
      </c>
      <c r="AI109" s="16">
        <v>6</v>
      </c>
      <c r="AJ109" s="351"/>
      <c r="AK109" s="352"/>
      <c r="AL109" s="25"/>
      <c r="AM109" s="351"/>
      <c r="AN109" s="351"/>
      <c r="AO109" s="351"/>
      <c r="AP109" s="16"/>
      <c r="AQ109" s="16"/>
      <c r="AR109" s="130">
        <f t="shared" si="4"/>
        <v>1404</v>
      </c>
      <c r="AS109" s="130">
        <f t="shared" si="5"/>
        <v>3</v>
      </c>
      <c r="AT109" s="130"/>
      <c r="AU109" s="130"/>
      <c r="AV109" s="12" t="str">
        <f t="shared" si="6"/>
        <v/>
      </c>
      <c r="AW109" s="12" t="str">
        <f t="shared" si="7"/>
        <v/>
      </c>
      <c r="AX109" s="12"/>
      <c r="AY109" s="309"/>
    </row>
    <row r="110" spans="1:51" s="19" customFormat="1" ht="30" hidden="1" customHeight="1" x14ac:dyDescent="0.2">
      <c r="A110" s="356">
        <v>108</v>
      </c>
      <c r="B110" s="351">
        <v>14</v>
      </c>
      <c r="C110" s="351">
        <v>3</v>
      </c>
      <c r="D110" s="16">
        <v>1404</v>
      </c>
      <c r="E110" s="352" t="s">
        <v>5310</v>
      </c>
      <c r="F110" s="352" t="s">
        <v>66</v>
      </c>
      <c r="G110" s="352" t="s">
        <v>192</v>
      </c>
      <c r="H110" s="351" t="s">
        <v>7</v>
      </c>
      <c r="I110" s="360" t="s">
        <v>158</v>
      </c>
      <c r="J110" s="16" t="s">
        <v>84</v>
      </c>
      <c r="K110" s="352"/>
      <c r="L110" s="352" t="s">
        <v>117</v>
      </c>
      <c r="M110" s="352"/>
      <c r="N110" s="352" t="s">
        <v>106</v>
      </c>
      <c r="O110" s="351" t="s">
        <v>107</v>
      </c>
      <c r="P110" s="436"/>
      <c r="Q110" s="436"/>
      <c r="R110" s="352"/>
      <c r="S110" s="352" t="s">
        <v>2961</v>
      </c>
      <c r="T110" s="352" t="s">
        <v>2186</v>
      </c>
      <c r="U110" s="352"/>
      <c r="V110" s="352" t="s">
        <v>106</v>
      </c>
      <c r="W110" s="352" t="s">
        <v>107</v>
      </c>
      <c r="X110" s="352"/>
      <c r="Y110" s="351"/>
      <c r="Z110" s="351">
        <v>250</v>
      </c>
      <c r="AA110" s="351">
        <v>0</v>
      </c>
      <c r="AB110" s="16">
        <v>231</v>
      </c>
      <c r="AC110" s="16">
        <v>89</v>
      </c>
      <c r="AD110" s="16">
        <v>135</v>
      </c>
      <c r="AE110" s="16">
        <v>9</v>
      </c>
      <c r="AF110" s="16">
        <v>70</v>
      </c>
      <c r="AG110" s="16">
        <v>214</v>
      </c>
      <c r="AH110" s="16">
        <v>10</v>
      </c>
      <c r="AI110" s="16">
        <v>4</v>
      </c>
      <c r="AJ110" s="351"/>
      <c r="AK110" s="352"/>
      <c r="AL110" s="25"/>
      <c r="AM110" s="351"/>
      <c r="AN110" s="351"/>
      <c r="AO110" s="351"/>
      <c r="AP110" s="16"/>
      <c r="AQ110" s="16"/>
      <c r="AR110" s="130">
        <f t="shared" si="4"/>
        <v>1404</v>
      </c>
      <c r="AS110" s="130">
        <f t="shared" si="5"/>
        <v>3</v>
      </c>
      <c r="AT110" s="130"/>
      <c r="AU110" s="130"/>
      <c r="AV110" s="12" t="str">
        <f t="shared" si="6"/>
        <v/>
      </c>
      <c r="AW110" s="12" t="str">
        <f t="shared" si="7"/>
        <v/>
      </c>
      <c r="AX110" s="12"/>
      <c r="AY110" s="309"/>
    </row>
    <row r="111" spans="1:51" s="19" customFormat="1" ht="30" hidden="1" customHeight="1" x14ac:dyDescent="0.2">
      <c r="A111" s="356">
        <v>109</v>
      </c>
      <c r="B111" s="351">
        <v>15</v>
      </c>
      <c r="C111" s="351">
        <v>3</v>
      </c>
      <c r="D111" s="16">
        <v>1404</v>
      </c>
      <c r="E111" s="352" t="s">
        <v>2992</v>
      </c>
      <c r="F111" s="352" t="s">
        <v>2981</v>
      </c>
      <c r="G111" s="352" t="s">
        <v>481</v>
      </c>
      <c r="H111" s="351" t="s">
        <v>83</v>
      </c>
      <c r="I111" s="360" t="s">
        <v>158</v>
      </c>
      <c r="J111" s="16" t="s">
        <v>84</v>
      </c>
      <c r="K111" s="352"/>
      <c r="L111" s="352" t="s">
        <v>117</v>
      </c>
      <c r="M111" s="352"/>
      <c r="N111" s="352" t="s">
        <v>106</v>
      </c>
      <c r="O111" s="351" t="s">
        <v>107</v>
      </c>
      <c r="P111" s="436"/>
      <c r="Q111" s="436"/>
      <c r="R111" s="352"/>
      <c r="S111" s="352" t="s">
        <v>3679</v>
      </c>
      <c r="T111" s="352" t="s">
        <v>465</v>
      </c>
      <c r="U111" s="352"/>
      <c r="V111" s="352" t="s">
        <v>106</v>
      </c>
      <c r="W111" s="352" t="s">
        <v>107</v>
      </c>
      <c r="X111" s="352"/>
      <c r="Y111" s="351"/>
      <c r="Z111" s="351"/>
      <c r="AA111" s="351"/>
      <c r="AB111" s="16">
        <v>180</v>
      </c>
      <c r="AC111" s="16"/>
      <c r="AD111" s="16"/>
      <c r="AE111" s="16"/>
      <c r="AF111" s="16"/>
      <c r="AG111" s="16"/>
      <c r="AH111" s="16"/>
      <c r="AI111" s="16"/>
      <c r="AJ111" s="351"/>
      <c r="AK111" s="352"/>
      <c r="AL111" s="25"/>
      <c r="AM111" s="351"/>
      <c r="AN111" s="351"/>
      <c r="AO111" s="351"/>
      <c r="AP111" s="16"/>
      <c r="AQ111" s="16"/>
      <c r="AR111" s="130">
        <f t="shared" si="4"/>
        <v>1404</v>
      </c>
      <c r="AS111" s="130">
        <f t="shared" si="5"/>
        <v>3</v>
      </c>
      <c r="AT111" s="130"/>
      <c r="AU111" s="130"/>
      <c r="AV111" s="12" t="str">
        <f t="shared" si="6"/>
        <v/>
      </c>
      <c r="AW111" s="12" t="str">
        <f t="shared" si="7"/>
        <v/>
      </c>
      <c r="AX111" s="12"/>
      <c r="AY111" s="309"/>
    </row>
    <row r="112" spans="1:51" s="19" customFormat="1" ht="30" hidden="1" customHeight="1" x14ac:dyDescent="0.2">
      <c r="A112" s="356">
        <v>110</v>
      </c>
      <c r="B112" s="351">
        <v>17</v>
      </c>
      <c r="C112" s="351">
        <v>3</v>
      </c>
      <c r="D112" s="16">
        <v>1404</v>
      </c>
      <c r="E112" s="352" t="s">
        <v>835</v>
      </c>
      <c r="F112" s="352" t="s">
        <v>20</v>
      </c>
      <c r="G112" s="352" t="s">
        <v>5247</v>
      </c>
      <c r="H112" s="351" t="s">
        <v>7</v>
      </c>
      <c r="I112" s="360" t="s">
        <v>158</v>
      </c>
      <c r="J112" s="16" t="s">
        <v>84</v>
      </c>
      <c r="K112" s="35" t="s">
        <v>104</v>
      </c>
      <c r="L112" s="35" t="s">
        <v>117</v>
      </c>
      <c r="M112" s="352"/>
      <c r="N112" s="352" t="s">
        <v>106</v>
      </c>
      <c r="O112" s="351" t="s">
        <v>107</v>
      </c>
      <c r="P112" s="436"/>
      <c r="Q112" s="436"/>
      <c r="R112" s="35" t="s">
        <v>1727</v>
      </c>
      <c r="S112" s="35" t="s">
        <v>2961</v>
      </c>
      <c r="T112" s="35" t="s">
        <v>144</v>
      </c>
      <c r="U112" s="352"/>
      <c r="V112" s="352" t="s">
        <v>73</v>
      </c>
      <c r="W112" s="352" t="s">
        <v>70</v>
      </c>
      <c r="X112" s="352" t="s">
        <v>5187</v>
      </c>
      <c r="Y112" s="351"/>
      <c r="Z112" s="351">
        <v>245</v>
      </c>
      <c r="AA112" s="351">
        <v>234</v>
      </c>
      <c r="AB112" s="16">
        <v>234</v>
      </c>
      <c r="AC112" s="16">
        <v>95</v>
      </c>
      <c r="AD112" s="16">
        <v>138</v>
      </c>
      <c r="AE112" s="16">
        <v>9</v>
      </c>
      <c r="AF112" s="16">
        <v>58</v>
      </c>
      <c r="AG112" s="16">
        <v>205</v>
      </c>
      <c r="AH112" s="16">
        <v>10</v>
      </c>
      <c r="AI112" s="16">
        <v>4</v>
      </c>
      <c r="AJ112" s="351"/>
      <c r="AK112" s="352"/>
      <c r="AL112" s="25"/>
      <c r="AM112" s="351"/>
      <c r="AN112" s="351"/>
      <c r="AO112" s="351"/>
      <c r="AP112" s="16"/>
      <c r="AQ112" s="16"/>
      <c r="AR112" s="130">
        <f t="shared" si="4"/>
        <v>1404</v>
      </c>
      <c r="AS112" s="130">
        <f t="shared" si="5"/>
        <v>3</v>
      </c>
      <c r="AT112" s="130"/>
      <c r="AU112" s="130"/>
      <c r="AV112" s="12" t="str">
        <f t="shared" si="6"/>
        <v/>
      </c>
      <c r="AW112" s="12" t="str">
        <f t="shared" si="7"/>
        <v/>
      </c>
      <c r="AX112" s="12"/>
      <c r="AY112" s="309"/>
    </row>
    <row r="113" spans="1:51" s="19" customFormat="1" ht="30" hidden="1" customHeight="1" x14ac:dyDescent="0.2">
      <c r="A113" s="356">
        <v>111</v>
      </c>
      <c r="B113" s="20">
        <v>18</v>
      </c>
      <c r="C113" s="20">
        <v>3</v>
      </c>
      <c r="D113" s="29">
        <v>1404</v>
      </c>
      <c r="E113" s="30" t="s">
        <v>5205</v>
      </c>
      <c r="F113" s="30" t="s">
        <v>243</v>
      </c>
      <c r="G113" s="30" t="s">
        <v>481</v>
      </c>
      <c r="H113" s="20" t="s">
        <v>83</v>
      </c>
      <c r="I113" s="360" t="s">
        <v>158</v>
      </c>
      <c r="J113" s="29" t="s">
        <v>84</v>
      </c>
      <c r="K113" s="30"/>
      <c r="L113" s="30" t="s">
        <v>769</v>
      </c>
      <c r="M113" s="30"/>
      <c r="N113" s="30" t="s">
        <v>106</v>
      </c>
      <c r="O113" s="20" t="s">
        <v>107</v>
      </c>
      <c r="P113" s="20"/>
      <c r="Q113" s="20"/>
      <c r="R113" s="30"/>
      <c r="S113" s="30" t="s">
        <v>2325</v>
      </c>
      <c r="T113" s="30" t="s">
        <v>2258</v>
      </c>
      <c r="U113" s="30"/>
      <c r="V113" s="30" t="s">
        <v>106</v>
      </c>
      <c r="W113" s="30" t="s">
        <v>107</v>
      </c>
      <c r="X113" s="30"/>
      <c r="Y113" s="20"/>
      <c r="Z113" s="20"/>
      <c r="AA113" s="20"/>
      <c r="AB113" s="29">
        <v>232</v>
      </c>
      <c r="AC113" s="29"/>
      <c r="AD113" s="29"/>
      <c r="AE113" s="29"/>
      <c r="AF113" s="29"/>
      <c r="AG113" s="29"/>
      <c r="AH113" s="29"/>
      <c r="AI113" s="29">
        <v>4</v>
      </c>
      <c r="AJ113" s="20"/>
      <c r="AK113" s="30"/>
      <c r="AL113" s="36"/>
      <c r="AM113" s="20"/>
      <c r="AN113" s="20"/>
      <c r="AO113" s="20"/>
      <c r="AP113" s="29"/>
      <c r="AQ113" s="29"/>
      <c r="AR113" s="130">
        <f t="shared" si="4"/>
        <v>1404</v>
      </c>
      <c r="AS113" s="130">
        <f t="shared" si="5"/>
        <v>3</v>
      </c>
      <c r="AT113" s="318">
        <v>1404</v>
      </c>
      <c r="AU113" s="318">
        <v>3</v>
      </c>
      <c r="AV113" s="31">
        <f t="shared" si="6"/>
        <v>0</v>
      </c>
      <c r="AW113" s="31">
        <f t="shared" si="7"/>
        <v>0</v>
      </c>
      <c r="AX113" s="31"/>
      <c r="AY113" s="59"/>
    </row>
    <row r="114" spans="1:51" s="19" customFormat="1" ht="30" hidden="1" customHeight="1" x14ac:dyDescent="0.2">
      <c r="A114" s="356">
        <v>112</v>
      </c>
      <c r="B114" s="351">
        <v>18</v>
      </c>
      <c r="C114" s="351">
        <v>3</v>
      </c>
      <c r="D114" s="16">
        <v>1404</v>
      </c>
      <c r="E114" s="352" t="s">
        <v>86</v>
      </c>
      <c r="F114" s="352" t="s">
        <v>8</v>
      </c>
      <c r="G114" s="352" t="s">
        <v>481</v>
      </c>
      <c r="H114" s="351" t="s">
        <v>83</v>
      </c>
      <c r="I114" s="360" t="s">
        <v>158</v>
      </c>
      <c r="J114" s="16" t="s">
        <v>92</v>
      </c>
      <c r="K114" s="352"/>
      <c r="L114" s="352" t="s">
        <v>104</v>
      </c>
      <c r="M114" s="352" t="s">
        <v>105</v>
      </c>
      <c r="N114" s="352" t="s">
        <v>106</v>
      </c>
      <c r="O114" s="351" t="s">
        <v>107</v>
      </c>
      <c r="P114" s="436"/>
      <c r="Q114" s="436"/>
      <c r="R114" s="352"/>
      <c r="S114" s="352" t="s">
        <v>3679</v>
      </c>
      <c r="T114" s="352" t="s">
        <v>555</v>
      </c>
      <c r="U114" s="352" t="s">
        <v>109</v>
      </c>
      <c r="V114" s="352" t="s">
        <v>106</v>
      </c>
      <c r="W114" s="352" t="s">
        <v>107</v>
      </c>
      <c r="X114" s="352"/>
      <c r="Y114" s="351"/>
      <c r="Z114" s="351"/>
      <c r="AA114" s="351"/>
      <c r="AB114" s="16">
        <v>162</v>
      </c>
      <c r="AC114" s="16"/>
      <c r="AD114" s="16"/>
      <c r="AE114" s="16"/>
      <c r="AF114" s="16"/>
      <c r="AG114" s="16"/>
      <c r="AH114" s="16"/>
      <c r="AI114" s="16">
        <v>6</v>
      </c>
      <c r="AJ114" s="351"/>
      <c r="AK114" s="352"/>
      <c r="AL114" s="25"/>
      <c r="AM114" s="351"/>
      <c r="AN114" s="351"/>
      <c r="AO114" s="351"/>
      <c r="AP114" s="16" t="s">
        <v>5080</v>
      </c>
      <c r="AQ114" s="16" t="s">
        <v>112</v>
      </c>
      <c r="AR114" s="130">
        <f t="shared" si="4"/>
        <v>1404</v>
      </c>
      <c r="AS114" s="130">
        <f t="shared" si="5"/>
        <v>3</v>
      </c>
      <c r="AT114" s="130">
        <v>1402</v>
      </c>
      <c r="AU114" s="130">
        <v>1</v>
      </c>
      <c r="AV114" s="12">
        <f t="shared" si="6"/>
        <v>26</v>
      </c>
      <c r="AW114" s="12" t="str">
        <f t="shared" si="7"/>
        <v/>
      </c>
      <c r="AX114" s="12"/>
      <c r="AY114" s="309"/>
    </row>
    <row r="115" spans="1:51" s="19" customFormat="1" ht="30" hidden="1" customHeight="1" x14ac:dyDescent="0.2">
      <c r="A115" s="356">
        <v>113</v>
      </c>
      <c r="B115" s="351">
        <v>19</v>
      </c>
      <c r="C115" s="351">
        <v>3</v>
      </c>
      <c r="D115" s="16">
        <v>1404</v>
      </c>
      <c r="E115" s="352" t="s">
        <v>5205</v>
      </c>
      <c r="F115" s="352" t="s">
        <v>243</v>
      </c>
      <c r="G115" s="352" t="s">
        <v>5247</v>
      </c>
      <c r="H115" s="351" t="s">
        <v>7</v>
      </c>
      <c r="I115" s="360" t="s">
        <v>158</v>
      </c>
      <c r="J115" s="16" t="s">
        <v>84</v>
      </c>
      <c r="K115" s="35" t="s">
        <v>769</v>
      </c>
      <c r="L115" s="35" t="s">
        <v>226</v>
      </c>
      <c r="M115" s="352"/>
      <c r="N115" s="352" t="s">
        <v>106</v>
      </c>
      <c r="O115" s="351" t="s">
        <v>107</v>
      </c>
      <c r="P115" s="436"/>
      <c r="Q115" s="436"/>
      <c r="R115" s="35" t="s">
        <v>4772</v>
      </c>
      <c r="S115" s="35" t="s">
        <v>2325</v>
      </c>
      <c r="T115" s="35" t="s">
        <v>2258</v>
      </c>
      <c r="U115" s="352"/>
      <c r="V115" s="352" t="s">
        <v>106</v>
      </c>
      <c r="W115" s="352" t="s">
        <v>107</v>
      </c>
      <c r="X115" s="352" t="s">
        <v>5187</v>
      </c>
      <c r="Y115" s="351"/>
      <c r="Z115" s="351">
        <v>243</v>
      </c>
      <c r="AA115" s="351">
        <v>232</v>
      </c>
      <c r="AB115" s="16">
        <v>232</v>
      </c>
      <c r="AC115" s="16">
        <v>95</v>
      </c>
      <c r="AD115" s="16">
        <v>187</v>
      </c>
      <c r="AE115" s="16">
        <v>2</v>
      </c>
      <c r="AF115" s="16">
        <v>6</v>
      </c>
      <c r="AG115" s="16">
        <v>195</v>
      </c>
      <c r="AH115" s="16">
        <v>3.5</v>
      </c>
      <c r="AI115" s="16">
        <v>4</v>
      </c>
      <c r="AJ115" s="351"/>
      <c r="AK115" s="352"/>
      <c r="AL115" s="25"/>
      <c r="AM115" s="351"/>
      <c r="AN115" s="351"/>
      <c r="AO115" s="351"/>
      <c r="AP115" s="16"/>
      <c r="AQ115" s="16"/>
      <c r="AR115" s="130">
        <f t="shared" si="4"/>
        <v>1404</v>
      </c>
      <c r="AS115" s="130">
        <f t="shared" si="5"/>
        <v>3</v>
      </c>
      <c r="AT115" s="130"/>
      <c r="AU115" s="130"/>
      <c r="AV115" s="12" t="str">
        <f t="shared" si="6"/>
        <v/>
      </c>
      <c r="AW115" s="12" t="str">
        <f t="shared" si="7"/>
        <v/>
      </c>
      <c r="AX115" s="12"/>
      <c r="AY115" s="309"/>
    </row>
    <row r="116" spans="1:51" s="19" customFormat="1" ht="30" hidden="1" customHeight="1" x14ac:dyDescent="0.2">
      <c r="A116" s="356">
        <v>114</v>
      </c>
      <c r="B116" s="351">
        <v>20</v>
      </c>
      <c r="C116" s="351">
        <v>3</v>
      </c>
      <c r="D116" s="16">
        <v>1404</v>
      </c>
      <c r="E116" s="352" t="s">
        <v>1675</v>
      </c>
      <c r="F116" s="352" t="s">
        <v>8</v>
      </c>
      <c r="G116" s="352" t="s">
        <v>5247</v>
      </c>
      <c r="H116" s="351" t="s">
        <v>7</v>
      </c>
      <c r="I116" s="360" t="s">
        <v>158</v>
      </c>
      <c r="J116" s="16" t="s">
        <v>84</v>
      </c>
      <c r="K116" s="352" t="s">
        <v>223</v>
      </c>
      <c r="L116" s="352" t="s">
        <v>223</v>
      </c>
      <c r="M116" s="352"/>
      <c r="N116" s="352" t="s">
        <v>106</v>
      </c>
      <c r="O116" s="351" t="s">
        <v>107</v>
      </c>
      <c r="P116" s="436"/>
      <c r="Q116" s="436"/>
      <c r="R116" s="352" t="s">
        <v>298</v>
      </c>
      <c r="S116" s="352" t="s">
        <v>2325</v>
      </c>
      <c r="T116" s="352" t="s">
        <v>144</v>
      </c>
      <c r="U116" s="352"/>
      <c r="V116" s="352" t="s">
        <v>106</v>
      </c>
      <c r="W116" s="352" t="s">
        <v>107</v>
      </c>
      <c r="X116" s="352"/>
      <c r="Y116" s="351"/>
      <c r="Z116" s="351">
        <v>190</v>
      </c>
      <c r="AA116" s="351">
        <v>180</v>
      </c>
      <c r="AB116" s="16">
        <v>180</v>
      </c>
      <c r="AC116" s="16">
        <v>92</v>
      </c>
      <c r="AD116" s="16">
        <v>163</v>
      </c>
      <c r="AE116" s="16">
        <v>2</v>
      </c>
      <c r="AF116" s="16">
        <v>58</v>
      </c>
      <c r="AG116" s="16">
        <v>223</v>
      </c>
      <c r="AH116" s="16">
        <v>5</v>
      </c>
      <c r="AI116" s="16">
        <v>6</v>
      </c>
      <c r="AJ116" s="351"/>
      <c r="AK116" s="352"/>
      <c r="AL116" s="25"/>
      <c r="AM116" s="351"/>
      <c r="AN116" s="351"/>
      <c r="AO116" s="351"/>
      <c r="AP116" s="16"/>
      <c r="AQ116" s="16"/>
      <c r="AR116" s="130">
        <f t="shared" si="4"/>
        <v>1404</v>
      </c>
      <c r="AS116" s="130">
        <f t="shared" si="5"/>
        <v>3</v>
      </c>
      <c r="AT116" s="130"/>
      <c r="AU116" s="130"/>
      <c r="AV116" s="12" t="str">
        <f t="shared" si="6"/>
        <v/>
      </c>
      <c r="AW116" s="12" t="str">
        <f t="shared" si="7"/>
        <v/>
      </c>
      <c r="AX116" s="12"/>
      <c r="AY116" s="309"/>
    </row>
    <row r="117" spans="1:51" s="19" customFormat="1" ht="30" hidden="1" customHeight="1" x14ac:dyDescent="0.2">
      <c r="A117" s="356">
        <v>115</v>
      </c>
      <c r="B117" s="351">
        <v>20</v>
      </c>
      <c r="C117" s="351">
        <v>3</v>
      </c>
      <c r="D117" s="16">
        <v>1404</v>
      </c>
      <c r="E117" s="352" t="s">
        <v>2978</v>
      </c>
      <c r="F117" s="352" t="s">
        <v>10</v>
      </c>
      <c r="G117" s="352" t="s">
        <v>5247</v>
      </c>
      <c r="H117" s="351" t="s">
        <v>7</v>
      </c>
      <c r="I117" s="360" t="s">
        <v>158</v>
      </c>
      <c r="J117" s="16" t="s">
        <v>84</v>
      </c>
      <c r="K117" s="35" t="s">
        <v>155</v>
      </c>
      <c r="L117" s="35" t="s">
        <v>117</v>
      </c>
      <c r="M117" s="352"/>
      <c r="N117" s="352" t="s">
        <v>106</v>
      </c>
      <c r="O117" s="351" t="s">
        <v>107</v>
      </c>
      <c r="P117" s="436"/>
      <c r="Q117" s="436"/>
      <c r="R117" s="35" t="s">
        <v>167</v>
      </c>
      <c r="S117" s="35" t="s">
        <v>2961</v>
      </c>
      <c r="T117" s="35" t="s">
        <v>226</v>
      </c>
      <c r="U117" s="352"/>
      <c r="V117" s="352" t="s">
        <v>106</v>
      </c>
      <c r="W117" s="352" t="s">
        <v>107</v>
      </c>
      <c r="X117" s="352" t="s">
        <v>5187</v>
      </c>
      <c r="Y117" s="351"/>
      <c r="Z117" s="351">
        <v>199</v>
      </c>
      <c r="AA117" s="33">
        <v>192</v>
      </c>
      <c r="AB117" s="34">
        <v>190</v>
      </c>
      <c r="AC117" s="16">
        <v>175</v>
      </c>
      <c r="AD117" s="16">
        <v>182</v>
      </c>
      <c r="AE117" s="16">
        <v>1</v>
      </c>
      <c r="AF117" s="16">
        <v>15</v>
      </c>
      <c r="AG117" s="16">
        <v>198</v>
      </c>
      <c r="AH117" s="16">
        <v>10</v>
      </c>
      <c r="AI117" s="16">
        <v>6</v>
      </c>
      <c r="AJ117" s="351"/>
      <c r="AK117" s="352"/>
      <c r="AL117" s="25"/>
      <c r="AM117" s="351"/>
      <c r="AN117" s="351"/>
      <c r="AO117" s="351"/>
      <c r="AP117" s="16"/>
      <c r="AQ117" s="16"/>
      <c r="AR117" s="130">
        <f t="shared" si="4"/>
        <v>1404</v>
      </c>
      <c r="AS117" s="130">
        <f t="shared" si="5"/>
        <v>3</v>
      </c>
      <c r="AT117" s="130"/>
      <c r="AU117" s="130"/>
      <c r="AV117" s="12" t="str">
        <f t="shared" si="6"/>
        <v/>
      </c>
      <c r="AW117" s="12" t="str">
        <f t="shared" si="7"/>
        <v/>
      </c>
      <c r="AX117" s="12"/>
      <c r="AY117" s="309"/>
    </row>
    <row r="118" spans="1:51" s="19" customFormat="1" ht="30" hidden="1" customHeight="1" x14ac:dyDescent="0.2">
      <c r="A118" s="356">
        <v>116</v>
      </c>
      <c r="B118" s="351">
        <v>21</v>
      </c>
      <c r="C118" s="351">
        <v>3</v>
      </c>
      <c r="D118" s="16">
        <v>1404</v>
      </c>
      <c r="E118" s="352" t="s">
        <v>3175</v>
      </c>
      <c r="F118" s="352" t="s">
        <v>6</v>
      </c>
      <c r="G118" s="352" t="s">
        <v>5247</v>
      </c>
      <c r="H118" s="351" t="s">
        <v>7</v>
      </c>
      <c r="I118" s="360" t="s">
        <v>158</v>
      </c>
      <c r="J118" s="16" t="s">
        <v>84</v>
      </c>
      <c r="K118" s="35" t="s">
        <v>104</v>
      </c>
      <c r="L118" s="35" t="s">
        <v>769</v>
      </c>
      <c r="M118" s="352" t="s">
        <v>770</v>
      </c>
      <c r="N118" s="352" t="s">
        <v>106</v>
      </c>
      <c r="O118" s="351" t="s">
        <v>107</v>
      </c>
      <c r="P118" s="436"/>
      <c r="Q118" s="436"/>
      <c r="R118" s="35" t="s">
        <v>361</v>
      </c>
      <c r="S118" s="35" t="s">
        <v>2325</v>
      </c>
      <c r="T118" s="35" t="s">
        <v>2258</v>
      </c>
      <c r="U118" s="352" t="s">
        <v>5395</v>
      </c>
      <c r="V118" s="352" t="s">
        <v>106</v>
      </c>
      <c r="W118" s="351" t="s">
        <v>107</v>
      </c>
      <c r="X118" s="352" t="s">
        <v>5187</v>
      </c>
      <c r="Y118" s="351"/>
      <c r="Z118" s="351"/>
      <c r="AA118" s="351">
        <v>186</v>
      </c>
      <c r="AB118" s="16">
        <v>186</v>
      </c>
      <c r="AC118" s="16"/>
      <c r="AD118" s="16"/>
      <c r="AE118" s="16"/>
      <c r="AF118" s="16"/>
      <c r="AG118" s="16"/>
      <c r="AH118" s="16"/>
      <c r="AI118" s="16">
        <v>4</v>
      </c>
      <c r="AJ118" s="351"/>
      <c r="AK118" s="352"/>
      <c r="AL118" s="25"/>
      <c r="AM118" s="351"/>
      <c r="AN118" s="351"/>
      <c r="AO118" s="351"/>
      <c r="AP118" s="16"/>
      <c r="AQ118" s="16"/>
      <c r="AR118" s="130">
        <f t="shared" si="4"/>
        <v>1404</v>
      </c>
      <c r="AS118" s="130">
        <f t="shared" si="5"/>
        <v>3</v>
      </c>
      <c r="AT118" s="130"/>
      <c r="AU118" s="130"/>
      <c r="AV118" s="12" t="str">
        <f t="shared" si="6"/>
        <v/>
      </c>
      <c r="AW118" s="12" t="str">
        <f t="shared" si="7"/>
        <v/>
      </c>
      <c r="AX118" s="12"/>
      <c r="AY118" s="309"/>
    </row>
    <row r="119" spans="1:51" s="19" customFormat="1" ht="30" hidden="1" customHeight="1" x14ac:dyDescent="0.2">
      <c r="A119" s="356">
        <v>117</v>
      </c>
      <c r="B119" s="20">
        <v>22</v>
      </c>
      <c r="C119" s="20">
        <v>3</v>
      </c>
      <c r="D119" s="29">
        <v>1404</v>
      </c>
      <c r="E119" s="30" t="s">
        <v>87</v>
      </c>
      <c r="F119" s="30" t="s">
        <v>6</v>
      </c>
      <c r="G119" s="30" t="s">
        <v>2285</v>
      </c>
      <c r="H119" s="20" t="s">
        <v>83</v>
      </c>
      <c r="I119" s="360" t="s">
        <v>158</v>
      </c>
      <c r="J119" s="29" t="s">
        <v>92</v>
      </c>
      <c r="K119" s="30"/>
      <c r="L119" s="30" t="s">
        <v>141</v>
      </c>
      <c r="M119" s="30"/>
      <c r="N119" s="30" t="s">
        <v>69</v>
      </c>
      <c r="O119" s="20" t="s">
        <v>70</v>
      </c>
      <c r="P119" s="20"/>
      <c r="Q119" s="20"/>
      <c r="R119" s="30"/>
      <c r="S119" s="30" t="s">
        <v>2961</v>
      </c>
      <c r="T119" s="30" t="s">
        <v>2258</v>
      </c>
      <c r="U119" s="30"/>
      <c r="V119" s="30" t="s">
        <v>73</v>
      </c>
      <c r="W119" s="30" t="s">
        <v>70</v>
      </c>
      <c r="X119" s="30"/>
      <c r="Y119" s="20" t="s">
        <v>5307</v>
      </c>
      <c r="Z119" s="20"/>
      <c r="AA119" s="20"/>
      <c r="AB119" s="29">
        <v>225</v>
      </c>
      <c r="AC119" s="29"/>
      <c r="AD119" s="29"/>
      <c r="AE119" s="29"/>
      <c r="AF119" s="29"/>
      <c r="AG119" s="29"/>
      <c r="AH119" s="29"/>
      <c r="AI119" s="29">
        <v>6</v>
      </c>
      <c r="AJ119" s="20"/>
      <c r="AK119" s="30"/>
      <c r="AL119" s="36"/>
      <c r="AM119" s="20"/>
      <c r="AN119" s="20"/>
      <c r="AO119" s="20"/>
      <c r="AP119" s="29" t="s">
        <v>160</v>
      </c>
      <c r="AQ119" s="29"/>
      <c r="AR119" s="130">
        <f t="shared" si="4"/>
        <v>1404</v>
      </c>
      <c r="AS119" s="130">
        <f t="shared" si="5"/>
        <v>3</v>
      </c>
      <c r="AT119" s="318">
        <v>1404</v>
      </c>
      <c r="AU119" s="318">
        <v>3</v>
      </c>
      <c r="AV119" s="31">
        <f t="shared" si="6"/>
        <v>0</v>
      </c>
      <c r="AW119" s="31">
        <f t="shared" si="7"/>
        <v>0</v>
      </c>
      <c r="AX119" s="31" t="s">
        <v>5311</v>
      </c>
      <c r="AY119" s="59" t="s">
        <v>5312</v>
      </c>
    </row>
    <row r="120" spans="1:51" s="19" customFormat="1" ht="30" hidden="1" customHeight="1" x14ac:dyDescent="0.2">
      <c r="A120" s="356">
        <v>118</v>
      </c>
      <c r="B120" s="351">
        <v>23</v>
      </c>
      <c r="C120" s="351">
        <v>3</v>
      </c>
      <c r="D120" s="16">
        <v>1404</v>
      </c>
      <c r="E120" s="352" t="s">
        <v>5313</v>
      </c>
      <c r="F120" s="352" t="s">
        <v>20</v>
      </c>
      <c r="G120" s="352" t="s">
        <v>192</v>
      </c>
      <c r="H120" s="351" t="s">
        <v>7</v>
      </c>
      <c r="I120" s="360" t="s">
        <v>158</v>
      </c>
      <c r="J120" s="16" t="s">
        <v>92</v>
      </c>
      <c r="K120" s="352"/>
      <c r="L120" s="352" t="s">
        <v>140</v>
      </c>
      <c r="M120" s="352"/>
      <c r="N120" s="352" t="s">
        <v>106</v>
      </c>
      <c r="O120" s="351" t="s">
        <v>107</v>
      </c>
      <c r="P120" s="436"/>
      <c r="Q120" s="436"/>
      <c r="R120" s="352"/>
      <c r="S120" s="352" t="s">
        <v>2961</v>
      </c>
      <c r="T120" s="352" t="s">
        <v>769</v>
      </c>
      <c r="U120" s="352"/>
      <c r="V120" s="352" t="s">
        <v>106</v>
      </c>
      <c r="W120" s="351" t="s">
        <v>107</v>
      </c>
      <c r="X120" s="352"/>
      <c r="Y120" s="351"/>
      <c r="Z120" s="351">
        <v>256</v>
      </c>
      <c r="AA120" s="351">
        <v>0</v>
      </c>
      <c r="AB120" s="16">
        <v>234</v>
      </c>
      <c r="AC120" s="16">
        <v>82</v>
      </c>
      <c r="AD120" s="16">
        <v>139</v>
      </c>
      <c r="AE120" s="16">
        <v>5</v>
      </c>
      <c r="AF120" s="16">
        <v>84</v>
      </c>
      <c r="AG120" s="16">
        <v>228</v>
      </c>
      <c r="AH120" s="16">
        <v>6</v>
      </c>
      <c r="AI120" s="16">
        <v>4</v>
      </c>
      <c r="AJ120" s="351"/>
      <c r="AK120" s="352" t="s">
        <v>5314</v>
      </c>
      <c r="AL120" s="25">
        <v>225</v>
      </c>
      <c r="AM120" s="351">
        <v>8.3000000000000007</v>
      </c>
      <c r="AN120" s="351" t="s">
        <v>4420</v>
      </c>
      <c r="AO120" s="351" t="s">
        <v>2978</v>
      </c>
      <c r="AP120" s="16" t="s">
        <v>160</v>
      </c>
      <c r="AQ120" s="16" t="s">
        <v>161</v>
      </c>
      <c r="AR120" s="130">
        <f t="shared" si="4"/>
        <v>1404</v>
      </c>
      <c r="AS120" s="130">
        <f t="shared" si="5"/>
        <v>3</v>
      </c>
      <c r="AT120" s="130"/>
      <c r="AU120" s="130"/>
      <c r="AV120" s="12" t="str">
        <f t="shared" si="6"/>
        <v/>
      </c>
      <c r="AW120" s="12" t="str">
        <f t="shared" si="7"/>
        <v/>
      </c>
      <c r="AX120" s="12"/>
      <c r="AY120" s="309"/>
    </row>
    <row r="121" spans="1:51" s="19" customFormat="1" ht="30" hidden="1" customHeight="1" x14ac:dyDescent="0.2">
      <c r="A121" s="356">
        <v>119</v>
      </c>
      <c r="B121" s="351">
        <v>25</v>
      </c>
      <c r="C121" s="351">
        <v>3</v>
      </c>
      <c r="D121" s="16">
        <v>1404</v>
      </c>
      <c r="E121" s="352" t="s">
        <v>5315</v>
      </c>
      <c r="F121" s="352"/>
      <c r="G121" s="352" t="s">
        <v>192</v>
      </c>
      <c r="H121" s="351" t="s">
        <v>7</v>
      </c>
      <c r="I121" s="360" t="s">
        <v>158</v>
      </c>
      <c r="J121" s="16" t="s">
        <v>84</v>
      </c>
      <c r="K121" s="352"/>
      <c r="L121" s="352" t="s">
        <v>117</v>
      </c>
      <c r="M121" s="352"/>
      <c r="N121" s="352" t="s">
        <v>106</v>
      </c>
      <c r="O121" s="351" t="s">
        <v>107</v>
      </c>
      <c r="P121" s="436"/>
      <c r="Q121" s="436"/>
      <c r="R121" s="352"/>
      <c r="S121" s="352" t="s">
        <v>3677</v>
      </c>
      <c r="T121" s="352" t="s">
        <v>465</v>
      </c>
      <c r="U121" s="352"/>
      <c r="V121" s="352" t="s">
        <v>106</v>
      </c>
      <c r="W121" s="352" t="s">
        <v>107</v>
      </c>
      <c r="X121" s="352"/>
      <c r="Y121" s="351"/>
      <c r="Z121" s="351">
        <v>233</v>
      </c>
      <c r="AA121" s="351">
        <v>0</v>
      </c>
      <c r="AB121" s="16">
        <v>222</v>
      </c>
      <c r="AC121" s="16">
        <v>58</v>
      </c>
      <c r="AD121" s="16">
        <v>67</v>
      </c>
      <c r="AE121" s="16">
        <v>7</v>
      </c>
      <c r="AF121" s="16">
        <v>61</v>
      </c>
      <c r="AG121" s="16">
        <v>135</v>
      </c>
      <c r="AH121" s="16">
        <v>22</v>
      </c>
      <c r="AI121" s="16">
        <v>6</v>
      </c>
      <c r="AJ121" s="351"/>
      <c r="AK121" s="352"/>
      <c r="AL121" s="25"/>
      <c r="AM121" s="351"/>
      <c r="AN121" s="351"/>
      <c r="AO121" s="351" t="s">
        <v>2978</v>
      </c>
      <c r="AP121" s="16" t="s">
        <v>160</v>
      </c>
      <c r="AQ121" s="16" t="s">
        <v>161</v>
      </c>
      <c r="AR121" s="130">
        <f t="shared" si="4"/>
        <v>1404</v>
      </c>
      <c r="AS121" s="130">
        <f t="shared" si="5"/>
        <v>3</v>
      </c>
      <c r="AT121" s="130"/>
      <c r="AU121" s="130"/>
      <c r="AV121" s="12" t="str">
        <f t="shared" si="6"/>
        <v/>
      </c>
      <c r="AW121" s="12" t="str">
        <f t="shared" si="7"/>
        <v/>
      </c>
      <c r="AX121" s="12"/>
      <c r="AY121" s="309"/>
    </row>
    <row r="122" spans="1:51" s="19" customFormat="1" ht="30" hidden="1" customHeight="1" x14ac:dyDescent="0.2">
      <c r="A122" s="356">
        <v>120</v>
      </c>
      <c r="B122" s="351">
        <v>26</v>
      </c>
      <c r="C122" s="351">
        <v>3</v>
      </c>
      <c r="D122" s="16">
        <v>1404</v>
      </c>
      <c r="E122" s="352" t="s">
        <v>5285</v>
      </c>
      <c r="F122" s="352" t="s">
        <v>6</v>
      </c>
      <c r="G122" s="352" t="s">
        <v>5247</v>
      </c>
      <c r="H122" s="351" t="s">
        <v>7</v>
      </c>
      <c r="I122" s="360" t="s">
        <v>158</v>
      </c>
      <c r="J122" s="16" t="s">
        <v>84</v>
      </c>
      <c r="K122" s="35" t="s">
        <v>218</v>
      </c>
      <c r="L122" s="35" t="s">
        <v>68</v>
      </c>
      <c r="M122" s="352"/>
      <c r="N122" s="352" t="s">
        <v>69</v>
      </c>
      <c r="O122" s="351" t="s">
        <v>70</v>
      </c>
      <c r="P122" s="436"/>
      <c r="Q122" s="436"/>
      <c r="R122" s="35" t="s">
        <v>453</v>
      </c>
      <c r="S122" s="35" t="s">
        <v>2245</v>
      </c>
      <c r="T122" s="35" t="s">
        <v>144</v>
      </c>
      <c r="U122" s="352"/>
      <c r="V122" s="352" t="s">
        <v>106</v>
      </c>
      <c r="W122" s="352" t="s">
        <v>107</v>
      </c>
      <c r="X122" s="352" t="s">
        <v>5187</v>
      </c>
      <c r="Y122" s="351"/>
      <c r="Z122" s="351">
        <v>216</v>
      </c>
      <c r="AA122" s="351">
        <v>207</v>
      </c>
      <c r="AB122" s="16">
        <v>210</v>
      </c>
      <c r="AC122" s="16">
        <v>161</v>
      </c>
      <c r="AD122" s="16">
        <v>175</v>
      </c>
      <c r="AE122" s="16">
        <v>2</v>
      </c>
      <c r="AF122" s="16">
        <v>54</v>
      </c>
      <c r="AG122" s="16">
        <v>232</v>
      </c>
      <c r="AH122" s="16">
        <v>15</v>
      </c>
      <c r="AI122" s="16">
        <v>6</v>
      </c>
      <c r="AJ122" s="351"/>
      <c r="AK122" s="352"/>
      <c r="AL122" s="25"/>
      <c r="AM122" s="351"/>
      <c r="AN122" s="351"/>
      <c r="AO122" s="351"/>
      <c r="AP122" s="16" t="s">
        <v>160</v>
      </c>
      <c r="AQ122" s="16"/>
      <c r="AR122" s="130">
        <f t="shared" si="4"/>
        <v>1404</v>
      </c>
      <c r="AS122" s="130">
        <f t="shared" si="5"/>
        <v>3</v>
      </c>
      <c r="AT122" s="130"/>
      <c r="AU122" s="130"/>
      <c r="AV122" s="12" t="str">
        <f t="shared" si="6"/>
        <v/>
      </c>
      <c r="AW122" s="12" t="str">
        <f t="shared" si="7"/>
        <v/>
      </c>
      <c r="AX122" s="12"/>
      <c r="AY122" s="309"/>
    </row>
    <row r="123" spans="1:51" s="19" customFormat="1" ht="30" hidden="1" customHeight="1" x14ac:dyDescent="0.2">
      <c r="A123" s="356">
        <v>121</v>
      </c>
      <c r="B123" s="351">
        <v>26</v>
      </c>
      <c r="C123" s="351">
        <v>3</v>
      </c>
      <c r="D123" s="16">
        <v>1404</v>
      </c>
      <c r="E123" s="352" t="s">
        <v>4458</v>
      </c>
      <c r="F123" s="352" t="s">
        <v>2981</v>
      </c>
      <c r="G123" s="352" t="s">
        <v>481</v>
      </c>
      <c r="H123" s="351" t="s">
        <v>83</v>
      </c>
      <c r="I123" s="360" t="s">
        <v>158</v>
      </c>
      <c r="J123" s="16" t="s">
        <v>84</v>
      </c>
      <c r="K123" s="352"/>
      <c r="L123" s="352">
        <v>45</v>
      </c>
      <c r="M123" s="155">
        <v>3600</v>
      </c>
      <c r="N123" s="155" t="s">
        <v>106</v>
      </c>
      <c r="O123" s="155" t="s">
        <v>107</v>
      </c>
      <c r="P123" s="155"/>
      <c r="Q123" s="155"/>
      <c r="R123" s="352"/>
      <c r="S123" s="155">
        <v>6608</v>
      </c>
      <c r="T123" s="155">
        <v>16</v>
      </c>
      <c r="U123" s="155">
        <v>159209</v>
      </c>
      <c r="V123" s="155" t="s">
        <v>106</v>
      </c>
      <c r="W123" s="155" t="s">
        <v>107</v>
      </c>
      <c r="X123" s="352"/>
      <c r="Y123" s="351"/>
      <c r="Z123" s="351"/>
      <c r="AA123" s="351"/>
      <c r="AB123" s="16">
        <v>217</v>
      </c>
      <c r="AC123" s="16"/>
      <c r="AD123" s="16"/>
      <c r="AE123" s="16"/>
      <c r="AF123" s="16"/>
      <c r="AG123" s="16"/>
      <c r="AH123" s="16"/>
      <c r="AI123" s="16">
        <v>4</v>
      </c>
      <c r="AJ123" s="351"/>
      <c r="AK123" s="352"/>
      <c r="AL123" s="25"/>
      <c r="AM123" s="351"/>
      <c r="AN123" s="351"/>
      <c r="AO123" s="351"/>
      <c r="AP123" s="16" t="s">
        <v>160</v>
      </c>
      <c r="AQ123" s="16"/>
      <c r="AR123" s="130">
        <f t="shared" si="4"/>
        <v>1404</v>
      </c>
      <c r="AS123" s="130">
        <f t="shared" si="5"/>
        <v>3</v>
      </c>
      <c r="AT123" s="130"/>
      <c r="AU123" s="130"/>
      <c r="AV123" s="12" t="str">
        <f t="shared" si="6"/>
        <v/>
      </c>
      <c r="AW123" s="12" t="str">
        <f t="shared" si="7"/>
        <v/>
      </c>
      <c r="AX123" s="12"/>
      <c r="AY123" s="309"/>
    </row>
    <row r="124" spans="1:51" s="19" customFormat="1" ht="30" hidden="1" customHeight="1" x14ac:dyDescent="0.2">
      <c r="A124" s="356">
        <v>122</v>
      </c>
      <c r="B124" s="351">
        <v>27</v>
      </c>
      <c r="C124" s="351">
        <v>3</v>
      </c>
      <c r="D124" s="16">
        <v>1404</v>
      </c>
      <c r="E124" s="352" t="s">
        <v>3200</v>
      </c>
      <c r="F124" s="352" t="s">
        <v>6</v>
      </c>
      <c r="G124" s="352"/>
      <c r="H124" s="351" t="s">
        <v>83</v>
      </c>
      <c r="I124" s="360" t="s">
        <v>158</v>
      </c>
      <c r="J124" s="16" t="s">
        <v>84</v>
      </c>
      <c r="K124" s="352"/>
      <c r="L124" s="352" t="s">
        <v>155</v>
      </c>
      <c r="M124" s="352"/>
      <c r="N124" s="352" t="s">
        <v>119</v>
      </c>
      <c r="O124" s="351" t="s">
        <v>107</v>
      </c>
      <c r="P124" s="436"/>
      <c r="Q124" s="436"/>
      <c r="R124" s="352"/>
      <c r="S124" s="352" t="s">
        <v>3677</v>
      </c>
      <c r="T124" s="352" t="s">
        <v>718</v>
      </c>
      <c r="U124" s="352"/>
      <c r="V124" s="352" t="s">
        <v>142</v>
      </c>
      <c r="W124" s="352" t="s">
        <v>70</v>
      </c>
      <c r="X124" s="352"/>
      <c r="Y124" s="351"/>
      <c r="Z124" s="351"/>
      <c r="AA124" s="351"/>
      <c r="AB124" s="16">
        <v>210</v>
      </c>
      <c r="AC124" s="16"/>
      <c r="AD124" s="16"/>
      <c r="AE124" s="16"/>
      <c r="AF124" s="16"/>
      <c r="AG124" s="16"/>
      <c r="AH124" s="16"/>
      <c r="AI124" s="16">
        <v>6</v>
      </c>
      <c r="AJ124" s="351"/>
      <c r="AK124" s="352"/>
      <c r="AL124" s="25"/>
      <c r="AM124" s="351"/>
      <c r="AN124" s="351"/>
      <c r="AO124" s="351"/>
      <c r="AP124" s="16" t="s">
        <v>160</v>
      </c>
      <c r="AQ124" s="16"/>
      <c r="AR124" s="130">
        <f t="shared" si="4"/>
        <v>1404</v>
      </c>
      <c r="AS124" s="130">
        <f t="shared" si="5"/>
        <v>3</v>
      </c>
      <c r="AT124" s="130">
        <v>1398</v>
      </c>
      <c r="AU124" s="130">
        <v>3</v>
      </c>
      <c r="AV124" s="12">
        <f t="shared" si="6"/>
        <v>72</v>
      </c>
      <c r="AW124" s="12" t="str">
        <f t="shared" si="7"/>
        <v/>
      </c>
      <c r="AX124" s="12"/>
      <c r="AY124" s="309"/>
    </row>
    <row r="125" spans="1:51" s="19" customFormat="1" ht="30" hidden="1" customHeight="1" x14ac:dyDescent="0.2">
      <c r="A125" s="356">
        <v>123</v>
      </c>
      <c r="B125" s="351">
        <v>27</v>
      </c>
      <c r="C125" s="351">
        <v>3</v>
      </c>
      <c r="D125" s="16">
        <v>1404</v>
      </c>
      <c r="E125" s="352" t="s">
        <v>5316</v>
      </c>
      <c r="F125" s="352" t="s">
        <v>66</v>
      </c>
      <c r="G125" s="352" t="s">
        <v>192</v>
      </c>
      <c r="H125" s="351" t="s">
        <v>7</v>
      </c>
      <c r="I125" s="360" t="s">
        <v>158</v>
      </c>
      <c r="J125" s="16" t="s">
        <v>84</v>
      </c>
      <c r="K125" s="352"/>
      <c r="L125" s="352" t="s">
        <v>226</v>
      </c>
      <c r="M125" s="352"/>
      <c r="N125" s="352" t="s">
        <v>69</v>
      </c>
      <c r="O125" s="351" t="s">
        <v>70</v>
      </c>
      <c r="P125" s="436"/>
      <c r="Q125" s="436"/>
      <c r="R125" s="352"/>
      <c r="S125" s="352" t="s">
        <v>1809</v>
      </c>
      <c r="T125" s="352" t="s">
        <v>718</v>
      </c>
      <c r="U125" s="352"/>
      <c r="V125" s="352" t="s">
        <v>69</v>
      </c>
      <c r="W125" s="351" t="s">
        <v>70</v>
      </c>
      <c r="X125" s="352"/>
      <c r="Y125" s="351"/>
      <c r="Z125" s="351">
        <v>241</v>
      </c>
      <c r="AA125" s="351">
        <v>0</v>
      </c>
      <c r="AB125" s="16">
        <v>210</v>
      </c>
      <c r="AC125" s="16">
        <v>90</v>
      </c>
      <c r="AD125" s="16">
        <v>103</v>
      </c>
      <c r="AE125" s="16">
        <v>3</v>
      </c>
      <c r="AF125" s="16">
        <v>20</v>
      </c>
      <c r="AG125" s="16">
        <v>126</v>
      </c>
      <c r="AH125" s="16">
        <v>6</v>
      </c>
      <c r="AI125" s="16">
        <v>4</v>
      </c>
      <c r="AJ125" s="351"/>
      <c r="AK125" s="352"/>
      <c r="AL125" s="25"/>
      <c r="AM125" s="351"/>
      <c r="AN125" s="351"/>
      <c r="AO125" s="351"/>
      <c r="AP125" s="16" t="s">
        <v>160</v>
      </c>
      <c r="AQ125" s="16" t="s">
        <v>231</v>
      </c>
      <c r="AR125" s="130">
        <f t="shared" si="4"/>
        <v>1404</v>
      </c>
      <c r="AS125" s="130">
        <f t="shared" si="5"/>
        <v>3</v>
      </c>
      <c r="AT125" s="130"/>
      <c r="AU125" s="130"/>
      <c r="AV125" s="12" t="str">
        <f t="shared" si="6"/>
        <v/>
      </c>
      <c r="AW125" s="12" t="str">
        <f t="shared" si="7"/>
        <v/>
      </c>
      <c r="AX125" s="12"/>
      <c r="AY125" s="309"/>
    </row>
    <row r="126" spans="1:51" s="19" customFormat="1" ht="30" hidden="1" customHeight="1" x14ac:dyDescent="0.2">
      <c r="A126" s="356">
        <v>124</v>
      </c>
      <c r="B126" s="351">
        <v>28</v>
      </c>
      <c r="C126" s="351">
        <v>3</v>
      </c>
      <c r="D126" s="16">
        <v>1404</v>
      </c>
      <c r="E126" s="352" t="s">
        <v>5317</v>
      </c>
      <c r="F126" s="352" t="s">
        <v>8</v>
      </c>
      <c r="G126" s="352"/>
      <c r="H126" s="351" t="s">
        <v>83</v>
      </c>
      <c r="I126" s="360" t="s">
        <v>158</v>
      </c>
      <c r="J126" s="16" t="s">
        <v>92</v>
      </c>
      <c r="K126" s="352"/>
      <c r="L126" s="352" t="s">
        <v>68</v>
      </c>
      <c r="M126" s="352" t="s">
        <v>3455</v>
      </c>
      <c r="N126" s="352" t="s">
        <v>142</v>
      </c>
      <c r="O126" s="351" t="s">
        <v>70</v>
      </c>
      <c r="P126" s="436"/>
      <c r="Q126" s="436"/>
      <c r="R126" s="352"/>
      <c r="S126" s="352" t="s">
        <v>3679</v>
      </c>
      <c r="T126" s="352" t="s">
        <v>485</v>
      </c>
      <c r="U126" s="352" t="s">
        <v>3456</v>
      </c>
      <c r="V126" s="352" t="s">
        <v>106</v>
      </c>
      <c r="W126" s="352" t="s">
        <v>107</v>
      </c>
      <c r="X126" s="352"/>
      <c r="Y126" s="351"/>
      <c r="Z126" s="351"/>
      <c r="AA126" s="351"/>
      <c r="AB126" s="16">
        <v>234</v>
      </c>
      <c r="AC126" s="16"/>
      <c r="AD126" s="16"/>
      <c r="AE126" s="16"/>
      <c r="AF126" s="16"/>
      <c r="AG126" s="16"/>
      <c r="AH126" s="16"/>
      <c r="AI126" s="16">
        <v>6</v>
      </c>
      <c r="AJ126" s="351"/>
      <c r="AK126" s="352"/>
      <c r="AL126" s="25"/>
      <c r="AM126" s="351"/>
      <c r="AN126" s="351"/>
      <c r="AO126" s="351"/>
      <c r="AP126" s="16" t="s">
        <v>160</v>
      </c>
      <c r="AQ126" s="16" t="s">
        <v>165</v>
      </c>
      <c r="AR126" s="130">
        <f t="shared" si="4"/>
        <v>1404</v>
      </c>
      <c r="AS126" s="130">
        <f t="shared" si="5"/>
        <v>3</v>
      </c>
      <c r="AT126" s="130">
        <v>1402</v>
      </c>
      <c r="AU126" s="130">
        <v>3</v>
      </c>
      <c r="AV126" s="12">
        <f t="shared" si="6"/>
        <v>24</v>
      </c>
      <c r="AW126" s="12" t="str">
        <f t="shared" si="7"/>
        <v/>
      </c>
      <c r="AX126" s="12"/>
      <c r="AY126" s="309"/>
    </row>
    <row r="127" spans="1:51" s="19" customFormat="1" ht="30" hidden="1" customHeight="1" x14ac:dyDescent="0.2">
      <c r="A127" s="356">
        <v>125</v>
      </c>
      <c r="B127" s="351">
        <v>28</v>
      </c>
      <c r="C127" s="351">
        <v>3</v>
      </c>
      <c r="D127" s="16">
        <v>1404</v>
      </c>
      <c r="E127" s="352" t="s">
        <v>2992</v>
      </c>
      <c r="F127" s="352"/>
      <c r="G127" s="352" t="s">
        <v>5247</v>
      </c>
      <c r="H127" s="351" t="s">
        <v>7</v>
      </c>
      <c r="I127" s="360" t="s">
        <v>158</v>
      </c>
      <c r="J127" s="16" t="s">
        <v>84</v>
      </c>
      <c r="K127" s="35" t="s">
        <v>117</v>
      </c>
      <c r="L127" s="35" t="s">
        <v>104</v>
      </c>
      <c r="M127" s="352" t="s">
        <v>5389</v>
      </c>
      <c r="N127" s="352" t="s">
        <v>106</v>
      </c>
      <c r="O127" s="351" t="s">
        <v>107</v>
      </c>
      <c r="P127" s="436"/>
      <c r="Q127" s="436"/>
      <c r="R127" s="352" t="s">
        <v>470</v>
      </c>
      <c r="S127" s="352" t="s">
        <v>3679</v>
      </c>
      <c r="T127" s="352" t="s">
        <v>465</v>
      </c>
      <c r="U127" s="352" t="s">
        <v>1218</v>
      </c>
      <c r="V127" s="352" t="s">
        <v>106</v>
      </c>
      <c r="W127" s="352" t="s">
        <v>107</v>
      </c>
      <c r="X127" s="352"/>
      <c r="Z127" s="351">
        <v>224</v>
      </c>
      <c r="AA127" s="351">
        <v>180</v>
      </c>
      <c r="AB127" s="16">
        <v>180</v>
      </c>
      <c r="AC127" s="16">
        <v>60</v>
      </c>
      <c r="AD127" s="16">
        <v>89</v>
      </c>
      <c r="AE127" s="16">
        <v>6</v>
      </c>
      <c r="AF127" s="16">
        <v>15</v>
      </c>
      <c r="AG127" s="16">
        <v>110</v>
      </c>
      <c r="AH127" s="16">
        <v>28</v>
      </c>
      <c r="AI127" s="16">
        <v>6</v>
      </c>
      <c r="AJ127" s="351"/>
      <c r="AK127" s="352"/>
      <c r="AL127" s="25"/>
      <c r="AM127" s="351"/>
      <c r="AN127" s="351"/>
      <c r="AO127" s="351" t="s">
        <v>369</v>
      </c>
      <c r="AP127" s="16" t="s">
        <v>5080</v>
      </c>
      <c r="AQ127" s="16" t="s">
        <v>112</v>
      </c>
      <c r="AR127" s="130">
        <f t="shared" si="4"/>
        <v>1404</v>
      </c>
      <c r="AS127" s="130">
        <f t="shared" si="5"/>
        <v>3</v>
      </c>
      <c r="AT127" s="130"/>
      <c r="AU127" s="130"/>
      <c r="AV127" s="12" t="str">
        <f t="shared" si="6"/>
        <v/>
      </c>
      <c r="AW127" s="12" t="str">
        <f t="shared" si="7"/>
        <v/>
      </c>
      <c r="AX127" s="12"/>
      <c r="AY127" s="309"/>
    </row>
    <row r="128" spans="1:51" s="19" customFormat="1" ht="30" hidden="1" customHeight="1" x14ac:dyDescent="0.2">
      <c r="A128" s="356">
        <v>126</v>
      </c>
      <c r="B128" s="351">
        <v>28</v>
      </c>
      <c r="C128" s="351">
        <v>3</v>
      </c>
      <c r="D128" s="16">
        <v>1404</v>
      </c>
      <c r="E128" s="352" t="s">
        <v>5318</v>
      </c>
      <c r="F128" s="352" t="s">
        <v>66</v>
      </c>
      <c r="G128" s="352" t="s">
        <v>481</v>
      </c>
      <c r="H128" s="351" t="s">
        <v>83</v>
      </c>
      <c r="I128" s="360" t="s">
        <v>158</v>
      </c>
      <c r="J128" s="16" t="s">
        <v>84</v>
      </c>
      <c r="K128" s="352"/>
      <c r="L128" s="352"/>
      <c r="M128" s="352"/>
      <c r="N128" s="352" t="s">
        <v>2798</v>
      </c>
      <c r="O128" s="351"/>
      <c r="P128" s="436"/>
      <c r="Q128" s="436"/>
      <c r="R128" s="352"/>
      <c r="S128" s="352"/>
      <c r="T128" s="352"/>
      <c r="U128" s="352"/>
      <c r="V128" s="352" t="s">
        <v>66</v>
      </c>
      <c r="W128" s="352"/>
      <c r="X128" s="352"/>
      <c r="Y128" s="351"/>
      <c r="Z128" s="351"/>
      <c r="AA128" s="351"/>
      <c r="AB128" s="16"/>
      <c r="AC128" s="16"/>
      <c r="AD128" s="16"/>
      <c r="AE128" s="16"/>
      <c r="AF128" s="16"/>
      <c r="AG128" s="16"/>
      <c r="AH128" s="16"/>
      <c r="AI128" s="16"/>
      <c r="AJ128" s="351"/>
      <c r="AK128" s="352"/>
      <c r="AL128" s="25"/>
      <c r="AM128" s="351"/>
      <c r="AN128" s="351"/>
      <c r="AO128" s="351"/>
      <c r="AP128" s="16"/>
      <c r="AQ128" s="16"/>
      <c r="AR128" s="130">
        <f t="shared" si="4"/>
        <v>1404</v>
      </c>
      <c r="AS128" s="130">
        <f t="shared" si="5"/>
        <v>3</v>
      </c>
      <c r="AT128" s="130"/>
      <c r="AU128" s="130"/>
      <c r="AV128" s="12"/>
      <c r="AW128" s="12"/>
      <c r="AX128" s="12"/>
      <c r="AY128" s="309" t="s">
        <v>5349</v>
      </c>
    </row>
    <row r="129" spans="1:51" s="19" customFormat="1" ht="30" hidden="1" customHeight="1" x14ac:dyDescent="0.2">
      <c r="A129" s="356">
        <v>127</v>
      </c>
      <c r="B129" s="351">
        <v>28</v>
      </c>
      <c r="C129" s="351">
        <v>3</v>
      </c>
      <c r="D129" s="16">
        <v>1404</v>
      </c>
      <c r="E129" s="352" t="s">
        <v>5318</v>
      </c>
      <c r="F129" s="352" t="s">
        <v>66</v>
      </c>
      <c r="G129" s="352" t="s">
        <v>5247</v>
      </c>
      <c r="H129" s="351" t="s">
        <v>7</v>
      </c>
      <c r="I129" s="360" t="s">
        <v>158</v>
      </c>
      <c r="J129" s="16" t="s">
        <v>84</v>
      </c>
      <c r="K129" s="352"/>
      <c r="L129" s="352"/>
      <c r="M129" s="352"/>
      <c r="N129" s="352" t="s">
        <v>2798</v>
      </c>
      <c r="O129" s="351"/>
      <c r="P129" s="436"/>
      <c r="Q129" s="436"/>
      <c r="R129" s="352"/>
      <c r="S129" s="352"/>
      <c r="T129" s="352"/>
      <c r="U129" s="352"/>
      <c r="V129" s="352" t="s">
        <v>66</v>
      </c>
      <c r="W129" s="352"/>
      <c r="X129" s="352"/>
      <c r="Y129" s="351"/>
      <c r="Z129" s="351"/>
      <c r="AA129" s="351"/>
      <c r="AB129" s="16"/>
      <c r="AC129" s="16"/>
      <c r="AD129" s="16"/>
      <c r="AE129" s="16"/>
      <c r="AF129" s="16"/>
      <c r="AG129" s="16"/>
      <c r="AH129" s="16"/>
      <c r="AI129" s="16"/>
      <c r="AJ129" s="351"/>
      <c r="AK129" s="352"/>
      <c r="AL129" s="25"/>
      <c r="AM129" s="351"/>
      <c r="AN129" s="351"/>
      <c r="AO129" s="351"/>
      <c r="AP129" s="16"/>
      <c r="AQ129" s="16"/>
      <c r="AR129" s="130">
        <f t="shared" si="4"/>
        <v>1404</v>
      </c>
      <c r="AS129" s="130">
        <f t="shared" si="5"/>
        <v>3</v>
      </c>
      <c r="AT129" s="130"/>
      <c r="AU129" s="130"/>
      <c r="AV129" s="12"/>
      <c r="AW129" s="12"/>
      <c r="AX129" s="12"/>
      <c r="AY129" s="309" t="s">
        <v>5348</v>
      </c>
    </row>
    <row r="130" spans="1:51" s="19" customFormat="1" ht="30" hidden="1" customHeight="1" x14ac:dyDescent="0.2">
      <c r="A130" s="356">
        <v>128</v>
      </c>
      <c r="B130" s="351">
        <v>29</v>
      </c>
      <c r="C130" s="351">
        <v>3</v>
      </c>
      <c r="D130" s="16">
        <v>1404</v>
      </c>
      <c r="E130" s="352" t="s">
        <v>86</v>
      </c>
      <c r="F130" s="352" t="s">
        <v>8</v>
      </c>
      <c r="G130" s="352" t="s">
        <v>5247</v>
      </c>
      <c r="H130" s="351" t="s">
        <v>7</v>
      </c>
      <c r="I130" s="360" t="s">
        <v>158</v>
      </c>
      <c r="J130" s="16" t="s">
        <v>92</v>
      </c>
      <c r="K130" s="352" t="s">
        <v>104</v>
      </c>
      <c r="L130" s="352" t="s">
        <v>104</v>
      </c>
      <c r="M130" s="352"/>
      <c r="N130" s="352" t="s">
        <v>106</v>
      </c>
      <c r="O130" s="351" t="s">
        <v>107</v>
      </c>
      <c r="P130" s="436"/>
      <c r="Q130" s="436"/>
      <c r="R130" s="35" t="s">
        <v>108</v>
      </c>
      <c r="S130" s="35" t="s">
        <v>3677</v>
      </c>
      <c r="T130" s="35" t="s">
        <v>555</v>
      </c>
      <c r="U130" s="352"/>
      <c r="V130" s="352" t="s">
        <v>106</v>
      </c>
      <c r="W130" s="351" t="s">
        <v>107</v>
      </c>
      <c r="X130" s="352" t="s">
        <v>5187</v>
      </c>
      <c r="Y130" s="351"/>
      <c r="Z130" s="351">
        <v>202</v>
      </c>
      <c r="AA130" s="351">
        <v>162</v>
      </c>
      <c r="AB130" s="16">
        <v>162</v>
      </c>
      <c r="AC130" s="16">
        <v>53</v>
      </c>
      <c r="AD130" s="16">
        <v>76</v>
      </c>
      <c r="AE130" s="16">
        <v>5</v>
      </c>
      <c r="AF130" s="16">
        <v>72</v>
      </c>
      <c r="AG130" s="16">
        <v>153</v>
      </c>
      <c r="AH130" s="16">
        <v>23</v>
      </c>
      <c r="AI130" s="16">
        <v>6</v>
      </c>
      <c r="AJ130" s="351"/>
      <c r="AK130" s="352"/>
      <c r="AL130" s="25"/>
      <c r="AM130" s="351"/>
      <c r="AN130" s="351"/>
      <c r="AO130" s="351" t="s">
        <v>369</v>
      </c>
      <c r="AP130" s="16" t="s">
        <v>5080</v>
      </c>
      <c r="AQ130" s="16" t="s">
        <v>112</v>
      </c>
      <c r="AR130" s="130">
        <f t="shared" si="4"/>
        <v>1404</v>
      </c>
      <c r="AS130" s="130">
        <f t="shared" si="5"/>
        <v>3</v>
      </c>
      <c r="AT130" s="130"/>
      <c r="AU130" s="130"/>
      <c r="AV130" s="12" t="str">
        <f t="shared" si="6"/>
        <v/>
      </c>
      <c r="AW130" s="12" t="str">
        <f t="shared" si="7"/>
        <v/>
      </c>
      <c r="AX130" s="12"/>
      <c r="AY130" s="309"/>
    </row>
    <row r="131" spans="1:51" s="19" customFormat="1" ht="30" hidden="1" customHeight="1" x14ac:dyDescent="0.2">
      <c r="A131" s="356">
        <v>129</v>
      </c>
      <c r="B131" s="351">
        <v>29</v>
      </c>
      <c r="C131" s="351">
        <v>3</v>
      </c>
      <c r="D131" s="16">
        <v>1404</v>
      </c>
      <c r="E131" s="352" t="s">
        <v>2152</v>
      </c>
      <c r="F131" s="352" t="s">
        <v>8</v>
      </c>
      <c r="G131" s="352" t="s">
        <v>481</v>
      </c>
      <c r="H131" s="351" t="s">
        <v>83</v>
      </c>
      <c r="I131" s="360" t="s">
        <v>158</v>
      </c>
      <c r="J131" s="16" t="s">
        <v>84</v>
      </c>
      <c r="K131" s="352"/>
      <c r="L131" s="352" t="s">
        <v>140</v>
      </c>
      <c r="M131" s="352"/>
      <c r="N131" s="352" t="s">
        <v>119</v>
      </c>
      <c r="O131" s="351" t="s">
        <v>107</v>
      </c>
      <c r="P131" s="436"/>
      <c r="Q131" s="436"/>
      <c r="R131" s="352"/>
      <c r="S131" s="352" t="s">
        <v>2245</v>
      </c>
      <c r="T131" s="352" t="s">
        <v>441</v>
      </c>
      <c r="U131" s="352"/>
      <c r="V131" s="352" t="s">
        <v>142</v>
      </c>
      <c r="W131" s="352" t="s">
        <v>70</v>
      </c>
      <c r="X131" s="352"/>
      <c r="Y131" s="351" t="s">
        <v>5319</v>
      </c>
      <c r="Z131" s="351"/>
      <c r="AA131" s="351"/>
      <c r="AB131" s="16">
        <v>186</v>
      </c>
      <c r="AC131" s="16"/>
      <c r="AD131" s="16"/>
      <c r="AE131" s="16"/>
      <c r="AF131" s="16"/>
      <c r="AG131" s="16"/>
      <c r="AH131" s="16"/>
      <c r="AI131" s="16">
        <v>6</v>
      </c>
      <c r="AJ131" s="351"/>
      <c r="AK131" s="352"/>
      <c r="AL131" s="25"/>
      <c r="AM131" s="351"/>
      <c r="AN131" s="351"/>
      <c r="AO131" s="351"/>
      <c r="AP131" s="16"/>
      <c r="AQ131" s="16"/>
      <c r="AR131" s="130">
        <f t="shared" ref="AR131:AR194" si="8">D131</f>
        <v>1404</v>
      </c>
      <c r="AS131" s="130">
        <f t="shared" ref="AS131:AS194" si="9">C131</f>
        <v>3</v>
      </c>
      <c r="AT131" s="130">
        <v>1400</v>
      </c>
      <c r="AU131" s="130">
        <v>1</v>
      </c>
      <c r="AV131" s="12">
        <f t="shared" si="6"/>
        <v>50</v>
      </c>
      <c r="AW131" s="12" t="str">
        <f t="shared" si="7"/>
        <v/>
      </c>
      <c r="AX131" s="12"/>
      <c r="AY131" s="309"/>
    </row>
    <row r="132" spans="1:51" s="19" customFormat="1" ht="30" hidden="1" customHeight="1" x14ac:dyDescent="0.2">
      <c r="A132" s="356">
        <v>130</v>
      </c>
      <c r="B132" s="351">
        <v>30</v>
      </c>
      <c r="C132" s="351">
        <v>3</v>
      </c>
      <c r="D132" s="16">
        <v>1404</v>
      </c>
      <c r="E132" s="352" t="s">
        <v>1806</v>
      </c>
      <c r="F132" s="352" t="s">
        <v>2981</v>
      </c>
      <c r="G132" s="352" t="s">
        <v>481</v>
      </c>
      <c r="H132" s="351" t="s">
        <v>83</v>
      </c>
      <c r="I132" s="360" t="s">
        <v>158</v>
      </c>
      <c r="J132" s="16" t="s">
        <v>84</v>
      </c>
      <c r="K132" s="352"/>
      <c r="L132" s="352" t="s">
        <v>104</v>
      </c>
      <c r="M132" s="352" t="s">
        <v>429</v>
      </c>
      <c r="N132" s="352" t="s">
        <v>106</v>
      </c>
      <c r="O132" s="351" t="s">
        <v>107</v>
      </c>
      <c r="P132" s="436"/>
      <c r="Q132" s="436"/>
      <c r="R132" s="352"/>
      <c r="S132" s="352" t="s">
        <v>2245</v>
      </c>
      <c r="T132" s="352" t="s">
        <v>2258</v>
      </c>
      <c r="U132" s="352" t="s">
        <v>4124</v>
      </c>
      <c r="V132" s="352" t="s">
        <v>369</v>
      </c>
      <c r="W132" s="352" t="s">
        <v>369</v>
      </c>
      <c r="X132" s="352"/>
      <c r="Y132" s="16" t="s">
        <v>4206</v>
      </c>
      <c r="Z132" s="351"/>
      <c r="AA132" s="351"/>
      <c r="AB132" s="16">
        <v>192</v>
      </c>
      <c r="AC132" s="16"/>
      <c r="AD132" s="16"/>
      <c r="AE132" s="16"/>
      <c r="AF132" s="16"/>
      <c r="AG132" s="16"/>
      <c r="AH132" s="16"/>
      <c r="AI132" s="16">
        <v>6</v>
      </c>
      <c r="AJ132" s="351"/>
      <c r="AK132" s="352"/>
      <c r="AL132" s="25"/>
      <c r="AM132" s="351"/>
      <c r="AN132" s="351"/>
      <c r="AO132" s="351"/>
      <c r="AP132" s="16" t="s">
        <v>5080</v>
      </c>
      <c r="AQ132" s="16" t="s">
        <v>161</v>
      </c>
      <c r="AR132" s="130">
        <f t="shared" si="8"/>
        <v>1404</v>
      </c>
      <c r="AS132" s="130">
        <f t="shared" si="9"/>
        <v>3</v>
      </c>
      <c r="AT132" s="130">
        <v>1402</v>
      </c>
      <c r="AU132" s="130">
        <v>11</v>
      </c>
      <c r="AV132" s="12">
        <f t="shared" si="6"/>
        <v>16</v>
      </c>
      <c r="AW132" s="12" t="str">
        <f t="shared" si="7"/>
        <v/>
      </c>
      <c r="AX132" s="12"/>
      <c r="AY132" s="309"/>
    </row>
    <row r="133" spans="1:51" s="19" customFormat="1" ht="30" hidden="1" customHeight="1" x14ac:dyDescent="0.2">
      <c r="A133" s="356">
        <v>131</v>
      </c>
      <c r="B133" s="351">
        <v>30</v>
      </c>
      <c r="C133" s="351">
        <v>3</v>
      </c>
      <c r="D133" s="16">
        <v>1404</v>
      </c>
      <c r="E133" s="352" t="s">
        <v>2299</v>
      </c>
      <c r="F133" s="352" t="s">
        <v>2981</v>
      </c>
      <c r="G133" s="352" t="s">
        <v>481</v>
      </c>
      <c r="H133" s="351" t="s">
        <v>83</v>
      </c>
      <c r="I133" s="360" t="s">
        <v>158</v>
      </c>
      <c r="J133" s="16" t="s">
        <v>92</v>
      </c>
      <c r="K133" s="352"/>
      <c r="L133" s="155">
        <v>30</v>
      </c>
      <c r="M133" s="155"/>
      <c r="N133" s="155" t="s">
        <v>106</v>
      </c>
      <c r="O133" s="155" t="s">
        <v>107</v>
      </c>
      <c r="P133" s="155"/>
      <c r="Q133" s="155"/>
      <c r="R133" s="352"/>
      <c r="S133" s="352">
        <v>293</v>
      </c>
      <c r="T133" s="352">
        <v>8</v>
      </c>
      <c r="U133" s="155"/>
      <c r="V133" s="155" t="s">
        <v>142</v>
      </c>
      <c r="W133" s="155" t="s">
        <v>70</v>
      </c>
      <c r="X133" s="352"/>
      <c r="Y133" s="16" t="s">
        <v>4142</v>
      </c>
      <c r="Z133" s="351"/>
      <c r="AA133" s="351"/>
      <c r="AB133" s="16">
        <v>120</v>
      </c>
      <c r="AC133" s="16"/>
      <c r="AD133" s="16"/>
      <c r="AE133" s="16"/>
      <c r="AF133" s="16"/>
      <c r="AG133" s="16"/>
      <c r="AH133" s="16"/>
      <c r="AI133" s="16">
        <v>4</v>
      </c>
      <c r="AJ133" s="351"/>
      <c r="AK133" s="352"/>
      <c r="AL133" s="25"/>
      <c r="AM133" s="351"/>
      <c r="AN133" s="351"/>
      <c r="AO133" s="351"/>
      <c r="AP133" s="16"/>
      <c r="AQ133" s="16"/>
      <c r="AR133" s="130">
        <f t="shared" si="8"/>
        <v>1404</v>
      </c>
      <c r="AS133" s="130">
        <f t="shared" si="9"/>
        <v>3</v>
      </c>
      <c r="AT133" s="130">
        <v>1402</v>
      </c>
      <c r="AU133" s="130">
        <v>10</v>
      </c>
      <c r="AV133" s="12">
        <f t="shared" ref="AV133:AV175" si="10">IF(AR133*AT133&gt;0,(AR133-AT133)*12+(AS133-AU133),"")</f>
        <v>17</v>
      </c>
      <c r="AW133" s="12" t="str">
        <f t="shared" si="7"/>
        <v/>
      </c>
      <c r="AX133" s="12"/>
      <c r="AY133" s="309"/>
    </row>
    <row r="134" spans="1:51" s="19" customFormat="1" ht="30" hidden="1" customHeight="1" x14ac:dyDescent="0.2">
      <c r="A134" s="356">
        <v>132</v>
      </c>
      <c r="B134" s="20">
        <v>30</v>
      </c>
      <c r="C134" s="20">
        <v>3</v>
      </c>
      <c r="D134" s="29">
        <v>1404</v>
      </c>
      <c r="E134" s="30" t="s">
        <v>5320</v>
      </c>
      <c r="F134" s="30"/>
      <c r="G134" s="30" t="s">
        <v>1587</v>
      </c>
      <c r="H134" s="20" t="s">
        <v>222</v>
      </c>
      <c r="I134" s="360" t="s">
        <v>158</v>
      </c>
      <c r="J134" s="29" t="s">
        <v>84</v>
      </c>
      <c r="K134" s="30"/>
      <c r="L134" s="30" t="s">
        <v>226</v>
      </c>
      <c r="M134" s="30"/>
      <c r="N134" s="30" t="s">
        <v>69</v>
      </c>
      <c r="O134" s="30" t="s">
        <v>70</v>
      </c>
      <c r="P134" s="30"/>
      <c r="Q134" s="30"/>
      <c r="R134" s="30"/>
      <c r="S134" s="30" t="s">
        <v>2325</v>
      </c>
      <c r="T134" s="30" t="s">
        <v>2348</v>
      </c>
      <c r="U134" s="30"/>
      <c r="V134" s="30" t="s">
        <v>69</v>
      </c>
      <c r="W134" s="30" t="s">
        <v>70</v>
      </c>
      <c r="X134" s="30"/>
      <c r="Y134" s="29" t="s">
        <v>4837</v>
      </c>
      <c r="Z134" s="20"/>
      <c r="AA134" s="20"/>
      <c r="AB134" s="29">
        <v>188</v>
      </c>
      <c r="AC134" s="29"/>
      <c r="AD134" s="29"/>
      <c r="AE134" s="29"/>
      <c r="AF134" s="29"/>
      <c r="AG134" s="29"/>
      <c r="AH134" s="29"/>
      <c r="AI134" s="29">
        <v>4</v>
      </c>
      <c r="AJ134" s="20"/>
      <c r="AK134" s="30"/>
      <c r="AL134" s="36"/>
      <c r="AM134" s="20"/>
      <c r="AN134" s="20"/>
      <c r="AO134" s="20"/>
      <c r="AP134" s="29"/>
      <c r="AQ134" s="29"/>
      <c r="AR134" s="130">
        <f t="shared" si="8"/>
        <v>1404</v>
      </c>
      <c r="AS134" s="130">
        <f t="shared" si="9"/>
        <v>3</v>
      </c>
      <c r="AT134" s="318">
        <v>1403</v>
      </c>
      <c r="AU134" s="318">
        <v>8</v>
      </c>
      <c r="AV134" s="31">
        <f t="shared" si="10"/>
        <v>7</v>
      </c>
      <c r="AW134" s="31">
        <f t="shared" ref="AW134:AW175" si="11">IF(AV134&lt;13,AV134,"")</f>
        <v>7</v>
      </c>
      <c r="AX134" s="31"/>
      <c r="AY134" s="59"/>
    </row>
    <row r="135" spans="1:51" s="19" customFormat="1" ht="30" hidden="1" customHeight="1" x14ac:dyDescent="0.2">
      <c r="A135" s="356">
        <v>133</v>
      </c>
      <c r="B135" s="351">
        <v>31</v>
      </c>
      <c r="C135" s="351">
        <v>3</v>
      </c>
      <c r="D135" s="16">
        <v>1404</v>
      </c>
      <c r="E135" s="352" t="s">
        <v>5321</v>
      </c>
      <c r="F135" s="352" t="s">
        <v>10</v>
      </c>
      <c r="G135" s="352" t="s">
        <v>192</v>
      </c>
      <c r="H135" s="351" t="s">
        <v>7</v>
      </c>
      <c r="I135" s="360" t="s">
        <v>158</v>
      </c>
      <c r="J135" s="16" t="s">
        <v>3576</v>
      </c>
      <c r="K135" s="352"/>
      <c r="L135" s="352" t="s">
        <v>155</v>
      </c>
      <c r="M135" s="352"/>
      <c r="N135" s="352" t="s">
        <v>106</v>
      </c>
      <c r="O135" s="351" t="s">
        <v>107</v>
      </c>
      <c r="P135" s="436"/>
      <c r="Q135" s="436"/>
      <c r="R135" s="352"/>
      <c r="S135" s="352" t="s">
        <v>3677</v>
      </c>
      <c r="T135" s="352" t="s">
        <v>718</v>
      </c>
      <c r="U135" s="352"/>
      <c r="V135" s="352" t="s">
        <v>106</v>
      </c>
      <c r="W135" s="352" t="s">
        <v>107</v>
      </c>
      <c r="X135" s="352"/>
      <c r="Y135" s="351"/>
      <c r="Z135" s="351">
        <v>231</v>
      </c>
      <c r="AA135" s="351">
        <v>0</v>
      </c>
      <c r="AB135" s="16">
        <v>216</v>
      </c>
      <c r="AC135" s="16">
        <v>104</v>
      </c>
      <c r="AD135" s="16">
        <v>167</v>
      </c>
      <c r="AE135" s="16">
        <v>5</v>
      </c>
      <c r="AF135" s="16">
        <v>45</v>
      </c>
      <c r="AG135" s="16">
        <v>217</v>
      </c>
      <c r="AH135" s="16">
        <v>21</v>
      </c>
      <c r="AI135" s="16">
        <v>6</v>
      </c>
      <c r="AJ135" s="351"/>
      <c r="AK135" s="352" t="s">
        <v>5322</v>
      </c>
      <c r="AL135" s="25">
        <v>220</v>
      </c>
      <c r="AM135" s="351">
        <v>20</v>
      </c>
      <c r="AN135" s="351"/>
      <c r="AO135" s="351" t="s">
        <v>1558</v>
      </c>
      <c r="AP135" s="16" t="s">
        <v>160</v>
      </c>
      <c r="AQ135" s="16" t="s">
        <v>165</v>
      </c>
      <c r="AR135" s="130">
        <f t="shared" si="8"/>
        <v>1404</v>
      </c>
      <c r="AS135" s="130">
        <f t="shared" si="9"/>
        <v>3</v>
      </c>
      <c r="AT135" s="130"/>
      <c r="AU135" s="130"/>
      <c r="AV135" s="12" t="str">
        <f t="shared" si="10"/>
        <v/>
      </c>
      <c r="AW135" s="12" t="str">
        <f t="shared" si="11"/>
        <v/>
      </c>
      <c r="AX135" s="12"/>
      <c r="AY135" s="309"/>
    </row>
    <row r="136" spans="1:51" s="19" customFormat="1" ht="30" hidden="1" customHeight="1" x14ac:dyDescent="0.2">
      <c r="A136" s="356">
        <v>134</v>
      </c>
      <c r="B136" s="351">
        <v>31</v>
      </c>
      <c r="C136" s="351">
        <v>3</v>
      </c>
      <c r="D136" s="16">
        <v>1404</v>
      </c>
      <c r="E136" s="352" t="s">
        <v>5323</v>
      </c>
      <c r="F136" s="352" t="s">
        <v>10</v>
      </c>
      <c r="G136" s="352" t="s">
        <v>1587</v>
      </c>
      <c r="H136" s="351" t="s">
        <v>222</v>
      </c>
      <c r="I136" s="360" t="s">
        <v>158</v>
      </c>
      <c r="J136" s="16" t="s">
        <v>92</v>
      </c>
      <c r="K136" s="352"/>
      <c r="L136" s="352">
        <v>30</v>
      </c>
      <c r="M136" s="155">
        <v>3641</v>
      </c>
      <c r="N136" s="155" t="s">
        <v>106</v>
      </c>
      <c r="O136" s="155" t="s">
        <v>107</v>
      </c>
      <c r="P136" s="155"/>
      <c r="Q136" s="155"/>
      <c r="R136" s="352"/>
      <c r="S136" s="155">
        <v>233</v>
      </c>
      <c r="T136" s="155">
        <v>17</v>
      </c>
      <c r="U136" s="155">
        <v>159234</v>
      </c>
      <c r="V136" s="155" t="s">
        <v>369</v>
      </c>
      <c r="W136" s="155" t="s">
        <v>369</v>
      </c>
      <c r="X136" s="352"/>
      <c r="Y136" s="16" t="s">
        <v>4145</v>
      </c>
      <c r="Z136" s="351"/>
      <c r="AA136" s="351"/>
      <c r="AB136" s="16">
        <v>186</v>
      </c>
      <c r="AC136" s="16"/>
      <c r="AD136" s="16"/>
      <c r="AE136" s="16"/>
      <c r="AF136" s="16"/>
      <c r="AG136" s="16"/>
      <c r="AH136" s="16"/>
      <c r="AI136" s="16">
        <v>4</v>
      </c>
      <c r="AJ136" s="351"/>
      <c r="AK136" s="352"/>
      <c r="AL136" s="25"/>
      <c r="AM136" s="351"/>
      <c r="AN136" s="351"/>
      <c r="AO136" s="351"/>
      <c r="AP136" s="16" t="s">
        <v>5080</v>
      </c>
      <c r="AQ136" s="16" t="s">
        <v>5236</v>
      </c>
      <c r="AR136" s="130">
        <f t="shared" si="8"/>
        <v>1404</v>
      </c>
      <c r="AS136" s="130">
        <f t="shared" si="9"/>
        <v>3</v>
      </c>
      <c r="AT136" s="130">
        <v>1402</v>
      </c>
      <c r="AU136" s="130">
        <v>10</v>
      </c>
      <c r="AV136" s="12">
        <f t="shared" si="10"/>
        <v>17</v>
      </c>
      <c r="AW136" s="12" t="str">
        <f t="shared" si="11"/>
        <v/>
      </c>
      <c r="AX136" s="12"/>
      <c r="AY136" s="309"/>
    </row>
    <row r="137" spans="1:51" s="19" customFormat="1" ht="30" hidden="1" customHeight="1" x14ac:dyDescent="0.2">
      <c r="A137" s="356">
        <v>135</v>
      </c>
      <c r="B137" s="354">
        <v>1</v>
      </c>
      <c r="C137" s="354">
        <v>4</v>
      </c>
      <c r="D137" s="16">
        <v>1404</v>
      </c>
      <c r="E137" s="353" t="s">
        <v>1806</v>
      </c>
      <c r="F137" s="353" t="s">
        <v>2981</v>
      </c>
      <c r="G137" s="353" t="s">
        <v>5247</v>
      </c>
      <c r="H137" s="354" t="s">
        <v>7</v>
      </c>
      <c r="I137" s="360" t="s">
        <v>158</v>
      </c>
      <c r="J137" s="16" t="s">
        <v>84</v>
      </c>
      <c r="K137" s="35" t="s">
        <v>104</v>
      </c>
      <c r="L137" s="35" t="s">
        <v>117</v>
      </c>
      <c r="M137" s="353"/>
      <c r="N137" s="353" t="s">
        <v>106</v>
      </c>
      <c r="O137" s="354" t="s">
        <v>107</v>
      </c>
      <c r="P137" s="436"/>
      <c r="Q137" s="436"/>
      <c r="R137" s="35" t="s">
        <v>402</v>
      </c>
      <c r="S137" s="35" t="s">
        <v>2961</v>
      </c>
      <c r="T137" s="35" t="s">
        <v>144</v>
      </c>
      <c r="U137" s="353"/>
      <c r="V137" s="353" t="s">
        <v>106</v>
      </c>
      <c r="W137" s="354" t="s">
        <v>107</v>
      </c>
      <c r="X137" s="353" t="s">
        <v>5187</v>
      </c>
      <c r="Y137" s="354"/>
      <c r="Z137" s="354">
        <v>207</v>
      </c>
      <c r="AA137" s="354">
        <v>192</v>
      </c>
      <c r="AB137" s="16">
        <v>192</v>
      </c>
      <c r="AC137" s="16">
        <v>88</v>
      </c>
      <c r="AD137" s="16">
        <v>172</v>
      </c>
      <c r="AE137" s="16">
        <v>2</v>
      </c>
      <c r="AF137" s="16">
        <v>20</v>
      </c>
      <c r="AG137" s="16">
        <v>194</v>
      </c>
      <c r="AH137" s="16">
        <v>10</v>
      </c>
      <c r="AI137" s="16">
        <v>6</v>
      </c>
      <c r="AJ137" s="354"/>
      <c r="AK137" s="353" t="s">
        <v>5324</v>
      </c>
      <c r="AL137" s="25">
        <v>221</v>
      </c>
      <c r="AM137" s="354">
        <v>9.1</v>
      </c>
      <c r="AN137" s="354"/>
      <c r="AO137" s="354" t="s">
        <v>369</v>
      </c>
      <c r="AP137" s="16" t="s">
        <v>5080</v>
      </c>
      <c r="AQ137" s="16" t="s">
        <v>161</v>
      </c>
      <c r="AR137" s="130">
        <f t="shared" si="8"/>
        <v>1404</v>
      </c>
      <c r="AS137" s="130">
        <f t="shared" si="9"/>
        <v>4</v>
      </c>
      <c r="AT137" s="130"/>
      <c r="AU137" s="130"/>
      <c r="AV137" s="12" t="str">
        <f t="shared" si="10"/>
        <v/>
      </c>
      <c r="AW137" s="12" t="str">
        <f t="shared" si="11"/>
        <v/>
      </c>
      <c r="AX137" s="12"/>
      <c r="AY137" s="309"/>
    </row>
    <row r="138" spans="1:51" s="19" customFormat="1" ht="30" hidden="1" customHeight="1" x14ac:dyDescent="0.2">
      <c r="A138" s="356">
        <v>136</v>
      </c>
      <c r="B138" s="354">
        <v>1</v>
      </c>
      <c r="C138" s="354">
        <v>4</v>
      </c>
      <c r="D138" s="16">
        <v>1404</v>
      </c>
      <c r="E138" s="353" t="s">
        <v>5325</v>
      </c>
      <c r="F138" s="353" t="s">
        <v>10</v>
      </c>
      <c r="G138" s="353" t="s">
        <v>192</v>
      </c>
      <c r="H138" s="354" t="s">
        <v>7</v>
      </c>
      <c r="I138" s="360" t="s">
        <v>158</v>
      </c>
      <c r="J138" s="16" t="s">
        <v>92</v>
      </c>
      <c r="K138" s="353"/>
      <c r="L138" s="353" t="s">
        <v>334</v>
      </c>
      <c r="M138" s="353"/>
      <c r="N138" s="353" t="s">
        <v>262</v>
      </c>
      <c r="O138" s="354" t="s">
        <v>70</v>
      </c>
      <c r="P138" s="436"/>
      <c r="Q138" s="436"/>
      <c r="R138" s="353"/>
      <c r="S138" s="353" t="s">
        <v>2961</v>
      </c>
      <c r="T138" s="353" t="s">
        <v>260</v>
      </c>
      <c r="U138" s="353"/>
      <c r="V138" s="353" t="s">
        <v>106</v>
      </c>
      <c r="W138" s="353" t="s">
        <v>107</v>
      </c>
      <c r="X138" s="353"/>
      <c r="Y138" s="354"/>
      <c r="Z138" s="354">
        <v>213</v>
      </c>
      <c r="AA138" s="354">
        <v>0</v>
      </c>
      <c r="AB138" s="16">
        <v>201</v>
      </c>
      <c r="AC138" s="16">
        <v>135</v>
      </c>
      <c r="AD138" s="16">
        <v>161</v>
      </c>
      <c r="AE138" s="16">
        <v>5</v>
      </c>
      <c r="AF138" s="16">
        <v>10</v>
      </c>
      <c r="AG138" s="16">
        <v>176</v>
      </c>
      <c r="AH138" s="16">
        <v>8.3000000000000007</v>
      </c>
      <c r="AI138" s="16">
        <v>4</v>
      </c>
      <c r="AJ138" s="354"/>
      <c r="AK138" s="353" t="s">
        <v>5324</v>
      </c>
      <c r="AL138" s="25">
        <v>180</v>
      </c>
      <c r="AM138" s="354">
        <v>7.75</v>
      </c>
      <c r="AN138" s="354"/>
      <c r="AO138" s="354" t="s">
        <v>5015</v>
      </c>
      <c r="AP138" s="16" t="s">
        <v>160</v>
      </c>
      <c r="AQ138" s="16" t="s">
        <v>231</v>
      </c>
      <c r="AR138" s="130">
        <f t="shared" si="8"/>
        <v>1404</v>
      </c>
      <c r="AS138" s="130">
        <f t="shared" si="9"/>
        <v>4</v>
      </c>
      <c r="AT138" s="130"/>
      <c r="AU138" s="130"/>
      <c r="AV138" s="12" t="str">
        <f t="shared" si="10"/>
        <v/>
      </c>
      <c r="AW138" s="12" t="str">
        <f t="shared" si="11"/>
        <v/>
      </c>
      <c r="AX138" s="12"/>
      <c r="AY138" s="309"/>
    </row>
    <row r="139" spans="1:51" s="19" customFormat="1" ht="30" hidden="1" customHeight="1" x14ac:dyDescent="0.2">
      <c r="A139" s="356">
        <v>137</v>
      </c>
      <c r="B139" s="354">
        <v>1</v>
      </c>
      <c r="C139" s="354">
        <v>4</v>
      </c>
      <c r="D139" s="16">
        <v>1404</v>
      </c>
      <c r="E139" s="353" t="s">
        <v>2752</v>
      </c>
      <c r="F139" s="353" t="s">
        <v>9</v>
      </c>
      <c r="G139" s="353"/>
      <c r="H139" s="354" t="s">
        <v>83</v>
      </c>
      <c r="I139" s="360" t="s">
        <v>158</v>
      </c>
      <c r="J139" s="16" t="s">
        <v>84</v>
      </c>
      <c r="K139" s="353"/>
      <c r="L139" s="353" t="s">
        <v>769</v>
      </c>
      <c r="M139" s="353" t="s">
        <v>4566</v>
      </c>
      <c r="N139" s="353" t="s">
        <v>106</v>
      </c>
      <c r="O139" s="354" t="s">
        <v>107</v>
      </c>
      <c r="P139" s="436"/>
      <c r="Q139" s="436"/>
      <c r="R139" s="353"/>
      <c r="S139" s="353" t="s">
        <v>2325</v>
      </c>
      <c r="T139" s="353" t="s">
        <v>441</v>
      </c>
      <c r="U139" s="353" t="s">
        <v>4581</v>
      </c>
      <c r="V139" s="353" t="s">
        <v>369</v>
      </c>
      <c r="W139" s="353" t="s">
        <v>369</v>
      </c>
      <c r="X139" s="353"/>
      <c r="Y139" s="16" t="s">
        <v>4523</v>
      </c>
      <c r="Z139" s="354"/>
      <c r="AA139" s="354"/>
      <c r="AB139" s="16">
        <v>174</v>
      </c>
      <c r="AC139" s="16"/>
      <c r="AD139" s="16"/>
      <c r="AE139" s="16"/>
      <c r="AF139" s="16"/>
      <c r="AG139" s="16"/>
      <c r="AH139" s="16"/>
      <c r="AI139" s="16">
        <v>4</v>
      </c>
      <c r="AJ139" s="354"/>
      <c r="AK139" s="353"/>
      <c r="AL139" s="25"/>
      <c r="AM139" s="354"/>
      <c r="AN139" s="354"/>
      <c r="AO139" s="354"/>
      <c r="AP139" s="16"/>
      <c r="AQ139" s="16"/>
      <c r="AR139" s="130">
        <f t="shared" si="8"/>
        <v>1404</v>
      </c>
      <c r="AS139" s="130">
        <f t="shared" si="9"/>
        <v>4</v>
      </c>
      <c r="AT139" s="130"/>
      <c r="AU139" s="130"/>
      <c r="AV139" s="12" t="str">
        <f t="shared" si="10"/>
        <v/>
      </c>
      <c r="AW139" s="12" t="str">
        <f t="shared" si="11"/>
        <v/>
      </c>
      <c r="AX139" s="12"/>
      <c r="AY139" s="309"/>
    </row>
    <row r="140" spans="1:51" s="19" customFormat="1" ht="30" hidden="1" customHeight="1" x14ac:dyDescent="0.2">
      <c r="A140" s="356">
        <v>138</v>
      </c>
      <c r="B140" s="354">
        <v>1</v>
      </c>
      <c r="C140" s="354">
        <v>4</v>
      </c>
      <c r="D140" s="16">
        <v>1404</v>
      </c>
      <c r="E140" s="353" t="s">
        <v>2752</v>
      </c>
      <c r="F140" s="353" t="s">
        <v>9</v>
      </c>
      <c r="G140" s="353" t="s">
        <v>5247</v>
      </c>
      <c r="H140" s="354" t="s">
        <v>7</v>
      </c>
      <c r="I140" s="360" t="s">
        <v>158</v>
      </c>
      <c r="J140" s="16" t="s">
        <v>84</v>
      </c>
      <c r="K140" s="35" t="s">
        <v>116</v>
      </c>
      <c r="L140" s="35" t="s">
        <v>718</v>
      </c>
      <c r="M140" s="353"/>
      <c r="N140" s="353" t="s">
        <v>106</v>
      </c>
      <c r="O140" s="354" t="s">
        <v>107</v>
      </c>
      <c r="P140" s="436"/>
      <c r="Q140" s="436"/>
      <c r="R140" s="35" t="s">
        <v>1243</v>
      </c>
      <c r="S140" s="35" t="s">
        <v>4016</v>
      </c>
      <c r="T140" s="35" t="s">
        <v>334</v>
      </c>
      <c r="U140" s="353"/>
      <c r="V140" s="353" t="s">
        <v>106</v>
      </c>
      <c r="W140" s="353" t="s">
        <v>107</v>
      </c>
      <c r="X140" s="353" t="s">
        <v>5187</v>
      </c>
      <c r="Y140" s="354"/>
      <c r="Z140" s="354">
        <v>192</v>
      </c>
      <c r="AA140" s="354">
        <v>174</v>
      </c>
      <c r="AB140" s="16">
        <v>174</v>
      </c>
      <c r="AC140" s="16">
        <v>130</v>
      </c>
      <c r="AD140" s="16">
        <v>161</v>
      </c>
      <c r="AE140" s="16">
        <v>1</v>
      </c>
      <c r="AF140" s="16">
        <v>15</v>
      </c>
      <c r="AG140" s="16">
        <v>177</v>
      </c>
      <c r="AH140" s="16">
        <v>2</v>
      </c>
      <c r="AI140" s="16">
        <v>4</v>
      </c>
      <c r="AJ140" s="354"/>
      <c r="AK140" s="353"/>
      <c r="AL140" s="25"/>
      <c r="AM140" s="354"/>
      <c r="AN140" s="354"/>
      <c r="AO140" s="354"/>
      <c r="AP140" s="16"/>
      <c r="AQ140" s="16"/>
      <c r="AR140" s="130">
        <f t="shared" si="8"/>
        <v>1404</v>
      </c>
      <c r="AS140" s="130">
        <f t="shared" si="9"/>
        <v>4</v>
      </c>
      <c r="AT140" s="130"/>
      <c r="AU140" s="130"/>
      <c r="AV140" s="12" t="str">
        <f t="shared" si="10"/>
        <v/>
      </c>
      <c r="AW140" s="12" t="str">
        <f t="shared" si="11"/>
        <v/>
      </c>
      <c r="AX140" s="12"/>
      <c r="AY140" s="309"/>
    </row>
    <row r="141" spans="1:51" s="19" customFormat="1" ht="30" hidden="1" customHeight="1" x14ac:dyDescent="0.2">
      <c r="A141" s="356">
        <v>139</v>
      </c>
      <c r="B141" s="354">
        <v>2</v>
      </c>
      <c r="C141" s="354">
        <v>4</v>
      </c>
      <c r="D141" s="16">
        <v>1404</v>
      </c>
      <c r="E141" s="353" t="s">
        <v>285</v>
      </c>
      <c r="F141" s="353" t="s">
        <v>9</v>
      </c>
      <c r="G141" s="353"/>
      <c r="H141" s="354" t="s">
        <v>83</v>
      </c>
      <c r="I141" s="360" t="s">
        <v>158</v>
      </c>
      <c r="J141" s="16" t="s">
        <v>84</v>
      </c>
      <c r="K141" s="353"/>
      <c r="L141" s="353" t="s">
        <v>104</v>
      </c>
      <c r="M141" s="353" t="s">
        <v>308</v>
      </c>
      <c r="N141" s="353" t="s">
        <v>106</v>
      </c>
      <c r="O141" s="354" t="s">
        <v>107</v>
      </c>
      <c r="P141" s="436"/>
      <c r="Q141" s="436"/>
      <c r="R141" s="353"/>
      <c r="S141" s="353" t="s">
        <v>2961</v>
      </c>
      <c r="T141" s="353" t="s">
        <v>226</v>
      </c>
      <c r="U141" s="353" t="s">
        <v>309</v>
      </c>
      <c r="V141" s="353" t="s">
        <v>73</v>
      </c>
      <c r="W141" s="353" t="s">
        <v>70</v>
      </c>
      <c r="X141" s="353"/>
      <c r="Y141" s="16" t="s">
        <v>284</v>
      </c>
      <c r="Z141" s="354"/>
      <c r="AA141" s="354"/>
      <c r="AB141" s="16">
        <v>216</v>
      </c>
      <c r="AC141" s="16"/>
      <c r="AD141" s="16"/>
      <c r="AE141" s="16"/>
      <c r="AF141" s="16"/>
      <c r="AG141" s="16"/>
      <c r="AH141" s="16"/>
      <c r="AI141" s="16">
        <v>6</v>
      </c>
      <c r="AJ141" s="354"/>
      <c r="AK141" s="353"/>
      <c r="AL141" s="25"/>
      <c r="AM141" s="354"/>
      <c r="AN141" s="354"/>
      <c r="AO141" s="354"/>
      <c r="AP141" s="16" t="s">
        <v>5080</v>
      </c>
      <c r="AQ141" s="16" t="s">
        <v>112</v>
      </c>
      <c r="AR141" s="130">
        <f t="shared" si="8"/>
        <v>1404</v>
      </c>
      <c r="AS141" s="130">
        <f t="shared" si="9"/>
        <v>4</v>
      </c>
      <c r="AT141" s="130"/>
      <c r="AU141" s="130"/>
      <c r="AV141" s="12" t="str">
        <f t="shared" si="10"/>
        <v/>
      </c>
      <c r="AW141" s="12" t="str">
        <f t="shared" si="11"/>
        <v/>
      </c>
      <c r="AX141" s="12"/>
      <c r="AY141" s="309"/>
    </row>
    <row r="142" spans="1:51" s="19" customFormat="1" ht="30" hidden="1" customHeight="1" x14ac:dyDescent="0.2">
      <c r="A142" s="356">
        <v>140</v>
      </c>
      <c r="B142" s="354">
        <v>2</v>
      </c>
      <c r="C142" s="354">
        <v>4</v>
      </c>
      <c r="D142" s="16">
        <v>1404</v>
      </c>
      <c r="E142" s="353" t="s">
        <v>2555</v>
      </c>
      <c r="F142" s="353" t="s">
        <v>2981</v>
      </c>
      <c r="G142" s="353"/>
      <c r="H142" s="354" t="s">
        <v>83</v>
      </c>
      <c r="I142" s="360" t="s">
        <v>158</v>
      </c>
      <c r="J142" s="16" t="s">
        <v>84</v>
      </c>
      <c r="K142" s="353"/>
      <c r="L142" s="353" t="s">
        <v>68</v>
      </c>
      <c r="M142" s="353" t="s">
        <v>3491</v>
      </c>
      <c r="N142" s="353" t="s">
        <v>69</v>
      </c>
      <c r="O142" s="354" t="s">
        <v>70</v>
      </c>
      <c r="P142" s="436"/>
      <c r="Q142" s="436"/>
      <c r="R142" s="353"/>
      <c r="S142" s="353" t="s">
        <v>3679</v>
      </c>
      <c r="T142" s="353" t="s">
        <v>485</v>
      </c>
      <c r="U142" s="353" t="s">
        <v>3492</v>
      </c>
      <c r="V142" s="353" t="s">
        <v>106</v>
      </c>
      <c r="W142" s="353" t="s">
        <v>107</v>
      </c>
      <c r="X142" s="353"/>
      <c r="Y142" s="16" t="s">
        <v>3486</v>
      </c>
      <c r="Z142" s="354"/>
      <c r="AA142" s="354"/>
      <c r="AB142" s="16">
        <v>210</v>
      </c>
      <c r="AC142" s="16"/>
      <c r="AD142" s="16"/>
      <c r="AE142" s="16"/>
      <c r="AF142" s="16"/>
      <c r="AG142" s="16"/>
      <c r="AH142" s="16"/>
      <c r="AI142" s="16">
        <v>6</v>
      </c>
      <c r="AJ142" s="354"/>
      <c r="AK142" s="353"/>
      <c r="AL142" s="25"/>
      <c r="AM142" s="354"/>
      <c r="AN142" s="354"/>
      <c r="AO142" s="354"/>
      <c r="AP142" s="16" t="s">
        <v>5080</v>
      </c>
      <c r="AQ142" s="16" t="s">
        <v>193</v>
      </c>
      <c r="AR142" s="130">
        <f t="shared" si="8"/>
        <v>1404</v>
      </c>
      <c r="AS142" s="130">
        <f t="shared" si="9"/>
        <v>4</v>
      </c>
      <c r="AT142" s="130">
        <v>1402</v>
      </c>
      <c r="AU142" s="130">
        <v>4</v>
      </c>
      <c r="AV142" s="12">
        <f t="shared" si="10"/>
        <v>24</v>
      </c>
      <c r="AW142" s="12" t="str">
        <f t="shared" si="11"/>
        <v/>
      </c>
      <c r="AX142" s="12"/>
      <c r="AY142" s="309"/>
    </row>
    <row r="143" spans="1:51" s="19" customFormat="1" ht="30" hidden="1" customHeight="1" x14ac:dyDescent="0.2">
      <c r="A143" s="356">
        <v>141</v>
      </c>
      <c r="B143" s="354">
        <v>3</v>
      </c>
      <c r="C143" s="354">
        <v>4</v>
      </c>
      <c r="D143" s="16">
        <v>1404</v>
      </c>
      <c r="E143" s="353" t="s">
        <v>2299</v>
      </c>
      <c r="F143" s="353" t="s">
        <v>2981</v>
      </c>
      <c r="G143" s="353" t="s">
        <v>5247</v>
      </c>
      <c r="H143" s="354" t="s">
        <v>7</v>
      </c>
      <c r="I143" s="360" t="s">
        <v>158</v>
      </c>
      <c r="J143" s="16" t="s">
        <v>84</v>
      </c>
      <c r="K143" s="35" t="s">
        <v>141</v>
      </c>
      <c r="L143" s="35" t="s">
        <v>334</v>
      </c>
      <c r="M143" s="353" t="s">
        <v>5378</v>
      </c>
      <c r="N143" s="353" t="s">
        <v>106</v>
      </c>
      <c r="O143" s="354" t="s">
        <v>107</v>
      </c>
      <c r="P143" s="436"/>
      <c r="Q143" s="436"/>
      <c r="R143" s="35" t="s">
        <v>5347</v>
      </c>
      <c r="S143" s="35" t="s">
        <v>1809</v>
      </c>
      <c r="T143" s="35" t="s">
        <v>2258</v>
      </c>
      <c r="U143" s="353" t="s">
        <v>5379</v>
      </c>
      <c r="V143" s="353" t="s">
        <v>106</v>
      </c>
      <c r="W143" s="353" t="s">
        <v>107</v>
      </c>
      <c r="X143" s="353" t="s">
        <v>5187</v>
      </c>
      <c r="Y143" s="354"/>
      <c r="Z143" s="354">
        <v>143</v>
      </c>
      <c r="AA143" s="354">
        <v>126</v>
      </c>
      <c r="AB143" s="16">
        <v>126</v>
      </c>
      <c r="AC143" s="16">
        <v>65</v>
      </c>
      <c r="AD143" s="16">
        <v>100</v>
      </c>
      <c r="AE143" s="16">
        <v>3</v>
      </c>
      <c r="AF143" s="16">
        <v>47</v>
      </c>
      <c r="AG143" s="16">
        <v>150</v>
      </c>
      <c r="AH143" s="16">
        <v>8</v>
      </c>
      <c r="AI143" s="16">
        <v>4</v>
      </c>
      <c r="AJ143" s="354"/>
      <c r="AK143" s="353"/>
      <c r="AL143" s="25"/>
      <c r="AM143" s="354"/>
      <c r="AN143" s="354"/>
      <c r="AO143" s="354"/>
      <c r="AP143" s="16"/>
      <c r="AQ143" s="16"/>
      <c r="AR143" s="130">
        <f t="shared" si="8"/>
        <v>1404</v>
      </c>
      <c r="AS143" s="130">
        <f t="shared" si="9"/>
        <v>4</v>
      </c>
      <c r="AT143" s="130"/>
      <c r="AU143" s="130"/>
      <c r="AV143" s="12" t="str">
        <f t="shared" si="10"/>
        <v/>
      </c>
      <c r="AW143" s="12" t="str">
        <f t="shared" si="11"/>
        <v/>
      </c>
      <c r="AX143" s="12"/>
      <c r="AY143" s="309"/>
    </row>
    <row r="144" spans="1:51" s="19" customFormat="1" ht="30" hidden="1" customHeight="1" x14ac:dyDescent="0.2">
      <c r="A144" s="356">
        <v>142</v>
      </c>
      <c r="B144" s="354">
        <v>3</v>
      </c>
      <c r="C144" s="354">
        <v>4</v>
      </c>
      <c r="D144" s="16">
        <v>1404</v>
      </c>
      <c r="E144" s="353" t="s">
        <v>2602</v>
      </c>
      <c r="F144" s="353" t="s">
        <v>20</v>
      </c>
      <c r="G144" s="353"/>
      <c r="H144" s="354" t="s">
        <v>83</v>
      </c>
      <c r="I144" s="360" t="s">
        <v>158</v>
      </c>
      <c r="J144" s="16"/>
      <c r="K144" s="353"/>
      <c r="L144" s="41" t="s">
        <v>68</v>
      </c>
      <c r="M144" s="41" t="s">
        <v>592</v>
      </c>
      <c r="N144" s="41" t="s">
        <v>106</v>
      </c>
      <c r="O144" s="13" t="s">
        <v>107</v>
      </c>
      <c r="P144" s="13"/>
      <c r="Q144" s="13"/>
      <c r="R144" s="353"/>
      <c r="S144" s="353" t="s">
        <v>3677</v>
      </c>
      <c r="T144" s="353" t="s">
        <v>485</v>
      </c>
      <c r="U144" s="41" t="s">
        <v>1949</v>
      </c>
      <c r="V144" s="41" t="s">
        <v>142</v>
      </c>
      <c r="W144" s="41" t="s">
        <v>70</v>
      </c>
      <c r="X144" s="353"/>
      <c r="Y144" s="40" t="s">
        <v>1947</v>
      </c>
      <c r="Z144" s="354"/>
      <c r="AA144" s="354"/>
      <c r="AB144" s="16">
        <v>135</v>
      </c>
      <c r="AC144" s="16"/>
      <c r="AD144" s="16"/>
      <c r="AE144" s="16"/>
      <c r="AF144" s="16"/>
      <c r="AG144" s="16"/>
      <c r="AH144" s="16"/>
      <c r="AI144" s="16">
        <v>6</v>
      </c>
      <c r="AJ144" s="354"/>
      <c r="AK144" s="353"/>
      <c r="AL144" s="25"/>
      <c r="AM144" s="354"/>
      <c r="AN144" s="354"/>
      <c r="AO144" s="354"/>
      <c r="AP144" s="16" t="s">
        <v>5080</v>
      </c>
      <c r="AQ144" s="16" t="s">
        <v>112</v>
      </c>
      <c r="AR144" s="130">
        <f t="shared" si="8"/>
        <v>1404</v>
      </c>
      <c r="AS144" s="130">
        <f t="shared" si="9"/>
        <v>4</v>
      </c>
      <c r="AT144" s="130">
        <v>1401</v>
      </c>
      <c r="AU144" s="130">
        <v>11</v>
      </c>
      <c r="AV144" s="12">
        <f t="shared" si="10"/>
        <v>29</v>
      </c>
      <c r="AW144" s="12" t="str">
        <f t="shared" si="11"/>
        <v/>
      </c>
      <c r="AX144" s="12"/>
      <c r="AY144" s="309"/>
    </row>
    <row r="145" spans="1:51" s="19" customFormat="1" ht="30" hidden="1" customHeight="1" x14ac:dyDescent="0.2">
      <c r="A145" s="359">
        <v>142</v>
      </c>
      <c r="B145" s="359">
        <v>3</v>
      </c>
      <c r="C145" s="359">
        <v>4</v>
      </c>
      <c r="D145" s="16">
        <v>1404</v>
      </c>
      <c r="E145" s="358" t="s">
        <v>2602</v>
      </c>
      <c r="F145" s="358" t="s">
        <v>20</v>
      </c>
      <c r="G145" s="358"/>
      <c r="H145" s="359" t="s">
        <v>83</v>
      </c>
      <c r="I145" s="360" t="s">
        <v>158</v>
      </c>
      <c r="J145" s="16"/>
      <c r="K145" s="358"/>
      <c r="L145" s="41" t="s">
        <v>68</v>
      </c>
      <c r="M145" s="41" t="s">
        <v>592</v>
      </c>
      <c r="N145" s="41" t="s">
        <v>106</v>
      </c>
      <c r="O145" s="13" t="s">
        <v>107</v>
      </c>
      <c r="P145" s="13"/>
      <c r="Q145" s="13"/>
      <c r="R145" s="358"/>
      <c r="S145" s="358" t="s">
        <v>3677</v>
      </c>
      <c r="T145" s="358" t="s">
        <v>485</v>
      </c>
      <c r="U145" s="41" t="s">
        <v>1949</v>
      </c>
      <c r="V145" s="41" t="s">
        <v>142</v>
      </c>
      <c r="W145" s="41" t="s">
        <v>70</v>
      </c>
      <c r="X145" s="358"/>
      <c r="Y145" s="40" t="s">
        <v>1947</v>
      </c>
      <c r="Z145" s="359"/>
      <c r="AA145" s="359"/>
      <c r="AB145" s="16">
        <v>135</v>
      </c>
      <c r="AC145" s="16"/>
      <c r="AD145" s="16"/>
      <c r="AE145" s="16"/>
      <c r="AF145" s="16"/>
      <c r="AG145" s="16"/>
      <c r="AH145" s="16"/>
      <c r="AI145" s="16">
        <v>6</v>
      </c>
      <c r="AJ145" s="359"/>
      <c r="AK145" s="358"/>
      <c r="AL145" s="25"/>
      <c r="AM145" s="359"/>
      <c r="AN145" s="359"/>
      <c r="AO145" s="359"/>
      <c r="AP145" s="16" t="s">
        <v>5080</v>
      </c>
      <c r="AQ145" s="16" t="s">
        <v>112</v>
      </c>
      <c r="AR145" s="130">
        <f t="shared" si="8"/>
        <v>1404</v>
      </c>
      <c r="AS145" s="130">
        <f t="shared" si="9"/>
        <v>4</v>
      </c>
      <c r="AT145" s="130">
        <v>1401</v>
      </c>
      <c r="AU145" s="130">
        <v>11</v>
      </c>
      <c r="AV145" s="12">
        <f>IF(AR145*AT145&gt;0,(AR145-AT145)*12+(AS145-AU145),"")</f>
        <v>29</v>
      </c>
      <c r="AW145" s="12" t="str">
        <f>IF(AV145&lt;13,AV145,"")</f>
        <v/>
      </c>
      <c r="AX145" s="12"/>
      <c r="AY145" s="309"/>
    </row>
    <row r="146" spans="1:51" s="19" customFormat="1" ht="30" hidden="1" customHeight="1" x14ac:dyDescent="0.2">
      <c r="A146" s="356">
        <v>144</v>
      </c>
      <c r="B146" s="354">
        <v>4</v>
      </c>
      <c r="C146" s="354">
        <v>4</v>
      </c>
      <c r="D146" s="16">
        <v>1404</v>
      </c>
      <c r="E146" s="353" t="s">
        <v>3854</v>
      </c>
      <c r="F146" s="353" t="s">
        <v>10</v>
      </c>
      <c r="G146" s="353"/>
      <c r="H146" s="354" t="s">
        <v>83</v>
      </c>
      <c r="I146" s="360" t="s">
        <v>158</v>
      </c>
      <c r="J146" s="16"/>
      <c r="K146" s="353"/>
      <c r="L146" s="353" t="s">
        <v>117</v>
      </c>
      <c r="M146" s="353" t="s">
        <v>3544</v>
      </c>
      <c r="N146" s="353" t="s">
        <v>106</v>
      </c>
      <c r="O146" s="354" t="s">
        <v>107</v>
      </c>
      <c r="P146" s="436"/>
      <c r="Q146" s="436"/>
      <c r="R146" s="353"/>
      <c r="S146" s="353" t="s">
        <v>1510</v>
      </c>
      <c r="T146" s="353" t="s">
        <v>2258</v>
      </c>
      <c r="U146" s="353" t="s">
        <v>4109</v>
      </c>
      <c r="V146" s="353" t="s">
        <v>106</v>
      </c>
      <c r="W146" s="353" t="s">
        <v>107</v>
      </c>
      <c r="X146" s="353"/>
      <c r="Y146" s="16" t="s">
        <v>4106</v>
      </c>
      <c r="Z146" s="354"/>
      <c r="AA146" s="354"/>
      <c r="AB146" s="16">
        <v>210</v>
      </c>
      <c r="AC146" s="16"/>
      <c r="AD146" s="16"/>
      <c r="AE146" s="16"/>
      <c r="AF146" s="16"/>
      <c r="AG146" s="16"/>
      <c r="AH146" s="16"/>
      <c r="AI146" s="16">
        <v>6</v>
      </c>
      <c r="AJ146" s="354"/>
      <c r="AK146" s="353"/>
      <c r="AL146" s="25"/>
      <c r="AM146" s="354"/>
      <c r="AN146" s="354"/>
      <c r="AO146" s="354"/>
      <c r="AP146" s="16" t="s">
        <v>160</v>
      </c>
      <c r="AQ146" s="16" t="s">
        <v>161</v>
      </c>
      <c r="AR146" s="130">
        <f t="shared" si="8"/>
        <v>1404</v>
      </c>
      <c r="AS146" s="130">
        <f t="shared" si="9"/>
        <v>4</v>
      </c>
      <c r="AT146" s="130">
        <v>1402</v>
      </c>
      <c r="AU146" s="130">
        <v>9</v>
      </c>
      <c r="AV146" s="12">
        <f t="shared" si="10"/>
        <v>19</v>
      </c>
      <c r="AW146" s="12" t="str">
        <f t="shared" si="11"/>
        <v/>
      </c>
      <c r="AX146" s="12"/>
      <c r="AY146" s="309"/>
    </row>
    <row r="147" spans="1:51" s="19" customFormat="1" ht="30" hidden="1" customHeight="1" x14ac:dyDescent="0.2">
      <c r="A147" s="356">
        <v>145</v>
      </c>
      <c r="B147" s="354">
        <v>4</v>
      </c>
      <c r="C147" s="354">
        <v>4</v>
      </c>
      <c r="D147" s="16">
        <v>1404</v>
      </c>
      <c r="E147" s="353" t="s">
        <v>2367</v>
      </c>
      <c r="F147" s="353" t="s">
        <v>66</v>
      </c>
      <c r="G147" s="353" t="s">
        <v>481</v>
      </c>
      <c r="H147" s="354" t="s">
        <v>83</v>
      </c>
      <c r="I147" s="360" t="s">
        <v>158</v>
      </c>
      <c r="J147" s="16" t="s">
        <v>84</v>
      </c>
      <c r="K147" s="353"/>
      <c r="L147" s="353" t="s">
        <v>116</v>
      </c>
      <c r="M147" s="353" t="s">
        <v>3442</v>
      </c>
      <c r="N147" s="353" t="s">
        <v>69</v>
      </c>
      <c r="O147" s="354" t="s">
        <v>70</v>
      </c>
      <c r="P147" s="436"/>
      <c r="Q147" s="436"/>
      <c r="R147" s="353"/>
      <c r="S147" s="353" t="s">
        <v>2325</v>
      </c>
      <c r="T147" s="353" t="s">
        <v>441</v>
      </c>
      <c r="U147" s="353" t="s">
        <v>3443</v>
      </c>
      <c r="V147" s="353" t="s">
        <v>119</v>
      </c>
      <c r="W147" s="353" t="s">
        <v>107</v>
      </c>
      <c r="X147" s="353"/>
      <c r="Y147" s="16" t="s">
        <v>3436</v>
      </c>
      <c r="Z147" s="354"/>
      <c r="AA147" s="354"/>
      <c r="AB147" s="16">
        <v>142</v>
      </c>
      <c r="AC147" s="16"/>
      <c r="AD147" s="16"/>
      <c r="AE147" s="16"/>
      <c r="AF147" s="16"/>
      <c r="AG147" s="16"/>
      <c r="AH147" s="16"/>
      <c r="AI147" s="16">
        <v>4</v>
      </c>
      <c r="AJ147" s="354"/>
      <c r="AK147" s="353"/>
      <c r="AL147" s="25"/>
      <c r="AM147" s="354"/>
      <c r="AN147" s="354"/>
      <c r="AO147" s="354"/>
      <c r="AP147" s="16"/>
      <c r="AQ147" s="16"/>
      <c r="AR147" s="130">
        <f t="shared" si="8"/>
        <v>1404</v>
      </c>
      <c r="AS147" s="130">
        <f t="shared" si="9"/>
        <v>4</v>
      </c>
      <c r="AT147" s="130">
        <v>1402</v>
      </c>
      <c r="AU147" s="130">
        <v>3</v>
      </c>
      <c r="AV147" s="12">
        <f t="shared" si="10"/>
        <v>25</v>
      </c>
      <c r="AW147" s="12" t="str">
        <f t="shared" si="11"/>
        <v/>
      </c>
      <c r="AX147" s="12"/>
      <c r="AY147" s="309"/>
    </row>
    <row r="148" spans="1:51" s="19" customFormat="1" ht="30" hidden="1" customHeight="1" x14ac:dyDescent="0.2">
      <c r="A148" s="356">
        <v>146</v>
      </c>
      <c r="B148" s="354">
        <v>5</v>
      </c>
      <c r="C148" s="354">
        <v>4</v>
      </c>
      <c r="D148" s="16">
        <v>1404</v>
      </c>
      <c r="E148" s="353" t="s">
        <v>2817</v>
      </c>
      <c r="F148" s="353" t="s">
        <v>8</v>
      </c>
      <c r="G148" s="353"/>
      <c r="H148" s="354" t="s">
        <v>83</v>
      </c>
      <c r="I148" s="360" t="s">
        <v>158</v>
      </c>
      <c r="J148" s="16"/>
      <c r="K148" s="353"/>
      <c r="L148" s="353" t="s">
        <v>140</v>
      </c>
      <c r="M148" s="353"/>
      <c r="N148" s="353" t="s">
        <v>119</v>
      </c>
      <c r="O148" s="354" t="s">
        <v>107</v>
      </c>
      <c r="P148" s="436"/>
      <c r="Q148" s="436"/>
      <c r="R148" s="353"/>
      <c r="S148" s="353" t="s">
        <v>3679</v>
      </c>
      <c r="T148" s="353" t="s">
        <v>506</v>
      </c>
      <c r="U148" s="353"/>
      <c r="V148" s="353" t="s">
        <v>106</v>
      </c>
      <c r="W148" s="353" t="s">
        <v>107</v>
      </c>
      <c r="X148" s="353"/>
      <c r="Y148" s="354"/>
      <c r="Z148" s="354"/>
      <c r="AA148" s="354"/>
      <c r="AB148" s="16">
        <v>108</v>
      </c>
      <c r="AC148" s="16"/>
      <c r="AD148" s="16"/>
      <c r="AE148" s="16"/>
      <c r="AF148" s="16"/>
      <c r="AG148" s="16"/>
      <c r="AH148" s="16"/>
      <c r="AI148" s="16">
        <v>4</v>
      </c>
      <c r="AJ148" s="354"/>
      <c r="AK148" s="353"/>
      <c r="AL148" s="25"/>
      <c r="AM148" s="354"/>
      <c r="AN148" s="354"/>
      <c r="AO148" s="354"/>
      <c r="AP148" s="16" t="s">
        <v>5080</v>
      </c>
      <c r="AQ148" s="16" t="s">
        <v>112</v>
      </c>
      <c r="AR148" s="130">
        <f t="shared" si="8"/>
        <v>1404</v>
      </c>
      <c r="AS148" s="130">
        <f t="shared" si="9"/>
        <v>4</v>
      </c>
      <c r="AT148" s="130">
        <v>1399</v>
      </c>
      <c r="AU148" s="130">
        <v>6</v>
      </c>
      <c r="AV148" s="12">
        <f t="shared" si="10"/>
        <v>58</v>
      </c>
      <c r="AW148" s="12" t="str">
        <f t="shared" si="11"/>
        <v/>
      </c>
      <c r="AX148" s="12"/>
      <c r="AY148" s="309"/>
    </row>
    <row r="149" spans="1:51" s="19" customFormat="1" ht="30" hidden="1" customHeight="1" x14ac:dyDescent="0.2">
      <c r="A149" s="356">
        <v>147</v>
      </c>
      <c r="B149" s="354">
        <v>5</v>
      </c>
      <c r="C149" s="354">
        <v>4</v>
      </c>
      <c r="D149" s="16">
        <v>1404</v>
      </c>
      <c r="E149" s="353" t="s">
        <v>2367</v>
      </c>
      <c r="F149" s="353" t="s">
        <v>66</v>
      </c>
      <c r="G149" s="353"/>
      <c r="H149" s="354" t="s">
        <v>7</v>
      </c>
      <c r="I149" s="360" t="s">
        <v>158</v>
      </c>
      <c r="J149" s="16" t="s">
        <v>84</v>
      </c>
      <c r="K149" s="353" t="s">
        <v>223</v>
      </c>
      <c r="L149" s="353" t="s">
        <v>223</v>
      </c>
      <c r="M149" s="353" t="s">
        <v>3337</v>
      </c>
      <c r="N149" s="353" t="s">
        <v>106</v>
      </c>
      <c r="O149" s="354" t="s">
        <v>107</v>
      </c>
      <c r="P149" s="436"/>
      <c r="Q149" s="436"/>
      <c r="R149" s="353" t="s">
        <v>224</v>
      </c>
      <c r="S149" s="353" t="s">
        <v>1809</v>
      </c>
      <c r="T149" s="353" t="s">
        <v>260</v>
      </c>
      <c r="U149" s="353" t="s">
        <v>3338</v>
      </c>
      <c r="V149" s="353" t="s">
        <v>106</v>
      </c>
      <c r="W149" s="353" t="s">
        <v>107</v>
      </c>
      <c r="X149" s="353"/>
      <c r="Y149" s="354"/>
      <c r="Z149" s="354">
        <v>180</v>
      </c>
      <c r="AA149" s="354">
        <v>171</v>
      </c>
      <c r="AB149" s="16">
        <v>171</v>
      </c>
      <c r="AC149" s="16">
        <v>112</v>
      </c>
      <c r="AD149" s="16">
        <v>124</v>
      </c>
      <c r="AE149" s="16">
        <v>4</v>
      </c>
      <c r="AF149" s="16">
        <v>25</v>
      </c>
      <c r="AG149" s="16">
        <v>153</v>
      </c>
      <c r="AH149" s="16">
        <v>7</v>
      </c>
      <c r="AI149" s="16">
        <v>4</v>
      </c>
      <c r="AJ149" s="354"/>
      <c r="AK149" s="353"/>
      <c r="AL149" s="25"/>
      <c r="AM149" s="354"/>
      <c r="AN149" s="354"/>
      <c r="AO149" s="354"/>
      <c r="AP149" s="16"/>
      <c r="AQ149" s="16"/>
      <c r="AR149" s="130">
        <f t="shared" si="8"/>
        <v>1404</v>
      </c>
      <c r="AS149" s="130">
        <f t="shared" si="9"/>
        <v>4</v>
      </c>
      <c r="AT149" s="130"/>
      <c r="AU149" s="130"/>
      <c r="AV149" s="12" t="str">
        <f t="shared" si="10"/>
        <v/>
      </c>
      <c r="AW149" s="12" t="str">
        <f t="shared" si="11"/>
        <v/>
      </c>
      <c r="AX149" s="12"/>
      <c r="AY149" s="309"/>
    </row>
    <row r="150" spans="1:51" s="19" customFormat="1" ht="30" hidden="1" customHeight="1" x14ac:dyDescent="0.2">
      <c r="A150" s="356">
        <v>148</v>
      </c>
      <c r="B150" s="20">
        <v>6</v>
      </c>
      <c r="C150" s="20">
        <v>4</v>
      </c>
      <c r="D150" s="29">
        <v>1404</v>
      </c>
      <c r="E150" s="30" t="s">
        <v>1811</v>
      </c>
      <c r="F150" s="30" t="s">
        <v>10</v>
      </c>
      <c r="G150" s="30"/>
      <c r="H150" s="20" t="s">
        <v>83</v>
      </c>
      <c r="I150" s="360" t="s">
        <v>158</v>
      </c>
      <c r="J150" s="29" t="s">
        <v>92</v>
      </c>
      <c r="K150" s="30"/>
      <c r="L150" s="30" t="s">
        <v>104</v>
      </c>
      <c r="M150" s="30" t="s">
        <v>4915</v>
      </c>
      <c r="N150" s="30" t="s">
        <v>106</v>
      </c>
      <c r="O150" s="20" t="s">
        <v>107</v>
      </c>
      <c r="P150" s="20"/>
      <c r="Q150" s="20"/>
      <c r="R150" s="30"/>
      <c r="S150" s="30" t="s">
        <v>1510</v>
      </c>
      <c r="T150" s="30" t="s">
        <v>2258</v>
      </c>
      <c r="U150" s="30" t="s">
        <v>4916</v>
      </c>
      <c r="V150" s="30" t="s">
        <v>73</v>
      </c>
      <c r="W150" s="30" t="s">
        <v>70</v>
      </c>
      <c r="X150" s="30"/>
      <c r="Y150" s="29" t="s">
        <v>4908</v>
      </c>
      <c r="Z150" s="20"/>
      <c r="AA150" s="20"/>
      <c r="AB150" s="29">
        <v>216</v>
      </c>
      <c r="AC150" s="29"/>
      <c r="AD150" s="29"/>
      <c r="AE150" s="29"/>
      <c r="AF150" s="29"/>
      <c r="AG150" s="29"/>
      <c r="AH150" s="29"/>
      <c r="AI150" s="29">
        <v>6</v>
      </c>
      <c r="AJ150" s="20"/>
      <c r="AK150" s="30"/>
      <c r="AL150" s="36"/>
      <c r="AM150" s="20"/>
      <c r="AN150" s="20"/>
      <c r="AO150" s="20"/>
      <c r="AP150" s="29" t="s">
        <v>160</v>
      </c>
      <c r="AQ150" s="29" t="s">
        <v>193</v>
      </c>
      <c r="AR150" s="130">
        <f t="shared" si="8"/>
        <v>1404</v>
      </c>
      <c r="AS150" s="130">
        <f t="shared" si="9"/>
        <v>4</v>
      </c>
      <c r="AT150" s="318">
        <v>1403</v>
      </c>
      <c r="AU150" s="318">
        <v>10</v>
      </c>
      <c r="AV150" s="31">
        <f t="shared" si="10"/>
        <v>6</v>
      </c>
      <c r="AW150" s="31">
        <f t="shared" si="11"/>
        <v>6</v>
      </c>
      <c r="AX150" s="31"/>
      <c r="AY150" s="59"/>
    </row>
    <row r="151" spans="1:51" s="19" customFormat="1" ht="30" hidden="1" customHeight="1" x14ac:dyDescent="0.2">
      <c r="A151" s="356">
        <v>149</v>
      </c>
      <c r="B151" s="354">
        <v>7</v>
      </c>
      <c r="C151" s="354">
        <v>4</v>
      </c>
      <c r="D151" s="16">
        <v>1404</v>
      </c>
      <c r="E151" s="353" t="s">
        <v>1628</v>
      </c>
      <c r="F151" s="353" t="s">
        <v>66</v>
      </c>
      <c r="G151" s="353" t="s">
        <v>192</v>
      </c>
      <c r="H151" s="354" t="s">
        <v>7</v>
      </c>
      <c r="I151" s="360" t="s">
        <v>158</v>
      </c>
      <c r="J151" s="16" t="s">
        <v>84</v>
      </c>
      <c r="K151" s="353"/>
      <c r="L151" s="353" t="s">
        <v>769</v>
      </c>
      <c r="M151" s="353" t="s">
        <v>5377</v>
      </c>
      <c r="N151" s="353" t="s">
        <v>69</v>
      </c>
      <c r="O151" s="354" t="s">
        <v>70</v>
      </c>
      <c r="P151" s="436"/>
      <c r="Q151" s="436"/>
      <c r="R151" s="353"/>
      <c r="S151" s="353" t="s">
        <v>2961</v>
      </c>
      <c r="T151" s="353" t="s">
        <v>555</v>
      </c>
      <c r="U151" s="353" t="s">
        <v>5376</v>
      </c>
      <c r="V151" s="353" t="s">
        <v>73</v>
      </c>
      <c r="W151" s="353" t="s">
        <v>70</v>
      </c>
      <c r="X151" s="353"/>
      <c r="Y151" s="354"/>
      <c r="Z151" s="354">
        <v>230</v>
      </c>
      <c r="AA151" s="354">
        <v>0</v>
      </c>
      <c r="AB151" s="16">
        <v>210</v>
      </c>
      <c r="AC151" s="16">
        <v>41</v>
      </c>
      <c r="AD151" s="16">
        <v>51</v>
      </c>
      <c r="AE151" s="16">
        <v>5</v>
      </c>
      <c r="AF151" s="16">
        <v>25</v>
      </c>
      <c r="AG151" s="16">
        <v>81</v>
      </c>
      <c r="AH151" s="16">
        <v>9</v>
      </c>
      <c r="AI151" s="16">
        <v>4</v>
      </c>
      <c r="AJ151" s="354"/>
      <c r="AK151" s="353"/>
      <c r="AL151" s="25"/>
      <c r="AM151" s="354"/>
      <c r="AN151" s="354"/>
      <c r="AO151" s="354"/>
      <c r="AP151" s="16" t="s">
        <v>160</v>
      </c>
      <c r="AQ151" s="16"/>
      <c r="AR151" s="130">
        <f t="shared" si="8"/>
        <v>1404</v>
      </c>
      <c r="AS151" s="130">
        <f t="shared" si="9"/>
        <v>4</v>
      </c>
      <c r="AT151" s="130"/>
      <c r="AU151" s="130"/>
      <c r="AV151" s="12" t="str">
        <f t="shared" si="10"/>
        <v/>
      </c>
      <c r="AW151" s="12" t="str">
        <f t="shared" si="11"/>
        <v/>
      </c>
      <c r="AX151" s="12"/>
      <c r="AY151" s="309"/>
    </row>
    <row r="152" spans="1:51" s="19" customFormat="1" ht="30" hidden="1" customHeight="1" x14ac:dyDescent="0.2">
      <c r="A152" s="356">
        <v>150</v>
      </c>
      <c r="B152" s="354">
        <v>9</v>
      </c>
      <c r="C152" s="354">
        <v>4</v>
      </c>
      <c r="D152" s="16">
        <v>1404</v>
      </c>
      <c r="E152" s="353" t="s">
        <v>5317</v>
      </c>
      <c r="F152" s="353" t="s">
        <v>2981</v>
      </c>
      <c r="G152" s="353"/>
      <c r="H152" s="354" t="s">
        <v>7</v>
      </c>
      <c r="I152" s="360" t="s">
        <v>158</v>
      </c>
      <c r="J152" s="16" t="s">
        <v>92</v>
      </c>
      <c r="K152" s="35" t="s">
        <v>68</v>
      </c>
      <c r="L152" s="35" t="s">
        <v>117</v>
      </c>
      <c r="M152" s="353" t="s">
        <v>3741</v>
      </c>
      <c r="N152" s="353" t="s">
        <v>106</v>
      </c>
      <c r="O152" s="354" t="s">
        <v>107</v>
      </c>
      <c r="P152" s="436"/>
      <c r="Q152" s="436"/>
      <c r="R152" s="35" t="s">
        <v>332</v>
      </c>
      <c r="S152" s="35" t="s">
        <v>3677</v>
      </c>
      <c r="T152" s="35" t="s">
        <v>465</v>
      </c>
      <c r="U152" s="353" t="s">
        <v>5375</v>
      </c>
      <c r="V152" s="353" t="s">
        <v>69</v>
      </c>
      <c r="W152" s="353" t="s">
        <v>70</v>
      </c>
      <c r="X152" s="353" t="s">
        <v>5187</v>
      </c>
      <c r="Y152" s="354"/>
      <c r="Z152" s="354">
        <v>245</v>
      </c>
      <c r="AA152" s="354">
        <v>234</v>
      </c>
      <c r="AB152" s="16">
        <v>234</v>
      </c>
      <c r="AC152" s="16">
        <v>51</v>
      </c>
      <c r="AD152" s="16">
        <v>145</v>
      </c>
      <c r="AE152" s="16">
        <v>4</v>
      </c>
      <c r="AF152" s="16">
        <v>19</v>
      </c>
      <c r="AG152" s="16">
        <v>168</v>
      </c>
      <c r="AH152" s="16">
        <v>18</v>
      </c>
      <c r="AI152" s="16">
        <v>6</v>
      </c>
      <c r="AJ152" s="354"/>
      <c r="AK152" s="353"/>
      <c r="AL152" s="25"/>
      <c r="AM152" s="354"/>
      <c r="AN152" s="354"/>
      <c r="AO152" s="354"/>
      <c r="AP152" s="16"/>
      <c r="AQ152" s="16"/>
      <c r="AR152" s="130">
        <f t="shared" si="8"/>
        <v>1404</v>
      </c>
      <c r="AS152" s="130">
        <f t="shared" si="9"/>
        <v>4</v>
      </c>
      <c r="AT152" s="130"/>
      <c r="AU152" s="130"/>
      <c r="AV152" s="12" t="str">
        <f t="shared" si="10"/>
        <v/>
      </c>
      <c r="AW152" s="12" t="str">
        <f t="shared" si="11"/>
        <v/>
      </c>
      <c r="AX152" s="12"/>
      <c r="AY152" s="309"/>
    </row>
    <row r="153" spans="1:51" s="19" customFormat="1" ht="30" hidden="1" customHeight="1" x14ac:dyDescent="0.2">
      <c r="A153" s="356">
        <v>151</v>
      </c>
      <c r="B153" s="354">
        <v>9</v>
      </c>
      <c r="C153" s="354">
        <v>4</v>
      </c>
      <c r="D153" s="16">
        <v>1404</v>
      </c>
      <c r="E153" s="353" t="s">
        <v>678</v>
      </c>
      <c r="F153" s="353" t="s">
        <v>9</v>
      </c>
      <c r="G153" s="353"/>
      <c r="H153" s="354" t="s">
        <v>7</v>
      </c>
      <c r="I153" s="360" t="s">
        <v>158</v>
      </c>
      <c r="J153" s="16" t="s">
        <v>84</v>
      </c>
      <c r="K153" s="35" t="s">
        <v>218</v>
      </c>
      <c r="L153" s="35" t="s">
        <v>140</v>
      </c>
      <c r="M153" s="353" t="s">
        <v>5374</v>
      </c>
      <c r="N153" s="353" t="s">
        <v>142</v>
      </c>
      <c r="O153" s="354" t="s">
        <v>70</v>
      </c>
      <c r="P153" s="436"/>
      <c r="Q153" s="436"/>
      <c r="R153" s="35" t="s">
        <v>268</v>
      </c>
      <c r="S153" s="35" t="s">
        <v>2961</v>
      </c>
      <c r="T153" s="35" t="s">
        <v>769</v>
      </c>
      <c r="U153" s="353" t="s">
        <v>1627</v>
      </c>
      <c r="V153" s="353" t="s">
        <v>106</v>
      </c>
      <c r="W153" s="353" t="s">
        <v>107</v>
      </c>
      <c r="X153" s="353" t="s">
        <v>5187</v>
      </c>
      <c r="Y153" s="354"/>
      <c r="Z153" s="354">
        <v>244</v>
      </c>
      <c r="AA153" s="33">
        <v>222</v>
      </c>
      <c r="AB153" s="34">
        <v>228</v>
      </c>
      <c r="AC153" s="16">
        <v>165</v>
      </c>
      <c r="AD153" s="16">
        <v>184</v>
      </c>
      <c r="AE153" s="16">
        <v>2</v>
      </c>
      <c r="AF153" s="16">
        <v>36</v>
      </c>
      <c r="AG153" s="16">
        <v>222</v>
      </c>
      <c r="AH153" s="16">
        <v>9</v>
      </c>
      <c r="AI153" s="16">
        <v>6</v>
      </c>
      <c r="AJ153" s="354"/>
      <c r="AK153" s="353"/>
      <c r="AL153" s="25"/>
      <c r="AM153" s="354"/>
      <c r="AN153" s="354"/>
      <c r="AO153" s="354"/>
      <c r="AP153" s="16"/>
      <c r="AQ153" s="16"/>
      <c r="AR153" s="130">
        <f t="shared" si="8"/>
        <v>1404</v>
      </c>
      <c r="AS153" s="130">
        <f t="shared" si="9"/>
        <v>4</v>
      </c>
      <c r="AT153" s="130"/>
      <c r="AU153" s="130"/>
      <c r="AV153" s="12" t="str">
        <f t="shared" si="10"/>
        <v/>
      </c>
      <c r="AW153" s="12" t="str">
        <f t="shared" si="11"/>
        <v/>
      </c>
      <c r="AX153" s="12"/>
      <c r="AY153" s="309"/>
    </row>
    <row r="154" spans="1:51" s="19" customFormat="1" ht="30" hidden="1" customHeight="1" x14ac:dyDescent="0.2">
      <c r="A154" s="356">
        <v>152</v>
      </c>
      <c r="B154" s="354">
        <v>11</v>
      </c>
      <c r="C154" s="354">
        <v>4</v>
      </c>
      <c r="D154" s="16">
        <v>1404</v>
      </c>
      <c r="E154" s="353" t="s">
        <v>2555</v>
      </c>
      <c r="F154" s="353" t="s">
        <v>2981</v>
      </c>
      <c r="G154" s="353"/>
      <c r="H154" s="354" t="s">
        <v>7</v>
      </c>
      <c r="I154" s="360" t="s">
        <v>158</v>
      </c>
      <c r="J154" s="16"/>
      <c r="K154" s="35" t="s">
        <v>68</v>
      </c>
      <c r="L154" s="35" t="s">
        <v>104</v>
      </c>
      <c r="M154" s="353" t="s">
        <v>541</v>
      </c>
      <c r="N154" s="353" t="s">
        <v>106</v>
      </c>
      <c r="O154" s="354" t="s">
        <v>107</v>
      </c>
      <c r="P154" s="436"/>
      <c r="Q154" s="436"/>
      <c r="R154" s="35" t="s">
        <v>332</v>
      </c>
      <c r="S154" s="35" t="s">
        <v>3680</v>
      </c>
      <c r="T154" s="35" t="s">
        <v>260</v>
      </c>
      <c r="U154" s="353" t="s">
        <v>5333</v>
      </c>
      <c r="V154" s="353" t="s">
        <v>73</v>
      </c>
      <c r="W154" s="353" t="s">
        <v>70</v>
      </c>
      <c r="X154" s="353" t="s">
        <v>5187</v>
      </c>
      <c r="Y154" s="354"/>
      <c r="Z154" s="354">
        <v>250</v>
      </c>
      <c r="AA154" s="354">
        <v>210</v>
      </c>
      <c r="AB154" s="16">
        <v>210</v>
      </c>
      <c r="AC154" s="16">
        <v>64</v>
      </c>
      <c r="AD154" s="16">
        <v>125</v>
      </c>
      <c r="AE154" s="16">
        <v>4</v>
      </c>
      <c r="AF154" s="16">
        <v>33</v>
      </c>
      <c r="AG154" s="16">
        <v>162</v>
      </c>
      <c r="AH154" s="16">
        <v>20</v>
      </c>
      <c r="AI154" s="16">
        <v>6</v>
      </c>
      <c r="AJ154" s="354"/>
      <c r="AK154" s="353" t="s">
        <v>5334</v>
      </c>
      <c r="AL154" s="25">
        <v>167</v>
      </c>
      <c r="AM154" s="354">
        <v>20.6</v>
      </c>
      <c r="AN154" s="354"/>
      <c r="AO154" s="354" t="s">
        <v>369</v>
      </c>
      <c r="AP154" s="16" t="s">
        <v>5080</v>
      </c>
      <c r="AQ154" s="16" t="s">
        <v>193</v>
      </c>
      <c r="AR154" s="130">
        <f t="shared" si="8"/>
        <v>1404</v>
      </c>
      <c r="AS154" s="130">
        <f t="shared" si="9"/>
        <v>4</v>
      </c>
      <c r="AT154" s="130"/>
      <c r="AU154" s="130"/>
      <c r="AV154" s="12" t="str">
        <f t="shared" si="10"/>
        <v/>
      </c>
      <c r="AW154" s="12" t="str">
        <f t="shared" si="11"/>
        <v/>
      </c>
      <c r="AX154" s="12"/>
      <c r="AY154" s="309"/>
    </row>
    <row r="155" spans="1:51" s="19" customFormat="1" ht="30" hidden="1" customHeight="1" x14ac:dyDescent="0.2">
      <c r="A155" s="356">
        <v>153</v>
      </c>
      <c r="B155" s="354">
        <v>11</v>
      </c>
      <c r="C155" s="354">
        <v>4</v>
      </c>
      <c r="D155" s="16">
        <v>1404</v>
      </c>
      <c r="E155" s="353" t="s">
        <v>3200</v>
      </c>
      <c r="F155" s="353" t="s">
        <v>6</v>
      </c>
      <c r="G155" s="353"/>
      <c r="H155" s="354" t="s">
        <v>7</v>
      </c>
      <c r="I155" s="360" t="s">
        <v>158</v>
      </c>
      <c r="J155" s="16"/>
      <c r="K155" s="35" t="s">
        <v>155</v>
      </c>
      <c r="L155" s="35" t="s">
        <v>104</v>
      </c>
      <c r="M155" s="353" t="s">
        <v>1047</v>
      </c>
      <c r="N155" s="353" t="s">
        <v>69</v>
      </c>
      <c r="O155" s="354" t="s">
        <v>70</v>
      </c>
      <c r="P155" s="436"/>
      <c r="Q155" s="436"/>
      <c r="R155" s="35" t="s">
        <v>156</v>
      </c>
      <c r="S155" s="35" t="s">
        <v>2245</v>
      </c>
      <c r="T155" s="35" t="s">
        <v>2348</v>
      </c>
      <c r="U155" s="353" t="s">
        <v>5335</v>
      </c>
      <c r="V155" s="353" t="s">
        <v>69</v>
      </c>
      <c r="W155" s="353" t="s">
        <v>70</v>
      </c>
      <c r="X155" s="353" t="s">
        <v>5187</v>
      </c>
      <c r="Y155" s="354"/>
      <c r="Z155" s="354">
        <v>224</v>
      </c>
      <c r="AA155" s="354">
        <v>210</v>
      </c>
      <c r="AB155" s="16">
        <v>210</v>
      </c>
      <c r="AC155" s="16">
        <v>165</v>
      </c>
      <c r="AD155" s="16">
        <v>183</v>
      </c>
      <c r="AE155" s="16">
        <v>4</v>
      </c>
      <c r="AF155" s="16">
        <v>35</v>
      </c>
      <c r="AG155" s="16">
        <v>221</v>
      </c>
      <c r="AH155" s="16">
        <v>14</v>
      </c>
      <c r="AI155" s="16">
        <v>6</v>
      </c>
      <c r="AJ155" s="354"/>
      <c r="AK155" s="353" t="s">
        <v>5334</v>
      </c>
      <c r="AL155" s="25">
        <v>231</v>
      </c>
      <c r="AM155" s="354">
        <v>14</v>
      </c>
      <c r="AN155" s="354"/>
      <c r="AO155" s="354"/>
      <c r="AP155" s="16" t="s">
        <v>160</v>
      </c>
      <c r="AQ155" s="16"/>
      <c r="AR155" s="130">
        <f t="shared" si="8"/>
        <v>1404</v>
      </c>
      <c r="AS155" s="130">
        <f t="shared" si="9"/>
        <v>4</v>
      </c>
      <c r="AT155" s="130"/>
      <c r="AU155" s="130"/>
      <c r="AV155" s="12" t="str">
        <f t="shared" si="10"/>
        <v/>
      </c>
      <c r="AW155" s="12" t="str">
        <f t="shared" si="11"/>
        <v/>
      </c>
      <c r="AX155" s="12"/>
      <c r="AY155" s="309"/>
    </row>
    <row r="156" spans="1:51" s="19" customFormat="1" ht="30" hidden="1" customHeight="1" x14ac:dyDescent="0.2">
      <c r="A156" s="356">
        <v>154</v>
      </c>
      <c r="B156" s="354">
        <v>11</v>
      </c>
      <c r="C156" s="354">
        <v>4</v>
      </c>
      <c r="D156" s="16">
        <v>1404</v>
      </c>
      <c r="E156" s="353" t="s">
        <v>5336</v>
      </c>
      <c r="F156" s="353" t="s">
        <v>2981</v>
      </c>
      <c r="G156" s="353" t="s">
        <v>192</v>
      </c>
      <c r="H156" s="354" t="s">
        <v>7</v>
      </c>
      <c r="I156" s="361" t="s">
        <v>5337</v>
      </c>
      <c r="J156" s="16" t="s">
        <v>3576</v>
      </c>
      <c r="K156" s="353"/>
      <c r="L156" s="353" t="s">
        <v>155</v>
      </c>
      <c r="M156" s="353"/>
      <c r="N156" s="353" t="s">
        <v>142</v>
      </c>
      <c r="O156" s="354" t="s">
        <v>70</v>
      </c>
      <c r="P156" s="436"/>
      <c r="Q156" s="436"/>
      <c r="R156" s="353"/>
      <c r="S156" s="353" t="s">
        <v>3677</v>
      </c>
      <c r="T156" s="353" t="s">
        <v>718</v>
      </c>
      <c r="U156" s="353"/>
      <c r="V156" s="353" t="s">
        <v>69</v>
      </c>
      <c r="W156" s="353" t="s">
        <v>70</v>
      </c>
      <c r="X156" s="353"/>
      <c r="Y156" s="354"/>
      <c r="Z156" s="354">
        <v>250</v>
      </c>
      <c r="AA156" s="354">
        <v>0</v>
      </c>
      <c r="AB156" s="16">
        <v>224</v>
      </c>
      <c r="AC156" s="16">
        <v>65</v>
      </c>
      <c r="AD156" s="16">
        <v>147</v>
      </c>
      <c r="AE156" s="16">
        <v>4</v>
      </c>
      <c r="AF156" s="16">
        <v>76</v>
      </c>
      <c r="AG156" s="16">
        <v>227</v>
      </c>
      <c r="AH156" s="16">
        <v>20</v>
      </c>
      <c r="AI156" s="16">
        <v>6</v>
      </c>
      <c r="AJ156" s="354"/>
      <c r="AK156" s="353" t="s">
        <v>5338</v>
      </c>
      <c r="AL156" s="25">
        <v>219</v>
      </c>
      <c r="AM156" s="354">
        <v>21.2</v>
      </c>
      <c r="AN156" s="354"/>
      <c r="AO156" s="354"/>
      <c r="AP156" s="16" t="s">
        <v>160</v>
      </c>
      <c r="AQ156" s="16" t="s">
        <v>165</v>
      </c>
      <c r="AR156" s="130">
        <f t="shared" si="8"/>
        <v>1404</v>
      </c>
      <c r="AS156" s="130">
        <f t="shared" si="9"/>
        <v>4</v>
      </c>
      <c r="AT156" s="130"/>
      <c r="AU156" s="130"/>
      <c r="AV156" s="12" t="str">
        <f t="shared" si="10"/>
        <v/>
      </c>
      <c r="AW156" s="12" t="str">
        <f t="shared" si="11"/>
        <v/>
      </c>
      <c r="AX156" s="12"/>
      <c r="AY156" s="309"/>
    </row>
    <row r="157" spans="1:51" s="19" customFormat="1" ht="30" hidden="1" customHeight="1" x14ac:dyDescent="0.2">
      <c r="A157" s="356">
        <v>155</v>
      </c>
      <c r="B157" s="354">
        <v>12</v>
      </c>
      <c r="C157" s="354">
        <v>4</v>
      </c>
      <c r="D157" s="16">
        <v>1404</v>
      </c>
      <c r="E157" s="353" t="s">
        <v>2602</v>
      </c>
      <c r="F157" s="353" t="s">
        <v>20</v>
      </c>
      <c r="G157" s="353" t="s">
        <v>5247</v>
      </c>
      <c r="H157" s="354" t="s">
        <v>7</v>
      </c>
      <c r="I157" s="360" t="s">
        <v>158</v>
      </c>
      <c r="J157" s="16" t="s">
        <v>92</v>
      </c>
      <c r="K157" s="353" t="s">
        <v>68</v>
      </c>
      <c r="L157" s="353" t="s">
        <v>68</v>
      </c>
      <c r="M157" s="353" t="s">
        <v>1451</v>
      </c>
      <c r="N157" s="353" t="s">
        <v>106</v>
      </c>
      <c r="O157" s="354" t="s">
        <v>107</v>
      </c>
      <c r="P157" s="436"/>
      <c r="Q157" s="436"/>
      <c r="R157" s="353" t="s">
        <v>263</v>
      </c>
      <c r="S157" s="353" t="s">
        <v>3677</v>
      </c>
      <c r="T157" s="353" t="s">
        <v>485</v>
      </c>
      <c r="U157" s="353" t="s">
        <v>5339</v>
      </c>
      <c r="V157" s="353" t="s">
        <v>142</v>
      </c>
      <c r="W157" s="353" t="s">
        <v>70</v>
      </c>
      <c r="X157" s="353"/>
      <c r="Y157" s="354"/>
      <c r="Z157" s="354">
        <v>142</v>
      </c>
      <c r="AA157" s="354">
        <v>135</v>
      </c>
      <c r="AB157" s="16">
        <v>132</v>
      </c>
      <c r="AC157" s="16">
        <v>84</v>
      </c>
      <c r="AD157" s="16">
        <v>116</v>
      </c>
      <c r="AE157" s="16">
        <v>3</v>
      </c>
      <c r="AF157" s="16">
        <v>72</v>
      </c>
      <c r="AG157" s="16">
        <v>191</v>
      </c>
      <c r="AH157" s="16">
        <v>19</v>
      </c>
      <c r="AI157" s="16">
        <v>6</v>
      </c>
      <c r="AJ157" s="354"/>
      <c r="AK157" s="353" t="s">
        <v>5338</v>
      </c>
      <c r="AL157" s="25">
        <v>193</v>
      </c>
      <c r="AM157" s="354">
        <v>21</v>
      </c>
      <c r="AN157" s="354"/>
      <c r="AO157" s="354"/>
      <c r="AP157" s="16" t="s">
        <v>5080</v>
      </c>
      <c r="AQ157" s="16" t="s">
        <v>112</v>
      </c>
      <c r="AR157" s="130">
        <f t="shared" si="8"/>
        <v>1404</v>
      </c>
      <c r="AS157" s="130">
        <f t="shared" si="9"/>
        <v>4</v>
      </c>
      <c r="AT157" s="130"/>
      <c r="AU157" s="130"/>
      <c r="AV157" s="12" t="str">
        <f t="shared" si="10"/>
        <v/>
      </c>
      <c r="AW157" s="12" t="str">
        <f t="shared" si="11"/>
        <v/>
      </c>
      <c r="AX157" s="12"/>
      <c r="AY157" s="309"/>
    </row>
    <row r="158" spans="1:51" s="19" customFormat="1" ht="30" hidden="1" customHeight="1" x14ac:dyDescent="0.2">
      <c r="A158" s="356">
        <v>156</v>
      </c>
      <c r="B158" s="354">
        <v>12</v>
      </c>
      <c r="C158" s="354">
        <v>4</v>
      </c>
      <c r="D158" s="16">
        <v>1404</v>
      </c>
      <c r="E158" s="353" t="s">
        <v>2817</v>
      </c>
      <c r="F158" s="353" t="s">
        <v>8</v>
      </c>
      <c r="G158" s="353" t="s">
        <v>5247</v>
      </c>
      <c r="H158" s="354" t="s">
        <v>7</v>
      </c>
      <c r="I158" s="360" t="s">
        <v>158</v>
      </c>
      <c r="J158" s="16" t="s">
        <v>92</v>
      </c>
      <c r="K158" s="353" t="s">
        <v>140</v>
      </c>
      <c r="L158" s="353" t="s">
        <v>140</v>
      </c>
      <c r="M158" s="353" t="s">
        <v>5340</v>
      </c>
      <c r="N158" s="353" t="s">
        <v>69</v>
      </c>
      <c r="O158" s="354" t="s">
        <v>70</v>
      </c>
      <c r="P158" s="436"/>
      <c r="Q158" s="436"/>
      <c r="R158" s="353" t="s">
        <v>143</v>
      </c>
      <c r="S158" s="353" t="s">
        <v>3679</v>
      </c>
      <c r="T158" s="353" t="s">
        <v>506</v>
      </c>
      <c r="U158" s="353" t="s">
        <v>5341</v>
      </c>
      <c r="V158" s="353" t="s">
        <v>106</v>
      </c>
      <c r="W158" s="353" t="s">
        <v>107</v>
      </c>
      <c r="X158" s="353"/>
      <c r="Y158" s="354"/>
      <c r="Z158" s="354">
        <v>170</v>
      </c>
      <c r="AA158" s="354">
        <v>108</v>
      </c>
      <c r="AB158" s="16">
        <v>108</v>
      </c>
      <c r="AC158" s="16">
        <v>38</v>
      </c>
      <c r="AD158" s="16">
        <v>41</v>
      </c>
      <c r="AE158" s="16">
        <v>7</v>
      </c>
      <c r="AF158" s="16">
        <v>36</v>
      </c>
      <c r="AG158" s="16">
        <v>84</v>
      </c>
      <c r="AH158" s="16">
        <v>30</v>
      </c>
      <c r="AI158" s="34">
        <v>6</v>
      </c>
      <c r="AJ158" s="354"/>
      <c r="AK158" s="353" t="s">
        <v>5338</v>
      </c>
      <c r="AL158" s="25">
        <v>86</v>
      </c>
      <c r="AM158" s="354">
        <v>29</v>
      </c>
      <c r="AN158" s="354"/>
      <c r="AO158" s="354"/>
      <c r="AP158" s="16" t="s">
        <v>5080</v>
      </c>
      <c r="AQ158" s="16"/>
      <c r="AR158" s="130">
        <f t="shared" si="8"/>
        <v>1404</v>
      </c>
      <c r="AS158" s="130">
        <f t="shared" si="9"/>
        <v>4</v>
      </c>
      <c r="AT158" s="130"/>
      <c r="AU158" s="130"/>
      <c r="AV158" s="12" t="str">
        <f t="shared" si="10"/>
        <v/>
      </c>
      <c r="AW158" s="12" t="str">
        <f t="shared" si="11"/>
        <v/>
      </c>
      <c r="AX158" s="12"/>
      <c r="AY158" s="309"/>
    </row>
    <row r="159" spans="1:51" s="19" customFormat="1" ht="30" hidden="1" customHeight="1" x14ac:dyDescent="0.2">
      <c r="A159" s="356">
        <v>157</v>
      </c>
      <c r="B159" s="354">
        <v>13</v>
      </c>
      <c r="C159" s="354">
        <v>4</v>
      </c>
      <c r="D159" s="16">
        <v>1404</v>
      </c>
      <c r="E159" s="353" t="s">
        <v>1764</v>
      </c>
      <c r="F159" s="353" t="s">
        <v>10</v>
      </c>
      <c r="G159" s="353" t="s">
        <v>5247</v>
      </c>
      <c r="H159" s="354" t="s">
        <v>7</v>
      </c>
      <c r="I159" s="360" t="s">
        <v>158</v>
      </c>
      <c r="J159" s="16" t="s">
        <v>84</v>
      </c>
      <c r="K159" s="353" t="s">
        <v>155</v>
      </c>
      <c r="L159" s="353" t="s">
        <v>155</v>
      </c>
      <c r="M159" s="353" t="s">
        <v>1402</v>
      </c>
      <c r="N159" s="353" t="s">
        <v>106</v>
      </c>
      <c r="O159" s="354" t="s">
        <v>107</v>
      </c>
      <c r="P159" s="436"/>
      <c r="Q159" s="436"/>
      <c r="R159" s="353" t="s">
        <v>156</v>
      </c>
      <c r="S159" s="353" t="s">
        <v>3677</v>
      </c>
      <c r="T159" s="353" t="s">
        <v>718</v>
      </c>
      <c r="U159" s="353" t="s">
        <v>5350</v>
      </c>
      <c r="V159" s="353" t="s">
        <v>106</v>
      </c>
      <c r="W159" s="353" t="s">
        <v>107</v>
      </c>
      <c r="X159" s="353"/>
      <c r="Y159" s="354"/>
      <c r="Z159" s="354">
        <v>250</v>
      </c>
      <c r="AA159" s="33">
        <v>240</v>
      </c>
      <c r="AB159" s="34">
        <v>213</v>
      </c>
      <c r="AC159" s="16">
        <v>163</v>
      </c>
      <c r="AD159" s="16">
        <v>178</v>
      </c>
      <c r="AE159" s="16">
        <v>6</v>
      </c>
      <c r="AF159" s="16">
        <v>22</v>
      </c>
      <c r="AG159" s="16">
        <v>206</v>
      </c>
      <c r="AH159" s="16">
        <v>22</v>
      </c>
      <c r="AI159" s="354">
        <v>6</v>
      </c>
      <c r="AJ159" s="354"/>
      <c r="AK159" s="353"/>
      <c r="AL159" s="25"/>
      <c r="AM159" s="354"/>
      <c r="AN159" s="354"/>
      <c r="AO159" s="354"/>
      <c r="AP159" s="16"/>
      <c r="AQ159" s="16"/>
      <c r="AR159" s="130">
        <f t="shared" si="8"/>
        <v>1404</v>
      </c>
      <c r="AS159" s="130">
        <f t="shared" si="9"/>
        <v>4</v>
      </c>
      <c r="AT159" s="130"/>
      <c r="AU159" s="130"/>
      <c r="AV159" s="12" t="str">
        <f t="shared" si="10"/>
        <v/>
      </c>
      <c r="AW159" s="12" t="str">
        <f t="shared" si="11"/>
        <v/>
      </c>
      <c r="AX159" s="12"/>
      <c r="AY159" s="309"/>
    </row>
    <row r="160" spans="1:51" s="19" customFormat="1" ht="30" hidden="1" customHeight="1" x14ac:dyDescent="0.2">
      <c r="A160" s="356">
        <v>158</v>
      </c>
      <c r="B160" s="354">
        <v>13</v>
      </c>
      <c r="C160" s="354">
        <v>4</v>
      </c>
      <c r="D160" s="16">
        <v>1404</v>
      </c>
      <c r="E160" s="353" t="s">
        <v>285</v>
      </c>
      <c r="F160" s="353" t="s">
        <v>9</v>
      </c>
      <c r="G160" s="353" t="s">
        <v>5247</v>
      </c>
      <c r="H160" s="354" t="s">
        <v>7</v>
      </c>
      <c r="I160" s="360" t="s">
        <v>158</v>
      </c>
      <c r="J160" s="16" t="s">
        <v>84</v>
      </c>
      <c r="K160" s="35" t="s">
        <v>104</v>
      </c>
      <c r="L160" s="35" t="s">
        <v>117</v>
      </c>
      <c r="M160" s="353" t="s">
        <v>5342</v>
      </c>
      <c r="N160" s="353" t="s">
        <v>69</v>
      </c>
      <c r="O160" s="354" t="s">
        <v>70</v>
      </c>
      <c r="P160" s="436"/>
      <c r="Q160" s="436"/>
      <c r="R160" s="353" t="s">
        <v>306</v>
      </c>
      <c r="S160" s="353" t="s">
        <v>2961</v>
      </c>
      <c r="T160" s="353" t="s">
        <v>226</v>
      </c>
      <c r="U160" s="353" t="s">
        <v>1976</v>
      </c>
      <c r="V160" s="353" t="s">
        <v>106</v>
      </c>
      <c r="W160" s="353" t="s">
        <v>107</v>
      </c>
      <c r="X160" s="353" t="s">
        <v>5187</v>
      </c>
      <c r="Y160" s="354"/>
      <c r="Z160" s="354">
        <v>224</v>
      </c>
      <c r="AA160" s="33">
        <v>216</v>
      </c>
      <c r="AB160" s="34">
        <v>213</v>
      </c>
      <c r="AC160" s="16">
        <v>144</v>
      </c>
      <c r="AD160" s="16"/>
      <c r="AE160" s="16"/>
      <c r="AF160" s="16"/>
      <c r="AG160" s="16">
        <v>293</v>
      </c>
      <c r="AH160" s="16">
        <v>7</v>
      </c>
      <c r="AI160" s="16">
        <v>6</v>
      </c>
      <c r="AJ160" s="354"/>
      <c r="AK160" s="353" t="s">
        <v>5343</v>
      </c>
      <c r="AL160" s="25">
        <v>293</v>
      </c>
      <c r="AM160" s="354">
        <v>7.3</v>
      </c>
      <c r="AN160" s="354"/>
      <c r="AO160" s="354"/>
      <c r="AP160" s="16" t="s">
        <v>5080</v>
      </c>
      <c r="AQ160" s="16" t="s">
        <v>112</v>
      </c>
      <c r="AR160" s="130">
        <f t="shared" si="8"/>
        <v>1404</v>
      </c>
      <c r="AS160" s="130">
        <f t="shared" si="9"/>
        <v>4</v>
      </c>
      <c r="AT160" s="130"/>
      <c r="AU160" s="130"/>
      <c r="AV160" s="12" t="str">
        <f t="shared" si="10"/>
        <v/>
      </c>
      <c r="AW160" s="12" t="str">
        <f t="shared" si="11"/>
        <v/>
      </c>
      <c r="AX160" s="12"/>
      <c r="AY160" s="309"/>
    </row>
    <row r="161" spans="1:51" s="19" customFormat="1" ht="30" hidden="1" customHeight="1" x14ac:dyDescent="0.2">
      <c r="A161" s="356">
        <v>159</v>
      </c>
      <c r="B161" s="354">
        <v>14</v>
      </c>
      <c r="C161" s="354">
        <v>4</v>
      </c>
      <c r="D161" s="16">
        <v>1404</v>
      </c>
      <c r="E161" s="353" t="s">
        <v>87</v>
      </c>
      <c r="F161" s="353" t="s">
        <v>6</v>
      </c>
      <c r="G161" s="353"/>
      <c r="H161" s="354" t="s">
        <v>7</v>
      </c>
      <c r="I161" s="360" t="s">
        <v>158</v>
      </c>
      <c r="J161" s="16"/>
      <c r="K161" s="353" t="s">
        <v>140</v>
      </c>
      <c r="L161" s="353" t="s">
        <v>140</v>
      </c>
      <c r="M161" s="353" t="s">
        <v>5345</v>
      </c>
      <c r="N161" s="353" t="s">
        <v>369</v>
      </c>
      <c r="O161" s="354" t="s">
        <v>369</v>
      </c>
      <c r="P161" s="436"/>
      <c r="Q161" s="436"/>
      <c r="R161" s="353" t="s">
        <v>1478</v>
      </c>
      <c r="S161" s="353" t="s">
        <v>2961</v>
      </c>
      <c r="T161" s="353" t="s">
        <v>2348</v>
      </c>
      <c r="U161" s="353" t="s">
        <v>5346</v>
      </c>
      <c r="V161" s="353" t="s">
        <v>369</v>
      </c>
      <c r="W161" s="353" t="s">
        <v>369</v>
      </c>
      <c r="X161" s="353"/>
      <c r="Y161" s="354"/>
      <c r="Z161" s="354"/>
      <c r="AA161" s="354">
        <v>225</v>
      </c>
      <c r="AB161" s="16">
        <v>225</v>
      </c>
      <c r="AC161" s="16"/>
      <c r="AD161" s="16"/>
      <c r="AE161" s="16"/>
      <c r="AF161" s="16"/>
      <c r="AG161" s="16"/>
      <c r="AH161" s="16"/>
      <c r="AI161" s="16">
        <v>6</v>
      </c>
      <c r="AJ161" s="354"/>
      <c r="AK161" s="353"/>
      <c r="AL161" s="25"/>
      <c r="AM161" s="354"/>
      <c r="AN161" s="354"/>
      <c r="AO161" s="354"/>
      <c r="AP161" s="16" t="s">
        <v>160</v>
      </c>
      <c r="AQ161" s="16"/>
      <c r="AR161" s="130">
        <f t="shared" si="8"/>
        <v>1404</v>
      </c>
      <c r="AS161" s="130">
        <f t="shared" si="9"/>
        <v>4</v>
      </c>
      <c r="AT161" s="130"/>
      <c r="AU161" s="130"/>
      <c r="AV161" s="12" t="str">
        <f t="shared" si="10"/>
        <v/>
      </c>
      <c r="AW161" s="12" t="str">
        <f t="shared" si="11"/>
        <v/>
      </c>
      <c r="AX161" s="12"/>
      <c r="AY161" s="309" t="s">
        <v>5344</v>
      </c>
    </row>
    <row r="162" spans="1:51" s="19" customFormat="1" ht="30" hidden="1" customHeight="1" x14ac:dyDescent="0.2">
      <c r="A162" s="356">
        <v>160</v>
      </c>
      <c r="B162" s="354">
        <v>14</v>
      </c>
      <c r="C162" s="354">
        <v>4</v>
      </c>
      <c r="D162" s="16">
        <v>1404</v>
      </c>
      <c r="E162" s="353" t="s">
        <v>3700</v>
      </c>
      <c r="F162" s="353" t="s">
        <v>243</v>
      </c>
      <c r="G162" s="353"/>
      <c r="H162" s="354" t="s">
        <v>83</v>
      </c>
      <c r="I162" s="360" t="s">
        <v>158</v>
      </c>
      <c r="J162" s="16"/>
      <c r="K162" s="353"/>
      <c r="L162" s="353" t="s">
        <v>334</v>
      </c>
      <c r="M162" s="353" t="s">
        <v>713</v>
      </c>
      <c r="N162" s="353" t="s">
        <v>106</v>
      </c>
      <c r="O162" s="354" t="s">
        <v>107</v>
      </c>
      <c r="P162" s="436"/>
      <c r="Q162" s="436"/>
      <c r="R162" s="353"/>
      <c r="S162" s="353" t="s">
        <v>2961</v>
      </c>
      <c r="T162" s="353" t="s">
        <v>260</v>
      </c>
      <c r="U162" s="353" t="s">
        <v>3721</v>
      </c>
      <c r="V162" s="353" t="s">
        <v>106</v>
      </c>
      <c r="W162" s="353" t="s">
        <v>107</v>
      </c>
      <c r="X162" s="353"/>
      <c r="Y162" s="16" t="s">
        <v>3698</v>
      </c>
      <c r="Z162" s="354"/>
      <c r="AA162" s="354"/>
      <c r="AB162" s="16">
        <v>84</v>
      </c>
      <c r="AC162" s="16"/>
      <c r="AD162" s="16"/>
      <c r="AE162" s="16"/>
      <c r="AF162" s="16"/>
      <c r="AG162" s="16"/>
      <c r="AH162" s="16"/>
      <c r="AI162" s="16"/>
      <c r="AJ162" s="354"/>
      <c r="AK162" s="353"/>
      <c r="AL162" s="25"/>
      <c r="AM162" s="354"/>
      <c r="AN162" s="354"/>
      <c r="AO162" s="354"/>
      <c r="AP162" s="16" t="s">
        <v>5080</v>
      </c>
      <c r="AQ162" s="16" t="s">
        <v>231</v>
      </c>
      <c r="AR162" s="130">
        <f t="shared" si="8"/>
        <v>1404</v>
      </c>
      <c r="AS162" s="130">
        <f t="shared" si="9"/>
        <v>4</v>
      </c>
      <c r="AT162" s="130">
        <v>1402</v>
      </c>
      <c r="AU162" s="130">
        <v>5</v>
      </c>
      <c r="AV162" s="12">
        <f t="shared" si="10"/>
        <v>23</v>
      </c>
      <c r="AW162" s="12" t="str">
        <f t="shared" si="11"/>
        <v/>
      </c>
      <c r="AX162" s="12"/>
      <c r="AY162" s="408"/>
    </row>
    <row r="163" spans="1:51" s="19" customFormat="1" ht="30" hidden="1" customHeight="1" x14ac:dyDescent="0.2">
      <c r="A163" s="356">
        <v>161</v>
      </c>
      <c r="B163" s="356">
        <v>16</v>
      </c>
      <c r="C163" s="356">
        <v>4</v>
      </c>
      <c r="D163" s="16">
        <v>1404</v>
      </c>
      <c r="E163" s="357" t="s">
        <v>1999</v>
      </c>
      <c r="F163" s="357" t="s">
        <v>10</v>
      </c>
      <c r="G163" s="357"/>
      <c r="H163" s="356" t="s">
        <v>83</v>
      </c>
      <c r="I163" s="360" t="s">
        <v>5479</v>
      </c>
      <c r="J163" s="16" t="s">
        <v>92</v>
      </c>
      <c r="K163" s="357"/>
      <c r="L163" s="357" t="s">
        <v>117</v>
      </c>
      <c r="M163" s="41" t="s">
        <v>2079</v>
      </c>
      <c r="N163" s="41" t="s">
        <v>106</v>
      </c>
      <c r="O163" s="13" t="s">
        <v>107</v>
      </c>
      <c r="P163" s="13"/>
      <c r="Q163" s="13"/>
      <c r="R163" s="357"/>
      <c r="S163" s="357" t="s">
        <v>1510</v>
      </c>
      <c r="T163" s="357" t="s">
        <v>2258</v>
      </c>
      <c r="U163" s="41" t="s">
        <v>2080</v>
      </c>
      <c r="V163" s="41" t="s">
        <v>106</v>
      </c>
      <c r="W163" s="41" t="s">
        <v>107</v>
      </c>
      <c r="X163" s="357"/>
      <c r="Y163" s="356" t="s">
        <v>2093</v>
      </c>
      <c r="Z163" s="356"/>
      <c r="AA163" s="356"/>
      <c r="AB163" s="16">
        <v>192</v>
      </c>
      <c r="AC163" s="16"/>
      <c r="AD163" s="16"/>
      <c r="AE163" s="16"/>
      <c r="AF163" s="16"/>
      <c r="AG163" s="16"/>
      <c r="AH163" s="16"/>
      <c r="AI163" s="16">
        <v>6</v>
      </c>
      <c r="AJ163" s="356"/>
      <c r="AK163" s="357"/>
      <c r="AL163" s="25"/>
      <c r="AM163" s="356"/>
      <c r="AN163" s="356"/>
      <c r="AO163" s="356"/>
      <c r="AP163" s="16" t="s">
        <v>160</v>
      </c>
      <c r="AQ163" s="16" t="s">
        <v>193</v>
      </c>
      <c r="AR163" s="130">
        <f t="shared" si="8"/>
        <v>1404</v>
      </c>
      <c r="AS163" s="130">
        <f t="shared" si="9"/>
        <v>4</v>
      </c>
      <c r="AT163" s="130">
        <v>1401</v>
      </c>
      <c r="AU163" s="130">
        <v>12</v>
      </c>
      <c r="AV163" s="12">
        <f t="shared" si="10"/>
        <v>28</v>
      </c>
      <c r="AW163" s="12" t="str">
        <f t="shared" si="11"/>
        <v/>
      </c>
      <c r="AX163" s="12"/>
      <c r="AY163" s="408"/>
    </row>
    <row r="164" spans="1:51" s="19" customFormat="1" ht="30" hidden="1" customHeight="1" x14ac:dyDescent="0.2">
      <c r="A164" s="356">
        <v>162</v>
      </c>
      <c r="B164" s="20">
        <v>16</v>
      </c>
      <c r="C164" s="20">
        <v>4</v>
      </c>
      <c r="D164" s="29">
        <v>1404</v>
      </c>
      <c r="E164" s="30" t="s">
        <v>591</v>
      </c>
      <c r="F164" s="30" t="s">
        <v>9</v>
      </c>
      <c r="G164" s="30"/>
      <c r="H164" s="20" t="s">
        <v>83</v>
      </c>
      <c r="I164" s="360" t="s">
        <v>158</v>
      </c>
      <c r="J164" s="29" t="s">
        <v>84</v>
      </c>
      <c r="K164" s="30"/>
      <c r="L164" s="30" t="s">
        <v>68</v>
      </c>
      <c r="M164" s="30"/>
      <c r="N164" s="30" t="s">
        <v>106</v>
      </c>
      <c r="O164" s="20" t="s">
        <v>107</v>
      </c>
      <c r="P164" s="20"/>
      <c r="Q164" s="20"/>
      <c r="R164" s="30"/>
      <c r="S164" s="30" t="s">
        <v>1510</v>
      </c>
      <c r="T164" s="30" t="s">
        <v>769</v>
      </c>
      <c r="U164" s="30"/>
      <c r="V164" s="30" t="s">
        <v>73</v>
      </c>
      <c r="W164" s="30" t="s">
        <v>70</v>
      </c>
      <c r="X164" s="30"/>
      <c r="Y164" s="29" t="s">
        <v>4975</v>
      </c>
      <c r="Z164" s="20"/>
      <c r="AA164" s="20"/>
      <c r="AB164" s="29">
        <v>231</v>
      </c>
      <c r="AC164" s="29"/>
      <c r="AD164" s="29"/>
      <c r="AE164" s="29"/>
      <c r="AF164" s="29"/>
      <c r="AG164" s="29"/>
      <c r="AH164" s="29"/>
      <c r="AI164" s="29">
        <v>6</v>
      </c>
      <c r="AJ164" s="20"/>
      <c r="AK164" s="30"/>
      <c r="AL164" s="36"/>
      <c r="AM164" s="20"/>
      <c r="AN164" s="20"/>
      <c r="AO164" s="20"/>
      <c r="AP164" s="29" t="s">
        <v>160</v>
      </c>
      <c r="AQ164" s="29" t="s">
        <v>165</v>
      </c>
      <c r="AR164" s="130">
        <f t="shared" si="8"/>
        <v>1404</v>
      </c>
      <c r="AS164" s="130">
        <f t="shared" si="9"/>
        <v>4</v>
      </c>
      <c r="AT164" s="318">
        <v>1403</v>
      </c>
      <c r="AU164" s="318">
        <v>10</v>
      </c>
      <c r="AV164" s="31">
        <f t="shared" si="10"/>
        <v>6</v>
      </c>
      <c r="AW164" s="31">
        <f t="shared" si="11"/>
        <v>6</v>
      </c>
      <c r="AX164" s="31"/>
      <c r="AY164" s="409"/>
    </row>
    <row r="165" spans="1:51" s="19" customFormat="1" ht="30" hidden="1" customHeight="1" x14ac:dyDescent="0.2">
      <c r="A165" s="356">
        <v>163</v>
      </c>
      <c r="B165" s="356">
        <v>17</v>
      </c>
      <c r="C165" s="356">
        <v>4</v>
      </c>
      <c r="D165" s="16">
        <v>1404</v>
      </c>
      <c r="E165" s="357" t="s">
        <v>579</v>
      </c>
      <c r="F165" s="357" t="s">
        <v>9</v>
      </c>
      <c r="G165" s="357" t="s">
        <v>185</v>
      </c>
      <c r="H165" s="356" t="s">
        <v>83</v>
      </c>
      <c r="I165" s="360" t="s">
        <v>158</v>
      </c>
      <c r="J165" s="16" t="s">
        <v>84</v>
      </c>
      <c r="K165" s="357"/>
      <c r="L165" s="357" t="s">
        <v>117</v>
      </c>
      <c r="M165" s="357"/>
      <c r="N165" s="357" t="s">
        <v>142</v>
      </c>
      <c r="O165" s="356" t="s">
        <v>70</v>
      </c>
      <c r="P165" s="436"/>
      <c r="Q165" s="436"/>
      <c r="R165" s="357"/>
      <c r="S165" s="357" t="s">
        <v>2961</v>
      </c>
      <c r="T165" s="357" t="s">
        <v>226</v>
      </c>
      <c r="U165" s="357"/>
      <c r="V165" s="357" t="s">
        <v>73</v>
      </c>
      <c r="W165" s="357" t="s">
        <v>70</v>
      </c>
      <c r="X165" s="357"/>
      <c r="Y165" s="356" t="s">
        <v>3874</v>
      </c>
      <c r="Z165" s="356">
        <v>237</v>
      </c>
      <c r="AA165" s="356">
        <v>222</v>
      </c>
      <c r="AB165" s="16">
        <v>222</v>
      </c>
      <c r="AC165" s="16"/>
      <c r="AD165" s="16"/>
      <c r="AE165" s="16"/>
      <c r="AF165" s="16"/>
      <c r="AG165" s="16" t="s">
        <v>3714</v>
      </c>
      <c r="AH165" s="16" t="s">
        <v>3714</v>
      </c>
      <c r="AI165" s="16">
        <v>6</v>
      </c>
      <c r="AJ165" s="356"/>
      <c r="AK165" s="357" t="s">
        <v>3714</v>
      </c>
      <c r="AL165" s="25" t="s">
        <v>3714</v>
      </c>
      <c r="AM165" s="356" t="s">
        <v>3714</v>
      </c>
      <c r="AN165" s="356"/>
      <c r="AO165" s="356"/>
      <c r="AP165" s="16" t="s">
        <v>160</v>
      </c>
      <c r="AQ165" s="16" t="s">
        <v>161</v>
      </c>
      <c r="AR165" s="130">
        <f t="shared" si="8"/>
        <v>1404</v>
      </c>
      <c r="AS165" s="130">
        <f t="shared" si="9"/>
        <v>4</v>
      </c>
      <c r="AT165" s="130">
        <v>1402</v>
      </c>
      <c r="AU165" s="130">
        <v>7</v>
      </c>
      <c r="AV165" s="12">
        <f t="shared" si="10"/>
        <v>21</v>
      </c>
      <c r="AW165" s="12" t="str">
        <f t="shared" si="11"/>
        <v/>
      </c>
      <c r="AX165" s="12"/>
      <c r="AY165" s="408"/>
    </row>
    <row r="166" spans="1:51" s="19" customFormat="1" ht="30" hidden="1" customHeight="1" x14ac:dyDescent="0.2">
      <c r="A166" s="356">
        <v>164</v>
      </c>
      <c r="B166" s="356">
        <v>17</v>
      </c>
      <c r="C166" s="356">
        <v>4</v>
      </c>
      <c r="D166" s="16">
        <v>1404</v>
      </c>
      <c r="E166" s="357" t="s">
        <v>3976</v>
      </c>
      <c r="F166" s="357" t="s">
        <v>6</v>
      </c>
      <c r="G166" s="357" t="s">
        <v>2285</v>
      </c>
      <c r="H166" s="356" t="s">
        <v>83</v>
      </c>
      <c r="I166" s="360" t="s">
        <v>158</v>
      </c>
      <c r="J166" s="16" t="s">
        <v>84</v>
      </c>
      <c r="K166" s="357"/>
      <c r="L166" s="357" t="s">
        <v>155</v>
      </c>
      <c r="M166" s="357"/>
      <c r="N166" s="41" t="s">
        <v>106</v>
      </c>
      <c r="O166" s="13" t="s">
        <v>107</v>
      </c>
      <c r="P166" s="13"/>
      <c r="Q166" s="13"/>
      <c r="R166" s="357"/>
      <c r="S166" s="357" t="s">
        <v>3677</v>
      </c>
      <c r="T166" s="357" t="s">
        <v>441</v>
      </c>
      <c r="U166" s="357"/>
      <c r="V166" s="41" t="s">
        <v>106</v>
      </c>
      <c r="W166" s="41" t="s">
        <v>107</v>
      </c>
      <c r="X166" s="357"/>
      <c r="Y166" s="356" t="s">
        <v>3972</v>
      </c>
      <c r="Z166" s="356">
        <v>245</v>
      </c>
      <c r="AA166" s="356">
        <v>228</v>
      </c>
      <c r="AB166" s="16"/>
      <c r="AC166" s="16"/>
      <c r="AD166" s="16"/>
      <c r="AE166" s="16"/>
      <c r="AF166" s="16"/>
      <c r="AG166" s="16"/>
      <c r="AH166" s="16"/>
      <c r="AI166" s="16">
        <v>6</v>
      </c>
      <c r="AJ166" s="356"/>
      <c r="AK166" s="357"/>
      <c r="AL166" s="25"/>
      <c r="AM166" s="356"/>
      <c r="AN166" s="356"/>
      <c r="AO166" s="356"/>
      <c r="AP166" s="16" t="s">
        <v>160</v>
      </c>
      <c r="AQ166" s="16" t="s">
        <v>193</v>
      </c>
      <c r="AR166" s="130">
        <f t="shared" si="8"/>
        <v>1404</v>
      </c>
      <c r="AS166" s="130">
        <f t="shared" si="9"/>
        <v>4</v>
      </c>
      <c r="AT166" s="130">
        <v>1402</v>
      </c>
      <c r="AU166" s="130">
        <v>8</v>
      </c>
      <c r="AV166" s="12">
        <f t="shared" si="10"/>
        <v>20</v>
      </c>
      <c r="AW166" s="12" t="str">
        <f t="shared" si="11"/>
        <v/>
      </c>
      <c r="AX166" s="12"/>
      <c r="AY166" s="408"/>
    </row>
    <row r="167" spans="1:51" s="19" customFormat="1" ht="30" hidden="1" customHeight="1" x14ac:dyDescent="0.2">
      <c r="A167" s="356">
        <v>165</v>
      </c>
      <c r="B167" s="356">
        <v>18</v>
      </c>
      <c r="C167" s="356">
        <v>4</v>
      </c>
      <c r="D167" s="16">
        <v>1404</v>
      </c>
      <c r="E167" s="357" t="s">
        <v>573</v>
      </c>
      <c r="F167" s="357" t="s">
        <v>9</v>
      </c>
      <c r="G167" s="357" t="s">
        <v>2285</v>
      </c>
      <c r="H167" s="356" t="s">
        <v>83</v>
      </c>
      <c r="I167" s="360" t="s">
        <v>158</v>
      </c>
      <c r="J167" s="16" t="s">
        <v>84</v>
      </c>
      <c r="K167" s="357"/>
      <c r="L167" s="357" t="s">
        <v>155</v>
      </c>
      <c r="M167" s="357"/>
      <c r="N167" s="41" t="s">
        <v>106</v>
      </c>
      <c r="O167" s="13" t="s">
        <v>107</v>
      </c>
      <c r="P167" s="13"/>
      <c r="Q167" s="13"/>
      <c r="R167" s="357"/>
      <c r="S167" s="357" t="s">
        <v>3677</v>
      </c>
      <c r="T167" s="357" t="s">
        <v>718</v>
      </c>
      <c r="U167" s="357"/>
      <c r="V167" s="41" t="s">
        <v>106</v>
      </c>
      <c r="W167" s="41" t="s">
        <v>107</v>
      </c>
      <c r="X167" s="357"/>
      <c r="Y167" s="356" t="s">
        <v>5114</v>
      </c>
      <c r="Z167" s="356">
        <v>229</v>
      </c>
      <c r="AA167" s="356">
        <v>212</v>
      </c>
      <c r="AB167" s="16">
        <v>212</v>
      </c>
      <c r="AC167" s="16"/>
      <c r="AD167" s="16"/>
      <c r="AE167" s="16"/>
      <c r="AF167" s="16"/>
      <c r="AG167" s="16"/>
      <c r="AH167" s="16"/>
      <c r="AI167" s="16">
        <v>6</v>
      </c>
      <c r="AJ167" s="356"/>
      <c r="AK167" s="357"/>
      <c r="AL167" s="25"/>
      <c r="AM167" s="356"/>
      <c r="AN167" s="356"/>
      <c r="AO167" s="356"/>
      <c r="AP167" s="16" t="s">
        <v>160</v>
      </c>
      <c r="AQ167" s="16" t="s">
        <v>165</v>
      </c>
      <c r="AR167" s="130">
        <f t="shared" si="8"/>
        <v>1404</v>
      </c>
      <c r="AS167" s="130">
        <f t="shared" si="9"/>
        <v>4</v>
      </c>
      <c r="AT167" s="130">
        <v>1401</v>
      </c>
      <c r="AU167" s="130">
        <v>3</v>
      </c>
      <c r="AV167" s="12">
        <f t="shared" si="10"/>
        <v>37</v>
      </c>
      <c r="AW167" s="12" t="str">
        <f t="shared" si="11"/>
        <v/>
      </c>
      <c r="AX167" s="12"/>
      <c r="AY167" s="408"/>
    </row>
    <row r="168" spans="1:51" s="19" customFormat="1" ht="30" hidden="1" customHeight="1" x14ac:dyDescent="0.2">
      <c r="A168" s="356">
        <v>166</v>
      </c>
      <c r="B168" s="356">
        <v>18</v>
      </c>
      <c r="C168" s="356">
        <v>4</v>
      </c>
      <c r="D168" s="16">
        <v>1404</v>
      </c>
      <c r="E168" s="357" t="s">
        <v>579</v>
      </c>
      <c r="F168" s="357" t="s">
        <v>9</v>
      </c>
      <c r="G168" s="357" t="s">
        <v>5247</v>
      </c>
      <c r="H168" s="356" t="s">
        <v>7</v>
      </c>
      <c r="I168" s="360" t="s">
        <v>158</v>
      </c>
      <c r="J168" s="16" t="s">
        <v>84</v>
      </c>
      <c r="K168" s="35" t="s">
        <v>117</v>
      </c>
      <c r="L168" s="35" t="s">
        <v>334</v>
      </c>
      <c r="M168" s="357" t="s">
        <v>3916</v>
      </c>
      <c r="N168" s="41" t="s">
        <v>106</v>
      </c>
      <c r="O168" s="13" t="s">
        <v>107</v>
      </c>
      <c r="P168" s="13"/>
      <c r="Q168" s="13"/>
      <c r="R168" s="35" t="s">
        <v>306</v>
      </c>
      <c r="S168" s="35" t="s">
        <v>2961</v>
      </c>
      <c r="T168" s="35" t="s">
        <v>116</v>
      </c>
      <c r="U168" s="357" t="s">
        <v>560</v>
      </c>
      <c r="V168" s="41" t="s">
        <v>106</v>
      </c>
      <c r="W168" s="41" t="s">
        <v>107</v>
      </c>
      <c r="X168" s="357" t="s">
        <v>5187</v>
      </c>
      <c r="Y168" s="356" t="s">
        <v>3874</v>
      </c>
      <c r="Z168" s="356">
        <v>237</v>
      </c>
      <c r="AA168" s="356">
        <v>222</v>
      </c>
      <c r="AB168" s="16">
        <v>222</v>
      </c>
      <c r="AC168" s="16">
        <v>132</v>
      </c>
      <c r="AD168" s="16">
        <v>169</v>
      </c>
      <c r="AE168" s="16">
        <v>1</v>
      </c>
      <c r="AF168" s="16">
        <v>20</v>
      </c>
      <c r="AG168" s="16">
        <v>190</v>
      </c>
      <c r="AH168" s="16">
        <v>6</v>
      </c>
      <c r="AI168" s="16">
        <v>6</v>
      </c>
      <c r="AJ168" s="356"/>
      <c r="AK168" s="357" t="s">
        <v>5353</v>
      </c>
      <c r="AL168" s="25">
        <v>190</v>
      </c>
      <c r="AM168" s="356">
        <v>6.9</v>
      </c>
      <c r="AN168" s="356"/>
      <c r="AO168" s="356"/>
      <c r="AP168" s="16" t="s">
        <v>160</v>
      </c>
      <c r="AQ168" s="16" t="s">
        <v>161</v>
      </c>
      <c r="AR168" s="130">
        <f t="shared" si="8"/>
        <v>1404</v>
      </c>
      <c r="AS168" s="130">
        <f t="shared" si="9"/>
        <v>4</v>
      </c>
      <c r="AT168" s="130" t="s">
        <v>3714</v>
      </c>
      <c r="AU168" s="130" t="s">
        <v>3714</v>
      </c>
      <c r="AV168" s="12"/>
      <c r="AW168" s="12"/>
      <c r="AX168" s="12"/>
      <c r="AY168" s="408"/>
    </row>
    <row r="169" spans="1:51" s="19" customFormat="1" ht="30" hidden="1" customHeight="1" x14ac:dyDescent="0.2">
      <c r="A169" s="356">
        <v>167</v>
      </c>
      <c r="B169" s="356">
        <v>19</v>
      </c>
      <c r="C169" s="356">
        <v>4</v>
      </c>
      <c r="D169" s="16">
        <v>1404</v>
      </c>
      <c r="E169" s="357" t="s">
        <v>4458</v>
      </c>
      <c r="F169" s="357" t="s">
        <v>2981</v>
      </c>
      <c r="G169" s="357" t="s">
        <v>5247</v>
      </c>
      <c r="H169" s="356" t="s">
        <v>7</v>
      </c>
      <c r="I169" s="360" t="s">
        <v>158</v>
      </c>
      <c r="J169" s="16" t="s">
        <v>84</v>
      </c>
      <c r="K169" s="35" t="s">
        <v>117</v>
      </c>
      <c r="L169" s="35" t="s">
        <v>140</v>
      </c>
      <c r="M169" s="357" t="s">
        <v>860</v>
      </c>
      <c r="N169" s="41" t="s">
        <v>106</v>
      </c>
      <c r="O169" s="13" t="s">
        <v>107</v>
      </c>
      <c r="P169" s="13"/>
      <c r="Q169" s="13"/>
      <c r="R169" s="35" t="s">
        <v>153</v>
      </c>
      <c r="S169" s="35" t="s">
        <v>2961</v>
      </c>
      <c r="T169" s="35" t="s">
        <v>769</v>
      </c>
      <c r="U169" s="357" t="s">
        <v>5354</v>
      </c>
      <c r="V169" s="357" t="s">
        <v>142</v>
      </c>
      <c r="W169" s="357" t="s">
        <v>70</v>
      </c>
      <c r="X169" s="357" t="s">
        <v>5187</v>
      </c>
      <c r="Y169" s="356" t="s">
        <v>4000</v>
      </c>
      <c r="Z169" s="356">
        <v>229</v>
      </c>
      <c r="AA169" s="356">
        <v>217</v>
      </c>
      <c r="AB169" s="16">
        <v>217</v>
      </c>
      <c r="AC169" s="16">
        <v>78</v>
      </c>
      <c r="AD169" s="16">
        <v>118</v>
      </c>
      <c r="AE169" s="16">
        <v>9</v>
      </c>
      <c r="AF169" s="16">
        <v>70</v>
      </c>
      <c r="AG169" s="16">
        <v>197</v>
      </c>
      <c r="AH169" s="16">
        <v>10</v>
      </c>
      <c r="AI169" s="16">
        <v>4</v>
      </c>
      <c r="AJ169" s="356"/>
      <c r="AK169" s="357" t="s">
        <v>5355</v>
      </c>
      <c r="AL169" s="25">
        <v>197</v>
      </c>
      <c r="AM169" s="356">
        <v>10.199999999999999</v>
      </c>
      <c r="AN169" s="356"/>
      <c r="AO169" s="356"/>
      <c r="AP169" s="16" t="s">
        <v>160</v>
      </c>
      <c r="AQ169" s="16" t="s">
        <v>161</v>
      </c>
      <c r="AR169" s="130">
        <f t="shared" si="8"/>
        <v>1404</v>
      </c>
      <c r="AS169" s="130">
        <f t="shared" si="9"/>
        <v>4</v>
      </c>
      <c r="AT169" s="130"/>
      <c r="AU169" s="130"/>
      <c r="AV169" s="12" t="str">
        <f t="shared" si="10"/>
        <v/>
      </c>
      <c r="AW169" s="12" t="str">
        <f t="shared" si="11"/>
        <v/>
      </c>
      <c r="AX169" s="12"/>
      <c r="AY169" s="408"/>
    </row>
    <row r="170" spans="1:51" s="19" customFormat="1" ht="30" hidden="1" customHeight="1" x14ac:dyDescent="0.2">
      <c r="A170" s="356">
        <v>168</v>
      </c>
      <c r="B170" s="356">
        <v>21</v>
      </c>
      <c r="C170" s="356">
        <v>4</v>
      </c>
      <c r="D170" s="16">
        <v>1404</v>
      </c>
      <c r="E170" s="357" t="s">
        <v>3217</v>
      </c>
      <c r="F170" s="357" t="s">
        <v>10</v>
      </c>
      <c r="G170" s="357" t="s">
        <v>5247</v>
      </c>
      <c r="H170" s="356" t="s">
        <v>7</v>
      </c>
      <c r="I170" s="360" t="s">
        <v>158</v>
      </c>
      <c r="J170" s="16" t="s">
        <v>84</v>
      </c>
      <c r="K170" s="35" t="s">
        <v>155</v>
      </c>
      <c r="L170" s="35" t="s">
        <v>117</v>
      </c>
      <c r="M170" s="357" t="s">
        <v>5356</v>
      </c>
      <c r="N170" s="41" t="s">
        <v>69</v>
      </c>
      <c r="O170" s="13" t="s">
        <v>70</v>
      </c>
      <c r="P170" s="13"/>
      <c r="Q170" s="13"/>
      <c r="R170" s="35" t="s">
        <v>5357</v>
      </c>
      <c r="S170" s="35" t="s">
        <v>3680</v>
      </c>
      <c r="T170" s="35" t="s">
        <v>116</v>
      </c>
      <c r="U170" s="357" t="s">
        <v>5358</v>
      </c>
      <c r="V170" s="357" t="s">
        <v>73</v>
      </c>
      <c r="W170" s="357" t="s">
        <v>70</v>
      </c>
      <c r="X170" s="357" t="s">
        <v>5187</v>
      </c>
      <c r="Y170" s="356"/>
      <c r="Z170" s="356">
        <v>227</v>
      </c>
      <c r="AA170" s="33">
        <v>216</v>
      </c>
      <c r="AB170" s="34">
        <v>210</v>
      </c>
      <c r="AC170" s="16"/>
      <c r="AD170" s="16"/>
      <c r="AE170" s="16"/>
      <c r="AF170" s="16"/>
      <c r="AG170" s="16"/>
      <c r="AH170" s="16"/>
      <c r="AI170" s="16">
        <v>6</v>
      </c>
      <c r="AJ170" s="356"/>
      <c r="AK170" s="357"/>
      <c r="AL170" s="25"/>
      <c r="AM170" s="356"/>
      <c r="AN170" s="356"/>
      <c r="AO170" s="356"/>
      <c r="AP170" s="16"/>
      <c r="AQ170" s="16"/>
      <c r="AR170" s="130">
        <f t="shared" si="8"/>
        <v>1404</v>
      </c>
      <c r="AS170" s="130">
        <f t="shared" si="9"/>
        <v>4</v>
      </c>
      <c r="AT170" s="130"/>
      <c r="AU170" s="130"/>
      <c r="AV170" s="12" t="str">
        <f t="shared" si="10"/>
        <v/>
      </c>
      <c r="AW170" s="12" t="str">
        <f t="shared" si="11"/>
        <v/>
      </c>
      <c r="AX170" s="12"/>
      <c r="AY170" s="408"/>
    </row>
    <row r="171" spans="1:51" ht="30" hidden="1" customHeight="1" x14ac:dyDescent="0.2">
      <c r="A171" s="356">
        <v>169</v>
      </c>
      <c r="B171" s="356">
        <v>21</v>
      </c>
      <c r="C171" s="356">
        <v>4</v>
      </c>
      <c r="D171" s="16">
        <v>1404</v>
      </c>
      <c r="E171" s="357" t="s">
        <v>5351</v>
      </c>
      <c r="F171" s="357" t="s">
        <v>66</v>
      </c>
      <c r="G171" s="357" t="s">
        <v>2285</v>
      </c>
      <c r="H171" s="356" t="s">
        <v>83</v>
      </c>
      <c r="I171" s="360" t="s">
        <v>158</v>
      </c>
      <c r="J171" s="16" t="s">
        <v>84</v>
      </c>
      <c r="K171" s="357"/>
      <c r="L171" s="357" t="s">
        <v>769</v>
      </c>
      <c r="M171" s="357"/>
      <c r="N171" s="357" t="s">
        <v>66</v>
      </c>
      <c r="O171" s="356" t="s">
        <v>107</v>
      </c>
      <c r="P171" s="436"/>
      <c r="Q171" s="436"/>
      <c r="R171" s="357"/>
      <c r="S171" s="357" t="s">
        <v>2325</v>
      </c>
      <c r="T171" s="357" t="s">
        <v>260</v>
      </c>
      <c r="U171" s="357"/>
      <c r="V171" s="357" t="s">
        <v>66</v>
      </c>
      <c r="W171" s="357" t="s">
        <v>107</v>
      </c>
      <c r="X171" s="357"/>
      <c r="Y171" s="356" t="s">
        <v>5359</v>
      </c>
      <c r="Z171" s="356">
        <v>173</v>
      </c>
      <c r="AA171" s="356"/>
      <c r="AB171" s="16">
        <v>162</v>
      </c>
      <c r="AC171" s="16"/>
      <c r="AD171" s="16"/>
      <c r="AE171" s="16"/>
      <c r="AF171" s="16"/>
      <c r="AG171" s="16"/>
      <c r="AH171" s="16"/>
      <c r="AI171" s="16">
        <v>2</v>
      </c>
      <c r="AJ171" s="356"/>
      <c r="AK171" s="357"/>
      <c r="AL171" s="25"/>
      <c r="AM171" s="356"/>
      <c r="AN171" s="356"/>
      <c r="AO171" s="356"/>
      <c r="AP171" s="16"/>
      <c r="AQ171" s="16"/>
      <c r="AR171" s="130">
        <f t="shared" si="8"/>
        <v>1404</v>
      </c>
      <c r="AS171" s="130">
        <f t="shared" si="9"/>
        <v>4</v>
      </c>
      <c r="AT171" s="130">
        <v>1400</v>
      </c>
      <c r="AU171" s="130">
        <v>8</v>
      </c>
      <c r="AV171" s="12">
        <f t="shared" si="10"/>
        <v>44</v>
      </c>
      <c r="AW171" s="12" t="str">
        <f t="shared" si="11"/>
        <v/>
      </c>
      <c r="AX171" s="12"/>
      <c r="AY171" s="408"/>
    </row>
    <row r="172" spans="1:51" ht="30" hidden="1" customHeight="1" x14ac:dyDescent="0.2">
      <c r="A172" s="356">
        <v>170</v>
      </c>
      <c r="B172" s="356">
        <v>22</v>
      </c>
      <c r="C172" s="356">
        <v>4</v>
      </c>
      <c r="D172" s="16">
        <v>1404</v>
      </c>
      <c r="E172" s="357" t="s">
        <v>5351</v>
      </c>
      <c r="F172" s="357" t="s">
        <v>66</v>
      </c>
      <c r="G172" s="357"/>
      <c r="H172" s="356" t="s">
        <v>7</v>
      </c>
      <c r="I172" s="360" t="s">
        <v>158</v>
      </c>
      <c r="J172" s="16" t="s">
        <v>84</v>
      </c>
      <c r="K172" s="35" t="s">
        <v>769</v>
      </c>
      <c r="L172" s="35" t="s">
        <v>718</v>
      </c>
      <c r="M172" s="357" t="s">
        <v>4188</v>
      </c>
      <c r="N172" s="357" t="s">
        <v>69</v>
      </c>
      <c r="O172" s="356" t="s">
        <v>70</v>
      </c>
      <c r="P172" s="436"/>
      <c r="Q172" s="436"/>
      <c r="R172" s="35" t="s">
        <v>979</v>
      </c>
      <c r="S172" s="35" t="s">
        <v>4016</v>
      </c>
      <c r="T172" s="35" t="s">
        <v>141</v>
      </c>
      <c r="U172" s="357" t="s">
        <v>5360</v>
      </c>
      <c r="V172" s="357" t="s">
        <v>69</v>
      </c>
      <c r="W172" s="357" t="s">
        <v>70</v>
      </c>
      <c r="X172" s="357" t="s">
        <v>5187</v>
      </c>
      <c r="Y172" s="19"/>
      <c r="Z172" s="356">
        <v>173</v>
      </c>
      <c r="AA172" s="356">
        <v>162</v>
      </c>
      <c r="AB172" s="16">
        <v>162</v>
      </c>
      <c r="AC172" s="16"/>
      <c r="AD172" s="16"/>
      <c r="AE172" s="16"/>
      <c r="AF172" s="16"/>
      <c r="AG172" s="16"/>
      <c r="AH172" s="16"/>
      <c r="AI172" s="16" t="s">
        <v>5361</v>
      </c>
      <c r="AJ172" s="356"/>
      <c r="AK172" s="357"/>
      <c r="AL172" s="25"/>
      <c r="AM172" s="356"/>
      <c r="AN172" s="356"/>
      <c r="AO172" s="356"/>
      <c r="AP172" s="16" t="s">
        <v>5080</v>
      </c>
      <c r="AQ172" s="16" t="s">
        <v>228</v>
      </c>
      <c r="AR172" s="130">
        <f t="shared" si="8"/>
        <v>1404</v>
      </c>
      <c r="AS172" s="130">
        <f t="shared" si="9"/>
        <v>4</v>
      </c>
      <c r="AT172" s="130"/>
      <c r="AU172" s="130"/>
      <c r="AV172" s="12" t="str">
        <f t="shared" si="10"/>
        <v/>
      </c>
      <c r="AW172" s="12" t="str">
        <f t="shared" si="11"/>
        <v/>
      </c>
      <c r="AX172" s="12"/>
      <c r="AY172" s="408"/>
    </row>
    <row r="173" spans="1:51" ht="30" hidden="1" customHeight="1" x14ac:dyDescent="0.2">
      <c r="A173" s="356">
        <v>171</v>
      </c>
      <c r="B173" s="356">
        <v>22</v>
      </c>
      <c r="C173" s="356">
        <v>4</v>
      </c>
      <c r="D173" s="16">
        <v>1404</v>
      </c>
      <c r="E173" s="357" t="s">
        <v>5352</v>
      </c>
      <c r="F173" s="357" t="s">
        <v>243</v>
      </c>
      <c r="G173" s="357" t="s">
        <v>192</v>
      </c>
      <c r="H173" s="356" t="s">
        <v>7</v>
      </c>
      <c r="I173" s="360" t="s">
        <v>158</v>
      </c>
      <c r="J173" s="16" t="s">
        <v>3576</v>
      </c>
      <c r="K173" s="357"/>
      <c r="L173" s="357" t="s">
        <v>68</v>
      </c>
      <c r="M173" s="357" t="s">
        <v>1183</v>
      </c>
      <c r="N173" s="41" t="s">
        <v>106</v>
      </c>
      <c r="O173" s="13" t="s">
        <v>107</v>
      </c>
      <c r="P173" s="13"/>
      <c r="Q173" s="13"/>
      <c r="R173" s="357"/>
      <c r="S173" s="357" t="s">
        <v>3679</v>
      </c>
      <c r="T173" s="357" t="s">
        <v>555</v>
      </c>
      <c r="U173" s="357" t="s">
        <v>1260</v>
      </c>
      <c r="V173" s="357" t="s">
        <v>106</v>
      </c>
      <c r="W173" s="357" t="s">
        <v>107</v>
      </c>
      <c r="X173" s="357"/>
      <c r="Y173" s="356"/>
      <c r="Z173" s="356">
        <v>228</v>
      </c>
      <c r="AA173" s="356" t="s">
        <v>3714</v>
      </c>
      <c r="AB173" s="16">
        <v>214</v>
      </c>
      <c r="AC173" s="16"/>
      <c r="AD173" s="16"/>
      <c r="AE173" s="16"/>
      <c r="AF173" s="16"/>
      <c r="AG173" s="16"/>
      <c r="AH173" s="16"/>
      <c r="AI173" s="16">
        <v>6</v>
      </c>
      <c r="AJ173" s="356"/>
      <c r="AK173" s="357"/>
      <c r="AL173" s="25"/>
      <c r="AM173" s="356"/>
      <c r="AN173" s="356"/>
      <c r="AO173" s="356"/>
      <c r="AP173" s="16" t="s">
        <v>160</v>
      </c>
      <c r="AQ173" s="16" t="s">
        <v>228</v>
      </c>
      <c r="AR173" s="130">
        <f t="shared" si="8"/>
        <v>1404</v>
      </c>
      <c r="AS173" s="130">
        <f t="shared" si="9"/>
        <v>4</v>
      </c>
      <c r="AT173" s="130"/>
      <c r="AU173" s="130"/>
      <c r="AV173" s="12" t="str">
        <f t="shared" si="10"/>
        <v/>
      </c>
      <c r="AW173" s="12" t="str">
        <f t="shared" si="11"/>
        <v/>
      </c>
      <c r="AX173" s="12"/>
      <c r="AY173" s="408"/>
    </row>
    <row r="174" spans="1:51" ht="30" hidden="1" customHeight="1" x14ac:dyDescent="0.2">
      <c r="A174" s="356">
        <v>172</v>
      </c>
      <c r="B174" s="356">
        <v>22</v>
      </c>
      <c r="C174" s="356">
        <v>4</v>
      </c>
      <c r="D174" s="16">
        <v>1404</v>
      </c>
      <c r="E174" s="357" t="s">
        <v>951</v>
      </c>
      <c r="F174" s="357" t="s">
        <v>243</v>
      </c>
      <c r="G174" s="357" t="s">
        <v>202</v>
      </c>
      <c r="H174" s="356" t="s">
        <v>83</v>
      </c>
      <c r="I174" s="360" t="s">
        <v>158</v>
      </c>
      <c r="J174" s="16" t="s">
        <v>92</v>
      </c>
      <c r="K174" s="357"/>
      <c r="L174" s="357" t="s">
        <v>117</v>
      </c>
      <c r="M174" s="357" t="s">
        <v>5362</v>
      </c>
      <c r="N174" s="41" t="s">
        <v>106</v>
      </c>
      <c r="O174" s="13" t="s">
        <v>107</v>
      </c>
      <c r="P174" s="13"/>
      <c r="Q174" s="13"/>
      <c r="R174" s="357"/>
      <c r="S174" s="357" t="s">
        <v>3680</v>
      </c>
      <c r="T174" s="357" t="s">
        <v>441</v>
      </c>
      <c r="U174" s="357" t="s">
        <v>1028</v>
      </c>
      <c r="V174" s="357" t="s">
        <v>73</v>
      </c>
      <c r="W174" s="357" t="s">
        <v>70</v>
      </c>
      <c r="X174" s="357"/>
      <c r="Y174" s="40" t="s">
        <v>5363</v>
      </c>
      <c r="Z174" s="356">
        <v>174</v>
      </c>
      <c r="AA174" s="356" t="s">
        <v>3714</v>
      </c>
      <c r="AB174" s="16" t="s">
        <v>3714</v>
      </c>
      <c r="AC174" s="16"/>
      <c r="AD174" s="16"/>
      <c r="AE174" s="16"/>
      <c r="AF174" s="16"/>
      <c r="AG174" s="16"/>
      <c r="AH174" s="16"/>
      <c r="AI174" s="16">
        <v>6</v>
      </c>
      <c r="AJ174" s="356"/>
      <c r="AK174" s="357"/>
      <c r="AL174" s="25"/>
      <c r="AM174" s="356"/>
      <c r="AN174" s="356"/>
      <c r="AO174" s="356"/>
      <c r="AP174" s="16" t="s">
        <v>160</v>
      </c>
      <c r="AQ174" s="16" t="s">
        <v>228</v>
      </c>
      <c r="AR174" s="130">
        <f t="shared" si="8"/>
        <v>1404</v>
      </c>
      <c r="AS174" s="130">
        <f t="shared" si="9"/>
        <v>4</v>
      </c>
      <c r="AT174" s="130">
        <v>1401</v>
      </c>
      <c r="AU174" s="130">
        <v>7</v>
      </c>
      <c r="AV174" s="12">
        <f t="shared" si="10"/>
        <v>33</v>
      </c>
      <c r="AW174" s="12" t="str">
        <f t="shared" si="11"/>
        <v/>
      </c>
      <c r="AX174" s="12"/>
      <c r="AY174" s="408"/>
    </row>
    <row r="175" spans="1:51" ht="30" hidden="1" customHeight="1" x14ac:dyDescent="0.2">
      <c r="A175" s="356">
        <v>173</v>
      </c>
      <c r="B175" s="356">
        <v>23</v>
      </c>
      <c r="C175" s="356">
        <v>4</v>
      </c>
      <c r="D175" s="16">
        <v>1404</v>
      </c>
      <c r="E175" s="357" t="s">
        <v>3619</v>
      </c>
      <c r="F175" s="357" t="s">
        <v>243</v>
      </c>
      <c r="G175" s="357" t="s">
        <v>174</v>
      </c>
      <c r="H175" s="356" t="s">
        <v>7</v>
      </c>
      <c r="I175" s="360" t="s">
        <v>158</v>
      </c>
      <c r="J175" s="16" t="s">
        <v>84</v>
      </c>
      <c r="K175" s="35" t="s">
        <v>334</v>
      </c>
      <c r="L175" s="35">
        <v>7.5</v>
      </c>
      <c r="M175" s="357" t="s">
        <v>5364</v>
      </c>
      <c r="N175" s="357" t="s">
        <v>4856</v>
      </c>
      <c r="O175" s="356" t="s">
        <v>107</v>
      </c>
      <c r="P175" s="436"/>
      <c r="Q175" s="436"/>
      <c r="R175" s="35" t="s">
        <v>5365</v>
      </c>
      <c r="S175" s="35">
        <v>152</v>
      </c>
      <c r="T175" s="35">
        <v>20</v>
      </c>
      <c r="U175" s="357" t="s">
        <v>5366</v>
      </c>
      <c r="V175" s="357" t="s">
        <v>5367</v>
      </c>
      <c r="W175" s="357" t="s">
        <v>70</v>
      </c>
      <c r="X175" s="357" t="s">
        <v>5187</v>
      </c>
      <c r="Y175" s="356" t="s">
        <v>4689</v>
      </c>
      <c r="Z175" s="356"/>
      <c r="AA175" s="356" t="s">
        <v>2550</v>
      </c>
      <c r="AB175" s="16" t="s">
        <v>5368</v>
      </c>
      <c r="AC175" s="16"/>
      <c r="AD175" s="16"/>
      <c r="AE175" s="16"/>
      <c r="AF175" s="16"/>
      <c r="AG175" s="16" t="s">
        <v>5369</v>
      </c>
      <c r="AH175" s="16" t="s">
        <v>525</v>
      </c>
      <c r="AI175" s="16" t="s">
        <v>458</v>
      </c>
      <c r="AJ175" s="356"/>
      <c r="AK175" s="357" t="s">
        <v>5370</v>
      </c>
      <c r="AL175" s="25"/>
      <c r="AM175" s="356"/>
      <c r="AN175" s="356"/>
      <c r="AO175" s="356"/>
      <c r="AP175" s="16" t="s">
        <v>160</v>
      </c>
      <c r="AQ175" s="16" t="s">
        <v>228</v>
      </c>
      <c r="AR175" s="130">
        <f t="shared" si="8"/>
        <v>1404</v>
      </c>
      <c r="AS175" s="130">
        <f t="shared" si="9"/>
        <v>4</v>
      </c>
      <c r="AT175" s="130"/>
      <c r="AU175" s="130"/>
      <c r="AV175" s="12" t="str">
        <f t="shared" si="10"/>
        <v/>
      </c>
      <c r="AW175" s="12" t="str">
        <f t="shared" si="11"/>
        <v/>
      </c>
      <c r="AX175" s="12"/>
      <c r="AY175" s="408"/>
    </row>
    <row r="176" spans="1:51" ht="30" hidden="1" customHeight="1" x14ac:dyDescent="0.2">
      <c r="A176" s="356">
        <v>174</v>
      </c>
      <c r="B176" s="356">
        <v>23</v>
      </c>
      <c r="C176" s="356">
        <v>4</v>
      </c>
      <c r="D176" s="16">
        <v>1404</v>
      </c>
      <c r="E176" s="357" t="s">
        <v>3068</v>
      </c>
      <c r="F176" s="357" t="s">
        <v>2981</v>
      </c>
      <c r="G176" s="357" t="s">
        <v>481</v>
      </c>
      <c r="H176" s="356" t="s">
        <v>83</v>
      </c>
      <c r="I176" s="360" t="s">
        <v>158</v>
      </c>
      <c r="J176" s="16" t="s">
        <v>84</v>
      </c>
      <c r="K176" s="357"/>
      <c r="L176" s="357" t="s">
        <v>68</v>
      </c>
      <c r="M176" s="357" t="s">
        <v>4351</v>
      </c>
      <c r="N176" s="357" t="s">
        <v>106</v>
      </c>
      <c r="O176" s="356" t="s">
        <v>107</v>
      </c>
      <c r="P176" s="436"/>
      <c r="Q176" s="436"/>
      <c r="R176" s="357"/>
      <c r="S176" s="357" t="s">
        <v>3679</v>
      </c>
      <c r="T176" s="357" t="s">
        <v>485</v>
      </c>
      <c r="U176" s="357"/>
      <c r="V176" s="357" t="s">
        <v>106</v>
      </c>
      <c r="W176" s="357" t="s">
        <v>107</v>
      </c>
      <c r="X176" s="357"/>
      <c r="Y176" s="16" t="s">
        <v>4231</v>
      </c>
      <c r="Z176" s="356"/>
      <c r="AA176" s="356"/>
      <c r="AB176" s="16">
        <v>174</v>
      </c>
      <c r="AC176" s="16"/>
      <c r="AD176" s="16"/>
      <c r="AE176" s="16"/>
      <c r="AF176" s="16"/>
      <c r="AG176" s="16"/>
      <c r="AH176" s="16"/>
      <c r="AI176" s="16">
        <v>6</v>
      </c>
      <c r="AJ176" s="356"/>
      <c r="AK176" s="357"/>
      <c r="AL176" s="25"/>
      <c r="AM176" s="356"/>
      <c r="AN176" s="356"/>
      <c r="AO176" s="356"/>
      <c r="AP176" s="16" t="s">
        <v>111</v>
      </c>
      <c r="AQ176" s="16" t="s">
        <v>112</v>
      </c>
      <c r="AR176" s="130">
        <f t="shared" si="8"/>
        <v>1404</v>
      </c>
      <c r="AS176" s="130">
        <f t="shared" si="9"/>
        <v>4</v>
      </c>
      <c r="AT176" s="130">
        <v>1402</v>
      </c>
      <c r="AU176" s="130">
        <v>11</v>
      </c>
      <c r="AV176" s="12">
        <f>IF(AR176*AT176&gt;0,(AR176-AT176)*12+(AS176-AU176),"")</f>
        <v>17</v>
      </c>
      <c r="AW176" s="12" t="s">
        <v>3714</v>
      </c>
      <c r="AX176" s="12" t="s">
        <v>5371</v>
      </c>
      <c r="AY176" s="408" t="s">
        <v>5380</v>
      </c>
    </row>
    <row r="177" spans="1:51" ht="30" hidden="1" customHeight="1" x14ac:dyDescent="0.2">
      <c r="A177" s="356">
        <v>175</v>
      </c>
      <c r="B177" s="356">
        <v>23</v>
      </c>
      <c r="C177" s="356">
        <v>4</v>
      </c>
      <c r="D177" s="16">
        <v>1404</v>
      </c>
      <c r="E177" s="357" t="s">
        <v>4051</v>
      </c>
      <c r="F177" s="357" t="s">
        <v>243</v>
      </c>
      <c r="G177" s="357" t="s">
        <v>481</v>
      </c>
      <c r="H177" s="356" t="s">
        <v>83</v>
      </c>
      <c r="I177" s="360" t="s">
        <v>158</v>
      </c>
      <c r="J177" s="16" t="s">
        <v>92</v>
      </c>
      <c r="K177" s="357"/>
      <c r="L177" s="357" t="s">
        <v>140</v>
      </c>
      <c r="M177" s="357" t="s">
        <v>4052</v>
      </c>
      <c r="N177" s="357" t="s">
        <v>106</v>
      </c>
      <c r="O177" s="356" t="s">
        <v>107</v>
      </c>
      <c r="P177" s="436"/>
      <c r="Q177" s="436"/>
      <c r="R177" s="357"/>
      <c r="S177" s="357" t="s">
        <v>3677</v>
      </c>
      <c r="T177" s="357" t="s">
        <v>506</v>
      </c>
      <c r="U177" s="357" t="s">
        <v>4053</v>
      </c>
      <c r="V177" s="357" t="s">
        <v>262</v>
      </c>
      <c r="W177" s="357" t="s">
        <v>70</v>
      </c>
      <c r="X177" s="357"/>
      <c r="Y177" s="16" t="s">
        <v>4050</v>
      </c>
      <c r="Z177" s="356"/>
      <c r="AA177" s="356"/>
      <c r="AB177" s="16">
        <v>226</v>
      </c>
      <c r="AC177" s="16"/>
      <c r="AD177" s="16"/>
      <c r="AE177" s="16"/>
      <c r="AF177" s="16"/>
      <c r="AG177" s="16"/>
      <c r="AH177" s="16"/>
      <c r="AI177" s="16">
        <v>6</v>
      </c>
      <c r="AJ177" s="356"/>
      <c r="AK177" s="357"/>
      <c r="AL177" s="25"/>
      <c r="AM177" s="356"/>
      <c r="AN177" s="356"/>
      <c r="AO177" s="356"/>
      <c r="AP177" s="16" t="s">
        <v>160</v>
      </c>
      <c r="AQ177" s="16" t="s">
        <v>161</v>
      </c>
      <c r="AR177" s="130">
        <f t="shared" si="8"/>
        <v>1404</v>
      </c>
      <c r="AS177" s="130">
        <v>4</v>
      </c>
      <c r="AT177" s="130">
        <v>1402</v>
      </c>
      <c r="AU177" s="130">
        <v>9</v>
      </c>
      <c r="AV177" s="12">
        <f>IF(AR177*AT177&gt;0,(AR177-AT177)*12+(AS177-AU177),"")</f>
        <v>19</v>
      </c>
      <c r="AW177" s="12" t="str">
        <f>IF(AV177&lt;13,AV177,"")</f>
        <v/>
      </c>
      <c r="AX177" s="12"/>
      <c r="AY177" s="408"/>
    </row>
    <row r="178" spans="1:51" ht="30" hidden="1" customHeight="1" x14ac:dyDescent="0.2">
      <c r="A178" s="356">
        <v>176</v>
      </c>
      <c r="B178" s="20">
        <v>24</v>
      </c>
      <c r="C178" s="20">
        <v>4</v>
      </c>
      <c r="D178" s="29">
        <v>1404</v>
      </c>
      <c r="E178" s="30" t="s">
        <v>5234</v>
      </c>
      <c r="F178" s="30" t="s">
        <v>243</v>
      </c>
      <c r="G178" s="30" t="s">
        <v>2285</v>
      </c>
      <c r="H178" s="20" t="s">
        <v>83</v>
      </c>
      <c r="I178" s="360" t="s">
        <v>158</v>
      </c>
      <c r="J178" s="29" t="s">
        <v>84</v>
      </c>
      <c r="K178" s="30"/>
      <c r="L178" s="30" t="s">
        <v>68</v>
      </c>
      <c r="M178" s="30"/>
      <c r="N178" s="30" t="s">
        <v>106</v>
      </c>
      <c r="O178" s="20" t="s">
        <v>107</v>
      </c>
      <c r="P178" s="20"/>
      <c r="Q178" s="20"/>
      <c r="R178" s="30"/>
      <c r="S178" s="30" t="s">
        <v>3679</v>
      </c>
      <c r="T178" s="30" t="s">
        <v>485</v>
      </c>
      <c r="U178" s="30"/>
      <c r="V178" s="30" t="s">
        <v>106</v>
      </c>
      <c r="W178" s="30" t="s">
        <v>107</v>
      </c>
      <c r="X178" s="30"/>
      <c r="Y178" s="20" t="s">
        <v>5238</v>
      </c>
      <c r="Z178" s="20">
        <v>188</v>
      </c>
      <c r="AA178" s="20">
        <v>144</v>
      </c>
      <c r="AB178" s="29">
        <v>144</v>
      </c>
      <c r="AC178" s="29"/>
      <c r="AD178" s="29"/>
      <c r="AE178" s="29"/>
      <c r="AF178" s="29"/>
      <c r="AG178" s="29"/>
      <c r="AH178" s="29"/>
      <c r="AI178" s="29">
        <v>6</v>
      </c>
      <c r="AJ178" s="20"/>
      <c r="AK178" s="30"/>
      <c r="AL178" s="36"/>
      <c r="AM178" s="20"/>
      <c r="AN178" s="20"/>
      <c r="AO178" s="20"/>
      <c r="AP178" s="29" t="s">
        <v>5080</v>
      </c>
      <c r="AQ178" s="29"/>
      <c r="AR178" s="130">
        <f t="shared" si="8"/>
        <v>1404</v>
      </c>
      <c r="AS178" s="130">
        <f t="shared" si="9"/>
        <v>4</v>
      </c>
      <c r="AT178" s="318">
        <v>1404</v>
      </c>
      <c r="AU178" s="318">
        <v>2</v>
      </c>
      <c r="AV178" s="12">
        <f t="shared" ref="AV178:AV209" si="12">IF(AR178*AT178&gt;0,(AR178-AT178)*12+(AS178-AU178),"")</f>
        <v>2</v>
      </c>
      <c r="AW178" s="12">
        <f t="shared" ref="AW178:AW209" si="13">IF(AV178&lt;13,AV178,"")</f>
        <v>2</v>
      </c>
      <c r="AX178" s="31"/>
      <c r="AY178" s="409" t="s">
        <v>5372</v>
      </c>
    </row>
    <row r="179" spans="1:51" ht="30" hidden="1" customHeight="1" x14ac:dyDescent="0.2">
      <c r="A179" s="356">
        <v>177</v>
      </c>
      <c r="B179" s="356">
        <v>25</v>
      </c>
      <c r="C179" s="356">
        <v>4</v>
      </c>
      <c r="D179" s="16">
        <v>1404</v>
      </c>
      <c r="E179" s="357" t="s">
        <v>591</v>
      </c>
      <c r="F179" s="357" t="s">
        <v>9</v>
      </c>
      <c r="G179" s="357" t="s">
        <v>5247</v>
      </c>
      <c r="H179" s="356" t="s">
        <v>7</v>
      </c>
      <c r="I179" s="360" t="s">
        <v>158</v>
      </c>
      <c r="J179" s="16" t="s">
        <v>84</v>
      </c>
      <c r="K179" s="357" t="s">
        <v>68</v>
      </c>
      <c r="L179" s="357" t="s">
        <v>68</v>
      </c>
      <c r="M179" s="357" t="s">
        <v>3836</v>
      </c>
      <c r="N179" s="357" t="s">
        <v>106</v>
      </c>
      <c r="O179" s="356" t="s">
        <v>107</v>
      </c>
      <c r="P179" s="436"/>
      <c r="Q179" s="436"/>
      <c r="R179" s="35" t="s">
        <v>5019</v>
      </c>
      <c r="S179" s="35" t="s">
        <v>1510</v>
      </c>
      <c r="T179" s="35" t="s">
        <v>769</v>
      </c>
      <c r="U179" s="357" t="s">
        <v>703</v>
      </c>
      <c r="V179" s="357" t="s">
        <v>106</v>
      </c>
      <c r="W179" s="356" t="s">
        <v>107</v>
      </c>
      <c r="X179" s="357" t="s">
        <v>5187</v>
      </c>
      <c r="Y179" s="356" t="s">
        <v>4975</v>
      </c>
      <c r="Z179" s="356">
        <v>250</v>
      </c>
      <c r="AA179" s="356">
        <v>231</v>
      </c>
      <c r="AB179" s="16">
        <v>231</v>
      </c>
      <c r="AC179" s="16">
        <v>154</v>
      </c>
      <c r="AD179" s="16">
        <v>177</v>
      </c>
      <c r="AE179" s="16">
        <v>2</v>
      </c>
      <c r="AF179" s="16">
        <v>32</v>
      </c>
      <c r="AG179" s="16">
        <v>211</v>
      </c>
      <c r="AH179" s="16">
        <v>15</v>
      </c>
      <c r="AI179" s="16">
        <v>6</v>
      </c>
      <c r="AJ179" s="356"/>
      <c r="AK179" s="357" t="s">
        <v>5373</v>
      </c>
      <c r="AL179" s="25">
        <v>211</v>
      </c>
      <c r="AM179" s="356">
        <v>15.5</v>
      </c>
      <c r="AN179" s="356"/>
      <c r="AO179" s="356"/>
      <c r="AP179" s="16" t="s">
        <v>160</v>
      </c>
      <c r="AQ179" s="16" t="s">
        <v>165</v>
      </c>
      <c r="AR179" s="130">
        <f t="shared" si="8"/>
        <v>1404</v>
      </c>
      <c r="AS179" s="130">
        <f t="shared" si="9"/>
        <v>4</v>
      </c>
      <c r="AT179" s="130"/>
      <c r="AU179" s="130"/>
      <c r="AV179" s="12" t="str">
        <f t="shared" si="12"/>
        <v/>
      </c>
      <c r="AW179" s="12" t="str">
        <f t="shared" si="13"/>
        <v/>
      </c>
      <c r="AX179" s="12"/>
      <c r="AY179" s="408"/>
    </row>
    <row r="180" spans="1:51" ht="30" hidden="1" customHeight="1" x14ac:dyDescent="0.2">
      <c r="A180" s="356">
        <v>178</v>
      </c>
      <c r="B180" s="356">
        <v>28</v>
      </c>
      <c r="C180" s="356">
        <v>4</v>
      </c>
      <c r="D180" s="16">
        <v>1404</v>
      </c>
      <c r="E180" s="357" t="s">
        <v>859</v>
      </c>
      <c r="F180" s="357" t="s">
        <v>20</v>
      </c>
      <c r="G180" s="357" t="s">
        <v>481</v>
      </c>
      <c r="H180" s="356" t="s">
        <v>83</v>
      </c>
      <c r="I180" s="360" t="s">
        <v>158</v>
      </c>
      <c r="J180" s="16" t="s">
        <v>92</v>
      </c>
      <c r="K180" s="357"/>
      <c r="L180" s="362" t="s">
        <v>141</v>
      </c>
      <c r="M180" s="362" t="s">
        <v>4254</v>
      </c>
      <c r="N180" s="362" t="s">
        <v>106</v>
      </c>
      <c r="O180" s="363" t="s">
        <v>107</v>
      </c>
      <c r="P180" s="436"/>
      <c r="Q180" s="436"/>
      <c r="R180" s="356"/>
      <c r="S180" s="363" t="s">
        <v>2961</v>
      </c>
      <c r="T180" s="363" t="s">
        <v>2258</v>
      </c>
      <c r="U180" s="362" t="s">
        <v>4255</v>
      </c>
      <c r="V180" s="362" t="s">
        <v>106</v>
      </c>
      <c r="W180" s="362" t="s">
        <v>107</v>
      </c>
      <c r="X180" s="357"/>
      <c r="Y180" s="16" t="s">
        <v>4253</v>
      </c>
      <c r="Z180" s="356">
        <v>194</v>
      </c>
      <c r="AA180" s="356">
        <v>180</v>
      </c>
      <c r="AB180" s="16">
        <v>180</v>
      </c>
      <c r="AC180" s="16"/>
      <c r="AD180" s="16"/>
      <c r="AE180" s="16"/>
      <c r="AF180" s="16"/>
      <c r="AG180" s="16"/>
      <c r="AH180" s="16"/>
      <c r="AI180" s="16">
        <v>4</v>
      </c>
      <c r="AJ180" s="356"/>
      <c r="AK180" s="357"/>
      <c r="AL180" s="25"/>
      <c r="AM180" s="356"/>
      <c r="AN180" s="356"/>
      <c r="AO180" s="356"/>
      <c r="AP180" s="16" t="s">
        <v>5080</v>
      </c>
      <c r="AQ180" s="16" t="s">
        <v>231</v>
      </c>
      <c r="AR180" s="130">
        <f t="shared" si="8"/>
        <v>1404</v>
      </c>
      <c r="AS180" s="130">
        <f t="shared" si="9"/>
        <v>4</v>
      </c>
      <c r="AT180" s="130">
        <v>1402</v>
      </c>
      <c r="AU180" s="130">
        <v>11</v>
      </c>
      <c r="AV180" s="12">
        <f t="shared" si="12"/>
        <v>17</v>
      </c>
      <c r="AW180" s="12" t="str">
        <f t="shared" si="13"/>
        <v/>
      </c>
      <c r="AX180" s="12"/>
      <c r="AY180" s="408"/>
    </row>
    <row r="181" spans="1:51" ht="30" hidden="1" customHeight="1" x14ac:dyDescent="0.2">
      <c r="A181" s="20">
        <v>179</v>
      </c>
      <c r="B181" s="20">
        <v>29</v>
      </c>
      <c r="C181" s="20">
        <v>4</v>
      </c>
      <c r="D181" s="29">
        <v>1404</v>
      </c>
      <c r="E181" s="30" t="s">
        <v>2992</v>
      </c>
      <c r="F181" s="30" t="s">
        <v>2981</v>
      </c>
      <c r="G181" s="30" t="s">
        <v>605</v>
      </c>
      <c r="H181" s="20" t="s">
        <v>83</v>
      </c>
      <c r="I181" s="360" t="s">
        <v>158</v>
      </c>
      <c r="J181" s="29" t="s">
        <v>92</v>
      </c>
      <c r="K181" s="30"/>
      <c r="L181" s="30" t="s">
        <v>104</v>
      </c>
      <c r="M181" s="30" t="s">
        <v>5389</v>
      </c>
      <c r="N181" s="30" t="s">
        <v>106</v>
      </c>
      <c r="O181" s="20" t="s">
        <v>107</v>
      </c>
      <c r="P181" s="20"/>
      <c r="Q181" s="20"/>
      <c r="R181" s="20"/>
      <c r="S181" s="20">
        <v>384</v>
      </c>
      <c r="T181" s="20">
        <v>6</v>
      </c>
      <c r="U181" s="30" t="s">
        <v>1218</v>
      </c>
      <c r="V181" s="30" t="s">
        <v>106</v>
      </c>
      <c r="W181" s="20" t="s">
        <v>107</v>
      </c>
      <c r="X181" s="30"/>
      <c r="Y181" s="20" t="s">
        <v>5384</v>
      </c>
      <c r="Z181" s="20">
        <v>244</v>
      </c>
      <c r="AA181" s="20">
        <v>180</v>
      </c>
      <c r="AB181" s="29">
        <v>180</v>
      </c>
      <c r="AC181" s="29"/>
      <c r="AD181" s="29"/>
      <c r="AE181" s="29"/>
      <c r="AF181" s="29"/>
      <c r="AG181" s="29"/>
      <c r="AH181" s="29"/>
      <c r="AI181" s="29">
        <v>6</v>
      </c>
      <c r="AJ181" s="20"/>
      <c r="AK181" s="30"/>
      <c r="AL181" s="36"/>
      <c r="AM181" s="20"/>
      <c r="AN181" s="20"/>
      <c r="AO181" s="20"/>
      <c r="AP181" s="29" t="s">
        <v>5080</v>
      </c>
      <c r="AQ181" s="29" t="s">
        <v>112</v>
      </c>
      <c r="AR181" s="318">
        <f t="shared" si="8"/>
        <v>1404</v>
      </c>
      <c r="AS181" s="318">
        <f t="shared" si="9"/>
        <v>4</v>
      </c>
      <c r="AT181" s="318">
        <v>1404</v>
      </c>
      <c r="AU181" s="318">
        <v>3</v>
      </c>
      <c r="AV181" s="31">
        <f t="shared" si="12"/>
        <v>1</v>
      </c>
      <c r="AW181" s="31">
        <f t="shared" si="13"/>
        <v>1</v>
      </c>
      <c r="AX181" s="31" t="s">
        <v>456</v>
      </c>
      <c r="AY181" s="409" t="s">
        <v>5388</v>
      </c>
    </row>
    <row r="182" spans="1:51" ht="30" hidden="1" customHeight="1" x14ac:dyDescent="0.2">
      <c r="A182" s="356">
        <v>180</v>
      </c>
      <c r="B182" s="356">
        <v>30</v>
      </c>
      <c r="C182" s="356">
        <v>4</v>
      </c>
      <c r="D182" s="16">
        <v>1404</v>
      </c>
      <c r="E182" s="357" t="s">
        <v>4051</v>
      </c>
      <c r="F182" s="357" t="s">
        <v>243</v>
      </c>
      <c r="G182" s="357" t="s">
        <v>5247</v>
      </c>
      <c r="H182" s="356" t="s">
        <v>7</v>
      </c>
      <c r="I182" s="360" t="s">
        <v>158</v>
      </c>
      <c r="J182" s="16" t="s">
        <v>92</v>
      </c>
      <c r="K182" s="357" t="s">
        <v>140</v>
      </c>
      <c r="L182" s="357" t="s">
        <v>140</v>
      </c>
      <c r="M182" s="357" t="s">
        <v>5382</v>
      </c>
      <c r="N182" s="357" t="s">
        <v>142</v>
      </c>
      <c r="O182" s="356" t="s">
        <v>70</v>
      </c>
      <c r="P182" s="436"/>
      <c r="Q182" s="436"/>
      <c r="R182" s="356" t="s">
        <v>188</v>
      </c>
      <c r="S182" s="356">
        <v>345</v>
      </c>
      <c r="T182" s="356">
        <v>5</v>
      </c>
      <c r="U182" s="357" t="s">
        <v>5383</v>
      </c>
      <c r="V182" s="362" t="s">
        <v>106</v>
      </c>
      <c r="W182" s="362" t="s">
        <v>107</v>
      </c>
      <c r="X182" s="357"/>
      <c r="Y182" s="356"/>
      <c r="Z182" s="356">
        <v>243</v>
      </c>
      <c r="AA182" s="356">
        <v>225</v>
      </c>
      <c r="AB182" s="16">
        <v>225</v>
      </c>
      <c r="AC182" s="16">
        <v>45</v>
      </c>
      <c r="AD182" s="16">
        <v>78</v>
      </c>
      <c r="AE182" s="16">
        <v>7</v>
      </c>
      <c r="AF182" s="16">
        <v>40</v>
      </c>
      <c r="AG182" s="16">
        <v>125</v>
      </c>
      <c r="AH182" s="16">
        <v>22</v>
      </c>
      <c r="AI182" s="16">
        <v>6</v>
      </c>
      <c r="AJ182" s="356"/>
      <c r="AK182" s="357"/>
      <c r="AL182" s="25"/>
      <c r="AM182" s="356"/>
      <c r="AN182" s="356"/>
      <c r="AO182" s="356"/>
      <c r="AP182" s="16" t="s">
        <v>160</v>
      </c>
      <c r="AQ182" s="16" t="s">
        <v>161</v>
      </c>
      <c r="AR182" s="130">
        <f t="shared" si="8"/>
        <v>1404</v>
      </c>
      <c r="AS182" s="130">
        <v>4</v>
      </c>
      <c r="AT182" s="130"/>
      <c r="AU182" s="130"/>
      <c r="AV182" s="12" t="str">
        <f t="shared" si="12"/>
        <v/>
      </c>
      <c r="AW182" s="12" t="str">
        <f t="shared" si="13"/>
        <v/>
      </c>
      <c r="AX182" s="12"/>
      <c r="AY182" s="408"/>
    </row>
    <row r="183" spans="1:51" ht="30" hidden="1" customHeight="1" x14ac:dyDescent="0.2">
      <c r="A183" s="356">
        <v>181</v>
      </c>
      <c r="B183" s="356">
        <v>30</v>
      </c>
      <c r="C183" s="356">
        <v>4</v>
      </c>
      <c r="D183" s="16">
        <v>1404</v>
      </c>
      <c r="E183" s="357" t="s">
        <v>990</v>
      </c>
      <c r="F183" s="357" t="s">
        <v>66</v>
      </c>
      <c r="G183" s="357" t="s">
        <v>3661</v>
      </c>
      <c r="H183" s="356" t="s">
        <v>83</v>
      </c>
      <c r="I183" s="360" t="s">
        <v>158</v>
      </c>
      <c r="J183" s="16" t="s">
        <v>84</v>
      </c>
      <c r="K183" s="357" t="s">
        <v>117</v>
      </c>
      <c r="L183" s="357" t="s">
        <v>117</v>
      </c>
      <c r="M183" s="41" t="s">
        <v>1797</v>
      </c>
      <c r="N183" s="357" t="s">
        <v>69</v>
      </c>
      <c r="O183" s="364" t="s">
        <v>70</v>
      </c>
      <c r="P183" s="436"/>
      <c r="Q183" s="436"/>
      <c r="R183" s="356" t="s">
        <v>125</v>
      </c>
      <c r="S183" s="356">
        <v>6609</v>
      </c>
      <c r="T183" s="356">
        <v>13</v>
      </c>
      <c r="U183" s="41" t="s">
        <v>1798</v>
      </c>
      <c r="V183" s="357" t="s">
        <v>73</v>
      </c>
      <c r="W183" s="356" t="s">
        <v>70</v>
      </c>
      <c r="X183" s="357"/>
      <c r="Y183" s="356" t="s">
        <v>1802</v>
      </c>
      <c r="Z183" s="356">
        <v>220</v>
      </c>
      <c r="AA183" s="356">
        <v>198</v>
      </c>
      <c r="AB183" s="16">
        <v>198</v>
      </c>
      <c r="AC183" s="16"/>
      <c r="AD183" s="16"/>
      <c r="AE183" s="16"/>
      <c r="AF183" s="16"/>
      <c r="AG183" s="16"/>
      <c r="AH183" s="16"/>
      <c r="AI183" s="16">
        <v>4</v>
      </c>
      <c r="AJ183" s="356"/>
      <c r="AK183" s="357"/>
      <c r="AL183" s="25"/>
      <c r="AM183" s="356"/>
      <c r="AN183" s="356"/>
      <c r="AO183" s="356"/>
      <c r="AP183" s="16" t="s">
        <v>160</v>
      </c>
      <c r="AQ183" s="16" t="s">
        <v>161</v>
      </c>
      <c r="AR183" s="130">
        <f t="shared" si="8"/>
        <v>1404</v>
      </c>
      <c r="AS183" s="130">
        <f t="shared" si="9"/>
        <v>4</v>
      </c>
      <c r="AT183" s="130">
        <v>1401</v>
      </c>
      <c r="AU183" s="130">
        <v>10</v>
      </c>
      <c r="AV183" s="12">
        <f t="shared" si="12"/>
        <v>30</v>
      </c>
      <c r="AW183" s="12" t="str">
        <f t="shared" si="13"/>
        <v/>
      </c>
      <c r="AX183" s="12"/>
      <c r="AY183" s="408"/>
    </row>
    <row r="184" spans="1:51" ht="30" hidden="1" customHeight="1" x14ac:dyDescent="0.2">
      <c r="A184" s="356">
        <v>182</v>
      </c>
      <c r="B184" s="356">
        <v>30</v>
      </c>
      <c r="C184" s="356">
        <v>4</v>
      </c>
      <c r="D184" s="16">
        <v>1404</v>
      </c>
      <c r="E184" s="365" t="s">
        <v>990</v>
      </c>
      <c r="F184" s="365" t="s">
        <v>66</v>
      </c>
      <c r="G184" s="365" t="s">
        <v>5247</v>
      </c>
      <c r="H184" s="356" t="s">
        <v>7</v>
      </c>
      <c r="I184" s="360" t="s">
        <v>158</v>
      </c>
      <c r="J184" s="16" t="s">
        <v>84</v>
      </c>
      <c r="K184" s="357" t="s">
        <v>117</v>
      </c>
      <c r="L184" s="357" t="s">
        <v>117</v>
      </c>
      <c r="M184" s="357" t="s">
        <v>5398</v>
      </c>
      <c r="N184" s="357" t="s">
        <v>106</v>
      </c>
      <c r="O184" s="356" t="s">
        <v>107</v>
      </c>
      <c r="P184" s="436"/>
      <c r="Q184" s="436"/>
      <c r="R184" s="356" t="s">
        <v>199</v>
      </c>
      <c r="S184" s="356">
        <v>6609</v>
      </c>
      <c r="T184" s="356">
        <v>13</v>
      </c>
      <c r="U184" s="357"/>
      <c r="V184" s="357" t="s">
        <v>73</v>
      </c>
      <c r="W184" s="356" t="s">
        <v>70</v>
      </c>
      <c r="X184" s="357"/>
      <c r="Y184" s="356" t="s">
        <v>1802</v>
      </c>
      <c r="Z184" s="356">
        <v>220</v>
      </c>
      <c r="AA184" s="356">
        <v>198</v>
      </c>
      <c r="AB184" s="16">
        <v>198</v>
      </c>
      <c r="AC184" s="16">
        <v>115</v>
      </c>
      <c r="AD184" s="16">
        <v>157</v>
      </c>
      <c r="AE184" s="16">
        <v>13</v>
      </c>
      <c r="AF184" s="16">
        <v>25</v>
      </c>
      <c r="AG184" s="16">
        <v>195</v>
      </c>
      <c r="AH184" s="16">
        <v>15</v>
      </c>
      <c r="AI184" s="16">
        <v>4</v>
      </c>
      <c r="AJ184" s="356"/>
      <c r="AK184" s="357"/>
      <c r="AL184" s="25"/>
      <c r="AM184" s="356"/>
      <c r="AN184" s="356"/>
      <c r="AO184" s="356"/>
      <c r="AP184" s="16" t="s">
        <v>160</v>
      </c>
      <c r="AQ184" s="16" t="s">
        <v>161</v>
      </c>
      <c r="AR184" s="130">
        <f t="shared" si="8"/>
        <v>1404</v>
      </c>
      <c r="AS184" s="130">
        <f t="shared" si="9"/>
        <v>4</v>
      </c>
      <c r="AT184" s="130"/>
      <c r="AU184" s="130"/>
      <c r="AV184" s="12" t="str">
        <f t="shared" si="12"/>
        <v/>
      </c>
      <c r="AW184" s="12" t="str">
        <f t="shared" si="13"/>
        <v/>
      </c>
      <c r="AX184" s="12"/>
      <c r="AY184" s="408"/>
    </row>
    <row r="185" spans="1:51" ht="30" hidden="1" customHeight="1" x14ac:dyDescent="0.2">
      <c r="A185" s="356">
        <v>183</v>
      </c>
      <c r="B185" s="356">
        <v>31</v>
      </c>
      <c r="C185" s="356">
        <v>4</v>
      </c>
      <c r="D185" s="16">
        <v>1404</v>
      </c>
      <c r="E185" s="357" t="s">
        <v>2064</v>
      </c>
      <c r="F185" s="357" t="s">
        <v>6</v>
      </c>
      <c r="G185" s="357" t="s">
        <v>2285</v>
      </c>
      <c r="H185" s="356" t="s">
        <v>83</v>
      </c>
      <c r="I185" s="360" t="s">
        <v>158</v>
      </c>
      <c r="J185" s="16" t="s">
        <v>84</v>
      </c>
      <c r="K185" s="357" t="s">
        <v>3714</v>
      </c>
      <c r="L185" s="357" t="s">
        <v>155</v>
      </c>
      <c r="M185" s="41" t="s">
        <v>2069</v>
      </c>
      <c r="N185" s="365" t="s">
        <v>106</v>
      </c>
      <c r="O185" s="366" t="s">
        <v>107</v>
      </c>
      <c r="P185" s="436"/>
      <c r="Q185" s="436"/>
      <c r="R185" s="356"/>
      <c r="S185" s="356">
        <v>384</v>
      </c>
      <c r="T185" s="356">
        <v>10</v>
      </c>
      <c r="U185" s="41" t="s">
        <v>2070</v>
      </c>
      <c r="V185" s="365" t="s">
        <v>106</v>
      </c>
      <c r="W185" s="365" t="s">
        <v>107</v>
      </c>
      <c r="X185" s="357"/>
      <c r="Y185" s="356" t="s">
        <v>2081</v>
      </c>
      <c r="Z185" s="356">
        <v>224</v>
      </c>
      <c r="AA185" s="356">
        <v>210</v>
      </c>
      <c r="AB185" s="16">
        <v>210</v>
      </c>
      <c r="AC185" s="16"/>
      <c r="AD185" s="16"/>
      <c r="AE185" s="16"/>
      <c r="AF185" s="16"/>
      <c r="AG185" s="16"/>
      <c r="AH185" s="16"/>
      <c r="AI185" s="16">
        <v>6</v>
      </c>
      <c r="AJ185" s="356"/>
      <c r="AK185" s="357"/>
      <c r="AL185" s="25"/>
      <c r="AM185" s="356"/>
      <c r="AN185" s="356"/>
      <c r="AO185" s="356"/>
      <c r="AP185" s="16" t="s">
        <v>160</v>
      </c>
      <c r="AQ185" s="16" t="s">
        <v>193</v>
      </c>
      <c r="AR185" s="130">
        <f t="shared" si="8"/>
        <v>1404</v>
      </c>
      <c r="AS185" s="130">
        <f t="shared" si="9"/>
        <v>4</v>
      </c>
      <c r="AT185" s="130">
        <v>1401</v>
      </c>
      <c r="AU185" s="130">
        <v>12</v>
      </c>
      <c r="AV185" s="12">
        <f t="shared" si="12"/>
        <v>28</v>
      </c>
      <c r="AW185" s="12" t="str">
        <f t="shared" si="13"/>
        <v/>
      </c>
      <c r="AX185" s="12"/>
      <c r="AY185" s="408"/>
    </row>
    <row r="186" spans="1:51" ht="30" hidden="1" customHeight="1" x14ac:dyDescent="0.2">
      <c r="A186" s="356">
        <v>184</v>
      </c>
      <c r="B186" s="356">
        <v>31</v>
      </c>
      <c r="C186" s="356">
        <v>4</v>
      </c>
      <c r="D186" s="16">
        <v>1404</v>
      </c>
      <c r="E186" s="357" t="s">
        <v>3976</v>
      </c>
      <c r="F186" s="365" t="s">
        <v>6</v>
      </c>
      <c r="G186" s="357" t="s">
        <v>5247</v>
      </c>
      <c r="H186" s="356" t="s">
        <v>7</v>
      </c>
      <c r="I186" s="360" t="s">
        <v>158</v>
      </c>
      <c r="J186" s="16" t="s">
        <v>84</v>
      </c>
      <c r="K186" s="35" t="s">
        <v>155</v>
      </c>
      <c r="L186" s="35" t="s">
        <v>104</v>
      </c>
      <c r="M186" s="357"/>
      <c r="N186" s="368" t="s">
        <v>106</v>
      </c>
      <c r="O186" s="367" t="s">
        <v>107</v>
      </c>
      <c r="P186" s="436"/>
      <c r="Q186" s="436"/>
      <c r="R186" s="33" t="s">
        <v>170</v>
      </c>
      <c r="S186" s="33">
        <v>293</v>
      </c>
      <c r="T186" s="33">
        <v>15</v>
      </c>
      <c r="U186" s="357"/>
      <c r="V186" s="368" t="s">
        <v>106</v>
      </c>
      <c r="W186" s="368" t="s">
        <v>107</v>
      </c>
      <c r="X186" s="357" t="s">
        <v>5187</v>
      </c>
      <c r="Y186" s="356" t="s">
        <v>5390</v>
      </c>
      <c r="Z186" s="356">
        <v>243</v>
      </c>
      <c r="AA186" s="356">
        <v>228</v>
      </c>
      <c r="AB186" s="16">
        <v>228</v>
      </c>
      <c r="AC186" s="16">
        <v>125</v>
      </c>
      <c r="AD186" s="16">
        <v>228</v>
      </c>
      <c r="AE186" s="16">
        <v>2</v>
      </c>
      <c r="AF186" s="16">
        <v>40</v>
      </c>
      <c r="AG186" s="16">
        <v>270</v>
      </c>
      <c r="AH186" s="16" t="s">
        <v>5391</v>
      </c>
      <c r="AI186" s="16">
        <v>6</v>
      </c>
      <c r="AJ186" s="356"/>
      <c r="AK186" s="357" t="s">
        <v>5381</v>
      </c>
      <c r="AL186" s="25">
        <v>270</v>
      </c>
      <c r="AM186" s="356">
        <v>12.7</v>
      </c>
      <c r="AN186" s="356"/>
      <c r="AO186" s="356"/>
      <c r="AP186" s="16" t="s">
        <v>160</v>
      </c>
      <c r="AQ186" s="16" t="s">
        <v>165</v>
      </c>
      <c r="AR186" s="130">
        <f t="shared" si="8"/>
        <v>1404</v>
      </c>
      <c r="AS186" s="130">
        <f t="shared" si="9"/>
        <v>4</v>
      </c>
      <c r="AT186" s="130"/>
      <c r="AU186" s="130"/>
      <c r="AV186" s="12" t="str">
        <f t="shared" si="12"/>
        <v/>
      </c>
      <c r="AW186" s="12" t="str">
        <f t="shared" si="13"/>
        <v/>
      </c>
      <c r="AX186" s="12"/>
      <c r="AY186" s="408"/>
    </row>
    <row r="187" spans="1:51" ht="30" hidden="1" customHeight="1" x14ac:dyDescent="0.2">
      <c r="A187" s="356">
        <v>185</v>
      </c>
      <c r="B187" s="356">
        <v>1</v>
      </c>
      <c r="C187" s="356">
        <v>5</v>
      </c>
      <c r="D187" s="16">
        <v>1404</v>
      </c>
      <c r="E187" s="357" t="s">
        <v>5385</v>
      </c>
      <c r="F187" s="357" t="s">
        <v>20</v>
      </c>
      <c r="G187" s="357" t="s">
        <v>481</v>
      </c>
      <c r="H187" s="356" t="s">
        <v>83</v>
      </c>
      <c r="I187" s="360" t="s">
        <v>158</v>
      </c>
      <c r="J187" s="16" t="s">
        <v>84</v>
      </c>
      <c r="K187" s="357" t="s">
        <v>68</v>
      </c>
      <c r="L187" s="357" t="s">
        <v>68</v>
      </c>
      <c r="M187" s="357" t="s">
        <v>411</v>
      </c>
      <c r="N187" s="357" t="s">
        <v>69</v>
      </c>
      <c r="O187" s="356" t="s">
        <v>70</v>
      </c>
      <c r="P187" s="436"/>
      <c r="Q187" s="436"/>
      <c r="R187" s="356"/>
      <c r="S187" s="356">
        <v>6609</v>
      </c>
      <c r="T187" s="356">
        <v>17</v>
      </c>
      <c r="U187" s="357" t="s">
        <v>412</v>
      </c>
      <c r="V187" s="368" t="s">
        <v>106</v>
      </c>
      <c r="W187" s="368" t="s">
        <v>107</v>
      </c>
      <c r="X187" s="357"/>
      <c r="Y187" s="356" t="s">
        <v>381</v>
      </c>
      <c r="Z187" s="356">
        <v>234</v>
      </c>
      <c r="AA187" s="356">
        <v>210</v>
      </c>
      <c r="AB187" s="16">
        <v>210</v>
      </c>
      <c r="AC187" s="16"/>
      <c r="AD187" s="16"/>
      <c r="AE187" s="16"/>
      <c r="AF187" s="16"/>
      <c r="AG187" s="16"/>
      <c r="AH187" s="16"/>
      <c r="AI187" s="16">
        <v>4</v>
      </c>
      <c r="AJ187" s="356"/>
      <c r="AK187" s="357" t="s">
        <v>5392</v>
      </c>
      <c r="AL187" s="25"/>
      <c r="AM187" s="356"/>
      <c r="AN187" s="356"/>
      <c r="AO187" s="356"/>
      <c r="AP187" s="16" t="s">
        <v>5080</v>
      </c>
      <c r="AQ187" s="16" t="s">
        <v>193</v>
      </c>
      <c r="AR187" s="130">
        <f t="shared" si="8"/>
        <v>1404</v>
      </c>
      <c r="AS187" s="130">
        <f t="shared" si="9"/>
        <v>5</v>
      </c>
      <c r="AT187" s="130">
        <v>1402</v>
      </c>
      <c r="AU187" s="130">
        <v>8</v>
      </c>
      <c r="AV187" s="12">
        <f t="shared" si="12"/>
        <v>21</v>
      </c>
      <c r="AW187" s="12" t="str">
        <f t="shared" si="13"/>
        <v/>
      </c>
      <c r="AX187" s="12"/>
      <c r="AY187" s="408"/>
    </row>
    <row r="188" spans="1:51" ht="30" hidden="1" customHeight="1" x14ac:dyDescent="0.2">
      <c r="A188" s="356">
        <v>186</v>
      </c>
      <c r="B188" s="356">
        <v>1</v>
      </c>
      <c r="C188" s="356">
        <v>5</v>
      </c>
      <c r="D188" s="16">
        <v>1404</v>
      </c>
      <c r="E188" s="357" t="s">
        <v>5386</v>
      </c>
      <c r="F188" s="365" t="s">
        <v>20</v>
      </c>
      <c r="G188" s="357" t="s">
        <v>222</v>
      </c>
      <c r="H188" s="356" t="s">
        <v>83</v>
      </c>
      <c r="I188" s="360" t="s">
        <v>158</v>
      </c>
      <c r="J188" s="16" t="s">
        <v>84</v>
      </c>
      <c r="K188" s="357" t="s">
        <v>116</v>
      </c>
      <c r="L188" s="357" t="s">
        <v>116</v>
      </c>
      <c r="M188" s="369" t="s">
        <v>2014</v>
      </c>
      <c r="N188" s="369" t="s">
        <v>106</v>
      </c>
      <c r="O188" s="370" t="s">
        <v>107</v>
      </c>
      <c r="P188" s="436"/>
      <c r="Q188" s="436"/>
      <c r="R188" s="356" t="s">
        <v>3714</v>
      </c>
      <c r="S188" s="356">
        <v>193</v>
      </c>
      <c r="T188" s="356">
        <v>9</v>
      </c>
      <c r="U188" s="369" t="s">
        <v>2015</v>
      </c>
      <c r="V188" s="369" t="s">
        <v>106</v>
      </c>
      <c r="W188" s="370" t="s">
        <v>107</v>
      </c>
      <c r="X188" s="357"/>
      <c r="Y188" s="356" t="s">
        <v>3526</v>
      </c>
      <c r="Z188" s="356">
        <v>142</v>
      </c>
      <c r="AA188" s="356">
        <v>135</v>
      </c>
      <c r="AB188" s="16">
        <v>135</v>
      </c>
      <c r="AC188" s="16"/>
      <c r="AD188" s="16"/>
      <c r="AE188" s="16"/>
      <c r="AF188" s="16"/>
      <c r="AG188" s="16"/>
      <c r="AH188" s="16"/>
      <c r="AI188" s="16">
        <v>4</v>
      </c>
      <c r="AJ188" s="356"/>
      <c r="AK188" s="357" t="s">
        <v>3714</v>
      </c>
      <c r="AL188" s="25"/>
      <c r="AM188" s="356"/>
      <c r="AN188" s="356"/>
      <c r="AO188" s="356"/>
      <c r="AP188" s="16" t="s">
        <v>5080</v>
      </c>
      <c r="AQ188" s="16" t="s">
        <v>228</v>
      </c>
      <c r="AR188" s="130">
        <f t="shared" si="8"/>
        <v>1404</v>
      </c>
      <c r="AS188" s="130">
        <f t="shared" si="9"/>
        <v>5</v>
      </c>
      <c r="AT188" s="130">
        <v>1402</v>
      </c>
      <c r="AU188" s="130">
        <v>4</v>
      </c>
      <c r="AV188" s="12">
        <f t="shared" si="12"/>
        <v>25</v>
      </c>
      <c r="AW188" s="12" t="str">
        <f t="shared" si="13"/>
        <v/>
      </c>
      <c r="AX188" s="12"/>
      <c r="AY188" s="408"/>
    </row>
    <row r="189" spans="1:51" ht="30" hidden="1" customHeight="1" x14ac:dyDescent="0.2">
      <c r="A189" s="356">
        <v>187</v>
      </c>
      <c r="B189" s="356">
        <v>1</v>
      </c>
      <c r="C189" s="356">
        <v>5</v>
      </c>
      <c r="D189" s="16">
        <v>1404</v>
      </c>
      <c r="E189" s="357" t="s">
        <v>5387</v>
      </c>
      <c r="F189" s="357" t="s">
        <v>66</v>
      </c>
      <c r="G189" s="357" t="s">
        <v>192</v>
      </c>
      <c r="H189" s="356" t="s">
        <v>7</v>
      </c>
      <c r="I189" s="360" t="s">
        <v>158</v>
      </c>
      <c r="J189" s="16" t="s">
        <v>84</v>
      </c>
      <c r="K189" s="357"/>
      <c r="L189" s="357" t="s">
        <v>140</v>
      </c>
      <c r="M189" s="357"/>
      <c r="N189" s="372" t="s">
        <v>106</v>
      </c>
      <c r="O189" s="371" t="s">
        <v>107</v>
      </c>
      <c r="P189" s="436"/>
      <c r="Q189" s="436"/>
      <c r="R189" s="356"/>
      <c r="S189" s="356">
        <v>345</v>
      </c>
      <c r="T189" s="356">
        <v>5</v>
      </c>
      <c r="U189" s="357"/>
      <c r="V189" s="372" t="s">
        <v>106</v>
      </c>
      <c r="W189" s="371" t="s">
        <v>107</v>
      </c>
      <c r="X189" s="357"/>
      <c r="Y189" s="356"/>
      <c r="Z189" s="356">
        <v>250</v>
      </c>
      <c r="AA189" s="356">
        <v>213</v>
      </c>
      <c r="AB189" s="16">
        <v>213</v>
      </c>
      <c r="AC189" s="16">
        <v>94</v>
      </c>
      <c r="AD189" s="16">
        <v>118</v>
      </c>
      <c r="AE189" s="16">
        <v>4</v>
      </c>
      <c r="AF189" s="16">
        <v>7</v>
      </c>
      <c r="AG189" s="16">
        <v>129</v>
      </c>
      <c r="AH189" s="16">
        <v>19</v>
      </c>
      <c r="AI189" s="16">
        <v>6</v>
      </c>
      <c r="AJ189" s="356"/>
      <c r="AK189" s="357" t="s">
        <v>5393</v>
      </c>
      <c r="AL189" s="25">
        <v>129</v>
      </c>
      <c r="AM189" s="371">
        <v>18.7</v>
      </c>
      <c r="AN189" s="356"/>
      <c r="AO189" s="356"/>
      <c r="AP189" s="16" t="s">
        <v>160</v>
      </c>
      <c r="AQ189" s="16" t="s">
        <v>161</v>
      </c>
      <c r="AR189" s="130">
        <f t="shared" si="8"/>
        <v>1404</v>
      </c>
      <c r="AS189" s="130">
        <f t="shared" si="9"/>
        <v>5</v>
      </c>
      <c r="AT189" s="130"/>
      <c r="AU189" s="130"/>
      <c r="AV189" s="12" t="str">
        <f t="shared" si="12"/>
        <v/>
      </c>
      <c r="AW189" s="12" t="str">
        <f t="shared" si="13"/>
        <v/>
      </c>
      <c r="AX189" s="12"/>
      <c r="AY189" s="408"/>
    </row>
    <row r="190" spans="1:51" ht="30" hidden="1" customHeight="1" x14ac:dyDescent="0.2">
      <c r="A190" s="356">
        <v>188</v>
      </c>
      <c r="B190" s="356">
        <v>4</v>
      </c>
      <c r="C190" s="356">
        <v>5</v>
      </c>
      <c r="D190" s="16">
        <v>1404</v>
      </c>
      <c r="E190" s="357" t="s">
        <v>3068</v>
      </c>
      <c r="F190" s="357" t="s">
        <v>2981</v>
      </c>
      <c r="G190" s="357" t="s">
        <v>5247</v>
      </c>
      <c r="H190" s="356" t="s">
        <v>7</v>
      </c>
      <c r="I190" s="360" t="s">
        <v>158</v>
      </c>
      <c r="J190" s="16" t="s">
        <v>84</v>
      </c>
      <c r="K190" s="357" t="s">
        <v>68</v>
      </c>
      <c r="L190" s="357" t="s">
        <v>140</v>
      </c>
      <c r="M190" s="357" t="s">
        <v>696</v>
      </c>
      <c r="N190" s="357" t="s">
        <v>69</v>
      </c>
      <c r="O190" s="356" t="s">
        <v>70</v>
      </c>
      <c r="P190" s="436"/>
      <c r="Q190" s="436"/>
      <c r="R190" s="356"/>
      <c r="S190" s="356">
        <v>6608</v>
      </c>
      <c r="T190" s="356">
        <v>16</v>
      </c>
      <c r="U190" s="357" t="s">
        <v>6783</v>
      </c>
      <c r="V190" s="357" t="s">
        <v>73</v>
      </c>
      <c r="W190" s="356" t="s">
        <v>70</v>
      </c>
      <c r="X190" s="357" t="s">
        <v>5187</v>
      </c>
      <c r="Y190" s="356" t="s">
        <v>4231</v>
      </c>
      <c r="Z190" s="356">
        <v>198</v>
      </c>
      <c r="AA190" s="356">
        <v>156</v>
      </c>
      <c r="AB190" s="16">
        <v>156</v>
      </c>
      <c r="AC190" s="16">
        <v>67</v>
      </c>
      <c r="AD190" s="16">
        <v>135</v>
      </c>
      <c r="AE190" s="16">
        <v>2</v>
      </c>
      <c r="AF190" s="16">
        <v>43</v>
      </c>
      <c r="AG190" s="16">
        <v>180</v>
      </c>
      <c r="AH190" s="16">
        <v>11</v>
      </c>
      <c r="AI190" s="16">
        <v>6</v>
      </c>
      <c r="AJ190" s="356"/>
      <c r="AK190" s="357" t="s">
        <v>5393</v>
      </c>
      <c r="AL190" s="25">
        <v>180</v>
      </c>
      <c r="AM190" s="25">
        <v>12.4</v>
      </c>
      <c r="AN190" s="356"/>
      <c r="AO190" s="356"/>
      <c r="AP190" s="16" t="s">
        <v>5080</v>
      </c>
      <c r="AQ190" s="16" t="s">
        <v>112</v>
      </c>
      <c r="AR190" s="130">
        <f t="shared" si="8"/>
        <v>1404</v>
      </c>
      <c r="AS190" s="130">
        <f t="shared" si="9"/>
        <v>5</v>
      </c>
      <c r="AT190" s="130"/>
      <c r="AU190" s="130"/>
      <c r="AV190" s="12" t="str">
        <f t="shared" si="12"/>
        <v/>
      </c>
      <c r="AW190" s="12" t="str">
        <f t="shared" si="13"/>
        <v/>
      </c>
      <c r="AX190" s="12"/>
      <c r="AY190" s="408"/>
    </row>
    <row r="191" spans="1:51" ht="30" hidden="1" customHeight="1" x14ac:dyDescent="0.2">
      <c r="A191" s="20">
        <v>189</v>
      </c>
      <c r="B191" s="20">
        <v>5</v>
      </c>
      <c r="C191" s="20">
        <v>5</v>
      </c>
      <c r="D191" s="29">
        <v>1404</v>
      </c>
      <c r="E191" s="30" t="s">
        <v>3175</v>
      </c>
      <c r="F191" s="30" t="s">
        <v>6</v>
      </c>
      <c r="G191" s="30" t="s">
        <v>456</v>
      </c>
      <c r="H191" s="20" t="s">
        <v>83</v>
      </c>
      <c r="I191" s="20" t="s">
        <v>158</v>
      </c>
      <c r="J191" s="29" t="s">
        <v>84</v>
      </c>
      <c r="K191" s="30"/>
      <c r="L191" s="30" t="s">
        <v>769</v>
      </c>
      <c r="M191" s="30" t="s">
        <v>770</v>
      </c>
      <c r="N191" s="30" t="s">
        <v>106</v>
      </c>
      <c r="O191" s="20" t="s">
        <v>107</v>
      </c>
      <c r="P191" s="20"/>
      <c r="Q191" s="20"/>
      <c r="R191" s="20"/>
      <c r="S191" s="20">
        <v>193</v>
      </c>
      <c r="T191" s="20">
        <v>13</v>
      </c>
      <c r="U191" s="30" t="s">
        <v>5395</v>
      </c>
      <c r="V191" s="30" t="s">
        <v>106</v>
      </c>
      <c r="W191" s="20" t="s">
        <v>107</v>
      </c>
      <c r="X191" s="30"/>
      <c r="Y191" s="20" t="s">
        <v>5394</v>
      </c>
      <c r="Z191" s="20"/>
      <c r="AA191" s="20"/>
      <c r="AB191" s="29">
        <v>186</v>
      </c>
      <c r="AC191" s="29"/>
      <c r="AD191" s="29"/>
      <c r="AE191" s="29"/>
      <c r="AF191" s="29"/>
      <c r="AG191" s="29"/>
      <c r="AH191" s="29"/>
      <c r="AI191" s="29">
        <v>4</v>
      </c>
      <c r="AJ191" s="20"/>
      <c r="AK191" s="30"/>
      <c r="AL191" s="36"/>
      <c r="AM191" s="20"/>
      <c r="AN191" s="20"/>
      <c r="AO191" s="20"/>
      <c r="AP191" s="29" t="s">
        <v>160</v>
      </c>
      <c r="AQ191" s="29" t="s">
        <v>231</v>
      </c>
      <c r="AR191" s="318">
        <f t="shared" si="8"/>
        <v>1404</v>
      </c>
      <c r="AS191" s="318">
        <f t="shared" si="9"/>
        <v>5</v>
      </c>
      <c r="AT191" s="318">
        <v>1404</v>
      </c>
      <c r="AU191" s="318">
        <v>3</v>
      </c>
      <c r="AV191" s="31">
        <f t="shared" si="12"/>
        <v>2</v>
      </c>
      <c r="AW191" s="31">
        <f t="shared" si="13"/>
        <v>2</v>
      </c>
      <c r="AX191" s="31"/>
      <c r="AY191" s="409" t="s">
        <v>5402</v>
      </c>
    </row>
    <row r="192" spans="1:51" ht="30" hidden="1" customHeight="1" x14ac:dyDescent="0.2">
      <c r="A192" s="356">
        <v>190</v>
      </c>
      <c r="B192" s="356">
        <v>4</v>
      </c>
      <c r="C192" s="356">
        <v>5</v>
      </c>
      <c r="D192" s="16">
        <v>1404</v>
      </c>
      <c r="E192" s="357" t="s">
        <v>2992</v>
      </c>
      <c r="F192" s="357" t="s">
        <v>2981</v>
      </c>
      <c r="G192" s="357"/>
      <c r="H192" s="356" t="s">
        <v>7</v>
      </c>
      <c r="I192" s="360" t="s">
        <v>158</v>
      </c>
      <c r="J192" s="16" t="s">
        <v>84</v>
      </c>
      <c r="K192" s="357"/>
      <c r="L192" s="357" t="s">
        <v>141</v>
      </c>
      <c r="M192" s="357"/>
      <c r="N192" s="375" t="s">
        <v>106</v>
      </c>
      <c r="O192" s="376" t="s">
        <v>107</v>
      </c>
      <c r="P192" s="436"/>
      <c r="Q192" s="436"/>
      <c r="R192" s="356"/>
      <c r="S192" s="356">
        <v>6609</v>
      </c>
      <c r="T192" s="356">
        <v>7</v>
      </c>
      <c r="U192" s="357"/>
      <c r="V192" s="357" t="s">
        <v>106</v>
      </c>
      <c r="W192" s="356" t="s">
        <v>107</v>
      </c>
      <c r="X192" s="357"/>
      <c r="Y192" s="356"/>
      <c r="Z192" s="356"/>
      <c r="AA192" s="356">
        <v>180</v>
      </c>
      <c r="AB192" s="16">
        <v>180</v>
      </c>
      <c r="AC192" s="16">
        <v>65</v>
      </c>
      <c r="AD192" s="16">
        <v>76</v>
      </c>
      <c r="AE192" s="16">
        <v>3</v>
      </c>
      <c r="AF192" s="16">
        <v>14</v>
      </c>
      <c r="AG192" s="16">
        <v>93</v>
      </c>
      <c r="AH192" s="16">
        <v>16</v>
      </c>
      <c r="AI192" s="16">
        <v>6</v>
      </c>
      <c r="AJ192" s="356"/>
      <c r="AK192" s="357" t="s">
        <v>5411</v>
      </c>
      <c r="AL192" s="25">
        <v>93</v>
      </c>
      <c r="AM192" s="25">
        <v>16.100000000000001</v>
      </c>
      <c r="AN192" s="356"/>
      <c r="AO192" s="356"/>
      <c r="AP192" s="16" t="s">
        <v>5080</v>
      </c>
      <c r="AQ192" s="16" t="s">
        <v>112</v>
      </c>
      <c r="AR192" s="130">
        <f t="shared" si="8"/>
        <v>1404</v>
      </c>
      <c r="AS192" s="130">
        <f t="shared" si="9"/>
        <v>5</v>
      </c>
      <c r="AT192" s="130"/>
      <c r="AU192" s="130"/>
      <c r="AV192" s="12" t="str">
        <f t="shared" si="12"/>
        <v/>
      </c>
      <c r="AW192" s="12" t="str">
        <f t="shared" si="13"/>
        <v/>
      </c>
      <c r="AX192" s="12"/>
      <c r="AY192" s="408"/>
    </row>
    <row r="193" spans="1:51" ht="30" hidden="1" customHeight="1" x14ac:dyDescent="0.2">
      <c r="A193" s="356">
        <v>191</v>
      </c>
      <c r="B193" s="373">
        <v>5</v>
      </c>
      <c r="C193" s="373">
        <v>5</v>
      </c>
      <c r="D193" s="16">
        <v>1404</v>
      </c>
      <c r="E193" s="374" t="s">
        <v>3560</v>
      </c>
      <c r="F193" s="374" t="s">
        <v>8</v>
      </c>
      <c r="G193" s="374" t="s">
        <v>185</v>
      </c>
      <c r="H193" s="373" t="s">
        <v>83</v>
      </c>
      <c r="I193" s="360" t="s">
        <v>158</v>
      </c>
      <c r="J193" s="16" t="s">
        <v>84</v>
      </c>
      <c r="K193" s="357"/>
      <c r="L193" s="375" t="s">
        <v>141</v>
      </c>
      <c r="M193" s="375" t="s">
        <v>4568</v>
      </c>
      <c r="N193" s="375" t="s">
        <v>106</v>
      </c>
      <c r="O193" s="376" t="s">
        <v>107</v>
      </c>
      <c r="P193" s="436"/>
      <c r="Q193" s="436"/>
      <c r="R193" s="356"/>
      <c r="S193" s="376" t="s">
        <v>3679</v>
      </c>
      <c r="T193" s="376" t="s">
        <v>458</v>
      </c>
      <c r="U193" s="375" t="s">
        <v>4583</v>
      </c>
      <c r="V193" s="375" t="s">
        <v>106</v>
      </c>
      <c r="W193" s="375" t="s">
        <v>107</v>
      </c>
      <c r="X193" s="357"/>
      <c r="Y193" s="356" t="s">
        <v>4536</v>
      </c>
      <c r="Z193" s="356"/>
      <c r="AA193" s="356"/>
      <c r="AB193" s="16">
        <v>156</v>
      </c>
      <c r="AC193" s="16"/>
      <c r="AD193" s="16"/>
      <c r="AE193" s="16"/>
      <c r="AF193" s="16"/>
      <c r="AG193" s="16"/>
      <c r="AH193" s="16"/>
      <c r="AI193" s="16">
        <v>6</v>
      </c>
      <c r="AJ193" s="356"/>
      <c r="AK193" s="357"/>
      <c r="AL193" s="25"/>
      <c r="AM193" s="356"/>
      <c r="AN193" s="356"/>
      <c r="AO193" s="356"/>
      <c r="AP193" s="16" t="s">
        <v>5080</v>
      </c>
      <c r="AQ193" s="16" t="s">
        <v>231</v>
      </c>
      <c r="AR193" s="130">
        <f t="shared" si="8"/>
        <v>1404</v>
      </c>
      <c r="AS193" s="130">
        <f t="shared" si="9"/>
        <v>5</v>
      </c>
      <c r="AT193" s="130">
        <v>1403</v>
      </c>
      <c r="AU193" s="130">
        <v>3</v>
      </c>
      <c r="AV193" s="12">
        <f t="shared" si="12"/>
        <v>14</v>
      </c>
      <c r="AW193" s="12" t="str">
        <f t="shared" si="13"/>
        <v/>
      </c>
      <c r="AX193" s="12"/>
      <c r="AY193" s="408"/>
    </row>
    <row r="194" spans="1:51" ht="30" hidden="1" customHeight="1" x14ac:dyDescent="0.2">
      <c r="A194" s="356">
        <v>192</v>
      </c>
      <c r="B194" s="373">
        <v>6</v>
      </c>
      <c r="C194" s="373">
        <v>5</v>
      </c>
      <c r="D194" s="16">
        <v>1404</v>
      </c>
      <c r="E194" s="374" t="s">
        <v>3560</v>
      </c>
      <c r="F194" s="374" t="s">
        <v>8</v>
      </c>
      <c r="G194" s="374"/>
      <c r="H194" s="373" t="s">
        <v>7</v>
      </c>
      <c r="I194" s="360" t="s">
        <v>158</v>
      </c>
      <c r="J194" s="16" t="s">
        <v>84</v>
      </c>
      <c r="K194" s="35" t="s">
        <v>141</v>
      </c>
      <c r="L194" s="35" t="s">
        <v>117</v>
      </c>
      <c r="M194" s="357" t="s">
        <v>1276</v>
      </c>
      <c r="N194" s="375" t="s">
        <v>106</v>
      </c>
      <c r="O194" s="376" t="s">
        <v>107</v>
      </c>
      <c r="P194" s="436"/>
      <c r="Q194" s="436"/>
      <c r="R194" s="33" t="s">
        <v>998</v>
      </c>
      <c r="S194" s="33">
        <v>384</v>
      </c>
      <c r="T194" s="33">
        <v>6</v>
      </c>
      <c r="U194" s="357" t="s">
        <v>4955</v>
      </c>
      <c r="V194" s="375" t="s">
        <v>106</v>
      </c>
      <c r="W194" s="375" t="s">
        <v>107</v>
      </c>
      <c r="X194" s="357" t="s">
        <v>5187</v>
      </c>
      <c r="Y194" s="356"/>
      <c r="Z194" s="356">
        <v>167</v>
      </c>
      <c r="AA194" s="356">
        <v>156</v>
      </c>
      <c r="AB194" s="16">
        <v>156</v>
      </c>
      <c r="AC194" s="16">
        <v>37</v>
      </c>
      <c r="AD194" s="16">
        <v>45</v>
      </c>
      <c r="AE194" s="16">
        <v>6</v>
      </c>
      <c r="AF194" s="16">
        <v>55</v>
      </c>
      <c r="AG194" s="16">
        <v>106</v>
      </c>
      <c r="AH194" s="16">
        <v>30</v>
      </c>
      <c r="AI194" s="16">
        <v>6</v>
      </c>
      <c r="AJ194" s="356"/>
      <c r="AK194" s="357" t="s">
        <v>5414</v>
      </c>
      <c r="AL194" s="25">
        <v>106</v>
      </c>
      <c r="AM194" s="356">
        <v>29.4</v>
      </c>
      <c r="AN194" s="356"/>
      <c r="AO194" s="356"/>
      <c r="AP194" s="16" t="s">
        <v>5080</v>
      </c>
      <c r="AQ194" s="16" t="s">
        <v>231</v>
      </c>
      <c r="AR194" s="130">
        <f t="shared" si="8"/>
        <v>1404</v>
      </c>
      <c r="AS194" s="130">
        <f t="shared" si="9"/>
        <v>5</v>
      </c>
      <c r="AT194" s="130"/>
      <c r="AU194" s="130"/>
      <c r="AV194" s="12" t="str">
        <f t="shared" si="12"/>
        <v/>
      </c>
      <c r="AW194" s="12" t="str">
        <f t="shared" si="13"/>
        <v/>
      </c>
      <c r="AX194" s="12"/>
      <c r="AY194" s="408"/>
    </row>
    <row r="195" spans="1:51" ht="30" hidden="1" customHeight="1" x14ac:dyDescent="0.2">
      <c r="A195" s="356">
        <v>193</v>
      </c>
      <c r="B195" s="373">
        <v>7</v>
      </c>
      <c r="C195" s="373">
        <v>5</v>
      </c>
      <c r="D195" s="16">
        <v>1404</v>
      </c>
      <c r="E195" s="374" t="s">
        <v>2064</v>
      </c>
      <c r="F195" s="374" t="s">
        <v>6</v>
      </c>
      <c r="G195" s="374" t="s">
        <v>5247</v>
      </c>
      <c r="H195" s="373" t="s">
        <v>7</v>
      </c>
      <c r="I195" s="360" t="s">
        <v>158</v>
      </c>
      <c r="J195" s="16" t="s">
        <v>84</v>
      </c>
      <c r="K195" s="35" t="s">
        <v>155</v>
      </c>
      <c r="L195" s="35" t="s">
        <v>117</v>
      </c>
      <c r="M195" s="357"/>
      <c r="N195" s="357" t="s">
        <v>2788</v>
      </c>
      <c r="O195" s="356" t="s">
        <v>70</v>
      </c>
      <c r="P195" s="436"/>
      <c r="Q195" s="436"/>
      <c r="R195" s="33" t="s">
        <v>167</v>
      </c>
      <c r="S195" s="33">
        <v>293</v>
      </c>
      <c r="T195" s="33">
        <v>12</v>
      </c>
      <c r="U195" s="357"/>
      <c r="V195" s="357" t="s">
        <v>106</v>
      </c>
      <c r="W195" s="356" t="s">
        <v>107</v>
      </c>
      <c r="X195" s="357" t="s">
        <v>5187</v>
      </c>
      <c r="Y195" s="356"/>
      <c r="Z195" s="356">
        <v>219</v>
      </c>
      <c r="AA195" s="356">
        <v>210</v>
      </c>
      <c r="AB195" s="16">
        <v>207</v>
      </c>
      <c r="AC195" s="16">
        <v>157</v>
      </c>
      <c r="AD195" s="16">
        <v>170</v>
      </c>
      <c r="AE195" s="16">
        <v>2</v>
      </c>
      <c r="AF195" s="16">
        <v>23</v>
      </c>
      <c r="AG195" s="16">
        <v>195</v>
      </c>
      <c r="AH195" s="16">
        <v>14</v>
      </c>
      <c r="AI195" s="16">
        <v>6</v>
      </c>
      <c r="AJ195" s="356"/>
      <c r="AK195" s="357" t="s">
        <v>5415</v>
      </c>
      <c r="AL195" s="25">
        <v>195</v>
      </c>
      <c r="AM195" s="356">
        <v>13.5</v>
      </c>
      <c r="AN195" s="356"/>
      <c r="AO195" s="356"/>
      <c r="AP195" s="16" t="s">
        <v>160</v>
      </c>
      <c r="AQ195" s="16" t="s">
        <v>193</v>
      </c>
      <c r="AR195" s="130">
        <f t="shared" ref="AR195:AR221" si="14">D195</f>
        <v>1404</v>
      </c>
      <c r="AS195" s="130">
        <f t="shared" ref="AS195:AS221" si="15">C195</f>
        <v>5</v>
      </c>
      <c r="AT195" s="130"/>
      <c r="AU195" s="130"/>
      <c r="AV195" s="12" t="str">
        <f t="shared" si="12"/>
        <v/>
      </c>
      <c r="AW195" s="12" t="str">
        <f t="shared" si="13"/>
        <v/>
      </c>
      <c r="AX195" s="12"/>
      <c r="AY195" s="408"/>
    </row>
    <row r="196" spans="1:51" ht="30" hidden="1" customHeight="1" x14ac:dyDescent="0.2">
      <c r="A196" s="356">
        <v>194</v>
      </c>
      <c r="B196" s="356">
        <v>7</v>
      </c>
      <c r="C196" s="356">
        <v>5</v>
      </c>
      <c r="D196" s="16">
        <v>1404</v>
      </c>
      <c r="E196" s="357" t="s">
        <v>5396</v>
      </c>
      <c r="F196" s="357" t="s">
        <v>66</v>
      </c>
      <c r="G196" s="357" t="s">
        <v>1587</v>
      </c>
      <c r="H196" s="356" t="s">
        <v>7</v>
      </c>
      <c r="I196" s="360" t="s">
        <v>158</v>
      </c>
      <c r="J196" s="16" t="s">
        <v>84</v>
      </c>
      <c r="K196" s="357"/>
      <c r="L196" s="357" t="s">
        <v>117</v>
      </c>
      <c r="M196" s="357"/>
      <c r="N196" s="357" t="s">
        <v>69</v>
      </c>
      <c r="O196" s="356" t="s">
        <v>70</v>
      </c>
      <c r="P196" s="436"/>
      <c r="Q196" s="436"/>
      <c r="R196" s="356"/>
      <c r="S196" s="356">
        <v>6608</v>
      </c>
      <c r="T196" s="356">
        <v>19</v>
      </c>
      <c r="U196" s="357"/>
      <c r="V196" s="357" t="s">
        <v>73</v>
      </c>
      <c r="W196" s="356" t="s">
        <v>70</v>
      </c>
      <c r="X196" s="357"/>
      <c r="Y196" s="356"/>
      <c r="Z196" s="356">
        <v>265</v>
      </c>
      <c r="AA196" s="356" t="s">
        <v>3714</v>
      </c>
      <c r="AB196" s="16">
        <v>240</v>
      </c>
      <c r="AC196" s="16">
        <v>105</v>
      </c>
      <c r="AD196" s="16">
        <v>158</v>
      </c>
      <c r="AE196" s="16">
        <v>10</v>
      </c>
      <c r="AF196" s="16">
        <v>50</v>
      </c>
      <c r="AG196" s="16">
        <v>218</v>
      </c>
      <c r="AH196" s="16">
        <v>10</v>
      </c>
      <c r="AI196" s="16">
        <v>4</v>
      </c>
      <c r="AJ196" s="356"/>
      <c r="AK196" s="357" t="s">
        <v>5416</v>
      </c>
      <c r="AL196" s="25">
        <v>218</v>
      </c>
      <c r="AM196" s="356">
        <v>12.5</v>
      </c>
      <c r="AN196" s="356"/>
      <c r="AO196" s="356"/>
      <c r="AP196" s="16" t="s">
        <v>160</v>
      </c>
      <c r="AQ196" s="16" t="s">
        <v>161</v>
      </c>
      <c r="AR196" s="130">
        <f t="shared" si="14"/>
        <v>1404</v>
      </c>
      <c r="AS196" s="130">
        <f t="shared" si="15"/>
        <v>5</v>
      </c>
      <c r="AT196" s="130"/>
      <c r="AU196" s="130"/>
      <c r="AV196" s="12" t="str">
        <f t="shared" si="12"/>
        <v/>
      </c>
      <c r="AW196" s="12" t="str">
        <f t="shared" si="13"/>
        <v/>
      </c>
      <c r="AX196" s="12"/>
      <c r="AY196" s="408"/>
    </row>
    <row r="197" spans="1:51" ht="30" hidden="1" customHeight="1" x14ac:dyDescent="0.2">
      <c r="A197" s="356">
        <v>195</v>
      </c>
      <c r="B197" s="356">
        <v>9</v>
      </c>
      <c r="C197" s="356">
        <v>5</v>
      </c>
      <c r="D197" s="16">
        <v>1404</v>
      </c>
      <c r="E197" s="357" t="s">
        <v>5199</v>
      </c>
      <c r="F197" s="357" t="s">
        <v>10</v>
      </c>
      <c r="G197" s="357"/>
      <c r="H197" s="356" t="s">
        <v>7</v>
      </c>
      <c r="I197" s="360" t="s">
        <v>158</v>
      </c>
      <c r="J197" s="16" t="s">
        <v>84</v>
      </c>
      <c r="K197" s="35" t="s">
        <v>68</v>
      </c>
      <c r="L197" s="35" t="s">
        <v>140</v>
      </c>
      <c r="M197" s="357"/>
      <c r="N197" s="357" t="s">
        <v>106</v>
      </c>
      <c r="O197" s="356" t="s">
        <v>107</v>
      </c>
      <c r="P197" s="436"/>
      <c r="Q197" s="436"/>
      <c r="R197" s="33" t="s">
        <v>4108</v>
      </c>
      <c r="S197" s="33">
        <v>6608</v>
      </c>
      <c r="T197" s="33">
        <v>16</v>
      </c>
      <c r="U197" s="357"/>
      <c r="V197" s="357" t="s">
        <v>106</v>
      </c>
      <c r="W197" s="356" t="s">
        <v>107</v>
      </c>
      <c r="X197" s="357" t="s">
        <v>5187</v>
      </c>
      <c r="Y197" s="356"/>
      <c r="Z197" s="356">
        <v>222</v>
      </c>
      <c r="AA197" s="356">
        <v>199</v>
      </c>
      <c r="AB197" s="16">
        <v>205</v>
      </c>
      <c r="AC197" s="16">
        <v>159.4</v>
      </c>
      <c r="AD197" s="16">
        <v>173</v>
      </c>
      <c r="AE197" s="16">
        <v>1</v>
      </c>
      <c r="AF197" s="16">
        <v>40</v>
      </c>
      <c r="AG197" s="16">
        <v>214</v>
      </c>
      <c r="AH197" s="16">
        <v>10</v>
      </c>
      <c r="AI197" s="16">
        <v>6</v>
      </c>
      <c r="AJ197" s="356"/>
      <c r="AK197" s="357" t="s">
        <v>5416</v>
      </c>
      <c r="AL197" s="25">
        <v>214</v>
      </c>
      <c r="AM197" s="356">
        <v>10</v>
      </c>
      <c r="AN197" s="356"/>
      <c r="AO197" s="356"/>
      <c r="AP197" s="16" t="s">
        <v>160</v>
      </c>
      <c r="AQ197" s="16" t="s">
        <v>161</v>
      </c>
      <c r="AR197" s="130">
        <f t="shared" si="14"/>
        <v>1404</v>
      </c>
      <c r="AS197" s="130">
        <f t="shared" si="15"/>
        <v>5</v>
      </c>
      <c r="AT197" s="130"/>
      <c r="AU197" s="130"/>
      <c r="AV197" s="12" t="str">
        <f t="shared" si="12"/>
        <v/>
      </c>
      <c r="AW197" s="12" t="str">
        <f t="shared" si="13"/>
        <v/>
      </c>
      <c r="AX197" s="12"/>
      <c r="AY197" s="408"/>
    </row>
    <row r="198" spans="1:51" ht="30" hidden="1" customHeight="1" x14ac:dyDescent="0.2">
      <c r="A198" s="356">
        <v>196</v>
      </c>
      <c r="B198" s="356">
        <v>10</v>
      </c>
      <c r="C198" s="356">
        <v>5</v>
      </c>
      <c r="D198" s="16">
        <v>1404</v>
      </c>
      <c r="E198" s="357" t="s">
        <v>773</v>
      </c>
      <c r="F198" s="357" t="s">
        <v>66</v>
      </c>
      <c r="G198" s="357" t="s">
        <v>192</v>
      </c>
      <c r="H198" s="356" t="s">
        <v>7</v>
      </c>
      <c r="I198" s="360" t="s">
        <v>158</v>
      </c>
      <c r="J198" s="16" t="s">
        <v>92</v>
      </c>
      <c r="K198" s="357"/>
      <c r="L198" s="357" t="s">
        <v>334</v>
      </c>
      <c r="M198" s="357" t="s">
        <v>5400</v>
      </c>
      <c r="N198" s="357" t="s">
        <v>69</v>
      </c>
      <c r="O198" s="356" t="s">
        <v>70</v>
      </c>
      <c r="P198" s="436"/>
      <c r="Q198" s="436"/>
      <c r="R198" s="356"/>
      <c r="S198" s="356">
        <v>6608</v>
      </c>
      <c r="T198" s="356">
        <v>12</v>
      </c>
      <c r="U198" s="357" t="s">
        <v>5401</v>
      </c>
      <c r="V198" s="357" t="s">
        <v>73</v>
      </c>
      <c r="W198" s="356" t="s">
        <v>70</v>
      </c>
      <c r="X198" s="357"/>
      <c r="Y198" s="356"/>
      <c r="Z198" s="356">
        <v>252</v>
      </c>
      <c r="AA198" s="356"/>
      <c r="AB198" s="16">
        <v>210</v>
      </c>
      <c r="AC198" s="16">
        <v>102</v>
      </c>
      <c r="AD198" s="16">
        <v>118</v>
      </c>
      <c r="AE198" s="16">
        <v>9</v>
      </c>
      <c r="AF198" s="16">
        <v>30</v>
      </c>
      <c r="AG198" s="16">
        <v>157</v>
      </c>
      <c r="AH198" s="16">
        <v>10</v>
      </c>
      <c r="AI198" s="16">
        <v>6</v>
      </c>
      <c r="AJ198" s="356"/>
      <c r="AK198" s="357" t="s">
        <v>5417</v>
      </c>
      <c r="AL198" s="25">
        <v>157</v>
      </c>
      <c r="AM198" s="356">
        <v>10.3</v>
      </c>
      <c r="AN198" s="356"/>
      <c r="AO198" s="356"/>
      <c r="AP198" s="16" t="s">
        <v>160</v>
      </c>
      <c r="AQ198" s="16" t="s">
        <v>112</v>
      </c>
      <c r="AR198" s="130">
        <f t="shared" si="14"/>
        <v>1404</v>
      </c>
      <c r="AS198" s="130">
        <f t="shared" si="15"/>
        <v>5</v>
      </c>
      <c r="AT198" s="130"/>
      <c r="AU198" s="130"/>
      <c r="AV198" s="12" t="str">
        <f t="shared" si="12"/>
        <v/>
      </c>
      <c r="AW198" s="12" t="str">
        <f t="shared" si="13"/>
        <v/>
      </c>
      <c r="AX198" s="12"/>
      <c r="AY198" s="408"/>
    </row>
    <row r="199" spans="1:51" ht="30" hidden="1" customHeight="1" x14ac:dyDescent="0.2">
      <c r="A199" s="356">
        <v>197</v>
      </c>
      <c r="B199" s="356">
        <v>11</v>
      </c>
      <c r="C199" s="356">
        <v>5</v>
      </c>
      <c r="D199" s="16">
        <v>1404</v>
      </c>
      <c r="E199" s="357" t="s">
        <v>503</v>
      </c>
      <c r="F199" s="357" t="s">
        <v>9</v>
      </c>
      <c r="G199" s="357" t="s">
        <v>202</v>
      </c>
      <c r="H199" s="356" t="s">
        <v>83</v>
      </c>
      <c r="I199" s="360" t="s">
        <v>158</v>
      </c>
      <c r="J199" s="16" t="s">
        <v>92</v>
      </c>
      <c r="K199" s="357"/>
      <c r="L199" s="375" t="s">
        <v>155</v>
      </c>
      <c r="M199" s="375" t="s">
        <v>4328</v>
      </c>
      <c r="N199" s="375" t="s">
        <v>106</v>
      </c>
      <c r="O199" s="376" t="s">
        <v>107</v>
      </c>
      <c r="P199" s="436"/>
      <c r="Q199" s="436"/>
      <c r="R199" s="356"/>
      <c r="S199" s="376" t="s">
        <v>3677</v>
      </c>
      <c r="T199" s="376" t="s">
        <v>718</v>
      </c>
      <c r="U199" s="375" t="s">
        <v>4329</v>
      </c>
      <c r="V199" s="375" t="s">
        <v>106</v>
      </c>
      <c r="W199" s="375" t="s">
        <v>107</v>
      </c>
      <c r="X199" s="357"/>
      <c r="Y199" s="356" t="s">
        <v>4308</v>
      </c>
      <c r="Z199" s="356">
        <v>235</v>
      </c>
      <c r="AA199" s="356"/>
      <c r="AB199" s="16">
        <v>222</v>
      </c>
      <c r="AC199" s="16"/>
      <c r="AD199" s="16"/>
      <c r="AE199" s="16"/>
      <c r="AF199" s="16"/>
      <c r="AG199" s="16"/>
      <c r="AH199" s="16"/>
      <c r="AI199" s="16">
        <v>6</v>
      </c>
      <c r="AJ199" s="356"/>
      <c r="AK199" s="357"/>
      <c r="AL199" s="25"/>
      <c r="AM199" s="356"/>
      <c r="AN199" s="356"/>
      <c r="AO199" s="356"/>
      <c r="AP199" s="16" t="s">
        <v>160</v>
      </c>
      <c r="AQ199" s="16" t="s">
        <v>165</v>
      </c>
      <c r="AR199" s="130">
        <f t="shared" si="14"/>
        <v>1404</v>
      </c>
      <c r="AS199" s="130">
        <f t="shared" si="15"/>
        <v>5</v>
      </c>
      <c r="AT199" s="130">
        <v>1402</v>
      </c>
      <c r="AU199" s="130">
        <v>12</v>
      </c>
      <c r="AV199" s="12">
        <f t="shared" si="12"/>
        <v>17</v>
      </c>
      <c r="AW199" s="12" t="str">
        <f t="shared" si="13"/>
        <v/>
      </c>
      <c r="AX199" s="12"/>
      <c r="AY199" s="408"/>
    </row>
    <row r="200" spans="1:51" ht="30" hidden="1" customHeight="1" x14ac:dyDescent="0.2">
      <c r="A200" s="356">
        <v>198</v>
      </c>
      <c r="B200" s="376">
        <v>11</v>
      </c>
      <c r="C200" s="376">
        <v>5</v>
      </c>
      <c r="D200" s="16">
        <v>1404</v>
      </c>
      <c r="E200" s="357" t="s">
        <v>5397</v>
      </c>
      <c r="F200" s="357" t="s">
        <v>66</v>
      </c>
      <c r="G200" s="357" t="s">
        <v>192</v>
      </c>
      <c r="H200" s="356" t="s">
        <v>7</v>
      </c>
      <c r="I200" s="360" t="s">
        <v>158</v>
      </c>
      <c r="J200" s="16" t="s">
        <v>84</v>
      </c>
      <c r="K200" s="357"/>
      <c r="L200" s="357" t="s">
        <v>334</v>
      </c>
      <c r="M200" s="357" t="s">
        <v>558</v>
      </c>
      <c r="N200" s="357" t="s">
        <v>69</v>
      </c>
      <c r="O200" s="356" t="s">
        <v>70</v>
      </c>
      <c r="P200" s="436"/>
      <c r="Q200" s="436"/>
      <c r="R200" s="356"/>
      <c r="S200" s="356">
        <v>6608</v>
      </c>
      <c r="T200" s="356">
        <v>12</v>
      </c>
      <c r="U200" s="357" t="s">
        <v>5480</v>
      </c>
      <c r="V200" s="357" t="s">
        <v>73</v>
      </c>
      <c r="W200" s="356" t="s">
        <v>70</v>
      </c>
      <c r="X200" s="357"/>
      <c r="Y200" s="356"/>
      <c r="Z200" s="356">
        <v>227</v>
      </c>
      <c r="AA200" s="356"/>
      <c r="AB200" s="16">
        <v>216</v>
      </c>
      <c r="AC200" s="16">
        <v>100</v>
      </c>
      <c r="AD200" s="16">
        <v>126</v>
      </c>
      <c r="AE200" s="16">
        <v>9</v>
      </c>
      <c r="AF200" s="16">
        <v>30</v>
      </c>
      <c r="AG200" s="16">
        <v>165</v>
      </c>
      <c r="AH200" s="16">
        <v>10</v>
      </c>
      <c r="AI200" s="16">
        <v>4</v>
      </c>
      <c r="AJ200" s="356"/>
      <c r="AK200" s="357" t="s">
        <v>5417</v>
      </c>
      <c r="AL200" s="25">
        <v>165</v>
      </c>
      <c r="AM200" s="356">
        <v>10.1</v>
      </c>
      <c r="AN200" s="356"/>
      <c r="AO200" s="356"/>
      <c r="AP200" s="16" t="s">
        <v>160</v>
      </c>
      <c r="AQ200" s="16" t="s">
        <v>112</v>
      </c>
      <c r="AR200" s="130">
        <f t="shared" si="14"/>
        <v>1404</v>
      </c>
      <c r="AS200" s="130">
        <f t="shared" si="15"/>
        <v>5</v>
      </c>
      <c r="AT200" s="130"/>
      <c r="AU200" s="130"/>
      <c r="AV200" s="12" t="str">
        <f t="shared" si="12"/>
        <v/>
      </c>
      <c r="AW200" s="12" t="str">
        <f t="shared" si="13"/>
        <v/>
      </c>
      <c r="AX200" s="12"/>
      <c r="AY200" s="408"/>
    </row>
    <row r="201" spans="1:51" ht="30" hidden="1" customHeight="1" x14ac:dyDescent="0.2">
      <c r="A201" s="356">
        <v>199</v>
      </c>
      <c r="B201" s="356">
        <v>12</v>
      </c>
      <c r="C201" s="376">
        <v>5</v>
      </c>
      <c r="D201" s="16">
        <v>1404</v>
      </c>
      <c r="E201" s="357" t="s">
        <v>3175</v>
      </c>
      <c r="F201" s="357" t="s">
        <v>6</v>
      </c>
      <c r="G201" s="357" t="s">
        <v>5481</v>
      </c>
      <c r="H201" s="356" t="s">
        <v>7</v>
      </c>
      <c r="I201" s="360" t="s">
        <v>158</v>
      </c>
      <c r="J201" s="16" t="s">
        <v>84</v>
      </c>
      <c r="K201" s="35" t="s">
        <v>223</v>
      </c>
      <c r="L201" s="35" t="s">
        <v>226</v>
      </c>
      <c r="M201" s="37"/>
      <c r="N201" s="375" t="s">
        <v>106</v>
      </c>
      <c r="O201" s="376" t="s">
        <v>107</v>
      </c>
      <c r="P201" s="436"/>
      <c r="Q201" s="436"/>
      <c r="R201" s="356" t="s">
        <v>3714</v>
      </c>
      <c r="S201" s="356">
        <v>193</v>
      </c>
      <c r="T201" s="356">
        <v>14</v>
      </c>
      <c r="U201" s="37"/>
      <c r="V201" s="375" t="s">
        <v>106</v>
      </c>
      <c r="W201" s="375" t="s">
        <v>107</v>
      </c>
      <c r="X201" s="357"/>
      <c r="Y201" s="356" t="s">
        <v>5394</v>
      </c>
      <c r="Z201" s="356">
        <v>196</v>
      </c>
      <c r="AA201" s="356">
        <v>186</v>
      </c>
      <c r="AB201" s="16">
        <v>186</v>
      </c>
      <c r="AC201" s="16">
        <v>169</v>
      </c>
      <c r="AD201" s="16">
        <v>180</v>
      </c>
      <c r="AE201" s="16">
        <v>2</v>
      </c>
      <c r="AF201" s="16">
        <v>10</v>
      </c>
      <c r="AG201" s="16">
        <v>192</v>
      </c>
      <c r="AH201" s="16">
        <v>3</v>
      </c>
      <c r="AI201" s="16">
        <v>4</v>
      </c>
      <c r="AJ201" s="356"/>
      <c r="AK201" s="357" t="s">
        <v>5418</v>
      </c>
      <c r="AL201" s="25"/>
      <c r="AM201" s="356"/>
      <c r="AN201" s="356"/>
      <c r="AO201" s="356"/>
      <c r="AP201" s="16" t="s">
        <v>160</v>
      </c>
      <c r="AQ201" s="16" t="s">
        <v>231</v>
      </c>
      <c r="AR201" s="130">
        <f t="shared" si="14"/>
        <v>1404</v>
      </c>
      <c r="AS201" s="130">
        <f t="shared" si="15"/>
        <v>5</v>
      </c>
      <c r="AT201" s="130"/>
      <c r="AU201" s="130"/>
      <c r="AV201" s="12" t="str">
        <f t="shared" si="12"/>
        <v/>
      </c>
      <c r="AW201" s="12" t="str">
        <f t="shared" si="13"/>
        <v/>
      </c>
      <c r="AX201" s="12"/>
      <c r="AY201" s="408"/>
    </row>
    <row r="202" spans="1:51" ht="30" hidden="1" customHeight="1" x14ac:dyDescent="0.2">
      <c r="A202" s="356">
        <v>200</v>
      </c>
      <c r="B202" s="356">
        <v>12</v>
      </c>
      <c r="C202" s="376">
        <v>5</v>
      </c>
      <c r="D202" s="16">
        <v>1404</v>
      </c>
      <c r="E202" s="357" t="s">
        <v>5385</v>
      </c>
      <c r="F202" s="357" t="s">
        <v>20</v>
      </c>
      <c r="G202" s="357"/>
      <c r="H202" s="356" t="s">
        <v>7</v>
      </c>
      <c r="I202" s="360" t="s">
        <v>158</v>
      </c>
      <c r="J202" s="16" t="s">
        <v>84</v>
      </c>
      <c r="K202" s="35" t="s">
        <v>68</v>
      </c>
      <c r="L202" s="35" t="s">
        <v>104</v>
      </c>
      <c r="M202" s="357" t="s">
        <v>673</v>
      </c>
      <c r="N202" s="375" t="s">
        <v>106</v>
      </c>
      <c r="O202" s="376" t="s">
        <v>107</v>
      </c>
      <c r="P202" s="436"/>
      <c r="Q202" s="436"/>
      <c r="R202" s="33" t="s">
        <v>71</v>
      </c>
      <c r="S202" s="33">
        <v>293</v>
      </c>
      <c r="T202" s="33">
        <v>13</v>
      </c>
      <c r="U202" s="357" t="s">
        <v>1504</v>
      </c>
      <c r="V202" s="357" t="s">
        <v>106</v>
      </c>
      <c r="W202" s="356" t="s">
        <v>107</v>
      </c>
      <c r="X202" s="357" t="s">
        <v>5187</v>
      </c>
      <c r="Y202" s="356" t="s">
        <v>381</v>
      </c>
      <c r="Z202" s="356">
        <v>215</v>
      </c>
      <c r="AA202" s="356">
        <v>210</v>
      </c>
      <c r="AB202" s="16">
        <v>204</v>
      </c>
      <c r="AC202" s="16">
        <v>73</v>
      </c>
      <c r="AD202" s="16">
        <v>165</v>
      </c>
      <c r="AE202" s="16">
        <v>8</v>
      </c>
      <c r="AF202" s="16">
        <v>60</v>
      </c>
      <c r="AG202" s="16">
        <v>233</v>
      </c>
      <c r="AH202" s="16">
        <v>11.5</v>
      </c>
      <c r="AI202" s="16">
        <v>4</v>
      </c>
      <c r="AJ202" s="356"/>
      <c r="AK202" s="357" t="s">
        <v>5419</v>
      </c>
      <c r="AL202" s="25">
        <v>233</v>
      </c>
      <c r="AM202" s="356">
        <v>11.4</v>
      </c>
      <c r="AN202" s="356"/>
      <c r="AO202" s="356"/>
      <c r="AP202" s="16" t="s">
        <v>160</v>
      </c>
      <c r="AQ202" s="16" t="s">
        <v>193</v>
      </c>
      <c r="AR202" s="130">
        <f t="shared" si="14"/>
        <v>1404</v>
      </c>
      <c r="AS202" s="130">
        <f t="shared" si="15"/>
        <v>5</v>
      </c>
      <c r="AT202" s="130"/>
      <c r="AU202" s="130"/>
      <c r="AV202" s="12" t="str">
        <f t="shared" si="12"/>
        <v/>
      </c>
      <c r="AW202" s="12" t="str">
        <f t="shared" si="13"/>
        <v/>
      </c>
      <c r="AX202" s="12"/>
      <c r="AY202" s="408"/>
    </row>
    <row r="203" spans="1:51" ht="30" hidden="1" customHeight="1" x14ac:dyDescent="0.2">
      <c r="A203" s="356">
        <v>201</v>
      </c>
      <c r="B203" s="356">
        <v>12</v>
      </c>
      <c r="C203" s="356">
        <v>5</v>
      </c>
      <c r="D203" s="16">
        <v>1404</v>
      </c>
      <c r="E203" s="357" t="s">
        <v>5403</v>
      </c>
      <c r="F203" s="357" t="s">
        <v>2981</v>
      </c>
      <c r="G203" s="357" t="s">
        <v>481</v>
      </c>
      <c r="H203" s="356" t="s">
        <v>83</v>
      </c>
      <c r="I203" s="360" t="s">
        <v>158</v>
      </c>
      <c r="J203" s="16" t="s">
        <v>92</v>
      </c>
      <c r="K203" s="357"/>
      <c r="L203" s="357" t="s">
        <v>140</v>
      </c>
      <c r="M203" s="357"/>
      <c r="N203" s="377" t="s">
        <v>106</v>
      </c>
      <c r="O203" s="378" t="s">
        <v>107</v>
      </c>
      <c r="P203" s="436"/>
      <c r="Q203" s="436"/>
      <c r="R203" s="356"/>
      <c r="S203" s="356">
        <v>345</v>
      </c>
      <c r="T203" s="356">
        <v>5</v>
      </c>
      <c r="U203" s="357"/>
      <c r="V203" s="377" t="s">
        <v>106</v>
      </c>
      <c r="W203" s="378" t="s">
        <v>107</v>
      </c>
      <c r="X203" s="357"/>
      <c r="Y203" s="356" t="s">
        <v>5420</v>
      </c>
      <c r="Z203" s="356">
        <v>140</v>
      </c>
      <c r="AA203" s="356">
        <v>126</v>
      </c>
      <c r="AB203" s="16">
        <v>126</v>
      </c>
      <c r="AC203" s="16"/>
      <c r="AD203" s="16"/>
      <c r="AE203" s="16"/>
      <c r="AF203" s="16"/>
      <c r="AG203" s="16"/>
      <c r="AH203" s="16"/>
      <c r="AI203" s="16"/>
      <c r="AJ203" s="356"/>
      <c r="AK203" s="357"/>
      <c r="AL203" s="25"/>
      <c r="AM203" s="356"/>
      <c r="AN203" s="356"/>
      <c r="AO203" s="356"/>
      <c r="AP203" s="16" t="s">
        <v>160</v>
      </c>
      <c r="AQ203" s="16" t="s">
        <v>165</v>
      </c>
      <c r="AR203" s="130">
        <f t="shared" si="14"/>
        <v>1404</v>
      </c>
      <c r="AS203" s="130">
        <f t="shared" si="15"/>
        <v>5</v>
      </c>
      <c r="AT203" s="130">
        <v>1398</v>
      </c>
      <c r="AU203" s="130">
        <v>12</v>
      </c>
      <c r="AV203" s="12">
        <f t="shared" si="12"/>
        <v>65</v>
      </c>
      <c r="AW203" s="12" t="str">
        <f t="shared" si="13"/>
        <v/>
      </c>
      <c r="AX203" s="12"/>
      <c r="AY203" s="408"/>
    </row>
    <row r="204" spans="1:51" ht="30" hidden="1" customHeight="1" x14ac:dyDescent="0.2">
      <c r="A204" s="356">
        <v>202</v>
      </c>
      <c r="B204" s="356">
        <v>13</v>
      </c>
      <c r="C204" s="356">
        <v>5</v>
      </c>
      <c r="D204" s="16">
        <v>1404</v>
      </c>
      <c r="E204" s="357" t="s">
        <v>573</v>
      </c>
      <c r="F204" s="357" t="s">
        <v>9</v>
      </c>
      <c r="G204" s="357" t="s">
        <v>5247</v>
      </c>
      <c r="H204" s="356" t="s">
        <v>7</v>
      </c>
      <c r="I204" s="360" t="s">
        <v>158</v>
      </c>
      <c r="J204" s="16" t="s">
        <v>84</v>
      </c>
      <c r="K204" s="35" t="s">
        <v>155</v>
      </c>
      <c r="L204" s="35" t="s">
        <v>5422</v>
      </c>
      <c r="M204" s="37"/>
      <c r="N204" s="357" t="s">
        <v>69</v>
      </c>
      <c r="O204" s="356" t="s">
        <v>70</v>
      </c>
      <c r="P204" s="436"/>
      <c r="Q204" s="436"/>
      <c r="R204" s="33" t="s">
        <v>156</v>
      </c>
      <c r="S204" s="33">
        <v>152</v>
      </c>
      <c r="T204" s="33">
        <v>30</v>
      </c>
      <c r="U204" s="37"/>
      <c r="V204" s="357" t="s">
        <v>69</v>
      </c>
      <c r="W204" s="356" t="s">
        <v>70</v>
      </c>
      <c r="X204" s="357" t="s">
        <v>5187</v>
      </c>
      <c r="Y204" s="356" t="s">
        <v>5114</v>
      </c>
      <c r="Z204" s="356">
        <v>223</v>
      </c>
      <c r="AA204" s="356">
        <v>212</v>
      </c>
      <c r="AB204" s="16">
        <v>212</v>
      </c>
      <c r="AC204" s="16">
        <v>202</v>
      </c>
      <c r="AD204" s="16">
        <v>202</v>
      </c>
      <c r="AE204" s="16">
        <v>2</v>
      </c>
      <c r="AF204" s="16">
        <v>30</v>
      </c>
      <c r="AG204" s="16">
        <v>234</v>
      </c>
      <c r="AH204" s="16">
        <v>3</v>
      </c>
      <c r="AI204" s="16">
        <v>4</v>
      </c>
      <c r="AJ204" s="356" t="s">
        <v>3714</v>
      </c>
      <c r="AK204" s="357" t="s">
        <v>5421</v>
      </c>
      <c r="AL204" s="25"/>
      <c r="AM204" s="356"/>
      <c r="AN204" s="356"/>
      <c r="AO204" s="356"/>
      <c r="AP204" s="16" t="s">
        <v>160</v>
      </c>
      <c r="AQ204" s="16" t="s">
        <v>1956</v>
      </c>
      <c r="AR204" s="130">
        <f t="shared" si="14"/>
        <v>1404</v>
      </c>
      <c r="AS204" s="130">
        <f t="shared" si="15"/>
        <v>5</v>
      </c>
      <c r="AT204" s="130"/>
      <c r="AU204" s="130"/>
      <c r="AV204" s="12" t="str">
        <f t="shared" si="12"/>
        <v/>
      </c>
      <c r="AW204" s="12" t="str">
        <f t="shared" si="13"/>
        <v/>
      </c>
      <c r="AX204" s="12"/>
      <c r="AY204" s="408"/>
    </row>
    <row r="205" spans="1:51" ht="30" hidden="1" customHeight="1" x14ac:dyDescent="0.2">
      <c r="A205" s="356">
        <v>203</v>
      </c>
      <c r="B205" s="356">
        <v>13</v>
      </c>
      <c r="C205" s="356">
        <v>5</v>
      </c>
      <c r="D205" s="16">
        <v>1404</v>
      </c>
      <c r="E205" s="357" t="s">
        <v>912</v>
      </c>
      <c r="F205" s="357" t="s">
        <v>6</v>
      </c>
      <c r="G205" s="357" t="s">
        <v>185</v>
      </c>
      <c r="H205" s="356" t="s">
        <v>83</v>
      </c>
      <c r="I205" s="360" t="s">
        <v>158</v>
      </c>
      <c r="J205" s="16" t="s">
        <v>84</v>
      </c>
      <c r="K205" s="357" t="s">
        <v>3714</v>
      </c>
      <c r="L205" s="357" t="s">
        <v>218</v>
      </c>
      <c r="M205" s="357"/>
      <c r="N205" s="357" t="s">
        <v>106</v>
      </c>
      <c r="O205" s="356" t="s">
        <v>107</v>
      </c>
      <c r="P205" s="436"/>
      <c r="Q205" s="436"/>
      <c r="R205" s="356"/>
      <c r="S205" s="356">
        <v>384</v>
      </c>
      <c r="T205" s="356">
        <v>11</v>
      </c>
      <c r="U205" s="357"/>
      <c r="V205" s="357" t="s">
        <v>106</v>
      </c>
      <c r="W205" s="356" t="s">
        <v>107</v>
      </c>
      <c r="X205" s="357"/>
      <c r="Y205" s="356" t="s">
        <v>5423</v>
      </c>
      <c r="Z205" s="356">
        <v>224</v>
      </c>
      <c r="AA205" s="356">
        <v>210</v>
      </c>
      <c r="AB205" s="16">
        <v>210</v>
      </c>
      <c r="AC205" s="16"/>
      <c r="AD205" s="16"/>
      <c r="AE205" s="16"/>
      <c r="AF205" s="16"/>
      <c r="AG205" s="16"/>
      <c r="AH205" s="16"/>
      <c r="AI205" s="16">
        <v>6</v>
      </c>
      <c r="AJ205" s="356"/>
      <c r="AK205" s="357"/>
      <c r="AL205" s="25"/>
      <c r="AM205" s="356"/>
      <c r="AN205" s="356"/>
      <c r="AO205" s="356"/>
      <c r="AP205" s="16" t="s">
        <v>160</v>
      </c>
      <c r="AQ205" s="16" t="s">
        <v>165</v>
      </c>
      <c r="AR205" s="130">
        <f t="shared" si="14"/>
        <v>1404</v>
      </c>
      <c r="AS205" s="130">
        <f t="shared" si="15"/>
        <v>5</v>
      </c>
      <c r="AT205" s="130">
        <v>1401</v>
      </c>
      <c r="AU205" s="130">
        <v>6</v>
      </c>
      <c r="AV205" s="12">
        <f t="shared" si="12"/>
        <v>35</v>
      </c>
      <c r="AW205" s="12" t="str">
        <f t="shared" si="13"/>
        <v/>
      </c>
      <c r="AX205" s="12"/>
      <c r="AY205" s="408"/>
    </row>
    <row r="206" spans="1:51" ht="30" hidden="1" customHeight="1" x14ac:dyDescent="0.2">
      <c r="A206" s="356">
        <v>204</v>
      </c>
      <c r="B206" s="356">
        <v>13</v>
      </c>
      <c r="C206" s="356">
        <v>5</v>
      </c>
      <c r="D206" s="16">
        <v>1404</v>
      </c>
      <c r="E206" s="357" t="s">
        <v>5404</v>
      </c>
      <c r="F206" s="357" t="s">
        <v>6</v>
      </c>
      <c r="G206" s="357" t="s">
        <v>605</v>
      </c>
      <c r="H206" s="356" t="s">
        <v>83</v>
      </c>
      <c r="I206" s="360" t="s">
        <v>158</v>
      </c>
      <c r="J206" s="16" t="s">
        <v>84</v>
      </c>
      <c r="K206" s="357" t="s">
        <v>3714</v>
      </c>
      <c r="L206" s="357" t="s">
        <v>155</v>
      </c>
      <c r="M206" s="357"/>
      <c r="N206" s="357" t="s">
        <v>106</v>
      </c>
      <c r="O206" s="356" t="s">
        <v>107</v>
      </c>
      <c r="P206" s="436"/>
      <c r="Q206" s="436"/>
      <c r="R206" s="356"/>
      <c r="S206" s="356">
        <v>384</v>
      </c>
      <c r="T206" s="356">
        <v>10</v>
      </c>
      <c r="U206" s="357"/>
      <c r="V206" s="357" t="s">
        <v>106</v>
      </c>
      <c r="W206" s="356" t="s">
        <v>107</v>
      </c>
      <c r="X206" s="357"/>
      <c r="Y206" s="356" t="s">
        <v>5424</v>
      </c>
      <c r="Z206" s="356"/>
      <c r="AA206" s="356">
        <v>204</v>
      </c>
      <c r="AB206" s="16">
        <v>204</v>
      </c>
      <c r="AC206" s="16"/>
      <c r="AD206" s="16"/>
      <c r="AE206" s="16"/>
      <c r="AF206" s="16"/>
      <c r="AG206" s="16"/>
      <c r="AH206" s="16"/>
      <c r="AI206" s="16">
        <v>6</v>
      </c>
      <c r="AJ206" s="356"/>
      <c r="AK206" s="357"/>
      <c r="AL206" s="25"/>
      <c r="AM206" s="356"/>
      <c r="AN206" s="356"/>
      <c r="AO206" s="356"/>
      <c r="AP206" s="16" t="s">
        <v>160</v>
      </c>
      <c r="AQ206" s="16" t="s">
        <v>165</v>
      </c>
      <c r="AR206" s="130">
        <f t="shared" si="14"/>
        <v>1404</v>
      </c>
      <c r="AS206" s="130">
        <f t="shared" si="15"/>
        <v>5</v>
      </c>
      <c r="AT206" s="130">
        <v>1394</v>
      </c>
      <c r="AU206" s="130">
        <v>11</v>
      </c>
      <c r="AV206" s="12">
        <f t="shared" si="12"/>
        <v>114</v>
      </c>
      <c r="AW206" s="12" t="str">
        <f t="shared" si="13"/>
        <v/>
      </c>
      <c r="AX206" s="12"/>
      <c r="AY206" s="408"/>
    </row>
    <row r="207" spans="1:51" ht="30" hidden="1" customHeight="1" x14ac:dyDescent="0.2">
      <c r="A207" s="356">
        <v>205</v>
      </c>
      <c r="B207" s="356">
        <v>14</v>
      </c>
      <c r="C207" s="356">
        <v>5</v>
      </c>
      <c r="D207" s="16">
        <v>1404</v>
      </c>
      <c r="E207" s="357" t="s">
        <v>5405</v>
      </c>
      <c r="F207" s="357" t="s">
        <v>2981</v>
      </c>
      <c r="G207" s="357" t="s">
        <v>481</v>
      </c>
      <c r="H207" s="356" t="s">
        <v>83</v>
      </c>
      <c r="I207" s="360" t="s">
        <v>158</v>
      </c>
      <c r="J207" s="16" t="s">
        <v>92</v>
      </c>
      <c r="K207" s="357"/>
      <c r="L207" s="357" t="s">
        <v>117</v>
      </c>
      <c r="M207" s="357"/>
      <c r="N207" s="357" t="s">
        <v>106</v>
      </c>
      <c r="O207" s="356" t="s">
        <v>107</v>
      </c>
      <c r="P207" s="436"/>
      <c r="Q207" s="436"/>
      <c r="R207" s="356"/>
      <c r="S207" s="356">
        <v>374</v>
      </c>
      <c r="T207" s="356">
        <v>4</v>
      </c>
      <c r="U207" s="357"/>
      <c r="V207" s="357" t="s">
        <v>106</v>
      </c>
      <c r="W207" s="356" t="s">
        <v>107</v>
      </c>
      <c r="X207" s="357"/>
      <c r="Y207" s="356" t="s">
        <v>5425</v>
      </c>
      <c r="Z207" s="356">
        <v>204</v>
      </c>
      <c r="AA207" s="356">
        <v>96</v>
      </c>
      <c r="AB207" s="16">
        <v>96</v>
      </c>
      <c r="AC207" s="16"/>
      <c r="AD207" s="16"/>
      <c r="AE207" s="16"/>
      <c r="AF207" s="16"/>
      <c r="AG207" s="16"/>
      <c r="AH207" s="16"/>
      <c r="AI207" s="16">
        <v>6</v>
      </c>
      <c r="AJ207" s="356"/>
      <c r="AK207" s="357"/>
      <c r="AL207" s="25"/>
      <c r="AM207" s="356"/>
      <c r="AN207" s="356"/>
      <c r="AO207" s="356"/>
      <c r="AP207" s="16" t="s">
        <v>5080</v>
      </c>
      <c r="AQ207" s="16" t="s">
        <v>112</v>
      </c>
      <c r="AR207" s="130">
        <f t="shared" si="14"/>
        <v>1404</v>
      </c>
      <c r="AS207" s="130">
        <f t="shared" si="15"/>
        <v>5</v>
      </c>
      <c r="AT207" s="130">
        <v>1399</v>
      </c>
      <c r="AU207" s="130">
        <v>11</v>
      </c>
      <c r="AV207" s="12">
        <f t="shared" si="12"/>
        <v>54</v>
      </c>
      <c r="AW207" s="12" t="str">
        <f t="shared" si="13"/>
        <v/>
      </c>
      <c r="AX207" s="12"/>
      <c r="AY207" s="408"/>
    </row>
    <row r="208" spans="1:51" ht="30" hidden="1" customHeight="1" x14ac:dyDescent="0.2">
      <c r="A208" s="356">
        <v>206</v>
      </c>
      <c r="B208" s="356">
        <v>14</v>
      </c>
      <c r="C208" s="356">
        <v>5</v>
      </c>
      <c r="D208" s="16">
        <v>1404</v>
      </c>
      <c r="E208" s="357" t="s">
        <v>5406</v>
      </c>
      <c r="F208" s="357" t="s">
        <v>10</v>
      </c>
      <c r="G208" s="357" t="s">
        <v>481</v>
      </c>
      <c r="H208" s="356" t="s">
        <v>83</v>
      </c>
      <c r="I208" s="360" t="s">
        <v>158</v>
      </c>
      <c r="J208" s="16" t="s">
        <v>84</v>
      </c>
      <c r="K208" s="357"/>
      <c r="L208" s="357" t="s">
        <v>155</v>
      </c>
      <c r="M208" s="357"/>
      <c r="N208" s="377" t="s">
        <v>106</v>
      </c>
      <c r="O208" s="378" t="s">
        <v>107</v>
      </c>
      <c r="P208" s="436"/>
      <c r="Q208" s="436"/>
      <c r="R208" s="356"/>
      <c r="S208" s="356">
        <v>384</v>
      </c>
      <c r="T208" s="356">
        <v>10</v>
      </c>
      <c r="U208" s="357"/>
      <c r="V208" s="357" t="s">
        <v>106</v>
      </c>
      <c r="W208" s="356" t="s">
        <v>107</v>
      </c>
      <c r="X208" s="357"/>
      <c r="Y208" s="356" t="s">
        <v>5426</v>
      </c>
      <c r="Z208" s="356">
        <v>240</v>
      </c>
      <c r="AA208" s="356">
        <v>195</v>
      </c>
      <c r="AB208" s="16">
        <v>195</v>
      </c>
      <c r="AC208" s="16"/>
      <c r="AD208" s="16"/>
      <c r="AE208" s="16"/>
      <c r="AF208" s="16"/>
      <c r="AG208" s="16"/>
      <c r="AH208" s="16"/>
      <c r="AI208" s="16">
        <v>6</v>
      </c>
      <c r="AJ208" s="356"/>
      <c r="AK208" s="357"/>
      <c r="AL208" s="25"/>
      <c r="AM208" s="356"/>
      <c r="AN208" s="356"/>
      <c r="AO208" s="356"/>
      <c r="AP208" s="16" t="s">
        <v>160</v>
      </c>
      <c r="AQ208" s="16" t="s">
        <v>165</v>
      </c>
      <c r="AR208" s="130">
        <f t="shared" si="14"/>
        <v>1404</v>
      </c>
      <c r="AS208" s="130">
        <f t="shared" si="15"/>
        <v>5</v>
      </c>
      <c r="AT208" s="130">
        <v>1397</v>
      </c>
      <c r="AU208" s="130">
        <v>10</v>
      </c>
      <c r="AV208" s="12">
        <f t="shared" si="12"/>
        <v>79</v>
      </c>
      <c r="AW208" s="12" t="str">
        <f t="shared" si="13"/>
        <v/>
      </c>
      <c r="AX208" s="12"/>
      <c r="AY208" s="408"/>
    </row>
    <row r="209" spans="1:51" s="21" customFormat="1" ht="30" hidden="1" customHeight="1" x14ac:dyDescent="0.2">
      <c r="A209" s="20">
        <v>207</v>
      </c>
      <c r="B209" s="20">
        <v>15</v>
      </c>
      <c r="C209" s="20">
        <v>5</v>
      </c>
      <c r="D209" s="29">
        <v>1404</v>
      </c>
      <c r="E209" s="30" t="s">
        <v>102</v>
      </c>
      <c r="F209" s="30" t="s">
        <v>10</v>
      </c>
      <c r="G209" s="30" t="s">
        <v>185</v>
      </c>
      <c r="H209" s="20" t="s">
        <v>83</v>
      </c>
      <c r="I209" s="360" t="s">
        <v>158</v>
      </c>
      <c r="J209" s="29" t="s">
        <v>92</v>
      </c>
      <c r="K209" s="30"/>
      <c r="L209" s="30" t="s">
        <v>140</v>
      </c>
      <c r="M209" s="30"/>
      <c r="N209" s="30" t="s">
        <v>106</v>
      </c>
      <c r="O209" s="20" t="s">
        <v>107</v>
      </c>
      <c r="P209" s="20"/>
      <c r="Q209" s="20"/>
      <c r="R209" s="20"/>
      <c r="S209" s="20">
        <v>6608</v>
      </c>
      <c r="T209" s="20">
        <v>16</v>
      </c>
      <c r="U209" s="30"/>
      <c r="V209" s="30" t="s">
        <v>106</v>
      </c>
      <c r="W209" s="20" t="s">
        <v>107</v>
      </c>
      <c r="X209" s="30"/>
      <c r="Y209" s="20" t="s">
        <v>4777</v>
      </c>
      <c r="Z209" s="20">
        <v>213</v>
      </c>
      <c r="AA209" s="20">
        <v>204</v>
      </c>
      <c r="AB209" s="29">
        <v>204</v>
      </c>
      <c r="AC209" s="29"/>
      <c r="AD209" s="29"/>
      <c r="AE209" s="29"/>
      <c r="AF209" s="29"/>
      <c r="AG209" s="29"/>
      <c r="AH209" s="29"/>
      <c r="AI209" s="29">
        <v>6</v>
      </c>
      <c r="AJ209" s="20"/>
      <c r="AK209" s="30"/>
      <c r="AL209" s="36"/>
      <c r="AM209" s="20"/>
      <c r="AN209" s="20"/>
      <c r="AO209" s="20"/>
      <c r="AP209" s="29" t="s">
        <v>160</v>
      </c>
      <c r="AQ209" s="29" t="s">
        <v>161</v>
      </c>
      <c r="AR209" s="318">
        <f t="shared" si="14"/>
        <v>1404</v>
      </c>
      <c r="AS209" s="318">
        <f t="shared" si="15"/>
        <v>5</v>
      </c>
      <c r="AT209" s="318">
        <v>1403</v>
      </c>
      <c r="AU209" s="318">
        <v>6</v>
      </c>
      <c r="AV209" s="31">
        <f t="shared" si="12"/>
        <v>11</v>
      </c>
      <c r="AW209" s="31">
        <f t="shared" si="13"/>
        <v>11</v>
      </c>
      <c r="AX209" s="31"/>
      <c r="AY209" s="409"/>
    </row>
    <row r="210" spans="1:51" ht="30" hidden="1" customHeight="1" x14ac:dyDescent="0.2">
      <c r="A210" s="356">
        <v>208</v>
      </c>
      <c r="B210" s="356">
        <v>15</v>
      </c>
      <c r="C210" s="356">
        <v>5</v>
      </c>
      <c r="D210" s="16">
        <v>1404</v>
      </c>
      <c r="E210" s="357" t="s">
        <v>2436</v>
      </c>
      <c r="F210" s="357" t="s">
        <v>10</v>
      </c>
      <c r="G210" s="357" t="s">
        <v>192</v>
      </c>
      <c r="H210" s="356" t="s">
        <v>7</v>
      </c>
      <c r="I210" s="360" t="s">
        <v>158</v>
      </c>
      <c r="J210" s="16" t="s">
        <v>84</v>
      </c>
      <c r="K210" s="357"/>
      <c r="L210" s="357" t="s">
        <v>117</v>
      </c>
      <c r="M210" s="357" t="s">
        <v>5482</v>
      </c>
      <c r="N210" s="357" t="s">
        <v>69</v>
      </c>
      <c r="O210" s="356" t="s">
        <v>70</v>
      </c>
      <c r="P210" s="436"/>
      <c r="Q210" s="436"/>
      <c r="R210" s="356"/>
      <c r="S210" s="356">
        <v>6608</v>
      </c>
      <c r="T210" s="356">
        <v>18</v>
      </c>
      <c r="U210" s="357" t="s">
        <v>5483</v>
      </c>
      <c r="V210" s="357" t="s">
        <v>73</v>
      </c>
      <c r="W210" s="356" t="s">
        <v>70</v>
      </c>
      <c r="X210" s="357"/>
      <c r="Y210" s="356"/>
      <c r="Z210" s="356">
        <v>238</v>
      </c>
      <c r="AA210" s="356"/>
      <c r="AB210" s="16">
        <v>222</v>
      </c>
      <c r="AC210" s="16">
        <v>126</v>
      </c>
      <c r="AD210" s="16">
        <v>137</v>
      </c>
      <c r="AE210" s="16">
        <v>10</v>
      </c>
      <c r="AF210" s="16">
        <v>50</v>
      </c>
      <c r="AG210" s="16">
        <v>197</v>
      </c>
      <c r="AH210" s="16">
        <v>12</v>
      </c>
      <c r="AI210" s="16">
        <v>4</v>
      </c>
      <c r="AJ210" s="356"/>
      <c r="AK210" s="357" t="s">
        <v>5428</v>
      </c>
      <c r="AL210" s="25">
        <v>197</v>
      </c>
      <c r="AM210" s="356">
        <v>11.4</v>
      </c>
      <c r="AN210" s="356"/>
      <c r="AO210" s="356"/>
      <c r="AP210" s="16" t="s">
        <v>160</v>
      </c>
      <c r="AQ210" s="16" t="s">
        <v>161</v>
      </c>
      <c r="AR210" s="130">
        <f t="shared" si="14"/>
        <v>1404</v>
      </c>
      <c r="AS210" s="130">
        <f t="shared" si="15"/>
        <v>5</v>
      </c>
      <c r="AT210" s="130"/>
      <c r="AU210" s="130"/>
      <c r="AV210" s="12"/>
      <c r="AW210" s="12"/>
      <c r="AX210" s="12"/>
      <c r="AY210" s="408"/>
    </row>
    <row r="211" spans="1:51" ht="30" hidden="1" customHeight="1" x14ac:dyDescent="0.2">
      <c r="A211" s="356">
        <v>209</v>
      </c>
      <c r="B211" s="356">
        <v>15</v>
      </c>
      <c r="C211" s="356">
        <v>5</v>
      </c>
      <c r="D211" s="16">
        <v>1404</v>
      </c>
      <c r="E211" s="357" t="s">
        <v>5407</v>
      </c>
      <c r="F211" s="357" t="s">
        <v>66</v>
      </c>
      <c r="G211" s="357" t="s">
        <v>192</v>
      </c>
      <c r="H211" s="356" t="s">
        <v>7</v>
      </c>
      <c r="I211" s="360" t="s">
        <v>158</v>
      </c>
      <c r="J211" s="16" t="s">
        <v>5427</v>
      </c>
      <c r="K211" s="357"/>
      <c r="L211" s="357" t="s">
        <v>140</v>
      </c>
      <c r="M211" s="357" t="s">
        <v>5484</v>
      </c>
      <c r="N211" s="357" t="s">
        <v>69</v>
      </c>
      <c r="O211" s="356" t="s">
        <v>70</v>
      </c>
      <c r="P211" s="436"/>
      <c r="Q211" s="436"/>
      <c r="R211" s="356"/>
      <c r="S211" s="356">
        <v>293</v>
      </c>
      <c r="T211" s="356">
        <v>10</v>
      </c>
      <c r="U211" s="357" t="s">
        <v>5485</v>
      </c>
      <c r="V211" s="357" t="s">
        <v>69</v>
      </c>
      <c r="W211" s="356" t="s">
        <v>70</v>
      </c>
      <c r="X211" s="357"/>
      <c r="Y211" s="356"/>
      <c r="Z211" s="356">
        <v>250</v>
      </c>
      <c r="AA211" s="356"/>
      <c r="AB211" s="16">
        <v>210</v>
      </c>
      <c r="AC211" s="16">
        <v>132</v>
      </c>
      <c r="AD211" s="16">
        <v>141</v>
      </c>
      <c r="AE211" s="16">
        <v>10</v>
      </c>
      <c r="AF211" s="16">
        <v>25</v>
      </c>
      <c r="AG211" s="16">
        <v>176</v>
      </c>
      <c r="AH211" s="16">
        <v>12</v>
      </c>
      <c r="AI211" s="16">
        <v>4</v>
      </c>
      <c r="AJ211" s="356"/>
      <c r="AK211" s="357" t="s">
        <v>5429</v>
      </c>
      <c r="AL211" s="25">
        <v>176</v>
      </c>
      <c r="AM211" s="356">
        <v>11.5</v>
      </c>
      <c r="AN211" s="356"/>
      <c r="AO211" s="356"/>
      <c r="AP211" s="16" t="s">
        <v>160</v>
      </c>
      <c r="AQ211" s="16" t="s">
        <v>161</v>
      </c>
      <c r="AR211" s="130">
        <f t="shared" si="14"/>
        <v>1404</v>
      </c>
      <c r="AS211" s="130">
        <f t="shared" si="15"/>
        <v>5</v>
      </c>
      <c r="AT211" s="130"/>
      <c r="AU211" s="130"/>
      <c r="AV211" s="12"/>
      <c r="AW211" s="12"/>
      <c r="AX211" s="12"/>
      <c r="AY211" s="408"/>
    </row>
    <row r="212" spans="1:51" ht="30" hidden="1" customHeight="1" x14ac:dyDescent="0.2">
      <c r="A212" s="356">
        <v>210</v>
      </c>
      <c r="B212" s="356">
        <v>16</v>
      </c>
      <c r="C212" s="356">
        <v>5</v>
      </c>
      <c r="D212" s="16">
        <v>1404</v>
      </c>
      <c r="E212" s="357" t="s">
        <v>5405</v>
      </c>
      <c r="F212" s="357" t="s">
        <v>2981</v>
      </c>
      <c r="G212" s="357" t="s">
        <v>3714</v>
      </c>
      <c r="H212" s="356" t="s">
        <v>7</v>
      </c>
      <c r="I212" s="360" t="s">
        <v>158</v>
      </c>
      <c r="J212" s="16" t="s">
        <v>92</v>
      </c>
      <c r="K212" s="35" t="s">
        <v>117</v>
      </c>
      <c r="L212" s="35" t="s">
        <v>104</v>
      </c>
      <c r="M212" s="357" t="s">
        <v>1620</v>
      </c>
      <c r="N212" s="377" t="s">
        <v>106</v>
      </c>
      <c r="O212" s="378" t="s">
        <v>107</v>
      </c>
      <c r="P212" s="436"/>
      <c r="Q212" s="436"/>
      <c r="R212" s="33" t="s">
        <v>1084</v>
      </c>
      <c r="S212" s="33">
        <v>384</v>
      </c>
      <c r="T212" s="33">
        <v>7</v>
      </c>
      <c r="U212" s="357" t="s">
        <v>5486</v>
      </c>
      <c r="V212" s="357" t="s">
        <v>106</v>
      </c>
      <c r="W212" s="356" t="s">
        <v>107</v>
      </c>
      <c r="X212" s="357"/>
      <c r="Y212" s="356" t="s">
        <v>5425</v>
      </c>
      <c r="Z212" s="356">
        <v>204</v>
      </c>
      <c r="AA212" s="356">
        <v>96</v>
      </c>
      <c r="AB212" s="16">
        <v>96</v>
      </c>
      <c r="AC212" s="16">
        <v>38.5</v>
      </c>
      <c r="AD212" s="16">
        <v>43</v>
      </c>
      <c r="AE212" s="16">
        <v>5</v>
      </c>
      <c r="AF212" s="16">
        <v>75</v>
      </c>
      <c r="AG212" s="16">
        <v>123</v>
      </c>
      <c r="AH212" s="16">
        <v>30</v>
      </c>
      <c r="AI212" s="16">
        <v>6</v>
      </c>
      <c r="AJ212" s="356"/>
      <c r="AK212" s="357" t="s">
        <v>5430</v>
      </c>
      <c r="AL212" s="25">
        <v>123</v>
      </c>
      <c r="AM212" s="356">
        <v>28</v>
      </c>
      <c r="AN212" s="356"/>
      <c r="AO212" s="356"/>
      <c r="AP212" s="16" t="s">
        <v>5080</v>
      </c>
      <c r="AQ212" s="16" t="s">
        <v>112</v>
      </c>
      <c r="AR212" s="130">
        <f t="shared" si="14"/>
        <v>1404</v>
      </c>
      <c r="AS212" s="130">
        <f t="shared" si="15"/>
        <v>5</v>
      </c>
      <c r="AT212" s="130"/>
      <c r="AU212" s="130"/>
      <c r="AV212" s="12"/>
      <c r="AW212" s="12"/>
      <c r="AX212" s="12"/>
      <c r="AY212" s="408"/>
    </row>
    <row r="213" spans="1:51" ht="30" hidden="1" customHeight="1" x14ac:dyDescent="0.2">
      <c r="A213" s="356">
        <v>211</v>
      </c>
      <c r="B213" s="356">
        <v>17</v>
      </c>
      <c r="C213" s="356">
        <v>5</v>
      </c>
      <c r="D213" s="16">
        <v>1404</v>
      </c>
      <c r="E213" s="357" t="s">
        <v>5408</v>
      </c>
      <c r="F213" s="357" t="s">
        <v>66</v>
      </c>
      <c r="G213" s="357" t="s">
        <v>192</v>
      </c>
      <c r="H213" s="356" t="s">
        <v>7</v>
      </c>
      <c r="I213" s="360" t="s">
        <v>158</v>
      </c>
      <c r="J213" s="16" t="s">
        <v>84</v>
      </c>
      <c r="K213" s="357"/>
      <c r="L213" s="357" t="s">
        <v>5431</v>
      </c>
      <c r="M213" s="357" t="s">
        <v>5487</v>
      </c>
      <c r="N213" s="357" t="s">
        <v>69</v>
      </c>
      <c r="O213" s="356" t="s">
        <v>70</v>
      </c>
      <c r="P213" s="436"/>
      <c r="Q213" s="436"/>
      <c r="R213" s="356"/>
      <c r="S213" s="356">
        <v>102</v>
      </c>
      <c r="T213" s="356">
        <v>20</v>
      </c>
      <c r="U213" s="357" t="s">
        <v>5488</v>
      </c>
      <c r="V213" s="357" t="s">
        <v>69</v>
      </c>
      <c r="W213" s="356" t="s">
        <v>70</v>
      </c>
      <c r="X213" s="357"/>
      <c r="Y213" s="356"/>
      <c r="Z213" s="356"/>
      <c r="AA213" s="356"/>
      <c r="AB213" s="16">
        <v>120</v>
      </c>
      <c r="AC213" s="16"/>
      <c r="AD213" s="16"/>
      <c r="AE213" s="16"/>
      <c r="AF213" s="16"/>
      <c r="AG213" s="16"/>
      <c r="AH213" s="16"/>
      <c r="AI213" s="16">
        <v>3</v>
      </c>
      <c r="AJ213" s="356" t="s">
        <v>3714</v>
      </c>
      <c r="AK213" s="357" t="s">
        <v>5432</v>
      </c>
      <c r="AL213" s="25"/>
      <c r="AM213" s="356"/>
      <c r="AN213" s="356"/>
      <c r="AO213" s="356"/>
      <c r="AP213" s="16" t="s">
        <v>5433</v>
      </c>
      <c r="AQ213" s="16" t="s">
        <v>228</v>
      </c>
      <c r="AR213" s="130">
        <f t="shared" si="14"/>
        <v>1404</v>
      </c>
      <c r="AS213" s="130">
        <f t="shared" si="15"/>
        <v>5</v>
      </c>
      <c r="AT213" s="130"/>
      <c r="AU213" s="130"/>
      <c r="AV213" s="12"/>
      <c r="AW213" s="12"/>
      <c r="AX213" s="12"/>
      <c r="AY213" s="408"/>
    </row>
    <row r="214" spans="1:51" ht="30" hidden="1" customHeight="1" x14ac:dyDescent="0.2">
      <c r="A214" s="356">
        <v>212</v>
      </c>
      <c r="B214" s="356">
        <v>20</v>
      </c>
      <c r="C214" s="356">
        <v>5</v>
      </c>
      <c r="D214" s="16">
        <v>1404</v>
      </c>
      <c r="E214" s="357" t="s">
        <v>5406</v>
      </c>
      <c r="F214" s="357" t="s">
        <v>5409</v>
      </c>
      <c r="G214" s="357" t="s">
        <v>3714</v>
      </c>
      <c r="H214" s="356" t="s">
        <v>7</v>
      </c>
      <c r="I214" s="360" t="s">
        <v>158</v>
      </c>
      <c r="J214" s="16" t="s">
        <v>84</v>
      </c>
      <c r="K214" s="35" t="s">
        <v>155</v>
      </c>
      <c r="L214" s="35" t="s">
        <v>68</v>
      </c>
      <c r="M214" s="357" t="s">
        <v>341</v>
      </c>
      <c r="N214" s="380" t="s">
        <v>106</v>
      </c>
      <c r="O214" s="379" t="s">
        <v>107</v>
      </c>
      <c r="P214" s="436"/>
      <c r="Q214" s="436"/>
      <c r="R214" s="33" t="s">
        <v>167</v>
      </c>
      <c r="S214" s="33">
        <v>6609</v>
      </c>
      <c r="T214" s="33">
        <v>16</v>
      </c>
      <c r="U214" s="357" t="s">
        <v>5489</v>
      </c>
      <c r="V214" s="357" t="s">
        <v>106</v>
      </c>
      <c r="W214" s="356" t="s">
        <v>107</v>
      </c>
      <c r="X214" s="357"/>
      <c r="Y214" s="356" t="s">
        <v>5426</v>
      </c>
      <c r="Z214" s="356">
        <v>240</v>
      </c>
      <c r="AA214" s="356">
        <v>195</v>
      </c>
      <c r="AB214" s="16">
        <v>210</v>
      </c>
      <c r="AC214" s="16">
        <v>136</v>
      </c>
      <c r="AD214" s="16">
        <v>157</v>
      </c>
      <c r="AE214" s="16">
        <v>3</v>
      </c>
      <c r="AF214" s="16">
        <v>60</v>
      </c>
      <c r="AG214" s="16">
        <v>220</v>
      </c>
      <c r="AH214" s="16">
        <v>15</v>
      </c>
      <c r="AI214" s="16">
        <v>6</v>
      </c>
      <c r="AJ214" s="356"/>
      <c r="AK214" s="357" t="s">
        <v>5434</v>
      </c>
      <c r="AL214" s="25">
        <v>220</v>
      </c>
      <c r="AM214" s="356">
        <v>14.7</v>
      </c>
      <c r="AN214" s="356"/>
      <c r="AO214" s="356"/>
      <c r="AP214" s="16" t="s">
        <v>160</v>
      </c>
      <c r="AQ214" s="16" t="s">
        <v>165</v>
      </c>
      <c r="AR214" s="130">
        <f t="shared" si="14"/>
        <v>1404</v>
      </c>
      <c r="AS214" s="130">
        <f t="shared" si="15"/>
        <v>5</v>
      </c>
      <c r="AT214" s="130"/>
      <c r="AU214" s="130"/>
      <c r="AV214" s="12"/>
      <c r="AW214" s="12"/>
      <c r="AX214" s="12"/>
      <c r="AY214" s="408"/>
    </row>
    <row r="215" spans="1:51" ht="30" hidden="1" customHeight="1" x14ac:dyDescent="0.2">
      <c r="A215" s="356">
        <v>213</v>
      </c>
      <c r="B215" s="356">
        <v>20</v>
      </c>
      <c r="C215" s="356">
        <v>5</v>
      </c>
      <c r="D215" s="16">
        <v>1404</v>
      </c>
      <c r="E215" s="357" t="s">
        <v>5410</v>
      </c>
      <c r="F215" s="357" t="s">
        <v>66</v>
      </c>
      <c r="G215" s="357" t="s">
        <v>1587</v>
      </c>
      <c r="H215" s="356" t="s">
        <v>7</v>
      </c>
      <c r="I215" s="360" t="s">
        <v>158</v>
      </c>
      <c r="J215" s="16" t="s">
        <v>92</v>
      </c>
      <c r="K215" s="357"/>
      <c r="L215" s="357" t="s">
        <v>68</v>
      </c>
      <c r="M215" s="357" t="s">
        <v>5503</v>
      </c>
      <c r="N215" s="357" t="s">
        <v>142</v>
      </c>
      <c r="O215" s="356" t="s">
        <v>70</v>
      </c>
      <c r="P215" s="436"/>
      <c r="Q215" s="436"/>
      <c r="R215" s="356"/>
      <c r="S215" s="356">
        <v>384</v>
      </c>
      <c r="T215" s="356">
        <v>8</v>
      </c>
      <c r="U215" s="357" t="s">
        <v>1410</v>
      </c>
      <c r="V215" s="357" t="s">
        <v>106</v>
      </c>
      <c r="W215" s="356" t="s">
        <v>107</v>
      </c>
      <c r="X215" s="357"/>
      <c r="Y215" s="356"/>
      <c r="Z215" s="356">
        <v>229</v>
      </c>
      <c r="AA215" s="356"/>
      <c r="AB215" s="16">
        <v>204</v>
      </c>
      <c r="AC215" s="16">
        <v>77</v>
      </c>
      <c r="AD215" s="16">
        <v>114</v>
      </c>
      <c r="AE215" s="16">
        <v>6</v>
      </c>
      <c r="AF215" s="16">
        <v>28</v>
      </c>
      <c r="AG215" s="16">
        <v>148</v>
      </c>
      <c r="AH215" s="16">
        <v>25</v>
      </c>
      <c r="AI215" s="16">
        <v>6</v>
      </c>
      <c r="AJ215" s="356"/>
      <c r="AK215" s="357" t="s">
        <v>5430</v>
      </c>
      <c r="AL215" s="25">
        <v>150</v>
      </c>
      <c r="AM215" s="356">
        <v>27</v>
      </c>
      <c r="AN215" s="356"/>
      <c r="AO215" s="356"/>
      <c r="AP215" s="16" t="s">
        <v>160</v>
      </c>
      <c r="AQ215" s="16" t="s">
        <v>193</v>
      </c>
      <c r="AR215" s="130">
        <f t="shared" si="14"/>
        <v>1404</v>
      </c>
      <c r="AS215" s="130">
        <f t="shared" si="15"/>
        <v>5</v>
      </c>
      <c r="AT215" s="130"/>
      <c r="AU215" s="130"/>
      <c r="AV215" s="12"/>
      <c r="AW215" s="12"/>
      <c r="AX215" s="12"/>
      <c r="AY215" s="408"/>
    </row>
    <row r="216" spans="1:51" ht="30" hidden="1" customHeight="1" x14ac:dyDescent="0.2">
      <c r="A216" s="356">
        <v>214</v>
      </c>
      <c r="B216" s="356">
        <v>22</v>
      </c>
      <c r="C216" s="356">
        <v>5</v>
      </c>
      <c r="D216" s="16">
        <v>1404</v>
      </c>
      <c r="E216" s="357" t="s">
        <v>5412</v>
      </c>
      <c r="F216" s="357" t="s">
        <v>10</v>
      </c>
      <c r="G216" s="357" t="s">
        <v>481</v>
      </c>
      <c r="H216" s="356" t="s">
        <v>7</v>
      </c>
      <c r="I216" s="360" t="s">
        <v>158</v>
      </c>
      <c r="J216" s="16" t="s">
        <v>92</v>
      </c>
      <c r="K216" s="35" t="s">
        <v>140</v>
      </c>
      <c r="L216" s="35" t="s">
        <v>117</v>
      </c>
      <c r="M216" s="357" t="s">
        <v>5491</v>
      </c>
      <c r="N216" s="380" t="s">
        <v>106</v>
      </c>
      <c r="O216" s="379" t="s">
        <v>107</v>
      </c>
      <c r="P216" s="436"/>
      <c r="Q216" s="436"/>
      <c r="R216" s="356"/>
      <c r="S216" s="356">
        <v>6608</v>
      </c>
      <c r="T216" s="356">
        <v>16</v>
      </c>
      <c r="U216" s="357" t="s">
        <v>5492</v>
      </c>
      <c r="V216" s="357" t="s">
        <v>106</v>
      </c>
      <c r="W216" s="356" t="s">
        <v>107</v>
      </c>
      <c r="X216" s="357"/>
      <c r="Y216" s="356"/>
      <c r="Z216" s="356">
        <v>213</v>
      </c>
      <c r="AA216" s="356">
        <v>204</v>
      </c>
      <c r="AB216" s="16">
        <v>204</v>
      </c>
      <c r="AC216" s="16">
        <v>125</v>
      </c>
      <c r="AD216" s="16">
        <v>152</v>
      </c>
      <c r="AE216" s="16">
        <v>1</v>
      </c>
      <c r="AF216" s="16">
        <v>38</v>
      </c>
      <c r="AG216" s="16">
        <v>191</v>
      </c>
      <c r="AH216" s="16">
        <v>10</v>
      </c>
      <c r="AI216" s="16">
        <v>6</v>
      </c>
      <c r="AJ216" s="356" t="s">
        <v>3714</v>
      </c>
      <c r="AK216" s="357" t="s">
        <v>5435</v>
      </c>
      <c r="AL216" s="25">
        <v>191</v>
      </c>
      <c r="AM216" s="356">
        <v>10.199999999999999</v>
      </c>
      <c r="AN216" s="356"/>
      <c r="AO216" s="356"/>
      <c r="AP216" s="16" t="s">
        <v>160</v>
      </c>
      <c r="AQ216" s="16" t="s">
        <v>161</v>
      </c>
      <c r="AR216" s="130">
        <f t="shared" si="14"/>
        <v>1404</v>
      </c>
      <c r="AS216" s="130">
        <f t="shared" si="15"/>
        <v>5</v>
      </c>
      <c r="AT216" s="130"/>
      <c r="AU216" s="130"/>
      <c r="AV216" s="12"/>
      <c r="AW216" s="12"/>
      <c r="AX216" s="12"/>
      <c r="AY216" s="408"/>
    </row>
    <row r="217" spans="1:51" ht="30" hidden="1" customHeight="1" x14ac:dyDescent="0.2">
      <c r="A217" s="356">
        <v>215</v>
      </c>
      <c r="B217" s="356">
        <v>21</v>
      </c>
      <c r="C217" s="356">
        <v>5</v>
      </c>
      <c r="D217" s="16">
        <v>1404</v>
      </c>
      <c r="E217" s="357" t="s">
        <v>5413</v>
      </c>
      <c r="F217" s="357" t="s">
        <v>20</v>
      </c>
      <c r="G217" s="357" t="s">
        <v>1587</v>
      </c>
      <c r="H217" s="356" t="s">
        <v>7</v>
      </c>
      <c r="I217" s="360" t="s">
        <v>158</v>
      </c>
      <c r="J217" s="16" t="s">
        <v>84</v>
      </c>
      <c r="K217" s="357"/>
      <c r="L217" s="357" t="s">
        <v>104</v>
      </c>
      <c r="M217" s="357" t="s">
        <v>247</v>
      </c>
      <c r="N217" s="380" t="s">
        <v>106</v>
      </c>
      <c r="O217" s="379" t="s">
        <v>107</v>
      </c>
      <c r="P217" s="436"/>
      <c r="Q217" s="436"/>
      <c r="R217" s="356"/>
      <c r="S217" s="356">
        <v>6609</v>
      </c>
      <c r="T217" s="356">
        <v>12</v>
      </c>
      <c r="U217" s="357" t="s">
        <v>5493</v>
      </c>
      <c r="V217" s="357" t="s">
        <v>69</v>
      </c>
      <c r="W217" s="356" t="s">
        <v>70</v>
      </c>
      <c r="X217" s="357"/>
      <c r="Y217" s="356"/>
      <c r="Z217" s="356">
        <v>190</v>
      </c>
      <c r="AA217" s="356"/>
      <c r="AB217" s="16">
        <v>180</v>
      </c>
      <c r="AC217" s="16">
        <v>99</v>
      </c>
      <c r="AD217" s="16">
        <v>122</v>
      </c>
      <c r="AE217" s="16">
        <v>3</v>
      </c>
      <c r="AF217" s="16">
        <v>25</v>
      </c>
      <c r="AG217" s="16">
        <v>150</v>
      </c>
      <c r="AH217" s="16">
        <v>16</v>
      </c>
      <c r="AI217" s="16">
        <v>6</v>
      </c>
      <c r="AJ217" s="356"/>
      <c r="AK217" s="357" t="s">
        <v>5436</v>
      </c>
      <c r="AL217" s="25">
        <v>150</v>
      </c>
      <c r="AM217" s="356">
        <v>18.38</v>
      </c>
      <c r="AN217" s="356"/>
      <c r="AO217" s="356"/>
      <c r="AP217" s="16" t="s">
        <v>160</v>
      </c>
      <c r="AQ217" s="16" t="s">
        <v>161</v>
      </c>
      <c r="AR217" s="130">
        <f t="shared" si="14"/>
        <v>1404</v>
      </c>
      <c r="AS217" s="130">
        <f t="shared" si="15"/>
        <v>5</v>
      </c>
      <c r="AT217" s="130"/>
      <c r="AU217" s="130"/>
      <c r="AV217" s="12"/>
      <c r="AW217" s="12"/>
      <c r="AX217" s="12"/>
      <c r="AY217" s="408"/>
    </row>
    <row r="218" spans="1:51" ht="30" hidden="1" customHeight="1" x14ac:dyDescent="0.2">
      <c r="A218" s="356">
        <v>216</v>
      </c>
      <c r="B218" s="356">
        <v>21</v>
      </c>
      <c r="C218" s="356">
        <v>5</v>
      </c>
      <c r="D218" s="16">
        <v>1404</v>
      </c>
      <c r="E218" s="357" t="s">
        <v>912</v>
      </c>
      <c r="F218" s="357" t="s">
        <v>6</v>
      </c>
      <c r="G218" s="357" t="s">
        <v>185</v>
      </c>
      <c r="H218" s="356" t="s">
        <v>7</v>
      </c>
      <c r="I218" s="360" t="s">
        <v>158</v>
      </c>
      <c r="J218" s="16" t="s">
        <v>84</v>
      </c>
      <c r="K218" s="35" t="s">
        <v>218</v>
      </c>
      <c r="L218" s="35" t="s">
        <v>223</v>
      </c>
      <c r="M218" s="357" t="s">
        <v>368</v>
      </c>
      <c r="N218" s="357" t="s">
        <v>69</v>
      </c>
      <c r="O218" s="356" t="s">
        <v>70</v>
      </c>
      <c r="P218" s="436"/>
      <c r="Q218" s="436"/>
      <c r="R218" s="33" t="s">
        <v>268</v>
      </c>
      <c r="S218" s="33">
        <v>193</v>
      </c>
      <c r="T218" s="33">
        <v>16</v>
      </c>
      <c r="U218" s="357" t="s">
        <v>5494</v>
      </c>
      <c r="V218" s="357" t="s">
        <v>106</v>
      </c>
      <c r="W218" s="356" t="s">
        <v>107</v>
      </c>
      <c r="X218" s="357"/>
      <c r="Y218" s="356" t="s">
        <v>5423</v>
      </c>
      <c r="Z218" s="356"/>
      <c r="AA218" s="356">
        <v>210</v>
      </c>
      <c r="AB218" s="16">
        <v>204</v>
      </c>
      <c r="AC218" s="16">
        <v>165</v>
      </c>
      <c r="AD218" s="16">
        <v>192</v>
      </c>
      <c r="AE218" s="16">
        <v>1</v>
      </c>
      <c r="AF218" s="16">
        <v>35</v>
      </c>
      <c r="AG218" s="16">
        <v>228</v>
      </c>
      <c r="AH218" s="16">
        <v>4.4400000000000004</v>
      </c>
      <c r="AI218" s="16">
        <v>6</v>
      </c>
      <c r="AJ218" s="356"/>
      <c r="AK218" s="357" t="s">
        <v>5436</v>
      </c>
      <c r="AL218" s="25">
        <v>228</v>
      </c>
      <c r="AM218" s="356">
        <v>4</v>
      </c>
      <c r="AN218" s="356"/>
      <c r="AO218" s="356"/>
      <c r="AP218" s="16" t="s">
        <v>160</v>
      </c>
      <c r="AQ218" s="16" t="s">
        <v>112</v>
      </c>
      <c r="AR218" s="130">
        <f t="shared" si="14"/>
        <v>1404</v>
      </c>
      <c r="AS218" s="130">
        <f t="shared" si="15"/>
        <v>5</v>
      </c>
      <c r="AT218" s="130"/>
      <c r="AU218" s="130"/>
      <c r="AV218" s="12"/>
      <c r="AW218" s="12"/>
      <c r="AX218" s="12"/>
      <c r="AY218" s="408"/>
    </row>
    <row r="219" spans="1:51" s="21" customFormat="1" ht="30" hidden="1" customHeight="1" x14ac:dyDescent="0.2">
      <c r="A219" s="20">
        <v>217</v>
      </c>
      <c r="B219" s="20">
        <v>22</v>
      </c>
      <c r="C219" s="20">
        <v>5</v>
      </c>
      <c r="D219" s="29">
        <v>1404</v>
      </c>
      <c r="E219" s="30" t="s">
        <v>5440</v>
      </c>
      <c r="F219" s="30" t="s">
        <v>66</v>
      </c>
      <c r="G219" s="30" t="s">
        <v>481</v>
      </c>
      <c r="H219" s="20" t="s">
        <v>83</v>
      </c>
      <c r="I219" s="360" t="s">
        <v>158</v>
      </c>
      <c r="J219" s="29" t="s">
        <v>84</v>
      </c>
      <c r="K219" s="30" t="s">
        <v>3714</v>
      </c>
      <c r="L219" s="30" t="s">
        <v>5431</v>
      </c>
      <c r="M219" s="30" t="s">
        <v>5487</v>
      </c>
      <c r="N219" s="30" t="s">
        <v>69</v>
      </c>
      <c r="O219" s="20" t="s">
        <v>70</v>
      </c>
      <c r="P219" s="20"/>
      <c r="Q219" s="20"/>
      <c r="R219" s="20" t="s">
        <v>3714</v>
      </c>
      <c r="S219" s="20" t="s">
        <v>5450</v>
      </c>
      <c r="T219" s="20">
        <v>20</v>
      </c>
      <c r="U219" s="30" t="s">
        <v>5488</v>
      </c>
      <c r="V219" s="30" t="s">
        <v>69</v>
      </c>
      <c r="W219" s="20" t="s">
        <v>70</v>
      </c>
      <c r="X219" s="30"/>
      <c r="Y219" s="20" t="s">
        <v>5451</v>
      </c>
      <c r="Z219" s="20"/>
      <c r="AA219" s="20" t="s">
        <v>3714</v>
      </c>
      <c r="AB219" s="29">
        <v>120</v>
      </c>
      <c r="AC219" s="29" t="s">
        <v>3714</v>
      </c>
      <c r="AD219" s="29" t="s">
        <v>3714</v>
      </c>
      <c r="AE219" s="29" t="s">
        <v>3714</v>
      </c>
      <c r="AF219" s="29" t="s">
        <v>3714</v>
      </c>
      <c r="AG219" s="29" t="s">
        <v>3714</v>
      </c>
      <c r="AH219" s="29" t="s">
        <v>3714</v>
      </c>
      <c r="AI219" s="29">
        <v>3</v>
      </c>
      <c r="AJ219" s="20"/>
      <c r="AK219" s="30" t="s">
        <v>3714</v>
      </c>
      <c r="AL219" s="36" t="s">
        <v>3714</v>
      </c>
      <c r="AM219" s="20" t="s">
        <v>3714</v>
      </c>
      <c r="AN219" s="20" t="s">
        <v>3714</v>
      </c>
      <c r="AO219" s="20"/>
      <c r="AP219" s="29" t="s">
        <v>5433</v>
      </c>
      <c r="AQ219" s="29" t="s">
        <v>228</v>
      </c>
      <c r="AR219" s="318">
        <f t="shared" si="14"/>
        <v>1404</v>
      </c>
      <c r="AS219" s="318">
        <f t="shared" si="15"/>
        <v>5</v>
      </c>
      <c r="AT219" s="318">
        <v>1404</v>
      </c>
      <c r="AU219" s="318">
        <v>5</v>
      </c>
      <c r="AV219" s="31">
        <f>IF(AR219*AT219&gt;0,(AR219-AT219)*12+(AS219-AU219),"")</f>
        <v>0</v>
      </c>
      <c r="AW219" s="31">
        <f>IF(AV219&lt;13,AV219,"")</f>
        <v>0</v>
      </c>
      <c r="AX219" s="31" t="s">
        <v>5311</v>
      </c>
      <c r="AY219" s="409" t="s">
        <v>5468</v>
      </c>
    </row>
    <row r="220" spans="1:51" ht="30" hidden="1" customHeight="1" x14ac:dyDescent="0.2">
      <c r="A220" s="381">
        <v>218</v>
      </c>
      <c r="B220" s="381">
        <v>24</v>
      </c>
      <c r="C220" s="381">
        <v>5</v>
      </c>
      <c r="D220" s="16">
        <v>1404</v>
      </c>
      <c r="E220" s="382" t="s">
        <v>5440</v>
      </c>
      <c r="F220" s="382" t="s">
        <v>66</v>
      </c>
      <c r="G220" s="382" t="s">
        <v>3714</v>
      </c>
      <c r="H220" s="381" t="s">
        <v>7</v>
      </c>
      <c r="I220" s="360" t="s">
        <v>158</v>
      </c>
      <c r="J220" s="16" t="s">
        <v>84</v>
      </c>
      <c r="K220" s="35" t="s">
        <v>5431</v>
      </c>
      <c r="L220" s="35" t="s">
        <v>5441</v>
      </c>
      <c r="M220" s="382" t="s">
        <v>5487</v>
      </c>
      <c r="N220" s="578" t="s">
        <v>5442</v>
      </c>
      <c r="O220" s="580"/>
      <c r="P220" s="435"/>
      <c r="Q220" s="435"/>
      <c r="R220" s="33" t="s">
        <v>5452</v>
      </c>
      <c r="S220" s="33" t="s">
        <v>5442</v>
      </c>
      <c r="T220" s="33" t="s">
        <v>3714</v>
      </c>
      <c r="U220" s="382" t="s">
        <v>5488</v>
      </c>
      <c r="V220" s="382" t="s">
        <v>3714</v>
      </c>
      <c r="W220" s="381" t="s">
        <v>3714</v>
      </c>
      <c r="X220" s="382"/>
      <c r="Y220" s="381" t="s">
        <v>3714</v>
      </c>
      <c r="Z220" s="381"/>
      <c r="AA220" s="381" t="s">
        <v>3714</v>
      </c>
      <c r="AB220" s="16">
        <v>120</v>
      </c>
      <c r="AC220" s="16" t="s">
        <v>3714</v>
      </c>
      <c r="AD220" s="16" t="s">
        <v>3714</v>
      </c>
      <c r="AE220" s="16" t="s">
        <v>3714</v>
      </c>
      <c r="AF220" s="16" t="s">
        <v>3714</v>
      </c>
      <c r="AG220" s="16" t="s">
        <v>3714</v>
      </c>
      <c r="AH220" s="16" t="s">
        <v>3714</v>
      </c>
      <c r="AI220" s="16">
        <v>3</v>
      </c>
      <c r="AJ220" s="381"/>
      <c r="AK220" s="382" t="s">
        <v>5443</v>
      </c>
      <c r="AL220" s="25" t="s">
        <v>3714</v>
      </c>
      <c r="AM220" s="381" t="s">
        <v>3714</v>
      </c>
      <c r="AN220" s="381" t="s">
        <v>3714</v>
      </c>
      <c r="AO220" s="381"/>
      <c r="AP220" s="16" t="s">
        <v>5433</v>
      </c>
      <c r="AQ220" s="16" t="s">
        <v>1956</v>
      </c>
      <c r="AR220" s="130">
        <f t="shared" si="14"/>
        <v>1404</v>
      </c>
      <c r="AS220" s="130">
        <f t="shared" si="15"/>
        <v>5</v>
      </c>
      <c r="AT220" s="130" t="s">
        <v>3714</v>
      </c>
      <c r="AU220" s="130" t="s">
        <v>3714</v>
      </c>
      <c r="AV220" s="12"/>
      <c r="AW220" s="12"/>
      <c r="AX220" s="12"/>
      <c r="AY220" s="408"/>
    </row>
    <row r="221" spans="1:51" ht="30" hidden="1" customHeight="1" x14ac:dyDescent="0.2">
      <c r="A221" s="381">
        <v>219</v>
      </c>
      <c r="B221" s="381">
        <v>24</v>
      </c>
      <c r="C221" s="384">
        <v>5</v>
      </c>
      <c r="D221" s="384">
        <v>1404</v>
      </c>
      <c r="E221" s="16" t="s">
        <v>5437</v>
      </c>
      <c r="F221" s="382" t="s">
        <v>243</v>
      </c>
      <c r="G221" s="382" t="s">
        <v>3714</v>
      </c>
      <c r="H221" s="381" t="s">
        <v>7</v>
      </c>
      <c r="I221" s="360" t="s">
        <v>158</v>
      </c>
      <c r="J221" s="16" t="s">
        <v>84</v>
      </c>
      <c r="K221" s="35" t="s">
        <v>155</v>
      </c>
      <c r="L221" s="35" t="s">
        <v>141</v>
      </c>
      <c r="M221" s="382" t="s">
        <v>5700</v>
      </c>
      <c r="N221" s="382" t="s">
        <v>69</v>
      </c>
      <c r="O221" s="381" t="s">
        <v>70</v>
      </c>
      <c r="P221" s="436"/>
      <c r="Q221" s="436"/>
      <c r="R221" s="33" t="s">
        <v>899</v>
      </c>
      <c r="S221" s="33">
        <v>6608</v>
      </c>
      <c r="T221" s="33">
        <v>14</v>
      </c>
      <c r="U221" s="382" t="s">
        <v>5496</v>
      </c>
      <c r="V221" s="382" t="s">
        <v>69</v>
      </c>
      <c r="W221" s="381" t="s">
        <v>70</v>
      </c>
      <c r="X221" s="382"/>
      <c r="Y221" s="381" t="s">
        <v>5438</v>
      </c>
      <c r="Z221" s="381"/>
      <c r="AA221" s="381">
        <v>138</v>
      </c>
      <c r="AB221" s="16">
        <v>138</v>
      </c>
      <c r="AC221" s="16">
        <v>99</v>
      </c>
      <c r="AD221" s="16">
        <v>99</v>
      </c>
      <c r="AE221" s="16">
        <v>2</v>
      </c>
      <c r="AF221" s="16">
        <v>46</v>
      </c>
      <c r="AG221" s="16">
        <v>147</v>
      </c>
      <c r="AH221" s="16">
        <v>12</v>
      </c>
      <c r="AI221" s="16">
        <v>6</v>
      </c>
      <c r="AJ221" s="381"/>
      <c r="AK221" s="382" t="s">
        <v>5439</v>
      </c>
      <c r="AL221" s="25">
        <v>147</v>
      </c>
      <c r="AM221" s="381">
        <v>12</v>
      </c>
      <c r="AN221" s="381"/>
      <c r="AO221" s="381"/>
      <c r="AP221" s="16" t="s">
        <v>5080</v>
      </c>
      <c r="AQ221" s="16" t="s">
        <v>112</v>
      </c>
      <c r="AR221" s="130">
        <f t="shared" si="14"/>
        <v>1404</v>
      </c>
      <c r="AS221" s="130">
        <f t="shared" si="15"/>
        <v>5</v>
      </c>
      <c r="AT221" s="130" t="s">
        <v>3714</v>
      </c>
      <c r="AU221" s="130" t="s">
        <v>3714</v>
      </c>
      <c r="AV221" s="12"/>
      <c r="AW221" s="12"/>
      <c r="AX221" s="12"/>
      <c r="AY221" s="408"/>
    </row>
    <row r="222" spans="1:51" ht="30" hidden="1" customHeight="1" x14ac:dyDescent="0.2">
      <c r="A222" s="356">
        <v>220</v>
      </c>
      <c r="B222" s="384">
        <v>24</v>
      </c>
      <c r="C222" s="384">
        <v>5</v>
      </c>
      <c r="D222" s="384">
        <v>1404</v>
      </c>
      <c r="E222" s="384" t="s">
        <v>5437</v>
      </c>
      <c r="F222" s="385" t="s">
        <v>243</v>
      </c>
      <c r="G222" s="389" t="s">
        <v>481</v>
      </c>
      <c r="H222" s="384" t="s">
        <v>83</v>
      </c>
      <c r="I222" s="360" t="s">
        <v>158</v>
      </c>
      <c r="J222" s="16" t="s">
        <v>84</v>
      </c>
      <c r="K222" s="357" t="s">
        <v>3714</v>
      </c>
      <c r="L222" s="357" t="s">
        <v>155</v>
      </c>
      <c r="M222" s="357"/>
      <c r="N222" s="385" t="s">
        <v>106</v>
      </c>
      <c r="O222" s="384" t="s">
        <v>107</v>
      </c>
      <c r="P222" s="436"/>
      <c r="Q222" s="436"/>
      <c r="R222" s="356"/>
      <c r="S222" s="356">
        <v>374</v>
      </c>
      <c r="T222" s="356">
        <v>7</v>
      </c>
      <c r="U222" s="357"/>
      <c r="V222" s="357" t="s">
        <v>106</v>
      </c>
      <c r="W222" s="356" t="s">
        <v>107</v>
      </c>
      <c r="X222" s="357"/>
      <c r="Y222" s="356" t="s">
        <v>5438</v>
      </c>
      <c r="Z222" s="356"/>
      <c r="AA222" s="356">
        <v>138</v>
      </c>
      <c r="AB222" s="16">
        <v>138</v>
      </c>
      <c r="AC222" s="16"/>
      <c r="AD222" s="16"/>
      <c r="AE222" s="16"/>
      <c r="AF222" s="16"/>
      <c r="AG222" s="16"/>
      <c r="AH222" s="16"/>
      <c r="AI222" s="16">
        <v>6</v>
      </c>
      <c r="AJ222" s="356"/>
      <c r="AK222" s="357"/>
      <c r="AL222" s="25"/>
      <c r="AM222" s="356"/>
      <c r="AN222" s="356"/>
      <c r="AO222" s="356"/>
      <c r="AP222" s="16" t="s">
        <v>5080</v>
      </c>
      <c r="AQ222" s="16" t="s">
        <v>112</v>
      </c>
      <c r="AR222" s="130">
        <f>D223</f>
        <v>1404</v>
      </c>
      <c r="AS222" s="130">
        <f>C223</f>
        <v>5</v>
      </c>
      <c r="AT222" s="130">
        <v>1401</v>
      </c>
      <c r="AU222" s="130">
        <v>10</v>
      </c>
      <c r="AV222" s="12">
        <f>IF(AR222*AT222&gt;0,(AR222-AT222)*12+(AS222-AU222),"")</f>
        <v>31</v>
      </c>
      <c r="AW222" s="12" t="str">
        <f>IF(AV222&lt;13,AV222,"")</f>
        <v/>
      </c>
      <c r="AX222" s="12"/>
      <c r="AY222" s="408"/>
    </row>
    <row r="223" spans="1:51" ht="30" hidden="1" customHeight="1" x14ac:dyDescent="0.2">
      <c r="A223" s="356">
        <v>221</v>
      </c>
      <c r="B223" s="356">
        <v>25</v>
      </c>
      <c r="C223" s="356">
        <v>5</v>
      </c>
      <c r="D223" s="16">
        <v>1404</v>
      </c>
      <c r="E223" s="357" t="s">
        <v>5404</v>
      </c>
      <c r="F223" s="357" t="s">
        <v>6</v>
      </c>
      <c r="G223" s="357"/>
      <c r="H223" s="383" t="s">
        <v>7</v>
      </c>
      <c r="I223" s="360" t="s">
        <v>158</v>
      </c>
      <c r="J223" s="16" t="s">
        <v>84</v>
      </c>
      <c r="K223" s="35" t="s">
        <v>155</v>
      </c>
      <c r="L223" s="35" t="s">
        <v>68</v>
      </c>
      <c r="M223" s="357" t="s">
        <v>5498</v>
      </c>
      <c r="N223" s="385" t="s">
        <v>106</v>
      </c>
      <c r="O223" s="384" t="s">
        <v>107</v>
      </c>
      <c r="P223" s="436"/>
      <c r="Q223" s="436"/>
      <c r="R223" s="33" t="s">
        <v>167</v>
      </c>
      <c r="S223" s="33">
        <v>293</v>
      </c>
      <c r="T223" s="33">
        <v>17</v>
      </c>
      <c r="U223" s="357" t="s">
        <v>5497</v>
      </c>
      <c r="V223" s="357" t="s">
        <v>69</v>
      </c>
      <c r="W223" s="356" t="s">
        <v>70</v>
      </c>
      <c r="X223" s="357"/>
      <c r="Y223" s="356" t="s">
        <v>5445</v>
      </c>
      <c r="Z223" s="356">
        <v>199</v>
      </c>
      <c r="AA223" s="356">
        <v>204</v>
      </c>
      <c r="AB223" s="16">
        <v>192</v>
      </c>
      <c r="AC223" s="16">
        <v>151</v>
      </c>
      <c r="AD223" s="16">
        <v>180</v>
      </c>
      <c r="AE223" s="16">
        <v>2</v>
      </c>
      <c r="AF223" s="16">
        <v>65</v>
      </c>
      <c r="AG223" s="16">
        <v>247</v>
      </c>
      <c r="AH223" s="16">
        <v>15</v>
      </c>
      <c r="AI223" s="16">
        <v>6</v>
      </c>
      <c r="AJ223" s="356"/>
      <c r="AK223" s="357" t="s">
        <v>5446</v>
      </c>
      <c r="AL223" s="25">
        <v>247</v>
      </c>
      <c r="AM223" s="356">
        <v>13.9</v>
      </c>
      <c r="AN223" s="356"/>
      <c r="AO223" s="356"/>
      <c r="AP223" s="16" t="s">
        <v>160</v>
      </c>
      <c r="AQ223" s="16" t="s">
        <v>165</v>
      </c>
      <c r="AR223" s="130">
        <f>D224</f>
        <v>1404</v>
      </c>
      <c r="AS223" s="130">
        <f>C224</f>
        <v>5</v>
      </c>
      <c r="AT223" s="130"/>
      <c r="AU223" s="130"/>
      <c r="AV223" s="12"/>
      <c r="AW223" s="12"/>
      <c r="AX223" s="12"/>
      <c r="AY223" s="408"/>
    </row>
    <row r="224" spans="1:51" ht="30" hidden="1" customHeight="1" x14ac:dyDescent="0.2">
      <c r="A224" s="356">
        <v>222</v>
      </c>
      <c r="B224" s="356">
        <v>25</v>
      </c>
      <c r="C224" s="356">
        <v>5</v>
      </c>
      <c r="D224" s="16">
        <v>1404</v>
      </c>
      <c r="E224" s="357" t="s">
        <v>1811</v>
      </c>
      <c r="F224" s="357" t="s">
        <v>10</v>
      </c>
      <c r="G224" s="357"/>
      <c r="H224" s="383" t="s">
        <v>7</v>
      </c>
      <c r="I224" s="360" t="s">
        <v>158</v>
      </c>
      <c r="J224" s="16" t="s">
        <v>92</v>
      </c>
      <c r="K224" s="357"/>
      <c r="L224" s="357" t="s">
        <v>104</v>
      </c>
      <c r="M224" s="357" t="s">
        <v>567</v>
      </c>
      <c r="N224" s="385" t="s">
        <v>106</v>
      </c>
      <c r="O224" s="384" t="s">
        <v>107</v>
      </c>
      <c r="P224" s="436"/>
      <c r="Q224" s="436"/>
      <c r="R224" s="33" t="s">
        <v>199</v>
      </c>
      <c r="S224" s="33">
        <v>6611</v>
      </c>
      <c r="T224" s="33">
        <v>11</v>
      </c>
      <c r="U224" s="357" t="s">
        <v>249</v>
      </c>
      <c r="V224" s="357" t="s">
        <v>69</v>
      </c>
      <c r="W224" s="356" t="s">
        <v>70</v>
      </c>
      <c r="X224" s="357"/>
      <c r="Y224" s="356" t="s">
        <v>4908</v>
      </c>
      <c r="Z224" s="356">
        <v>232</v>
      </c>
      <c r="AA224" s="356">
        <v>216</v>
      </c>
      <c r="AB224" s="16">
        <v>216</v>
      </c>
      <c r="AC224" s="16">
        <v>116</v>
      </c>
      <c r="AD224" s="16">
        <v>130</v>
      </c>
      <c r="AE224" s="16">
        <v>5</v>
      </c>
      <c r="AF224" s="16">
        <v>18</v>
      </c>
      <c r="AG224" s="16">
        <v>153</v>
      </c>
      <c r="AH224" s="16">
        <v>19</v>
      </c>
      <c r="AI224" s="16">
        <v>6</v>
      </c>
      <c r="AJ224" s="356"/>
      <c r="AK224" s="357" t="s">
        <v>5447</v>
      </c>
      <c r="AL224" s="25">
        <v>153</v>
      </c>
      <c r="AM224" s="356">
        <v>17.45</v>
      </c>
      <c r="AN224" s="356"/>
      <c r="AO224" s="356"/>
      <c r="AP224" s="16" t="s">
        <v>160</v>
      </c>
      <c r="AQ224" s="16" t="s">
        <v>161</v>
      </c>
      <c r="AR224" s="130">
        <f>D225</f>
        <v>1404</v>
      </c>
      <c r="AS224" s="130">
        <f>C225</f>
        <v>5</v>
      </c>
      <c r="AT224" s="130"/>
      <c r="AU224" s="130"/>
      <c r="AV224" s="12"/>
      <c r="AW224" s="12"/>
      <c r="AX224" s="12"/>
      <c r="AY224" s="408"/>
    </row>
    <row r="225" spans="1:51" ht="30" hidden="1" customHeight="1" x14ac:dyDescent="0.2">
      <c r="A225" s="356">
        <v>223</v>
      </c>
      <c r="B225" s="356">
        <v>27</v>
      </c>
      <c r="C225" s="356">
        <v>5</v>
      </c>
      <c r="D225" s="16">
        <v>1404</v>
      </c>
      <c r="E225" s="357" t="s">
        <v>5444</v>
      </c>
      <c r="F225" s="357" t="s">
        <v>66</v>
      </c>
      <c r="G225" s="357" t="s">
        <v>481</v>
      </c>
      <c r="H225" s="356" t="s">
        <v>83</v>
      </c>
      <c r="I225" s="360" t="s">
        <v>158</v>
      </c>
      <c r="J225" s="16" t="s">
        <v>84</v>
      </c>
      <c r="K225" s="357"/>
      <c r="L225" s="357" t="s">
        <v>5448</v>
      </c>
      <c r="M225" s="357"/>
      <c r="N225" s="387" t="s">
        <v>106</v>
      </c>
      <c r="O225" s="386" t="s">
        <v>107</v>
      </c>
      <c r="P225" s="436"/>
      <c r="Q225" s="436"/>
      <c r="R225" s="356" t="s">
        <v>5454</v>
      </c>
      <c r="S225" s="356">
        <v>152</v>
      </c>
      <c r="T225" s="356">
        <v>24</v>
      </c>
      <c r="U225" s="357"/>
      <c r="V225" s="357" t="s">
        <v>106</v>
      </c>
      <c r="W225" s="356" t="s">
        <v>107</v>
      </c>
      <c r="X225" s="357"/>
      <c r="Y225" s="356" t="s">
        <v>5184</v>
      </c>
      <c r="Z225" s="356"/>
      <c r="AA225" s="356">
        <v>117</v>
      </c>
      <c r="AB225" s="16">
        <v>117</v>
      </c>
      <c r="AC225" s="16"/>
      <c r="AD225" s="16"/>
      <c r="AE225" s="16"/>
      <c r="AF225" s="16"/>
      <c r="AG225" s="16"/>
      <c r="AH225" s="16"/>
      <c r="AI225" s="16">
        <v>3</v>
      </c>
      <c r="AJ225" s="356"/>
      <c r="AK225" s="357"/>
      <c r="AL225" s="584" t="s">
        <v>5455</v>
      </c>
      <c r="AM225" s="585"/>
      <c r="AN225" s="585"/>
      <c r="AO225" s="585"/>
      <c r="AP225" s="585"/>
      <c r="AQ225" s="586"/>
      <c r="AR225" s="130">
        <f t="shared" ref="AR225:AR234" si="16">D225</f>
        <v>1404</v>
      </c>
      <c r="AS225" s="130">
        <f t="shared" ref="AS225:AS234" si="17">C225</f>
        <v>5</v>
      </c>
      <c r="AT225" s="130"/>
      <c r="AU225" s="130"/>
      <c r="AV225" s="12" t="str">
        <f>IF(AR225*AT225&gt;0,(AR225-AT225)*12+(AS225-AU225),"")</f>
        <v/>
      </c>
      <c r="AW225" s="12" t="str">
        <f>IF(AV225&lt;13,AV225,"")</f>
        <v/>
      </c>
      <c r="AX225" s="12"/>
      <c r="AY225" s="408"/>
    </row>
    <row r="226" spans="1:51" ht="30" hidden="1" customHeight="1" x14ac:dyDescent="0.2">
      <c r="A226" s="356">
        <v>224</v>
      </c>
      <c r="B226" s="356">
        <v>27</v>
      </c>
      <c r="C226" s="356">
        <v>5</v>
      </c>
      <c r="D226" s="16">
        <v>1404</v>
      </c>
      <c r="E226" s="357" t="s">
        <v>5444</v>
      </c>
      <c r="F226" s="357" t="s">
        <v>66</v>
      </c>
      <c r="G226" s="357"/>
      <c r="H226" s="356" t="s">
        <v>7</v>
      </c>
      <c r="I226" s="360" t="s">
        <v>158</v>
      </c>
      <c r="J226" s="16" t="s">
        <v>84</v>
      </c>
      <c r="K226" s="357"/>
      <c r="L226" s="357" t="s">
        <v>5448</v>
      </c>
      <c r="M226" s="357" t="s">
        <v>5499</v>
      </c>
      <c r="N226" s="357" t="s">
        <v>69</v>
      </c>
      <c r="O226" s="356" t="s">
        <v>70</v>
      </c>
      <c r="P226" s="436"/>
      <c r="Q226" s="436"/>
      <c r="R226" s="356"/>
      <c r="S226" s="356">
        <v>152</v>
      </c>
      <c r="T226" s="356">
        <v>24</v>
      </c>
      <c r="U226" s="357" t="s">
        <v>5504</v>
      </c>
      <c r="V226" s="357" t="s">
        <v>69</v>
      </c>
      <c r="W226" s="356" t="s">
        <v>70</v>
      </c>
      <c r="X226" s="357"/>
      <c r="Y226" s="356"/>
      <c r="Z226" s="356"/>
      <c r="AA226" s="356">
        <v>117</v>
      </c>
      <c r="AB226" s="16">
        <v>117</v>
      </c>
      <c r="AC226" s="581" t="s">
        <v>5456</v>
      </c>
      <c r="AD226" s="582"/>
      <c r="AE226" s="582"/>
      <c r="AF226" s="582"/>
      <c r="AG226" s="582"/>
      <c r="AH226" s="583"/>
      <c r="AI226" s="16">
        <v>3</v>
      </c>
      <c r="AJ226" s="356"/>
      <c r="AK226" s="357" t="s">
        <v>5449</v>
      </c>
      <c r="AL226" s="587"/>
      <c r="AM226" s="588"/>
      <c r="AN226" s="588"/>
      <c r="AO226" s="588"/>
      <c r="AP226" s="588"/>
      <c r="AQ226" s="589"/>
      <c r="AR226" s="130">
        <f t="shared" si="16"/>
        <v>1404</v>
      </c>
      <c r="AS226" s="130">
        <f t="shared" si="17"/>
        <v>5</v>
      </c>
      <c r="AT226" s="130"/>
      <c r="AU226" s="130"/>
      <c r="AV226" s="12"/>
      <c r="AW226" s="12"/>
      <c r="AX226" s="12"/>
      <c r="AY226" s="408"/>
    </row>
    <row r="227" spans="1:51" ht="36.75" hidden="1" customHeight="1" x14ac:dyDescent="0.2">
      <c r="A227" s="356">
        <v>225</v>
      </c>
      <c r="B227" s="356">
        <v>28</v>
      </c>
      <c r="C227" s="356">
        <v>5</v>
      </c>
      <c r="D227" s="16">
        <v>1404</v>
      </c>
      <c r="E227" s="357" t="s">
        <v>5453</v>
      </c>
      <c r="F227" s="357" t="s">
        <v>2981</v>
      </c>
      <c r="G227" s="357" t="s">
        <v>1587</v>
      </c>
      <c r="H227" s="356" t="s">
        <v>7</v>
      </c>
      <c r="I227" s="360" t="s">
        <v>158</v>
      </c>
      <c r="J227" s="16" t="s">
        <v>3576</v>
      </c>
      <c r="K227" s="357"/>
      <c r="L227" s="357" t="s">
        <v>68</v>
      </c>
      <c r="M227" s="357" t="s">
        <v>803</v>
      </c>
      <c r="N227" s="387" t="s">
        <v>106</v>
      </c>
      <c r="O227" s="386" t="s">
        <v>107</v>
      </c>
      <c r="P227" s="436"/>
      <c r="Q227" s="436"/>
      <c r="R227" s="356"/>
      <c r="S227" s="356">
        <v>6608</v>
      </c>
      <c r="T227" s="356">
        <v>12</v>
      </c>
      <c r="U227" s="398" t="s">
        <v>5500</v>
      </c>
      <c r="V227" s="357" t="s">
        <v>106</v>
      </c>
      <c r="W227" s="356" t="s">
        <v>107</v>
      </c>
      <c r="X227" s="357"/>
      <c r="Y227" s="356"/>
      <c r="Z227" s="356">
        <v>230</v>
      </c>
      <c r="AA227" s="356" t="s">
        <v>3714</v>
      </c>
      <c r="AB227" s="16">
        <v>210</v>
      </c>
      <c r="AC227" s="16">
        <v>75</v>
      </c>
      <c r="AD227" s="16">
        <v>172</v>
      </c>
      <c r="AE227" s="16">
        <v>4</v>
      </c>
      <c r="AF227" s="16">
        <v>40</v>
      </c>
      <c r="AG227" s="16">
        <v>216</v>
      </c>
      <c r="AH227" s="16">
        <v>18</v>
      </c>
      <c r="AI227" s="16">
        <v>6</v>
      </c>
      <c r="AJ227" s="356"/>
      <c r="AK227" s="357" t="s">
        <v>5457</v>
      </c>
      <c r="AL227" s="25">
        <v>216</v>
      </c>
      <c r="AM227" s="356">
        <v>16</v>
      </c>
      <c r="AN227" s="356"/>
      <c r="AO227" s="356"/>
      <c r="AP227" s="16" t="s">
        <v>160</v>
      </c>
      <c r="AQ227" s="16" t="s">
        <v>193</v>
      </c>
      <c r="AR227" s="130">
        <f t="shared" si="16"/>
        <v>1404</v>
      </c>
      <c r="AS227" s="130">
        <f t="shared" si="17"/>
        <v>5</v>
      </c>
      <c r="AT227" s="130"/>
      <c r="AU227" s="130"/>
      <c r="AV227" s="12"/>
      <c r="AW227" s="12"/>
      <c r="AX227" s="12"/>
      <c r="AY227" s="408"/>
    </row>
    <row r="228" spans="1:51" s="21" customFormat="1" ht="31.5" hidden="1" customHeight="1" x14ac:dyDescent="0.2">
      <c r="A228" s="20">
        <v>226</v>
      </c>
      <c r="B228" s="20">
        <v>28</v>
      </c>
      <c r="C228" s="20">
        <v>5</v>
      </c>
      <c r="D228" s="29">
        <v>1404</v>
      </c>
      <c r="E228" s="30" t="s">
        <v>5458</v>
      </c>
      <c r="F228" s="30" t="s">
        <v>20</v>
      </c>
      <c r="G228" s="30" t="s">
        <v>222</v>
      </c>
      <c r="H228" s="20" t="s">
        <v>83</v>
      </c>
      <c r="I228" s="360" t="s">
        <v>158</v>
      </c>
      <c r="J228" s="29" t="s">
        <v>92</v>
      </c>
      <c r="K228" s="399" t="s">
        <v>3714</v>
      </c>
      <c r="L228" s="30" t="s">
        <v>226</v>
      </c>
      <c r="M228" s="399" t="s">
        <v>5522</v>
      </c>
      <c r="N228" s="30" t="s">
        <v>106</v>
      </c>
      <c r="O228" s="20" t="s">
        <v>107</v>
      </c>
      <c r="P228" s="20"/>
      <c r="Q228" s="20"/>
      <c r="R228" s="20"/>
      <c r="S228" s="20">
        <v>193</v>
      </c>
      <c r="T228" s="20">
        <v>12</v>
      </c>
      <c r="U228" s="399" t="s">
        <v>5522</v>
      </c>
      <c r="V228" s="30" t="s">
        <v>106</v>
      </c>
      <c r="W228" s="20" t="s">
        <v>107</v>
      </c>
      <c r="X228" s="30"/>
      <c r="Y228" s="20" t="s">
        <v>5009</v>
      </c>
      <c r="Z228" s="20">
        <v>148</v>
      </c>
      <c r="AA228" s="20">
        <v>138</v>
      </c>
      <c r="AB228" s="29">
        <v>138</v>
      </c>
      <c r="AC228" s="29"/>
      <c r="AD228" s="29"/>
      <c r="AE228" s="29"/>
      <c r="AF228" s="29"/>
      <c r="AG228" s="29"/>
      <c r="AH228" s="29"/>
      <c r="AI228" s="29">
        <v>4</v>
      </c>
      <c r="AJ228" s="20"/>
      <c r="AK228" s="30"/>
      <c r="AL228" s="36"/>
      <c r="AM228" s="20"/>
      <c r="AN228" s="20"/>
      <c r="AO228" s="20"/>
      <c r="AP228" s="29" t="s">
        <v>5080</v>
      </c>
      <c r="AQ228" s="29" t="s">
        <v>330</v>
      </c>
      <c r="AR228" s="318">
        <f t="shared" si="16"/>
        <v>1404</v>
      </c>
      <c r="AS228" s="318">
        <f t="shared" si="17"/>
        <v>5</v>
      </c>
      <c r="AT228" s="318">
        <v>1403</v>
      </c>
      <c r="AU228" s="318">
        <v>11</v>
      </c>
      <c r="AV228" s="31">
        <f>IF(AR228*AT228&gt;0,(AR228-AT228)*12+(AS228-AU228),"")</f>
        <v>6</v>
      </c>
      <c r="AW228" s="31">
        <f>IF(AV228&lt;13,AV228,"")</f>
        <v>6</v>
      </c>
      <c r="AX228" s="31"/>
      <c r="AY228" s="409"/>
    </row>
    <row r="229" spans="1:51" s="21" customFormat="1" ht="27" hidden="1" customHeight="1" x14ac:dyDescent="0.2">
      <c r="A229" s="20">
        <v>227</v>
      </c>
      <c r="B229" s="20">
        <v>28</v>
      </c>
      <c r="C229" s="20">
        <v>5</v>
      </c>
      <c r="D229" s="29">
        <v>1404</v>
      </c>
      <c r="E229" s="390" t="s">
        <v>5440</v>
      </c>
      <c r="F229" s="30" t="s">
        <v>66</v>
      </c>
      <c r="G229" s="30" t="s">
        <v>481</v>
      </c>
      <c r="H229" s="20" t="s">
        <v>83</v>
      </c>
      <c r="I229" s="360" t="s">
        <v>158</v>
      </c>
      <c r="J229" s="29" t="s">
        <v>84</v>
      </c>
      <c r="K229" s="30" t="s">
        <v>5431</v>
      </c>
      <c r="L229" s="30" t="s">
        <v>769</v>
      </c>
      <c r="M229" s="30" t="s">
        <v>5490</v>
      </c>
      <c r="N229" s="30" t="s">
        <v>5459</v>
      </c>
      <c r="O229" s="20" t="s">
        <v>70</v>
      </c>
      <c r="P229" s="20"/>
      <c r="Q229" s="20"/>
      <c r="R229" s="20" t="s">
        <v>5460</v>
      </c>
      <c r="S229" s="20" t="s">
        <v>5461</v>
      </c>
      <c r="T229" s="20"/>
      <c r="U229" s="30" t="s">
        <v>5488</v>
      </c>
      <c r="V229" s="30"/>
      <c r="W229" s="20"/>
      <c r="X229" s="30"/>
      <c r="Y229" s="20" t="s">
        <v>5447</v>
      </c>
      <c r="Z229" s="20"/>
      <c r="AA229" s="20">
        <v>120</v>
      </c>
      <c r="AB229" s="29">
        <v>120</v>
      </c>
      <c r="AC229" s="29"/>
      <c r="AD229" s="29"/>
      <c r="AE229" s="29"/>
      <c r="AF229" s="29"/>
      <c r="AG229" s="29"/>
      <c r="AH229" s="29"/>
      <c r="AI229" s="29">
        <v>3</v>
      </c>
      <c r="AJ229" s="20"/>
      <c r="AK229" s="30"/>
      <c r="AL229" s="36"/>
      <c r="AM229" s="20"/>
      <c r="AN229" s="20"/>
      <c r="AO229" s="20"/>
      <c r="AP229" s="29" t="s">
        <v>5433</v>
      </c>
      <c r="AQ229" s="29" t="s">
        <v>1956</v>
      </c>
      <c r="AR229" s="318">
        <f t="shared" si="16"/>
        <v>1404</v>
      </c>
      <c r="AS229" s="318">
        <f t="shared" si="17"/>
        <v>5</v>
      </c>
      <c r="AT229" s="318">
        <v>1404</v>
      </c>
      <c r="AU229" s="318">
        <v>5</v>
      </c>
      <c r="AV229" s="31">
        <f>IF(AR229*AT229&gt;0,(AR229-AT229)*12+(AS229-AU229),"")</f>
        <v>0</v>
      </c>
      <c r="AW229" s="31">
        <f>IF(AV229&lt;13,AV229,"")</f>
        <v>0</v>
      </c>
      <c r="AX229" s="31" t="s">
        <v>5466</v>
      </c>
      <c r="AY229" s="409" t="s">
        <v>5467</v>
      </c>
    </row>
    <row r="230" spans="1:51" ht="36.75" hidden="1" customHeight="1" x14ac:dyDescent="0.2">
      <c r="A230" s="356">
        <v>228</v>
      </c>
      <c r="B230" s="356">
        <v>28</v>
      </c>
      <c r="C230" s="356">
        <v>5</v>
      </c>
      <c r="D230" s="16">
        <v>1404</v>
      </c>
      <c r="E230" s="357" t="s">
        <v>5440</v>
      </c>
      <c r="F230" s="388" t="s">
        <v>66</v>
      </c>
      <c r="G230" s="357"/>
      <c r="H230" s="356" t="s">
        <v>7</v>
      </c>
      <c r="I230" s="360" t="s">
        <v>158</v>
      </c>
      <c r="J230" s="16" t="s">
        <v>84</v>
      </c>
      <c r="K230" s="357" t="s">
        <v>769</v>
      </c>
      <c r="L230" s="357" t="s">
        <v>5431</v>
      </c>
      <c r="M230" s="357" t="s">
        <v>5487</v>
      </c>
      <c r="N230" s="357" t="s">
        <v>69</v>
      </c>
      <c r="O230" s="356" t="s">
        <v>70</v>
      </c>
      <c r="P230" s="436"/>
      <c r="Q230" s="436"/>
      <c r="R230" s="356" t="s">
        <v>5462</v>
      </c>
      <c r="S230" s="356">
        <v>102</v>
      </c>
      <c r="T230" s="356">
        <v>20</v>
      </c>
      <c r="U230" s="357" t="s">
        <v>5488</v>
      </c>
      <c r="V230" s="357" t="s">
        <v>69</v>
      </c>
      <c r="W230" s="356" t="s">
        <v>70</v>
      </c>
      <c r="X230" s="357"/>
      <c r="Y230" s="356" t="s">
        <v>5447</v>
      </c>
      <c r="Z230" s="356"/>
      <c r="AA230" s="356">
        <v>120</v>
      </c>
      <c r="AB230" s="16">
        <v>120</v>
      </c>
      <c r="AC230" s="16"/>
      <c r="AD230" s="16"/>
      <c r="AE230" s="578" t="s">
        <v>5463</v>
      </c>
      <c r="AF230" s="579"/>
      <c r="AG230" s="579"/>
      <c r="AH230" s="579"/>
      <c r="AI230" s="579"/>
      <c r="AJ230" s="579"/>
      <c r="AK230" s="579"/>
      <c r="AL230" s="579"/>
      <c r="AM230" s="579"/>
      <c r="AN230" s="579"/>
      <c r="AO230" s="580"/>
      <c r="AP230" s="16" t="s">
        <v>5433</v>
      </c>
      <c r="AQ230" s="16" t="s">
        <v>1956</v>
      </c>
      <c r="AR230" s="130">
        <f t="shared" si="16"/>
        <v>1404</v>
      </c>
      <c r="AS230" s="130">
        <f t="shared" si="17"/>
        <v>5</v>
      </c>
      <c r="AT230" s="130"/>
      <c r="AU230" s="130"/>
      <c r="AV230" s="12"/>
      <c r="AW230" s="12"/>
      <c r="AX230" s="12"/>
      <c r="AY230" s="408"/>
    </row>
    <row r="231" spans="1:51" ht="30" hidden="1" customHeight="1" x14ac:dyDescent="0.2">
      <c r="A231" s="356">
        <v>229</v>
      </c>
      <c r="B231" s="356">
        <v>31</v>
      </c>
      <c r="C231" s="356">
        <v>5</v>
      </c>
      <c r="D231" s="16">
        <v>1404</v>
      </c>
      <c r="E231" s="357" t="s">
        <v>951</v>
      </c>
      <c r="F231" s="388" t="s">
        <v>10</v>
      </c>
      <c r="G231" s="357"/>
      <c r="H231" s="356" t="s">
        <v>7</v>
      </c>
      <c r="I231" s="360" t="s">
        <v>158</v>
      </c>
      <c r="J231" s="16" t="s">
        <v>92</v>
      </c>
      <c r="K231" s="35" t="s">
        <v>117</v>
      </c>
      <c r="L231" s="35" t="s">
        <v>141</v>
      </c>
      <c r="M231" s="357" t="s">
        <v>5490</v>
      </c>
      <c r="N231" s="41" t="s">
        <v>106</v>
      </c>
      <c r="O231" s="13" t="s">
        <v>107</v>
      </c>
      <c r="P231" s="13"/>
      <c r="Q231" s="13"/>
      <c r="R231" s="33" t="s">
        <v>1254</v>
      </c>
      <c r="S231" s="33">
        <v>6608</v>
      </c>
      <c r="T231" s="33">
        <v>12</v>
      </c>
      <c r="U231" s="357" t="s">
        <v>5523</v>
      </c>
      <c r="V231" s="41" t="s">
        <v>106</v>
      </c>
      <c r="W231" s="13" t="s">
        <v>107</v>
      </c>
      <c r="X231" s="357"/>
      <c r="Y231" s="356" t="s">
        <v>5363</v>
      </c>
      <c r="Z231" s="356">
        <v>183</v>
      </c>
      <c r="AA231" s="356">
        <v>174</v>
      </c>
      <c r="AB231" s="16">
        <v>174</v>
      </c>
      <c r="AC231" s="16">
        <v>116</v>
      </c>
      <c r="AD231" s="16">
        <v>137</v>
      </c>
      <c r="AE231" s="16">
        <v>1</v>
      </c>
      <c r="AF231" s="16">
        <v>18</v>
      </c>
      <c r="AG231" s="16">
        <v>156</v>
      </c>
      <c r="AH231" s="16">
        <v>9</v>
      </c>
      <c r="AI231" s="16">
        <v>6</v>
      </c>
      <c r="AJ231" s="356"/>
      <c r="AK231" s="357" t="s">
        <v>5464</v>
      </c>
      <c r="AL231" s="25">
        <v>156</v>
      </c>
      <c r="AM231" s="356">
        <v>9.9</v>
      </c>
      <c r="AN231" s="356"/>
      <c r="AO231" s="356"/>
      <c r="AP231" s="16" t="s">
        <v>160</v>
      </c>
      <c r="AQ231" s="16" t="s">
        <v>5465</v>
      </c>
      <c r="AR231" s="130">
        <f t="shared" si="16"/>
        <v>1404</v>
      </c>
      <c r="AS231" s="130">
        <f t="shared" si="17"/>
        <v>5</v>
      </c>
      <c r="AT231" s="130"/>
      <c r="AU231" s="130"/>
      <c r="AV231" s="12"/>
      <c r="AW231" s="12"/>
      <c r="AX231" s="12"/>
      <c r="AY231" s="408"/>
    </row>
    <row r="232" spans="1:51" s="21" customFormat="1" ht="30" hidden="1" customHeight="1" x14ac:dyDescent="0.2">
      <c r="A232" s="20">
        <v>230</v>
      </c>
      <c r="B232" s="20">
        <v>1</v>
      </c>
      <c r="C232" s="20">
        <v>6</v>
      </c>
      <c r="D232" s="29">
        <v>1404</v>
      </c>
      <c r="E232" s="30" t="s">
        <v>30</v>
      </c>
      <c r="F232" s="30" t="s">
        <v>2981</v>
      </c>
      <c r="G232" s="30" t="s">
        <v>4796</v>
      </c>
      <c r="H232" s="20" t="s">
        <v>83</v>
      </c>
      <c r="I232" s="360" t="s">
        <v>158</v>
      </c>
      <c r="J232" s="29" t="s">
        <v>84</v>
      </c>
      <c r="K232" s="399" t="s">
        <v>5522</v>
      </c>
      <c r="L232" s="30" t="s">
        <v>104</v>
      </c>
      <c r="M232" s="30"/>
      <c r="N232" s="30" t="s">
        <v>106</v>
      </c>
      <c r="O232" s="20" t="s">
        <v>107</v>
      </c>
      <c r="P232" s="20"/>
      <c r="Q232" s="20"/>
      <c r="R232" s="20"/>
      <c r="S232" s="20">
        <v>345</v>
      </c>
      <c r="T232" s="20">
        <v>8</v>
      </c>
      <c r="U232" s="399" t="s">
        <v>5522</v>
      </c>
      <c r="V232" s="30" t="s">
        <v>106</v>
      </c>
      <c r="W232" s="20" t="s">
        <v>107</v>
      </c>
      <c r="X232" s="30"/>
      <c r="Y232" s="20" t="s">
        <v>5469</v>
      </c>
      <c r="Z232" s="20"/>
      <c r="AA232" s="20">
        <v>213</v>
      </c>
      <c r="AB232" s="29"/>
      <c r="AC232" s="29"/>
      <c r="AD232" s="29"/>
      <c r="AE232" s="29"/>
      <c r="AF232" s="29"/>
      <c r="AG232" s="29"/>
      <c r="AH232" s="29"/>
      <c r="AI232" s="29">
        <v>6</v>
      </c>
      <c r="AJ232" s="20"/>
      <c r="AK232" s="30"/>
      <c r="AL232" s="36"/>
      <c r="AM232" s="20"/>
      <c r="AN232" s="20"/>
      <c r="AO232" s="20"/>
      <c r="AP232" s="29" t="s">
        <v>160</v>
      </c>
      <c r="AQ232" s="29" t="s">
        <v>193</v>
      </c>
      <c r="AR232" s="318">
        <f t="shared" si="16"/>
        <v>1404</v>
      </c>
      <c r="AS232" s="318">
        <f t="shared" si="17"/>
        <v>6</v>
      </c>
      <c r="AT232" s="318">
        <v>1404</v>
      </c>
      <c r="AU232" s="318">
        <v>1</v>
      </c>
      <c r="AV232" s="31">
        <f>IF(AR232*AT232&gt;0,(AR232-AT232)*12+(AS232-AU232),"")</f>
        <v>5</v>
      </c>
      <c r="AW232" s="31">
        <f>IF(AV232&lt;13,AV232,"")</f>
        <v>5</v>
      </c>
      <c r="AX232" s="31"/>
      <c r="AY232" s="409"/>
    </row>
    <row r="233" spans="1:51" ht="30" hidden="1" customHeight="1" x14ac:dyDescent="0.2">
      <c r="A233" s="356">
        <v>231</v>
      </c>
      <c r="B233" s="356">
        <v>1</v>
      </c>
      <c r="C233" s="356">
        <v>6</v>
      </c>
      <c r="D233" s="16">
        <v>1404</v>
      </c>
      <c r="E233" s="357" t="s">
        <v>1864</v>
      </c>
      <c r="F233" s="388" t="s">
        <v>2981</v>
      </c>
      <c r="G233" s="357" t="s">
        <v>481</v>
      </c>
      <c r="H233" s="356" t="s">
        <v>83</v>
      </c>
      <c r="I233" s="360" t="s">
        <v>158</v>
      </c>
      <c r="J233" s="16" t="s">
        <v>5577</v>
      </c>
      <c r="K233" s="398" t="s">
        <v>5522</v>
      </c>
      <c r="L233" s="357" t="s">
        <v>117</v>
      </c>
      <c r="M233" s="357"/>
      <c r="N233" s="41" t="s">
        <v>106</v>
      </c>
      <c r="O233" s="13" t="s">
        <v>107</v>
      </c>
      <c r="P233" s="13"/>
      <c r="Q233" s="13"/>
      <c r="R233" s="356"/>
      <c r="S233" s="356">
        <v>384</v>
      </c>
      <c r="T233" s="356">
        <v>5</v>
      </c>
      <c r="U233" s="398" t="s">
        <v>5522</v>
      </c>
      <c r="V233" s="41" t="s">
        <v>106</v>
      </c>
      <c r="W233" s="13" t="s">
        <v>107</v>
      </c>
      <c r="X233" s="357"/>
      <c r="Y233" s="356" t="s">
        <v>6510</v>
      </c>
      <c r="Z233" s="356">
        <v>170</v>
      </c>
      <c r="AA233" s="356">
        <v>150</v>
      </c>
      <c r="AB233" s="16">
        <v>150</v>
      </c>
      <c r="AC233" s="16"/>
      <c r="AD233" s="16"/>
      <c r="AE233" s="16"/>
      <c r="AF233" s="16"/>
      <c r="AG233" s="16"/>
      <c r="AH233" s="16"/>
      <c r="AI233" s="16">
        <v>6</v>
      </c>
      <c r="AJ233" s="356"/>
      <c r="AK233" s="357"/>
      <c r="AL233" s="25"/>
      <c r="AM233" s="356"/>
      <c r="AN233" s="356"/>
      <c r="AO233" s="356"/>
      <c r="AP233" s="16" t="s">
        <v>5080</v>
      </c>
      <c r="AQ233" s="16" t="s">
        <v>231</v>
      </c>
      <c r="AR233" s="130">
        <f t="shared" si="16"/>
        <v>1404</v>
      </c>
      <c r="AS233" s="130">
        <f t="shared" si="17"/>
        <v>6</v>
      </c>
      <c r="AT233" s="130">
        <v>1401</v>
      </c>
      <c r="AU233" s="130">
        <v>12</v>
      </c>
      <c r="AV233" s="12">
        <f>IF(AR233*AT233&gt;0,(AR233-AT233)*12+(AS233-AU233),"")</f>
        <v>30</v>
      </c>
      <c r="AW233" s="12" t="str">
        <f>IF(AV233&lt;13,AV233,"")</f>
        <v/>
      </c>
      <c r="AX233" s="12"/>
      <c r="AY233" s="408"/>
    </row>
    <row r="234" spans="1:51" ht="30" hidden="1" customHeight="1" x14ac:dyDescent="0.2">
      <c r="A234" s="356">
        <v>232</v>
      </c>
      <c r="B234" s="356">
        <v>3</v>
      </c>
      <c r="C234" s="356">
        <v>6</v>
      </c>
      <c r="D234" s="16">
        <v>1404</v>
      </c>
      <c r="E234" s="357" t="s">
        <v>2686</v>
      </c>
      <c r="F234" s="388" t="s">
        <v>2981</v>
      </c>
      <c r="G234" s="357" t="s">
        <v>481</v>
      </c>
      <c r="H234" s="356" t="s">
        <v>83</v>
      </c>
      <c r="I234" s="360" t="s">
        <v>158</v>
      </c>
      <c r="J234" s="16" t="s">
        <v>84</v>
      </c>
      <c r="K234" s="398" t="s">
        <v>5522</v>
      </c>
      <c r="L234" s="357" t="s">
        <v>117</v>
      </c>
      <c r="M234" s="357"/>
      <c r="N234" s="41" t="s">
        <v>106</v>
      </c>
      <c r="O234" s="13" t="s">
        <v>107</v>
      </c>
      <c r="P234" s="13"/>
      <c r="Q234" s="13"/>
      <c r="R234" s="356"/>
      <c r="S234" s="356">
        <v>384</v>
      </c>
      <c r="T234" s="356">
        <v>6</v>
      </c>
      <c r="U234" s="398" t="s">
        <v>5522</v>
      </c>
      <c r="V234" s="41" t="s">
        <v>106</v>
      </c>
      <c r="W234" s="13" t="s">
        <v>107</v>
      </c>
      <c r="X234" s="357"/>
      <c r="Y234" s="356" t="s">
        <v>5473</v>
      </c>
      <c r="Z234" s="356">
        <v>168</v>
      </c>
      <c r="AA234" s="356">
        <v>120</v>
      </c>
      <c r="AB234" s="16">
        <v>120</v>
      </c>
      <c r="AC234" s="16"/>
      <c r="AD234" s="16"/>
      <c r="AE234" s="16"/>
      <c r="AF234" s="16"/>
      <c r="AG234" s="16"/>
      <c r="AH234" s="16"/>
      <c r="AI234" s="16">
        <v>6</v>
      </c>
      <c r="AJ234" s="356"/>
      <c r="AK234" s="357"/>
      <c r="AL234" s="25"/>
      <c r="AM234" s="356"/>
      <c r="AN234" s="356"/>
      <c r="AO234" s="356"/>
      <c r="AP234" s="16" t="s">
        <v>5080</v>
      </c>
      <c r="AQ234" s="16" t="s">
        <v>112</v>
      </c>
      <c r="AR234" s="130">
        <f t="shared" si="16"/>
        <v>1404</v>
      </c>
      <c r="AS234" s="130">
        <f t="shared" si="17"/>
        <v>6</v>
      </c>
      <c r="AT234" s="130">
        <v>1400</v>
      </c>
      <c r="AU234" s="130">
        <v>12</v>
      </c>
      <c r="AV234" s="12">
        <f>IF(AR234*AT234&gt;0,(AR234-AT234)*12+(AS234-AU234),"")</f>
        <v>42</v>
      </c>
      <c r="AW234" s="12" t="str">
        <f>IF(AV234&lt;13,AV234,"")</f>
        <v/>
      </c>
      <c r="AX234" s="12"/>
      <c r="AY234" s="408"/>
    </row>
    <row r="235" spans="1:51" ht="30" hidden="1" customHeight="1" x14ac:dyDescent="0.2">
      <c r="A235" s="356">
        <v>233</v>
      </c>
      <c r="B235" s="356">
        <v>4</v>
      </c>
      <c r="C235" s="356">
        <v>6</v>
      </c>
      <c r="D235" s="16">
        <v>1404</v>
      </c>
      <c r="E235" s="357" t="s">
        <v>2456</v>
      </c>
      <c r="F235" s="388" t="s">
        <v>66</v>
      </c>
      <c r="G235" s="357" t="s">
        <v>481</v>
      </c>
      <c r="H235" s="356" t="s">
        <v>83</v>
      </c>
      <c r="I235" s="360" t="s">
        <v>158</v>
      </c>
      <c r="J235" s="16" t="s">
        <v>84</v>
      </c>
      <c r="K235" s="398" t="s">
        <v>5522</v>
      </c>
      <c r="L235" s="357" t="s">
        <v>226</v>
      </c>
      <c r="M235" s="357"/>
      <c r="N235" s="41" t="s">
        <v>106</v>
      </c>
      <c r="O235" s="13" t="s">
        <v>107</v>
      </c>
      <c r="P235" s="13"/>
      <c r="Q235" s="13"/>
      <c r="R235" s="356"/>
      <c r="S235" s="356">
        <v>233</v>
      </c>
      <c r="T235" s="356">
        <v>10</v>
      </c>
      <c r="U235" s="398" t="s">
        <v>5522</v>
      </c>
      <c r="V235" s="41" t="s">
        <v>106</v>
      </c>
      <c r="W235" s="13" t="s">
        <v>107</v>
      </c>
      <c r="X235" s="357"/>
      <c r="Y235" s="356"/>
      <c r="Z235" s="356"/>
      <c r="AA235" s="356">
        <v>162</v>
      </c>
      <c r="AB235" s="16"/>
      <c r="AC235" s="16"/>
      <c r="AD235" s="16"/>
      <c r="AE235" s="16"/>
      <c r="AF235" s="16"/>
      <c r="AG235" s="16"/>
      <c r="AH235" s="16"/>
      <c r="AI235" s="16">
        <v>3</v>
      </c>
      <c r="AJ235" s="356"/>
      <c r="AK235" s="357"/>
      <c r="AL235" s="25"/>
      <c r="AM235" s="356"/>
      <c r="AN235" s="356"/>
      <c r="AO235" s="356"/>
      <c r="AP235" s="16" t="s">
        <v>5080</v>
      </c>
      <c r="AQ235" s="16" t="s">
        <v>1956</v>
      </c>
      <c r="AR235" s="130">
        <v>1404</v>
      </c>
      <c r="AS235" s="130">
        <v>6</v>
      </c>
      <c r="AT235" s="130"/>
      <c r="AU235" s="130"/>
      <c r="AV235" s="12"/>
      <c r="AW235" s="12"/>
      <c r="AX235" s="12"/>
      <c r="AY235" s="408"/>
    </row>
    <row r="236" spans="1:51" ht="30" hidden="1" customHeight="1" x14ac:dyDescent="0.2">
      <c r="A236" s="392">
        <v>234</v>
      </c>
      <c r="B236" s="392">
        <v>4</v>
      </c>
      <c r="C236" s="392">
        <v>6</v>
      </c>
      <c r="D236" s="16">
        <v>1404</v>
      </c>
      <c r="E236" s="391" t="s">
        <v>2456</v>
      </c>
      <c r="F236" s="391" t="s">
        <v>66</v>
      </c>
      <c r="G236" s="391"/>
      <c r="H236" s="392" t="s">
        <v>7</v>
      </c>
      <c r="I236" s="360" t="s">
        <v>158</v>
      </c>
      <c r="J236" s="16" t="s">
        <v>84</v>
      </c>
      <c r="K236" s="35" t="s">
        <v>226</v>
      </c>
      <c r="L236" s="35" t="s">
        <v>223</v>
      </c>
      <c r="M236" s="391" t="s">
        <v>5501</v>
      </c>
      <c r="N236" s="41" t="s">
        <v>106</v>
      </c>
      <c r="O236" s="13" t="s">
        <v>107</v>
      </c>
      <c r="P236" s="13"/>
      <c r="Q236" s="13"/>
      <c r="R236" s="392"/>
      <c r="S236" s="392">
        <v>233</v>
      </c>
      <c r="T236" s="392">
        <v>10</v>
      </c>
      <c r="U236" s="391" t="s">
        <v>1954</v>
      </c>
      <c r="V236" s="41" t="s">
        <v>106</v>
      </c>
      <c r="W236" s="13" t="s">
        <v>107</v>
      </c>
      <c r="X236" s="391"/>
      <c r="Y236" s="392" t="s">
        <v>3714</v>
      </c>
      <c r="Z236" s="392"/>
      <c r="AA236" s="392" t="s">
        <v>2249</v>
      </c>
      <c r="AB236" s="16" t="s">
        <v>2249</v>
      </c>
      <c r="AC236" s="581" t="s">
        <v>5470</v>
      </c>
      <c r="AD236" s="582"/>
      <c r="AE236" s="582"/>
      <c r="AF236" s="582"/>
      <c r="AG236" s="582"/>
      <c r="AH236" s="583"/>
      <c r="AI236" s="16">
        <v>3</v>
      </c>
      <c r="AJ236" s="392"/>
      <c r="AK236" s="391"/>
      <c r="AL236" s="25"/>
      <c r="AM236" s="392"/>
      <c r="AN236" s="392"/>
      <c r="AO236" s="392"/>
      <c r="AP236" s="16" t="s">
        <v>5080</v>
      </c>
      <c r="AQ236" s="16" t="s">
        <v>1956</v>
      </c>
      <c r="AR236" s="130">
        <v>1404</v>
      </c>
      <c r="AS236" s="130">
        <v>6</v>
      </c>
      <c r="AT236" s="130"/>
      <c r="AU236" s="130"/>
      <c r="AV236" s="12"/>
      <c r="AW236" s="12"/>
      <c r="AX236" s="12"/>
      <c r="AY236" s="408"/>
    </row>
    <row r="237" spans="1:51" ht="30" hidden="1" customHeight="1" x14ac:dyDescent="0.2">
      <c r="A237" s="392">
        <v>235</v>
      </c>
      <c r="B237" s="392">
        <v>5</v>
      </c>
      <c r="C237" s="392">
        <v>6</v>
      </c>
      <c r="D237" s="16">
        <v>1404</v>
      </c>
      <c r="E237" s="391" t="s">
        <v>1314</v>
      </c>
      <c r="F237" s="391" t="s">
        <v>243</v>
      </c>
      <c r="G237" s="391" t="s">
        <v>481</v>
      </c>
      <c r="H237" s="392" t="s">
        <v>83</v>
      </c>
      <c r="I237" s="360" t="s">
        <v>158</v>
      </c>
      <c r="J237" s="16" t="s">
        <v>84</v>
      </c>
      <c r="K237" s="391"/>
      <c r="L237" s="391" t="s">
        <v>140</v>
      </c>
      <c r="M237" s="396" t="s">
        <v>5521</v>
      </c>
      <c r="N237" s="41" t="s">
        <v>106</v>
      </c>
      <c r="O237" s="13" t="s">
        <v>107</v>
      </c>
      <c r="P237" s="13"/>
      <c r="Q237" s="13"/>
      <c r="R237" s="393" t="s">
        <v>3714</v>
      </c>
      <c r="S237" s="392">
        <v>384</v>
      </c>
      <c r="T237" s="392">
        <v>5</v>
      </c>
      <c r="U237" s="396" t="s">
        <v>5521</v>
      </c>
      <c r="V237" s="41" t="s">
        <v>106</v>
      </c>
      <c r="W237" s="13" t="s">
        <v>107</v>
      </c>
      <c r="X237" s="391"/>
      <c r="Y237" s="392" t="s">
        <v>6511</v>
      </c>
      <c r="Z237" s="392">
        <v>120</v>
      </c>
      <c r="AA237" s="392">
        <v>93</v>
      </c>
      <c r="AB237" s="16">
        <v>93</v>
      </c>
      <c r="AC237" s="16"/>
      <c r="AD237" s="16"/>
      <c r="AE237" s="16"/>
      <c r="AF237" s="16"/>
      <c r="AG237" s="16"/>
      <c r="AH237" s="16"/>
      <c r="AI237" s="16">
        <v>6</v>
      </c>
      <c r="AJ237" s="392"/>
      <c r="AK237" s="391"/>
      <c r="AL237" s="25"/>
      <c r="AM237" s="392"/>
      <c r="AN237" s="392"/>
      <c r="AO237" s="392"/>
      <c r="AP237" s="16" t="s">
        <v>5080</v>
      </c>
      <c r="AQ237" s="16" t="s">
        <v>112</v>
      </c>
      <c r="AR237" s="130">
        <v>1404</v>
      </c>
      <c r="AS237" s="130">
        <v>6</v>
      </c>
      <c r="AT237" s="130">
        <v>1401</v>
      </c>
      <c r="AU237" s="130">
        <v>7</v>
      </c>
      <c r="AV237" s="12">
        <f>IF(AR237*AT237&gt;0,(AR237-AT237)*12+(AS237-AU237),"")</f>
        <v>35</v>
      </c>
      <c r="AW237" s="12" t="str">
        <f>IF(AV237&lt;13,AV237,"")</f>
        <v/>
      </c>
      <c r="AX237" s="12"/>
      <c r="AY237" s="408"/>
    </row>
    <row r="238" spans="1:51" ht="30" hidden="1" customHeight="1" x14ac:dyDescent="0.2">
      <c r="A238" s="392">
        <v>236</v>
      </c>
      <c r="B238" s="392">
        <v>6</v>
      </c>
      <c r="C238" s="392">
        <v>6</v>
      </c>
      <c r="D238" s="16">
        <v>1404</v>
      </c>
      <c r="E238" s="391" t="s">
        <v>2421</v>
      </c>
      <c r="F238" s="391" t="s">
        <v>2981</v>
      </c>
      <c r="G238" s="16" t="s">
        <v>3714</v>
      </c>
      <c r="H238" s="392" t="s">
        <v>7</v>
      </c>
      <c r="I238" s="360" t="s">
        <v>158</v>
      </c>
      <c r="J238" s="16" t="s">
        <v>84</v>
      </c>
      <c r="K238" s="35" t="s">
        <v>117</v>
      </c>
      <c r="L238" s="35" t="s">
        <v>104</v>
      </c>
      <c r="M238" s="391" t="s">
        <v>1638</v>
      </c>
      <c r="N238" s="41" t="s">
        <v>106</v>
      </c>
      <c r="O238" s="13" t="s">
        <v>107</v>
      </c>
      <c r="P238" s="13"/>
      <c r="Q238" s="13"/>
      <c r="R238" s="33" t="s">
        <v>470</v>
      </c>
      <c r="S238" s="33">
        <v>384</v>
      </c>
      <c r="T238" s="33">
        <v>7</v>
      </c>
      <c r="U238" s="391" t="s">
        <v>3490</v>
      </c>
      <c r="V238" s="41" t="s">
        <v>106</v>
      </c>
      <c r="W238" s="13" t="s">
        <v>107</v>
      </c>
      <c r="X238" s="391"/>
      <c r="Y238" s="392" t="s">
        <v>5473</v>
      </c>
      <c r="Z238" s="392">
        <v>168</v>
      </c>
      <c r="AA238" s="392">
        <v>120</v>
      </c>
      <c r="AB238" s="16">
        <v>120</v>
      </c>
      <c r="AC238" s="16">
        <v>35.5</v>
      </c>
      <c r="AD238" s="16">
        <v>41</v>
      </c>
      <c r="AE238" s="16">
        <v>4</v>
      </c>
      <c r="AF238" s="16">
        <v>80</v>
      </c>
      <c r="AG238" s="16">
        <v>125</v>
      </c>
      <c r="AH238" s="16">
        <v>27</v>
      </c>
      <c r="AI238" s="16">
        <v>6</v>
      </c>
      <c r="AJ238" s="392"/>
      <c r="AK238" s="391" t="s">
        <v>5474</v>
      </c>
      <c r="AL238" s="25">
        <v>125</v>
      </c>
      <c r="AM238" s="392">
        <v>27</v>
      </c>
      <c r="AN238" s="392"/>
      <c r="AO238" s="392"/>
      <c r="AP238" s="16" t="s">
        <v>5080</v>
      </c>
      <c r="AQ238" s="16" t="s">
        <v>112</v>
      </c>
      <c r="AR238" s="130">
        <v>1404</v>
      </c>
      <c r="AS238" s="130">
        <v>6</v>
      </c>
      <c r="AT238" s="130"/>
      <c r="AU238" s="130"/>
      <c r="AV238" s="12"/>
      <c r="AW238" s="12"/>
      <c r="AX238" s="12"/>
      <c r="AY238" s="408"/>
    </row>
    <row r="239" spans="1:51" ht="30" hidden="1" customHeight="1" x14ac:dyDescent="0.2">
      <c r="A239" s="392">
        <v>237</v>
      </c>
      <c r="B239" s="392">
        <v>6</v>
      </c>
      <c r="C239" s="392">
        <v>6</v>
      </c>
      <c r="D239" s="16">
        <v>1404</v>
      </c>
      <c r="E239" s="391" t="s">
        <v>1864</v>
      </c>
      <c r="F239" s="391" t="s">
        <v>2981</v>
      </c>
      <c r="G239" s="391"/>
      <c r="H239" s="392" t="s">
        <v>7</v>
      </c>
      <c r="I239" s="360" t="s">
        <v>158</v>
      </c>
      <c r="J239" s="16" t="s">
        <v>92</v>
      </c>
      <c r="K239" s="35" t="s">
        <v>117</v>
      </c>
      <c r="L239" s="35" t="s">
        <v>140</v>
      </c>
      <c r="M239" s="391" t="s">
        <v>1200</v>
      </c>
      <c r="N239" s="41" t="s">
        <v>106</v>
      </c>
      <c r="O239" s="13" t="s">
        <v>107</v>
      </c>
      <c r="P239" s="13"/>
      <c r="Q239" s="13"/>
      <c r="R239" s="33" t="s">
        <v>143</v>
      </c>
      <c r="S239" s="33">
        <v>345</v>
      </c>
      <c r="T239" s="33">
        <v>5</v>
      </c>
      <c r="U239" s="391" t="s">
        <v>1486</v>
      </c>
      <c r="V239" s="41" t="s">
        <v>106</v>
      </c>
      <c r="W239" s="13" t="s">
        <v>107</v>
      </c>
      <c r="X239" s="391"/>
      <c r="Y239" s="392" t="s">
        <v>5471</v>
      </c>
      <c r="Z239" s="392">
        <v>190</v>
      </c>
      <c r="AA239" s="392">
        <v>150</v>
      </c>
      <c r="AB239" s="16">
        <v>150</v>
      </c>
      <c r="AC239" s="16">
        <v>45</v>
      </c>
      <c r="AD239" s="16">
        <v>59</v>
      </c>
      <c r="AE239" s="16">
        <v>5</v>
      </c>
      <c r="AF239" s="16">
        <v>37</v>
      </c>
      <c r="AG239" s="16">
        <v>101</v>
      </c>
      <c r="AH239" s="16">
        <v>22</v>
      </c>
      <c r="AI239" s="16">
        <v>6</v>
      </c>
      <c r="AJ239" s="392"/>
      <c r="AK239" s="391" t="s">
        <v>5472</v>
      </c>
      <c r="AL239" s="25">
        <v>101</v>
      </c>
      <c r="AM239" s="392">
        <v>22</v>
      </c>
      <c r="AN239" s="392"/>
      <c r="AO239" s="392"/>
      <c r="AP239" s="16" t="s">
        <v>5080</v>
      </c>
      <c r="AQ239" s="16" t="s">
        <v>112</v>
      </c>
      <c r="AR239" s="130">
        <v>1404</v>
      </c>
      <c r="AS239" s="130">
        <v>6</v>
      </c>
      <c r="AT239" s="130"/>
      <c r="AU239" s="130"/>
      <c r="AV239" s="12"/>
      <c r="AW239" s="12"/>
      <c r="AX239" s="12"/>
      <c r="AY239" s="408"/>
    </row>
    <row r="240" spans="1:51" ht="30" hidden="1" customHeight="1" x14ac:dyDescent="0.2">
      <c r="A240" s="392">
        <v>238</v>
      </c>
      <c r="B240" s="392">
        <v>7</v>
      </c>
      <c r="C240" s="392">
        <v>6</v>
      </c>
      <c r="D240" s="16">
        <v>1404</v>
      </c>
      <c r="E240" s="391" t="s">
        <v>5234</v>
      </c>
      <c r="F240" s="391" t="s">
        <v>243</v>
      </c>
      <c r="G240" s="391" t="s">
        <v>481</v>
      </c>
      <c r="H240" s="392" t="s">
        <v>7</v>
      </c>
      <c r="I240" s="360" t="s">
        <v>158</v>
      </c>
      <c r="J240" s="16" t="s">
        <v>84</v>
      </c>
      <c r="K240" s="391" t="s">
        <v>104</v>
      </c>
      <c r="L240" s="391" t="s">
        <v>104</v>
      </c>
      <c r="M240" s="391" t="s">
        <v>1895</v>
      </c>
      <c r="N240" s="41" t="s">
        <v>106</v>
      </c>
      <c r="O240" s="13" t="s">
        <v>107</v>
      </c>
      <c r="P240" s="13"/>
      <c r="Q240" s="13"/>
      <c r="R240" s="392" t="s">
        <v>332</v>
      </c>
      <c r="S240" s="392">
        <v>384</v>
      </c>
      <c r="T240" s="392">
        <v>8</v>
      </c>
      <c r="U240" s="391" t="s">
        <v>623</v>
      </c>
      <c r="V240" s="41" t="s">
        <v>106</v>
      </c>
      <c r="W240" s="13" t="s">
        <v>107</v>
      </c>
      <c r="X240" s="391"/>
      <c r="Y240" s="392"/>
      <c r="Z240" s="392">
        <v>159</v>
      </c>
      <c r="AA240" s="392">
        <v>144</v>
      </c>
      <c r="AB240" s="16">
        <v>144</v>
      </c>
      <c r="AC240" s="16">
        <v>55</v>
      </c>
      <c r="AD240" s="16">
        <v>66</v>
      </c>
      <c r="AE240" s="16">
        <v>5</v>
      </c>
      <c r="AF240" s="16">
        <v>68</v>
      </c>
      <c r="AG240" s="16">
        <v>139</v>
      </c>
      <c r="AH240" s="16">
        <v>30</v>
      </c>
      <c r="AI240" s="16">
        <v>6</v>
      </c>
      <c r="AJ240" s="392"/>
      <c r="AK240" s="391" t="s">
        <v>5475</v>
      </c>
      <c r="AL240" s="25">
        <v>139</v>
      </c>
      <c r="AM240" s="392">
        <v>27.5</v>
      </c>
      <c r="AN240" s="392"/>
      <c r="AO240" s="392"/>
      <c r="AP240" s="16" t="s">
        <v>5080</v>
      </c>
      <c r="AQ240" s="16" t="s">
        <v>112</v>
      </c>
      <c r="AR240" s="130">
        <v>1404</v>
      </c>
      <c r="AS240" s="130">
        <v>6</v>
      </c>
      <c r="AT240" s="130"/>
      <c r="AU240" s="130"/>
      <c r="AV240" s="12"/>
      <c r="AW240" s="12"/>
      <c r="AX240" s="12"/>
      <c r="AY240" s="408"/>
    </row>
    <row r="241" spans="1:51" ht="30" hidden="1" customHeight="1" x14ac:dyDescent="0.2">
      <c r="A241" s="392">
        <v>239</v>
      </c>
      <c r="B241" s="392">
        <v>8</v>
      </c>
      <c r="C241" s="392">
        <v>6</v>
      </c>
      <c r="D241" s="16">
        <v>1404</v>
      </c>
      <c r="E241" s="391" t="s">
        <v>30</v>
      </c>
      <c r="F241" s="391" t="s">
        <v>2981</v>
      </c>
      <c r="G241" s="391"/>
      <c r="H241" s="392" t="s">
        <v>7</v>
      </c>
      <c r="I241" s="360" t="s">
        <v>158</v>
      </c>
      <c r="J241" s="16" t="s">
        <v>84</v>
      </c>
      <c r="K241" s="391"/>
      <c r="L241" s="391" t="s">
        <v>104</v>
      </c>
      <c r="M241" s="391" t="s">
        <v>1638</v>
      </c>
      <c r="N241" s="41" t="s">
        <v>106</v>
      </c>
      <c r="O241" s="13" t="s">
        <v>107</v>
      </c>
      <c r="P241" s="13"/>
      <c r="Q241" s="13"/>
      <c r="R241" s="392" t="s">
        <v>263</v>
      </c>
      <c r="S241" s="392">
        <v>345</v>
      </c>
      <c r="T241" s="392">
        <v>7</v>
      </c>
      <c r="U241" s="391" t="s">
        <v>3566</v>
      </c>
      <c r="V241" s="41" t="s">
        <v>106</v>
      </c>
      <c r="W241" s="13" t="s">
        <v>107</v>
      </c>
      <c r="X241" s="391"/>
      <c r="Y241" s="392" t="s">
        <v>5477</v>
      </c>
      <c r="Z241" s="392">
        <v>243</v>
      </c>
      <c r="AA241" s="392">
        <v>213</v>
      </c>
      <c r="AB241" s="16">
        <v>213</v>
      </c>
      <c r="AC241" s="16">
        <v>62</v>
      </c>
      <c r="AD241" s="16">
        <v>108</v>
      </c>
      <c r="AE241" s="16">
        <v>4</v>
      </c>
      <c r="AF241" s="16">
        <v>47</v>
      </c>
      <c r="AG241" s="16">
        <v>159</v>
      </c>
      <c r="AH241" s="16">
        <v>21</v>
      </c>
      <c r="AI241" s="16">
        <v>6</v>
      </c>
      <c r="AJ241" s="392"/>
      <c r="AK241" s="391" t="s">
        <v>5478</v>
      </c>
      <c r="AL241" s="25">
        <v>159</v>
      </c>
      <c r="AM241" s="392">
        <v>20</v>
      </c>
      <c r="AN241" s="392"/>
      <c r="AO241" s="392"/>
      <c r="AP241" s="16" t="s">
        <v>160</v>
      </c>
      <c r="AQ241" s="16" t="s">
        <v>193</v>
      </c>
      <c r="AR241" s="130">
        <v>1404</v>
      </c>
      <c r="AS241" s="130">
        <v>6</v>
      </c>
      <c r="AT241" s="130"/>
      <c r="AU241" s="130"/>
      <c r="AV241" s="12"/>
      <c r="AW241" s="12"/>
      <c r="AX241" s="12"/>
      <c r="AY241" s="408"/>
    </row>
    <row r="242" spans="1:51" ht="30" hidden="1" customHeight="1" x14ac:dyDescent="0.2">
      <c r="A242" s="392">
        <v>240</v>
      </c>
      <c r="B242" s="392">
        <v>8</v>
      </c>
      <c r="C242" s="392">
        <v>6</v>
      </c>
      <c r="D242" s="16">
        <v>1404</v>
      </c>
      <c r="E242" s="391" t="s">
        <v>5476</v>
      </c>
      <c r="F242" s="391" t="s">
        <v>5409</v>
      </c>
      <c r="G242" s="391" t="s">
        <v>1587</v>
      </c>
      <c r="H242" s="392" t="s">
        <v>7</v>
      </c>
      <c r="I242" s="360" t="s">
        <v>158</v>
      </c>
      <c r="J242" s="16" t="s">
        <v>3576</v>
      </c>
      <c r="K242" s="391" t="s">
        <v>3714</v>
      </c>
      <c r="L242" s="391" t="s">
        <v>155</v>
      </c>
      <c r="M242" s="391" t="s">
        <v>5502</v>
      </c>
      <c r="N242" s="41" t="s">
        <v>106</v>
      </c>
      <c r="O242" s="13" t="s">
        <v>107</v>
      </c>
      <c r="P242" s="13"/>
      <c r="Q242" s="13"/>
      <c r="R242" s="392"/>
      <c r="S242" s="392">
        <v>345</v>
      </c>
      <c r="T242" s="392">
        <v>9</v>
      </c>
      <c r="U242" s="391" t="s">
        <v>737</v>
      </c>
      <c r="V242" s="41" t="s">
        <v>106</v>
      </c>
      <c r="W242" s="13" t="s">
        <v>107</v>
      </c>
      <c r="X242" s="391"/>
      <c r="Y242" s="392"/>
      <c r="Z242" s="392">
        <v>225</v>
      </c>
      <c r="AA242" s="392" t="s">
        <v>3714</v>
      </c>
      <c r="AB242" s="16">
        <v>213</v>
      </c>
      <c r="AC242" s="16">
        <v>142</v>
      </c>
      <c r="AD242" s="16">
        <v>167</v>
      </c>
      <c r="AE242" s="16">
        <v>4</v>
      </c>
      <c r="AF242" s="16">
        <v>20</v>
      </c>
      <c r="AG242" s="16">
        <v>191</v>
      </c>
      <c r="AH242" s="16">
        <v>18</v>
      </c>
      <c r="AI242" s="16">
        <v>6</v>
      </c>
      <c r="AJ242" s="392"/>
      <c r="AK242" s="391" t="s">
        <v>5475</v>
      </c>
      <c r="AL242" s="25">
        <v>191</v>
      </c>
      <c r="AM242" s="392">
        <v>20</v>
      </c>
      <c r="AN242" s="392"/>
      <c r="AO242" s="392"/>
      <c r="AP242" s="16" t="s">
        <v>160</v>
      </c>
      <c r="AQ242" s="16" t="s">
        <v>165</v>
      </c>
      <c r="AR242" s="130">
        <v>1404</v>
      </c>
      <c r="AS242" s="130">
        <v>6</v>
      </c>
      <c r="AT242" s="130"/>
      <c r="AU242" s="130"/>
      <c r="AV242" s="12"/>
      <c r="AW242" s="12"/>
      <c r="AX242" s="12"/>
      <c r="AY242" s="408"/>
    </row>
    <row r="243" spans="1:51" ht="30" hidden="1" customHeight="1" x14ac:dyDescent="0.2">
      <c r="A243" s="393">
        <v>241</v>
      </c>
      <c r="B243" s="393">
        <v>9</v>
      </c>
      <c r="C243" s="393">
        <v>6</v>
      </c>
      <c r="D243" s="16">
        <v>1404</v>
      </c>
      <c r="E243" s="394" t="s">
        <v>5510</v>
      </c>
      <c r="F243" s="394" t="s">
        <v>66</v>
      </c>
      <c r="G243" s="394" t="s">
        <v>481</v>
      </c>
      <c r="H243" s="393" t="s">
        <v>83</v>
      </c>
      <c r="I243" s="360" t="s">
        <v>158</v>
      </c>
      <c r="J243" s="16" t="s">
        <v>84</v>
      </c>
      <c r="K243" s="394"/>
      <c r="L243" s="394" t="s">
        <v>226</v>
      </c>
      <c r="M243" s="394" t="s">
        <v>5517</v>
      </c>
      <c r="N243" s="41" t="s">
        <v>106</v>
      </c>
      <c r="O243" s="13" t="s">
        <v>107</v>
      </c>
      <c r="P243" s="13"/>
      <c r="Q243" s="13"/>
      <c r="R243" s="393" t="s">
        <v>3714</v>
      </c>
      <c r="S243" s="393">
        <v>193</v>
      </c>
      <c r="T243" s="393">
        <v>14</v>
      </c>
      <c r="U243" s="394" t="s">
        <v>5519</v>
      </c>
      <c r="V243" s="41" t="s">
        <v>106</v>
      </c>
      <c r="W243" s="13" t="s">
        <v>107</v>
      </c>
      <c r="X243" s="394"/>
      <c r="Y243" s="393" t="s">
        <v>4728</v>
      </c>
      <c r="Z243" s="393">
        <v>175</v>
      </c>
      <c r="AA243" s="393">
        <v>168</v>
      </c>
      <c r="AB243" s="16">
        <v>168</v>
      </c>
      <c r="AC243" s="16"/>
      <c r="AD243" s="16"/>
      <c r="AE243" s="16"/>
      <c r="AF243" s="16"/>
      <c r="AG243" s="16"/>
      <c r="AH243" s="16"/>
      <c r="AI243" s="16">
        <v>4</v>
      </c>
      <c r="AJ243" s="393"/>
      <c r="AK243" s="394"/>
      <c r="AL243" s="25"/>
      <c r="AM243" s="393"/>
      <c r="AN243" s="393"/>
      <c r="AO243" s="393"/>
      <c r="AP243" s="16" t="s">
        <v>160</v>
      </c>
      <c r="AQ243" s="16" t="s">
        <v>231</v>
      </c>
      <c r="AR243" s="130">
        <v>1404</v>
      </c>
      <c r="AS243" s="130">
        <v>6</v>
      </c>
      <c r="AT243" s="130">
        <v>1403</v>
      </c>
      <c r="AU243" s="130">
        <v>6</v>
      </c>
      <c r="AV243" s="12">
        <f>IF(AR243*AT243&gt;0,(AR243-AT243)*12+(AS243-AU243),"")</f>
        <v>12</v>
      </c>
      <c r="AW243" s="12">
        <f>IF(AV243&lt;13,AV243,"")</f>
        <v>12</v>
      </c>
      <c r="AX243" s="12"/>
      <c r="AY243" s="408"/>
    </row>
    <row r="244" spans="1:51" ht="30" hidden="1" customHeight="1" x14ac:dyDescent="0.2">
      <c r="A244" s="393">
        <v>242</v>
      </c>
      <c r="B244" s="393">
        <v>10</v>
      </c>
      <c r="C244" s="393">
        <v>6</v>
      </c>
      <c r="D244" s="16">
        <v>1404</v>
      </c>
      <c r="E244" s="394" t="s">
        <v>5510</v>
      </c>
      <c r="F244" s="394" t="s">
        <v>66</v>
      </c>
      <c r="G244" s="394"/>
      <c r="H244" s="393" t="s">
        <v>7</v>
      </c>
      <c r="I244" s="360" t="s">
        <v>158</v>
      </c>
      <c r="J244" s="16" t="s">
        <v>84</v>
      </c>
      <c r="K244" s="394"/>
      <c r="L244" s="394" t="s">
        <v>226</v>
      </c>
      <c r="M244" s="394" t="s">
        <v>5518</v>
      </c>
      <c r="N244" s="41" t="s">
        <v>106</v>
      </c>
      <c r="O244" s="13" t="s">
        <v>107</v>
      </c>
      <c r="P244" s="13"/>
      <c r="Q244" s="13"/>
      <c r="R244" s="393"/>
      <c r="S244" s="393">
        <v>193</v>
      </c>
      <c r="T244" s="393">
        <v>14</v>
      </c>
      <c r="U244" s="394" t="s">
        <v>5520</v>
      </c>
      <c r="V244" s="41" t="s">
        <v>106</v>
      </c>
      <c r="W244" s="13" t="s">
        <v>107</v>
      </c>
      <c r="X244" s="394"/>
      <c r="Y244" s="393"/>
      <c r="Z244" s="393">
        <v>175</v>
      </c>
      <c r="AA244" s="393">
        <v>168</v>
      </c>
      <c r="AB244" s="16">
        <v>168</v>
      </c>
      <c r="AC244" s="16">
        <v>73</v>
      </c>
      <c r="AD244" s="16">
        <v>143</v>
      </c>
      <c r="AE244" s="16">
        <v>3</v>
      </c>
      <c r="AF244" s="16">
        <v>35</v>
      </c>
      <c r="AG244" s="16">
        <v>181</v>
      </c>
      <c r="AH244" s="16">
        <v>5</v>
      </c>
      <c r="AI244" s="16">
        <v>4</v>
      </c>
      <c r="AJ244" s="393"/>
      <c r="AK244" s="394" t="s">
        <v>5511</v>
      </c>
      <c r="AL244" s="25"/>
      <c r="AM244" s="393"/>
      <c r="AN244" s="393"/>
      <c r="AO244" s="393"/>
      <c r="AP244" s="16" t="s">
        <v>160</v>
      </c>
      <c r="AQ244" s="16" t="s">
        <v>231</v>
      </c>
      <c r="AR244" s="130">
        <v>1404</v>
      </c>
      <c r="AS244" s="130">
        <v>6</v>
      </c>
      <c r="AT244" s="130"/>
      <c r="AU244" s="130"/>
      <c r="AV244" s="12"/>
      <c r="AW244" s="12"/>
      <c r="AX244" s="12"/>
      <c r="AY244" s="408"/>
    </row>
    <row r="245" spans="1:51" ht="30" hidden="1" customHeight="1" x14ac:dyDescent="0.2">
      <c r="A245" s="393">
        <v>243</v>
      </c>
      <c r="B245" s="392">
        <v>11</v>
      </c>
      <c r="C245" s="392">
        <v>6</v>
      </c>
      <c r="D245" s="16">
        <v>1404</v>
      </c>
      <c r="E245" s="391" t="s">
        <v>5505</v>
      </c>
      <c r="F245" s="391" t="s">
        <v>8</v>
      </c>
      <c r="G245" s="391" t="s">
        <v>186</v>
      </c>
      <c r="H245" s="392" t="s">
        <v>83</v>
      </c>
      <c r="I245" s="360" t="s">
        <v>158</v>
      </c>
      <c r="J245" s="16" t="s">
        <v>84</v>
      </c>
      <c r="K245" s="391"/>
      <c r="L245" s="391" t="s">
        <v>104</v>
      </c>
      <c r="M245" s="397" t="s">
        <v>5516</v>
      </c>
      <c r="N245" s="41" t="s">
        <v>106</v>
      </c>
      <c r="O245" s="13" t="s">
        <v>107</v>
      </c>
      <c r="P245" s="13"/>
      <c r="Q245" s="13"/>
      <c r="R245" s="392"/>
      <c r="S245" s="392">
        <v>384</v>
      </c>
      <c r="T245" s="392">
        <v>7</v>
      </c>
      <c r="U245" s="397" t="s">
        <v>5516</v>
      </c>
      <c r="V245" s="41" t="s">
        <v>106</v>
      </c>
      <c r="W245" s="13" t="s">
        <v>107</v>
      </c>
      <c r="X245" s="391"/>
      <c r="Y245" s="392" t="s">
        <v>4175</v>
      </c>
      <c r="Z245" s="392">
        <v>224</v>
      </c>
      <c r="AA245" s="392">
        <v>186</v>
      </c>
      <c r="AB245" s="16">
        <v>186</v>
      </c>
      <c r="AC245" s="16"/>
      <c r="AD245" s="16"/>
      <c r="AE245" s="16"/>
      <c r="AF245" s="16"/>
      <c r="AG245" s="16"/>
      <c r="AH245" s="16"/>
      <c r="AI245" s="16">
        <v>6</v>
      </c>
      <c r="AJ245" s="392"/>
      <c r="AK245" s="391"/>
      <c r="AL245" s="25"/>
      <c r="AM245" s="392"/>
      <c r="AN245" s="392"/>
      <c r="AO245" s="392"/>
      <c r="AP245" s="16" t="s">
        <v>160</v>
      </c>
      <c r="AQ245" s="16" t="s">
        <v>161</v>
      </c>
      <c r="AR245" s="130">
        <v>1404</v>
      </c>
      <c r="AS245" s="130">
        <v>6</v>
      </c>
      <c r="AT245" s="130">
        <v>1402</v>
      </c>
      <c r="AU245" s="130">
        <v>10</v>
      </c>
      <c r="AV245" s="12">
        <f>IF(AR245*AT245&gt;0,(AR245-AT245)*12+(AS245-AU245),"")</f>
        <v>20</v>
      </c>
      <c r="AW245" s="12" t="str">
        <f>IF(AV245&lt;13,AV245,"")</f>
        <v/>
      </c>
      <c r="AX245" s="12"/>
      <c r="AY245" s="408"/>
    </row>
    <row r="246" spans="1:51" ht="30" hidden="1" customHeight="1" x14ac:dyDescent="0.2">
      <c r="A246" s="393">
        <v>244</v>
      </c>
      <c r="B246" s="392">
        <v>11</v>
      </c>
      <c r="C246" s="392">
        <v>6</v>
      </c>
      <c r="D246" s="16">
        <v>1404</v>
      </c>
      <c r="E246" s="391" t="s">
        <v>4967</v>
      </c>
      <c r="F246" s="391" t="s">
        <v>9</v>
      </c>
      <c r="G246" s="391" t="s">
        <v>185</v>
      </c>
      <c r="H246" s="392" t="s">
        <v>83</v>
      </c>
      <c r="I246" s="360" t="s">
        <v>158</v>
      </c>
      <c r="J246" s="16" t="s">
        <v>84</v>
      </c>
      <c r="K246" s="391"/>
      <c r="L246" s="391" t="s">
        <v>140</v>
      </c>
      <c r="M246" s="391" t="s">
        <v>5514</v>
      </c>
      <c r="N246" s="41" t="s">
        <v>106</v>
      </c>
      <c r="O246" s="13" t="s">
        <v>107</v>
      </c>
      <c r="P246" s="13"/>
      <c r="Q246" s="13"/>
      <c r="R246" s="392"/>
      <c r="S246" s="392">
        <v>293</v>
      </c>
      <c r="T246" s="392">
        <v>9</v>
      </c>
      <c r="U246" s="391" t="s">
        <v>5515</v>
      </c>
      <c r="V246" s="41" t="s">
        <v>106</v>
      </c>
      <c r="W246" s="13" t="s">
        <v>107</v>
      </c>
      <c r="X246" s="391"/>
      <c r="Y246" s="392" t="s">
        <v>4966</v>
      </c>
      <c r="Z246" s="392">
        <v>160</v>
      </c>
      <c r="AA246" s="392">
        <v>141</v>
      </c>
      <c r="AB246" s="16">
        <v>141</v>
      </c>
      <c r="AC246" s="16"/>
      <c r="AD246" s="16"/>
      <c r="AE246" s="16"/>
      <c r="AF246" s="16"/>
      <c r="AG246" s="16"/>
      <c r="AH246" s="16"/>
      <c r="AI246" s="16">
        <v>4</v>
      </c>
      <c r="AJ246" s="392"/>
      <c r="AK246" s="391"/>
      <c r="AL246" s="25"/>
      <c r="AM246" s="392"/>
      <c r="AN246" s="392"/>
      <c r="AO246" s="392"/>
      <c r="AP246" s="16" t="s">
        <v>5080</v>
      </c>
      <c r="AQ246" s="16" t="s">
        <v>231</v>
      </c>
      <c r="AR246" s="130">
        <v>1404</v>
      </c>
      <c r="AS246" s="130">
        <v>6</v>
      </c>
      <c r="AT246" s="130">
        <v>1403</v>
      </c>
      <c r="AU246" s="130">
        <v>10</v>
      </c>
      <c r="AV246" s="12">
        <f>IF(AR246*AT246&gt;0,(AR246-AT246)*12+(AS246-AU246),"")</f>
        <v>8</v>
      </c>
      <c r="AW246" s="12">
        <f>IF(AV246&lt;13,AV246,"")</f>
        <v>8</v>
      </c>
      <c r="AX246" s="12"/>
      <c r="AY246" s="408"/>
    </row>
    <row r="247" spans="1:51" ht="30" hidden="1" customHeight="1" x14ac:dyDescent="0.2">
      <c r="A247" s="393">
        <v>245</v>
      </c>
      <c r="B247" s="392">
        <v>12</v>
      </c>
      <c r="C247" s="392">
        <v>6</v>
      </c>
      <c r="D247" s="16">
        <v>1404</v>
      </c>
      <c r="E247" s="391" t="s">
        <v>5506</v>
      </c>
      <c r="F247" s="391" t="s">
        <v>20</v>
      </c>
      <c r="G247" s="391" t="s">
        <v>4796</v>
      </c>
      <c r="H247" s="392" t="s">
        <v>83</v>
      </c>
      <c r="I247" s="360" t="s">
        <v>158</v>
      </c>
      <c r="J247" s="16" t="s">
        <v>84</v>
      </c>
      <c r="K247" s="391"/>
      <c r="L247" s="391" t="s">
        <v>117</v>
      </c>
      <c r="M247" s="391" t="s">
        <v>745</v>
      </c>
      <c r="N247" s="41" t="s">
        <v>106</v>
      </c>
      <c r="O247" s="13" t="s">
        <v>107</v>
      </c>
      <c r="P247" s="13"/>
      <c r="Q247" s="13"/>
      <c r="R247" s="392"/>
      <c r="S247" s="392">
        <v>345</v>
      </c>
      <c r="T247" s="392">
        <v>6</v>
      </c>
      <c r="U247" s="391" t="s">
        <v>746</v>
      </c>
      <c r="V247" s="41" t="s">
        <v>106</v>
      </c>
      <c r="W247" s="13" t="s">
        <v>107</v>
      </c>
      <c r="X247" s="391"/>
      <c r="Y247" s="392" t="s">
        <v>4456</v>
      </c>
      <c r="Z247" s="392">
        <v>250</v>
      </c>
      <c r="AA247" s="392">
        <v>213</v>
      </c>
      <c r="AB247" s="16">
        <v>213</v>
      </c>
      <c r="AC247" s="16"/>
      <c r="AD247" s="16"/>
      <c r="AE247" s="16"/>
      <c r="AF247" s="16"/>
      <c r="AG247" s="16"/>
      <c r="AH247" s="16"/>
      <c r="AI247" s="16">
        <v>6</v>
      </c>
      <c r="AJ247" s="392"/>
      <c r="AK247" s="391"/>
      <c r="AL247" s="25"/>
      <c r="AM247" s="392"/>
      <c r="AN247" s="392"/>
      <c r="AO247" s="392"/>
      <c r="AP247" s="16" t="s">
        <v>160</v>
      </c>
      <c r="AQ247" s="16" t="s">
        <v>161</v>
      </c>
      <c r="AR247" s="130">
        <v>1404</v>
      </c>
      <c r="AS247" s="130">
        <v>6</v>
      </c>
      <c r="AT247" s="130">
        <v>1401</v>
      </c>
      <c r="AU247" s="130">
        <v>3</v>
      </c>
      <c r="AV247" s="12">
        <f t="shared" ref="AV247:AV310" si="18">IF(AR247*AT247&gt;0,(AR247-AT247)*12+(AS247-AU247),"")</f>
        <v>39</v>
      </c>
      <c r="AW247" s="12" t="str">
        <f t="shared" ref="AW247:AW310" si="19">IF(AV247&lt;13,AV247,"")</f>
        <v/>
      </c>
      <c r="AX247" s="12"/>
      <c r="AY247" s="408"/>
    </row>
    <row r="248" spans="1:51" ht="30" hidden="1" customHeight="1" x14ac:dyDescent="0.2">
      <c r="A248" s="393">
        <v>246</v>
      </c>
      <c r="B248" s="392">
        <v>12</v>
      </c>
      <c r="C248" s="392">
        <v>6</v>
      </c>
      <c r="D248" s="16">
        <v>1404</v>
      </c>
      <c r="E248" s="391" t="s">
        <v>5526</v>
      </c>
      <c r="F248" s="391" t="s">
        <v>10</v>
      </c>
      <c r="G248" s="391" t="s">
        <v>192</v>
      </c>
      <c r="H248" s="392" t="s">
        <v>7</v>
      </c>
      <c r="I248" s="360" t="s">
        <v>158</v>
      </c>
      <c r="J248" s="16" t="s">
        <v>3576</v>
      </c>
      <c r="K248" s="391"/>
      <c r="L248" s="391" t="s">
        <v>155</v>
      </c>
      <c r="M248" s="394" t="s">
        <v>5509</v>
      </c>
      <c r="N248" s="41" t="s">
        <v>4856</v>
      </c>
      <c r="O248" s="13" t="s">
        <v>107</v>
      </c>
      <c r="P248" s="13"/>
      <c r="Q248" s="13"/>
      <c r="R248" s="392"/>
      <c r="S248" s="392">
        <v>345</v>
      </c>
      <c r="T248" s="392">
        <v>9</v>
      </c>
      <c r="U248" s="391" t="s">
        <v>737</v>
      </c>
      <c r="V248" s="41" t="s">
        <v>106</v>
      </c>
      <c r="W248" s="13" t="s">
        <v>107</v>
      </c>
      <c r="X248" s="391"/>
      <c r="Y248" s="392"/>
      <c r="Z248" s="392">
        <v>252</v>
      </c>
      <c r="AA248" s="392">
        <v>237</v>
      </c>
      <c r="AB248" s="16">
        <v>237</v>
      </c>
      <c r="AC248" s="16">
        <v>138</v>
      </c>
      <c r="AD248" s="16">
        <v>162</v>
      </c>
      <c r="AE248" s="16">
        <v>4</v>
      </c>
      <c r="AF248" s="16">
        <v>46</v>
      </c>
      <c r="AG248" s="16">
        <v>212</v>
      </c>
      <c r="AH248" s="16">
        <v>20</v>
      </c>
      <c r="AI248" s="16">
        <v>6</v>
      </c>
      <c r="AJ248" s="392"/>
      <c r="AK248" s="391" t="s">
        <v>5549</v>
      </c>
      <c r="AL248" s="25">
        <v>212</v>
      </c>
      <c r="AM248" s="392">
        <v>20</v>
      </c>
      <c r="AN248" s="392"/>
      <c r="AO248" s="392"/>
      <c r="AP248" s="16" t="s">
        <v>160</v>
      </c>
      <c r="AQ248" s="16" t="s">
        <v>165</v>
      </c>
      <c r="AR248" s="130">
        <v>1404</v>
      </c>
      <c r="AS248" s="130">
        <v>6</v>
      </c>
      <c r="AT248" s="130"/>
      <c r="AU248" s="130"/>
      <c r="AV248" s="12" t="str">
        <f t="shared" si="18"/>
        <v/>
      </c>
      <c r="AW248" s="12" t="str">
        <f t="shared" si="19"/>
        <v/>
      </c>
      <c r="AX248" s="12"/>
      <c r="AY248" s="408"/>
    </row>
    <row r="249" spans="1:51" ht="30" hidden="1" customHeight="1" x14ac:dyDescent="0.2">
      <c r="A249" s="393">
        <v>247</v>
      </c>
      <c r="B249" s="393">
        <v>13</v>
      </c>
      <c r="C249" s="393">
        <v>6</v>
      </c>
      <c r="D249" s="16">
        <v>1404</v>
      </c>
      <c r="E249" s="394" t="s">
        <v>5507</v>
      </c>
      <c r="F249" s="394" t="s">
        <v>8</v>
      </c>
      <c r="G249" s="394" t="s">
        <v>186</v>
      </c>
      <c r="H249" s="393" t="s">
        <v>83</v>
      </c>
      <c r="I249" s="360" t="s">
        <v>158</v>
      </c>
      <c r="J249" s="16" t="s">
        <v>92</v>
      </c>
      <c r="K249" s="394"/>
      <c r="L249" s="394" t="s">
        <v>117</v>
      </c>
      <c r="M249" s="395" t="s">
        <v>5508</v>
      </c>
      <c r="N249" s="41" t="s">
        <v>4856</v>
      </c>
      <c r="O249" s="13" t="s">
        <v>107</v>
      </c>
      <c r="P249" s="13"/>
      <c r="Q249" s="13"/>
      <c r="R249" s="393"/>
      <c r="S249" s="393">
        <v>6609</v>
      </c>
      <c r="T249" s="393">
        <v>9</v>
      </c>
      <c r="U249" s="394" t="s">
        <v>3416</v>
      </c>
      <c r="V249" s="41" t="s">
        <v>106</v>
      </c>
      <c r="W249" s="13" t="s">
        <v>107</v>
      </c>
      <c r="X249" s="394"/>
      <c r="Y249" s="393" t="s">
        <v>6512</v>
      </c>
      <c r="Z249" s="393">
        <v>119</v>
      </c>
      <c r="AA249" s="393">
        <v>114</v>
      </c>
      <c r="AB249" s="16">
        <v>114</v>
      </c>
      <c r="AC249" s="16"/>
      <c r="AD249" s="16"/>
      <c r="AE249" s="16"/>
      <c r="AF249" s="16"/>
      <c r="AG249" s="16"/>
      <c r="AH249" s="16"/>
      <c r="AI249" s="16">
        <v>6</v>
      </c>
      <c r="AJ249" s="393"/>
      <c r="AK249" s="394"/>
      <c r="AL249" s="25"/>
      <c r="AM249" s="393"/>
      <c r="AN249" s="393"/>
      <c r="AO249" s="393"/>
      <c r="AP249" s="16" t="s">
        <v>5080</v>
      </c>
      <c r="AQ249" s="16" t="s">
        <v>231</v>
      </c>
      <c r="AR249" s="130">
        <v>1404</v>
      </c>
      <c r="AS249" s="130">
        <v>6</v>
      </c>
      <c r="AT249" s="130">
        <v>1403</v>
      </c>
      <c r="AU249" s="130">
        <v>12</v>
      </c>
      <c r="AV249" s="12">
        <f t="shared" si="18"/>
        <v>6</v>
      </c>
      <c r="AW249" s="12">
        <f t="shared" si="19"/>
        <v>6</v>
      </c>
      <c r="AX249" s="12"/>
      <c r="AY249" s="408"/>
    </row>
    <row r="250" spans="1:51" ht="30" hidden="1" customHeight="1" x14ac:dyDescent="0.2">
      <c r="A250" s="393">
        <v>248</v>
      </c>
      <c r="B250" s="392">
        <v>14</v>
      </c>
      <c r="C250" s="392">
        <v>6</v>
      </c>
      <c r="D250" s="16">
        <v>1404</v>
      </c>
      <c r="E250" s="391" t="s">
        <v>5512</v>
      </c>
      <c r="F250" s="391" t="s">
        <v>5409</v>
      </c>
      <c r="G250" s="391"/>
      <c r="H250" s="392" t="s">
        <v>7</v>
      </c>
      <c r="I250" s="360" t="s">
        <v>158</v>
      </c>
      <c r="J250" s="16" t="s">
        <v>92</v>
      </c>
      <c r="K250" s="391"/>
      <c r="L250" s="391" t="s">
        <v>141</v>
      </c>
      <c r="M250" s="391" t="s">
        <v>5495</v>
      </c>
      <c r="N250" s="41" t="s">
        <v>4856</v>
      </c>
      <c r="O250" s="13" t="s">
        <v>107</v>
      </c>
      <c r="P250" s="13"/>
      <c r="Q250" s="13"/>
      <c r="R250" s="392"/>
      <c r="S250" s="392">
        <v>6608</v>
      </c>
      <c r="T250" s="392">
        <v>13</v>
      </c>
      <c r="U250" s="391" t="s">
        <v>3523</v>
      </c>
      <c r="V250" s="41" t="s">
        <v>106</v>
      </c>
      <c r="W250" s="13" t="s">
        <v>107</v>
      </c>
      <c r="X250" s="391"/>
      <c r="Y250" s="392" t="s">
        <v>4106</v>
      </c>
      <c r="Z250" s="392">
        <v>239</v>
      </c>
      <c r="AA250" s="392">
        <v>210</v>
      </c>
      <c r="AB250" s="16">
        <v>210</v>
      </c>
      <c r="AC250" s="16">
        <v>101</v>
      </c>
      <c r="AD250" s="16">
        <v>124</v>
      </c>
      <c r="AE250" s="16">
        <v>1</v>
      </c>
      <c r="AF250" s="16">
        <v>65</v>
      </c>
      <c r="AG250" s="16">
        <v>190</v>
      </c>
      <c r="AH250" s="16">
        <v>8</v>
      </c>
      <c r="AI250" s="16">
        <v>6</v>
      </c>
      <c r="AJ250" s="392"/>
      <c r="AK250" s="391" t="s">
        <v>5513</v>
      </c>
      <c r="AL250" s="25">
        <v>190</v>
      </c>
      <c r="AM250" s="393">
        <v>8</v>
      </c>
      <c r="AN250" s="392"/>
      <c r="AO250" s="392"/>
      <c r="AP250" s="16" t="s">
        <v>160</v>
      </c>
      <c r="AQ250" s="16" t="s">
        <v>161</v>
      </c>
      <c r="AR250" s="130">
        <v>1404</v>
      </c>
      <c r="AS250" s="130">
        <v>6</v>
      </c>
      <c r="AT250" s="130"/>
      <c r="AU250" s="130"/>
      <c r="AV250" s="12" t="str">
        <f t="shared" si="18"/>
        <v/>
      </c>
      <c r="AW250" s="12" t="str">
        <f t="shared" si="19"/>
        <v/>
      </c>
      <c r="AX250" s="12"/>
      <c r="AY250" s="408"/>
    </row>
    <row r="251" spans="1:51" ht="30" hidden="1" customHeight="1" x14ac:dyDescent="0.2">
      <c r="A251" s="393">
        <v>249</v>
      </c>
      <c r="B251" s="392">
        <v>14</v>
      </c>
      <c r="C251" s="392">
        <v>6</v>
      </c>
      <c r="D251" s="16">
        <v>1404</v>
      </c>
      <c r="E251" s="391" t="s">
        <v>1086</v>
      </c>
      <c r="F251" s="391" t="s">
        <v>6</v>
      </c>
      <c r="G251" s="391" t="s">
        <v>174</v>
      </c>
      <c r="H251" s="392" t="s">
        <v>83</v>
      </c>
      <c r="I251" s="360" t="s">
        <v>158</v>
      </c>
      <c r="J251" s="16" t="s">
        <v>84</v>
      </c>
      <c r="K251" s="391"/>
      <c r="L251" s="391" t="s">
        <v>117</v>
      </c>
      <c r="M251" s="391" t="s">
        <v>4324</v>
      </c>
      <c r="N251" s="41" t="s">
        <v>4856</v>
      </c>
      <c r="O251" s="13" t="s">
        <v>107</v>
      </c>
      <c r="P251" s="13"/>
      <c r="Q251" s="13"/>
      <c r="R251" s="392"/>
      <c r="S251" s="392">
        <v>6608</v>
      </c>
      <c r="T251" s="392">
        <v>17</v>
      </c>
      <c r="U251" s="400" t="s">
        <v>5532</v>
      </c>
      <c r="V251" s="41" t="s">
        <v>106</v>
      </c>
      <c r="W251" s="13" t="s">
        <v>107</v>
      </c>
      <c r="X251" s="391"/>
      <c r="Y251" s="392" t="s">
        <v>4234</v>
      </c>
      <c r="Z251" s="392">
        <v>212</v>
      </c>
      <c r="AA251" s="392">
        <v>204</v>
      </c>
      <c r="AB251" s="16">
        <v>204</v>
      </c>
      <c r="AC251" s="16"/>
      <c r="AD251" s="16"/>
      <c r="AE251" s="16"/>
      <c r="AF251" s="16"/>
      <c r="AG251" s="16"/>
      <c r="AH251" s="16"/>
      <c r="AI251" s="16">
        <v>6</v>
      </c>
      <c r="AJ251" s="392"/>
      <c r="AK251" s="391"/>
      <c r="AL251" s="25"/>
      <c r="AM251" s="392"/>
      <c r="AN251" s="392"/>
      <c r="AO251" s="392"/>
      <c r="AP251" s="16" t="s">
        <v>160</v>
      </c>
      <c r="AQ251" s="16" t="s">
        <v>161</v>
      </c>
      <c r="AR251" s="130">
        <v>1404</v>
      </c>
      <c r="AS251" s="130">
        <v>6</v>
      </c>
      <c r="AT251" s="130">
        <v>1402</v>
      </c>
      <c r="AU251" s="130">
        <v>11</v>
      </c>
      <c r="AV251" s="12">
        <f t="shared" si="18"/>
        <v>19</v>
      </c>
      <c r="AW251" s="12" t="str">
        <f t="shared" si="19"/>
        <v/>
      </c>
      <c r="AX251" s="12"/>
      <c r="AY251" s="408"/>
    </row>
    <row r="252" spans="1:51" s="21" customFormat="1" ht="30" hidden="1" customHeight="1" x14ac:dyDescent="0.2">
      <c r="A252" s="20">
        <v>250</v>
      </c>
      <c r="B252" s="20">
        <v>15</v>
      </c>
      <c r="C252" s="20">
        <v>6</v>
      </c>
      <c r="D252" s="29">
        <v>1404</v>
      </c>
      <c r="E252" s="30" t="s">
        <v>5524</v>
      </c>
      <c r="F252" s="30" t="s">
        <v>66</v>
      </c>
      <c r="G252" s="30" t="s">
        <v>481</v>
      </c>
      <c r="H252" s="20" t="s">
        <v>83</v>
      </c>
      <c r="I252" s="360" t="s">
        <v>158</v>
      </c>
      <c r="J252" s="29" t="s">
        <v>84</v>
      </c>
      <c r="K252" s="30"/>
      <c r="L252" s="30" t="s">
        <v>140</v>
      </c>
      <c r="M252" s="30"/>
      <c r="N252" s="30" t="s">
        <v>5527</v>
      </c>
      <c r="O252" s="20"/>
      <c r="P252" s="20"/>
      <c r="Q252" s="20"/>
      <c r="R252" s="20"/>
      <c r="S252" s="20">
        <v>293</v>
      </c>
      <c r="T252" s="20">
        <v>10</v>
      </c>
      <c r="U252" s="30"/>
      <c r="V252" s="30" t="s">
        <v>5527</v>
      </c>
      <c r="W252" s="20"/>
      <c r="X252" s="30"/>
      <c r="Y252" s="20" t="s">
        <v>3660</v>
      </c>
      <c r="Z252" s="20">
        <v>170</v>
      </c>
      <c r="AA252" s="20">
        <v>153</v>
      </c>
      <c r="AB252" s="29">
        <v>153</v>
      </c>
      <c r="AC252" s="29"/>
      <c r="AD252" s="29"/>
      <c r="AE252" s="29"/>
      <c r="AF252" s="29"/>
      <c r="AG252" s="29"/>
      <c r="AH252" s="29"/>
      <c r="AI252" s="29">
        <v>4</v>
      </c>
      <c r="AJ252" s="20"/>
      <c r="AK252" s="30"/>
      <c r="AL252" s="36"/>
      <c r="AM252" s="20"/>
      <c r="AN252" s="20"/>
      <c r="AO252" s="20"/>
      <c r="AP252" s="29"/>
      <c r="AQ252" s="29"/>
      <c r="AR252" s="318">
        <v>1404</v>
      </c>
      <c r="AS252" s="318">
        <v>6</v>
      </c>
      <c r="AT252" s="318">
        <v>1401</v>
      </c>
      <c r="AU252" s="318">
        <v>4</v>
      </c>
      <c r="AV252" s="31">
        <f t="shared" si="18"/>
        <v>38</v>
      </c>
      <c r="AW252" s="31" t="str">
        <f t="shared" si="19"/>
        <v/>
      </c>
      <c r="AX252" s="31"/>
      <c r="AY252" s="573" t="s">
        <v>5525</v>
      </c>
    </row>
    <row r="253" spans="1:51" s="21" customFormat="1" ht="30" hidden="1" customHeight="1" x14ac:dyDescent="0.2">
      <c r="A253" s="20">
        <v>251</v>
      </c>
      <c r="B253" s="20">
        <v>15</v>
      </c>
      <c r="C253" s="20">
        <v>6</v>
      </c>
      <c r="D253" s="29">
        <v>1404</v>
      </c>
      <c r="E253" s="30" t="s">
        <v>5524</v>
      </c>
      <c r="F253" s="30" t="s">
        <v>66</v>
      </c>
      <c r="G253" s="30"/>
      <c r="H253" s="20" t="s">
        <v>7</v>
      </c>
      <c r="I253" s="360" t="s">
        <v>158</v>
      </c>
      <c r="J253" s="29" t="s">
        <v>84</v>
      </c>
      <c r="K253" s="30"/>
      <c r="L253" s="30" t="s">
        <v>140</v>
      </c>
      <c r="M253" s="30"/>
      <c r="N253" s="30" t="s">
        <v>5527</v>
      </c>
      <c r="O253" s="20"/>
      <c r="P253" s="20"/>
      <c r="Q253" s="20"/>
      <c r="R253" s="20"/>
      <c r="S253" s="20">
        <v>293</v>
      </c>
      <c r="T253" s="20">
        <v>10</v>
      </c>
      <c r="U253" s="30"/>
      <c r="V253" s="30" t="s">
        <v>5527</v>
      </c>
      <c r="W253" s="20"/>
      <c r="X253" s="30"/>
      <c r="Y253" s="20"/>
      <c r="Z253" s="20">
        <v>170</v>
      </c>
      <c r="AA253" s="20">
        <v>153</v>
      </c>
      <c r="AB253" s="29">
        <v>153</v>
      </c>
      <c r="AC253" s="29"/>
      <c r="AD253" s="29"/>
      <c r="AE253" s="29"/>
      <c r="AF253" s="29"/>
      <c r="AG253" s="29"/>
      <c r="AH253" s="29"/>
      <c r="AI253" s="29">
        <v>4</v>
      </c>
      <c r="AJ253" s="20"/>
      <c r="AK253" s="30"/>
      <c r="AL253" s="36"/>
      <c r="AM253" s="20"/>
      <c r="AN253" s="20"/>
      <c r="AO253" s="20"/>
      <c r="AP253" s="29"/>
      <c r="AQ253" s="29"/>
      <c r="AR253" s="318">
        <v>1404</v>
      </c>
      <c r="AS253" s="318">
        <v>6</v>
      </c>
      <c r="AT253" s="318"/>
      <c r="AU253" s="318"/>
      <c r="AV253" s="31" t="str">
        <f t="shared" si="18"/>
        <v/>
      </c>
      <c r="AW253" s="31" t="str">
        <f t="shared" si="19"/>
        <v/>
      </c>
      <c r="AX253" s="31"/>
      <c r="AY253" s="574"/>
    </row>
    <row r="254" spans="1:51" ht="30" hidden="1" customHeight="1" x14ac:dyDescent="0.2">
      <c r="A254" s="393">
        <v>252</v>
      </c>
      <c r="B254" s="392">
        <v>16</v>
      </c>
      <c r="C254" s="392">
        <v>6</v>
      </c>
      <c r="D254" s="16">
        <v>1404</v>
      </c>
      <c r="E254" s="391" t="s">
        <v>4967</v>
      </c>
      <c r="F254" s="391" t="s">
        <v>9</v>
      </c>
      <c r="G254" s="391"/>
      <c r="H254" s="392" t="s">
        <v>7</v>
      </c>
      <c r="I254" s="360" t="s">
        <v>158</v>
      </c>
      <c r="J254" s="16" t="s">
        <v>84</v>
      </c>
      <c r="K254" s="391"/>
      <c r="L254" s="391" t="s">
        <v>2258</v>
      </c>
      <c r="M254" s="391" t="s">
        <v>5528</v>
      </c>
      <c r="N254" s="41" t="s">
        <v>4856</v>
      </c>
      <c r="O254" s="13" t="s">
        <v>107</v>
      </c>
      <c r="P254" s="13"/>
      <c r="Q254" s="13"/>
      <c r="R254" s="392"/>
      <c r="S254" s="392">
        <v>193</v>
      </c>
      <c r="T254" s="392">
        <v>11</v>
      </c>
      <c r="U254" s="391" t="s">
        <v>5529</v>
      </c>
      <c r="V254" s="41" t="s">
        <v>106</v>
      </c>
      <c r="W254" s="13" t="s">
        <v>107</v>
      </c>
      <c r="X254" s="391"/>
      <c r="Y254" s="392" t="s">
        <v>4966</v>
      </c>
      <c r="Z254" s="392">
        <v>152</v>
      </c>
      <c r="AA254" s="392">
        <v>141</v>
      </c>
      <c r="AB254" s="16">
        <v>141</v>
      </c>
      <c r="AC254" s="16">
        <v>94</v>
      </c>
      <c r="AD254" s="16">
        <v>122</v>
      </c>
      <c r="AE254" s="16">
        <v>4</v>
      </c>
      <c r="AF254" s="16">
        <v>30</v>
      </c>
      <c r="AG254" s="16">
        <v>156</v>
      </c>
      <c r="AH254" s="16">
        <v>5</v>
      </c>
      <c r="AI254" s="16">
        <v>4</v>
      </c>
      <c r="AJ254" s="392"/>
      <c r="AK254" s="391" t="s">
        <v>5530</v>
      </c>
      <c r="AL254" s="25">
        <v>156</v>
      </c>
      <c r="AM254" s="392">
        <v>5</v>
      </c>
      <c r="AN254" s="392"/>
      <c r="AO254" s="392"/>
      <c r="AP254" s="16" t="s">
        <v>5080</v>
      </c>
      <c r="AQ254" s="16" t="s">
        <v>228</v>
      </c>
      <c r="AR254" s="130">
        <v>1404</v>
      </c>
      <c r="AS254" s="130">
        <v>6</v>
      </c>
      <c r="AT254" s="130"/>
      <c r="AU254" s="130"/>
      <c r="AV254" s="12" t="str">
        <f t="shared" si="18"/>
        <v/>
      </c>
      <c r="AW254" s="12" t="str">
        <f t="shared" si="19"/>
        <v/>
      </c>
      <c r="AX254" s="12"/>
      <c r="AY254" s="408"/>
    </row>
    <row r="255" spans="1:51" ht="30" hidden="1" customHeight="1" x14ac:dyDescent="0.2">
      <c r="A255" s="393">
        <v>253</v>
      </c>
      <c r="B255" s="392">
        <v>16</v>
      </c>
      <c r="C255" s="392">
        <v>6</v>
      </c>
      <c r="D255" s="16">
        <v>1404</v>
      </c>
      <c r="E255" s="391" t="s">
        <v>5507</v>
      </c>
      <c r="F255" s="391" t="s">
        <v>8</v>
      </c>
      <c r="G255" s="391" t="s">
        <v>5247</v>
      </c>
      <c r="H255" s="392" t="s">
        <v>7</v>
      </c>
      <c r="I255" s="360" t="s">
        <v>158</v>
      </c>
      <c r="J255" s="16" t="s">
        <v>92</v>
      </c>
      <c r="K255" s="391"/>
      <c r="L255" s="391" t="s">
        <v>140</v>
      </c>
      <c r="M255" s="391" t="s">
        <v>5517</v>
      </c>
      <c r="N255" s="41" t="s">
        <v>4856</v>
      </c>
      <c r="O255" s="13" t="s">
        <v>107</v>
      </c>
      <c r="P255" s="13"/>
      <c r="Q255" s="13"/>
      <c r="R255" s="392"/>
      <c r="S255" s="392">
        <v>6609</v>
      </c>
      <c r="T255" s="392">
        <v>9</v>
      </c>
      <c r="U255" s="391" t="s">
        <v>5529</v>
      </c>
      <c r="V255" s="41" t="s">
        <v>69</v>
      </c>
      <c r="W255" s="13" t="s">
        <v>70</v>
      </c>
      <c r="X255" s="391"/>
      <c r="Y255" s="392" t="s">
        <v>5531</v>
      </c>
      <c r="Z255" s="392">
        <v>119</v>
      </c>
      <c r="AA255" s="392">
        <v>114</v>
      </c>
      <c r="AB255" s="16">
        <v>114</v>
      </c>
      <c r="AC255" s="16">
        <v>45</v>
      </c>
      <c r="AD255" s="16">
        <v>70</v>
      </c>
      <c r="AE255" s="16">
        <v>4</v>
      </c>
      <c r="AF255" s="16">
        <v>44</v>
      </c>
      <c r="AG255" s="16">
        <v>118</v>
      </c>
      <c r="AH255" s="16">
        <v>17</v>
      </c>
      <c r="AI255" s="16">
        <v>6</v>
      </c>
      <c r="AJ255" s="392"/>
      <c r="AK255" s="391" t="s">
        <v>5530</v>
      </c>
      <c r="AL255" s="25">
        <v>118</v>
      </c>
      <c r="AM255" s="392">
        <v>16.66</v>
      </c>
      <c r="AN255" s="392"/>
      <c r="AO255" s="392"/>
      <c r="AP255" s="16" t="s">
        <v>5080</v>
      </c>
      <c r="AQ255" s="16" t="s">
        <v>231</v>
      </c>
      <c r="AR255" s="130">
        <v>1404</v>
      </c>
      <c r="AS255" s="130">
        <v>6</v>
      </c>
      <c r="AT255" s="130"/>
      <c r="AU255" s="130"/>
      <c r="AV255" s="12" t="str">
        <f t="shared" si="18"/>
        <v/>
      </c>
      <c r="AW255" s="12" t="str">
        <f t="shared" si="19"/>
        <v/>
      </c>
      <c r="AX255" s="12"/>
      <c r="AY255" s="408"/>
    </row>
    <row r="256" spans="1:51" ht="30" hidden="1" customHeight="1" x14ac:dyDescent="0.2">
      <c r="A256" s="393">
        <v>254</v>
      </c>
      <c r="B256" s="392">
        <v>16</v>
      </c>
      <c r="C256" s="392">
        <v>6</v>
      </c>
      <c r="D256" s="16">
        <v>1404</v>
      </c>
      <c r="E256" s="391" t="s">
        <v>1118</v>
      </c>
      <c r="F256" s="391" t="s">
        <v>10</v>
      </c>
      <c r="G256" s="391" t="s">
        <v>222</v>
      </c>
      <c r="H256" s="392" t="s">
        <v>83</v>
      </c>
      <c r="I256" s="360" t="s">
        <v>158</v>
      </c>
      <c r="J256" s="16" t="s">
        <v>84</v>
      </c>
      <c r="K256" s="391"/>
      <c r="L256" s="391" t="s">
        <v>117</v>
      </c>
      <c r="M256" s="391" t="s">
        <v>1883</v>
      </c>
      <c r="N256" s="41" t="s">
        <v>4856</v>
      </c>
      <c r="O256" s="13" t="s">
        <v>107</v>
      </c>
      <c r="P256" s="13"/>
      <c r="Q256" s="13"/>
      <c r="R256" s="392"/>
      <c r="S256" s="392">
        <v>6609</v>
      </c>
      <c r="T256" s="392">
        <v>12</v>
      </c>
      <c r="U256" s="391" t="s">
        <v>1884</v>
      </c>
      <c r="V256" s="41" t="s">
        <v>106</v>
      </c>
      <c r="W256" s="13" t="s">
        <v>107</v>
      </c>
      <c r="X256" s="391"/>
      <c r="Y256" s="392" t="s">
        <v>1889</v>
      </c>
      <c r="Z256" s="392">
        <v>197</v>
      </c>
      <c r="AA256" s="392">
        <v>186</v>
      </c>
      <c r="AB256" s="16">
        <v>186</v>
      </c>
      <c r="AC256" s="16"/>
      <c r="AD256" s="16"/>
      <c r="AE256" s="16"/>
      <c r="AF256" s="16"/>
      <c r="AG256" s="16"/>
      <c r="AH256" s="16"/>
      <c r="AI256" s="16">
        <v>6</v>
      </c>
      <c r="AJ256" s="392"/>
      <c r="AK256" s="391"/>
      <c r="AL256" s="25"/>
      <c r="AM256" s="392"/>
      <c r="AN256" s="392"/>
      <c r="AO256" s="392"/>
      <c r="AP256" s="16" t="s">
        <v>5080</v>
      </c>
      <c r="AQ256" s="16" t="s">
        <v>161</v>
      </c>
      <c r="AR256" s="130">
        <v>1404</v>
      </c>
      <c r="AS256" s="130">
        <v>6</v>
      </c>
      <c r="AT256" s="130">
        <v>1401</v>
      </c>
      <c r="AU256" s="130">
        <v>11</v>
      </c>
      <c r="AV256" s="12">
        <f t="shared" si="18"/>
        <v>31</v>
      </c>
      <c r="AW256" s="12" t="str">
        <f t="shared" si="19"/>
        <v/>
      </c>
      <c r="AX256" s="12"/>
      <c r="AY256" s="408"/>
    </row>
    <row r="257" spans="1:51" ht="30" hidden="1" customHeight="1" x14ac:dyDescent="0.2">
      <c r="A257" s="393">
        <v>255</v>
      </c>
      <c r="B257" s="392">
        <v>17</v>
      </c>
      <c r="C257" s="392">
        <v>6</v>
      </c>
      <c r="D257" s="16">
        <v>1404</v>
      </c>
      <c r="E257" s="391" t="s">
        <v>4176</v>
      </c>
      <c r="F257" s="391" t="s">
        <v>243</v>
      </c>
      <c r="G257" s="391" t="s">
        <v>186</v>
      </c>
      <c r="H257" s="392" t="s">
        <v>7</v>
      </c>
      <c r="I257" s="360" t="s">
        <v>158</v>
      </c>
      <c r="J257" s="16" t="s">
        <v>84</v>
      </c>
      <c r="K257" s="391"/>
      <c r="L257" s="391" t="s">
        <v>68</v>
      </c>
      <c r="M257" s="391" t="s">
        <v>5533</v>
      </c>
      <c r="N257" s="41" t="s">
        <v>106</v>
      </c>
      <c r="O257" s="13" t="s">
        <v>107</v>
      </c>
      <c r="P257" s="13"/>
      <c r="Q257" s="13"/>
      <c r="R257" s="392"/>
      <c r="S257" s="392">
        <v>384</v>
      </c>
      <c r="T257" s="392">
        <v>7</v>
      </c>
      <c r="U257" s="391" t="s">
        <v>5534</v>
      </c>
      <c r="V257" s="41" t="s">
        <v>142</v>
      </c>
      <c r="W257" s="13" t="s">
        <v>70</v>
      </c>
      <c r="X257" s="391"/>
      <c r="Y257" s="392" t="s">
        <v>4974</v>
      </c>
      <c r="Z257" s="392">
        <v>224</v>
      </c>
      <c r="AA257" s="392">
        <v>186</v>
      </c>
      <c r="AB257" s="16">
        <v>186</v>
      </c>
      <c r="AC257" s="16">
        <v>5</v>
      </c>
      <c r="AD257" s="16">
        <v>49</v>
      </c>
      <c r="AE257" s="16">
        <v>6</v>
      </c>
      <c r="AF257" s="16">
        <v>65</v>
      </c>
      <c r="AG257" s="16">
        <v>12027</v>
      </c>
      <c r="AH257" s="16">
        <v>27</v>
      </c>
      <c r="AI257" s="16">
        <v>6</v>
      </c>
      <c r="AJ257" s="392"/>
      <c r="AK257" s="391" t="s">
        <v>5535</v>
      </c>
      <c r="AL257" s="25">
        <v>120</v>
      </c>
      <c r="AM257" s="392">
        <v>27</v>
      </c>
      <c r="AN257" s="392"/>
      <c r="AO257" s="392"/>
      <c r="AP257" s="16" t="s">
        <v>160</v>
      </c>
      <c r="AQ257" s="16" t="s">
        <v>161</v>
      </c>
      <c r="AR257" s="130">
        <v>1404</v>
      </c>
      <c r="AS257" s="130">
        <v>6</v>
      </c>
      <c r="AT257" s="130">
        <v>1403</v>
      </c>
      <c r="AU257" s="130">
        <v>10</v>
      </c>
      <c r="AV257" s="12">
        <f t="shared" si="18"/>
        <v>8</v>
      </c>
      <c r="AW257" s="12">
        <f t="shared" si="19"/>
        <v>8</v>
      </c>
      <c r="AX257" s="12"/>
      <c r="AY257" s="408"/>
    </row>
    <row r="258" spans="1:51" ht="30" hidden="1" customHeight="1" x14ac:dyDescent="0.2">
      <c r="A258" s="393">
        <v>256</v>
      </c>
      <c r="B258" s="392">
        <v>17</v>
      </c>
      <c r="C258" s="392">
        <v>6</v>
      </c>
      <c r="D258" s="16">
        <v>1404</v>
      </c>
      <c r="E258" s="391" t="s">
        <v>5536</v>
      </c>
      <c r="F258" s="391" t="s">
        <v>20</v>
      </c>
      <c r="G258" s="391" t="s">
        <v>186</v>
      </c>
      <c r="H258" s="392" t="s">
        <v>83</v>
      </c>
      <c r="I258" s="360" t="s">
        <v>158</v>
      </c>
      <c r="J258" s="16" t="s">
        <v>92</v>
      </c>
      <c r="K258" s="391"/>
      <c r="L258" s="391" t="s">
        <v>117</v>
      </c>
      <c r="M258" s="400" t="s">
        <v>5532</v>
      </c>
      <c r="N258" s="41" t="s">
        <v>106</v>
      </c>
      <c r="O258" s="13" t="s">
        <v>107</v>
      </c>
      <c r="P258" s="13"/>
      <c r="Q258" s="13"/>
      <c r="R258" s="392"/>
      <c r="S258" s="392">
        <v>6608</v>
      </c>
      <c r="T258" s="392">
        <v>17</v>
      </c>
      <c r="U258" s="400" t="s">
        <v>5532</v>
      </c>
      <c r="V258" s="41" t="s">
        <v>106</v>
      </c>
      <c r="W258" s="13" t="s">
        <v>107</v>
      </c>
      <c r="X258" s="391"/>
      <c r="Y258" s="392" t="s">
        <v>3691</v>
      </c>
      <c r="Z258" s="392">
        <v>248.5</v>
      </c>
      <c r="AA258" s="392">
        <v>234</v>
      </c>
      <c r="AB258" s="16">
        <v>234</v>
      </c>
      <c r="AC258" s="16"/>
      <c r="AD258" s="16"/>
      <c r="AE258" s="16"/>
      <c r="AF258" s="16"/>
      <c r="AG258" s="16"/>
      <c r="AH258" s="16"/>
      <c r="AI258" s="16">
        <v>4</v>
      </c>
      <c r="AJ258" s="392"/>
      <c r="AK258" s="391"/>
      <c r="AL258" s="25"/>
      <c r="AM258" s="392"/>
      <c r="AN258" s="392"/>
      <c r="AO258" s="392"/>
      <c r="AP258" s="16"/>
      <c r="AQ258" s="16"/>
      <c r="AR258" s="130">
        <v>1404</v>
      </c>
      <c r="AS258" s="130">
        <v>6</v>
      </c>
      <c r="AT258" s="130">
        <v>1402</v>
      </c>
      <c r="AU258" s="130">
        <v>5</v>
      </c>
      <c r="AV258" s="12">
        <f t="shared" si="18"/>
        <v>25</v>
      </c>
      <c r="AW258" s="12" t="str">
        <f t="shared" si="19"/>
        <v/>
      </c>
      <c r="AX258" s="12"/>
      <c r="AY258" s="408"/>
    </row>
    <row r="259" spans="1:51" ht="30" hidden="1" customHeight="1" x14ac:dyDescent="0.2">
      <c r="A259" s="393">
        <v>257</v>
      </c>
      <c r="B259" s="392">
        <v>18</v>
      </c>
      <c r="C259" s="392">
        <v>6</v>
      </c>
      <c r="D259" s="16">
        <v>1404</v>
      </c>
      <c r="E259" s="391" t="s">
        <v>5537</v>
      </c>
      <c r="F259" s="391" t="s">
        <v>20</v>
      </c>
      <c r="G259" s="391" t="s">
        <v>192</v>
      </c>
      <c r="H259" s="392" t="s">
        <v>7</v>
      </c>
      <c r="I259" s="360" t="s">
        <v>158</v>
      </c>
      <c r="J259" s="16" t="s">
        <v>92</v>
      </c>
      <c r="K259" s="391"/>
      <c r="L259" s="391" t="s">
        <v>104</v>
      </c>
      <c r="M259" s="391" t="s">
        <v>5547</v>
      </c>
      <c r="N259" s="41" t="s">
        <v>106</v>
      </c>
      <c r="O259" s="13" t="s">
        <v>107</v>
      </c>
      <c r="P259" s="13"/>
      <c r="Q259" s="13"/>
      <c r="R259" s="392"/>
      <c r="S259" s="392">
        <v>6611</v>
      </c>
      <c r="T259" s="392">
        <v>12</v>
      </c>
      <c r="U259" s="391" t="s">
        <v>5548</v>
      </c>
      <c r="V259" s="41" t="s">
        <v>262</v>
      </c>
      <c r="W259" s="13" t="s">
        <v>70</v>
      </c>
      <c r="X259" s="391"/>
      <c r="Y259" s="392"/>
      <c r="Z259" s="392">
        <v>246</v>
      </c>
      <c r="AA259" s="392"/>
      <c r="AB259" s="16">
        <v>231</v>
      </c>
      <c r="AC259" s="16">
        <v>82</v>
      </c>
      <c r="AD259" s="16">
        <v>105</v>
      </c>
      <c r="AE259" s="16">
        <v>4</v>
      </c>
      <c r="AF259" s="16">
        <v>57</v>
      </c>
      <c r="AG259" s="16">
        <v>166</v>
      </c>
      <c r="AH259" s="16">
        <v>20</v>
      </c>
      <c r="AI259" s="16">
        <v>6</v>
      </c>
      <c r="AJ259" s="392"/>
      <c r="AK259" s="391" t="s">
        <v>5543</v>
      </c>
      <c r="AL259" s="25">
        <v>166</v>
      </c>
      <c r="AM259" s="392">
        <v>20</v>
      </c>
      <c r="AN259" s="392"/>
      <c r="AO259" s="392"/>
      <c r="AP259" s="16" t="s">
        <v>160</v>
      </c>
      <c r="AQ259" s="16" t="s">
        <v>193</v>
      </c>
      <c r="AR259" s="130">
        <v>1404</v>
      </c>
      <c r="AS259" s="130">
        <v>6</v>
      </c>
      <c r="AT259" s="130"/>
      <c r="AU259" s="130"/>
      <c r="AV259" s="12" t="str">
        <f t="shared" si="18"/>
        <v/>
      </c>
      <c r="AW259" s="12" t="str">
        <f t="shared" si="19"/>
        <v/>
      </c>
      <c r="AX259" s="12"/>
      <c r="AY259" s="408"/>
    </row>
    <row r="260" spans="1:51" ht="30" hidden="1" customHeight="1" x14ac:dyDescent="0.2">
      <c r="A260" s="393">
        <v>258</v>
      </c>
      <c r="B260" s="392">
        <v>18</v>
      </c>
      <c r="C260" s="392">
        <v>6</v>
      </c>
      <c r="D260" s="16">
        <v>1404</v>
      </c>
      <c r="E260" s="391" t="s">
        <v>1314</v>
      </c>
      <c r="F260" s="391" t="s">
        <v>243</v>
      </c>
      <c r="G260" s="391"/>
      <c r="H260" s="392" t="s">
        <v>7</v>
      </c>
      <c r="I260" s="360" t="s">
        <v>158</v>
      </c>
      <c r="J260" s="16" t="s">
        <v>84</v>
      </c>
      <c r="K260" s="391"/>
      <c r="L260" s="391" t="s">
        <v>5422</v>
      </c>
      <c r="M260" s="391" t="s">
        <v>5544</v>
      </c>
      <c r="N260" s="41" t="s">
        <v>69</v>
      </c>
      <c r="O260" s="13" t="s">
        <v>70</v>
      </c>
      <c r="P260" s="13"/>
      <c r="Q260" s="13"/>
      <c r="R260" s="392"/>
      <c r="S260" s="392">
        <v>193</v>
      </c>
      <c r="T260" s="392">
        <v>8</v>
      </c>
      <c r="U260" s="391" t="s">
        <v>5545</v>
      </c>
      <c r="V260" s="41" t="s">
        <v>69</v>
      </c>
      <c r="W260" s="13" t="s">
        <v>70</v>
      </c>
      <c r="X260" s="391"/>
      <c r="Y260" s="392"/>
      <c r="Z260" s="392">
        <v>97</v>
      </c>
      <c r="AA260" s="392">
        <v>93</v>
      </c>
      <c r="AB260" s="16">
        <v>93</v>
      </c>
      <c r="AC260" s="16">
        <v>89</v>
      </c>
      <c r="AD260" s="16">
        <v>91</v>
      </c>
      <c r="AE260" s="16">
        <v>1</v>
      </c>
      <c r="AF260" s="16">
        <v>15</v>
      </c>
      <c r="AG260" s="16">
        <v>108</v>
      </c>
      <c r="AH260" s="16">
        <v>4</v>
      </c>
      <c r="AI260" s="16">
        <v>4</v>
      </c>
      <c r="AJ260" s="392"/>
      <c r="AK260" s="391" t="s">
        <v>5546</v>
      </c>
      <c r="AL260" s="25">
        <v>107</v>
      </c>
      <c r="AM260" s="392">
        <v>4</v>
      </c>
      <c r="AN260" s="392"/>
      <c r="AO260" s="392"/>
      <c r="AP260" s="16" t="s">
        <v>160</v>
      </c>
      <c r="AQ260" s="16" t="s">
        <v>228</v>
      </c>
      <c r="AR260" s="130">
        <v>1404</v>
      </c>
      <c r="AS260" s="130">
        <v>6</v>
      </c>
      <c r="AT260" s="130"/>
      <c r="AU260" s="130"/>
      <c r="AV260" s="12" t="str">
        <f t="shared" si="18"/>
        <v/>
      </c>
      <c r="AW260" s="12" t="str">
        <f t="shared" si="19"/>
        <v/>
      </c>
      <c r="AX260" s="12"/>
      <c r="AY260" s="408"/>
    </row>
    <row r="261" spans="1:51" ht="30" hidden="1" customHeight="1" x14ac:dyDescent="0.2">
      <c r="A261" s="393">
        <v>259</v>
      </c>
      <c r="B261" s="392">
        <v>18</v>
      </c>
      <c r="C261" s="392">
        <v>6</v>
      </c>
      <c r="D261" s="16">
        <v>1404</v>
      </c>
      <c r="E261" s="391" t="s">
        <v>1336</v>
      </c>
      <c r="F261" s="391" t="s">
        <v>8</v>
      </c>
      <c r="G261" s="391" t="s">
        <v>186</v>
      </c>
      <c r="H261" s="392" t="s">
        <v>83</v>
      </c>
      <c r="I261" s="360" t="s">
        <v>158</v>
      </c>
      <c r="J261" s="16" t="s">
        <v>84</v>
      </c>
      <c r="K261" s="391"/>
      <c r="L261" s="391" t="s">
        <v>140</v>
      </c>
      <c r="M261" s="400" t="s">
        <v>5532</v>
      </c>
      <c r="N261" s="41" t="s">
        <v>106</v>
      </c>
      <c r="O261" s="13" t="s">
        <v>107</v>
      </c>
      <c r="P261" s="13"/>
      <c r="Q261" s="13"/>
      <c r="R261" s="392"/>
      <c r="S261" s="392">
        <v>293</v>
      </c>
      <c r="T261" s="392">
        <v>11</v>
      </c>
      <c r="U261" s="400" t="s">
        <v>5532</v>
      </c>
      <c r="V261" s="41" t="s">
        <v>106</v>
      </c>
      <c r="W261" s="13" t="s">
        <v>107</v>
      </c>
      <c r="X261" s="391"/>
      <c r="Y261" s="392" t="s">
        <v>4400</v>
      </c>
      <c r="Z261" s="392">
        <v>142</v>
      </c>
      <c r="AA261" s="392">
        <v>132</v>
      </c>
      <c r="AB261" s="16">
        <v>132</v>
      </c>
      <c r="AC261" s="16"/>
      <c r="AD261" s="16"/>
      <c r="AE261" s="16"/>
      <c r="AF261" s="16"/>
      <c r="AG261" s="16"/>
      <c r="AH261" s="16"/>
      <c r="AI261" s="16">
        <v>6</v>
      </c>
      <c r="AJ261" s="392"/>
      <c r="AK261" s="391"/>
      <c r="AL261" s="25"/>
      <c r="AM261" s="392"/>
      <c r="AN261" s="392"/>
      <c r="AO261" s="392"/>
      <c r="AP261" s="16" t="s">
        <v>5080</v>
      </c>
      <c r="AQ261" s="16" t="s">
        <v>112</v>
      </c>
      <c r="AR261" s="130">
        <v>1404</v>
      </c>
      <c r="AS261" s="130">
        <v>6</v>
      </c>
      <c r="AT261" s="130">
        <v>1403</v>
      </c>
      <c r="AU261" s="130">
        <v>1</v>
      </c>
      <c r="AV261" s="12">
        <f t="shared" si="18"/>
        <v>17</v>
      </c>
      <c r="AW261" s="12" t="str">
        <f t="shared" si="19"/>
        <v/>
      </c>
      <c r="AX261" s="12"/>
      <c r="AY261" s="408"/>
    </row>
    <row r="262" spans="1:51" s="21" customFormat="1" ht="30" hidden="1" customHeight="1" x14ac:dyDescent="0.2">
      <c r="A262" s="20">
        <v>260</v>
      </c>
      <c r="B262" s="20">
        <v>19</v>
      </c>
      <c r="C262" s="20">
        <v>6</v>
      </c>
      <c r="D262" s="29">
        <v>1404</v>
      </c>
      <c r="E262" s="30" t="s">
        <v>1811</v>
      </c>
      <c r="F262" s="30" t="s">
        <v>10</v>
      </c>
      <c r="G262" s="30" t="s">
        <v>5538</v>
      </c>
      <c r="H262" s="20" t="s">
        <v>83</v>
      </c>
      <c r="I262" s="360" t="s">
        <v>158</v>
      </c>
      <c r="J262" s="29" t="s">
        <v>5539</v>
      </c>
      <c r="K262" s="30"/>
      <c r="L262" s="30" t="s">
        <v>104</v>
      </c>
      <c r="M262" s="30" t="s">
        <v>567</v>
      </c>
      <c r="N262" s="30" t="s">
        <v>106</v>
      </c>
      <c r="O262" s="20" t="s">
        <v>107</v>
      </c>
      <c r="P262" s="20"/>
      <c r="Q262" s="20"/>
      <c r="R262" s="20"/>
      <c r="S262" s="20">
        <v>6611</v>
      </c>
      <c r="T262" s="20">
        <v>11</v>
      </c>
      <c r="U262" s="30" t="s">
        <v>249</v>
      </c>
      <c r="V262" s="30" t="s">
        <v>5540</v>
      </c>
      <c r="W262" s="20" t="s">
        <v>70</v>
      </c>
      <c r="X262" s="30"/>
      <c r="Y262" s="20" t="s">
        <v>5541</v>
      </c>
      <c r="Z262" s="20">
        <v>232</v>
      </c>
      <c r="AA262" s="20">
        <v>216</v>
      </c>
      <c r="AB262" s="29">
        <v>216</v>
      </c>
      <c r="AC262" s="29">
        <v>116</v>
      </c>
      <c r="AD262" s="29">
        <v>1373</v>
      </c>
      <c r="AE262" s="29">
        <v>3</v>
      </c>
      <c r="AF262" s="29">
        <v>25</v>
      </c>
      <c r="AG262" s="29">
        <v>165</v>
      </c>
      <c r="AH262" s="29">
        <v>16.66</v>
      </c>
      <c r="AI262" s="29">
        <v>6</v>
      </c>
      <c r="AJ262" s="20"/>
      <c r="AK262" s="30" t="s">
        <v>5541</v>
      </c>
      <c r="AL262" s="36">
        <v>153</v>
      </c>
      <c r="AM262" s="20">
        <v>17.45</v>
      </c>
      <c r="AN262" s="20"/>
      <c r="AO262" s="20"/>
      <c r="AP262" s="29" t="s">
        <v>160</v>
      </c>
      <c r="AQ262" s="29" t="s">
        <v>193</v>
      </c>
      <c r="AR262" s="318">
        <v>1404</v>
      </c>
      <c r="AS262" s="318">
        <v>6</v>
      </c>
      <c r="AT262" s="318">
        <v>1404</v>
      </c>
      <c r="AU262" s="318">
        <v>5</v>
      </c>
      <c r="AV262" s="31">
        <f t="shared" si="18"/>
        <v>1</v>
      </c>
      <c r="AW262" s="31">
        <f t="shared" si="19"/>
        <v>1</v>
      </c>
      <c r="AX262" s="31"/>
      <c r="AY262" s="409" t="s">
        <v>5542</v>
      </c>
    </row>
    <row r="263" spans="1:51" ht="30" hidden="1" customHeight="1" x14ac:dyDescent="0.2">
      <c r="A263" s="393">
        <v>261</v>
      </c>
      <c r="B263" s="392">
        <v>21</v>
      </c>
      <c r="C263" s="392">
        <v>6</v>
      </c>
      <c r="D263" s="16">
        <v>1404</v>
      </c>
      <c r="E263" s="391" t="s">
        <v>5550</v>
      </c>
      <c r="F263" s="391" t="s">
        <v>6</v>
      </c>
      <c r="G263" s="391" t="s">
        <v>222</v>
      </c>
      <c r="H263" s="392" t="s">
        <v>83</v>
      </c>
      <c r="I263" s="360" t="s">
        <v>158</v>
      </c>
      <c r="J263" s="16" t="s">
        <v>84</v>
      </c>
      <c r="K263" s="391"/>
      <c r="L263" s="391" t="s">
        <v>226</v>
      </c>
      <c r="M263" s="391" t="s">
        <v>1777</v>
      </c>
      <c r="N263" s="401" t="s">
        <v>106</v>
      </c>
      <c r="O263" s="402" t="s">
        <v>107</v>
      </c>
      <c r="P263" s="436"/>
      <c r="Q263" s="436"/>
      <c r="R263" s="392"/>
      <c r="S263" s="392">
        <v>193</v>
      </c>
      <c r="T263" s="392">
        <v>14</v>
      </c>
      <c r="U263" s="391" t="s">
        <v>1779</v>
      </c>
      <c r="V263" s="41" t="s">
        <v>106</v>
      </c>
      <c r="W263" s="13" t="s">
        <v>107</v>
      </c>
      <c r="X263" s="391"/>
      <c r="Y263" s="392" t="s">
        <v>1834</v>
      </c>
      <c r="Z263" s="392">
        <v>199</v>
      </c>
      <c r="AA263" s="392">
        <v>186</v>
      </c>
      <c r="AB263" s="16">
        <v>186</v>
      </c>
      <c r="AC263" s="16"/>
      <c r="AD263" s="16"/>
      <c r="AE263" s="16"/>
      <c r="AF263" s="16"/>
      <c r="AG263" s="16"/>
      <c r="AH263" s="16"/>
      <c r="AI263" s="16">
        <v>4</v>
      </c>
      <c r="AJ263" s="392"/>
      <c r="AK263" s="391"/>
      <c r="AL263" s="25"/>
      <c r="AM263" s="392"/>
      <c r="AN263" s="392"/>
      <c r="AO263" s="392"/>
      <c r="AP263" s="16" t="s">
        <v>5080</v>
      </c>
      <c r="AQ263" s="16" t="s">
        <v>231</v>
      </c>
      <c r="AR263" s="130">
        <v>1404</v>
      </c>
      <c r="AS263" s="130">
        <v>6</v>
      </c>
      <c r="AT263" s="130">
        <v>1401</v>
      </c>
      <c r="AU263" s="130">
        <v>10</v>
      </c>
      <c r="AV263" s="12">
        <f t="shared" si="18"/>
        <v>32</v>
      </c>
      <c r="AW263" s="12" t="str">
        <f t="shared" si="19"/>
        <v/>
      </c>
      <c r="AX263" s="12"/>
      <c r="AY263" s="408"/>
    </row>
    <row r="264" spans="1:51" ht="30" hidden="1" customHeight="1" x14ac:dyDescent="0.2">
      <c r="A264" s="393">
        <v>262</v>
      </c>
      <c r="B264" s="392">
        <v>22</v>
      </c>
      <c r="C264" s="392">
        <v>6</v>
      </c>
      <c r="D264" s="16">
        <v>1404</v>
      </c>
      <c r="E264" s="391" t="s">
        <v>5550</v>
      </c>
      <c r="F264" s="391" t="s">
        <v>6</v>
      </c>
      <c r="G264" s="391" t="s">
        <v>1587</v>
      </c>
      <c r="H264" s="392" t="s">
        <v>7</v>
      </c>
      <c r="I264" s="360" t="s">
        <v>158</v>
      </c>
      <c r="J264" s="16" t="s">
        <v>84</v>
      </c>
      <c r="K264" s="35" t="s">
        <v>226</v>
      </c>
      <c r="L264" s="35" t="s">
        <v>141</v>
      </c>
      <c r="M264" s="391" t="s">
        <v>5551</v>
      </c>
      <c r="N264" s="41" t="s">
        <v>142</v>
      </c>
      <c r="O264" s="13" t="s">
        <v>70</v>
      </c>
      <c r="P264" s="13"/>
      <c r="Q264" s="13"/>
      <c r="R264" s="33" t="s">
        <v>1778</v>
      </c>
      <c r="S264" s="33">
        <v>233</v>
      </c>
      <c r="T264" s="33">
        <v>16</v>
      </c>
      <c r="U264" s="391" t="s">
        <v>5552</v>
      </c>
      <c r="V264" s="41" t="s">
        <v>142</v>
      </c>
      <c r="W264" s="13" t="s">
        <v>70</v>
      </c>
      <c r="X264" s="391"/>
      <c r="Y264" s="392" t="s">
        <v>1834</v>
      </c>
      <c r="Z264" s="392">
        <v>199</v>
      </c>
      <c r="AA264" s="392">
        <v>186</v>
      </c>
      <c r="AB264" s="16">
        <v>186</v>
      </c>
      <c r="AC264" s="16">
        <v>85</v>
      </c>
      <c r="AD264" s="16">
        <v>133</v>
      </c>
      <c r="AE264" s="16">
        <v>5</v>
      </c>
      <c r="AF264" s="16">
        <v>30</v>
      </c>
      <c r="AG264" s="16">
        <v>168</v>
      </c>
      <c r="AH264" s="16">
        <v>8.3000000000000007</v>
      </c>
      <c r="AI264" s="16">
        <v>4</v>
      </c>
      <c r="AJ264" s="392"/>
      <c r="AK264" s="391" t="s">
        <v>5553</v>
      </c>
      <c r="AL264" s="25">
        <v>168</v>
      </c>
      <c r="AM264" s="402">
        <v>8.8000000000000007</v>
      </c>
      <c r="AN264" s="392"/>
      <c r="AO264" s="392"/>
      <c r="AP264" s="16" t="s">
        <v>5080</v>
      </c>
      <c r="AQ264" s="16" t="s">
        <v>231</v>
      </c>
      <c r="AR264" s="130">
        <v>1404</v>
      </c>
      <c r="AS264" s="130">
        <v>6</v>
      </c>
      <c r="AT264" s="130"/>
      <c r="AU264" s="130"/>
      <c r="AV264" s="12" t="str">
        <f t="shared" si="18"/>
        <v/>
      </c>
      <c r="AW264" s="12" t="str">
        <f t="shared" si="19"/>
        <v/>
      </c>
      <c r="AX264" s="12"/>
      <c r="AY264" s="408"/>
    </row>
    <row r="265" spans="1:51" ht="30" hidden="1" customHeight="1" x14ac:dyDescent="0.2">
      <c r="A265" s="393">
        <v>263</v>
      </c>
      <c r="B265" s="392">
        <v>22</v>
      </c>
      <c r="C265" s="392">
        <v>6</v>
      </c>
      <c r="D265" s="16">
        <v>1404</v>
      </c>
      <c r="E265" s="391" t="s">
        <v>5554</v>
      </c>
      <c r="F265" s="391" t="s">
        <v>2981</v>
      </c>
      <c r="G265" s="391" t="s">
        <v>481</v>
      </c>
      <c r="H265" s="392" t="s">
        <v>83</v>
      </c>
      <c r="I265" s="360" t="s">
        <v>158</v>
      </c>
      <c r="J265" s="16" t="s">
        <v>84</v>
      </c>
      <c r="K265" s="391"/>
      <c r="L265" s="391" t="s">
        <v>141</v>
      </c>
      <c r="M265" s="391" t="s">
        <v>5566</v>
      </c>
      <c r="N265" s="404" t="s">
        <v>106</v>
      </c>
      <c r="O265" s="403" t="s">
        <v>107</v>
      </c>
      <c r="P265" s="436"/>
      <c r="Q265" s="436"/>
      <c r="R265" s="392"/>
      <c r="S265" s="392">
        <v>345</v>
      </c>
      <c r="T265" s="392">
        <v>4</v>
      </c>
      <c r="U265" s="391" t="s">
        <v>5567</v>
      </c>
      <c r="V265" s="41" t="s">
        <v>106</v>
      </c>
      <c r="W265" s="13" t="s">
        <v>107</v>
      </c>
      <c r="X265" s="391"/>
      <c r="Y265" s="392" t="s">
        <v>5556</v>
      </c>
      <c r="Z265" s="392"/>
      <c r="AA265" s="392">
        <v>108</v>
      </c>
      <c r="AB265" s="16">
        <v>108</v>
      </c>
      <c r="AC265" s="16"/>
      <c r="AD265" s="16"/>
      <c r="AE265" s="16"/>
      <c r="AF265" s="16"/>
      <c r="AG265" s="16"/>
      <c r="AH265" s="16"/>
      <c r="AI265" s="16">
        <v>4</v>
      </c>
      <c r="AJ265" s="392"/>
      <c r="AK265" s="391"/>
      <c r="AL265" s="25"/>
      <c r="AM265" s="392"/>
      <c r="AN265" s="392"/>
      <c r="AO265" s="392"/>
      <c r="AP265" s="16" t="s">
        <v>5080</v>
      </c>
      <c r="AQ265" s="16" t="s">
        <v>231</v>
      </c>
      <c r="AR265" s="130">
        <v>1404</v>
      </c>
      <c r="AS265" s="130">
        <v>6</v>
      </c>
      <c r="AT265" s="130">
        <v>1395</v>
      </c>
      <c r="AU265" s="130">
        <v>6</v>
      </c>
      <c r="AV265" s="12">
        <f t="shared" si="18"/>
        <v>108</v>
      </c>
      <c r="AW265" s="12" t="str">
        <f t="shared" si="19"/>
        <v/>
      </c>
      <c r="AX265" s="12"/>
      <c r="AY265" s="408"/>
    </row>
    <row r="266" spans="1:51" s="21" customFormat="1" ht="30" hidden="1" customHeight="1" x14ac:dyDescent="0.2">
      <c r="A266" s="20">
        <v>264</v>
      </c>
      <c r="B266" s="20">
        <v>22</v>
      </c>
      <c r="C266" s="20">
        <v>6</v>
      </c>
      <c r="D266" s="29">
        <v>1404</v>
      </c>
      <c r="E266" s="30" t="s">
        <v>5555</v>
      </c>
      <c r="F266" s="30" t="s">
        <v>2981</v>
      </c>
      <c r="G266" s="30" t="s">
        <v>481</v>
      </c>
      <c r="H266" s="20" t="s">
        <v>83</v>
      </c>
      <c r="I266" s="360" t="s">
        <v>158</v>
      </c>
      <c r="J266" s="29" t="s">
        <v>92</v>
      </c>
      <c r="K266" s="30"/>
      <c r="L266" s="30"/>
      <c r="M266" s="400" t="s">
        <v>5532</v>
      </c>
      <c r="N266" s="30" t="s">
        <v>106</v>
      </c>
      <c r="O266" s="20" t="s">
        <v>107</v>
      </c>
      <c r="P266" s="20"/>
      <c r="Q266" s="20"/>
      <c r="R266" s="20"/>
      <c r="S266" s="20"/>
      <c r="T266" s="20"/>
      <c r="U266" s="400" t="s">
        <v>5532</v>
      </c>
      <c r="V266" s="30"/>
      <c r="W266" s="20"/>
      <c r="X266" s="30"/>
      <c r="Y266" s="20"/>
      <c r="Z266" s="20"/>
      <c r="AA266" s="20"/>
      <c r="AB266" s="29"/>
      <c r="AC266" s="29"/>
      <c r="AD266" s="29"/>
      <c r="AE266" s="29"/>
      <c r="AF266" s="29"/>
      <c r="AG266" s="29"/>
      <c r="AH266" s="29"/>
      <c r="AI266" s="29"/>
      <c r="AJ266" s="20"/>
      <c r="AK266" s="30"/>
      <c r="AL266" s="36"/>
      <c r="AM266" s="20"/>
      <c r="AN266" s="20"/>
      <c r="AO266" s="20"/>
      <c r="AP266" s="29"/>
      <c r="AQ266" s="29"/>
      <c r="AR266" s="318">
        <v>1404</v>
      </c>
      <c r="AS266" s="318">
        <v>6</v>
      </c>
      <c r="AT266" s="318"/>
      <c r="AU266" s="318"/>
      <c r="AV266" s="31" t="str">
        <f t="shared" si="18"/>
        <v/>
      </c>
      <c r="AW266" s="31" t="str">
        <f t="shared" si="19"/>
        <v/>
      </c>
      <c r="AX266" s="31"/>
      <c r="AY266" s="409" t="s">
        <v>5625</v>
      </c>
    </row>
    <row r="267" spans="1:51" ht="30" hidden="1" customHeight="1" x14ac:dyDescent="0.2">
      <c r="A267" s="393">
        <v>265</v>
      </c>
      <c r="B267" s="392" t="s">
        <v>3714</v>
      </c>
      <c r="C267" s="392">
        <v>6</v>
      </c>
      <c r="D267" s="16">
        <v>1404</v>
      </c>
      <c r="E267" s="391" t="s">
        <v>5557</v>
      </c>
      <c r="F267" s="391" t="s">
        <v>9</v>
      </c>
      <c r="G267" s="391" t="s">
        <v>481</v>
      </c>
      <c r="H267" s="392" t="s">
        <v>83</v>
      </c>
      <c r="I267" s="360" t="s">
        <v>158</v>
      </c>
      <c r="J267" s="16" t="s">
        <v>84</v>
      </c>
      <c r="K267" s="391" t="s">
        <v>3714</v>
      </c>
      <c r="L267" s="391" t="s">
        <v>141</v>
      </c>
      <c r="M267" s="391" t="s">
        <v>3520</v>
      </c>
      <c r="N267" s="41" t="s">
        <v>106</v>
      </c>
      <c r="O267" s="13" t="s">
        <v>107</v>
      </c>
      <c r="P267" s="13"/>
      <c r="Q267" s="13"/>
      <c r="R267" s="392"/>
      <c r="S267" s="392">
        <v>293</v>
      </c>
      <c r="T267" s="392">
        <v>9</v>
      </c>
      <c r="U267" s="391" t="s">
        <v>3521</v>
      </c>
      <c r="V267" s="41" t="s">
        <v>106</v>
      </c>
      <c r="W267" s="13" t="s">
        <v>107</v>
      </c>
      <c r="X267" s="391"/>
      <c r="Y267" s="392"/>
      <c r="Z267" s="392"/>
      <c r="AA267" s="392"/>
      <c r="AB267" s="16"/>
      <c r="AC267" s="16"/>
      <c r="AD267" s="16"/>
      <c r="AE267" s="16"/>
      <c r="AF267" s="16"/>
      <c r="AG267" s="16"/>
      <c r="AH267" s="16"/>
      <c r="AI267" s="16"/>
      <c r="AJ267" s="392"/>
      <c r="AK267" s="391"/>
      <c r="AL267" s="25"/>
      <c r="AM267" s="392"/>
      <c r="AN267" s="392"/>
      <c r="AO267" s="392"/>
      <c r="AP267" s="16"/>
      <c r="AQ267" s="16"/>
      <c r="AR267" s="130">
        <v>1404</v>
      </c>
      <c r="AS267" s="130">
        <v>6</v>
      </c>
      <c r="AT267" s="130"/>
      <c r="AU267" s="130"/>
      <c r="AV267" s="12" t="str">
        <f t="shared" si="18"/>
        <v/>
      </c>
      <c r="AW267" s="12" t="str">
        <f t="shared" si="19"/>
        <v/>
      </c>
      <c r="AX267" s="12"/>
      <c r="AY267" s="408"/>
    </row>
    <row r="268" spans="1:51" ht="30" hidden="1" customHeight="1" x14ac:dyDescent="0.2">
      <c r="A268" s="393">
        <v>266</v>
      </c>
      <c r="B268" s="392">
        <v>22</v>
      </c>
      <c r="C268" s="392">
        <v>6</v>
      </c>
      <c r="D268" s="16">
        <v>1404</v>
      </c>
      <c r="E268" s="391" t="s">
        <v>3193</v>
      </c>
      <c r="F268" s="391" t="s">
        <v>6</v>
      </c>
      <c r="G268" s="391" t="s">
        <v>481</v>
      </c>
      <c r="H268" s="392" t="s">
        <v>83</v>
      </c>
      <c r="I268" s="360" t="s">
        <v>158</v>
      </c>
      <c r="J268" s="16" t="s">
        <v>84</v>
      </c>
      <c r="K268" s="391"/>
      <c r="L268" s="391" t="s">
        <v>155</v>
      </c>
      <c r="M268" s="391" t="s">
        <v>4011</v>
      </c>
      <c r="N268" s="41" t="s">
        <v>106</v>
      </c>
      <c r="O268" s="13" t="s">
        <v>107</v>
      </c>
      <c r="P268" s="13"/>
      <c r="Q268" s="13"/>
      <c r="R268" s="392"/>
      <c r="S268" s="392">
        <v>384</v>
      </c>
      <c r="T268" s="392">
        <v>10</v>
      </c>
      <c r="U268" s="391" t="s">
        <v>5568</v>
      </c>
      <c r="V268" s="41" t="s">
        <v>106</v>
      </c>
      <c r="W268" s="13" t="s">
        <v>107</v>
      </c>
      <c r="X268" s="391"/>
      <c r="Y268" s="392" t="s">
        <v>3963</v>
      </c>
      <c r="Z268" s="392">
        <v>245</v>
      </c>
      <c r="AA268" s="392">
        <v>228</v>
      </c>
      <c r="AB268" s="16">
        <v>228</v>
      </c>
      <c r="AC268" s="16"/>
      <c r="AD268" s="16"/>
      <c r="AE268" s="16"/>
      <c r="AF268" s="16"/>
      <c r="AG268" s="16"/>
      <c r="AH268" s="16"/>
      <c r="AI268" s="16">
        <v>6</v>
      </c>
      <c r="AJ268" s="392"/>
      <c r="AK268" s="391"/>
      <c r="AL268" s="25"/>
      <c r="AM268" s="392"/>
      <c r="AN268" s="392"/>
      <c r="AO268" s="392"/>
      <c r="AP268" s="16"/>
      <c r="AQ268" s="16"/>
      <c r="AR268" s="130">
        <v>1404</v>
      </c>
      <c r="AS268" s="130">
        <v>6</v>
      </c>
      <c r="AT268" s="130">
        <v>1402</v>
      </c>
      <c r="AU268" s="130">
        <v>8</v>
      </c>
      <c r="AV268" s="12">
        <f t="shared" si="18"/>
        <v>22</v>
      </c>
      <c r="AW268" s="12" t="str">
        <f t="shared" si="19"/>
        <v/>
      </c>
      <c r="AX268" s="12"/>
      <c r="AY268" s="408"/>
    </row>
    <row r="269" spans="1:51" ht="30" hidden="1" customHeight="1" x14ac:dyDescent="0.2">
      <c r="A269" s="393">
        <v>267</v>
      </c>
      <c r="B269" s="392">
        <v>23</v>
      </c>
      <c r="C269" s="392">
        <v>6</v>
      </c>
      <c r="D269" s="16">
        <v>1404</v>
      </c>
      <c r="E269" s="391" t="s">
        <v>5558</v>
      </c>
      <c r="F269" s="391" t="s">
        <v>9</v>
      </c>
      <c r="G269" s="391" t="s">
        <v>481</v>
      </c>
      <c r="H269" s="392" t="s">
        <v>83</v>
      </c>
      <c r="I269" s="360" t="s">
        <v>158</v>
      </c>
      <c r="J269" s="16" t="s">
        <v>92</v>
      </c>
      <c r="K269" s="391"/>
      <c r="L269" s="391" t="s">
        <v>68</v>
      </c>
      <c r="M269" s="391" t="s">
        <v>5569</v>
      </c>
      <c r="N269" s="41" t="s">
        <v>106</v>
      </c>
      <c r="O269" s="13" t="s">
        <v>107</v>
      </c>
      <c r="P269" s="13"/>
      <c r="Q269" s="13"/>
      <c r="R269" s="392"/>
      <c r="S269" s="392">
        <v>293</v>
      </c>
      <c r="T269" s="392">
        <v>15</v>
      </c>
      <c r="U269" s="391" t="s">
        <v>5570</v>
      </c>
      <c r="V269" s="41" t="s">
        <v>106</v>
      </c>
      <c r="W269" s="13" t="s">
        <v>107</v>
      </c>
      <c r="X269" s="391"/>
      <c r="Y269" s="392" t="s">
        <v>5559</v>
      </c>
      <c r="Z269" s="392">
        <v>182</v>
      </c>
      <c r="AA269" s="392">
        <v>168</v>
      </c>
      <c r="AB269" s="16">
        <v>168</v>
      </c>
      <c r="AC269" s="16"/>
      <c r="AD269" s="16"/>
      <c r="AE269" s="16"/>
      <c r="AF269" s="16"/>
      <c r="AG269" s="16"/>
      <c r="AH269" s="16"/>
      <c r="AI269" s="16">
        <v>6</v>
      </c>
      <c r="AJ269" s="392"/>
      <c r="AK269" s="391"/>
      <c r="AL269" s="25"/>
      <c r="AM269" s="392"/>
      <c r="AN269" s="392"/>
      <c r="AO269" s="392"/>
      <c r="AP269" s="16" t="s">
        <v>5080</v>
      </c>
      <c r="AQ269" s="16" t="s">
        <v>161</v>
      </c>
      <c r="AR269" s="130">
        <v>1404</v>
      </c>
      <c r="AS269" s="130">
        <v>6</v>
      </c>
      <c r="AT269" s="130">
        <v>1400</v>
      </c>
      <c r="AU269" s="130">
        <v>8</v>
      </c>
      <c r="AV269" s="12">
        <f t="shared" si="18"/>
        <v>46</v>
      </c>
      <c r="AW269" s="12" t="str">
        <f t="shared" si="19"/>
        <v/>
      </c>
      <c r="AX269" s="12"/>
      <c r="AY269" s="408"/>
    </row>
    <row r="270" spans="1:51" ht="30" hidden="1" customHeight="1" x14ac:dyDescent="0.2">
      <c r="A270" s="393">
        <v>268</v>
      </c>
      <c r="B270" s="392">
        <v>23</v>
      </c>
      <c r="C270" s="392">
        <v>6</v>
      </c>
      <c r="D270" s="16">
        <v>1404</v>
      </c>
      <c r="E270" s="391" t="s">
        <v>2344</v>
      </c>
      <c r="F270" s="391" t="s">
        <v>6</v>
      </c>
      <c r="G270" s="391" t="s">
        <v>186</v>
      </c>
      <c r="H270" s="392" t="s">
        <v>83</v>
      </c>
      <c r="I270" s="360" t="s">
        <v>158</v>
      </c>
      <c r="J270" s="16" t="s">
        <v>84</v>
      </c>
      <c r="K270" s="391"/>
      <c r="L270" s="391" t="s">
        <v>218</v>
      </c>
      <c r="M270" s="391" t="s">
        <v>5571</v>
      </c>
      <c r="N270" s="41" t="s">
        <v>106</v>
      </c>
      <c r="O270" s="13" t="s">
        <v>107</v>
      </c>
      <c r="P270" s="13"/>
      <c r="Q270" s="13"/>
      <c r="R270" s="392"/>
      <c r="S270" s="392">
        <v>384</v>
      </c>
      <c r="T270" s="392">
        <v>10</v>
      </c>
      <c r="U270" s="391" t="s">
        <v>5572</v>
      </c>
      <c r="V270" s="41" t="s">
        <v>106</v>
      </c>
      <c r="W270" s="13" t="s">
        <v>107</v>
      </c>
      <c r="X270" s="391"/>
      <c r="Y270" s="392"/>
      <c r="Z270" s="392">
        <v>222</v>
      </c>
      <c r="AA270" s="392">
        <v>216</v>
      </c>
      <c r="AB270" s="16">
        <v>216</v>
      </c>
      <c r="AC270" s="16"/>
      <c r="AD270" s="16"/>
      <c r="AE270" s="16"/>
      <c r="AF270" s="16"/>
      <c r="AG270" s="16"/>
      <c r="AH270" s="16"/>
      <c r="AI270" s="16">
        <v>6</v>
      </c>
      <c r="AJ270" s="392"/>
      <c r="AK270" s="391"/>
      <c r="AL270" s="25"/>
      <c r="AM270" s="392"/>
      <c r="AN270" s="392"/>
      <c r="AO270" s="392"/>
      <c r="AP270" s="16" t="s">
        <v>160</v>
      </c>
      <c r="AQ270" s="16" t="s">
        <v>165</v>
      </c>
      <c r="AR270" s="130">
        <v>1404</v>
      </c>
      <c r="AS270" s="130">
        <v>6</v>
      </c>
      <c r="AT270" s="130"/>
      <c r="AU270" s="130"/>
      <c r="AV270" s="12" t="str">
        <f t="shared" si="18"/>
        <v/>
      </c>
      <c r="AW270" s="12" t="str">
        <f t="shared" si="19"/>
        <v/>
      </c>
      <c r="AX270" s="12"/>
      <c r="AY270" s="408"/>
    </row>
    <row r="271" spans="1:51" ht="30" hidden="1" customHeight="1" x14ac:dyDescent="0.2">
      <c r="A271" s="393">
        <v>269</v>
      </c>
      <c r="B271" s="392">
        <v>23</v>
      </c>
      <c r="C271" s="392">
        <v>6</v>
      </c>
      <c r="D271" s="16">
        <v>1404</v>
      </c>
      <c r="E271" s="391" t="s">
        <v>5562</v>
      </c>
      <c r="F271" s="391" t="s">
        <v>6</v>
      </c>
      <c r="G271" s="391" t="s">
        <v>5560</v>
      </c>
      <c r="H271" s="392" t="s">
        <v>83</v>
      </c>
      <c r="I271" s="360" t="s">
        <v>158</v>
      </c>
      <c r="J271" s="16" t="s">
        <v>84</v>
      </c>
      <c r="K271" s="391"/>
      <c r="L271" s="391" t="s">
        <v>218</v>
      </c>
      <c r="M271" s="391" t="s">
        <v>5573</v>
      </c>
      <c r="N271" s="41" t="s">
        <v>106</v>
      </c>
      <c r="O271" s="13" t="s">
        <v>107</v>
      </c>
      <c r="P271" s="13"/>
      <c r="Q271" s="13"/>
      <c r="R271" s="392"/>
      <c r="S271" s="392">
        <v>384</v>
      </c>
      <c r="T271" s="392">
        <v>11</v>
      </c>
      <c r="U271" s="391" t="s">
        <v>5574</v>
      </c>
      <c r="V271" s="41" t="s">
        <v>106</v>
      </c>
      <c r="W271" s="13" t="s">
        <v>107</v>
      </c>
      <c r="X271" s="391"/>
      <c r="Y271" s="392" t="s">
        <v>5561</v>
      </c>
      <c r="Z271" s="392">
        <v>221</v>
      </c>
      <c r="AA271" s="392">
        <v>206</v>
      </c>
      <c r="AB271" s="16">
        <v>206</v>
      </c>
      <c r="AC271" s="16"/>
      <c r="AD271" s="16"/>
      <c r="AE271" s="16"/>
      <c r="AF271" s="16"/>
      <c r="AG271" s="16"/>
      <c r="AH271" s="16"/>
      <c r="AI271" s="16">
        <v>6</v>
      </c>
      <c r="AJ271" s="392"/>
      <c r="AK271" s="391"/>
      <c r="AL271" s="25"/>
      <c r="AM271" s="392"/>
      <c r="AN271" s="392"/>
      <c r="AO271" s="392"/>
      <c r="AP271" s="16" t="s">
        <v>160</v>
      </c>
      <c r="AQ271" s="16" t="s">
        <v>165</v>
      </c>
      <c r="AR271" s="130">
        <v>1404</v>
      </c>
      <c r="AS271" s="130">
        <v>6</v>
      </c>
      <c r="AT271" s="130">
        <v>1399</v>
      </c>
      <c r="AU271" s="130">
        <v>5</v>
      </c>
      <c r="AV271" s="12">
        <f t="shared" si="18"/>
        <v>61</v>
      </c>
      <c r="AW271" s="12" t="str">
        <f t="shared" si="19"/>
        <v/>
      </c>
      <c r="AX271" s="12"/>
      <c r="AY271" s="408"/>
    </row>
    <row r="272" spans="1:51" ht="30" hidden="1" customHeight="1" x14ac:dyDescent="0.2">
      <c r="A272" s="393">
        <v>270</v>
      </c>
      <c r="B272" s="392">
        <v>23</v>
      </c>
      <c r="C272" s="392">
        <v>6</v>
      </c>
      <c r="D272" s="16">
        <v>1404</v>
      </c>
      <c r="E272" s="391" t="s">
        <v>3558</v>
      </c>
      <c r="F272" s="391" t="s">
        <v>20</v>
      </c>
      <c r="G272" s="391" t="s">
        <v>222</v>
      </c>
      <c r="H272" s="392" t="s">
        <v>83</v>
      </c>
      <c r="I272" s="360" t="s">
        <v>4420</v>
      </c>
      <c r="J272" s="16" t="s">
        <v>84</v>
      </c>
      <c r="K272" s="391"/>
      <c r="L272" s="391" t="s">
        <v>141</v>
      </c>
      <c r="M272" s="400" t="s">
        <v>5532</v>
      </c>
      <c r="N272" s="41" t="s">
        <v>106</v>
      </c>
      <c r="O272" s="13" t="s">
        <v>107</v>
      </c>
      <c r="P272" s="13"/>
      <c r="Q272" s="13"/>
      <c r="R272" s="392"/>
      <c r="S272" s="392">
        <v>293</v>
      </c>
      <c r="T272" s="392">
        <v>8</v>
      </c>
      <c r="U272" s="400" t="s">
        <v>5532</v>
      </c>
      <c r="V272" s="41" t="s">
        <v>106</v>
      </c>
      <c r="W272" s="13" t="s">
        <v>107</v>
      </c>
      <c r="X272" s="391"/>
      <c r="Y272" s="392"/>
      <c r="Z272" s="392">
        <v>143</v>
      </c>
      <c r="AA272" s="392">
        <v>126</v>
      </c>
      <c r="AB272" s="16">
        <v>126</v>
      </c>
      <c r="AC272" s="16"/>
      <c r="AD272" s="16"/>
      <c r="AE272" s="16"/>
      <c r="AF272" s="16"/>
      <c r="AG272" s="16"/>
      <c r="AH272" s="16"/>
      <c r="AI272" s="16">
        <v>6</v>
      </c>
      <c r="AJ272" s="392"/>
      <c r="AK272" s="391"/>
      <c r="AL272" s="25"/>
      <c r="AM272" s="392"/>
      <c r="AN272" s="392"/>
      <c r="AO272" s="392"/>
      <c r="AP272" s="16" t="s">
        <v>5080</v>
      </c>
      <c r="AQ272" s="16" t="s">
        <v>231</v>
      </c>
      <c r="AR272" s="130">
        <v>1404</v>
      </c>
      <c r="AS272" s="130">
        <v>6</v>
      </c>
      <c r="AT272" s="130"/>
      <c r="AU272" s="130"/>
      <c r="AV272" s="12" t="str">
        <f t="shared" si="18"/>
        <v/>
      </c>
      <c r="AW272" s="12" t="str">
        <f t="shared" si="19"/>
        <v/>
      </c>
      <c r="AX272" s="12"/>
      <c r="AY272" s="408"/>
    </row>
    <row r="273" spans="1:51" ht="30" hidden="1" customHeight="1" x14ac:dyDescent="0.2">
      <c r="A273" s="393">
        <v>271</v>
      </c>
      <c r="B273" s="392">
        <v>24</v>
      </c>
      <c r="C273" s="392">
        <v>6</v>
      </c>
      <c r="D273" s="16">
        <v>1404</v>
      </c>
      <c r="E273" s="391" t="s">
        <v>5563</v>
      </c>
      <c r="F273" s="391" t="s">
        <v>8</v>
      </c>
      <c r="G273" s="391" t="s">
        <v>5247</v>
      </c>
      <c r="H273" s="392" t="s">
        <v>7</v>
      </c>
      <c r="I273" s="360" t="s">
        <v>158</v>
      </c>
      <c r="J273" s="16" t="s">
        <v>84</v>
      </c>
      <c r="K273" s="391"/>
      <c r="L273" s="391" t="s">
        <v>223</v>
      </c>
      <c r="M273" s="391" t="s">
        <v>5564</v>
      </c>
      <c r="N273" s="41" t="s">
        <v>69</v>
      </c>
      <c r="O273" s="13" t="s">
        <v>70</v>
      </c>
      <c r="P273" s="13"/>
      <c r="Q273" s="13"/>
      <c r="R273" s="392"/>
      <c r="S273" s="392">
        <v>233</v>
      </c>
      <c r="T273" s="392">
        <v>13</v>
      </c>
      <c r="U273" s="391" t="s">
        <v>5575</v>
      </c>
      <c r="V273" s="41" t="s">
        <v>106</v>
      </c>
      <c r="W273" s="13" t="s">
        <v>107</v>
      </c>
      <c r="X273" s="391"/>
      <c r="Y273" s="392" t="s">
        <v>4400</v>
      </c>
      <c r="Z273" s="392">
        <v>142</v>
      </c>
      <c r="AA273" s="392">
        <v>132</v>
      </c>
      <c r="AB273" s="16">
        <v>132</v>
      </c>
      <c r="AC273" s="16">
        <v>47</v>
      </c>
      <c r="AD273" s="16">
        <v>106</v>
      </c>
      <c r="AE273" s="16">
        <v>1</v>
      </c>
      <c r="AF273" s="16">
        <v>63</v>
      </c>
      <c r="AG273" s="16">
        <v>170</v>
      </c>
      <c r="AH273" s="16">
        <v>6</v>
      </c>
      <c r="AI273" s="16">
        <v>6</v>
      </c>
      <c r="AJ273" s="392"/>
      <c r="AK273" s="391" t="s">
        <v>5565</v>
      </c>
      <c r="AL273" s="25">
        <v>170</v>
      </c>
      <c r="AM273" s="392">
        <v>5.9</v>
      </c>
      <c r="AN273" s="392"/>
      <c r="AO273" s="392"/>
      <c r="AP273" s="16" t="s">
        <v>5080</v>
      </c>
      <c r="AQ273" s="16" t="s">
        <v>112</v>
      </c>
      <c r="AR273" s="130">
        <v>1404</v>
      </c>
      <c r="AS273" s="130">
        <v>6</v>
      </c>
      <c r="AT273" s="130"/>
      <c r="AU273" s="130"/>
      <c r="AV273" s="12" t="str">
        <f t="shared" si="18"/>
        <v/>
      </c>
      <c r="AW273" s="12" t="str">
        <f t="shared" si="19"/>
        <v/>
      </c>
      <c r="AX273" s="12"/>
      <c r="AY273" s="408"/>
    </row>
    <row r="274" spans="1:51" ht="30" hidden="1" customHeight="1" x14ac:dyDescent="0.2">
      <c r="A274" s="393">
        <v>272</v>
      </c>
      <c r="B274" s="392">
        <v>25</v>
      </c>
      <c r="C274" s="392">
        <v>6</v>
      </c>
      <c r="D274" s="16">
        <v>1404</v>
      </c>
      <c r="E274" s="391" t="s">
        <v>5576</v>
      </c>
      <c r="F274" s="391" t="s">
        <v>2981</v>
      </c>
      <c r="G274" s="391" t="s">
        <v>4796</v>
      </c>
      <c r="H274" s="392" t="s">
        <v>83</v>
      </c>
      <c r="I274" s="360" t="s">
        <v>158</v>
      </c>
      <c r="J274" s="16" t="s">
        <v>5577</v>
      </c>
      <c r="K274" s="391"/>
      <c r="L274" s="391" t="s">
        <v>104</v>
      </c>
      <c r="M274" s="391" t="s">
        <v>5581</v>
      </c>
      <c r="N274" s="41" t="s">
        <v>106</v>
      </c>
      <c r="O274" s="13" t="s">
        <v>107</v>
      </c>
      <c r="P274" s="13"/>
      <c r="Q274" s="13"/>
      <c r="R274" s="392"/>
      <c r="S274" s="392">
        <v>293</v>
      </c>
      <c r="T274" s="392">
        <v>14</v>
      </c>
      <c r="U274" s="391" t="s">
        <v>5582</v>
      </c>
      <c r="V274" s="41" t="s">
        <v>106</v>
      </c>
      <c r="W274" s="13" t="s">
        <v>107</v>
      </c>
      <c r="X274" s="391"/>
      <c r="Y274" s="392"/>
      <c r="Z274" s="392"/>
      <c r="AA274" s="392"/>
      <c r="AB274" s="16">
        <v>153</v>
      </c>
      <c r="AC274" s="16"/>
      <c r="AD274" s="16"/>
      <c r="AE274" s="16"/>
      <c r="AF274" s="16"/>
      <c r="AG274" s="16"/>
      <c r="AH274" s="16"/>
      <c r="AI274" s="16"/>
      <c r="AJ274" s="392"/>
      <c r="AK274" s="391"/>
      <c r="AL274" s="25"/>
      <c r="AM274" s="392"/>
      <c r="AN274" s="392"/>
      <c r="AO274" s="392"/>
      <c r="AP274" s="16" t="s">
        <v>5080</v>
      </c>
      <c r="AQ274" s="16" t="s">
        <v>161</v>
      </c>
      <c r="AR274" s="130">
        <v>1404</v>
      </c>
      <c r="AS274" s="130">
        <v>6</v>
      </c>
      <c r="AT274" s="130">
        <v>1399</v>
      </c>
      <c r="AU274" s="130">
        <v>5</v>
      </c>
      <c r="AV274" s="12">
        <f t="shared" si="18"/>
        <v>61</v>
      </c>
      <c r="AW274" s="12" t="str">
        <f t="shared" si="19"/>
        <v/>
      </c>
      <c r="AX274" s="12"/>
      <c r="AY274" s="408"/>
    </row>
    <row r="275" spans="1:51" ht="30" hidden="1" customHeight="1" x14ac:dyDescent="0.2">
      <c r="A275" s="393">
        <v>273</v>
      </c>
      <c r="B275" s="392">
        <v>25</v>
      </c>
      <c r="C275" s="392">
        <v>6</v>
      </c>
      <c r="D275" s="16">
        <v>1404</v>
      </c>
      <c r="E275" s="391" t="s">
        <v>1899</v>
      </c>
      <c r="F275" s="391" t="s">
        <v>2981</v>
      </c>
      <c r="G275" s="391" t="s">
        <v>1587</v>
      </c>
      <c r="H275" s="392" t="s">
        <v>7</v>
      </c>
      <c r="I275" s="360" t="s">
        <v>158</v>
      </c>
      <c r="J275" s="16" t="s">
        <v>3576</v>
      </c>
      <c r="K275" s="391"/>
      <c r="L275" s="391" t="s">
        <v>68</v>
      </c>
      <c r="M275" s="391" t="s">
        <v>5583</v>
      </c>
      <c r="N275" s="41" t="s">
        <v>106</v>
      </c>
      <c r="O275" s="13" t="s">
        <v>107</v>
      </c>
      <c r="P275" s="13"/>
      <c r="Q275" s="13"/>
      <c r="R275" s="392"/>
      <c r="S275" s="392">
        <v>345</v>
      </c>
      <c r="T275" s="392">
        <v>8</v>
      </c>
      <c r="U275" s="391" t="s">
        <v>5584</v>
      </c>
      <c r="V275" s="41" t="s">
        <v>106</v>
      </c>
      <c r="W275" s="13" t="s">
        <v>107</v>
      </c>
      <c r="X275" s="391"/>
      <c r="Y275" s="392"/>
      <c r="Z275" s="392">
        <v>257</v>
      </c>
      <c r="AA275" s="392" t="s">
        <v>3714</v>
      </c>
      <c r="AB275" s="16">
        <v>243</v>
      </c>
      <c r="AC275" s="16">
        <v>93</v>
      </c>
      <c r="AD275" s="16">
        <v>115</v>
      </c>
      <c r="AE275" s="16">
        <v>7</v>
      </c>
      <c r="AF275" s="16">
        <v>40</v>
      </c>
      <c r="AG275" s="16">
        <v>162</v>
      </c>
      <c r="AH275" s="16">
        <v>23</v>
      </c>
      <c r="AI275" s="16">
        <v>6</v>
      </c>
      <c r="AJ275" s="392"/>
      <c r="AK275" s="391" t="s">
        <v>5565</v>
      </c>
      <c r="AL275" s="25">
        <v>162</v>
      </c>
      <c r="AM275" s="392">
        <v>22.5</v>
      </c>
      <c r="AN275" s="392"/>
      <c r="AO275" s="392"/>
      <c r="AP275" s="16" t="s">
        <v>160</v>
      </c>
      <c r="AQ275" s="16" t="s">
        <v>193</v>
      </c>
      <c r="AR275" s="130">
        <v>1404</v>
      </c>
      <c r="AS275" s="130">
        <v>6</v>
      </c>
      <c r="AT275" s="130"/>
      <c r="AU275" s="130"/>
      <c r="AV275" s="12" t="str">
        <f t="shared" si="18"/>
        <v/>
      </c>
      <c r="AW275" s="12" t="str">
        <f t="shared" si="19"/>
        <v/>
      </c>
      <c r="AX275" s="12"/>
      <c r="AY275" s="408"/>
    </row>
    <row r="276" spans="1:51" ht="30" hidden="1" customHeight="1" x14ac:dyDescent="0.2">
      <c r="A276" s="405">
        <v>274</v>
      </c>
      <c r="B276" s="405">
        <v>27</v>
      </c>
      <c r="C276" s="405">
        <v>6</v>
      </c>
      <c r="D276" s="16">
        <v>1404</v>
      </c>
      <c r="E276" s="406" t="s">
        <v>1999</v>
      </c>
      <c r="F276" s="406" t="s">
        <v>10</v>
      </c>
      <c r="G276" s="406" t="s">
        <v>202</v>
      </c>
      <c r="H276" s="405" t="s">
        <v>7</v>
      </c>
      <c r="I276" s="360" t="s">
        <v>158</v>
      </c>
      <c r="J276" s="16" t="s">
        <v>5539</v>
      </c>
      <c r="K276" s="35" t="s">
        <v>117</v>
      </c>
      <c r="L276" s="35" t="s">
        <v>140</v>
      </c>
      <c r="M276" s="406" t="s">
        <v>5578</v>
      </c>
      <c r="N276" s="41" t="s">
        <v>106</v>
      </c>
      <c r="O276" s="13" t="s">
        <v>107</v>
      </c>
      <c r="P276" s="13"/>
      <c r="Q276" s="13"/>
      <c r="R276" s="33" t="s">
        <v>199</v>
      </c>
      <c r="S276" s="33">
        <v>6608</v>
      </c>
      <c r="T276" s="33">
        <v>14</v>
      </c>
      <c r="U276" s="406" t="s">
        <v>5579</v>
      </c>
      <c r="V276" s="41" t="s">
        <v>106</v>
      </c>
      <c r="W276" s="13" t="s">
        <v>107</v>
      </c>
      <c r="X276" s="406"/>
      <c r="Y276" s="405"/>
      <c r="Z276" s="405">
        <v>211</v>
      </c>
      <c r="AA276" s="405">
        <v>192</v>
      </c>
      <c r="AB276" s="16">
        <v>192</v>
      </c>
      <c r="AC276" s="16">
        <v>147</v>
      </c>
      <c r="AD276" s="16">
        <v>173</v>
      </c>
      <c r="AE276" s="16">
        <v>1</v>
      </c>
      <c r="AF276" s="16">
        <v>10</v>
      </c>
      <c r="AG276" s="16">
        <v>184</v>
      </c>
      <c r="AH276" s="16">
        <v>10</v>
      </c>
      <c r="AI276" s="16">
        <v>6</v>
      </c>
      <c r="AJ276" s="405"/>
      <c r="AK276" s="406" t="s">
        <v>5580</v>
      </c>
      <c r="AL276" s="25">
        <v>184</v>
      </c>
      <c r="AM276" s="405">
        <v>10</v>
      </c>
      <c r="AN276" s="405"/>
      <c r="AO276" s="405"/>
      <c r="AP276" s="16" t="s">
        <v>160</v>
      </c>
      <c r="AQ276" s="16" t="s">
        <v>193</v>
      </c>
      <c r="AR276" s="130">
        <v>1404</v>
      </c>
      <c r="AS276" s="130">
        <v>6</v>
      </c>
      <c r="AT276" s="130"/>
      <c r="AU276" s="130"/>
      <c r="AV276" s="12" t="str">
        <f>IF(AR276*AT276&gt;0,(AR276-AT276)*12+(AS276-AU276),"")</f>
        <v/>
      </c>
      <c r="AW276" s="12" t="str">
        <f>IF(AV276&lt;13,AV276,"")</f>
        <v/>
      </c>
      <c r="AX276" s="12"/>
      <c r="AY276" s="408"/>
    </row>
    <row r="277" spans="1:51" ht="30" hidden="1" customHeight="1" x14ac:dyDescent="0.2">
      <c r="A277" s="393">
        <v>275</v>
      </c>
      <c r="B277" s="392">
        <v>27</v>
      </c>
      <c r="C277" s="392">
        <v>6</v>
      </c>
      <c r="D277" s="16">
        <v>1404</v>
      </c>
      <c r="E277" s="391" t="s">
        <v>3037</v>
      </c>
      <c r="F277" s="391" t="s">
        <v>9</v>
      </c>
      <c r="G277" s="391" t="s">
        <v>4796</v>
      </c>
      <c r="H277" s="392" t="s">
        <v>83</v>
      </c>
      <c r="I277" s="360" t="s">
        <v>158</v>
      </c>
      <c r="J277" s="16" t="s">
        <v>84</v>
      </c>
      <c r="K277" s="391"/>
      <c r="L277" s="391" t="s">
        <v>155</v>
      </c>
      <c r="M277" s="391" t="s">
        <v>5588</v>
      </c>
      <c r="N277" s="41" t="s">
        <v>106</v>
      </c>
      <c r="O277" s="13" t="s">
        <v>107</v>
      </c>
      <c r="P277" s="13"/>
      <c r="Q277" s="13"/>
      <c r="R277" s="392"/>
      <c r="S277" s="392">
        <v>345</v>
      </c>
      <c r="T277" s="392">
        <v>10</v>
      </c>
      <c r="U277" s="391" t="s">
        <v>5589</v>
      </c>
      <c r="V277" s="41" t="s">
        <v>106</v>
      </c>
      <c r="W277" s="13" t="s">
        <v>107</v>
      </c>
      <c r="X277" s="391"/>
      <c r="Y277" s="392"/>
      <c r="Z277" s="392">
        <v>240</v>
      </c>
      <c r="AA277" s="392">
        <v>222</v>
      </c>
      <c r="AB277" s="16">
        <v>222</v>
      </c>
      <c r="AC277" s="16"/>
      <c r="AD277" s="16"/>
      <c r="AE277" s="16"/>
      <c r="AF277" s="16"/>
      <c r="AG277" s="16"/>
      <c r="AH277" s="16"/>
      <c r="AI277" s="16">
        <v>6</v>
      </c>
      <c r="AJ277" s="392"/>
      <c r="AK277" s="391"/>
      <c r="AL277" s="25"/>
      <c r="AM277" s="392"/>
      <c r="AN277" s="392"/>
      <c r="AO277" s="392"/>
      <c r="AP277" s="16" t="s">
        <v>160</v>
      </c>
      <c r="AQ277" s="16" t="s">
        <v>165</v>
      </c>
      <c r="AR277" s="130">
        <v>1404</v>
      </c>
      <c r="AS277" s="130">
        <v>6</v>
      </c>
      <c r="AT277" s="130">
        <v>1398</v>
      </c>
      <c r="AU277" s="130">
        <v>3</v>
      </c>
      <c r="AV277" s="12">
        <f t="shared" si="18"/>
        <v>75</v>
      </c>
      <c r="AW277" s="12" t="str">
        <f t="shared" si="19"/>
        <v/>
      </c>
      <c r="AX277" s="12"/>
      <c r="AY277" s="408"/>
    </row>
    <row r="278" spans="1:51" ht="30" hidden="1" customHeight="1" x14ac:dyDescent="0.2">
      <c r="A278" s="393">
        <v>276</v>
      </c>
      <c r="B278" s="392">
        <v>28</v>
      </c>
      <c r="C278" s="392">
        <v>6</v>
      </c>
      <c r="D278" s="16">
        <v>1404</v>
      </c>
      <c r="E278" s="391" t="s">
        <v>1811</v>
      </c>
      <c r="F278" s="391" t="s">
        <v>10</v>
      </c>
      <c r="G278" s="391" t="s">
        <v>5247</v>
      </c>
      <c r="H278" s="392" t="s">
        <v>7</v>
      </c>
      <c r="I278" s="360" t="s">
        <v>158</v>
      </c>
      <c r="J278" s="16" t="s">
        <v>92</v>
      </c>
      <c r="K278" s="391"/>
      <c r="L278" s="391" t="s">
        <v>104</v>
      </c>
      <c r="M278" s="391" t="s">
        <v>5585</v>
      </c>
      <c r="N278" s="41" t="s">
        <v>106</v>
      </c>
      <c r="O278" s="13" t="s">
        <v>107</v>
      </c>
      <c r="P278" s="13"/>
      <c r="Q278" s="13"/>
      <c r="R278" s="33" t="s">
        <v>1613</v>
      </c>
      <c r="S278" s="33">
        <v>6609</v>
      </c>
      <c r="T278" s="33">
        <v>13</v>
      </c>
      <c r="U278" s="391" t="s">
        <v>5586</v>
      </c>
      <c r="V278" s="41" t="s">
        <v>69</v>
      </c>
      <c r="W278" s="13" t="s">
        <v>70</v>
      </c>
      <c r="X278" s="391"/>
      <c r="Y278" s="392" t="s">
        <v>5446</v>
      </c>
      <c r="Z278" s="392">
        <v>232</v>
      </c>
      <c r="AA278" s="392">
        <v>216</v>
      </c>
      <c r="AB278" s="16">
        <v>216</v>
      </c>
      <c r="AC278" s="16">
        <v>116</v>
      </c>
      <c r="AD278" s="16">
        <v>137</v>
      </c>
      <c r="AE278" s="16">
        <v>3</v>
      </c>
      <c r="AF278" s="16">
        <v>25</v>
      </c>
      <c r="AG278" s="16">
        <v>165</v>
      </c>
      <c r="AH278" s="16">
        <v>16.66</v>
      </c>
      <c r="AI278" s="16">
        <v>6</v>
      </c>
      <c r="AJ278" s="392"/>
      <c r="AK278" s="391" t="s">
        <v>5587</v>
      </c>
      <c r="AL278" s="25">
        <v>165</v>
      </c>
      <c r="AM278" s="392">
        <v>16.66</v>
      </c>
      <c r="AN278" s="392"/>
      <c r="AO278" s="392"/>
      <c r="AP278" s="16" t="s">
        <v>160</v>
      </c>
      <c r="AQ278" s="16" t="s">
        <v>193</v>
      </c>
      <c r="AR278" s="130">
        <v>1404</v>
      </c>
      <c r="AS278" s="130">
        <v>6</v>
      </c>
      <c r="AT278" s="130"/>
      <c r="AU278" s="130"/>
      <c r="AV278" s="12" t="str">
        <f t="shared" si="18"/>
        <v/>
      </c>
      <c r="AW278" s="12" t="str">
        <f t="shared" si="19"/>
        <v/>
      </c>
      <c r="AX278" s="12"/>
      <c r="AY278" s="408"/>
    </row>
    <row r="279" spans="1:51" ht="30" hidden="1" customHeight="1" x14ac:dyDescent="0.2">
      <c r="A279" s="393">
        <v>277</v>
      </c>
      <c r="B279" s="392">
        <v>29</v>
      </c>
      <c r="C279" s="392">
        <v>6</v>
      </c>
      <c r="D279" s="16">
        <v>1404</v>
      </c>
      <c r="E279" s="391" t="s">
        <v>5593</v>
      </c>
      <c r="F279" s="391" t="s">
        <v>6</v>
      </c>
      <c r="G279" s="391" t="s">
        <v>1587</v>
      </c>
      <c r="H279" s="392" t="s">
        <v>7</v>
      </c>
      <c r="I279" s="414" t="s">
        <v>1851</v>
      </c>
      <c r="J279" s="16" t="s">
        <v>84</v>
      </c>
      <c r="K279" s="391"/>
      <c r="L279" s="391" t="s">
        <v>155</v>
      </c>
      <c r="M279" s="391" t="s">
        <v>5592</v>
      </c>
      <c r="N279" s="41" t="s">
        <v>69</v>
      </c>
      <c r="O279" s="13" t="s">
        <v>70</v>
      </c>
      <c r="P279" s="13"/>
      <c r="Q279" s="13"/>
      <c r="R279" s="392" t="s">
        <v>4420</v>
      </c>
      <c r="S279" s="392">
        <v>345</v>
      </c>
      <c r="T279" s="392">
        <v>10</v>
      </c>
      <c r="U279" s="391" t="s">
        <v>5692</v>
      </c>
      <c r="V279" s="41" t="s">
        <v>106</v>
      </c>
      <c r="W279" s="13" t="s">
        <v>107</v>
      </c>
      <c r="X279" s="391"/>
      <c r="Y279" s="392"/>
      <c r="Z279" s="392">
        <v>240</v>
      </c>
      <c r="AA279" s="392">
        <v>222</v>
      </c>
      <c r="AB279" s="16">
        <v>222130</v>
      </c>
      <c r="AC279" s="16">
        <v>130</v>
      </c>
      <c r="AD279" s="16">
        <v>145</v>
      </c>
      <c r="AE279" s="16">
        <v>5</v>
      </c>
      <c r="AF279" s="16">
        <v>60</v>
      </c>
      <c r="AG279" s="16">
        <v>210</v>
      </c>
      <c r="AH279" s="16">
        <v>21</v>
      </c>
      <c r="AI279" s="16">
        <v>6</v>
      </c>
      <c r="AJ279" s="392"/>
      <c r="AK279" s="391" t="s">
        <v>5590</v>
      </c>
      <c r="AL279" s="25">
        <v>210</v>
      </c>
      <c r="AM279" s="392">
        <v>21</v>
      </c>
      <c r="AN279" s="392"/>
      <c r="AO279" s="392"/>
      <c r="AP279" s="16" t="s">
        <v>160</v>
      </c>
      <c r="AQ279" s="16" t="s">
        <v>165</v>
      </c>
      <c r="AR279" s="130">
        <v>1404</v>
      </c>
      <c r="AS279" s="130">
        <v>6</v>
      </c>
      <c r="AT279" s="130"/>
      <c r="AU279" s="130"/>
      <c r="AV279" s="12" t="str">
        <f t="shared" si="18"/>
        <v/>
      </c>
      <c r="AW279" s="12" t="str">
        <f t="shared" si="19"/>
        <v/>
      </c>
      <c r="AX279" s="12"/>
      <c r="AY279" s="408" t="s">
        <v>5591</v>
      </c>
    </row>
    <row r="280" spans="1:51" ht="30" hidden="1" customHeight="1" x14ac:dyDescent="0.2">
      <c r="A280" s="393">
        <v>278</v>
      </c>
      <c r="B280" s="392">
        <v>30</v>
      </c>
      <c r="C280" s="392">
        <v>6</v>
      </c>
      <c r="D280" s="16">
        <v>1404</v>
      </c>
      <c r="E280" s="391" t="s">
        <v>5558</v>
      </c>
      <c r="F280" s="391" t="s">
        <v>9</v>
      </c>
      <c r="G280" s="391" t="s">
        <v>4796</v>
      </c>
      <c r="H280" s="392" t="s">
        <v>7</v>
      </c>
      <c r="I280" s="360" t="s">
        <v>158</v>
      </c>
      <c r="J280" s="16" t="s">
        <v>92</v>
      </c>
      <c r="K280" s="35" t="s">
        <v>68</v>
      </c>
      <c r="L280" s="35" t="s">
        <v>117</v>
      </c>
      <c r="M280" s="391" t="s">
        <v>5594</v>
      </c>
      <c r="N280" s="41" t="s">
        <v>106</v>
      </c>
      <c r="O280" s="13" t="s">
        <v>107</v>
      </c>
      <c r="P280" s="13"/>
      <c r="Q280" s="13"/>
      <c r="R280" s="33" t="s">
        <v>1727</v>
      </c>
      <c r="S280" s="33">
        <v>6608</v>
      </c>
      <c r="T280" s="33">
        <v>15</v>
      </c>
      <c r="U280" s="391" t="s">
        <v>5595</v>
      </c>
      <c r="V280" s="41" t="s">
        <v>106</v>
      </c>
      <c r="W280" s="13" t="s">
        <v>107</v>
      </c>
      <c r="X280" s="391"/>
      <c r="Y280" s="392"/>
      <c r="Z280" s="392">
        <v>182</v>
      </c>
      <c r="AA280" s="392">
        <v>168</v>
      </c>
      <c r="AB280" s="16">
        <v>168</v>
      </c>
      <c r="AC280" s="16">
        <v>134</v>
      </c>
      <c r="AD280" s="16">
        <v>146</v>
      </c>
      <c r="AE280" s="16">
        <v>2</v>
      </c>
      <c r="AF280" s="16">
        <v>6</v>
      </c>
      <c r="AG280" s="16">
        <v>154</v>
      </c>
      <c r="AH280" s="16">
        <v>12</v>
      </c>
      <c r="AI280" s="16">
        <v>6</v>
      </c>
      <c r="AJ280" s="392"/>
      <c r="AK280" s="391" t="s">
        <v>5596</v>
      </c>
      <c r="AL280" s="25">
        <v>154</v>
      </c>
      <c r="AM280" s="392">
        <v>12.2</v>
      </c>
      <c r="AN280" s="392"/>
      <c r="AO280" s="392"/>
      <c r="AP280" s="16" t="s">
        <v>5080</v>
      </c>
      <c r="AQ280" s="16" t="s">
        <v>161</v>
      </c>
      <c r="AR280" s="130">
        <v>1404</v>
      </c>
      <c r="AS280" s="130">
        <v>6</v>
      </c>
      <c r="AT280" s="130"/>
      <c r="AU280" s="130"/>
      <c r="AV280" s="12" t="str">
        <f t="shared" si="18"/>
        <v/>
      </c>
      <c r="AW280" s="12" t="str">
        <f t="shared" si="19"/>
        <v/>
      </c>
      <c r="AX280" s="12"/>
      <c r="AY280" s="408"/>
    </row>
    <row r="281" spans="1:51" ht="30" hidden="1" customHeight="1" x14ac:dyDescent="0.2">
      <c r="A281" s="393">
        <v>279</v>
      </c>
      <c r="B281" s="392">
        <v>1</v>
      </c>
      <c r="C281" s="392">
        <v>7</v>
      </c>
      <c r="D281" s="16">
        <v>1404</v>
      </c>
      <c r="E281" s="391" t="s">
        <v>503</v>
      </c>
      <c r="F281" s="391" t="s">
        <v>9</v>
      </c>
      <c r="G281" s="391" t="s">
        <v>5600</v>
      </c>
      <c r="H281" s="392" t="s">
        <v>7</v>
      </c>
      <c r="I281" s="360" t="s">
        <v>158</v>
      </c>
      <c r="J281" s="16" t="s">
        <v>5539</v>
      </c>
      <c r="K281" s="35" t="s">
        <v>155</v>
      </c>
      <c r="L281" s="35" t="s">
        <v>104</v>
      </c>
      <c r="M281" s="391" t="s">
        <v>5597</v>
      </c>
      <c r="N281" s="41" t="s">
        <v>69</v>
      </c>
      <c r="O281" s="13" t="s">
        <v>70</v>
      </c>
      <c r="P281" s="13"/>
      <c r="Q281" s="13"/>
      <c r="R281" s="33" t="s">
        <v>156</v>
      </c>
      <c r="S281" s="33">
        <v>6609</v>
      </c>
      <c r="T281" s="33">
        <v>15</v>
      </c>
      <c r="U281" s="391" t="s">
        <v>5598</v>
      </c>
      <c r="V281" s="41" t="s">
        <v>106</v>
      </c>
      <c r="W281" s="13" t="s">
        <v>107</v>
      </c>
      <c r="X281" s="391"/>
      <c r="Y281" s="392"/>
      <c r="Z281" s="392">
        <v>223</v>
      </c>
      <c r="AA281" s="392"/>
      <c r="AB281" s="16">
        <v>210</v>
      </c>
      <c r="AC281" s="16">
        <v>156</v>
      </c>
      <c r="AD281" s="16">
        <v>175</v>
      </c>
      <c r="AE281" s="16">
        <v>2</v>
      </c>
      <c r="AF281" s="16">
        <v>45</v>
      </c>
      <c r="AG281" s="16">
        <v>222</v>
      </c>
      <c r="AH281" s="16">
        <v>14</v>
      </c>
      <c r="AI281" s="16">
        <v>6</v>
      </c>
      <c r="AJ281" s="392"/>
      <c r="AK281" s="391" t="s">
        <v>5599</v>
      </c>
      <c r="AL281" s="25">
        <v>222</v>
      </c>
      <c r="AM281" s="392">
        <v>14</v>
      </c>
      <c r="AN281" s="392"/>
      <c r="AO281" s="392"/>
      <c r="AP281" s="16" t="s">
        <v>160</v>
      </c>
      <c r="AQ281" s="16" t="s">
        <v>165</v>
      </c>
      <c r="AR281" s="130">
        <v>1404</v>
      </c>
      <c r="AS281" s="130">
        <v>7</v>
      </c>
      <c r="AT281" s="130"/>
      <c r="AU281" s="130"/>
      <c r="AV281" s="12" t="str">
        <f t="shared" si="18"/>
        <v/>
      </c>
      <c r="AW281" s="12" t="str">
        <f t="shared" si="19"/>
        <v/>
      </c>
      <c r="AX281" s="12"/>
      <c r="AY281" s="408"/>
    </row>
    <row r="282" spans="1:51" ht="30" hidden="1" customHeight="1" x14ac:dyDescent="0.2">
      <c r="A282" s="393">
        <v>280</v>
      </c>
      <c r="B282" s="392">
        <v>2</v>
      </c>
      <c r="C282" s="392">
        <v>7</v>
      </c>
      <c r="D282" s="16">
        <v>1404</v>
      </c>
      <c r="E282" s="391" t="s">
        <v>1431</v>
      </c>
      <c r="F282" s="391" t="s">
        <v>6</v>
      </c>
      <c r="G282" s="391" t="s">
        <v>202</v>
      </c>
      <c r="H282" s="392" t="s">
        <v>83</v>
      </c>
      <c r="I282" s="360" t="s">
        <v>158</v>
      </c>
      <c r="J282" s="16" t="s">
        <v>84</v>
      </c>
      <c r="K282" s="391"/>
      <c r="L282" s="391" t="s">
        <v>68</v>
      </c>
      <c r="M282" s="391"/>
      <c r="N282" s="41" t="s">
        <v>106</v>
      </c>
      <c r="O282" s="13" t="s">
        <v>107</v>
      </c>
      <c r="P282" s="13"/>
      <c r="Q282" s="13"/>
      <c r="R282" s="392"/>
      <c r="S282" s="392">
        <v>345</v>
      </c>
      <c r="T282" s="392">
        <v>8</v>
      </c>
      <c r="U282" s="391"/>
      <c r="V282" s="41" t="s">
        <v>106</v>
      </c>
      <c r="W282" s="13" t="s">
        <v>107</v>
      </c>
      <c r="X282" s="391"/>
      <c r="Y282" s="392" t="s">
        <v>5726</v>
      </c>
      <c r="Z282" s="392">
        <v>244</v>
      </c>
      <c r="AA282" s="392">
        <v>237</v>
      </c>
      <c r="AB282" s="16">
        <v>237</v>
      </c>
      <c r="AC282" s="16"/>
      <c r="AD282" s="16"/>
      <c r="AE282" s="16"/>
      <c r="AF282" s="16"/>
      <c r="AG282" s="16"/>
      <c r="AH282" s="16"/>
      <c r="AI282" s="16">
        <v>6</v>
      </c>
      <c r="AJ282" s="392"/>
      <c r="AK282" s="391"/>
      <c r="AL282" s="25"/>
      <c r="AM282" s="392"/>
      <c r="AN282" s="392"/>
      <c r="AO282" s="392"/>
      <c r="AP282" s="16" t="s">
        <v>160</v>
      </c>
      <c r="AQ282" s="16" t="s">
        <v>193</v>
      </c>
      <c r="AR282" s="130">
        <v>1404</v>
      </c>
      <c r="AS282" s="130">
        <v>7</v>
      </c>
      <c r="AT282" s="130">
        <v>1402</v>
      </c>
      <c r="AU282" s="130">
        <v>8</v>
      </c>
      <c r="AV282" s="12">
        <f t="shared" si="18"/>
        <v>23</v>
      </c>
      <c r="AW282" s="12" t="str">
        <f t="shared" si="19"/>
        <v/>
      </c>
      <c r="AX282" s="12"/>
      <c r="AY282" s="408"/>
    </row>
    <row r="283" spans="1:51" ht="30" hidden="1" customHeight="1" x14ac:dyDescent="0.2">
      <c r="A283" s="393">
        <v>281</v>
      </c>
      <c r="B283" s="392">
        <v>3</v>
      </c>
      <c r="C283" s="392">
        <v>7</v>
      </c>
      <c r="D283" s="16">
        <v>1404</v>
      </c>
      <c r="E283" s="391" t="s">
        <v>5601</v>
      </c>
      <c r="F283" s="391" t="s">
        <v>6</v>
      </c>
      <c r="G283" s="391" t="s">
        <v>5608</v>
      </c>
      <c r="H283" s="392" t="s">
        <v>7</v>
      </c>
      <c r="I283" s="360" t="s">
        <v>158</v>
      </c>
      <c r="J283" s="16" t="s">
        <v>84</v>
      </c>
      <c r="K283" s="391" t="s">
        <v>155</v>
      </c>
      <c r="L283" s="391" t="s">
        <v>68</v>
      </c>
      <c r="M283" s="391" t="s">
        <v>5602</v>
      </c>
      <c r="N283" s="41" t="s">
        <v>106</v>
      </c>
      <c r="O283" s="13" t="s">
        <v>107</v>
      </c>
      <c r="P283" s="13"/>
      <c r="Q283" s="13"/>
      <c r="R283" s="33" t="s">
        <v>167</v>
      </c>
      <c r="S283" s="33">
        <v>293</v>
      </c>
      <c r="T283" s="33">
        <v>14</v>
      </c>
      <c r="U283" s="391" t="s">
        <v>5603</v>
      </c>
      <c r="V283" s="41" t="s">
        <v>106</v>
      </c>
      <c r="W283" s="13" t="s">
        <v>107</v>
      </c>
      <c r="X283" s="391"/>
      <c r="Y283" s="392"/>
      <c r="Z283" s="392">
        <v>243</v>
      </c>
      <c r="AA283" s="392">
        <v>228</v>
      </c>
      <c r="AB283" s="16">
        <v>228</v>
      </c>
      <c r="AC283" s="16">
        <v>156.4</v>
      </c>
      <c r="AD283" s="16">
        <v>174</v>
      </c>
      <c r="AE283" s="16">
        <v>2</v>
      </c>
      <c r="AF283" s="16">
        <v>25</v>
      </c>
      <c r="AG283" s="16">
        <v>201</v>
      </c>
      <c r="AH283" s="16">
        <v>15</v>
      </c>
      <c r="AI283" s="16">
        <v>6</v>
      </c>
      <c r="AJ283" s="392"/>
      <c r="AK283" s="391" t="s">
        <v>5604</v>
      </c>
      <c r="AL283" s="25">
        <v>201</v>
      </c>
      <c r="AM283" s="392">
        <v>13.8</v>
      </c>
      <c r="AN283" s="392"/>
      <c r="AO283" s="392"/>
      <c r="AP283" s="16" t="s">
        <v>160</v>
      </c>
      <c r="AQ283" s="16" t="s">
        <v>165</v>
      </c>
      <c r="AR283" s="130">
        <v>1404</v>
      </c>
      <c r="AS283" s="130">
        <v>7</v>
      </c>
      <c r="AT283" s="130"/>
      <c r="AU283" s="130"/>
      <c r="AV283" s="12" t="str">
        <f t="shared" si="18"/>
        <v/>
      </c>
      <c r="AW283" s="12" t="str">
        <f t="shared" si="19"/>
        <v/>
      </c>
      <c r="AX283" s="12"/>
      <c r="AY283" s="408"/>
    </row>
    <row r="284" spans="1:51" ht="30" hidden="1" customHeight="1" x14ac:dyDescent="0.2">
      <c r="A284" s="393">
        <v>282</v>
      </c>
      <c r="B284" s="392">
        <v>3</v>
      </c>
      <c r="C284" s="392">
        <v>7</v>
      </c>
      <c r="D284" s="16">
        <v>1404</v>
      </c>
      <c r="E284" s="391" t="s">
        <v>5605</v>
      </c>
      <c r="F284" s="391" t="s">
        <v>2981</v>
      </c>
      <c r="G284" s="391" t="s">
        <v>5609</v>
      </c>
      <c r="H284" s="392" t="s">
        <v>7</v>
      </c>
      <c r="I284" s="360" t="s">
        <v>158</v>
      </c>
      <c r="J284" s="16" t="s">
        <v>5539</v>
      </c>
      <c r="K284" s="391"/>
      <c r="L284" s="391" t="s">
        <v>104</v>
      </c>
      <c r="M284" s="391" t="s">
        <v>5606</v>
      </c>
      <c r="N284" s="41" t="s">
        <v>106</v>
      </c>
      <c r="O284" s="13" t="s">
        <v>107</v>
      </c>
      <c r="P284" s="13"/>
      <c r="Q284" s="13"/>
      <c r="R284" s="33" t="s">
        <v>305</v>
      </c>
      <c r="S284" s="33">
        <v>6608</v>
      </c>
      <c r="T284" s="33">
        <v>18</v>
      </c>
      <c r="U284" s="391" t="s">
        <v>5607</v>
      </c>
      <c r="V284" s="41" t="s">
        <v>106</v>
      </c>
      <c r="W284" s="13" t="s">
        <v>107</v>
      </c>
      <c r="X284" s="391"/>
      <c r="Y284" s="392"/>
      <c r="Z284" s="392">
        <v>168</v>
      </c>
      <c r="AA284" s="392">
        <v>153</v>
      </c>
      <c r="AB284" s="16">
        <v>153</v>
      </c>
      <c r="AC284" s="16">
        <v>61</v>
      </c>
      <c r="AD284" s="16">
        <v>98</v>
      </c>
      <c r="AE284" s="16">
        <v>2</v>
      </c>
      <c r="AF284" s="16">
        <v>100</v>
      </c>
      <c r="AG284" s="16">
        <v>200</v>
      </c>
      <c r="AH284" s="16">
        <v>11</v>
      </c>
      <c r="AI284" s="16">
        <v>6</v>
      </c>
      <c r="AJ284" s="392"/>
      <c r="AK284" s="391" t="s">
        <v>5604</v>
      </c>
      <c r="AL284" s="25">
        <v>200</v>
      </c>
      <c r="AM284" s="392">
        <v>10.8</v>
      </c>
      <c r="AN284" s="392"/>
      <c r="AO284" s="392"/>
      <c r="AP284" s="16" t="s">
        <v>160</v>
      </c>
      <c r="AQ284" s="16" t="s">
        <v>161</v>
      </c>
      <c r="AR284" s="130">
        <v>1404</v>
      </c>
      <c r="AS284" s="130">
        <v>7</v>
      </c>
      <c r="AT284" s="130"/>
      <c r="AU284" s="130"/>
      <c r="AV284" s="12" t="str">
        <f t="shared" si="18"/>
        <v/>
      </c>
      <c r="AW284" s="12" t="str">
        <f t="shared" si="19"/>
        <v/>
      </c>
      <c r="AX284" s="12"/>
      <c r="AY284" s="408"/>
    </row>
    <row r="285" spans="1:51" ht="30" hidden="1" customHeight="1" x14ac:dyDescent="0.2">
      <c r="A285" s="393">
        <v>283</v>
      </c>
      <c r="B285" s="392">
        <v>5</v>
      </c>
      <c r="C285" s="392">
        <v>7</v>
      </c>
      <c r="D285" s="16">
        <v>1404</v>
      </c>
      <c r="E285" s="391" t="s">
        <v>5610</v>
      </c>
      <c r="F285" s="391" t="s">
        <v>2981</v>
      </c>
      <c r="G285" s="391" t="s">
        <v>4796</v>
      </c>
      <c r="H285" s="392" t="s">
        <v>83</v>
      </c>
      <c r="I285" s="360" t="s">
        <v>158</v>
      </c>
      <c r="J285" s="16" t="s">
        <v>92</v>
      </c>
      <c r="K285" s="391"/>
      <c r="L285" s="391" t="s">
        <v>117</v>
      </c>
      <c r="M285" s="391" t="s">
        <v>3741</v>
      </c>
      <c r="N285" s="41" t="s">
        <v>106</v>
      </c>
      <c r="O285" s="13" t="s">
        <v>107</v>
      </c>
      <c r="P285" s="13"/>
      <c r="Q285" s="13"/>
      <c r="R285" s="392"/>
      <c r="S285" s="392">
        <v>345</v>
      </c>
      <c r="T285" s="392">
        <v>6</v>
      </c>
      <c r="U285" s="407" t="s">
        <v>5375</v>
      </c>
      <c r="V285" s="41" t="s">
        <v>106</v>
      </c>
      <c r="W285" s="13" t="s">
        <v>107</v>
      </c>
      <c r="X285" s="391"/>
      <c r="Y285" s="392" t="s">
        <v>5334</v>
      </c>
      <c r="Z285" s="392">
        <v>245</v>
      </c>
      <c r="AA285" s="392">
        <v>234</v>
      </c>
      <c r="AB285" s="16">
        <v>234</v>
      </c>
      <c r="AC285" s="16"/>
      <c r="AD285" s="16"/>
      <c r="AE285" s="16"/>
      <c r="AF285" s="16"/>
      <c r="AG285" s="16"/>
      <c r="AH285" s="16"/>
      <c r="AI285" s="16">
        <v>6</v>
      </c>
      <c r="AJ285" s="392"/>
      <c r="AK285" s="391"/>
      <c r="AL285" s="25"/>
      <c r="AM285" s="392"/>
      <c r="AN285" s="392"/>
      <c r="AO285" s="392"/>
      <c r="AP285" s="16" t="s">
        <v>160</v>
      </c>
      <c r="AQ285" s="16" t="s">
        <v>193</v>
      </c>
      <c r="AR285" s="130">
        <v>1404</v>
      </c>
      <c r="AS285" s="130">
        <v>7</v>
      </c>
      <c r="AT285" s="130">
        <v>1404</v>
      </c>
      <c r="AU285" s="130">
        <v>4</v>
      </c>
      <c r="AV285" s="12">
        <f t="shared" si="18"/>
        <v>3</v>
      </c>
      <c r="AW285" s="12">
        <f t="shared" si="19"/>
        <v>3</v>
      </c>
      <c r="AX285" s="12"/>
      <c r="AY285" s="408"/>
    </row>
    <row r="286" spans="1:51" ht="30" hidden="1" customHeight="1" x14ac:dyDescent="0.2">
      <c r="A286" s="393">
        <v>284</v>
      </c>
      <c r="B286" s="392">
        <v>5</v>
      </c>
      <c r="C286" s="392">
        <v>7</v>
      </c>
      <c r="D286" s="16">
        <v>1404</v>
      </c>
      <c r="E286" s="391" t="s">
        <v>557</v>
      </c>
      <c r="F286" s="391" t="s">
        <v>66</v>
      </c>
      <c r="G286" s="391"/>
      <c r="H286" s="392" t="s">
        <v>7</v>
      </c>
      <c r="I286" s="360" t="s">
        <v>158</v>
      </c>
      <c r="J286" s="16" t="s">
        <v>84</v>
      </c>
      <c r="K286" s="391"/>
      <c r="L286" s="391" t="s">
        <v>334</v>
      </c>
      <c r="M286" s="391" t="s">
        <v>5611</v>
      </c>
      <c r="N286" s="41" t="s">
        <v>262</v>
      </c>
      <c r="O286" s="13" t="s">
        <v>70</v>
      </c>
      <c r="P286" s="13"/>
      <c r="Q286" s="13"/>
      <c r="R286" s="392" t="s">
        <v>3714</v>
      </c>
      <c r="S286" s="392">
        <v>6608</v>
      </c>
      <c r="T286" s="392">
        <v>12</v>
      </c>
      <c r="U286" s="391" t="s">
        <v>5612</v>
      </c>
      <c r="V286" s="41" t="s">
        <v>262</v>
      </c>
      <c r="W286" s="13" t="s">
        <v>70</v>
      </c>
      <c r="X286" s="391"/>
      <c r="Y286" s="392" t="s">
        <v>5419</v>
      </c>
      <c r="Z286" s="392">
        <v>227</v>
      </c>
      <c r="AA286" s="392"/>
      <c r="AB286" s="16">
        <v>216</v>
      </c>
      <c r="AC286" s="16"/>
      <c r="AD286" s="16"/>
      <c r="AE286" s="16"/>
      <c r="AF286" s="16"/>
      <c r="AG286" s="16"/>
      <c r="AH286" s="16"/>
      <c r="AI286" s="16">
        <v>4</v>
      </c>
      <c r="AJ286" s="392"/>
      <c r="AK286" s="391" t="s">
        <v>5419</v>
      </c>
      <c r="AL286" s="25"/>
      <c r="AM286" s="392"/>
      <c r="AN286" s="392"/>
      <c r="AO286" s="392"/>
      <c r="AP286" s="16"/>
      <c r="AQ286" s="16"/>
      <c r="AR286" s="130">
        <v>1404</v>
      </c>
      <c r="AS286" s="130">
        <v>7</v>
      </c>
      <c r="AT286" s="130"/>
      <c r="AU286" s="130"/>
      <c r="AV286" s="12" t="str">
        <f t="shared" si="18"/>
        <v/>
      </c>
      <c r="AW286" s="12" t="str">
        <f t="shared" si="19"/>
        <v/>
      </c>
      <c r="AX286" s="12"/>
      <c r="AY286" s="408" t="s">
        <v>5626</v>
      </c>
    </row>
    <row r="287" spans="1:51" ht="30" hidden="1" customHeight="1" x14ac:dyDescent="0.2">
      <c r="A287" s="393">
        <v>285</v>
      </c>
      <c r="B287" s="392">
        <v>6</v>
      </c>
      <c r="C287" s="392">
        <v>7</v>
      </c>
      <c r="D287" s="16">
        <v>1404</v>
      </c>
      <c r="E287" s="391" t="s">
        <v>562</v>
      </c>
      <c r="F287" s="391" t="s">
        <v>2981</v>
      </c>
      <c r="G287" s="391" t="s">
        <v>5608</v>
      </c>
      <c r="H287" s="392" t="s">
        <v>83</v>
      </c>
      <c r="I287" s="360" t="s">
        <v>158</v>
      </c>
      <c r="J287" s="16" t="s">
        <v>5539</v>
      </c>
      <c r="K287" s="391" t="s">
        <v>3714</v>
      </c>
      <c r="L287" s="391" t="s">
        <v>104</v>
      </c>
      <c r="M287" s="391"/>
      <c r="N287" s="41" t="s">
        <v>106</v>
      </c>
      <c r="O287" s="13" t="s">
        <v>107</v>
      </c>
      <c r="P287" s="13"/>
      <c r="Q287" s="13"/>
      <c r="R287" s="392" t="s">
        <v>3714</v>
      </c>
      <c r="S287" s="392">
        <v>384</v>
      </c>
      <c r="T287" s="392">
        <v>7</v>
      </c>
      <c r="U287" s="391"/>
      <c r="V287" s="41" t="s">
        <v>106</v>
      </c>
      <c r="W287" s="13" t="s">
        <v>107</v>
      </c>
      <c r="X287" s="391"/>
      <c r="Y287" s="392" t="s">
        <v>5613</v>
      </c>
      <c r="Z287" s="392"/>
      <c r="AA287" s="392">
        <v>210</v>
      </c>
      <c r="AB287" s="16"/>
      <c r="AC287" s="16"/>
      <c r="AD287" s="16"/>
      <c r="AE287" s="16"/>
      <c r="AF287" s="16"/>
      <c r="AG287" s="16"/>
      <c r="AH287" s="16"/>
      <c r="AI287" s="16">
        <v>6</v>
      </c>
      <c r="AJ287" s="392"/>
      <c r="AK287" s="391"/>
      <c r="AL287" s="25"/>
      <c r="AM287" s="392"/>
      <c r="AN287" s="392"/>
      <c r="AO287" s="392"/>
      <c r="AP287" s="16" t="s">
        <v>5080</v>
      </c>
      <c r="AQ287" s="16" t="s">
        <v>161</v>
      </c>
      <c r="AR287" s="130">
        <v>1404</v>
      </c>
      <c r="AS287" s="130">
        <v>7</v>
      </c>
      <c r="AT287" s="130">
        <v>1403</v>
      </c>
      <c r="AU287" s="130">
        <v>12</v>
      </c>
      <c r="AV287" s="12">
        <f t="shared" si="18"/>
        <v>7</v>
      </c>
      <c r="AW287" s="12">
        <f t="shared" si="19"/>
        <v>7</v>
      </c>
      <c r="AX287" s="12"/>
      <c r="AY287" s="408"/>
    </row>
    <row r="288" spans="1:51" ht="30" hidden="1" customHeight="1" x14ac:dyDescent="0.2">
      <c r="A288" s="393">
        <v>286</v>
      </c>
      <c r="B288" s="392">
        <v>7</v>
      </c>
      <c r="C288" s="392">
        <v>7</v>
      </c>
      <c r="D288" s="16">
        <v>1404</v>
      </c>
      <c r="E288" s="391" t="s">
        <v>5610</v>
      </c>
      <c r="F288" s="391" t="s">
        <v>2981</v>
      </c>
      <c r="G288" s="391"/>
      <c r="H288" s="392" t="s">
        <v>7</v>
      </c>
      <c r="I288" s="360" t="s">
        <v>158</v>
      </c>
      <c r="J288" s="16" t="s">
        <v>92</v>
      </c>
      <c r="K288" s="391"/>
      <c r="L288" s="391" t="s">
        <v>104</v>
      </c>
      <c r="M288" s="391" t="s">
        <v>3741</v>
      </c>
      <c r="N288" s="41" t="s">
        <v>106</v>
      </c>
      <c r="O288" s="13" t="s">
        <v>107</v>
      </c>
      <c r="P288" s="13"/>
      <c r="Q288" s="13"/>
      <c r="R288" s="392"/>
      <c r="S288" s="392">
        <v>384</v>
      </c>
      <c r="T288" s="392">
        <v>7</v>
      </c>
      <c r="U288" s="391" t="s">
        <v>5614</v>
      </c>
      <c r="V288" s="41" t="s">
        <v>106</v>
      </c>
      <c r="W288" s="13" t="s">
        <v>107</v>
      </c>
      <c r="X288" s="391"/>
      <c r="Y288" s="392"/>
      <c r="Z288" s="392">
        <v>245</v>
      </c>
      <c r="AA288" s="392">
        <v>234</v>
      </c>
      <c r="AB288" s="16">
        <v>234</v>
      </c>
      <c r="AC288" s="16">
        <v>68</v>
      </c>
      <c r="AD288" s="16">
        <v>146</v>
      </c>
      <c r="AE288" s="16">
        <v>4</v>
      </c>
      <c r="AF288" s="16">
        <v>20</v>
      </c>
      <c r="AG288" s="16">
        <v>170</v>
      </c>
      <c r="AH288" s="16">
        <v>18</v>
      </c>
      <c r="AI288" s="16">
        <v>6</v>
      </c>
      <c r="AJ288" s="392"/>
      <c r="AK288" s="391" t="s">
        <v>5615</v>
      </c>
      <c r="AL288" s="25">
        <v>170</v>
      </c>
      <c r="AM288" s="392">
        <v>18</v>
      </c>
      <c r="AN288" s="392"/>
      <c r="AO288" s="392"/>
      <c r="AP288" s="16" t="s">
        <v>160</v>
      </c>
      <c r="AQ288" s="16" t="s">
        <v>193</v>
      </c>
      <c r="AR288" s="130">
        <v>1404</v>
      </c>
      <c r="AS288" s="130">
        <v>7</v>
      </c>
      <c r="AT288" s="130"/>
      <c r="AU288" s="130"/>
      <c r="AV288" s="12" t="str">
        <f t="shared" si="18"/>
        <v/>
      </c>
      <c r="AW288" s="12" t="str">
        <f t="shared" si="19"/>
        <v/>
      </c>
      <c r="AX288" s="12"/>
      <c r="AY288" s="408"/>
    </row>
    <row r="289" spans="1:51" s="21" customFormat="1" ht="30" hidden="1" customHeight="1" x14ac:dyDescent="0.2">
      <c r="A289" s="20">
        <v>287</v>
      </c>
      <c r="B289" s="20">
        <v>7</v>
      </c>
      <c r="C289" s="20">
        <v>7</v>
      </c>
      <c r="D289" s="29">
        <v>1404</v>
      </c>
      <c r="E289" s="30" t="s">
        <v>557</v>
      </c>
      <c r="F289" s="30" t="s">
        <v>66</v>
      </c>
      <c r="G289" s="30"/>
      <c r="H289" s="20" t="s">
        <v>83</v>
      </c>
      <c r="I289" s="360" t="s">
        <v>158</v>
      </c>
      <c r="J289" s="29" t="s">
        <v>84</v>
      </c>
      <c r="K289" s="30"/>
      <c r="L289" s="30" t="s">
        <v>334</v>
      </c>
      <c r="M289" s="30" t="s">
        <v>558</v>
      </c>
      <c r="N289" s="30"/>
      <c r="O289" s="20" t="s">
        <v>70</v>
      </c>
      <c r="P289" s="20"/>
      <c r="Q289" s="20"/>
      <c r="R289" s="20"/>
      <c r="S289" s="20">
        <v>6608</v>
      </c>
      <c r="T289" s="20">
        <v>12</v>
      </c>
      <c r="U289" s="30" t="s">
        <v>5480</v>
      </c>
      <c r="V289" s="30" t="s">
        <v>69</v>
      </c>
      <c r="W289" s="20" t="s">
        <v>70</v>
      </c>
      <c r="X289" s="30"/>
      <c r="Y289" s="20" t="s">
        <v>5419</v>
      </c>
      <c r="Z289" s="20">
        <v>227</v>
      </c>
      <c r="AA289" s="20"/>
      <c r="AB289" s="29">
        <v>216</v>
      </c>
      <c r="AC289" s="29"/>
      <c r="AD289" s="29"/>
      <c r="AE289" s="29"/>
      <c r="AF289" s="29"/>
      <c r="AG289" s="29"/>
      <c r="AH289" s="29"/>
      <c r="AI289" s="29">
        <v>4</v>
      </c>
      <c r="AJ289" s="20"/>
      <c r="AK289" s="30" t="s">
        <v>5419</v>
      </c>
      <c r="AL289" s="36"/>
      <c r="AM289" s="20"/>
      <c r="AN289" s="20"/>
      <c r="AO289" s="20"/>
      <c r="AP289" s="29"/>
      <c r="AQ289" s="29"/>
      <c r="AR289" s="318">
        <v>1404</v>
      </c>
      <c r="AS289" s="318">
        <v>7</v>
      </c>
      <c r="AT289" s="318"/>
      <c r="AU289" s="318"/>
      <c r="AV289" s="31" t="str">
        <f t="shared" si="18"/>
        <v/>
      </c>
      <c r="AW289" s="31" t="str">
        <f t="shared" si="19"/>
        <v/>
      </c>
      <c r="AX289" s="31"/>
      <c r="AY289" s="573" t="s">
        <v>5636</v>
      </c>
    </row>
    <row r="290" spans="1:51" s="21" customFormat="1" ht="30" hidden="1" customHeight="1" x14ac:dyDescent="0.2">
      <c r="A290" s="20">
        <v>288</v>
      </c>
      <c r="B290" s="20">
        <v>7</v>
      </c>
      <c r="C290" s="20">
        <v>7</v>
      </c>
      <c r="D290" s="29">
        <v>1404</v>
      </c>
      <c r="E290" s="30" t="s">
        <v>773</v>
      </c>
      <c r="F290" s="30" t="s">
        <v>66</v>
      </c>
      <c r="G290" s="30"/>
      <c r="H290" s="20" t="s">
        <v>83</v>
      </c>
      <c r="I290" s="360" t="s">
        <v>158</v>
      </c>
      <c r="J290" s="29" t="s">
        <v>84</v>
      </c>
      <c r="K290" s="30"/>
      <c r="L290" s="30" t="s">
        <v>334</v>
      </c>
      <c r="M290" s="30" t="s">
        <v>5400</v>
      </c>
      <c r="N290" s="30" t="s">
        <v>69</v>
      </c>
      <c r="O290" s="20" t="s">
        <v>70</v>
      </c>
      <c r="P290" s="20"/>
      <c r="Q290" s="20"/>
      <c r="R290" s="20"/>
      <c r="S290" s="20">
        <v>6608</v>
      </c>
      <c r="T290" s="20">
        <v>12</v>
      </c>
      <c r="U290" s="30" t="s">
        <v>5401</v>
      </c>
      <c r="V290" s="30" t="s">
        <v>69</v>
      </c>
      <c r="W290" s="20" t="s">
        <v>70</v>
      </c>
      <c r="X290" s="30"/>
      <c r="Y290" s="20" t="s">
        <v>5418</v>
      </c>
      <c r="Z290" s="20"/>
      <c r="AA290" s="20"/>
      <c r="AB290" s="29"/>
      <c r="AC290" s="29"/>
      <c r="AD290" s="29"/>
      <c r="AE290" s="29"/>
      <c r="AF290" s="29"/>
      <c r="AG290" s="29"/>
      <c r="AH290" s="29"/>
      <c r="AI290" s="29"/>
      <c r="AJ290" s="20"/>
      <c r="AK290" s="30"/>
      <c r="AL290" s="36"/>
      <c r="AM290" s="20"/>
      <c r="AN290" s="20"/>
      <c r="AO290" s="20"/>
      <c r="AP290" s="29"/>
      <c r="AQ290" s="29"/>
      <c r="AR290" s="318">
        <v>1404</v>
      </c>
      <c r="AS290" s="318">
        <v>7</v>
      </c>
      <c r="AT290" s="318"/>
      <c r="AU290" s="318"/>
      <c r="AV290" s="31" t="str">
        <f t="shared" si="18"/>
        <v/>
      </c>
      <c r="AW290" s="31" t="str">
        <f t="shared" si="19"/>
        <v/>
      </c>
      <c r="AX290" s="31"/>
      <c r="AY290" s="574"/>
    </row>
    <row r="291" spans="1:51" ht="30" hidden="1" customHeight="1" x14ac:dyDescent="0.2">
      <c r="A291" s="393">
        <v>289</v>
      </c>
      <c r="B291" s="392">
        <v>8</v>
      </c>
      <c r="C291" s="392">
        <v>7</v>
      </c>
      <c r="D291" s="16">
        <v>1404</v>
      </c>
      <c r="E291" s="391" t="s">
        <v>562</v>
      </c>
      <c r="F291" s="391" t="s">
        <v>2981</v>
      </c>
      <c r="G291" s="391" t="s">
        <v>5608</v>
      </c>
      <c r="H291" s="392" t="s">
        <v>7</v>
      </c>
      <c r="I291" s="360" t="s">
        <v>158</v>
      </c>
      <c r="J291" s="16" t="s">
        <v>5539</v>
      </c>
      <c r="K291" s="391" t="s">
        <v>3714</v>
      </c>
      <c r="L291" s="391" t="s">
        <v>104</v>
      </c>
      <c r="M291" s="391" t="s">
        <v>5616</v>
      </c>
      <c r="N291" s="41" t="s">
        <v>69</v>
      </c>
      <c r="O291" s="13" t="s">
        <v>70</v>
      </c>
      <c r="P291" s="13"/>
      <c r="Q291" s="13"/>
      <c r="R291" s="392" t="s">
        <v>3714</v>
      </c>
      <c r="S291" s="392">
        <v>384</v>
      </c>
      <c r="T291" s="392">
        <v>7</v>
      </c>
      <c r="U291" s="391" t="s">
        <v>5617</v>
      </c>
      <c r="V291" s="41" t="s">
        <v>106</v>
      </c>
      <c r="W291" s="13" t="s">
        <v>107</v>
      </c>
      <c r="X291" s="391"/>
      <c r="Y291" s="392" t="s">
        <v>5618</v>
      </c>
      <c r="Z291" s="392">
        <v>248</v>
      </c>
      <c r="AA291" s="392">
        <v>210</v>
      </c>
      <c r="AB291" s="16">
        <v>198</v>
      </c>
      <c r="AC291" s="16">
        <v>40</v>
      </c>
      <c r="AD291" s="16">
        <v>73</v>
      </c>
      <c r="AE291" s="16">
        <v>7</v>
      </c>
      <c r="AF291" s="16">
        <v>46</v>
      </c>
      <c r="AG291" s="16">
        <v>126</v>
      </c>
      <c r="AH291" s="16">
        <v>28</v>
      </c>
      <c r="AI291" s="16">
        <v>6</v>
      </c>
      <c r="AJ291" s="392"/>
      <c r="AK291" s="391" t="s">
        <v>5619</v>
      </c>
      <c r="AL291" s="25">
        <v>126</v>
      </c>
      <c r="AM291" s="392">
        <v>28</v>
      </c>
      <c r="AN291" s="392"/>
      <c r="AO291" s="392"/>
      <c r="AP291" s="16" t="s">
        <v>5080</v>
      </c>
      <c r="AQ291" s="16" t="s">
        <v>161</v>
      </c>
      <c r="AR291" s="130">
        <v>1404</v>
      </c>
      <c r="AS291" s="130">
        <v>7</v>
      </c>
      <c r="AT291" s="130" t="s">
        <v>3714</v>
      </c>
      <c r="AU291" s="130" t="s">
        <v>3714</v>
      </c>
      <c r="AV291" s="12" t="s">
        <v>3714</v>
      </c>
      <c r="AW291" s="12" t="s">
        <v>3714</v>
      </c>
      <c r="AX291" s="12"/>
      <c r="AY291" s="408"/>
    </row>
    <row r="292" spans="1:51" s="21" customFormat="1" ht="30" hidden="1" customHeight="1" x14ac:dyDescent="0.2">
      <c r="A292" s="20">
        <v>290</v>
      </c>
      <c r="B292" s="20">
        <v>10</v>
      </c>
      <c r="C292" s="20">
        <v>7</v>
      </c>
      <c r="D292" s="29">
        <v>1404</v>
      </c>
      <c r="E292" s="30" t="s">
        <v>477</v>
      </c>
      <c r="F292" s="30" t="s">
        <v>2981</v>
      </c>
      <c r="G292" s="30" t="s">
        <v>5189</v>
      </c>
      <c r="H292" s="20" t="s">
        <v>83</v>
      </c>
      <c r="I292" s="360" t="s">
        <v>158</v>
      </c>
      <c r="J292" s="29" t="s">
        <v>5539</v>
      </c>
      <c r="K292" s="30"/>
      <c r="L292" s="30" t="s">
        <v>117</v>
      </c>
      <c r="M292" s="30"/>
      <c r="N292" s="30" t="s">
        <v>106</v>
      </c>
      <c r="O292" s="20" t="s">
        <v>107</v>
      </c>
      <c r="P292" s="20"/>
      <c r="Q292" s="20"/>
      <c r="R292" s="20"/>
      <c r="S292" s="20">
        <v>384</v>
      </c>
      <c r="T292" s="20">
        <v>6</v>
      </c>
      <c r="U292" s="30"/>
      <c r="V292" s="41" t="s">
        <v>106</v>
      </c>
      <c r="W292" s="13" t="s">
        <v>107</v>
      </c>
      <c r="X292" s="30"/>
      <c r="Y292" s="20" t="s">
        <v>5620</v>
      </c>
      <c r="Z292" s="20">
        <v>229</v>
      </c>
      <c r="AA292" s="20"/>
      <c r="AB292" s="29">
        <v>205</v>
      </c>
      <c r="AC292" s="29"/>
      <c r="AD292" s="29"/>
      <c r="AE292" s="29"/>
      <c r="AF292" s="29"/>
      <c r="AG292" s="29"/>
      <c r="AH292" s="29"/>
      <c r="AI292" s="29"/>
      <c r="AJ292" s="20"/>
      <c r="AK292" s="30"/>
      <c r="AL292" s="36"/>
      <c r="AM292" s="20"/>
      <c r="AN292" s="20"/>
      <c r="AO292" s="20"/>
      <c r="AP292" s="29" t="s">
        <v>160</v>
      </c>
      <c r="AQ292" s="29" t="s">
        <v>161</v>
      </c>
      <c r="AR292" s="318">
        <v>1404</v>
      </c>
      <c r="AS292" s="318">
        <v>7</v>
      </c>
      <c r="AT292" s="318">
        <v>1401</v>
      </c>
      <c r="AU292" s="318">
        <v>1</v>
      </c>
      <c r="AV292" s="31">
        <f t="shared" si="18"/>
        <v>42</v>
      </c>
      <c r="AW292" s="31" t="str">
        <f t="shared" si="19"/>
        <v/>
      </c>
      <c r="AX292" s="31"/>
      <c r="AY292" s="409" t="s">
        <v>5635</v>
      </c>
    </row>
    <row r="293" spans="1:51" ht="30" hidden="1" customHeight="1" x14ac:dyDescent="0.2">
      <c r="A293" s="393">
        <v>291</v>
      </c>
      <c r="B293" s="392">
        <v>11</v>
      </c>
      <c r="C293" s="392">
        <v>7</v>
      </c>
      <c r="D293" s="16">
        <v>1404</v>
      </c>
      <c r="E293" s="391" t="s">
        <v>477</v>
      </c>
      <c r="F293" s="391" t="s">
        <v>2981</v>
      </c>
      <c r="G293" s="391" t="s">
        <v>5247</v>
      </c>
      <c r="H293" s="392" t="s">
        <v>7</v>
      </c>
      <c r="I293" s="360" t="s">
        <v>158</v>
      </c>
      <c r="J293" s="16" t="s">
        <v>92</v>
      </c>
      <c r="K293" s="35" t="s">
        <v>117</v>
      </c>
      <c r="L293" s="35" t="s">
        <v>68</v>
      </c>
      <c r="M293" s="391" t="s">
        <v>5621</v>
      </c>
      <c r="N293" s="41" t="s">
        <v>106</v>
      </c>
      <c r="O293" s="13" t="s">
        <v>107</v>
      </c>
      <c r="P293" s="13"/>
      <c r="Q293" s="13"/>
      <c r="R293" s="33" t="s">
        <v>470</v>
      </c>
      <c r="S293" s="33">
        <v>345</v>
      </c>
      <c r="T293" s="33">
        <v>8</v>
      </c>
      <c r="U293" s="391" t="s">
        <v>5622</v>
      </c>
      <c r="V293" s="41" t="s">
        <v>106</v>
      </c>
      <c r="W293" s="13" t="s">
        <v>107</v>
      </c>
      <c r="X293" s="391"/>
      <c r="Y293" s="392" t="s">
        <v>5623</v>
      </c>
      <c r="Z293" s="392">
        <v>229</v>
      </c>
      <c r="AA293" s="392">
        <v>205</v>
      </c>
      <c r="AB293" s="16"/>
      <c r="AC293" s="16">
        <v>62</v>
      </c>
      <c r="AD293" s="16">
        <v>162</v>
      </c>
      <c r="AE293" s="16">
        <v>6</v>
      </c>
      <c r="AF293" s="16">
        <v>24</v>
      </c>
      <c r="AG293" s="16">
        <v>192</v>
      </c>
      <c r="AH293" s="16">
        <v>23</v>
      </c>
      <c r="AI293" s="16">
        <v>6</v>
      </c>
      <c r="AJ293" s="392"/>
      <c r="AK293" s="391" t="s">
        <v>5624</v>
      </c>
      <c r="AL293" s="25">
        <v>192</v>
      </c>
      <c r="AM293" s="392">
        <v>19.399999999999999</v>
      </c>
      <c r="AN293" s="392"/>
      <c r="AO293" s="392"/>
      <c r="AP293" s="16" t="s">
        <v>160</v>
      </c>
      <c r="AQ293" s="16" t="s">
        <v>193</v>
      </c>
      <c r="AR293" s="130">
        <v>1404</v>
      </c>
      <c r="AS293" s="130">
        <v>7</v>
      </c>
      <c r="AT293" s="130"/>
      <c r="AU293" s="130"/>
      <c r="AV293" s="12" t="str">
        <f t="shared" si="18"/>
        <v/>
      </c>
      <c r="AW293" s="12" t="str">
        <f t="shared" si="19"/>
        <v/>
      </c>
      <c r="AX293" s="12"/>
      <c r="AY293" s="408" t="s">
        <v>3714</v>
      </c>
    </row>
    <row r="294" spans="1:51" ht="30" hidden="1" customHeight="1" x14ac:dyDescent="0.2">
      <c r="A294" s="393">
        <v>292</v>
      </c>
      <c r="B294" s="392">
        <v>11</v>
      </c>
      <c r="C294" s="392">
        <v>7</v>
      </c>
      <c r="D294" s="16">
        <v>1404</v>
      </c>
      <c r="E294" s="391" t="s">
        <v>5627</v>
      </c>
      <c r="F294" s="391" t="s">
        <v>6</v>
      </c>
      <c r="G294" s="391" t="s">
        <v>1587</v>
      </c>
      <c r="H294" s="392" t="s">
        <v>7</v>
      </c>
      <c r="I294" s="360" t="s">
        <v>158</v>
      </c>
      <c r="J294" s="16" t="s">
        <v>3576</v>
      </c>
      <c r="K294" s="391"/>
      <c r="L294" s="391" t="s">
        <v>155</v>
      </c>
      <c r="M294" s="391" t="s">
        <v>5628</v>
      </c>
      <c r="N294" s="41" t="s">
        <v>142</v>
      </c>
      <c r="O294" s="13" t="s">
        <v>70</v>
      </c>
      <c r="P294" s="13"/>
      <c r="Q294" s="13"/>
      <c r="R294" s="392"/>
      <c r="S294" s="392">
        <v>384</v>
      </c>
      <c r="T294" s="392">
        <v>10</v>
      </c>
      <c r="U294" s="391" t="s">
        <v>5629</v>
      </c>
      <c r="V294" s="41" t="s">
        <v>142</v>
      </c>
      <c r="W294" s="13" t="s">
        <v>70</v>
      </c>
      <c r="X294" s="391"/>
      <c r="Y294" s="392"/>
      <c r="Z294" s="392">
        <v>248</v>
      </c>
      <c r="AA294" s="392"/>
      <c r="AB294" s="16">
        <v>238</v>
      </c>
      <c r="AC294" s="16">
        <v>96</v>
      </c>
      <c r="AD294" s="16">
        <v>141</v>
      </c>
      <c r="AE294" s="16">
        <v>7</v>
      </c>
      <c r="AF294" s="16">
        <v>59</v>
      </c>
      <c r="AG294" s="16">
        <v>207</v>
      </c>
      <c r="AH294" s="16">
        <v>25</v>
      </c>
      <c r="AI294" s="16">
        <v>6</v>
      </c>
      <c r="AJ294" s="392"/>
      <c r="AK294" s="391" t="s">
        <v>5630</v>
      </c>
      <c r="AL294" s="25">
        <v>207</v>
      </c>
      <c r="AM294" s="392">
        <v>2.9</v>
      </c>
      <c r="AN294" s="392"/>
      <c r="AO294" s="392"/>
      <c r="AP294" s="16" t="s">
        <v>160</v>
      </c>
      <c r="AQ294" s="16" t="s">
        <v>165</v>
      </c>
      <c r="AR294" s="130">
        <v>1404</v>
      </c>
      <c r="AS294" s="130">
        <v>7</v>
      </c>
      <c r="AT294" s="130"/>
      <c r="AU294" s="130"/>
      <c r="AV294" s="12" t="str">
        <f t="shared" si="18"/>
        <v/>
      </c>
      <c r="AW294" s="12" t="str">
        <f t="shared" si="19"/>
        <v/>
      </c>
      <c r="AX294" s="12"/>
      <c r="AY294" s="408"/>
    </row>
    <row r="295" spans="1:51" ht="30" hidden="1" customHeight="1" x14ac:dyDescent="0.2">
      <c r="A295" s="393">
        <v>293</v>
      </c>
      <c r="B295" s="392">
        <v>13</v>
      </c>
      <c r="C295" s="392">
        <v>7</v>
      </c>
      <c r="D295" s="16">
        <v>1404</v>
      </c>
      <c r="E295" s="391" t="s">
        <v>1086</v>
      </c>
      <c r="F295" s="391" t="s">
        <v>6</v>
      </c>
      <c r="G295" s="391"/>
      <c r="H295" s="392" t="s">
        <v>7</v>
      </c>
      <c r="I295" s="360" t="s">
        <v>158</v>
      </c>
      <c r="J295" s="16" t="s">
        <v>84</v>
      </c>
      <c r="K295" s="35" t="s">
        <v>117</v>
      </c>
      <c r="L295" s="35" t="s">
        <v>5422</v>
      </c>
      <c r="M295" s="391" t="s">
        <v>5631</v>
      </c>
      <c r="N295" s="41" t="s">
        <v>262</v>
      </c>
      <c r="O295" s="13" t="s">
        <v>70</v>
      </c>
      <c r="P295" s="13"/>
      <c r="Q295" s="13"/>
      <c r="R295" s="33" t="s">
        <v>5083</v>
      </c>
      <c r="S295" s="33">
        <v>152</v>
      </c>
      <c r="T295" s="33">
        <v>30</v>
      </c>
      <c r="U295" s="391" t="s">
        <v>5632</v>
      </c>
      <c r="V295" s="41" t="s">
        <v>69</v>
      </c>
      <c r="W295" s="13" t="s">
        <v>70</v>
      </c>
      <c r="X295" s="391"/>
      <c r="Y295" s="392" t="s">
        <v>5633</v>
      </c>
      <c r="Z295" s="392">
        <v>205</v>
      </c>
      <c r="AA295" s="392">
        <v>204</v>
      </c>
      <c r="AB295" s="16">
        <v>198</v>
      </c>
      <c r="AC295" s="16">
        <v>167</v>
      </c>
      <c r="AD295" s="16">
        <v>195</v>
      </c>
      <c r="AE295" s="16">
        <v>2</v>
      </c>
      <c r="AF295" s="16">
        <v>30</v>
      </c>
      <c r="AG295" s="16">
        <v>227</v>
      </c>
      <c r="AH295" s="16">
        <v>3</v>
      </c>
      <c r="AI295" s="16">
        <v>4</v>
      </c>
      <c r="AJ295" s="392"/>
      <c r="AK295" s="575" t="s">
        <v>5634</v>
      </c>
      <c r="AL295" s="576"/>
      <c r="AM295" s="576"/>
      <c r="AN295" s="577"/>
      <c r="AO295" s="392"/>
      <c r="AP295" s="16" t="s">
        <v>160</v>
      </c>
      <c r="AQ295" s="16" t="s">
        <v>1956</v>
      </c>
      <c r="AR295" s="130">
        <v>1404</v>
      </c>
      <c r="AS295" s="130">
        <v>7</v>
      </c>
      <c r="AT295" s="130"/>
      <c r="AU295" s="130"/>
      <c r="AV295" s="12" t="str">
        <f t="shared" si="18"/>
        <v/>
      </c>
      <c r="AW295" s="12" t="str">
        <f t="shared" si="19"/>
        <v/>
      </c>
      <c r="AX295" s="12"/>
      <c r="AY295" s="408"/>
    </row>
    <row r="296" spans="1:51" ht="30" hidden="1" customHeight="1" x14ac:dyDescent="0.2">
      <c r="A296" s="393">
        <v>294</v>
      </c>
      <c r="B296" s="392">
        <v>14</v>
      </c>
      <c r="C296" s="392">
        <v>7</v>
      </c>
      <c r="D296" s="16">
        <v>1404</v>
      </c>
      <c r="E296" s="391" t="s">
        <v>794</v>
      </c>
      <c r="F296" s="391" t="s">
        <v>8</v>
      </c>
      <c r="G296" s="410" t="s">
        <v>3661</v>
      </c>
      <c r="H296" s="392" t="s">
        <v>83</v>
      </c>
      <c r="I296" s="360" t="s">
        <v>158</v>
      </c>
      <c r="J296" s="16" t="s">
        <v>5577</v>
      </c>
      <c r="K296" s="391" t="s">
        <v>68</v>
      </c>
      <c r="L296" s="391" t="s">
        <v>68</v>
      </c>
      <c r="M296" s="391"/>
      <c r="N296" s="41" t="s">
        <v>106</v>
      </c>
      <c r="O296" s="13" t="s">
        <v>107</v>
      </c>
      <c r="P296" s="13"/>
      <c r="Q296" s="13"/>
      <c r="R296" s="392" t="s">
        <v>332</v>
      </c>
      <c r="S296" s="392">
        <v>345</v>
      </c>
      <c r="T296" s="392">
        <v>9</v>
      </c>
      <c r="U296" s="391"/>
      <c r="V296" s="41" t="s">
        <v>106</v>
      </c>
      <c r="W296" s="13" t="s">
        <v>107</v>
      </c>
      <c r="X296" s="391"/>
      <c r="Y296" s="392"/>
      <c r="Z296" s="392"/>
      <c r="AA296" s="392"/>
      <c r="AB296" s="16"/>
      <c r="AC296" s="16" t="s">
        <v>3714</v>
      </c>
      <c r="AD296" s="16"/>
      <c r="AE296" s="16"/>
      <c r="AF296" s="16"/>
      <c r="AG296" s="16"/>
      <c r="AH296" s="16"/>
      <c r="AI296" s="16"/>
      <c r="AJ296" s="392"/>
      <c r="AK296" s="391"/>
      <c r="AL296" s="25"/>
      <c r="AM296" s="392"/>
      <c r="AN296" s="392"/>
      <c r="AO296" s="392"/>
      <c r="AP296" s="16" t="s">
        <v>5080</v>
      </c>
      <c r="AQ296" s="16" t="s">
        <v>3714</v>
      </c>
      <c r="AR296" s="130">
        <v>1404</v>
      </c>
      <c r="AS296" s="130">
        <v>7</v>
      </c>
      <c r="AT296" s="130">
        <v>1401</v>
      </c>
      <c r="AU296" s="130">
        <v>4</v>
      </c>
      <c r="AV296" s="12">
        <f t="shared" si="18"/>
        <v>39</v>
      </c>
      <c r="AW296" s="12" t="str">
        <f t="shared" si="19"/>
        <v/>
      </c>
      <c r="AX296" s="12"/>
      <c r="AY296" s="408" t="s">
        <v>3661</v>
      </c>
    </row>
    <row r="297" spans="1:51" ht="30" hidden="1" customHeight="1" x14ac:dyDescent="0.2">
      <c r="A297" s="393">
        <v>295</v>
      </c>
      <c r="B297" s="392">
        <v>15</v>
      </c>
      <c r="C297" s="392">
        <v>7</v>
      </c>
      <c r="D297" s="16">
        <v>1404</v>
      </c>
      <c r="E297" s="391" t="s">
        <v>794</v>
      </c>
      <c r="F297" s="391" t="s">
        <v>8</v>
      </c>
      <c r="G297" s="391" t="s">
        <v>3661</v>
      </c>
      <c r="H297" s="392" t="s">
        <v>7</v>
      </c>
      <c r="I297" s="360" t="s">
        <v>158</v>
      </c>
      <c r="J297" s="16" t="s">
        <v>5539</v>
      </c>
      <c r="K297" s="391" t="s">
        <v>68</v>
      </c>
      <c r="L297" s="391" t="s">
        <v>155</v>
      </c>
      <c r="M297" s="391" t="s">
        <v>5637</v>
      </c>
      <c r="N297" s="41" t="s">
        <v>106</v>
      </c>
      <c r="O297" s="13" t="s">
        <v>107</v>
      </c>
      <c r="P297" s="13"/>
      <c r="Q297" s="13"/>
      <c r="R297" s="392" t="s">
        <v>332</v>
      </c>
      <c r="S297" s="392">
        <v>345</v>
      </c>
      <c r="T297" s="392">
        <v>9</v>
      </c>
      <c r="U297" s="391" t="s">
        <v>5638</v>
      </c>
      <c r="V297" s="41" t="s">
        <v>106</v>
      </c>
      <c r="W297" s="13" t="s">
        <v>107</v>
      </c>
      <c r="X297" s="391"/>
      <c r="Y297" s="392" t="s">
        <v>5639</v>
      </c>
      <c r="Z297" s="392">
        <v>157</v>
      </c>
      <c r="AA297" s="392">
        <v>144</v>
      </c>
      <c r="AB297" s="16">
        <v>144</v>
      </c>
      <c r="AC297" s="16">
        <v>110</v>
      </c>
      <c r="AD297" s="16">
        <v>133</v>
      </c>
      <c r="AE297" s="16">
        <v>3</v>
      </c>
      <c r="AF297" s="16">
        <v>76</v>
      </c>
      <c r="AG297" s="16">
        <v>212</v>
      </c>
      <c r="AH297" s="16">
        <v>20</v>
      </c>
      <c r="AI297" s="16">
        <v>6</v>
      </c>
      <c r="AJ297" s="392"/>
      <c r="AK297" s="391" t="s">
        <v>5640</v>
      </c>
      <c r="AL297" s="25">
        <v>212</v>
      </c>
      <c r="AM297" s="392">
        <v>20</v>
      </c>
      <c r="AN297" s="392"/>
      <c r="AO297" s="392"/>
      <c r="AP297" s="16" t="s">
        <v>5080</v>
      </c>
      <c r="AQ297" s="16" t="s">
        <v>161</v>
      </c>
      <c r="AR297" s="130">
        <v>1404</v>
      </c>
      <c r="AS297" s="130">
        <v>7</v>
      </c>
      <c r="AT297" s="130" t="s">
        <v>3714</v>
      </c>
      <c r="AU297" s="130" t="s">
        <v>3714</v>
      </c>
      <c r="AV297" s="12" t="s">
        <v>3714</v>
      </c>
      <c r="AW297" s="12" t="s">
        <v>3714</v>
      </c>
      <c r="AX297" s="12"/>
      <c r="AY297" s="408"/>
    </row>
    <row r="298" spans="1:51" ht="30" hidden="1" customHeight="1" x14ac:dyDescent="0.2">
      <c r="A298" s="393">
        <v>296</v>
      </c>
      <c r="B298" s="392">
        <v>15</v>
      </c>
      <c r="C298" s="392">
        <v>7</v>
      </c>
      <c r="D298" s="16">
        <v>1404</v>
      </c>
      <c r="E298" s="391" t="s">
        <v>5641</v>
      </c>
      <c r="F298" s="391" t="s">
        <v>66</v>
      </c>
      <c r="G298" s="391" t="s">
        <v>1587</v>
      </c>
      <c r="H298" s="392" t="s">
        <v>7</v>
      </c>
      <c r="I298" s="360" t="s">
        <v>158</v>
      </c>
      <c r="J298" s="16" t="s">
        <v>3576</v>
      </c>
      <c r="K298" s="391"/>
      <c r="L298" s="391" t="s">
        <v>104</v>
      </c>
      <c r="M298" s="391" t="s">
        <v>5642</v>
      </c>
      <c r="N298" s="41" t="s">
        <v>106</v>
      </c>
      <c r="O298" s="13" t="s">
        <v>107</v>
      </c>
      <c r="P298" s="13"/>
      <c r="Q298" s="13"/>
      <c r="R298" s="392"/>
      <c r="S298" s="392">
        <v>6609</v>
      </c>
      <c r="T298" s="392">
        <v>13</v>
      </c>
      <c r="U298" s="391" t="s">
        <v>5643</v>
      </c>
      <c r="V298" s="41" t="s">
        <v>106</v>
      </c>
      <c r="W298" s="13" t="s">
        <v>107</v>
      </c>
      <c r="X298" s="391"/>
      <c r="Y298" s="392"/>
      <c r="Z298" s="392">
        <v>235</v>
      </c>
      <c r="AA298" s="392" t="s">
        <v>3714</v>
      </c>
      <c r="AB298" s="16">
        <v>210</v>
      </c>
      <c r="AC298" s="16">
        <v>73.5</v>
      </c>
      <c r="AD298" s="16">
        <v>131</v>
      </c>
      <c r="AE298" s="16">
        <v>3</v>
      </c>
      <c r="AF298" s="16">
        <v>24</v>
      </c>
      <c r="AG298" s="16">
        <v>158</v>
      </c>
      <c r="AH298" s="16">
        <v>16.600000000000001</v>
      </c>
      <c r="AI298" s="16">
        <v>6</v>
      </c>
      <c r="AJ298" s="392"/>
      <c r="AK298" s="391" t="s">
        <v>5644</v>
      </c>
      <c r="AL298" s="25">
        <v>158</v>
      </c>
      <c r="AM298" s="392">
        <v>16.399999999999999</v>
      </c>
      <c r="AN298" s="392"/>
      <c r="AO298" s="392"/>
      <c r="AP298" s="16" t="s">
        <v>160</v>
      </c>
      <c r="AQ298" s="16" t="s">
        <v>193</v>
      </c>
      <c r="AR298" s="130">
        <v>1404</v>
      </c>
      <c r="AS298" s="130">
        <v>7</v>
      </c>
      <c r="AT298" s="130"/>
      <c r="AU298" s="130"/>
      <c r="AV298" s="12" t="str">
        <f t="shared" si="18"/>
        <v/>
      </c>
      <c r="AW298" s="12" t="str">
        <f t="shared" si="19"/>
        <v/>
      </c>
      <c r="AX298" s="12"/>
      <c r="AY298" s="408"/>
    </row>
    <row r="299" spans="1:51" ht="30" hidden="1" customHeight="1" x14ac:dyDescent="0.2">
      <c r="A299" s="393">
        <v>297</v>
      </c>
      <c r="B299" s="392">
        <v>16</v>
      </c>
      <c r="C299" s="392">
        <v>7</v>
      </c>
      <c r="D299" s="16">
        <v>1404</v>
      </c>
      <c r="E299" s="391" t="s">
        <v>3645</v>
      </c>
      <c r="F299" s="391" t="s">
        <v>2981</v>
      </c>
      <c r="G299" s="391" t="s">
        <v>185</v>
      </c>
      <c r="H299" s="392" t="s">
        <v>83</v>
      </c>
      <c r="I299" s="360" t="s">
        <v>158</v>
      </c>
      <c r="J299" s="16" t="s">
        <v>5539</v>
      </c>
      <c r="K299" s="391"/>
      <c r="L299" s="391" t="s">
        <v>141</v>
      </c>
      <c r="M299" s="391"/>
      <c r="N299" s="41" t="s">
        <v>106</v>
      </c>
      <c r="O299" s="13" t="s">
        <v>107</v>
      </c>
      <c r="P299" s="13"/>
      <c r="Q299" s="13"/>
      <c r="R299" s="392"/>
      <c r="S299" s="392">
        <v>6608</v>
      </c>
      <c r="T299" s="392">
        <v>13</v>
      </c>
      <c r="U299" s="391"/>
      <c r="V299" s="41" t="s">
        <v>106</v>
      </c>
      <c r="W299" s="13" t="s">
        <v>107</v>
      </c>
      <c r="X299" s="391"/>
      <c r="Y299" s="392" t="s">
        <v>6513</v>
      </c>
      <c r="Z299" s="392">
        <v>235</v>
      </c>
      <c r="AA299" s="392">
        <v>219</v>
      </c>
      <c r="AB299" s="16">
        <v>219</v>
      </c>
      <c r="AC299" s="16"/>
      <c r="AD299" s="16"/>
      <c r="AE299" s="16"/>
      <c r="AF299" s="16"/>
      <c r="AG299" s="16"/>
      <c r="AH299" s="16"/>
      <c r="AI299" s="16">
        <v>4</v>
      </c>
      <c r="AJ299" s="392"/>
      <c r="AK299" s="391"/>
      <c r="AL299" s="25"/>
      <c r="AM299" s="392"/>
      <c r="AN299" s="392"/>
      <c r="AO299" s="392"/>
      <c r="AP299" s="16"/>
      <c r="AQ299" s="16"/>
      <c r="AR299" s="130">
        <v>1404</v>
      </c>
      <c r="AS299" s="130">
        <v>7</v>
      </c>
      <c r="AT299" s="130">
        <v>1402</v>
      </c>
      <c r="AU299" s="130">
        <v>5</v>
      </c>
      <c r="AV299" s="12">
        <f t="shared" si="18"/>
        <v>26</v>
      </c>
      <c r="AW299" s="12" t="str">
        <f t="shared" si="19"/>
        <v/>
      </c>
      <c r="AX299" s="12"/>
      <c r="AY299" s="408"/>
    </row>
    <row r="300" spans="1:51" ht="30" hidden="1" customHeight="1" x14ac:dyDescent="0.2">
      <c r="A300" s="393">
        <v>298</v>
      </c>
      <c r="B300" s="392">
        <v>16</v>
      </c>
      <c r="C300" s="392">
        <v>7</v>
      </c>
      <c r="D300" s="16">
        <v>1404</v>
      </c>
      <c r="E300" s="391" t="s">
        <v>318</v>
      </c>
      <c r="F300" s="391" t="s">
        <v>6</v>
      </c>
      <c r="G300" s="391" t="s">
        <v>185</v>
      </c>
      <c r="H300" s="392" t="s">
        <v>83</v>
      </c>
      <c r="I300" s="360" t="s">
        <v>158</v>
      </c>
      <c r="J300" s="16" t="s">
        <v>84</v>
      </c>
      <c r="K300" s="391"/>
      <c r="L300" s="391" t="s">
        <v>155</v>
      </c>
      <c r="M300" s="391"/>
      <c r="N300" s="41" t="s">
        <v>106</v>
      </c>
      <c r="O300" s="13" t="s">
        <v>107</v>
      </c>
      <c r="P300" s="13"/>
      <c r="Q300" s="13"/>
      <c r="R300" s="392"/>
      <c r="S300" s="392">
        <v>384</v>
      </c>
      <c r="T300" s="392">
        <v>9</v>
      </c>
      <c r="U300" s="391"/>
      <c r="V300" s="41" t="s">
        <v>106</v>
      </c>
      <c r="W300" s="13" t="s">
        <v>107</v>
      </c>
      <c r="X300" s="391"/>
      <c r="Y300" s="392"/>
      <c r="Z300" s="392"/>
      <c r="AA300" s="392"/>
      <c r="AB300" s="16">
        <v>186</v>
      </c>
      <c r="AC300" s="16"/>
      <c r="AD300" s="16"/>
      <c r="AE300" s="16"/>
      <c r="AF300" s="16"/>
      <c r="AG300" s="16"/>
      <c r="AH300" s="16"/>
      <c r="AI300" s="16"/>
      <c r="AJ300" s="392"/>
      <c r="AK300" s="391"/>
      <c r="AL300" s="25"/>
      <c r="AM300" s="392"/>
      <c r="AN300" s="392"/>
      <c r="AO300" s="392"/>
      <c r="AP300" s="16"/>
      <c r="AQ300" s="16"/>
      <c r="AR300" s="130">
        <v>1404</v>
      </c>
      <c r="AS300" s="130">
        <v>7</v>
      </c>
      <c r="AT300" s="130">
        <v>1402</v>
      </c>
      <c r="AU300" s="130">
        <v>2</v>
      </c>
      <c r="AV300" s="12">
        <f t="shared" si="18"/>
        <v>29</v>
      </c>
      <c r="AW300" s="12" t="str">
        <f t="shared" si="19"/>
        <v/>
      </c>
      <c r="AX300" s="12"/>
      <c r="AY300" s="408"/>
    </row>
    <row r="301" spans="1:51" ht="30" hidden="1" customHeight="1" x14ac:dyDescent="0.2">
      <c r="A301" s="393">
        <v>299</v>
      </c>
      <c r="B301" s="392">
        <v>16</v>
      </c>
      <c r="C301" s="392">
        <v>7</v>
      </c>
      <c r="D301" s="16">
        <v>1404</v>
      </c>
      <c r="E301" s="391" t="s">
        <v>5645</v>
      </c>
      <c r="F301" s="391" t="s">
        <v>6</v>
      </c>
      <c r="G301" s="391" t="s">
        <v>3661</v>
      </c>
      <c r="H301" s="392" t="s">
        <v>83</v>
      </c>
      <c r="I301" s="360" t="s">
        <v>158</v>
      </c>
      <c r="J301" s="16" t="s">
        <v>5539</v>
      </c>
      <c r="K301" s="391" t="s">
        <v>3714</v>
      </c>
      <c r="L301" s="391" t="s">
        <v>104</v>
      </c>
      <c r="M301" s="391"/>
      <c r="N301" s="41" t="s">
        <v>106</v>
      </c>
      <c r="O301" s="13" t="s">
        <v>107</v>
      </c>
      <c r="P301" s="13"/>
      <c r="Q301" s="13"/>
      <c r="R301" s="392"/>
      <c r="S301" s="392">
        <v>384</v>
      </c>
      <c r="T301" s="392">
        <v>7</v>
      </c>
      <c r="U301" s="391"/>
      <c r="V301" s="41" t="s">
        <v>106</v>
      </c>
      <c r="W301" s="13" t="s">
        <v>107</v>
      </c>
      <c r="X301" s="391"/>
      <c r="Y301" s="392" t="s">
        <v>5646</v>
      </c>
      <c r="Z301" s="392">
        <v>220</v>
      </c>
      <c r="AA301" s="392">
        <v>210</v>
      </c>
      <c r="AB301" s="16">
        <v>210</v>
      </c>
      <c r="AC301" s="16" t="s">
        <v>3714</v>
      </c>
      <c r="AD301" s="16" t="s">
        <v>3714</v>
      </c>
      <c r="AE301" s="16" t="s">
        <v>3714</v>
      </c>
      <c r="AF301" s="16" t="s">
        <v>3714</v>
      </c>
      <c r="AG301" s="16" t="s">
        <v>3714</v>
      </c>
      <c r="AH301" s="16" t="s">
        <v>3714</v>
      </c>
      <c r="AI301" s="16">
        <v>6</v>
      </c>
      <c r="AJ301" s="392"/>
      <c r="AK301" s="391" t="s">
        <v>3714</v>
      </c>
      <c r="AL301" s="25" t="s">
        <v>3714</v>
      </c>
      <c r="AM301" s="392" t="s">
        <v>3714</v>
      </c>
      <c r="AN301" s="392"/>
      <c r="AO301" s="392"/>
      <c r="AP301" s="16" t="s">
        <v>160</v>
      </c>
      <c r="AQ301" s="16" t="s">
        <v>193</v>
      </c>
      <c r="AR301" s="130">
        <v>1404</v>
      </c>
      <c r="AS301" s="130">
        <v>7</v>
      </c>
      <c r="AT301" s="130">
        <v>1395</v>
      </c>
      <c r="AU301" s="130">
        <v>4</v>
      </c>
      <c r="AV301" s="12">
        <f t="shared" si="18"/>
        <v>111</v>
      </c>
      <c r="AW301" s="12" t="str">
        <f t="shared" si="19"/>
        <v/>
      </c>
      <c r="AX301" s="12"/>
      <c r="AY301" s="408"/>
    </row>
    <row r="302" spans="1:51" ht="30" hidden="1" customHeight="1" x14ac:dyDescent="0.2">
      <c r="A302" s="393">
        <v>300</v>
      </c>
      <c r="B302" s="392">
        <v>16</v>
      </c>
      <c r="C302" s="392">
        <v>7</v>
      </c>
      <c r="D302" s="16">
        <v>1404</v>
      </c>
      <c r="E302" s="391" t="s">
        <v>5645</v>
      </c>
      <c r="F302" s="391" t="s">
        <v>6</v>
      </c>
      <c r="G302" s="391" t="s">
        <v>3661</v>
      </c>
      <c r="H302" s="392" t="s">
        <v>7</v>
      </c>
      <c r="I302" s="360" t="s">
        <v>158</v>
      </c>
      <c r="J302" s="16" t="s">
        <v>5539</v>
      </c>
      <c r="K302" s="35" t="s">
        <v>104</v>
      </c>
      <c r="L302" s="35" t="s">
        <v>68</v>
      </c>
      <c r="M302" s="391" t="s">
        <v>5648</v>
      </c>
      <c r="N302" s="41" t="s">
        <v>106</v>
      </c>
      <c r="O302" s="13" t="s">
        <v>107</v>
      </c>
      <c r="P302" s="13"/>
      <c r="Q302" s="13"/>
      <c r="R302" s="33" t="s">
        <v>108</v>
      </c>
      <c r="S302" s="33">
        <v>6611</v>
      </c>
      <c r="T302" s="33">
        <v>14</v>
      </c>
      <c r="U302" s="391" t="s">
        <v>5649</v>
      </c>
      <c r="V302" s="41" t="s">
        <v>106</v>
      </c>
      <c r="W302" s="13" t="s">
        <v>5650</v>
      </c>
      <c r="X302" s="391"/>
      <c r="Y302" s="392" t="s">
        <v>5646</v>
      </c>
      <c r="Z302" s="392">
        <v>220</v>
      </c>
      <c r="AA302" s="392">
        <v>210</v>
      </c>
      <c r="AB302" s="16">
        <v>210</v>
      </c>
      <c r="AC302" s="16">
        <v>134</v>
      </c>
      <c r="AD302" s="16">
        <v>160</v>
      </c>
      <c r="AE302" s="16">
        <v>6</v>
      </c>
      <c r="AF302" s="16">
        <v>5</v>
      </c>
      <c r="AG302" s="16">
        <v>171</v>
      </c>
      <c r="AH302" s="16">
        <v>21</v>
      </c>
      <c r="AI302" s="16">
        <v>6</v>
      </c>
      <c r="AJ302" s="392"/>
      <c r="AK302" s="391" t="s">
        <v>5647</v>
      </c>
      <c r="AL302" s="25">
        <v>171</v>
      </c>
      <c r="AM302" s="392">
        <v>19.8</v>
      </c>
      <c r="AN302" s="392"/>
      <c r="AO302" s="392"/>
      <c r="AP302" s="16" t="s">
        <v>160</v>
      </c>
      <c r="AQ302" s="16" t="s">
        <v>193</v>
      </c>
      <c r="AR302" s="130">
        <v>1404</v>
      </c>
      <c r="AS302" s="130">
        <v>7</v>
      </c>
      <c r="AT302" s="130" t="s">
        <v>3714</v>
      </c>
      <c r="AU302" s="130" t="s">
        <v>3714</v>
      </c>
      <c r="AV302" s="12" t="s">
        <v>3714</v>
      </c>
      <c r="AW302" s="12" t="str">
        <f t="shared" si="19"/>
        <v/>
      </c>
      <c r="AX302" s="12"/>
      <c r="AY302" s="408"/>
    </row>
    <row r="303" spans="1:51" ht="30" hidden="1" customHeight="1" x14ac:dyDescent="0.2">
      <c r="A303" s="393">
        <v>301</v>
      </c>
      <c r="B303" s="392">
        <v>17</v>
      </c>
      <c r="C303" s="392">
        <v>7</v>
      </c>
      <c r="D303" s="16">
        <v>1404</v>
      </c>
      <c r="E303" s="391" t="s">
        <v>1670</v>
      </c>
      <c r="F303" s="391" t="s">
        <v>8</v>
      </c>
      <c r="G303" s="391" t="s">
        <v>3661</v>
      </c>
      <c r="H303" s="392" t="s">
        <v>83</v>
      </c>
      <c r="I303" s="360" t="s">
        <v>158</v>
      </c>
      <c r="J303" s="16" t="s">
        <v>5539</v>
      </c>
      <c r="K303" s="391" t="s">
        <v>3714</v>
      </c>
      <c r="L303" s="391" t="s">
        <v>104</v>
      </c>
      <c r="M303" s="391"/>
      <c r="N303" s="41" t="s">
        <v>106</v>
      </c>
      <c r="O303" s="13" t="s">
        <v>107</v>
      </c>
      <c r="P303" s="13"/>
      <c r="Q303" s="13"/>
      <c r="R303" s="392" t="s">
        <v>3714</v>
      </c>
      <c r="S303" s="392">
        <v>384</v>
      </c>
      <c r="T303" s="392">
        <v>7</v>
      </c>
      <c r="U303" s="391"/>
      <c r="V303" s="41" t="s">
        <v>106</v>
      </c>
      <c r="W303" s="13" t="s">
        <v>107</v>
      </c>
      <c r="X303" s="391"/>
      <c r="Y303" s="392" t="s">
        <v>5654</v>
      </c>
      <c r="Z303" s="392"/>
      <c r="AA303" s="392"/>
      <c r="AB303" s="16"/>
      <c r="AC303" s="16"/>
      <c r="AD303" s="16"/>
      <c r="AE303" s="16"/>
      <c r="AF303" s="16"/>
      <c r="AG303" s="16"/>
      <c r="AH303" s="16"/>
      <c r="AI303" s="16"/>
      <c r="AJ303" s="392"/>
      <c r="AK303" s="391"/>
      <c r="AL303" s="25"/>
      <c r="AM303" s="392"/>
      <c r="AN303" s="392"/>
      <c r="AO303" s="392"/>
      <c r="AP303" s="16" t="s">
        <v>5080</v>
      </c>
      <c r="AQ303" s="16" t="s">
        <v>112</v>
      </c>
      <c r="AR303" s="130">
        <v>1404</v>
      </c>
      <c r="AS303" s="130">
        <v>7</v>
      </c>
      <c r="AT303" s="130">
        <v>1402</v>
      </c>
      <c r="AU303" s="130">
        <v>6</v>
      </c>
      <c r="AV303" s="12">
        <f t="shared" si="18"/>
        <v>25</v>
      </c>
      <c r="AW303" s="12" t="str">
        <f t="shared" si="19"/>
        <v/>
      </c>
      <c r="AX303" s="12"/>
      <c r="AY303" s="408"/>
    </row>
    <row r="304" spans="1:51" ht="30" hidden="1" customHeight="1" x14ac:dyDescent="0.2">
      <c r="A304" s="393">
        <v>302</v>
      </c>
      <c r="B304" s="392">
        <v>17</v>
      </c>
      <c r="C304" s="392">
        <v>7</v>
      </c>
      <c r="D304" s="16">
        <v>1404</v>
      </c>
      <c r="E304" s="391" t="s">
        <v>5656</v>
      </c>
      <c r="F304" s="391" t="s">
        <v>8</v>
      </c>
      <c r="G304" s="391" t="s">
        <v>3661</v>
      </c>
      <c r="H304" s="392" t="s">
        <v>7</v>
      </c>
      <c r="I304" s="360" t="s">
        <v>158</v>
      </c>
      <c r="J304" s="16" t="s">
        <v>5577</v>
      </c>
      <c r="K304" s="35" t="s">
        <v>104</v>
      </c>
      <c r="L304" s="35" t="s">
        <v>5651</v>
      </c>
      <c r="M304" s="391" t="s">
        <v>5652</v>
      </c>
      <c r="N304" s="41" t="s">
        <v>106</v>
      </c>
      <c r="O304" s="13" t="s">
        <v>107</v>
      </c>
      <c r="P304" s="13"/>
      <c r="Q304" s="13"/>
      <c r="R304" s="33" t="s">
        <v>108</v>
      </c>
      <c r="S304" s="33">
        <v>384</v>
      </c>
      <c r="T304" s="33">
        <v>8</v>
      </c>
      <c r="U304" s="391" t="s">
        <v>5653</v>
      </c>
      <c r="V304" s="41" t="s">
        <v>106</v>
      </c>
      <c r="W304" s="13" t="s">
        <v>5540</v>
      </c>
      <c r="X304" s="391"/>
      <c r="Y304" s="392" t="s">
        <v>5654</v>
      </c>
      <c r="Z304" s="392">
        <v>164</v>
      </c>
      <c r="AA304" s="392">
        <v>156</v>
      </c>
      <c r="AB304" s="16">
        <v>156</v>
      </c>
      <c r="AC304" s="16">
        <v>61</v>
      </c>
      <c r="AD304" s="16">
        <v>76</v>
      </c>
      <c r="AE304" s="16">
        <v>5</v>
      </c>
      <c r="AF304" s="16">
        <v>58</v>
      </c>
      <c r="AG304" s="16">
        <v>139</v>
      </c>
      <c r="AH304" s="16">
        <v>25</v>
      </c>
      <c r="AI304" s="16">
        <v>6</v>
      </c>
      <c r="AJ304" s="392"/>
      <c r="AK304" s="391" t="s">
        <v>5655</v>
      </c>
      <c r="AL304" s="25">
        <v>139</v>
      </c>
      <c r="AM304" s="392">
        <v>27.5</v>
      </c>
      <c r="AN304" s="392"/>
      <c r="AO304" s="392" t="s">
        <v>3714</v>
      </c>
      <c r="AP304" s="16" t="s">
        <v>5080</v>
      </c>
      <c r="AQ304" s="16" t="s">
        <v>112</v>
      </c>
      <c r="AR304" s="130">
        <v>1404</v>
      </c>
      <c r="AS304" s="130">
        <v>7</v>
      </c>
      <c r="AT304" s="130" t="s">
        <v>3714</v>
      </c>
      <c r="AU304" s="130" t="s">
        <v>3714</v>
      </c>
      <c r="AV304" s="12" t="s">
        <v>3714</v>
      </c>
      <c r="AW304" s="12" t="s">
        <v>3714</v>
      </c>
      <c r="AX304" s="12"/>
      <c r="AY304" s="408"/>
    </row>
    <row r="305" spans="1:51" ht="30" hidden="1" customHeight="1" x14ac:dyDescent="0.2">
      <c r="A305" s="393">
        <v>303</v>
      </c>
      <c r="B305" s="392">
        <v>19</v>
      </c>
      <c r="C305" s="392">
        <v>7</v>
      </c>
      <c r="D305" s="16">
        <v>1404</v>
      </c>
      <c r="E305" s="391" t="s">
        <v>1631</v>
      </c>
      <c r="F305" s="391" t="s">
        <v>6</v>
      </c>
      <c r="G305" s="391" t="s">
        <v>3661</v>
      </c>
      <c r="H305" s="392" t="s">
        <v>83</v>
      </c>
      <c r="I305" s="360" t="s">
        <v>158</v>
      </c>
      <c r="J305" s="16" t="s">
        <v>84</v>
      </c>
      <c r="K305" s="391"/>
      <c r="L305" s="391" t="s">
        <v>155</v>
      </c>
      <c r="M305" s="391" t="s">
        <v>5658</v>
      </c>
      <c r="N305" s="41" t="s">
        <v>106</v>
      </c>
      <c r="O305" s="13" t="s">
        <v>107</v>
      </c>
      <c r="P305" s="13"/>
      <c r="Q305" s="13"/>
      <c r="R305" s="392"/>
      <c r="S305" s="392">
        <v>384</v>
      </c>
      <c r="T305" s="392">
        <v>10</v>
      </c>
      <c r="U305" s="391" t="s">
        <v>5659</v>
      </c>
      <c r="V305" s="41" t="s">
        <v>106</v>
      </c>
      <c r="W305" s="13" t="s">
        <v>107</v>
      </c>
      <c r="X305" s="391"/>
      <c r="Y305" s="392" t="s">
        <v>5657</v>
      </c>
      <c r="Z305" s="392">
        <v>257</v>
      </c>
      <c r="AA305" s="392">
        <v>240</v>
      </c>
      <c r="AB305" s="16">
        <v>240</v>
      </c>
      <c r="AC305" s="16"/>
      <c r="AD305" s="16"/>
      <c r="AE305" s="16"/>
      <c r="AF305" s="16"/>
      <c r="AG305" s="16"/>
      <c r="AH305" s="16"/>
      <c r="AI305" s="16">
        <v>6</v>
      </c>
      <c r="AJ305" s="392"/>
      <c r="AK305" s="391"/>
      <c r="AL305" s="25"/>
      <c r="AM305" s="392"/>
      <c r="AN305" s="392"/>
      <c r="AO305" s="392"/>
      <c r="AP305" s="16" t="s">
        <v>160</v>
      </c>
      <c r="AQ305" s="16" t="s">
        <v>165</v>
      </c>
      <c r="AR305" s="130">
        <v>1404</v>
      </c>
      <c r="AS305" s="130">
        <v>7</v>
      </c>
      <c r="AT305" s="130">
        <v>1400</v>
      </c>
      <c r="AU305" s="130">
        <v>11</v>
      </c>
      <c r="AV305" s="12">
        <f t="shared" si="18"/>
        <v>44</v>
      </c>
      <c r="AW305" s="12" t="str">
        <f t="shared" si="19"/>
        <v/>
      </c>
      <c r="AX305" s="12"/>
      <c r="AY305" s="408"/>
    </row>
    <row r="306" spans="1:51" ht="30" hidden="1" customHeight="1" x14ac:dyDescent="0.2">
      <c r="A306" s="393">
        <v>304</v>
      </c>
      <c r="B306" s="392">
        <v>21</v>
      </c>
      <c r="C306" s="392">
        <v>7</v>
      </c>
      <c r="D306" s="16">
        <v>1404</v>
      </c>
      <c r="E306" s="391" t="s">
        <v>859</v>
      </c>
      <c r="F306" s="391" t="s">
        <v>20</v>
      </c>
      <c r="G306" s="391" t="s">
        <v>5660</v>
      </c>
      <c r="H306" s="392" t="s">
        <v>7</v>
      </c>
      <c r="I306" s="360" t="s">
        <v>158</v>
      </c>
      <c r="J306" s="16" t="s">
        <v>92</v>
      </c>
      <c r="K306" s="391"/>
      <c r="L306" s="391" t="s">
        <v>104</v>
      </c>
      <c r="M306" s="391" t="s">
        <v>5661</v>
      </c>
      <c r="N306" s="41" t="s">
        <v>106</v>
      </c>
      <c r="O306" s="13" t="s">
        <v>107</v>
      </c>
      <c r="P306" s="13"/>
      <c r="Q306" s="13"/>
      <c r="R306" s="392"/>
      <c r="S306" s="392">
        <v>6611</v>
      </c>
      <c r="T306" s="392">
        <v>12</v>
      </c>
      <c r="U306" s="391" t="s">
        <v>5662</v>
      </c>
      <c r="V306" s="41" t="s">
        <v>5540</v>
      </c>
      <c r="W306" s="13" t="s">
        <v>70</v>
      </c>
      <c r="X306" s="391"/>
      <c r="Y306" s="392"/>
      <c r="Z306" s="392">
        <v>245</v>
      </c>
      <c r="AA306" s="392"/>
      <c r="AB306" s="16">
        <v>227</v>
      </c>
      <c r="AC306" s="16">
        <v>97</v>
      </c>
      <c r="AD306" s="16">
        <v>145</v>
      </c>
      <c r="AE306" s="16">
        <v>4</v>
      </c>
      <c r="AF306" s="16">
        <v>20</v>
      </c>
      <c r="AG306" s="16">
        <v>169</v>
      </c>
      <c r="AH306" s="16">
        <v>18</v>
      </c>
      <c r="AI306" s="16">
        <v>6</v>
      </c>
      <c r="AJ306" s="392"/>
      <c r="AK306" s="391" t="s">
        <v>5663</v>
      </c>
      <c r="AL306" s="25">
        <v>169</v>
      </c>
      <c r="AM306" s="392">
        <v>18</v>
      </c>
      <c r="AN306" s="392"/>
      <c r="AO306" s="392"/>
      <c r="AP306" s="16" t="s">
        <v>160</v>
      </c>
      <c r="AQ306" s="16" t="s">
        <v>193</v>
      </c>
      <c r="AR306" s="130">
        <v>1404</v>
      </c>
      <c r="AS306" s="130">
        <v>7</v>
      </c>
      <c r="AT306" s="130"/>
      <c r="AU306" s="130"/>
      <c r="AV306" s="12" t="str">
        <f t="shared" si="18"/>
        <v/>
      </c>
      <c r="AW306" s="12" t="str">
        <f t="shared" si="19"/>
        <v/>
      </c>
      <c r="AX306" s="12"/>
      <c r="AY306" s="408"/>
    </row>
    <row r="307" spans="1:51" ht="30" hidden="1" customHeight="1" x14ac:dyDescent="0.2">
      <c r="A307" s="393">
        <v>305</v>
      </c>
      <c r="B307" s="392">
        <v>21</v>
      </c>
      <c r="C307" s="392">
        <v>7</v>
      </c>
      <c r="D307" s="16">
        <v>1404</v>
      </c>
      <c r="E307" s="391" t="s">
        <v>5703</v>
      </c>
      <c r="F307" s="391" t="s">
        <v>6</v>
      </c>
      <c r="G307" s="391" t="s">
        <v>90</v>
      </c>
      <c r="H307" s="392" t="s">
        <v>7</v>
      </c>
      <c r="I307" s="360" t="s">
        <v>158</v>
      </c>
      <c r="J307" s="16" t="s">
        <v>3576</v>
      </c>
      <c r="K307" s="391"/>
      <c r="L307" s="391" t="s">
        <v>155</v>
      </c>
      <c r="M307" s="391" t="s">
        <v>5664</v>
      </c>
      <c r="N307" s="41"/>
      <c r="O307" s="13" t="s">
        <v>70</v>
      </c>
      <c r="P307" s="13"/>
      <c r="Q307" s="13"/>
      <c r="R307" s="392"/>
      <c r="S307" s="392">
        <v>384</v>
      </c>
      <c r="T307" s="392">
        <v>10</v>
      </c>
      <c r="U307" s="391" t="s">
        <v>5665</v>
      </c>
      <c r="V307" s="41" t="s">
        <v>142</v>
      </c>
      <c r="W307" s="13" t="s">
        <v>70</v>
      </c>
      <c r="X307" s="391"/>
      <c r="Y307" s="392"/>
      <c r="Z307" s="392">
        <v>250</v>
      </c>
      <c r="AA307" s="392"/>
      <c r="AB307" s="16">
        <v>232</v>
      </c>
      <c r="AC307" s="16">
        <v>92</v>
      </c>
      <c r="AD307" s="16">
        <v>110</v>
      </c>
      <c r="AE307" s="16">
        <v>7</v>
      </c>
      <c r="AF307" s="16">
        <v>79</v>
      </c>
      <c r="AG307" s="16">
        <v>196</v>
      </c>
      <c r="AH307" s="16">
        <v>25</v>
      </c>
      <c r="AI307" s="16">
        <v>6</v>
      </c>
      <c r="AJ307" s="392"/>
      <c r="AK307" s="391" t="s">
        <v>5663</v>
      </c>
      <c r="AL307" s="25">
        <v>196</v>
      </c>
      <c r="AM307" s="392">
        <v>23.5</v>
      </c>
      <c r="AN307" s="392"/>
      <c r="AO307" s="392"/>
      <c r="AP307" s="16" t="s">
        <v>160</v>
      </c>
      <c r="AQ307" s="16" t="s">
        <v>165</v>
      </c>
      <c r="AR307" s="130">
        <v>1404</v>
      </c>
      <c r="AS307" s="130">
        <v>7</v>
      </c>
      <c r="AT307" s="130"/>
      <c r="AU307" s="130"/>
      <c r="AV307" s="12" t="str">
        <f t="shared" si="18"/>
        <v/>
      </c>
      <c r="AW307" s="12" t="str">
        <f t="shared" si="19"/>
        <v/>
      </c>
      <c r="AX307" s="12"/>
      <c r="AY307" s="408"/>
    </row>
    <row r="308" spans="1:51" ht="30" hidden="1" customHeight="1" x14ac:dyDescent="0.2">
      <c r="A308" s="393">
        <v>306</v>
      </c>
      <c r="B308" s="392">
        <v>22</v>
      </c>
      <c r="C308" s="392">
        <v>7</v>
      </c>
      <c r="D308" s="16">
        <v>1404</v>
      </c>
      <c r="E308" s="391" t="s">
        <v>2579</v>
      </c>
      <c r="F308" s="391" t="s">
        <v>20</v>
      </c>
      <c r="G308" s="391" t="s">
        <v>922</v>
      </c>
      <c r="H308" s="392" t="s">
        <v>83</v>
      </c>
      <c r="I308" s="360" t="s">
        <v>158</v>
      </c>
      <c r="J308" s="16" t="s">
        <v>5539</v>
      </c>
      <c r="K308" s="391"/>
      <c r="L308" s="391" t="s">
        <v>334</v>
      </c>
      <c r="M308" s="391"/>
      <c r="N308" s="41" t="s">
        <v>106</v>
      </c>
      <c r="O308" s="13" t="s">
        <v>107</v>
      </c>
      <c r="P308" s="13"/>
      <c r="Q308" s="13"/>
      <c r="R308" s="392"/>
      <c r="S308" s="392">
        <v>233</v>
      </c>
      <c r="T308" s="392">
        <v>11</v>
      </c>
      <c r="U308" s="391"/>
      <c r="V308" s="41" t="s">
        <v>106</v>
      </c>
      <c r="W308" s="13" t="s">
        <v>107</v>
      </c>
      <c r="X308" s="391"/>
      <c r="Y308" s="392" t="s">
        <v>4836</v>
      </c>
      <c r="Z308" s="392">
        <v>123</v>
      </c>
      <c r="AA308" s="392">
        <v>120</v>
      </c>
      <c r="AB308" s="16">
        <v>120</v>
      </c>
      <c r="AC308" s="16"/>
      <c r="AD308" s="16"/>
      <c r="AE308" s="16"/>
      <c r="AF308" s="16"/>
      <c r="AG308" s="16"/>
      <c r="AH308" s="16"/>
      <c r="AI308" s="16">
        <v>4</v>
      </c>
      <c r="AJ308" s="392"/>
      <c r="AK308" s="391"/>
      <c r="AL308" s="25"/>
      <c r="AM308" s="392"/>
      <c r="AN308" s="392"/>
      <c r="AO308" s="392"/>
      <c r="AP308" s="16"/>
      <c r="AQ308" s="16"/>
      <c r="AR308" s="130">
        <v>1404</v>
      </c>
      <c r="AS308" s="130">
        <v>7</v>
      </c>
      <c r="AT308" s="130">
        <v>1403</v>
      </c>
      <c r="AU308" s="130">
        <v>8</v>
      </c>
      <c r="AV308" s="12">
        <f t="shared" si="18"/>
        <v>11</v>
      </c>
      <c r="AW308" s="12">
        <f t="shared" si="19"/>
        <v>11</v>
      </c>
      <c r="AX308" s="12"/>
      <c r="AY308" s="408"/>
    </row>
    <row r="309" spans="1:51" ht="30" hidden="1" customHeight="1" x14ac:dyDescent="0.2">
      <c r="A309" s="393">
        <v>307</v>
      </c>
      <c r="B309" s="392">
        <v>22</v>
      </c>
      <c r="C309" s="392">
        <v>7</v>
      </c>
      <c r="D309" s="16">
        <v>1404</v>
      </c>
      <c r="E309" s="391" t="s">
        <v>5666</v>
      </c>
      <c r="F309" s="391" t="s">
        <v>6</v>
      </c>
      <c r="G309" s="391"/>
      <c r="H309" s="392" t="s">
        <v>83</v>
      </c>
      <c r="I309" s="360" t="s">
        <v>158</v>
      </c>
      <c r="J309" s="16" t="s">
        <v>84</v>
      </c>
      <c r="K309" s="391"/>
      <c r="L309" s="391" t="s">
        <v>155</v>
      </c>
      <c r="M309" s="391" t="s">
        <v>3510</v>
      </c>
      <c r="N309" s="41" t="s">
        <v>106</v>
      </c>
      <c r="O309" s="13" t="s">
        <v>107</v>
      </c>
      <c r="P309" s="13"/>
      <c r="Q309" s="13"/>
      <c r="R309" s="392"/>
      <c r="S309" s="392">
        <v>6611</v>
      </c>
      <c r="T309" s="392">
        <v>15</v>
      </c>
      <c r="U309" s="391" t="s">
        <v>3511</v>
      </c>
      <c r="V309" s="41" t="s">
        <v>106</v>
      </c>
      <c r="W309" s="13" t="s">
        <v>107</v>
      </c>
      <c r="X309" s="391"/>
      <c r="Y309" s="392" t="s">
        <v>5668</v>
      </c>
      <c r="Z309" s="392">
        <v>248</v>
      </c>
      <c r="AA309" s="392">
        <v>231</v>
      </c>
      <c r="AB309" s="16">
        <v>231</v>
      </c>
      <c r="AC309" s="16"/>
      <c r="AD309" s="16"/>
      <c r="AE309" s="16"/>
      <c r="AF309" s="16"/>
      <c r="AG309" s="16"/>
      <c r="AH309" s="16"/>
      <c r="AI309" s="16">
        <v>6</v>
      </c>
      <c r="AJ309" s="392"/>
      <c r="AK309" s="391"/>
      <c r="AL309" s="25"/>
      <c r="AM309" s="392"/>
      <c r="AN309" s="392"/>
      <c r="AO309" s="392"/>
      <c r="AP309" s="16"/>
      <c r="AQ309" s="16"/>
      <c r="AR309" s="130">
        <v>1404</v>
      </c>
      <c r="AS309" s="130">
        <v>7</v>
      </c>
      <c r="AT309" s="130">
        <v>1402</v>
      </c>
      <c r="AU309" s="130">
        <v>4</v>
      </c>
      <c r="AV309" s="12">
        <f t="shared" si="18"/>
        <v>27</v>
      </c>
      <c r="AW309" s="12" t="str">
        <f t="shared" si="19"/>
        <v/>
      </c>
      <c r="AX309" s="12"/>
      <c r="AY309" s="409" t="s">
        <v>5878</v>
      </c>
    </row>
    <row r="310" spans="1:51" ht="30" hidden="1" customHeight="1" x14ac:dyDescent="0.2">
      <c r="A310" s="393">
        <v>308</v>
      </c>
      <c r="B310" s="392">
        <v>22</v>
      </c>
      <c r="C310" s="392">
        <v>7</v>
      </c>
      <c r="D310" s="16">
        <v>1404</v>
      </c>
      <c r="E310" s="391" t="s">
        <v>318</v>
      </c>
      <c r="F310" s="391" t="s">
        <v>6</v>
      </c>
      <c r="G310" s="391" t="s">
        <v>185</v>
      </c>
      <c r="H310" s="392" t="s">
        <v>7</v>
      </c>
      <c r="I310" s="360" t="s">
        <v>158</v>
      </c>
      <c r="J310" s="16" t="s">
        <v>84</v>
      </c>
      <c r="K310" s="391"/>
      <c r="L310" s="391" t="s">
        <v>155</v>
      </c>
      <c r="M310" s="422" t="s">
        <v>5781</v>
      </c>
      <c r="N310" s="41" t="s">
        <v>106</v>
      </c>
      <c r="O310" s="13" t="s">
        <v>107</v>
      </c>
      <c r="P310" s="13"/>
      <c r="Q310" s="13"/>
      <c r="R310" s="392"/>
      <c r="S310" s="392">
        <v>384</v>
      </c>
      <c r="T310" s="392">
        <v>11</v>
      </c>
      <c r="U310" s="391" t="s">
        <v>5782</v>
      </c>
      <c r="V310" s="41" t="s">
        <v>106</v>
      </c>
      <c r="W310" s="13" t="s">
        <v>107</v>
      </c>
      <c r="X310" s="391"/>
      <c r="Y310" s="392" t="s">
        <v>316</v>
      </c>
      <c r="Z310" s="392">
        <v>200</v>
      </c>
      <c r="AA310" s="392">
        <v>189</v>
      </c>
      <c r="AB310" s="16">
        <v>189</v>
      </c>
      <c r="AC310" s="16">
        <v>128</v>
      </c>
      <c r="AD310" s="16">
        <v>160</v>
      </c>
      <c r="AE310" s="16">
        <v>6</v>
      </c>
      <c r="AF310" s="16">
        <v>30</v>
      </c>
      <c r="AG310" s="16">
        <v>196</v>
      </c>
      <c r="AH310" s="16">
        <v>25</v>
      </c>
      <c r="AI310" s="16">
        <v>6</v>
      </c>
      <c r="AJ310" s="392"/>
      <c r="AK310" s="391" t="s">
        <v>5669</v>
      </c>
      <c r="AL310" s="25">
        <v>196</v>
      </c>
      <c r="AM310" s="392">
        <v>25.9</v>
      </c>
      <c r="AN310" s="392"/>
      <c r="AO310" s="392"/>
      <c r="AP310" s="16" t="s">
        <v>160</v>
      </c>
      <c r="AQ310" s="16" t="s">
        <v>165</v>
      </c>
      <c r="AR310" s="130">
        <v>1404</v>
      </c>
      <c r="AS310" s="130">
        <v>7</v>
      </c>
      <c r="AT310" s="130"/>
      <c r="AU310" s="130"/>
      <c r="AV310" s="12" t="str">
        <f t="shared" si="18"/>
        <v/>
      </c>
      <c r="AW310" s="12" t="str">
        <f t="shared" si="19"/>
        <v/>
      </c>
      <c r="AX310" s="12"/>
      <c r="AY310" s="408"/>
    </row>
    <row r="311" spans="1:51" ht="30" hidden="1" customHeight="1" x14ac:dyDescent="0.2">
      <c r="A311" s="393">
        <v>309</v>
      </c>
      <c r="B311" s="392">
        <v>23</v>
      </c>
      <c r="C311" s="392">
        <v>7</v>
      </c>
      <c r="D311" s="16">
        <v>1404</v>
      </c>
      <c r="E311" s="391" t="s">
        <v>773</v>
      </c>
      <c r="F311" s="391" t="s">
        <v>66</v>
      </c>
      <c r="G311" s="391"/>
      <c r="H311" s="392" t="s">
        <v>7</v>
      </c>
      <c r="I311" s="360" t="s">
        <v>158</v>
      </c>
      <c r="J311" s="16" t="s">
        <v>84</v>
      </c>
      <c r="K311" s="391"/>
      <c r="L311" s="391" t="s">
        <v>334</v>
      </c>
      <c r="M311" s="422" t="s">
        <v>5670</v>
      </c>
      <c r="N311" s="41"/>
      <c r="O311" s="13"/>
      <c r="P311" s="13"/>
      <c r="Q311" s="13"/>
      <c r="R311" s="392"/>
      <c r="S311" s="392">
        <v>6608</v>
      </c>
      <c r="T311" s="392">
        <v>12</v>
      </c>
      <c r="U311" s="391" t="s">
        <v>5671</v>
      </c>
      <c r="V311" s="41"/>
      <c r="W311" s="13"/>
      <c r="X311" s="391"/>
      <c r="Y311" s="392"/>
      <c r="Z311" s="392"/>
      <c r="AA311" s="392">
        <v>210</v>
      </c>
      <c r="AB311" s="16">
        <v>210</v>
      </c>
      <c r="AC311" s="16"/>
      <c r="AD311" s="16"/>
      <c r="AE311" s="16"/>
      <c r="AF311" s="16"/>
      <c r="AG311" s="16"/>
      <c r="AH311" s="16"/>
      <c r="AI311" s="16">
        <v>4</v>
      </c>
      <c r="AJ311" s="392"/>
      <c r="AK311" s="391"/>
      <c r="AL311" s="25"/>
      <c r="AM311" s="392"/>
      <c r="AN311" s="392"/>
      <c r="AO311" s="392"/>
      <c r="AP311" s="16" t="s">
        <v>160</v>
      </c>
      <c r="AQ311" s="16" t="s">
        <v>112</v>
      </c>
      <c r="AR311" s="130">
        <v>1404</v>
      </c>
      <c r="AS311" s="130">
        <v>7</v>
      </c>
      <c r="AT311" s="130"/>
      <c r="AU311" s="130"/>
      <c r="AV311" s="12" t="str">
        <f t="shared" ref="AV311:AV316" si="20">IF(AR311*AT311&gt;0,(AR311-AT311)*12+(AS311-AU311),"")</f>
        <v/>
      </c>
      <c r="AW311" s="12" t="str">
        <f t="shared" ref="AW311:AW316" si="21">IF(AV311&lt;13,AV311,"")</f>
        <v/>
      </c>
      <c r="AX311" s="12"/>
      <c r="AY311" s="408"/>
    </row>
    <row r="312" spans="1:51" ht="30" hidden="1" customHeight="1" x14ac:dyDescent="0.2">
      <c r="A312" s="393">
        <v>310</v>
      </c>
      <c r="B312" s="392">
        <v>23</v>
      </c>
      <c r="C312" s="392">
        <v>7</v>
      </c>
      <c r="D312" s="16">
        <v>1404</v>
      </c>
      <c r="E312" s="391" t="s">
        <v>181</v>
      </c>
      <c r="F312" s="391" t="s">
        <v>9</v>
      </c>
      <c r="G312" s="411" t="s">
        <v>5608</v>
      </c>
      <c r="H312" s="392" t="s">
        <v>83</v>
      </c>
      <c r="I312" s="360" t="s">
        <v>158</v>
      </c>
      <c r="J312" s="16" t="s">
        <v>92</v>
      </c>
      <c r="K312" s="391"/>
      <c r="L312" s="391" t="s">
        <v>223</v>
      </c>
      <c r="M312" s="422" t="s">
        <v>5672</v>
      </c>
      <c r="N312" s="41" t="s">
        <v>106</v>
      </c>
      <c r="O312" s="13" t="s">
        <v>107</v>
      </c>
      <c r="P312" s="13"/>
      <c r="Q312" s="13"/>
      <c r="R312" s="392"/>
      <c r="S312" s="392">
        <v>233</v>
      </c>
      <c r="T312" s="392">
        <v>11</v>
      </c>
      <c r="U312" s="400" t="s">
        <v>5532</v>
      </c>
      <c r="V312" s="41" t="s">
        <v>106</v>
      </c>
      <c r="W312" s="13" t="s">
        <v>107</v>
      </c>
      <c r="X312" s="391"/>
      <c r="Y312" s="413" t="s">
        <v>4779</v>
      </c>
      <c r="Z312" s="392">
        <v>230</v>
      </c>
      <c r="AA312" s="392">
        <v>216</v>
      </c>
      <c r="AB312" s="16">
        <v>216</v>
      </c>
      <c r="AC312" s="16" t="s">
        <v>3714</v>
      </c>
      <c r="AD312" s="16" t="s">
        <v>3714</v>
      </c>
      <c r="AE312" s="16" t="s">
        <v>3714</v>
      </c>
      <c r="AF312" s="16" t="s">
        <v>3714</v>
      </c>
      <c r="AG312" s="16" t="s">
        <v>3714</v>
      </c>
      <c r="AH312" s="16" t="s">
        <v>3714</v>
      </c>
      <c r="AI312" s="16">
        <v>4</v>
      </c>
      <c r="AJ312" s="392"/>
      <c r="AK312" s="391" t="s">
        <v>3714</v>
      </c>
      <c r="AL312" s="25" t="s">
        <v>3714</v>
      </c>
      <c r="AM312" s="392" t="s">
        <v>3714</v>
      </c>
      <c r="AN312" s="392"/>
      <c r="AO312" s="392"/>
      <c r="AP312" s="16" t="s">
        <v>160</v>
      </c>
      <c r="AQ312" s="16" t="s">
        <v>231</v>
      </c>
      <c r="AR312" s="130">
        <v>1404</v>
      </c>
      <c r="AS312" s="130">
        <v>7</v>
      </c>
      <c r="AT312" s="130">
        <v>1403</v>
      </c>
      <c r="AU312" s="130">
        <v>7</v>
      </c>
      <c r="AV312" s="12">
        <f t="shared" si="20"/>
        <v>12</v>
      </c>
      <c r="AW312" s="12">
        <f t="shared" si="21"/>
        <v>12</v>
      </c>
      <c r="AX312" s="12"/>
      <c r="AY312" s="409" t="s">
        <v>5694</v>
      </c>
    </row>
    <row r="313" spans="1:51" ht="30" hidden="1" customHeight="1" x14ac:dyDescent="0.2">
      <c r="A313" s="393">
        <v>311</v>
      </c>
      <c r="B313" s="392">
        <v>23</v>
      </c>
      <c r="C313" s="392">
        <v>7</v>
      </c>
      <c r="D313" s="16">
        <v>1404</v>
      </c>
      <c r="E313" s="391" t="s">
        <v>181</v>
      </c>
      <c r="F313" s="391" t="s">
        <v>9</v>
      </c>
      <c r="G313" s="391" t="s">
        <v>3714</v>
      </c>
      <c r="H313" s="392" t="s">
        <v>7</v>
      </c>
      <c r="I313" s="360" t="s">
        <v>158</v>
      </c>
      <c r="J313" s="16" t="s">
        <v>92</v>
      </c>
      <c r="K313" s="35" t="s">
        <v>223</v>
      </c>
      <c r="L313" s="35" t="s">
        <v>334</v>
      </c>
      <c r="M313" s="422" t="s">
        <v>5674</v>
      </c>
      <c r="N313" s="41" t="s">
        <v>69</v>
      </c>
      <c r="O313" s="13" t="s">
        <v>70</v>
      </c>
      <c r="P313" s="13"/>
      <c r="Q313" s="13"/>
      <c r="R313" s="33" t="s">
        <v>2753</v>
      </c>
      <c r="S313" s="33">
        <v>6608</v>
      </c>
      <c r="T313" s="33">
        <v>12</v>
      </c>
      <c r="U313" s="391" t="s">
        <v>5708</v>
      </c>
      <c r="V313" s="41" t="s">
        <v>73</v>
      </c>
      <c r="W313" s="13" t="s">
        <v>70</v>
      </c>
      <c r="X313" s="391"/>
      <c r="Y313" s="392" t="s">
        <v>4779</v>
      </c>
      <c r="Z313" s="392">
        <v>230</v>
      </c>
      <c r="AA313" s="392">
        <v>216</v>
      </c>
      <c r="AB313" s="16">
        <v>216</v>
      </c>
      <c r="AC313" s="16">
        <v>113</v>
      </c>
      <c r="AD313" s="16">
        <v>119</v>
      </c>
      <c r="AE313" s="16">
        <v>10</v>
      </c>
      <c r="AF313" s="16">
        <v>27</v>
      </c>
      <c r="AG313" s="16">
        <v>156</v>
      </c>
      <c r="AH313" s="16">
        <v>8</v>
      </c>
      <c r="AI313" s="16">
        <v>4</v>
      </c>
      <c r="AJ313" s="392"/>
      <c r="AK313" s="391" t="s">
        <v>5673</v>
      </c>
      <c r="AL313" s="25">
        <v>156</v>
      </c>
      <c r="AM313" s="392">
        <v>9.9</v>
      </c>
      <c r="AN313" s="392"/>
      <c r="AO313" s="392"/>
      <c r="AP313" s="16" t="s">
        <v>160</v>
      </c>
      <c r="AQ313" s="16" t="s">
        <v>231</v>
      </c>
      <c r="AR313" s="130">
        <v>1404</v>
      </c>
      <c r="AS313" s="130">
        <v>7</v>
      </c>
      <c r="AT313" s="130"/>
      <c r="AU313" s="130"/>
      <c r="AV313" s="12" t="str">
        <f t="shared" si="20"/>
        <v/>
      </c>
      <c r="AW313" s="12" t="str">
        <f t="shared" si="21"/>
        <v/>
      </c>
      <c r="AX313" s="12"/>
      <c r="AY313" s="408"/>
    </row>
    <row r="314" spans="1:51" ht="30" hidden="1" customHeight="1" x14ac:dyDescent="0.2">
      <c r="A314" s="393">
        <v>312</v>
      </c>
      <c r="B314" s="392">
        <v>23</v>
      </c>
      <c r="C314" s="392">
        <v>7</v>
      </c>
      <c r="D314" s="16">
        <v>1404</v>
      </c>
      <c r="E314" s="391" t="s">
        <v>5667</v>
      </c>
      <c r="F314" s="391" t="s">
        <v>6</v>
      </c>
      <c r="G314" s="391" t="s">
        <v>90</v>
      </c>
      <c r="H314" s="392" t="s">
        <v>7</v>
      </c>
      <c r="I314" s="360" t="s">
        <v>158</v>
      </c>
      <c r="J314" s="16" t="s">
        <v>3576</v>
      </c>
      <c r="K314" s="391" t="s">
        <v>3714</v>
      </c>
      <c r="L314" s="391" t="s">
        <v>155</v>
      </c>
      <c r="M314" s="422" t="s">
        <v>5675</v>
      </c>
      <c r="N314" s="41" t="s">
        <v>106</v>
      </c>
      <c r="O314" s="13" t="s">
        <v>107</v>
      </c>
      <c r="P314" s="13"/>
      <c r="Q314" s="13"/>
      <c r="R314" s="392"/>
      <c r="S314" s="392">
        <v>6611</v>
      </c>
      <c r="T314" s="392">
        <v>15</v>
      </c>
      <c r="U314" s="391" t="s">
        <v>5676</v>
      </c>
      <c r="V314" s="41" t="s">
        <v>106</v>
      </c>
      <c r="W314" s="13" t="s">
        <v>107</v>
      </c>
      <c r="X314" s="391"/>
      <c r="Y314" s="392"/>
      <c r="Z314" s="392">
        <v>250</v>
      </c>
      <c r="AA314" s="392"/>
      <c r="AB314" s="16">
        <v>230</v>
      </c>
      <c r="AC314" s="16">
        <v>98</v>
      </c>
      <c r="AD314" s="16">
        <v>112</v>
      </c>
      <c r="AE314" s="16">
        <v>7</v>
      </c>
      <c r="AF314" s="16">
        <v>50</v>
      </c>
      <c r="AG314" s="16">
        <v>169</v>
      </c>
      <c r="AH314" s="16">
        <v>23</v>
      </c>
      <c r="AI314" s="16">
        <v>6</v>
      </c>
      <c r="AJ314" s="392"/>
      <c r="AK314" s="391" t="s">
        <v>5673</v>
      </c>
      <c r="AL314" s="25">
        <v>169</v>
      </c>
      <c r="AM314" s="392">
        <v>23.3</v>
      </c>
      <c r="AN314" s="392"/>
      <c r="AO314" s="392"/>
      <c r="AP314" s="16" t="s">
        <v>160</v>
      </c>
      <c r="AQ314" s="16" t="s">
        <v>165</v>
      </c>
      <c r="AR314" s="130">
        <v>1404</v>
      </c>
      <c r="AS314" s="130">
        <v>7</v>
      </c>
      <c r="AT314" s="130"/>
      <c r="AU314" s="130"/>
      <c r="AV314" s="12" t="str">
        <f t="shared" si="20"/>
        <v/>
      </c>
      <c r="AW314" s="12" t="str">
        <f t="shared" si="21"/>
        <v/>
      </c>
      <c r="AX314" s="12"/>
      <c r="AY314" s="408"/>
    </row>
    <row r="315" spans="1:51" ht="30" hidden="1" customHeight="1" x14ac:dyDescent="0.2">
      <c r="A315" s="413">
        <v>313</v>
      </c>
      <c r="B315" s="413">
        <v>24</v>
      </c>
      <c r="C315" s="413">
        <v>7</v>
      </c>
      <c r="D315" s="16">
        <v>1404</v>
      </c>
      <c r="E315" s="412" t="s">
        <v>5677</v>
      </c>
      <c r="F315" s="412" t="s">
        <v>8</v>
      </c>
      <c r="G315" s="412" t="s">
        <v>90</v>
      </c>
      <c r="H315" s="413" t="s">
        <v>7</v>
      </c>
      <c r="I315" s="360" t="s">
        <v>158</v>
      </c>
      <c r="J315" s="16"/>
      <c r="K315" s="412"/>
      <c r="L315" s="412" t="s">
        <v>104</v>
      </c>
      <c r="M315" s="422" t="s">
        <v>5678</v>
      </c>
      <c r="N315" s="41" t="s">
        <v>106</v>
      </c>
      <c r="O315" s="13" t="s">
        <v>107</v>
      </c>
      <c r="P315" s="13"/>
      <c r="Q315" s="13"/>
      <c r="R315" s="413"/>
      <c r="S315" s="413">
        <v>345</v>
      </c>
      <c r="T315" s="413">
        <v>7</v>
      </c>
      <c r="U315" s="412" t="s">
        <v>5679</v>
      </c>
      <c r="V315" s="41" t="s">
        <v>106</v>
      </c>
      <c r="W315" s="13" t="s">
        <v>107</v>
      </c>
      <c r="X315" s="412"/>
      <c r="Y315" s="413"/>
      <c r="Z315" s="413">
        <v>250</v>
      </c>
      <c r="AA315" s="413">
        <v>230</v>
      </c>
      <c r="AB315" s="16">
        <v>230</v>
      </c>
      <c r="AC315" s="16">
        <v>58</v>
      </c>
      <c r="AD315" s="16">
        <v>87</v>
      </c>
      <c r="AE315" s="16">
        <v>7</v>
      </c>
      <c r="AF315" s="16">
        <v>65</v>
      </c>
      <c r="AG315" s="16">
        <v>159</v>
      </c>
      <c r="AH315" s="16">
        <v>22</v>
      </c>
      <c r="AI315" s="16">
        <v>6</v>
      </c>
      <c r="AJ315" s="413"/>
      <c r="AK315" s="412" t="s">
        <v>5680</v>
      </c>
      <c r="AL315" s="25">
        <v>159</v>
      </c>
      <c r="AM315" s="413">
        <v>21.5</v>
      </c>
      <c r="AN315" s="413"/>
      <c r="AO315" s="413"/>
      <c r="AP315" s="16" t="s">
        <v>160</v>
      </c>
      <c r="AQ315" s="16" t="s">
        <v>193</v>
      </c>
      <c r="AR315" s="130">
        <v>1404</v>
      </c>
      <c r="AS315" s="130">
        <v>7</v>
      </c>
      <c r="AT315" s="130"/>
      <c r="AU315" s="130"/>
      <c r="AV315" s="12" t="str">
        <f t="shared" si="20"/>
        <v/>
      </c>
      <c r="AW315" s="12" t="str">
        <f t="shared" si="21"/>
        <v/>
      </c>
      <c r="AX315" s="12"/>
      <c r="AY315" s="408"/>
    </row>
    <row r="316" spans="1:51" ht="30" hidden="1" customHeight="1" x14ac:dyDescent="0.2">
      <c r="A316" s="413">
        <v>314</v>
      </c>
      <c r="B316" s="413">
        <v>25</v>
      </c>
      <c r="C316" s="413">
        <v>7</v>
      </c>
      <c r="D316" s="16">
        <v>1404</v>
      </c>
      <c r="E316" s="412" t="s">
        <v>892</v>
      </c>
      <c r="F316" s="412" t="s">
        <v>20</v>
      </c>
      <c r="G316" s="412"/>
      <c r="H316" s="413" t="s">
        <v>83</v>
      </c>
      <c r="I316" s="360" t="s">
        <v>158</v>
      </c>
      <c r="J316" s="16" t="s">
        <v>92</v>
      </c>
      <c r="K316" s="412"/>
      <c r="L316" s="412" t="s">
        <v>140</v>
      </c>
      <c r="M316" s="422" t="s">
        <v>5686</v>
      </c>
      <c r="N316" s="41" t="s">
        <v>106</v>
      </c>
      <c r="O316" s="13" t="s">
        <v>107</v>
      </c>
      <c r="P316" s="13"/>
      <c r="Q316" s="13"/>
      <c r="R316" s="413"/>
      <c r="S316" s="413">
        <v>6608</v>
      </c>
      <c r="T316" s="413">
        <v>15</v>
      </c>
      <c r="U316" s="412" t="s">
        <v>5687</v>
      </c>
      <c r="V316" s="41" t="s">
        <v>106</v>
      </c>
      <c r="W316" s="13" t="s">
        <v>107</v>
      </c>
      <c r="X316" s="412"/>
      <c r="Y316" s="413"/>
      <c r="Z316" s="413"/>
      <c r="AA316" s="413">
        <v>210</v>
      </c>
      <c r="AB316" s="16">
        <v>210</v>
      </c>
      <c r="AC316" s="16"/>
      <c r="AD316" s="16"/>
      <c r="AE316" s="16"/>
      <c r="AF316" s="16"/>
      <c r="AG316" s="16"/>
      <c r="AH316" s="16"/>
      <c r="AI316" s="16">
        <v>6</v>
      </c>
      <c r="AJ316" s="413"/>
      <c r="AK316" s="412"/>
      <c r="AL316" s="25"/>
      <c r="AM316" s="413"/>
      <c r="AN316" s="413"/>
      <c r="AO316" s="413"/>
      <c r="AP316" s="16" t="s">
        <v>160</v>
      </c>
      <c r="AQ316" s="16" t="s">
        <v>193</v>
      </c>
      <c r="AR316" s="130">
        <v>1404</v>
      </c>
      <c r="AS316" s="130">
        <v>7</v>
      </c>
      <c r="AT316" s="130">
        <v>1402</v>
      </c>
      <c r="AU316" s="130">
        <v>12</v>
      </c>
      <c r="AV316" s="12">
        <f t="shared" si="20"/>
        <v>19</v>
      </c>
      <c r="AW316" s="12" t="str">
        <f t="shared" si="21"/>
        <v/>
      </c>
      <c r="AX316" s="12"/>
      <c r="AY316" s="409" t="s">
        <v>5711</v>
      </c>
    </row>
    <row r="317" spans="1:51" ht="30" hidden="1" customHeight="1" x14ac:dyDescent="0.2">
      <c r="A317" s="413">
        <v>315</v>
      </c>
      <c r="B317" s="413">
        <v>25</v>
      </c>
      <c r="C317" s="413">
        <v>7</v>
      </c>
      <c r="D317" s="16">
        <v>1404</v>
      </c>
      <c r="E317" s="412" t="s">
        <v>892</v>
      </c>
      <c r="F317" s="412" t="s">
        <v>20</v>
      </c>
      <c r="G317" s="412"/>
      <c r="H317" s="413" t="s">
        <v>7</v>
      </c>
      <c r="I317" s="360" t="s">
        <v>158</v>
      </c>
      <c r="J317" s="16" t="s">
        <v>5577</v>
      </c>
      <c r="K317" s="35" t="s">
        <v>140</v>
      </c>
      <c r="L317" s="35" t="s">
        <v>334</v>
      </c>
      <c r="M317" s="422" t="s">
        <v>5689</v>
      </c>
      <c r="N317" s="41" t="s">
        <v>69</v>
      </c>
      <c r="O317" s="13" t="s">
        <v>5709</v>
      </c>
      <c r="P317" s="13"/>
      <c r="Q317" s="13"/>
      <c r="R317" s="33" t="s">
        <v>276</v>
      </c>
      <c r="S317" s="33">
        <v>6608</v>
      </c>
      <c r="T317" s="33">
        <v>9</v>
      </c>
      <c r="U317" s="412" t="s">
        <v>5690</v>
      </c>
      <c r="V317" s="41" t="s">
        <v>73</v>
      </c>
      <c r="W317" s="13" t="s">
        <v>70</v>
      </c>
      <c r="X317" s="412"/>
      <c r="Y317" s="413" t="s">
        <v>4311</v>
      </c>
      <c r="Z317" s="413">
        <v>247</v>
      </c>
      <c r="AA317" s="413">
        <v>210</v>
      </c>
      <c r="AB317" s="16">
        <v>207</v>
      </c>
      <c r="AC317" s="16">
        <v>74.2</v>
      </c>
      <c r="AD317" s="16">
        <v>110</v>
      </c>
      <c r="AE317" s="16">
        <v>1</v>
      </c>
      <c r="AF317" s="16">
        <v>7</v>
      </c>
      <c r="AG317" s="16">
        <v>118</v>
      </c>
      <c r="AH317" s="16">
        <v>9</v>
      </c>
      <c r="AI317" s="16">
        <v>6</v>
      </c>
      <c r="AJ317" s="413"/>
      <c r="AK317" s="412" t="s">
        <v>5693</v>
      </c>
      <c r="AL317" s="25">
        <v>118</v>
      </c>
      <c r="AM317" s="413">
        <v>8.8000000000000007</v>
      </c>
      <c r="AN317" s="413"/>
      <c r="AO317" s="413"/>
      <c r="AP317" s="16" t="s">
        <v>160</v>
      </c>
      <c r="AQ317" s="16"/>
      <c r="AR317" s="130">
        <v>1404</v>
      </c>
      <c r="AS317" s="130">
        <v>7</v>
      </c>
      <c r="AT317" s="130"/>
      <c r="AU317" s="130"/>
      <c r="AV317" s="12"/>
      <c r="AW317" s="12"/>
      <c r="AX317" s="12"/>
      <c r="AY317" s="408"/>
    </row>
    <row r="318" spans="1:51" ht="30" hidden="1" customHeight="1" x14ac:dyDescent="0.2">
      <c r="A318" s="413">
        <v>316</v>
      </c>
      <c r="B318" s="413">
        <v>25</v>
      </c>
      <c r="C318" s="413">
        <v>7</v>
      </c>
      <c r="D318" s="16">
        <v>1404</v>
      </c>
      <c r="E318" s="412" t="s">
        <v>5685</v>
      </c>
      <c r="F318" s="412" t="s">
        <v>243</v>
      </c>
      <c r="G318" s="412" t="s">
        <v>90</v>
      </c>
      <c r="H318" s="413" t="s">
        <v>7</v>
      </c>
      <c r="I318" s="360" t="s">
        <v>158</v>
      </c>
      <c r="J318" s="16" t="s">
        <v>84</v>
      </c>
      <c r="K318" s="412"/>
      <c r="L318" s="412" t="s">
        <v>68</v>
      </c>
      <c r="M318" s="422" t="s">
        <v>5688</v>
      </c>
      <c r="N318" s="41" t="s">
        <v>106</v>
      </c>
      <c r="O318" s="13" t="s">
        <v>107</v>
      </c>
      <c r="P318" s="13"/>
      <c r="Q318" s="13"/>
      <c r="R318" s="413"/>
      <c r="S318" s="413">
        <v>384</v>
      </c>
      <c r="T318" s="413">
        <v>8</v>
      </c>
      <c r="U318" s="412" t="s">
        <v>5691</v>
      </c>
      <c r="V318" s="41" t="s">
        <v>106</v>
      </c>
      <c r="W318" s="13" t="s">
        <v>107</v>
      </c>
      <c r="X318" s="412"/>
      <c r="Y318" s="413"/>
      <c r="Z318" s="413">
        <v>233</v>
      </c>
      <c r="AA318" s="413"/>
      <c r="AB318" s="16">
        <v>216</v>
      </c>
      <c r="AC318" s="16">
        <v>63</v>
      </c>
      <c r="AD318" s="16">
        <v>84</v>
      </c>
      <c r="AE318" s="16">
        <v>7</v>
      </c>
      <c r="AF318" s="16">
        <v>60</v>
      </c>
      <c r="AG318" s="16">
        <v>151</v>
      </c>
      <c r="AH318" s="16">
        <v>25</v>
      </c>
      <c r="AI318" s="16">
        <v>6</v>
      </c>
      <c r="AJ318" s="413"/>
      <c r="AK318" s="412" t="s">
        <v>5693</v>
      </c>
      <c r="AL318" s="25">
        <v>151</v>
      </c>
      <c r="AM318" s="413">
        <v>24.4</v>
      </c>
      <c r="AN318" s="413"/>
      <c r="AO318" s="413"/>
      <c r="AP318" s="16" t="s">
        <v>160</v>
      </c>
      <c r="AQ318" s="16"/>
      <c r="AR318" s="130">
        <v>1404</v>
      </c>
      <c r="AS318" s="130">
        <v>7</v>
      </c>
      <c r="AT318" s="130"/>
      <c r="AU318" s="130"/>
      <c r="AV318" s="12"/>
      <c r="AW318" s="12"/>
      <c r="AX318" s="12"/>
      <c r="AY318" s="408"/>
    </row>
    <row r="319" spans="1:51" ht="30" hidden="1" customHeight="1" x14ac:dyDescent="0.2">
      <c r="A319" s="413">
        <v>317</v>
      </c>
      <c r="B319" s="413">
        <v>26</v>
      </c>
      <c r="C319" s="413">
        <v>7</v>
      </c>
      <c r="D319" s="16">
        <v>1404</v>
      </c>
      <c r="E319" s="412" t="s">
        <v>5695</v>
      </c>
      <c r="F319" s="412" t="s">
        <v>243</v>
      </c>
      <c r="G319" s="412" t="s">
        <v>5701</v>
      </c>
      <c r="H319" s="413" t="s">
        <v>83</v>
      </c>
      <c r="I319" s="360" t="s">
        <v>158</v>
      </c>
      <c r="J319" s="16" t="s">
        <v>84</v>
      </c>
      <c r="K319" s="412"/>
      <c r="L319" s="412" t="s">
        <v>155</v>
      </c>
      <c r="M319" s="422" t="s">
        <v>5783</v>
      </c>
      <c r="N319" s="41" t="s">
        <v>106</v>
      </c>
      <c r="O319" s="13" t="s">
        <v>107</v>
      </c>
      <c r="P319" s="13"/>
      <c r="Q319" s="13"/>
      <c r="R319" s="413"/>
      <c r="S319" s="413">
        <v>384</v>
      </c>
      <c r="T319" s="413">
        <v>9</v>
      </c>
      <c r="U319" s="144" t="s">
        <v>5784</v>
      </c>
      <c r="V319" s="41" t="s">
        <v>106</v>
      </c>
      <c r="W319" s="13" t="s">
        <v>107</v>
      </c>
      <c r="X319" s="412"/>
      <c r="Y319" s="413" t="s">
        <v>5702</v>
      </c>
      <c r="Z319" s="413">
        <v>250</v>
      </c>
      <c r="AA319" s="413">
        <v>204</v>
      </c>
      <c r="AB319" s="16">
        <v>204</v>
      </c>
      <c r="AC319" s="16"/>
      <c r="AD319" s="16"/>
      <c r="AE319" s="16"/>
      <c r="AF319" s="16"/>
      <c r="AG319" s="16"/>
      <c r="AH319" s="16"/>
      <c r="AI319" s="16">
        <v>6</v>
      </c>
      <c r="AJ319" s="413"/>
      <c r="AK319" s="412"/>
      <c r="AL319" s="25"/>
      <c r="AM319" s="413"/>
      <c r="AN319" s="413"/>
      <c r="AO319" s="413"/>
      <c r="AP319" s="16"/>
      <c r="AQ319" s="16"/>
      <c r="AR319" s="130">
        <v>1404</v>
      </c>
      <c r="AS319" s="130">
        <v>7</v>
      </c>
      <c r="AT319" s="130">
        <v>1395</v>
      </c>
      <c r="AU319" s="130">
        <v>3</v>
      </c>
      <c r="AV319" s="12">
        <f>IF(AR319*AT319&gt;0,(AR319-AT319)*12+(AS319-AU319),"")</f>
        <v>112</v>
      </c>
      <c r="AW319" s="12" t="str">
        <f>IF(AV319&lt;13,AV319,"")</f>
        <v/>
      </c>
      <c r="AX319" s="12"/>
      <c r="AY319" s="408"/>
    </row>
    <row r="320" spans="1:51" ht="30" customHeight="1" x14ac:dyDescent="0.2">
      <c r="A320" s="413">
        <v>318</v>
      </c>
      <c r="B320" s="413">
        <v>26</v>
      </c>
      <c r="C320" s="413">
        <v>7</v>
      </c>
      <c r="D320" s="16">
        <v>1404</v>
      </c>
      <c r="E320" s="412" t="s">
        <v>5015</v>
      </c>
      <c r="F320" s="412" t="s">
        <v>6</v>
      </c>
      <c r="G320" s="412"/>
      <c r="H320" s="413" t="s">
        <v>7</v>
      </c>
      <c r="I320" s="360" t="s">
        <v>158</v>
      </c>
      <c r="J320" s="16" t="s">
        <v>84</v>
      </c>
      <c r="K320" s="412"/>
      <c r="L320" s="412" t="s">
        <v>140</v>
      </c>
      <c r="M320" s="422" t="s">
        <v>5696</v>
      </c>
      <c r="N320" s="41" t="s">
        <v>5697</v>
      </c>
      <c r="O320" s="13" t="s">
        <v>107</v>
      </c>
      <c r="P320" s="13"/>
      <c r="Q320" s="13"/>
      <c r="R320" s="413"/>
      <c r="S320" s="413">
        <v>6608</v>
      </c>
      <c r="T320" s="413">
        <v>15</v>
      </c>
      <c r="U320" s="412" t="s">
        <v>5698</v>
      </c>
      <c r="V320" s="41" t="s">
        <v>106</v>
      </c>
      <c r="W320" s="13" t="s">
        <v>107</v>
      </c>
      <c r="X320" s="412"/>
      <c r="Y320" s="413"/>
      <c r="Z320" s="413">
        <v>217</v>
      </c>
      <c r="AA320" s="413">
        <v>210</v>
      </c>
      <c r="AB320" s="16">
        <v>210</v>
      </c>
      <c r="AC320" s="16">
        <v>110</v>
      </c>
      <c r="AD320" s="16">
        <v>140</v>
      </c>
      <c r="AE320" s="16">
        <v>9</v>
      </c>
      <c r="AF320" s="16">
        <v>31</v>
      </c>
      <c r="AG320" s="16">
        <v>189</v>
      </c>
      <c r="AH320" s="16">
        <v>10</v>
      </c>
      <c r="AI320" s="16">
        <v>4</v>
      </c>
      <c r="AJ320" s="413"/>
      <c r="AK320" s="412" t="s">
        <v>5699</v>
      </c>
      <c r="AL320" s="25">
        <v>189</v>
      </c>
      <c r="AM320" s="413">
        <v>10</v>
      </c>
      <c r="AN320" s="413"/>
      <c r="AO320" s="413"/>
      <c r="AP320" s="16" t="s">
        <v>160</v>
      </c>
      <c r="AQ320" s="16" t="s">
        <v>161</v>
      </c>
      <c r="AR320" s="130">
        <v>1404</v>
      </c>
      <c r="AS320" s="130">
        <v>7</v>
      </c>
      <c r="AT320" s="130"/>
      <c r="AU320" s="130"/>
      <c r="AV320" s="12"/>
      <c r="AW320" s="12"/>
      <c r="AX320" s="12"/>
      <c r="AY320" s="408"/>
    </row>
    <row r="321" spans="1:51" ht="30" hidden="1" customHeight="1" x14ac:dyDescent="0.2">
      <c r="A321" s="413">
        <v>319</v>
      </c>
      <c r="B321" s="413">
        <v>28</v>
      </c>
      <c r="C321" s="413">
        <v>7</v>
      </c>
      <c r="D321" s="16">
        <v>1404</v>
      </c>
      <c r="E321" s="412" t="s">
        <v>5704</v>
      </c>
      <c r="F321" s="412" t="s">
        <v>10</v>
      </c>
      <c r="G321" s="412" t="s">
        <v>90</v>
      </c>
      <c r="H321" s="413" t="s">
        <v>7</v>
      </c>
      <c r="I321" s="360" t="s">
        <v>158</v>
      </c>
      <c r="J321" s="16" t="s">
        <v>84</v>
      </c>
      <c r="K321" s="412"/>
      <c r="L321" s="412" t="s">
        <v>218</v>
      </c>
      <c r="M321" s="422" t="s">
        <v>5706</v>
      </c>
      <c r="N321" s="41" t="s">
        <v>106</v>
      </c>
      <c r="O321" s="13" t="s">
        <v>107</v>
      </c>
      <c r="P321" s="13"/>
      <c r="Q321" s="13"/>
      <c r="R321" s="413"/>
      <c r="S321" s="413">
        <v>384</v>
      </c>
      <c r="T321" s="413">
        <v>12</v>
      </c>
      <c r="U321" s="412" t="s">
        <v>5707</v>
      </c>
      <c r="V321" s="41" t="s">
        <v>106</v>
      </c>
      <c r="W321" s="13" t="s">
        <v>107</v>
      </c>
      <c r="X321" s="412"/>
      <c r="Y321" s="413"/>
      <c r="Z321" s="413">
        <v>230</v>
      </c>
      <c r="AA321" s="413"/>
      <c r="AB321" s="16">
        <v>234</v>
      </c>
      <c r="AC321" s="16">
        <v>136</v>
      </c>
      <c r="AD321" s="16">
        <v>151</v>
      </c>
      <c r="AE321" s="16">
        <v>7</v>
      </c>
      <c r="AF321" s="16">
        <v>74</v>
      </c>
      <c r="AG321" s="16">
        <v>232</v>
      </c>
      <c r="AH321" s="16">
        <v>25</v>
      </c>
      <c r="AI321" s="16">
        <v>6</v>
      </c>
      <c r="AJ321" s="413"/>
      <c r="AK321" s="412" t="s">
        <v>5705</v>
      </c>
      <c r="AL321" s="25">
        <v>232</v>
      </c>
      <c r="AM321" s="413">
        <v>21.5</v>
      </c>
      <c r="AN321" s="413"/>
      <c r="AO321" s="413"/>
      <c r="AP321" s="16" t="s">
        <v>160</v>
      </c>
      <c r="AQ321" s="16" t="s">
        <v>165</v>
      </c>
      <c r="AR321" s="130">
        <v>1404</v>
      </c>
      <c r="AS321" s="130">
        <v>7</v>
      </c>
      <c r="AT321" s="130"/>
      <c r="AU321" s="130"/>
      <c r="AV321" s="12"/>
      <c r="AW321" s="12"/>
      <c r="AX321" s="12"/>
      <c r="AY321" s="408"/>
    </row>
    <row r="322" spans="1:51" ht="30" hidden="1" customHeight="1" x14ac:dyDescent="0.2">
      <c r="A322" s="413">
        <v>320</v>
      </c>
      <c r="B322" s="413">
        <v>28</v>
      </c>
      <c r="C322" s="413">
        <v>7</v>
      </c>
      <c r="D322" s="16">
        <v>1404</v>
      </c>
      <c r="E322" s="412" t="s">
        <v>103</v>
      </c>
      <c r="F322" s="412" t="s">
        <v>20</v>
      </c>
      <c r="G322" s="412" t="s">
        <v>90</v>
      </c>
      <c r="H322" s="413" t="s">
        <v>7</v>
      </c>
      <c r="I322" s="360" t="s">
        <v>158</v>
      </c>
      <c r="J322" s="16" t="s">
        <v>3576</v>
      </c>
      <c r="K322" s="412"/>
      <c r="L322" s="412">
        <v>55</v>
      </c>
      <c r="M322" s="422">
        <v>35689</v>
      </c>
      <c r="N322" s="41" t="s">
        <v>69</v>
      </c>
      <c r="O322" s="13" t="s">
        <v>70</v>
      </c>
      <c r="P322" s="13"/>
      <c r="Q322" s="13"/>
      <c r="R322" s="413"/>
      <c r="S322" s="413">
        <v>6611</v>
      </c>
      <c r="T322" s="413">
        <v>13</v>
      </c>
      <c r="U322" s="412">
        <v>159503</v>
      </c>
      <c r="V322" s="41" t="s">
        <v>142</v>
      </c>
      <c r="W322" s="13" t="s">
        <v>70</v>
      </c>
      <c r="X322" s="412"/>
      <c r="Y322" s="413"/>
      <c r="Z322" s="413"/>
      <c r="AA322" s="413"/>
      <c r="AB322" s="16" t="s">
        <v>1762</v>
      </c>
      <c r="AC322" s="16" t="s">
        <v>5681</v>
      </c>
      <c r="AD322" s="16" t="s">
        <v>251</v>
      </c>
      <c r="AE322" s="16" t="s">
        <v>555</v>
      </c>
      <c r="AF322" s="16" t="s">
        <v>141</v>
      </c>
      <c r="AG322" s="16" t="s">
        <v>5682</v>
      </c>
      <c r="AH322" s="16" t="s">
        <v>5683</v>
      </c>
      <c r="AI322" s="16" t="s">
        <v>465</v>
      </c>
      <c r="AJ322" s="413"/>
      <c r="AK322" s="412" t="s">
        <v>5680</v>
      </c>
      <c r="AL322" s="25" t="s">
        <v>5682</v>
      </c>
      <c r="AM322" s="413" t="s">
        <v>5684</v>
      </c>
      <c r="AN322" s="413"/>
      <c r="AO322" s="413"/>
      <c r="AP322" s="16" t="s">
        <v>160</v>
      </c>
      <c r="AQ322" s="16" t="s">
        <v>193</v>
      </c>
      <c r="AR322" s="130">
        <v>1404</v>
      </c>
      <c r="AS322" s="130">
        <v>7</v>
      </c>
      <c r="AT322" s="130"/>
      <c r="AU322" s="130"/>
      <c r="AV322" s="12" t="str">
        <f>IF(AR322*AT322&gt;0,(AR322-AT322)*12+(AS322-AU322),"")</f>
        <v/>
      </c>
      <c r="AW322" s="12" t="str">
        <f>IF(AV322&lt;13,AV322,"")</f>
        <v/>
      </c>
      <c r="AX322" s="12"/>
      <c r="AY322" s="408"/>
    </row>
    <row r="323" spans="1:51" ht="30" hidden="1" customHeight="1" x14ac:dyDescent="0.2">
      <c r="A323" s="416">
        <v>321</v>
      </c>
      <c r="B323" s="413">
        <v>30</v>
      </c>
      <c r="C323" s="413">
        <v>7</v>
      </c>
      <c r="D323" s="16">
        <v>1404</v>
      </c>
      <c r="E323" s="412" t="s">
        <v>5712</v>
      </c>
      <c r="F323" s="412" t="s">
        <v>8</v>
      </c>
      <c r="G323" s="412" t="s">
        <v>5713</v>
      </c>
      <c r="H323" s="413" t="s">
        <v>83</v>
      </c>
      <c r="I323" s="360" t="s">
        <v>158</v>
      </c>
      <c r="J323" s="16" t="s">
        <v>5577</v>
      </c>
      <c r="K323" s="412"/>
      <c r="L323" s="412" t="s">
        <v>155</v>
      </c>
      <c r="M323" s="422" t="s">
        <v>3451</v>
      </c>
      <c r="N323" s="41" t="s">
        <v>106</v>
      </c>
      <c r="O323" s="13" t="s">
        <v>107</v>
      </c>
      <c r="P323" s="13"/>
      <c r="Q323" s="13"/>
      <c r="R323" s="413"/>
      <c r="S323" s="413">
        <v>384</v>
      </c>
      <c r="T323" s="413">
        <v>10</v>
      </c>
      <c r="U323" s="412" t="s">
        <v>3452</v>
      </c>
      <c r="V323" s="41" t="s">
        <v>106</v>
      </c>
      <c r="W323" s="13" t="s">
        <v>107</v>
      </c>
      <c r="X323" s="412"/>
      <c r="Y323" s="413" t="s">
        <v>6514</v>
      </c>
      <c r="Z323" s="413">
        <v>205</v>
      </c>
      <c r="AA323" s="413">
        <v>201</v>
      </c>
      <c r="AB323" s="16">
        <v>201</v>
      </c>
      <c r="AC323" s="16"/>
      <c r="AD323" s="16"/>
      <c r="AE323" s="16"/>
      <c r="AF323" s="16"/>
      <c r="AG323" s="16"/>
      <c r="AH323" s="16"/>
      <c r="AI323" s="16">
        <v>6</v>
      </c>
      <c r="AJ323" s="413"/>
      <c r="AK323" s="412"/>
      <c r="AL323" s="25"/>
      <c r="AM323" s="413"/>
      <c r="AN323" s="413"/>
      <c r="AO323" s="413"/>
      <c r="AP323" s="16" t="s">
        <v>160</v>
      </c>
      <c r="AQ323" s="16" t="s">
        <v>165</v>
      </c>
      <c r="AR323" s="130">
        <v>1404</v>
      </c>
      <c r="AS323" s="130">
        <v>7</v>
      </c>
      <c r="AT323" s="130">
        <v>1402</v>
      </c>
      <c r="AU323" s="130">
        <v>3</v>
      </c>
      <c r="AV323" s="12">
        <f>IF(AR323*AT323&gt;0,(AR323-AT323)*12+(AS323-AU323),"")</f>
        <v>28</v>
      </c>
      <c r="AW323" s="12" t="str">
        <f>IF(AV323&lt;13,AV323,"")</f>
        <v/>
      </c>
      <c r="AX323" s="12"/>
      <c r="AY323" s="408"/>
    </row>
    <row r="324" spans="1:51" ht="30" hidden="1" customHeight="1" x14ac:dyDescent="0.2">
      <c r="A324" s="416">
        <v>322</v>
      </c>
      <c r="B324" s="413">
        <v>30</v>
      </c>
      <c r="C324" s="413">
        <v>7</v>
      </c>
      <c r="D324" s="16">
        <v>1404</v>
      </c>
      <c r="E324" s="412" t="s">
        <v>2579</v>
      </c>
      <c r="F324" s="412" t="s">
        <v>20</v>
      </c>
      <c r="G324" s="412"/>
      <c r="H324" s="413" t="s">
        <v>7</v>
      </c>
      <c r="I324" s="360" t="s">
        <v>158</v>
      </c>
      <c r="J324" s="16" t="s">
        <v>5577</v>
      </c>
      <c r="K324" s="35" t="s">
        <v>334</v>
      </c>
      <c r="L324" s="35" t="s">
        <v>769</v>
      </c>
      <c r="M324" s="422" t="s">
        <v>5714</v>
      </c>
      <c r="N324" s="41" t="s">
        <v>69</v>
      </c>
      <c r="O324" s="13" t="s">
        <v>70</v>
      </c>
      <c r="P324" s="13"/>
      <c r="Q324" s="13"/>
      <c r="R324" s="33" t="s">
        <v>2753</v>
      </c>
      <c r="S324" s="33">
        <v>193</v>
      </c>
      <c r="T324" s="33">
        <v>13</v>
      </c>
      <c r="U324" s="412" t="s">
        <v>5715</v>
      </c>
      <c r="V324" s="41" t="s">
        <v>5540</v>
      </c>
      <c r="W324" s="13" t="s">
        <v>70</v>
      </c>
      <c r="X324" s="412"/>
      <c r="Y324" s="413"/>
      <c r="Z324" s="413">
        <v>127</v>
      </c>
      <c r="AA324" s="413">
        <v>120</v>
      </c>
      <c r="AB324" s="16">
        <v>120</v>
      </c>
      <c r="AC324" s="16">
        <v>91</v>
      </c>
      <c r="AD324" s="16">
        <v>106</v>
      </c>
      <c r="AE324" s="16">
        <v>2</v>
      </c>
      <c r="AF324" s="16">
        <v>28</v>
      </c>
      <c r="AG324" s="16">
        <v>136</v>
      </c>
      <c r="AH324" s="16">
        <v>5</v>
      </c>
      <c r="AI324" s="16">
        <v>4</v>
      </c>
      <c r="AJ324" s="413"/>
      <c r="AK324" s="412" t="s">
        <v>5716</v>
      </c>
      <c r="AL324" s="25">
        <v>136</v>
      </c>
      <c r="AM324" s="413">
        <v>5.5</v>
      </c>
      <c r="AN324" s="413"/>
      <c r="AO324" s="413"/>
      <c r="AP324" s="16" t="s">
        <v>5080</v>
      </c>
      <c r="AQ324" s="16" t="s">
        <v>231</v>
      </c>
      <c r="AR324" s="130">
        <v>1404</v>
      </c>
      <c r="AS324" s="130">
        <v>7</v>
      </c>
      <c r="AT324" s="130"/>
      <c r="AU324" s="130"/>
      <c r="AV324" s="12"/>
      <c r="AW324" s="12"/>
      <c r="AX324" s="12"/>
      <c r="AY324" s="408"/>
    </row>
    <row r="325" spans="1:51" ht="30" hidden="1" customHeight="1" x14ac:dyDescent="0.2">
      <c r="A325" s="416">
        <v>323</v>
      </c>
      <c r="B325" s="413">
        <v>1</v>
      </c>
      <c r="C325" s="413">
        <v>8</v>
      </c>
      <c r="D325" s="16">
        <v>1404</v>
      </c>
      <c r="E325" s="412" t="s">
        <v>5717</v>
      </c>
      <c r="F325" s="412" t="s">
        <v>66</v>
      </c>
      <c r="G325" s="412"/>
      <c r="H325" s="413" t="s">
        <v>7</v>
      </c>
      <c r="I325" s="360" t="s">
        <v>158</v>
      </c>
      <c r="J325" s="16"/>
      <c r="K325" s="412"/>
      <c r="L325" s="412" t="s">
        <v>223</v>
      </c>
      <c r="M325" s="422" t="s">
        <v>5718</v>
      </c>
      <c r="N325" s="41" t="s">
        <v>106</v>
      </c>
      <c r="O325" s="13" t="s">
        <v>107</v>
      </c>
      <c r="P325" s="13"/>
      <c r="Q325" s="13"/>
      <c r="R325" s="413"/>
      <c r="S325" s="413">
        <v>233</v>
      </c>
      <c r="T325" s="413">
        <v>10</v>
      </c>
      <c r="U325" s="412" t="s">
        <v>5719</v>
      </c>
      <c r="V325" s="41" t="s">
        <v>5540</v>
      </c>
      <c r="W325" s="13" t="s">
        <v>70</v>
      </c>
      <c r="X325" s="412"/>
      <c r="Y325" s="413"/>
      <c r="Z325" s="413">
        <v>250</v>
      </c>
      <c r="AA325" s="413"/>
      <c r="AB325" s="16">
        <v>230</v>
      </c>
      <c r="AC325" s="16">
        <v>113</v>
      </c>
      <c r="AD325" s="16">
        <v>125</v>
      </c>
      <c r="AE325" s="16">
        <v>4</v>
      </c>
      <c r="AF325" s="16">
        <v>5</v>
      </c>
      <c r="AG325" s="16">
        <v>134</v>
      </c>
      <c r="AH325" s="16">
        <v>6</v>
      </c>
      <c r="AI325" s="16">
        <v>4</v>
      </c>
      <c r="AJ325" s="413"/>
      <c r="AK325" s="412" t="s">
        <v>5720</v>
      </c>
      <c r="AL325" s="25">
        <v>134</v>
      </c>
      <c r="AM325" s="413">
        <v>6.6</v>
      </c>
      <c r="AN325" s="413"/>
      <c r="AO325" s="413"/>
      <c r="AP325" s="16" t="s">
        <v>160</v>
      </c>
      <c r="AQ325" s="16" t="s">
        <v>231</v>
      </c>
      <c r="AR325" s="130">
        <v>1404</v>
      </c>
      <c r="AS325" s="130">
        <v>8</v>
      </c>
      <c r="AT325" s="130"/>
      <c r="AU325" s="130"/>
      <c r="AV325" s="12"/>
      <c r="AW325" s="12"/>
      <c r="AX325" s="12"/>
      <c r="AY325" s="408"/>
    </row>
    <row r="326" spans="1:51" ht="30" hidden="1" customHeight="1" x14ac:dyDescent="0.2">
      <c r="A326" s="416">
        <v>324</v>
      </c>
      <c r="B326" s="413">
        <v>1</v>
      </c>
      <c r="C326" s="413">
        <v>8</v>
      </c>
      <c r="D326" s="16">
        <v>1404</v>
      </c>
      <c r="E326" s="412" t="s">
        <v>3280</v>
      </c>
      <c r="F326" s="412" t="s">
        <v>6</v>
      </c>
      <c r="G326" s="412" t="s">
        <v>202</v>
      </c>
      <c r="H326" s="413" t="s">
        <v>83</v>
      </c>
      <c r="I326" s="360" t="s">
        <v>158</v>
      </c>
      <c r="J326" s="16" t="s">
        <v>84</v>
      </c>
      <c r="K326" s="412"/>
      <c r="L326" s="412" t="s">
        <v>104</v>
      </c>
      <c r="M326" s="422" t="s">
        <v>3430</v>
      </c>
      <c r="N326" s="41" t="s">
        <v>106</v>
      </c>
      <c r="O326" s="13" t="s">
        <v>107</v>
      </c>
      <c r="P326" s="13"/>
      <c r="Q326" s="13"/>
      <c r="R326" s="413"/>
      <c r="S326" s="413">
        <v>6608</v>
      </c>
      <c r="T326" s="413">
        <v>15</v>
      </c>
      <c r="U326" s="412" t="s">
        <v>3425</v>
      </c>
      <c r="V326" s="41" t="s">
        <v>106</v>
      </c>
      <c r="W326" s="13" t="s">
        <v>107</v>
      </c>
      <c r="X326" s="412"/>
      <c r="Y326" s="413" t="s">
        <v>3965</v>
      </c>
      <c r="Z326" s="413">
        <v>241</v>
      </c>
      <c r="AA326" s="413">
        <v>207</v>
      </c>
      <c r="AB326" s="16">
        <v>207</v>
      </c>
      <c r="AC326" s="16"/>
      <c r="AD326" s="16"/>
      <c r="AE326" s="16"/>
      <c r="AF326" s="16"/>
      <c r="AG326" s="16"/>
      <c r="AH326" s="16"/>
      <c r="AI326" s="16">
        <v>6</v>
      </c>
      <c r="AJ326" s="413"/>
      <c r="AK326" s="412" t="s">
        <v>5729</v>
      </c>
      <c r="AL326" s="25"/>
      <c r="AM326" s="413"/>
      <c r="AN326" s="413"/>
      <c r="AO326" s="413"/>
      <c r="AP326" s="16"/>
      <c r="AQ326" s="16"/>
      <c r="AR326" s="130">
        <v>1404</v>
      </c>
      <c r="AS326" s="130">
        <v>8</v>
      </c>
      <c r="AT326" s="130">
        <v>1402</v>
      </c>
      <c r="AU326" s="130">
        <v>3</v>
      </c>
      <c r="AV326" s="12">
        <f>IF(AR326*AT326&gt;0,(AR326-AT326)*12+(AS326-AU326),"")</f>
        <v>29</v>
      </c>
      <c r="AW326" s="12" t="str">
        <f>IF(AV326&lt;13,AV326,"")</f>
        <v/>
      </c>
      <c r="AX326" s="12"/>
      <c r="AY326" s="408"/>
    </row>
    <row r="327" spans="1:51" ht="30" hidden="1" customHeight="1" x14ac:dyDescent="0.2">
      <c r="A327" s="416">
        <v>325</v>
      </c>
      <c r="B327" s="413">
        <v>1</v>
      </c>
      <c r="C327" s="413">
        <v>8</v>
      </c>
      <c r="D327" s="16">
        <v>1404</v>
      </c>
      <c r="E327" s="412" t="s">
        <v>5721</v>
      </c>
      <c r="F327" s="412" t="s">
        <v>10</v>
      </c>
      <c r="G327" s="412" t="s">
        <v>185</v>
      </c>
      <c r="H327" s="413" t="s">
        <v>83</v>
      </c>
      <c r="I327" s="360" t="s">
        <v>158</v>
      </c>
      <c r="J327" s="16" t="s">
        <v>84</v>
      </c>
      <c r="K327" s="412"/>
      <c r="L327" s="412" t="s">
        <v>104</v>
      </c>
      <c r="M327" s="422" t="s">
        <v>3816</v>
      </c>
      <c r="N327" s="41" t="s">
        <v>106</v>
      </c>
      <c r="O327" s="13" t="s">
        <v>107</v>
      </c>
      <c r="P327" s="13"/>
      <c r="Q327" s="13"/>
      <c r="R327" s="413"/>
      <c r="S327" s="413">
        <v>293</v>
      </c>
      <c r="T327" s="413">
        <v>16</v>
      </c>
      <c r="U327" s="412" t="s">
        <v>3817</v>
      </c>
      <c r="V327" s="41" t="s">
        <v>106</v>
      </c>
      <c r="W327" s="13" t="s">
        <v>107</v>
      </c>
      <c r="X327" s="412"/>
      <c r="Y327" s="413"/>
      <c r="Z327" s="413" t="s">
        <v>3714</v>
      </c>
      <c r="AA327" s="413"/>
      <c r="AB327" s="16"/>
      <c r="AC327" s="16"/>
      <c r="AD327" s="16"/>
      <c r="AE327" s="16"/>
      <c r="AF327" s="16"/>
      <c r="AG327" s="16"/>
      <c r="AH327" s="16"/>
      <c r="AI327" s="16"/>
      <c r="AJ327" s="413"/>
      <c r="AK327" s="412"/>
      <c r="AL327" s="25"/>
      <c r="AM327" s="413"/>
      <c r="AN327" s="413"/>
      <c r="AO327" s="413"/>
      <c r="AP327" s="16"/>
      <c r="AQ327" s="16"/>
      <c r="AR327" s="130">
        <v>1404</v>
      </c>
      <c r="AS327" s="130">
        <v>8</v>
      </c>
      <c r="AT327" s="130">
        <v>1402</v>
      </c>
      <c r="AU327" s="130">
        <v>6</v>
      </c>
      <c r="AV327" s="12">
        <f>IF(AR327*AT327&gt;0,(AR327-AT327)*12+(AS327-AU327),"")</f>
        <v>26</v>
      </c>
      <c r="AW327" s="12" t="str">
        <f>IF(AV327&lt;13,AV327,"")</f>
        <v/>
      </c>
      <c r="AX327" s="12"/>
      <c r="AY327" s="408"/>
    </row>
    <row r="328" spans="1:51" s="21" customFormat="1" ht="30" hidden="1" customHeight="1" x14ac:dyDescent="0.2">
      <c r="A328" s="20">
        <v>326</v>
      </c>
      <c r="B328" s="20">
        <v>1</v>
      </c>
      <c r="C328" s="20">
        <v>8</v>
      </c>
      <c r="D328" s="29">
        <v>1404</v>
      </c>
      <c r="E328" s="30" t="s">
        <v>5722</v>
      </c>
      <c r="F328" s="30" t="s">
        <v>66</v>
      </c>
      <c r="G328" s="30"/>
      <c r="H328" s="20" t="s">
        <v>83</v>
      </c>
      <c r="I328" s="20" t="s">
        <v>5753</v>
      </c>
      <c r="J328" s="29" t="s">
        <v>5723</v>
      </c>
      <c r="K328" s="30"/>
      <c r="L328" s="30" t="s">
        <v>226</v>
      </c>
      <c r="M328" s="30" t="s">
        <v>5532</v>
      </c>
      <c r="N328" s="30" t="s">
        <v>106</v>
      </c>
      <c r="O328" s="20" t="s">
        <v>107</v>
      </c>
      <c r="P328" s="20"/>
      <c r="Q328" s="20"/>
      <c r="R328" s="20"/>
      <c r="S328" s="20">
        <v>293</v>
      </c>
      <c r="T328" s="20">
        <v>5</v>
      </c>
      <c r="U328" s="423" t="s">
        <v>5532</v>
      </c>
      <c r="V328" s="30" t="s">
        <v>106</v>
      </c>
      <c r="W328" s="20" t="s">
        <v>107</v>
      </c>
      <c r="X328" s="30"/>
      <c r="Y328" s="20"/>
      <c r="Z328" s="20"/>
      <c r="AA328" s="20"/>
      <c r="AB328" s="29"/>
      <c r="AC328" s="29"/>
      <c r="AD328" s="29"/>
      <c r="AE328" s="29"/>
      <c r="AF328" s="29"/>
      <c r="AG328" s="29"/>
      <c r="AH328" s="29"/>
      <c r="AI328" s="29"/>
      <c r="AJ328" s="20"/>
      <c r="AK328" s="30"/>
      <c r="AL328" s="36"/>
      <c r="AM328" s="20"/>
      <c r="AN328" s="20"/>
      <c r="AO328" s="20"/>
      <c r="AP328" s="29"/>
      <c r="AQ328" s="29"/>
      <c r="AR328" s="318">
        <v>1404</v>
      </c>
      <c r="AS328" s="318">
        <v>8</v>
      </c>
      <c r="AT328" s="318"/>
      <c r="AU328" s="318"/>
      <c r="AV328" s="12" t="s">
        <v>5399</v>
      </c>
      <c r="AW328" s="12" t="s">
        <v>5399</v>
      </c>
      <c r="AX328" s="31"/>
      <c r="AY328" s="409" t="s">
        <v>5880</v>
      </c>
    </row>
    <row r="329" spans="1:51" s="21" customFormat="1" ht="30" hidden="1" customHeight="1" x14ac:dyDescent="0.2">
      <c r="A329" s="20">
        <v>327</v>
      </c>
      <c r="B329" s="20">
        <v>2</v>
      </c>
      <c r="C329" s="20">
        <v>8</v>
      </c>
      <c r="D329" s="29">
        <v>1404</v>
      </c>
      <c r="E329" s="30" t="s">
        <v>1431</v>
      </c>
      <c r="F329" s="30" t="s">
        <v>6</v>
      </c>
      <c r="G329" s="30" t="s">
        <v>202</v>
      </c>
      <c r="H329" s="20" t="s">
        <v>7</v>
      </c>
      <c r="I329" s="360" t="s">
        <v>158</v>
      </c>
      <c r="J329" s="29" t="s">
        <v>84</v>
      </c>
      <c r="K329" s="30" t="s">
        <v>68</v>
      </c>
      <c r="L329" s="30" t="s">
        <v>155</v>
      </c>
      <c r="M329" s="30" t="s">
        <v>5724</v>
      </c>
      <c r="N329" s="30" t="s">
        <v>142</v>
      </c>
      <c r="O329" s="20" t="s">
        <v>70</v>
      </c>
      <c r="P329" s="20"/>
      <c r="Q329" s="20"/>
      <c r="R329" s="20">
        <v>345</v>
      </c>
      <c r="S329" s="20">
        <v>384</v>
      </c>
      <c r="T329" s="20">
        <v>11</v>
      </c>
      <c r="U329" s="30" t="s">
        <v>5725</v>
      </c>
      <c r="V329" s="30" t="s">
        <v>106</v>
      </c>
      <c r="W329" s="20" t="s">
        <v>107</v>
      </c>
      <c r="X329" s="30"/>
      <c r="Y329" s="20" t="s">
        <v>5726</v>
      </c>
      <c r="Z329" s="20">
        <v>241</v>
      </c>
      <c r="AA329" s="20">
        <v>237</v>
      </c>
      <c r="AB329" s="29">
        <v>207</v>
      </c>
      <c r="AC329" s="29">
        <v>107</v>
      </c>
      <c r="AD329" s="29">
        <v>148</v>
      </c>
      <c r="AE329" s="29">
        <v>7</v>
      </c>
      <c r="AF329" s="29">
        <v>45</v>
      </c>
      <c r="AG329" s="29">
        <v>200</v>
      </c>
      <c r="AH329" s="29">
        <v>25</v>
      </c>
      <c r="AI329" s="29">
        <v>6</v>
      </c>
      <c r="AJ329" s="20"/>
      <c r="AK329" s="30" t="s">
        <v>5727</v>
      </c>
      <c r="AL329" s="36">
        <v>200</v>
      </c>
      <c r="AM329" s="20">
        <v>24.7</v>
      </c>
      <c r="AN329" s="20"/>
      <c r="AO329" s="20"/>
      <c r="AP329" s="29" t="s">
        <v>160</v>
      </c>
      <c r="AQ329" s="29" t="s">
        <v>193</v>
      </c>
      <c r="AR329" s="318">
        <v>1404</v>
      </c>
      <c r="AS329" s="318">
        <v>8</v>
      </c>
      <c r="AT329" s="318">
        <v>1402</v>
      </c>
      <c r="AU329" s="318">
        <v>8</v>
      </c>
      <c r="AV329" s="31">
        <f>IF(AR329*AT329&gt;0,(AR329-AT329)*12+(AS329-AU329),"")</f>
        <v>24</v>
      </c>
      <c r="AW329" s="31" t="str">
        <f>IF(AV329&lt;13,AV329,"")</f>
        <v/>
      </c>
      <c r="AX329" s="31"/>
      <c r="AY329" s="409" t="s">
        <v>5728</v>
      </c>
    </row>
    <row r="330" spans="1:51" s="21" customFormat="1" ht="30" hidden="1" customHeight="1" x14ac:dyDescent="0.2">
      <c r="A330" s="20">
        <v>328</v>
      </c>
      <c r="B330" s="20">
        <v>3</v>
      </c>
      <c r="C330" s="20">
        <v>8</v>
      </c>
      <c r="D330" s="29">
        <v>14</v>
      </c>
      <c r="E330" s="30" t="s">
        <v>5730</v>
      </c>
      <c r="F330" s="30" t="s">
        <v>2981</v>
      </c>
      <c r="G330" s="30" t="s">
        <v>5608</v>
      </c>
      <c r="H330" s="20" t="s">
        <v>83</v>
      </c>
      <c r="I330" s="360" t="s">
        <v>158</v>
      </c>
      <c r="J330" s="29" t="s">
        <v>84</v>
      </c>
      <c r="K330" s="30"/>
      <c r="L330" s="30" t="s">
        <v>104</v>
      </c>
      <c r="M330" s="30" t="s">
        <v>5742</v>
      </c>
      <c r="N330" s="30" t="s">
        <v>106</v>
      </c>
      <c r="O330" s="20" t="s">
        <v>107</v>
      </c>
      <c r="P330" s="20"/>
      <c r="Q330" s="20"/>
      <c r="R330" s="20"/>
      <c r="S330" s="20">
        <v>374</v>
      </c>
      <c r="T330" s="20">
        <v>4</v>
      </c>
      <c r="U330" s="30" t="s">
        <v>5743</v>
      </c>
      <c r="V330" s="30" t="s">
        <v>106</v>
      </c>
      <c r="W330" s="20" t="s">
        <v>107</v>
      </c>
      <c r="X330" s="30"/>
      <c r="Y330" s="20" t="s">
        <v>6515</v>
      </c>
      <c r="Z330" s="20">
        <v>200</v>
      </c>
      <c r="AA330" s="20">
        <v>66</v>
      </c>
      <c r="AB330" s="29">
        <v>66</v>
      </c>
      <c r="AC330" s="29"/>
      <c r="AD330" s="29"/>
      <c r="AE330" s="29"/>
      <c r="AF330" s="29"/>
      <c r="AG330" s="29"/>
      <c r="AH330" s="29"/>
      <c r="AI330" s="29">
        <v>8</v>
      </c>
      <c r="AJ330" s="20"/>
      <c r="AK330" s="30"/>
      <c r="AL330" s="36"/>
      <c r="AM330" s="20"/>
      <c r="AN330" s="20"/>
      <c r="AO330" s="20"/>
      <c r="AP330" s="29"/>
      <c r="AQ330" s="29"/>
      <c r="AR330" s="318">
        <v>1404</v>
      </c>
      <c r="AS330" s="318">
        <v>8</v>
      </c>
      <c r="AT330" s="318">
        <v>1395</v>
      </c>
      <c r="AU330" s="318">
        <v>6</v>
      </c>
      <c r="AV330" s="12">
        <f>IF(AR330*AT330&gt;0,(AR330-AT330)*12+(AS330-AU330),"")</f>
        <v>110</v>
      </c>
      <c r="AW330" s="12" t="str">
        <f>IF(AV330&lt;13,AV330,"")</f>
        <v/>
      </c>
      <c r="AX330" s="31"/>
      <c r="AY330" s="409" t="s">
        <v>5786</v>
      </c>
    </row>
    <row r="331" spans="1:51" ht="30" hidden="1" customHeight="1" x14ac:dyDescent="0.2">
      <c r="A331" s="416">
        <v>329</v>
      </c>
      <c r="B331" s="413">
        <v>3</v>
      </c>
      <c r="C331" s="413">
        <v>8</v>
      </c>
      <c r="D331" s="16">
        <v>1404</v>
      </c>
      <c r="E331" s="412" t="s">
        <v>5731</v>
      </c>
      <c r="F331" s="412" t="s">
        <v>2981</v>
      </c>
      <c r="G331" s="412" t="s">
        <v>5608</v>
      </c>
      <c r="H331" s="413" t="s">
        <v>83</v>
      </c>
      <c r="I331" s="360" t="s">
        <v>158</v>
      </c>
      <c r="J331" s="16" t="s">
        <v>84</v>
      </c>
      <c r="K331" s="412"/>
      <c r="L331" s="412" t="s">
        <v>117</v>
      </c>
      <c r="M331" s="422" t="s">
        <v>5746</v>
      </c>
      <c r="N331" s="41" t="s">
        <v>106</v>
      </c>
      <c r="O331" s="13" t="s">
        <v>107</v>
      </c>
      <c r="P331" s="13"/>
      <c r="Q331" s="13"/>
      <c r="R331" s="413"/>
      <c r="S331" s="413">
        <v>345</v>
      </c>
      <c r="T331" s="413">
        <v>6</v>
      </c>
      <c r="U331" s="412" t="s">
        <v>5747</v>
      </c>
      <c r="V331" s="41" t="s">
        <v>106</v>
      </c>
      <c r="W331" s="13" t="s">
        <v>107</v>
      </c>
      <c r="X331" s="412"/>
      <c r="Y331" s="413" t="s">
        <v>6352</v>
      </c>
      <c r="Z331" s="413">
        <v>250</v>
      </c>
      <c r="AA331" s="413">
        <v>170</v>
      </c>
      <c r="AB331" s="16">
        <v>170</v>
      </c>
      <c r="AC331" s="16"/>
      <c r="AD331" s="16"/>
      <c r="AE331" s="16"/>
      <c r="AF331" s="16"/>
      <c r="AG331" s="16"/>
      <c r="AH331" s="16"/>
      <c r="AI331" s="16">
        <v>4</v>
      </c>
      <c r="AJ331" s="413"/>
      <c r="AK331" s="412"/>
      <c r="AL331" s="25"/>
      <c r="AM331" s="413"/>
      <c r="AN331" s="413"/>
      <c r="AO331" s="413"/>
      <c r="AP331" s="16"/>
      <c r="AQ331" s="16"/>
      <c r="AR331" s="130">
        <v>1404</v>
      </c>
      <c r="AS331" s="130">
        <v>8</v>
      </c>
      <c r="AT331" s="130">
        <v>1397</v>
      </c>
      <c r="AU331" s="130">
        <v>4</v>
      </c>
      <c r="AV331" s="12">
        <f>IF(AR331*AT331&gt;0,(AR331-AT331)*12+(AS331-AU331),"")</f>
        <v>88</v>
      </c>
      <c r="AW331" s="12" t="str">
        <f>IF(AV331&lt;13,AV331,"")</f>
        <v/>
      </c>
      <c r="AX331" s="12"/>
      <c r="AY331" s="408"/>
    </row>
    <row r="332" spans="1:51" ht="30" hidden="1" customHeight="1" x14ac:dyDescent="0.2">
      <c r="A332" s="416">
        <v>330</v>
      </c>
      <c r="B332" s="413">
        <v>3</v>
      </c>
      <c r="C332" s="413">
        <v>8</v>
      </c>
      <c r="D332" s="16">
        <v>1404</v>
      </c>
      <c r="E332" s="412" t="s">
        <v>5732</v>
      </c>
      <c r="F332" s="412" t="s">
        <v>9</v>
      </c>
      <c r="G332" s="412" t="s">
        <v>4796</v>
      </c>
      <c r="H332" s="413" t="s">
        <v>83</v>
      </c>
      <c r="I332" s="360" t="s">
        <v>158</v>
      </c>
      <c r="J332" s="16" t="s">
        <v>84</v>
      </c>
      <c r="K332" s="412"/>
      <c r="L332" s="412" t="s">
        <v>226</v>
      </c>
      <c r="M332" s="422" t="s">
        <v>5744</v>
      </c>
      <c r="N332" s="41" t="s">
        <v>106</v>
      </c>
      <c r="O332" s="13" t="s">
        <v>107</v>
      </c>
      <c r="P332" s="13"/>
      <c r="Q332" s="13"/>
      <c r="R332" s="413"/>
      <c r="S332" s="413">
        <v>233</v>
      </c>
      <c r="T332" s="413">
        <v>11</v>
      </c>
      <c r="U332" s="412" t="s">
        <v>5745</v>
      </c>
      <c r="V332" s="41" t="s">
        <v>106</v>
      </c>
      <c r="W332" s="13" t="s">
        <v>107</v>
      </c>
      <c r="X332" s="412"/>
      <c r="Y332" s="413" t="s">
        <v>5829</v>
      </c>
      <c r="Z332" s="413"/>
      <c r="AA332" s="413"/>
      <c r="AB332" s="16"/>
      <c r="AC332" s="16"/>
      <c r="AD332" s="16"/>
      <c r="AE332" s="16"/>
      <c r="AF332" s="16"/>
      <c r="AG332" s="16"/>
      <c r="AH332" s="16"/>
      <c r="AI332" s="16"/>
      <c r="AJ332" s="413"/>
      <c r="AK332" s="412"/>
      <c r="AL332" s="25"/>
      <c r="AM332" s="413"/>
      <c r="AN332" s="413"/>
      <c r="AO332" s="413"/>
      <c r="AP332" s="16"/>
      <c r="AQ332" s="16"/>
      <c r="AR332" s="130">
        <v>1404</v>
      </c>
      <c r="AS332" s="130">
        <v>8</v>
      </c>
      <c r="AT332" s="130">
        <v>1399</v>
      </c>
      <c r="AU332" s="130">
        <v>6</v>
      </c>
      <c r="AV332" s="12">
        <f>IF(AR332*AT332&gt;0,(AR332-AT332)*12+(AS332-AU332),"")</f>
        <v>62</v>
      </c>
      <c r="AW332" s="12" t="str">
        <f>IF(AV332&lt;13,AV332,"")</f>
        <v/>
      </c>
      <c r="AX332" s="12"/>
      <c r="AY332" s="408"/>
    </row>
    <row r="333" spans="1:51" ht="30" hidden="1" customHeight="1" x14ac:dyDescent="0.2">
      <c r="A333" s="416">
        <v>331</v>
      </c>
      <c r="B333" s="413">
        <v>3</v>
      </c>
      <c r="C333" s="413">
        <v>8</v>
      </c>
      <c r="D333" s="16">
        <v>1404</v>
      </c>
      <c r="E333" s="412" t="s">
        <v>5733</v>
      </c>
      <c r="F333" s="412" t="s">
        <v>2981</v>
      </c>
      <c r="G333" s="412" t="s">
        <v>5741</v>
      </c>
      <c r="H333" s="413" t="s">
        <v>7</v>
      </c>
      <c r="I333" s="360" t="s">
        <v>158</v>
      </c>
      <c r="J333" s="16" t="s">
        <v>3576</v>
      </c>
      <c r="K333" s="412"/>
      <c r="L333" s="412" t="s">
        <v>334</v>
      </c>
      <c r="M333" s="422" t="s">
        <v>5738</v>
      </c>
      <c r="N333" s="41" t="s">
        <v>106</v>
      </c>
      <c r="O333" s="13" t="s">
        <v>107</v>
      </c>
      <c r="P333" s="13"/>
      <c r="Q333" s="13"/>
      <c r="R333" s="413"/>
      <c r="S333" s="413">
        <v>233</v>
      </c>
      <c r="T333" s="413">
        <v>13</v>
      </c>
      <c r="U333" s="412" t="s">
        <v>5739</v>
      </c>
      <c r="V333" s="41" t="s">
        <v>106</v>
      </c>
      <c r="W333" s="13" t="s">
        <v>107</v>
      </c>
      <c r="X333" s="412"/>
      <c r="Y333" s="413"/>
      <c r="Z333" s="413">
        <v>250</v>
      </c>
      <c r="AA333" s="413"/>
      <c r="AB333" s="16">
        <v>234</v>
      </c>
      <c r="AC333" s="16">
        <v>66</v>
      </c>
      <c r="AD333" s="16">
        <v>173</v>
      </c>
      <c r="AE333" s="16">
        <v>4</v>
      </c>
      <c r="AF333" s="16">
        <v>6</v>
      </c>
      <c r="AG333" s="16">
        <v>183</v>
      </c>
      <c r="AH333" s="16">
        <v>6</v>
      </c>
      <c r="AI333" s="16">
        <v>4</v>
      </c>
      <c r="AJ333" s="413"/>
      <c r="AK333" s="412" t="s">
        <v>5740</v>
      </c>
      <c r="AL333" s="25">
        <v>183</v>
      </c>
      <c r="AM333" s="413">
        <v>6</v>
      </c>
      <c r="AN333" s="413"/>
      <c r="AO333" s="413"/>
      <c r="AP333" s="16" t="s">
        <v>160</v>
      </c>
      <c r="AQ333" s="16" t="s">
        <v>231</v>
      </c>
      <c r="AR333" s="130">
        <v>1404</v>
      </c>
      <c r="AS333" s="130">
        <v>8</v>
      </c>
      <c r="AT333" s="130"/>
      <c r="AU333" s="130"/>
      <c r="AV333" s="12"/>
      <c r="AW333" s="12"/>
      <c r="AX333" s="12"/>
      <c r="AY333" s="408"/>
    </row>
    <row r="334" spans="1:51" ht="30" hidden="1" customHeight="1" x14ac:dyDescent="0.2">
      <c r="A334" s="416">
        <v>332</v>
      </c>
      <c r="B334" s="413">
        <v>3</v>
      </c>
      <c r="C334" s="413">
        <v>8</v>
      </c>
      <c r="D334" s="16">
        <v>1404</v>
      </c>
      <c r="E334" s="412" t="s">
        <v>5562</v>
      </c>
      <c r="F334" s="412" t="s">
        <v>6</v>
      </c>
      <c r="G334" s="412"/>
      <c r="H334" s="413" t="s">
        <v>7</v>
      </c>
      <c r="I334" s="360" t="s">
        <v>158</v>
      </c>
      <c r="J334" s="16" t="s">
        <v>84</v>
      </c>
      <c r="K334" s="35" t="s">
        <v>218</v>
      </c>
      <c r="L334" s="35" t="s">
        <v>68</v>
      </c>
      <c r="M334" s="422" t="s">
        <v>5736</v>
      </c>
      <c r="N334" s="41" t="s">
        <v>106</v>
      </c>
      <c r="O334" s="13" t="s">
        <v>107</v>
      </c>
      <c r="P334" s="13"/>
      <c r="Q334" s="13"/>
      <c r="R334" s="33" t="s">
        <v>268</v>
      </c>
      <c r="S334" s="33">
        <v>6609</v>
      </c>
      <c r="T334" s="33">
        <v>15</v>
      </c>
      <c r="U334" s="412" t="s">
        <v>5737</v>
      </c>
      <c r="V334" s="41" t="s">
        <v>106</v>
      </c>
      <c r="W334" s="13" t="s">
        <v>107</v>
      </c>
      <c r="X334" s="412" t="s">
        <v>5187</v>
      </c>
      <c r="Y334" s="413" t="s">
        <v>5734</v>
      </c>
      <c r="Z334" s="413">
        <v>214</v>
      </c>
      <c r="AA334" s="413">
        <v>206</v>
      </c>
      <c r="AB334" s="16">
        <v>206</v>
      </c>
      <c r="AC334" s="16">
        <v>174</v>
      </c>
      <c r="AD334" s="16">
        <v>183</v>
      </c>
      <c r="AE334" s="16">
        <v>2</v>
      </c>
      <c r="AF334" s="16">
        <v>35</v>
      </c>
      <c r="AG334" s="16">
        <v>220</v>
      </c>
      <c r="AH334" s="16">
        <v>14</v>
      </c>
      <c r="AI334" s="16">
        <v>6</v>
      </c>
      <c r="AJ334" s="413"/>
      <c r="AK334" s="412" t="s">
        <v>5735</v>
      </c>
      <c r="AL334" s="25">
        <v>220</v>
      </c>
      <c r="AM334" s="413">
        <v>14.4</v>
      </c>
      <c r="AN334" s="413"/>
      <c r="AO334" s="413"/>
      <c r="AP334" s="16" t="s">
        <v>160</v>
      </c>
      <c r="AQ334" s="16" t="s">
        <v>193</v>
      </c>
      <c r="AR334" s="130">
        <v>1404</v>
      </c>
      <c r="AS334" s="130">
        <v>8</v>
      </c>
      <c r="AT334" s="130"/>
      <c r="AU334" s="130"/>
      <c r="AV334" s="12"/>
      <c r="AW334" s="12"/>
      <c r="AX334" s="12"/>
      <c r="AY334" s="408"/>
    </row>
    <row r="335" spans="1:51" ht="30" hidden="1" customHeight="1" x14ac:dyDescent="0.2">
      <c r="A335" s="416">
        <v>333</v>
      </c>
      <c r="B335" s="413">
        <v>4</v>
      </c>
      <c r="C335" s="413">
        <v>8</v>
      </c>
      <c r="D335" s="16">
        <v>1404</v>
      </c>
      <c r="E335" s="412" t="s">
        <v>5748</v>
      </c>
      <c r="F335" s="417" t="s">
        <v>9</v>
      </c>
      <c r="G335" s="412" t="s">
        <v>90</v>
      </c>
      <c r="H335" s="413" t="s">
        <v>7</v>
      </c>
      <c r="I335" s="360" t="s">
        <v>158</v>
      </c>
      <c r="J335" s="16" t="s">
        <v>84</v>
      </c>
      <c r="K335" s="412"/>
      <c r="L335" s="412" t="s">
        <v>5749</v>
      </c>
      <c r="M335" s="422" t="s">
        <v>5750</v>
      </c>
      <c r="N335" s="41" t="s">
        <v>69</v>
      </c>
      <c r="O335" s="13" t="s">
        <v>70</v>
      </c>
      <c r="P335" s="13"/>
      <c r="Q335" s="13"/>
      <c r="R335" s="413"/>
      <c r="S335" s="413">
        <v>384</v>
      </c>
      <c r="T335" s="413">
        <v>10</v>
      </c>
      <c r="U335" s="412" t="s">
        <v>5751</v>
      </c>
      <c r="V335" s="41" t="s">
        <v>142</v>
      </c>
      <c r="W335" s="13" t="s">
        <v>70</v>
      </c>
      <c r="X335" s="412"/>
      <c r="Y335" s="413"/>
      <c r="Z335" s="413">
        <v>231</v>
      </c>
      <c r="AA335" s="413"/>
      <c r="AB335" s="16">
        <v>192</v>
      </c>
      <c r="AC335" s="16">
        <v>91</v>
      </c>
      <c r="AD335" s="16">
        <v>147</v>
      </c>
      <c r="AE335" s="16">
        <v>6</v>
      </c>
      <c r="AF335" s="16">
        <v>34</v>
      </c>
      <c r="AG335" s="16">
        <v>187</v>
      </c>
      <c r="AH335" s="16">
        <v>25</v>
      </c>
      <c r="AI335" s="16">
        <v>6</v>
      </c>
      <c r="AJ335" s="413"/>
      <c r="AK335" s="412" t="s">
        <v>5752</v>
      </c>
      <c r="AL335" s="25">
        <v>187</v>
      </c>
      <c r="AM335" s="413">
        <v>24.8</v>
      </c>
      <c r="AN335" s="413"/>
      <c r="AO335" s="413"/>
      <c r="AP335" s="16" t="s">
        <v>160</v>
      </c>
      <c r="AQ335" s="16" t="s">
        <v>193</v>
      </c>
      <c r="AR335" s="130">
        <v>1404</v>
      </c>
      <c r="AS335" s="130">
        <v>8</v>
      </c>
      <c r="AT335" s="130"/>
      <c r="AU335" s="130"/>
      <c r="AV335" s="12"/>
      <c r="AW335" s="12"/>
      <c r="AX335" s="12"/>
      <c r="AY335" s="408"/>
    </row>
    <row r="336" spans="1:51" ht="30" hidden="1" customHeight="1" x14ac:dyDescent="0.2">
      <c r="A336" s="416">
        <v>334</v>
      </c>
      <c r="B336" s="413">
        <v>5</v>
      </c>
      <c r="C336" s="413">
        <v>8</v>
      </c>
      <c r="D336" s="16">
        <v>1404</v>
      </c>
      <c r="E336" s="412" t="s">
        <v>5754</v>
      </c>
      <c r="F336" s="412" t="s">
        <v>9</v>
      </c>
      <c r="G336" s="412" t="s">
        <v>90</v>
      </c>
      <c r="H336" s="413" t="s">
        <v>7</v>
      </c>
      <c r="I336" s="360" t="s">
        <v>158</v>
      </c>
      <c r="J336" s="16" t="s">
        <v>84</v>
      </c>
      <c r="K336" s="412"/>
      <c r="L336" s="412" t="s">
        <v>104</v>
      </c>
      <c r="M336" s="422" t="s">
        <v>5758</v>
      </c>
      <c r="N336" s="41" t="s">
        <v>106</v>
      </c>
      <c r="O336" s="13" t="s">
        <v>107</v>
      </c>
      <c r="P336" s="13"/>
      <c r="Q336" s="13"/>
      <c r="R336" s="413"/>
      <c r="S336" s="413">
        <v>6611</v>
      </c>
      <c r="T336" s="413">
        <v>12</v>
      </c>
      <c r="U336" s="412" t="s">
        <v>5759</v>
      </c>
      <c r="V336" s="41" t="s">
        <v>5540</v>
      </c>
      <c r="W336" s="13" t="s">
        <v>70</v>
      </c>
      <c r="X336" s="412"/>
      <c r="Y336" s="413"/>
      <c r="Z336" s="413">
        <v>225</v>
      </c>
      <c r="AA336" s="413"/>
      <c r="AB336" s="16">
        <v>210</v>
      </c>
      <c r="AC336" s="16">
        <v>102</v>
      </c>
      <c r="AD336" s="16">
        <v>133</v>
      </c>
      <c r="AE336" s="16">
        <v>4</v>
      </c>
      <c r="AF336" s="16">
        <v>24</v>
      </c>
      <c r="AG336" s="16">
        <v>161</v>
      </c>
      <c r="AH336" s="16">
        <v>20</v>
      </c>
      <c r="AI336" s="16">
        <v>6</v>
      </c>
      <c r="AJ336" s="413"/>
      <c r="AK336" s="412" t="s">
        <v>5756</v>
      </c>
      <c r="AL336" s="25">
        <v>161</v>
      </c>
      <c r="AM336" s="413">
        <v>19.3</v>
      </c>
      <c r="AN336" s="413"/>
      <c r="AO336" s="413"/>
      <c r="AP336" s="16" t="s">
        <v>160</v>
      </c>
      <c r="AQ336" s="16" t="s">
        <v>193</v>
      </c>
      <c r="AR336" s="130">
        <v>1404</v>
      </c>
      <c r="AS336" s="130">
        <v>8</v>
      </c>
      <c r="AT336" s="130"/>
      <c r="AU336" s="130"/>
      <c r="AV336" s="12"/>
      <c r="AW336" s="12"/>
      <c r="AX336" s="12"/>
      <c r="AY336" s="408"/>
    </row>
    <row r="337" spans="1:51" ht="30" hidden="1" customHeight="1" x14ac:dyDescent="0.2">
      <c r="A337" s="416">
        <v>335</v>
      </c>
      <c r="B337" s="413">
        <v>5</v>
      </c>
      <c r="C337" s="413">
        <v>8</v>
      </c>
      <c r="D337" s="16">
        <v>1404</v>
      </c>
      <c r="E337" s="412" t="s">
        <v>5755</v>
      </c>
      <c r="F337" s="412" t="s">
        <v>8</v>
      </c>
      <c r="G337" s="412" t="s">
        <v>3661</v>
      </c>
      <c r="H337" s="413" t="s">
        <v>83</v>
      </c>
      <c r="I337" s="360" t="s">
        <v>158</v>
      </c>
      <c r="J337" s="16" t="s">
        <v>92</v>
      </c>
      <c r="K337" s="412"/>
      <c r="L337" s="412" t="s">
        <v>104</v>
      </c>
      <c r="M337" s="422" t="s">
        <v>4034</v>
      </c>
      <c r="N337" s="41" t="s">
        <v>106</v>
      </c>
      <c r="O337" s="13" t="s">
        <v>107</v>
      </c>
      <c r="P337" s="13"/>
      <c r="Q337" s="13"/>
      <c r="R337" s="413"/>
      <c r="S337" s="413">
        <v>384</v>
      </c>
      <c r="T337" s="413">
        <v>7</v>
      </c>
      <c r="U337" s="412" t="s">
        <v>5757</v>
      </c>
      <c r="V337" s="41" t="s">
        <v>106</v>
      </c>
      <c r="W337" s="13" t="s">
        <v>107</v>
      </c>
      <c r="X337" s="412"/>
      <c r="Y337" s="413" t="s">
        <v>4376</v>
      </c>
      <c r="Z337" s="413">
        <v>87</v>
      </c>
      <c r="AA337" s="413">
        <v>78</v>
      </c>
      <c r="AB337" s="16">
        <v>78</v>
      </c>
      <c r="AC337" s="16"/>
      <c r="AD337" s="16"/>
      <c r="AE337" s="16"/>
      <c r="AF337" s="16"/>
      <c r="AG337" s="16"/>
      <c r="AH337" s="16"/>
      <c r="AI337" s="16">
        <v>6</v>
      </c>
      <c r="AJ337" s="413"/>
      <c r="AK337" s="412"/>
      <c r="AL337" s="25"/>
      <c r="AM337" s="413"/>
      <c r="AN337" s="413"/>
      <c r="AO337" s="413"/>
      <c r="AP337" s="16" t="s">
        <v>5080</v>
      </c>
      <c r="AQ337" s="16" t="s">
        <v>231</v>
      </c>
      <c r="AR337" s="130">
        <v>1404</v>
      </c>
      <c r="AS337" s="130">
        <v>8</v>
      </c>
      <c r="AT337" s="130">
        <v>1403</v>
      </c>
      <c r="AU337" s="130">
        <v>1</v>
      </c>
      <c r="AV337" s="12">
        <f>IF(AR337*AT337&gt;0,(AR337-AT337)*12+(AS337-AU337),"")</f>
        <v>19</v>
      </c>
      <c r="AW337" s="12" t="str">
        <f>IF(AV337&lt;13,AV337,"")</f>
        <v/>
      </c>
      <c r="AX337" s="12"/>
      <c r="AY337" s="408"/>
    </row>
    <row r="338" spans="1:51" s="21" customFormat="1" ht="30" hidden="1" customHeight="1" x14ac:dyDescent="0.2">
      <c r="A338" s="20">
        <v>336</v>
      </c>
      <c r="B338" s="20">
        <v>6</v>
      </c>
      <c r="C338" s="20">
        <v>8</v>
      </c>
      <c r="D338" s="29">
        <v>1404</v>
      </c>
      <c r="E338" s="30" t="s">
        <v>1331</v>
      </c>
      <c r="F338" s="30" t="s">
        <v>8</v>
      </c>
      <c r="G338" s="30" t="s">
        <v>3661</v>
      </c>
      <c r="H338" s="20" t="s">
        <v>83</v>
      </c>
      <c r="I338" s="360" t="s">
        <v>158</v>
      </c>
      <c r="J338" s="29" t="s">
        <v>5539</v>
      </c>
      <c r="K338" s="30"/>
      <c r="L338" s="30" t="s">
        <v>155</v>
      </c>
      <c r="M338" s="30" t="s">
        <v>1361</v>
      </c>
      <c r="N338" s="30" t="s">
        <v>106</v>
      </c>
      <c r="O338" s="20" t="s">
        <v>107</v>
      </c>
      <c r="P338" s="20"/>
      <c r="Q338" s="20"/>
      <c r="R338" s="20"/>
      <c r="S338" s="20">
        <v>345</v>
      </c>
      <c r="T338" s="20">
        <v>10</v>
      </c>
      <c r="U338" s="30" t="s">
        <v>1362</v>
      </c>
      <c r="V338" s="30" t="s">
        <v>106</v>
      </c>
      <c r="W338" s="20" t="s">
        <v>107</v>
      </c>
      <c r="X338" s="30"/>
      <c r="Y338" s="20" t="s">
        <v>250</v>
      </c>
      <c r="Z338" s="20"/>
      <c r="AA338" s="20">
        <v>188</v>
      </c>
      <c r="AB338" s="29">
        <v>188</v>
      </c>
      <c r="AC338" s="29"/>
      <c r="AD338" s="29"/>
      <c r="AE338" s="29"/>
      <c r="AF338" s="29"/>
      <c r="AG338" s="29"/>
      <c r="AH338" s="29"/>
      <c r="AI338" s="29">
        <v>6</v>
      </c>
      <c r="AJ338" s="20"/>
      <c r="AK338" s="30"/>
      <c r="AL338" s="36"/>
      <c r="AM338" s="20"/>
      <c r="AN338" s="20"/>
      <c r="AO338" s="20"/>
      <c r="AP338" s="29" t="s">
        <v>160</v>
      </c>
      <c r="AQ338" s="29" t="s">
        <v>165</v>
      </c>
      <c r="AR338" s="318">
        <v>1404</v>
      </c>
      <c r="AS338" s="318">
        <v>8</v>
      </c>
      <c r="AT338" s="318">
        <v>1401</v>
      </c>
      <c r="AU338" s="318">
        <v>8</v>
      </c>
      <c r="AV338" s="31">
        <f>IF(AR338*AT338&gt;0,(AR338-AT338)*12+(AS338-AU338),"")</f>
        <v>36</v>
      </c>
      <c r="AW338" s="31" t="str">
        <f>IF(AV338&lt;13,AV338,"")</f>
        <v/>
      </c>
      <c r="AX338" s="31"/>
      <c r="AY338" s="409" t="s">
        <v>5785</v>
      </c>
    </row>
    <row r="339" spans="1:51" ht="30" hidden="1" customHeight="1" x14ac:dyDescent="0.2">
      <c r="A339" s="416">
        <v>337</v>
      </c>
      <c r="B339" s="421">
        <v>7</v>
      </c>
      <c r="C339" s="421">
        <v>8</v>
      </c>
      <c r="D339" s="16">
        <v>1404</v>
      </c>
      <c r="E339" s="420" t="s">
        <v>5760</v>
      </c>
      <c r="F339" s="420" t="s">
        <v>9</v>
      </c>
      <c r="G339" s="420" t="s">
        <v>90</v>
      </c>
      <c r="H339" s="421" t="s">
        <v>7</v>
      </c>
      <c r="I339" s="360" t="s">
        <v>158</v>
      </c>
      <c r="J339" s="16" t="s">
        <v>84</v>
      </c>
      <c r="K339" s="412"/>
      <c r="L339" s="412" t="s">
        <v>155</v>
      </c>
      <c r="M339" s="422" t="s">
        <v>5776</v>
      </c>
      <c r="N339" s="41" t="s">
        <v>106</v>
      </c>
      <c r="O339" s="13" t="s">
        <v>107</v>
      </c>
      <c r="P339" s="13"/>
      <c r="Q339" s="13"/>
      <c r="R339" s="413"/>
      <c r="S339" s="413">
        <v>384</v>
      </c>
      <c r="T339" s="413">
        <v>9</v>
      </c>
      <c r="U339" s="412" t="s">
        <v>5777</v>
      </c>
      <c r="V339" s="41" t="s">
        <v>106</v>
      </c>
      <c r="W339" s="13" t="s">
        <v>107</v>
      </c>
      <c r="X339" s="412"/>
      <c r="Y339" s="413"/>
      <c r="Z339" s="413"/>
      <c r="AA339" s="413">
        <v>222</v>
      </c>
      <c r="AB339" s="16">
        <v>222</v>
      </c>
      <c r="AC339" s="16"/>
      <c r="AD339" s="16"/>
      <c r="AE339" s="16"/>
      <c r="AF339" s="16"/>
      <c r="AG339" s="16"/>
      <c r="AH339" s="16"/>
      <c r="AI339" s="16">
        <v>6</v>
      </c>
      <c r="AJ339" s="413"/>
      <c r="AK339" s="412" t="s">
        <v>5761</v>
      </c>
      <c r="AL339" s="25">
        <v>175</v>
      </c>
      <c r="AM339" s="413"/>
      <c r="AN339" s="413"/>
      <c r="AO339" s="413"/>
      <c r="AP339" s="16" t="s">
        <v>160</v>
      </c>
      <c r="AQ339" s="16" t="s">
        <v>165</v>
      </c>
      <c r="AR339" s="130">
        <v>1404</v>
      </c>
      <c r="AS339" s="130">
        <v>8</v>
      </c>
      <c r="AT339" s="130"/>
      <c r="AU339" s="130"/>
      <c r="AV339" s="12"/>
      <c r="AW339" s="12"/>
      <c r="AX339" s="12"/>
      <c r="AY339" s="408"/>
    </row>
    <row r="340" spans="1:51" ht="30" hidden="1" customHeight="1" x14ac:dyDescent="0.2">
      <c r="A340" s="416">
        <v>338</v>
      </c>
      <c r="B340" s="419">
        <v>7</v>
      </c>
      <c r="C340" s="419">
        <v>8</v>
      </c>
      <c r="D340" s="16">
        <v>1404</v>
      </c>
      <c r="E340" s="418" t="s">
        <v>5721</v>
      </c>
      <c r="F340" s="418" t="s">
        <v>5409</v>
      </c>
      <c r="G340" s="412"/>
      <c r="H340" s="413" t="s">
        <v>7</v>
      </c>
      <c r="I340" s="360" t="s">
        <v>158</v>
      </c>
      <c r="J340" s="16" t="s">
        <v>84</v>
      </c>
      <c r="K340" s="412"/>
      <c r="L340" s="412" t="s">
        <v>104</v>
      </c>
      <c r="M340" s="422" t="s">
        <v>5762</v>
      </c>
      <c r="N340" s="41" t="s">
        <v>69</v>
      </c>
      <c r="O340" s="13" t="s">
        <v>70</v>
      </c>
      <c r="P340" s="13"/>
      <c r="Q340" s="13"/>
      <c r="R340" s="413"/>
      <c r="S340" s="413">
        <v>293</v>
      </c>
      <c r="T340" s="413">
        <v>14</v>
      </c>
      <c r="U340" s="412" t="s">
        <v>5778</v>
      </c>
      <c r="V340" s="41" t="s">
        <v>106</v>
      </c>
      <c r="W340" s="13" t="s">
        <v>107</v>
      </c>
      <c r="X340" s="412"/>
      <c r="Y340" s="413" t="s">
        <v>3714</v>
      </c>
      <c r="Z340" s="413"/>
      <c r="AA340" s="413">
        <v>204</v>
      </c>
      <c r="AB340" s="16">
        <v>204</v>
      </c>
      <c r="AC340" s="16"/>
      <c r="AD340" s="16"/>
      <c r="AE340" s="16"/>
      <c r="AF340" s="16"/>
      <c r="AG340" s="16"/>
      <c r="AH340" s="16"/>
      <c r="AI340" s="16">
        <v>6</v>
      </c>
      <c r="AJ340" s="413"/>
      <c r="AK340" s="412" t="s">
        <v>5763</v>
      </c>
      <c r="AL340" s="25">
        <v>223</v>
      </c>
      <c r="AM340" s="413">
        <v>11.3</v>
      </c>
      <c r="AN340" s="413"/>
      <c r="AO340" s="413"/>
      <c r="AP340" s="16" t="s">
        <v>160</v>
      </c>
      <c r="AQ340" s="16" t="s">
        <v>165</v>
      </c>
      <c r="AR340" s="130">
        <v>1404</v>
      </c>
      <c r="AS340" s="130">
        <v>8</v>
      </c>
      <c r="AT340" s="130"/>
      <c r="AU340" s="130"/>
      <c r="AV340" s="12"/>
      <c r="AW340" s="12"/>
      <c r="AX340" s="12"/>
      <c r="AY340" s="408"/>
    </row>
    <row r="341" spans="1:51" ht="30" hidden="1" customHeight="1" x14ac:dyDescent="0.2">
      <c r="A341" s="416">
        <v>339</v>
      </c>
      <c r="B341" s="413">
        <v>7</v>
      </c>
      <c r="C341" s="413">
        <v>8</v>
      </c>
      <c r="D341" s="16">
        <v>1404</v>
      </c>
      <c r="E341" s="412" t="s">
        <v>1331</v>
      </c>
      <c r="F341" s="412" t="s">
        <v>8</v>
      </c>
      <c r="G341" s="412" t="s">
        <v>3661</v>
      </c>
      <c r="H341" s="413" t="s">
        <v>7</v>
      </c>
      <c r="I341" s="360" t="s">
        <v>158</v>
      </c>
      <c r="J341" s="16" t="s">
        <v>5577</v>
      </c>
      <c r="K341" s="412"/>
      <c r="L341" s="412" t="s">
        <v>155</v>
      </c>
      <c r="M341" s="422" t="s">
        <v>5764</v>
      </c>
      <c r="N341" s="41" t="s">
        <v>69</v>
      </c>
      <c r="O341" s="13" t="s">
        <v>70</v>
      </c>
      <c r="P341" s="13"/>
      <c r="Q341" s="13"/>
      <c r="R341" s="413"/>
      <c r="S341" s="413">
        <v>345</v>
      </c>
      <c r="T341" s="413">
        <v>10</v>
      </c>
      <c r="U341" s="412" t="s">
        <v>5765</v>
      </c>
      <c r="V341" s="41" t="s">
        <v>142</v>
      </c>
      <c r="W341" s="13" t="s">
        <v>70</v>
      </c>
      <c r="X341" s="412"/>
      <c r="Y341" s="413" t="s">
        <v>5774</v>
      </c>
      <c r="Z341" s="413">
        <v>205</v>
      </c>
      <c r="AA341" s="413">
        <v>192</v>
      </c>
      <c r="AB341" s="16">
        <v>192</v>
      </c>
      <c r="AC341" s="16">
        <v>85</v>
      </c>
      <c r="AD341" s="16">
        <v>160</v>
      </c>
      <c r="AE341" s="16">
        <v>6</v>
      </c>
      <c r="AF341" s="16">
        <v>74</v>
      </c>
      <c r="AG341" s="16">
        <v>240</v>
      </c>
      <c r="AH341" s="16">
        <v>23</v>
      </c>
      <c r="AI341" s="16">
        <v>6</v>
      </c>
      <c r="AJ341" s="413"/>
      <c r="AK341" s="412" t="s">
        <v>5775</v>
      </c>
      <c r="AL341" s="25">
        <v>240</v>
      </c>
      <c r="AM341" s="413">
        <v>21</v>
      </c>
      <c r="AN341" s="413"/>
      <c r="AO341" s="413"/>
      <c r="AP341" s="16" t="s">
        <v>160</v>
      </c>
      <c r="AQ341" s="16" t="s">
        <v>193</v>
      </c>
      <c r="AR341" s="130">
        <v>1404</v>
      </c>
      <c r="AS341" s="130">
        <v>8</v>
      </c>
      <c r="AT341" s="130"/>
      <c r="AU341" s="130"/>
      <c r="AV341" s="12"/>
      <c r="AW341" s="12"/>
      <c r="AX341" s="12"/>
      <c r="AY341" s="408"/>
    </row>
    <row r="342" spans="1:51" ht="30" hidden="1" customHeight="1" x14ac:dyDescent="0.2">
      <c r="A342" s="416">
        <v>340</v>
      </c>
      <c r="B342" s="413">
        <v>7</v>
      </c>
      <c r="C342" s="413">
        <v>8</v>
      </c>
      <c r="D342" s="16">
        <v>1404</v>
      </c>
      <c r="E342" s="412" t="s">
        <v>3616</v>
      </c>
      <c r="F342" s="412" t="s">
        <v>9</v>
      </c>
      <c r="G342" s="412" t="s">
        <v>5608</v>
      </c>
      <c r="H342" s="413" t="s">
        <v>83</v>
      </c>
      <c r="I342" s="360" t="s">
        <v>158</v>
      </c>
      <c r="J342" s="16" t="s">
        <v>84</v>
      </c>
      <c r="K342" s="412"/>
      <c r="L342" s="412" t="s">
        <v>155</v>
      </c>
      <c r="M342" s="422" t="s">
        <v>5779</v>
      </c>
      <c r="N342" s="41" t="s">
        <v>106</v>
      </c>
      <c r="O342" s="13" t="s">
        <v>107</v>
      </c>
      <c r="P342" s="13"/>
      <c r="Q342" s="13"/>
      <c r="R342" s="413"/>
      <c r="S342" s="413">
        <v>345</v>
      </c>
      <c r="T342" s="413">
        <v>10</v>
      </c>
      <c r="U342" s="412" t="s">
        <v>5780</v>
      </c>
      <c r="V342" s="41" t="s">
        <v>106</v>
      </c>
      <c r="W342" s="13" t="s">
        <v>107</v>
      </c>
      <c r="X342" s="412"/>
      <c r="Y342" s="413" t="s">
        <v>3697</v>
      </c>
      <c r="Z342" s="413">
        <v>221</v>
      </c>
      <c r="AA342" s="413">
        <v>210</v>
      </c>
      <c r="AB342" s="16">
        <v>210</v>
      </c>
      <c r="AC342" s="16"/>
      <c r="AD342" s="16"/>
      <c r="AE342" s="16"/>
      <c r="AF342" s="16"/>
      <c r="AG342" s="16"/>
      <c r="AH342" s="16"/>
      <c r="AI342" s="16">
        <v>6</v>
      </c>
      <c r="AJ342" s="413"/>
      <c r="AK342" s="412"/>
      <c r="AL342" s="25"/>
      <c r="AM342" s="413"/>
      <c r="AN342" s="413"/>
      <c r="AO342" s="413"/>
      <c r="AP342" s="16"/>
      <c r="AQ342" s="16"/>
      <c r="AR342" s="130">
        <v>1404</v>
      </c>
      <c r="AS342" s="130">
        <v>8</v>
      </c>
      <c r="AT342" s="130">
        <v>1402</v>
      </c>
      <c r="AU342" s="130">
        <v>5</v>
      </c>
      <c r="AV342" s="12">
        <f>IF(AR342*AT342&gt;0,(AR342-AT342)*12+(AS342-AU342),"")</f>
        <v>27</v>
      </c>
      <c r="AW342" s="12" t="str">
        <f>IF(AV342&lt;13,AV342,"")</f>
        <v/>
      </c>
      <c r="AX342" s="12"/>
      <c r="AY342" s="408"/>
    </row>
    <row r="343" spans="1:51" ht="30" hidden="1" customHeight="1" x14ac:dyDescent="0.2">
      <c r="A343" s="416">
        <v>341</v>
      </c>
      <c r="B343" s="413">
        <v>7</v>
      </c>
      <c r="C343" s="413">
        <v>8</v>
      </c>
      <c r="D343" s="16">
        <v>1404</v>
      </c>
      <c r="E343" s="412" t="s">
        <v>5755</v>
      </c>
      <c r="F343" s="412" t="s">
        <v>8</v>
      </c>
      <c r="G343" s="412"/>
      <c r="H343" s="413" t="s">
        <v>7</v>
      </c>
      <c r="I343" s="360" t="s">
        <v>158</v>
      </c>
      <c r="J343" s="16" t="s">
        <v>5577</v>
      </c>
      <c r="K343" s="35" t="s">
        <v>104</v>
      </c>
      <c r="L343" s="35" t="s">
        <v>334</v>
      </c>
      <c r="M343" s="422" t="s">
        <v>5766</v>
      </c>
      <c r="N343" s="41" t="s">
        <v>69</v>
      </c>
      <c r="O343" s="13" t="s">
        <v>70</v>
      </c>
      <c r="P343" s="13"/>
      <c r="Q343" s="13"/>
      <c r="R343" s="33" t="s">
        <v>108</v>
      </c>
      <c r="S343" s="33">
        <v>6608</v>
      </c>
      <c r="T343" s="33">
        <v>11</v>
      </c>
      <c r="U343" s="412" t="s">
        <v>5767</v>
      </c>
      <c r="V343" s="41" t="s">
        <v>73</v>
      </c>
      <c r="W343" s="13" t="s">
        <v>70</v>
      </c>
      <c r="X343" s="412" t="s">
        <v>5187</v>
      </c>
      <c r="Y343" s="413"/>
      <c r="Z343" s="413">
        <v>87</v>
      </c>
      <c r="AA343" s="413">
        <v>78</v>
      </c>
      <c r="AB343" s="16">
        <v>78</v>
      </c>
      <c r="AC343" s="16">
        <v>53</v>
      </c>
      <c r="AD343" s="16">
        <v>78</v>
      </c>
      <c r="AE343" s="16">
        <v>4</v>
      </c>
      <c r="AF343" s="16">
        <v>56</v>
      </c>
      <c r="AG343" s="16">
        <v>138</v>
      </c>
      <c r="AH343" s="16">
        <v>10</v>
      </c>
      <c r="AI343" s="16">
        <v>4</v>
      </c>
      <c r="AJ343" s="413"/>
      <c r="AK343" s="412" t="s">
        <v>5761</v>
      </c>
      <c r="AL343" s="25">
        <v>138</v>
      </c>
      <c r="AM343" s="413">
        <v>10</v>
      </c>
      <c r="AN343" s="413"/>
      <c r="AO343" s="413"/>
      <c r="AP343" s="16" t="s">
        <v>5080</v>
      </c>
      <c r="AQ343" s="16" t="s">
        <v>1956</v>
      </c>
      <c r="AR343" s="130">
        <v>1404</v>
      </c>
      <c r="AS343" s="130">
        <v>8</v>
      </c>
      <c r="AT343" s="130"/>
      <c r="AU343" s="130"/>
      <c r="AV343" s="12"/>
      <c r="AW343" s="12"/>
      <c r="AX343" s="12"/>
      <c r="AY343" s="408"/>
    </row>
    <row r="344" spans="1:51" ht="30" hidden="1" customHeight="1" x14ac:dyDescent="0.2">
      <c r="A344" s="416">
        <v>342</v>
      </c>
      <c r="B344" s="413">
        <v>8</v>
      </c>
      <c r="C344" s="413">
        <v>8</v>
      </c>
      <c r="D344" s="16">
        <v>1404</v>
      </c>
      <c r="E344" s="412" t="s">
        <v>5712</v>
      </c>
      <c r="F344" s="412" t="s">
        <v>8</v>
      </c>
      <c r="G344" s="412" t="s">
        <v>3661</v>
      </c>
      <c r="H344" s="413" t="s">
        <v>7</v>
      </c>
      <c r="I344" s="360" t="s">
        <v>158</v>
      </c>
      <c r="J344" s="16" t="s">
        <v>5577</v>
      </c>
      <c r="K344" s="35" t="s">
        <v>155</v>
      </c>
      <c r="L344" s="35" t="s">
        <v>218</v>
      </c>
      <c r="M344" s="422" t="s">
        <v>5768</v>
      </c>
      <c r="N344" s="41" t="s">
        <v>106</v>
      </c>
      <c r="O344" s="13" t="s">
        <v>107</v>
      </c>
      <c r="P344" s="13"/>
      <c r="Q344" s="13"/>
      <c r="R344" s="33" t="s">
        <v>167</v>
      </c>
      <c r="S344" s="33">
        <v>384</v>
      </c>
      <c r="T344" s="33">
        <v>11</v>
      </c>
      <c r="U344" s="412" t="s">
        <v>5769</v>
      </c>
      <c r="V344" s="41" t="s">
        <v>5540</v>
      </c>
      <c r="W344" s="13" t="s">
        <v>70</v>
      </c>
      <c r="X344" s="412"/>
      <c r="Y344" s="413"/>
      <c r="Z344" s="413">
        <v>205</v>
      </c>
      <c r="AA344" s="413">
        <v>201</v>
      </c>
      <c r="AB344" s="16">
        <v>195</v>
      </c>
      <c r="AC344" s="16">
        <v>130</v>
      </c>
      <c r="AD344" s="16">
        <v>130</v>
      </c>
      <c r="AE344" s="16">
        <v>6</v>
      </c>
      <c r="AF344" s="16">
        <v>80</v>
      </c>
      <c r="AG344" s="16">
        <v>216</v>
      </c>
      <c r="AH344" s="16">
        <v>25</v>
      </c>
      <c r="AI344" s="16">
        <v>6</v>
      </c>
      <c r="AJ344" s="413"/>
      <c r="AK344" s="412" t="s">
        <v>5773</v>
      </c>
      <c r="AL344" s="25">
        <v>216</v>
      </c>
      <c r="AM344" s="413">
        <v>25</v>
      </c>
      <c r="AN344" s="413"/>
      <c r="AO344" s="413"/>
      <c r="AP344" s="16" t="s">
        <v>160</v>
      </c>
      <c r="AQ344" s="16" t="s">
        <v>165</v>
      </c>
      <c r="AR344" s="130">
        <v>1404</v>
      </c>
      <c r="AS344" s="130">
        <v>8</v>
      </c>
      <c r="AT344" s="130"/>
      <c r="AU344" s="130"/>
      <c r="AV344" s="12"/>
      <c r="AW344" s="12"/>
      <c r="AX344" s="12"/>
      <c r="AY344" s="408"/>
    </row>
    <row r="345" spans="1:51" ht="30" hidden="1" customHeight="1" x14ac:dyDescent="0.2">
      <c r="A345" s="416">
        <v>343</v>
      </c>
      <c r="B345" s="413">
        <v>8</v>
      </c>
      <c r="C345" s="413">
        <v>8</v>
      </c>
      <c r="D345" s="16">
        <v>1404</v>
      </c>
      <c r="E345" s="412" t="s">
        <v>3280</v>
      </c>
      <c r="F345" s="412" t="s">
        <v>6</v>
      </c>
      <c r="G345" s="412"/>
      <c r="H345" s="413" t="s">
        <v>7</v>
      </c>
      <c r="I345" s="360" t="s">
        <v>158</v>
      </c>
      <c r="J345" s="16" t="s">
        <v>84</v>
      </c>
      <c r="K345" s="412"/>
      <c r="L345" s="412" t="s">
        <v>104</v>
      </c>
      <c r="M345" s="422" t="s">
        <v>5770</v>
      </c>
      <c r="N345" s="41" t="s">
        <v>69</v>
      </c>
      <c r="O345" s="13" t="s">
        <v>70</v>
      </c>
      <c r="P345" s="13"/>
      <c r="Q345" s="13"/>
      <c r="R345" s="33" t="s">
        <v>276</v>
      </c>
      <c r="S345" s="33">
        <v>6609</v>
      </c>
      <c r="T345" s="33">
        <v>14</v>
      </c>
      <c r="U345" s="412" t="s">
        <v>5771</v>
      </c>
      <c r="V345" s="41" t="s">
        <v>106</v>
      </c>
      <c r="W345" s="13" t="s">
        <v>107</v>
      </c>
      <c r="X345" s="412"/>
      <c r="Y345" s="413" t="s">
        <v>5772</v>
      </c>
      <c r="Z345" s="413">
        <v>218</v>
      </c>
      <c r="AA345" s="413">
        <v>207</v>
      </c>
      <c r="AB345" s="16">
        <v>207</v>
      </c>
      <c r="AC345" s="16">
        <v>112</v>
      </c>
      <c r="AD345" s="16">
        <v>129</v>
      </c>
      <c r="AE345" s="16">
        <v>3</v>
      </c>
      <c r="AF345" s="16">
        <v>56</v>
      </c>
      <c r="AG345" s="16">
        <v>188</v>
      </c>
      <c r="AH345" s="16">
        <v>15.2</v>
      </c>
      <c r="AI345" s="16">
        <v>6</v>
      </c>
      <c r="AJ345" s="413"/>
      <c r="AK345" s="412" t="s">
        <v>5773</v>
      </c>
      <c r="AL345" s="25">
        <v>188</v>
      </c>
      <c r="AM345" s="413">
        <v>15</v>
      </c>
      <c r="AN345" s="413"/>
      <c r="AO345" s="413"/>
      <c r="AP345" s="16" t="s">
        <v>160</v>
      </c>
      <c r="AQ345" s="16" t="s">
        <v>193</v>
      </c>
      <c r="AR345" s="130">
        <v>1404</v>
      </c>
      <c r="AS345" s="130">
        <v>8</v>
      </c>
      <c r="AT345" s="130"/>
      <c r="AU345" s="130"/>
      <c r="AV345" s="12"/>
      <c r="AW345" s="12"/>
      <c r="AX345" s="12"/>
      <c r="AY345" s="408"/>
    </row>
    <row r="346" spans="1:51" ht="30" hidden="1" customHeight="1" x14ac:dyDescent="0.2">
      <c r="A346" s="416">
        <v>344</v>
      </c>
      <c r="B346" s="413">
        <v>9</v>
      </c>
      <c r="C346" s="413">
        <v>8</v>
      </c>
      <c r="D346" s="16">
        <v>1404</v>
      </c>
      <c r="E346" s="412" t="s">
        <v>5677</v>
      </c>
      <c r="F346" s="412" t="s">
        <v>8</v>
      </c>
      <c r="G346" s="412" t="s">
        <v>90</v>
      </c>
      <c r="H346" s="413" t="s">
        <v>7</v>
      </c>
      <c r="I346" s="360" t="s">
        <v>158</v>
      </c>
      <c r="J346" s="16" t="s">
        <v>3576</v>
      </c>
      <c r="K346" s="412"/>
      <c r="L346" s="412" t="s">
        <v>104</v>
      </c>
      <c r="M346" s="422" t="s">
        <v>5678</v>
      </c>
      <c r="N346" s="41" t="s">
        <v>106</v>
      </c>
      <c r="O346" s="13" t="s">
        <v>107</v>
      </c>
      <c r="P346" s="13"/>
      <c r="Q346" s="13"/>
      <c r="R346" s="413"/>
      <c r="S346" s="413">
        <v>345</v>
      </c>
      <c r="T346" s="413">
        <v>7</v>
      </c>
      <c r="U346" s="412" t="s">
        <v>5679</v>
      </c>
      <c r="V346" s="41" t="s">
        <v>106</v>
      </c>
      <c r="W346" s="13" t="s">
        <v>107</v>
      </c>
      <c r="X346" s="412"/>
      <c r="Y346" s="413"/>
      <c r="Z346" s="413">
        <v>250</v>
      </c>
      <c r="AA346" s="413"/>
      <c r="AB346" s="16">
        <v>230</v>
      </c>
      <c r="AC346" s="16">
        <v>58</v>
      </c>
      <c r="AD346" s="16">
        <v>87</v>
      </c>
      <c r="AE346" s="16">
        <v>7</v>
      </c>
      <c r="AF346" s="16">
        <v>65</v>
      </c>
      <c r="AG346" s="16">
        <v>159</v>
      </c>
      <c r="AH346" s="16">
        <v>22</v>
      </c>
      <c r="AI346" s="16">
        <v>6</v>
      </c>
      <c r="AJ346" s="413"/>
      <c r="AK346" s="412" t="s">
        <v>5680</v>
      </c>
      <c r="AL346" s="25">
        <v>159</v>
      </c>
      <c r="AM346" s="413">
        <v>21.5</v>
      </c>
      <c r="AN346" s="413"/>
      <c r="AO346" s="413"/>
      <c r="AP346" s="16" t="s">
        <v>160</v>
      </c>
      <c r="AQ346" s="16" t="s">
        <v>193</v>
      </c>
      <c r="AR346" s="130">
        <v>1404</v>
      </c>
      <c r="AS346" s="130">
        <v>8</v>
      </c>
      <c r="AT346" s="130"/>
      <c r="AU346" s="130"/>
      <c r="AV346" s="12"/>
      <c r="AW346" s="12"/>
      <c r="AX346" s="12"/>
      <c r="AY346" s="408"/>
    </row>
    <row r="347" spans="1:51" ht="30" hidden="1" customHeight="1" x14ac:dyDescent="0.2">
      <c r="A347" s="416">
        <v>345</v>
      </c>
      <c r="B347" s="413">
        <v>10</v>
      </c>
      <c r="C347" s="413">
        <v>8</v>
      </c>
      <c r="D347" s="16">
        <v>1404</v>
      </c>
      <c r="E347" s="412" t="s">
        <v>5787</v>
      </c>
      <c r="F347" s="412" t="s">
        <v>6</v>
      </c>
      <c r="G347" s="412" t="s">
        <v>5608</v>
      </c>
      <c r="H347" s="413" t="s">
        <v>7</v>
      </c>
      <c r="I347" s="360" t="s">
        <v>158</v>
      </c>
      <c r="J347" s="16" t="s">
        <v>84</v>
      </c>
      <c r="K347" s="412"/>
      <c r="L347" s="412" t="s">
        <v>155</v>
      </c>
      <c r="M347" s="412" t="s">
        <v>5783</v>
      </c>
      <c r="N347" s="41" t="s">
        <v>5788</v>
      </c>
      <c r="O347" s="13" t="s">
        <v>107</v>
      </c>
      <c r="P347" s="13"/>
      <c r="Q347" s="13"/>
      <c r="R347" s="413">
        <v>345</v>
      </c>
      <c r="S347" s="413">
        <v>6611</v>
      </c>
      <c r="T347" s="413">
        <v>16</v>
      </c>
      <c r="U347" s="412" t="s">
        <v>5789</v>
      </c>
      <c r="V347" s="41" t="s">
        <v>5790</v>
      </c>
      <c r="W347" s="13" t="s">
        <v>70</v>
      </c>
      <c r="X347" s="412"/>
      <c r="Y347" s="413" t="s">
        <v>5791</v>
      </c>
      <c r="Z347" s="413">
        <v>210</v>
      </c>
      <c r="AA347" s="413"/>
      <c r="AB347" s="16">
        <v>210</v>
      </c>
      <c r="AC347" s="16"/>
      <c r="AD347" s="16"/>
      <c r="AE347" s="16"/>
      <c r="AF347" s="16"/>
      <c r="AG347" s="16"/>
      <c r="AH347" s="16"/>
      <c r="AI347" s="16"/>
      <c r="AJ347" s="413"/>
      <c r="AK347" s="412"/>
      <c r="AL347" s="25"/>
      <c r="AM347" s="413"/>
      <c r="AN347" s="413"/>
      <c r="AO347" s="413"/>
      <c r="AP347" s="16" t="s">
        <v>3714</v>
      </c>
      <c r="AQ347" s="16" t="s">
        <v>3714</v>
      </c>
      <c r="AR347" s="130">
        <v>1404</v>
      </c>
      <c r="AS347" s="130">
        <v>8</v>
      </c>
      <c r="AT347" s="130">
        <v>1400</v>
      </c>
      <c r="AU347" s="130">
        <v>8</v>
      </c>
      <c r="AV347" s="12" t="s">
        <v>3714</v>
      </c>
      <c r="AW347" s="12" t="str">
        <f>IF(AV347&lt;13,AV347,"")</f>
        <v/>
      </c>
      <c r="AX347" s="12"/>
      <c r="AY347" s="408"/>
    </row>
    <row r="348" spans="1:51" ht="30" hidden="1" customHeight="1" x14ac:dyDescent="0.2">
      <c r="A348" s="416">
        <v>346</v>
      </c>
      <c r="B348" s="413">
        <v>11</v>
      </c>
      <c r="C348" s="413">
        <v>8</v>
      </c>
      <c r="D348" s="16">
        <v>1404</v>
      </c>
      <c r="E348" s="412" t="s">
        <v>2229</v>
      </c>
      <c r="F348" s="412" t="s">
        <v>6</v>
      </c>
      <c r="G348" s="412" t="s">
        <v>5713</v>
      </c>
      <c r="H348" s="413" t="s">
        <v>83</v>
      </c>
      <c r="I348" s="360" t="s">
        <v>158</v>
      </c>
      <c r="J348" s="16" t="s">
        <v>84</v>
      </c>
      <c r="K348" s="412"/>
      <c r="L348" s="412" t="s">
        <v>141</v>
      </c>
      <c r="M348" s="412" t="s">
        <v>5794</v>
      </c>
      <c r="N348" s="41" t="s">
        <v>5788</v>
      </c>
      <c r="O348" s="13" t="s">
        <v>107</v>
      </c>
      <c r="P348" s="13"/>
      <c r="Q348" s="13"/>
      <c r="R348" s="413"/>
      <c r="S348" s="413">
        <v>233</v>
      </c>
      <c r="T348" s="413">
        <v>15</v>
      </c>
      <c r="U348" s="412" t="s">
        <v>5795</v>
      </c>
      <c r="V348" s="41" t="s">
        <v>106</v>
      </c>
      <c r="W348" s="13" t="s">
        <v>107</v>
      </c>
      <c r="X348" s="412"/>
      <c r="Y348" s="413" t="s">
        <v>5792</v>
      </c>
      <c r="Z348" s="413">
        <v>207</v>
      </c>
      <c r="AA348" s="413"/>
      <c r="AB348" s="16">
        <v>195</v>
      </c>
      <c r="AC348" s="16">
        <v>192</v>
      </c>
      <c r="AD348" s="16"/>
      <c r="AE348" s="16"/>
      <c r="AF348" s="16"/>
      <c r="AG348" s="16"/>
      <c r="AH348" s="16"/>
      <c r="AI348" s="16">
        <v>4</v>
      </c>
      <c r="AJ348" s="413"/>
      <c r="AK348" s="412"/>
      <c r="AL348" s="25"/>
      <c r="AM348" s="413"/>
      <c r="AN348" s="413"/>
      <c r="AO348" s="413"/>
      <c r="AP348" s="16" t="s">
        <v>160</v>
      </c>
      <c r="AQ348" s="16" t="s">
        <v>193</v>
      </c>
      <c r="AR348" s="130">
        <v>1404</v>
      </c>
      <c r="AS348" s="130">
        <v>8</v>
      </c>
      <c r="AT348" s="130">
        <v>1400</v>
      </c>
      <c r="AU348" s="130">
        <v>8</v>
      </c>
      <c r="AV348" s="12">
        <f>IF(AR348*AT348&gt;0,(AR348-AT348)*12+(AS348-AU348),"")</f>
        <v>48</v>
      </c>
      <c r="AW348" s="12" t="str">
        <f>IF(AV348&lt;13,AV348,"")</f>
        <v/>
      </c>
      <c r="AX348" s="12"/>
      <c r="AY348" s="408"/>
    </row>
    <row r="349" spans="1:51" ht="30" hidden="1" customHeight="1" x14ac:dyDescent="0.2">
      <c r="A349" s="416">
        <v>347</v>
      </c>
      <c r="B349" s="413">
        <v>11</v>
      </c>
      <c r="C349" s="413">
        <v>8</v>
      </c>
      <c r="D349" s="16">
        <v>1404</v>
      </c>
      <c r="E349" s="412" t="s">
        <v>5793</v>
      </c>
      <c r="F349" s="412" t="s">
        <v>9</v>
      </c>
      <c r="G349" s="412" t="s">
        <v>90</v>
      </c>
      <c r="H349" s="413" t="s">
        <v>7</v>
      </c>
      <c r="I349" s="360" t="s">
        <v>158</v>
      </c>
      <c r="J349" s="16" t="s">
        <v>84</v>
      </c>
      <c r="K349" s="412"/>
      <c r="L349" s="412" t="s">
        <v>104</v>
      </c>
      <c r="M349" s="412" t="s">
        <v>5796</v>
      </c>
      <c r="N349" s="41" t="s">
        <v>69</v>
      </c>
      <c r="O349" s="13" t="s">
        <v>70</v>
      </c>
      <c r="P349" s="13"/>
      <c r="Q349" s="13"/>
      <c r="R349" s="413"/>
      <c r="S349" s="413">
        <v>345</v>
      </c>
      <c r="T349" s="413">
        <v>6</v>
      </c>
      <c r="U349" s="412" t="s">
        <v>5797</v>
      </c>
      <c r="V349" s="41" t="s">
        <v>106</v>
      </c>
      <c r="W349" s="13" t="s">
        <v>107</v>
      </c>
      <c r="X349" s="412"/>
      <c r="Y349" s="413"/>
      <c r="Z349" s="413">
        <v>234</v>
      </c>
      <c r="AA349" s="413"/>
      <c r="AB349" s="16">
        <v>220</v>
      </c>
      <c r="AC349" s="16">
        <v>91</v>
      </c>
      <c r="AD349" s="16">
        <v>126</v>
      </c>
      <c r="AE349" s="16">
        <v>4</v>
      </c>
      <c r="AF349" s="16">
        <v>20</v>
      </c>
      <c r="AG349" s="16">
        <v>150</v>
      </c>
      <c r="AH349" s="16">
        <v>15</v>
      </c>
      <c r="AI349" s="16">
        <v>6</v>
      </c>
      <c r="AJ349" s="413"/>
      <c r="AK349" s="412" t="s">
        <v>5798</v>
      </c>
      <c r="AL349" s="25">
        <v>150</v>
      </c>
      <c r="AM349" s="413">
        <v>17.5</v>
      </c>
      <c r="AN349" s="413"/>
      <c r="AO349" s="413"/>
      <c r="AP349" s="16" t="s">
        <v>160</v>
      </c>
      <c r="AQ349" s="16" t="s">
        <v>161</v>
      </c>
      <c r="AR349" s="130">
        <v>1404</v>
      </c>
      <c r="AS349" s="130">
        <v>8</v>
      </c>
      <c r="AT349" s="130"/>
      <c r="AU349" s="130"/>
      <c r="AV349" s="12" t="str">
        <f t="shared" ref="AV349:AV414" si="22">IF(AR349*AT349&gt;0,(AR349-AT349)*12+(AS349-AU349),"")</f>
        <v/>
      </c>
      <c r="AW349" s="12" t="str">
        <f t="shared" ref="AW349:AW414" si="23">IF(AV349&lt;13,AV349,"")</f>
        <v/>
      </c>
      <c r="AX349" s="12"/>
      <c r="AY349" s="408"/>
    </row>
    <row r="350" spans="1:51" ht="30" hidden="1" customHeight="1" x14ac:dyDescent="0.2">
      <c r="A350" s="416">
        <v>348</v>
      </c>
      <c r="B350" s="413">
        <v>11</v>
      </c>
      <c r="C350" s="413">
        <v>8</v>
      </c>
      <c r="D350" s="16">
        <v>1404</v>
      </c>
      <c r="E350" s="412" t="s">
        <v>1116</v>
      </c>
      <c r="F350" s="412" t="s">
        <v>8</v>
      </c>
      <c r="G350" s="412" t="s">
        <v>3661</v>
      </c>
      <c r="H350" s="413" t="s">
        <v>7</v>
      </c>
      <c r="I350" s="360" t="s">
        <v>158</v>
      </c>
      <c r="J350" s="16" t="s">
        <v>84</v>
      </c>
      <c r="K350" s="412"/>
      <c r="L350" s="412" t="s">
        <v>155</v>
      </c>
      <c r="M350" s="412" t="s">
        <v>5799</v>
      </c>
      <c r="N350" s="41" t="s">
        <v>69</v>
      </c>
      <c r="O350" s="13" t="s">
        <v>70</v>
      </c>
      <c r="P350" s="13"/>
      <c r="Q350" s="13"/>
      <c r="R350" s="413"/>
      <c r="S350" s="413">
        <v>384</v>
      </c>
      <c r="T350" s="413">
        <v>10</v>
      </c>
      <c r="U350" s="412" t="s">
        <v>5800</v>
      </c>
      <c r="V350" s="41" t="s">
        <v>69</v>
      </c>
      <c r="W350" s="13" t="s">
        <v>70</v>
      </c>
      <c r="X350" s="412"/>
      <c r="Y350" s="413"/>
      <c r="Z350" s="413">
        <v>180</v>
      </c>
      <c r="AA350" s="413">
        <v>150</v>
      </c>
      <c r="AB350" s="16">
        <v>150</v>
      </c>
      <c r="AC350" s="16">
        <v>71</v>
      </c>
      <c r="AD350" s="16">
        <v>83</v>
      </c>
      <c r="AE350" s="16">
        <v>5</v>
      </c>
      <c r="AF350" s="16">
        <v>75</v>
      </c>
      <c r="AG350" s="16">
        <v>163</v>
      </c>
      <c r="AH350" s="16">
        <v>30</v>
      </c>
      <c r="AI350" s="16">
        <v>6</v>
      </c>
      <c r="AJ350" s="413"/>
      <c r="AK350" s="412" t="s">
        <v>5798</v>
      </c>
      <c r="AL350" s="25">
        <v>163</v>
      </c>
      <c r="AM350" s="413">
        <v>29.3</v>
      </c>
      <c r="AN350" s="413"/>
      <c r="AO350" s="413"/>
      <c r="AP350" s="16" t="s">
        <v>5801</v>
      </c>
      <c r="AQ350" s="16" t="s">
        <v>161</v>
      </c>
      <c r="AR350" s="130">
        <v>1404</v>
      </c>
      <c r="AS350" s="130">
        <v>8</v>
      </c>
      <c r="AT350" s="130"/>
      <c r="AU350" s="130"/>
      <c r="AV350" s="12" t="str">
        <f t="shared" si="22"/>
        <v/>
      </c>
      <c r="AW350" s="12" t="str">
        <f t="shared" si="23"/>
        <v/>
      </c>
      <c r="AX350" s="12"/>
      <c r="AY350" s="408"/>
    </row>
    <row r="351" spans="1:51" ht="30" hidden="1" customHeight="1" x14ac:dyDescent="0.2">
      <c r="A351" s="416">
        <v>349</v>
      </c>
      <c r="B351" s="413">
        <v>13</v>
      </c>
      <c r="C351" s="413">
        <v>8</v>
      </c>
      <c r="D351" s="16">
        <v>1404</v>
      </c>
      <c r="E351" s="412" t="s">
        <v>5802</v>
      </c>
      <c r="F351" s="412" t="s">
        <v>9</v>
      </c>
      <c r="G351" s="412" t="s">
        <v>5741</v>
      </c>
      <c r="H351" s="413" t="s">
        <v>7</v>
      </c>
      <c r="I351" s="360" t="s">
        <v>158</v>
      </c>
      <c r="J351" s="16" t="s">
        <v>84</v>
      </c>
      <c r="K351" s="412"/>
      <c r="L351" s="412" t="s">
        <v>155</v>
      </c>
      <c r="M351" s="412" t="s">
        <v>5806</v>
      </c>
      <c r="N351" s="41" t="s">
        <v>69</v>
      </c>
      <c r="O351" s="13" t="s">
        <v>70</v>
      </c>
      <c r="P351" s="13"/>
      <c r="Q351" s="13"/>
      <c r="R351" s="413"/>
      <c r="S351" s="413">
        <v>345</v>
      </c>
      <c r="T351" s="413">
        <v>10</v>
      </c>
      <c r="U351" s="412" t="s">
        <v>5807</v>
      </c>
      <c r="V351" s="41" t="s">
        <v>142</v>
      </c>
      <c r="W351" s="13" t="s">
        <v>70</v>
      </c>
      <c r="X351" s="412"/>
      <c r="Y351" s="413"/>
      <c r="Z351" s="413">
        <v>250</v>
      </c>
      <c r="AA351" s="413"/>
      <c r="AB351" s="16">
        <v>238</v>
      </c>
      <c r="AC351" s="16">
        <v>144</v>
      </c>
      <c r="AD351" s="16">
        <v>163</v>
      </c>
      <c r="AE351" s="16">
        <v>7</v>
      </c>
      <c r="AF351" s="16">
        <v>45</v>
      </c>
      <c r="AG351" s="16">
        <v>215</v>
      </c>
      <c r="AH351" s="16">
        <v>23</v>
      </c>
      <c r="AI351" s="16">
        <v>6</v>
      </c>
      <c r="AJ351" s="413"/>
      <c r="AK351" s="412" t="s">
        <v>5808</v>
      </c>
      <c r="AL351" s="25">
        <v>215</v>
      </c>
      <c r="AM351" s="413">
        <v>23</v>
      </c>
      <c r="AN351" s="413"/>
      <c r="AO351" s="413"/>
      <c r="AP351" s="16" t="s">
        <v>160</v>
      </c>
      <c r="AQ351" s="16" t="s">
        <v>165</v>
      </c>
      <c r="AR351" s="130">
        <v>1404</v>
      </c>
      <c r="AS351" s="130">
        <v>8</v>
      </c>
      <c r="AT351" s="130"/>
      <c r="AU351" s="130"/>
      <c r="AV351" s="12" t="str">
        <f t="shared" si="22"/>
        <v/>
      </c>
      <c r="AW351" s="12" t="str">
        <f t="shared" si="23"/>
        <v/>
      </c>
      <c r="AX351" s="12"/>
      <c r="AY351" s="408"/>
    </row>
    <row r="352" spans="1:51" ht="30" hidden="1" customHeight="1" x14ac:dyDescent="0.2">
      <c r="A352" s="416">
        <v>350</v>
      </c>
      <c r="B352" s="413">
        <v>13</v>
      </c>
      <c r="C352" s="413">
        <v>8</v>
      </c>
      <c r="D352" s="16">
        <v>1404</v>
      </c>
      <c r="E352" s="412" t="s">
        <v>5803</v>
      </c>
      <c r="F352" s="412" t="s">
        <v>2981</v>
      </c>
      <c r="G352" s="412" t="s">
        <v>5804</v>
      </c>
      <c r="H352" s="413" t="s">
        <v>7</v>
      </c>
      <c r="I352" s="360" t="s">
        <v>158</v>
      </c>
      <c r="J352" s="16" t="s">
        <v>5577</v>
      </c>
      <c r="K352" s="35" t="s">
        <v>140</v>
      </c>
      <c r="L352" s="35" t="s">
        <v>104</v>
      </c>
      <c r="M352" s="412" t="s">
        <v>5809</v>
      </c>
      <c r="N352" s="41" t="s">
        <v>69</v>
      </c>
      <c r="O352" s="13" t="s">
        <v>70</v>
      </c>
      <c r="P352" s="13"/>
      <c r="Q352" s="13"/>
      <c r="R352" s="33" t="s">
        <v>338</v>
      </c>
      <c r="S352" s="33">
        <v>6609</v>
      </c>
      <c r="T352" s="33">
        <v>14</v>
      </c>
      <c r="U352" s="412" t="s">
        <v>1618</v>
      </c>
      <c r="V352" s="41" t="s">
        <v>106</v>
      </c>
      <c r="W352" s="13" t="s">
        <v>107</v>
      </c>
      <c r="X352" s="412"/>
      <c r="Y352" s="413"/>
      <c r="Z352" s="413">
        <v>231</v>
      </c>
      <c r="AA352" s="413"/>
      <c r="AB352" s="16">
        <v>210</v>
      </c>
      <c r="AC352" s="16">
        <v>69</v>
      </c>
      <c r="AD352" s="16">
        <v>118</v>
      </c>
      <c r="AE352" s="16">
        <v>4</v>
      </c>
      <c r="AF352" s="16">
        <v>40</v>
      </c>
      <c r="AG352" s="16">
        <v>162</v>
      </c>
      <c r="AH352" s="16">
        <v>17</v>
      </c>
      <c r="AI352" s="16">
        <v>6</v>
      </c>
      <c r="AJ352" s="413"/>
      <c r="AK352" s="412" t="s">
        <v>5810</v>
      </c>
      <c r="AL352" s="25">
        <v>162</v>
      </c>
      <c r="AM352" s="413">
        <v>17</v>
      </c>
      <c r="AN352" s="413"/>
      <c r="AO352" s="413"/>
      <c r="AP352" s="16" t="s">
        <v>160</v>
      </c>
      <c r="AQ352" s="16" t="s">
        <v>193</v>
      </c>
      <c r="AR352" s="130">
        <v>1404</v>
      </c>
      <c r="AS352" s="130">
        <v>8</v>
      </c>
      <c r="AT352" s="130"/>
      <c r="AU352" s="130"/>
      <c r="AV352" s="12" t="str">
        <f t="shared" si="22"/>
        <v/>
      </c>
      <c r="AW352" s="12" t="str">
        <f t="shared" si="23"/>
        <v/>
      </c>
      <c r="AX352" s="12"/>
      <c r="AY352" s="408"/>
    </row>
    <row r="353" spans="1:51" ht="30" hidden="1" customHeight="1" x14ac:dyDescent="0.2">
      <c r="A353" s="416">
        <v>351</v>
      </c>
      <c r="B353" s="413">
        <v>13</v>
      </c>
      <c r="C353" s="413">
        <v>8</v>
      </c>
      <c r="D353" s="16">
        <v>1404</v>
      </c>
      <c r="E353" s="412" t="s">
        <v>5805</v>
      </c>
      <c r="F353" s="412" t="s">
        <v>6</v>
      </c>
      <c r="G353" s="412" t="s">
        <v>90</v>
      </c>
      <c r="H353" s="413" t="s">
        <v>7</v>
      </c>
      <c r="I353" s="360" t="s">
        <v>5479</v>
      </c>
      <c r="J353" s="16" t="s">
        <v>3576</v>
      </c>
      <c r="K353" s="412"/>
      <c r="L353" s="412" t="s">
        <v>218</v>
      </c>
      <c r="M353" s="412" t="s">
        <v>5811</v>
      </c>
      <c r="N353" s="41" t="s">
        <v>69</v>
      </c>
      <c r="O353" s="13" t="s">
        <v>70</v>
      </c>
      <c r="P353" s="13"/>
      <c r="Q353" s="13"/>
      <c r="R353" s="413"/>
      <c r="S353" s="413">
        <v>384</v>
      </c>
      <c r="T353" s="413">
        <v>12</v>
      </c>
      <c r="U353" s="412" t="s">
        <v>5812</v>
      </c>
      <c r="V353" s="41" t="s">
        <v>69</v>
      </c>
      <c r="W353" s="13" t="s">
        <v>70</v>
      </c>
      <c r="X353" s="412"/>
      <c r="Y353" s="413"/>
      <c r="Z353" s="413">
        <v>250</v>
      </c>
      <c r="AA353" s="413"/>
      <c r="AB353" s="16">
        <v>228</v>
      </c>
      <c r="AC353" s="16">
        <v>159</v>
      </c>
      <c r="AD353" s="16">
        <v>180</v>
      </c>
      <c r="AE353" s="16">
        <v>6</v>
      </c>
      <c r="AF353" s="16">
        <v>55</v>
      </c>
      <c r="AG353" s="16">
        <v>241</v>
      </c>
      <c r="AH353" s="16">
        <v>24</v>
      </c>
      <c r="AI353" s="16">
        <v>6</v>
      </c>
      <c r="AJ353" s="413"/>
      <c r="AK353" s="412" t="s">
        <v>5813</v>
      </c>
      <c r="AL353" s="25">
        <v>241</v>
      </c>
      <c r="AM353" s="413">
        <v>23.9</v>
      </c>
      <c r="AN353" s="413"/>
      <c r="AO353" s="413"/>
      <c r="AP353" s="16" t="s">
        <v>160</v>
      </c>
      <c r="AQ353" s="16" t="s">
        <v>165</v>
      </c>
      <c r="AR353" s="130">
        <v>1404</v>
      </c>
      <c r="AS353" s="130">
        <v>8</v>
      </c>
      <c r="AT353" s="130"/>
      <c r="AU353" s="130"/>
      <c r="AV353" s="12" t="str">
        <f t="shared" si="22"/>
        <v/>
      </c>
      <c r="AW353" s="12" t="str">
        <f t="shared" si="23"/>
        <v/>
      </c>
      <c r="AX353" s="12"/>
      <c r="AY353" s="408"/>
    </row>
    <row r="354" spans="1:51" s="21" customFormat="1" ht="30" hidden="1" customHeight="1" x14ac:dyDescent="0.2">
      <c r="A354" s="20">
        <v>352</v>
      </c>
      <c r="B354" s="20">
        <v>13</v>
      </c>
      <c r="C354" s="20">
        <v>8</v>
      </c>
      <c r="D354" s="20">
        <v>1404</v>
      </c>
      <c r="E354" s="30" t="s">
        <v>5440</v>
      </c>
      <c r="F354" s="30" t="s">
        <v>66</v>
      </c>
      <c r="G354" s="30" t="s">
        <v>90</v>
      </c>
      <c r="H354" s="20" t="s">
        <v>7</v>
      </c>
      <c r="I354" s="20" t="s">
        <v>5479</v>
      </c>
      <c r="J354" s="29" t="s">
        <v>5723</v>
      </c>
      <c r="K354" s="30" t="s">
        <v>116</v>
      </c>
      <c r="L354" s="30" t="s">
        <v>334</v>
      </c>
      <c r="M354" s="30" t="s">
        <v>5814</v>
      </c>
      <c r="N354" s="30" t="s">
        <v>69</v>
      </c>
      <c r="O354" s="20" t="s">
        <v>70</v>
      </c>
      <c r="P354" s="20"/>
      <c r="Q354" s="20"/>
      <c r="R354" s="20" t="s">
        <v>5852</v>
      </c>
      <c r="S354" s="20">
        <v>193</v>
      </c>
      <c r="T354" s="20">
        <v>17</v>
      </c>
      <c r="U354" s="30" t="s">
        <v>5815</v>
      </c>
      <c r="V354" s="30" t="s">
        <v>69</v>
      </c>
      <c r="W354" s="20" t="s">
        <v>70</v>
      </c>
      <c r="X354" s="30"/>
      <c r="Y354" s="20"/>
      <c r="Z354" s="20"/>
      <c r="AA354" s="20"/>
      <c r="AB354" s="29"/>
      <c r="AC354" s="29"/>
      <c r="AD354" s="29"/>
      <c r="AE354" s="29"/>
      <c r="AF354" s="29"/>
      <c r="AG354" s="29"/>
      <c r="AH354" s="29"/>
      <c r="AI354" s="29"/>
      <c r="AJ354" s="20"/>
      <c r="AK354" s="30" t="s">
        <v>5813</v>
      </c>
      <c r="AL354" s="36"/>
      <c r="AM354" s="20"/>
      <c r="AN354" s="20"/>
      <c r="AO354" s="20"/>
      <c r="AP354" s="29"/>
      <c r="AQ354" s="29"/>
      <c r="AR354" s="318">
        <v>1404</v>
      </c>
      <c r="AS354" s="318">
        <v>8</v>
      </c>
      <c r="AT354" s="318"/>
      <c r="AU354" s="318"/>
      <c r="AV354" s="31" t="str">
        <f t="shared" si="22"/>
        <v/>
      </c>
      <c r="AW354" s="31" t="str">
        <f t="shared" si="23"/>
        <v/>
      </c>
      <c r="AX354" s="31"/>
      <c r="AY354" s="409" t="s">
        <v>5816</v>
      </c>
    </row>
    <row r="355" spans="1:51" ht="30" hidden="1" customHeight="1" x14ac:dyDescent="0.2">
      <c r="A355" s="416">
        <v>353</v>
      </c>
      <c r="B355" s="413">
        <v>13</v>
      </c>
      <c r="C355" s="413">
        <v>8</v>
      </c>
      <c r="D355" s="16">
        <v>1404</v>
      </c>
      <c r="E355" s="412" t="s">
        <v>5803</v>
      </c>
      <c r="F355" s="412" t="s">
        <v>2981</v>
      </c>
      <c r="G355" s="412" t="s">
        <v>5817</v>
      </c>
      <c r="H355" s="413" t="s">
        <v>83</v>
      </c>
      <c r="I355" s="360" t="s">
        <v>5479</v>
      </c>
      <c r="J355" s="16" t="s">
        <v>5577</v>
      </c>
      <c r="K355" s="412"/>
      <c r="L355" s="412" t="s">
        <v>140</v>
      </c>
      <c r="M355" s="412" t="s">
        <v>5818</v>
      </c>
      <c r="N355" s="41" t="s">
        <v>106</v>
      </c>
      <c r="O355" s="13" t="s">
        <v>107</v>
      </c>
      <c r="P355" s="13"/>
      <c r="Q355" s="13"/>
      <c r="R355" s="413"/>
      <c r="S355" s="413">
        <v>293</v>
      </c>
      <c r="T355" s="413">
        <v>11</v>
      </c>
      <c r="U355" s="412" t="s">
        <v>5819</v>
      </c>
      <c r="V355" s="41" t="s">
        <v>106</v>
      </c>
      <c r="W355" s="13" t="s">
        <v>107</v>
      </c>
      <c r="X355" s="412"/>
      <c r="Y355" s="413" t="s">
        <v>6516</v>
      </c>
      <c r="Z355" s="413">
        <v>250</v>
      </c>
      <c r="AA355" s="413">
        <v>234</v>
      </c>
      <c r="AB355" s="16">
        <v>234</v>
      </c>
      <c r="AC355" s="16"/>
      <c r="AD355" s="16"/>
      <c r="AE355" s="16"/>
      <c r="AF355" s="16"/>
      <c r="AG355" s="16"/>
      <c r="AH355" s="16"/>
      <c r="AI355" s="16">
        <v>6</v>
      </c>
      <c r="AJ355" s="413"/>
      <c r="AK355" s="412"/>
      <c r="AL355" s="25"/>
      <c r="AM355" s="413"/>
      <c r="AN355" s="413"/>
      <c r="AO355" s="413"/>
      <c r="AP355" s="16"/>
      <c r="AQ355" s="16"/>
      <c r="AR355" s="130">
        <v>1404</v>
      </c>
      <c r="AS355" s="130">
        <v>8</v>
      </c>
      <c r="AT355" s="130">
        <v>1397</v>
      </c>
      <c r="AU355" s="130">
        <v>12</v>
      </c>
      <c r="AV355" s="12">
        <f t="shared" si="22"/>
        <v>80</v>
      </c>
      <c r="AW355" s="12" t="str">
        <f t="shared" si="23"/>
        <v/>
      </c>
      <c r="AX355" s="12"/>
      <c r="AY355" s="408"/>
    </row>
    <row r="356" spans="1:51" ht="30" hidden="1" customHeight="1" x14ac:dyDescent="0.2">
      <c r="A356" s="416">
        <v>354</v>
      </c>
      <c r="B356" s="413">
        <v>14</v>
      </c>
      <c r="C356" s="413">
        <v>8</v>
      </c>
      <c r="D356" s="16">
        <v>1404</v>
      </c>
      <c r="E356" s="412" t="s">
        <v>2021</v>
      </c>
      <c r="F356" s="412" t="s">
        <v>6</v>
      </c>
      <c r="G356" s="412" t="s">
        <v>5608</v>
      </c>
      <c r="H356" s="413" t="s">
        <v>7</v>
      </c>
      <c r="I356" s="360" t="s">
        <v>5479</v>
      </c>
      <c r="J356" s="16" t="s">
        <v>5820</v>
      </c>
      <c r="K356" s="412" t="s">
        <v>117</v>
      </c>
      <c r="L356" s="412" t="s">
        <v>104</v>
      </c>
      <c r="M356" s="412" t="s">
        <v>5821</v>
      </c>
      <c r="N356" s="41" t="s">
        <v>69</v>
      </c>
      <c r="O356" s="13" t="s">
        <v>70</v>
      </c>
      <c r="P356" s="13"/>
      <c r="Q356" s="13"/>
      <c r="R356" s="413">
        <v>6609</v>
      </c>
      <c r="S356" s="413">
        <v>6606</v>
      </c>
      <c r="T356" s="413">
        <v>15</v>
      </c>
      <c r="U356" s="412" t="s">
        <v>3425</v>
      </c>
      <c r="V356" s="41" t="s">
        <v>106</v>
      </c>
      <c r="W356" s="13" t="s">
        <v>107</v>
      </c>
      <c r="X356" s="412"/>
      <c r="Y356" s="413" t="s">
        <v>5822</v>
      </c>
      <c r="Z356" s="413">
        <v>199</v>
      </c>
      <c r="AA356" s="413">
        <v>186</v>
      </c>
      <c r="AB356" s="16">
        <v>186</v>
      </c>
      <c r="AC356" s="16">
        <v>125</v>
      </c>
      <c r="AD356" s="16">
        <v>139</v>
      </c>
      <c r="AE356" s="16">
        <v>2</v>
      </c>
      <c r="AF356" s="16">
        <v>45</v>
      </c>
      <c r="AG356" s="16">
        <v>186</v>
      </c>
      <c r="AH356" s="16">
        <v>16</v>
      </c>
      <c r="AI356" s="16">
        <v>6</v>
      </c>
      <c r="AJ356" s="413"/>
      <c r="AK356" s="412" t="s">
        <v>5823</v>
      </c>
      <c r="AL356" s="25">
        <v>186</v>
      </c>
      <c r="AM356" s="413">
        <v>18.399999999999999</v>
      </c>
      <c r="AN356" s="413"/>
      <c r="AO356" s="413"/>
      <c r="AP356" s="16" t="s">
        <v>160</v>
      </c>
      <c r="AQ356" s="16" t="s">
        <v>193</v>
      </c>
      <c r="AR356" s="130">
        <v>1404</v>
      </c>
      <c r="AS356" s="130">
        <v>8</v>
      </c>
      <c r="AT356" s="130">
        <v>1401</v>
      </c>
      <c r="AU356" s="130">
        <v>12</v>
      </c>
      <c r="AV356" s="12">
        <f t="shared" si="22"/>
        <v>32</v>
      </c>
      <c r="AW356" s="12" t="str">
        <f t="shared" si="23"/>
        <v/>
      </c>
      <c r="AX356" s="12"/>
      <c r="AY356" s="408"/>
    </row>
    <row r="357" spans="1:51" s="21" customFormat="1" ht="30" hidden="1" customHeight="1" x14ac:dyDescent="0.2">
      <c r="A357" s="20">
        <v>355</v>
      </c>
      <c r="B357" s="20">
        <v>14</v>
      </c>
      <c r="C357" s="20">
        <v>8</v>
      </c>
      <c r="D357" s="29">
        <v>1404</v>
      </c>
      <c r="E357" s="30" t="s">
        <v>5881</v>
      </c>
      <c r="F357" s="30" t="s">
        <v>66</v>
      </c>
      <c r="G357" s="30"/>
      <c r="H357" s="20" t="s">
        <v>83</v>
      </c>
      <c r="I357" s="20" t="s">
        <v>4420</v>
      </c>
      <c r="J357" s="29" t="s">
        <v>5723</v>
      </c>
      <c r="K357" s="30"/>
      <c r="L357" s="30" t="s">
        <v>223</v>
      </c>
      <c r="M357" s="30"/>
      <c r="N357" s="30"/>
      <c r="O357" s="20"/>
      <c r="P357" s="20"/>
      <c r="Q357" s="20"/>
      <c r="R357" s="20"/>
      <c r="S357" s="20"/>
      <c r="T357" s="20"/>
      <c r="U357" s="30"/>
      <c r="V357" s="30"/>
      <c r="W357" s="20"/>
      <c r="X357" s="30"/>
      <c r="Y357" s="20"/>
      <c r="Z357" s="20"/>
      <c r="AA357" s="20"/>
      <c r="AB357" s="29"/>
      <c r="AC357" s="29"/>
      <c r="AD357" s="29"/>
      <c r="AE357" s="29"/>
      <c r="AF357" s="29"/>
      <c r="AG357" s="29"/>
      <c r="AH357" s="29"/>
      <c r="AI357" s="29"/>
      <c r="AJ357" s="20"/>
      <c r="AK357" s="30"/>
      <c r="AL357" s="36"/>
      <c r="AM357" s="20"/>
      <c r="AN357" s="20"/>
      <c r="AO357" s="20"/>
      <c r="AP357" s="29"/>
      <c r="AQ357" s="29"/>
      <c r="AR357" s="318"/>
      <c r="AS357" s="318"/>
      <c r="AT357" s="318"/>
      <c r="AU357" s="318"/>
      <c r="AV357" s="31"/>
      <c r="AW357" s="31"/>
      <c r="AX357" s="31"/>
      <c r="AY357" s="409" t="s">
        <v>5882</v>
      </c>
    </row>
    <row r="358" spans="1:51" ht="30" hidden="1" customHeight="1" x14ac:dyDescent="0.2">
      <c r="A358" s="429">
        <v>356</v>
      </c>
      <c r="B358" s="413">
        <v>14</v>
      </c>
      <c r="C358" s="413">
        <v>8</v>
      </c>
      <c r="D358" s="16">
        <v>1404</v>
      </c>
      <c r="E358" s="412" t="s">
        <v>5824</v>
      </c>
      <c r="F358" s="412" t="s">
        <v>6</v>
      </c>
      <c r="G358" s="412" t="s">
        <v>2147</v>
      </c>
      <c r="H358" s="413" t="s">
        <v>83</v>
      </c>
      <c r="I358" s="360" t="s">
        <v>5479</v>
      </c>
      <c r="J358" s="16" t="s">
        <v>84</v>
      </c>
      <c r="K358" s="412" t="s">
        <v>3714</v>
      </c>
      <c r="L358" s="412" t="s">
        <v>226</v>
      </c>
      <c r="M358" s="412" t="s">
        <v>5252</v>
      </c>
      <c r="N358" s="41" t="s">
        <v>106</v>
      </c>
      <c r="O358" s="13" t="s">
        <v>107</v>
      </c>
      <c r="P358" s="13"/>
      <c r="Q358" s="13"/>
      <c r="R358" s="413"/>
      <c r="S358" s="413">
        <v>193</v>
      </c>
      <c r="T358" s="413">
        <v>13</v>
      </c>
      <c r="U358" s="412" t="s">
        <v>5253</v>
      </c>
      <c r="V358" s="41" t="s">
        <v>106</v>
      </c>
      <c r="W358" s="13" t="s">
        <v>107</v>
      </c>
      <c r="X358" s="412"/>
      <c r="Y358" s="413" t="s">
        <v>5825</v>
      </c>
      <c r="Z358" s="413">
        <v>221</v>
      </c>
      <c r="AA358" s="413">
        <v>213</v>
      </c>
      <c r="AB358" s="16"/>
      <c r="AC358" s="16"/>
      <c r="AD358" s="16"/>
      <c r="AE358" s="16"/>
      <c r="AF358" s="16"/>
      <c r="AG358" s="16"/>
      <c r="AH358" s="16"/>
      <c r="AI358" s="16">
        <v>4</v>
      </c>
      <c r="AJ358" s="413"/>
      <c r="AK358" s="412"/>
      <c r="AL358" s="25"/>
      <c r="AM358" s="413"/>
      <c r="AN358" s="413"/>
      <c r="AO358" s="413"/>
      <c r="AP358" s="16" t="s">
        <v>160</v>
      </c>
      <c r="AQ358" s="16" t="s">
        <v>112</v>
      </c>
      <c r="AR358" s="130">
        <v>1404</v>
      </c>
      <c r="AS358" s="130">
        <v>8</v>
      </c>
      <c r="AT358" s="130">
        <v>1404</v>
      </c>
      <c r="AU358" s="130">
        <v>2</v>
      </c>
      <c r="AV358" s="12">
        <f>IF(AR358*AT358&gt;0,(AR358-AT358)*12+(AS358-AU358),"")</f>
        <v>6</v>
      </c>
      <c r="AW358" s="12">
        <f>IF(AV358&lt;13,AV358,"")</f>
        <v>6</v>
      </c>
      <c r="AX358" s="12"/>
      <c r="AY358" s="408"/>
    </row>
    <row r="359" spans="1:51" ht="30" hidden="1" customHeight="1" x14ac:dyDescent="0.2">
      <c r="A359" s="429">
        <v>357</v>
      </c>
      <c r="B359" s="413">
        <v>15</v>
      </c>
      <c r="C359" s="413">
        <v>8</v>
      </c>
      <c r="D359" s="16">
        <v>1404</v>
      </c>
      <c r="E359" s="412" t="s">
        <v>5824</v>
      </c>
      <c r="F359" s="412" t="s">
        <v>6</v>
      </c>
      <c r="G359" s="412"/>
      <c r="H359" s="413" t="s">
        <v>7</v>
      </c>
      <c r="I359" s="360" t="s">
        <v>5479</v>
      </c>
      <c r="J359" s="16" t="s">
        <v>84</v>
      </c>
      <c r="K359" s="35" t="s">
        <v>226</v>
      </c>
      <c r="L359" s="35" t="s">
        <v>769</v>
      </c>
      <c r="M359" s="412" t="s">
        <v>5826</v>
      </c>
      <c r="N359" s="41" t="s">
        <v>106</v>
      </c>
      <c r="O359" s="13" t="s">
        <v>107</v>
      </c>
      <c r="P359" s="13"/>
      <c r="Q359" s="13"/>
      <c r="R359" s="33" t="s">
        <v>4772</v>
      </c>
      <c r="S359" s="33">
        <v>193</v>
      </c>
      <c r="T359" s="33">
        <v>14</v>
      </c>
      <c r="U359" s="412" t="s">
        <v>5827</v>
      </c>
      <c r="V359" s="41" t="s">
        <v>106</v>
      </c>
      <c r="W359" s="13" t="s">
        <v>107</v>
      </c>
      <c r="X359" s="412"/>
      <c r="Y359" s="413" t="s">
        <v>5825</v>
      </c>
      <c r="Z359" s="413">
        <v>221</v>
      </c>
      <c r="AA359" s="413">
        <v>213</v>
      </c>
      <c r="AB359" s="16">
        <v>213</v>
      </c>
      <c r="AC359" s="16">
        <v>189</v>
      </c>
      <c r="AD359" s="16">
        <v>204</v>
      </c>
      <c r="AE359" s="16">
        <v>2</v>
      </c>
      <c r="AF359" s="16">
        <v>5</v>
      </c>
      <c r="AG359" s="16">
        <v>211</v>
      </c>
      <c r="AH359" s="16">
        <v>3</v>
      </c>
      <c r="AI359" s="16">
        <v>4</v>
      </c>
      <c r="AJ359" s="413"/>
      <c r="AK359" s="412" t="s">
        <v>5828</v>
      </c>
      <c r="AL359" s="25">
        <v>211</v>
      </c>
      <c r="AM359" s="413">
        <v>3.5</v>
      </c>
      <c r="AN359" s="413"/>
      <c r="AO359" s="413"/>
      <c r="AP359" s="16" t="s">
        <v>160</v>
      </c>
      <c r="AQ359" s="16" t="s">
        <v>112</v>
      </c>
      <c r="AR359" s="130">
        <v>1404</v>
      </c>
      <c r="AS359" s="130">
        <v>8</v>
      </c>
      <c r="AT359" s="130">
        <v>0</v>
      </c>
      <c r="AU359" s="130"/>
      <c r="AV359" s="12" t="str">
        <f t="shared" si="22"/>
        <v/>
      </c>
      <c r="AW359" s="12" t="str">
        <f t="shared" si="23"/>
        <v/>
      </c>
      <c r="AX359" s="12"/>
      <c r="AY359" s="408"/>
    </row>
    <row r="360" spans="1:51" s="21" customFormat="1" ht="30" hidden="1" customHeight="1" x14ac:dyDescent="0.2">
      <c r="A360" s="429">
        <v>358</v>
      </c>
      <c r="B360" s="20">
        <v>15</v>
      </c>
      <c r="C360" s="20">
        <v>8</v>
      </c>
      <c r="D360" s="29">
        <v>1404</v>
      </c>
      <c r="E360" s="30" t="s">
        <v>1656</v>
      </c>
      <c r="F360" s="30" t="s">
        <v>243</v>
      </c>
      <c r="G360" s="30" t="s">
        <v>174</v>
      </c>
      <c r="H360" s="20" t="s">
        <v>83</v>
      </c>
      <c r="I360" s="20" t="s">
        <v>5479</v>
      </c>
      <c r="J360" s="29" t="s">
        <v>5577</v>
      </c>
      <c r="K360" s="30"/>
      <c r="L360" s="30" t="s">
        <v>155</v>
      </c>
      <c r="M360" s="30" t="s">
        <v>780</v>
      </c>
      <c r="N360" s="30" t="s">
        <v>106</v>
      </c>
      <c r="O360" s="20" t="s">
        <v>107</v>
      </c>
      <c r="P360" s="20"/>
      <c r="Q360" s="20"/>
      <c r="R360" s="20"/>
      <c r="S360" s="20">
        <v>384</v>
      </c>
      <c r="T360" s="20">
        <v>9</v>
      </c>
      <c r="U360" s="30" t="s">
        <v>1333</v>
      </c>
      <c r="V360" s="30" t="s">
        <v>106</v>
      </c>
      <c r="W360" s="20" t="s">
        <v>107</v>
      </c>
      <c r="X360" s="30"/>
      <c r="Y360" s="20" t="s">
        <v>5798</v>
      </c>
      <c r="Z360" s="20">
        <v>207</v>
      </c>
      <c r="AA360" s="20">
        <v>128</v>
      </c>
      <c r="AB360" s="29"/>
      <c r="AC360" s="29"/>
      <c r="AD360" s="29"/>
      <c r="AE360" s="29"/>
      <c r="AF360" s="29"/>
      <c r="AG360" s="29"/>
      <c r="AH360" s="29"/>
      <c r="AI360" s="29">
        <v>6</v>
      </c>
      <c r="AJ360" s="20"/>
      <c r="AK360" s="30"/>
      <c r="AL360" s="36"/>
      <c r="AM360" s="20"/>
      <c r="AN360" s="20"/>
      <c r="AO360" s="20"/>
      <c r="AP360" s="29" t="s">
        <v>160</v>
      </c>
      <c r="AQ360" s="29" t="s">
        <v>193</v>
      </c>
      <c r="AR360" s="318">
        <v>1404</v>
      </c>
      <c r="AS360" s="318">
        <v>8</v>
      </c>
      <c r="AT360" s="318">
        <v>1401</v>
      </c>
      <c r="AU360" s="318">
        <v>9</v>
      </c>
      <c r="AV360" s="31">
        <f t="shared" si="22"/>
        <v>35</v>
      </c>
      <c r="AW360" s="31" t="str">
        <f t="shared" si="23"/>
        <v/>
      </c>
      <c r="AX360" s="31"/>
      <c r="AY360" s="409" t="s">
        <v>5879</v>
      </c>
    </row>
    <row r="361" spans="1:51" ht="30" hidden="1" customHeight="1" x14ac:dyDescent="0.2">
      <c r="A361" s="429">
        <v>359</v>
      </c>
      <c r="B361" s="413">
        <v>15</v>
      </c>
      <c r="C361" s="413">
        <v>8</v>
      </c>
      <c r="D361" s="16">
        <v>1404</v>
      </c>
      <c r="E361" s="412" t="s">
        <v>859</v>
      </c>
      <c r="F361" s="412" t="s">
        <v>20</v>
      </c>
      <c r="G361" s="412" t="s">
        <v>5608</v>
      </c>
      <c r="H361" s="413" t="s">
        <v>83</v>
      </c>
      <c r="I361" s="360" t="s">
        <v>5479</v>
      </c>
      <c r="J361" s="16" t="s">
        <v>5577</v>
      </c>
      <c r="K361" s="412"/>
      <c r="L361" s="412" t="s">
        <v>116</v>
      </c>
      <c r="M361" s="412" t="s">
        <v>5832</v>
      </c>
      <c r="N361" s="41" t="s">
        <v>106</v>
      </c>
      <c r="O361" s="13" t="s">
        <v>107</v>
      </c>
      <c r="P361" s="13"/>
      <c r="Q361" s="13"/>
      <c r="R361" s="413"/>
      <c r="S361" s="413">
        <v>193</v>
      </c>
      <c r="T361" s="413">
        <v>11</v>
      </c>
      <c r="U361" s="412" t="s">
        <v>5833</v>
      </c>
      <c r="V361" s="41" t="s">
        <v>106</v>
      </c>
      <c r="W361" s="13" t="s">
        <v>107</v>
      </c>
      <c r="X361" s="412"/>
      <c r="Y361" s="413" t="s">
        <v>3842</v>
      </c>
      <c r="Z361" s="413">
        <v>217</v>
      </c>
      <c r="AA361" s="413">
        <v>210</v>
      </c>
      <c r="AB361" s="16">
        <v>210</v>
      </c>
      <c r="AC361" s="16"/>
      <c r="AD361" s="16"/>
      <c r="AE361" s="16"/>
      <c r="AF361" s="16"/>
      <c r="AG361" s="16"/>
      <c r="AH361" s="16"/>
      <c r="AI361" s="16">
        <v>4</v>
      </c>
      <c r="AJ361" s="413"/>
      <c r="AK361" s="412"/>
      <c r="AL361" s="25"/>
      <c r="AM361" s="413"/>
      <c r="AN361" s="413"/>
      <c r="AO361" s="413"/>
      <c r="AP361" s="16"/>
      <c r="AQ361" s="16"/>
      <c r="AR361" s="130">
        <v>1404</v>
      </c>
      <c r="AS361" s="130">
        <v>8</v>
      </c>
      <c r="AT361" s="130">
        <v>1402</v>
      </c>
      <c r="AU361" s="130">
        <v>6</v>
      </c>
      <c r="AV361" s="12">
        <f t="shared" si="22"/>
        <v>26</v>
      </c>
      <c r="AW361" s="12" t="str">
        <f t="shared" si="23"/>
        <v/>
      </c>
      <c r="AX361" s="12"/>
      <c r="AY361" s="408"/>
    </row>
    <row r="362" spans="1:51" ht="30" hidden="1" customHeight="1" x14ac:dyDescent="0.2">
      <c r="A362" s="429">
        <v>360</v>
      </c>
      <c r="B362" s="413">
        <v>17</v>
      </c>
      <c r="C362" s="413">
        <v>8</v>
      </c>
      <c r="D362" s="16">
        <v>1404</v>
      </c>
      <c r="E362" s="412" t="s">
        <v>2021</v>
      </c>
      <c r="F362" s="412" t="s">
        <v>6</v>
      </c>
      <c r="G362" s="412" t="s">
        <v>5713</v>
      </c>
      <c r="H362" s="413" t="s">
        <v>83</v>
      </c>
      <c r="I362" s="360" t="s">
        <v>5479</v>
      </c>
      <c r="J362" s="16" t="s">
        <v>84</v>
      </c>
      <c r="K362" s="412"/>
      <c r="L362" s="412" t="s">
        <v>104</v>
      </c>
      <c r="M362" s="412" t="s">
        <v>2055</v>
      </c>
      <c r="N362" s="41" t="s">
        <v>106</v>
      </c>
      <c r="O362" s="13" t="s">
        <v>107</v>
      </c>
      <c r="P362" s="13"/>
      <c r="Q362" s="13"/>
      <c r="R362" s="413"/>
      <c r="S362" s="413">
        <v>6609</v>
      </c>
      <c r="T362" s="413">
        <v>15</v>
      </c>
      <c r="U362" s="412" t="s">
        <v>2056</v>
      </c>
      <c r="V362" s="41" t="s">
        <v>106</v>
      </c>
      <c r="W362" s="13" t="s">
        <v>107</v>
      </c>
      <c r="X362" s="412"/>
      <c r="Y362" s="413" t="s">
        <v>5822</v>
      </c>
      <c r="Z362" s="413">
        <v>196</v>
      </c>
      <c r="AA362" s="413">
        <v>186</v>
      </c>
      <c r="AB362" s="16">
        <v>186</v>
      </c>
      <c r="AC362" s="16"/>
      <c r="AD362" s="16"/>
      <c r="AE362" s="16"/>
      <c r="AF362" s="16"/>
      <c r="AG362" s="16"/>
      <c r="AH362" s="16"/>
      <c r="AI362" s="16">
        <v>6</v>
      </c>
      <c r="AJ362" s="413"/>
      <c r="AK362" s="412"/>
      <c r="AL362" s="25"/>
      <c r="AM362" s="413"/>
      <c r="AN362" s="413"/>
      <c r="AO362" s="413"/>
      <c r="AP362" s="16"/>
      <c r="AQ362" s="16"/>
      <c r="AR362" s="130">
        <v>1404</v>
      </c>
      <c r="AS362" s="130">
        <v>8</v>
      </c>
      <c r="AT362" s="130">
        <v>1401</v>
      </c>
      <c r="AU362" s="130">
        <v>12</v>
      </c>
      <c r="AV362" s="12">
        <f t="shared" si="22"/>
        <v>32</v>
      </c>
      <c r="AW362" s="12" t="str">
        <f t="shared" si="23"/>
        <v/>
      </c>
      <c r="AX362" s="12"/>
      <c r="AY362" s="408"/>
    </row>
    <row r="363" spans="1:51" ht="30" hidden="1" customHeight="1" x14ac:dyDescent="0.2">
      <c r="A363" s="429">
        <v>361</v>
      </c>
      <c r="B363" s="413">
        <v>17</v>
      </c>
      <c r="C363" s="413">
        <v>8</v>
      </c>
      <c r="D363" s="16">
        <v>1404</v>
      </c>
      <c r="E363" s="412" t="s">
        <v>5830</v>
      </c>
      <c r="F363" s="412" t="s">
        <v>6</v>
      </c>
      <c r="G363" s="412" t="s">
        <v>5608</v>
      </c>
      <c r="H363" s="413" t="s">
        <v>83</v>
      </c>
      <c r="I363" s="360" t="s">
        <v>5479</v>
      </c>
      <c r="J363" s="16" t="s">
        <v>84</v>
      </c>
      <c r="K363" s="412"/>
      <c r="L363" s="412" t="s">
        <v>155</v>
      </c>
      <c r="M363" s="412" t="s">
        <v>5834</v>
      </c>
      <c r="N363" s="41" t="s">
        <v>106</v>
      </c>
      <c r="O363" s="13" t="s">
        <v>107</v>
      </c>
      <c r="P363" s="13"/>
      <c r="Q363" s="13"/>
      <c r="R363" s="413"/>
      <c r="S363" s="413">
        <v>384</v>
      </c>
      <c r="T363" s="413">
        <v>10</v>
      </c>
      <c r="U363" s="412" t="s">
        <v>5835</v>
      </c>
      <c r="V363" s="41" t="s">
        <v>106</v>
      </c>
      <c r="W363" s="13" t="s">
        <v>107</v>
      </c>
      <c r="X363" s="412"/>
      <c r="Y363" s="413" t="s">
        <v>5831</v>
      </c>
      <c r="Z363" s="413">
        <v>204</v>
      </c>
      <c r="AA363" s="413">
        <v>192</v>
      </c>
      <c r="AB363" s="16">
        <v>192</v>
      </c>
      <c r="AC363" s="16"/>
      <c r="AD363" s="16"/>
      <c r="AE363" s="16"/>
      <c r="AF363" s="16"/>
      <c r="AG363" s="16"/>
      <c r="AH363" s="16"/>
      <c r="AI363" s="16">
        <v>6</v>
      </c>
      <c r="AJ363" s="413"/>
      <c r="AK363" s="412"/>
      <c r="AL363" s="25"/>
      <c r="AM363" s="413"/>
      <c r="AN363" s="413"/>
      <c r="AO363" s="413"/>
      <c r="AP363" s="16" t="s">
        <v>160</v>
      </c>
      <c r="AQ363" s="16" t="s">
        <v>193</v>
      </c>
      <c r="AR363" s="130">
        <v>1404</v>
      </c>
      <c r="AS363" s="130">
        <v>8</v>
      </c>
      <c r="AT363" s="130">
        <v>1398</v>
      </c>
      <c r="AU363" s="130">
        <v>7</v>
      </c>
      <c r="AV363" s="12">
        <f t="shared" si="22"/>
        <v>73</v>
      </c>
      <c r="AW363" s="12" t="str">
        <f t="shared" si="23"/>
        <v/>
      </c>
      <c r="AX363" s="12"/>
      <c r="AY363" s="408"/>
    </row>
    <row r="364" spans="1:51" ht="30" hidden="1" customHeight="1" x14ac:dyDescent="0.2">
      <c r="A364" s="429">
        <v>362</v>
      </c>
      <c r="B364" s="413">
        <v>17</v>
      </c>
      <c r="C364" s="413">
        <v>8</v>
      </c>
      <c r="D364" s="16">
        <v>1404</v>
      </c>
      <c r="E364" s="412" t="s">
        <v>1401</v>
      </c>
      <c r="F364" s="412" t="s">
        <v>10</v>
      </c>
      <c r="G364" s="412" t="s">
        <v>174</v>
      </c>
      <c r="H364" s="413" t="s">
        <v>83</v>
      </c>
      <c r="I364" s="360" t="s">
        <v>5479</v>
      </c>
      <c r="J364" s="16" t="s">
        <v>92</v>
      </c>
      <c r="K364" s="412"/>
      <c r="L364" s="412" t="s">
        <v>140</v>
      </c>
      <c r="M364" s="412" t="s">
        <v>5836</v>
      </c>
      <c r="N364" s="41" t="s">
        <v>106</v>
      </c>
      <c r="O364" s="13" t="s">
        <v>107</v>
      </c>
      <c r="P364" s="13"/>
      <c r="Q364" s="13"/>
      <c r="R364" s="413"/>
      <c r="S364" s="413">
        <v>6608</v>
      </c>
      <c r="T364" s="413">
        <v>15</v>
      </c>
      <c r="U364" s="412" t="s">
        <v>5837</v>
      </c>
      <c r="V364" s="41" t="s">
        <v>106</v>
      </c>
      <c r="W364" s="13" t="s">
        <v>107</v>
      </c>
      <c r="X364" s="412"/>
      <c r="Y364" s="413" t="s">
        <v>6517</v>
      </c>
      <c r="Z364" s="413">
        <v>225</v>
      </c>
      <c r="AA364" s="413">
        <v>210</v>
      </c>
      <c r="AB364" s="16">
        <v>210</v>
      </c>
      <c r="AC364" s="16"/>
      <c r="AD364" s="16"/>
      <c r="AE364" s="16"/>
      <c r="AF364" s="16"/>
      <c r="AG364" s="16"/>
      <c r="AH364" s="16"/>
      <c r="AI364" s="16">
        <v>6</v>
      </c>
      <c r="AJ364" s="413"/>
      <c r="AK364" s="412"/>
      <c r="AL364" s="25"/>
      <c r="AM364" s="413"/>
      <c r="AN364" s="413"/>
      <c r="AO364" s="413"/>
      <c r="AP364" s="16" t="s">
        <v>160</v>
      </c>
      <c r="AQ364" s="16" t="s">
        <v>161</v>
      </c>
      <c r="AR364" s="130">
        <v>1404</v>
      </c>
      <c r="AS364" s="130">
        <v>8</v>
      </c>
      <c r="AT364" s="130">
        <v>1404</v>
      </c>
      <c r="AU364" s="130">
        <v>1</v>
      </c>
      <c r="AV364" s="12">
        <f t="shared" si="22"/>
        <v>7</v>
      </c>
      <c r="AW364" s="12">
        <f t="shared" si="23"/>
        <v>7</v>
      </c>
      <c r="AX364" s="12"/>
      <c r="AY364" s="408"/>
    </row>
    <row r="365" spans="1:51" s="21" customFormat="1" ht="30" hidden="1" customHeight="1" x14ac:dyDescent="0.2">
      <c r="A365" s="20">
        <v>363</v>
      </c>
      <c r="B365" s="20">
        <v>18</v>
      </c>
      <c r="C365" s="20">
        <v>8</v>
      </c>
      <c r="D365" s="29">
        <v>1404</v>
      </c>
      <c r="E365" s="30" t="s">
        <v>2242</v>
      </c>
      <c r="F365" s="30" t="s">
        <v>6</v>
      </c>
      <c r="G365" s="30" t="s">
        <v>5713</v>
      </c>
      <c r="H365" s="20" t="s">
        <v>83</v>
      </c>
      <c r="I365" s="20" t="s">
        <v>5479</v>
      </c>
      <c r="J365" s="29" t="s">
        <v>84</v>
      </c>
      <c r="K365" s="30"/>
      <c r="L365" s="30" t="s">
        <v>223</v>
      </c>
      <c r="M365" s="30" t="s">
        <v>5851</v>
      </c>
      <c r="N365" s="30" t="s">
        <v>106</v>
      </c>
      <c r="O365" s="20" t="s">
        <v>107</v>
      </c>
      <c r="P365" s="20"/>
      <c r="Q365" s="20"/>
      <c r="R365" s="20"/>
      <c r="S365" s="20">
        <v>233</v>
      </c>
      <c r="T365" s="20">
        <v>11</v>
      </c>
      <c r="U365" s="30" t="s">
        <v>3904</v>
      </c>
      <c r="V365" s="30" t="s">
        <v>106</v>
      </c>
      <c r="W365" s="20" t="s">
        <v>107</v>
      </c>
      <c r="X365" s="30"/>
      <c r="Y365" s="20" t="s">
        <v>4523</v>
      </c>
      <c r="Z365" s="20">
        <v>170</v>
      </c>
      <c r="AA365" s="20">
        <v>128</v>
      </c>
      <c r="AB365" s="29">
        <v>128</v>
      </c>
      <c r="AC365" s="29"/>
      <c r="AD365" s="29"/>
      <c r="AE365" s="29"/>
      <c r="AF365" s="29"/>
      <c r="AG365" s="29"/>
      <c r="AH365" s="29"/>
      <c r="AI365" s="29">
        <v>6</v>
      </c>
      <c r="AJ365" s="20"/>
      <c r="AK365" s="30"/>
      <c r="AL365" s="36"/>
      <c r="AM365" s="20"/>
      <c r="AN365" s="20"/>
      <c r="AO365" s="20"/>
      <c r="AP365" s="29" t="s">
        <v>5080</v>
      </c>
      <c r="AQ365" s="29" t="s">
        <v>228</v>
      </c>
      <c r="AR365" s="318">
        <v>1404</v>
      </c>
      <c r="AS365" s="318">
        <v>8</v>
      </c>
      <c r="AT365" s="318">
        <v>1403</v>
      </c>
      <c r="AU365" s="318">
        <v>3</v>
      </c>
      <c r="AV365" s="31">
        <f t="shared" si="22"/>
        <v>17</v>
      </c>
      <c r="AW365" s="31" t="str">
        <f t="shared" si="23"/>
        <v/>
      </c>
      <c r="AX365" s="31"/>
      <c r="AY365" s="409" t="s">
        <v>5883</v>
      </c>
    </row>
    <row r="366" spans="1:51" ht="30" hidden="1" customHeight="1" x14ac:dyDescent="0.2">
      <c r="A366" s="429">
        <v>364</v>
      </c>
      <c r="B366" s="413">
        <v>18</v>
      </c>
      <c r="C366" s="413">
        <v>8</v>
      </c>
      <c r="D366" s="16">
        <v>1404</v>
      </c>
      <c r="E366" s="412" t="s">
        <v>1656</v>
      </c>
      <c r="F366" s="412" t="s">
        <v>243</v>
      </c>
      <c r="G366" s="412" t="s">
        <v>3661</v>
      </c>
      <c r="H366" s="413" t="s">
        <v>7</v>
      </c>
      <c r="I366" s="360" t="s">
        <v>5479</v>
      </c>
      <c r="J366" s="16" t="s">
        <v>5577</v>
      </c>
      <c r="K366" s="412"/>
      <c r="L366" s="412" t="s">
        <v>155</v>
      </c>
      <c r="M366" s="412" t="s">
        <v>5839</v>
      </c>
      <c r="N366" s="41" t="s">
        <v>106</v>
      </c>
      <c r="O366" s="13" t="s">
        <v>107</v>
      </c>
      <c r="P366" s="13"/>
      <c r="Q366" s="13"/>
      <c r="R366" s="33" t="s">
        <v>324</v>
      </c>
      <c r="S366" s="33">
        <v>345</v>
      </c>
      <c r="T366" s="33">
        <v>10</v>
      </c>
      <c r="U366" s="412" t="s">
        <v>5840</v>
      </c>
      <c r="V366" s="41" t="s">
        <v>106</v>
      </c>
      <c r="W366" s="13" t="s">
        <v>107</v>
      </c>
      <c r="X366" s="412"/>
      <c r="Y366" s="413"/>
      <c r="Z366" s="413">
        <v>207</v>
      </c>
      <c r="AA366" s="413">
        <v>128</v>
      </c>
      <c r="AB366" s="16">
        <v>192</v>
      </c>
      <c r="AC366" s="16">
        <v>76</v>
      </c>
      <c r="AD366" s="16">
        <v>152</v>
      </c>
      <c r="AE366" s="16">
        <v>3</v>
      </c>
      <c r="AF366" s="16">
        <v>66</v>
      </c>
      <c r="AG366" s="16">
        <v>221</v>
      </c>
      <c r="AH366" s="16">
        <v>20</v>
      </c>
      <c r="AI366" s="16">
        <v>6</v>
      </c>
      <c r="AJ366" s="413"/>
      <c r="AK366" s="412" t="s">
        <v>5838</v>
      </c>
      <c r="AL366" s="25">
        <v>221</v>
      </c>
      <c r="AM366" s="413">
        <v>20.399999999999999</v>
      </c>
      <c r="AN366" s="413"/>
      <c r="AO366" s="413"/>
      <c r="AP366" s="16" t="s">
        <v>160</v>
      </c>
      <c r="AQ366" s="16" t="s">
        <v>165</v>
      </c>
      <c r="AR366" s="130">
        <v>1404</v>
      </c>
      <c r="AS366" s="130">
        <v>8</v>
      </c>
      <c r="AT366" s="130"/>
      <c r="AU366" s="130"/>
      <c r="AV366" s="12" t="str">
        <f t="shared" si="22"/>
        <v/>
      </c>
      <c r="AW366" s="12" t="str">
        <f t="shared" si="23"/>
        <v/>
      </c>
      <c r="AX366" s="12"/>
      <c r="AY366" s="408"/>
    </row>
    <row r="367" spans="1:51" ht="30" hidden="1" customHeight="1" x14ac:dyDescent="0.2">
      <c r="A367" s="429">
        <v>365</v>
      </c>
      <c r="B367" s="413">
        <v>19</v>
      </c>
      <c r="C367" s="413">
        <v>8</v>
      </c>
      <c r="D367" s="16">
        <v>1404</v>
      </c>
      <c r="E367" s="412" t="s">
        <v>448</v>
      </c>
      <c r="F367" s="412" t="s">
        <v>20</v>
      </c>
      <c r="G367" s="412" t="s">
        <v>5608</v>
      </c>
      <c r="H367" s="413" t="s">
        <v>83</v>
      </c>
      <c r="I367" s="360" t="s">
        <v>5479</v>
      </c>
      <c r="J367" s="16" t="s">
        <v>84</v>
      </c>
      <c r="K367" s="412"/>
      <c r="L367" s="412" t="s">
        <v>68</v>
      </c>
      <c r="M367" s="412" t="s">
        <v>449</v>
      </c>
      <c r="N367" s="41" t="s">
        <v>106</v>
      </c>
      <c r="O367" s="13" t="s">
        <v>107</v>
      </c>
      <c r="P367" s="13"/>
      <c r="Q367" s="13"/>
      <c r="R367" s="413"/>
      <c r="S367" s="413">
        <v>6609</v>
      </c>
      <c r="T367" s="413">
        <v>16</v>
      </c>
      <c r="U367" s="412" t="s">
        <v>3680</v>
      </c>
      <c r="V367" s="41" t="s">
        <v>106</v>
      </c>
      <c r="W367" s="13" t="s">
        <v>107</v>
      </c>
      <c r="X367" s="412"/>
      <c r="Y367" s="413" t="s">
        <v>5842</v>
      </c>
      <c r="Z367" s="413">
        <v>224</v>
      </c>
      <c r="AA367" s="413">
        <v>204</v>
      </c>
      <c r="AB367" s="16">
        <v>204</v>
      </c>
      <c r="AC367" s="16"/>
      <c r="AD367" s="16"/>
      <c r="AE367" s="16"/>
      <c r="AF367" s="16"/>
      <c r="AG367" s="16"/>
      <c r="AH367" s="16"/>
      <c r="AI367" s="16">
        <v>6</v>
      </c>
      <c r="AJ367" s="413"/>
      <c r="AK367" s="412"/>
      <c r="AL367" s="25"/>
      <c r="AM367" s="413"/>
      <c r="AN367" s="413"/>
      <c r="AO367" s="413"/>
      <c r="AP367" s="16" t="s">
        <v>160</v>
      </c>
      <c r="AQ367" s="16" t="s">
        <v>161</v>
      </c>
      <c r="AR367" s="130">
        <v>1404</v>
      </c>
      <c r="AS367" s="130">
        <v>8</v>
      </c>
      <c r="AT367" s="130">
        <v>1401</v>
      </c>
      <c r="AU367" s="130">
        <v>1</v>
      </c>
      <c r="AV367" s="12">
        <f t="shared" si="22"/>
        <v>43</v>
      </c>
      <c r="AW367" s="12" t="str">
        <f t="shared" si="23"/>
        <v/>
      </c>
      <c r="AX367" s="12"/>
      <c r="AY367" s="408"/>
    </row>
    <row r="368" spans="1:51" ht="30" hidden="1" customHeight="1" x14ac:dyDescent="0.2">
      <c r="A368" s="429">
        <v>366</v>
      </c>
      <c r="B368" s="413">
        <v>19</v>
      </c>
      <c r="C368" s="413">
        <v>8</v>
      </c>
      <c r="D368" s="16">
        <v>1404</v>
      </c>
      <c r="E368" s="412" t="s">
        <v>5830</v>
      </c>
      <c r="F368" s="412" t="s">
        <v>6</v>
      </c>
      <c r="G368" s="412"/>
      <c r="H368" s="413" t="s">
        <v>7</v>
      </c>
      <c r="I368" s="360" t="s">
        <v>5479</v>
      </c>
      <c r="J368" s="16" t="s">
        <v>84</v>
      </c>
      <c r="K368" s="35" t="s">
        <v>155</v>
      </c>
      <c r="L368" s="35" t="s">
        <v>218</v>
      </c>
      <c r="M368" s="412" t="s">
        <v>5843</v>
      </c>
      <c r="N368" s="41" t="s">
        <v>106</v>
      </c>
      <c r="O368" s="13" t="s">
        <v>107</v>
      </c>
      <c r="P368" s="13"/>
      <c r="Q368" s="13"/>
      <c r="R368" s="33" t="s">
        <v>167</v>
      </c>
      <c r="S368" s="33">
        <v>384</v>
      </c>
      <c r="T368" s="33">
        <v>11</v>
      </c>
      <c r="U368" s="412" t="s">
        <v>5844</v>
      </c>
      <c r="V368" s="41" t="s">
        <v>106</v>
      </c>
      <c r="W368" s="13" t="s">
        <v>107</v>
      </c>
      <c r="X368" s="412"/>
      <c r="Y368" s="413" t="s">
        <v>5845</v>
      </c>
      <c r="Z368" s="413">
        <v>204</v>
      </c>
      <c r="AA368" s="413">
        <v>192</v>
      </c>
      <c r="AB368" s="16">
        <v>192</v>
      </c>
      <c r="AC368" s="16">
        <v>121</v>
      </c>
      <c r="AD368" s="16">
        <v>174</v>
      </c>
      <c r="AE368" s="16">
        <v>6</v>
      </c>
      <c r="AF368" s="16">
        <v>30</v>
      </c>
      <c r="AG368" s="16">
        <v>210</v>
      </c>
      <c r="AH368" s="16">
        <v>25</v>
      </c>
      <c r="AI368" s="16">
        <v>6</v>
      </c>
      <c r="AJ368" s="413"/>
      <c r="AK368" s="412" t="s">
        <v>5845</v>
      </c>
      <c r="AL368" s="25">
        <v>210</v>
      </c>
      <c r="AM368" s="413">
        <v>20.2</v>
      </c>
      <c r="AN368" s="413"/>
      <c r="AO368" s="413"/>
      <c r="AP368" s="16" t="s">
        <v>160</v>
      </c>
      <c r="AQ368" s="16" t="s">
        <v>165</v>
      </c>
      <c r="AR368" s="130">
        <v>1404</v>
      </c>
      <c r="AS368" s="130">
        <v>8</v>
      </c>
      <c r="AT368" s="130"/>
      <c r="AU368" s="130"/>
      <c r="AV368" s="12" t="str">
        <f t="shared" si="22"/>
        <v/>
      </c>
      <c r="AW368" s="12" t="str">
        <f t="shared" si="23"/>
        <v/>
      </c>
      <c r="AX368" s="12"/>
      <c r="AY368" s="408"/>
    </row>
    <row r="369" spans="1:51" ht="30" hidden="1" customHeight="1" x14ac:dyDescent="0.2">
      <c r="A369" s="429">
        <v>367</v>
      </c>
      <c r="B369" s="413">
        <v>19</v>
      </c>
      <c r="C369" s="413">
        <v>8</v>
      </c>
      <c r="D369" s="16">
        <v>1404</v>
      </c>
      <c r="E369" s="412" t="s">
        <v>5841</v>
      </c>
      <c r="F369" s="412" t="s">
        <v>9</v>
      </c>
      <c r="G369" s="412" t="s">
        <v>90</v>
      </c>
      <c r="H369" s="413" t="s">
        <v>7</v>
      </c>
      <c r="I369" s="360" t="s">
        <v>5479</v>
      </c>
      <c r="J369" s="16" t="s">
        <v>3576</v>
      </c>
      <c r="K369" s="412"/>
      <c r="L369" s="412" t="s">
        <v>68</v>
      </c>
      <c r="M369" s="412" t="s">
        <v>5846</v>
      </c>
      <c r="N369" s="41" t="s">
        <v>69</v>
      </c>
      <c r="O369" s="13" t="s">
        <v>70</v>
      </c>
      <c r="P369" s="13"/>
      <c r="Q369" s="13"/>
      <c r="R369" s="413"/>
      <c r="S369" s="413">
        <v>384</v>
      </c>
      <c r="T369" s="413">
        <v>8</v>
      </c>
      <c r="U369" s="412" t="s">
        <v>5847</v>
      </c>
      <c r="V369" s="41" t="s">
        <v>106</v>
      </c>
      <c r="W369" s="13" t="s">
        <v>107</v>
      </c>
      <c r="X369" s="412"/>
      <c r="Y369" s="413" t="s">
        <v>5845</v>
      </c>
      <c r="Z369" s="413">
        <v>216</v>
      </c>
      <c r="AA369" s="413"/>
      <c r="AB369" s="16">
        <v>206</v>
      </c>
      <c r="AC369" s="16">
        <v>83</v>
      </c>
      <c r="AD369" s="16">
        <v>108</v>
      </c>
      <c r="AE369" s="16">
        <v>6</v>
      </c>
      <c r="AF369" s="16">
        <v>36</v>
      </c>
      <c r="AG369" s="16">
        <v>150</v>
      </c>
      <c r="AH369" s="16">
        <v>25</v>
      </c>
      <c r="AI369" s="16">
        <v>6</v>
      </c>
      <c r="AJ369" s="413"/>
      <c r="AK369" s="412" t="s">
        <v>5845</v>
      </c>
      <c r="AL369" s="25">
        <v>150</v>
      </c>
      <c r="AM369" s="413">
        <v>24.5</v>
      </c>
      <c r="AN369" s="413"/>
      <c r="AO369" s="413"/>
      <c r="AP369" s="16" t="s">
        <v>160</v>
      </c>
      <c r="AQ369" s="16" t="s">
        <v>193</v>
      </c>
      <c r="AR369" s="130">
        <v>1404</v>
      </c>
      <c r="AS369" s="130">
        <v>8</v>
      </c>
      <c r="AT369" s="130"/>
      <c r="AU369" s="130"/>
      <c r="AV369" s="12" t="str">
        <f t="shared" si="22"/>
        <v/>
      </c>
      <c r="AW369" s="12" t="str">
        <f t="shared" si="23"/>
        <v/>
      </c>
      <c r="AX369" s="12"/>
      <c r="AY369" s="408"/>
    </row>
    <row r="370" spans="1:51" ht="30" hidden="1" customHeight="1" x14ac:dyDescent="0.2">
      <c r="A370" s="429">
        <v>368</v>
      </c>
      <c r="B370" s="413">
        <v>19</v>
      </c>
      <c r="C370" s="413">
        <v>8</v>
      </c>
      <c r="D370" s="16">
        <v>1404</v>
      </c>
      <c r="E370" s="412" t="s">
        <v>3764</v>
      </c>
      <c r="F370" s="412" t="s">
        <v>10</v>
      </c>
      <c r="G370" s="412" t="s">
        <v>4796</v>
      </c>
      <c r="H370" s="413" t="s">
        <v>83</v>
      </c>
      <c r="I370" s="360" t="s">
        <v>5479</v>
      </c>
      <c r="J370" s="16" t="s">
        <v>5577</v>
      </c>
      <c r="K370" s="412"/>
      <c r="L370" s="412" t="s">
        <v>141</v>
      </c>
      <c r="M370" s="412" t="s">
        <v>3512</v>
      </c>
      <c r="N370" s="41" t="s">
        <v>106</v>
      </c>
      <c r="O370" s="13" t="s">
        <v>107</v>
      </c>
      <c r="P370" s="13"/>
      <c r="Q370" s="13"/>
      <c r="R370" s="413"/>
      <c r="S370" s="413">
        <v>233</v>
      </c>
      <c r="T370" s="413">
        <v>17</v>
      </c>
      <c r="U370" s="412" t="s">
        <v>3867</v>
      </c>
      <c r="V370" s="41" t="s">
        <v>106</v>
      </c>
      <c r="W370" s="13" t="s">
        <v>107</v>
      </c>
      <c r="X370" s="412"/>
      <c r="Y370" s="413" t="s">
        <v>5848</v>
      </c>
      <c r="Z370" s="413">
        <v>210</v>
      </c>
      <c r="AA370" s="413">
        <v>198</v>
      </c>
      <c r="AB370" s="16">
        <v>198</v>
      </c>
      <c r="AC370" s="16"/>
      <c r="AD370" s="16"/>
      <c r="AE370" s="16"/>
      <c r="AF370" s="16"/>
      <c r="AG370" s="16"/>
      <c r="AH370" s="16"/>
      <c r="AI370" s="16">
        <v>6</v>
      </c>
      <c r="AJ370" s="413"/>
      <c r="AK370" s="412"/>
      <c r="AL370" s="25"/>
      <c r="AM370" s="413"/>
      <c r="AN370" s="413"/>
      <c r="AO370" s="413"/>
      <c r="AP370" s="16" t="s">
        <v>160</v>
      </c>
      <c r="AQ370" s="16" t="s">
        <v>193</v>
      </c>
      <c r="AR370" s="130">
        <v>1404</v>
      </c>
      <c r="AS370" s="130">
        <v>8</v>
      </c>
      <c r="AT370" s="130">
        <v>1402</v>
      </c>
      <c r="AU370" s="130">
        <v>6</v>
      </c>
      <c r="AV370" s="12">
        <f t="shared" si="22"/>
        <v>26</v>
      </c>
      <c r="AW370" s="12" t="str">
        <f t="shared" si="23"/>
        <v/>
      </c>
      <c r="AX370" s="12"/>
      <c r="AY370" s="408"/>
    </row>
    <row r="371" spans="1:51" s="21" customFormat="1" ht="30" hidden="1" customHeight="1" x14ac:dyDescent="0.2">
      <c r="A371" s="429">
        <v>369</v>
      </c>
      <c r="B371" s="20">
        <v>19</v>
      </c>
      <c r="C371" s="20">
        <v>8</v>
      </c>
      <c r="D371" s="29">
        <v>1404</v>
      </c>
      <c r="E371" s="30" t="s">
        <v>5440</v>
      </c>
      <c r="F371" s="30" t="s">
        <v>66</v>
      </c>
      <c r="G371" s="30" t="s">
        <v>5608</v>
      </c>
      <c r="H371" s="20" t="s">
        <v>83</v>
      </c>
      <c r="I371" s="20" t="s">
        <v>5479</v>
      </c>
      <c r="J371" s="29" t="s">
        <v>5849</v>
      </c>
      <c r="K371" s="30"/>
      <c r="L371" s="30" t="s">
        <v>5431</v>
      </c>
      <c r="M371" s="30" t="s">
        <v>5487</v>
      </c>
      <c r="N371" s="30" t="s">
        <v>69</v>
      </c>
      <c r="O371" s="20" t="s">
        <v>70</v>
      </c>
      <c r="P371" s="20"/>
      <c r="Q371" s="20"/>
      <c r="R371" s="20"/>
      <c r="S371" s="20">
        <v>102</v>
      </c>
      <c r="T371" s="20">
        <v>20</v>
      </c>
      <c r="U371" s="30" t="s">
        <v>5488</v>
      </c>
      <c r="V371" s="30" t="s">
        <v>69</v>
      </c>
      <c r="W371" s="20" t="s">
        <v>70</v>
      </c>
      <c r="X371" s="30"/>
      <c r="Y371" s="20" t="s">
        <v>5541</v>
      </c>
      <c r="Z371" s="20"/>
      <c r="AA371" s="20">
        <v>120</v>
      </c>
      <c r="AB371" s="29">
        <v>120</v>
      </c>
      <c r="AC371" s="29"/>
      <c r="AD371" s="29"/>
      <c r="AE371" s="29"/>
      <c r="AF371" s="29"/>
      <c r="AG371" s="29"/>
      <c r="AH371" s="29"/>
      <c r="AI371" s="29">
        <v>3</v>
      </c>
      <c r="AJ371" s="20"/>
      <c r="AK371" s="30"/>
      <c r="AL371" s="36"/>
      <c r="AM371" s="20"/>
      <c r="AN371" s="20"/>
      <c r="AO371" s="20"/>
      <c r="AP371" s="29" t="s">
        <v>5433</v>
      </c>
      <c r="AQ371" s="29" t="s">
        <v>1956</v>
      </c>
      <c r="AR371" s="318">
        <v>1404</v>
      </c>
      <c r="AS371" s="318">
        <v>8</v>
      </c>
      <c r="AT371" s="318">
        <v>1404</v>
      </c>
      <c r="AU371" s="318">
        <v>5</v>
      </c>
      <c r="AV371" s="31">
        <f t="shared" si="22"/>
        <v>3</v>
      </c>
      <c r="AW371" s="31">
        <f t="shared" si="23"/>
        <v>3</v>
      </c>
      <c r="AX371" s="31"/>
      <c r="AY371" s="409" t="s">
        <v>5850</v>
      </c>
    </row>
    <row r="372" spans="1:51" ht="30" hidden="1" customHeight="1" x14ac:dyDescent="0.2">
      <c r="A372" s="429">
        <v>370</v>
      </c>
      <c r="B372" s="413">
        <v>20</v>
      </c>
      <c r="C372" s="413">
        <v>8</v>
      </c>
      <c r="D372" s="16">
        <v>1404</v>
      </c>
      <c r="E372" s="412" t="s">
        <v>5853</v>
      </c>
      <c r="F372" s="412" t="s">
        <v>6</v>
      </c>
      <c r="G372" s="412"/>
      <c r="H372" s="413" t="s">
        <v>7</v>
      </c>
      <c r="I372" s="360" t="s">
        <v>5479</v>
      </c>
      <c r="J372" s="16" t="s">
        <v>84</v>
      </c>
      <c r="K372" s="35" t="s">
        <v>218</v>
      </c>
      <c r="L372" s="35" t="s">
        <v>140</v>
      </c>
      <c r="M372" s="412" t="s">
        <v>5856</v>
      </c>
      <c r="N372" s="41" t="s">
        <v>69</v>
      </c>
      <c r="O372" s="13" t="s">
        <v>70</v>
      </c>
      <c r="P372" s="13"/>
      <c r="Q372" s="13"/>
      <c r="R372" s="33" t="s">
        <v>167</v>
      </c>
      <c r="S372" s="33">
        <v>233</v>
      </c>
      <c r="T372" s="33">
        <v>17</v>
      </c>
      <c r="U372" s="412" t="s">
        <v>5857</v>
      </c>
      <c r="V372" s="41" t="s">
        <v>69</v>
      </c>
      <c r="W372" s="13" t="s">
        <v>70</v>
      </c>
      <c r="X372" s="412"/>
      <c r="Y372" s="413"/>
      <c r="Z372" s="413">
        <v>228</v>
      </c>
      <c r="AA372" s="413">
        <v>213</v>
      </c>
      <c r="AB372" s="16">
        <v>213</v>
      </c>
      <c r="AC372" s="16">
        <v>137</v>
      </c>
      <c r="AD372" s="16">
        <v>205</v>
      </c>
      <c r="AE372" s="16">
        <v>1</v>
      </c>
      <c r="AF372" s="16">
        <v>33</v>
      </c>
      <c r="AG372" s="16">
        <v>239</v>
      </c>
      <c r="AH372" s="16">
        <v>7</v>
      </c>
      <c r="AI372" s="16">
        <v>6</v>
      </c>
      <c r="AJ372" s="413"/>
      <c r="AK372" s="412" t="s">
        <v>5858</v>
      </c>
      <c r="AL372" s="25">
        <v>239</v>
      </c>
      <c r="AM372" s="413">
        <v>6.6</v>
      </c>
      <c r="AN372" s="413"/>
      <c r="AO372" s="413"/>
      <c r="AP372" s="16" t="s">
        <v>160</v>
      </c>
      <c r="AQ372" s="16" t="s">
        <v>161</v>
      </c>
      <c r="AR372" s="130">
        <v>1404</v>
      </c>
      <c r="AS372" s="130">
        <v>8</v>
      </c>
      <c r="AT372" s="130"/>
      <c r="AU372" s="130"/>
      <c r="AV372" s="12" t="str">
        <f t="shared" si="22"/>
        <v/>
      </c>
      <c r="AW372" s="12" t="str">
        <f t="shared" si="23"/>
        <v/>
      </c>
      <c r="AX372" s="12"/>
      <c r="AY372" s="408"/>
    </row>
    <row r="373" spans="1:51" ht="30" hidden="1" customHeight="1" x14ac:dyDescent="0.2">
      <c r="A373" s="429">
        <v>371</v>
      </c>
      <c r="B373" s="413">
        <v>20</v>
      </c>
      <c r="C373" s="413">
        <v>8</v>
      </c>
      <c r="D373" s="16">
        <v>1404</v>
      </c>
      <c r="E373" s="412" t="s">
        <v>5854</v>
      </c>
      <c r="F373" s="412" t="s">
        <v>2981</v>
      </c>
      <c r="G373" s="412" t="s">
        <v>5868</v>
      </c>
      <c r="H373" s="413" t="s">
        <v>83</v>
      </c>
      <c r="I373" s="360" t="s">
        <v>5479</v>
      </c>
      <c r="J373" s="16" t="s">
        <v>84</v>
      </c>
      <c r="K373" s="412"/>
      <c r="L373" s="412" t="s">
        <v>155</v>
      </c>
      <c r="M373" s="412" t="s">
        <v>5866</v>
      </c>
      <c r="N373" s="41" t="s">
        <v>106</v>
      </c>
      <c r="O373" s="13" t="s">
        <v>107</v>
      </c>
      <c r="P373" s="13"/>
      <c r="Q373" s="13"/>
      <c r="R373" s="413"/>
      <c r="S373" s="413">
        <v>384</v>
      </c>
      <c r="T373" s="413">
        <v>9</v>
      </c>
      <c r="U373" s="412" t="s">
        <v>5867</v>
      </c>
      <c r="V373" s="41" t="s">
        <v>106</v>
      </c>
      <c r="W373" s="13" t="s">
        <v>107</v>
      </c>
      <c r="X373" s="412"/>
      <c r="Y373" s="413" t="s">
        <v>3446</v>
      </c>
      <c r="Z373" s="413">
        <v>218</v>
      </c>
      <c r="AA373" s="413">
        <v>207</v>
      </c>
      <c r="AB373" s="16">
        <v>207</v>
      </c>
      <c r="AC373" s="16"/>
      <c r="AD373" s="16"/>
      <c r="AE373" s="16"/>
      <c r="AF373" s="16"/>
      <c r="AG373" s="16"/>
      <c r="AH373" s="16"/>
      <c r="AI373" s="16">
        <v>6</v>
      </c>
      <c r="AJ373" s="413"/>
      <c r="AK373" s="412"/>
      <c r="AL373" s="25"/>
      <c r="AM373" s="413"/>
      <c r="AN373" s="413"/>
      <c r="AO373" s="413"/>
      <c r="AP373" s="16" t="s">
        <v>160</v>
      </c>
      <c r="AQ373" s="16" t="s">
        <v>165</v>
      </c>
      <c r="AR373" s="130">
        <v>1404</v>
      </c>
      <c r="AS373" s="130">
        <v>8</v>
      </c>
      <c r="AT373" s="130">
        <v>1401</v>
      </c>
      <c r="AU373" s="130">
        <v>9</v>
      </c>
      <c r="AV373" s="12">
        <f t="shared" si="22"/>
        <v>35</v>
      </c>
      <c r="AW373" s="12" t="str">
        <f t="shared" si="23"/>
        <v/>
      </c>
      <c r="AX373" s="12"/>
      <c r="AY373" s="408"/>
    </row>
    <row r="374" spans="1:51" ht="30" hidden="1" customHeight="1" x14ac:dyDescent="0.2">
      <c r="A374" s="429">
        <v>372</v>
      </c>
      <c r="B374" s="413">
        <v>20</v>
      </c>
      <c r="C374" s="413">
        <v>8</v>
      </c>
      <c r="D374" s="16">
        <v>1404</v>
      </c>
      <c r="E374" s="412" t="s">
        <v>5855</v>
      </c>
      <c r="F374" s="412" t="s">
        <v>8</v>
      </c>
      <c r="G374" s="412" t="s">
        <v>5608</v>
      </c>
      <c r="H374" s="413" t="s">
        <v>83</v>
      </c>
      <c r="I374" s="360" t="s">
        <v>5479</v>
      </c>
      <c r="J374" s="16" t="s">
        <v>84</v>
      </c>
      <c r="K374" s="412"/>
      <c r="L374" s="412" t="s">
        <v>104</v>
      </c>
      <c r="M374" s="412" t="s">
        <v>871</v>
      </c>
      <c r="N374" s="41" t="s">
        <v>106</v>
      </c>
      <c r="O374" s="13" t="s">
        <v>107</v>
      </c>
      <c r="P374" s="13"/>
      <c r="Q374" s="13"/>
      <c r="R374" s="413"/>
      <c r="S374" s="413">
        <v>384</v>
      </c>
      <c r="T374" s="413">
        <v>7</v>
      </c>
      <c r="U374" s="412" t="s">
        <v>5865</v>
      </c>
      <c r="V374" s="41" t="s">
        <v>106</v>
      </c>
      <c r="W374" s="13" t="s">
        <v>107</v>
      </c>
      <c r="X374" s="412"/>
      <c r="Y374" s="413" t="s">
        <v>5872</v>
      </c>
      <c r="Z374" s="413">
        <v>99</v>
      </c>
      <c r="AA374" s="413">
        <v>99</v>
      </c>
      <c r="AB374" s="16">
        <v>90</v>
      </c>
      <c r="AC374" s="16"/>
      <c r="AD374" s="16"/>
      <c r="AE374" s="16"/>
      <c r="AF374" s="16"/>
      <c r="AG374" s="16"/>
      <c r="AH374" s="16"/>
      <c r="AI374" s="16">
        <v>6</v>
      </c>
      <c r="AJ374" s="413"/>
      <c r="AK374" s="412"/>
      <c r="AL374" s="25"/>
      <c r="AM374" s="413"/>
      <c r="AN374" s="413"/>
      <c r="AO374" s="413"/>
      <c r="AP374" s="16" t="s">
        <v>5080</v>
      </c>
      <c r="AQ374" s="16" t="s">
        <v>330</v>
      </c>
      <c r="AR374" s="130">
        <v>1404</v>
      </c>
      <c r="AS374" s="130">
        <v>8</v>
      </c>
      <c r="AT374" s="130">
        <v>1401</v>
      </c>
      <c r="AU374" s="130">
        <v>5</v>
      </c>
      <c r="AV374" s="12">
        <f t="shared" si="22"/>
        <v>39</v>
      </c>
      <c r="AW374" s="12" t="str">
        <f t="shared" si="23"/>
        <v/>
      </c>
      <c r="AX374" s="12"/>
      <c r="AY374" s="408"/>
    </row>
    <row r="375" spans="1:51" ht="30" hidden="1" customHeight="1" x14ac:dyDescent="0.2">
      <c r="A375" s="429">
        <v>373</v>
      </c>
      <c r="B375" s="413">
        <v>20</v>
      </c>
      <c r="C375" s="413">
        <v>8</v>
      </c>
      <c r="D375" s="16">
        <v>1404</v>
      </c>
      <c r="E375" s="412" t="s">
        <v>5476</v>
      </c>
      <c r="F375" s="412" t="s">
        <v>10</v>
      </c>
      <c r="G375" s="412" t="s">
        <v>202</v>
      </c>
      <c r="H375" s="413" t="s">
        <v>83</v>
      </c>
      <c r="I375" s="360" t="s">
        <v>5479</v>
      </c>
      <c r="J375" s="16" t="s">
        <v>5577</v>
      </c>
      <c r="K375" s="412"/>
      <c r="L375" s="412" t="s">
        <v>155</v>
      </c>
      <c r="M375" s="412" t="s">
        <v>5863</v>
      </c>
      <c r="N375" s="41" t="s">
        <v>106</v>
      </c>
      <c r="O375" s="13" t="s">
        <v>107</v>
      </c>
      <c r="P375" s="13"/>
      <c r="Q375" s="13"/>
      <c r="R375" s="413"/>
      <c r="S375" s="413">
        <v>345</v>
      </c>
      <c r="T375" s="413">
        <v>9</v>
      </c>
      <c r="U375" s="412" t="s">
        <v>5864</v>
      </c>
      <c r="V375" s="41" t="s">
        <v>106</v>
      </c>
      <c r="W375" s="13" t="s">
        <v>107</v>
      </c>
      <c r="X375" s="412"/>
      <c r="Y375" s="413" t="s">
        <v>5877</v>
      </c>
      <c r="Z375" s="413">
        <v>225</v>
      </c>
      <c r="AA375" s="413">
        <v>213</v>
      </c>
      <c r="AB375" s="16">
        <v>213</v>
      </c>
      <c r="AC375" s="16"/>
      <c r="AD375" s="16"/>
      <c r="AE375" s="16"/>
      <c r="AF375" s="16"/>
      <c r="AG375" s="16"/>
      <c r="AH375" s="16"/>
      <c r="AI375" s="16">
        <v>6</v>
      </c>
      <c r="AJ375" s="413"/>
      <c r="AK375" s="412"/>
      <c r="AL375" s="25"/>
      <c r="AM375" s="413"/>
      <c r="AN375" s="413"/>
      <c r="AO375" s="413"/>
      <c r="AP375" s="16" t="s">
        <v>160</v>
      </c>
      <c r="AQ375" s="16" t="s">
        <v>165</v>
      </c>
      <c r="AR375" s="130">
        <v>1404</v>
      </c>
      <c r="AS375" s="130">
        <v>8</v>
      </c>
      <c r="AT375" s="130">
        <v>1404</v>
      </c>
      <c r="AU375" s="130">
        <v>6</v>
      </c>
      <c r="AV375" s="12">
        <f t="shared" si="22"/>
        <v>2</v>
      </c>
      <c r="AW375" s="12">
        <f t="shared" si="23"/>
        <v>2</v>
      </c>
      <c r="AX375" s="12"/>
      <c r="AY375" s="408"/>
    </row>
    <row r="376" spans="1:51" ht="30" hidden="1" customHeight="1" x14ac:dyDescent="0.2">
      <c r="A376" s="429">
        <v>374</v>
      </c>
      <c r="B376" s="413">
        <v>21</v>
      </c>
      <c r="C376" s="413">
        <v>8</v>
      </c>
      <c r="D376" s="16">
        <v>1404</v>
      </c>
      <c r="E376" s="412" t="s">
        <v>1984</v>
      </c>
      <c r="F376" s="412" t="s">
        <v>6</v>
      </c>
      <c r="G376" s="412" t="s">
        <v>5876</v>
      </c>
      <c r="H376" s="426" t="s">
        <v>83</v>
      </c>
      <c r="I376" s="360" t="s">
        <v>5479</v>
      </c>
      <c r="J376" s="16" t="s">
        <v>84</v>
      </c>
      <c r="K376" s="412"/>
      <c r="L376" s="412" t="s">
        <v>141</v>
      </c>
      <c r="M376" s="412" t="s">
        <v>1979</v>
      </c>
      <c r="N376" s="41" t="s">
        <v>106</v>
      </c>
      <c r="O376" s="13" t="s">
        <v>107</v>
      </c>
      <c r="P376" s="13"/>
      <c r="Q376" s="13"/>
      <c r="R376" s="413"/>
      <c r="S376" s="413">
        <v>6608</v>
      </c>
      <c r="T376" s="413">
        <v>13</v>
      </c>
      <c r="U376" s="412" t="s">
        <v>2009</v>
      </c>
      <c r="V376" s="41" t="s">
        <v>106</v>
      </c>
      <c r="W376" s="13" t="s">
        <v>107</v>
      </c>
      <c r="X376" s="412"/>
      <c r="Y376" s="413" t="s">
        <v>4828</v>
      </c>
      <c r="Z376" s="413">
        <v>191</v>
      </c>
      <c r="AA376" s="413">
        <v>180</v>
      </c>
      <c r="AB376" s="16">
        <v>180</v>
      </c>
      <c r="AC376" s="16"/>
      <c r="AD376" s="16"/>
      <c r="AE376" s="16"/>
      <c r="AF376" s="16"/>
      <c r="AG376" s="16"/>
      <c r="AH376" s="16"/>
      <c r="AI376" s="16">
        <v>6</v>
      </c>
      <c r="AJ376" s="413"/>
      <c r="AK376" s="412"/>
      <c r="AL376" s="25"/>
      <c r="AM376" s="413"/>
      <c r="AN376" s="413"/>
      <c r="AO376" s="413"/>
      <c r="AP376" s="16" t="s">
        <v>160</v>
      </c>
      <c r="AQ376" s="16" t="s">
        <v>112</v>
      </c>
      <c r="AR376" s="130">
        <v>1404</v>
      </c>
      <c r="AS376" s="130">
        <v>8</v>
      </c>
      <c r="AT376" s="130">
        <v>1403</v>
      </c>
      <c r="AU376" s="130">
        <v>8</v>
      </c>
      <c r="AV376" s="12">
        <f t="shared" si="22"/>
        <v>12</v>
      </c>
      <c r="AW376" s="12">
        <f t="shared" si="23"/>
        <v>12</v>
      </c>
      <c r="AX376" s="12"/>
      <c r="AY376" s="408"/>
    </row>
    <row r="377" spans="1:51" ht="30" hidden="1" customHeight="1" x14ac:dyDescent="0.2">
      <c r="A377" s="429">
        <v>375</v>
      </c>
      <c r="B377" s="413">
        <v>21</v>
      </c>
      <c r="C377" s="413">
        <v>8</v>
      </c>
      <c r="D377" s="16">
        <v>1404</v>
      </c>
      <c r="E377" s="412" t="s">
        <v>1302</v>
      </c>
      <c r="F377" s="412" t="s">
        <v>6</v>
      </c>
      <c r="G377" s="412" t="s">
        <v>5608</v>
      </c>
      <c r="H377" s="426" t="s">
        <v>83</v>
      </c>
      <c r="I377" s="360" t="s">
        <v>5479</v>
      </c>
      <c r="J377" s="16" t="s">
        <v>84</v>
      </c>
      <c r="K377" s="412"/>
      <c r="L377" s="412" t="s">
        <v>218</v>
      </c>
      <c r="M377" s="412" t="s">
        <v>3428</v>
      </c>
      <c r="N377" s="41" t="s">
        <v>106</v>
      </c>
      <c r="O377" s="13" t="s">
        <v>107</v>
      </c>
      <c r="P377" s="13"/>
      <c r="Q377" s="13"/>
      <c r="R377" s="413"/>
      <c r="S377" s="413">
        <v>384</v>
      </c>
      <c r="T377" s="413">
        <v>12</v>
      </c>
      <c r="U377" s="412" t="s">
        <v>3418</v>
      </c>
      <c r="V377" s="41" t="s">
        <v>106</v>
      </c>
      <c r="W377" s="13" t="s">
        <v>107</v>
      </c>
      <c r="X377" s="412"/>
      <c r="Y377" s="413" t="s">
        <v>4144</v>
      </c>
      <c r="Z377" s="413">
        <v>247</v>
      </c>
      <c r="AA377" s="413">
        <v>234</v>
      </c>
      <c r="AB377" s="16">
        <v>210</v>
      </c>
      <c r="AC377" s="16"/>
      <c r="AD377" s="16"/>
      <c r="AE377" s="16"/>
      <c r="AF377" s="16"/>
      <c r="AG377" s="16"/>
      <c r="AH377" s="16"/>
      <c r="AI377" s="16">
        <v>6</v>
      </c>
      <c r="AJ377" s="413"/>
      <c r="AK377" s="412" t="s">
        <v>3714</v>
      </c>
      <c r="AL377" s="25" t="s">
        <v>3714</v>
      </c>
      <c r="AM377" s="413" t="s">
        <v>3714</v>
      </c>
      <c r="AN377" s="413" t="s">
        <v>3714</v>
      </c>
      <c r="AO377" s="413"/>
      <c r="AP377" s="16" t="s">
        <v>160</v>
      </c>
      <c r="AQ377" s="16" t="s">
        <v>165</v>
      </c>
      <c r="AR377" s="130">
        <v>1404</v>
      </c>
      <c r="AS377" s="130">
        <v>8</v>
      </c>
      <c r="AT377" s="130">
        <v>1402</v>
      </c>
      <c r="AU377" s="130">
        <v>10</v>
      </c>
      <c r="AV377" s="12">
        <f t="shared" si="22"/>
        <v>22</v>
      </c>
      <c r="AW377" s="12" t="str">
        <f t="shared" si="23"/>
        <v/>
      </c>
      <c r="AX377" s="12"/>
      <c r="AY377" s="408"/>
    </row>
    <row r="378" spans="1:51" ht="30" hidden="1" customHeight="1" x14ac:dyDescent="0.2">
      <c r="A378" s="429">
        <v>376</v>
      </c>
      <c r="B378" s="413">
        <v>22</v>
      </c>
      <c r="C378" s="413">
        <v>8</v>
      </c>
      <c r="D378" s="16">
        <v>1404</v>
      </c>
      <c r="E378" s="412" t="s">
        <v>1401</v>
      </c>
      <c r="F378" s="412" t="s">
        <v>10</v>
      </c>
      <c r="G378" s="412" t="s">
        <v>5608</v>
      </c>
      <c r="H378" s="413" t="s">
        <v>7</v>
      </c>
      <c r="I378" s="360" t="s">
        <v>5479</v>
      </c>
      <c r="J378" s="16" t="s">
        <v>5577</v>
      </c>
      <c r="K378" s="35" t="s">
        <v>140</v>
      </c>
      <c r="L378" s="35" t="s">
        <v>117</v>
      </c>
      <c r="M378" s="412" t="s">
        <v>5861</v>
      </c>
      <c r="N378" s="41" t="s">
        <v>142</v>
      </c>
      <c r="O378" s="13" t="s">
        <v>70</v>
      </c>
      <c r="P378" s="13"/>
      <c r="Q378" s="13"/>
      <c r="R378" s="33" t="s">
        <v>276</v>
      </c>
      <c r="S378" s="33">
        <v>6608</v>
      </c>
      <c r="T378" s="33">
        <v>19</v>
      </c>
      <c r="U378" s="412" t="s">
        <v>5862</v>
      </c>
      <c r="V378" s="41" t="s">
        <v>73</v>
      </c>
      <c r="W378" s="13" t="s">
        <v>70</v>
      </c>
      <c r="X378" s="412"/>
      <c r="Y378" s="413" t="s">
        <v>3714</v>
      </c>
      <c r="Z378" s="413">
        <v>225</v>
      </c>
      <c r="AA378" s="413">
        <v>210</v>
      </c>
      <c r="AB378" s="16">
        <v>210</v>
      </c>
      <c r="AC378" s="16">
        <v>106</v>
      </c>
      <c r="AD378" s="16">
        <v>184</v>
      </c>
      <c r="AE378" s="16">
        <v>1</v>
      </c>
      <c r="AF378" s="16">
        <v>60</v>
      </c>
      <c r="AG378" s="16">
        <v>245</v>
      </c>
      <c r="AH378" s="16">
        <v>10</v>
      </c>
      <c r="AI378" s="16">
        <v>6</v>
      </c>
      <c r="AJ378" s="413"/>
      <c r="AK378" s="412" t="s">
        <v>5859</v>
      </c>
      <c r="AL378" s="25">
        <v>210</v>
      </c>
      <c r="AM378" s="413">
        <v>10.5</v>
      </c>
      <c r="AN378" s="413"/>
      <c r="AO378" s="413"/>
      <c r="AP378" s="16" t="s">
        <v>160</v>
      </c>
      <c r="AQ378" s="16" t="s">
        <v>161</v>
      </c>
      <c r="AR378" s="130">
        <v>1404</v>
      </c>
      <c r="AS378" s="130">
        <v>8</v>
      </c>
      <c r="AT378" s="130"/>
      <c r="AU378" s="130"/>
      <c r="AV378" s="12" t="str">
        <f t="shared" si="22"/>
        <v/>
      </c>
      <c r="AW378" s="12" t="str">
        <f t="shared" si="23"/>
        <v/>
      </c>
      <c r="AX378" s="12"/>
      <c r="AY378" s="408"/>
    </row>
    <row r="379" spans="1:51" ht="30" hidden="1" customHeight="1" x14ac:dyDescent="0.2">
      <c r="A379" s="429">
        <v>377</v>
      </c>
      <c r="B379" s="413">
        <v>21</v>
      </c>
      <c r="C379" s="413">
        <v>8</v>
      </c>
      <c r="D379" s="16">
        <v>1404</v>
      </c>
      <c r="E379" s="412" t="s">
        <v>2242</v>
      </c>
      <c r="F379" s="412" t="s">
        <v>9</v>
      </c>
      <c r="G379" s="412" t="s">
        <v>5713</v>
      </c>
      <c r="H379" s="413" t="s">
        <v>7</v>
      </c>
      <c r="I379" s="360" t="s">
        <v>5479</v>
      </c>
      <c r="J379" s="16" t="s">
        <v>84</v>
      </c>
      <c r="K379" s="412" t="s">
        <v>3714</v>
      </c>
      <c r="L379" s="412" t="s">
        <v>223</v>
      </c>
      <c r="M379" s="412" t="s">
        <v>5718</v>
      </c>
      <c r="N379" s="41" t="s">
        <v>106</v>
      </c>
      <c r="O379" s="13" t="s">
        <v>107</v>
      </c>
      <c r="P379" s="13"/>
      <c r="Q379" s="13"/>
      <c r="R379" s="413" t="s">
        <v>3714</v>
      </c>
      <c r="S379" s="413">
        <v>233</v>
      </c>
      <c r="T379" s="413">
        <v>10</v>
      </c>
      <c r="U379" s="412" t="s">
        <v>5719</v>
      </c>
      <c r="V379" s="41" t="s">
        <v>69</v>
      </c>
      <c r="W379" s="13" t="s">
        <v>70</v>
      </c>
      <c r="X379" s="412"/>
      <c r="Y379" s="413" t="s">
        <v>5860</v>
      </c>
      <c r="Z379" s="413">
        <v>170</v>
      </c>
      <c r="AA379" s="413">
        <v>128</v>
      </c>
      <c r="AB379" s="16">
        <v>128</v>
      </c>
      <c r="AC379" s="16">
        <v>91</v>
      </c>
      <c r="AD379" s="16">
        <v>101</v>
      </c>
      <c r="AE379" s="16">
        <v>9</v>
      </c>
      <c r="AF379" s="16">
        <v>18</v>
      </c>
      <c r="AG379" s="16">
        <v>128</v>
      </c>
      <c r="AH379" s="16">
        <v>6</v>
      </c>
      <c r="AI379" s="16">
        <v>3</v>
      </c>
      <c r="AJ379" s="413"/>
      <c r="AK379" s="412" t="s">
        <v>5859</v>
      </c>
      <c r="AL379" s="25">
        <v>128</v>
      </c>
      <c r="AM379" s="413">
        <v>6.9</v>
      </c>
      <c r="AN379" s="413"/>
      <c r="AO379" s="413"/>
      <c r="AP379" s="16" t="s">
        <v>5080</v>
      </c>
      <c r="AQ379" s="16" t="s">
        <v>330</v>
      </c>
      <c r="AR379" s="130">
        <v>1404</v>
      </c>
      <c r="AS379" s="130">
        <v>8</v>
      </c>
      <c r="AT379" s="130"/>
      <c r="AU379" s="130"/>
      <c r="AV379" s="12" t="str">
        <f t="shared" si="22"/>
        <v/>
      </c>
      <c r="AW379" s="12" t="str">
        <f t="shared" si="23"/>
        <v/>
      </c>
      <c r="AX379" s="12"/>
      <c r="AY379" s="408"/>
    </row>
    <row r="380" spans="1:51" ht="30" hidden="1" customHeight="1" x14ac:dyDescent="0.2">
      <c r="A380" s="429">
        <v>378</v>
      </c>
      <c r="B380" s="413">
        <v>21</v>
      </c>
      <c r="C380" s="413">
        <v>8</v>
      </c>
      <c r="D380" s="16">
        <v>1404</v>
      </c>
      <c r="E380" s="412" t="s">
        <v>2680</v>
      </c>
      <c r="F380" s="412" t="s">
        <v>10</v>
      </c>
      <c r="G380" s="412" t="s">
        <v>4796</v>
      </c>
      <c r="H380" s="413" t="s">
        <v>83</v>
      </c>
      <c r="I380" s="360" t="s">
        <v>5479</v>
      </c>
      <c r="J380" s="16" t="s">
        <v>84</v>
      </c>
      <c r="K380" s="412"/>
      <c r="L380" s="412" t="s">
        <v>104</v>
      </c>
      <c r="M380" s="412" t="s">
        <v>5074</v>
      </c>
      <c r="N380" s="41" t="s">
        <v>106</v>
      </c>
      <c r="O380" s="13" t="s">
        <v>107</v>
      </c>
      <c r="P380" s="13"/>
      <c r="Q380" s="13"/>
      <c r="R380" s="413"/>
      <c r="S380" s="413">
        <v>293</v>
      </c>
      <c r="T380" s="413">
        <v>13</v>
      </c>
      <c r="U380" s="412" t="s">
        <v>5075</v>
      </c>
      <c r="V380" s="41" t="s">
        <v>106</v>
      </c>
      <c r="W380" s="13" t="s">
        <v>107</v>
      </c>
      <c r="X380" s="412"/>
      <c r="Y380" s="413" t="s">
        <v>4419</v>
      </c>
      <c r="Z380" s="413">
        <v>220</v>
      </c>
      <c r="AA380" s="413">
        <v>204</v>
      </c>
      <c r="AB380" s="16">
        <v>204</v>
      </c>
      <c r="AC380" s="16" t="s">
        <v>3714</v>
      </c>
      <c r="AD380" s="16" t="s">
        <v>3714</v>
      </c>
      <c r="AE380" s="16" t="s">
        <v>3714</v>
      </c>
      <c r="AF380" s="16" t="s">
        <v>3714</v>
      </c>
      <c r="AG380" s="16" t="s">
        <v>3714</v>
      </c>
      <c r="AH380" s="16" t="s">
        <v>3714</v>
      </c>
      <c r="AI380" s="16">
        <v>6</v>
      </c>
      <c r="AJ380" s="413"/>
      <c r="AK380" s="412" t="s">
        <v>3714</v>
      </c>
      <c r="AL380" s="25" t="s">
        <v>3714</v>
      </c>
      <c r="AM380" s="413" t="s">
        <v>3714</v>
      </c>
      <c r="AN380" s="413"/>
      <c r="AO380" s="413"/>
      <c r="AP380" s="16" t="s">
        <v>160</v>
      </c>
      <c r="AQ380" s="16" t="s">
        <v>165</v>
      </c>
      <c r="AR380" s="130">
        <v>1404</v>
      </c>
      <c r="AS380" s="130">
        <v>8</v>
      </c>
      <c r="AT380" s="130">
        <v>1403</v>
      </c>
      <c r="AU380" s="130">
        <v>1</v>
      </c>
      <c r="AV380" s="12">
        <f t="shared" si="22"/>
        <v>19</v>
      </c>
      <c r="AW380" s="12" t="str">
        <f t="shared" si="23"/>
        <v/>
      </c>
      <c r="AX380" s="12"/>
      <c r="AY380" s="408"/>
    </row>
    <row r="381" spans="1:51" ht="30" hidden="1" customHeight="1" x14ac:dyDescent="0.2">
      <c r="A381" s="429">
        <v>379</v>
      </c>
      <c r="B381" s="413">
        <v>22</v>
      </c>
      <c r="C381" s="413">
        <v>8</v>
      </c>
      <c r="D381" s="16">
        <v>1404</v>
      </c>
      <c r="E381" s="412" t="s">
        <v>2680</v>
      </c>
      <c r="F381" s="412" t="s">
        <v>10</v>
      </c>
      <c r="G381" s="412"/>
      <c r="H381" s="413" t="s">
        <v>7</v>
      </c>
      <c r="I381" s="360" t="s">
        <v>5479</v>
      </c>
      <c r="J381" s="16" t="s">
        <v>84</v>
      </c>
      <c r="K381" s="35" t="s">
        <v>104</v>
      </c>
      <c r="L381" s="35" t="s">
        <v>141</v>
      </c>
      <c r="M381" s="412" t="s">
        <v>5869</v>
      </c>
      <c r="N381" s="41" t="s">
        <v>106</v>
      </c>
      <c r="O381" s="13" t="s">
        <v>107</v>
      </c>
      <c r="P381" s="13"/>
      <c r="Q381" s="13"/>
      <c r="R381" s="33" t="s">
        <v>402</v>
      </c>
      <c r="S381" s="33">
        <v>233</v>
      </c>
      <c r="T381" s="33">
        <v>16</v>
      </c>
      <c r="U381" s="412" t="s">
        <v>5870</v>
      </c>
      <c r="V381" s="41" t="s">
        <v>106</v>
      </c>
      <c r="W381" s="13" t="s">
        <v>107</v>
      </c>
      <c r="X381" s="412"/>
      <c r="Y381" s="413"/>
      <c r="Z381" s="413">
        <v>220</v>
      </c>
      <c r="AA381" s="413">
        <v>204</v>
      </c>
      <c r="AB381" s="16">
        <v>204</v>
      </c>
      <c r="AC381" s="16">
        <v>112</v>
      </c>
      <c r="AD381" s="16">
        <v>170</v>
      </c>
      <c r="AE381" s="16">
        <v>1</v>
      </c>
      <c r="AF381" s="16">
        <v>44</v>
      </c>
      <c r="AG381" s="16">
        <v>215</v>
      </c>
      <c r="AH381" s="16">
        <v>7</v>
      </c>
      <c r="AI381" s="16">
        <v>6</v>
      </c>
      <c r="AJ381" s="413"/>
      <c r="AK381" s="428" t="s">
        <v>5871</v>
      </c>
      <c r="AL381" s="25">
        <v>215</v>
      </c>
      <c r="AM381" s="427">
        <v>6.1</v>
      </c>
      <c r="AN381" s="413"/>
      <c r="AO381" s="413"/>
      <c r="AP381" s="16" t="s">
        <v>160</v>
      </c>
      <c r="AQ381" s="16" t="s">
        <v>161</v>
      </c>
      <c r="AR381" s="130">
        <v>1404</v>
      </c>
      <c r="AS381" s="130">
        <v>8</v>
      </c>
      <c r="AT381" s="130"/>
      <c r="AU381" s="130"/>
      <c r="AV381" s="12" t="str">
        <f t="shared" si="22"/>
        <v/>
      </c>
      <c r="AW381" s="12" t="str">
        <f t="shared" si="23"/>
        <v/>
      </c>
      <c r="AX381" s="12"/>
      <c r="AY381" s="408"/>
    </row>
    <row r="382" spans="1:51" ht="30" hidden="1" customHeight="1" x14ac:dyDescent="0.2">
      <c r="A382" s="429">
        <v>380</v>
      </c>
      <c r="B382" s="413">
        <v>23</v>
      </c>
      <c r="C382" s="413">
        <v>8</v>
      </c>
      <c r="D382" s="16">
        <v>1404</v>
      </c>
      <c r="E382" s="412" t="s">
        <v>5732</v>
      </c>
      <c r="F382" s="412" t="s">
        <v>9</v>
      </c>
      <c r="G382" s="412" t="s">
        <v>5189</v>
      </c>
      <c r="H382" s="413" t="s">
        <v>7</v>
      </c>
      <c r="I382" s="360" t="s">
        <v>5479</v>
      </c>
      <c r="J382" s="16" t="s">
        <v>84</v>
      </c>
      <c r="K382" s="35" t="s">
        <v>226</v>
      </c>
      <c r="L382" s="35" t="s">
        <v>1927</v>
      </c>
      <c r="M382" s="412" t="s">
        <v>5873</v>
      </c>
      <c r="N382" s="41" t="s">
        <v>69</v>
      </c>
      <c r="O382" s="13" t="s">
        <v>70</v>
      </c>
      <c r="P382" s="13"/>
      <c r="Q382" s="13"/>
      <c r="R382" s="33" t="s">
        <v>2753</v>
      </c>
      <c r="S382" s="33">
        <v>152</v>
      </c>
      <c r="T382" s="33">
        <v>20</v>
      </c>
      <c r="U382" s="412" t="s">
        <v>5874</v>
      </c>
      <c r="V382" s="41" t="s">
        <v>69</v>
      </c>
      <c r="W382" s="13" t="s">
        <v>70</v>
      </c>
      <c r="X382" s="412"/>
      <c r="Y382" s="413" t="s">
        <v>5829</v>
      </c>
      <c r="Z382" s="413">
        <v>137</v>
      </c>
      <c r="AA382" s="413">
        <v>126</v>
      </c>
      <c r="AB382" s="16">
        <v>126</v>
      </c>
      <c r="AC382" s="16">
        <v>91</v>
      </c>
      <c r="AD382" s="16">
        <v>109</v>
      </c>
      <c r="AE382" s="16">
        <v>4</v>
      </c>
      <c r="AF382" s="16">
        <v>15</v>
      </c>
      <c r="AG382" s="16">
        <v>127</v>
      </c>
      <c r="AH382" s="16">
        <v>3</v>
      </c>
      <c r="AI382" s="16">
        <v>3</v>
      </c>
      <c r="AJ382" s="413"/>
      <c r="AK382" s="570" t="s">
        <v>5875</v>
      </c>
      <c r="AL382" s="571"/>
      <c r="AM382" s="571"/>
      <c r="AN382" s="571"/>
      <c r="AO382" s="572"/>
      <c r="AP382" s="16" t="s">
        <v>160</v>
      </c>
      <c r="AQ382" s="16" t="s">
        <v>228</v>
      </c>
      <c r="AR382" s="130">
        <v>1404</v>
      </c>
      <c r="AS382" s="130">
        <v>8</v>
      </c>
      <c r="AT382" s="130"/>
      <c r="AU382" s="130"/>
      <c r="AV382" s="12" t="str">
        <f t="shared" si="22"/>
        <v/>
      </c>
      <c r="AW382" s="12" t="str">
        <f t="shared" si="23"/>
        <v/>
      </c>
      <c r="AX382" s="12"/>
      <c r="AY382" s="408"/>
    </row>
    <row r="383" spans="1:51" ht="30" hidden="1" customHeight="1" x14ac:dyDescent="0.2">
      <c r="A383" s="429">
        <v>381</v>
      </c>
      <c r="B383" s="413">
        <v>24</v>
      </c>
      <c r="C383" s="413">
        <v>8</v>
      </c>
      <c r="D383" s="16">
        <v>1404</v>
      </c>
      <c r="E383" s="412" t="s">
        <v>474</v>
      </c>
      <c r="F383" s="412" t="s">
        <v>10</v>
      </c>
      <c r="G383" s="412" t="s">
        <v>202</v>
      </c>
      <c r="H383" s="413" t="s">
        <v>83</v>
      </c>
      <c r="I383" s="360" t="s">
        <v>5479</v>
      </c>
      <c r="J383" s="16" t="s">
        <v>5539</v>
      </c>
      <c r="K383" s="412"/>
      <c r="L383" s="412" t="s">
        <v>68</v>
      </c>
      <c r="M383" s="412"/>
      <c r="N383" s="41" t="s">
        <v>106</v>
      </c>
      <c r="O383" s="13" t="s">
        <v>107</v>
      </c>
      <c r="P383" s="13"/>
      <c r="Q383" s="13"/>
      <c r="R383" s="413"/>
      <c r="S383" s="413">
        <v>345</v>
      </c>
      <c r="T383" s="413">
        <v>8</v>
      </c>
      <c r="U383" s="412"/>
      <c r="V383" s="41" t="s">
        <v>106</v>
      </c>
      <c r="W383" s="13" t="s">
        <v>107</v>
      </c>
      <c r="X383" s="412"/>
      <c r="Y383" s="413" t="s">
        <v>5897</v>
      </c>
      <c r="Z383" s="413">
        <v>227</v>
      </c>
      <c r="AA383" s="413">
        <v>210</v>
      </c>
      <c r="AB383" s="16">
        <v>210</v>
      </c>
      <c r="AC383" s="16"/>
      <c r="AD383" s="16"/>
      <c r="AE383" s="16"/>
      <c r="AF383" s="16"/>
      <c r="AG383" s="16"/>
      <c r="AH383" s="16"/>
      <c r="AI383" s="16">
        <v>6</v>
      </c>
      <c r="AJ383" s="413"/>
      <c r="AK383" s="412"/>
      <c r="AL383" s="25"/>
      <c r="AM383" s="413"/>
      <c r="AN383" s="413"/>
      <c r="AO383" s="413"/>
      <c r="AP383" s="16"/>
      <c r="AQ383" s="16"/>
      <c r="AR383" s="130">
        <v>1404</v>
      </c>
      <c r="AS383" s="130">
        <v>8</v>
      </c>
      <c r="AT383" s="130">
        <v>1402</v>
      </c>
      <c r="AU383" s="130">
        <v>11</v>
      </c>
      <c r="AV383" s="12">
        <f t="shared" si="22"/>
        <v>21</v>
      </c>
      <c r="AW383" s="12" t="str">
        <f t="shared" si="23"/>
        <v/>
      </c>
      <c r="AX383" s="12"/>
      <c r="AY383" s="408"/>
    </row>
    <row r="384" spans="1:51" ht="30" hidden="1" customHeight="1" x14ac:dyDescent="0.2">
      <c r="A384" s="429">
        <v>382</v>
      </c>
      <c r="B384" s="413">
        <v>25</v>
      </c>
      <c r="C384" s="413">
        <v>8</v>
      </c>
      <c r="D384" s="16">
        <v>1404</v>
      </c>
      <c r="E384" s="412" t="s">
        <v>5855</v>
      </c>
      <c r="F384" s="412" t="s">
        <v>8</v>
      </c>
      <c r="G384" s="412"/>
      <c r="H384" s="413" t="s">
        <v>7</v>
      </c>
      <c r="I384" s="360" t="s">
        <v>5479</v>
      </c>
      <c r="J384" s="16" t="s">
        <v>84</v>
      </c>
      <c r="K384" s="412"/>
      <c r="L384" s="412" t="s">
        <v>104</v>
      </c>
      <c r="M384" s="412" t="s">
        <v>5884</v>
      </c>
      <c r="N384" s="41" t="s">
        <v>106</v>
      </c>
      <c r="O384" s="13" t="s">
        <v>107</v>
      </c>
      <c r="P384" s="13"/>
      <c r="Q384" s="13"/>
      <c r="R384" s="33" t="s">
        <v>108</v>
      </c>
      <c r="S384" s="33">
        <v>345</v>
      </c>
      <c r="T384" s="33">
        <v>7</v>
      </c>
      <c r="U384" s="412" t="s">
        <v>5885</v>
      </c>
      <c r="V384" s="41" t="s">
        <v>106</v>
      </c>
      <c r="W384" s="13" t="s">
        <v>107</v>
      </c>
      <c r="X384" s="412"/>
      <c r="Y384" s="413"/>
      <c r="Z384" s="413">
        <v>99</v>
      </c>
      <c r="AA384" s="413">
        <v>90</v>
      </c>
      <c r="AB384" s="16">
        <v>90</v>
      </c>
      <c r="AC384" s="16">
        <v>49</v>
      </c>
      <c r="AD384" s="16">
        <v>84</v>
      </c>
      <c r="AE384" s="16">
        <v>3</v>
      </c>
      <c r="AF384" s="16">
        <v>72</v>
      </c>
      <c r="AG384" s="16">
        <v>159</v>
      </c>
      <c r="AH384" s="16">
        <v>22</v>
      </c>
      <c r="AI384" s="16">
        <v>6</v>
      </c>
      <c r="AJ384" s="413"/>
      <c r="AK384" s="412" t="s">
        <v>5887</v>
      </c>
      <c r="AL384" s="25">
        <v>159</v>
      </c>
      <c r="AM384" s="413">
        <v>21</v>
      </c>
      <c r="AN384" s="413"/>
      <c r="AO384" s="413"/>
      <c r="AP384" s="16" t="s">
        <v>5080</v>
      </c>
      <c r="AQ384" s="16" t="s">
        <v>330</v>
      </c>
      <c r="AR384" s="130">
        <v>1404</v>
      </c>
      <c r="AS384" s="130">
        <v>8</v>
      </c>
      <c r="AT384" s="130"/>
      <c r="AU384" s="130"/>
      <c r="AV384" s="12" t="str">
        <f t="shared" si="22"/>
        <v/>
      </c>
      <c r="AW384" s="12" t="str">
        <f t="shared" si="23"/>
        <v/>
      </c>
      <c r="AX384" s="12"/>
      <c r="AY384" s="408"/>
    </row>
    <row r="385" spans="1:51" ht="30" hidden="1" customHeight="1" x14ac:dyDescent="0.2">
      <c r="A385" s="429">
        <v>383</v>
      </c>
      <c r="B385" s="413">
        <v>25</v>
      </c>
      <c r="C385" s="413">
        <v>8</v>
      </c>
      <c r="D385" s="16">
        <v>1404</v>
      </c>
      <c r="E385" s="412" t="s">
        <v>3764</v>
      </c>
      <c r="F385" s="412" t="s">
        <v>10</v>
      </c>
      <c r="G385" s="412"/>
      <c r="H385" s="413" t="s">
        <v>7</v>
      </c>
      <c r="I385" s="360" t="s">
        <v>5479</v>
      </c>
      <c r="J385" s="16" t="s">
        <v>5577</v>
      </c>
      <c r="K385" s="412" t="s">
        <v>141</v>
      </c>
      <c r="L385" s="412" t="s">
        <v>223</v>
      </c>
      <c r="M385" s="412" t="s">
        <v>5888</v>
      </c>
      <c r="N385" s="41" t="s">
        <v>106</v>
      </c>
      <c r="O385" s="13" t="s">
        <v>107</v>
      </c>
      <c r="P385" s="13"/>
      <c r="Q385" s="13"/>
      <c r="R385" s="413" t="s">
        <v>4147</v>
      </c>
      <c r="S385" s="413">
        <v>193</v>
      </c>
      <c r="T385" s="413">
        <v>16</v>
      </c>
      <c r="U385" s="412" t="s">
        <v>5889</v>
      </c>
      <c r="V385" s="41" t="s">
        <v>106</v>
      </c>
      <c r="W385" s="13" t="s">
        <v>107</v>
      </c>
      <c r="X385" s="412"/>
      <c r="Y385" s="413" t="s">
        <v>3782</v>
      </c>
      <c r="Z385" s="413">
        <v>250</v>
      </c>
      <c r="AA385" s="413" t="s">
        <v>3714</v>
      </c>
      <c r="AB385" s="16">
        <v>218</v>
      </c>
      <c r="AC385" s="16">
        <v>158</v>
      </c>
      <c r="AD385" s="16">
        <v>166</v>
      </c>
      <c r="AE385" s="16">
        <v>6</v>
      </c>
      <c r="AF385" s="16">
        <v>25</v>
      </c>
      <c r="AG385" s="16">
        <v>197</v>
      </c>
      <c r="AH385" s="16">
        <v>23</v>
      </c>
      <c r="AI385" s="16">
        <v>6</v>
      </c>
      <c r="AJ385" s="413"/>
      <c r="AK385" s="412" t="s">
        <v>5886</v>
      </c>
      <c r="AL385" s="25">
        <v>232</v>
      </c>
      <c r="AM385" s="413">
        <v>3.2</v>
      </c>
      <c r="AN385" s="413"/>
      <c r="AO385" s="413"/>
      <c r="AP385" s="16" t="s">
        <v>160</v>
      </c>
      <c r="AQ385" s="16" t="s">
        <v>112</v>
      </c>
      <c r="AR385" s="130">
        <v>1404</v>
      </c>
      <c r="AS385" s="130">
        <v>8</v>
      </c>
      <c r="AT385" s="130"/>
      <c r="AU385" s="130"/>
      <c r="AV385" s="12" t="str">
        <f t="shared" si="22"/>
        <v/>
      </c>
      <c r="AW385" s="12" t="str">
        <f t="shared" si="23"/>
        <v/>
      </c>
      <c r="AX385" s="12"/>
      <c r="AY385" s="408"/>
    </row>
    <row r="386" spans="1:51" ht="30" hidden="1" customHeight="1" x14ac:dyDescent="0.2">
      <c r="A386" s="429">
        <v>384</v>
      </c>
      <c r="B386" s="413">
        <v>25</v>
      </c>
      <c r="C386" s="413">
        <v>8</v>
      </c>
      <c r="D386" s="16">
        <v>1404</v>
      </c>
      <c r="E386" s="412" t="s">
        <v>5890</v>
      </c>
      <c r="F386" s="412" t="s">
        <v>10</v>
      </c>
      <c r="G386" s="412"/>
      <c r="H386" s="413" t="s">
        <v>7</v>
      </c>
      <c r="I386" s="360" t="s">
        <v>5479</v>
      </c>
      <c r="J386" s="16" t="s">
        <v>3576</v>
      </c>
      <c r="K386" s="412"/>
      <c r="L386" s="412" t="s">
        <v>155</v>
      </c>
      <c r="M386" s="412" t="s">
        <v>5891</v>
      </c>
      <c r="N386" s="41" t="s">
        <v>106</v>
      </c>
      <c r="O386" s="13" t="s">
        <v>107</v>
      </c>
      <c r="P386" s="13"/>
      <c r="Q386" s="13"/>
      <c r="R386" s="413"/>
      <c r="S386" s="413">
        <v>6611</v>
      </c>
      <c r="T386" s="413">
        <v>17</v>
      </c>
      <c r="U386" s="412" t="s">
        <v>5892</v>
      </c>
      <c r="V386" s="41" t="s">
        <v>73</v>
      </c>
      <c r="W386" s="13" t="s">
        <v>70</v>
      </c>
      <c r="X386" s="412"/>
      <c r="Y386" s="413"/>
      <c r="Z386" s="413">
        <v>250</v>
      </c>
      <c r="AA386" s="413" t="s">
        <v>3714</v>
      </c>
      <c r="AB386" s="16">
        <v>218</v>
      </c>
      <c r="AC386" s="16">
        <v>158</v>
      </c>
      <c r="AD386" s="16">
        <v>166</v>
      </c>
      <c r="AE386" s="16">
        <v>6</v>
      </c>
      <c r="AF386" s="16">
        <v>25</v>
      </c>
      <c r="AG386" s="16">
        <v>197</v>
      </c>
      <c r="AH386" s="16">
        <v>23</v>
      </c>
      <c r="AI386" s="16">
        <v>6</v>
      </c>
      <c r="AJ386" s="413"/>
      <c r="AK386" s="412" t="s">
        <v>5893</v>
      </c>
      <c r="AL386" s="25">
        <v>197</v>
      </c>
      <c r="AM386" s="413">
        <v>23</v>
      </c>
      <c r="AN386" s="413"/>
      <c r="AO386" s="413"/>
      <c r="AP386" s="16" t="s">
        <v>160</v>
      </c>
      <c r="AQ386" s="16" t="s">
        <v>165</v>
      </c>
      <c r="AR386" s="130">
        <v>1404</v>
      </c>
      <c r="AS386" s="130">
        <v>8</v>
      </c>
      <c r="AT386" s="130"/>
      <c r="AU386" s="130"/>
      <c r="AV386" s="12" t="str">
        <f t="shared" si="22"/>
        <v/>
      </c>
      <c r="AW386" s="12" t="str">
        <f t="shared" si="23"/>
        <v/>
      </c>
      <c r="AX386" s="12"/>
      <c r="AY386" s="408"/>
    </row>
    <row r="387" spans="1:51" ht="30" hidden="1" customHeight="1" x14ac:dyDescent="0.2">
      <c r="A387" s="429">
        <v>385</v>
      </c>
      <c r="B387" s="413">
        <v>27</v>
      </c>
      <c r="C387" s="413">
        <v>8</v>
      </c>
      <c r="D387" s="16">
        <v>1404</v>
      </c>
      <c r="E387" s="412" t="s">
        <v>5894</v>
      </c>
      <c r="F387" s="412" t="s">
        <v>6</v>
      </c>
      <c r="G387" s="412"/>
      <c r="H387" s="413" t="s">
        <v>7</v>
      </c>
      <c r="I387" s="360" t="s">
        <v>5479</v>
      </c>
      <c r="J387" s="16" t="s">
        <v>84</v>
      </c>
      <c r="K387" s="412"/>
      <c r="L387" s="412" t="s">
        <v>141</v>
      </c>
      <c r="M387" s="412" t="s">
        <v>5898</v>
      </c>
      <c r="N387" s="41" t="s">
        <v>70</v>
      </c>
      <c r="O387" s="13" t="s">
        <v>69</v>
      </c>
      <c r="P387" s="13"/>
      <c r="Q387" s="13"/>
      <c r="R387" s="33" t="s">
        <v>1051</v>
      </c>
      <c r="S387" s="33">
        <v>233</v>
      </c>
      <c r="T387" s="33">
        <v>17</v>
      </c>
      <c r="U387" s="412" t="s">
        <v>1581</v>
      </c>
      <c r="V387" s="41" t="s">
        <v>106</v>
      </c>
      <c r="W387" s="13" t="s">
        <v>107</v>
      </c>
      <c r="X387" s="412"/>
      <c r="Y387" s="413"/>
      <c r="Z387" s="413">
        <v>191</v>
      </c>
      <c r="AA387" s="413">
        <v>180</v>
      </c>
      <c r="AB387" s="16">
        <v>183</v>
      </c>
      <c r="AC387" s="16">
        <v>120</v>
      </c>
      <c r="AD387" s="16">
        <v>158</v>
      </c>
      <c r="AE387" s="16">
        <v>1</v>
      </c>
      <c r="AF387" s="16">
        <v>65</v>
      </c>
      <c r="AG387" s="16">
        <v>224</v>
      </c>
      <c r="AH387" s="16">
        <v>7</v>
      </c>
      <c r="AI387" s="16">
        <v>6</v>
      </c>
      <c r="AJ387" s="413"/>
      <c r="AK387" s="412" t="s">
        <v>5899</v>
      </c>
      <c r="AL387" s="25">
        <v>224</v>
      </c>
      <c r="AM387" s="413">
        <v>7</v>
      </c>
      <c r="AN387" s="413"/>
      <c r="AO387" s="413"/>
      <c r="AP387" s="16" t="s">
        <v>160</v>
      </c>
      <c r="AQ387" s="16" t="s">
        <v>112</v>
      </c>
      <c r="AR387" s="130">
        <v>1404</v>
      </c>
      <c r="AS387" s="130">
        <v>8</v>
      </c>
      <c r="AT387" s="130"/>
      <c r="AU387" s="130"/>
      <c r="AV387" s="12" t="str">
        <f t="shared" si="22"/>
        <v/>
      </c>
      <c r="AW387" s="12" t="str">
        <f t="shared" si="23"/>
        <v/>
      </c>
      <c r="AX387" s="12"/>
      <c r="AY387" s="408"/>
    </row>
    <row r="388" spans="1:51" ht="30" hidden="1" customHeight="1" x14ac:dyDescent="0.2">
      <c r="A388" s="429">
        <v>386</v>
      </c>
      <c r="B388" s="413">
        <v>29</v>
      </c>
      <c r="C388" s="413">
        <v>8</v>
      </c>
      <c r="D388" s="16">
        <v>1404</v>
      </c>
      <c r="E388" s="412" t="s">
        <v>1291</v>
      </c>
      <c r="F388" s="412" t="s">
        <v>8</v>
      </c>
      <c r="G388" s="412" t="s">
        <v>3661</v>
      </c>
      <c r="H388" s="413" t="s">
        <v>83</v>
      </c>
      <c r="I388" s="360" t="s">
        <v>5479</v>
      </c>
      <c r="J388" s="16" t="s">
        <v>5577</v>
      </c>
      <c r="K388" s="412"/>
      <c r="L388" s="412" t="s">
        <v>68</v>
      </c>
      <c r="M388" s="412" t="s">
        <v>3950</v>
      </c>
      <c r="N388" s="41" t="s">
        <v>106</v>
      </c>
      <c r="O388" s="13" t="s">
        <v>107</v>
      </c>
      <c r="P388" s="13"/>
      <c r="Q388" s="13"/>
      <c r="R388" s="413"/>
      <c r="S388" s="413">
        <v>384</v>
      </c>
      <c r="T388" s="413">
        <v>8</v>
      </c>
      <c r="U388" s="412" t="s">
        <v>3951</v>
      </c>
      <c r="V388" s="41" t="s">
        <v>106</v>
      </c>
      <c r="W388" s="13" t="s">
        <v>107</v>
      </c>
      <c r="X388" s="412"/>
      <c r="Y388" s="413" t="s">
        <v>6518</v>
      </c>
      <c r="Z388" s="413">
        <v>185</v>
      </c>
      <c r="AA388" s="413">
        <v>174</v>
      </c>
      <c r="AB388" s="16">
        <v>174</v>
      </c>
      <c r="AC388" s="16"/>
      <c r="AD388" s="16"/>
      <c r="AE388" s="16"/>
      <c r="AF388" s="16"/>
      <c r="AG388" s="16"/>
      <c r="AH388" s="16"/>
      <c r="AI388" s="16">
        <v>6</v>
      </c>
      <c r="AJ388" s="413"/>
      <c r="AK388" s="412"/>
      <c r="AL388" s="25"/>
      <c r="AM388" s="413"/>
      <c r="AN388" s="413"/>
      <c r="AO388" s="413"/>
      <c r="AP388" s="16" t="s">
        <v>5080</v>
      </c>
      <c r="AQ388" s="16" t="s">
        <v>112</v>
      </c>
      <c r="AR388" s="130">
        <v>1404</v>
      </c>
      <c r="AS388" s="130">
        <v>8</v>
      </c>
      <c r="AT388" s="130">
        <v>1402</v>
      </c>
      <c r="AU388" s="130">
        <v>7</v>
      </c>
      <c r="AV388" s="12">
        <f t="shared" si="22"/>
        <v>25</v>
      </c>
      <c r="AW388" s="12" t="str">
        <f t="shared" si="23"/>
        <v/>
      </c>
      <c r="AX388" s="12"/>
      <c r="AY388" s="408"/>
    </row>
    <row r="389" spans="1:51" ht="30" hidden="1" customHeight="1" x14ac:dyDescent="0.2">
      <c r="A389" s="429">
        <v>387</v>
      </c>
      <c r="B389" s="413">
        <v>29</v>
      </c>
      <c r="C389" s="413">
        <v>8</v>
      </c>
      <c r="D389" s="16">
        <v>1404</v>
      </c>
      <c r="E389" s="412" t="s">
        <v>2222</v>
      </c>
      <c r="F389" s="412" t="s">
        <v>20</v>
      </c>
      <c r="G389" s="412" t="s">
        <v>174</v>
      </c>
      <c r="H389" s="413" t="s">
        <v>83</v>
      </c>
      <c r="I389" s="360" t="s">
        <v>5479</v>
      </c>
      <c r="J389" s="16" t="s">
        <v>84</v>
      </c>
      <c r="K389" s="412"/>
      <c r="L389" s="412" t="s">
        <v>116</v>
      </c>
      <c r="M389" s="412" t="s">
        <v>5900</v>
      </c>
      <c r="N389" s="41" t="s">
        <v>106</v>
      </c>
      <c r="O389" s="13" t="s">
        <v>107</v>
      </c>
      <c r="P389" s="13"/>
      <c r="Q389" s="13"/>
      <c r="R389" s="413"/>
      <c r="S389" s="413">
        <v>193</v>
      </c>
      <c r="T389" s="413">
        <v>12</v>
      </c>
      <c r="U389" s="412" t="s">
        <v>5901</v>
      </c>
      <c r="V389" s="41" t="s">
        <v>106</v>
      </c>
      <c r="W389" s="13" t="s">
        <v>107</v>
      </c>
      <c r="X389" s="412"/>
      <c r="Y389" s="413" t="s">
        <v>6519</v>
      </c>
      <c r="Z389" s="413">
        <v>127</v>
      </c>
      <c r="AA389" s="413">
        <v>121</v>
      </c>
      <c r="AB389" s="16">
        <v>121</v>
      </c>
      <c r="AC389" s="16"/>
      <c r="AD389" s="16"/>
      <c r="AE389" s="16"/>
      <c r="AF389" s="16"/>
      <c r="AG389" s="16"/>
      <c r="AH389" s="16"/>
      <c r="AI389" s="16">
        <v>2.5</v>
      </c>
      <c r="AJ389" s="413"/>
      <c r="AK389" s="412"/>
      <c r="AL389" s="25"/>
      <c r="AM389" s="413"/>
      <c r="AN389" s="413"/>
      <c r="AO389" s="413"/>
      <c r="AP389" s="16" t="s">
        <v>5080</v>
      </c>
      <c r="AQ389" s="16" t="s">
        <v>231</v>
      </c>
      <c r="AR389" s="130">
        <v>1404</v>
      </c>
      <c r="AS389" s="130">
        <v>8</v>
      </c>
      <c r="AT389" s="130">
        <v>1403</v>
      </c>
      <c r="AU389" s="130">
        <v>5</v>
      </c>
      <c r="AV389" s="12">
        <f t="shared" si="22"/>
        <v>15</v>
      </c>
      <c r="AW389" s="12" t="str">
        <f t="shared" si="23"/>
        <v/>
      </c>
      <c r="AX389" s="12"/>
      <c r="AY389" s="408"/>
    </row>
    <row r="390" spans="1:51" ht="30" hidden="1" customHeight="1" x14ac:dyDescent="0.2">
      <c r="A390" s="429">
        <v>388</v>
      </c>
      <c r="B390" s="413">
        <v>29</v>
      </c>
      <c r="C390" s="413">
        <v>8</v>
      </c>
      <c r="D390" s="16">
        <v>1404</v>
      </c>
      <c r="E390" s="412" t="s">
        <v>3255</v>
      </c>
      <c r="F390" s="412" t="s">
        <v>8</v>
      </c>
      <c r="G390" s="412" t="s">
        <v>3661</v>
      </c>
      <c r="H390" s="413" t="s">
        <v>83</v>
      </c>
      <c r="I390" s="360" t="s">
        <v>5479</v>
      </c>
      <c r="J390" s="16" t="s">
        <v>84</v>
      </c>
      <c r="K390" s="412"/>
      <c r="L390" s="412" t="s">
        <v>140</v>
      </c>
      <c r="M390" s="412" t="s">
        <v>5902</v>
      </c>
      <c r="N390" s="41" t="s">
        <v>106</v>
      </c>
      <c r="O390" s="13" t="s">
        <v>107</v>
      </c>
      <c r="P390" s="13"/>
      <c r="Q390" s="13"/>
      <c r="R390" s="413"/>
      <c r="S390" s="413">
        <v>345</v>
      </c>
      <c r="T390" s="413">
        <v>5</v>
      </c>
      <c r="U390" s="412" t="s">
        <v>5903</v>
      </c>
      <c r="V390" s="41" t="s">
        <v>106</v>
      </c>
      <c r="W390" s="13" t="s">
        <v>107</v>
      </c>
      <c r="X390" s="412"/>
      <c r="Y390" s="413" t="s">
        <v>6520</v>
      </c>
      <c r="Z390" s="413"/>
      <c r="AA390" s="413">
        <v>150</v>
      </c>
      <c r="AB390" s="16">
        <v>150</v>
      </c>
      <c r="AC390" s="16"/>
      <c r="AD390" s="16"/>
      <c r="AE390" s="16"/>
      <c r="AF390" s="16"/>
      <c r="AG390" s="16"/>
      <c r="AH390" s="16"/>
      <c r="AI390" s="16">
        <v>6</v>
      </c>
      <c r="AJ390" s="413"/>
      <c r="AK390" s="412"/>
      <c r="AL390" s="25"/>
      <c r="AM390" s="413"/>
      <c r="AN390" s="413"/>
      <c r="AO390" s="413"/>
      <c r="AP390" s="16" t="s">
        <v>5080</v>
      </c>
      <c r="AQ390" s="16" t="s">
        <v>231</v>
      </c>
      <c r="AR390" s="130">
        <v>1404</v>
      </c>
      <c r="AS390" s="130">
        <v>8</v>
      </c>
      <c r="AT390" s="130">
        <v>1402</v>
      </c>
      <c r="AU390" s="130">
        <v>7</v>
      </c>
      <c r="AV390" s="12">
        <f t="shared" si="22"/>
        <v>25</v>
      </c>
      <c r="AW390" s="12" t="str">
        <f t="shared" si="23"/>
        <v/>
      </c>
      <c r="AX390" s="12"/>
      <c r="AY390" s="408"/>
    </row>
    <row r="391" spans="1:51" ht="30" hidden="1" customHeight="1" x14ac:dyDescent="0.2">
      <c r="A391" s="429">
        <v>389</v>
      </c>
      <c r="B391" s="413">
        <v>29</v>
      </c>
      <c r="C391" s="413">
        <v>8</v>
      </c>
      <c r="D391" s="16">
        <v>1404</v>
      </c>
      <c r="E391" s="412" t="s">
        <v>1302</v>
      </c>
      <c r="F391" s="412" t="s">
        <v>6</v>
      </c>
      <c r="G391" s="412"/>
      <c r="H391" s="413" t="s">
        <v>7</v>
      </c>
      <c r="I391" s="360" t="s">
        <v>5479</v>
      </c>
      <c r="J391" s="16" t="s">
        <v>84</v>
      </c>
      <c r="K391" s="412"/>
      <c r="L391" s="412" t="s">
        <v>218</v>
      </c>
      <c r="M391" s="412" t="s">
        <v>5904</v>
      </c>
      <c r="N391" s="41" t="s">
        <v>106</v>
      </c>
      <c r="O391" s="13" t="s">
        <v>107</v>
      </c>
      <c r="P391" s="13"/>
      <c r="Q391" s="13"/>
      <c r="R391" s="413" t="s">
        <v>453</v>
      </c>
      <c r="S391" s="413">
        <v>345</v>
      </c>
      <c r="T391" s="413">
        <v>11</v>
      </c>
      <c r="U391" s="412" t="s">
        <v>5905</v>
      </c>
      <c r="V391" s="41" t="s">
        <v>262</v>
      </c>
      <c r="W391" s="13" t="s">
        <v>70</v>
      </c>
      <c r="X391" s="412"/>
      <c r="Y391" s="413" t="s">
        <v>3714</v>
      </c>
      <c r="Z391" s="413">
        <v>247</v>
      </c>
      <c r="AA391" s="413">
        <v>210</v>
      </c>
      <c r="AB391" s="16">
        <v>210</v>
      </c>
      <c r="AC391" s="16">
        <v>150</v>
      </c>
      <c r="AD391" s="16">
        <v>171</v>
      </c>
      <c r="AE391" s="16">
        <v>4</v>
      </c>
      <c r="AF391" s="16">
        <v>65</v>
      </c>
      <c r="AG391" s="16">
        <v>240</v>
      </c>
      <c r="AH391" s="16">
        <v>23</v>
      </c>
      <c r="AI391" s="16">
        <v>6</v>
      </c>
      <c r="AJ391" s="413"/>
      <c r="AK391" s="412" t="s">
        <v>5893</v>
      </c>
      <c r="AL391" s="25">
        <v>240</v>
      </c>
      <c r="AM391" s="413">
        <v>22</v>
      </c>
      <c r="AN391" s="413"/>
      <c r="AO391" s="413"/>
      <c r="AP391" s="16" t="s">
        <v>160</v>
      </c>
      <c r="AQ391" s="16" t="s">
        <v>165</v>
      </c>
      <c r="AR391" s="130">
        <v>1404</v>
      </c>
      <c r="AS391" s="130">
        <v>8</v>
      </c>
      <c r="AT391" s="130"/>
      <c r="AU391" s="130"/>
      <c r="AV391" s="12" t="str">
        <f t="shared" si="22"/>
        <v/>
      </c>
      <c r="AW391" s="12" t="str">
        <f t="shared" si="23"/>
        <v/>
      </c>
      <c r="AX391" s="12"/>
      <c r="AY391" s="408"/>
    </row>
    <row r="392" spans="1:51" ht="30" hidden="1" customHeight="1" x14ac:dyDescent="0.2">
      <c r="A392" s="429">
        <v>390</v>
      </c>
      <c r="B392" s="413">
        <v>29</v>
      </c>
      <c r="C392" s="413">
        <v>8</v>
      </c>
      <c r="D392" s="16">
        <v>1404</v>
      </c>
      <c r="E392" s="412" t="s">
        <v>2222</v>
      </c>
      <c r="F392" s="412" t="s">
        <v>20</v>
      </c>
      <c r="G392" s="430" t="s">
        <v>174</v>
      </c>
      <c r="H392" s="413" t="s">
        <v>7</v>
      </c>
      <c r="I392" s="360" t="s">
        <v>5479</v>
      </c>
      <c r="J392" s="16" t="s">
        <v>84</v>
      </c>
      <c r="K392" s="35" t="s">
        <v>2258</v>
      </c>
      <c r="L392" s="35" t="s">
        <v>2487</v>
      </c>
      <c r="M392" s="412" t="s">
        <v>5906</v>
      </c>
      <c r="N392" s="41" t="s">
        <v>106</v>
      </c>
      <c r="O392" s="13" t="s">
        <v>107</v>
      </c>
      <c r="P392" s="13"/>
      <c r="Q392" s="13"/>
      <c r="R392" s="33" t="s">
        <v>979</v>
      </c>
      <c r="S392" s="33">
        <v>152</v>
      </c>
      <c r="T392" s="33">
        <v>17</v>
      </c>
      <c r="U392" s="412" t="s">
        <v>5907</v>
      </c>
      <c r="V392" s="41" t="s">
        <v>69</v>
      </c>
      <c r="W392" s="13" t="s">
        <v>70</v>
      </c>
      <c r="X392" s="412"/>
      <c r="Y392" s="413" t="s">
        <v>3714</v>
      </c>
      <c r="Z392" s="413">
        <v>127</v>
      </c>
      <c r="AA392" s="413">
        <v>121</v>
      </c>
      <c r="AB392" s="16">
        <v>121</v>
      </c>
      <c r="AC392" s="16">
        <v>91</v>
      </c>
      <c r="AD392" s="16">
        <v>121</v>
      </c>
      <c r="AE392" s="16">
        <v>1</v>
      </c>
      <c r="AF392" s="16">
        <v>12</v>
      </c>
      <c r="AG392" s="16">
        <v>134</v>
      </c>
      <c r="AH392" s="16">
        <v>2.7</v>
      </c>
      <c r="AI392" s="16">
        <v>3</v>
      </c>
      <c r="AJ392" s="413"/>
      <c r="AK392" s="412" t="s">
        <v>5908</v>
      </c>
      <c r="AL392" s="25">
        <v>134</v>
      </c>
      <c r="AM392" s="413">
        <v>2.7</v>
      </c>
      <c r="AN392" s="413"/>
      <c r="AO392" s="413"/>
      <c r="AP392" s="16" t="s">
        <v>160</v>
      </c>
      <c r="AQ392" s="16" t="s">
        <v>1932</v>
      </c>
      <c r="AR392" s="130">
        <v>1404</v>
      </c>
      <c r="AS392" s="130">
        <v>8</v>
      </c>
      <c r="AT392" s="130"/>
      <c r="AU392" s="130"/>
      <c r="AV392" s="12" t="str">
        <f t="shared" si="22"/>
        <v/>
      </c>
      <c r="AW392" s="12" t="str">
        <f t="shared" si="23"/>
        <v/>
      </c>
      <c r="AX392" s="12"/>
      <c r="AY392" s="408"/>
    </row>
    <row r="393" spans="1:51" ht="30" hidden="1" customHeight="1" x14ac:dyDescent="0.2">
      <c r="A393" s="429">
        <v>391</v>
      </c>
      <c r="B393" s="413">
        <v>29</v>
      </c>
      <c r="C393" s="413">
        <v>8</v>
      </c>
      <c r="D393" s="16">
        <v>1404</v>
      </c>
      <c r="E393" s="412" t="s">
        <v>5895</v>
      </c>
      <c r="F393" s="412" t="s">
        <v>10</v>
      </c>
      <c r="G393" s="412" t="s">
        <v>3661</v>
      </c>
      <c r="H393" s="413" t="s">
        <v>83</v>
      </c>
      <c r="I393" s="360" t="s">
        <v>5479</v>
      </c>
      <c r="J393" s="16" t="s">
        <v>5577</v>
      </c>
      <c r="K393" s="412"/>
      <c r="L393" s="412" t="s">
        <v>155</v>
      </c>
      <c r="M393" s="412" t="s">
        <v>5909</v>
      </c>
      <c r="N393" s="41" t="s">
        <v>106</v>
      </c>
      <c r="O393" s="13" t="s">
        <v>107</v>
      </c>
      <c r="P393" s="13"/>
      <c r="Q393" s="13"/>
      <c r="R393" s="413"/>
      <c r="S393" s="413">
        <v>384</v>
      </c>
      <c r="T393" s="413">
        <v>9</v>
      </c>
      <c r="U393" s="412" t="s">
        <v>5896</v>
      </c>
      <c r="V393" s="41" t="s">
        <v>106</v>
      </c>
      <c r="W393" s="13" t="s">
        <v>107</v>
      </c>
      <c r="X393" s="412"/>
      <c r="Y393" s="413" t="s">
        <v>5910</v>
      </c>
      <c r="Z393" s="413">
        <v>232</v>
      </c>
      <c r="AA393" s="413">
        <v>208</v>
      </c>
      <c r="AB393" s="16">
        <v>208</v>
      </c>
      <c r="AC393" s="16">
        <v>118</v>
      </c>
      <c r="AD393" s="16">
        <v>180</v>
      </c>
      <c r="AE393" s="16">
        <v>3</v>
      </c>
      <c r="AF393" s="16">
        <v>25</v>
      </c>
      <c r="AG393" s="16">
        <v>208</v>
      </c>
      <c r="AH393" s="16">
        <v>16.66</v>
      </c>
      <c r="AI393" s="16">
        <v>6</v>
      </c>
      <c r="AJ393" s="413"/>
      <c r="AK393" s="412"/>
      <c r="AL393" s="25"/>
      <c r="AM393" s="413"/>
      <c r="AN393" s="413"/>
      <c r="AO393" s="413"/>
      <c r="AP393" s="16" t="s">
        <v>160</v>
      </c>
      <c r="AQ393" s="16" t="s">
        <v>165</v>
      </c>
      <c r="AR393" s="130">
        <v>1404</v>
      </c>
      <c r="AS393" s="130">
        <v>8</v>
      </c>
      <c r="AT393" s="130">
        <v>1401</v>
      </c>
      <c r="AU393" s="130">
        <v>9</v>
      </c>
      <c r="AV393" s="12">
        <f t="shared" si="22"/>
        <v>35</v>
      </c>
      <c r="AW393" s="12" t="str">
        <f t="shared" si="23"/>
        <v/>
      </c>
      <c r="AX393" s="12"/>
      <c r="AY393" s="408"/>
    </row>
    <row r="394" spans="1:51" ht="30" hidden="1" customHeight="1" x14ac:dyDescent="0.2">
      <c r="A394" s="432">
        <v>392</v>
      </c>
      <c r="B394" s="432">
        <v>29</v>
      </c>
      <c r="C394" s="432">
        <v>8</v>
      </c>
      <c r="D394" s="16">
        <v>1404</v>
      </c>
      <c r="E394" s="431" t="s">
        <v>5911</v>
      </c>
      <c r="F394" s="431" t="s">
        <v>243</v>
      </c>
      <c r="G394" s="431" t="s">
        <v>3661</v>
      </c>
      <c r="H394" s="432" t="s">
        <v>83</v>
      </c>
      <c r="I394" s="360" t="s">
        <v>5479</v>
      </c>
      <c r="J394" s="16" t="s">
        <v>84</v>
      </c>
      <c r="K394" s="431"/>
      <c r="L394" s="431" t="s">
        <v>334</v>
      </c>
      <c r="M394" s="431"/>
      <c r="N394" s="41" t="s">
        <v>106</v>
      </c>
      <c r="O394" s="13" t="s">
        <v>107</v>
      </c>
      <c r="P394" s="13"/>
      <c r="Q394" s="13"/>
      <c r="R394" s="432"/>
      <c r="S394" s="432">
        <v>6608</v>
      </c>
      <c r="T394" s="432">
        <v>11</v>
      </c>
      <c r="U394" s="431"/>
      <c r="V394" s="41" t="s">
        <v>106</v>
      </c>
      <c r="W394" s="13" t="s">
        <v>107</v>
      </c>
      <c r="X394" s="431"/>
      <c r="Y394" s="432" t="s">
        <v>3701</v>
      </c>
      <c r="Z394" s="432">
        <v>130</v>
      </c>
      <c r="AA394" s="432">
        <v>123</v>
      </c>
      <c r="AB394" s="16">
        <v>123</v>
      </c>
      <c r="AC394" s="16"/>
      <c r="AD394" s="16"/>
      <c r="AE394" s="16"/>
      <c r="AF394" s="16"/>
      <c r="AG394" s="16"/>
      <c r="AH394" s="16"/>
      <c r="AI394" s="16">
        <v>6</v>
      </c>
      <c r="AJ394" s="432"/>
      <c r="AK394" s="431"/>
      <c r="AL394" s="25"/>
      <c r="AM394" s="432"/>
      <c r="AN394" s="432"/>
      <c r="AO394" s="432"/>
      <c r="AP394" s="16"/>
      <c r="AQ394" s="16"/>
      <c r="AR394" s="130">
        <v>1404</v>
      </c>
      <c r="AS394" s="130">
        <v>8</v>
      </c>
      <c r="AT394" s="130">
        <v>1402</v>
      </c>
      <c r="AU394" s="130">
        <v>5</v>
      </c>
      <c r="AV394" s="12">
        <f>IF(AR394*AT394&gt;0,(AR394-AT394)*12+(AS394-AU394),"")</f>
        <v>27</v>
      </c>
      <c r="AW394" s="12" t="str">
        <f>IF(AV394&lt;13,AV394,"")</f>
        <v/>
      </c>
      <c r="AX394" s="12"/>
      <c r="AY394" s="408"/>
    </row>
    <row r="395" spans="1:51" ht="30" hidden="1" customHeight="1" x14ac:dyDescent="0.2">
      <c r="A395" s="432">
        <v>393</v>
      </c>
      <c r="B395" s="413">
        <v>29</v>
      </c>
      <c r="C395" s="413">
        <v>8</v>
      </c>
      <c r="D395" s="16">
        <v>1404</v>
      </c>
      <c r="E395" s="412" t="s">
        <v>5911</v>
      </c>
      <c r="F395" s="412" t="s">
        <v>243</v>
      </c>
      <c r="G395" s="430" t="s">
        <v>3661</v>
      </c>
      <c r="H395" s="413" t="s">
        <v>7</v>
      </c>
      <c r="I395" s="360" t="s">
        <v>5479</v>
      </c>
      <c r="J395" s="16" t="s">
        <v>84</v>
      </c>
      <c r="K395" s="35" t="s">
        <v>334</v>
      </c>
      <c r="L395" s="35" t="s">
        <v>68</v>
      </c>
      <c r="M395" s="412" t="s">
        <v>5912</v>
      </c>
      <c r="N395" s="41" t="s">
        <v>106</v>
      </c>
      <c r="O395" s="13" t="s">
        <v>107</v>
      </c>
      <c r="P395" s="13"/>
      <c r="Q395" s="13"/>
      <c r="R395" s="33" t="s">
        <v>559</v>
      </c>
      <c r="S395" s="33">
        <v>384</v>
      </c>
      <c r="T395" s="33">
        <v>8</v>
      </c>
      <c r="U395" s="412" t="s">
        <v>5913</v>
      </c>
      <c r="V395" s="41" t="s">
        <v>69</v>
      </c>
      <c r="W395" s="13" t="s">
        <v>70</v>
      </c>
      <c r="X395" s="412"/>
      <c r="Y395" s="413"/>
      <c r="Z395" s="413">
        <v>130</v>
      </c>
      <c r="AA395" s="413">
        <v>126</v>
      </c>
      <c r="AB395" s="16">
        <v>123</v>
      </c>
      <c r="AC395" s="16">
        <v>57</v>
      </c>
      <c r="AD395" s="16">
        <v>71</v>
      </c>
      <c r="AE395" s="16">
        <v>4</v>
      </c>
      <c r="AF395" s="16">
        <v>60</v>
      </c>
      <c r="AG395" s="16">
        <v>135</v>
      </c>
      <c r="AH395" s="16">
        <v>30</v>
      </c>
      <c r="AI395" s="16">
        <v>6</v>
      </c>
      <c r="AJ395" s="413"/>
      <c r="AK395" s="412" t="s">
        <v>5914</v>
      </c>
      <c r="AL395" s="25">
        <v>135</v>
      </c>
      <c r="AM395" s="413">
        <v>30</v>
      </c>
      <c r="AN395" s="413"/>
      <c r="AO395" s="413"/>
      <c r="AP395" s="16" t="s">
        <v>160</v>
      </c>
      <c r="AQ395" s="16" t="s">
        <v>161</v>
      </c>
      <c r="AR395" s="130">
        <v>1404</v>
      </c>
      <c r="AS395" s="130">
        <v>8</v>
      </c>
      <c r="AT395" s="130"/>
      <c r="AU395" s="130"/>
      <c r="AV395" s="12" t="str">
        <f t="shared" si="22"/>
        <v/>
      </c>
      <c r="AW395" s="12" t="str">
        <f t="shared" si="23"/>
        <v/>
      </c>
      <c r="AX395" s="12"/>
      <c r="AY395" s="408"/>
    </row>
    <row r="396" spans="1:51" ht="30" hidden="1" customHeight="1" x14ac:dyDescent="0.2">
      <c r="A396" s="432">
        <v>394</v>
      </c>
      <c r="B396" s="413">
        <v>30</v>
      </c>
      <c r="C396" s="413">
        <v>8</v>
      </c>
      <c r="D396" s="16">
        <v>1404</v>
      </c>
      <c r="E396" s="412" t="s">
        <v>1148</v>
      </c>
      <c r="F396" s="412" t="s">
        <v>10</v>
      </c>
      <c r="G396" s="412" t="s">
        <v>202</v>
      </c>
      <c r="H396" s="413" t="s">
        <v>83</v>
      </c>
      <c r="I396" s="360" t="s">
        <v>5479</v>
      </c>
      <c r="J396" s="16" t="s">
        <v>84</v>
      </c>
      <c r="K396" s="412"/>
      <c r="L396" s="412" t="s">
        <v>117</v>
      </c>
      <c r="M396" s="412"/>
      <c r="N396" s="41" t="s">
        <v>106</v>
      </c>
      <c r="O396" s="13" t="s">
        <v>107</v>
      </c>
      <c r="P396" s="13"/>
      <c r="Q396" s="13"/>
      <c r="R396" s="413"/>
      <c r="S396" s="413">
        <v>6608</v>
      </c>
      <c r="T396" s="413">
        <v>18</v>
      </c>
      <c r="U396" s="412"/>
      <c r="V396" s="41" t="s">
        <v>106</v>
      </c>
      <c r="W396" s="13" t="s">
        <v>107</v>
      </c>
      <c r="X396" s="412"/>
      <c r="Y396" s="413" t="s">
        <v>4931</v>
      </c>
      <c r="Z396" s="413">
        <v>240</v>
      </c>
      <c r="AA396" s="413">
        <v>211</v>
      </c>
      <c r="AB396" s="16">
        <v>211</v>
      </c>
      <c r="AC396" s="16"/>
      <c r="AD396" s="16"/>
      <c r="AE396" s="16"/>
      <c r="AF396" s="16"/>
      <c r="AG396" s="16"/>
      <c r="AH396" s="16"/>
      <c r="AI396" s="16">
        <v>6</v>
      </c>
      <c r="AJ396" s="413"/>
      <c r="AK396" s="412"/>
      <c r="AL396" s="25"/>
      <c r="AM396" s="413"/>
      <c r="AN396" s="413"/>
      <c r="AO396" s="413"/>
      <c r="AP396" s="16"/>
      <c r="AQ396" s="16"/>
      <c r="AR396" s="130">
        <v>1404</v>
      </c>
      <c r="AS396" s="130">
        <v>8</v>
      </c>
      <c r="AT396" s="130">
        <v>1403</v>
      </c>
      <c r="AU396" s="130">
        <v>10</v>
      </c>
      <c r="AV396" s="12">
        <f t="shared" si="22"/>
        <v>10</v>
      </c>
      <c r="AW396" s="12">
        <f t="shared" si="23"/>
        <v>10</v>
      </c>
      <c r="AX396" s="12"/>
      <c r="AY396" s="408"/>
    </row>
    <row r="397" spans="1:51" ht="30" hidden="1" customHeight="1" x14ac:dyDescent="0.2">
      <c r="A397" s="432">
        <v>395</v>
      </c>
      <c r="B397" s="413">
        <v>30</v>
      </c>
      <c r="C397" s="413">
        <v>8</v>
      </c>
      <c r="D397" s="16">
        <v>1404</v>
      </c>
      <c r="E397" s="412" t="s">
        <v>726</v>
      </c>
      <c r="F397" s="412" t="s">
        <v>6</v>
      </c>
      <c r="G397" s="412" t="s">
        <v>3661</v>
      </c>
      <c r="H397" s="413" t="s">
        <v>83</v>
      </c>
      <c r="I397" s="360" t="s">
        <v>5479</v>
      </c>
      <c r="J397" s="16" t="s">
        <v>84</v>
      </c>
      <c r="K397" s="412"/>
      <c r="L397" s="412" t="s">
        <v>218</v>
      </c>
      <c r="M397" s="412"/>
      <c r="N397" s="41" t="s">
        <v>106</v>
      </c>
      <c r="O397" s="13" t="s">
        <v>107</v>
      </c>
      <c r="P397" s="13"/>
      <c r="Q397" s="13"/>
      <c r="R397" s="413"/>
      <c r="S397" s="413">
        <v>384</v>
      </c>
      <c r="T397" s="413">
        <v>11</v>
      </c>
      <c r="U397" s="412"/>
      <c r="V397" s="41" t="s">
        <v>106</v>
      </c>
      <c r="W397" s="13" t="s">
        <v>107</v>
      </c>
      <c r="X397" s="412"/>
      <c r="Y397" s="413" t="s">
        <v>5937</v>
      </c>
      <c r="Z397" s="413">
        <v>234</v>
      </c>
      <c r="AA397" s="413">
        <v>216</v>
      </c>
      <c r="AB397" s="16">
        <v>216</v>
      </c>
      <c r="AC397" s="16"/>
      <c r="AD397" s="16"/>
      <c r="AE397" s="16"/>
      <c r="AF397" s="16"/>
      <c r="AG397" s="16"/>
      <c r="AH397" s="16"/>
      <c r="AI397" s="16">
        <v>6</v>
      </c>
      <c r="AJ397" s="413"/>
      <c r="AK397" s="412"/>
      <c r="AL397" s="25"/>
      <c r="AM397" s="413"/>
      <c r="AN397" s="413"/>
      <c r="AO397" s="413"/>
      <c r="AP397" s="16"/>
      <c r="AQ397" s="16"/>
      <c r="AR397" s="130">
        <v>1404</v>
      </c>
      <c r="AS397" s="130">
        <v>8</v>
      </c>
      <c r="AT397" s="130">
        <v>1401</v>
      </c>
      <c r="AU397" s="130">
        <v>8</v>
      </c>
      <c r="AV397" s="12">
        <f t="shared" si="22"/>
        <v>36</v>
      </c>
      <c r="AW397" s="12" t="str">
        <f t="shared" si="23"/>
        <v/>
      </c>
      <c r="AX397" s="12"/>
      <c r="AY397" s="408"/>
    </row>
    <row r="398" spans="1:51" ht="30" hidden="1" customHeight="1" x14ac:dyDescent="0.2">
      <c r="A398" s="432">
        <v>396</v>
      </c>
      <c r="B398" s="424">
        <v>1</v>
      </c>
      <c r="C398" s="424">
        <v>9</v>
      </c>
      <c r="D398" s="16">
        <v>1404</v>
      </c>
      <c r="E398" s="425" t="s">
        <v>3255</v>
      </c>
      <c r="F398" s="425" t="s">
        <v>8</v>
      </c>
      <c r="G398" s="425"/>
      <c r="H398" s="424" t="s">
        <v>7</v>
      </c>
      <c r="I398" s="360" t="s">
        <v>5479</v>
      </c>
      <c r="J398" s="16" t="s">
        <v>5577</v>
      </c>
      <c r="K398" s="35" t="s">
        <v>140</v>
      </c>
      <c r="L398" s="35" t="s">
        <v>104</v>
      </c>
      <c r="M398" s="425" t="s">
        <v>5921</v>
      </c>
      <c r="N398" s="41" t="s">
        <v>69</v>
      </c>
      <c r="O398" s="13" t="s">
        <v>70</v>
      </c>
      <c r="P398" s="13"/>
      <c r="Q398" s="13"/>
      <c r="R398" s="33" t="s">
        <v>188</v>
      </c>
      <c r="S398" s="33">
        <v>345</v>
      </c>
      <c r="T398" s="33">
        <v>7</v>
      </c>
      <c r="U398" s="425" t="s">
        <v>5922</v>
      </c>
      <c r="V398" s="41" t="s">
        <v>69</v>
      </c>
      <c r="W398" s="13" t="s">
        <v>70</v>
      </c>
      <c r="X398" s="425"/>
      <c r="Y398" s="424" t="s">
        <v>5923</v>
      </c>
      <c r="Z398" s="424">
        <v>164</v>
      </c>
      <c r="AA398" s="424">
        <v>150</v>
      </c>
      <c r="AB398" s="16">
        <v>150</v>
      </c>
      <c r="AC398" s="16">
        <v>56</v>
      </c>
      <c r="AD398" s="16">
        <v>123</v>
      </c>
      <c r="AE398" s="16">
        <v>5</v>
      </c>
      <c r="AF398" s="16">
        <v>32</v>
      </c>
      <c r="AG398" s="16">
        <v>160</v>
      </c>
      <c r="AH398" s="16">
        <v>22</v>
      </c>
      <c r="AI398" s="16">
        <v>6</v>
      </c>
      <c r="AJ398" s="424"/>
      <c r="AK398" s="425" t="s">
        <v>5918</v>
      </c>
      <c r="AL398" s="25">
        <v>160</v>
      </c>
      <c r="AM398" s="424">
        <v>22</v>
      </c>
      <c r="AN398" s="424"/>
      <c r="AO398" s="424"/>
      <c r="AP398" s="16" t="s">
        <v>5080</v>
      </c>
      <c r="AQ398" s="16" t="s">
        <v>112</v>
      </c>
      <c r="AR398" s="130">
        <v>1404</v>
      </c>
      <c r="AS398" s="130">
        <v>9</v>
      </c>
      <c r="AT398" s="130"/>
      <c r="AU398" s="130"/>
      <c r="AV398" s="12" t="str">
        <f t="shared" si="22"/>
        <v/>
      </c>
      <c r="AW398" s="12" t="str">
        <f t="shared" si="23"/>
        <v/>
      </c>
      <c r="AX398" s="12"/>
      <c r="AY398" s="408"/>
    </row>
    <row r="399" spans="1:51" ht="30" hidden="1" customHeight="1" x14ac:dyDescent="0.2">
      <c r="A399" s="432">
        <v>397</v>
      </c>
      <c r="B399" s="432">
        <v>1</v>
      </c>
      <c r="C399" s="432">
        <v>9</v>
      </c>
      <c r="D399" s="16">
        <v>1404</v>
      </c>
      <c r="E399" s="431" t="s">
        <v>5915</v>
      </c>
      <c r="F399" s="431" t="s">
        <v>6</v>
      </c>
      <c r="G399" s="431"/>
      <c r="H399" s="432" t="s">
        <v>7</v>
      </c>
      <c r="I399" s="360" t="s">
        <v>5479</v>
      </c>
      <c r="J399" s="16" t="s">
        <v>84</v>
      </c>
      <c r="K399" s="35" t="s">
        <v>155</v>
      </c>
      <c r="L399" s="35" t="s">
        <v>117</v>
      </c>
      <c r="M399" s="431" t="s">
        <v>5919</v>
      </c>
      <c r="N399" s="41" t="s">
        <v>69</v>
      </c>
      <c r="O399" s="13" t="s">
        <v>70</v>
      </c>
      <c r="P399" s="13"/>
      <c r="Q399" s="13"/>
      <c r="R399" s="33" t="s">
        <v>167</v>
      </c>
      <c r="S399" s="33">
        <v>6608</v>
      </c>
      <c r="T399" s="33">
        <v>18</v>
      </c>
      <c r="U399" s="431" t="s">
        <v>5920</v>
      </c>
      <c r="V399" s="41" t="s">
        <v>106</v>
      </c>
      <c r="W399" s="13" t="s">
        <v>107</v>
      </c>
      <c r="X399" s="431"/>
      <c r="Y399" s="432" t="s">
        <v>5657</v>
      </c>
      <c r="Z399" s="432">
        <v>252</v>
      </c>
      <c r="AA399" s="432">
        <v>240</v>
      </c>
      <c r="AB399" s="16">
        <v>240</v>
      </c>
      <c r="AC399" s="16">
        <v>187</v>
      </c>
      <c r="AD399" s="16">
        <v>215</v>
      </c>
      <c r="AE399" s="16">
        <v>2</v>
      </c>
      <c r="AF399" s="16">
        <v>10</v>
      </c>
      <c r="AG399" s="16">
        <v>227</v>
      </c>
      <c r="AH399" s="16">
        <v>10</v>
      </c>
      <c r="AI399" s="16">
        <v>6</v>
      </c>
      <c r="AJ399" s="432"/>
      <c r="AK399" s="431" t="s">
        <v>5918</v>
      </c>
      <c r="AL399" s="25">
        <v>227</v>
      </c>
      <c r="AM399" s="432">
        <v>10</v>
      </c>
      <c r="AN399" s="432"/>
      <c r="AO399" s="432"/>
      <c r="AP399" s="16" t="s">
        <v>160</v>
      </c>
      <c r="AQ399" s="16" t="s">
        <v>161</v>
      </c>
      <c r="AR399" s="130">
        <v>1404</v>
      </c>
      <c r="AS399" s="130">
        <v>9</v>
      </c>
      <c r="AT399" s="130"/>
      <c r="AU399" s="130"/>
      <c r="AV399" s="12" t="str">
        <f t="shared" si="22"/>
        <v/>
      </c>
      <c r="AW399" s="12" t="str">
        <f t="shared" si="23"/>
        <v/>
      </c>
      <c r="AX399" s="12"/>
      <c r="AY399" s="408"/>
    </row>
    <row r="400" spans="1:51" ht="30" hidden="1" customHeight="1" x14ac:dyDescent="0.2">
      <c r="A400" s="432">
        <v>398</v>
      </c>
      <c r="B400" s="432">
        <v>1</v>
      </c>
      <c r="C400" s="432">
        <v>9</v>
      </c>
      <c r="D400" s="16">
        <v>1404</v>
      </c>
      <c r="E400" s="431" t="s">
        <v>1291</v>
      </c>
      <c r="F400" s="431" t="s">
        <v>8</v>
      </c>
      <c r="G400" s="431"/>
      <c r="H400" s="432" t="s">
        <v>7</v>
      </c>
      <c r="I400" s="360" t="s">
        <v>5479</v>
      </c>
      <c r="J400" s="16" t="s">
        <v>84</v>
      </c>
      <c r="K400" s="35" t="s">
        <v>68</v>
      </c>
      <c r="L400" s="35" t="s">
        <v>155</v>
      </c>
      <c r="M400" s="431" t="s">
        <v>5916</v>
      </c>
      <c r="N400" s="41" t="s">
        <v>69</v>
      </c>
      <c r="O400" s="13" t="s">
        <v>70</v>
      </c>
      <c r="P400" s="13"/>
      <c r="Q400" s="13"/>
      <c r="R400" s="33" t="s">
        <v>332</v>
      </c>
      <c r="S400" s="33">
        <v>384</v>
      </c>
      <c r="T400" s="33">
        <v>9</v>
      </c>
      <c r="U400" s="431" t="s">
        <v>5917</v>
      </c>
      <c r="V400" s="41" t="s">
        <v>142</v>
      </c>
      <c r="W400" s="13" t="s">
        <v>70</v>
      </c>
      <c r="X400" s="431"/>
      <c r="Y400" s="432" t="s">
        <v>3933</v>
      </c>
      <c r="Z400" s="432">
        <v>200</v>
      </c>
      <c r="AA400" s="432">
        <v>174</v>
      </c>
      <c r="AB400" s="16">
        <v>174</v>
      </c>
      <c r="AC400" s="16">
        <v>70</v>
      </c>
      <c r="AD400" s="16">
        <v>99</v>
      </c>
      <c r="AE400" s="16">
        <v>6</v>
      </c>
      <c r="AF400" s="16">
        <v>71</v>
      </c>
      <c r="AG400" s="16">
        <v>176</v>
      </c>
      <c r="AH400" s="16">
        <v>27</v>
      </c>
      <c r="AI400" s="16">
        <v>6</v>
      </c>
      <c r="AJ400" s="432"/>
      <c r="AK400" s="431" t="s">
        <v>5918</v>
      </c>
      <c r="AL400" s="25">
        <v>176</v>
      </c>
      <c r="AM400" s="432">
        <v>27</v>
      </c>
      <c r="AN400" s="432"/>
      <c r="AO400" s="432"/>
      <c r="AP400" s="16" t="s">
        <v>160</v>
      </c>
      <c r="AQ400" s="16" t="s">
        <v>193</v>
      </c>
      <c r="AR400" s="130">
        <v>1404</v>
      </c>
      <c r="AS400" s="130">
        <v>9</v>
      </c>
      <c r="AT400" s="130"/>
      <c r="AU400" s="130"/>
      <c r="AV400" s="12" t="str">
        <f t="shared" si="22"/>
        <v/>
      </c>
      <c r="AW400" s="12" t="str">
        <f t="shared" si="23"/>
        <v/>
      </c>
      <c r="AX400" s="12"/>
      <c r="AY400" s="408"/>
    </row>
    <row r="401" spans="1:51" ht="30" hidden="1" customHeight="1" x14ac:dyDescent="0.2">
      <c r="A401" s="432">
        <v>399</v>
      </c>
      <c r="B401" s="432">
        <v>1</v>
      </c>
      <c r="C401" s="432">
        <v>9</v>
      </c>
      <c r="D401" s="16">
        <v>1404</v>
      </c>
      <c r="E401" s="431" t="s">
        <v>5666</v>
      </c>
      <c r="F401" s="431" t="s">
        <v>6</v>
      </c>
      <c r="G401" s="431"/>
      <c r="H401" s="432" t="s">
        <v>7</v>
      </c>
      <c r="I401" s="360" t="s">
        <v>5479</v>
      </c>
      <c r="J401" s="16" t="s">
        <v>84</v>
      </c>
      <c r="K401" s="35" t="s">
        <v>155</v>
      </c>
      <c r="L401" s="35" t="s">
        <v>68</v>
      </c>
      <c r="M401" s="431" t="s">
        <v>5924</v>
      </c>
      <c r="N401" s="41" t="s">
        <v>69</v>
      </c>
      <c r="O401" s="13" t="s">
        <v>70</v>
      </c>
      <c r="P401" s="13"/>
      <c r="Q401" s="13"/>
      <c r="R401" s="432"/>
      <c r="S401" s="432">
        <v>6611</v>
      </c>
      <c r="T401" s="432">
        <v>15</v>
      </c>
      <c r="U401" s="431" t="s">
        <v>5925</v>
      </c>
      <c r="V401" s="41" t="s">
        <v>106</v>
      </c>
      <c r="W401" s="13" t="s">
        <v>107</v>
      </c>
      <c r="X401" s="431"/>
      <c r="Y401" s="432" t="s">
        <v>3505</v>
      </c>
      <c r="Z401" s="432">
        <v>249</v>
      </c>
      <c r="AA401" s="432">
        <v>231</v>
      </c>
      <c r="AB401" s="16">
        <v>231</v>
      </c>
      <c r="AC401" s="16">
        <v>95</v>
      </c>
      <c r="AD401" s="16">
        <v>145</v>
      </c>
      <c r="AE401" s="16">
        <v>4</v>
      </c>
      <c r="AF401" s="16">
        <v>36</v>
      </c>
      <c r="AG401" s="16">
        <v>185</v>
      </c>
      <c r="AH401" s="16">
        <v>20</v>
      </c>
      <c r="AI401" s="16">
        <v>6</v>
      </c>
      <c r="AJ401" s="432"/>
      <c r="AK401" s="431" t="s">
        <v>5926</v>
      </c>
      <c r="AL401" s="25">
        <v>185</v>
      </c>
      <c r="AM401" s="432">
        <v>20.100000000000001</v>
      </c>
      <c r="AN401" s="432"/>
      <c r="AO401" s="432"/>
      <c r="AP401" s="16" t="s">
        <v>160</v>
      </c>
      <c r="AQ401" s="16" t="s">
        <v>165</v>
      </c>
      <c r="AR401" s="130">
        <v>1404</v>
      </c>
      <c r="AS401" s="130">
        <v>9</v>
      </c>
      <c r="AT401" s="130"/>
      <c r="AU401" s="130"/>
      <c r="AV401" s="12" t="str">
        <f t="shared" si="22"/>
        <v/>
      </c>
      <c r="AW401" s="12" t="str">
        <f t="shared" si="23"/>
        <v/>
      </c>
      <c r="AX401" s="12"/>
      <c r="AY401" s="408"/>
    </row>
    <row r="402" spans="1:51" ht="30" hidden="1" customHeight="1" x14ac:dyDescent="0.2">
      <c r="A402" s="432">
        <v>400</v>
      </c>
      <c r="B402" s="432">
        <v>2</v>
      </c>
      <c r="C402" s="432">
        <v>9</v>
      </c>
      <c r="D402" s="16">
        <v>1404</v>
      </c>
      <c r="E402" s="431" t="s">
        <v>3246</v>
      </c>
      <c r="F402" s="431" t="s">
        <v>20</v>
      </c>
      <c r="G402" s="431" t="s">
        <v>3661</v>
      </c>
      <c r="H402" s="432" t="s">
        <v>83</v>
      </c>
      <c r="I402" s="360" t="s">
        <v>5479</v>
      </c>
      <c r="J402" s="16" t="s">
        <v>5577</v>
      </c>
      <c r="K402" s="431"/>
      <c r="L402" s="431" t="s">
        <v>141</v>
      </c>
      <c r="M402" s="431"/>
      <c r="N402" s="41" t="s">
        <v>106</v>
      </c>
      <c r="O402" s="13" t="s">
        <v>107</v>
      </c>
      <c r="P402" s="13"/>
      <c r="Q402" s="13"/>
      <c r="R402" s="432"/>
      <c r="S402" s="432">
        <v>293</v>
      </c>
      <c r="T402" s="432">
        <v>8</v>
      </c>
      <c r="U402" s="431"/>
      <c r="V402" s="41" t="s">
        <v>106</v>
      </c>
      <c r="W402" s="13" t="s">
        <v>107</v>
      </c>
      <c r="X402" s="431"/>
      <c r="Y402" s="432" t="s">
        <v>5936</v>
      </c>
      <c r="Z402" s="432">
        <v>203</v>
      </c>
      <c r="AA402" s="432">
        <v>114</v>
      </c>
      <c r="AB402" s="16">
        <v>114</v>
      </c>
      <c r="AC402" s="16"/>
      <c r="AD402" s="16"/>
      <c r="AE402" s="16"/>
      <c r="AF402" s="16"/>
      <c r="AG402" s="16"/>
      <c r="AH402" s="16"/>
      <c r="AI402" s="16">
        <v>6</v>
      </c>
      <c r="AJ402" s="432"/>
      <c r="AK402" s="431"/>
      <c r="AL402" s="25"/>
      <c r="AM402" s="432"/>
      <c r="AN402" s="432"/>
      <c r="AO402" s="432"/>
      <c r="AP402" s="16"/>
      <c r="AQ402" s="16"/>
      <c r="AR402" s="130">
        <v>1404</v>
      </c>
      <c r="AS402" s="130">
        <v>9</v>
      </c>
      <c r="AT402" s="130">
        <v>1398</v>
      </c>
      <c r="AU402" s="130">
        <v>12</v>
      </c>
      <c r="AV402" s="12">
        <f t="shared" si="22"/>
        <v>69</v>
      </c>
      <c r="AW402" s="12" t="str">
        <f t="shared" si="23"/>
        <v/>
      </c>
      <c r="AX402" s="12"/>
      <c r="AY402" s="408"/>
    </row>
    <row r="403" spans="1:51" ht="30" hidden="1" customHeight="1" x14ac:dyDescent="0.2">
      <c r="A403" s="432">
        <v>401</v>
      </c>
      <c r="B403" s="432">
        <v>3</v>
      </c>
      <c r="C403" s="432">
        <v>9</v>
      </c>
      <c r="D403" s="16">
        <v>1404</v>
      </c>
      <c r="E403" s="431" t="s">
        <v>4292</v>
      </c>
      <c r="F403" s="431" t="s">
        <v>6</v>
      </c>
      <c r="G403" s="431" t="s">
        <v>5927</v>
      </c>
      <c r="H403" s="432" t="s">
        <v>83</v>
      </c>
      <c r="I403" s="360" t="s">
        <v>5479</v>
      </c>
      <c r="J403" s="16" t="s">
        <v>84</v>
      </c>
      <c r="K403" s="431"/>
      <c r="L403" s="431" t="s">
        <v>155</v>
      </c>
      <c r="M403" s="431" t="s">
        <v>4343</v>
      </c>
      <c r="N403" s="41" t="s">
        <v>106</v>
      </c>
      <c r="O403" s="13" t="s">
        <v>107</v>
      </c>
      <c r="P403" s="13"/>
      <c r="Q403" s="13"/>
      <c r="R403" s="432"/>
      <c r="S403" s="432">
        <v>384</v>
      </c>
      <c r="T403" s="432">
        <v>9</v>
      </c>
      <c r="U403" s="431" t="s">
        <v>4344</v>
      </c>
      <c r="V403" s="41" t="s">
        <v>106</v>
      </c>
      <c r="W403" s="13" t="s">
        <v>107</v>
      </c>
      <c r="X403" s="431"/>
      <c r="Y403" s="432" t="s">
        <v>4369</v>
      </c>
      <c r="Z403" s="432">
        <v>142</v>
      </c>
      <c r="AA403" s="432">
        <v>135</v>
      </c>
      <c r="AB403" s="16">
        <v>135</v>
      </c>
      <c r="AC403" s="16"/>
      <c r="AD403" s="16"/>
      <c r="AE403" s="16"/>
      <c r="AF403" s="16"/>
      <c r="AG403" s="16"/>
      <c r="AH403" s="16"/>
      <c r="AI403" s="16">
        <v>6</v>
      </c>
      <c r="AJ403" s="432"/>
      <c r="AK403" s="431"/>
      <c r="AL403" s="25"/>
      <c r="AM403" s="432"/>
      <c r="AN403" s="432"/>
      <c r="AO403" s="432"/>
      <c r="AP403" s="16" t="s">
        <v>160</v>
      </c>
      <c r="AQ403" s="16" t="s">
        <v>161</v>
      </c>
      <c r="AR403" s="130">
        <v>1404</v>
      </c>
      <c r="AS403" s="130">
        <v>9</v>
      </c>
      <c r="AT403" s="130">
        <v>1403</v>
      </c>
      <c r="AU403" s="130">
        <v>1</v>
      </c>
      <c r="AV403" s="12">
        <f t="shared" si="22"/>
        <v>20</v>
      </c>
      <c r="AW403" s="12" t="str">
        <f t="shared" si="23"/>
        <v/>
      </c>
      <c r="AX403" s="12"/>
      <c r="AY403" s="408"/>
    </row>
    <row r="404" spans="1:51" ht="30" hidden="1" customHeight="1" x14ac:dyDescent="0.2">
      <c r="A404" s="432">
        <v>402</v>
      </c>
      <c r="B404" s="432">
        <v>3</v>
      </c>
      <c r="C404" s="432">
        <v>9</v>
      </c>
      <c r="D404" s="16">
        <v>1404</v>
      </c>
      <c r="E404" s="431" t="s">
        <v>726</v>
      </c>
      <c r="F404" s="431" t="s">
        <v>6</v>
      </c>
      <c r="G404" s="431"/>
      <c r="H404" s="432" t="s">
        <v>7</v>
      </c>
      <c r="I404" s="360" t="s">
        <v>5479</v>
      </c>
      <c r="J404" s="16" t="s">
        <v>84</v>
      </c>
      <c r="K404" s="431"/>
      <c r="L404" s="431" t="s">
        <v>218</v>
      </c>
      <c r="M404" s="431" t="s">
        <v>5928</v>
      </c>
      <c r="N404" s="41" t="s">
        <v>106</v>
      </c>
      <c r="O404" s="13" t="s">
        <v>107</v>
      </c>
      <c r="P404" s="13"/>
      <c r="Q404" s="13"/>
      <c r="R404" s="432"/>
      <c r="S404" s="432">
        <v>345</v>
      </c>
      <c r="T404" s="432">
        <v>12</v>
      </c>
      <c r="U404" s="431" t="s">
        <v>5929</v>
      </c>
      <c r="V404" s="41" t="s">
        <v>106</v>
      </c>
      <c r="W404" s="13" t="s">
        <v>107</v>
      </c>
      <c r="X404" s="431"/>
      <c r="Y404" s="432" t="s">
        <v>5937</v>
      </c>
      <c r="Z404" s="432">
        <v>234</v>
      </c>
      <c r="AA404" s="432">
        <v>216</v>
      </c>
      <c r="AB404" s="16">
        <v>219</v>
      </c>
      <c r="AC404" s="16">
        <v>152</v>
      </c>
      <c r="AD404" s="16">
        <v>173</v>
      </c>
      <c r="AE404" s="16">
        <v>7</v>
      </c>
      <c r="AF404" s="16">
        <v>64</v>
      </c>
      <c r="AG404" s="16">
        <v>244</v>
      </c>
      <c r="AH404" s="16">
        <v>22</v>
      </c>
      <c r="AI404" s="16">
        <v>6</v>
      </c>
      <c r="AJ404" s="432"/>
      <c r="AK404" s="431" t="s">
        <v>5930</v>
      </c>
      <c r="AL404" s="25">
        <v>244</v>
      </c>
      <c r="AM404" s="432">
        <v>22</v>
      </c>
      <c r="AN404" s="432"/>
      <c r="AO404" s="432"/>
      <c r="AP404" s="16" t="s">
        <v>160</v>
      </c>
      <c r="AQ404" s="16" t="s">
        <v>165</v>
      </c>
      <c r="AR404" s="130">
        <v>1404</v>
      </c>
      <c r="AS404" s="130">
        <v>9</v>
      </c>
      <c r="AT404" s="130"/>
      <c r="AU404" s="130"/>
      <c r="AV404" s="12" t="str">
        <f t="shared" si="22"/>
        <v/>
      </c>
      <c r="AW404" s="12" t="str">
        <f t="shared" si="23"/>
        <v/>
      </c>
      <c r="AX404" s="12"/>
      <c r="AY404" s="408"/>
    </row>
    <row r="405" spans="1:51" ht="30" hidden="1" customHeight="1" x14ac:dyDescent="0.2">
      <c r="A405" s="432">
        <v>403</v>
      </c>
      <c r="B405" s="432">
        <v>3</v>
      </c>
      <c r="C405" s="432">
        <v>9</v>
      </c>
      <c r="D405" s="16">
        <v>1404</v>
      </c>
      <c r="E405" s="431" t="s">
        <v>5931</v>
      </c>
      <c r="F405" s="431" t="s">
        <v>8</v>
      </c>
      <c r="G405" s="431" t="s">
        <v>185</v>
      </c>
      <c r="H405" s="432" t="s">
        <v>83</v>
      </c>
      <c r="I405" s="360" t="s">
        <v>5479</v>
      </c>
      <c r="J405" s="16" t="s">
        <v>5577</v>
      </c>
      <c r="K405" s="431"/>
      <c r="L405" s="431" t="s">
        <v>155</v>
      </c>
      <c r="M405" s="431" t="s">
        <v>5932</v>
      </c>
      <c r="N405" s="41" t="s">
        <v>106</v>
      </c>
      <c r="O405" s="13" t="s">
        <v>107</v>
      </c>
      <c r="P405" s="13"/>
      <c r="Q405" s="13"/>
      <c r="R405" s="432"/>
      <c r="S405" s="432">
        <v>345</v>
      </c>
      <c r="T405" s="432">
        <v>10</v>
      </c>
      <c r="U405" s="431" t="s">
        <v>5933</v>
      </c>
      <c r="V405" s="41" t="s">
        <v>106</v>
      </c>
      <c r="W405" s="13" t="s">
        <v>107</v>
      </c>
      <c r="X405" s="431"/>
      <c r="Y405" s="432" t="s">
        <v>3314</v>
      </c>
      <c r="Z405" s="432">
        <v>220</v>
      </c>
      <c r="AA405" s="432">
        <v>192</v>
      </c>
      <c r="AB405" s="16">
        <v>192</v>
      </c>
      <c r="AC405" s="16"/>
      <c r="AD405" s="16"/>
      <c r="AE405" s="16"/>
      <c r="AF405" s="16"/>
      <c r="AG405" s="16"/>
      <c r="AH405" s="16"/>
      <c r="AI405" s="16">
        <v>6</v>
      </c>
      <c r="AJ405" s="432"/>
      <c r="AK405" s="431"/>
      <c r="AL405" s="25"/>
      <c r="AM405" s="432"/>
      <c r="AN405" s="432"/>
      <c r="AO405" s="432"/>
      <c r="AP405" s="16" t="s">
        <v>160</v>
      </c>
      <c r="AQ405" s="16" t="s">
        <v>165</v>
      </c>
      <c r="AR405" s="130">
        <v>1404</v>
      </c>
      <c r="AS405" s="130">
        <v>9</v>
      </c>
      <c r="AT405" s="130">
        <v>1402</v>
      </c>
      <c r="AU405" s="130">
        <v>2</v>
      </c>
      <c r="AV405" s="12">
        <f t="shared" si="22"/>
        <v>31</v>
      </c>
      <c r="AW405" s="12" t="str">
        <f t="shared" si="23"/>
        <v/>
      </c>
      <c r="AX405" s="12"/>
      <c r="AY405" s="408"/>
    </row>
    <row r="406" spans="1:51" ht="30" hidden="1" customHeight="1" x14ac:dyDescent="0.2">
      <c r="A406" s="432">
        <v>404</v>
      </c>
      <c r="B406" s="432">
        <v>4</v>
      </c>
      <c r="C406" s="432">
        <v>9</v>
      </c>
      <c r="D406" s="16">
        <v>1404</v>
      </c>
      <c r="E406" s="431" t="s">
        <v>5934</v>
      </c>
      <c r="F406" s="431" t="s">
        <v>8</v>
      </c>
      <c r="G406" s="431" t="s">
        <v>3661</v>
      </c>
      <c r="H406" s="432" t="s">
        <v>83</v>
      </c>
      <c r="I406" s="360" t="s">
        <v>5479</v>
      </c>
      <c r="J406" s="16" t="s">
        <v>5577</v>
      </c>
      <c r="K406" s="431"/>
      <c r="L406" s="431" t="s">
        <v>104</v>
      </c>
      <c r="M406" s="431" t="s">
        <v>5935</v>
      </c>
      <c r="N406" s="41" t="s">
        <v>106</v>
      </c>
      <c r="O406" s="13" t="s">
        <v>107</v>
      </c>
      <c r="P406" s="13"/>
      <c r="Q406" s="13"/>
      <c r="R406" s="432"/>
      <c r="S406" s="432">
        <v>384</v>
      </c>
      <c r="T406" s="432">
        <v>7</v>
      </c>
      <c r="U406" s="431" t="s">
        <v>5938</v>
      </c>
      <c r="V406" s="41" t="s">
        <v>106</v>
      </c>
      <c r="W406" s="13" t="s">
        <v>107</v>
      </c>
      <c r="X406" s="431"/>
      <c r="Y406" s="432" t="s">
        <v>5939</v>
      </c>
      <c r="Z406" s="432" t="s">
        <v>3714</v>
      </c>
      <c r="AA406" s="432">
        <v>102</v>
      </c>
      <c r="AB406" s="16">
        <v>102</v>
      </c>
      <c r="AC406" s="16"/>
      <c r="AD406" s="16"/>
      <c r="AE406" s="16"/>
      <c r="AF406" s="16"/>
      <c r="AG406" s="16"/>
      <c r="AH406" s="16"/>
      <c r="AI406" s="16">
        <v>6</v>
      </c>
      <c r="AJ406" s="432"/>
      <c r="AK406" s="431"/>
      <c r="AL406" s="25"/>
      <c r="AM406" s="432"/>
      <c r="AN406" s="432"/>
      <c r="AO406" s="432"/>
      <c r="AP406" s="16" t="s">
        <v>5080</v>
      </c>
      <c r="AQ406" s="16" t="s">
        <v>112</v>
      </c>
      <c r="AR406" s="130">
        <v>1404</v>
      </c>
      <c r="AS406" s="130">
        <v>9</v>
      </c>
      <c r="AT406" s="130">
        <v>1399</v>
      </c>
      <c r="AU406" s="130">
        <v>4</v>
      </c>
      <c r="AV406" s="12">
        <f t="shared" si="22"/>
        <v>65</v>
      </c>
      <c r="AW406" s="12" t="str">
        <f t="shared" si="23"/>
        <v/>
      </c>
      <c r="AX406" s="12"/>
      <c r="AY406" s="408"/>
    </row>
    <row r="407" spans="1:51" ht="30" hidden="1" customHeight="1" x14ac:dyDescent="0.2">
      <c r="A407" s="432">
        <v>405</v>
      </c>
      <c r="B407" s="432">
        <v>5</v>
      </c>
      <c r="C407" s="432">
        <v>9</v>
      </c>
      <c r="D407" s="16">
        <v>1404</v>
      </c>
      <c r="E407" s="431" t="s">
        <v>5940</v>
      </c>
      <c r="F407" s="431" t="s">
        <v>243</v>
      </c>
      <c r="G407" s="431" t="s">
        <v>5608</v>
      </c>
      <c r="H407" s="432" t="s">
        <v>83</v>
      </c>
      <c r="I407" s="360" t="s">
        <v>5479</v>
      </c>
      <c r="J407" s="16" t="s">
        <v>84</v>
      </c>
      <c r="K407" s="431"/>
      <c r="L407" s="431" t="s">
        <v>226</v>
      </c>
      <c r="M407" s="431" t="s">
        <v>5941</v>
      </c>
      <c r="N407" s="41" t="s">
        <v>106</v>
      </c>
      <c r="O407" s="13" t="s">
        <v>107</v>
      </c>
      <c r="P407" s="13"/>
      <c r="Q407" s="13"/>
      <c r="R407" s="432"/>
      <c r="S407" s="432">
        <v>193</v>
      </c>
      <c r="T407" s="432">
        <v>13</v>
      </c>
      <c r="U407" s="431" t="s">
        <v>5942</v>
      </c>
      <c r="V407" s="41" t="s">
        <v>106</v>
      </c>
      <c r="W407" s="13" t="s">
        <v>107</v>
      </c>
      <c r="X407" s="431"/>
      <c r="Y407" s="432" t="s">
        <v>3526</v>
      </c>
      <c r="Z407" s="432">
        <v>243</v>
      </c>
      <c r="AA407" s="432">
        <v>232</v>
      </c>
      <c r="AB407" s="16">
        <v>232</v>
      </c>
      <c r="AC407" s="16"/>
      <c r="AD407" s="16"/>
      <c r="AE407" s="16"/>
      <c r="AF407" s="16"/>
      <c r="AG407" s="16"/>
      <c r="AH407" s="16"/>
      <c r="AI407" s="16">
        <v>4</v>
      </c>
      <c r="AJ407" s="432"/>
      <c r="AK407" s="431"/>
      <c r="AL407" s="25"/>
      <c r="AM407" s="432"/>
      <c r="AN407" s="432"/>
      <c r="AO407" s="432"/>
      <c r="AP407" s="16" t="s">
        <v>160</v>
      </c>
      <c r="AQ407" s="16" t="s">
        <v>231</v>
      </c>
      <c r="AR407" s="130">
        <v>1404</v>
      </c>
      <c r="AS407" s="130">
        <v>9</v>
      </c>
      <c r="AT407" s="130">
        <v>1402</v>
      </c>
      <c r="AU407" s="130">
        <v>4</v>
      </c>
      <c r="AV407" s="12">
        <f t="shared" si="22"/>
        <v>29</v>
      </c>
      <c r="AW407" s="12" t="str">
        <f t="shared" si="23"/>
        <v/>
      </c>
      <c r="AX407" s="12"/>
      <c r="AY407" s="408"/>
    </row>
    <row r="408" spans="1:51" ht="30" hidden="1" customHeight="1" x14ac:dyDescent="0.2">
      <c r="A408" s="432">
        <v>406</v>
      </c>
      <c r="B408" s="432">
        <v>5</v>
      </c>
      <c r="C408" s="432">
        <v>9</v>
      </c>
      <c r="D408" s="16">
        <v>1404</v>
      </c>
      <c r="E408" s="431" t="s">
        <v>3610</v>
      </c>
      <c r="F408" s="431" t="s">
        <v>6</v>
      </c>
      <c r="G408" s="431" t="s">
        <v>202</v>
      </c>
      <c r="H408" s="432" t="s">
        <v>83</v>
      </c>
      <c r="I408" s="360" t="s">
        <v>5479</v>
      </c>
      <c r="J408" s="16" t="s">
        <v>84</v>
      </c>
      <c r="K408" s="431"/>
      <c r="L408" s="431" t="s">
        <v>218</v>
      </c>
      <c r="M408" s="431" t="s">
        <v>1960</v>
      </c>
      <c r="N408" s="41" t="s">
        <v>106</v>
      </c>
      <c r="O408" s="13" t="s">
        <v>107</v>
      </c>
      <c r="P408" s="13"/>
      <c r="Q408" s="13"/>
      <c r="R408" s="432"/>
      <c r="S408" s="432">
        <v>345</v>
      </c>
      <c r="T408" s="432">
        <v>11</v>
      </c>
      <c r="U408" s="431" t="s">
        <v>3639</v>
      </c>
      <c r="V408" s="41" t="s">
        <v>106</v>
      </c>
      <c r="W408" s="13" t="s">
        <v>107</v>
      </c>
      <c r="X408" s="431"/>
      <c r="Y408" s="432" t="s">
        <v>5949</v>
      </c>
      <c r="Z408" s="432">
        <v>241</v>
      </c>
      <c r="AA408" s="432">
        <v>225</v>
      </c>
      <c r="AB408" s="16">
        <v>225</v>
      </c>
      <c r="AC408" s="16"/>
      <c r="AD408" s="16"/>
      <c r="AE408" s="16"/>
      <c r="AF408" s="16"/>
      <c r="AG408" s="16"/>
      <c r="AH408" s="16"/>
      <c r="AI408" s="16">
        <v>6</v>
      </c>
      <c r="AJ408" s="432"/>
      <c r="AK408" s="431"/>
      <c r="AL408" s="25"/>
      <c r="AM408" s="432"/>
      <c r="AN408" s="432"/>
      <c r="AO408" s="432"/>
      <c r="AP408" s="16" t="s">
        <v>160</v>
      </c>
      <c r="AQ408" s="16" t="s">
        <v>165</v>
      </c>
      <c r="AR408" s="130">
        <v>1404</v>
      </c>
      <c r="AS408" s="130">
        <v>9</v>
      </c>
      <c r="AT408" s="130">
        <v>1404</v>
      </c>
      <c r="AU408" s="130">
        <v>3</v>
      </c>
      <c r="AV408" s="12">
        <f t="shared" si="22"/>
        <v>6</v>
      </c>
      <c r="AW408" s="12">
        <f t="shared" si="23"/>
        <v>6</v>
      </c>
      <c r="AX408" s="12"/>
      <c r="AY408" s="408" t="s">
        <v>5950</v>
      </c>
    </row>
    <row r="409" spans="1:51" ht="30" hidden="1" customHeight="1" x14ac:dyDescent="0.2">
      <c r="A409" s="432">
        <v>407</v>
      </c>
      <c r="B409" s="432">
        <v>5</v>
      </c>
      <c r="C409" s="432">
        <v>9</v>
      </c>
      <c r="D409" s="16">
        <v>1404</v>
      </c>
      <c r="E409" s="431" t="s">
        <v>5934</v>
      </c>
      <c r="F409" s="431" t="s">
        <v>8</v>
      </c>
      <c r="G409" s="431"/>
      <c r="H409" s="432" t="s">
        <v>7</v>
      </c>
      <c r="I409" s="360" t="s">
        <v>5479</v>
      </c>
      <c r="J409" s="16" t="s">
        <v>5577</v>
      </c>
      <c r="K409" s="35" t="s">
        <v>104</v>
      </c>
      <c r="L409" s="35" t="s">
        <v>68</v>
      </c>
      <c r="M409" s="431" t="s">
        <v>5946</v>
      </c>
      <c r="N409" s="41" t="s">
        <v>106</v>
      </c>
      <c r="O409" s="13" t="s">
        <v>107</v>
      </c>
      <c r="P409" s="13"/>
      <c r="Q409" s="13"/>
      <c r="R409" s="33" t="s">
        <v>108</v>
      </c>
      <c r="S409" s="33">
        <v>384</v>
      </c>
      <c r="T409" s="33">
        <v>8</v>
      </c>
      <c r="U409" s="431" t="s">
        <v>5947</v>
      </c>
      <c r="V409" s="41" t="s">
        <v>142</v>
      </c>
      <c r="W409" s="13" t="s">
        <v>70</v>
      </c>
      <c r="X409" s="431"/>
      <c r="Y409" s="432" t="s">
        <v>5948</v>
      </c>
      <c r="Z409" s="432" t="s">
        <v>3714</v>
      </c>
      <c r="AA409" s="432">
        <v>102</v>
      </c>
      <c r="AB409" s="16">
        <v>144</v>
      </c>
      <c r="AC409" s="16">
        <v>67</v>
      </c>
      <c r="AD409" s="16">
        <v>84</v>
      </c>
      <c r="AE409" s="16">
        <v>5</v>
      </c>
      <c r="AF409" s="16">
        <v>55</v>
      </c>
      <c r="AG409" s="16">
        <v>144</v>
      </c>
      <c r="AH409" s="16">
        <v>25</v>
      </c>
      <c r="AI409" s="16">
        <v>6</v>
      </c>
      <c r="AJ409" s="432"/>
      <c r="AK409" s="431" t="s">
        <v>5945</v>
      </c>
      <c r="AL409" s="25">
        <v>144</v>
      </c>
      <c r="AM409" s="432">
        <v>26</v>
      </c>
      <c r="AN409" s="432"/>
      <c r="AO409" s="432"/>
      <c r="AP409" s="16" t="s">
        <v>5080</v>
      </c>
      <c r="AQ409" s="16" t="s">
        <v>112</v>
      </c>
      <c r="AR409" s="130">
        <v>1404</v>
      </c>
      <c r="AS409" s="130">
        <v>9</v>
      </c>
      <c r="AT409" s="130"/>
      <c r="AU409" s="130"/>
      <c r="AV409" s="12" t="str">
        <f t="shared" si="22"/>
        <v/>
      </c>
      <c r="AW409" s="12" t="str">
        <f t="shared" si="23"/>
        <v/>
      </c>
      <c r="AX409" s="12"/>
      <c r="AY409" s="408"/>
    </row>
    <row r="410" spans="1:51" ht="30" hidden="1" customHeight="1" x14ac:dyDescent="0.2">
      <c r="A410" s="432">
        <v>408</v>
      </c>
      <c r="B410" s="432">
        <v>5</v>
      </c>
      <c r="C410" s="432">
        <v>9</v>
      </c>
      <c r="D410" s="16">
        <v>1404</v>
      </c>
      <c r="E410" s="431" t="s">
        <v>5940</v>
      </c>
      <c r="F410" s="431" t="s">
        <v>8</v>
      </c>
      <c r="G410" s="431"/>
      <c r="H410" s="432" t="s">
        <v>7</v>
      </c>
      <c r="I410" s="360" t="s">
        <v>5479</v>
      </c>
      <c r="J410" s="16" t="s">
        <v>84</v>
      </c>
      <c r="K410" s="35" t="s">
        <v>226</v>
      </c>
      <c r="L410" s="35" t="s">
        <v>334</v>
      </c>
      <c r="M410" s="431" t="s">
        <v>5943</v>
      </c>
      <c r="N410" s="41" t="s">
        <v>106</v>
      </c>
      <c r="O410" s="13" t="s">
        <v>107</v>
      </c>
      <c r="P410" s="13"/>
      <c r="Q410" s="13"/>
      <c r="R410" s="33" t="s">
        <v>4772</v>
      </c>
      <c r="S410" s="33">
        <v>233</v>
      </c>
      <c r="T410" s="33">
        <v>12</v>
      </c>
      <c r="U410" s="431" t="s">
        <v>5944</v>
      </c>
      <c r="V410" s="41" t="s">
        <v>69</v>
      </c>
      <c r="W410" s="13" t="s">
        <v>70</v>
      </c>
      <c r="X410" s="431"/>
      <c r="Y410" s="432" t="s">
        <v>3526</v>
      </c>
      <c r="Z410" s="432">
        <v>243</v>
      </c>
      <c r="AA410" s="432">
        <v>232</v>
      </c>
      <c r="AB410" s="16">
        <v>232</v>
      </c>
      <c r="AC410" s="16">
        <v>50</v>
      </c>
      <c r="AD410" s="16">
        <v>146</v>
      </c>
      <c r="AE410" s="16">
        <v>7</v>
      </c>
      <c r="AF410" s="16">
        <v>10</v>
      </c>
      <c r="AG410" s="16">
        <v>163</v>
      </c>
      <c r="AH410" s="16">
        <v>6</v>
      </c>
      <c r="AI410" s="16">
        <v>4</v>
      </c>
      <c r="AJ410" s="432"/>
      <c r="AK410" s="431" t="s">
        <v>5945</v>
      </c>
      <c r="AL410" s="25">
        <v>163</v>
      </c>
      <c r="AM410" s="432">
        <v>7</v>
      </c>
      <c r="AN410" s="432"/>
      <c r="AO410" s="432"/>
      <c r="AP410" s="16" t="s">
        <v>5801</v>
      </c>
      <c r="AQ410" s="16" t="s">
        <v>231</v>
      </c>
      <c r="AR410" s="130">
        <v>1404</v>
      </c>
      <c r="AS410" s="130">
        <v>9</v>
      </c>
      <c r="AT410" s="130"/>
      <c r="AU410" s="130"/>
      <c r="AV410" s="12" t="str">
        <f t="shared" si="22"/>
        <v/>
      </c>
      <c r="AW410" s="12" t="str">
        <f t="shared" si="23"/>
        <v/>
      </c>
      <c r="AX410" s="12"/>
      <c r="AY410" s="408"/>
    </row>
    <row r="411" spans="1:51" ht="30" hidden="1" customHeight="1" x14ac:dyDescent="0.2">
      <c r="A411" s="432">
        <v>409</v>
      </c>
      <c r="B411" s="432">
        <v>6</v>
      </c>
      <c r="C411" s="432">
        <v>9</v>
      </c>
      <c r="D411" s="16">
        <v>1404</v>
      </c>
      <c r="E411" s="431" t="s">
        <v>3645</v>
      </c>
      <c r="F411" s="431" t="s">
        <v>2981</v>
      </c>
      <c r="G411" s="431" t="s">
        <v>5951</v>
      </c>
      <c r="H411" s="432" t="s">
        <v>7</v>
      </c>
      <c r="I411" s="360" t="s">
        <v>5479</v>
      </c>
      <c r="J411" s="16"/>
      <c r="K411" s="35" t="s">
        <v>141</v>
      </c>
      <c r="L411" s="35" t="s">
        <v>141</v>
      </c>
      <c r="M411" s="431" t="s">
        <v>5952</v>
      </c>
      <c r="N411" s="41" t="s">
        <v>106</v>
      </c>
      <c r="O411" s="13" t="s">
        <v>107</v>
      </c>
      <c r="P411" s="13"/>
      <c r="Q411" s="13"/>
      <c r="R411" s="33" t="s">
        <v>1051</v>
      </c>
      <c r="S411" s="33">
        <v>6608</v>
      </c>
      <c r="T411" s="33">
        <v>13</v>
      </c>
      <c r="U411" s="431" t="s">
        <v>5953</v>
      </c>
      <c r="V411" s="41" t="s">
        <v>106</v>
      </c>
      <c r="W411" s="13" t="s">
        <v>107</v>
      </c>
      <c r="X411" s="431"/>
      <c r="Y411" s="432" t="s">
        <v>5954</v>
      </c>
      <c r="Z411" s="432"/>
      <c r="AA411" s="432"/>
      <c r="AB411" s="16"/>
      <c r="AC411" s="16"/>
      <c r="AD411" s="16"/>
      <c r="AE411" s="16"/>
      <c r="AF411" s="16"/>
      <c r="AG411" s="16"/>
      <c r="AH411" s="16"/>
      <c r="AI411" s="16"/>
      <c r="AJ411" s="432"/>
      <c r="AK411" s="431"/>
      <c r="AL411" s="25"/>
      <c r="AM411" s="432"/>
      <c r="AN411" s="432"/>
      <c r="AO411" s="432"/>
      <c r="AP411" s="16"/>
      <c r="AQ411" s="16"/>
      <c r="AR411" s="130">
        <v>1404</v>
      </c>
      <c r="AS411" s="130">
        <v>9</v>
      </c>
      <c r="AT411" s="130"/>
      <c r="AU411" s="130"/>
      <c r="AV411" s="12" t="str">
        <f t="shared" si="22"/>
        <v/>
      </c>
      <c r="AW411" s="12" t="str">
        <f t="shared" si="23"/>
        <v/>
      </c>
      <c r="AX411" s="12"/>
      <c r="AY411" s="408"/>
    </row>
    <row r="412" spans="1:51" ht="30" hidden="1" customHeight="1" x14ac:dyDescent="0.2">
      <c r="A412" s="432">
        <v>410</v>
      </c>
      <c r="B412" s="432">
        <v>5</v>
      </c>
      <c r="C412" s="432">
        <v>9</v>
      </c>
      <c r="D412" s="16">
        <v>1404</v>
      </c>
      <c r="E412" s="431" t="s">
        <v>3037</v>
      </c>
      <c r="F412" s="431"/>
      <c r="G412" s="431"/>
      <c r="H412" s="432" t="s">
        <v>7</v>
      </c>
      <c r="I412" s="360" t="s">
        <v>5479</v>
      </c>
      <c r="J412" s="16" t="s">
        <v>84</v>
      </c>
      <c r="K412" s="431"/>
      <c r="L412" s="433" t="s">
        <v>117</v>
      </c>
      <c r="M412" s="433" t="s">
        <v>5955</v>
      </c>
      <c r="N412" s="41" t="s">
        <v>69</v>
      </c>
      <c r="O412" s="13" t="s">
        <v>70</v>
      </c>
      <c r="P412" s="13"/>
      <c r="Q412" s="13"/>
      <c r="R412" s="432"/>
      <c r="S412" s="434">
        <v>6608</v>
      </c>
      <c r="T412" s="434">
        <v>18</v>
      </c>
      <c r="U412" s="433" t="s">
        <v>5956</v>
      </c>
      <c r="V412" s="41" t="s">
        <v>106</v>
      </c>
      <c r="W412" s="13" t="s">
        <v>107</v>
      </c>
      <c r="X412" s="431"/>
      <c r="Y412" s="432"/>
      <c r="Z412" s="434">
        <v>234</v>
      </c>
      <c r="AA412" s="434">
        <v>222</v>
      </c>
      <c r="AB412" s="16">
        <v>222</v>
      </c>
      <c r="AC412" s="16">
        <v>169</v>
      </c>
      <c r="AD412" s="16">
        <v>195</v>
      </c>
      <c r="AE412" s="16">
        <v>2</v>
      </c>
      <c r="AF412" s="16">
        <v>25</v>
      </c>
      <c r="AG412" s="16">
        <v>222</v>
      </c>
      <c r="AH412" s="16">
        <v>10</v>
      </c>
      <c r="AI412" s="16">
        <v>6</v>
      </c>
      <c r="AJ412" s="432"/>
      <c r="AK412" s="431" t="s">
        <v>5957</v>
      </c>
      <c r="AL412" s="25">
        <v>222</v>
      </c>
      <c r="AM412" s="432">
        <v>10</v>
      </c>
      <c r="AN412" s="432"/>
      <c r="AO412" s="432"/>
      <c r="AP412" s="16" t="s">
        <v>160</v>
      </c>
      <c r="AQ412" s="16" t="s">
        <v>161</v>
      </c>
      <c r="AR412" s="130">
        <v>1404</v>
      </c>
      <c r="AS412" s="130">
        <v>9</v>
      </c>
      <c r="AT412" s="130"/>
      <c r="AU412" s="130"/>
      <c r="AV412" s="12" t="str">
        <f t="shared" si="22"/>
        <v/>
      </c>
      <c r="AW412" s="12" t="str">
        <f t="shared" si="23"/>
        <v/>
      </c>
      <c r="AX412" s="12"/>
      <c r="AY412" s="408"/>
    </row>
    <row r="413" spans="1:51" ht="30" hidden="1" customHeight="1" x14ac:dyDescent="0.2">
      <c r="A413" s="432">
        <v>411</v>
      </c>
      <c r="B413" s="432">
        <v>7</v>
      </c>
      <c r="C413" s="432">
        <v>9</v>
      </c>
      <c r="D413" s="16">
        <v>1404</v>
      </c>
      <c r="E413" s="431" t="s">
        <v>5958</v>
      </c>
      <c r="F413" s="431" t="s">
        <v>66</v>
      </c>
      <c r="G413" s="446"/>
      <c r="H413" s="432" t="s">
        <v>7</v>
      </c>
      <c r="I413" s="360" t="s">
        <v>5479</v>
      </c>
      <c r="J413" s="16" t="s">
        <v>84</v>
      </c>
      <c r="K413" s="431"/>
      <c r="L413" s="431" t="s">
        <v>5959</v>
      </c>
      <c r="M413" s="431" t="s">
        <v>5960</v>
      </c>
      <c r="N413" s="41" t="s">
        <v>262</v>
      </c>
      <c r="O413" s="13" t="s">
        <v>70</v>
      </c>
      <c r="P413" s="13"/>
      <c r="Q413" s="13"/>
      <c r="R413" s="432"/>
      <c r="S413" s="432">
        <v>152</v>
      </c>
      <c r="T413" s="432">
        <v>20</v>
      </c>
      <c r="U413" s="431" t="s">
        <v>5961</v>
      </c>
      <c r="V413" s="41" t="s">
        <v>262</v>
      </c>
      <c r="W413" s="13" t="s">
        <v>70</v>
      </c>
      <c r="X413" s="431"/>
      <c r="Y413" s="567" t="s">
        <v>5962</v>
      </c>
      <c r="Z413" s="568"/>
      <c r="AA413" s="568"/>
      <c r="AB413" s="568"/>
      <c r="AC413" s="568"/>
      <c r="AD413" s="568"/>
      <c r="AE413" s="568"/>
      <c r="AF413" s="568"/>
      <c r="AG413" s="568"/>
      <c r="AH413" s="569"/>
      <c r="AI413" s="16">
        <v>4</v>
      </c>
      <c r="AJ413" s="432"/>
      <c r="AK413" s="431"/>
      <c r="AL413" s="25"/>
      <c r="AM413" s="432"/>
      <c r="AN413" s="432"/>
      <c r="AO413" s="432"/>
      <c r="AP413" s="16" t="s">
        <v>5433</v>
      </c>
      <c r="AQ413" s="16" t="s">
        <v>228</v>
      </c>
      <c r="AR413" s="130">
        <v>1404</v>
      </c>
      <c r="AS413" s="130">
        <v>9</v>
      </c>
      <c r="AT413" s="130"/>
      <c r="AU413" s="130"/>
      <c r="AV413" s="12" t="str">
        <f t="shared" si="22"/>
        <v/>
      </c>
      <c r="AW413" s="12" t="str">
        <f t="shared" si="23"/>
        <v/>
      </c>
      <c r="AX413" s="12"/>
      <c r="AY413" s="408"/>
    </row>
    <row r="414" spans="1:51" ht="30" hidden="1" customHeight="1" x14ac:dyDescent="0.2">
      <c r="A414" s="432">
        <v>412</v>
      </c>
      <c r="B414" s="432">
        <v>8</v>
      </c>
      <c r="C414" s="432">
        <v>9</v>
      </c>
      <c r="D414" s="16">
        <v>1404</v>
      </c>
      <c r="E414" s="431" t="s">
        <v>5963</v>
      </c>
      <c r="F414" s="431" t="s">
        <v>243</v>
      </c>
      <c r="G414" s="431" t="s">
        <v>5991</v>
      </c>
      <c r="H414" s="432" t="s">
        <v>83</v>
      </c>
      <c r="I414" s="360" t="s">
        <v>5479</v>
      </c>
      <c r="J414" s="16" t="s">
        <v>5577</v>
      </c>
      <c r="K414" s="431"/>
      <c r="L414" s="431" t="s">
        <v>218</v>
      </c>
      <c r="M414" s="431" t="s">
        <v>854</v>
      </c>
      <c r="N414" s="41" t="s">
        <v>106</v>
      </c>
      <c r="O414" s="13" t="s">
        <v>107</v>
      </c>
      <c r="P414" s="13"/>
      <c r="Q414" s="13"/>
      <c r="R414" s="432"/>
      <c r="S414" s="432">
        <v>374</v>
      </c>
      <c r="T414" s="432">
        <v>7</v>
      </c>
      <c r="U414" s="431" t="s">
        <v>1284</v>
      </c>
      <c r="V414" s="41" t="s">
        <v>106</v>
      </c>
      <c r="W414" s="13" t="s">
        <v>107</v>
      </c>
      <c r="X414" s="431"/>
      <c r="Y414" s="432"/>
      <c r="Z414" s="432"/>
      <c r="AA414" s="432">
        <v>114</v>
      </c>
      <c r="AB414" s="16">
        <v>114</v>
      </c>
      <c r="AC414" s="16"/>
      <c r="AD414" s="16"/>
      <c r="AE414" s="16"/>
      <c r="AF414" s="16"/>
      <c r="AG414" s="16"/>
      <c r="AH414" s="16"/>
      <c r="AI414" s="16">
        <v>6</v>
      </c>
      <c r="AJ414" s="432"/>
      <c r="AK414" s="431"/>
      <c r="AL414" s="25"/>
      <c r="AM414" s="432"/>
      <c r="AN414" s="432"/>
      <c r="AO414" s="432"/>
      <c r="AP414" s="16" t="s">
        <v>5080</v>
      </c>
      <c r="AQ414" s="16" t="s">
        <v>112</v>
      </c>
      <c r="AR414" s="130">
        <v>1404</v>
      </c>
      <c r="AS414" s="130">
        <v>9</v>
      </c>
      <c r="AT414" s="130"/>
      <c r="AU414" s="130"/>
      <c r="AV414" s="12" t="str">
        <f t="shared" si="22"/>
        <v/>
      </c>
      <c r="AW414" s="12" t="str">
        <f t="shared" si="23"/>
        <v/>
      </c>
      <c r="AX414" s="12"/>
      <c r="AY414" s="408"/>
    </row>
    <row r="415" spans="1:51" ht="30" hidden="1" customHeight="1" x14ac:dyDescent="0.2">
      <c r="A415" s="432">
        <v>413</v>
      </c>
      <c r="B415" s="432">
        <v>8</v>
      </c>
      <c r="C415" s="432">
        <v>9</v>
      </c>
      <c r="D415" s="16">
        <v>1404</v>
      </c>
      <c r="E415" s="431" t="s">
        <v>5964</v>
      </c>
      <c r="F415" s="431" t="s">
        <v>20</v>
      </c>
      <c r="G415" s="431" t="s">
        <v>222</v>
      </c>
      <c r="H415" s="432" t="s">
        <v>83</v>
      </c>
      <c r="I415" s="360" t="s">
        <v>5479</v>
      </c>
      <c r="J415" s="16" t="s">
        <v>84</v>
      </c>
      <c r="K415" s="431"/>
      <c r="L415" s="431" t="s">
        <v>140</v>
      </c>
      <c r="M415" s="431"/>
      <c r="N415" s="41" t="s">
        <v>106</v>
      </c>
      <c r="O415" s="13" t="s">
        <v>107</v>
      </c>
      <c r="P415" s="13"/>
      <c r="Q415" s="13"/>
      <c r="R415" s="432" t="s">
        <v>3714</v>
      </c>
      <c r="S415" s="432">
        <v>6608</v>
      </c>
      <c r="T415" s="432">
        <v>16</v>
      </c>
      <c r="U415" s="431"/>
      <c r="V415" s="41" t="s">
        <v>106</v>
      </c>
      <c r="W415" s="13" t="s">
        <v>107</v>
      </c>
      <c r="X415" s="431"/>
      <c r="Y415" s="432" t="s">
        <v>4087</v>
      </c>
      <c r="Z415" s="432">
        <v>173</v>
      </c>
      <c r="AA415" s="432">
        <v>162</v>
      </c>
      <c r="AB415" s="16">
        <v>162</v>
      </c>
      <c r="AC415" s="16"/>
      <c r="AD415" s="16"/>
      <c r="AE415" s="16"/>
      <c r="AF415" s="16"/>
      <c r="AG415" s="16"/>
      <c r="AH415" s="16"/>
      <c r="AI415" s="16">
        <v>4</v>
      </c>
      <c r="AJ415" s="432"/>
      <c r="AK415" s="431"/>
      <c r="AL415" s="25"/>
      <c r="AM415" s="432"/>
      <c r="AN415" s="432"/>
      <c r="AO415" s="432"/>
      <c r="AP415" s="16"/>
      <c r="AQ415" s="16"/>
      <c r="AR415" s="130">
        <v>1404</v>
      </c>
      <c r="AS415" s="130">
        <v>9</v>
      </c>
      <c r="AT415" s="130">
        <v>1402</v>
      </c>
      <c r="AU415" s="130">
        <v>9</v>
      </c>
      <c r="AV415" s="12">
        <f t="shared" ref="AV415:AV474" si="24">IF(AR415*AT415&gt;0,(AR415-AT415)*12+(AS415-AU415),"")</f>
        <v>24</v>
      </c>
      <c r="AW415" s="12" t="str">
        <f t="shared" ref="AW415:AW476" si="25">IF(AV415&lt;13,AV415,"")</f>
        <v/>
      </c>
      <c r="AX415" s="12"/>
      <c r="AY415" s="408"/>
    </row>
    <row r="416" spans="1:51" ht="30" hidden="1" customHeight="1" x14ac:dyDescent="0.2">
      <c r="A416" s="432">
        <v>414</v>
      </c>
      <c r="B416" s="432">
        <v>9</v>
      </c>
      <c r="C416" s="432">
        <v>9</v>
      </c>
      <c r="D416" s="16">
        <v>1404</v>
      </c>
      <c r="E416" s="431" t="s">
        <v>5966</v>
      </c>
      <c r="F416" s="431" t="s">
        <v>66</v>
      </c>
      <c r="G416" s="431"/>
      <c r="H416" s="432" t="s">
        <v>7</v>
      </c>
      <c r="I416" s="360" t="s">
        <v>5479</v>
      </c>
      <c r="J416" s="16" t="s">
        <v>84</v>
      </c>
      <c r="K416" s="431"/>
      <c r="L416" s="431" t="s">
        <v>68</v>
      </c>
      <c r="M416" s="431"/>
      <c r="N416" s="41" t="s">
        <v>69</v>
      </c>
      <c r="O416" s="13" t="s">
        <v>70</v>
      </c>
      <c r="P416" s="13"/>
      <c r="Q416" s="13"/>
      <c r="R416" s="432" t="s">
        <v>3714</v>
      </c>
      <c r="S416" s="432">
        <v>293</v>
      </c>
      <c r="T416" s="432">
        <v>16</v>
      </c>
      <c r="U416" s="431"/>
      <c r="V416" s="41" t="s">
        <v>69</v>
      </c>
      <c r="W416" s="13" t="s">
        <v>70</v>
      </c>
      <c r="X416" s="431"/>
      <c r="Y416" s="432"/>
      <c r="Z416" s="432">
        <v>250</v>
      </c>
      <c r="AA416" s="432" t="s">
        <v>3714</v>
      </c>
      <c r="AB416" s="16">
        <v>234</v>
      </c>
      <c r="AC416" s="16"/>
      <c r="AD416" s="16"/>
      <c r="AE416" s="16"/>
      <c r="AF416" s="16"/>
      <c r="AG416" s="16"/>
      <c r="AH416" s="16"/>
      <c r="AI416" s="16">
        <v>6</v>
      </c>
      <c r="AJ416" s="432"/>
      <c r="AK416" s="431" t="s">
        <v>5972</v>
      </c>
      <c r="AL416" s="25"/>
      <c r="AM416" s="432"/>
      <c r="AN416" s="432"/>
      <c r="AO416" s="432"/>
      <c r="AP416" s="16"/>
      <c r="AQ416" s="16"/>
      <c r="AR416" s="130">
        <v>1404</v>
      </c>
      <c r="AS416" s="130">
        <v>9</v>
      </c>
      <c r="AT416" s="130"/>
      <c r="AU416" s="130"/>
      <c r="AV416" s="12" t="str">
        <f t="shared" si="24"/>
        <v/>
      </c>
      <c r="AW416" s="12" t="str">
        <f t="shared" si="25"/>
        <v/>
      </c>
      <c r="AX416" s="12"/>
      <c r="AY416" s="408"/>
    </row>
    <row r="417" spans="1:51" ht="30" hidden="1" customHeight="1" x14ac:dyDescent="0.2">
      <c r="A417" s="432">
        <v>415</v>
      </c>
      <c r="B417" s="432">
        <v>9</v>
      </c>
      <c r="C417" s="432">
        <v>9</v>
      </c>
      <c r="D417" s="16">
        <v>1404</v>
      </c>
      <c r="E417" s="431" t="s">
        <v>2293</v>
      </c>
      <c r="F417" s="431" t="s">
        <v>8</v>
      </c>
      <c r="G417" s="431" t="s">
        <v>5817</v>
      </c>
      <c r="H417" s="432" t="s">
        <v>7</v>
      </c>
      <c r="I417" s="360" t="s">
        <v>5479</v>
      </c>
      <c r="J417" s="16" t="s">
        <v>3439</v>
      </c>
      <c r="K417" s="431"/>
      <c r="L417" s="431" t="s">
        <v>68</v>
      </c>
      <c r="M417" s="431" t="s">
        <v>5973</v>
      </c>
      <c r="N417" s="41" t="s">
        <v>69</v>
      </c>
      <c r="O417" s="13" t="s">
        <v>70</v>
      </c>
      <c r="P417" s="13"/>
      <c r="Q417" s="13"/>
      <c r="R417" s="432"/>
      <c r="S417" s="432">
        <v>293</v>
      </c>
      <c r="T417" s="432">
        <v>17</v>
      </c>
      <c r="U417" s="431" t="s">
        <v>5974</v>
      </c>
      <c r="V417" s="41" t="s">
        <v>106</v>
      </c>
      <c r="W417" s="13" t="s">
        <v>107</v>
      </c>
      <c r="X417" s="431"/>
      <c r="Y417" s="432"/>
      <c r="Z417" s="432">
        <v>250</v>
      </c>
      <c r="AA417" s="432"/>
      <c r="AB417" s="16">
        <v>234</v>
      </c>
      <c r="AC417" s="16">
        <v>79</v>
      </c>
      <c r="AD417" s="16">
        <v>166</v>
      </c>
      <c r="AE417" s="16">
        <v>3</v>
      </c>
      <c r="AF417" s="16">
        <v>85</v>
      </c>
      <c r="AG417" s="16">
        <v>254</v>
      </c>
      <c r="AH417" s="16">
        <v>15</v>
      </c>
      <c r="AI417" s="16">
        <v>6</v>
      </c>
      <c r="AJ417" s="432"/>
      <c r="AK417" s="431" t="s">
        <v>5975</v>
      </c>
      <c r="AL417" s="25">
        <v>254</v>
      </c>
      <c r="AM417" s="432">
        <v>15</v>
      </c>
      <c r="AN417" s="432"/>
      <c r="AO417" s="432"/>
      <c r="AP417" s="16" t="s">
        <v>160</v>
      </c>
      <c r="AQ417" s="16" t="s">
        <v>193</v>
      </c>
      <c r="AR417" s="130">
        <v>1404</v>
      </c>
      <c r="AS417" s="130">
        <v>9</v>
      </c>
      <c r="AT417" s="130"/>
      <c r="AU417" s="130"/>
      <c r="AV417" s="12" t="str">
        <f t="shared" si="24"/>
        <v/>
      </c>
      <c r="AW417" s="12" t="str">
        <f t="shared" si="25"/>
        <v/>
      </c>
      <c r="AX417" s="12"/>
      <c r="AY417" s="408"/>
    </row>
    <row r="418" spans="1:51" ht="30" hidden="1" customHeight="1" x14ac:dyDescent="0.2">
      <c r="A418" s="432">
        <v>416</v>
      </c>
      <c r="B418" s="432">
        <v>10</v>
      </c>
      <c r="C418" s="432">
        <v>9</v>
      </c>
      <c r="D418" s="16">
        <v>1404</v>
      </c>
      <c r="E418" s="438" t="s">
        <v>5967</v>
      </c>
      <c r="F418" s="438" t="s">
        <v>5976</v>
      </c>
      <c r="G418" s="438" t="s">
        <v>922</v>
      </c>
      <c r="H418" s="437" t="s">
        <v>83</v>
      </c>
      <c r="I418" s="360" t="s">
        <v>5479</v>
      </c>
      <c r="J418" s="16" t="s">
        <v>5577</v>
      </c>
      <c r="K418" s="431"/>
      <c r="L418" s="431" t="s">
        <v>104</v>
      </c>
      <c r="M418" s="431"/>
      <c r="N418" s="41" t="s">
        <v>106</v>
      </c>
      <c r="O418" s="13" t="s">
        <v>107</v>
      </c>
      <c r="P418" s="13"/>
      <c r="Q418" s="13"/>
      <c r="R418" s="432"/>
      <c r="S418" s="432">
        <v>384</v>
      </c>
      <c r="T418" s="432">
        <v>7</v>
      </c>
      <c r="U418" s="431"/>
      <c r="V418" s="41" t="s">
        <v>106</v>
      </c>
      <c r="W418" s="13" t="s">
        <v>107</v>
      </c>
      <c r="X418" s="431"/>
      <c r="Y418" s="432"/>
      <c r="Z418" s="432">
        <v>213</v>
      </c>
      <c r="AA418" s="432">
        <v>210</v>
      </c>
      <c r="AB418" s="16">
        <v>210</v>
      </c>
      <c r="AC418" s="16"/>
      <c r="AD418" s="16"/>
      <c r="AE418" s="16"/>
      <c r="AF418" s="16"/>
      <c r="AG418" s="16"/>
      <c r="AH418" s="16"/>
      <c r="AI418" s="16">
        <v>6</v>
      </c>
      <c r="AJ418" s="432"/>
      <c r="AK418" s="431"/>
      <c r="AL418" s="25"/>
      <c r="AM418" s="432"/>
      <c r="AN418" s="432"/>
      <c r="AO418" s="432"/>
      <c r="AP418" s="16" t="s">
        <v>160</v>
      </c>
      <c r="AQ418" s="16" t="s">
        <v>193</v>
      </c>
      <c r="AR418" s="130">
        <v>1404</v>
      </c>
      <c r="AS418" s="130">
        <v>9</v>
      </c>
      <c r="AT418" s="130"/>
      <c r="AU418" s="130"/>
      <c r="AV418" s="12" t="str">
        <f t="shared" si="24"/>
        <v/>
      </c>
      <c r="AW418" s="12" t="str">
        <f t="shared" si="25"/>
        <v/>
      </c>
      <c r="AX418" s="12"/>
      <c r="AY418" s="408"/>
    </row>
    <row r="419" spans="1:51" ht="30" hidden="1" customHeight="1" x14ac:dyDescent="0.2">
      <c r="A419" s="432">
        <v>417</v>
      </c>
      <c r="B419" s="432">
        <v>10</v>
      </c>
      <c r="C419" s="432">
        <v>9</v>
      </c>
      <c r="D419" s="16">
        <v>1404</v>
      </c>
      <c r="E419" s="431" t="s">
        <v>4055</v>
      </c>
      <c r="F419" s="431" t="s">
        <v>10</v>
      </c>
      <c r="G419" s="431" t="s">
        <v>185</v>
      </c>
      <c r="H419" s="432" t="s">
        <v>83</v>
      </c>
      <c r="I419" s="360" t="s">
        <v>5479</v>
      </c>
      <c r="J419" s="16" t="s">
        <v>5577</v>
      </c>
      <c r="K419" s="431"/>
      <c r="L419" s="431" t="s">
        <v>68</v>
      </c>
      <c r="M419" s="431"/>
      <c r="N419" s="41" t="s">
        <v>106</v>
      </c>
      <c r="O419" s="13" t="s">
        <v>107</v>
      </c>
      <c r="P419" s="13"/>
      <c r="Q419" s="13"/>
      <c r="R419" s="432"/>
      <c r="S419" s="432">
        <v>6611</v>
      </c>
      <c r="T419" s="432">
        <v>14</v>
      </c>
      <c r="U419" s="431"/>
      <c r="V419" s="41" t="s">
        <v>106</v>
      </c>
      <c r="W419" s="13" t="s">
        <v>107</v>
      </c>
      <c r="X419" s="431"/>
      <c r="Y419" s="432" t="s">
        <v>4180</v>
      </c>
      <c r="Z419" s="432">
        <v>227</v>
      </c>
      <c r="AA419" s="432">
        <v>213</v>
      </c>
      <c r="AB419" s="16">
        <v>213</v>
      </c>
      <c r="AC419" s="16"/>
      <c r="AD419" s="16"/>
      <c r="AE419" s="16"/>
      <c r="AF419" s="16"/>
      <c r="AG419" s="16"/>
      <c r="AH419" s="16"/>
      <c r="AI419" s="16">
        <v>6</v>
      </c>
      <c r="AJ419" s="432"/>
      <c r="AK419" s="431"/>
      <c r="AL419" s="25"/>
      <c r="AM419" s="432"/>
      <c r="AN419" s="432"/>
      <c r="AO419" s="432"/>
      <c r="AP419" s="16" t="s">
        <v>160</v>
      </c>
      <c r="AQ419" s="16" t="s">
        <v>193</v>
      </c>
      <c r="AR419" s="130">
        <v>1404</v>
      </c>
      <c r="AS419" s="130">
        <v>9</v>
      </c>
      <c r="AT419" s="130">
        <v>1402</v>
      </c>
      <c r="AU419" s="130">
        <v>10</v>
      </c>
      <c r="AV419" s="12">
        <f t="shared" si="24"/>
        <v>23</v>
      </c>
      <c r="AW419" s="12" t="str">
        <f t="shared" si="25"/>
        <v/>
      </c>
      <c r="AX419" s="12"/>
      <c r="AY419" s="408"/>
    </row>
    <row r="420" spans="1:51" ht="30" hidden="1" customHeight="1" x14ac:dyDescent="0.2">
      <c r="A420" s="432">
        <v>418</v>
      </c>
      <c r="B420" s="432">
        <v>11</v>
      </c>
      <c r="C420" s="432">
        <v>9</v>
      </c>
      <c r="D420" s="16">
        <v>1404</v>
      </c>
      <c r="E420" s="431" t="s">
        <v>5968</v>
      </c>
      <c r="F420" s="431" t="s">
        <v>2981</v>
      </c>
      <c r="G420" s="431"/>
      <c r="H420" s="432" t="s">
        <v>83</v>
      </c>
      <c r="I420" s="360" t="s">
        <v>5479</v>
      </c>
      <c r="J420" s="16" t="s">
        <v>67</v>
      </c>
      <c r="K420" s="431"/>
      <c r="L420" s="431" t="s">
        <v>141</v>
      </c>
      <c r="M420" s="431"/>
      <c r="N420" s="41" t="s">
        <v>106</v>
      </c>
      <c r="O420" s="13" t="s">
        <v>107</v>
      </c>
      <c r="P420" s="13"/>
      <c r="Q420" s="13"/>
      <c r="R420" s="432"/>
      <c r="S420" s="432">
        <v>345</v>
      </c>
      <c r="T420" s="432">
        <v>4</v>
      </c>
      <c r="U420" s="431"/>
      <c r="V420" s="41" t="s">
        <v>106</v>
      </c>
      <c r="W420" s="13" t="s">
        <v>107</v>
      </c>
      <c r="X420" s="431"/>
      <c r="Y420" s="432" t="s">
        <v>5977</v>
      </c>
      <c r="Z420" s="432">
        <v>169</v>
      </c>
      <c r="AA420" s="432">
        <v>90</v>
      </c>
      <c r="AB420" s="16">
        <v>90</v>
      </c>
      <c r="AC420" s="16"/>
      <c r="AD420" s="16"/>
      <c r="AE420" s="16"/>
      <c r="AF420" s="16"/>
      <c r="AG420" s="16"/>
      <c r="AH420" s="16"/>
      <c r="AI420" s="16">
        <v>6</v>
      </c>
      <c r="AJ420" s="432"/>
      <c r="AK420" s="431"/>
      <c r="AL420" s="25"/>
      <c r="AM420" s="432"/>
      <c r="AN420" s="432"/>
      <c r="AO420" s="432"/>
      <c r="AP420" s="16"/>
      <c r="AQ420" s="16"/>
      <c r="AR420" s="130">
        <v>1404</v>
      </c>
      <c r="AS420" s="130">
        <v>9</v>
      </c>
      <c r="AT420" s="130">
        <v>1393</v>
      </c>
      <c r="AU420" s="130">
        <v>4</v>
      </c>
      <c r="AV420" s="12">
        <f t="shared" si="24"/>
        <v>137</v>
      </c>
      <c r="AW420" s="12" t="str">
        <f t="shared" si="25"/>
        <v/>
      </c>
      <c r="AX420" s="12"/>
      <c r="AY420" s="408"/>
    </row>
    <row r="421" spans="1:51" ht="30" hidden="1" customHeight="1" x14ac:dyDescent="0.2">
      <c r="A421" s="437">
        <v>419</v>
      </c>
      <c r="B421" s="437">
        <v>11</v>
      </c>
      <c r="C421" s="437">
        <v>9</v>
      </c>
      <c r="D421" s="16">
        <v>1404</v>
      </c>
      <c r="E421" s="438" t="s">
        <v>5969</v>
      </c>
      <c r="F421" s="438" t="s">
        <v>5976</v>
      </c>
      <c r="G421" s="438"/>
      <c r="H421" s="437" t="s">
        <v>7</v>
      </c>
      <c r="I421" s="360" t="s">
        <v>5479</v>
      </c>
      <c r="J421" s="16" t="s">
        <v>5577</v>
      </c>
      <c r="K421" s="438"/>
      <c r="L421" s="438" t="s">
        <v>104</v>
      </c>
      <c r="M421" s="438" t="s">
        <v>5978</v>
      </c>
      <c r="N421" s="41" t="s">
        <v>69</v>
      </c>
      <c r="O421" s="13" t="s">
        <v>70</v>
      </c>
      <c r="P421" s="13"/>
      <c r="Q421" s="13"/>
      <c r="R421" s="437"/>
      <c r="S421" s="437">
        <v>384</v>
      </c>
      <c r="T421" s="437">
        <v>7</v>
      </c>
      <c r="U421" s="438" t="s">
        <v>5979</v>
      </c>
      <c r="V421" s="41" t="s">
        <v>142</v>
      </c>
      <c r="W421" s="13" t="s">
        <v>70</v>
      </c>
      <c r="X421" s="438"/>
      <c r="Y421" s="437"/>
      <c r="Z421" s="437">
        <v>213</v>
      </c>
      <c r="AA421" s="437"/>
      <c r="AB421" s="16">
        <v>210</v>
      </c>
      <c r="AC421" s="16">
        <v>95</v>
      </c>
      <c r="AD421" s="16">
        <v>102</v>
      </c>
      <c r="AE421" s="16">
        <v>6</v>
      </c>
      <c r="AF421" s="16">
        <v>5</v>
      </c>
      <c r="AG421" s="16">
        <v>113</v>
      </c>
      <c r="AH421" s="16">
        <v>30</v>
      </c>
      <c r="AI421" s="16">
        <v>6</v>
      </c>
      <c r="AJ421" s="437"/>
      <c r="AK421" s="438" t="s">
        <v>5975</v>
      </c>
      <c r="AL421" s="25">
        <v>113</v>
      </c>
      <c r="AM421" s="437">
        <v>30</v>
      </c>
      <c r="AN421" s="437"/>
      <c r="AO421" s="437"/>
      <c r="AP421" s="16" t="s">
        <v>160</v>
      </c>
      <c r="AQ421" s="16" t="s">
        <v>193</v>
      </c>
      <c r="AR421" s="130">
        <v>1404</v>
      </c>
      <c r="AS421" s="130">
        <v>9</v>
      </c>
      <c r="AT421" s="130"/>
      <c r="AU421" s="130"/>
      <c r="AV421" s="12" t="str">
        <f t="shared" si="24"/>
        <v/>
      </c>
      <c r="AW421" s="12" t="str">
        <f t="shared" si="25"/>
        <v/>
      </c>
      <c r="AX421" s="12"/>
      <c r="AY421" s="408"/>
    </row>
    <row r="422" spans="1:51" ht="30" hidden="1" customHeight="1" x14ac:dyDescent="0.2">
      <c r="A422" s="432">
        <v>420</v>
      </c>
      <c r="B422" s="432">
        <v>11</v>
      </c>
      <c r="C422" s="432">
        <v>9</v>
      </c>
      <c r="D422" s="16">
        <v>1404</v>
      </c>
      <c r="E422" s="431" t="s">
        <v>5970</v>
      </c>
      <c r="F422" s="431" t="s">
        <v>66</v>
      </c>
      <c r="G422" s="431" t="s">
        <v>90</v>
      </c>
      <c r="H422" s="432" t="s">
        <v>7</v>
      </c>
      <c r="I422" s="360" t="s">
        <v>5479</v>
      </c>
      <c r="J422" s="16" t="s">
        <v>84</v>
      </c>
      <c r="K422" s="431"/>
      <c r="L422" s="431" t="s">
        <v>769</v>
      </c>
      <c r="M422" s="431"/>
      <c r="N422" s="41" t="s">
        <v>69</v>
      </c>
      <c r="O422" s="13" t="s">
        <v>70</v>
      </c>
      <c r="P422" s="13"/>
      <c r="Q422" s="13"/>
      <c r="R422" s="432"/>
      <c r="S422" s="432">
        <v>193</v>
      </c>
      <c r="T422" s="432">
        <v>13</v>
      </c>
      <c r="U422" s="431"/>
      <c r="V422" s="41" t="s">
        <v>69</v>
      </c>
      <c r="W422" s="13" t="s">
        <v>70</v>
      </c>
      <c r="X422" s="431"/>
      <c r="Y422" s="432" t="s">
        <v>5972</v>
      </c>
      <c r="Z422" s="432"/>
      <c r="AA422" s="432"/>
      <c r="AB422" s="16"/>
      <c r="AC422" s="16"/>
      <c r="AD422" s="16"/>
      <c r="AE422" s="16"/>
      <c r="AF422" s="16"/>
      <c r="AG422" s="16"/>
      <c r="AH422" s="16"/>
      <c r="AI422" s="16"/>
      <c r="AJ422" s="432"/>
      <c r="AK422" s="431"/>
      <c r="AL422" s="25"/>
      <c r="AM422" s="432"/>
      <c r="AN422" s="432"/>
      <c r="AO422" s="432"/>
      <c r="AP422" s="16"/>
      <c r="AQ422" s="16"/>
      <c r="AR422" s="130">
        <v>1404</v>
      </c>
      <c r="AS422" s="130">
        <v>9</v>
      </c>
      <c r="AT422" s="130"/>
      <c r="AU422" s="130"/>
      <c r="AV422" s="12" t="str">
        <f t="shared" si="24"/>
        <v/>
      </c>
      <c r="AW422" s="12" t="str">
        <f t="shared" si="25"/>
        <v/>
      </c>
      <c r="AX422" s="12"/>
      <c r="AY422" s="408"/>
    </row>
    <row r="423" spans="1:51" ht="30" hidden="1" customHeight="1" x14ac:dyDescent="0.2">
      <c r="A423" s="432">
        <v>421</v>
      </c>
      <c r="B423" s="432">
        <v>13</v>
      </c>
      <c r="C423" s="432">
        <v>9</v>
      </c>
      <c r="D423" s="16">
        <v>1404</v>
      </c>
      <c r="E423" s="431" t="s">
        <v>5967</v>
      </c>
      <c r="F423" s="431" t="s">
        <v>5976</v>
      </c>
      <c r="G423" s="431" t="s">
        <v>922</v>
      </c>
      <c r="H423" s="432" t="s">
        <v>7</v>
      </c>
      <c r="I423" s="360" t="s">
        <v>5479</v>
      </c>
      <c r="J423" s="16" t="s">
        <v>5577</v>
      </c>
      <c r="K423" s="431"/>
      <c r="L423" s="431" t="s">
        <v>104</v>
      </c>
      <c r="M423" s="431" t="s">
        <v>5980</v>
      </c>
      <c r="N423" s="41" t="s">
        <v>106</v>
      </c>
      <c r="O423" s="13" t="s">
        <v>107</v>
      </c>
      <c r="P423" s="13"/>
      <c r="Q423" s="13"/>
      <c r="R423" s="432"/>
      <c r="S423" s="432">
        <v>384</v>
      </c>
      <c r="T423" s="432">
        <v>7</v>
      </c>
      <c r="U423" s="431" t="s">
        <v>5981</v>
      </c>
      <c r="V423" s="41" t="s">
        <v>106</v>
      </c>
      <c r="W423" s="13" t="s">
        <v>107</v>
      </c>
      <c r="X423" s="431"/>
      <c r="Y423" s="432" t="s">
        <v>6013</v>
      </c>
      <c r="Z423" s="432">
        <v>213</v>
      </c>
      <c r="AA423" s="432"/>
      <c r="AB423" s="16">
        <v>201</v>
      </c>
      <c r="AC423" s="16">
        <v>94</v>
      </c>
      <c r="AD423" s="16">
        <v>103</v>
      </c>
      <c r="AE423" s="16">
        <v>6</v>
      </c>
      <c r="AF423" s="16">
        <v>5</v>
      </c>
      <c r="AG423" s="16">
        <v>114</v>
      </c>
      <c r="AH423" s="16">
        <v>31</v>
      </c>
      <c r="AI423" s="16">
        <v>6</v>
      </c>
      <c r="AJ423" s="432"/>
      <c r="AK423" s="431" t="s">
        <v>5982</v>
      </c>
      <c r="AL423" s="25">
        <v>114</v>
      </c>
      <c r="AM423" s="432">
        <v>31</v>
      </c>
      <c r="AN423" s="432"/>
      <c r="AO423" s="432"/>
      <c r="AP423" s="16" t="s">
        <v>5801</v>
      </c>
      <c r="AQ423" s="16" t="s">
        <v>193</v>
      </c>
      <c r="AR423" s="130">
        <v>1404</v>
      </c>
      <c r="AS423" s="130">
        <v>9</v>
      </c>
      <c r="AT423" s="130"/>
      <c r="AU423" s="130"/>
      <c r="AV423" s="12" t="str">
        <f t="shared" si="24"/>
        <v/>
      </c>
      <c r="AW423" s="12" t="str">
        <f t="shared" si="25"/>
        <v/>
      </c>
      <c r="AX423" s="12"/>
      <c r="AY423" s="408"/>
    </row>
    <row r="424" spans="1:51" ht="30" hidden="1" customHeight="1" x14ac:dyDescent="0.2">
      <c r="A424" s="432">
        <v>422</v>
      </c>
      <c r="B424" s="432">
        <v>14</v>
      </c>
      <c r="C424" s="432">
        <v>9</v>
      </c>
      <c r="D424" s="16">
        <v>1404</v>
      </c>
      <c r="E424" s="431" t="s">
        <v>1708</v>
      </c>
      <c r="F424" s="431" t="s">
        <v>2981</v>
      </c>
      <c r="G424" s="431" t="s">
        <v>3661</v>
      </c>
      <c r="H424" s="432" t="s">
        <v>83</v>
      </c>
      <c r="I424" s="360" t="s">
        <v>5479</v>
      </c>
      <c r="J424" s="16" t="s">
        <v>84</v>
      </c>
      <c r="K424" s="431"/>
      <c r="L424" s="431" t="s">
        <v>68</v>
      </c>
      <c r="M424" s="431" t="s">
        <v>6011</v>
      </c>
      <c r="N424" s="41" t="s">
        <v>106</v>
      </c>
      <c r="O424" s="13" t="s">
        <v>107</v>
      </c>
      <c r="P424" s="13"/>
      <c r="Q424" s="13"/>
      <c r="R424" s="432"/>
      <c r="S424" s="432">
        <v>374</v>
      </c>
      <c r="T424" s="432">
        <v>6</v>
      </c>
      <c r="U424" s="431" t="s">
        <v>6012</v>
      </c>
      <c r="V424" s="41" t="s">
        <v>106</v>
      </c>
      <c r="W424" s="13" t="s">
        <v>107</v>
      </c>
      <c r="X424" s="431"/>
      <c r="Y424" s="432"/>
      <c r="Z424" s="432"/>
      <c r="AA424" s="432"/>
      <c r="AB424" s="16"/>
      <c r="AC424" s="16"/>
      <c r="AD424" s="16"/>
      <c r="AE424" s="16"/>
      <c r="AF424" s="16"/>
      <c r="AG424" s="16"/>
      <c r="AH424" s="16"/>
      <c r="AI424" s="16"/>
      <c r="AJ424" s="432"/>
      <c r="AK424" s="431"/>
      <c r="AL424" s="25"/>
      <c r="AM424" s="432"/>
      <c r="AN424" s="432"/>
      <c r="AO424" s="432"/>
      <c r="AP424" s="16"/>
      <c r="AQ424" s="16"/>
      <c r="AR424" s="130">
        <v>1404</v>
      </c>
      <c r="AS424" s="130">
        <v>9</v>
      </c>
      <c r="AT424" s="130"/>
      <c r="AU424" s="130"/>
      <c r="AV424" s="12" t="str">
        <f t="shared" si="24"/>
        <v/>
      </c>
      <c r="AW424" s="12" t="str">
        <f t="shared" si="25"/>
        <v/>
      </c>
      <c r="AX424" s="12"/>
      <c r="AY424" s="408"/>
    </row>
    <row r="425" spans="1:51" ht="30" hidden="1" customHeight="1" x14ac:dyDescent="0.2">
      <c r="A425" s="432">
        <v>423</v>
      </c>
      <c r="B425" s="432">
        <v>14</v>
      </c>
      <c r="C425" s="432">
        <v>9</v>
      </c>
      <c r="D425" s="16">
        <v>1404</v>
      </c>
      <c r="E425" s="431" t="s">
        <v>6076</v>
      </c>
      <c r="F425" s="431" t="s">
        <v>243</v>
      </c>
      <c r="G425" s="431" t="s">
        <v>5189</v>
      </c>
      <c r="H425" s="432" t="s">
        <v>83</v>
      </c>
      <c r="I425" s="360" t="s">
        <v>5479</v>
      </c>
      <c r="J425" s="16" t="s">
        <v>84</v>
      </c>
      <c r="K425" s="431"/>
      <c r="L425" s="431" t="s">
        <v>334</v>
      </c>
      <c r="M425" s="431" t="s">
        <v>6009</v>
      </c>
      <c r="N425" s="41" t="s">
        <v>106</v>
      </c>
      <c r="O425" s="13" t="s">
        <v>107</v>
      </c>
      <c r="P425" s="13"/>
      <c r="Q425" s="13"/>
      <c r="R425" s="432"/>
      <c r="S425" s="432">
        <v>6608</v>
      </c>
      <c r="T425" s="432">
        <v>12</v>
      </c>
      <c r="U425" s="431" t="s">
        <v>6010</v>
      </c>
      <c r="V425" s="41" t="s">
        <v>106</v>
      </c>
      <c r="W425" s="13" t="s">
        <v>107</v>
      </c>
      <c r="X425" s="431"/>
      <c r="Y425" s="432" t="s">
        <v>6521</v>
      </c>
      <c r="Z425" s="432">
        <v>133</v>
      </c>
      <c r="AA425" s="432">
        <v>127</v>
      </c>
      <c r="AB425" s="16">
        <v>127</v>
      </c>
      <c r="AC425" s="16"/>
      <c r="AD425" s="16"/>
      <c r="AE425" s="16"/>
      <c r="AF425" s="16"/>
      <c r="AG425" s="16"/>
      <c r="AH425" s="16"/>
      <c r="AI425" s="16">
        <v>6</v>
      </c>
      <c r="AJ425" s="432"/>
      <c r="AK425" s="431"/>
      <c r="AL425" s="25"/>
      <c r="AM425" s="432"/>
      <c r="AN425" s="432"/>
      <c r="AO425" s="432"/>
      <c r="AP425" s="16" t="s">
        <v>5080</v>
      </c>
      <c r="AQ425" s="16" t="s">
        <v>231</v>
      </c>
      <c r="AR425" s="130">
        <v>1404</v>
      </c>
      <c r="AS425" s="130">
        <v>9</v>
      </c>
      <c r="AT425" s="130">
        <v>1403</v>
      </c>
      <c r="AU425" s="130">
        <v>3</v>
      </c>
      <c r="AV425" s="12">
        <f t="shared" si="24"/>
        <v>18</v>
      </c>
      <c r="AW425" s="12" t="str">
        <f t="shared" si="25"/>
        <v/>
      </c>
      <c r="AX425" s="12"/>
      <c r="AY425" s="408"/>
    </row>
    <row r="426" spans="1:51" ht="30" hidden="1" customHeight="1" x14ac:dyDescent="0.2">
      <c r="A426" s="432">
        <v>424</v>
      </c>
      <c r="B426" s="432">
        <v>14</v>
      </c>
      <c r="C426" s="432">
        <v>9</v>
      </c>
      <c r="D426" s="16">
        <v>1404</v>
      </c>
      <c r="E426" s="431" t="s">
        <v>5971</v>
      </c>
      <c r="F426" s="431" t="s">
        <v>10</v>
      </c>
      <c r="G426" s="431" t="s">
        <v>605</v>
      </c>
      <c r="H426" s="432" t="s">
        <v>83</v>
      </c>
      <c r="I426" s="360" t="s">
        <v>5479</v>
      </c>
      <c r="J426" s="16" t="s">
        <v>5577</v>
      </c>
      <c r="K426" s="431"/>
      <c r="L426" s="431" t="s">
        <v>68</v>
      </c>
      <c r="M426" s="431" t="s">
        <v>5175</v>
      </c>
      <c r="N426" s="41" t="s">
        <v>106</v>
      </c>
      <c r="O426" s="13" t="s">
        <v>107</v>
      </c>
      <c r="P426" s="13"/>
      <c r="Q426" s="13"/>
      <c r="R426" s="432"/>
      <c r="S426" s="432">
        <v>6609</v>
      </c>
      <c r="T426" s="432">
        <v>18</v>
      </c>
      <c r="U426" s="431" t="s">
        <v>5176</v>
      </c>
      <c r="V426" s="41" t="s">
        <v>106</v>
      </c>
      <c r="W426" s="13" t="s">
        <v>107</v>
      </c>
      <c r="X426" s="431"/>
      <c r="Y426" s="432" t="s">
        <v>4808</v>
      </c>
      <c r="Z426" s="432">
        <v>245</v>
      </c>
      <c r="AA426" s="432">
        <v>231</v>
      </c>
      <c r="AB426" s="16">
        <v>231</v>
      </c>
      <c r="AC426" s="16"/>
      <c r="AD426" s="16"/>
      <c r="AE426" s="16"/>
      <c r="AF426" s="16"/>
      <c r="AG426" s="16"/>
      <c r="AH426" s="16"/>
      <c r="AI426" s="16">
        <v>6</v>
      </c>
      <c r="AJ426" s="432"/>
      <c r="AK426" s="431"/>
      <c r="AL426" s="25"/>
      <c r="AM426" s="432"/>
      <c r="AN426" s="432"/>
      <c r="AO426" s="432"/>
      <c r="AP426" s="16"/>
      <c r="AQ426" s="16"/>
      <c r="AR426" s="130">
        <v>1404</v>
      </c>
      <c r="AS426" s="130">
        <v>9</v>
      </c>
      <c r="AT426" s="130">
        <v>1403</v>
      </c>
      <c r="AU426" s="130">
        <v>7</v>
      </c>
      <c r="AV426" s="12">
        <f t="shared" si="24"/>
        <v>14</v>
      </c>
      <c r="AW426" s="12" t="str">
        <f t="shared" si="25"/>
        <v/>
      </c>
      <c r="AX426" s="12"/>
      <c r="AY426" s="408"/>
    </row>
    <row r="427" spans="1:51" ht="30" hidden="1" customHeight="1" x14ac:dyDescent="0.2">
      <c r="A427" s="432">
        <v>425</v>
      </c>
      <c r="B427" s="432">
        <v>15</v>
      </c>
      <c r="C427" s="432">
        <v>9</v>
      </c>
      <c r="D427" s="16">
        <v>1404</v>
      </c>
      <c r="E427" s="431" t="s">
        <v>5983</v>
      </c>
      <c r="F427" s="431" t="s">
        <v>9</v>
      </c>
      <c r="G427" s="431"/>
      <c r="H427" s="432" t="s">
        <v>7</v>
      </c>
      <c r="I427" s="360" t="s">
        <v>5479</v>
      </c>
      <c r="J427" s="16" t="s">
        <v>3576</v>
      </c>
      <c r="K427" s="431"/>
      <c r="L427" s="431" t="s">
        <v>104</v>
      </c>
      <c r="M427" s="431" t="s">
        <v>5742</v>
      </c>
      <c r="N427" s="41" t="s">
        <v>106</v>
      </c>
      <c r="O427" s="13" t="s">
        <v>107</v>
      </c>
      <c r="P427" s="13"/>
      <c r="Q427" s="13"/>
      <c r="R427" s="432"/>
      <c r="S427" s="432">
        <v>345</v>
      </c>
      <c r="T427" s="432">
        <v>7</v>
      </c>
      <c r="U427" s="431" t="s">
        <v>5984</v>
      </c>
      <c r="V427" s="41" t="s">
        <v>106</v>
      </c>
      <c r="W427" s="13" t="s">
        <v>107</v>
      </c>
      <c r="X427" s="431"/>
      <c r="Y427" s="432"/>
      <c r="Z427" s="432">
        <v>234</v>
      </c>
      <c r="AA427" s="432"/>
      <c r="AB427" s="16">
        <v>210</v>
      </c>
      <c r="AC427" s="16">
        <v>84</v>
      </c>
      <c r="AD427" s="16">
        <v>126</v>
      </c>
      <c r="AE427" s="16">
        <v>4</v>
      </c>
      <c r="AF427" s="16">
        <v>38</v>
      </c>
      <c r="AG427" s="16">
        <v>168</v>
      </c>
      <c r="AH427" s="16">
        <v>20</v>
      </c>
      <c r="AI427" s="16">
        <v>6</v>
      </c>
      <c r="AJ427" s="432"/>
      <c r="AK427" s="431" t="s">
        <v>5985</v>
      </c>
      <c r="AL427" s="25">
        <v>168</v>
      </c>
      <c r="AM427" s="432">
        <v>20</v>
      </c>
      <c r="AN427" s="432"/>
      <c r="AO427" s="432"/>
      <c r="AP427" s="16" t="s">
        <v>160</v>
      </c>
      <c r="AQ427" s="16" t="s">
        <v>193</v>
      </c>
      <c r="AR427" s="130">
        <v>1404</v>
      </c>
      <c r="AS427" s="130">
        <v>9</v>
      </c>
      <c r="AT427" s="130"/>
      <c r="AU427" s="130"/>
      <c r="AV427" s="12" t="str">
        <f t="shared" si="24"/>
        <v/>
      </c>
      <c r="AW427" s="12" t="str">
        <f t="shared" si="25"/>
        <v/>
      </c>
      <c r="AX427" s="12"/>
      <c r="AY427" s="408"/>
    </row>
    <row r="428" spans="1:51" ht="30" hidden="1" customHeight="1" x14ac:dyDescent="0.2">
      <c r="A428" s="432">
        <v>426</v>
      </c>
      <c r="B428" s="432">
        <v>15</v>
      </c>
      <c r="C428" s="432">
        <v>9</v>
      </c>
      <c r="D428" s="16">
        <v>1404</v>
      </c>
      <c r="E428" s="431" t="s">
        <v>5986</v>
      </c>
      <c r="F428" s="440" t="s">
        <v>9</v>
      </c>
      <c r="G428" s="431" t="s">
        <v>90</v>
      </c>
      <c r="H428" s="441" t="s">
        <v>7</v>
      </c>
      <c r="I428" s="360" t="s">
        <v>5479</v>
      </c>
      <c r="J428" s="16" t="s">
        <v>3576</v>
      </c>
      <c r="K428" s="431"/>
      <c r="L428" s="431" t="s">
        <v>68</v>
      </c>
      <c r="M428" s="431" t="s">
        <v>634</v>
      </c>
      <c r="N428" s="41" t="s">
        <v>106</v>
      </c>
      <c r="O428" s="13" t="s">
        <v>107</v>
      </c>
      <c r="P428" s="13"/>
      <c r="Q428" s="13"/>
      <c r="R428" s="432"/>
      <c r="S428" s="432">
        <v>345</v>
      </c>
      <c r="T428" s="432">
        <v>8</v>
      </c>
      <c r="U428" s="431" t="s">
        <v>5987</v>
      </c>
      <c r="V428" s="41" t="s">
        <v>106</v>
      </c>
      <c r="W428" s="13" t="s">
        <v>107</v>
      </c>
      <c r="X428" s="431"/>
      <c r="Y428" s="432" t="s">
        <v>5988</v>
      </c>
      <c r="Z428" s="432">
        <v>210</v>
      </c>
      <c r="AA428" s="432"/>
      <c r="AB428" s="16"/>
      <c r="AC428" s="16"/>
      <c r="AD428" s="16"/>
      <c r="AE428" s="16"/>
      <c r="AF428" s="16"/>
      <c r="AG428" s="16"/>
      <c r="AH428" s="16"/>
      <c r="AI428" s="16"/>
      <c r="AJ428" s="432"/>
      <c r="AK428" s="431"/>
      <c r="AL428" s="25"/>
      <c r="AM428" s="432"/>
      <c r="AN428" s="432"/>
      <c r="AO428" s="432"/>
      <c r="AP428" s="16"/>
      <c r="AQ428" s="16"/>
      <c r="AR428" s="130">
        <v>1404</v>
      </c>
      <c r="AS428" s="130">
        <v>9</v>
      </c>
      <c r="AT428" s="130"/>
      <c r="AU428" s="130"/>
      <c r="AV428" s="12" t="str">
        <f t="shared" si="24"/>
        <v/>
      </c>
      <c r="AW428" s="12" t="str">
        <f t="shared" si="25"/>
        <v/>
      </c>
      <c r="AX428" s="12"/>
      <c r="AY428" s="408"/>
    </row>
    <row r="429" spans="1:51" ht="30" hidden="1" customHeight="1" x14ac:dyDescent="0.2">
      <c r="A429" s="432">
        <v>427</v>
      </c>
      <c r="B429" s="432">
        <v>18</v>
      </c>
      <c r="C429" s="432">
        <v>9</v>
      </c>
      <c r="D429" s="16">
        <v>1404</v>
      </c>
      <c r="E429" s="431" t="s">
        <v>4055</v>
      </c>
      <c r="F429" s="431" t="s">
        <v>10</v>
      </c>
      <c r="G429" s="431" t="s">
        <v>185</v>
      </c>
      <c r="H429" s="441" t="s">
        <v>7</v>
      </c>
      <c r="I429" s="360" t="s">
        <v>5479</v>
      </c>
      <c r="J429" s="16" t="s">
        <v>5577</v>
      </c>
      <c r="K429" s="35" t="s">
        <v>68</v>
      </c>
      <c r="L429" s="35" t="s">
        <v>140</v>
      </c>
      <c r="M429" s="431" t="s">
        <v>5993</v>
      </c>
      <c r="N429" s="41" t="s">
        <v>69</v>
      </c>
      <c r="O429" s="13" t="s">
        <v>70</v>
      </c>
      <c r="P429" s="13"/>
      <c r="Q429" s="13"/>
      <c r="R429" s="33" t="s">
        <v>4108</v>
      </c>
      <c r="S429" s="33">
        <v>293</v>
      </c>
      <c r="T429" s="33">
        <v>11</v>
      </c>
      <c r="U429" s="431" t="s">
        <v>5994</v>
      </c>
      <c r="V429" s="41" t="s">
        <v>142</v>
      </c>
      <c r="W429" s="13" t="s">
        <v>70</v>
      </c>
      <c r="X429" s="431"/>
      <c r="Y429" s="432" t="s">
        <v>4180</v>
      </c>
      <c r="Z429" s="432">
        <v>228</v>
      </c>
      <c r="AA429" s="432">
        <v>213</v>
      </c>
      <c r="AB429" s="16">
        <v>213</v>
      </c>
      <c r="AC429" s="16">
        <v>138</v>
      </c>
      <c r="AD429" s="16">
        <v>161</v>
      </c>
      <c r="AE429" s="16">
        <v>3</v>
      </c>
      <c r="AF429" s="16">
        <v>28</v>
      </c>
      <c r="AG429" s="16">
        <v>192</v>
      </c>
      <c r="AH429" s="16">
        <v>12</v>
      </c>
      <c r="AI429" s="16">
        <v>6</v>
      </c>
      <c r="AJ429" s="432"/>
      <c r="AK429" s="431" t="s">
        <v>5995</v>
      </c>
      <c r="AL429" s="25">
        <v>192</v>
      </c>
      <c r="AM429" s="432">
        <v>11.3</v>
      </c>
      <c r="AN429" s="432"/>
      <c r="AO429" s="432"/>
      <c r="AP429" s="16" t="s">
        <v>160</v>
      </c>
      <c r="AQ429" s="16" t="s">
        <v>161</v>
      </c>
      <c r="AR429" s="130">
        <v>1404</v>
      </c>
      <c r="AS429" s="130">
        <v>9</v>
      </c>
      <c r="AT429" s="130"/>
      <c r="AU429" s="130"/>
      <c r="AV429" s="12" t="str">
        <f t="shared" si="24"/>
        <v/>
      </c>
      <c r="AW429" s="12" t="str">
        <f t="shared" si="25"/>
        <v/>
      </c>
      <c r="AX429" s="12"/>
      <c r="AY429" s="408"/>
    </row>
    <row r="430" spans="1:51" ht="30" hidden="1" customHeight="1" x14ac:dyDescent="0.2">
      <c r="A430" s="432">
        <v>428</v>
      </c>
      <c r="B430" s="432">
        <v>19</v>
      </c>
      <c r="C430" s="432">
        <v>9</v>
      </c>
      <c r="D430" s="16">
        <v>1404</v>
      </c>
      <c r="E430" s="431" t="s">
        <v>5989</v>
      </c>
      <c r="F430" s="431" t="s">
        <v>243</v>
      </c>
      <c r="G430" s="431" t="s">
        <v>5992</v>
      </c>
      <c r="H430" s="441" t="s">
        <v>83</v>
      </c>
      <c r="I430" s="360" t="s">
        <v>5479</v>
      </c>
      <c r="J430" s="16" t="s">
        <v>5577</v>
      </c>
      <c r="K430" s="431"/>
      <c r="L430" s="431" t="s">
        <v>104</v>
      </c>
      <c r="M430" s="431" t="s">
        <v>5996</v>
      </c>
      <c r="N430" s="41" t="s">
        <v>106</v>
      </c>
      <c r="O430" s="13" t="s">
        <v>107</v>
      </c>
      <c r="P430" s="13"/>
      <c r="Q430" s="13"/>
      <c r="R430" s="432" t="s">
        <v>3714</v>
      </c>
      <c r="S430" s="432">
        <v>384</v>
      </c>
      <c r="T430" s="432">
        <v>7</v>
      </c>
      <c r="U430" s="431" t="s">
        <v>4337</v>
      </c>
      <c r="V430" s="41" t="s">
        <v>106</v>
      </c>
      <c r="W430" s="13" t="s">
        <v>107</v>
      </c>
      <c r="X430" s="431"/>
      <c r="Y430" s="432" t="s">
        <v>6001</v>
      </c>
      <c r="Z430" s="432"/>
      <c r="AA430" s="432">
        <v>138</v>
      </c>
      <c r="AB430" s="16">
        <v>138</v>
      </c>
      <c r="AC430" s="16"/>
      <c r="AD430" s="16"/>
      <c r="AE430" s="16"/>
      <c r="AF430" s="16"/>
      <c r="AG430" s="16"/>
      <c r="AH430" s="16"/>
      <c r="AI430" s="16">
        <v>6</v>
      </c>
      <c r="AJ430" s="432"/>
      <c r="AK430" s="431"/>
      <c r="AL430" s="25"/>
      <c r="AM430" s="432"/>
      <c r="AN430" s="432"/>
      <c r="AO430" s="432"/>
      <c r="AP430" s="16"/>
      <c r="AQ430" s="16"/>
      <c r="AR430" s="130">
        <v>1404</v>
      </c>
      <c r="AS430" s="130">
        <v>9</v>
      </c>
      <c r="AT430" s="130">
        <v>1397</v>
      </c>
      <c r="AU430" s="130">
        <v>7</v>
      </c>
      <c r="AV430" s="12">
        <f t="shared" si="24"/>
        <v>86</v>
      </c>
      <c r="AW430" s="12" t="str">
        <f t="shared" si="25"/>
        <v/>
      </c>
      <c r="AX430" s="12"/>
      <c r="AY430" s="408"/>
    </row>
    <row r="431" spans="1:51" ht="30" hidden="1" customHeight="1" x14ac:dyDescent="0.2">
      <c r="A431" s="432">
        <v>429</v>
      </c>
      <c r="B431" s="432">
        <v>19</v>
      </c>
      <c r="C431" s="432">
        <v>9</v>
      </c>
      <c r="D431" s="16">
        <v>1404</v>
      </c>
      <c r="E431" s="431" t="s">
        <v>726</v>
      </c>
      <c r="F431" s="431" t="s">
        <v>6</v>
      </c>
      <c r="G431" s="440" t="s">
        <v>922</v>
      </c>
      <c r="H431" s="441" t="s">
        <v>83</v>
      </c>
      <c r="I431" s="360" t="s">
        <v>5479</v>
      </c>
      <c r="J431" s="16" t="s">
        <v>84</v>
      </c>
      <c r="K431" s="431"/>
      <c r="L431" s="431" t="s">
        <v>218</v>
      </c>
      <c r="M431" s="431" t="s">
        <v>5928</v>
      </c>
      <c r="N431" s="41" t="s">
        <v>106</v>
      </c>
      <c r="O431" s="13" t="s">
        <v>107</v>
      </c>
      <c r="P431" s="13"/>
      <c r="Q431" s="13"/>
      <c r="R431" s="432"/>
      <c r="S431" s="432">
        <v>345</v>
      </c>
      <c r="T431" s="432">
        <v>12</v>
      </c>
      <c r="U431" s="431" t="s">
        <v>5929</v>
      </c>
      <c r="V431" s="41" t="s">
        <v>106</v>
      </c>
      <c r="W431" s="13" t="s">
        <v>107</v>
      </c>
      <c r="X431" s="431"/>
      <c r="Y431" s="432" t="s">
        <v>6522</v>
      </c>
      <c r="Z431" s="432">
        <v>234</v>
      </c>
      <c r="AA431" s="432">
        <v>219</v>
      </c>
      <c r="AB431" s="16">
        <v>219</v>
      </c>
      <c r="AC431" s="16"/>
      <c r="AD431" s="16"/>
      <c r="AE431" s="16"/>
      <c r="AF431" s="16"/>
      <c r="AG431" s="16"/>
      <c r="AH431" s="16"/>
      <c r="AI431" s="16">
        <v>6</v>
      </c>
      <c r="AJ431" s="432"/>
      <c r="AK431" s="431"/>
      <c r="AL431" s="25"/>
      <c r="AM431" s="432"/>
      <c r="AN431" s="432"/>
      <c r="AO431" s="432"/>
      <c r="AP431" s="16"/>
      <c r="AQ431" s="16"/>
      <c r="AR431" s="130">
        <v>1404</v>
      </c>
      <c r="AS431" s="130">
        <v>9</v>
      </c>
      <c r="AT431" s="130">
        <v>1404</v>
      </c>
      <c r="AU431" s="130">
        <v>9</v>
      </c>
      <c r="AV431" s="12">
        <f t="shared" si="24"/>
        <v>0</v>
      </c>
      <c r="AW431" s="12">
        <f t="shared" si="25"/>
        <v>0</v>
      </c>
      <c r="AX431" s="12"/>
      <c r="AY431" s="408"/>
    </row>
    <row r="432" spans="1:51" ht="30" hidden="1" customHeight="1" x14ac:dyDescent="0.2">
      <c r="A432" s="432">
        <v>430</v>
      </c>
      <c r="B432" s="432">
        <v>19</v>
      </c>
      <c r="C432" s="432">
        <v>9</v>
      </c>
      <c r="D432" s="16">
        <v>1404</v>
      </c>
      <c r="E432" s="431" t="s">
        <v>5990</v>
      </c>
      <c r="F432" s="431" t="s">
        <v>6</v>
      </c>
      <c r="G432" s="431" t="s">
        <v>185</v>
      </c>
      <c r="H432" s="441" t="s">
        <v>83</v>
      </c>
      <c r="I432" s="360" t="s">
        <v>5479</v>
      </c>
      <c r="J432" s="16" t="s">
        <v>84</v>
      </c>
      <c r="K432" s="431"/>
      <c r="L432" s="431" t="s">
        <v>218</v>
      </c>
      <c r="M432" s="431" t="s">
        <v>5997</v>
      </c>
      <c r="N432" s="41" t="s">
        <v>106</v>
      </c>
      <c r="O432" s="13" t="s">
        <v>107</v>
      </c>
      <c r="P432" s="13"/>
      <c r="Q432" s="13"/>
      <c r="R432" s="432"/>
      <c r="S432" s="432">
        <v>384</v>
      </c>
      <c r="T432" s="432">
        <v>11</v>
      </c>
      <c r="U432" s="431" t="s">
        <v>5998</v>
      </c>
      <c r="V432" s="41" t="s">
        <v>106</v>
      </c>
      <c r="W432" s="13" t="s">
        <v>107</v>
      </c>
      <c r="X432" s="431"/>
      <c r="Y432" s="432" t="s">
        <v>6523</v>
      </c>
      <c r="Z432" s="432">
        <v>234</v>
      </c>
      <c r="AA432" s="432">
        <v>219</v>
      </c>
      <c r="AB432" s="16">
        <v>219</v>
      </c>
      <c r="AC432" s="16"/>
      <c r="AD432" s="16"/>
      <c r="AE432" s="16"/>
      <c r="AF432" s="16"/>
      <c r="AG432" s="16"/>
      <c r="AH432" s="16"/>
      <c r="AI432" s="16">
        <v>6</v>
      </c>
      <c r="AJ432" s="432"/>
      <c r="AK432" s="431"/>
      <c r="AL432" s="25"/>
      <c r="AM432" s="432"/>
      <c r="AN432" s="432"/>
      <c r="AO432" s="432"/>
      <c r="AP432" s="16"/>
      <c r="AQ432" s="16"/>
      <c r="AR432" s="130">
        <v>1404</v>
      </c>
      <c r="AS432" s="130">
        <v>9</v>
      </c>
      <c r="AT432" s="130">
        <v>1400</v>
      </c>
      <c r="AU432" s="130">
        <v>3</v>
      </c>
      <c r="AV432" s="12">
        <f t="shared" si="24"/>
        <v>54</v>
      </c>
      <c r="AW432" s="12" t="str">
        <f t="shared" si="25"/>
        <v/>
      </c>
      <c r="AX432" s="12"/>
      <c r="AY432" s="408"/>
    </row>
    <row r="433" spans="1:51" ht="30" hidden="1" customHeight="1" x14ac:dyDescent="0.2">
      <c r="A433" s="432">
        <v>431</v>
      </c>
      <c r="B433" s="432">
        <v>20</v>
      </c>
      <c r="C433" s="432">
        <v>9</v>
      </c>
      <c r="D433" s="16">
        <v>1404</v>
      </c>
      <c r="E433" s="431" t="s">
        <v>5989</v>
      </c>
      <c r="F433" s="431" t="s">
        <v>243</v>
      </c>
      <c r="G433" s="431"/>
      <c r="H433" s="432" t="s">
        <v>7</v>
      </c>
      <c r="I433" s="360" t="s">
        <v>5479</v>
      </c>
      <c r="J433" s="16" t="s">
        <v>5577</v>
      </c>
      <c r="K433" s="35" t="s">
        <v>104</v>
      </c>
      <c r="L433" s="35" t="s">
        <v>68</v>
      </c>
      <c r="M433" s="431" t="s">
        <v>5999</v>
      </c>
      <c r="N433" s="41" t="s">
        <v>106</v>
      </c>
      <c r="O433" s="13" t="s">
        <v>107</v>
      </c>
      <c r="P433" s="13"/>
      <c r="Q433" s="13"/>
      <c r="R433" s="33" t="s">
        <v>108</v>
      </c>
      <c r="S433" s="33">
        <v>384</v>
      </c>
      <c r="T433" s="33">
        <v>8</v>
      </c>
      <c r="U433" s="431" t="s">
        <v>6000</v>
      </c>
      <c r="V433" s="41" t="s">
        <v>142</v>
      </c>
      <c r="W433" s="13" t="s">
        <v>70</v>
      </c>
      <c r="X433" s="431"/>
      <c r="Y433" s="432" t="s">
        <v>6001</v>
      </c>
      <c r="Z433" s="432"/>
      <c r="AA433" s="432">
        <v>138</v>
      </c>
      <c r="AB433" s="16">
        <v>138</v>
      </c>
      <c r="AC433" s="16">
        <v>68</v>
      </c>
      <c r="AD433" s="16">
        <v>86</v>
      </c>
      <c r="AE433" s="16">
        <v>4</v>
      </c>
      <c r="AF433" s="16">
        <v>53</v>
      </c>
      <c r="AG433" s="16">
        <v>143</v>
      </c>
      <c r="AH433" s="16">
        <v>27</v>
      </c>
      <c r="AI433" s="16">
        <v>6</v>
      </c>
      <c r="AJ433" s="432"/>
      <c r="AK433" s="431" t="s">
        <v>6002</v>
      </c>
      <c r="AL433" s="25">
        <v>143</v>
      </c>
      <c r="AM433" s="432">
        <v>27</v>
      </c>
      <c r="AN433" s="432"/>
      <c r="AO433" s="432"/>
      <c r="AP433" s="16" t="s">
        <v>5080</v>
      </c>
      <c r="AQ433" s="16" t="s">
        <v>112</v>
      </c>
      <c r="AR433" s="130">
        <v>1404</v>
      </c>
      <c r="AS433" s="130">
        <v>9</v>
      </c>
      <c r="AT433" s="130"/>
      <c r="AU433" s="130"/>
      <c r="AV433" s="12" t="str">
        <f t="shared" si="24"/>
        <v/>
      </c>
      <c r="AW433" s="12" t="str">
        <f t="shared" si="25"/>
        <v/>
      </c>
      <c r="AX433" s="12"/>
      <c r="AY433" s="408"/>
    </row>
    <row r="434" spans="1:51" ht="30" hidden="1" customHeight="1" x14ac:dyDescent="0.2">
      <c r="A434" s="432">
        <v>432</v>
      </c>
      <c r="B434" s="432">
        <v>20</v>
      </c>
      <c r="C434" s="432">
        <v>9</v>
      </c>
      <c r="D434" s="16">
        <v>1404</v>
      </c>
      <c r="E434" s="431" t="s">
        <v>3378</v>
      </c>
      <c r="F434" s="431" t="s">
        <v>10</v>
      </c>
      <c r="G434" s="431" t="s">
        <v>605</v>
      </c>
      <c r="H434" s="441" t="s">
        <v>7</v>
      </c>
      <c r="I434" s="360" t="s">
        <v>5479</v>
      </c>
      <c r="J434" s="16" t="s">
        <v>5577</v>
      </c>
      <c r="K434" s="35" t="s">
        <v>68</v>
      </c>
      <c r="L434" s="35" t="s">
        <v>117</v>
      </c>
      <c r="M434" s="431" t="s">
        <v>5746</v>
      </c>
      <c r="N434" s="41" t="s">
        <v>106</v>
      </c>
      <c r="O434" s="13" t="s">
        <v>107</v>
      </c>
      <c r="P434" s="13"/>
      <c r="Q434" s="13"/>
      <c r="R434" s="33" t="s">
        <v>5019</v>
      </c>
      <c r="S434" s="33">
        <v>6608</v>
      </c>
      <c r="T434" s="33">
        <v>18</v>
      </c>
      <c r="U434" s="431" t="s">
        <v>6003</v>
      </c>
      <c r="V434" s="41" t="s">
        <v>106</v>
      </c>
      <c r="W434" s="13" t="s">
        <v>107</v>
      </c>
      <c r="X434" s="431"/>
      <c r="Y434" s="432" t="s">
        <v>4808</v>
      </c>
      <c r="Z434" s="432">
        <v>245</v>
      </c>
      <c r="AA434" s="432">
        <v>231</v>
      </c>
      <c r="AB434" s="16">
        <v>231</v>
      </c>
      <c r="AC434" s="16">
        <v>97</v>
      </c>
      <c r="AD434" s="16">
        <v>124</v>
      </c>
      <c r="AE434" s="16">
        <v>3</v>
      </c>
      <c r="AF434" s="16">
        <v>65</v>
      </c>
      <c r="AG434" s="16">
        <v>192</v>
      </c>
      <c r="AH434" s="16">
        <v>12</v>
      </c>
      <c r="AI434" s="16">
        <v>6</v>
      </c>
      <c r="AJ434" s="432"/>
      <c r="AK434" s="431" t="s">
        <v>6004</v>
      </c>
      <c r="AL434" s="25">
        <v>192</v>
      </c>
      <c r="AM434" s="432">
        <v>12</v>
      </c>
      <c r="AN434" s="432"/>
      <c r="AO434" s="432"/>
      <c r="AP434" s="16" t="s">
        <v>160</v>
      </c>
      <c r="AQ434" s="16" t="s">
        <v>165</v>
      </c>
      <c r="AR434" s="130">
        <v>1404</v>
      </c>
      <c r="AS434" s="130">
        <v>9</v>
      </c>
      <c r="AT434" s="130"/>
      <c r="AU434" s="130"/>
      <c r="AV434" s="12" t="str">
        <f t="shared" si="24"/>
        <v/>
      </c>
      <c r="AW434" s="12" t="str">
        <f t="shared" si="25"/>
        <v/>
      </c>
      <c r="AX434" s="12"/>
      <c r="AY434" s="408"/>
    </row>
    <row r="435" spans="1:51" ht="30" hidden="1" customHeight="1" x14ac:dyDescent="0.2">
      <c r="A435" s="432">
        <v>433</v>
      </c>
      <c r="B435" s="432">
        <v>21</v>
      </c>
      <c r="C435" s="432">
        <v>9</v>
      </c>
      <c r="D435" s="16">
        <v>1404</v>
      </c>
      <c r="E435" s="431" t="s">
        <v>1269</v>
      </c>
      <c r="F435" s="431" t="s">
        <v>243</v>
      </c>
      <c r="G435" s="431"/>
      <c r="H435" s="432" t="s">
        <v>7</v>
      </c>
      <c r="I435" s="360" t="s">
        <v>5479</v>
      </c>
      <c r="J435" s="16" t="s">
        <v>5577</v>
      </c>
      <c r="K435" s="431"/>
      <c r="L435" s="431" t="s">
        <v>218</v>
      </c>
      <c r="M435" s="431" t="s">
        <v>6007</v>
      </c>
      <c r="N435" s="41" t="s">
        <v>106</v>
      </c>
      <c r="O435" s="13" t="s">
        <v>107</v>
      </c>
      <c r="P435" s="13"/>
      <c r="Q435" s="13"/>
      <c r="R435" s="432" t="s">
        <v>3714</v>
      </c>
      <c r="S435" s="432">
        <v>374</v>
      </c>
      <c r="T435" s="432">
        <v>7</v>
      </c>
      <c r="U435" s="431" t="s">
        <v>6008</v>
      </c>
      <c r="V435" s="41" t="s">
        <v>106</v>
      </c>
      <c r="W435" s="13" t="s">
        <v>107</v>
      </c>
      <c r="X435" s="431"/>
      <c r="Y435" s="432" t="s">
        <v>6005</v>
      </c>
      <c r="Z435" s="432">
        <v>174</v>
      </c>
      <c r="AA435" s="432">
        <v>114</v>
      </c>
      <c r="AB435" s="16">
        <v>142</v>
      </c>
      <c r="AC435" s="16">
        <v>69</v>
      </c>
      <c r="AD435" s="16">
        <v>84</v>
      </c>
      <c r="AE435" s="16">
        <v>7</v>
      </c>
      <c r="AF435" s="16">
        <v>54</v>
      </c>
      <c r="AG435" s="16">
        <v>145</v>
      </c>
      <c r="AH435" s="16">
        <v>33</v>
      </c>
      <c r="AI435" s="16">
        <v>6</v>
      </c>
      <c r="AJ435" s="432"/>
      <c r="AK435" s="431" t="s">
        <v>6006</v>
      </c>
      <c r="AL435" s="25">
        <v>145</v>
      </c>
      <c r="AM435" s="432">
        <v>33</v>
      </c>
      <c r="AN435" s="432"/>
      <c r="AO435" s="432"/>
      <c r="AP435" s="16" t="s">
        <v>5080</v>
      </c>
      <c r="AQ435" s="16" t="s">
        <v>161</v>
      </c>
      <c r="AR435" s="130">
        <v>1404</v>
      </c>
      <c r="AS435" s="130">
        <v>9</v>
      </c>
      <c r="AT435" s="130"/>
      <c r="AU435" s="130"/>
      <c r="AV435" s="12" t="str">
        <f t="shared" si="24"/>
        <v/>
      </c>
      <c r="AW435" s="12" t="str">
        <f t="shared" si="25"/>
        <v/>
      </c>
      <c r="AX435" s="12"/>
      <c r="AY435" s="408"/>
    </row>
    <row r="436" spans="1:51" ht="30" hidden="1" customHeight="1" x14ac:dyDescent="0.2">
      <c r="A436" s="432">
        <v>434</v>
      </c>
      <c r="B436" s="432">
        <v>23</v>
      </c>
      <c r="C436" s="432">
        <v>9</v>
      </c>
      <c r="D436" s="16">
        <v>1404</v>
      </c>
      <c r="E436" s="431" t="s">
        <v>6015</v>
      </c>
      <c r="F436" s="442" t="s">
        <v>243</v>
      </c>
      <c r="G436" s="431" t="s">
        <v>6016</v>
      </c>
      <c r="H436" s="432" t="s">
        <v>83</v>
      </c>
      <c r="I436" s="360" t="s">
        <v>5479</v>
      </c>
      <c r="J436" s="16" t="s">
        <v>5577</v>
      </c>
      <c r="K436" s="431"/>
      <c r="L436" s="431" t="s">
        <v>104</v>
      </c>
      <c r="M436" s="431"/>
      <c r="N436" s="41" t="s">
        <v>106</v>
      </c>
      <c r="O436" s="13" t="s">
        <v>107</v>
      </c>
      <c r="P436" s="13"/>
      <c r="Q436" s="13"/>
      <c r="R436" s="432"/>
      <c r="S436" s="432">
        <v>384</v>
      </c>
      <c r="T436" s="432">
        <v>7</v>
      </c>
      <c r="U436" s="431"/>
      <c r="V436" s="41" t="s">
        <v>106</v>
      </c>
      <c r="W436" s="13" t="s">
        <v>107</v>
      </c>
      <c r="X436" s="431"/>
      <c r="Y436" s="432"/>
      <c r="Z436" s="432"/>
      <c r="AA436" s="432"/>
      <c r="AB436" s="16">
        <v>186</v>
      </c>
      <c r="AC436" s="16"/>
      <c r="AD436" s="16"/>
      <c r="AE436" s="16"/>
      <c r="AF436" s="16"/>
      <c r="AG436" s="16"/>
      <c r="AH436" s="16"/>
      <c r="AI436" s="16">
        <v>6</v>
      </c>
      <c r="AJ436" s="432"/>
      <c r="AK436" s="431"/>
      <c r="AL436" s="25"/>
      <c r="AM436" s="432"/>
      <c r="AN436" s="432"/>
      <c r="AO436" s="432"/>
      <c r="AP436" s="16"/>
      <c r="AQ436" s="16"/>
      <c r="AR436" s="130">
        <v>1404</v>
      </c>
      <c r="AS436" s="130">
        <v>9</v>
      </c>
      <c r="AT436" s="130"/>
      <c r="AU436" s="130"/>
      <c r="AV436" s="12" t="str">
        <f t="shared" si="24"/>
        <v/>
      </c>
      <c r="AW436" s="12" t="str">
        <f t="shared" si="25"/>
        <v/>
      </c>
      <c r="AX436" s="12"/>
      <c r="AY436" s="408"/>
    </row>
    <row r="437" spans="1:51" ht="30" hidden="1" customHeight="1" x14ac:dyDescent="0.2">
      <c r="A437" s="432">
        <v>435</v>
      </c>
      <c r="B437" s="432">
        <v>23</v>
      </c>
      <c r="C437" s="432">
        <v>9</v>
      </c>
      <c r="D437" s="16">
        <v>1404</v>
      </c>
      <c r="E437" s="431" t="s">
        <v>1708</v>
      </c>
      <c r="F437" s="431" t="s">
        <v>2981</v>
      </c>
      <c r="G437" s="431"/>
      <c r="H437" s="432" t="s">
        <v>7</v>
      </c>
      <c r="I437" s="360" t="s">
        <v>5479</v>
      </c>
      <c r="J437" s="16" t="s">
        <v>84</v>
      </c>
      <c r="K437" s="35" t="s">
        <v>68</v>
      </c>
      <c r="L437" s="35" t="s">
        <v>155</v>
      </c>
      <c r="M437" s="431" t="s">
        <v>6017</v>
      </c>
      <c r="N437" s="41" t="s">
        <v>69</v>
      </c>
      <c r="O437" s="13" t="s">
        <v>70</v>
      </c>
      <c r="P437" s="13"/>
      <c r="Q437" s="13"/>
      <c r="R437" s="33" t="s">
        <v>804</v>
      </c>
      <c r="S437" s="33">
        <v>384</v>
      </c>
      <c r="T437" s="33">
        <v>9</v>
      </c>
      <c r="U437" s="431" t="s">
        <v>6018</v>
      </c>
      <c r="V437" s="41" t="s">
        <v>69</v>
      </c>
      <c r="W437" s="13" t="s">
        <v>70</v>
      </c>
      <c r="X437" s="431"/>
      <c r="Y437" s="432" t="s">
        <v>6019</v>
      </c>
      <c r="Z437" s="432">
        <v>250</v>
      </c>
      <c r="AA437" s="432">
        <v>216</v>
      </c>
      <c r="AB437" s="16">
        <v>216</v>
      </c>
      <c r="AC437" s="16">
        <v>62</v>
      </c>
      <c r="AD437" s="16">
        <v>104</v>
      </c>
      <c r="AE437" s="16">
        <v>7</v>
      </c>
      <c r="AF437" s="16">
        <v>32</v>
      </c>
      <c r="AG437" s="16">
        <v>143</v>
      </c>
      <c r="AH437" s="16">
        <v>31</v>
      </c>
      <c r="AI437" s="16">
        <v>6</v>
      </c>
      <c r="AJ437" s="432"/>
      <c r="AK437" s="431" t="s">
        <v>6020</v>
      </c>
      <c r="AL437" s="25">
        <v>142</v>
      </c>
      <c r="AM437" s="432">
        <v>31</v>
      </c>
      <c r="AN437" s="432"/>
      <c r="AO437" s="432"/>
      <c r="AP437" s="16" t="s">
        <v>160</v>
      </c>
      <c r="AQ437" s="16" t="s">
        <v>165</v>
      </c>
      <c r="AR437" s="130">
        <v>1404</v>
      </c>
      <c r="AS437" s="130">
        <v>9</v>
      </c>
      <c r="AT437" s="130"/>
      <c r="AU437" s="130"/>
      <c r="AV437" s="12" t="str">
        <f t="shared" si="24"/>
        <v/>
      </c>
      <c r="AW437" s="12" t="str">
        <f t="shared" si="25"/>
        <v/>
      </c>
      <c r="AX437" s="12"/>
      <c r="AY437" s="408"/>
    </row>
    <row r="438" spans="1:51" ht="30" hidden="1" customHeight="1" x14ac:dyDescent="0.2">
      <c r="A438" s="432">
        <v>436</v>
      </c>
      <c r="B438" s="432">
        <v>25</v>
      </c>
      <c r="C438" s="432">
        <v>9</v>
      </c>
      <c r="D438" s="16">
        <v>1404</v>
      </c>
      <c r="E438" s="431" t="s">
        <v>3603</v>
      </c>
      <c r="F438" s="431" t="s">
        <v>6</v>
      </c>
      <c r="G438" s="431" t="s">
        <v>5608</v>
      </c>
      <c r="H438" s="432" t="s">
        <v>83</v>
      </c>
      <c r="I438" s="360" t="s">
        <v>5479</v>
      </c>
      <c r="J438" s="16" t="s">
        <v>84</v>
      </c>
      <c r="K438" s="431"/>
      <c r="L438" s="431" t="s">
        <v>155</v>
      </c>
      <c r="M438" s="431" t="s">
        <v>3714</v>
      </c>
      <c r="N438" s="41" t="s">
        <v>106</v>
      </c>
      <c r="O438" s="13" t="s">
        <v>107</v>
      </c>
      <c r="P438" s="13"/>
      <c r="Q438" s="13"/>
      <c r="R438" s="432"/>
      <c r="S438" s="432">
        <v>345</v>
      </c>
      <c r="T438" s="432">
        <v>10</v>
      </c>
      <c r="U438" s="431" t="s">
        <v>3714</v>
      </c>
      <c r="V438" s="41" t="s">
        <v>106</v>
      </c>
      <c r="W438" s="13" t="s">
        <v>107</v>
      </c>
      <c r="X438" s="431"/>
      <c r="Y438" s="432" t="s">
        <v>3602</v>
      </c>
      <c r="Z438" s="432">
        <v>250</v>
      </c>
      <c r="AA438" s="432">
        <v>234</v>
      </c>
      <c r="AB438" s="16">
        <v>234</v>
      </c>
      <c r="AC438" s="16"/>
      <c r="AD438" s="16"/>
      <c r="AE438" s="16"/>
      <c r="AF438" s="16"/>
      <c r="AG438" s="16"/>
      <c r="AH438" s="16"/>
      <c r="AI438" s="16">
        <v>6</v>
      </c>
      <c r="AJ438" s="432"/>
      <c r="AK438" s="431"/>
      <c r="AL438" s="25"/>
      <c r="AM438" s="432"/>
      <c r="AN438" s="432"/>
      <c r="AO438" s="432"/>
      <c r="AP438" s="16" t="s">
        <v>160</v>
      </c>
      <c r="AQ438" s="16" t="s">
        <v>165</v>
      </c>
      <c r="AR438" s="130">
        <v>1404</v>
      </c>
      <c r="AS438" s="130">
        <v>9</v>
      </c>
      <c r="AT438" s="130">
        <v>1402</v>
      </c>
      <c r="AU438" s="130">
        <v>4</v>
      </c>
      <c r="AV438" s="12">
        <f t="shared" si="24"/>
        <v>29</v>
      </c>
      <c r="AW438" s="12" t="str">
        <f t="shared" si="25"/>
        <v/>
      </c>
      <c r="AX438" s="12"/>
      <c r="AY438" s="408"/>
    </row>
    <row r="439" spans="1:51" ht="30" hidden="1" customHeight="1" x14ac:dyDescent="0.2">
      <c r="A439" s="432">
        <v>437</v>
      </c>
      <c r="B439" s="432">
        <v>25</v>
      </c>
      <c r="C439" s="432">
        <v>9</v>
      </c>
      <c r="D439" s="16">
        <v>1404</v>
      </c>
      <c r="E439" s="431" t="s">
        <v>6021</v>
      </c>
      <c r="F439" s="431" t="s">
        <v>243</v>
      </c>
      <c r="G439" s="431" t="s">
        <v>5608</v>
      </c>
      <c r="H439" s="432" t="s">
        <v>83</v>
      </c>
      <c r="I439" s="360" t="s">
        <v>5479</v>
      </c>
      <c r="J439" s="16" t="s">
        <v>5577</v>
      </c>
      <c r="K439" s="431"/>
      <c r="L439" s="431" t="s">
        <v>117</v>
      </c>
      <c r="M439" s="431"/>
      <c r="N439" s="41" t="s">
        <v>106</v>
      </c>
      <c r="O439" s="13" t="s">
        <v>107</v>
      </c>
      <c r="P439" s="13"/>
      <c r="Q439" s="13"/>
      <c r="R439" s="432"/>
      <c r="S439" s="432">
        <v>384</v>
      </c>
      <c r="T439" s="432">
        <v>5</v>
      </c>
      <c r="U439" s="431"/>
      <c r="V439" s="41" t="s">
        <v>106</v>
      </c>
      <c r="W439" s="13" t="s">
        <v>107</v>
      </c>
      <c r="X439" s="431"/>
      <c r="Y439" s="432"/>
      <c r="Z439" s="432">
        <v>129</v>
      </c>
      <c r="AA439" s="432">
        <v>108</v>
      </c>
      <c r="AB439" s="16">
        <v>108</v>
      </c>
      <c r="AC439" s="16"/>
      <c r="AD439" s="16"/>
      <c r="AE439" s="16"/>
      <c r="AF439" s="16"/>
      <c r="AG439" s="16"/>
      <c r="AH439" s="16"/>
      <c r="AI439" s="16">
        <v>6</v>
      </c>
      <c r="AJ439" s="432"/>
      <c r="AK439" s="431"/>
      <c r="AL439" s="25"/>
      <c r="AM439" s="432"/>
      <c r="AN439" s="432"/>
      <c r="AO439" s="432"/>
      <c r="AP439" s="16"/>
      <c r="AQ439" s="16"/>
      <c r="AR439" s="130">
        <v>1404</v>
      </c>
      <c r="AS439" s="130">
        <v>9</v>
      </c>
      <c r="AT439" s="130"/>
      <c r="AU439" s="130"/>
      <c r="AV439" s="12" t="str">
        <f t="shared" si="24"/>
        <v/>
      </c>
      <c r="AW439" s="12" t="str">
        <f t="shared" si="25"/>
        <v/>
      </c>
      <c r="AX439" s="12"/>
      <c r="AY439" s="408"/>
    </row>
    <row r="440" spans="1:51" ht="30" hidden="1" customHeight="1" x14ac:dyDescent="0.2">
      <c r="A440" s="432">
        <v>438</v>
      </c>
      <c r="B440" s="432">
        <v>25</v>
      </c>
      <c r="C440" s="432">
        <v>9</v>
      </c>
      <c r="D440" s="16">
        <v>1404</v>
      </c>
      <c r="E440" s="431" t="s">
        <v>3246</v>
      </c>
      <c r="F440" s="431" t="s">
        <v>20</v>
      </c>
      <c r="G440" s="431"/>
      <c r="H440" s="432" t="s">
        <v>7</v>
      </c>
      <c r="I440" s="360" t="s">
        <v>5479</v>
      </c>
      <c r="J440" s="16" t="s">
        <v>5577</v>
      </c>
      <c r="K440" s="35" t="s">
        <v>141</v>
      </c>
      <c r="L440" s="35" t="s">
        <v>334</v>
      </c>
      <c r="M440" s="431" t="s">
        <v>6036</v>
      </c>
      <c r="N440" s="41" t="s">
        <v>69</v>
      </c>
      <c r="O440" s="13" t="s">
        <v>70</v>
      </c>
      <c r="P440" s="13"/>
      <c r="Q440" s="13"/>
      <c r="R440" s="33" t="s">
        <v>6037</v>
      </c>
      <c r="S440" s="33">
        <v>233</v>
      </c>
      <c r="T440" s="33">
        <v>12</v>
      </c>
      <c r="U440" s="431" t="s">
        <v>6038</v>
      </c>
      <c r="V440" s="41" t="s">
        <v>69</v>
      </c>
      <c r="W440" s="13" t="s">
        <v>70</v>
      </c>
      <c r="X440" s="431"/>
      <c r="Y440" s="432" t="s">
        <v>5936</v>
      </c>
      <c r="Z440" s="432">
        <v>127</v>
      </c>
      <c r="AA440" s="432">
        <v>114</v>
      </c>
      <c r="AB440" s="16">
        <v>114</v>
      </c>
      <c r="AC440" s="16">
        <v>90</v>
      </c>
      <c r="AD440" s="16">
        <v>109</v>
      </c>
      <c r="AE440" s="16">
        <v>1</v>
      </c>
      <c r="AF440" s="16">
        <v>40</v>
      </c>
      <c r="AG440" s="16">
        <v>150</v>
      </c>
      <c r="AH440" s="16">
        <v>7</v>
      </c>
      <c r="AI440" s="16">
        <v>6</v>
      </c>
      <c r="AJ440" s="432"/>
      <c r="AK440" s="431" t="s">
        <v>6035</v>
      </c>
      <c r="AL440" s="25">
        <v>150</v>
      </c>
      <c r="AM440" s="432">
        <v>7</v>
      </c>
      <c r="AN440" s="432"/>
      <c r="AO440" s="432"/>
      <c r="AP440" s="16" t="s">
        <v>5080</v>
      </c>
      <c r="AQ440" s="16" t="s">
        <v>231</v>
      </c>
      <c r="AR440" s="130">
        <v>1404</v>
      </c>
      <c r="AS440" s="130">
        <v>9</v>
      </c>
      <c r="AT440" s="130"/>
      <c r="AU440" s="130"/>
      <c r="AV440" s="12" t="str">
        <f t="shared" si="24"/>
        <v/>
      </c>
      <c r="AW440" s="12" t="str">
        <f t="shared" si="25"/>
        <v/>
      </c>
      <c r="AX440" s="12"/>
      <c r="AY440" s="408"/>
    </row>
    <row r="441" spans="1:51" ht="30" hidden="1" customHeight="1" x14ac:dyDescent="0.2">
      <c r="A441" s="432">
        <v>439</v>
      </c>
      <c r="B441" s="432">
        <v>25</v>
      </c>
      <c r="C441" s="432">
        <v>9</v>
      </c>
      <c r="D441" s="16">
        <v>1404</v>
      </c>
      <c r="E441" s="431" t="s">
        <v>3603</v>
      </c>
      <c r="F441" s="431" t="s">
        <v>6</v>
      </c>
      <c r="G441" s="431"/>
      <c r="H441" s="432" t="s">
        <v>7</v>
      </c>
      <c r="I441" s="360" t="s">
        <v>5479</v>
      </c>
      <c r="J441" s="16" t="s">
        <v>84</v>
      </c>
      <c r="K441" s="431"/>
      <c r="L441" s="431" t="s">
        <v>155</v>
      </c>
      <c r="M441" s="431" t="s">
        <v>6022</v>
      </c>
      <c r="N441" s="41" t="s">
        <v>106</v>
      </c>
      <c r="O441" s="13" t="s">
        <v>107</v>
      </c>
      <c r="P441" s="13"/>
      <c r="Q441" s="13"/>
      <c r="R441" s="432"/>
      <c r="S441" s="432">
        <v>345</v>
      </c>
      <c r="T441" s="432">
        <v>10</v>
      </c>
      <c r="U441" s="431" t="s">
        <v>6023</v>
      </c>
      <c r="V441" s="41" t="s">
        <v>142</v>
      </c>
      <c r="W441" s="13" t="s">
        <v>70</v>
      </c>
      <c r="X441" s="431"/>
      <c r="Y441" s="432" t="s">
        <v>3602</v>
      </c>
      <c r="Z441" s="432">
        <v>250</v>
      </c>
      <c r="AA441" s="432">
        <v>234</v>
      </c>
      <c r="AB441" s="16">
        <v>234</v>
      </c>
      <c r="AC441" s="16">
        <v>155</v>
      </c>
      <c r="AD441" s="16">
        <v>171</v>
      </c>
      <c r="AE441" s="16">
        <v>6</v>
      </c>
      <c r="AF441" s="16">
        <v>65</v>
      </c>
      <c r="AG441" s="16">
        <v>242</v>
      </c>
      <c r="AH441" s="16">
        <v>22</v>
      </c>
      <c r="AI441" s="16">
        <v>6</v>
      </c>
      <c r="AJ441" s="432"/>
      <c r="AK441" s="431" t="s">
        <v>6035</v>
      </c>
      <c r="AL441" s="25">
        <v>242</v>
      </c>
      <c r="AM441" s="432">
        <v>22</v>
      </c>
      <c r="AN441" s="432"/>
      <c r="AO441" s="432"/>
      <c r="AP441" s="16" t="s">
        <v>160</v>
      </c>
      <c r="AQ441" s="16" t="s">
        <v>165</v>
      </c>
      <c r="AR441" s="130">
        <v>1404</v>
      </c>
      <c r="AS441" s="130">
        <v>9</v>
      </c>
      <c r="AT441" s="130"/>
      <c r="AU441" s="130"/>
      <c r="AV441" s="12" t="str">
        <f t="shared" si="24"/>
        <v/>
      </c>
      <c r="AW441" s="12" t="str">
        <f t="shared" si="25"/>
        <v/>
      </c>
      <c r="AX441" s="12"/>
      <c r="AY441" s="408"/>
    </row>
    <row r="442" spans="1:51" ht="30" hidden="1" customHeight="1" x14ac:dyDescent="0.2">
      <c r="A442" s="432">
        <v>440</v>
      </c>
      <c r="B442" s="432">
        <v>28</v>
      </c>
      <c r="C442" s="432">
        <v>9</v>
      </c>
      <c r="D442" s="16">
        <v>1404</v>
      </c>
      <c r="E442" s="431" t="s">
        <v>813</v>
      </c>
      <c r="F442" s="431" t="s">
        <v>66</v>
      </c>
      <c r="G442" s="431" t="s">
        <v>6024</v>
      </c>
      <c r="H442" s="432" t="s">
        <v>83</v>
      </c>
      <c r="I442" s="360" t="s">
        <v>5479</v>
      </c>
      <c r="J442" s="16" t="s">
        <v>5577</v>
      </c>
      <c r="K442" s="431" t="s">
        <v>3714</v>
      </c>
      <c r="L442" s="431" t="s">
        <v>117</v>
      </c>
      <c r="M442" s="431"/>
      <c r="N442" s="41" t="s">
        <v>106</v>
      </c>
      <c r="O442" s="13" t="s">
        <v>107</v>
      </c>
      <c r="P442" s="13" t="s">
        <v>3714</v>
      </c>
      <c r="Q442" s="13"/>
      <c r="R442" s="432" t="s">
        <v>3714</v>
      </c>
      <c r="S442" s="432">
        <v>293</v>
      </c>
      <c r="T442" s="432">
        <v>12</v>
      </c>
      <c r="U442" s="431"/>
      <c r="V442" s="41" t="s">
        <v>106</v>
      </c>
      <c r="W442" s="13" t="s">
        <v>107</v>
      </c>
      <c r="X442" s="431"/>
      <c r="Y442" s="432" t="s">
        <v>4249</v>
      </c>
      <c r="Z442" s="432" t="s">
        <v>3714</v>
      </c>
      <c r="AA442" s="432">
        <v>147</v>
      </c>
      <c r="AB442" s="16">
        <v>147</v>
      </c>
      <c r="AC442" s="16"/>
      <c r="AD442" s="16"/>
      <c r="AE442" s="16"/>
      <c r="AF442" s="16"/>
      <c r="AG442" s="16" t="s">
        <v>3714</v>
      </c>
      <c r="AH442" s="16" t="s">
        <v>3714</v>
      </c>
      <c r="AI442" s="16">
        <v>4</v>
      </c>
      <c r="AJ442" s="432"/>
      <c r="AK442" s="431" t="s">
        <v>3714</v>
      </c>
      <c r="AL442" s="25" t="s">
        <v>3714</v>
      </c>
      <c r="AM442" s="432"/>
      <c r="AN442" s="432"/>
      <c r="AO442" s="432"/>
      <c r="AP442" s="16"/>
      <c r="AQ442" s="16"/>
      <c r="AR442" s="130">
        <v>1404</v>
      </c>
      <c r="AS442" s="130">
        <v>9</v>
      </c>
      <c r="AT442" s="130">
        <v>1402</v>
      </c>
      <c r="AU442" s="130">
        <v>11</v>
      </c>
      <c r="AV442" s="12">
        <f t="shared" si="24"/>
        <v>22</v>
      </c>
      <c r="AW442" s="12" t="str">
        <f t="shared" si="25"/>
        <v/>
      </c>
      <c r="AX442" s="12"/>
      <c r="AY442" s="408"/>
    </row>
    <row r="443" spans="1:51" ht="30" hidden="1" customHeight="1" x14ac:dyDescent="0.2">
      <c r="A443" s="432">
        <v>441</v>
      </c>
      <c r="B443" s="432">
        <v>28</v>
      </c>
      <c r="C443" s="432">
        <v>9</v>
      </c>
      <c r="D443" s="16">
        <v>1404</v>
      </c>
      <c r="E443" s="431" t="s">
        <v>813</v>
      </c>
      <c r="F443" s="431" t="s">
        <v>2209</v>
      </c>
      <c r="G443" s="431" t="s">
        <v>6024</v>
      </c>
      <c r="H443" s="432" t="s">
        <v>7</v>
      </c>
      <c r="I443" s="360" t="s">
        <v>5479</v>
      </c>
      <c r="J443" s="16" t="s">
        <v>5577</v>
      </c>
      <c r="K443" s="35" t="s">
        <v>117</v>
      </c>
      <c r="L443" s="35" t="s">
        <v>104</v>
      </c>
      <c r="M443" s="431" t="s">
        <v>6025</v>
      </c>
      <c r="N443" s="41" t="s">
        <v>106</v>
      </c>
      <c r="O443" s="13" t="s">
        <v>107</v>
      </c>
      <c r="P443" s="13"/>
      <c r="Q443" s="13"/>
      <c r="R443" s="33" t="s">
        <v>204</v>
      </c>
      <c r="S443" s="33">
        <v>293</v>
      </c>
      <c r="T443" s="33">
        <v>13</v>
      </c>
      <c r="U443" s="431" t="s">
        <v>6026</v>
      </c>
      <c r="V443" s="41" t="s">
        <v>106</v>
      </c>
      <c r="W443" s="13" t="s">
        <v>107</v>
      </c>
      <c r="X443" s="431"/>
      <c r="Y443" s="432"/>
      <c r="Z443" s="432"/>
      <c r="AA443" s="432">
        <v>150</v>
      </c>
      <c r="AB443" s="16">
        <v>162</v>
      </c>
      <c r="AC443" s="16"/>
      <c r="AD443" s="16"/>
      <c r="AE443" s="16"/>
      <c r="AF443" s="16"/>
      <c r="AG443" s="16">
        <v>150</v>
      </c>
      <c r="AH443" s="16">
        <v>15</v>
      </c>
      <c r="AI443" s="16">
        <v>4</v>
      </c>
      <c r="AJ443" s="432" t="s">
        <v>193</v>
      </c>
      <c r="AK443" s="431" t="s">
        <v>6027</v>
      </c>
      <c r="AL443" s="25">
        <v>150</v>
      </c>
      <c r="AM443" s="432">
        <v>15.9</v>
      </c>
      <c r="AN443" s="432"/>
      <c r="AO443" s="432"/>
      <c r="AP443" s="16" t="s">
        <v>160</v>
      </c>
      <c r="AQ443" s="16" t="s">
        <v>193</v>
      </c>
      <c r="AR443" s="130">
        <v>1404</v>
      </c>
      <c r="AS443" s="130">
        <v>9</v>
      </c>
      <c r="AT443" s="130"/>
      <c r="AU443" s="130"/>
      <c r="AV443" s="12" t="str">
        <f t="shared" si="24"/>
        <v/>
      </c>
      <c r="AW443" s="12" t="str">
        <f t="shared" si="25"/>
        <v/>
      </c>
      <c r="AX443" s="12"/>
      <c r="AY443" s="408"/>
    </row>
    <row r="444" spans="1:51" ht="30" hidden="1" customHeight="1" x14ac:dyDescent="0.2">
      <c r="A444" s="432">
        <v>443</v>
      </c>
      <c r="B444" s="443">
        <v>3</v>
      </c>
      <c r="C444" s="443">
        <v>10</v>
      </c>
      <c r="D444" s="16">
        <v>1404</v>
      </c>
      <c r="E444" s="444" t="s">
        <v>726</v>
      </c>
      <c r="F444" s="444" t="s">
        <v>6</v>
      </c>
      <c r="G444" s="444"/>
      <c r="H444" s="443" t="s">
        <v>7</v>
      </c>
      <c r="I444" s="360" t="s">
        <v>5479</v>
      </c>
      <c r="J444" s="16" t="s">
        <v>84</v>
      </c>
      <c r="K444" s="35" t="s">
        <v>218</v>
      </c>
      <c r="L444" s="35" t="s">
        <v>155</v>
      </c>
      <c r="M444" s="431"/>
      <c r="N444" s="41" t="s">
        <v>106</v>
      </c>
      <c r="O444" s="13" t="s">
        <v>107</v>
      </c>
      <c r="P444" s="13"/>
      <c r="Q444" s="13"/>
      <c r="R444" s="33" t="s">
        <v>454</v>
      </c>
      <c r="S444" s="33">
        <v>6611</v>
      </c>
      <c r="T444" s="33">
        <v>15</v>
      </c>
      <c r="U444" s="431"/>
      <c r="V444" s="41" t="s">
        <v>106</v>
      </c>
      <c r="W444" s="13" t="s">
        <v>107</v>
      </c>
      <c r="X444" s="431"/>
      <c r="Y444" s="432" t="s">
        <v>6030</v>
      </c>
      <c r="Z444" s="432">
        <v>234</v>
      </c>
      <c r="AA444" s="432">
        <v>219</v>
      </c>
      <c r="AB444" s="16">
        <v>219</v>
      </c>
      <c r="AC444" s="16">
        <v>152</v>
      </c>
      <c r="AD444" s="16">
        <v>167</v>
      </c>
      <c r="AE444" s="16">
        <v>4</v>
      </c>
      <c r="AF444" s="16">
        <v>64</v>
      </c>
      <c r="AG444" s="16">
        <v>235</v>
      </c>
      <c r="AH444" s="16">
        <v>17</v>
      </c>
      <c r="AI444" s="16">
        <v>6</v>
      </c>
      <c r="AJ444" s="432"/>
      <c r="AK444" s="431" t="s">
        <v>6031</v>
      </c>
      <c r="AL444" s="25">
        <v>235</v>
      </c>
      <c r="AM444" s="432">
        <v>17</v>
      </c>
      <c r="AN444" s="432"/>
      <c r="AO444" s="432"/>
      <c r="AP444" s="16" t="s">
        <v>160</v>
      </c>
      <c r="AQ444" s="16" t="s">
        <v>165</v>
      </c>
      <c r="AR444" s="130">
        <v>1404</v>
      </c>
      <c r="AS444" s="130">
        <v>10</v>
      </c>
      <c r="AT444" s="130"/>
      <c r="AU444" s="130"/>
      <c r="AV444" s="12" t="str">
        <f t="shared" si="24"/>
        <v/>
      </c>
      <c r="AW444" s="12" t="str">
        <f t="shared" si="25"/>
        <v/>
      </c>
      <c r="AX444" s="12"/>
      <c r="AY444" s="408"/>
    </row>
    <row r="445" spans="1:51" s="21" customFormat="1" ht="30" hidden="1" customHeight="1" x14ac:dyDescent="0.2">
      <c r="A445" s="20">
        <v>442</v>
      </c>
      <c r="B445" s="20">
        <v>4</v>
      </c>
      <c r="C445" s="20">
        <v>10</v>
      </c>
      <c r="D445" s="29">
        <v>1404</v>
      </c>
      <c r="E445" s="30" t="s">
        <v>5890</v>
      </c>
      <c r="F445" s="30" t="s">
        <v>10</v>
      </c>
      <c r="G445" s="30" t="s">
        <v>6032</v>
      </c>
      <c r="H445" s="20" t="s">
        <v>83</v>
      </c>
      <c r="I445" s="20" t="s">
        <v>5479</v>
      </c>
      <c r="J445" s="29" t="s">
        <v>84</v>
      </c>
      <c r="K445" s="30" t="s">
        <v>155</v>
      </c>
      <c r="L445" s="30"/>
      <c r="M445" s="30" t="s">
        <v>5891</v>
      </c>
      <c r="N445" s="30" t="s">
        <v>106</v>
      </c>
      <c r="O445" s="20" t="s">
        <v>107</v>
      </c>
      <c r="P445" s="20"/>
      <c r="Q445" s="20"/>
      <c r="R445" s="20" t="s">
        <v>3714</v>
      </c>
      <c r="S445" s="20">
        <v>6611</v>
      </c>
      <c r="T445" s="20">
        <v>17</v>
      </c>
      <c r="U445" s="30" t="s">
        <v>5892</v>
      </c>
      <c r="V445" s="30" t="s">
        <v>106</v>
      </c>
      <c r="W445" s="20" t="s">
        <v>107</v>
      </c>
      <c r="X445" s="30"/>
      <c r="Y445" s="20" t="s">
        <v>5893</v>
      </c>
      <c r="Z445" s="20">
        <v>250</v>
      </c>
      <c r="AA445" s="20"/>
      <c r="AB445" s="29">
        <v>218</v>
      </c>
      <c r="AC445" s="29">
        <v>158</v>
      </c>
      <c r="AD445" s="29">
        <v>166</v>
      </c>
      <c r="AE445" s="29">
        <v>6</v>
      </c>
      <c r="AF445" s="29">
        <v>25</v>
      </c>
      <c r="AG445" s="29">
        <v>197</v>
      </c>
      <c r="AH445" s="29">
        <v>23</v>
      </c>
      <c r="AI445" s="29">
        <v>6</v>
      </c>
      <c r="AJ445" s="20"/>
      <c r="AK445" s="30"/>
      <c r="AL445" s="36"/>
      <c r="AM445" s="20"/>
      <c r="AN445" s="20"/>
      <c r="AO445" s="20"/>
      <c r="AP445" s="29" t="s">
        <v>160</v>
      </c>
      <c r="AQ445" s="29" t="s">
        <v>165</v>
      </c>
      <c r="AR445" s="318">
        <v>1404</v>
      </c>
      <c r="AS445" s="130">
        <v>10</v>
      </c>
      <c r="AT445" s="318">
        <v>1404</v>
      </c>
      <c r="AU445" s="318">
        <v>8</v>
      </c>
      <c r="AV445" s="31">
        <f>IF(AR445*AT445&gt;0,(AR445-AT445)*12+(AS445-AU445),"")</f>
        <v>2</v>
      </c>
      <c r="AW445" s="31">
        <f>IF(AV445&lt;13,AV445,"")</f>
        <v>2</v>
      </c>
      <c r="AX445" s="31"/>
      <c r="AY445" s="409" t="s">
        <v>6033</v>
      </c>
    </row>
    <row r="446" spans="1:51" ht="30" hidden="1" customHeight="1" x14ac:dyDescent="0.2">
      <c r="A446" s="432">
        <v>445</v>
      </c>
      <c r="B446" s="443">
        <v>4</v>
      </c>
      <c r="C446" s="443">
        <v>10</v>
      </c>
      <c r="D446" s="16">
        <v>1404</v>
      </c>
      <c r="E446" s="444" t="s">
        <v>5854</v>
      </c>
      <c r="F446" s="444" t="s">
        <v>2981</v>
      </c>
      <c r="G446" s="444" t="s">
        <v>5951</v>
      </c>
      <c r="H446" s="443" t="s">
        <v>7</v>
      </c>
      <c r="I446" s="360" t="s">
        <v>5479</v>
      </c>
      <c r="J446" s="16" t="s">
        <v>84</v>
      </c>
      <c r="K446" s="35" t="s">
        <v>155</v>
      </c>
      <c r="L446" s="35" t="s">
        <v>104</v>
      </c>
      <c r="M446" s="444"/>
      <c r="N446" s="41" t="s">
        <v>106</v>
      </c>
      <c r="O446" s="13" t="s">
        <v>107</v>
      </c>
      <c r="P446" s="13"/>
      <c r="Q446" s="13"/>
      <c r="R446" s="33" t="s">
        <v>324</v>
      </c>
      <c r="S446" s="33">
        <v>293</v>
      </c>
      <c r="T446" s="33">
        <v>13</v>
      </c>
      <c r="U446" s="444"/>
      <c r="V446" s="41" t="s">
        <v>106</v>
      </c>
      <c r="W446" s="13" t="s">
        <v>107</v>
      </c>
      <c r="X446" s="444"/>
      <c r="Y446" s="443" t="s">
        <v>5926</v>
      </c>
      <c r="Z446" s="443">
        <v>217</v>
      </c>
      <c r="AA446" s="443">
        <v>207</v>
      </c>
      <c r="AB446" s="16">
        <v>207</v>
      </c>
      <c r="AC446" s="16">
        <v>60</v>
      </c>
      <c r="AD446" s="16">
        <v>167</v>
      </c>
      <c r="AE446" s="16">
        <v>2</v>
      </c>
      <c r="AF446" s="16">
        <v>11</v>
      </c>
      <c r="AG446" s="16">
        <v>180</v>
      </c>
      <c r="AH446" s="16">
        <v>15</v>
      </c>
      <c r="AI446" s="16">
        <v>6</v>
      </c>
      <c r="AJ446" s="443"/>
      <c r="AK446" s="444" t="s">
        <v>6029</v>
      </c>
      <c r="AL446" s="25">
        <v>180</v>
      </c>
      <c r="AM446" s="443">
        <v>14.4</v>
      </c>
      <c r="AN446" s="443"/>
      <c r="AO446" s="443"/>
      <c r="AP446" s="16" t="s">
        <v>160</v>
      </c>
      <c r="AQ446" s="16" t="s">
        <v>193</v>
      </c>
      <c r="AR446" s="130">
        <v>1404</v>
      </c>
      <c r="AS446" s="130">
        <v>10</v>
      </c>
      <c r="AT446" s="130"/>
      <c r="AU446" s="130"/>
      <c r="AV446" s="12" t="str">
        <f t="shared" si="24"/>
        <v/>
      </c>
      <c r="AW446" s="12" t="str">
        <f t="shared" si="25"/>
        <v/>
      </c>
      <c r="AX446" s="12"/>
      <c r="AY446" s="408"/>
    </row>
    <row r="447" spans="1:51" ht="30" hidden="1" customHeight="1" x14ac:dyDescent="0.2">
      <c r="A447" s="432">
        <v>446</v>
      </c>
      <c r="B447" s="443">
        <v>4</v>
      </c>
      <c r="C447" s="443">
        <v>10</v>
      </c>
      <c r="D447" s="16">
        <v>1404</v>
      </c>
      <c r="E447" s="444" t="s">
        <v>474</v>
      </c>
      <c r="F447" s="444" t="s">
        <v>10</v>
      </c>
      <c r="G447" s="444" t="s">
        <v>202</v>
      </c>
      <c r="H447" s="443" t="s">
        <v>7</v>
      </c>
      <c r="I447" s="360" t="s">
        <v>5479</v>
      </c>
      <c r="J447" s="16" t="s">
        <v>5577</v>
      </c>
      <c r="K447" s="444" t="s">
        <v>3714</v>
      </c>
      <c r="L447" s="444" t="s">
        <v>68</v>
      </c>
      <c r="M447" s="444"/>
      <c r="N447" s="41" t="s">
        <v>69</v>
      </c>
      <c r="O447" s="13" t="s">
        <v>70</v>
      </c>
      <c r="P447" s="13"/>
      <c r="Q447" s="13"/>
      <c r="R447" s="33" t="s">
        <v>263</v>
      </c>
      <c r="S447" s="33">
        <v>6611</v>
      </c>
      <c r="T447" s="33">
        <v>15</v>
      </c>
      <c r="U447" s="444"/>
      <c r="V447" s="41" t="s">
        <v>106</v>
      </c>
      <c r="W447" s="13" t="s">
        <v>107</v>
      </c>
      <c r="X447" s="444"/>
      <c r="Y447" s="443" t="s">
        <v>4207</v>
      </c>
      <c r="Z447" s="443">
        <v>228</v>
      </c>
      <c r="AA447" s="443">
        <v>210</v>
      </c>
      <c r="AB447" s="16">
        <v>210</v>
      </c>
      <c r="AC447" s="16">
        <v>168</v>
      </c>
      <c r="AD447" s="16">
        <v>182</v>
      </c>
      <c r="AE447" s="16">
        <v>6</v>
      </c>
      <c r="AF447" s="16">
        <v>18</v>
      </c>
      <c r="AG447" s="16">
        <v>206</v>
      </c>
      <c r="AH447" s="16">
        <v>20</v>
      </c>
      <c r="AI447" s="16">
        <v>6</v>
      </c>
      <c r="AJ447" s="443"/>
      <c r="AK447" s="444" t="s">
        <v>6028</v>
      </c>
      <c r="AL447" s="25">
        <v>206</v>
      </c>
      <c r="AM447" s="443">
        <v>20</v>
      </c>
      <c r="AN447" s="443"/>
      <c r="AO447" s="443"/>
      <c r="AP447" s="16" t="s">
        <v>160</v>
      </c>
      <c r="AQ447" s="16" t="s">
        <v>193</v>
      </c>
      <c r="AR447" s="130">
        <v>1404</v>
      </c>
      <c r="AS447" s="130">
        <v>10</v>
      </c>
      <c r="AT447" s="130"/>
      <c r="AU447" s="130"/>
      <c r="AV447" s="12" t="str">
        <f t="shared" si="24"/>
        <v/>
      </c>
      <c r="AW447" s="12" t="str">
        <f t="shared" si="25"/>
        <v/>
      </c>
      <c r="AX447" s="12"/>
      <c r="AY447" s="408"/>
    </row>
    <row r="448" spans="1:51" ht="30" hidden="1" customHeight="1" x14ac:dyDescent="0.2">
      <c r="A448" s="432">
        <v>447</v>
      </c>
      <c r="B448" s="432">
        <v>4</v>
      </c>
      <c r="C448" s="432">
        <v>10</v>
      </c>
      <c r="D448" s="16">
        <v>1404</v>
      </c>
      <c r="E448" s="431" t="s">
        <v>6034</v>
      </c>
      <c r="F448" s="431" t="s">
        <v>6</v>
      </c>
      <c r="G448" s="431"/>
      <c r="H448" s="432" t="s">
        <v>7</v>
      </c>
      <c r="I448" s="360" t="s">
        <v>5479</v>
      </c>
      <c r="J448" s="16" t="s">
        <v>84</v>
      </c>
      <c r="K448" s="35" t="s">
        <v>155</v>
      </c>
      <c r="L448" s="35" t="s">
        <v>334</v>
      </c>
      <c r="M448" s="431" t="s">
        <v>6101</v>
      </c>
      <c r="N448" s="41" t="s">
        <v>69</v>
      </c>
      <c r="O448" s="13" t="s">
        <v>70</v>
      </c>
      <c r="P448" s="13"/>
      <c r="Q448" s="13"/>
      <c r="R448" s="33" t="s">
        <v>324</v>
      </c>
      <c r="S448" s="33">
        <v>233</v>
      </c>
      <c r="T448" s="33">
        <v>13</v>
      </c>
      <c r="U448" s="431" t="s">
        <v>6100</v>
      </c>
      <c r="V448" s="41" t="s">
        <v>69</v>
      </c>
      <c r="W448" s="13" t="s">
        <v>70</v>
      </c>
      <c r="X448" s="431"/>
      <c r="Y448" s="432" t="s">
        <v>4369</v>
      </c>
      <c r="Z448" s="432">
        <v>144</v>
      </c>
      <c r="AA448" s="432">
        <v>135</v>
      </c>
      <c r="AB448" s="16">
        <v>135</v>
      </c>
      <c r="AC448" s="16">
        <v>119</v>
      </c>
      <c r="AD448" s="16">
        <v>132</v>
      </c>
      <c r="AE448" s="16">
        <v>1</v>
      </c>
      <c r="AF448" s="16">
        <v>43</v>
      </c>
      <c r="AG448" s="16">
        <v>171</v>
      </c>
      <c r="AH448" s="16">
        <v>7</v>
      </c>
      <c r="AI448" s="16">
        <v>6</v>
      </c>
      <c r="AJ448" s="432"/>
      <c r="AK448" s="431" t="s">
        <v>6031</v>
      </c>
      <c r="AL448" s="25">
        <v>171</v>
      </c>
      <c r="AM448" s="432">
        <v>7</v>
      </c>
      <c r="AN448" s="432"/>
      <c r="AO448" s="432"/>
      <c r="AP448" s="16" t="s">
        <v>160</v>
      </c>
      <c r="AQ448" s="16" t="s">
        <v>330</v>
      </c>
      <c r="AR448" s="130">
        <v>1404</v>
      </c>
      <c r="AS448" s="130">
        <v>10</v>
      </c>
      <c r="AT448" s="130"/>
      <c r="AU448" s="130"/>
      <c r="AV448" s="12" t="str">
        <f t="shared" si="24"/>
        <v/>
      </c>
      <c r="AW448" s="12" t="str">
        <f t="shared" si="25"/>
        <v/>
      </c>
      <c r="AX448" s="12"/>
      <c r="AY448" s="408"/>
    </row>
    <row r="449" spans="1:51" ht="30" hidden="1" customHeight="1" x14ac:dyDescent="0.2">
      <c r="A449" s="432">
        <v>448</v>
      </c>
      <c r="B449" s="432">
        <v>7</v>
      </c>
      <c r="C449" s="432">
        <v>10</v>
      </c>
      <c r="D449" s="16">
        <v>1404</v>
      </c>
      <c r="E449" s="431" t="s">
        <v>2923</v>
      </c>
      <c r="F449" s="431" t="s">
        <v>6</v>
      </c>
      <c r="G449" s="431" t="s">
        <v>6039</v>
      </c>
      <c r="H449" s="432" t="s">
        <v>7</v>
      </c>
      <c r="I449" s="360" t="s">
        <v>5479</v>
      </c>
      <c r="J449" s="16" t="s">
        <v>84</v>
      </c>
      <c r="K449" s="431"/>
      <c r="L449" s="431" t="s">
        <v>155</v>
      </c>
      <c r="M449" s="431" t="s">
        <v>6098</v>
      </c>
      <c r="N449" s="41" t="s">
        <v>69</v>
      </c>
      <c r="O449" s="13" t="s">
        <v>70</v>
      </c>
      <c r="P449" s="13"/>
      <c r="Q449" s="13"/>
      <c r="R449" s="432" t="s">
        <v>3714</v>
      </c>
      <c r="S449" s="432">
        <v>384</v>
      </c>
      <c r="T449" s="432">
        <v>10</v>
      </c>
      <c r="U449" s="431" t="s">
        <v>6099</v>
      </c>
      <c r="V449" s="41" t="s">
        <v>69</v>
      </c>
      <c r="W449" s="13" t="s">
        <v>70</v>
      </c>
      <c r="X449" s="431"/>
      <c r="Y449" s="432"/>
      <c r="Z449" s="432">
        <v>266</v>
      </c>
      <c r="AA449" s="432"/>
      <c r="AB449" s="16">
        <v>255</v>
      </c>
      <c r="AC449" s="16">
        <v>118</v>
      </c>
      <c r="AD449" s="16">
        <v>133</v>
      </c>
      <c r="AE449" s="16">
        <v>7</v>
      </c>
      <c r="AF449" s="16">
        <v>58</v>
      </c>
      <c r="AG449" s="16">
        <v>198</v>
      </c>
      <c r="AH449" s="16">
        <v>25</v>
      </c>
      <c r="AI449" s="16">
        <v>6</v>
      </c>
      <c r="AJ449" s="432"/>
      <c r="AK449" s="431" t="s">
        <v>6040</v>
      </c>
      <c r="AL449" s="25">
        <v>198</v>
      </c>
      <c r="AM449" s="432">
        <v>25</v>
      </c>
      <c r="AN449" s="432"/>
      <c r="AO449" s="432"/>
      <c r="AP449" s="16" t="s">
        <v>160</v>
      </c>
      <c r="AQ449" s="16" t="s">
        <v>165</v>
      </c>
      <c r="AR449" s="130">
        <v>1404</v>
      </c>
      <c r="AS449" s="130">
        <v>10</v>
      </c>
      <c r="AT449" s="130"/>
      <c r="AU449" s="130"/>
      <c r="AV449" s="12" t="str">
        <f t="shared" si="24"/>
        <v/>
      </c>
      <c r="AW449" s="12" t="str">
        <f t="shared" si="25"/>
        <v/>
      </c>
      <c r="AX449" s="12"/>
      <c r="AY449" s="408"/>
    </row>
    <row r="450" spans="1:51" ht="30" hidden="1" customHeight="1" x14ac:dyDescent="0.2">
      <c r="A450" s="432">
        <v>449</v>
      </c>
      <c r="B450" s="432">
        <v>7</v>
      </c>
      <c r="C450" s="432">
        <v>10</v>
      </c>
      <c r="D450" s="16">
        <v>1404</v>
      </c>
      <c r="E450" s="431" t="s">
        <v>1543</v>
      </c>
      <c r="F450" s="431" t="s">
        <v>6</v>
      </c>
      <c r="G450" s="431" t="s">
        <v>605</v>
      </c>
      <c r="H450" s="432" t="s">
        <v>83</v>
      </c>
      <c r="I450" s="360" t="s">
        <v>5479</v>
      </c>
      <c r="J450" s="16" t="s">
        <v>84</v>
      </c>
      <c r="K450" s="431"/>
      <c r="L450" s="431" t="s">
        <v>155</v>
      </c>
      <c r="M450" s="431"/>
      <c r="N450" s="41" t="s">
        <v>106</v>
      </c>
      <c r="O450" s="13" t="s">
        <v>107</v>
      </c>
      <c r="P450" s="13"/>
      <c r="Q450" s="13"/>
      <c r="R450" s="432" t="s">
        <v>3714</v>
      </c>
      <c r="S450" s="432">
        <v>384</v>
      </c>
      <c r="T450" s="432">
        <v>9</v>
      </c>
      <c r="U450" s="431"/>
      <c r="V450" s="41" t="s">
        <v>106</v>
      </c>
      <c r="W450" s="13" t="s">
        <v>107</v>
      </c>
      <c r="X450" s="431"/>
      <c r="Y450" s="432" t="s">
        <v>6524</v>
      </c>
      <c r="Z450" s="432">
        <v>180</v>
      </c>
      <c r="AA450" s="432">
        <v>162</v>
      </c>
      <c r="AB450" s="16">
        <v>162</v>
      </c>
      <c r="AC450" s="16"/>
      <c r="AD450" s="16"/>
      <c r="AE450" s="16"/>
      <c r="AF450" s="16"/>
      <c r="AG450" s="16"/>
      <c r="AH450" s="16"/>
      <c r="AI450" s="16">
        <v>6</v>
      </c>
      <c r="AJ450" s="432"/>
      <c r="AK450" s="431"/>
      <c r="AL450" s="25"/>
      <c r="AM450" s="432"/>
      <c r="AN450" s="432"/>
      <c r="AO450" s="432"/>
      <c r="AP450" s="16" t="s">
        <v>5080</v>
      </c>
      <c r="AQ450" s="16" t="s">
        <v>161</v>
      </c>
      <c r="AR450" s="130">
        <v>1404</v>
      </c>
      <c r="AS450" s="130">
        <v>10</v>
      </c>
      <c r="AT450" s="130">
        <v>1403</v>
      </c>
      <c r="AU450" s="130">
        <v>2</v>
      </c>
      <c r="AV450" s="12">
        <f t="shared" si="24"/>
        <v>20</v>
      </c>
      <c r="AW450" s="12" t="str">
        <f t="shared" si="25"/>
        <v/>
      </c>
      <c r="AX450" s="12"/>
      <c r="AY450" s="409" t="s">
        <v>6052</v>
      </c>
    </row>
    <row r="451" spans="1:51" s="21" customFormat="1" ht="30" hidden="1" customHeight="1" x14ac:dyDescent="0.2">
      <c r="A451" s="20">
        <v>450</v>
      </c>
      <c r="B451" s="20">
        <v>7</v>
      </c>
      <c r="C451" s="20">
        <v>10</v>
      </c>
      <c r="D451" s="29">
        <v>1404</v>
      </c>
      <c r="E451" s="30" t="s">
        <v>6041</v>
      </c>
      <c r="F451" s="30" t="s">
        <v>66</v>
      </c>
      <c r="G451" s="30" t="s">
        <v>174</v>
      </c>
      <c r="H451" s="20" t="s">
        <v>83</v>
      </c>
      <c r="I451" s="20" t="s">
        <v>5479</v>
      </c>
      <c r="J451" s="29" t="s">
        <v>84</v>
      </c>
      <c r="K451" s="30"/>
      <c r="L451" s="30" t="s">
        <v>769</v>
      </c>
      <c r="M451" s="30"/>
      <c r="N451" s="30" t="s">
        <v>106</v>
      </c>
      <c r="O451" s="20" t="s">
        <v>107</v>
      </c>
      <c r="P451" s="20"/>
      <c r="Q451" s="20"/>
      <c r="R451" s="20"/>
      <c r="S451" s="20">
        <v>193</v>
      </c>
      <c r="T451" s="20">
        <v>11</v>
      </c>
      <c r="U451" s="30"/>
      <c r="V451" s="30" t="s">
        <v>106</v>
      </c>
      <c r="W451" s="20" t="s">
        <v>107</v>
      </c>
      <c r="X451" s="30"/>
      <c r="Y451" s="20"/>
      <c r="Z451" s="20">
        <v>195</v>
      </c>
      <c r="AA451" s="20">
        <v>142</v>
      </c>
      <c r="AB451" s="29"/>
      <c r="AC451" s="29"/>
      <c r="AD451" s="29"/>
      <c r="AE451" s="29"/>
      <c r="AF451" s="29"/>
      <c r="AG451" s="29"/>
      <c r="AH451" s="29"/>
      <c r="AI451" s="29">
        <v>3</v>
      </c>
      <c r="AJ451" s="20"/>
      <c r="AK451" s="30"/>
      <c r="AL451" s="36"/>
      <c r="AM451" s="20"/>
      <c r="AN451" s="20"/>
      <c r="AO451" s="20"/>
      <c r="AP451" s="29" t="s">
        <v>5080</v>
      </c>
      <c r="AQ451" s="29" t="s">
        <v>228</v>
      </c>
      <c r="AR451" s="318">
        <v>1404</v>
      </c>
      <c r="AS451" s="318">
        <v>10</v>
      </c>
      <c r="AT451" s="318"/>
      <c r="AU451" s="318"/>
      <c r="AV451" s="31" t="str">
        <f t="shared" si="24"/>
        <v/>
      </c>
      <c r="AW451" s="31" t="str">
        <f t="shared" si="25"/>
        <v/>
      </c>
      <c r="AX451" s="31"/>
      <c r="AY451" s="409" t="s">
        <v>6051</v>
      </c>
    </row>
    <row r="452" spans="1:51" ht="30" hidden="1" customHeight="1" x14ac:dyDescent="0.2">
      <c r="A452" s="432">
        <v>451</v>
      </c>
      <c r="B452" s="432">
        <v>7</v>
      </c>
      <c r="C452" s="432">
        <v>10</v>
      </c>
      <c r="D452" s="16">
        <v>1404</v>
      </c>
      <c r="E452" s="431" t="s">
        <v>6041</v>
      </c>
      <c r="F452" s="431" t="s">
        <v>66</v>
      </c>
      <c r="G452" s="431"/>
      <c r="H452" s="432" t="s">
        <v>7</v>
      </c>
      <c r="I452" s="360" t="s">
        <v>5479</v>
      </c>
      <c r="J452" s="16" t="s">
        <v>84</v>
      </c>
      <c r="K452" s="35" t="s">
        <v>769</v>
      </c>
      <c r="L452" s="35" t="s">
        <v>5959</v>
      </c>
      <c r="M452" s="431"/>
      <c r="N452" s="41" t="s">
        <v>106</v>
      </c>
      <c r="O452" s="13" t="s">
        <v>107</v>
      </c>
      <c r="P452" s="13"/>
      <c r="Q452" s="13"/>
      <c r="R452" s="33" t="s">
        <v>2800</v>
      </c>
      <c r="S452" s="33">
        <v>152</v>
      </c>
      <c r="T452" s="33">
        <v>17</v>
      </c>
      <c r="U452" s="431"/>
      <c r="V452" s="41" t="s">
        <v>262</v>
      </c>
      <c r="W452" s="13" t="s">
        <v>70</v>
      </c>
      <c r="X452" s="431"/>
      <c r="Y452" s="432"/>
      <c r="Z452" s="432">
        <v>195</v>
      </c>
      <c r="AA452" s="432">
        <v>142</v>
      </c>
      <c r="AB452" s="16">
        <v>185</v>
      </c>
      <c r="AC452" s="16"/>
      <c r="AD452" s="16"/>
      <c r="AE452" s="16"/>
      <c r="AF452" s="16"/>
      <c r="AG452" s="16"/>
      <c r="AH452" s="16"/>
      <c r="AI452" s="16">
        <v>3</v>
      </c>
      <c r="AJ452" s="432"/>
      <c r="AK452" s="431"/>
      <c r="AL452" s="25"/>
      <c r="AM452" s="432"/>
      <c r="AN452" s="432"/>
      <c r="AO452" s="432"/>
      <c r="AP452" s="16" t="s">
        <v>5433</v>
      </c>
      <c r="AQ452" s="16" t="s">
        <v>228</v>
      </c>
      <c r="AR452" s="130">
        <v>1404</v>
      </c>
      <c r="AS452" s="130">
        <v>10</v>
      </c>
      <c r="AT452" s="130"/>
      <c r="AU452" s="130"/>
      <c r="AV452" s="12" t="str">
        <f t="shared" si="24"/>
        <v/>
      </c>
      <c r="AW452" s="12" t="str">
        <f t="shared" si="25"/>
        <v/>
      </c>
      <c r="AX452" s="12"/>
      <c r="AY452" s="409" t="s">
        <v>6042</v>
      </c>
    </row>
    <row r="453" spans="1:51" s="21" customFormat="1" ht="30" hidden="1" customHeight="1" x14ac:dyDescent="0.2">
      <c r="A453" s="20">
        <v>452</v>
      </c>
      <c r="B453" s="20">
        <v>7</v>
      </c>
      <c r="C453" s="20">
        <v>10</v>
      </c>
      <c r="D453" s="29">
        <v>1404</v>
      </c>
      <c r="E453" s="30" t="s">
        <v>6043</v>
      </c>
      <c r="F453" s="30" t="s">
        <v>66</v>
      </c>
      <c r="G453" s="30"/>
      <c r="H453" s="20" t="s">
        <v>7</v>
      </c>
      <c r="I453" s="20" t="s">
        <v>5479</v>
      </c>
      <c r="J453" s="29" t="s">
        <v>84</v>
      </c>
      <c r="K453" s="30"/>
      <c r="L453" s="30" t="s">
        <v>2497</v>
      </c>
      <c r="M453" s="30" t="s">
        <v>6096</v>
      </c>
      <c r="N453" s="30" t="s">
        <v>69</v>
      </c>
      <c r="O453" s="20" t="s">
        <v>70</v>
      </c>
      <c r="P453" s="20"/>
      <c r="Q453" s="20"/>
      <c r="R453" s="20"/>
      <c r="S453" s="20">
        <v>152</v>
      </c>
      <c r="T453" s="20">
        <v>14</v>
      </c>
      <c r="U453" s="30" t="s">
        <v>6097</v>
      </c>
      <c r="V453" s="30" t="s">
        <v>69</v>
      </c>
      <c r="W453" s="20" t="s">
        <v>70</v>
      </c>
      <c r="X453" s="30"/>
      <c r="Y453" s="20"/>
      <c r="Z453" s="20"/>
      <c r="AA453" s="20"/>
      <c r="AB453" s="29"/>
      <c r="AC453" s="29"/>
      <c r="AD453" s="29"/>
      <c r="AE453" s="29"/>
      <c r="AF453" s="29"/>
      <c r="AG453" s="29"/>
      <c r="AH453" s="29"/>
      <c r="AI453" s="29">
        <v>2</v>
      </c>
      <c r="AJ453" s="20"/>
      <c r="AK453" s="30"/>
      <c r="AL453" s="36"/>
      <c r="AM453" s="20"/>
      <c r="AN453" s="20"/>
      <c r="AO453" s="20"/>
      <c r="AP453" s="29"/>
      <c r="AQ453" s="29"/>
      <c r="AR453" s="318">
        <v>1404</v>
      </c>
      <c r="AS453" s="318">
        <v>10</v>
      </c>
      <c r="AT453" s="318"/>
      <c r="AU453" s="318"/>
      <c r="AV453" s="31" t="str">
        <f t="shared" si="24"/>
        <v/>
      </c>
      <c r="AW453" s="31" t="str">
        <f t="shared" si="25"/>
        <v/>
      </c>
      <c r="AX453" s="31"/>
      <c r="AY453" s="409" t="s">
        <v>6044</v>
      </c>
    </row>
    <row r="454" spans="1:51" s="21" customFormat="1" ht="30" hidden="1" customHeight="1" x14ac:dyDescent="0.2">
      <c r="A454" s="20">
        <v>453</v>
      </c>
      <c r="B454" s="20">
        <v>9</v>
      </c>
      <c r="C454" s="20">
        <v>10</v>
      </c>
      <c r="D454" s="29">
        <v>1404</v>
      </c>
      <c r="E454" s="30" t="s">
        <v>6045</v>
      </c>
      <c r="F454" s="30" t="s">
        <v>2981</v>
      </c>
      <c r="G454" s="30"/>
      <c r="H454" s="20" t="s">
        <v>83</v>
      </c>
      <c r="I454" s="20" t="s">
        <v>5479</v>
      </c>
      <c r="J454" s="29" t="s">
        <v>5577</v>
      </c>
      <c r="K454" s="30"/>
      <c r="L454" s="30" t="s">
        <v>2159</v>
      </c>
      <c r="M454" s="30"/>
      <c r="N454" s="30" t="s">
        <v>106</v>
      </c>
      <c r="O454" s="20" t="s">
        <v>107</v>
      </c>
      <c r="P454" s="20"/>
      <c r="Q454" s="20"/>
      <c r="R454" s="20"/>
      <c r="S454" s="20">
        <v>486</v>
      </c>
      <c r="T454" s="20">
        <v>2</v>
      </c>
      <c r="U454" s="30"/>
      <c r="V454" s="30" t="s">
        <v>106</v>
      </c>
      <c r="W454" s="20" t="s">
        <v>107</v>
      </c>
      <c r="X454" s="30"/>
      <c r="Y454" s="20"/>
      <c r="Z454" s="20">
        <v>16</v>
      </c>
      <c r="AA454" s="20"/>
      <c r="AB454" s="29"/>
      <c r="AC454" s="29"/>
      <c r="AD454" s="29"/>
      <c r="AE454" s="29"/>
      <c r="AF454" s="29"/>
      <c r="AG454" s="29"/>
      <c r="AH454" s="29"/>
      <c r="AI454" s="29"/>
      <c r="AJ454" s="20"/>
      <c r="AK454" s="30"/>
      <c r="AL454" s="36"/>
      <c r="AM454" s="20"/>
      <c r="AN454" s="20"/>
      <c r="AO454" s="20"/>
      <c r="AP454" s="29"/>
      <c r="AQ454" s="29"/>
      <c r="AR454" s="318">
        <v>1404</v>
      </c>
      <c r="AS454" s="318">
        <v>10</v>
      </c>
      <c r="AT454" s="318"/>
      <c r="AU454" s="318"/>
      <c r="AV454" s="31" t="str">
        <f t="shared" si="24"/>
        <v/>
      </c>
      <c r="AW454" s="31" t="str">
        <f t="shared" si="25"/>
        <v/>
      </c>
      <c r="AX454" s="31"/>
      <c r="AY454" s="409" t="s">
        <v>6046</v>
      </c>
    </row>
    <row r="455" spans="1:51" ht="30" hidden="1" customHeight="1" x14ac:dyDescent="0.2">
      <c r="A455" s="432">
        <v>454</v>
      </c>
      <c r="B455" s="432">
        <v>9</v>
      </c>
      <c r="C455" s="432">
        <v>10</v>
      </c>
      <c r="D455" s="16">
        <v>1404</v>
      </c>
      <c r="E455" s="431" t="s">
        <v>6045</v>
      </c>
      <c r="F455" s="431" t="s">
        <v>2981</v>
      </c>
      <c r="G455" s="431"/>
      <c r="H455" s="432" t="s">
        <v>7</v>
      </c>
      <c r="I455" s="360" t="s">
        <v>5479</v>
      </c>
      <c r="J455" s="16" t="s">
        <v>5577</v>
      </c>
      <c r="K455" s="431"/>
      <c r="L455" s="431" t="s">
        <v>2159</v>
      </c>
      <c r="M455" s="431"/>
      <c r="N455" s="41" t="s">
        <v>69</v>
      </c>
      <c r="O455" s="13" t="s">
        <v>70</v>
      </c>
      <c r="P455" s="13"/>
      <c r="Q455" s="13"/>
      <c r="R455" s="432"/>
      <c r="S455" s="432">
        <v>486</v>
      </c>
      <c r="T455" s="432">
        <v>2</v>
      </c>
      <c r="U455" s="431"/>
      <c r="V455" s="41" t="s">
        <v>142</v>
      </c>
      <c r="W455" s="13" t="s">
        <v>70</v>
      </c>
      <c r="X455" s="431"/>
      <c r="Y455" s="432"/>
      <c r="Z455" s="432">
        <v>16</v>
      </c>
      <c r="AA455" s="432"/>
      <c r="AB455" s="16"/>
      <c r="AC455" s="16"/>
      <c r="AD455" s="16"/>
      <c r="AE455" s="16"/>
      <c r="AF455" s="16"/>
      <c r="AG455" s="16"/>
      <c r="AH455" s="16"/>
      <c r="AI455" s="16"/>
      <c r="AJ455" s="432"/>
      <c r="AK455" s="431"/>
      <c r="AL455" s="25"/>
      <c r="AM455" s="432"/>
      <c r="AN455" s="432"/>
      <c r="AO455" s="432"/>
      <c r="AP455" s="16"/>
      <c r="AQ455" s="16"/>
      <c r="AR455" s="130">
        <v>1404</v>
      </c>
      <c r="AS455" s="130">
        <v>10</v>
      </c>
      <c r="AT455" s="130"/>
      <c r="AU455" s="130"/>
      <c r="AV455" s="12" t="str">
        <f t="shared" si="24"/>
        <v/>
      </c>
      <c r="AW455" s="12" t="str">
        <f t="shared" si="25"/>
        <v/>
      </c>
      <c r="AX455" s="12"/>
      <c r="AY455" s="408"/>
    </row>
    <row r="456" spans="1:51" ht="30" hidden="1" customHeight="1" x14ac:dyDescent="0.2">
      <c r="A456" s="432">
        <v>455</v>
      </c>
      <c r="B456" s="432">
        <v>11</v>
      </c>
      <c r="C456" s="432">
        <v>10</v>
      </c>
      <c r="D456" s="16">
        <v>1404</v>
      </c>
      <c r="E456" s="431" t="s">
        <v>1408</v>
      </c>
      <c r="F456" s="431" t="s">
        <v>9</v>
      </c>
      <c r="G456" s="431" t="s">
        <v>3661</v>
      </c>
      <c r="H456" s="432" t="s">
        <v>83</v>
      </c>
      <c r="I456" s="360" t="s">
        <v>5479</v>
      </c>
      <c r="J456" s="16" t="s">
        <v>84</v>
      </c>
      <c r="K456" s="431"/>
      <c r="L456" s="431" t="s">
        <v>155</v>
      </c>
      <c r="M456" s="431"/>
      <c r="N456" s="41" t="s">
        <v>106</v>
      </c>
      <c r="O456" s="13" t="s">
        <v>107</v>
      </c>
      <c r="P456" s="13"/>
      <c r="Q456" s="13"/>
      <c r="R456" s="432"/>
      <c r="S456" s="432">
        <v>384</v>
      </c>
      <c r="T456" s="432">
        <v>9</v>
      </c>
      <c r="U456" s="431"/>
      <c r="V456" s="41" t="s">
        <v>106</v>
      </c>
      <c r="W456" s="13" t="s">
        <v>107</v>
      </c>
      <c r="X456" s="431"/>
      <c r="Y456" s="432" t="s">
        <v>6048</v>
      </c>
      <c r="Z456" s="432">
        <v>204</v>
      </c>
      <c r="AA456" s="432">
        <v>198</v>
      </c>
      <c r="AB456" s="16">
        <v>198</v>
      </c>
      <c r="AC456" s="16"/>
      <c r="AD456" s="16"/>
      <c r="AE456" s="16"/>
      <c r="AF456" s="16"/>
      <c r="AG456" s="16"/>
      <c r="AH456" s="16"/>
      <c r="AI456" s="16">
        <v>6</v>
      </c>
      <c r="AJ456" s="432"/>
      <c r="AK456" s="431"/>
      <c r="AL456" s="25"/>
      <c r="AM456" s="432"/>
      <c r="AN456" s="432"/>
      <c r="AO456" s="432"/>
      <c r="AP456" s="16" t="s">
        <v>160</v>
      </c>
      <c r="AQ456" s="16" t="s">
        <v>193</v>
      </c>
      <c r="AR456" s="130">
        <v>1404</v>
      </c>
      <c r="AS456" s="130">
        <v>10</v>
      </c>
      <c r="AT456" s="130">
        <v>1401</v>
      </c>
      <c r="AU456" s="130">
        <v>8</v>
      </c>
      <c r="AV456" s="12">
        <f t="shared" si="24"/>
        <v>38</v>
      </c>
      <c r="AW456" s="12" t="str">
        <f t="shared" si="25"/>
        <v/>
      </c>
      <c r="AX456" s="12"/>
      <c r="AY456" s="408"/>
    </row>
    <row r="457" spans="1:51" ht="30" hidden="1" customHeight="1" x14ac:dyDescent="0.2">
      <c r="A457" s="432">
        <v>456</v>
      </c>
      <c r="B457" s="432">
        <v>11</v>
      </c>
      <c r="C457" s="432">
        <v>10</v>
      </c>
      <c r="D457" s="16">
        <v>1404</v>
      </c>
      <c r="E457" s="431" t="s">
        <v>272</v>
      </c>
      <c r="F457" s="431" t="s">
        <v>20</v>
      </c>
      <c r="G457" s="431" t="s">
        <v>6053</v>
      </c>
      <c r="H457" s="432" t="s">
        <v>83</v>
      </c>
      <c r="I457" s="360" t="s">
        <v>5479</v>
      </c>
      <c r="J457" s="16" t="s">
        <v>5577</v>
      </c>
      <c r="K457" s="431"/>
      <c r="L457" s="431" t="s">
        <v>226</v>
      </c>
      <c r="M457" s="431"/>
      <c r="N457" s="41" t="s">
        <v>106</v>
      </c>
      <c r="O457" s="13" t="s">
        <v>70</v>
      </c>
      <c r="P457" s="13"/>
      <c r="Q457" s="13"/>
      <c r="R457" s="432"/>
      <c r="S457" s="432">
        <v>233</v>
      </c>
      <c r="T457" s="432">
        <v>9</v>
      </c>
      <c r="U457" s="431"/>
      <c r="V457" s="41" t="s">
        <v>106</v>
      </c>
      <c r="W457" s="13" t="s">
        <v>107</v>
      </c>
      <c r="X457" s="431"/>
      <c r="Y457" s="432" t="s">
        <v>271</v>
      </c>
      <c r="Z457" s="432">
        <v>102</v>
      </c>
      <c r="AA457" s="432">
        <v>99</v>
      </c>
      <c r="AB457" s="16">
        <v>99</v>
      </c>
      <c r="AC457" s="16"/>
      <c r="AD457" s="16"/>
      <c r="AE457" s="16"/>
      <c r="AF457" s="16"/>
      <c r="AG457" s="16"/>
      <c r="AH457" s="16"/>
      <c r="AI457" s="16">
        <v>4</v>
      </c>
      <c r="AJ457" s="432"/>
      <c r="AK457" s="431"/>
      <c r="AL457" s="25"/>
      <c r="AM457" s="432"/>
      <c r="AN457" s="432"/>
      <c r="AO457" s="432"/>
      <c r="AP457" s="16" t="s">
        <v>5080</v>
      </c>
      <c r="AQ457" s="16" t="s">
        <v>1956</v>
      </c>
      <c r="AR457" s="130">
        <v>1404</v>
      </c>
      <c r="AS457" s="130">
        <v>10</v>
      </c>
      <c r="AT457" s="130">
        <v>1402</v>
      </c>
      <c r="AU457" s="130">
        <v>1</v>
      </c>
      <c r="AV457" s="12">
        <f t="shared" si="24"/>
        <v>33</v>
      </c>
      <c r="AW457" s="12" t="str">
        <f t="shared" si="25"/>
        <v/>
      </c>
      <c r="AX457" s="12"/>
      <c r="AY457" s="408"/>
    </row>
    <row r="458" spans="1:51" ht="30" hidden="1" customHeight="1" x14ac:dyDescent="0.2">
      <c r="A458" s="432">
        <v>457</v>
      </c>
      <c r="B458" s="432">
        <v>11</v>
      </c>
      <c r="C458" s="432">
        <v>10</v>
      </c>
      <c r="D458" s="16">
        <v>1404</v>
      </c>
      <c r="E458" s="431" t="s">
        <v>1408</v>
      </c>
      <c r="F458" s="431" t="s">
        <v>9</v>
      </c>
      <c r="G458" s="431"/>
      <c r="H458" s="432" t="s">
        <v>7</v>
      </c>
      <c r="I458" s="360" t="s">
        <v>5479</v>
      </c>
      <c r="J458" s="16" t="s">
        <v>84</v>
      </c>
      <c r="K458" s="35" t="s">
        <v>155</v>
      </c>
      <c r="L458" s="35" t="s">
        <v>140</v>
      </c>
      <c r="M458" s="431" t="s">
        <v>6094</v>
      </c>
      <c r="N458" s="41" t="s">
        <v>69</v>
      </c>
      <c r="O458" s="13" t="s">
        <v>70</v>
      </c>
      <c r="P458" s="13"/>
      <c r="Q458" s="13"/>
      <c r="R458" s="33" t="s">
        <v>324</v>
      </c>
      <c r="S458" s="33">
        <v>293</v>
      </c>
      <c r="T458" s="33">
        <v>11</v>
      </c>
      <c r="U458" s="431" t="s">
        <v>6095</v>
      </c>
      <c r="V458" s="41" t="s">
        <v>69</v>
      </c>
      <c r="W458" s="13" t="s">
        <v>70</v>
      </c>
      <c r="X458" s="431" t="s">
        <v>5187</v>
      </c>
      <c r="Y458" s="432"/>
      <c r="Z458" s="432">
        <v>204</v>
      </c>
      <c r="AA458" s="432">
        <v>198</v>
      </c>
      <c r="AB458" s="16">
        <v>198</v>
      </c>
      <c r="AC458" s="16">
        <v>172</v>
      </c>
      <c r="AD458" s="16">
        <v>189</v>
      </c>
      <c r="AE458" s="16">
        <v>2</v>
      </c>
      <c r="AF458" s="16">
        <v>5</v>
      </c>
      <c r="AG458" s="16">
        <v>196</v>
      </c>
      <c r="AH458" s="16">
        <v>12</v>
      </c>
      <c r="AI458" s="16">
        <v>6</v>
      </c>
      <c r="AJ458" s="432" t="s">
        <v>3714</v>
      </c>
      <c r="AK458" s="431" t="s">
        <v>6047</v>
      </c>
      <c r="AL458" s="25">
        <v>196</v>
      </c>
      <c r="AM458" s="432">
        <v>12</v>
      </c>
      <c r="AN458" s="432"/>
      <c r="AO458" s="432"/>
      <c r="AP458" s="16" t="s">
        <v>160</v>
      </c>
      <c r="AQ458" s="16" t="s">
        <v>193</v>
      </c>
      <c r="AR458" s="130">
        <v>1404</v>
      </c>
      <c r="AS458" s="130">
        <v>10</v>
      </c>
      <c r="AT458" s="130"/>
      <c r="AU458" s="130"/>
      <c r="AV458" s="12" t="str">
        <f t="shared" si="24"/>
        <v/>
      </c>
      <c r="AW458" s="12" t="str">
        <f t="shared" si="25"/>
        <v/>
      </c>
      <c r="AX458" s="12"/>
      <c r="AY458" s="408"/>
    </row>
    <row r="459" spans="1:51" ht="30" hidden="1" customHeight="1" x14ac:dyDescent="0.2">
      <c r="A459" s="432">
        <v>458</v>
      </c>
      <c r="B459" s="432">
        <v>11</v>
      </c>
      <c r="C459" s="432">
        <v>10</v>
      </c>
      <c r="D459" s="16">
        <v>1404</v>
      </c>
      <c r="E459" s="431" t="s">
        <v>272</v>
      </c>
      <c r="F459" s="431" t="s">
        <v>20</v>
      </c>
      <c r="G459" s="431"/>
      <c r="H459" s="432" t="s">
        <v>7</v>
      </c>
      <c r="I459" s="360" t="s">
        <v>5479</v>
      </c>
      <c r="J459" s="16" t="s">
        <v>5577</v>
      </c>
      <c r="K459" s="35" t="s">
        <v>226</v>
      </c>
      <c r="L459" s="35" t="s">
        <v>2497</v>
      </c>
      <c r="M459" s="431" t="s">
        <v>6092</v>
      </c>
      <c r="N459" s="41" t="s">
        <v>106</v>
      </c>
      <c r="O459" s="13" t="s">
        <v>107</v>
      </c>
      <c r="P459" s="13"/>
      <c r="Q459" s="13"/>
      <c r="R459" s="33" t="s">
        <v>278</v>
      </c>
      <c r="S459" s="33">
        <v>152</v>
      </c>
      <c r="T459" s="33">
        <v>17</v>
      </c>
      <c r="U459" s="431" t="s">
        <v>6093</v>
      </c>
      <c r="V459" s="41" t="s">
        <v>69</v>
      </c>
      <c r="W459" s="13" t="s">
        <v>70</v>
      </c>
      <c r="X459" s="431" t="s">
        <v>5187</v>
      </c>
      <c r="Y459" s="432"/>
      <c r="Z459" s="432">
        <v>102</v>
      </c>
      <c r="AA459" s="432">
        <v>99</v>
      </c>
      <c r="AB459" s="16">
        <v>99</v>
      </c>
      <c r="AC459" s="16"/>
      <c r="AD459" s="16">
        <v>99</v>
      </c>
      <c r="AE459" s="16">
        <v>1</v>
      </c>
      <c r="AF459" s="16">
        <v>30</v>
      </c>
      <c r="AG459" s="16">
        <v>130</v>
      </c>
      <c r="AH459" s="16">
        <v>2</v>
      </c>
      <c r="AI459" s="16">
        <v>4</v>
      </c>
      <c r="AJ459" s="432" t="s">
        <v>5187</v>
      </c>
      <c r="AK459" s="431" t="s">
        <v>4420</v>
      </c>
      <c r="AL459" s="25">
        <v>130</v>
      </c>
      <c r="AM459" s="432">
        <v>2</v>
      </c>
      <c r="AN459" s="432" t="s">
        <v>5187</v>
      </c>
      <c r="AO459" s="432" t="s">
        <v>6050</v>
      </c>
      <c r="AP459" s="16" t="s">
        <v>160</v>
      </c>
      <c r="AQ459" s="16" t="s">
        <v>1932</v>
      </c>
      <c r="AR459" s="130">
        <v>1404</v>
      </c>
      <c r="AS459" s="130">
        <v>10</v>
      </c>
      <c r="AT459" s="130"/>
      <c r="AU459" s="130"/>
      <c r="AV459" s="12" t="str">
        <f t="shared" si="24"/>
        <v/>
      </c>
      <c r="AW459" s="12" t="str">
        <f t="shared" si="25"/>
        <v/>
      </c>
      <c r="AX459" s="12"/>
      <c r="AY459" s="408"/>
    </row>
    <row r="460" spans="1:51" ht="30" hidden="1" customHeight="1" x14ac:dyDescent="0.2">
      <c r="A460" s="432">
        <v>459</v>
      </c>
      <c r="B460" s="432">
        <v>11</v>
      </c>
      <c r="C460" s="432">
        <v>10</v>
      </c>
      <c r="D460" s="16">
        <v>1404</v>
      </c>
      <c r="E460" s="431" t="s">
        <v>6041</v>
      </c>
      <c r="F460" s="431" t="s">
        <v>66</v>
      </c>
      <c r="G460" s="431"/>
      <c r="H460" s="432" t="s">
        <v>7</v>
      </c>
      <c r="I460" s="360" t="s">
        <v>5479</v>
      </c>
      <c r="J460" s="16" t="s">
        <v>5577</v>
      </c>
      <c r="K460" s="35" t="s">
        <v>5959</v>
      </c>
      <c r="L460" s="35" t="s">
        <v>5448</v>
      </c>
      <c r="M460" s="431" t="s">
        <v>6090</v>
      </c>
      <c r="N460" s="41" t="s">
        <v>106</v>
      </c>
      <c r="O460" s="13" t="s">
        <v>107</v>
      </c>
      <c r="P460" s="13"/>
      <c r="Q460" s="13"/>
      <c r="R460" s="33" t="s">
        <v>2498</v>
      </c>
      <c r="S460" s="33">
        <v>152</v>
      </c>
      <c r="T460" s="33">
        <v>27</v>
      </c>
      <c r="U460" s="431" t="s">
        <v>6091</v>
      </c>
      <c r="V460" s="41" t="s">
        <v>69</v>
      </c>
      <c r="W460" s="13" t="s">
        <v>70</v>
      </c>
      <c r="X460" s="431" t="s">
        <v>5187</v>
      </c>
      <c r="Y460" s="432"/>
      <c r="Z460" s="432">
        <v>195</v>
      </c>
      <c r="AA460" s="432">
        <v>148</v>
      </c>
      <c r="AB460" s="16"/>
      <c r="AC460" s="16"/>
      <c r="AD460" s="16"/>
      <c r="AE460" s="16"/>
      <c r="AF460" s="16"/>
      <c r="AG460" s="16"/>
      <c r="AH460" s="16"/>
      <c r="AI460" s="16">
        <v>3</v>
      </c>
      <c r="AJ460" s="432" t="s">
        <v>5187</v>
      </c>
      <c r="AK460" s="431" t="s">
        <v>4420</v>
      </c>
      <c r="AL460" s="25">
        <v>203</v>
      </c>
      <c r="AM460" s="432"/>
      <c r="AN460" s="432" t="s">
        <v>5187</v>
      </c>
      <c r="AO460" s="432" t="s">
        <v>6049</v>
      </c>
      <c r="AP460" s="16" t="s">
        <v>160</v>
      </c>
      <c r="AQ460" s="16" t="s">
        <v>1956</v>
      </c>
      <c r="AR460" s="130">
        <v>1404</v>
      </c>
      <c r="AS460" s="130">
        <v>10</v>
      </c>
      <c r="AT460" s="130"/>
      <c r="AU460" s="130"/>
      <c r="AV460" s="12" t="str">
        <f t="shared" si="24"/>
        <v/>
      </c>
      <c r="AW460" s="12" t="str">
        <f t="shared" si="25"/>
        <v/>
      </c>
      <c r="AX460" s="12"/>
      <c r="AY460" s="408"/>
    </row>
    <row r="461" spans="1:51" ht="30" hidden="1" customHeight="1" x14ac:dyDescent="0.2">
      <c r="A461" s="432">
        <v>460</v>
      </c>
      <c r="B461" s="432">
        <v>11</v>
      </c>
      <c r="C461" s="432">
        <v>10</v>
      </c>
      <c r="D461" s="16">
        <v>1404</v>
      </c>
      <c r="E461" s="431" t="s">
        <v>6054</v>
      </c>
      <c r="F461" s="431" t="s">
        <v>2981</v>
      </c>
      <c r="G461" s="431" t="s">
        <v>6055</v>
      </c>
      <c r="H461" s="432" t="s">
        <v>83</v>
      </c>
      <c r="I461" s="360" t="s">
        <v>5479</v>
      </c>
      <c r="J461" s="16" t="s">
        <v>5577</v>
      </c>
      <c r="K461" s="431" t="s">
        <v>3714</v>
      </c>
      <c r="L461" s="431" t="s">
        <v>104</v>
      </c>
      <c r="M461" s="431"/>
      <c r="N461" s="41" t="s">
        <v>106</v>
      </c>
      <c r="O461" s="13" t="s">
        <v>107</v>
      </c>
      <c r="P461" s="13"/>
      <c r="Q461" s="13"/>
      <c r="R461" s="432" t="s">
        <v>3714</v>
      </c>
      <c r="S461" s="432">
        <v>374</v>
      </c>
      <c r="T461" s="432">
        <v>7</v>
      </c>
      <c r="U461" s="431"/>
      <c r="V461" s="41" t="s">
        <v>106</v>
      </c>
      <c r="W461" s="13" t="s">
        <v>107</v>
      </c>
      <c r="X461" s="431"/>
      <c r="Y461" s="432" t="s">
        <v>6525</v>
      </c>
      <c r="Z461" s="432">
        <v>250</v>
      </c>
      <c r="AA461" s="432">
        <v>238</v>
      </c>
      <c r="AB461" s="16">
        <v>238</v>
      </c>
      <c r="AC461" s="16"/>
      <c r="AD461" s="16"/>
      <c r="AE461" s="16"/>
      <c r="AF461" s="16"/>
      <c r="AG461" s="16"/>
      <c r="AH461" s="16"/>
      <c r="AI461" s="16">
        <v>6</v>
      </c>
      <c r="AJ461" s="432"/>
      <c r="AK461" s="431"/>
      <c r="AL461" s="25"/>
      <c r="AM461" s="432"/>
      <c r="AN461" s="432"/>
      <c r="AO461" s="432"/>
      <c r="AP461" s="16"/>
      <c r="AQ461" s="16"/>
      <c r="AR461" s="130">
        <v>1404</v>
      </c>
      <c r="AS461" s="130">
        <v>10</v>
      </c>
      <c r="AT461" s="130">
        <v>1397</v>
      </c>
      <c r="AU461" s="130">
        <v>5</v>
      </c>
      <c r="AV461" s="12">
        <f t="shared" si="24"/>
        <v>89</v>
      </c>
      <c r="AW461" s="12" t="str">
        <f t="shared" si="25"/>
        <v/>
      </c>
      <c r="AX461" s="12"/>
      <c r="AY461" s="408"/>
    </row>
    <row r="462" spans="1:51" ht="30" hidden="1" customHeight="1" x14ac:dyDescent="0.2">
      <c r="A462" s="432">
        <v>462</v>
      </c>
      <c r="B462" s="432">
        <v>12</v>
      </c>
      <c r="C462" s="432">
        <v>10</v>
      </c>
      <c r="D462" s="16">
        <v>1404</v>
      </c>
      <c r="E462" s="431" t="s">
        <v>6041</v>
      </c>
      <c r="F462" s="431" t="s">
        <v>66</v>
      </c>
      <c r="G462" s="431"/>
      <c r="H462" s="432" t="s">
        <v>83</v>
      </c>
      <c r="I462" s="360" t="s">
        <v>5479</v>
      </c>
      <c r="J462" s="16" t="s">
        <v>5577</v>
      </c>
      <c r="K462" s="431"/>
      <c r="L462" s="431" t="s">
        <v>5959</v>
      </c>
      <c r="M462" s="431"/>
      <c r="N462" s="41" t="s">
        <v>106</v>
      </c>
      <c r="O462" s="13" t="s">
        <v>107</v>
      </c>
      <c r="P462" s="13"/>
      <c r="Q462" s="13"/>
      <c r="R462" s="432"/>
      <c r="S462" s="432">
        <v>152</v>
      </c>
      <c r="T462" s="432">
        <v>17</v>
      </c>
      <c r="U462" s="431"/>
      <c r="V462" s="41" t="s">
        <v>106</v>
      </c>
      <c r="W462" s="13" t="s">
        <v>107</v>
      </c>
      <c r="X462" s="431"/>
      <c r="Y462" s="432"/>
      <c r="Z462" s="432"/>
      <c r="AA462" s="432"/>
      <c r="AB462" s="16"/>
      <c r="AC462" s="16"/>
      <c r="AD462" s="16"/>
      <c r="AE462" s="16"/>
      <c r="AF462" s="16"/>
      <c r="AG462" s="16"/>
      <c r="AH462" s="16"/>
      <c r="AI462" s="16"/>
      <c r="AJ462" s="432"/>
      <c r="AK462" s="431"/>
      <c r="AL462" s="25"/>
      <c r="AM462" s="432"/>
      <c r="AN462" s="432"/>
      <c r="AO462" s="432"/>
      <c r="AP462" s="16"/>
      <c r="AQ462" s="16"/>
      <c r="AR462" s="130">
        <v>1404</v>
      </c>
      <c r="AS462" s="130">
        <v>10</v>
      </c>
      <c r="AT462" s="130"/>
      <c r="AU462" s="130"/>
      <c r="AV462" s="12" t="str">
        <f t="shared" si="24"/>
        <v/>
      </c>
      <c r="AW462" s="12" t="str">
        <f t="shared" si="25"/>
        <v/>
      </c>
      <c r="AX462" s="12"/>
      <c r="AY462" s="408"/>
    </row>
    <row r="463" spans="1:51" ht="30" hidden="1" customHeight="1" x14ac:dyDescent="0.2">
      <c r="A463" s="432">
        <v>463</v>
      </c>
      <c r="B463" s="432">
        <v>12</v>
      </c>
      <c r="C463" s="432">
        <v>10</v>
      </c>
      <c r="D463" s="16">
        <v>1404</v>
      </c>
      <c r="E463" s="431" t="s">
        <v>1258</v>
      </c>
      <c r="F463" s="431" t="s">
        <v>9</v>
      </c>
      <c r="G463" s="431" t="s">
        <v>4038</v>
      </c>
      <c r="H463" s="432" t="s">
        <v>83</v>
      </c>
      <c r="I463" s="360" t="s">
        <v>5479</v>
      </c>
      <c r="J463" s="16" t="s">
        <v>84</v>
      </c>
      <c r="K463" s="431"/>
      <c r="L463" s="431" t="s">
        <v>218</v>
      </c>
      <c r="M463" s="431"/>
      <c r="N463" s="41" t="s">
        <v>106</v>
      </c>
      <c r="O463" s="13" t="s">
        <v>107</v>
      </c>
      <c r="P463" s="13"/>
      <c r="Q463" s="13"/>
      <c r="R463" s="432"/>
      <c r="S463" s="432">
        <v>374</v>
      </c>
      <c r="T463" s="432">
        <v>8</v>
      </c>
      <c r="U463" s="431"/>
      <c r="V463" s="41" t="s">
        <v>106</v>
      </c>
      <c r="W463" s="13" t="s">
        <v>107</v>
      </c>
      <c r="X463" s="431"/>
      <c r="Y463" s="432" t="s">
        <v>3538</v>
      </c>
      <c r="Z463" s="432">
        <v>248</v>
      </c>
      <c r="AA463" s="432">
        <v>240</v>
      </c>
      <c r="AB463" s="16">
        <v>240</v>
      </c>
      <c r="AC463" s="16"/>
      <c r="AD463" s="16"/>
      <c r="AE463" s="16"/>
      <c r="AF463" s="16"/>
      <c r="AG463" s="16"/>
      <c r="AH463" s="16"/>
      <c r="AI463" s="16">
        <v>6</v>
      </c>
      <c r="AJ463" s="432"/>
      <c r="AK463" s="431"/>
      <c r="AL463" s="25"/>
      <c r="AM463" s="432"/>
      <c r="AN463" s="432"/>
      <c r="AO463" s="432"/>
      <c r="AP463" s="16" t="s">
        <v>160</v>
      </c>
      <c r="AQ463" s="16" t="s">
        <v>165</v>
      </c>
      <c r="AR463" s="130">
        <v>1404</v>
      </c>
      <c r="AS463" s="130">
        <v>10</v>
      </c>
      <c r="AT463" s="130">
        <v>1401</v>
      </c>
      <c r="AU463" s="130">
        <v>7</v>
      </c>
      <c r="AV463" s="12">
        <f t="shared" si="24"/>
        <v>39</v>
      </c>
      <c r="AW463" s="12" t="str">
        <f t="shared" si="25"/>
        <v/>
      </c>
      <c r="AX463" s="12"/>
      <c r="AY463" s="408"/>
    </row>
    <row r="464" spans="1:51" ht="30" hidden="1" customHeight="1" x14ac:dyDescent="0.2">
      <c r="A464" s="432">
        <v>464</v>
      </c>
      <c r="B464" s="432">
        <v>15</v>
      </c>
      <c r="C464" s="432">
        <v>10</v>
      </c>
      <c r="D464" s="16">
        <v>1404</v>
      </c>
      <c r="E464" s="431" t="s">
        <v>3854</v>
      </c>
      <c r="F464" s="431" t="s">
        <v>10</v>
      </c>
      <c r="G464" s="445" t="s">
        <v>4038</v>
      </c>
      <c r="H464" s="432" t="s">
        <v>83</v>
      </c>
      <c r="I464" s="360" t="s">
        <v>5479</v>
      </c>
      <c r="J464" s="16" t="s">
        <v>5577</v>
      </c>
      <c r="K464" s="431"/>
      <c r="L464" s="431" t="s">
        <v>141</v>
      </c>
      <c r="M464" s="431"/>
      <c r="N464" s="41" t="s">
        <v>106</v>
      </c>
      <c r="O464" s="13" t="s">
        <v>107</v>
      </c>
      <c r="P464" s="13"/>
      <c r="Q464" s="13"/>
      <c r="R464" s="432"/>
      <c r="S464" s="432">
        <v>6608</v>
      </c>
      <c r="T464" s="432">
        <v>13</v>
      </c>
      <c r="U464" s="431"/>
      <c r="V464" s="41" t="s">
        <v>106</v>
      </c>
      <c r="W464" s="13" t="s">
        <v>107</v>
      </c>
      <c r="X464" s="431"/>
      <c r="Y464" s="432" t="s">
        <v>6060</v>
      </c>
      <c r="Z464" s="432">
        <v>239</v>
      </c>
      <c r="AA464" s="432">
        <v>210</v>
      </c>
      <c r="AB464" s="16">
        <v>210</v>
      </c>
      <c r="AC464" s="16"/>
      <c r="AD464" s="16"/>
      <c r="AE464" s="16"/>
      <c r="AF464" s="16"/>
      <c r="AG464" s="16"/>
      <c r="AH464" s="16"/>
      <c r="AI464" s="16">
        <v>6</v>
      </c>
      <c r="AJ464" s="432"/>
      <c r="AK464" s="431"/>
      <c r="AL464" s="25"/>
      <c r="AM464" s="432"/>
      <c r="AN464" s="432"/>
      <c r="AO464" s="432"/>
      <c r="AP464" s="16"/>
      <c r="AQ464" s="16"/>
      <c r="AR464" s="130">
        <v>1404</v>
      </c>
      <c r="AS464" s="130">
        <v>10</v>
      </c>
      <c r="AT464" s="130">
        <v>1404</v>
      </c>
      <c r="AU464" s="130">
        <v>6</v>
      </c>
      <c r="AV464" s="12">
        <f t="shared" si="24"/>
        <v>4</v>
      </c>
      <c r="AW464" s="12">
        <f t="shared" si="25"/>
        <v>4</v>
      </c>
      <c r="AX464" s="12"/>
      <c r="AY464" s="408"/>
    </row>
    <row r="465" spans="1:51" ht="30" hidden="1" customHeight="1" x14ac:dyDescent="0.2">
      <c r="A465" s="432">
        <v>465</v>
      </c>
      <c r="B465" s="432">
        <v>15</v>
      </c>
      <c r="C465" s="432">
        <v>10</v>
      </c>
      <c r="D465" s="16">
        <v>1404</v>
      </c>
      <c r="E465" s="431" t="s">
        <v>1562</v>
      </c>
      <c r="F465" s="431" t="s">
        <v>6</v>
      </c>
      <c r="G465" s="445" t="s">
        <v>4038</v>
      </c>
      <c r="H465" s="432" t="s">
        <v>83</v>
      </c>
      <c r="I465" s="360" t="s">
        <v>5479</v>
      </c>
      <c r="J465" s="16" t="s">
        <v>84</v>
      </c>
      <c r="K465" s="431"/>
      <c r="L465" s="431" t="s">
        <v>155</v>
      </c>
      <c r="M465" s="431"/>
      <c r="N465" s="41" t="s">
        <v>106</v>
      </c>
      <c r="O465" s="13" t="s">
        <v>107</v>
      </c>
      <c r="P465" s="13"/>
      <c r="Q465" s="13"/>
      <c r="R465" s="432"/>
      <c r="S465" s="432">
        <v>384</v>
      </c>
      <c r="T465" s="432">
        <v>10</v>
      </c>
      <c r="U465" s="431"/>
      <c r="V465" s="41" t="s">
        <v>106</v>
      </c>
      <c r="W465" s="13" t="s">
        <v>107</v>
      </c>
      <c r="X465" s="431"/>
      <c r="Y465" s="432" t="s">
        <v>4643</v>
      </c>
      <c r="Z465" s="432">
        <v>234</v>
      </c>
      <c r="AA465" s="432">
        <v>222</v>
      </c>
      <c r="AB465" s="16">
        <v>222</v>
      </c>
      <c r="AC465" s="16"/>
      <c r="AD465" s="16"/>
      <c r="AE465" s="16"/>
      <c r="AF465" s="16"/>
      <c r="AG465" s="16"/>
      <c r="AH465" s="16"/>
      <c r="AI465" s="16">
        <v>6</v>
      </c>
      <c r="AJ465" s="432"/>
      <c r="AK465" s="431"/>
      <c r="AL465" s="25"/>
      <c r="AM465" s="432"/>
      <c r="AN465" s="432"/>
      <c r="AO465" s="432"/>
      <c r="AP465" s="16"/>
      <c r="AQ465" s="16"/>
      <c r="AR465" s="130">
        <v>1404</v>
      </c>
      <c r="AS465" s="130">
        <v>10</v>
      </c>
      <c r="AT465" s="130">
        <v>1403</v>
      </c>
      <c r="AU465" s="130">
        <v>5</v>
      </c>
      <c r="AV465" s="12">
        <f t="shared" si="24"/>
        <v>17</v>
      </c>
      <c r="AW465" s="12" t="str">
        <f t="shared" si="25"/>
        <v/>
      </c>
      <c r="AX465" s="12"/>
      <c r="AY465" s="408"/>
    </row>
    <row r="466" spans="1:51" ht="30" hidden="1" customHeight="1" x14ac:dyDescent="0.2">
      <c r="A466" s="432">
        <v>466</v>
      </c>
      <c r="B466" s="432">
        <v>15</v>
      </c>
      <c r="C466" s="432">
        <v>10</v>
      </c>
      <c r="D466" s="16">
        <v>1404</v>
      </c>
      <c r="E466" s="431" t="s">
        <v>1153</v>
      </c>
      <c r="F466" s="431" t="s">
        <v>6</v>
      </c>
      <c r="G466" s="431"/>
      <c r="H466" s="432" t="s">
        <v>83</v>
      </c>
      <c r="I466" s="360" t="s">
        <v>5479</v>
      </c>
      <c r="J466" s="16" t="s">
        <v>84</v>
      </c>
      <c r="K466" s="431"/>
      <c r="L466" s="431" t="s">
        <v>104</v>
      </c>
      <c r="M466" s="431"/>
      <c r="N466" s="41" t="s">
        <v>106</v>
      </c>
      <c r="O466" s="13" t="s">
        <v>107</v>
      </c>
      <c r="P466" s="13"/>
      <c r="Q466" s="13"/>
      <c r="R466" s="432"/>
      <c r="S466" s="432">
        <v>6611</v>
      </c>
      <c r="T466" s="432">
        <v>16</v>
      </c>
      <c r="U466" s="431"/>
      <c r="V466" s="41" t="s">
        <v>106</v>
      </c>
      <c r="W466" s="13" t="s">
        <v>107</v>
      </c>
      <c r="X466" s="431"/>
      <c r="Y466" s="432"/>
      <c r="Z466" s="432"/>
      <c r="AA466" s="432"/>
      <c r="AB466" s="16"/>
      <c r="AC466" s="16"/>
      <c r="AD466" s="16"/>
      <c r="AE466" s="16"/>
      <c r="AF466" s="16"/>
      <c r="AG466" s="16"/>
      <c r="AH466" s="16"/>
      <c r="AI466" s="16"/>
      <c r="AJ466" s="432"/>
      <c r="AK466" s="431"/>
      <c r="AL466" s="25"/>
      <c r="AM466" s="432"/>
      <c r="AN466" s="432"/>
      <c r="AO466" s="432"/>
      <c r="AP466" s="16"/>
      <c r="AQ466" s="16"/>
      <c r="AR466" s="130">
        <v>1404</v>
      </c>
      <c r="AS466" s="130">
        <v>10</v>
      </c>
      <c r="AT466" s="130"/>
      <c r="AU466" s="130"/>
      <c r="AV466" s="12" t="str">
        <f t="shared" si="24"/>
        <v/>
      </c>
      <c r="AW466" s="12" t="str">
        <f t="shared" si="25"/>
        <v/>
      </c>
      <c r="AX466" s="12"/>
      <c r="AY466" s="408"/>
    </row>
    <row r="467" spans="1:51" ht="30" hidden="1" customHeight="1" x14ac:dyDescent="0.2">
      <c r="A467" s="432">
        <v>467</v>
      </c>
      <c r="B467" s="432">
        <v>15</v>
      </c>
      <c r="C467" s="432">
        <v>10</v>
      </c>
      <c r="D467" s="16">
        <v>1404</v>
      </c>
      <c r="E467" s="431" t="s">
        <v>3976</v>
      </c>
      <c r="F467" s="431" t="s">
        <v>6</v>
      </c>
      <c r="G467" s="431"/>
      <c r="H467" s="432" t="s">
        <v>83</v>
      </c>
      <c r="I467" s="360" t="s">
        <v>5479</v>
      </c>
      <c r="J467" s="16" t="s">
        <v>84</v>
      </c>
      <c r="K467" s="431"/>
      <c r="L467" s="431" t="s">
        <v>104</v>
      </c>
      <c r="M467" s="431"/>
      <c r="N467" s="41" t="s">
        <v>106</v>
      </c>
      <c r="O467" s="13" t="s">
        <v>107</v>
      </c>
      <c r="P467" s="13"/>
      <c r="Q467" s="13"/>
      <c r="R467" s="432"/>
      <c r="S467" s="432">
        <v>293</v>
      </c>
      <c r="T467" s="432">
        <v>15</v>
      </c>
      <c r="U467" s="431"/>
      <c r="V467" s="41" t="s">
        <v>106</v>
      </c>
      <c r="W467" s="13" t="s">
        <v>107</v>
      </c>
      <c r="X467" s="431"/>
      <c r="Y467" s="432"/>
      <c r="Z467" s="432"/>
      <c r="AA467" s="432"/>
      <c r="AB467" s="16"/>
      <c r="AC467" s="16"/>
      <c r="AD467" s="16"/>
      <c r="AE467" s="16"/>
      <c r="AF467" s="16"/>
      <c r="AG467" s="16"/>
      <c r="AH467" s="16"/>
      <c r="AI467" s="16"/>
      <c r="AJ467" s="432"/>
      <c r="AK467" s="431"/>
      <c r="AL467" s="25"/>
      <c r="AM467" s="432"/>
      <c r="AN467" s="432"/>
      <c r="AO467" s="432"/>
      <c r="AP467" s="16"/>
      <c r="AQ467" s="16"/>
      <c r="AR467" s="130">
        <v>1404</v>
      </c>
      <c r="AS467" s="130">
        <v>10</v>
      </c>
      <c r="AT467" s="130"/>
      <c r="AU467" s="130"/>
      <c r="AV467" s="12" t="str">
        <f t="shared" si="24"/>
        <v/>
      </c>
      <c r="AW467" s="12" t="str">
        <f t="shared" si="25"/>
        <v/>
      </c>
      <c r="AX467" s="12"/>
      <c r="AY467" s="408"/>
    </row>
    <row r="468" spans="1:51" ht="30" hidden="1" customHeight="1" x14ac:dyDescent="0.2">
      <c r="A468" s="432">
        <v>468</v>
      </c>
      <c r="B468" s="432">
        <v>16</v>
      </c>
      <c r="C468" s="432">
        <v>10</v>
      </c>
      <c r="D468" s="16">
        <v>1404</v>
      </c>
      <c r="E468" s="431" t="s">
        <v>3854</v>
      </c>
      <c r="F468" s="431" t="s">
        <v>10</v>
      </c>
      <c r="G468" s="431"/>
      <c r="H468" s="432" t="s">
        <v>7</v>
      </c>
      <c r="I468" s="360" t="s">
        <v>5479</v>
      </c>
      <c r="J468" s="16" t="s">
        <v>5577</v>
      </c>
      <c r="K468" s="35" t="s">
        <v>141</v>
      </c>
      <c r="L468" s="35" t="s">
        <v>334</v>
      </c>
      <c r="M468" s="431"/>
      <c r="N468" s="41" t="s">
        <v>106</v>
      </c>
      <c r="O468" s="13" t="s">
        <v>107</v>
      </c>
      <c r="P468" s="13"/>
      <c r="Q468" s="13"/>
      <c r="R468" s="33" t="s">
        <v>1051</v>
      </c>
      <c r="S468" s="33">
        <v>233</v>
      </c>
      <c r="T468" s="33">
        <v>14</v>
      </c>
      <c r="U468" s="431"/>
      <c r="V468" s="41" t="s">
        <v>69</v>
      </c>
      <c r="W468" s="13" t="s">
        <v>70</v>
      </c>
      <c r="X468" s="431" t="s">
        <v>5187</v>
      </c>
      <c r="Y468" s="432"/>
      <c r="Z468" s="432">
        <v>239</v>
      </c>
      <c r="AA468" s="432">
        <v>210</v>
      </c>
      <c r="AB468" s="16">
        <v>210</v>
      </c>
      <c r="AC468" s="16">
        <v>101</v>
      </c>
      <c r="AD468" s="16">
        <v>121</v>
      </c>
      <c r="AE468" s="16">
        <v>2</v>
      </c>
      <c r="AF468" s="16">
        <v>65</v>
      </c>
      <c r="AG468" s="16">
        <v>187</v>
      </c>
      <c r="AH468" s="16">
        <v>6</v>
      </c>
      <c r="AI468" s="16">
        <v>6</v>
      </c>
      <c r="AJ468" s="432"/>
      <c r="AK468" s="431" t="s">
        <v>6056</v>
      </c>
      <c r="AL468" s="25">
        <v>187</v>
      </c>
      <c r="AM468" s="432">
        <v>6</v>
      </c>
      <c r="AN468" s="432"/>
      <c r="AO468" s="432" t="s">
        <v>6057</v>
      </c>
      <c r="AP468" s="16" t="s">
        <v>160</v>
      </c>
      <c r="AQ468" s="16" t="s">
        <v>161</v>
      </c>
      <c r="AR468" s="130">
        <v>1404</v>
      </c>
      <c r="AS468" s="130">
        <v>10</v>
      </c>
      <c r="AT468" s="130"/>
      <c r="AU468" s="130"/>
      <c r="AV468" s="12" t="str">
        <f t="shared" si="24"/>
        <v/>
      </c>
      <c r="AW468" s="12" t="str">
        <f t="shared" si="25"/>
        <v/>
      </c>
      <c r="AX468" s="12"/>
      <c r="AY468" s="408"/>
    </row>
    <row r="469" spans="1:51" ht="30" hidden="1" customHeight="1" x14ac:dyDescent="0.2">
      <c r="A469" s="432">
        <v>469</v>
      </c>
      <c r="B469" s="432">
        <v>17</v>
      </c>
      <c r="C469" s="432">
        <v>10</v>
      </c>
      <c r="D469" s="16">
        <v>1404</v>
      </c>
      <c r="E469" s="431" t="s">
        <v>1258</v>
      </c>
      <c r="F469" s="431" t="s">
        <v>9</v>
      </c>
      <c r="G469" s="431"/>
      <c r="H469" s="432" t="s">
        <v>7</v>
      </c>
      <c r="I469" s="360" t="s">
        <v>5479</v>
      </c>
      <c r="J469" s="16" t="s">
        <v>84</v>
      </c>
      <c r="K469" s="431"/>
      <c r="L469" s="431" t="s">
        <v>68</v>
      </c>
      <c r="M469" s="431" t="s">
        <v>6066</v>
      </c>
      <c r="N469" s="41" t="s">
        <v>106</v>
      </c>
      <c r="O469" s="13" t="s">
        <v>107</v>
      </c>
      <c r="P469" s="13"/>
      <c r="Q469" s="13"/>
      <c r="R469" s="432"/>
      <c r="S469" s="432">
        <v>345</v>
      </c>
      <c r="T469" s="432">
        <v>8</v>
      </c>
      <c r="U469" s="431" t="s">
        <v>6067</v>
      </c>
      <c r="V469" s="41" t="s">
        <v>69</v>
      </c>
      <c r="W469" s="13" t="s">
        <v>70</v>
      </c>
      <c r="X469" s="431"/>
      <c r="Y469" s="432"/>
      <c r="Z469" s="432"/>
      <c r="AA469" s="432"/>
      <c r="AB469" s="16"/>
      <c r="AC469" s="16"/>
      <c r="AD469" s="16"/>
      <c r="AE469" s="16"/>
      <c r="AF469" s="16"/>
      <c r="AG469" s="16"/>
      <c r="AH469" s="16"/>
      <c r="AI469" s="16"/>
      <c r="AJ469" s="432"/>
      <c r="AK469" s="431"/>
      <c r="AL469" s="25"/>
      <c r="AM469" s="432"/>
      <c r="AN469" s="432"/>
      <c r="AO469" s="432"/>
      <c r="AP469" s="16"/>
      <c r="AQ469" s="16"/>
      <c r="AR469" s="130">
        <v>1404</v>
      </c>
      <c r="AS469" s="130">
        <v>10</v>
      </c>
      <c r="AT469" s="130"/>
      <c r="AU469" s="130"/>
      <c r="AV469" s="12" t="str">
        <f t="shared" si="24"/>
        <v/>
      </c>
      <c r="AW469" s="12" t="str">
        <f t="shared" si="25"/>
        <v/>
      </c>
      <c r="AX469" s="12"/>
      <c r="AY469" s="408"/>
    </row>
    <row r="470" spans="1:51" ht="30" hidden="1" customHeight="1" x14ac:dyDescent="0.2">
      <c r="A470" s="432">
        <v>470</v>
      </c>
      <c r="B470" s="432">
        <v>17</v>
      </c>
      <c r="C470" s="432">
        <v>10</v>
      </c>
      <c r="D470" s="16">
        <v>1404</v>
      </c>
      <c r="E470" s="431" t="s">
        <v>1148</v>
      </c>
      <c r="F470" s="431" t="s">
        <v>10</v>
      </c>
      <c r="G470" s="431"/>
      <c r="H470" s="432" t="s">
        <v>7</v>
      </c>
      <c r="I470" s="360" t="s">
        <v>5479</v>
      </c>
      <c r="J470" s="16" t="s">
        <v>84</v>
      </c>
      <c r="K470" s="431" t="s">
        <v>3714</v>
      </c>
      <c r="L470" s="431" t="s">
        <v>117</v>
      </c>
      <c r="M470" s="431" t="s">
        <v>6058</v>
      </c>
      <c r="N470" s="41" t="s">
        <v>106</v>
      </c>
      <c r="O470" s="13" t="s">
        <v>107</v>
      </c>
      <c r="P470" s="13"/>
      <c r="Q470" s="13"/>
      <c r="R470" s="432"/>
      <c r="S470" s="432">
        <v>6608</v>
      </c>
      <c r="T470" s="432">
        <v>18</v>
      </c>
      <c r="U470" s="431" t="s">
        <v>6059</v>
      </c>
      <c r="V470" s="41" t="s">
        <v>106</v>
      </c>
      <c r="W470" s="13" t="s">
        <v>107</v>
      </c>
      <c r="X470" s="431"/>
      <c r="Y470" s="432"/>
      <c r="Z470" s="432">
        <v>235</v>
      </c>
      <c r="AA470" s="432">
        <v>211</v>
      </c>
      <c r="AB470" s="16">
        <v>208</v>
      </c>
      <c r="AC470" s="16">
        <v>140</v>
      </c>
      <c r="AD470" s="16">
        <v>181</v>
      </c>
      <c r="AE470" s="16">
        <v>2</v>
      </c>
      <c r="AF470" s="16">
        <v>45</v>
      </c>
      <c r="AG470" s="16">
        <v>228</v>
      </c>
      <c r="AH470" s="16">
        <v>10</v>
      </c>
      <c r="AI470" s="16">
        <v>6</v>
      </c>
      <c r="AJ470" s="432"/>
      <c r="AK470" s="431" t="s">
        <v>6056</v>
      </c>
      <c r="AL470" s="25">
        <v>228</v>
      </c>
      <c r="AM470" s="432">
        <v>10</v>
      </c>
      <c r="AN470" s="432"/>
      <c r="AO470" s="432"/>
      <c r="AP470" s="16" t="s">
        <v>160</v>
      </c>
      <c r="AQ470" s="16" t="s">
        <v>193</v>
      </c>
      <c r="AR470" s="130">
        <v>1404</v>
      </c>
      <c r="AS470" s="130">
        <v>10</v>
      </c>
      <c r="AT470" s="130"/>
      <c r="AU470" s="130"/>
      <c r="AV470" s="12" t="str">
        <f t="shared" si="24"/>
        <v/>
      </c>
      <c r="AW470" s="12" t="str">
        <f t="shared" si="25"/>
        <v/>
      </c>
      <c r="AX470" s="12"/>
      <c r="AY470" s="408"/>
    </row>
    <row r="471" spans="1:51" ht="30" hidden="1" customHeight="1" x14ac:dyDescent="0.2">
      <c r="A471" s="432">
        <v>471</v>
      </c>
      <c r="B471" s="432">
        <v>17</v>
      </c>
      <c r="C471" s="432">
        <v>10</v>
      </c>
      <c r="D471" s="16">
        <v>1404</v>
      </c>
      <c r="E471" s="431" t="s">
        <v>6074</v>
      </c>
      <c r="F471" s="431" t="s">
        <v>66</v>
      </c>
      <c r="G471" s="431"/>
      <c r="H471" s="432" t="s">
        <v>7</v>
      </c>
      <c r="I471" s="360" t="s">
        <v>5479</v>
      </c>
      <c r="J471" s="16"/>
      <c r="K471" s="431" t="s">
        <v>3714</v>
      </c>
      <c r="L471" s="431" t="s">
        <v>6075</v>
      </c>
      <c r="M471" s="431"/>
      <c r="N471" s="41" t="s">
        <v>106</v>
      </c>
      <c r="O471" s="13" t="s">
        <v>107</v>
      </c>
      <c r="P471" s="13"/>
      <c r="Q471" s="13"/>
      <c r="R471" s="432"/>
      <c r="S471" s="432">
        <v>152</v>
      </c>
      <c r="T471" s="432">
        <v>4</v>
      </c>
      <c r="U471" s="431"/>
      <c r="V471" s="41" t="s">
        <v>106</v>
      </c>
      <c r="W471" s="13" t="s">
        <v>107</v>
      </c>
      <c r="X471" s="431"/>
      <c r="Y471" s="432"/>
      <c r="Z471" s="432"/>
      <c r="AA471" s="432"/>
      <c r="AB471" s="16"/>
      <c r="AC471" s="16"/>
      <c r="AD471" s="16"/>
      <c r="AE471" s="16"/>
      <c r="AF471" s="16"/>
      <c r="AG471" s="16"/>
      <c r="AH471" s="16"/>
      <c r="AI471" s="16"/>
      <c r="AJ471" s="432"/>
      <c r="AK471" s="431"/>
      <c r="AL471" s="25"/>
      <c r="AM471" s="432"/>
      <c r="AN471" s="432"/>
      <c r="AO471" s="432"/>
      <c r="AP471" s="16"/>
      <c r="AQ471" s="16"/>
      <c r="AR471" s="130">
        <v>1404</v>
      </c>
      <c r="AS471" s="130">
        <v>10</v>
      </c>
      <c r="AT471" s="130"/>
      <c r="AU471" s="130"/>
      <c r="AV471" s="12" t="str">
        <f t="shared" si="24"/>
        <v/>
      </c>
      <c r="AW471" s="12" t="str">
        <f t="shared" si="25"/>
        <v/>
      </c>
      <c r="AX471" s="12"/>
      <c r="AY471" s="408"/>
    </row>
    <row r="472" spans="1:51" ht="30" hidden="1" customHeight="1" x14ac:dyDescent="0.2">
      <c r="A472" s="432">
        <v>472</v>
      </c>
      <c r="B472" s="432">
        <v>19</v>
      </c>
      <c r="C472" s="432">
        <v>10</v>
      </c>
      <c r="D472" s="16">
        <v>1404</v>
      </c>
      <c r="E472" s="431" t="s">
        <v>5695</v>
      </c>
      <c r="F472" s="431" t="s">
        <v>243</v>
      </c>
      <c r="G472" s="431"/>
      <c r="H472" s="432" t="s">
        <v>7</v>
      </c>
      <c r="I472" s="360" t="s">
        <v>5479</v>
      </c>
      <c r="J472" s="16" t="s">
        <v>84</v>
      </c>
      <c r="K472" s="431"/>
      <c r="L472" s="431" t="s">
        <v>223</v>
      </c>
      <c r="M472" s="431" t="s">
        <v>6064</v>
      </c>
      <c r="N472" s="41" t="s">
        <v>106</v>
      </c>
      <c r="O472" s="13" t="s">
        <v>107</v>
      </c>
      <c r="P472" s="13"/>
      <c r="Q472" s="13"/>
      <c r="R472" s="432"/>
      <c r="S472" s="432">
        <v>193</v>
      </c>
      <c r="T472" s="432">
        <v>15</v>
      </c>
      <c r="U472" s="431" t="s">
        <v>6065</v>
      </c>
      <c r="V472" s="41" t="s">
        <v>106</v>
      </c>
      <c r="W472" s="13" t="s">
        <v>107</v>
      </c>
      <c r="X472" s="431"/>
      <c r="Y472" s="432"/>
      <c r="Z472" s="432"/>
      <c r="AA472" s="432"/>
      <c r="AB472" s="16"/>
      <c r="AC472" s="16"/>
      <c r="AD472" s="16"/>
      <c r="AE472" s="16"/>
      <c r="AF472" s="16"/>
      <c r="AG472" s="16"/>
      <c r="AH472" s="16"/>
      <c r="AI472" s="16"/>
      <c r="AJ472" s="432"/>
      <c r="AK472" s="431"/>
      <c r="AL472" s="25"/>
      <c r="AM472" s="432"/>
      <c r="AN472" s="432"/>
      <c r="AO472" s="432"/>
      <c r="AP472" s="16" t="s">
        <v>160</v>
      </c>
      <c r="AQ472" s="16" t="s">
        <v>193</v>
      </c>
      <c r="AR472" s="130">
        <v>1404</v>
      </c>
      <c r="AS472" s="130">
        <v>10</v>
      </c>
      <c r="AT472" s="130"/>
      <c r="AU472" s="130"/>
      <c r="AV472" s="12" t="str">
        <f t="shared" si="24"/>
        <v/>
      </c>
      <c r="AW472" s="12" t="str">
        <f t="shared" si="25"/>
        <v/>
      </c>
      <c r="AX472" s="12"/>
      <c r="AY472" s="408"/>
    </row>
    <row r="473" spans="1:51" ht="30" hidden="1" customHeight="1" x14ac:dyDescent="0.2">
      <c r="A473" s="432">
        <v>473</v>
      </c>
      <c r="B473" s="432">
        <v>19</v>
      </c>
      <c r="C473" s="432">
        <v>10</v>
      </c>
      <c r="D473" s="16">
        <v>1404</v>
      </c>
      <c r="E473" s="431" t="s">
        <v>6068</v>
      </c>
      <c r="F473" s="431" t="s">
        <v>6</v>
      </c>
      <c r="G473" s="431"/>
      <c r="H473" s="432" t="s">
        <v>7</v>
      </c>
      <c r="I473" s="360" t="s">
        <v>5479</v>
      </c>
      <c r="J473" s="16" t="s">
        <v>3576</v>
      </c>
      <c r="K473" s="431"/>
      <c r="L473" s="431" t="s">
        <v>155</v>
      </c>
      <c r="M473" s="431" t="s">
        <v>6061</v>
      </c>
      <c r="N473" s="41" t="s">
        <v>106</v>
      </c>
      <c r="O473" s="13" t="s">
        <v>107</v>
      </c>
      <c r="P473" s="13"/>
      <c r="Q473" s="13"/>
      <c r="R473" s="432"/>
      <c r="S473" s="432">
        <v>384</v>
      </c>
      <c r="T473" s="432">
        <v>9</v>
      </c>
      <c r="U473" s="431" t="s">
        <v>6062</v>
      </c>
      <c r="V473" s="41" t="s">
        <v>106</v>
      </c>
      <c r="W473" s="13" t="s">
        <v>107</v>
      </c>
      <c r="X473" s="431"/>
      <c r="Y473" s="432"/>
      <c r="Z473" s="432">
        <v>250</v>
      </c>
      <c r="AA473" s="432"/>
      <c r="AB473" s="16">
        <v>238</v>
      </c>
      <c r="AC473" s="16">
        <v>116</v>
      </c>
      <c r="AD473" s="16">
        <v>136</v>
      </c>
      <c r="AE473" s="16">
        <v>7</v>
      </c>
      <c r="AF473" s="16">
        <v>20</v>
      </c>
      <c r="AG473" s="16">
        <v>163</v>
      </c>
      <c r="AH473" s="16">
        <v>25</v>
      </c>
      <c r="AI473" s="16">
        <v>6</v>
      </c>
      <c r="AJ473" s="432"/>
      <c r="AK473" s="431" t="s">
        <v>6063</v>
      </c>
      <c r="AL473" s="25">
        <v>163</v>
      </c>
      <c r="AM473" s="432">
        <v>24.5</v>
      </c>
      <c r="AN473" s="432"/>
      <c r="AO473" s="432"/>
      <c r="AP473" s="16" t="s">
        <v>160</v>
      </c>
      <c r="AQ473" s="16" t="s">
        <v>165</v>
      </c>
      <c r="AR473" s="130">
        <v>1404</v>
      </c>
      <c r="AS473" s="130">
        <v>10</v>
      </c>
      <c r="AT473" s="130"/>
      <c r="AU473" s="130"/>
      <c r="AV473" s="12" t="str">
        <f t="shared" si="24"/>
        <v/>
      </c>
      <c r="AW473" s="12" t="str">
        <f t="shared" si="25"/>
        <v/>
      </c>
      <c r="AX473" s="12"/>
      <c r="AY473" s="408"/>
    </row>
    <row r="474" spans="1:51" ht="30" hidden="1" customHeight="1" x14ac:dyDescent="0.2">
      <c r="A474" s="432">
        <v>474</v>
      </c>
      <c r="B474" s="432">
        <v>24</v>
      </c>
      <c r="C474" s="432">
        <v>10</v>
      </c>
      <c r="D474" s="16">
        <v>1404</v>
      </c>
      <c r="E474" s="431" t="s">
        <v>6069</v>
      </c>
      <c r="F474" s="431" t="s">
        <v>8</v>
      </c>
      <c r="G474" s="431" t="s">
        <v>6070</v>
      </c>
      <c r="H474" s="432" t="s">
        <v>83</v>
      </c>
      <c r="I474" s="360" t="s">
        <v>5479</v>
      </c>
      <c r="J474" s="16" t="s">
        <v>5577</v>
      </c>
      <c r="K474" s="431" t="s">
        <v>3714</v>
      </c>
      <c r="L474" s="431" t="s">
        <v>117</v>
      </c>
      <c r="M474" s="431"/>
      <c r="N474" s="41" t="s">
        <v>106</v>
      </c>
      <c r="O474" s="13" t="s">
        <v>107</v>
      </c>
      <c r="P474" s="13"/>
      <c r="Q474" s="13"/>
      <c r="R474" s="432" t="s">
        <v>3714</v>
      </c>
      <c r="S474" s="432">
        <v>348</v>
      </c>
      <c r="T474" s="432">
        <v>6</v>
      </c>
      <c r="U474" s="431"/>
      <c r="V474" s="41" t="s">
        <v>106</v>
      </c>
      <c r="W474" s="13" t="s">
        <v>107</v>
      </c>
      <c r="X474" s="431" t="s">
        <v>3714</v>
      </c>
      <c r="Y474" s="432" t="s">
        <v>6071</v>
      </c>
      <c r="Z474" s="432"/>
      <c r="AA474" s="432">
        <v>216</v>
      </c>
      <c r="AB474" s="16">
        <v>216</v>
      </c>
      <c r="AC474" s="16" t="s">
        <v>3714</v>
      </c>
      <c r="AD474" s="16" t="s">
        <v>3714</v>
      </c>
      <c r="AE474" s="16" t="s">
        <v>3714</v>
      </c>
      <c r="AF474" s="16" t="s">
        <v>3714</v>
      </c>
      <c r="AG474" s="16" t="s">
        <v>3714</v>
      </c>
      <c r="AH474" s="16" t="s">
        <v>3714</v>
      </c>
      <c r="AI474" s="16">
        <v>6</v>
      </c>
      <c r="AJ474" s="432" t="s">
        <v>3714</v>
      </c>
      <c r="AK474" s="431" t="s">
        <v>3714</v>
      </c>
      <c r="AL474" s="25" t="s">
        <v>3714</v>
      </c>
      <c r="AM474" s="432" t="s">
        <v>3714</v>
      </c>
      <c r="AN474" s="432" t="s">
        <v>3714</v>
      </c>
      <c r="AO474" s="432" t="s">
        <v>3714</v>
      </c>
      <c r="AP474" s="16" t="s">
        <v>160</v>
      </c>
      <c r="AQ474" s="16" t="s">
        <v>193</v>
      </c>
      <c r="AR474" s="130">
        <v>1404</v>
      </c>
      <c r="AS474" s="130">
        <v>10</v>
      </c>
      <c r="AT474" s="130">
        <v>1398</v>
      </c>
      <c r="AU474" s="130">
        <v>2</v>
      </c>
      <c r="AV474" s="12">
        <f t="shared" si="24"/>
        <v>80</v>
      </c>
      <c r="AW474" s="12" t="str">
        <f t="shared" si="25"/>
        <v/>
      </c>
      <c r="AX474" s="12"/>
      <c r="AY474" s="408"/>
    </row>
    <row r="475" spans="1:51" ht="30" hidden="1" customHeight="1" x14ac:dyDescent="0.2">
      <c r="A475" s="432">
        <v>475</v>
      </c>
      <c r="B475" s="432">
        <v>25</v>
      </c>
      <c r="C475" s="432">
        <v>10</v>
      </c>
      <c r="D475" s="16">
        <v>1404</v>
      </c>
      <c r="E475" s="431" t="s">
        <v>6076</v>
      </c>
      <c r="F475" s="431" t="s">
        <v>243</v>
      </c>
      <c r="G475" s="431"/>
      <c r="H475" s="432" t="s">
        <v>7</v>
      </c>
      <c r="I475" s="360" t="s">
        <v>5479</v>
      </c>
      <c r="J475" s="16" t="s">
        <v>84</v>
      </c>
      <c r="K475" s="35" t="s">
        <v>334</v>
      </c>
      <c r="L475" s="35" t="s">
        <v>5448</v>
      </c>
      <c r="M475" s="431" t="s">
        <v>6078</v>
      </c>
      <c r="N475" s="41" t="s">
        <v>106</v>
      </c>
      <c r="O475" s="13" t="s">
        <v>107</v>
      </c>
      <c r="P475" s="13"/>
      <c r="Q475" s="13"/>
      <c r="R475" s="33" t="s">
        <v>991</v>
      </c>
      <c r="S475" s="33">
        <v>152</v>
      </c>
      <c r="T475" s="33">
        <v>24</v>
      </c>
      <c r="U475" s="431" t="s">
        <v>6079</v>
      </c>
      <c r="V475" s="41" t="s">
        <v>69</v>
      </c>
      <c r="W475" s="13" t="s">
        <v>70</v>
      </c>
      <c r="X475" s="431" t="s">
        <v>5187</v>
      </c>
      <c r="Y475" s="432" t="s">
        <v>4780</v>
      </c>
      <c r="Z475" s="432">
        <v>133</v>
      </c>
      <c r="AA475" s="432">
        <v>127</v>
      </c>
      <c r="AB475" s="16">
        <v>127</v>
      </c>
      <c r="AC475" s="16">
        <v>59</v>
      </c>
      <c r="AD475" s="16">
        <v>121</v>
      </c>
      <c r="AE475" s="16">
        <v>1</v>
      </c>
      <c r="AF475" s="16">
        <v>44</v>
      </c>
      <c r="AG475" s="16">
        <v>166</v>
      </c>
      <c r="AH475" s="16">
        <v>3</v>
      </c>
      <c r="AI475" s="16"/>
      <c r="AJ475" s="432" t="s">
        <v>5187</v>
      </c>
      <c r="AK475" s="431" t="s">
        <v>6077</v>
      </c>
      <c r="AL475" s="25">
        <v>166</v>
      </c>
      <c r="AM475" s="432">
        <v>3</v>
      </c>
      <c r="AN475" s="432"/>
      <c r="AO475" s="432"/>
      <c r="AP475" s="16" t="s">
        <v>5080</v>
      </c>
      <c r="AQ475" s="16" t="s">
        <v>228</v>
      </c>
      <c r="AR475" s="130">
        <v>1404</v>
      </c>
      <c r="AS475" s="130">
        <v>10</v>
      </c>
      <c r="AT475" s="130"/>
      <c r="AU475" s="130" t="s">
        <v>3714</v>
      </c>
      <c r="AV475" s="12" t="str">
        <f>IF(AR475*AT475&gt;0,(AR475-AT475)*12+(AS475-AU475),"")</f>
        <v/>
      </c>
      <c r="AW475" s="12" t="str">
        <f t="shared" si="25"/>
        <v/>
      </c>
      <c r="AX475" s="12"/>
      <c r="AY475" s="408"/>
    </row>
    <row r="476" spans="1:51" ht="30" hidden="1" customHeight="1" x14ac:dyDescent="0.2">
      <c r="A476" s="432">
        <v>476</v>
      </c>
      <c r="B476" s="432">
        <v>20</v>
      </c>
      <c r="C476" s="432">
        <v>10</v>
      </c>
      <c r="D476" s="16">
        <v>1404</v>
      </c>
      <c r="E476" s="431" t="s">
        <v>452</v>
      </c>
      <c r="F476" s="431" t="s">
        <v>6</v>
      </c>
      <c r="G476" s="431" t="s">
        <v>90</v>
      </c>
      <c r="H476" s="432" t="s">
        <v>7</v>
      </c>
      <c r="I476" s="360" t="s">
        <v>5479</v>
      </c>
      <c r="J476" s="16" t="s">
        <v>84</v>
      </c>
      <c r="K476" s="431"/>
      <c r="L476" s="431" t="s">
        <v>155</v>
      </c>
      <c r="M476" s="431" t="s">
        <v>6080</v>
      </c>
      <c r="N476" s="41" t="s">
        <v>106</v>
      </c>
      <c r="O476" s="13" t="s">
        <v>107</v>
      </c>
      <c r="P476" s="13"/>
      <c r="Q476" s="13"/>
      <c r="R476" s="432"/>
      <c r="S476" s="432">
        <v>345</v>
      </c>
      <c r="T476" s="432">
        <v>10</v>
      </c>
      <c r="U476" s="431" t="s">
        <v>6081</v>
      </c>
      <c r="V476" s="41" t="s">
        <v>106</v>
      </c>
      <c r="W476" s="13" t="s">
        <v>107</v>
      </c>
      <c r="X476" s="431"/>
      <c r="Y476" s="432"/>
      <c r="Z476" s="432">
        <v>250</v>
      </c>
      <c r="AA476" s="432"/>
      <c r="AB476" s="16">
        <v>234</v>
      </c>
      <c r="AC476" s="16">
        <v>175</v>
      </c>
      <c r="AD476" s="16">
        <v>194</v>
      </c>
      <c r="AE476" s="16">
        <v>4</v>
      </c>
      <c r="AF476" s="16">
        <v>35</v>
      </c>
      <c r="AG476" s="16">
        <v>233</v>
      </c>
      <c r="AH476" s="16">
        <v>18</v>
      </c>
      <c r="AI476" s="16">
        <v>6</v>
      </c>
      <c r="AJ476" s="432"/>
      <c r="AK476" s="431" t="s">
        <v>6082</v>
      </c>
      <c r="AL476" s="25">
        <v>233</v>
      </c>
      <c r="AM476" s="432">
        <v>18</v>
      </c>
      <c r="AN476" s="432"/>
      <c r="AO476" s="432" t="s">
        <v>3037</v>
      </c>
      <c r="AP476" s="16" t="s">
        <v>160</v>
      </c>
      <c r="AQ476" s="16" t="s">
        <v>165</v>
      </c>
      <c r="AR476" s="130">
        <v>1404</v>
      </c>
      <c r="AS476" s="130">
        <v>10</v>
      </c>
      <c r="AT476" s="130"/>
      <c r="AU476" s="130" t="s">
        <v>3714</v>
      </c>
      <c r="AV476" s="12" t="str">
        <f t="shared" ref="AV476:AV501" si="26">IF(AR476*AT476&gt;0,(AR476-AT476)*12+(AS476-AU476),"")</f>
        <v/>
      </c>
      <c r="AW476" s="12" t="str">
        <f t="shared" si="25"/>
        <v/>
      </c>
      <c r="AX476" s="12"/>
      <c r="AY476" s="408"/>
    </row>
    <row r="477" spans="1:51" ht="30" hidden="1" customHeight="1" x14ac:dyDescent="0.2">
      <c r="A477" s="432">
        <v>477</v>
      </c>
      <c r="B477" s="432">
        <v>23</v>
      </c>
      <c r="C477" s="432">
        <v>10</v>
      </c>
      <c r="D477" s="16">
        <v>1404</v>
      </c>
      <c r="E477" s="431" t="s">
        <v>5931</v>
      </c>
      <c r="F477" s="431" t="s">
        <v>8</v>
      </c>
      <c r="G477" s="431"/>
      <c r="H477" s="432" t="s">
        <v>7</v>
      </c>
      <c r="I477" s="360" t="s">
        <v>5479</v>
      </c>
      <c r="J477" s="16" t="s">
        <v>5577</v>
      </c>
      <c r="K477" s="35" t="s">
        <v>155</v>
      </c>
      <c r="L477" s="35" t="s">
        <v>104</v>
      </c>
      <c r="M477" s="431" t="s">
        <v>6083</v>
      </c>
      <c r="N477" s="41" t="s">
        <v>106</v>
      </c>
      <c r="O477" s="13" t="s">
        <v>107</v>
      </c>
      <c r="P477" s="13"/>
      <c r="Q477" s="13"/>
      <c r="R477" s="33" t="s">
        <v>170</v>
      </c>
      <c r="S477" s="33">
        <v>6608</v>
      </c>
      <c r="T477" s="33">
        <v>18</v>
      </c>
      <c r="U477" s="431" t="s">
        <v>4934</v>
      </c>
      <c r="V477" s="41" t="s">
        <v>106</v>
      </c>
      <c r="W477" s="13" t="s">
        <v>107</v>
      </c>
      <c r="X477" s="431" t="s">
        <v>5187</v>
      </c>
      <c r="Y477" s="432" t="s">
        <v>3314</v>
      </c>
      <c r="Z477" s="432">
        <v>215</v>
      </c>
      <c r="AA477" s="432">
        <v>192</v>
      </c>
      <c r="AB477" s="16">
        <v>192</v>
      </c>
      <c r="AC477" s="16">
        <v>75</v>
      </c>
      <c r="AD477" s="16">
        <v>150</v>
      </c>
      <c r="AE477" s="16">
        <v>2</v>
      </c>
      <c r="AF477" s="16">
        <v>75</v>
      </c>
      <c r="AG477" s="16">
        <v>227</v>
      </c>
      <c r="AH477" s="16">
        <v>10</v>
      </c>
      <c r="AI477" s="16">
        <v>6</v>
      </c>
      <c r="AJ477" s="432" t="s">
        <v>5187</v>
      </c>
      <c r="AK477" s="431" t="s">
        <v>6084</v>
      </c>
      <c r="AL477" s="25">
        <v>222</v>
      </c>
      <c r="AM477" s="432">
        <v>10</v>
      </c>
      <c r="AN477" s="432"/>
      <c r="AO477" s="432" t="s">
        <v>1086</v>
      </c>
      <c r="AP477" s="16" t="s">
        <v>160</v>
      </c>
      <c r="AQ477" s="16" t="s">
        <v>161</v>
      </c>
      <c r="AR477" s="130">
        <v>1404</v>
      </c>
      <c r="AS477" s="130">
        <v>10</v>
      </c>
      <c r="AT477" s="130"/>
      <c r="AU477" s="130" t="s">
        <v>3714</v>
      </c>
      <c r="AV477" s="12" t="str">
        <f t="shared" si="26"/>
        <v/>
      </c>
      <c r="AW477" s="12" t="str">
        <f t="shared" ref="AW477:AW541" si="27">IF(AV477&lt;13,AV477,"")</f>
        <v/>
      </c>
      <c r="AX477" s="12"/>
      <c r="AY477" s="408"/>
    </row>
    <row r="478" spans="1:51" ht="30" hidden="1" customHeight="1" x14ac:dyDescent="0.2">
      <c r="A478" s="432">
        <v>478</v>
      </c>
      <c r="B478" s="432">
        <v>25</v>
      </c>
      <c r="C478" s="432">
        <v>10</v>
      </c>
      <c r="D478" s="16">
        <v>1404</v>
      </c>
      <c r="E478" s="447" t="s">
        <v>6069</v>
      </c>
      <c r="F478" s="447" t="s">
        <v>2981</v>
      </c>
      <c r="G478" s="447" t="s">
        <v>3714</v>
      </c>
      <c r="H478" s="448" t="s">
        <v>7</v>
      </c>
      <c r="I478" s="360" t="s">
        <v>5479</v>
      </c>
      <c r="J478" s="16" t="s">
        <v>5577</v>
      </c>
      <c r="K478" s="35" t="s">
        <v>117</v>
      </c>
      <c r="L478" s="35" t="s">
        <v>140</v>
      </c>
      <c r="M478" s="447" t="s">
        <v>6088</v>
      </c>
      <c r="N478" s="41" t="s">
        <v>69</v>
      </c>
      <c r="O478" s="13" t="s">
        <v>70</v>
      </c>
      <c r="P478" s="13"/>
      <c r="Q478" s="13"/>
      <c r="R478" s="33" t="s">
        <v>470</v>
      </c>
      <c r="S478" s="33">
        <v>6609</v>
      </c>
      <c r="T478" s="33">
        <v>10</v>
      </c>
      <c r="U478" s="447" t="s">
        <v>6089</v>
      </c>
      <c r="V478" s="41" t="s">
        <v>106</v>
      </c>
      <c r="W478" s="13" t="s">
        <v>70</v>
      </c>
      <c r="X478" s="447" t="s">
        <v>5187</v>
      </c>
      <c r="Y478" s="448" t="s">
        <v>6071</v>
      </c>
      <c r="Z478" s="448"/>
      <c r="AA478" s="448">
        <v>216</v>
      </c>
      <c r="AB478" s="16">
        <v>216</v>
      </c>
      <c r="AC478" s="16">
        <v>58.5</v>
      </c>
      <c r="AD478" s="16">
        <v>103</v>
      </c>
      <c r="AE478" s="16">
        <v>2</v>
      </c>
      <c r="AF478" s="16">
        <v>35</v>
      </c>
      <c r="AG478" s="16">
        <v>140</v>
      </c>
      <c r="AH478" s="16">
        <v>15</v>
      </c>
      <c r="AI478" s="16">
        <v>6</v>
      </c>
      <c r="AJ478" s="448" t="s">
        <v>5187</v>
      </c>
      <c r="AK478" s="447" t="s">
        <v>6072</v>
      </c>
      <c r="AL478" s="25">
        <v>140</v>
      </c>
      <c r="AM478" s="448">
        <v>15</v>
      </c>
      <c r="AN478" s="448" t="s">
        <v>5187</v>
      </c>
      <c r="AO478" s="448" t="s">
        <v>6073</v>
      </c>
      <c r="AP478" s="16" t="s">
        <v>160</v>
      </c>
      <c r="AQ478" s="16" t="s">
        <v>161</v>
      </c>
      <c r="AR478" s="130">
        <v>1404</v>
      </c>
      <c r="AS478" s="130">
        <v>10</v>
      </c>
      <c r="AT478" s="130"/>
      <c r="AU478" s="130" t="s">
        <v>3714</v>
      </c>
      <c r="AV478" s="12" t="str">
        <f t="shared" si="26"/>
        <v/>
      </c>
      <c r="AW478" s="12" t="str">
        <f t="shared" si="27"/>
        <v/>
      </c>
      <c r="AX478" s="12"/>
      <c r="AY478" s="408"/>
    </row>
    <row r="479" spans="1:51" ht="30" hidden="1" customHeight="1" x14ac:dyDescent="0.2">
      <c r="A479" s="432">
        <v>479</v>
      </c>
      <c r="B479" s="432">
        <v>25</v>
      </c>
      <c r="C479" s="432">
        <v>10</v>
      </c>
      <c r="D479" s="16">
        <v>1404</v>
      </c>
      <c r="E479" s="431" t="s">
        <v>1336</v>
      </c>
      <c r="F479" s="431" t="s">
        <v>8</v>
      </c>
      <c r="G479" s="431" t="s">
        <v>5608</v>
      </c>
      <c r="H479" s="432" t="s">
        <v>83</v>
      </c>
      <c r="I479" s="360" t="s">
        <v>5479</v>
      </c>
      <c r="J479" s="16" t="s">
        <v>84</v>
      </c>
      <c r="K479" s="431"/>
      <c r="L479" s="431" t="s">
        <v>223</v>
      </c>
      <c r="M479" s="431"/>
      <c r="N479" s="41" t="s">
        <v>106</v>
      </c>
      <c r="O479" s="13" t="s">
        <v>107</v>
      </c>
      <c r="P479" s="13"/>
      <c r="Q479" s="13"/>
      <c r="R479" s="432"/>
      <c r="S479" s="432">
        <v>233</v>
      </c>
      <c r="T479" s="432">
        <v>13</v>
      </c>
      <c r="U479" s="431"/>
      <c r="V479" s="41" t="s">
        <v>106</v>
      </c>
      <c r="W479" s="13" t="s">
        <v>107</v>
      </c>
      <c r="X479" s="431"/>
      <c r="Y479" s="432" t="s">
        <v>6086</v>
      </c>
      <c r="Z479" s="432">
        <v>142</v>
      </c>
      <c r="AA479" s="432">
        <v>132</v>
      </c>
      <c r="AB479" s="16">
        <v>132</v>
      </c>
      <c r="AC479" s="16"/>
      <c r="AD479" s="16"/>
      <c r="AE479" s="16"/>
      <c r="AF479" s="16"/>
      <c r="AG479" s="16"/>
      <c r="AH479" s="16"/>
      <c r="AI479" s="16">
        <v>6</v>
      </c>
      <c r="AJ479" s="432"/>
      <c r="AK479" s="431"/>
      <c r="AL479" s="25"/>
      <c r="AM479" s="432"/>
      <c r="AN479" s="432"/>
      <c r="AO479" s="432"/>
      <c r="AP479" s="16"/>
      <c r="AQ479" s="16"/>
      <c r="AR479" s="130">
        <v>1404</v>
      </c>
      <c r="AS479" s="130">
        <v>10</v>
      </c>
      <c r="AT479" s="130">
        <v>1404</v>
      </c>
      <c r="AU479" s="130">
        <v>6</v>
      </c>
      <c r="AV479" s="12">
        <f t="shared" si="26"/>
        <v>4</v>
      </c>
      <c r="AW479" s="12">
        <f t="shared" si="27"/>
        <v>4</v>
      </c>
      <c r="AX479" s="12"/>
      <c r="AY479" s="408"/>
    </row>
    <row r="480" spans="1:51" ht="30" hidden="1" customHeight="1" x14ac:dyDescent="0.2">
      <c r="A480" s="432">
        <v>480</v>
      </c>
      <c r="B480" s="432">
        <v>29</v>
      </c>
      <c r="C480" s="432">
        <v>10</v>
      </c>
      <c r="D480" s="16">
        <v>1404</v>
      </c>
      <c r="E480" s="431" t="s">
        <v>6085</v>
      </c>
      <c r="F480" s="431" t="s">
        <v>10</v>
      </c>
      <c r="G480" s="431" t="s">
        <v>4796</v>
      </c>
      <c r="H480" s="432" t="s">
        <v>83</v>
      </c>
      <c r="I480" s="360" t="s">
        <v>5479</v>
      </c>
      <c r="J480" s="16" t="s">
        <v>84</v>
      </c>
      <c r="K480" s="431"/>
      <c r="L480" s="431" t="s">
        <v>155</v>
      </c>
      <c r="M480" s="431"/>
      <c r="N480" s="41" t="s">
        <v>106</v>
      </c>
      <c r="O480" s="13" t="s">
        <v>107</v>
      </c>
      <c r="P480" s="13"/>
      <c r="Q480" s="13"/>
      <c r="R480" s="432"/>
      <c r="S480" s="432">
        <v>384</v>
      </c>
      <c r="T480" s="432">
        <v>10</v>
      </c>
      <c r="U480" s="431" t="s">
        <v>5844</v>
      </c>
      <c r="V480" s="41" t="s">
        <v>106</v>
      </c>
      <c r="W480" s="13" t="s">
        <v>107</v>
      </c>
      <c r="X480" s="431"/>
      <c r="Y480" s="432" t="s">
        <v>6087</v>
      </c>
      <c r="Z480" s="432">
        <v>198</v>
      </c>
      <c r="AA480" s="432">
        <v>183</v>
      </c>
      <c r="AB480" s="16">
        <v>183</v>
      </c>
      <c r="AC480" s="16"/>
      <c r="AD480" s="16"/>
      <c r="AE480" s="16"/>
      <c r="AF480" s="16"/>
      <c r="AG480" s="16"/>
      <c r="AH480" s="16"/>
      <c r="AI480" s="16">
        <v>6</v>
      </c>
      <c r="AJ480" s="432"/>
      <c r="AK480" s="431"/>
      <c r="AL480" s="25"/>
      <c r="AM480" s="432"/>
      <c r="AN480" s="432"/>
      <c r="AO480" s="432"/>
      <c r="AP480" s="16"/>
      <c r="AQ480" s="16"/>
      <c r="AR480" s="130">
        <v>1404</v>
      </c>
      <c r="AS480" s="130">
        <v>10</v>
      </c>
      <c r="AT480" s="130">
        <v>1395</v>
      </c>
      <c r="AU480" s="130">
        <v>8</v>
      </c>
      <c r="AV480" s="12">
        <f t="shared" si="26"/>
        <v>110</v>
      </c>
      <c r="AW480" s="12" t="str">
        <f t="shared" si="27"/>
        <v/>
      </c>
      <c r="AX480" s="12"/>
      <c r="AY480" s="408"/>
    </row>
    <row r="481" spans="1:51" ht="30" hidden="1" customHeight="1" x14ac:dyDescent="0.2">
      <c r="A481" s="432">
        <v>481</v>
      </c>
      <c r="B481" s="432">
        <v>29</v>
      </c>
      <c r="C481" s="432">
        <v>10</v>
      </c>
      <c r="D481" s="16">
        <v>1404</v>
      </c>
      <c r="E481" s="431" t="s">
        <v>3784</v>
      </c>
      <c r="F481" s="431" t="s">
        <v>10</v>
      </c>
      <c r="G481" s="431" t="s">
        <v>174</v>
      </c>
      <c r="H481" s="432" t="s">
        <v>83</v>
      </c>
      <c r="I481" s="360" t="s">
        <v>5479</v>
      </c>
      <c r="J481" s="16" t="s">
        <v>84</v>
      </c>
      <c r="K481" s="431"/>
      <c r="L481" s="431" t="s">
        <v>769</v>
      </c>
      <c r="M481" s="431"/>
      <c r="N481" s="41" t="s">
        <v>106</v>
      </c>
      <c r="O481" s="13" t="s">
        <v>107</v>
      </c>
      <c r="P481" s="13"/>
      <c r="Q481" s="13"/>
      <c r="R481" s="432"/>
      <c r="S481" s="432">
        <v>193</v>
      </c>
      <c r="T481" s="432">
        <v>13</v>
      </c>
      <c r="U481" s="431"/>
      <c r="V481" s="41" t="s">
        <v>106</v>
      </c>
      <c r="W481" s="13" t="s">
        <v>107</v>
      </c>
      <c r="X481" s="431"/>
      <c r="Y481" s="432" t="s">
        <v>3820</v>
      </c>
      <c r="Z481" s="432">
        <v>196</v>
      </c>
      <c r="AA481" s="432">
        <v>180</v>
      </c>
      <c r="AB481" s="16">
        <v>186</v>
      </c>
      <c r="AC481" s="16"/>
      <c r="AD481" s="16"/>
      <c r="AE481" s="16"/>
      <c r="AF481" s="16"/>
      <c r="AG481" s="16"/>
      <c r="AH481" s="16"/>
      <c r="AI481" s="16">
        <v>3</v>
      </c>
      <c r="AJ481" s="432"/>
      <c r="AK481" s="431"/>
      <c r="AL481" s="25"/>
      <c r="AM481" s="432"/>
      <c r="AN481" s="432"/>
      <c r="AO481" s="432"/>
      <c r="AP481" s="16"/>
      <c r="AQ481" s="16"/>
      <c r="AR481" s="130">
        <v>1404</v>
      </c>
      <c r="AS481" s="130">
        <v>10</v>
      </c>
      <c r="AT481" s="130">
        <v>1402</v>
      </c>
      <c r="AU481" s="130">
        <v>6</v>
      </c>
      <c r="AV481" s="12">
        <f t="shared" si="26"/>
        <v>28</v>
      </c>
      <c r="AW481" s="12" t="str">
        <f t="shared" si="27"/>
        <v/>
      </c>
      <c r="AX481" s="12"/>
      <c r="AY481" s="408"/>
    </row>
    <row r="482" spans="1:51" ht="30" hidden="1" customHeight="1" x14ac:dyDescent="0.2">
      <c r="A482" s="432">
        <v>482</v>
      </c>
      <c r="B482" s="432">
        <v>2</v>
      </c>
      <c r="C482" s="432">
        <v>10</v>
      </c>
      <c r="D482" s="16">
        <v>1404</v>
      </c>
      <c r="E482" s="431" t="s">
        <v>1845</v>
      </c>
      <c r="F482" s="431" t="s">
        <v>243</v>
      </c>
      <c r="G482" s="431" t="s">
        <v>6055</v>
      </c>
      <c r="H482" s="432" t="s">
        <v>83</v>
      </c>
      <c r="I482" s="360" t="s">
        <v>5479</v>
      </c>
      <c r="J482" s="16" t="s">
        <v>84</v>
      </c>
      <c r="K482" s="431"/>
      <c r="L482" s="431" t="s">
        <v>104</v>
      </c>
      <c r="M482" s="431"/>
      <c r="N482" s="41" t="s">
        <v>106</v>
      </c>
      <c r="O482" s="13" t="s">
        <v>107</v>
      </c>
      <c r="P482" s="13"/>
      <c r="Q482" s="13"/>
      <c r="R482" s="432"/>
      <c r="S482" s="432">
        <v>293</v>
      </c>
      <c r="T482" s="432">
        <v>13</v>
      </c>
      <c r="U482" s="431"/>
      <c r="V482" s="41" t="s">
        <v>106</v>
      </c>
      <c r="W482" s="13" t="s">
        <v>107</v>
      </c>
      <c r="X482" s="431"/>
      <c r="Y482" s="432" t="s">
        <v>5438</v>
      </c>
      <c r="Z482" s="432">
        <v>250</v>
      </c>
      <c r="AA482" s="432">
        <v>228</v>
      </c>
      <c r="AB482" s="16">
        <v>228</v>
      </c>
      <c r="AC482" s="16"/>
      <c r="AD482" s="16"/>
      <c r="AE482" s="16"/>
      <c r="AF482" s="16"/>
      <c r="AG482" s="16"/>
      <c r="AH482" s="16"/>
      <c r="AI482" s="16">
        <v>6</v>
      </c>
      <c r="AJ482" s="432"/>
      <c r="AK482" s="431"/>
      <c r="AL482" s="25"/>
      <c r="AM482" s="432"/>
      <c r="AN482" s="432"/>
      <c r="AO482" s="432"/>
      <c r="AP482" s="16"/>
      <c r="AQ482" s="16"/>
      <c r="AR482" s="130">
        <v>1404</v>
      </c>
      <c r="AS482" s="130">
        <v>10</v>
      </c>
      <c r="AT482" s="130">
        <v>1401</v>
      </c>
      <c r="AU482" s="130">
        <v>10</v>
      </c>
      <c r="AV482" s="12">
        <f t="shared" si="26"/>
        <v>36</v>
      </c>
      <c r="AW482" s="12" t="str">
        <f t="shared" si="27"/>
        <v/>
      </c>
      <c r="AX482" s="12"/>
      <c r="AY482" s="408"/>
    </row>
    <row r="483" spans="1:51" ht="30" hidden="1" customHeight="1" x14ac:dyDescent="0.2">
      <c r="A483" s="432">
        <v>483</v>
      </c>
      <c r="B483" s="432">
        <v>3</v>
      </c>
      <c r="C483" s="432">
        <v>11</v>
      </c>
      <c r="D483" s="16">
        <v>1404</v>
      </c>
      <c r="E483" s="431" t="s">
        <v>1845</v>
      </c>
      <c r="F483" s="431" t="s">
        <v>243</v>
      </c>
      <c r="G483" s="431"/>
      <c r="H483" s="432" t="s">
        <v>7</v>
      </c>
      <c r="I483" s="360" t="s">
        <v>5479</v>
      </c>
      <c r="J483" s="16" t="s">
        <v>84</v>
      </c>
      <c r="K483" s="431"/>
      <c r="L483" s="431" t="s">
        <v>117</v>
      </c>
      <c r="M483" s="431" t="s">
        <v>6102</v>
      </c>
      <c r="N483" s="41" t="s">
        <v>106</v>
      </c>
      <c r="O483" s="13" t="s">
        <v>107</v>
      </c>
      <c r="P483" s="13"/>
      <c r="Q483" s="13"/>
      <c r="R483" s="432"/>
      <c r="S483" s="432">
        <v>6608</v>
      </c>
      <c r="T483" s="432">
        <v>18</v>
      </c>
      <c r="U483" s="431" t="s">
        <v>6103</v>
      </c>
      <c r="V483" s="41" t="s">
        <v>106</v>
      </c>
      <c r="W483" s="13" t="s">
        <v>107</v>
      </c>
      <c r="X483" s="431"/>
      <c r="Y483" s="432" t="s">
        <v>5438</v>
      </c>
      <c r="Z483" s="432">
        <v>250</v>
      </c>
      <c r="AA483" s="432">
        <v>228</v>
      </c>
      <c r="AB483" s="16">
        <v>228</v>
      </c>
      <c r="AC483" s="16">
        <v>185</v>
      </c>
      <c r="AD483" s="16">
        <v>182</v>
      </c>
      <c r="AE483" s="16">
        <v>2</v>
      </c>
      <c r="AF483" s="16">
        <v>48</v>
      </c>
      <c r="AG483" s="16">
        <v>232</v>
      </c>
      <c r="AH483" s="16">
        <v>9</v>
      </c>
      <c r="AI483" s="16">
        <v>6</v>
      </c>
      <c r="AJ483" s="432"/>
      <c r="AK483" s="431" t="s">
        <v>6104</v>
      </c>
      <c r="AL483" s="25">
        <v>232</v>
      </c>
      <c r="AM483" s="432">
        <v>9</v>
      </c>
      <c r="AN483" s="432"/>
      <c r="AO483" s="432"/>
      <c r="AP483" s="16" t="s">
        <v>160</v>
      </c>
      <c r="AQ483" s="16" t="s">
        <v>193</v>
      </c>
      <c r="AR483" s="130">
        <v>1404</v>
      </c>
      <c r="AS483" s="130">
        <v>11</v>
      </c>
      <c r="AT483" s="130"/>
      <c r="AU483" s="130" t="s">
        <v>3714</v>
      </c>
      <c r="AV483" s="12" t="str">
        <f t="shared" si="26"/>
        <v/>
      </c>
      <c r="AW483" s="12" t="str">
        <f t="shared" si="27"/>
        <v/>
      </c>
      <c r="AX483" s="12"/>
      <c r="AY483" s="408"/>
    </row>
    <row r="484" spans="1:51" ht="30" hidden="1" customHeight="1" x14ac:dyDescent="0.2">
      <c r="A484" s="432">
        <v>484</v>
      </c>
      <c r="B484" s="432">
        <v>4</v>
      </c>
      <c r="C484" s="432">
        <v>11</v>
      </c>
      <c r="D484" s="16">
        <v>1404</v>
      </c>
      <c r="E484" s="431" t="s">
        <v>4398</v>
      </c>
      <c r="F484" s="431" t="s">
        <v>6105</v>
      </c>
      <c r="G484" s="431" t="s">
        <v>90</v>
      </c>
      <c r="H484" s="432" t="s">
        <v>7</v>
      </c>
      <c r="I484" s="360" t="s">
        <v>5479</v>
      </c>
      <c r="J484" s="16" t="s">
        <v>6106</v>
      </c>
      <c r="K484" s="431"/>
      <c r="L484" s="431" t="s">
        <v>68</v>
      </c>
      <c r="M484" s="431" t="s">
        <v>6109</v>
      </c>
      <c r="N484" s="41" t="s">
        <v>69</v>
      </c>
      <c r="O484" s="13" t="s">
        <v>70</v>
      </c>
      <c r="P484" s="13"/>
      <c r="Q484" s="13"/>
      <c r="R484" s="432"/>
      <c r="S484" s="432">
        <v>293</v>
      </c>
      <c r="T484" s="432">
        <v>16</v>
      </c>
      <c r="U484" s="431" t="s">
        <v>6110</v>
      </c>
      <c r="V484" s="41" t="s">
        <v>69</v>
      </c>
      <c r="W484" s="13" t="s">
        <v>70</v>
      </c>
      <c r="X484" s="431"/>
      <c r="Y484" s="432"/>
      <c r="Z484" s="432">
        <v>250</v>
      </c>
      <c r="AA484" s="432"/>
      <c r="AB484" s="16">
        <v>240</v>
      </c>
      <c r="AC484" s="16">
        <v>148</v>
      </c>
      <c r="AD484" s="16">
        <v>176</v>
      </c>
      <c r="AE484" s="16">
        <v>7</v>
      </c>
      <c r="AF484" s="16">
        <v>31</v>
      </c>
      <c r="AG484" s="16">
        <v>214</v>
      </c>
      <c r="AH484" s="16">
        <v>16</v>
      </c>
      <c r="AI484" s="16">
        <v>6</v>
      </c>
      <c r="AJ484" s="432"/>
      <c r="AK484" s="431" t="s">
        <v>6111</v>
      </c>
      <c r="AL484" s="25">
        <v>214</v>
      </c>
      <c r="AM484" s="432">
        <v>16</v>
      </c>
      <c r="AN484" s="432"/>
      <c r="AO484" s="432"/>
      <c r="AP484" s="16" t="s">
        <v>160</v>
      </c>
      <c r="AQ484" s="16" t="s">
        <v>165</v>
      </c>
      <c r="AR484" s="130">
        <v>1404</v>
      </c>
      <c r="AS484" s="130">
        <v>11</v>
      </c>
      <c r="AT484" s="130"/>
      <c r="AU484" s="130" t="s">
        <v>3714</v>
      </c>
      <c r="AV484" s="12" t="str">
        <f t="shared" si="26"/>
        <v/>
      </c>
      <c r="AW484" s="12" t="str">
        <f t="shared" si="27"/>
        <v/>
      </c>
      <c r="AX484" s="12"/>
      <c r="AY484" s="408"/>
    </row>
    <row r="485" spans="1:51" ht="30" hidden="1" customHeight="1" x14ac:dyDescent="0.2">
      <c r="A485" s="432">
        <v>485</v>
      </c>
      <c r="B485" s="432">
        <v>5</v>
      </c>
      <c r="C485" s="432">
        <v>11</v>
      </c>
      <c r="D485" s="16">
        <v>1404</v>
      </c>
      <c r="E485" s="431" t="s">
        <v>5895</v>
      </c>
      <c r="F485" s="431" t="s">
        <v>5409</v>
      </c>
      <c r="G485" s="431"/>
      <c r="H485" s="432" t="s">
        <v>7</v>
      </c>
      <c r="I485" s="360" t="s">
        <v>5479</v>
      </c>
      <c r="J485" s="16" t="s">
        <v>5577</v>
      </c>
      <c r="K485" s="35" t="s">
        <v>155</v>
      </c>
      <c r="L485" s="35" t="s">
        <v>68</v>
      </c>
      <c r="M485" s="431" t="s">
        <v>6107</v>
      </c>
      <c r="N485" s="41" t="s">
        <v>106</v>
      </c>
      <c r="O485" s="13" t="s">
        <v>107</v>
      </c>
      <c r="P485" s="13"/>
      <c r="Q485" s="13"/>
      <c r="R485" s="33" t="s">
        <v>324</v>
      </c>
      <c r="S485" s="33">
        <v>6609</v>
      </c>
      <c r="T485" s="33">
        <v>17</v>
      </c>
      <c r="U485" s="431" t="s">
        <v>6108</v>
      </c>
      <c r="V485" s="41" t="s">
        <v>106</v>
      </c>
      <c r="W485" s="13" t="s">
        <v>107</v>
      </c>
      <c r="X485" s="431"/>
      <c r="Y485" s="432" t="s">
        <v>5910</v>
      </c>
      <c r="Z485" s="432">
        <v>232</v>
      </c>
      <c r="AA485" s="432">
        <v>208</v>
      </c>
      <c r="AB485" s="16">
        <v>208</v>
      </c>
      <c r="AC485" s="16">
        <v>118</v>
      </c>
      <c r="AD485" s="16">
        <v>180</v>
      </c>
      <c r="AE485" s="16">
        <v>3</v>
      </c>
      <c r="AF485" s="16">
        <v>25</v>
      </c>
      <c r="AG485" s="16">
        <v>208</v>
      </c>
      <c r="AH485" s="16">
        <v>17</v>
      </c>
      <c r="AI485" s="16">
        <v>6</v>
      </c>
      <c r="AJ485" s="432"/>
      <c r="AK485" s="431"/>
      <c r="AL485" s="25">
        <v>208</v>
      </c>
      <c r="AM485" s="432">
        <v>16</v>
      </c>
      <c r="AN485" s="432"/>
      <c r="AO485" s="432"/>
      <c r="AP485" s="16" t="s">
        <v>160</v>
      </c>
      <c r="AQ485" s="16" t="s">
        <v>165</v>
      </c>
      <c r="AR485" s="130">
        <v>1404</v>
      </c>
      <c r="AS485" s="130">
        <v>11</v>
      </c>
      <c r="AT485" s="130"/>
      <c r="AU485" s="130" t="s">
        <v>3714</v>
      </c>
      <c r="AV485" s="12" t="str">
        <f t="shared" si="26"/>
        <v/>
      </c>
      <c r="AW485" s="12" t="str">
        <f t="shared" si="27"/>
        <v/>
      </c>
      <c r="AX485" s="12"/>
      <c r="AY485" s="408"/>
    </row>
    <row r="486" spans="1:51" ht="30" hidden="1" customHeight="1" x14ac:dyDescent="0.2">
      <c r="A486" s="432">
        <v>486</v>
      </c>
      <c r="B486" s="432">
        <v>7</v>
      </c>
      <c r="C486" s="432">
        <v>11</v>
      </c>
      <c r="D486" s="16">
        <v>1404</v>
      </c>
      <c r="E486" s="431" t="s">
        <v>6112</v>
      </c>
      <c r="F486" s="431" t="s">
        <v>2981</v>
      </c>
      <c r="G486" s="431"/>
      <c r="H486" s="432" t="s">
        <v>7</v>
      </c>
      <c r="I486" s="360" t="s">
        <v>5479</v>
      </c>
      <c r="J486" s="16" t="s">
        <v>5577</v>
      </c>
      <c r="K486" s="431"/>
      <c r="L486" s="431" t="s">
        <v>155</v>
      </c>
      <c r="M486" s="431" t="s">
        <v>6113</v>
      </c>
      <c r="N486" s="41" t="s">
        <v>106</v>
      </c>
      <c r="O486" s="13" t="s">
        <v>107</v>
      </c>
      <c r="P486" s="13"/>
      <c r="Q486" s="13"/>
      <c r="R486" s="432"/>
      <c r="S486" s="432">
        <v>374</v>
      </c>
      <c r="T486" s="432">
        <v>7</v>
      </c>
      <c r="U486" s="431" t="s">
        <v>6114</v>
      </c>
      <c r="V486" s="41" t="s">
        <v>6115</v>
      </c>
      <c r="W486" s="13" t="s">
        <v>70</v>
      </c>
      <c r="X486" s="431"/>
      <c r="Y486" s="432"/>
      <c r="Z486" s="432"/>
      <c r="AA486" s="432">
        <v>238</v>
      </c>
      <c r="AB486" s="16">
        <v>238</v>
      </c>
      <c r="AC486" s="16"/>
      <c r="AD486" s="16"/>
      <c r="AE486" s="16"/>
      <c r="AF486" s="16"/>
      <c r="AG486" s="16"/>
      <c r="AH486" s="16"/>
      <c r="AI486" s="16"/>
      <c r="AJ486" s="432"/>
      <c r="AK486" s="431"/>
      <c r="AL486" s="25"/>
      <c r="AM486" s="432"/>
      <c r="AN486" s="432"/>
      <c r="AO486" s="432"/>
      <c r="AP486" s="16" t="s">
        <v>160</v>
      </c>
      <c r="AQ486" s="16" t="s">
        <v>165</v>
      </c>
      <c r="AR486" s="130">
        <v>1404</v>
      </c>
      <c r="AS486" s="130">
        <v>11</v>
      </c>
      <c r="AT486" s="130"/>
      <c r="AU486" s="130" t="s">
        <v>3714</v>
      </c>
      <c r="AV486" s="12" t="str">
        <f t="shared" si="26"/>
        <v/>
      </c>
      <c r="AW486" s="12" t="str">
        <f t="shared" si="27"/>
        <v/>
      </c>
      <c r="AX486" s="12"/>
      <c r="AY486" s="408"/>
    </row>
    <row r="487" spans="1:51" ht="30" hidden="1" customHeight="1" x14ac:dyDescent="0.2">
      <c r="A487" s="432">
        <v>487</v>
      </c>
      <c r="B487" s="432">
        <v>7</v>
      </c>
      <c r="C487" s="432">
        <v>11</v>
      </c>
      <c r="D487" s="16">
        <v>1404</v>
      </c>
      <c r="E487" s="431" t="s">
        <v>6117</v>
      </c>
      <c r="F487" s="431" t="s">
        <v>6</v>
      </c>
      <c r="G487" s="489" t="s">
        <v>6055</v>
      </c>
      <c r="H487" s="432" t="s">
        <v>83</v>
      </c>
      <c r="I487" s="360" t="s">
        <v>5479</v>
      </c>
      <c r="J487" s="16" t="s">
        <v>84</v>
      </c>
      <c r="K487" s="431"/>
      <c r="L487" s="431" t="s">
        <v>155</v>
      </c>
      <c r="M487" s="431"/>
      <c r="N487" s="41" t="s">
        <v>106</v>
      </c>
      <c r="O487" s="13" t="s">
        <v>107</v>
      </c>
      <c r="P487" s="13"/>
      <c r="Q487" s="13"/>
      <c r="R487" s="432"/>
      <c r="S487" s="432">
        <v>384</v>
      </c>
      <c r="T487" s="432">
        <v>10</v>
      </c>
      <c r="U487" s="431"/>
      <c r="V487" s="41" t="s">
        <v>106</v>
      </c>
      <c r="W487" s="13" t="s">
        <v>107</v>
      </c>
      <c r="X487" s="431"/>
      <c r="Y487" s="432" t="s">
        <v>6526</v>
      </c>
      <c r="Z487" s="432">
        <v>137</v>
      </c>
      <c r="AA487" s="432">
        <v>126</v>
      </c>
      <c r="AB487" s="16">
        <v>126</v>
      </c>
      <c r="AC487" s="16"/>
      <c r="AD487" s="16"/>
      <c r="AE487" s="16"/>
      <c r="AF487" s="16"/>
      <c r="AG487" s="16"/>
      <c r="AH487" s="16"/>
      <c r="AI487" s="16">
        <v>8</v>
      </c>
      <c r="AJ487" s="432"/>
      <c r="AK487" s="431"/>
      <c r="AL487" s="25"/>
      <c r="AM487" s="432"/>
      <c r="AN487" s="432"/>
      <c r="AO487" s="432"/>
      <c r="AP487" s="16"/>
      <c r="AQ487" s="16"/>
      <c r="AR487" s="130">
        <v>1404</v>
      </c>
      <c r="AS487" s="130">
        <v>11</v>
      </c>
      <c r="AT487" s="130">
        <v>1397</v>
      </c>
      <c r="AU487" s="130">
        <v>4</v>
      </c>
      <c r="AV487" s="12">
        <f t="shared" si="26"/>
        <v>91</v>
      </c>
      <c r="AW487" s="12" t="str">
        <f t="shared" si="27"/>
        <v/>
      </c>
      <c r="AX487" s="12"/>
      <c r="AY487" s="408"/>
    </row>
    <row r="488" spans="1:51" ht="30" hidden="1" customHeight="1" x14ac:dyDescent="0.2">
      <c r="A488" s="432">
        <v>488</v>
      </c>
      <c r="B488" s="432">
        <v>7</v>
      </c>
      <c r="C488" s="432">
        <v>11</v>
      </c>
      <c r="D488" s="16">
        <v>1404</v>
      </c>
      <c r="E488" s="431" t="s">
        <v>6116</v>
      </c>
      <c r="F488" s="431" t="s">
        <v>6105</v>
      </c>
      <c r="G488" s="431" t="s">
        <v>202</v>
      </c>
      <c r="H488" s="432" t="s">
        <v>83</v>
      </c>
      <c r="I488" s="360" t="s">
        <v>5479</v>
      </c>
      <c r="J488" s="16" t="s">
        <v>84</v>
      </c>
      <c r="K488" s="431"/>
      <c r="L488" s="431" t="s">
        <v>117</v>
      </c>
      <c r="M488" s="431"/>
      <c r="N488" s="41" t="s">
        <v>106</v>
      </c>
      <c r="O488" s="13" t="s">
        <v>107</v>
      </c>
      <c r="P488" s="13"/>
      <c r="Q488" s="13"/>
      <c r="R488" s="432"/>
      <c r="S488" s="432">
        <v>345</v>
      </c>
      <c r="T488" s="432">
        <v>6</v>
      </c>
      <c r="U488" s="431"/>
      <c r="V488" s="41" t="s">
        <v>106</v>
      </c>
      <c r="W488" s="13" t="s">
        <v>107</v>
      </c>
      <c r="X488" s="431"/>
      <c r="Y488" s="432" t="s">
        <v>5808</v>
      </c>
      <c r="Z488" s="432">
        <v>234</v>
      </c>
      <c r="AA488" s="432">
        <v>220</v>
      </c>
      <c r="AB488" s="16">
        <v>220</v>
      </c>
      <c r="AC488" s="16"/>
      <c r="AD488" s="16"/>
      <c r="AE488" s="16"/>
      <c r="AF488" s="16"/>
      <c r="AG488" s="16"/>
      <c r="AH488" s="16"/>
      <c r="AI488" s="16">
        <v>6</v>
      </c>
      <c r="AJ488" s="432"/>
      <c r="AK488" s="431"/>
      <c r="AL488" s="25"/>
      <c r="AM488" s="432"/>
      <c r="AN488" s="432"/>
      <c r="AO488" s="432"/>
      <c r="AP488" s="16"/>
      <c r="AQ488" s="16"/>
      <c r="AR488" s="130">
        <v>1404</v>
      </c>
      <c r="AS488" s="130">
        <v>11</v>
      </c>
      <c r="AT488" s="130">
        <v>1404</v>
      </c>
      <c r="AU488" s="130">
        <v>8</v>
      </c>
      <c r="AV488" s="12">
        <f t="shared" si="26"/>
        <v>3</v>
      </c>
      <c r="AW488" s="12">
        <f t="shared" si="27"/>
        <v>3</v>
      </c>
      <c r="AX488" s="12"/>
      <c r="AY488" s="408"/>
    </row>
    <row r="489" spans="1:51" ht="30" hidden="1" customHeight="1" x14ac:dyDescent="0.2">
      <c r="A489" s="432">
        <v>489</v>
      </c>
      <c r="B489" s="432">
        <v>7</v>
      </c>
      <c r="C489" s="432">
        <v>11</v>
      </c>
      <c r="D489" s="16">
        <v>1404</v>
      </c>
      <c r="E489" s="431" t="s">
        <v>6015</v>
      </c>
      <c r="F489" s="431" t="s">
        <v>243</v>
      </c>
      <c r="G489" s="431"/>
      <c r="H489" s="432" t="s">
        <v>7</v>
      </c>
      <c r="I489" s="360" t="s">
        <v>5479</v>
      </c>
      <c r="J489" s="16" t="s">
        <v>5577</v>
      </c>
      <c r="K489" s="431"/>
      <c r="L489" s="431" t="s">
        <v>226</v>
      </c>
      <c r="M489" s="431" t="s">
        <v>6118</v>
      </c>
      <c r="N489" s="41" t="s">
        <v>106</v>
      </c>
      <c r="O489" s="13" t="s">
        <v>107</v>
      </c>
      <c r="P489" s="13"/>
      <c r="Q489" s="13"/>
      <c r="R489" s="432"/>
      <c r="S489" s="432">
        <v>193</v>
      </c>
      <c r="T489" s="432">
        <v>15</v>
      </c>
      <c r="U489" s="431" t="s">
        <v>6119</v>
      </c>
      <c r="V489" s="41" t="s">
        <v>69</v>
      </c>
      <c r="W489" s="13" t="s">
        <v>70</v>
      </c>
      <c r="X489" s="431"/>
      <c r="Y489" s="432" t="s">
        <v>6120</v>
      </c>
      <c r="Z489" s="432">
        <v>204</v>
      </c>
      <c r="AA489" s="432">
        <v>186</v>
      </c>
      <c r="AB489" s="16">
        <v>186</v>
      </c>
      <c r="AC489" s="16">
        <v>72</v>
      </c>
      <c r="AD489" s="16">
        <v>114</v>
      </c>
      <c r="AE489" s="16">
        <v>1</v>
      </c>
      <c r="AF489" s="16">
        <v>55</v>
      </c>
      <c r="AG489" s="16">
        <v>171</v>
      </c>
      <c r="AH489" s="16">
        <v>5</v>
      </c>
      <c r="AI489" s="16">
        <v>6</v>
      </c>
      <c r="AJ489" s="432"/>
      <c r="AK489" s="431" t="s">
        <v>6121</v>
      </c>
      <c r="AL489" s="25">
        <v>171</v>
      </c>
      <c r="AM489" s="432">
        <v>5</v>
      </c>
      <c r="AN489" s="432"/>
      <c r="AO489" s="432"/>
      <c r="AP489" s="16" t="s">
        <v>160</v>
      </c>
      <c r="AQ489" s="16" t="s">
        <v>6122</v>
      </c>
      <c r="AR489" s="130">
        <v>1404</v>
      </c>
      <c r="AS489" s="130">
        <v>11</v>
      </c>
      <c r="AT489" s="130"/>
      <c r="AU489" s="130" t="s">
        <v>3714</v>
      </c>
      <c r="AV489" s="12" t="str">
        <f t="shared" si="26"/>
        <v/>
      </c>
      <c r="AW489" s="12" t="str">
        <f t="shared" si="27"/>
        <v/>
      </c>
      <c r="AX489" s="12"/>
      <c r="AY489" s="408"/>
    </row>
    <row r="490" spans="1:51" ht="30" hidden="1" customHeight="1" x14ac:dyDescent="0.2">
      <c r="A490" s="432">
        <v>490</v>
      </c>
      <c r="B490" s="432">
        <v>7</v>
      </c>
      <c r="C490" s="432">
        <v>11</v>
      </c>
      <c r="D490" s="16">
        <v>1404</v>
      </c>
      <c r="E490" s="431" t="s">
        <v>1593</v>
      </c>
      <c r="F490" s="431" t="s">
        <v>5723</v>
      </c>
      <c r="G490" s="431"/>
      <c r="H490" s="432" t="s">
        <v>83</v>
      </c>
      <c r="I490" s="360" t="s">
        <v>5479</v>
      </c>
      <c r="J490" s="16" t="s">
        <v>84</v>
      </c>
      <c r="K490" s="431"/>
      <c r="L490" s="431" t="s">
        <v>68</v>
      </c>
      <c r="M490" s="431" t="s">
        <v>6124</v>
      </c>
      <c r="N490" s="41" t="s">
        <v>106</v>
      </c>
      <c r="O490" s="13" t="s">
        <v>107</v>
      </c>
      <c r="P490" s="13"/>
      <c r="Q490" s="13"/>
      <c r="R490" s="432"/>
      <c r="S490" s="432">
        <v>6608</v>
      </c>
      <c r="T490" s="432">
        <v>24</v>
      </c>
      <c r="U490" s="431" t="s">
        <v>6125</v>
      </c>
      <c r="V490" s="41" t="s">
        <v>106</v>
      </c>
      <c r="W490" s="13" t="s">
        <v>107</v>
      </c>
      <c r="X490" s="431"/>
      <c r="Y490" s="432"/>
      <c r="Z490" s="432"/>
      <c r="AA490" s="432">
        <v>282</v>
      </c>
      <c r="AB490" s="16">
        <v>282</v>
      </c>
      <c r="AC490" s="16"/>
      <c r="AD490" s="16"/>
      <c r="AE490" s="16"/>
      <c r="AF490" s="16"/>
      <c r="AG490" s="16"/>
      <c r="AH490" s="16"/>
      <c r="AI490" s="16">
        <v>4</v>
      </c>
      <c r="AJ490" s="432"/>
      <c r="AK490" s="431"/>
      <c r="AL490" s="25" t="s">
        <v>6127</v>
      </c>
      <c r="AM490" s="432"/>
      <c r="AN490" s="432"/>
      <c r="AO490" s="432"/>
      <c r="AP490" s="16" t="s">
        <v>5801</v>
      </c>
      <c r="AQ490" s="16" t="s">
        <v>165</v>
      </c>
      <c r="AR490" s="130">
        <v>1404</v>
      </c>
      <c r="AS490" s="130">
        <v>11</v>
      </c>
      <c r="AT490" s="130"/>
      <c r="AU490" s="130" t="s">
        <v>3714</v>
      </c>
      <c r="AV490" s="12" t="str">
        <f t="shared" si="26"/>
        <v/>
      </c>
      <c r="AW490" s="12" t="str">
        <f t="shared" si="27"/>
        <v/>
      </c>
      <c r="AX490" s="12"/>
      <c r="AY490" s="408"/>
    </row>
    <row r="491" spans="1:51" ht="30" hidden="1" customHeight="1" x14ac:dyDescent="0.2">
      <c r="A491" s="432">
        <v>491</v>
      </c>
      <c r="B491" s="432">
        <v>7</v>
      </c>
      <c r="C491" s="432">
        <v>11</v>
      </c>
      <c r="D491" s="16">
        <v>1404</v>
      </c>
      <c r="E491" s="431" t="s">
        <v>1593</v>
      </c>
      <c r="F491" s="449" t="s">
        <v>66</v>
      </c>
      <c r="G491" s="431"/>
      <c r="H491" s="432" t="s">
        <v>7</v>
      </c>
      <c r="I491" s="360" t="s">
        <v>5479</v>
      </c>
      <c r="J491" s="16" t="s">
        <v>84</v>
      </c>
      <c r="K491" s="35" t="s">
        <v>68</v>
      </c>
      <c r="L491" s="35" t="s">
        <v>68</v>
      </c>
      <c r="M491" s="431" t="s">
        <v>6123</v>
      </c>
      <c r="N491" s="41" t="s">
        <v>69</v>
      </c>
      <c r="O491" s="13" t="s">
        <v>70</v>
      </c>
      <c r="P491" s="13"/>
      <c r="Q491" s="13"/>
      <c r="R491" s="33" t="s">
        <v>1594</v>
      </c>
      <c r="S491" s="33">
        <v>293</v>
      </c>
      <c r="T491" s="33">
        <v>17</v>
      </c>
      <c r="U491" s="431" t="s">
        <v>6126</v>
      </c>
      <c r="V491" s="41" t="s">
        <v>69</v>
      </c>
      <c r="W491" s="13" t="s">
        <v>70</v>
      </c>
      <c r="X491" s="431"/>
      <c r="Y491" s="432"/>
      <c r="Z491" s="432"/>
      <c r="AA491" s="432">
        <v>282</v>
      </c>
      <c r="AB491" s="16">
        <v>282</v>
      </c>
      <c r="AC491" s="16"/>
      <c r="AD491" s="16"/>
      <c r="AE491" s="16"/>
      <c r="AF491" s="16"/>
      <c r="AG491" s="16"/>
      <c r="AH491" s="16"/>
      <c r="AI491" s="16">
        <v>4</v>
      </c>
      <c r="AJ491" s="432"/>
      <c r="AK491" s="431" t="s">
        <v>6121</v>
      </c>
      <c r="AL491" s="25" t="s">
        <v>6127</v>
      </c>
      <c r="AM491" s="432"/>
      <c r="AN491" s="432"/>
      <c r="AO491" s="432"/>
      <c r="AP491" s="16" t="s">
        <v>160</v>
      </c>
      <c r="AQ491" s="16" t="s">
        <v>165</v>
      </c>
      <c r="AR491" s="130">
        <v>1404</v>
      </c>
      <c r="AS491" s="130">
        <v>11</v>
      </c>
      <c r="AT491" s="130"/>
      <c r="AU491" s="130" t="s">
        <v>3714</v>
      </c>
      <c r="AV491" s="12" t="str">
        <f t="shared" si="26"/>
        <v/>
      </c>
      <c r="AW491" s="12" t="str">
        <f t="shared" si="27"/>
        <v/>
      </c>
      <c r="AX491" s="12"/>
      <c r="AY491" s="408"/>
    </row>
    <row r="492" spans="1:51" ht="30" hidden="1" customHeight="1" x14ac:dyDescent="0.2">
      <c r="A492" s="432">
        <v>492</v>
      </c>
      <c r="B492" s="432">
        <v>9</v>
      </c>
      <c r="C492" s="432">
        <v>11</v>
      </c>
      <c r="D492" s="16">
        <v>1404</v>
      </c>
      <c r="E492" s="431" t="s">
        <v>579</v>
      </c>
      <c r="F492" s="431" t="s">
        <v>6105</v>
      </c>
      <c r="G492" s="431" t="s">
        <v>922</v>
      </c>
      <c r="H492" s="432" t="s">
        <v>83</v>
      </c>
      <c r="I492" s="360" t="s">
        <v>5479</v>
      </c>
      <c r="J492" s="16" t="s">
        <v>84</v>
      </c>
      <c r="K492" s="431"/>
      <c r="L492" s="431" t="s">
        <v>334</v>
      </c>
      <c r="M492" s="431"/>
      <c r="N492" s="41" t="s">
        <v>106</v>
      </c>
      <c r="O492" s="13" t="s">
        <v>107</v>
      </c>
      <c r="P492" s="13"/>
      <c r="Q492" s="13"/>
      <c r="R492" s="432"/>
      <c r="S492" s="432">
        <v>6608</v>
      </c>
      <c r="T492" s="432">
        <v>11</v>
      </c>
      <c r="U492" s="431"/>
      <c r="V492" s="41" t="s">
        <v>106</v>
      </c>
      <c r="W492" s="13" t="s">
        <v>107</v>
      </c>
      <c r="X492" s="431"/>
      <c r="Y492" s="432" t="s">
        <v>6411</v>
      </c>
      <c r="Z492" s="432">
        <v>237</v>
      </c>
      <c r="AA492" s="432">
        <v>222</v>
      </c>
      <c r="AB492" s="16">
        <v>222</v>
      </c>
      <c r="AC492" s="16"/>
      <c r="AD492" s="16"/>
      <c r="AE492" s="16"/>
      <c r="AF492" s="16"/>
      <c r="AG492" s="16"/>
      <c r="AH492" s="16"/>
      <c r="AI492" s="16">
        <v>6</v>
      </c>
      <c r="AJ492" s="432"/>
      <c r="AK492" s="431"/>
      <c r="AL492" s="25"/>
      <c r="AM492" s="432"/>
      <c r="AN492" s="432"/>
      <c r="AO492" s="432"/>
      <c r="AP492" s="16"/>
      <c r="AQ492" s="16"/>
      <c r="AR492" s="130">
        <v>1404</v>
      </c>
      <c r="AS492" s="130">
        <v>11</v>
      </c>
      <c r="AT492" s="130">
        <v>1404</v>
      </c>
      <c r="AU492" s="130">
        <v>4</v>
      </c>
      <c r="AV492" s="12">
        <f t="shared" si="26"/>
        <v>7</v>
      </c>
      <c r="AW492" s="12">
        <f t="shared" si="27"/>
        <v>7</v>
      </c>
      <c r="AX492" s="12"/>
      <c r="AY492" s="408"/>
    </row>
    <row r="493" spans="1:51" ht="30" hidden="1" customHeight="1" x14ac:dyDescent="0.2">
      <c r="A493" s="432">
        <v>493</v>
      </c>
      <c r="B493" s="432">
        <v>10</v>
      </c>
      <c r="C493" s="432">
        <v>11</v>
      </c>
      <c r="D493" s="16">
        <v>1404</v>
      </c>
      <c r="E493" s="431" t="s">
        <v>2987</v>
      </c>
      <c r="F493" s="431" t="s">
        <v>8</v>
      </c>
      <c r="G493" s="450" t="s">
        <v>4038</v>
      </c>
      <c r="H493" s="432" t="s">
        <v>83</v>
      </c>
      <c r="I493" s="360" t="s">
        <v>5479</v>
      </c>
      <c r="J493" s="16" t="s">
        <v>5539</v>
      </c>
      <c r="K493" s="431" t="s">
        <v>3714</v>
      </c>
      <c r="L493" s="431" t="s">
        <v>117</v>
      </c>
      <c r="M493" s="431"/>
      <c r="N493" s="41" t="s">
        <v>106</v>
      </c>
      <c r="O493" s="13" t="s">
        <v>107</v>
      </c>
      <c r="P493" s="13"/>
      <c r="Q493" s="13"/>
      <c r="R493" s="432" t="s">
        <v>3714</v>
      </c>
      <c r="S493" s="432">
        <v>6608</v>
      </c>
      <c r="T493" s="432">
        <v>18</v>
      </c>
      <c r="U493" s="431"/>
      <c r="V493" s="41" t="s">
        <v>106</v>
      </c>
      <c r="W493" s="13" t="s">
        <v>107</v>
      </c>
      <c r="X493" s="431"/>
      <c r="Y493" s="432" t="s">
        <v>6410</v>
      </c>
      <c r="Z493" s="432">
        <v>220</v>
      </c>
      <c r="AA493" s="432">
        <v>192</v>
      </c>
      <c r="AB493" s="16">
        <v>192</v>
      </c>
      <c r="AC493" s="16"/>
      <c r="AD493" s="16"/>
      <c r="AE493" s="16"/>
      <c r="AF493" s="16"/>
      <c r="AG493" s="16"/>
      <c r="AH493" s="16"/>
      <c r="AI493" s="16">
        <v>6</v>
      </c>
      <c r="AJ493" s="432"/>
      <c r="AK493" s="431"/>
      <c r="AL493" s="25"/>
      <c r="AM493" s="432"/>
      <c r="AN493" s="432"/>
      <c r="AO493" s="432"/>
      <c r="AP493" s="16"/>
      <c r="AQ493" s="16"/>
      <c r="AR493" s="130">
        <v>1404</v>
      </c>
      <c r="AS493" s="130">
        <v>11</v>
      </c>
      <c r="AT493" s="130">
        <v>1404</v>
      </c>
      <c r="AU493" s="130">
        <v>10</v>
      </c>
      <c r="AV493" s="12">
        <f t="shared" si="26"/>
        <v>1</v>
      </c>
      <c r="AW493" s="12">
        <f t="shared" si="27"/>
        <v>1</v>
      </c>
      <c r="AX493" s="12"/>
      <c r="AY493" s="408"/>
    </row>
    <row r="494" spans="1:51" ht="30" hidden="1" customHeight="1" x14ac:dyDescent="0.2">
      <c r="A494" s="432">
        <v>494</v>
      </c>
      <c r="B494" s="432">
        <v>10</v>
      </c>
      <c r="C494" s="432">
        <v>11</v>
      </c>
      <c r="D494" s="16">
        <v>1404</v>
      </c>
      <c r="E494" s="431" t="s">
        <v>2626</v>
      </c>
      <c r="F494" s="431" t="s">
        <v>20</v>
      </c>
      <c r="G494" s="484" t="s">
        <v>4038</v>
      </c>
      <c r="H494" s="432" t="s">
        <v>83</v>
      </c>
      <c r="I494" s="360" t="s">
        <v>5479</v>
      </c>
      <c r="J494" s="16" t="s">
        <v>84</v>
      </c>
      <c r="K494" s="431"/>
      <c r="L494" s="431" t="s">
        <v>140</v>
      </c>
      <c r="M494" s="431"/>
      <c r="N494" s="41" t="s">
        <v>106</v>
      </c>
      <c r="O494" s="13" t="s">
        <v>107</v>
      </c>
      <c r="P494" s="13"/>
      <c r="Q494" s="13"/>
      <c r="R494" s="432"/>
      <c r="S494" s="432">
        <v>293</v>
      </c>
      <c r="T494" s="432">
        <v>11</v>
      </c>
      <c r="U494" s="431"/>
      <c r="V494" s="41" t="s">
        <v>106</v>
      </c>
      <c r="W494" s="13" t="s">
        <v>107</v>
      </c>
      <c r="X494" s="431"/>
      <c r="Y494" s="432" t="s">
        <v>6409</v>
      </c>
      <c r="Z494" s="432">
        <v>216</v>
      </c>
      <c r="AA494" s="432">
        <v>156</v>
      </c>
      <c r="AB494" s="16">
        <v>156</v>
      </c>
      <c r="AC494" s="16"/>
      <c r="AD494" s="16"/>
      <c r="AE494" s="16"/>
      <c r="AF494" s="16"/>
      <c r="AG494" s="16"/>
      <c r="AH494" s="16"/>
      <c r="AI494" s="16">
        <v>6</v>
      </c>
      <c r="AJ494" s="432"/>
      <c r="AK494" s="431"/>
      <c r="AL494" s="25"/>
      <c r="AM494" s="432"/>
      <c r="AN494" s="432"/>
      <c r="AO494" s="432"/>
      <c r="AP494" s="16"/>
      <c r="AQ494" s="16"/>
      <c r="AR494" s="130">
        <v>1404</v>
      </c>
      <c r="AS494" s="130">
        <v>11</v>
      </c>
      <c r="AT494" s="130">
        <v>1403</v>
      </c>
      <c r="AU494" s="130">
        <v>4</v>
      </c>
      <c r="AV494" s="12">
        <f t="shared" si="26"/>
        <v>19</v>
      </c>
      <c r="AW494" s="12" t="str">
        <f t="shared" si="27"/>
        <v/>
      </c>
      <c r="AX494" s="12"/>
      <c r="AY494" s="408"/>
    </row>
    <row r="495" spans="1:51" ht="30" hidden="1" customHeight="1" x14ac:dyDescent="0.2">
      <c r="A495" s="432">
        <v>495</v>
      </c>
      <c r="B495" s="432">
        <v>11</v>
      </c>
      <c r="C495" s="432">
        <v>11</v>
      </c>
      <c r="D495" s="16">
        <v>1404</v>
      </c>
      <c r="E495" s="431" t="s">
        <v>5557</v>
      </c>
      <c r="F495" s="431" t="s">
        <v>9</v>
      </c>
      <c r="G495" s="431"/>
      <c r="H495" s="432" t="s">
        <v>7</v>
      </c>
      <c r="I495" s="360" t="s">
        <v>5479</v>
      </c>
      <c r="J495" s="16" t="s">
        <v>6106</v>
      </c>
      <c r="K495" s="431"/>
      <c r="L495" s="431" t="s">
        <v>140</v>
      </c>
      <c r="M495" s="431" t="s">
        <v>6129</v>
      </c>
      <c r="N495" s="41" t="s">
        <v>106</v>
      </c>
      <c r="O495" s="13" t="s">
        <v>107</v>
      </c>
      <c r="P495" s="13"/>
      <c r="Q495" s="13"/>
      <c r="R495" s="432"/>
      <c r="S495" s="432">
        <v>6609</v>
      </c>
      <c r="T495" s="432">
        <v>9</v>
      </c>
      <c r="U495" s="431" t="s">
        <v>6130</v>
      </c>
      <c r="V495" s="41" t="s">
        <v>73</v>
      </c>
      <c r="W495" s="13" t="s">
        <v>70</v>
      </c>
      <c r="X495" s="431"/>
      <c r="Y495" s="432"/>
      <c r="Z495" s="432"/>
      <c r="AA495" s="432">
        <v>222</v>
      </c>
      <c r="AB495" s="16"/>
      <c r="AC495" s="16"/>
      <c r="AD495" s="16"/>
      <c r="AE495" s="16"/>
      <c r="AF495" s="16"/>
      <c r="AG495" s="16"/>
      <c r="AH495" s="16"/>
      <c r="AI495" s="16"/>
      <c r="AJ495" s="432"/>
      <c r="AK495" s="431" t="s">
        <v>6408</v>
      </c>
      <c r="AL495" s="25">
        <v>131</v>
      </c>
      <c r="AM495" s="432">
        <v>16</v>
      </c>
      <c r="AN495" s="432"/>
      <c r="AO495" s="432"/>
      <c r="AP495" s="16" t="s">
        <v>160</v>
      </c>
      <c r="AQ495" s="16" t="s">
        <v>161</v>
      </c>
      <c r="AR495" s="130">
        <v>1404</v>
      </c>
      <c r="AS495" s="130">
        <v>11</v>
      </c>
      <c r="AT495" s="130"/>
      <c r="AU495" s="130" t="s">
        <v>3714</v>
      </c>
      <c r="AV495" s="12" t="str">
        <f t="shared" si="26"/>
        <v/>
      </c>
      <c r="AW495" s="12" t="str">
        <f t="shared" si="27"/>
        <v/>
      </c>
      <c r="AX495" s="12"/>
      <c r="AY495" s="408"/>
    </row>
    <row r="496" spans="1:51" ht="30" hidden="1" customHeight="1" x14ac:dyDescent="0.2">
      <c r="A496" s="432">
        <v>496</v>
      </c>
      <c r="B496" s="432">
        <v>12</v>
      </c>
      <c r="C496" s="432">
        <v>11</v>
      </c>
      <c r="D496" s="16">
        <v>1404</v>
      </c>
      <c r="E496" s="431" t="s">
        <v>6085</v>
      </c>
      <c r="F496" s="431" t="s">
        <v>10</v>
      </c>
      <c r="G496" s="431"/>
      <c r="H496" s="432" t="s">
        <v>7</v>
      </c>
      <c r="I496" s="360" t="s">
        <v>5479</v>
      </c>
      <c r="J496" s="16" t="s">
        <v>84</v>
      </c>
      <c r="K496" s="35" t="s">
        <v>155</v>
      </c>
      <c r="L496" s="35" t="s">
        <v>68</v>
      </c>
      <c r="M496" s="431" t="s">
        <v>6404</v>
      </c>
      <c r="N496" s="41" t="s">
        <v>106</v>
      </c>
      <c r="O496" s="13" t="s">
        <v>107</v>
      </c>
      <c r="P496" s="13"/>
      <c r="Q496" s="13"/>
      <c r="R496" s="432" t="s">
        <v>167</v>
      </c>
      <c r="S496" s="432">
        <v>293</v>
      </c>
      <c r="T496" s="432">
        <v>16</v>
      </c>
      <c r="U496" s="431" t="s">
        <v>6405</v>
      </c>
      <c r="V496" s="41" t="s">
        <v>106</v>
      </c>
      <c r="W496" s="13" t="s">
        <v>107</v>
      </c>
      <c r="X496" s="431" t="s">
        <v>5187</v>
      </c>
      <c r="Y496" s="432" t="s">
        <v>6406</v>
      </c>
      <c r="Z496" s="432">
        <v>198</v>
      </c>
      <c r="AA496" s="432">
        <v>183</v>
      </c>
      <c r="AB496" s="16">
        <v>183</v>
      </c>
      <c r="AC496" s="16">
        <v>134</v>
      </c>
      <c r="AD496" s="16">
        <v>170</v>
      </c>
      <c r="AE496" s="16">
        <v>2</v>
      </c>
      <c r="AF496" s="16">
        <v>55</v>
      </c>
      <c r="AG496" s="16">
        <v>227</v>
      </c>
      <c r="AH496" s="16">
        <v>16</v>
      </c>
      <c r="AI496" s="16">
        <v>6</v>
      </c>
      <c r="AJ496" s="432"/>
      <c r="AK496" s="431" t="s">
        <v>6407</v>
      </c>
      <c r="AL496" s="25">
        <v>227</v>
      </c>
      <c r="AM496" s="432">
        <v>16</v>
      </c>
      <c r="AN496" s="432"/>
      <c r="AO496" s="432"/>
      <c r="AP496" s="16" t="s">
        <v>160</v>
      </c>
      <c r="AQ496" s="16" t="s">
        <v>193</v>
      </c>
      <c r="AR496" s="130">
        <v>1404</v>
      </c>
      <c r="AS496" s="130">
        <v>11</v>
      </c>
      <c r="AT496" s="130"/>
      <c r="AU496" s="130" t="s">
        <v>3714</v>
      </c>
      <c r="AV496" s="12" t="str">
        <f t="shared" si="26"/>
        <v/>
      </c>
      <c r="AW496" s="12" t="str">
        <f t="shared" si="27"/>
        <v/>
      </c>
      <c r="AX496" s="12"/>
      <c r="AY496" s="408"/>
    </row>
    <row r="497" spans="1:51" ht="30" hidden="1" customHeight="1" x14ac:dyDescent="0.2">
      <c r="A497" s="432">
        <v>497</v>
      </c>
      <c r="B497" s="432">
        <v>13</v>
      </c>
      <c r="C497" s="432">
        <v>11</v>
      </c>
      <c r="D497" s="16">
        <v>1404</v>
      </c>
      <c r="E497" s="431" t="s">
        <v>6128</v>
      </c>
      <c r="F497" s="431" t="s">
        <v>6</v>
      </c>
      <c r="G497" s="431" t="s">
        <v>90</v>
      </c>
      <c r="H497" s="432" t="s">
        <v>7</v>
      </c>
      <c r="I497" s="360" t="s">
        <v>5479</v>
      </c>
      <c r="J497" s="16" t="s">
        <v>6106</v>
      </c>
      <c r="K497" s="431"/>
      <c r="L497" s="431" t="s">
        <v>155</v>
      </c>
      <c r="M497" s="431" t="s">
        <v>6401</v>
      </c>
      <c r="N497" s="41" t="s">
        <v>69</v>
      </c>
      <c r="O497" s="13" t="s">
        <v>70</v>
      </c>
      <c r="P497" s="13"/>
      <c r="Q497" s="13"/>
      <c r="R497" s="432"/>
      <c r="S497" s="432">
        <v>384</v>
      </c>
      <c r="T497" s="432">
        <v>11</v>
      </c>
      <c r="U497" s="431" t="s">
        <v>6402</v>
      </c>
      <c r="V497" s="41" t="s">
        <v>106</v>
      </c>
      <c r="W497" s="13" t="s">
        <v>107</v>
      </c>
      <c r="X497" s="431"/>
      <c r="Y497" s="432"/>
      <c r="Z497" s="432">
        <v>271</v>
      </c>
      <c r="AA497" s="432"/>
      <c r="AB497" s="16">
        <v>258</v>
      </c>
      <c r="AC497" s="16"/>
      <c r="AD497" s="16"/>
      <c r="AE497" s="16"/>
      <c r="AF497" s="16"/>
      <c r="AG497" s="16"/>
      <c r="AH497" s="16"/>
      <c r="AI497" s="16">
        <v>6</v>
      </c>
      <c r="AJ497" s="432"/>
      <c r="AK497" s="431" t="s">
        <v>6403</v>
      </c>
      <c r="AL497" s="25">
        <v>194</v>
      </c>
      <c r="AM497" s="432">
        <v>27</v>
      </c>
      <c r="AN497" s="432"/>
      <c r="AO497" s="432"/>
      <c r="AP497" s="16" t="s">
        <v>160</v>
      </c>
      <c r="AQ497" s="16" t="s">
        <v>165</v>
      </c>
      <c r="AR497" s="130">
        <v>1404</v>
      </c>
      <c r="AS497" s="130">
        <v>11</v>
      </c>
      <c r="AT497" s="130"/>
      <c r="AU497" s="130" t="s">
        <v>3714</v>
      </c>
      <c r="AV497" s="12" t="str">
        <f t="shared" si="26"/>
        <v/>
      </c>
      <c r="AW497" s="12" t="str">
        <f t="shared" si="27"/>
        <v/>
      </c>
      <c r="AX497" s="12"/>
      <c r="AY497" s="408"/>
    </row>
    <row r="498" spans="1:51" ht="30" hidden="1" customHeight="1" x14ac:dyDescent="0.2">
      <c r="A498" s="432">
        <v>498</v>
      </c>
      <c r="B498" s="432">
        <v>13</v>
      </c>
      <c r="C498" s="432">
        <v>11</v>
      </c>
      <c r="D498" s="16">
        <v>1404</v>
      </c>
      <c r="E498" s="431" t="s">
        <v>5249</v>
      </c>
      <c r="F498" s="431" t="s">
        <v>6</v>
      </c>
      <c r="G498" s="431" t="s">
        <v>6070</v>
      </c>
      <c r="H498" s="432" t="s">
        <v>7</v>
      </c>
      <c r="I498" s="360" t="s">
        <v>5479</v>
      </c>
      <c r="J498" s="16" t="s">
        <v>84</v>
      </c>
      <c r="K498" s="431" t="s">
        <v>155</v>
      </c>
      <c r="L498" s="431" t="s">
        <v>155</v>
      </c>
      <c r="M498" s="431" t="s">
        <v>6397</v>
      </c>
      <c r="N498" s="41" t="s">
        <v>69</v>
      </c>
      <c r="O498" s="13" t="s">
        <v>70</v>
      </c>
      <c r="P498" s="13"/>
      <c r="Q498" s="13"/>
      <c r="R498" s="33" t="s">
        <v>167</v>
      </c>
      <c r="S498" s="33">
        <v>384</v>
      </c>
      <c r="T498" s="33">
        <v>10</v>
      </c>
      <c r="U498" s="431" t="s">
        <v>6396</v>
      </c>
      <c r="V498" s="41" t="s">
        <v>142</v>
      </c>
      <c r="W498" s="13" t="s">
        <v>70</v>
      </c>
      <c r="X498" s="431" t="s">
        <v>4420</v>
      </c>
      <c r="Y498" s="432" t="s">
        <v>6398</v>
      </c>
      <c r="Z498" s="432">
        <v>208</v>
      </c>
      <c r="AA498" s="432">
        <v>195</v>
      </c>
      <c r="AB498" s="16">
        <v>195</v>
      </c>
      <c r="AC498" s="16">
        <v>137</v>
      </c>
      <c r="AD498" s="16">
        <v>161</v>
      </c>
      <c r="AE498" s="16">
        <v>6</v>
      </c>
      <c r="AF498" s="16">
        <v>18</v>
      </c>
      <c r="AG498" s="16">
        <v>185</v>
      </c>
      <c r="AH498" s="16">
        <v>25</v>
      </c>
      <c r="AI498" s="16">
        <v>6</v>
      </c>
      <c r="AJ498" s="432"/>
      <c r="AK498" s="431" t="s">
        <v>6399</v>
      </c>
      <c r="AL498" s="25">
        <v>185</v>
      </c>
      <c r="AM498" s="432">
        <v>25</v>
      </c>
      <c r="AN498" s="432"/>
      <c r="AO498" s="432"/>
      <c r="AP498" s="16"/>
      <c r="AQ498" s="16"/>
      <c r="AR498" s="130">
        <v>1404</v>
      </c>
      <c r="AS498" s="130">
        <v>11</v>
      </c>
      <c r="AT498" s="130"/>
      <c r="AU498" s="130" t="s">
        <v>3714</v>
      </c>
      <c r="AV498" s="12" t="str">
        <f t="shared" si="26"/>
        <v/>
      </c>
      <c r="AW498" s="12" t="str">
        <f t="shared" si="27"/>
        <v/>
      </c>
      <c r="AX498" s="12"/>
      <c r="AY498" s="408"/>
    </row>
    <row r="499" spans="1:51" ht="30" hidden="1" customHeight="1" x14ac:dyDescent="0.2">
      <c r="A499" s="432">
        <v>499</v>
      </c>
      <c r="B499" s="432">
        <v>13</v>
      </c>
      <c r="C499" s="432">
        <v>11</v>
      </c>
      <c r="D499" s="16">
        <v>1404</v>
      </c>
      <c r="E499" s="431" t="s">
        <v>180</v>
      </c>
      <c r="F499" s="431" t="s">
        <v>2981</v>
      </c>
      <c r="G499" s="431" t="s">
        <v>5189</v>
      </c>
      <c r="H499" s="432" t="s">
        <v>83</v>
      </c>
      <c r="I499" s="360" t="s">
        <v>5479</v>
      </c>
      <c r="J499" s="16" t="s">
        <v>84</v>
      </c>
      <c r="K499" s="431"/>
      <c r="L499" s="431" t="s">
        <v>68</v>
      </c>
      <c r="M499" s="431"/>
      <c r="N499" s="41" t="s">
        <v>106</v>
      </c>
      <c r="O499" s="13" t="s">
        <v>107</v>
      </c>
      <c r="P499" s="13"/>
      <c r="Q499" s="13"/>
      <c r="R499" s="432"/>
      <c r="S499" s="432">
        <v>293</v>
      </c>
      <c r="T499" s="432">
        <v>17</v>
      </c>
      <c r="U499" s="431"/>
      <c r="V499" s="41" t="s">
        <v>106</v>
      </c>
      <c r="W499" s="13" t="s">
        <v>107</v>
      </c>
      <c r="X499" s="431"/>
      <c r="Y499" s="432" t="s">
        <v>6400</v>
      </c>
      <c r="Z499" s="432">
        <v>223</v>
      </c>
      <c r="AA499" s="432">
        <v>216</v>
      </c>
      <c r="AB499" s="16">
        <v>216</v>
      </c>
      <c r="AC499" s="16"/>
      <c r="AD499" s="16"/>
      <c r="AE499" s="16"/>
      <c r="AF499" s="16"/>
      <c r="AG499" s="16"/>
      <c r="AH499" s="16"/>
      <c r="AI499" s="16">
        <v>6</v>
      </c>
      <c r="AJ499" s="432"/>
      <c r="AK499" s="431"/>
      <c r="AL499" s="25"/>
      <c r="AM499" s="432"/>
      <c r="AN499" s="432"/>
      <c r="AO499" s="432"/>
      <c r="AP499" s="16" t="s">
        <v>160</v>
      </c>
      <c r="AQ499" s="16" t="s">
        <v>193</v>
      </c>
      <c r="AR499" s="130">
        <v>1404</v>
      </c>
      <c r="AS499" s="130">
        <v>11</v>
      </c>
      <c r="AT499" s="130">
        <v>1403</v>
      </c>
      <c r="AU499" s="130">
        <v>5</v>
      </c>
      <c r="AV499" s="12">
        <f t="shared" si="26"/>
        <v>18</v>
      </c>
      <c r="AW499" s="12" t="str">
        <f t="shared" si="27"/>
        <v/>
      </c>
      <c r="AX499" s="12"/>
      <c r="AY499" s="408"/>
    </row>
    <row r="500" spans="1:51" ht="30" hidden="1" customHeight="1" x14ac:dyDescent="0.2">
      <c r="A500" s="432">
        <v>500</v>
      </c>
      <c r="B500" s="432">
        <v>14</v>
      </c>
      <c r="C500" s="432">
        <v>11</v>
      </c>
      <c r="D500" s="16">
        <v>1404</v>
      </c>
      <c r="E500" s="431" t="s">
        <v>2987</v>
      </c>
      <c r="F500" s="431" t="s">
        <v>8</v>
      </c>
      <c r="G500" s="431"/>
      <c r="H500" s="432" t="s">
        <v>7</v>
      </c>
      <c r="I500" s="360" t="s">
        <v>5479</v>
      </c>
      <c r="J500" s="16" t="s">
        <v>5577</v>
      </c>
      <c r="K500" s="35" t="s">
        <v>117</v>
      </c>
      <c r="L500" s="35" t="s">
        <v>104</v>
      </c>
      <c r="M500" s="431" t="s">
        <v>6144</v>
      </c>
      <c r="N500" s="41" t="s">
        <v>106</v>
      </c>
      <c r="O500" s="13" t="s">
        <v>107</v>
      </c>
      <c r="P500" s="13"/>
      <c r="Q500" s="13"/>
      <c r="R500" s="33" t="s">
        <v>306</v>
      </c>
      <c r="S500" s="33">
        <v>6608</v>
      </c>
      <c r="T500" s="33">
        <v>18</v>
      </c>
      <c r="U500" s="431" t="s">
        <v>4934</v>
      </c>
      <c r="V500" s="41" t="s">
        <v>106</v>
      </c>
      <c r="W500" s="13" t="s">
        <v>107</v>
      </c>
      <c r="X500" s="431" t="s">
        <v>5187</v>
      </c>
      <c r="Y500" s="432" t="s">
        <v>6145</v>
      </c>
      <c r="Z500" s="432">
        <v>215</v>
      </c>
      <c r="AA500" s="432">
        <v>192</v>
      </c>
      <c r="AB500" s="16">
        <v>204</v>
      </c>
      <c r="AC500" s="16">
        <v>75</v>
      </c>
      <c r="AD500" s="16">
        <v>148</v>
      </c>
      <c r="AE500" s="16">
        <v>2</v>
      </c>
      <c r="AF500" s="16">
        <v>75</v>
      </c>
      <c r="AG500" s="16">
        <v>225</v>
      </c>
      <c r="AH500" s="16">
        <v>10</v>
      </c>
      <c r="AI500" s="16">
        <v>6</v>
      </c>
      <c r="AJ500" s="432"/>
      <c r="AK500" s="431" t="s">
        <v>6142</v>
      </c>
      <c r="AL500" s="25">
        <v>225</v>
      </c>
      <c r="AM500" s="432">
        <v>10</v>
      </c>
      <c r="AN500" s="432"/>
      <c r="AO500" s="432"/>
      <c r="AP500" s="16" t="s">
        <v>160</v>
      </c>
      <c r="AQ500" s="16" t="s">
        <v>161</v>
      </c>
      <c r="AR500" s="130">
        <v>1404</v>
      </c>
      <c r="AS500" s="130">
        <v>11</v>
      </c>
      <c r="AT500" s="130"/>
      <c r="AU500" s="130" t="s">
        <v>3714</v>
      </c>
      <c r="AV500" s="12" t="str">
        <f t="shared" si="26"/>
        <v/>
      </c>
      <c r="AW500" s="12" t="str">
        <f t="shared" si="27"/>
        <v/>
      </c>
      <c r="AX500" s="12"/>
      <c r="AY500" s="408"/>
    </row>
    <row r="501" spans="1:51" ht="30" hidden="1" customHeight="1" x14ac:dyDescent="0.2">
      <c r="A501" s="432">
        <v>501</v>
      </c>
      <c r="B501" s="432">
        <v>14</v>
      </c>
      <c r="C501" s="432">
        <v>11</v>
      </c>
      <c r="D501" s="16">
        <v>1404</v>
      </c>
      <c r="E501" s="431" t="s">
        <v>455</v>
      </c>
      <c r="F501" s="431" t="s">
        <v>6</v>
      </c>
      <c r="G501" s="431" t="s">
        <v>5817</v>
      </c>
      <c r="H501" s="432" t="s">
        <v>83</v>
      </c>
      <c r="I501" s="360" t="s">
        <v>5479</v>
      </c>
      <c r="J501" s="16" t="s">
        <v>84</v>
      </c>
      <c r="K501" s="431"/>
      <c r="L501" s="431" t="s">
        <v>140</v>
      </c>
      <c r="M501" s="431"/>
      <c r="N501" s="41" t="s">
        <v>106</v>
      </c>
      <c r="O501" s="13" t="s">
        <v>107</v>
      </c>
      <c r="P501" s="13"/>
      <c r="Q501" s="13"/>
      <c r="R501" s="432"/>
      <c r="S501" s="432">
        <v>293</v>
      </c>
      <c r="T501" s="432">
        <v>10</v>
      </c>
      <c r="U501" s="431"/>
      <c r="V501" s="41" t="s">
        <v>106</v>
      </c>
      <c r="W501" s="13" t="s">
        <v>107</v>
      </c>
      <c r="X501" s="431"/>
      <c r="Y501" s="432" t="s">
        <v>6143</v>
      </c>
      <c r="Z501" s="432"/>
      <c r="AA501" s="432"/>
      <c r="AB501" s="16"/>
      <c r="AC501" s="16"/>
      <c r="AD501" s="16"/>
      <c r="AE501" s="16"/>
      <c r="AF501" s="16"/>
      <c r="AG501" s="16"/>
      <c r="AH501" s="16"/>
      <c r="AI501" s="16">
        <v>6</v>
      </c>
      <c r="AJ501" s="432"/>
      <c r="AK501" s="431"/>
      <c r="AL501" s="25"/>
      <c r="AM501" s="432"/>
      <c r="AN501" s="432"/>
      <c r="AO501" s="432"/>
      <c r="AP501" s="16"/>
      <c r="AQ501" s="16"/>
      <c r="AR501" s="130">
        <v>1404</v>
      </c>
      <c r="AS501" s="130">
        <v>11</v>
      </c>
      <c r="AT501" s="130">
        <v>1401</v>
      </c>
      <c r="AU501" s="130">
        <v>1</v>
      </c>
      <c r="AV501" s="12">
        <f t="shared" si="26"/>
        <v>46</v>
      </c>
      <c r="AW501" s="12" t="str">
        <f t="shared" si="27"/>
        <v/>
      </c>
      <c r="AX501" s="12"/>
      <c r="AY501" s="408"/>
    </row>
    <row r="502" spans="1:51" ht="30" hidden="1" customHeight="1" x14ac:dyDescent="0.2">
      <c r="A502" s="432">
        <v>502</v>
      </c>
      <c r="B502" s="432">
        <v>14</v>
      </c>
      <c r="C502" s="432">
        <v>11</v>
      </c>
      <c r="D502" s="16">
        <v>1404</v>
      </c>
      <c r="E502" s="431" t="s">
        <v>455</v>
      </c>
      <c r="F502" s="431" t="s">
        <v>6</v>
      </c>
      <c r="G502" s="431" t="s">
        <v>90</v>
      </c>
      <c r="H502" s="432" t="s">
        <v>7</v>
      </c>
      <c r="I502" s="360" t="s">
        <v>5479</v>
      </c>
      <c r="J502" s="16" t="s">
        <v>84</v>
      </c>
      <c r="K502" s="35" t="s">
        <v>140</v>
      </c>
      <c r="L502" s="35" t="s">
        <v>155</v>
      </c>
      <c r="M502" s="431" t="s">
        <v>6139</v>
      </c>
      <c r="N502" s="41" t="s">
        <v>69</v>
      </c>
      <c r="O502" s="13" t="s">
        <v>70</v>
      </c>
      <c r="P502" s="13"/>
      <c r="Q502" s="13"/>
      <c r="R502" s="33" t="s">
        <v>328</v>
      </c>
      <c r="S502" s="33">
        <v>345</v>
      </c>
      <c r="T502" s="33">
        <v>9</v>
      </c>
      <c r="U502" s="431" t="s">
        <v>6140</v>
      </c>
      <c r="V502" s="41" t="s">
        <v>6141</v>
      </c>
      <c r="W502" s="13" t="s">
        <v>70</v>
      </c>
      <c r="X502" s="431" t="s">
        <v>5187</v>
      </c>
      <c r="Y502" s="432"/>
      <c r="Z502" s="432">
        <v>250</v>
      </c>
      <c r="AA502" s="432"/>
      <c r="AB502" s="16">
        <v>237</v>
      </c>
      <c r="AC502" s="16">
        <v>144</v>
      </c>
      <c r="AD502" s="16">
        <v>165</v>
      </c>
      <c r="AE502" s="16">
        <v>8</v>
      </c>
      <c r="AF502" s="16">
        <v>10</v>
      </c>
      <c r="AG502" s="16">
        <v>183</v>
      </c>
      <c r="AH502" s="16">
        <v>23</v>
      </c>
      <c r="AI502" s="16">
        <v>6</v>
      </c>
      <c r="AJ502" s="432"/>
      <c r="AK502" s="431" t="s">
        <v>6142</v>
      </c>
      <c r="AL502" s="25">
        <v>183</v>
      </c>
      <c r="AM502" s="432">
        <v>23.2</v>
      </c>
      <c r="AN502" s="432" t="s">
        <v>3714</v>
      </c>
      <c r="AO502" s="432"/>
      <c r="AP502" s="16" t="s">
        <v>160</v>
      </c>
      <c r="AQ502" s="16" t="s">
        <v>165</v>
      </c>
      <c r="AR502" s="130">
        <v>1404</v>
      </c>
      <c r="AS502" s="130">
        <v>11</v>
      </c>
      <c r="AT502" s="130" t="s">
        <v>3714</v>
      </c>
      <c r="AU502" s="130" t="s">
        <v>3714</v>
      </c>
      <c r="AV502" s="12" t="s">
        <v>3714</v>
      </c>
      <c r="AW502" s="12" t="str">
        <f t="shared" si="27"/>
        <v/>
      </c>
      <c r="AX502" s="12"/>
      <c r="AY502" s="408"/>
    </row>
    <row r="503" spans="1:51" ht="30" hidden="1" customHeight="1" x14ac:dyDescent="0.2">
      <c r="A503" s="432">
        <v>503</v>
      </c>
      <c r="B503" s="432">
        <v>15</v>
      </c>
      <c r="C503" s="432">
        <v>11</v>
      </c>
      <c r="D503" s="16">
        <v>1404</v>
      </c>
      <c r="E503" s="431" t="s">
        <v>6131</v>
      </c>
      <c r="F503" s="431" t="s">
        <v>243</v>
      </c>
      <c r="G503" s="431" t="s">
        <v>4038</v>
      </c>
      <c r="H503" s="432" t="s">
        <v>83</v>
      </c>
      <c r="I503" s="360" t="s">
        <v>5479</v>
      </c>
      <c r="J503" s="16" t="s">
        <v>84</v>
      </c>
      <c r="K503" s="431"/>
      <c r="L503" s="431" t="s">
        <v>104</v>
      </c>
      <c r="M503" s="431" t="s">
        <v>6136</v>
      </c>
      <c r="N503" s="41" t="s">
        <v>106</v>
      </c>
      <c r="O503" s="13" t="s">
        <v>107</v>
      </c>
      <c r="P503" s="13"/>
      <c r="Q503" s="13"/>
      <c r="R503" s="432"/>
      <c r="S503" s="432">
        <v>374</v>
      </c>
      <c r="T503" s="432">
        <v>5</v>
      </c>
      <c r="U503" s="431" t="s">
        <v>6137</v>
      </c>
      <c r="V503" s="41" t="s">
        <v>106</v>
      </c>
      <c r="W503" s="13" t="s">
        <v>107</v>
      </c>
      <c r="X503" s="431"/>
      <c r="Y503" s="432" t="s">
        <v>6135</v>
      </c>
      <c r="Z503" s="432"/>
      <c r="AA503" s="432">
        <v>84</v>
      </c>
      <c r="AB503" s="16">
        <v>84</v>
      </c>
      <c r="AC503" s="16"/>
      <c r="AD503" s="16"/>
      <c r="AE503" s="16"/>
      <c r="AF503" s="16"/>
      <c r="AG503" s="16"/>
      <c r="AH503" s="16"/>
      <c r="AI503" s="16">
        <v>6</v>
      </c>
      <c r="AJ503" s="432"/>
      <c r="AK503" s="431"/>
      <c r="AL503" s="25"/>
      <c r="AM503" s="432"/>
      <c r="AN503" s="432"/>
      <c r="AO503" s="432"/>
      <c r="AP503" s="16"/>
      <c r="AQ503" s="16"/>
      <c r="AR503" s="130">
        <v>1404</v>
      </c>
      <c r="AS503" s="130">
        <v>11</v>
      </c>
      <c r="AT503" s="130">
        <v>1395</v>
      </c>
      <c r="AU503" s="130">
        <v>2</v>
      </c>
      <c r="AV503" s="12">
        <f>IF(AR503*AT503&gt;0,(AR503-AT503)*12+(AS503-AU503),"")</f>
        <v>117</v>
      </c>
      <c r="AW503" s="12" t="str">
        <f t="shared" si="27"/>
        <v/>
      </c>
      <c r="AX503" s="12"/>
      <c r="AY503" s="408"/>
    </row>
    <row r="504" spans="1:51" ht="30" hidden="1" customHeight="1" x14ac:dyDescent="0.2">
      <c r="A504" s="453">
        <v>504</v>
      </c>
      <c r="B504" s="453">
        <v>15</v>
      </c>
      <c r="C504" s="453">
        <v>11</v>
      </c>
      <c r="D504" s="455">
        <v>1404</v>
      </c>
      <c r="E504" s="454" t="s">
        <v>6131</v>
      </c>
      <c r="F504" s="454" t="s">
        <v>243</v>
      </c>
      <c r="G504" s="454"/>
      <c r="H504" s="453" t="s">
        <v>7</v>
      </c>
      <c r="I504" s="456" t="s">
        <v>5479</v>
      </c>
      <c r="J504" s="455" t="s">
        <v>84</v>
      </c>
      <c r="K504" s="457" t="s">
        <v>104</v>
      </c>
      <c r="L504" s="457" t="s">
        <v>104</v>
      </c>
      <c r="M504" s="454" t="s">
        <v>6134</v>
      </c>
      <c r="N504" s="458" t="s">
        <v>106</v>
      </c>
      <c r="O504" s="459" t="s">
        <v>107</v>
      </c>
      <c r="P504" s="459"/>
      <c r="Q504" s="459"/>
      <c r="R504" s="460" t="s">
        <v>256</v>
      </c>
      <c r="S504" s="460">
        <v>384</v>
      </c>
      <c r="T504" s="460">
        <v>7</v>
      </c>
      <c r="U504" s="454" t="s">
        <v>6133</v>
      </c>
      <c r="V504" s="458" t="s">
        <v>106</v>
      </c>
      <c r="W504" s="459" t="s">
        <v>107</v>
      </c>
      <c r="X504" s="454" t="s">
        <v>5187</v>
      </c>
      <c r="Y504" s="453" t="s">
        <v>6135</v>
      </c>
      <c r="Z504" s="453"/>
      <c r="AA504" s="453">
        <v>84</v>
      </c>
      <c r="AB504" s="455">
        <v>84</v>
      </c>
      <c r="AC504" s="455">
        <v>49</v>
      </c>
      <c r="AD504" s="455">
        <v>72</v>
      </c>
      <c r="AE504" s="455">
        <v>3</v>
      </c>
      <c r="AF504" s="455">
        <v>41</v>
      </c>
      <c r="AG504" s="455">
        <v>116</v>
      </c>
      <c r="AH504" s="455">
        <v>31</v>
      </c>
      <c r="AI504" s="455">
        <v>6</v>
      </c>
      <c r="AJ504" s="453"/>
      <c r="AK504" s="454" t="s">
        <v>6138</v>
      </c>
      <c r="AL504" s="461">
        <v>116</v>
      </c>
      <c r="AM504" s="453">
        <v>31</v>
      </c>
      <c r="AN504" s="453"/>
      <c r="AO504" s="453"/>
      <c r="AP504" s="455" t="s">
        <v>5080</v>
      </c>
      <c r="AQ504" s="455" t="s">
        <v>330</v>
      </c>
      <c r="AR504" s="462">
        <v>1404</v>
      </c>
      <c r="AS504" s="462">
        <v>11</v>
      </c>
      <c r="AT504" s="462"/>
      <c r="AU504" s="462"/>
      <c r="AV504" s="463" t="str">
        <f t="shared" ref="AV504:AV541" si="28">IF(AR504*AT504&gt;0,(AR504-AT504)*12+(AS504-AU504),"")</f>
        <v/>
      </c>
      <c r="AW504" s="463" t="str">
        <f t="shared" si="27"/>
        <v/>
      </c>
      <c r="AX504" s="463"/>
      <c r="AY504" s="464"/>
    </row>
    <row r="505" spans="1:51" ht="30" hidden="1" customHeight="1" x14ac:dyDescent="0.2">
      <c r="A505" s="451">
        <v>505</v>
      </c>
      <c r="B505" s="451">
        <v>15</v>
      </c>
      <c r="C505" s="451">
        <v>11</v>
      </c>
      <c r="D505" s="16">
        <v>1404</v>
      </c>
      <c r="E505" s="452" t="s">
        <v>6132</v>
      </c>
      <c r="F505" s="452" t="s">
        <v>10</v>
      </c>
      <c r="G505" s="452" t="s">
        <v>6527</v>
      </c>
      <c r="H505" s="451" t="s">
        <v>83</v>
      </c>
      <c r="I505" s="360" t="s">
        <v>5479</v>
      </c>
      <c r="J505" s="16" t="s">
        <v>5577</v>
      </c>
      <c r="K505" s="452"/>
      <c r="L505" s="452" t="s">
        <v>155</v>
      </c>
      <c r="M505" s="452"/>
      <c r="N505" s="13" t="s">
        <v>106</v>
      </c>
      <c r="O505" s="13" t="s">
        <v>107</v>
      </c>
      <c r="P505" s="13"/>
      <c r="Q505" s="13"/>
      <c r="R505" s="451"/>
      <c r="S505" s="451">
        <v>384</v>
      </c>
      <c r="T505" s="451">
        <v>10</v>
      </c>
      <c r="U505" s="452"/>
      <c r="V505" s="41" t="s">
        <v>106</v>
      </c>
      <c r="W505" s="13" t="s">
        <v>107</v>
      </c>
      <c r="X505" s="452"/>
      <c r="Y505" s="451"/>
      <c r="Z505" s="451">
        <v>228</v>
      </c>
      <c r="AA505" s="451">
        <v>215</v>
      </c>
      <c r="AB505" s="16">
        <v>215</v>
      </c>
      <c r="AC505" s="16"/>
      <c r="AD505" s="16"/>
      <c r="AE505" s="16"/>
      <c r="AF505" s="16"/>
      <c r="AG505" s="16"/>
      <c r="AH505" s="16"/>
      <c r="AI505" s="16">
        <v>6</v>
      </c>
      <c r="AJ505" s="451"/>
      <c r="AK505" s="452"/>
      <c r="AL505" s="25"/>
      <c r="AM505" s="451"/>
      <c r="AN505" s="451"/>
      <c r="AO505" s="451"/>
      <c r="AP505" s="16" t="s">
        <v>160</v>
      </c>
      <c r="AQ505" s="16" t="s">
        <v>165</v>
      </c>
      <c r="AR505" s="130">
        <v>1404</v>
      </c>
      <c r="AS505" s="130">
        <v>11</v>
      </c>
      <c r="AT505" s="130">
        <v>1398</v>
      </c>
      <c r="AU505" s="130">
        <v>10</v>
      </c>
      <c r="AV505" s="12">
        <f t="shared" si="28"/>
        <v>73</v>
      </c>
      <c r="AW505" s="12" t="str">
        <f t="shared" si="27"/>
        <v/>
      </c>
      <c r="AX505" s="12"/>
      <c r="AY505" s="408"/>
    </row>
    <row r="506" spans="1:51" s="21" customFormat="1" ht="30" hidden="1" customHeight="1" x14ac:dyDescent="0.2">
      <c r="A506" s="20">
        <v>506</v>
      </c>
      <c r="B506" s="20">
        <v>16</v>
      </c>
      <c r="C506" s="20">
        <v>11</v>
      </c>
      <c r="D506" s="29">
        <v>1404</v>
      </c>
      <c r="E506" s="30" t="s">
        <v>562</v>
      </c>
      <c r="F506" s="30" t="s">
        <v>8</v>
      </c>
      <c r="G506" s="30" t="s">
        <v>5189</v>
      </c>
      <c r="H506" s="20" t="s">
        <v>83</v>
      </c>
      <c r="I506" s="20" t="s">
        <v>5479</v>
      </c>
      <c r="J506" s="29" t="s">
        <v>5577</v>
      </c>
      <c r="K506" s="30"/>
      <c r="L506" s="30" t="s">
        <v>104</v>
      </c>
      <c r="M506" s="30" t="s">
        <v>5616</v>
      </c>
      <c r="N506" s="30" t="s">
        <v>106</v>
      </c>
      <c r="O506" s="20" t="s">
        <v>107</v>
      </c>
      <c r="P506" s="20"/>
      <c r="Q506" s="20"/>
      <c r="R506" s="20"/>
      <c r="S506" s="20">
        <v>384</v>
      </c>
      <c r="T506" s="20">
        <v>7</v>
      </c>
      <c r="U506" s="30" t="s">
        <v>5617</v>
      </c>
      <c r="V506" s="30" t="s">
        <v>106</v>
      </c>
      <c r="W506" s="20" t="s">
        <v>107</v>
      </c>
      <c r="X506" s="30"/>
      <c r="Y506" s="20" t="s">
        <v>6146</v>
      </c>
      <c r="Z506" s="20">
        <v>248</v>
      </c>
      <c r="AA506" s="20">
        <v>210</v>
      </c>
      <c r="AB506" s="29">
        <v>198</v>
      </c>
      <c r="AC506" s="29"/>
      <c r="AD506" s="29"/>
      <c r="AE506" s="29"/>
      <c r="AF506" s="29"/>
      <c r="AG506" s="29"/>
      <c r="AH506" s="29"/>
      <c r="AI506" s="29">
        <v>6</v>
      </c>
      <c r="AJ506" s="20"/>
      <c r="AK506" s="30"/>
      <c r="AL506" s="36"/>
      <c r="AM506" s="20"/>
      <c r="AN506" s="20"/>
      <c r="AO506" s="20"/>
      <c r="AP506" s="29" t="s">
        <v>5080</v>
      </c>
      <c r="AQ506" s="29" t="s">
        <v>161</v>
      </c>
      <c r="AR506" s="318">
        <v>1404</v>
      </c>
      <c r="AS506" s="318">
        <v>11</v>
      </c>
      <c r="AT506" s="318">
        <v>1404</v>
      </c>
      <c r="AU506" s="318">
        <v>7</v>
      </c>
      <c r="AV506" s="31">
        <f>IF(AR506*AT506&gt;0,(AR506-AT506)*12+(AS506-AU506),"")</f>
        <v>4</v>
      </c>
      <c r="AW506" s="31">
        <f>IF(AV506&lt;13,AV506,"")</f>
        <v>4</v>
      </c>
      <c r="AX506" s="31"/>
      <c r="AY506" s="409" t="s">
        <v>6148</v>
      </c>
    </row>
    <row r="507" spans="1:51" ht="30" hidden="1" customHeight="1" x14ac:dyDescent="0.2">
      <c r="A507" s="451">
        <v>507</v>
      </c>
      <c r="B507" s="451">
        <v>17</v>
      </c>
      <c r="C507" s="451">
        <v>11</v>
      </c>
      <c r="D507" s="16">
        <v>1404</v>
      </c>
      <c r="E507" s="452" t="s">
        <v>562</v>
      </c>
      <c r="F507" s="452" t="s">
        <v>8</v>
      </c>
      <c r="G507" s="452"/>
      <c r="H507" s="451" t="s">
        <v>7</v>
      </c>
      <c r="I507" s="360" t="s">
        <v>5479</v>
      </c>
      <c r="J507" s="16" t="s">
        <v>5577</v>
      </c>
      <c r="K507" s="452"/>
      <c r="L507" s="452" t="s">
        <v>104</v>
      </c>
      <c r="M507" s="452" t="s">
        <v>5616</v>
      </c>
      <c r="N507" s="41" t="s">
        <v>106</v>
      </c>
      <c r="O507" s="13" t="s">
        <v>107</v>
      </c>
      <c r="P507" s="13"/>
      <c r="Q507" s="13"/>
      <c r="R507" s="451"/>
      <c r="S507" s="451">
        <v>384</v>
      </c>
      <c r="T507" s="451">
        <v>7</v>
      </c>
      <c r="U507" s="452" t="s">
        <v>5617</v>
      </c>
      <c r="V507" s="41" t="s">
        <v>106</v>
      </c>
      <c r="W507" s="13" t="s">
        <v>107</v>
      </c>
      <c r="X507" s="452"/>
      <c r="Y507" s="451"/>
      <c r="Z507" s="451">
        <v>248</v>
      </c>
      <c r="AA507" s="451">
        <v>210</v>
      </c>
      <c r="AB507" s="16">
        <v>211</v>
      </c>
      <c r="AC507" s="16">
        <v>40</v>
      </c>
      <c r="AD507" s="16">
        <v>73</v>
      </c>
      <c r="AE507" s="16">
        <v>7</v>
      </c>
      <c r="AF507" s="16">
        <v>46</v>
      </c>
      <c r="AG507" s="16">
        <v>126</v>
      </c>
      <c r="AH507" s="16">
        <v>28</v>
      </c>
      <c r="AI507" s="16">
        <v>6</v>
      </c>
      <c r="AJ507" s="451"/>
      <c r="AK507" s="452" t="s">
        <v>6147</v>
      </c>
      <c r="AL507" s="25">
        <v>126</v>
      </c>
      <c r="AM507" s="451">
        <v>28</v>
      </c>
      <c r="AN507" s="451"/>
      <c r="AO507" s="451"/>
      <c r="AP507" s="16" t="s">
        <v>5080</v>
      </c>
      <c r="AQ507" s="16" t="s">
        <v>161</v>
      </c>
      <c r="AR507" s="130">
        <v>1404</v>
      </c>
      <c r="AS507" s="130">
        <v>11</v>
      </c>
      <c r="AT507" s="130"/>
      <c r="AU507" s="130"/>
      <c r="AV507" s="12"/>
      <c r="AW507" s="12"/>
      <c r="AX507" s="12"/>
      <c r="AY507" s="408"/>
    </row>
    <row r="508" spans="1:51" ht="30" hidden="1" customHeight="1" x14ac:dyDescent="0.2">
      <c r="A508" s="432">
        <v>508</v>
      </c>
      <c r="B508" s="432">
        <v>20</v>
      </c>
      <c r="C508" s="432">
        <v>11</v>
      </c>
      <c r="D508" s="16">
        <v>1404</v>
      </c>
      <c r="E508" s="431" t="s">
        <v>864</v>
      </c>
      <c r="F508" s="431" t="s">
        <v>8</v>
      </c>
      <c r="G508" s="431" t="s">
        <v>4796</v>
      </c>
      <c r="H508" s="432" t="s">
        <v>83</v>
      </c>
      <c r="I508" s="360" t="s">
        <v>5479</v>
      </c>
      <c r="J508" s="16" t="s">
        <v>5577</v>
      </c>
      <c r="K508" s="431"/>
      <c r="L508" s="431" t="s">
        <v>68</v>
      </c>
      <c r="M508" s="431" t="s">
        <v>1800</v>
      </c>
      <c r="N508" s="41" t="s">
        <v>106</v>
      </c>
      <c r="O508" s="13" t="s">
        <v>107</v>
      </c>
      <c r="P508" s="13"/>
      <c r="Q508" s="13"/>
      <c r="R508" s="432"/>
      <c r="S508" s="432">
        <v>384</v>
      </c>
      <c r="T508" s="432">
        <v>8</v>
      </c>
      <c r="U508" s="431" t="s">
        <v>1801</v>
      </c>
      <c r="V508" s="41" t="s">
        <v>106</v>
      </c>
      <c r="W508" s="13" t="s">
        <v>107</v>
      </c>
      <c r="X508" s="431"/>
      <c r="Y508" s="432"/>
      <c r="Z508" s="432">
        <v>248</v>
      </c>
      <c r="AA508" s="432">
        <v>210</v>
      </c>
      <c r="AB508" s="16">
        <v>210</v>
      </c>
      <c r="AC508" s="16"/>
      <c r="AD508" s="16"/>
      <c r="AE508" s="16"/>
      <c r="AF508" s="16"/>
      <c r="AG508" s="16"/>
      <c r="AH508" s="16"/>
      <c r="AI508" s="16">
        <v>6</v>
      </c>
      <c r="AJ508" s="432"/>
      <c r="AK508" s="431"/>
      <c r="AL508" s="25"/>
      <c r="AM508" s="432"/>
      <c r="AN508" s="432"/>
      <c r="AO508" s="432"/>
      <c r="AP508" s="16"/>
      <c r="AQ508" s="16"/>
      <c r="AR508" s="130">
        <v>1404</v>
      </c>
      <c r="AS508" s="130">
        <v>11</v>
      </c>
      <c r="AT508" s="130"/>
      <c r="AU508" s="130"/>
      <c r="AV508" s="12" t="str">
        <f t="shared" si="28"/>
        <v/>
      </c>
      <c r="AW508" s="12" t="str">
        <f t="shared" si="27"/>
        <v/>
      </c>
      <c r="AX508" s="12"/>
      <c r="AY508" s="408"/>
    </row>
    <row r="509" spans="1:51" ht="30" hidden="1" customHeight="1" x14ac:dyDescent="0.2">
      <c r="A509" s="432">
        <v>509</v>
      </c>
      <c r="B509" s="432">
        <v>20</v>
      </c>
      <c r="C509" s="432">
        <v>11</v>
      </c>
      <c r="D509" s="16">
        <v>1404</v>
      </c>
      <c r="E509" s="431" t="s">
        <v>5537</v>
      </c>
      <c r="F509" s="431" t="s">
        <v>20</v>
      </c>
      <c r="G509" s="431" t="s">
        <v>3661</v>
      </c>
      <c r="H509" s="432" t="s">
        <v>83</v>
      </c>
      <c r="I509" s="360" t="s">
        <v>5479</v>
      </c>
      <c r="J509" s="16" t="s">
        <v>84</v>
      </c>
      <c r="K509" s="431"/>
      <c r="L509" s="431" t="s">
        <v>104</v>
      </c>
      <c r="M509" s="431" t="s">
        <v>5547</v>
      </c>
      <c r="N509" s="41" t="s">
        <v>106</v>
      </c>
      <c r="O509" s="13" t="s">
        <v>107</v>
      </c>
      <c r="P509" s="13"/>
      <c r="Q509" s="13"/>
      <c r="R509" s="432"/>
      <c r="S509" s="432">
        <v>6611</v>
      </c>
      <c r="T509" s="432">
        <v>12</v>
      </c>
      <c r="U509" s="431" t="s">
        <v>5548</v>
      </c>
      <c r="V509" s="41" t="s">
        <v>106</v>
      </c>
      <c r="W509" s="13" t="s">
        <v>107</v>
      </c>
      <c r="X509" s="431"/>
      <c r="Y509" s="432" t="s">
        <v>6528</v>
      </c>
      <c r="Z509" s="432">
        <v>246</v>
      </c>
      <c r="AA509" s="432">
        <v>228</v>
      </c>
      <c r="AB509" s="16">
        <v>228</v>
      </c>
      <c r="AC509" s="16"/>
      <c r="AD509" s="16"/>
      <c r="AE509" s="16"/>
      <c r="AF509" s="16"/>
      <c r="AG509" s="16"/>
      <c r="AH509" s="16"/>
      <c r="AI509" s="16">
        <v>6</v>
      </c>
      <c r="AJ509" s="432"/>
      <c r="AK509" s="431"/>
      <c r="AL509" s="25"/>
      <c r="AM509" s="432"/>
      <c r="AN509" s="432"/>
      <c r="AO509" s="432"/>
      <c r="AP509" s="16"/>
      <c r="AQ509" s="16"/>
      <c r="AR509" s="130">
        <v>1404</v>
      </c>
      <c r="AS509" s="130">
        <v>11</v>
      </c>
      <c r="AT509" s="130">
        <v>1404</v>
      </c>
      <c r="AU509" s="130">
        <v>6</v>
      </c>
      <c r="AV509" s="12">
        <f t="shared" si="28"/>
        <v>5</v>
      </c>
      <c r="AW509" s="12">
        <f t="shared" si="27"/>
        <v>5</v>
      </c>
      <c r="AX509" s="12"/>
      <c r="AY509" s="408"/>
    </row>
    <row r="510" spans="1:51" ht="30" hidden="1" customHeight="1" x14ac:dyDescent="0.2">
      <c r="A510" s="432">
        <v>510</v>
      </c>
      <c r="B510" s="432">
        <v>21</v>
      </c>
      <c r="C510" s="432">
        <v>11</v>
      </c>
      <c r="D510" s="16">
        <v>1404</v>
      </c>
      <c r="E510" s="431" t="s">
        <v>6149</v>
      </c>
      <c r="F510" s="431" t="s">
        <v>66</v>
      </c>
      <c r="G510" s="431" t="s">
        <v>4793</v>
      </c>
      <c r="H510" s="432" t="s">
        <v>83</v>
      </c>
      <c r="I510" s="360" t="s">
        <v>5479</v>
      </c>
      <c r="J510" s="16" t="s">
        <v>92</v>
      </c>
      <c r="K510" s="431"/>
      <c r="L510" s="431" t="s">
        <v>140</v>
      </c>
      <c r="M510" s="431"/>
      <c r="N510" s="41" t="s">
        <v>106</v>
      </c>
      <c r="O510" s="13" t="s">
        <v>107</v>
      </c>
      <c r="P510" s="13"/>
      <c r="Q510" s="13"/>
      <c r="R510" s="432"/>
      <c r="S510" s="432">
        <v>345</v>
      </c>
      <c r="T510" s="432">
        <v>5</v>
      </c>
      <c r="U510" s="431"/>
      <c r="V510" s="41" t="s">
        <v>106</v>
      </c>
      <c r="W510" s="13" t="s">
        <v>107</v>
      </c>
      <c r="X510" s="431"/>
      <c r="Y510" s="432"/>
      <c r="Z510" s="432">
        <v>250</v>
      </c>
      <c r="AA510" s="432"/>
      <c r="AB510" s="16">
        <v>210</v>
      </c>
      <c r="AC510" s="16"/>
      <c r="AD510" s="16"/>
      <c r="AE510" s="16"/>
      <c r="AF510" s="16"/>
      <c r="AG510" s="16"/>
      <c r="AH510" s="16"/>
      <c r="AI510" s="16">
        <v>6</v>
      </c>
      <c r="AJ510" s="432"/>
      <c r="AK510" s="431"/>
      <c r="AL510" s="25"/>
      <c r="AM510" s="432"/>
      <c r="AN510" s="432"/>
      <c r="AO510" s="432"/>
      <c r="AP510" s="16" t="s">
        <v>160</v>
      </c>
      <c r="AQ510" s="16" t="s">
        <v>161</v>
      </c>
      <c r="AR510" s="130">
        <v>1404</v>
      </c>
      <c r="AS510" s="130">
        <v>11</v>
      </c>
      <c r="AT510" s="130"/>
      <c r="AU510" s="130"/>
      <c r="AV510" s="12" t="str">
        <f t="shared" si="28"/>
        <v/>
      </c>
      <c r="AW510" s="12" t="str">
        <f t="shared" si="27"/>
        <v/>
      </c>
      <c r="AX510" s="12"/>
      <c r="AY510" s="408"/>
    </row>
    <row r="511" spans="1:51" ht="30" hidden="1" customHeight="1" x14ac:dyDescent="0.2">
      <c r="A511" s="432">
        <v>511</v>
      </c>
      <c r="B511" s="432">
        <v>21</v>
      </c>
      <c r="C511" s="432">
        <v>11</v>
      </c>
      <c r="D511" s="16">
        <v>1404</v>
      </c>
      <c r="E511" s="431" t="s">
        <v>1347</v>
      </c>
      <c r="F511" s="431" t="s">
        <v>2981</v>
      </c>
      <c r="G511" s="465" t="s">
        <v>4793</v>
      </c>
      <c r="H511" s="432" t="s">
        <v>83</v>
      </c>
      <c r="I511" s="360" t="s">
        <v>5479</v>
      </c>
      <c r="J511" s="16" t="s">
        <v>84</v>
      </c>
      <c r="K511" s="431"/>
      <c r="L511" s="431" t="s">
        <v>117</v>
      </c>
      <c r="M511" s="431"/>
      <c r="N511" s="41" t="s">
        <v>106</v>
      </c>
      <c r="O511" s="13" t="s">
        <v>107</v>
      </c>
      <c r="P511" s="13"/>
      <c r="Q511" s="13"/>
      <c r="R511" s="432"/>
      <c r="S511" s="432">
        <v>384</v>
      </c>
      <c r="T511" s="432">
        <v>6</v>
      </c>
      <c r="U511" s="431"/>
      <c r="V511" s="41" t="s">
        <v>106</v>
      </c>
      <c r="W511" s="13" t="s">
        <v>107</v>
      </c>
      <c r="X511" s="431"/>
      <c r="Y511" s="432" t="s">
        <v>5620</v>
      </c>
      <c r="Z511" s="432">
        <v>230</v>
      </c>
      <c r="AA511" s="432"/>
      <c r="AB511" s="16">
        <v>210</v>
      </c>
      <c r="AC511" s="16"/>
      <c r="AD511" s="16"/>
      <c r="AE511" s="16"/>
      <c r="AF511" s="16"/>
      <c r="AG511" s="16"/>
      <c r="AH511" s="16"/>
      <c r="AI511" s="16">
        <v>6</v>
      </c>
      <c r="AJ511" s="432"/>
      <c r="AK511" s="431"/>
      <c r="AL511" s="25"/>
      <c r="AM511" s="432"/>
      <c r="AN511" s="432"/>
      <c r="AO511" s="432"/>
      <c r="AP511" s="16"/>
      <c r="AQ511" s="16"/>
      <c r="AR511" s="130">
        <v>1404</v>
      </c>
      <c r="AS511" s="130">
        <v>11</v>
      </c>
      <c r="AT511" s="130">
        <v>1404</v>
      </c>
      <c r="AU511" s="130">
        <v>1</v>
      </c>
      <c r="AV511" s="12">
        <f t="shared" si="28"/>
        <v>10</v>
      </c>
      <c r="AW511" s="12">
        <f t="shared" si="27"/>
        <v>10</v>
      </c>
      <c r="AX511" s="12"/>
      <c r="AY511" s="408"/>
    </row>
    <row r="512" spans="1:51" ht="30" hidden="1" customHeight="1" x14ac:dyDescent="0.2">
      <c r="A512" s="466">
        <v>512</v>
      </c>
      <c r="B512" s="466">
        <v>21</v>
      </c>
      <c r="C512" s="466">
        <v>11</v>
      </c>
      <c r="D512" s="16">
        <v>1404</v>
      </c>
      <c r="E512" s="465" t="s">
        <v>1347</v>
      </c>
      <c r="F512" s="465" t="s">
        <v>2981</v>
      </c>
      <c r="G512" s="465"/>
      <c r="H512" s="466" t="s">
        <v>7</v>
      </c>
      <c r="I512" s="360" t="s">
        <v>5479</v>
      </c>
      <c r="J512" s="16" t="s">
        <v>84</v>
      </c>
      <c r="K512" s="465" t="s">
        <v>117</v>
      </c>
      <c r="L512" s="465" t="s">
        <v>117</v>
      </c>
      <c r="M512" s="465" t="s">
        <v>6162</v>
      </c>
      <c r="N512" s="41" t="s">
        <v>106</v>
      </c>
      <c r="O512" s="13" t="s">
        <v>107</v>
      </c>
      <c r="P512" s="13"/>
      <c r="Q512" s="13"/>
      <c r="R512" s="13" t="s">
        <v>470</v>
      </c>
      <c r="S512" s="13">
        <v>384</v>
      </c>
      <c r="T512" s="13">
        <v>6</v>
      </c>
      <c r="U512" s="465" t="s">
        <v>6163</v>
      </c>
      <c r="V512" s="41" t="s">
        <v>262</v>
      </c>
      <c r="W512" s="13" t="s">
        <v>70</v>
      </c>
      <c r="X512" s="465" t="s">
        <v>4420</v>
      </c>
      <c r="Y512" s="466"/>
      <c r="Z512" s="466"/>
      <c r="AA512" s="466"/>
      <c r="AB512" s="16"/>
      <c r="AC512" s="16"/>
      <c r="AD512" s="16"/>
      <c r="AE512" s="16"/>
      <c r="AF512" s="16"/>
      <c r="AG512" s="16"/>
      <c r="AH512" s="16"/>
      <c r="AI512" s="16"/>
      <c r="AJ512" s="466"/>
      <c r="AK512" s="465"/>
      <c r="AL512" s="25"/>
      <c r="AM512" s="466"/>
      <c r="AN512" s="466"/>
      <c r="AO512" s="466"/>
      <c r="AP512" s="16"/>
      <c r="AQ512" s="16"/>
      <c r="AR512" s="130">
        <v>1404</v>
      </c>
      <c r="AS512" s="130">
        <v>11</v>
      </c>
      <c r="AT512" s="130"/>
      <c r="AU512" s="130"/>
      <c r="AV512" s="12" t="str">
        <f t="shared" si="28"/>
        <v/>
      </c>
      <c r="AW512" s="12" t="str">
        <f t="shared" si="27"/>
        <v/>
      </c>
      <c r="AX512" s="12"/>
      <c r="AY512" s="408"/>
    </row>
    <row r="513" spans="1:51" ht="30" hidden="1" customHeight="1" x14ac:dyDescent="0.2">
      <c r="A513" s="466">
        <v>513</v>
      </c>
      <c r="B513" s="432">
        <v>22</v>
      </c>
      <c r="C513" s="432">
        <v>11</v>
      </c>
      <c r="D513" s="16">
        <v>1404</v>
      </c>
      <c r="E513" s="431" t="s">
        <v>6149</v>
      </c>
      <c r="F513" s="431" t="s">
        <v>66</v>
      </c>
      <c r="G513" s="431"/>
      <c r="H513" s="432" t="s">
        <v>7</v>
      </c>
      <c r="I513" s="360" t="s">
        <v>5479</v>
      </c>
      <c r="J513" s="16" t="s">
        <v>5577</v>
      </c>
      <c r="K513" s="35" t="s">
        <v>140</v>
      </c>
      <c r="L513" s="35" t="s">
        <v>117</v>
      </c>
      <c r="M513" s="431" t="s">
        <v>6159</v>
      </c>
      <c r="N513" s="41" t="s">
        <v>106</v>
      </c>
      <c r="O513" s="13" t="s">
        <v>107</v>
      </c>
      <c r="P513" s="13"/>
      <c r="Q513" s="13"/>
      <c r="R513" s="33" t="s">
        <v>188</v>
      </c>
      <c r="S513" s="33">
        <v>345</v>
      </c>
      <c r="T513" s="33">
        <v>6</v>
      </c>
      <c r="U513" s="431" t="s">
        <v>6160</v>
      </c>
      <c r="V513" s="41" t="s">
        <v>106</v>
      </c>
      <c r="W513" s="13" t="s">
        <v>107</v>
      </c>
      <c r="X513" s="431" t="s">
        <v>5187</v>
      </c>
      <c r="Y513" s="432"/>
      <c r="Z513" s="432">
        <v>250</v>
      </c>
      <c r="AA513" s="432"/>
      <c r="AB513" s="16">
        <v>210</v>
      </c>
      <c r="AC513" s="16">
        <v>94</v>
      </c>
      <c r="AD513" s="16">
        <v>118</v>
      </c>
      <c r="AE513" s="16">
        <v>4</v>
      </c>
      <c r="AF513" s="16">
        <v>7</v>
      </c>
      <c r="AG513" s="16">
        <v>129</v>
      </c>
      <c r="AH513" s="16">
        <v>19</v>
      </c>
      <c r="AI513" s="16">
        <v>6</v>
      </c>
      <c r="AJ513" s="432"/>
      <c r="AK513" s="431" t="s">
        <v>6161</v>
      </c>
      <c r="AL513" s="25">
        <v>129</v>
      </c>
      <c r="AM513" s="432">
        <v>19</v>
      </c>
      <c r="AN513" s="432"/>
      <c r="AO513" s="432"/>
      <c r="AP513" s="16" t="s">
        <v>160</v>
      </c>
      <c r="AQ513" s="16" t="s">
        <v>161</v>
      </c>
      <c r="AR513" s="130">
        <v>1404</v>
      </c>
      <c r="AS513" s="130">
        <v>11</v>
      </c>
      <c r="AT513" s="130"/>
      <c r="AU513" s="130"/>
      <c r="AV513" s="12" t="str">
        <f t="shared" si="28"/>
        <v/>
      </c>
      <c r="AW513" s="12" t="str">
        <f t="shared" si="27"/>
        <v/>
      </c>
      <c r="AX513" s="12"/>
      <c r="AY513" s="408"/>
    </row>
    <row r="514" spans="1:51" ht="30" hidden="1" customHeight="1" x14ac:dyDescent="0.2">
      <c r="A514" s="466">
        <v>514</v>
      </c>
      <c r="B514" s="432">
        <v>23</v>
      </c>
      <c r="C514" s="432">
        <v>11</v>
      </c>
      <c r="D514" s="16">
        <v>1404</v>
      </c>
      <c r="E514" s="431" t="s">
        <v>1984</v>
      </c>
      <c r="F514" s="431" t="s">
        <v>6</v>
      </c>
      <c r="G514" s="431" t="s">
        <v>4038</v>
      </c>
      <c r="H514" s="432" t="s">
        <v>83</v>
      </c>
      <c r="I514" s="360" t="s">
        <v>5479</v>
      </c>
      <c r="J514" s="16" t="s">
        <v>84</v>
      </c>
      <c r="K514" s="431"/>
      <c r="L514" s="431" t="s">
        <v>141</v>
      </c>
      <c r="M514" s="431" t="s">
        <v>5898</v>
      </c>
      <c r="N514" s="41" t="s">
        <v>106</v>
      </c>
      <c r="O514" s="13" t="s">
        <v>107</v>
      </c>
      <c r="P514" s="13"/>
      <c r="Q514" s="13"/>
      <c r="R514" s="432"/>
      <c r="S514" s="432">
        <v>233</v>
      </c>
      <c r="T514" s="432">
        <v>18</v>
      </c>
      <c r="U514" s="431" t="s">
        <v>6164</v>
      </c>
      <c r="V514" s="41" t="s">
        <v>106</v>
      </c>
      <c r="W514" s="13" t="s">
        <v>107</v>
      </c>
      <c r="X514" s="431"/>
      <c r="Y514" s="432" t="s">
        <v>6371</v>
      </c>
      <c r="Z514" s="432">
        <v>191</v>
      </c>
      <c r="AA514" s="432">
        <v>180</v>
      </c>
      <c r="AB514" s="16">
        <v>177</v>
      </c>
      <c r="AC514" s="16"/>
      <c r="AD514" s="16"/>
      <c r="AE514" s="16"/>
      <c r="AF514" s="16"/>
      <c r="AG514" s="16"/>
      <c r="AH514" s="16"/>
      <c r="AI514" s="16">
        <v>6</v>
      </c>
      <c r="AJ514" s="432"/>
      <c r="AK514" s="431"/>
      <c r="AL514" s="25"/>
      <c r="AM514" s="432"/>
      <c r="AN514" s="432"/>
      <c r="AO514" s="432"/>
      <c r="AP514" s="16" t="s">
        <v>160</v>
      </c>
      <c r="AQ514" s="16" t="s">
        <v>112</v>
      </c>
      <c r="AR514" s="130">
        <v>1404</v>
      </c>
      <c r="AS514" s="130">
        <v>11</v>
      </c>
      <c r="AT514" s="130">
        <v>1404</v>
      </c>
      <c r="AU514" s="130">
        <v>8</v>
      </c>
      <c r="AV514" s="12">
        <f t="shared" si="28"/>
        <v>3</v>
      </c>
      <c r="AW514" s="12">
        <f t="shared" si="27"/>
        <v>3</v>
      </c>
      <c r="AX514" s="12"/>
      <c r="AY514" s="408"/>
    </row>
    <row r="515" spans="1:51" ht="30" hidden="1" customHeight="1" x14ac:dyDescent="0.2">
      <c r="A515" s="466">
        <v>515</v>
      </c>
      <c r="B515" s="432">
        <v>24</v>
      </c>
      <c r="C515" s="432">
        <v>11</v>
      </c>
      <c r="D515" s="16">
        <v>1404</v>
      </c>
      <c r="E515" s="431" t="s">
        <v>6132</v>
      </c>
      <c r="F515" s="431" t="s">
        <v>10</v>
      </c>
      <c r="G515" s="431"/>
      <c r="H515" s="432" t="s">
        <v>7</v>
      </c>
      <c r="I515" s="360" t="s">
        <v>5479</v>
      </c>
      <c r="J515" s="16" t="s">
        <v>5577</v>
      </c>
      <c r="K515" s="35" t="s">
        <v>155</v>
      </c>
      <c r="L515" s="35" t="s">
        <v>140</v>
      </c>
      <c r="M515" s="431" t="s">
        <v>6154</v>
      </c>
      <c r="N515" s="13" t="s">
        <v>106</v>
      </c>
      <c r="O515" s="13" t="s">
        <v>107</v>
      </c>
      <c r="P515" s="13"/>
      <c r="Q515" s="13"/>
      <c r="R515" s="33" t="s">
        <v>167</v>
      </c>
      <c r="S515" s="33">
        <v>6608</v>
      </c>
      <c r="T515" s="33">
        <v>15</v>
      </c>
      <c r="U515" s="431" t="s">
        <v>6153</v>
      </c>
      <c r="V515" s="41" t="s">
        <v>106</v>
      </c>
      <c r="W515" s="13" t="s">
        <v>107</v>
      </c>
      <c r="X515" s="431" t="s">
        <v>5187</v>
      </c>
      <c r="Y515" s="432" t="s">
        <v>6150</v>
      </c>
      <c r="Z515" s="432">
        <v>228</v>
      </c>
      <c r="AA515" s="432">
        <v>215</v>
      </c>
      <c r="AB515" s="16">
        <v>125</v>
      </c>
      <c r="AC515" s="16">
        <v>165</v>
      </c>
      <c r="AD515" s="16">
        <v>176</v>
      </c>
      <c r="AE515" s="16">
        <v>2</v>
      </c>
      <c r="AF515" s="16">
        <v>20</v>
      </c>
      <c r="AG515" s="16">
        <v>198</v>
      </c>
      <c r="AH515" s="16">
        <v>9</v>
      </c>
      <c r="AI515" s="16">
        <v>6</v>
      </c>
      <c r="AJ515" s="432"/>
      <c r="AK515" s="431" t="s">
        <v>6151</v>
      </c>
      <c r="AL515" s="25">
        <v>198</v>
      </c>
      <c r="AM515" s="432">
        <v>9</v>
      </c>
      <c r="AN515" s="432"/>
      <c r="AO515" s="432"/>
      <c r="AP515" s="16" t="s">
        <v>160</v>
      </c>
      <c r="AQ515" s="16" t="s">
        <v>161</v>
      </c>
      <c r="AR515" s="130">
        <v>1404</v>
      </c>
      <c r="AS515" s="130">
        <v>11</v>
      </c>
      <c r="AT515" s="130"/>
      <c r="AU515" s="130"/>
      <c r="AV515" s="12" t="str">
        <f t="shared" si="28"/>
        <v/>
      </c>
      <c r="AW515" s="12" t="str">
        <f t="shared" si="27"/>
        <v/>
      </c>
      <c r="AX515" s="12"/>
      <c r="AY515" s="408"/>
    </row>
    <row r="516" spans="1:51" ht="30" hidden="1" customHeight="1" x14ac:dyDescent="0.2">
      <c r="A516" s="466">
        <v>516</v>
      </c>
      <c r="B516" s="432">
        <v>24</v>
      </c>
      <c r="C516" s="432">
        <v>11</v>
      </c>
      <c r="D516" s="16">
        <v>1404</v>
      </c>
      <c r="E516" s="431" t="s">
        <v>1153</v>
      </c>
      <c r="F516" s="431" t="s">
        <v>6</v>
      </c>
      <c r="G516" s="431"/>
      <c r="H516" s="432" t="s">
        <v>7</v>
      </c>
      <c r="I516" s="360" t="s">
        <v>5479</v>
      </c>
      <c r="J516" s="16" t="s">
        <v>84</v>
      </c>
      <c r="K516" s="35" t="s">
        <v>104</v>
      </c>
      <c r="L516" s="35" t="s">
        <v>140</v>
      </c>
      <c r="M516" s="431" t="s">
        <v>6152</v>
      </c>
      <c r="N516" s="41" t="s">
        <v>69</v>
      </c>
      <c r="O516" s="13" t="s">
        <v>70</v>
      </c>
      <c r="P516" s="13"/>
      <c r="Q516" s="13"/>
      <c r="R516" s="33" t="s">
        <v>6158</v>
      </c>
      <c r="S516" s="33">
        <v>6608</v>
      </c>
      <c r="T516" s="33">
        <v>16</v>
      </c>
      <c r="U516" s="431" t="s">
        <v>6157</v>
      </c>
      <c r="V516" s="41" t="s">
        <v>106</v>
      </c>
      <c r="W516" s="13" t="s">
        <v>107</v>
      </c>
      <c r="X516" s="431"/>
      <c r="Y516" s="432"/>
      <c r="Z516" s="432"/>
      <c r="AA516" s="432"/>
      <c r="AB516" s="16"/>
      <c r="AC516" s="16"/>
      <c r="AD516" s="16"/>
      <c r="AE516" s="16"/>
      <c r="AF516" s="16"/>
      <c r="AG516" s="16"/>
      <c r="AH516" s="16"/>
      <c r="AI516" s="16"/>
      <c r="AJ516" s="432"/>
      <c r="AK516" s="431"/>
      <c r="AL516" s="25"/>
      <c r="AM516" s="432"/>
      <c r="AN516" s="432"/>
      <c r="AO516" s="432"/>
      <c r="AP516" s="16"/>
      <c r="AQ516" s="16"/>
      <c r="AR516" s="130">
        <v>1404</v>
      </c>
      <c r="AS516" s="130">
        <v>11</v>
      </c>
      <c r="AT516" s="130"/>
      <c r="AU516" s="130"/>
      <c r="AV516" s="12" t="str">
        <f t="shared" si="28"/>
        <v/>
      </c>
      <c r="AW516" s="12" t="str">
        <f t="shared" si="27"/>
        <v/>
      </c>
      <c r="AX516" s="12"/>
      <c r="AY516" s="408"/>
    </row>
    <row r="517" spans="1:51" ht="30" hidden="1" customHeight="1" x14ac:dyDescent="0.2">
      <c r="A517" s="466">
        <v>517</v>
      </c>
      <c r="B517" s="432">
        <v>25</v>
      </c>
      <c r="C517" s="432">
        <v>11</v>
      </c>
      <c r="D517" s="16">
        <v>1404</v>
      </c>
      <c r="E517" s="431" t="s">
        <v>3699</v>
      </c>
      <c r="F517" s="431" t="s">
        <v>2981</v>
      </c>
      <c r="G517" s="489" t="s">
        <v>4038</v>
      </c>
      <c r="H517" s="432" t="s">
        <v>83</v>
      </c>
      <c r="I517" s="360" t="s">
        <v>5479</v>
      </c>
      <c r="J517" s="16" t="s">
        <v>84</v>
      </c>
      <c r="K517" s="431"/>
      <c r="L517" s="431" t="s">
        <v>104</v>
      </c>
      <c r="M517" s="431" t="s">
        <v>3821</v>
      </c>
      <c r="N517" s="41" t="s">
        <v>106</v>
      </c>
      <c r="O517" s="13" t="s">
        <v>107</v>
      </c>
      <c r="P517" s="13"/>
      <c r="Q517" s="13"/>
      <c r="R517" s="432"/>
      <c r="S517" s="432">
        <v>293</v>
      </c>
      <c r="T517" s="432">
        <v>15</v>
      </c>
      <c r="U517" s="431" t="s">
        <v>3823</v>
      </c>
      <c r="V517" s="41" t="s">
        <v>106</v>
      </c>
      <c r="W517" s="13" t="s">
        <v>107</v>
      </c>
      <c r="X517" s="431"/>
      <c r="Y517" s="432" t="s">
        <v>6412</v>
      </c>
      <c r="Z517" s="432">
        <v>192</v>
      </c>
      <c r="AA517" s="432">
        <v>186</v>
      </c>
      <c r="AB517" s="16">
        <v>186</v>
      </c>
      <c r="AC517" s="16"/>
      <c r="AD517" s="16"/>
      <c r="AE517" s="16"/>
      <c r="AF517" s="16"/>
      <c r="AG517" s="16"/>
      <c r="AH517" s="16"/>
      <c r="AI517" s="16">
        <v>6</v>
      </c>
      <c r="AJ517" s="432"/>
      <c r="AK517" s="431"/>
      <c r="AL517" s="25"/>
      <c r="AM517" s="432"/>
      <c r="AN517" s="432"/>
      <c r="AO517" s="432"/>
      <c r="AP517" s="16"/>
      <c r="AQ517" s="16"/>
      <c r="AR517" s="130">
        <v>1404</v>
      </c>
      <c r="AS517" s="130">
        <v>11</v>
      </c>
      <c r="AT517" s="130">
        <v>1403</v>
      </c>
      <c r="AU517" s="130">
        <v>2</v>
      </c>
      <c r="AV517" s="12">
        <f t="shared" si="28"/>
        <v>21</v>
      </c>
      <c r="AW517" s="12" t="str">
        <f t="shared" si="27"/>
        <v/>
      </c>
      <c r="AX517" s="12"/>
      <c r="AY517" s="408"/>
    </row>
    <row r="518" spans="1:51" s="21" customFormat="1" ht="30" hidden="1" customHeight="1" x14ac:dyDescent="0.2">
      <c r="A518" s="20">
        <v>518</v>
      </c>
      <c r="B518" s="20">
        <v>25</v>
      </c>
      <c r="C518" s="20">
        <v>11</v>
      </c>
      <c r="D518" s="29">
        <v>1404</v>
      </c>
      <c r="E518" s="30" t="s">
        <v>6132</v>
      </c>
      <c r="F518" s="30" t="s">
        <v>10</v>
      </c>
      <c r="G518" s="30" t="s">
        <v>6529</v>
      </c>
      <c r="H518" s="20" t="s">
        <v>83</v>
      </c>
      <c r="I518" s="20" t="s">
        <v>5479</v>
      </c>
      <c r="J518" s="29" t="s">
        <v>5577</v>
      </c>
      <c r="K518" s="30"/>
      <c r="L518" s="30" t="s">
        <v>140</v>
      </c>
      <c r="M518" s="30" t="s">
        <v>6154</v>
      </c>
      <c r="N518" s="30" t="s">
        <v>106</v>
      </c>
      <c r="O518" s="20" t="s">
        <v>107</v>
      </c>
      <c r="P518" s="20"/>
      <c r="Q518" s="20"/>
      <c r="R518" s="20"/>
      <c r="S518" s="20">
        <v>6608</v>
      </c>
      <c r="T518" s="20">
        <v>15</v>
      </c>
      <c r="U518" s="30" t="s">
        <v>6153</v>
      </c>
      <c r="V518" s="30" t="s">
        <v>106</v>
      </c>
      <c r="W518" s="20" t="s">
        <v>107</v>
      </c>
      <c r="X518" s="30"/>
      <c r="Y518" s="20" t="s">
        <v>6155</v>
      </c>
      <c r="Z518" s="20">
        <v>228</v>
      </c>
      <c r="AA518" s="20">
        <v>215</v>
      </c>
      <c r="AB518" s="29">
        <v>215</v>
      </c>
      <c r="AC518" s="29"/>
      <c r="AD518" s="29"/>
      <c r="AE518" s="29"/>
      <c r="AF518" s="29"/>
      <c r="AG518" s="29"/>
      <c r="AH518" s="29"/>
      <c r="AI518" s="29">
        <v>6</v>
      </c>
      <c r="AJ518" s="20"/>
      <c r="AK518" s="30"/>
      <c r="AL518" s="36"/>
      <c r="AM518" s="20"/>
      <c r="AN518" s="20"/>
      <c r="AO518" s="20"/>
      <c r="AP518" s="29" t="s">
        <v>5801</v>
      </c>
      <c r="AQ518" s="29" t="s">
        <v>161</v>
      </c>
      <c r="AR518" s="318">
        <v>1404</v>
      </c>
      <c r="AS518" s="318">
        <v>11</v>
      </c>
      <c r="AT518" s="318">
        <v>1404</v>
      </c>
      <c r="AU518" s="318">
        <v>11</v>
      </c>
      <c r="AV518" s="31">
        <f t="shared" si="28"/>
        <v>0</v>
      </c>
      <c r="AW518" s="31">
        <f t="shared" si="27"/>
        <v>0</v>
      </c>
      <c r="AX518" s="31"/>
      <c r="AY518" s="409" t="s">
        <v>6156</v>
      </c>
    </row>
    <row r="519" spans="1:51" ht="30" hidden="1" customHeight="1" x14ac:dyDescent="0.2">
      <c r="A519" s="466">
        <v>519</v>
      </c>
      <c r="B519" s="432">
        <v>26</v>
      </c>
      <c r="C519" s="432">
        <v>11</v>
      </c>
      <c r="D519" s="16">
        <v>1404</v>
      </c>
      <c r="E519" s="431" t="s">
        <v>6165</v>
      </c>
      <c r="F519" s="431" t="s">
        <v>66</v>
      </c>
      <c r="G519" s="484" t="s">
        <v>5608</v>
      </c>
      <c r="H519" s="432" t="s">
        <v>83</v>
      </c>
      <c r="I519" s="360" t="s">
        <v>5479</v>
      </c>
      <c r="J519" s="16" t="s">
        <v>84</v>
      </c>
      <c r="K519" s="431" t="s">
        <v>3714</v>
      </c>
      <c r="L519" s="431" t="s">
        <v>141</v>
      </c>
      <c r="M519" s="431"/>
      <c r="N519" s="41" t="s">
        <v>106</v>
      </c>
      <c r="O519" s="13" t="s">
        <v>107</v>
      </c>
      <c r="P519" s="13"/>
      <c r="Q519" s="13"/>
      <c r="R519" s="432"/>
      <c r="S519" s="432">
        <v>6608</v>
      </c>
      <c r="T519" s="432">
        <v>14</v>
      </c>
      <c r="U519" s="431"/>
      <c r="V519" s="41"/>
      <c r="W519" s="13"/>
      <c r="X519" s="431"/>
      <c r="Y519" s="432"/>
      <c r="Z519" s="432">
        <v>144</v>
      </c>
      <c r="AA519" s="432">
        <v>138</v>
      </c>
      <c r="AB519" s="16">
        <v>138</v>
      </c>
      <c r="AC519" s="16"/>
      <c r="AD519" s="16"/>
      <c r="AE519" s="16"/>
      <c r="AF519" s="16"/>
      <c r="AG519" s="16"/>
      <c r="AH519" s="16"/>
      <c r="AI519" s="16">
        <v>4</v>
      </c>
      <c r="AJ519" s="432"/>
      <c r="AK519" s="431"/>
      <c r="AL519" s="25"/>
      <c r="AM519" s="432"/>
      <c r="AN519" s="432"/>
      <c r="AO519" s="432"/>
      <c r="AP519" s="16" t="s">
        <v>5080</v>
      </c>
      <c r="AQ519" s="16" t="s">
        <v>231</v>
      </c>
      <c r="AR519" s="130">
        <v>1404</v>
      </c>
      <c r="AS519" s="130">
        <v>11</v>
      </c>
      <c r="AT519" s="130"/>
      <c r="AU519" s="130"/>
      <c r="AV519" s="12" t="str">
        <f t="shared" si="28"/>
        <v/>
      </c>
      <c r="AW519" s="12" t="str">
        <f t="shared" si="27"/>
        <v/>
      </c>
      <c r="AX519" s="12"/>
      <c r="AY519" s="408"/>
    </row>
    <row r="520" spans="1:51" ht="30" hidden="1" customHeight="1" x14ac:dyDescent="0.2">
      <c r="A520" s="466">
        <v>520</v>
      </c>
      <c r="B520" s="432">
        <v>26</v>
      </c>
      <c r="C520" s="432">
        <v>11</v>
      </c>
      <c r="D520" s="16">
        <v>1404</v>
      </c>
      <c r="E520" s="431" t="s">
        <v>6166</v>
      </c>
      <c r="F520" s="431" t="s">
        <v>20</v>
      </c>
      <c r="G520" s="431" t="s">
        <v>5608</v>
      </c>
      <c r="H520" s="432" t="s">
        <v>83</v>
      </c>
      <c r="I520" s="360" t="s">
        <v>5479</v>
      </c>
      <c r="J520" s="16" t="s">
        <v>5539</v>
      </c>
      <c r="K520" s="431"/>
      <c r="L520" s="431" t="s">
        <v>140</v>
      </c>
      <c r="M520" s="431"/>
      <c r="N520" s="41" t="s">
        <v>106</v>
      </c>
      <c r="O520" s="13" t="s">
        <v>107</v>
      </c>
      <c r="P520" s="13"/>
      <c r="Q520" s="13"/>
      <c r="R520" s="432"/>
      <c r="S520" s="432">
        <v>6608</v>
      </c>
      <c r="T520" s="432">
        <v>16</v>
      </c>
      <c r="U520" s="431"/>
      <c r="V520" s="41" t="s">
        <v>106</v>
      </c>
      <c r="W520" s="13" t="s">
        <v>107</v>
      </c>
      <c r="X520" s="431"/>
      <c r="Y520" s="432" t="s">
        <v>6395</v>
      </c>
      <c r="Z520" s="432">
        <v>256</v>
      </c>
      <c r="AA520" s="432">
        <v>234</v>
      </c>
      <c r="AB520" s="16">
        <v>234</v>
      </c>
      <c r="AC520" s="16"/>
      <c r="AD520" s="16"/>
      <c r="AE520" s="16"/>
      <c r="AF520" s="16"/>
      <c r="AG520" s="16"/>
      <c r="AH520" s="16"/>
      <c r="AI520" s="16">
        <v>4</v>
      </c>
      <c r="AJ520" s="432"/>
      <c r="AK520" s="431"/>
      <c r="AL520" s="25"/>
      <c r="AM520" s="432"/>
      <c r="AN520" s="432"/>
      <c r="AO520" s="432"/>
      <c r="AP520" s="16"/>
      <c r="AQ520" s="16"/>
      <c r="AR520" s="130">
        <v>1404</v>
      </c>
      <c r="AS520" s="130">
        <v>11</v>
      </c>
      <c r="AT520" s="130">
        <v>1403</v>
      </c>
      <c r="AU520" s="130">
        <v>3</v>
      </c>
      <c r="AV520" s="12">
        <f t="shared" si="28"/>
        <v>20</v>
      </c>
      <c r="AW520" s="12" t="str">
        <f t="shared" si="27"/>
        <v/>
      </c>
      <c r="AX520" s="12"/>
      <c r="AY520" s="408"/>
    </row>
    <row r="521" spans="1:51" ht="30" hidden="1" customHeight="1" x14ac:dyDescent="0.2">
      <c r="A521" s="466">
        <v>521</v>
      </c>
      <c r="B521" s="432">
        <v>26</v>
      </c>
      <c r="C521" s="432">
        <v>11</v>
      </c>
      <c r="D521" s="16">
        <v>1404</v>
      </c>
      <c r="E521" s="431" t="s">
        <v>6167</v>
      </c>
      <c r="F521" s="431" t="s">
        <v>8</v>
      </c>
      <c r="G521" s="431" t="s">
        <v>6394</v>
      </c>
      <c r="H521" s="432" t="s">
        <v>83</v>
      </c>
      <c r="I521" s="360" t="s">
        <v>5479</v>
      </c>
      <c r="J521" s="16" t="s">
        <v>84</v>
      </c>
      <c r="K521" s="431"/>
      <c r="L521" s="431" t="s">
        <v>141</v>
      </c>
      <c r="M521" s="431"/>
      <c r="N521" s="41" t="s">
        <v>106</v>
      </c>
      <c r="O521" s="13" t="s">
        <v>107</v>
      </c>
      <c r="P521" s="13"/>
      <c r="Q521" s="13"/>
      <c r="R521" s="432"/>
      <c r="S521" s="432">
        <v>384</v>
      </c>
      <c r="T521" s="432">
        <v>4</v>
      </c>
      <c r="U521" s="431"/>
      <c r="V521" s="41" t="s">
        <v>106</v>
      </c>
      <c r="W521" s="13" t="s">
        <v>107</v>
      </c>
      <c r="X521" s="431"/>
      <c r="Y521" s="432" t="s">
        <v>6330</v>
      </c>
      <c r="Z521" s="432">
        <v>140</v>
      </c>
      <c r="AA521" s="432">
        <v>72</v>
      </c>
      <c r="AB521" s="16">
        <v>72</v>
      </c>
      <c r="AC521" s="16"/>
      <c r="AD521" s="16"/>
      <c r="AE521" s="16"/>
      <c r="AF521" s="16"/>
      <c r="AG521" s="16"/>
      <c r="AH521" s="16"/>
      <c r="AI521" s="16">
        <v>6</v>
      </c>
      <c r="AJ521" s="432"/>
      <c r="AK521" s="431"/>
      <c r="AL521" s="25"/>
      <c r="AM521" s="432"/>
      <c r="AN521" s="432"/>
      <c r="AO521" s="432"/>
      <c r="AP521" s="16"/>
      <c r="AQ521" s="16"/>
      <c r="AR521" s="130">
        <v>1404</v>
      </c>
      <c r="AS521" s="130">
        <v>11</v>
      </c>
      <c r="AT521" s="130">
        <v>1391</v>
      </c>
      <c r="AU521" s="130">
        <v>7</v>
      </c>
      <c r="AV521" s="12">
        <f t="shared" si="28"/>
        <v>160</v>
      </c>
      <c r="AW521" s="12" t="str">
        <f t="shared" si="27"/>
        <v/>
      </c>
      <c r="AX521" s="12"/>
      <c r="AY521" s="408"/>
    </row>
    <row r="522" spans="1:51" ht="30" hidden="1" customHeight="1" x14ac:dyDescent="0.2">
      <c r="A522" s="466">
        <v>522</v>
      </c>
      <c r="B522" s="432">
        <v>27</v>
      </c>
      <c r="C522" s="432">
        <v>11</v>
      </c>
      <c r="D522" s="16">
        <v>1404</v>
      </c>
      <c r="E522" s="431" t="s">
        <v>6132</v>
      </c>
      <c r="F522" s="431" t="s">
        <v>10</v>
      </c>
      <c r="G522" s="431"/>
      <c r="H522" s="432" t="s">
        <v>7</v>
      </c>
      <c r="I522" s="360" t="s">
        <v>5479</v>
      </c>
      <c r="J522" s="16" t="s">
        <v>5577</v>
      </c>
      <c r="K522" s="431"/>
      <c r="L522" s="431" t="s">
        <v>140</v>
      </c>
      <c r="M522" s="431" t="s">
        <v>6175</v>
      </c>
      <c r="N522" s="41" t="s">
        <v>69</v>
      </c>
      <c r="O522" s="13" t="s">
        <v>70</v>
      </c>
      <c r="P522" s="13"/>
      <c r="Q522" s="13"/>
      <c r="R522" s="432"/>
      <c r="S522" s="432">
        <v>6608</v>
      </c>
      <c r="T522" s="432">
        <v>15</v>
      </c>
      <c r="U522" s="431" t="s">
        <v>6153</v>
      </c>
      <c r="V522" s="41" t="s">
        <v>106</v>
      </c>
      <c r="W522" s="13" t="s">
        <v>107</v>
      </c>
      <c r="X522" s="431"/>
      <c r="Y522" s="432" t="s">
        <v>6155</v>
      </c>
      <c r="Z522" s="432">
        <v>228</v>
      </c>
      <c r="AA522" s="432">
        <v>219</v>
      </c>
      <c r="AB522" s="16">
        <v>219</v>
      </c>
      <c r="AC522" s="16">
        <v>165</v>
      </c>
      <c r="AD522" s="16">
        <v>176</v>
      </c>
      <c r="AE522" s="16">
        <v>2</v>
      </c>
      <c r="AF522" s="16">
        <v>20</v>
      </c>
      <c r="AG522" s="16">
        <v>198</v>
      </c>
      <c r="AH522" s="16">
        <v>9</v>
      </c>
      <c r="AI522" s="16">
        <v>6</v>
      </c>
      <c r="AJ522" s="432"/>
      <c r="AK522" s="431" t="s">
        <v>6170</v>
      </c>
      <c r="AL522" s="25">
        <v>198</v>
      </c>
      <c r="AM522" s="432">
        <v>9</v>
      </c>
      <c r="AN522" s="432"/>
      <c r="AO522" s="432"/>
      <c r="AP522" s="16" t="s">
        <v>160</v>
      </c>
      <c r="AQ522" s="16" t="s">
        <v>161</v>
      </c>
      <c r="AR522" s="130">
        <v>1404</v>
      </c>
      <c r="AS522" s="130">
        <v>11</v>
      </c>
      <c r="AT522" s="130"/>
      <c r="AU522" s="130"/>
      <c r="AV522" s="12" t="str">
        <f t="shared" si="28"/>
        <v/>
      </c>
      <c r="AW522" s="12" t="str">
        <f t="shared" si="27"/>
        <v/>
      </c>
      <c r="AX522" s="12"/>
      <c r="AY522" s="408"/>
    </row>
    <row r="523" spans="1:51" ht="30" hidden="1" customHeight="1" x14ac:dyDescent="0.2">
      <c r="A523" s="466">
        <v>523</v>
      </c>
      <c r="B523" s="432">
        <v>27</v>
      </c>
      <c r="C523" s="432">
        <v>11</v>
      </c>
      <c r="D523" s="16">
        <v>1404</v>
      </c>
      <c r="E523" s="431" t="s">
        <v>672</v>
      </c>
      <c r="F523" s="431" t="s">
        <v>6105</v>
      </c>
      <c r="G523" s="484" t="s">
        <v>4038</v>
      </c>
      <c r="H523" s="432" t="s">
        <v>83</v>
      </c>
      <c r="I523" s="360" t="s">
        <v>5479</v>
      </c>
      <c r="J523" s="16" t="s">
        <v>84</v>
      </c>
      <c r="K523" s="431"/>
      <c r="L523" s="431" t="s">
        <v>117</v>
      </c>
      <c r="M523" s="431"/>
      <c r="N523" s="41" t="s">
        <v>106</v>
      </c>
      <c r="O523" s="13" t="s">
        <v>107</v>
      </c>
      <c r="P523" s="13"/>
      <c r="Q523" s="13"/>
      <c r="R523" s="432"/>
      <c r="S523" s="432">
        <v>6608</v>
      </c>
      <c r="T523" s="432">
        <v>17</v>
      </c>
      <c r="U523" s="431"/>
      <c r="V523" s="41" t="s">
        <v>106</v>
      </c>
      <c r="W523" s="13" t="s">
        <v>107</v>
      </c>
      <c r="X523" s="431"/>
      <c r="Y523" s="432" t="s">
        <v>6530</v>
      </c>
      <c r="Z523" s="432">
        <v>226</v>
      </c>
      <c r="AA523" s="432">
        <v>213</v>
      </c>
      <c r="AB523" s="16">
        <v>213</v>
      </c>
      <c r="AC523" s="16"/>
      <c r="AD523" s="16"/>
      <c r="AE523" s="16"/>
      <c r="AF523" s="16"/>
      <c r="AG523" s="16"/>
      <c r="AH523" s="16"/>
      <c r="AI523" s="16">
        <v>6</v>
      </c>
      <c r="AJ523" s="432"/>
      <c r="AK523" s="431"/>
      <c r="AL523" s="25"/>
      <c r="AM523" s="432"/>
      <c r="AN523" s="432"/>
      <c r="AO523" s="432"/>
      <c r="AP523" s="16" t="s">
        <v>5080</v>
      </c>
      <c r="AQ523" s="16" t="s">
        <v>6174</v>
      </c>
      <c r="AR523" s="130">
        <v>1404</v>
      </c>
      <c r="AS523" s="130">
        <v>11</v>
      </c>
      <c r="AT523" s="130">
        <v>1404</v>
      </c>
      <c r="AU523" s="130">
        <v>3</v>
      </c>
      <c r="AV523" s="12">
        <f t="shared" si="28"/>
        <v>8</v>
      </c>
      <c r="AW523" s="12">
        <f t="shared" si="27"/>
        <v>8</v>
      </c>
      <c r="AX523" s="12"/>
      <c r="AY523" s="408"/>
    </row>
    <row r="524" spans="1:51" ht="30" hidden="1" customHeight="1" x14ac:dyDescent="0.2">
      <c r="A524" s="466">
        <v>524</v>
      </c>
      <c r="B524" s="432">
        <v>27</v>
      </c>
      <c r="C524" s="432">
        <v>11</v>
      </c>
      <c r="D524" s="16">
        <v>1404</v>
      </c>
      <c r="E524" s="431" t="s">
        <v>672</v>
      </c>
      <c r="F524" s="431" t="s">
        <v>6105</v>
      </c>
      <c r="G524" s="431"/>
      <c r="H524" s="432" t="s">
        <v>7</v>
      </c>
      <c r="I524" s="360" t="s">
        <v>5479</v>
      </c>
      <c r="J524" s="16" t="s">
        <v>84</v>
      </c>
      <c r="K524" s="35" t="s">
        <v>117</v>
      </c>
      <c r="L524" s="35" t="s">
        <v>334</v>
      </c>
      <c r="M524" s="431" t="s">
        <v>6171</v>
      </c>
      <c r="N524" s="41" t="s">
        <v>106</v>
      </c>
      <c r="O524" s="13" t="s">
        <v>107</v>
      </c>
      <c r="P524" s="13"/>
      <c r="Q524" s="13"/>
      <c r="R524" s="33" t="s">
        <v>5083</v>
      </c>
      <c r="S524" s="33">
        <v>6608</v>
      </c>
      <c r="T524" s="33">
        <v>10</v>
      </c>
      <c r="U524" s="431" t="s">
        <v>6172</v>
      </c>
      <c r="V524" s="41" t="s">
        <v>262</v>
      </c>
      <c r="W524" s="13" t="s">
        <v>70</v>
      </c>
      <c r="X524" s="431" t="s">
        <v>5187</v>
      </c>
      <c r="Y524" s="432" t="s">
        <v>5291</v>
      </c>
      <c r="Z524" s="432">
        <v>226</v>
      </c>
      <c r="AA524" s="432">
        <v>231</v>
      </c>
      <c r="AB524" s="16">
        <v>220</v>
      </c>
      <c r="AC524" s="16">
        <v>109</v>
      </c>
      <c r="AD524" s="16">
        <v>133</v>
      </c>
      <c r="AE524" s="16">
        <v>1</v>
      </c>
      <c r="AF524" s="16">
        <v>25</v>
      </c>
      <c r="AG524" s="16">
        <v>159</v>
      </c>
      <c r="AH524" s="16">
        <v>6</v>
      </c>
      <c r="AI524" s="16">
        <v>6</v>
      </c>
      <c r="AJ524" s="432"/>
      <c r="AK524" s="431" t="s">
        <v>6173</v>
      </c>
      <c r="AL524" s="25">
        <v>159</v>
      </c>
      <c r="AM524" s="432">
        <v>6</v>
      </c>
      <c r="AN524" s="432"/>
      <c r="AO524" s="432"/>
      <c r="AP524" s="16" t="s">
        <v>5080</v>
      </c>
      <c r="AQ524" s="16" t="s">
        <v>231</v>
      </c>
      <c r="AR524" s="130">
        <v>1404</v>
      </c>
      <c r="AS524" s="130">
        <v>11</v>
      </c>
      <c r="AT524" s="130"/>
      <c r="AU524" s="130"/>
      <c r="AV524" s="12" t="str">
        <f t="shared" si="28"/>
        <v/>
      </c>
      <c r="AW524" s="12" t="str">
        <f t="shared" si="27"/>
        <v/>
      </c>
      <c r="AX524" s="12"/>
      <c r="AY524" s="408"/>
    </row>
    <row r="525" spans="1:51" ht="30" hidden="1" customHeight="1" x14ac:dyDescent="0.2">
      <c r="A525" s="466">
        <v>525</v>
      </c>
      <c r="B525" s="432">
        <v>27</v>
      </c>
      <c r="C525" s="432">
        <v>11</v>
      </c>
      <c r="D525" s="16">
        <v>1404</v>
      </c>
      <c r="E525" s="431" t="s">
        <v>6165</v>
      </c>
      <c r="F525" s="431" t="s">
        <v>66</v>
      </c>
      <c r="G525" s="431"/>
      <c r="H525" s="432" t="s">
        <v>7</v>
      </c>
      <c r="I525" s="360" t="s">
        <v>5479</v>
      </c>
      <c r="J525" s="16" t="s">
        <v>84</v>
      </c>
      <c r="K525" s="431" t="s">
        <v>141</v>
      </c>
      <c r="L525" s="431" t="s">
        <v>141</v>
      </c>
      <c r="M525" s="431" t="s">
        <v>6168</v>
      </c>
      <c r="N525" s="41" t="s">
        <v>106</v>
      </c>
      <c r="O525" s="13" t="s">
        <v>107</v>
      </c>
      <c r="P525" s="13"/>
      <c r="Q525" s="13"/>
      <c r="R525" s="33" t="s">
        <v>1478</v>
      </c>
      <c r="S525" s="33">
        <v>6608</v>
      </c>
      <c r="T525" s="33">
        <v>13</v>
      </c>
      <c r="U525" s="431" t="s">
        <v>6169</v>
      </c>
      <c r="V525" s="41" t="s">
        <v>106</v>
      </c>
      <c r="W525" s="13" t="s">
        <v>107</v>
      </c>
      <c r="X525" s="431"/>
      <c r="Y525" s="432"/>
      <c r="Z525" s="432">
        <v>144</v>
      </c>
      <c r="AA525" s="432">
        <v>138</v>
      </c>
      <c r="AB525" s="16">
        <v>138</v>
      </c>
      <c r="AC525" s="16">
        <v>67</v>
      </c>
      <c r="AD525" s="16"/>
      <c r="AE525" s="16"/>
      <c r="AF525" s="16">
        <v>3.2</v>
      </c>
      <c r="AG525" s="16"/>
      <c r="AH525" s="16">
        <v>10</v>
      </c>
      <c r="AI525" s="16">
        <v>4</v>
      </c>
      <c r="AJ525" s="432"/>
      <c r="AK525" s="431" t="s">
        <v>6170</v>
      </c>
      <c r="AL525" s="25"/>
      <c r="AM525" s="432">
        <v>10</v>
      </c>
      <c r="AN525" s="432"/>
      <c r="AO525" s="432"/>
      <c r="AP525" s="16" t="s">
        <v>5080</v>
      </c>
      <c r="AQ525" s="16" t="s">
        <v>231</v>
      </c>
      <c r="AR525" s="130">
        <v>1404</v>
      </c>
      <c r="AS525" s="130">
        <v>11</v>
      </c>
      <c r="AT525" s="130"/>
      <c r="AU525" s="130"/>
      <c r="AV525" s="12" t="str">
        <f t="shared" si="28"/>
        <v/>
      </c>
      <c r="AW525" s="12" t="str">
        <f t="shared" si="27"/>
        <v/>
      </c>
      <c r="AX525" s="12"/>
      <c r="AY525" s="408"/>
    </row>
    <row r="526" spans="1:51" ht="30" hidden="1" customHeight="1" x14ac:dyDescent="0.2">
      <c r="A526" s="466">
        <v>526</v>
      </c>
      <c r="B526" s="432">
        <v>28</v>
      </c>
      <c r="C526" s="432">
        <v>11</v>
      </c>
      <c r="D526" s="16">
        <v>1404</v>
      </c>
      <c r="E526" s="431" t="s">
        <v>6176</v>
      </c>
      <c r="F526" s="431" t="s">
        <v>243</v>
      </c>
      <c r="G526" s="431" t="s">
        <v>5189</v>
      </c>
      <c r="H526" s="432" t="s">
        <v>83</v>
      </c>
      <c r="I526" s="360" t="s">
        <v>5479</v>
      </c>
      <c r="J526" s="16" t="s">
        <v>5577</v>
      </c>
      <c r="K526" s="431"/>
      <c r="L526" s="431" t="s">
        <v>140</v>
      </c>
      <c r="M526" s="431" t="s">
        <v>3714</v>
      </c>
      <c r="N526" s="41" t="s">
        <v>106</v>
      </c>
      <c r="O526" s="13" t="s">
        <v>107</v>
      </c>
      <c r="P526" s="13"/>
      <c r="Q526" s="13"/>
      <c r="R526" s="432"/>
      <c r="S526" s="432">
        <v>6611</v>
      </c>
      <c r="T526" s="432">
        <v>9</v>
      </c>
      <c r="U526" s="431" t="s">
        <v>3714</v>
      </c>
      <c r="V526" s="41" t="s">
        <v>106</v>
      </c>
      <c r="W526" s="13" t="s">
        <v>107</v>
      </c>
      <c r="X526" s="431"/>
      <c r="Y526" s="432" t="s">
        <v>6393</v>
      </c>
      <c r="Z526" s="432">
        <v>228</v>
      </c>
      <c r="AA526" s="432">
        <v>207</v>
      </c>
      <c r="AB526" s="16">
        <v>207</v>
      </c>
      <c r="AC526" s="16"/>
      <c r="AD526" s="16"/>
      <c r="AE526" s="16"/>
      <c r="AF526" s="16"/>
      <c r="AG526" s="16"/>
      <c r="AH526" s="16"/>
      <c r="AI526" s="16">
        <v>6</v>
      </c>
      <c r="AJ526" s="432"/>
      <c r="AK526" s="431"/>
      <c r="AL526" s="25"/>
      <c r="AM526" s="432"/>
      <c r="AN526" s="432"/>
      <c r="AO526" s="432"/>
      <c r="AP526" s="16"/>
      <c r="AQ526" s="16"/>
      <c r="AR526" s="130">
        <v>1404</v>
      </c>
      <c r="AS526" s="130">
        <v>11</v>
      </c>
      <c r="AT526" s="130">
        <v>1403</v>
      </c>
      <c r="AU526" s="130">
        <v>3</v>
      </c>
      <c r="AV526" s="12">
        <f t="shared" si="28"/>
        <v>20</v>
      </c>
      <c r="AW526" s="12" t="str">
        <f t="shared" si="27"/>
        <v/>
      </c>
      <c r="AX526" s="12"/>
      <c r="AY526" s="408"/>
    </row>
    <row r="527" spans="1:51" ht="30" hidden="1" customHeight="1" x14ac:dyDescent="0.2">
      <c r="A527" s="466">
        <v>527</v>
      </c>
      <c r="B527" s="432">
        <v>29</v>
      </c>
      <c r="C527" s="432">
        <v>11</v>
      </c>
      <c r="D527" s="16">
        <v>1404</v>
      </c>
      <c r="E527" s="431" t="s">
        <v>1336</v>
      </c>
      <c r="F527" s="431" t="s">
        <v>8</v>
      </c>
      <c r="G527" s="431"/>
      <c r="H527" s="432" t="s">
        <v>7</v>
      </c>
      <c r="I527" s="360" t="s">
        <v>5479</v>
      </c>
      <c r="J527" s="16" t="s">
        <v>84</v>
      </c>
      <c r="K527" s="431" t="s">
        <v>223</v>
      </c>
      <c r="L527" s="431" t="s">
        <v>223</v>
      </c>
      <c r="M527" s="431" t="s">
        <v>6390</v>
      </c>
      <c r="N527" s="41" t="s">
        <v>106</v>
      </c>
      <c r="O527" s="13" t="s">
        <v>107</v>
      </c>
      <c r="P527" s="13"/>
      <c r="Q527" s="13"/>
      <c r="R527" s="33" t="s">
        <v>224</v>
      </c>
      <c r="S527" s="33">
        <v>233</v>
      </c>
      <c r="T527" s="33">
        <v>11</v>
      </c>
      <c r="U527" s="431" t="s">
        <v>6391</v>
      </c>
      <c r="V527" s="41" t="s">
        <v>69</v>
      </c>
      <c r="W527" s="13" t="s">
        <v>70</v>
      </c>
      <c r="X527" s="431" t="s">
        <v>5187</v>
      </c>
      <c r="Y527" s="432" t="s">
        <v>6392</v>
      </c>
      <c r="Z527" s="432">
        <v>193</v>
      </c>
      <c r="AA527" s="432">
        <v>132</v>
      </c>
      <c r="AB527" s="16">
        <v>132</v>
      </c>
      <c r="AC527" s="16">
        <v>49</v>
      </c>
      <c r="AD527" s="16">
        <v>106</v>
      </c>
      <c r="AE527" s="16">
        <v>1</v>
      </c>
      <c r="AF527" s="16">
        <v>65</v>
      </c>
      <c r="AG527" s="16">
        <v>172</v>
      </c>
      <c r="AH527" s="16">
        <v>6</v>
      </c>
      <c r="AI527" s="16">
        <v>6</v>
      </c>
      <c r="AJ527" s="432"/>
      <c r="AK527" s="431" t="s">
        <v>6389</v>
      </c>
      <c r="AL527" s="25">
        <v>172</v>
      </c>
      <c r="AM527" s="432">
        <v>6</v>
      </c>
      <c r="AN527" s="432"/>
      <c r="AO527" s="432"/>
      <c r="AP527" s="16"/>
      <c r="AQ527" s="16"/>
      <c r="AR527" s="130">
        <v>1404</v>
      </c>
      <c r="AS527" s="130">
        <v>11</v>
      </c>
      <c r="AT527" s="130"/>
      <c r="AU527" s="130"/>
      <c r="AV527" s="12" t="str">
        <f t="shared" si="28"/>
        <v/>
      </c>
      <c r="AW527" s="12" t="str">
        <f t="shared" si="27"/>
        <v/>
      </c>
      <c r="AX527" s="12"/>
      <c r="AY527" s="408"/>
    </row>
    <row r="528" spans="1:51" ht="30" hidden="1" customHeight="1" x14ac:dyDescent="0.2">
      <c r="A528" s="466">
        <v>528</v>
      </c>
      <c r="B528" s="432">
        <v>30</v>
      </c>
      <c r="C528" s="432">
        <v>11</v>
      </c>
      <c r="D528" s="16">
        <v>1404</v>
      </c>
      <c r="E528" s="431" t="s">
        <v>6177</v>
      </c>
      <c r="F528" s="431" t="s">
        <v>6</v>
      </c>
      <c r="G528" s="431"/>
      <c r="H528" s="432" t="s">
        <v>7</v>
      </c>
      <c r="I528" s="360" t="s">
        <v>5479</v>
      </c>
      <c r="J528" s="16" t="s">
        <v>84</v>
      </c>
      <c r="K528" s="35" t="s">
        <v>155</v>
      </c>
      <c r="L528" s="35" t="s">
        <v>104</v>
      </c>
      <c r="M528" s="431" t="s">
        <v>6386</v>
      </c>
      <c r="N528" s="41" t="s">
        <v>69</v>
      </c>
      <c r="O528" s="13" t="s">
        <v>70</v>
      </c>
      <c r="P528" s="13"/>
      <c r="Q528" s="13"/>
      <c r="R528" s="33" t="s">
        <v>167</v>
      </c>
      <c r="S528" s="33">
        <v>293</v>
      </c>
      <c r="T528" s="33">
        <v>15</v>
      </c>
      <c r="U528" s="431" t="s">
        <v>6387</v>
      </c>
      <c r="V528" s="41" t="s">
        <v>106</v>
      </c>
      <c r="W528" s="13" t="s">
        <v>107</v>
      </c>
      <c r="X528" s="431" t="s">
        <v>5187</v>
      </c>
      <c r="Y528" s="432" t="s">
        <v>6388</v>
      </c>
      <c r="Z528" s="432">
        <v>136</v>
      </c>
      <c r="AA528" s="432">
        <v>126</v>
      </c>
      <c r="AB528" s="16">
        <v>126</v>
      </c>
      <c r="AC528" s="16">
        <v>88</v>
      </c>
      <c r="AD528" s="16">
        <v>118</v>
      </c>
      <c r="AE528" s="16">
        <v>1</v>
      </c>
      <c r="AF528" s="16">
        <v>75</v>
      </c>
      <c r="AG528" s="16">
        <v>194</v>
      </c>
      <c r="AH528" s="16">
        <v>15</v>
      </c>
      <c r="AI528" s="16">
        <v>8</v>
      </c>
      <c r="AJ528" s="432"/>
      <c r="AK528" s="431" t="s">
        <v>6389</v>
      </c>
      <c r="AL528" s="25">
        <v>194</v>
      </c>
      <c r="AM528" s="432">
        <v>15</v>
      </c>
      <c r="AN528" s="432"/>
      <c r="AO528" s="432"/>
      <c r="AP528" s="16"/>
      <c r="AQ528" s="16"/>
      <c r="AR528" s="130">
        <v>1404</v>
      </c>
      <c r="AS528" s="130">
        <v>11</v>
      </c>
      <c r="AT528" s="130"/>
      <c r="AU528" s="130"/>
      <c r="AV528" s="12" t="str">
        <f t="shared" si="28"/>
        <v/>
      </c>
      <c r="AW528" s="12" t="str">
        <f t="shared" si="27"/>
        <v/>
      </c>
      <c r="AX528" s="12"/>
      <c r="AY528" s="408"/>
    </row>
    <row r="529" spans="1:51" ht="30" hidden="1" customHeight="1" x14ac:dyDescent="0.2">
      <c r="A529" s="466">
        <v>529</v>
      </c>
      <c r="B529" s="432">
        <v>1</v>
      </c>
      <c r="C529" s="432">
        <v>12</v>
      </c>
      <c r="D529" s="16">
        <v>1404</v>
      </c>
      <c r="E529" s="431" t="s">
        <v>6178</v>
      </c>
      <c r="F529" s="431" t="s">
        <v>2981</v>
      </c>
      <c r="G529" s="431"/>
      <c r="H529" s="432" t="s">
        <v>7</v>
      </c>
      <c r="I529" s="360" t="s">
        <v>5479</v>
      </c>
      <c r="J529" s="16" t="s">
        <v>5577</v>
      </c>
      <c r="K529" s="35" t="s">
        <v>155</v>
      </c>
      <c r="L529" s="35" t="s">
        <v>104</v>
      </c>
      <c r="M529" s="431"/>
      <c r="N529" s="41" t="s">
        <v>106</v>
      </c>
      <c r="O529" s="13" t="s">
        <v>107</v>
      </c>
      <c r="P529" s="13"/>
      <c r="Q529" s="13"/>
      <c r="R529" s="33" t="s">
        <v>332</v>
      </c>
      <c r="S529" s="33">
        <v>6609</v>
      </c>
      <c r="T529" s="33">
        <v>13</v>
      </c>
      <c r="U529" s="431" t="s">
        <v>6186</v>
      </c>
      <c r="V529" s="41" t="s">
        <v>106</v>
      </c>
      <c r="W529" s="13" t="s">
        <v>107</v>
      </c>
      <c r="X529" s="431" t="s">
        <v>5187</v>
      </c>
      <c r="Y529" s="432" t="s">
        <v>3947</v>
      </c>
      <c r="Z529" s="432">
        <v>228</v>
      </c>
      <c r="AA529" s="432">
        <v>216</v>
      </c>
      <c r="AB529" s="16">
        <v>216</v>
      </c>
      <c r="AC529" s="16">
        <v>115</v>
      </c>
      <c r="AD529" s="16">
        <v>171</v>
      </c>
      <c r="AE529" s="16">
        <v>3</v>
      </c>
      <c r="AF529" s="16">
        <v>18</v>
      </c>
      <c r="AG529" s="16">
        <v>192</v>
      </c>
      <c r="AH529" s="16">
        <v>14</v>
      </c>
      <c r="AI529" s="16">
        <v>6</v>
      </c>
      <c r="AJ529" s="432"/>
      <c r="AK529" s="431" t="s">
        <v>6185</v>
      </c>
      <c r="AL529" s="25">
        <v>192</v>
      </c>
      <c r="AM529" s="432">
        <v>14</v>
      </c>
      <c r="AN529" s="432"/>
      <c r="AO529" s="432"/>
      <c r="AP529" s="16"/>
      <c r="AQ529" s="16"/>
      <c r="AR529" s="130">
        <v>1404</v>
      </c>
      <c r="AS529" s="130">
        <v>12</v>
      </c>
      <c r="AT529" s="130"/>
      <c r="AU529" s="130"/>
      <c r="AV529" s="12" t="str">
        <f t="shared" si="28"/>
        <v/>
      </c>
      <c r="AW529" s="12" t="str">
        <f t="shared" si="27"/>
        <v/>
      </c>
      <c r="AX529" s="12"/>
      <c r="AY529" s="408"/>
    </row>
    <row r="530" spans="1:51" ht="30" hidden="1" customHeight="1" x14ac:dyDescent="0.2">
      <c r="A530" s="466">
        <v>530</v>
      </c>
      <c r="B530" s="432">
        <v>1</v>
      </c>
      <c r="C530" s="432">
        <v>12</v>
      </c>
      <c r="D530" s="16">
        <v>1404</v>
      </c>
      <c r="E530" s="431" t="s">
        <v>2467</v>
      </c>
      <c r="F530" s="431" t="s">
        <v>243</v>
      </c>
      <c r="G530" s="431" t="s">
        <v>4796</v>
      </c>
      <c r="H530" s="432" t="s">
        <v>83</v>
      </c>
      <c r="I530" s="360" t="s">
        <v>5479</v>
      </c>
      <c r="J530" s="16" t="s">
        <v>84</v>
      </c>
      <c r="K530" s="431"/>
      <c r="L530" s="431" t="s">
        <v>155</v>
      </c>
      <c r="M530" s="431"/>
      <c r="N530" s="41" t="s">
        <v>106</v>
      </c>
      <c r="O530" s="13" t="s">
        <v>107</v>
      </c>
      <c r="P530" s="13"/>
      <c r="Q530" s="13"/>
      <c r="R530" s="432"/>
      <c r="S530" s="432">
        <v>374</v>
      </c>
      <c r="T530" s="432">
        <v>6</v>
      </c>
      <c r="U530" s="431"/>
      <c r="V530" s="41" t="s">
        <v>106</v>
      </c>
      <c r="W530" s="13" t="s">
        <v>107</v>
      </c>
      <c r="X530" s="431"/>
      <c r="Y530" s="432" t="s">
        <v>3376</v>
      </c>
      <c r="Z530" s="432">
        <v>130</v>
      </c>
      <c r="AA530" s="432">
        <v>114</v>
      </c>
      <c r="AB530" s="16">
        <v>114</v>
      </c>
      <c r="AC530" s="16"/>
      <c r="AD530" s="16"/>
      <c r="AE530" s="16"/>
      <c r="AF530" s="16"/>
      <c r="AG530" s="16"/>
      <c r="AH530" s="16"/>
      <c r="AI530" s="16">
        <v>6</v>
      </c>
      <c r="AJ530" s="432"/>
      <c r="AK530" s="431"/>
      <c r="AL530" s="25"/>
      <c r="AM530" s="432"/>
      <c r="AN530" s="432"/>
      <c r="AO530" s="432"/>
      <c r="AP530" s="16" t="s">
        <v>5080</v>
      </c>
      <c r="AQ530" s="16" t="s">
        <v>161</v>
      </c>
      <c r="AR530" s="130">
        <v>1404</v>
      </c>
      <c r="AS530" s="130">
        <v>12</v>
      </c>
      <c r="AT530" s="130">
        <v>1402</v>
      </c>
      <c r="AU530" s="130">
        <v>3</v>
      </c>
      <c r="AV530" s="12">
        <f t="shared" si="28"/>
        <v>33</v>
      </c>
      <c r="AW530" s="12" t="str">
        <f t="shared" si="27"/>
        <v/>
      </c>
      <c r="AX530" s="12"/>
      <c r="AY530" s="408"/>
    </row>
    <row r="531" spans="1:51" ht="30" hidden="1" customHeight="1" x14ac:dyDescent="0.2">
      <c r="A531" s="466">
        <v>531</v>
      </c>
      <c r="B531" s="432">
        <v>1</v>
      </c>
      <c r="C531" s="432">
        <v>12</v>
      </c>
      <c r="D531" s="16">
        <v>1404</v>
      </c>
      <c r="E531" s="431" t="s">
        <v>2467</v>
      </c>
      <c r="F531" s="431" t="s">
        <v>243</v>
      </c>
      <c r="G531" s="431" t="s">
        <v>4796</v>
      </c>
      <c r="H531" s="432" t="s">
        <v>7</v>
      </c>
      <c r="I531" s="360" t="s">
        <v>5479</v>
      </c>
      <c r="J531" s="16" t="s">
        <v>84</v>
      </c>
      <c r="K531" s="35" t="s">
        <v>155</v>
      </c>
      <c r="L531" s="35" t="s">
        <v>6179</v>
      </c>
      <c r="M531" s="431" t="s">
        <v>6183</v>
      </c>
      <c r="N531" s="41"/>
      <c r="O531" s="13"/>
      <c r="P531" s="13"/>
      <c r="Q531" s="13" t="s">
        <v>3714</v>
      </c>
      <c r="R531" s="33" t="s">
        <v>804</v>
      </c>
      <c r="S531" s="33">
        <v>384</v>
      </c>
      <c r="T531" s="33">
        <v>8</v>
      </c>
      <c r="U531" s="431" t="s">
        <v>6184</v>
      </c>
      <c r="V531" s="41"/>
      <c r="W531" s="13"/>
      <c r="X531" s="431" t="s">
        <v>5187</v>
      </c>
      <c r="Y531" s="432" t="s">
        <v>3376</v>
      </c>
      <c r="Z531" s="432">
        <v>130</v>
      </c>
      <c r="AA531" s="432">
        <v>114</v>
      </c>
      <c r="AB531" s="16">
        <v>114</v>
      </c>
      <c r="AC531" s="16">
        <v>62</v>
      </c>
      <c r="AD531" s="16">
        <v>79</v>
      </c>
      <c r="AE531" s="16">
        <v>7</v>
      </c>
      <c r="AF531" s="16">
        <v>45</v>
      </c>
      <c r="AG531" s="16">
        <v>131</v>
      </c>
      <c r="AH531" s="16">
        <v>30</v>
      </c>
      <c r="AI531" s="16">
        <v>6</v>
      </c>
      <c r="AJ531" s="432"/>
      <c r="AK531" s="431" t="s">
        <v>6185</v>
      </c>
      <c r="AL531" s="25">
        <v>131</v>
      </c>
      <c r="AM531" s="432">
        <v>30</v>
      </c>
      <c r="AN531" s="432"/>
      <c r="AO531" s="432"/>
      <c r="AP531" s="16" t="s">
        <v>5080</v>
      </c>
      <c r="AQ531" s="16" t="s">
        <v>231</v>
      </c>
      <c r="AR531" s="130">
        <v>1404</v>
      </c>
      <c r="AS531" s="130">
        <v>12</v>
      </c>
      <c r="AT531" s="130"/>
      <c r="AU531" s="130"/>
      <c r="AV531" s="12" t="str">
        <f t="shared" si="28"/>
        <v/>
      </c>
      <c r="AW531" s="12" t="str">
        <f t="shared" si="27"/>
        <v/>
      </c>
      <c r="AX531" s="12"/>
      <c r="AY531" s="408"/>
    </row>
    <row r="532" spans="1:51" ht="30" hidden="1" customHeight="1" x14ac:dyDescent="0.2">
      <c r="A532" s="466">
        <v>532</v>
      </c>
      <c r="B532" s="432">
        <v>1</v>
      </c>
      <c r="C532" s="432">
        <v>12</v>
      </c>
      <c r="D532" s="16">
        <v>1404</v>
      </c>
      <c r="E532" s="431" t="s">
        <v>864</v>
      </c>
      <c r="F532" s="431" t="s">
        <v>8</v>
      </c>
      <c r="G532" s="431" t="s">
        <v>5247</v>
      </c>
      <c r="H532" s="432" t="s">
        <v>7</v>
      </c>
      <c r="I532" s="360" t="s">
        <v>5479</v>
      </c>
      <c r="J532" s="16" t="s">
        <v>5577</v>
      </c>
      <c r="K532" s="35" t="s">
        <v>6179</v>
      </c>
      <c r="L532" s="35" t="s">
        <v>155</v>
      </c>
      <c r="M532" s="431" t="s">
        <v>6180</v>
      </c>
      <c r="N532" s="41" t="s">
        <v>106</v>
      </c>
      <c r="O532" s="13" t="s">
        <v>107</v>
      </c>
      <c r="P532" s="13"/>
      <c r="Q532" s="13"/>
      <c r="R532" s="33" t="s">
        <v>332</v>
      </c>
      <c r="S532" s="33">
        <v>384</v>
      </c>
      <c r="T532" s="33">
        <v>8</v>
      </c>
      <c r="U532" s="431" t="s">
        <v>6181</v>
      </c>
      <c r="V532" s="41" t="s">
        <v>106</v>
      </c>
      <c r="W532" s="13" t="s">
        <v>107</v>
      </c>
      <c r="X532" s="431" t="s">
        <v>5187</v>
      </c>
      <c r="Y532" s="432" t="s">
        <v>1808</v>
      </c>
      <c r="Z532" s="432">
        <v>192</v>
      </c>
      <c r="AA532" s="432">
        <v>186</v>
      </c>
      <c r="AB532" s="16">
        <v>162</v>
      </c>
      <c r="AC532" s="16">
        <v>39</v>
      </c>
      <c r="AD532" s="16">
        <v>64</v>
      </c>
      <c r="AE532" s="16">
        <v>9</v>
      </c>
      <c r="AF532" s="16">
        <v>71</v>
      </c>
      <c r="AG532" s="16">
        <v>144</v>
      </c>
      <c r="AH532" s="16">
        <v>28</v>
      </c>
      <c r="AI532" s="16">
        <v>6</v>
      </c>
      <c r="AJ532" s="432"/>
      <c r="AK532" s="431" t="s">
        <v>6182</v>
      </c>
      <c r="AL532" s="25">
        <v>144</v>
      </c>
      <c r="AM532" s="432">
        <v>28</v>
      </c>
      <c r="AN532" s="432"/>
      <c r="AO532" s="432"/>
      <c r="AP532" s="16" t="s">
        <v>5080</v>
      </c>
      <c r="AQ532" s="16" t="s">
        <v>161</v>
      </c>
      <c r="AR532" s="130">
        <v>1404</v>
      </c>
      <c r="AS532" s="130">
        <v>12</v>
      </c>
      <c r="AT532" s="130"/>
      <c r="AU532" s="130"/>
      <c r="AV532" s="12" t="str">
        <f t="shared" si="28"/>
        <v/>
      </c>
      <c r="AW532" s="12" t="str">
        <f t="shared" si="27"/>
        <v/>
      </c>
      <c r="AX532" s="12"/>
      <c r="AY532" s="408"/>
    </row>
    <row r="533" spans="1:51" ht="30" hidden="1" customHeight="1" x14ac:dyDescent="0.2">
      <c r="A533" s="466">
        <v>533</v>
      </c>
      <c r="B533" s="432">
        <v>3</v>
      </c>
      <c r="C533" s="432">
        <v>12</v>
      </c>
      <c r="D533" s="16">
        <v>1404</v>
      </c>
      <c r="E533" s="431" t="s">
        <v>5536</v>
      </c>
      <c r="F533" s="431" t="s">
        <v>20</v>
      </c>
      <c r="G533" s="431"/>
      <c r="H533" s="432" t="s">
        <v>7</v>
      </c>
      <c r="I533" s="360" t="s">
        <v>5479</v>
      </c>
      <c r="J533" s="16" t="s">
        <v>5577</v>
      </c>
      <c r="K533" s="35" t="s">
        <v>117</v>
      </c>
      <c r="L533" s="35" t="s">
        <v>226</v>
      </c>
      <c r="M533" s="431" t="s">
        <v>6383</v>
      </c>
      <c r="N533" s="41" t="s">
        <v>106</v>
      </c>
      <c r="O533" s="13" t="s">
        <v>107</v>
      </c>
      <c r="P533" s="13"/>
      <c r="Q533" s="13"/>
      <c r="R533" s="33" t="s">
        <v>5083</v>
      </c>
      <c r="S533" s="33">
        <v>193</v>
      </c>
      <c r="T533" s="33">
        <v>14</v>
      </c>
      <c r="U533" s="431" t="s">
        <v>6384</v>
      </c>
      <c r="V533" s="41" t="s">
        <v>69</v>
      </c>
      <c r="W533" s="13" t="s">
        <v>70</v>
      </c>
      <c r="X533" s="431" t="s">
        <v>5187</v>
      </c>
      <c r="Y533" s="432" t="s">
        <v>3691</v>
      </c>
      <c r="Z533" s="432">
        <v>249</v>
      </c>
      <c r="AA533" s="432">
        <v>234</v>
      </c>
      <c r="AB533" s="16">
        <v>234</v>
      </c>
      <c r="AC533" s="16">
        <v>113</v>
      </c>
      <c r="AD533" s="16">
        <v>188</v>
      </c>
      <c r="AE533" s="16">
        <v>2</v>
      </c>
      <c r="AF533" s="16">
        <v>41</v>
      </c>
      <c r="AG533" s="16">
        <v>231</v>
      </c>
      <c r="AH533" s="16">
        <v>3</v>
      </c>
      <c r="AI533" s="16">
        <v>4</v>
      </c>
      <c r="AJ533" s="432"/>
      <c r="AK533" s="431" t="s">
        <v>6385</v>
      </c>
      <c r="AL533" s="25">
        <v>231</v>
      </c>
      <c r="AM533" s="432">
        <v>3</v>
      </c>
      <c r="AN533" s="432"/>
      <c r="AO533" s="432"/>
      <c r="AP533" s="16" t="s">
        <v>160</v>
      </c>
      <c r="AQ533" s="16" t="s">
        <v>231</v>
      </c>
      <c r="AR533" s="130">
        <v>1404</v>
      </c>
      <c r="AS533" s="130">
        <v>12</v>
      </c>
      <c r="AT533" s="130"/>
      <c r="AU533" s="130"/>
      <c r="AV533" s="12" t="str">
        <f t="shared" si="28"/>
        <v/>
      </c>
      <c r="AW533" s="12" t="str">
        <f t="shared" si="27"/>
        <v/>
      </c>
      <c r="AX533" s="12"/>
      <c r="AY533" s="408"/>
    </row>
    <row r="534" spans="1:51" ht="30" hidden="1" customHeight="1" x14ac:dyDescent="0.2">
      <c r="A534" s="466">
        <v>534</v>
      </c>
      <c r="B534" s="432">
        <v>3</v>
      </c>
      <c r="C534" s="432">
        <v>12</v>
      </c>
      <c r="D534" s="16">
        <v>1404</v>
      </c>
      <c r="E534" s="431" t="s">
        <v>2787</v>
      </c>
      <c r="F534" s="431" t="s">
        <v>8</v>
      </c>
      <c r="G534" s="431" t="s">
        <v>4038</v>
      </c>
      <c r="H534" s="432" t="s">
        <v>83</v>
      </c>
      <c r="I534" s="360" t="s">
        <v>5479</v>
      </c>
      <c r="J534" s="16" t="s">
        <v>84</v>
      </c>
      <c r="K534" s="431"/>
      <c r="L534" s="431" t="s">
        <v>218</v>
      </c>
      <c r="M534" s="431"/>
      <c r="N534" s="41" t="s">
        <v>106</v>
      </c>
      <c r="O534" s="13" t="s">
        <v>107</v>
      </c>
      <c r="P534" s="13"/>
      <c r="Q534" s="13"/>
      <c r="R534" s="432"/>
      <c r="S534" s="432">
        <v>384</v>
      </c>
      <c r="T534" s="432">
        <v>12</v>
      </c>
      <c r="U534" s="431"/>
      <c r="V534" s="41" t="s">
        <v>106</v>
      </c>
      <c r="W534" s="13" t="s">
        <v>107</v>
      </c>
      <c r="X534" s="431"/>
      <c r="Y534" s="432" t="s">
        <v>5049</v>
      </c>
      <c r="Z534" s="432">
        <v>250</v>
      </c>
      <c r="AA534" s="432">
        <v>186</v>
      </c>
      <c r="AB534" s="16">
        <v>186</v>
      </c>
      <c r="AC534" s="16"/>
      <c r="AD534" s="16"/>
      <c r="AE534" s="16"/>
      <c r="AF534" s="16"/>
      <c r="AG534" s="16"/>
      <c r="AH534" s="16"/>
      <c r="AI534" s="16">
        <v>6</v>
      </c>
      <c r="AJ534" s="432"/>
      <c r="AK534" s="431" t="s">
        <v>3714</v>
      </c>
      <c r="AL534" s="25"/>
      <c r="AM534" s="432"/>
      <c r="AN534" s="432"/>
      <c r="AO534" s="432"/>
      <c r="AP534" s="16"/>
      <c r="AQ534" s="16"/>
      <c r="AR534" s="130">
        <v>1404</v>
      </c>
      <c r="AS534" s="130">
        <v>12</v>
      </c>
      <c r="AT534" s="130">
        <v>1403</v>
      </c>
      <c r="AU534" s="130">
        <v>12</v>
      </c>
      <c r="AV534" s="12">
        <f t="shared" si="28"/>
        <v>12</v>
      </c>
      <c r="AW534" s="12">
        <f t="shared" si="27"/>
        <v>12</v>
      </c>
      <c r="AX534" s="12"/>
      <c r="AY534" s="408"/>
    </row>
    <row r="535" spans="1:51" ht="30" hidden="1" customHeight="1" x14ac:dyDescent="0.2">
      <c r="A535" s="466">
        <v>535</v>
      </c>
      <c r="B535" s="432">
        <v>3</v>
      </c>
      <c r="C535" s="432">
        <v>12</v>
      </c>
      <c r="D535" s="16">
        <v>1404</v>
      </c>
      <c r="E535" s="431" t="s">
        <v>1943</v>
      </c>
      <c r="F535" s="431" t="s">
        <v>6105</v>
      </c>
      <c r="G535" s="431" t="s">
        <v>922</v>
      </c>
      <c r="H535" s="432" t="s">
        <v>83</v>
      </c>
      <c r="I535" s="360" t="s">
        <v>5479</v>
      </c>
      <c r="J535" s="16" t="s">
        <v>84</v>
      </c>
      <c r="K535" s="431"/>
      <c r="L535" s="431" t="s">
        <v>117</v>
      </c>
      <c r="M535" s="431"/>
      <c r="N535" s="41" t="s">
        <v>106</v>
      </c>
      <c r="O535" s="13" t="s">
        <v>107</v>
      </c>
      <c r="P535" s="13"/>
      <c r="Q535" s="13"/>
      <c r="R535" s="432"/>
      <c r="S535" s="432">
        <v>6609</v>
      </c>
      <c r="T535" s="432">
        <v>12</v>
      </c>
      <c r="U535" s="431"/>
      <c r="V535" s="41" t="s">
        <v>106</v>
      </c>
      <c r="W535" s="13" t="s">
        <v>107</v>
      </c>
      <c r="X535" s="431"/>
      <c r="Y535" s="432" t="s">
        <v>4874</v>
      </c>
      <c r="Z535" s="432">
        <v>218</v>
      </c>
      <c r="AA535" s="432">
        <v>195</v>
      </c>
      <c r="AB535" s="16">
        <v>195</v>
      </c>
      <c r="AC535" s="16"/>
      <c r="AD535" s="16"/>
      <c r="AE535" s="16"/>
      <c r="AF535" s="16"/>
      <c r="AG535" s="16"/>
      <c r="AH535" s="16"/>
      <c r="AI535" s="16">
        <v>6</v>
      </c>
      <c r="AJ535" s="432"/>
      <c r="AK535" s="431"/>
      <c r="AL535" s="25"/>
      <c r="AM535" s="432"/>
      <c r="AN535" s="432"/>
      <c r="AO535" s="432"/>
      <c r="AP535" s="16"/>
      <c r="AQ535" s="16"/>
      <c r="AR535" s="130">
        <v>1404</v>
      </c>
      <c r="AS535" s="130">
        <v>12</v>
      </c>
      <c r="AT535" s="130">
        <v>1403</v>
      </c>
      <c r="AU535" s="130">
        <v>9</v>
      </c>
      <c r="AV535" s="12">
        <f t="shared" si="28"/>
        <v>15</v>
      </c>
      <c r="AW535" s="12" t="str">
        <f t="shared" si="27"/>
        <v/>
      </c>
      <c r="AX535" s="12"/>
      <c r="AY535" s="408"/>
    </row>
    <row r="536" spans="1:51" ht="30" hidden="1" customHeight="1" x14ac:dyDescent="0.2">
      <c r="A536" s="466">
        <v>536</v>
      </c>
      <c r="B536" s="432">
        <v>3</v>
      </c>
      <c r="C536" s="432">
        <v>12</v>
      </c>
      <c r="D536" s="16">
        <v>1404</v>
      </c>
      <c r="E536" s="431" t="s">
        <v>3699</v>
      </c>
      <c r="F536" s="431" t="s">
        <v>20</v>
      </c>
      <c r="G536" s="431"/>
      <c r="H536" s="432" t="s">
        <v>7</v>
      </c>
      <c r="I536" s="360" t="s">
        <v>5479</v>
      </c>
      <c r="J536" s="16" t="s">
        <v>84</v>
      </c>
      <c r="K536" s="35" t="s">
        <v>104</v>
      </c>
      <c r="L536" s="35" t="s">
        <v>117</v>
      </c>
      <c r="M536" s="431" t="s">
        <v>6379</v>
      </c>
      <c r="N536" s="41" t="s">
        <v>69</v>
      </c>
      <c r="O536" s="13" t="s">
        <v>70</v>
      </c>
      <c r="P536" s="13"/>
      <c r="Q536" s="13"/>
      <c r="R536" s="33" t="s">
        <v>1727</v>
      </c>
      <c r="S536" s="33">
        <v>6608</v>
      </c>
      <c r="T536" s="33">
        <v>19</v>
      </c>
      <c r="U536" s="431" t="s">
        <v>6380</v>
      </c>
      <c r="V536" s="41" t="s">
        <v>69</v>
      </c>
      <c r="W536" s="13" t="s">
        <v>70</v>
      </c>
      <c r="X536" s="431"/>
      <c r="Y536" s="432" t="s">
        <v>6381</v>
      </c>
      <c r="Z536" s="432">
        <v>192</v>
      </c>
      <c r="AA536" s="432">
        <v>186</v>
      </c>
      <c r="AB536" s="16">
        <v>186</v>
      </c>
      <c r="AC536" s="16">
        <v>87</v>
      </c>
      <c r="AD536" s="16">
        <v>165</v>
      </c>
      <c r="AE536" s="16">
        <v>2</v>
      </c>
      <c r="AF536" s="16">
        <v>43</v>
      </c>
      <c r="AG536" s="16">
        <v>210</v>
      </c>
      <c r="AH536" s="16">
        <v>10</v>
      </c>
      <c r="AI536" s="16">
        <v>6</v>
      </c>
      <c r="AJ536" s="432"/>
      <c r="AK536" s="431" t="s">
        <v>6382</v>
      </c>
      <c r="AL536" s="25">
        <v>210</v>
      </c>
      <c r="AM536" s="432">
        <v>10</v>
      </c>
      <c r="AN536" s="432"/>
      <c r="AO536" s="432"/>
      <c r="AP536" s="16" t="s">
        <v>5080</v>
      </c>
      <c r="AQ536" s="16" t="s">
        <v>112</v>
      </c>
      <c r="AR536" s="130">
        <v>1404</v>
      </c>
      <c r="AS536" s="130">
        <v>12</v>
      </c>
      <c r="AT536" s="130"/>
      <c r="AU536" s="130"/>
      <c r="AV536" s="12" t="str">
        <f t="shared" si="28"/>
        <v/>
      </c>
      <c r="AW536" s="12" t="str">
        <f t="shared" si="27"/>
        <v/>
      </c>
      <c r="AX536" s="12"/>
      <c r="AY536" s="408"/>
    </row>
    <row r="537" spans="1:51" ht="30" hidden="1" customHeight="1" x14ac:dyDescent="0.2">
      <c r="A537" s="466">
        <v>537</v>
      </c>
      <c r="B537" s="432">
        <v>4</v>
      </c>
      <c r="C537" s="432">
        <v>12</v>
      </c>
      <c r="D537" s="16">
        <v>1404</v>
      </c>
      <c r="E537" s="431" t="s">
        <v>6187</v>
      </c>
      <c r="F537" s="431" t="s">
        <v>9</v>
      </c>
      <c r="G537" s="431" t="s">
        <v>222</v>
      </c>
      <c r="H537" s="432" t="s">
        <v>83</v>
      </c>
      <c r="I537" s="360" t="s">
        <v>5479</v>
      </c>
      <c r="J537" s="16" t="s">
        <v>84</v>
      </c>
      <c r="K537" s="431"/>
      <c r="L537" s="431" t="s">
        <v>140</v>
      </c>
      <c r="M537" s="431"/>
      <c r="N537" s="41" t="s">
        <v>106</v>
      </c>
      <c r="O537" s="13" t="s">
        <v>107</v>
      </c>
      <c r="P537" s="13"/>
      <c r="Q537" s="13"/>
      <c r="R537" s="432"/>
      <c r="S537" s="432">
        <v>293</v>
      </c>
      <c r="T537" s="432">
        <v>10</v>
      </c>
      <c r="U537" s="431"/>
      <c r="V537" s="41" t="s">
        <v>106</v>
      </c>
      <c r="W537" s="13" t="s">
        <v>107</v>
      </c>
      <c r="X537" s="431"/>
      <c r="Y537" s="432" t="s">
        <v>6378</v>
      </c>
      <c r="Z537" s="432">
        <v>225</v>
      </c>
      <c r="AA537" s="432">
        <v>204</v>
      </c>
      <c r="AB537" s="16">
        <v>204</v>
      </c>
      <c r="AC537" s="16"/>
      <c r="AD537" s="16"/>
      <c r="AE537" s="16"/>
      <c r="AF537" s="16"/>
      <c r="AG537" s="16"/>
      <c r="AH537" s="16"/>
      <c r="AI537" s="16">
        <v>4</v>
      </c>
      <c r="AJ537" s="432"/>
      <c r="AK537" s="431"/>
      <c r="AL537" s="25"/>
      <c r="AM537" s="432"/>
      <c r="AN537" s="432"/>
      <c r="AO537" s="432"/>
      <c r="AP537" s="16"/>
      <c r="AQ537" s="16"/>
      <c r="AR537" s="130">
        <v>1404</v>
      </c>
      <c r="AS537" s="130">
        <v>12</v>
      </c>
      <c r="AT537" s="130">
        <v>1396</v>
      </c>
      <c r="AU537" s="130">
        <v>5</v>
      </c>
      <c r="AV537" s="12">
        <f t="shared" si="28"/>
        <v>103</v>
      </c>
      <c r="AW537" s="12" t="str">
        <f t="shared" si="27"/>
        <v/>
      </c>
      <c r="AX537" s="12"/>
      <c r="AY537" s="408"/>
    </row>
    <row r="538" spans="1:51" ht="30" hidden="1" customHeight="1" x14ac:dyDescent="0.2">
      <c r="A538" s="466">
        <v>538</v>
      </c>
      <c r="B538" s="432">
        <v>5</v>
      </c>
      <c r="C538" s="432">
        <v>12</v>
      </c>
      <c r="D538" s="16">
        <v>1404</v>
      </c>
      <c r="E538" s="431" t="s">
        <v>6188</v>
      </c>
      <c r="F538" s="431" t="s">
        <v>66</v>
      </c>
      <c r="G538" s="431"/>
      <c r="H538" s="467" t="s">
        <v>7</v>
      </c>
      <c r="I538" s="360" t="s">
        <v>5479</v>
      </c>
      <c r="J538" s="16" t="s">
        <v>84</v>
      </c>
      <c r="K538" s="431"/>
      <c r="L538" s="431" t="s">
        <v>334</v>
      </c>
      <c r="M538" s="431" t="s">
        <v>6192</v>
      </c>
      <c r="N538" s="41" t="s">
        <v>69</v>
      </c>
      <c r="O538" s="13" t="s">
        <v>70</v>
      </c>
      <c r="P538" s="13"/>
      <c r="Q538" s="13"/>
      <c r="R538" s="432"/>
      <c r="S538" s="432">
        <v>233</v>
      </c>
      <c r="T538" s="432">
        <v>14</v>
      </c>
      <c r="U538" s="431" t="s">
        <v>6193</v>
      </c>
      <c r="V538" s="41" t="s">
        <v>142</v>
      </c>
      <c r="W538" s="13" t="s">
        <v>70</v>
      </c>
      <c r="X538" s="431"/>
      <c r="Y538" s="432"/>
      <c r="Z538" s="432">
        <v>258</v>
      </c>
      <c r="AA538" s="432"/>
      <c r="AB538" s="16">
        <v>246</v>
      </c>
      <c r="AC538" s="16">
        <v>111</v>
      </c>
      <c r="AD538" s="16">
        <v>119</v>
      </c>
      <c r="AE538" s="16"/>
      <c r="AF538" s="16">
        <v>56</v>
      </c>
      <c r="AG538" s="16">
        <v>218</v>
      </c>
      <c r="AH538" s="16">
        <v>5</v>
      </c>
      <c r="AI538" s="16">
        <v>4</v>
      </c>
      <c r="AJ538" s="432"/>
      <c r="AK538" s="431" t="s">
        <v>6191</v>
      </c>
      <c r="AL538" s="25">
        <v>218</v>
      </c>
      <c r="AM538" s="432">
        <v>5</v>
      </c>
      <c r="AN538" s="432"/>
      <c r="AO538" s="432"/>
      <c r="AP538" s="16" t="s">
        <v>5801</v>
      </c>
      <c r="AQ538" s="16" t="s">
        <v>112</v>
      </c>
      <c r="AR538" s="130">
        <v>1404</v>
      </c>
      <c r="AS538" s="130">
        <v>12</v>
      </c>
      <c r="AT538" s="130"/>
      <c r="AU538" s="130"/>
      <c r="AV538" s="12" t="str">
        <f t="shared" si="28"/>
        <v/>
      </c>
      <c r="AW538" s="12" t="str">
        <f t="shared" si="27"/>
        <v/>
      </c>
      <c r="AX538" s="12"/>
      <c r="AY538" s="408"/>
    </row>
    <row r="539" spans="1:51" ht="30" hidden="1" customHeight="1" x14ac:dyDescent="0.2">
      <c r="A539" s="466">
        <v>539</v>
      </c>
      <c r="B539" s="432">
        <v>5</v>
      </c>
      <c r="C539" s="432">
        <v>12</v>
      </c>
      <c r="D539" s="16">
        <v>1404</v>
      </c>
      <c r="E539" s="431" t="s">
        <v>4275</v>
      </c>
      <c r="F539" s="431" t="s">
        <v>2981</v>
      </c>
      <c r="G539" s="431" t="s">
        <v>90</v>
      </c>
      <c r="H539" s="432" t="s">
        <v>7</v>
      </c>
      <c r="I539" s="360" t="s">
        <v>5479</v>
      </c>
      <c r="J539" s="16" t="s">
        <v>84</v>
      </c>
      <c r="K539" s="431"/>
      <c r="L539" s="431" t="s">
        <v>117</v>
      </c>
      <c r="M539" s="431" t="s">
        <v>6189</v>
      </c>
      <c r="N539" s="41" t="s">
        <v>106</v>
      </c>
      <c r="O539" s="13" t="s">
        <v>107</v>
      </c>
      <c r="P539" s="13"/>
      <c r="Q539" s="13"/>
      <c r="R539" s="432"/>
      <c r="S539" s="432">
        <v>384</v>
      </c>
      <c r="T539" s="432">
        <v>6</v>
      </c>
      <c r="U539" s="431" t="s">
        <v>6190</v>
      </c>
      <c r="V539" s="41" t="s">
        <v>106</v>
      </c>
      <c r="W539" s="13" t="s">
        <v>107</v>
      </c>
      <c r="X539" s="431"/>
      <c r="Y539" s="432"/>
      <c r="Z539" s="432">
        <v>240</v>
      </c>
      <c r="AA539" s="432"/>
      <c r="AB539" s="16">
        <v>210</v>
      </c>
      <c r="AC539" s="16">
        <v>53</v>
      </c>
      <c r="AD539" s="16">
        <v>81</v>
      </c>
      <c r="AE539" s="16">
        <v>8</v>
      </c>
      <c r="AF539" s="16">
        <v>25</v>
      </c>
      <c r="AG539" s="16">
        <v>114</v>
      </c>
      <c r="AH539" s="16">
        <v>25</v>
      </c>
      <c r="AI539" s="16">
        <v>6</v>
      </c>
      <c r="AJ539" s="432"/>
      <c r="AK539" s="431" t="s">
        <v>6191</v>
      </c>
      <c r="AL539" s="25">
        <v>114</v>
      </c>
      <c r="AM539" s="432">
        <v>25</v>
      </c>
      <c r="AN539" s="432"/>
      <c r="AO539" s="432"/>
      <c r="AP539" s="16" t="s">
        <v>5801</v>
      </c>
      <c r="AQ539" s="16" t="s">
        <v>161</v>
      </c>
      <c r="AR539" s="130">
        <v>1404</v>
      </c>
      <c r="AS539" s="130">
        <v>12</v>
      </c>
      <c r="AT539" s="130"/>
      <c r="AU539" s="130"/>
      <c r="AV539" s="12" t="str">
        <f t="shared" si="28"/>
        <v/>
      </c>
      <c r="AW539" s="12" t="str">
        <f t="shared" si="27"/>
        <v/>
      </c>
      <c r="AX539" s="12"/>
      <c r="AY539" s="408"/>
    </row>
    <row r="540" spans="1:51" ht="30" hidden="1" customHeight="1" x14ac:dyDescent="0.2">
      <c r="A540" s="466">
        <v>540</v>
      </c>
      <c r="B540" s="432">
        <v>5</v>
      </c>
      <c r="C540" s="432">
        <v>12</v>
      </c>
      <c r="D540" s="16">
        <v>1404</v>
      </c>
      <c r="E540" s="431" t="s">
        <v>2288</v>
      </c>
      <c r="F540" s="431" t="s">
        <v>243</v>
      </c>
      <c r="G540" s="489" t="s">
        <v>4038</v>
      </c>
      <c r="H540" s="467" t="s">
        <v>83</v>
      </c>
      <c r="I540" s="360" t="s">
        <v>5479</v>
      </c>
      <c r="J540" s="16" t="s">
        <v>5577</v>
      </c>
      <c r="K540" s="431"/>
      <c r="L540" s="431" t="s">
        <v>104</v>
      </c>
      <c r="M540" s="431"/>
      <c r="N540" s="41" t="s">
        <v>106</v>
      </c>
      <c r="O540" s="13" t="s">
        <v>107</v>
      </c>
      <c r="P540" s="13"/>
      <c r="Q540" s="13"/>
      <c r="R540" s="432" t="s">
        <v>3714</v>
      </c>
      <c r="S540" s="432">
        <v>374</v>
      </c>
      <c r="T540" s="432">
        <v>6</v>
      </c>
      <c r="U540" s="431"/>
      <c r="V540" s="41" t="s">
        <v>106</v>
      </c>
      <c r="W540" s="13" t="s">
        <v>107</v>
      </c>
      <c r="X540" s="431"/>
      <c r="Y540" s="432" t="s">
        <v>6377</v>
      </c>
      <c r="Z540" s="432">
        <v>132</v>
      </c>
      <c r="AA540" s="432">
        <v>120</v>
      </c>
      <c r="AB540" s="16">
        <v>120</v>
      </c>
      <c r="AC540" s="16"/>
      <c r="AD540" s="16"/>
      <c r="AE540" s="16"/>
      <c r="AF540" s="16"/>
      <c r="AG540" s="16"/>
      <c r="AH540" s="16"/>
      <c r="AI540" s="16">
        <v>6</v>
      </c>
      <c r="AJ540" s="432"/>
      <c r="AK540" s="431"/>
      <c r="AL540" s="25"/>
      <c r="AM540" s="432"/>
      <c r="AN540" s="432"/>
      <c r="AO540" s="432"/>
      <c r="AP540" s="16" t="s">
        <v>5080</v>
      </c>
      <c r="AQ540" s="16" t="s">
        <v>112</v>
      </c>
      <c r="AR540" s="130">
        <v>1404</v>
      </c>
      <c r="AS540" s="130">
        <v>12</v>
      </c>
      <c r="AT540" s="130">
        <v>1400</v>
      </c>
      <c r="AU540" s="130">
        <v>11</v>
      </c>
      <c r="AV540" s="12">
        <f t="shared" si="28"/>
        <v>49</v>
      </c>
      <c r="AW540" s="12" t="str">
        <f t="shared" si="27"/>
        <v/>
      </c>
      <c r="AX540" s="12"/>
      <c r="AY540" s="408"/>
    </row>
    <row r="541" spans="1:51" ht="30" hidden="1" customHeight="1" x14ac:dyDescent="0.2">
      <c r="A541" s="466">
        <v>541</v>
      </c>
      <c r="B541" s="432">
        <v>6</v>
      </c>
      <c r="C541" s="432">
        <v>12</v>
      </c>
      <c r="D541" s="16">
        <v>1404</v>
      </c>
      <c r="E541" s="431" t="s">
        <v>2278</v>
      </c>
      <c r="F541" s="431" t="s">
        <v>243</v>
      </c>
      <c r="G541" s="489" t="s">
        <v>4038</v>
      </c>
      <c r="H541" s="432" t="s">
        <v>83</v>
      </c>
      <c r="I541" s="360" t="s">
        <v>5479</v>
      </c>
      <c r="J541" s="16" t="s">
        <v>84</v>
      </c>
      <c r="K541" s="431"/>
      <c r="L541" s="431" t="s">
        <v>104</v>
      </c>
      <c r="M541" s="431"/>
      <c r="N541" s="41" t="s">
        <v>106</v>
      </c>
      <c r="O541" s="13" t="s">
        <v>107</v>
      </c>
      <c r="P541" s="13"/>
      <c r="Q541" s="13"/>
      <c r="R541" s="432"/>
      <c r="S541" s="432">
        <v>374</v>
      </c>
      <c r="T541" s="432">
        <v>5</v>
      </c>
      <c r="U541" s="431"/>
      <c r="V541" s="41" t="s">
        <v>106</v>
      </c>
      <c r="W541" s="13" t="s">
        <v>107</v>
      </c>
      <c r="X541" s="431"/>
      <c r="Y541" s="432"/>
      <c r="Z541" s="432">
        <v>200</v>
      </c>
      <c r="AA541" s="432">
        <v>138</v>
      </c>
      <c r="AB541" s="16">
        <v>138</v>
      </c>
      <c r="AC541" s="16"/>
      <c r="AD541" s="16"/>
      <c r="AE541" s="16"/>
      <c r="AF541" s="16"/>
      <c r="AG541" s="16"/>
      <c r="AH541" s="16"/>
      <c r="AI541" s="16">
        <v>6</v>
      </c>
      <c r="AJ541" s="432"/>
      <c r="AK541" s="431"/>
      <c r="AL541" s="25"/>
      <c r="AM541" s="432"/>
      <c r="AN541" s="432"/>
      <c r="AO541" s="432"/>
      <c r="AP541" s="16"/>
      <c r="AQ541" s="16"/>
      <c r="AR541" s="130">
        <v>1404</v>
      </c>
      <c r="AS541" s="130">
        <v>12</v>
      </c>
      <c r="AT541" s="130">
        <v>1400</v>
      </c>
      <c r="AU541" s="130">
        <v>3</v>
      </c>
      <c r="AV541" s="12">
        <f t="shared" si="28"/>
        <v>57</v>
      </c>
      <c r="AW541" s="12" t="str">
        <f t="shared" si="27"/>
        <v/>
      </c>
      <c r="AX541" s="12"/>
      <c r="AY541" s="408"/>
    </row>
    <row r="542" spans="1:51" s="21" customFormat="1" ht="60.75" hidden="1" customHeight="1" x14ac:dyDescent="0.2">
      <c r="A542" s="20">
        <v>542</v>
      </c>
      <c r="B542" s="20">
        <v>6</v>
      </c>
      <c r="C542" s="20">
        <v>12</v>
      </c>
      <c r="D542" s="29">
        <v>1404</v>
      </c>
      <c r="E542" s="30" t="s">
        <v>6045</v>
      </c>
      <c r="F542" s="30" t="s">
        <v>2981</v>
      </c>
      <c r="G542" s="30" t="s">
        <v>4038</v>
      </c>
      <c r="H542" s="20" t="s">
        <v>83</v>
      </c>
      <c r="I542" s="360" t="s">
        <v>5479</v>
      </c>
      <c r="J542" s="29" t="s">
        <v>5577</v>
      </c>
      <c r="K542" s="30" t="s">
        <v>3714</v>
      </c>
      <c r="L542" s="30" t="s">
        <v>2159</v>
      </c>
      <c r="M542" s="30" t="s">
        <v>6223</v>
      </c>
      <c r="N542" s="30" t="s">
        <v>106</v>
      </c>
      <c r="O542" s="20" t="s">
        <v>107</v>
      </c>
      <c r="P542" s="20"/>
      <c r="Q542" s="20"/>
      <c r="R542" s="20"/>
      <c r="S542" s="20">
        <v>486</v>
      </c>
      <c r="T542" s="20">
        <v>2</v>
      </c>
      <c r="U542" s="30" t="s">
        <v>6223</v>
      </c>
      <c r="V542" s="30" t="s">
        <v>106</v>
      </c>
      <c r="W542" s="20" t="s">
        <v>107</v>
      </c>
      <c r="X542" s="30"/>
      <c r="Y542" s="20"/>
      <c r="Z542" s="20"/>
      <c r="AA542" s="20"/>
      <c r="AB542" s="29"/>
      <c r="AC542" s="29"/>
      <c r="AD542" s="29"/>
      <c r="AE542" s="29"/>
      <c r="AF542" s="29"/>
      <c r="AG542" s="29"/>
      <c r="AH542" s="29"/>
      <c r="AI542" s="29"/>
      <c r="AJ542" s="20"/>
      <c r="AK542" s="30"/>
      <c r="AL542" s="36"/>
      <c r="AM542" s="20"/>
      <c r="AN542" s="20"/>
      <c r="AO542" s="20"/>
      <c r="AP542" s="29"/>
      <c r="AQ542" s="29"/>
      <c r="AR542" s="318">
        <v>1404</v>
      </c>
      <c r="AS542" s="318">
        <v>12</v>
      </c>
      <c r="AT542" s="318"/>
      <c r="AU542" s="318"/>
      <c r="AV542" s="31" t="str">
        <f t="shared" ref="AV542:AV589" si="29">IF(AR542*AT542&gt;0,(AR542-AT542)*12+(AS542-AU542),"")</f>
        <v/>
      </c>
      <c r="AW542" s="31" t="str">
        <f t="shared" ref="AW542:AW589" si="30">IF(AV542&lt;13,AV542,"")</f>
        <v/>
      </c>
      <c r="AX542" s="31"/>
      <c r="AY542" s="409" t="s">
        <v>6226</v>
      </c>
    </row>
    <row r="543" spans="1:51" s="21" customFormat="1" ht="30" hidden="1" customHeight="1" x14ac:dyDescent="0.2">
      <c r="A543" s="20">
        <v>543</v>
      </c>
      <c r="B543" s="20">
        <v>6</v>
      </c>
      <c r="C543" s="20">
        <v>12</v>
      </c>
      <c r="D543" s="29">
        <v>1404</v>
      </c>
      <c r="E543" s="30" t="s">
        <v>6045</v>
      </c>
      <c r="F543" s="30" t="s">
        <v>2981</v>
      </c>
      <c r="G543" s="30"/>
      <c r="H543" s="20" t="s">
        <v>7</v>
      </c>
      <c r="I543" s="360" t="s">
        <v>5479</v>
      </c>
      <c r="J543" s="29" t="s">
        <v>5577</v>
      </c>
      <c r="K543" s="30" t="s">
        <v>2159</v>
      </c>
      <c r="L543" s="30" t="s">
        <v>2159</v>
      </c>
      <c r="M543" s="30" t="s">
        <v>6223</v>
      </c>
      <c r="N543" s="30" t="s">
        <v>69</v>
      </c>
      <c r="O543" s="20" t="s">
        <v>70</v>
      </c>
      <c r="P543" s="20"/>
      <c r="Q543" s="20"/>
      <c r="R543" s="20" t="s">
        <v>6224</v>
      </c>
      <c r="S543" s="20">
        <v>486</v>
      </c>
      <c r="T543" s="20">
        <v>2</v>
      </c>
      <c r="U543" s="30" t="s">
        <v>6223</v>
      </c>
      <c r="V543" s="30" t="s">
        <v>69</v>
      </c>
      <c r="W543" s="20" t="s">
        <v>70</v>
      </c>
      <c r="X543" s="30" t="s">
        <v>4420</v>
      </c>
      <c r="Y543" s="20"/>
      <c r="Z543" s="20"/>
      <c r="AA543" s="20"/>
      <c r="AB543" s="29"/>
      <c r="AC543" s="29"/>
      <c r="AD543" s="29"/>
      <c r="AE543" s="29"/>
      <c r="AF543" s="29"/>
      <c r="AG543" s="29"/>
      <c r="AH543" s="29"/>
      <c r="AI543" s="29"/>
      <c r="AJ543" s="20"/>
      <c r="AK543" s="30"/>
      <c r="AL543" s="36"/>
      <c r="AM543" s="20"/>
      <c r="AN543" s="20"/>
      <c r="AO543" s="20"/>
      <c r="AP543" s="29"/>
      <c r="AQ543" s="29"/>
      <c r="AR543" s="318">
        <v>1404</v>
      </c>
      <c r="AS543" s="318">
        <v>12</v>
      </c>
      <c r="AT543" s="318"/>
      <c r="AU543" s="318"/>
      <c r="AV543" s="31" t="str">
        <f t="shared" si="29"/>
        <v/>
      </c>
      <c r="AW543" s="31" t="str">
        <f t="shared" si="30"/>
        <v/>
      </c>
      <c r="AX543" s="31"/>
      <c r="AY543" s="409" t="s">
        <v>6225</v>
      </c>
    </row>
    <row r="544" spans="1:51" ht="30" hidden="1" customHeight="1" x14ac:dyDescent="0.2">
      <c r="A544" s="466">
        <v>544</v>
      </c>
      <c r="B544" s="432">
        <v>7</v>
      </c>
      <c r="C544" s="432">
        <v>12</v>
      </c>
      <c r="D544" s="16">
        <v>1404</v>
      </c>
      <c r="E544" s="431" t="s">
        <v>2450</v>
      </c>
      <c r="F544" s="431" t="s">
        <v>6</v>
      </c>
      <c r="G544" s="431" t="s">
        <v>5608</v>
      </c>
      <c r="H544" s="432" t="s">
        <v>83</v>
      </c>
      <c r="I544" s="360" t="s">
        <v>5479</v>
      </c>
      <c r="J544" s="16" t="s">
        <v>84</v>
      </c>
      <c r="K544" s="431"/>
      <c r="L544" s="431" t="s">
        <v>218</v>
      </c>
      <c r="M544" s="431" t="s">
        <v>6221</v>
      </c>
      <c r="N544" s="41" t="s">
        <v>106</v>
      </c>
      <c r="O544" s="13" t="s">
        <v>107</v>
      </c>
      <c r="P544" s="13"/>
      <c r="Q544" s="13"/>
      <c r="R544" s="432"/>
      <c r="S544" s="432">
        <v>384</v>
      </c>
      <c r="T544" s="432">
        <v>11</v>
      </c>
      <c r="U544" s="431" t="s">
        <v>6222</v>
      </c>
      <c r="V544" s="41" t="s">
        <v>106</v>
      </c>
      <c r="W544" s="13" t="s">
        <v>107</v>
      </c>
      <c r="X544" s="431"/>
      <c r="Y544" s="432" t="s">
        <v>4492</v>
      </c>
      <c r="Z544" s="432">
        <v>228</v>
      </c>
      <c r="AA544" s="432">
        <v>213</v>
      </c>
      <c r="AB544" s="16">
        <v>213</v>
      </c>
      <c r="AC544" s="16"/>
      <c r="AD544" s="16"/>
      <c r="AE544" s="16"/>
      <c r="AF544" s="16"/>
      <c r="AG544" s="16"/>
      <c r="AH544" s="16"/>
      <c r="AI544" s="16">
        <v>6</v>
      </c>
      <c r="AJ544" s="432"/>
      <c r="AK544" s="431"/>
      <c r="AL544" s="25"/>
      <c r="AM544" s="432"/>
      <c r="AN544" s="432"/>
      <c r="AO544" s="432"/>
      <c r="AP544" s="16" t="s">
        <v>160</v>
      </c>
      <c r="AQ544" s="16" t="s">
        <v>165</v>
      </c>
      <c r="AR544" s="130">
        <v>1404</v>
      </c>
      <c r="AS544" s="130">
        <v>12</v>
      </c>
      <c r="AT544" s="130">
        <v>1403</v>
      </c>
      <c r="AU544" s="130">
        <v>3</v>
      </c>
      <c r="AV544" s="12">
        <f t="shared" si="29"/>
        <v>21</v>
      </c>
      <c r="AW544" s="12" t="str">
        <f t="shared" si="30"/>
        <v/>
      </c>
      <c r="AX544" s="12"/>
      <c r="AY544" s="408"/>
    </row>
    <row r="545" spans="1:51" ht="30" hidden="1" customHeight="1" x14ac:dyDescent="0.2">
      <c r="A545" s="466">
        <v>545</v>
      </c>
      <c r="B545" s="432">
        <v>7</v>
      </c>
      <c r="C545" s="432">
        <v>12</v>
      </c>
      <c r="D545" s="16">
        <v>1404</v>
      </c>
      <c r="E545" s="431" t="s">
        <v>5537</v>
      </c>
      <c r="F545" s="431"/>
      <c r="G545" s="431"/>
      <c r="H545" s="432" t="s">
        <v>7</v>
      </c>
      <c r="I545" s="360" t="s">
        <v>5479</v>
      </c>
      <c r="J545" s="16" t="s">
        <v>84</v>
      </c>
      <c r="K545" s="431" t="s">
        <v>104</v>
      </c>
      <c r="L545" s="431" t="s">
        <v>68</v>
      </c>
      <c r="M545" s="431" t="s">
        <v>6218</v>
      </c>
      <c r="N545" s="41" t="s">
        <v>106</v>
      </c>
      <c r="O545" s="13" t="s">
        <v>107</v>
      </c>
      <c r="P545" s="13"/>
      <c r="Q545" s="13"/>
      <c r="R545" s="432" t="s">
        <v>248</v>
      </c>
      <c r="S545" s="432">
        <v>293</v>
      </c>
      <c r="T545" s="432">
        <v>17</v>
      </c>
      <c r="U545" s="431" t="s">
        <v>6219</v>
      </c>
      <c r="V545" s="41" t="s">
        <v>106</v>
      </c>
      <c r="W545" s="13" t="s">
        <v>107</v>
      </c>
      <c r="X545" s="431" t="s">
        <v>5187</v>
      </c>
      <c r="Y545" s="432" t="s">
        <v>5546</v>
      </c>
      <c r="Z545" s="432">
        <v>246</v>
      </c>
      <c r="AA545" s="432">
        <v>231</v>
      </c>
      <c r="AB545" s="16">
        <v>231</v>
      </c>
      <c r="AC545" s="16">
        <v>92</v>
      </c>
      <c r="AD545" s="16">
        <v>182</v>
      </c>
      <c r="AE545" s="16">
        <v>4</v>
      </c>
      <c r="AF545" s="16">
        <v>50</v>
      </c>
      <c r="AG545" s="16">
        <v>236</v>
      </c>
      <c r="AH545" s="16">
        <v>15</v>
      </c>
      <c r="AI545" s="16">
        <v>6</v>
      </c>
      <c r="AJ545" s="432"/>
      <c r="AK545" s="431" t="s">
        <v>6220</v>
      </c>
      <c r="AL545" s="25">
        <v>236</v>
      </c>
      <c r="AM545" s="432">
        <v>15</v>
      </c>
      <c r="AN545" s="432"/>
      <c r="AO545" s="432"/>
      <c r="AP545" s="16" t="s">
        <v>160</v>
      </c>
      <c r="AQ545" s="16" t="s">
        <v>193</v>
      </c>
      <c r="AR545" s="130">
        <v>1404</v>
      </c>
      <c r="AS545" s="130">
        <v>12</v>
      </c>
      <c r="AT545" s="130"/>
      <c r="AU545" s="130"/>
      <c r="AV545" s="12" t="str">
        <f t="shared" si="29"/>
        <v/>
      </c>
      <c r="AW545" s="12" t="str">
        <f t="shared" si="30"/>
        <v/>
      </c>
      <c r="AX545" s="12"/>
      <c r="AY545" s="408"/>
    </row>
    <row r="546" spans="1:51" ht="30" hidden="1" customHeight="1" x14ac:dyDescent="0.2">
      <c r="A546" s="466">
        <v>546</v>
      </c>
      <c r="B546" s="432">
        <v>8</v>
      </c>
      <c r="C546" s="432">
        <v>12</v>
      </c>
      <c r="D546" s="16">
        <v>1404</v>
      </c>
      <c r="E546" s="431" t="s">
        <v>6176</v>
      </c>
      <c r="F546" s="431"/>
      <c r="G546" s="431"/>
      <c r="H546" s="432" t="s">
        <v>7</v>
      </c>
      <c r="I546" s="360" t="s">
        <v>5479</v>
      </c>
      <c r="J546" s="16" t="s">
        <v>84</v>
      </c>
      <c r="K546" s="431" t="s">
        <v>140</v>
      </c>
      <c r="L546" s="431" t="s">
        <v>140</v>
      </c>
      <c r="M546" s="431" t="s">
        <v>6213</v>
      </c>
      <c r="N546" s="41" t="s">
        <v>69</v>
      </c>
      <c r="O546" s="13" t="s">
        <v>70</v>
      </c>
      <c r="P546" s="13"/>
      <c r="Q546" s="13"/>
      <c r="R546" s="432" t="s">
        <v>6214</v>
      </c>
      <c r="S546" s="432">
        <v>6611</v>
      </c>
      <c r="T546" s="432">
        <v>9</v>
      </c>
      <c r="U546" s="431" t="s">
        <v>6215</v>
      </c>
      <c r="V546" s="41" t="s">
        <v>69</v>
      </c>
      <c r="W546" s="13" t="s">
        <v>70</v>
      </c>
      <c r="X546" s="431" t="s">
        <v>4420</v>
      </c>
      <c r="Y546" s="432" t="s">
        <v>6216</v>
      </c>
      <c r="Z546" s="432">
        <v>217</v>
      </c>
      <c r="AA546" s="432">
        <v>207</v>
      </c>
      <c r="AB546" s="16">
        <v>207</v>
      </c>
      <c r="AC546" s="16">
        <v>49</v>
      </c>
      <c r="AD546" s="16">
        <v>63</v>
      </c>
      <c r="AE546" s="16">
        <v>6</v>
      </c>
      <c r="AF546" s="16">
        <v>50</v>
      </c>
      <c r="AG546" s="16">
        <v>119</v>
      </c>
      <c r="AH546" s="16">
        <v>21</v>
      </c>
      <c r="AI546" s="16">
        <v>6</v>
      </c>
      <c r="AJ546" s="432"/>
      <c r="AK546" s="431" t="s">
        <v>6217</v>
      </c>
      <c r="AL546" s="25">
        <v>119</v>
      </c>
      <c r="AM546" s="432">
        <v>21</v>
      </c>
      <c r="AN546" s="432"/>
      <c r="AO546" s="432"/>
      <c r="AP546" s="16" t="s">
        <v>160</v>
      </c>
      <c r="AQ546" s="16" t="s">
        <v>193</v>
      </c>
      <c r="AR546" s="130">
        <v>1404</v>
      </c>
      <c r="AS546" s="130">
        <v>12</v>
      </c>
      <c r="AT546" s="130"/>
      <c r="AU546" s="130"/>
      <c r="AV546" s="12" t="str">
        <f t="shared" si="29"/>
        <v/>
      </c>
      <c r="AW546" s="12" t="str">
        <f t="shared" si="30"/>
        <v/>
      </c>
      <c r="AX546" s="12"/>
      <c r="AY546" s="408"/>
    </row>
    <row r="547" spans="1:51" ht="30" hidden="1" customHeight="1" x14ac:dyDescent="0.2">
      <c r="A547" s="466">
        <v>547</v>
      </c>
      <c r="B547" s="432">
        <v>9</v>
      </c>
      <c r="C547" s="432">
        <v>12</v>
      </c>
      <c r="D547" s="16">
        <v>1404</v>
      </c>
      <c r="E547" s="431" t="s">
        <v>6166</v>
      </c>
      <c r="F547" s="431"/>
      <c r="G547" s="431"/>
      <c r="H547" s="432" t="s">
        <v>7</v>
      </c>
      <c r="I547" s="360" t="s">
        <v>5479</v>
      </c>
      <c r="J547" s="16" t="s">
        <v>5577</v>
      </c>
      <c r="K547" s="35" t="s">
        <v>140</v>
      </c>
      <c r="L547" s="35" t="s">
        <v>334</v>
      </c>
      <c r="M547" s="431" t="s">
        <v>6209</v>
      </c>
      <c r="N547" s="41" t="s">
        <v>106</v>
      </c>
      <c r="O547" s="13" t="s">
        <v>107</v>
      </c>
      <c r="P547" s="13"/>
      <c r="Q547" s="13"/>
      <c r="R547" s="33" t="s">
        <v>276</v>
      </c>
      <c r="S547" s="33">
        <v>193</v>
      </c>
      <c r="T547" s="33">
        <v>17</v>
      </c>
      <c r="U547" s="431" t="s">
        <v>6210</v>
      </c>
      <c r="V547" s="41" t="s">
        <v>106</v>
      </c>
      <c r="W547" s="13" t="s">
        <v>107</v>
      </c>
      <c r="X547" s="431" t="s">
        <v>5187</v>
      </c>
      <c r="Y547" s="432" t="s">
        <v>6211</v>
      </c>
      <c r="Z547" s="432">
        <v>256</v>
      </c>
      <c r="AA547" s="432">
        <v>234</v>
      </c>
      <c r="AB547" s="16">
        <v>234</v>
      </c>
      <c r="AC547" s="16"/>
      <c r="AD547" s="16">
        <v>190</v>
      </c>
      <c r="AE547" s="16">
        <v>2</v>
      </c>
      <c r="AF547" s="16">
        <v>85</v>
      </c>
      <c r="AG547" s="16">
        <v>277</v>
      </c>
      <c r="AH547" s="16">
        <v>3</v>
      </c>
      <c r="AI547" s="16">
        <v>4</v>
      </c>
      <c r="AJ547" s="432"/>
      <c r="AK547" s="431" t="s">
        <v>6212</v>
      </c>
      <c r="AL547" s="25">
        <v>277</v>
      </c>
      <c r="AM547" s="432">
        <v>3</v>
      </c>
      <c r="AN547" s="432"/>
      <c r="AO547" s="432"/>
      <c r="AP547" s="16" t="s">
        <v>160</v>
      </c>
      <c r="AQ547" s="16" t="s">
        <v>112</v>
      </c>
      <c r="AR547" s="130">
        <v>1404</v>
      </c>
      <c r="AS547" s="130">
        <v>12</v>
      </c>
      <c r="AT547" s="130"/>
      <c r="AU547" s="130"/>
      <c r="AV547" s="12" t="str">
        <f t="shared" si="29"/>
        <v/>
      </c>
      <c r="AW547" s="12" t="str">
        <f t="shared" si="30"/>
        <v/>
      </c>
      <c r="AX547" s="12"/>
      <c r="AY547" s="408"/>
    </row>
    <row r="548" spans="1:51" ht="30" hidden="1" customHeight="1" x14ac:dyDescent="0.2">
      <c r="A548" s="466">
        <v>548</v>
      </c>
      <c r="B548" s="432">
        <v>9</v>
      </c>
      <c r="C548" s="432">
        <v>12</v>
      </c>
      <c r="D548" s="16">
        <v>1404</v>
      </c>
      <c r="E548" s="431" t="s">
        <v>1943</v>
      </c>
      <c r="F548" s="431" t="s">
        <v>9</v>
      </c>
      <c r="G548" s="431"/>
      <c r="H548" s="432" t="s">
        <v>7</v>
      </c>
      <c r="I548" s="360" t="s">
        <v>5479</v>
      </c>
      <c r="J548" s="16" t="s">
        <v>84</v>
      </c>
      <c r="K548" s="35" t="s">
        <v>117</v>
      </c>
      <c r="L548" s="35" t="s">
        <v>141</v>
      </c>
      <c r="M548" s="431" t="s">
        <v>6207</v>
      </c>
      <c r="N548" s="41" t="s">
        <v>106</v>
      </c>
      <c r="O548" s="13" t="s">
        <v>107</v>
      </c>
      <c r="P548" s="13"/>
      <c r="Q548" s="13"/>
      <c r="R548" s="33" t="s">
        <v>125</v>
      </c>
      <c r="S548" s="33">
        <v>6608</v>
      </c>
      <c r="T548" s="33">
        <v>12</v>
      </c>
      <c r="U548" s="431" t="s">
        <v>6208</v>
      </c>
      <c r="V548" s="41" t="s">
        <v>69</v>
      </c>
      <c r="W548" s="13" t="s">
        <v>70</v>
      </c>
      <c r="X548" s="431" t="s">
        <v>5187</v>
      </c>
      <c r="Y548" s="432" t="s">
        <v>4875</v>
      </c>
      <c r="Z548" s="432">
        <v>218</v>
      </c>
      <c r="AA548" s="432">
        <v>195</v>
      </c>
      <c r="AB548" s="16">
        <v>195</v>
      </c>
      <c r="AC548" s="16">
        <v>129</v>
      </c>
      <c r="AD548" s="16">
        <v>145</v>
      </c>
      <c r="AE548" s="16">
        <v>2</v>
      </c>
      <c r="AF548" s="16">
        <v>10</v>
      </c>
      <c r="AG548" s="16">
        <v>157</v>
      </c>
      <c r="AH548" s="16">
        <v>10</v>
      </c>
      <c r="AI548" s="16">
        <v>6</v>
      </c>
      <c r="AJ548" s="432"/>
      <c r="AK548" s="431" t="s">
        <v>6203</v>
      </c>
      <c r="AL548" s="25">
        <v>157</v>
      </c>
      <c r="AM548" s="432">
        <v>10</v>
      </c>
      <c r="AN548" s="432"/>
      <c r="AO548" s="432"/>
      <c r="AP548" s="16" t="s">
        <v>160</v>
      </c>
      <c r="AQ548" s="16" t="s">
        <v>112</v>
      </c>
      <c r="AR548" s="130">
        <v>1404</v>
      </c>
      <c r="AS548" s="130">
        <v>12</v>
      </c>
      <c r="AT548" s="130"/>
      <c r="AU548" s="130"/>
      <c r="AV548" s="12" t="str">
        <f t="shared" si="29"/>
        <v/>
      </c>
      <c r="AW548" s="12" t="str">
        <f t="shared" si="30"/>
        <v/>
      </c>
      <c r="AX548" s="12"/>
      <c r="AY548" s="408"/>
    </row>
    <row r="549" spans="1:51" ht="30" hidden="1" customHeight="1" x14ac:dyDescent="0.2">
      <c r="A549" s="468">
        <v>548</v>
      </c>
      <c r="B549" s="468">
        <v>9</v>
      </c>
      <c r="C549" s="468">
        <v>12</v>
      </c>
      <c r="D549" s="16">
        <v>1404</v>
      </c>
      <c r="E549" s="469" t="s">
        <v>6194</v>
      </c>
      <c r="F549" s="469"/>
      <c r="G549" s="469" t="s">
        <v>6204</v>
      </c>
      <c r="H549" s="468" t="s">
        <v>83</v>
      </c>
      <c r="I549" s="360" t="s">
        <v>5479</v>
      </c>
      <c r="J549" s="16" t="s">
        <v>84</v>
      </c>
      <c r="K549" s="469"/>
      <c r="L549" s="469" t="s">
        <v>334</v>
      </c>
      <c r="M549" s="469" t="s">
        <v>6205</v>
      </c>
      <c r="N549" s="41" t="s">
        <v>106</v>
      </c>
      <c r="O549" s="13" t="s">
        <v>107</v>
      </c>
      <c r="P549" s="13"/>
      <c r="Q549" s="13"/>
      <c r="R549" s="468"/>
      <c r="S549" s="468">
        <v>6608</v>
      </c>
      <c r="T549" s="468">
        <v>11</v>
      </c>
      <c r="U549" s="469" t="s">
        <v>6206</v>
      </c>
      <c r="V549" s="41" t="s">
        <v>106</v>
      </c>
      <c r="W549" s="13" t="s">
        <v>107</v>
      </c>
      <c r="X549" s="469"/>
      <c r="Y549" s="468" t="s">
        <v>6376</v>
      </c>
      <c r="Z549" s="468">
        <v>182</v>
      </c>
      <c r="AA549" s="468">
        <v>180</v>
      </c>
      <c r="AB549" s="16">
        <v>174</v>
      </c>
      <c r="AC549" s="16"/>
      <c r="AD549" s="16"/>
      <c r="AE549" s="16"/>
      <c r="AF549" s="16"/>
      <c r="AG549" s="16"/>
      <c r="AH549" s="16"/>
      <c r="AI549" s="16">
        <v>4</v>
      </c>
      <c r="AJ549" s="468"/>
      <c r="AK549" s="469" t="s">
        <v>3714</v>
      </c>
      <c r="AL549" s="25"/>
      <c r="AM549" s="468"/>
      <c r="AN549" s="468"/>
      <c r="AO549" s="468"/>
      <c r="AP549" s="16"/>
      <c r="AQ549" s="16"/>
      <c r="AR549" s="130">
        <v>1404</v>
      </c>
      <c r="AS549" s="130">
        <v>12</v>
      </c>
      <c r="AT549" s="130">
        <v>1403</v>
      </c>
      <c r="AU549" s="130">
        <v>3</v>
      </c>
      <c r="AV549" s="12">
        <f>IF(AR549*AT549&gt;0,(AR549-AT549)*12+(AS549-AU549),"")</f>
        <v>21</v>
      </c>
      <c r="AW549" s="12" t="str">
        <f>IF(AV549&lt;13,AV549,"")</f>
        <v/>
      </c>
      <c r="AX549" s="12"/>
      <c r="AY549" s="408"/>
    </row>
    <row r="550" spans="1:51" ht="30" hidden="1" customHeight="1" x14ac:dyDescent="0.2">
      <c r="A550" s="468">
        <v>549</v>
      </c>
      <c r="B550" s="468">
        <v>9</v>
      </c>
      <c r="C550" s="468">
        <v>12</v>
      </c>
      <c r="D550" s="16">
        <v>1404</v>
      </c>
      <c r="E550" s="469" t="s">
        <v>6195</v>
      </c>
      <c r="F550" s="469"/>
      <c r="G550" s="469" t="s">
        <v>90</v>
      </c>
      <c r="H550" s="468" t="s">
        <v>7</v>
      </c>
      <c r="I550" s="360" t="s">
        <v>5479</v>
      </c>
      <c r="J550" s="16" t="s">
        <v>6106</v>
      </c>
      <c r="K550" s="469"/>
      <c r="L550" s="469" t="s">
        <v>104</v>
      </c>
      <c r="M550" s="469" t="s">
        <v>6201</v>
      </c>
      <c r="N550" s="41" t="s">
        <v>106</v>
      </c>
      <c r="O550" s="13" t="s">
        <v>107</v>
      </c>
      <c r="P550" s="13"/>
      <c r="Q550" s="13"/>
      <c r="R550" s="468"/>
      <c r="S550" s="468">
        <v>345</v>
      </c>
      <c r="T550" s="468">
        <v>7</v>
      </c>
      <c r="U550" s="469" t="s">
        <v>6202</v>
      </c>
      <c r="V550" s="41" t="s">
        <v>106</v>
      </c>
      <c r="W550" s="13" t="s">
        <v>107</v>
      </c>
      <c r="X550" s="469"/>
      <c r="Y550" s="468"/>
      <c r="Z550" s="468">
        <v>224</v>
      </c>
      <c r="AA550" s="468"/>
      <c r="AB550" s="16">
        <v>210</v>
      </c>
      <c r="AC550" s="16">
        <v>77</v>
      </c>
      <c r="AD550" s="16">
        <v>115</v>
      </c>
      <c r="AE550" s="16">
        <v>6</v>
      </c>
      <c r="AF550" s="16">
        <v>26</v>
      </c>
      <c r="AG550" s="16">
        <v>152</v>
      </c>
      <c r="AH550" s="16">
        <v>20</v>
      </c>
      <c r="AI550" s="16">
        <v>6</v>
      </c>
      <c r="AJ550" s="468"/>
      <c r="AK550" s="469" t="s">
        <v>6203</v>
      </c>
      <c r="AL550" s="25">
        <v>152</v>
      </c>
      <c r="AM550" s="468">
        <v>20</v>
      </c>
      <c r="AN550" s="468"/>
      <c r="AO550" s="468"/>
      <c r="AP550" s="16" t="s">
        <v>160</v>
      </c>
      <c r="AQ550" s="16" t="s">
        <v>193</v>
      </c>
      <c r="AR550" s="130">
        <v>1404</v>
      </c>
      <c r="AS550" s="130">
        <v>12</v>
      </c>
      <c r="AT550" s="130"/>
      <c r="AU550" s="130"/>
      <c r="AV550" s="12" t="str">
        <f>IF(AR550*AT550&gt;0,(AR550-AT550)*12+(AS550-AU550),"")</f>
        <v/>
      </c>
      <c r="AW550" s="12" t="str">
        <f>IF(AV550&lt;13,AV550,"")</f>
        <v/>
      </c>
      <c r="AX550" s="12"/>
      <c r="AY550" s="408"/>
    </row>
    <row r="551" spans="1:51" ht="30" hidden="1" customHeight="1" x14ac:dyDescent="0.2">
      <c r="A551" s="466">
        <v>551</v>
      </c>
      <c r="B551" s="432">
        <v>10</v>
      </c>
      <c r="C551" s="432">
        <v>12</v>
      </c>
      <c r="D551" s="16">
        <v>1404</v>
      </c>
      <c r="E551" s="431" t="s">
        <v>2278</v>
      </c>
      <c r="F551" s="431" t="s">
        <v>243</v>
      </c>
      <c r="G551" s="431" t="s">
        <v>3661</v>
      </c>
      <c r="H551" s="432" t="s">
        <v>7</v>
      </c>
      <c r="I551" s="360" t="s">
        <v>5479</v>
      </c>
      <c r="J551" s="16" t="s">
        <v>84</v>
      </c>
      <c r="K551" s="35" t="s">
        <v>104</v>
      </c>
      <c r="L551" s="35" t="s">
        <v>140</v>
      </c>
      <c r="M551" s="431" t="s">
        <v>6197</v>
      </c>
      <c r="N551" s="41" t="s">
        <v>106</v>
      </c>
      <c r="O551" s="13" t="s">
        <v>107</v>
      </c>
      <c r="P551" s="13"/>
      <c r="Q551" s="13"/>
      <c r="R551" s="33" t="s">
        <v>328</v>
      </c>
      <c r="S551" s="33">
        <v>293</v>
      </c>
      <c r="T551" s="33">
        <v>10</v>
      </c>
      <c r="U551" s="431" t="s">
        <v>6198</v>
      </c>
      <c r="V551" s="41" t="s">
        <v>106</v>
      </c>
      <c r="W551" s="13" t="s">
        <v>107</v>
      </c>
      <c r="X551" s="431" t="s">
        <v>5187</v>
      </c>
      <c r="Y551" s="432" t="s">
        <v>6199</v>
      </c>
      <c r="Z551" s="432"/>
      <c r="AA551" s="432">
        <v>138</v>
      </c>
      <c r="AB551" s="16">
        <v>138</v>
      </c>
      <c r="AC551" s="16">
        <v>51</v>
      </c>
      <c r="AD551" s="16">
        <v>89</v>
      </c>
      <c r="AE551" s="16">
        <v>3</v>
      </c>
      <c r="AF551" s="16">
        <v>40</v>
      </c>
      <c r="AG551" s="16">
        <v>132</v>
      </c>
      <c r="AH551" s="16">
        <v>16</v>
      </c>
      <c r="AI551" s="16">
        <v>6</v>
      </c>
      <c r="AJ551" s="432"/>
      <c r="AK551" s="431" t="s">
        <v>6200</v>
      </c>
      <c r="AL551" s="25">
        <v>132</v>
      </c>
      <c r="AM551" s="432">
        <v>16</v>
      </c>
      <c r="AN551" s="432"/>
      <c r="AO551" s="432"/>
      <c r="AP551" s="16" t="s">
        <v>5080</v>
      </c>
      <c r="AQ551" s="16" t="s">
        <v>330</v>
      </c>
      <c r="AR551" s="130">
        <v>1404</v>
      </c>
      <c r="AS551" s="130">
        <v>12</v>
      </c>
      <c r="AT551" s="130"/>
      <c r="AU551" s="130"/>
      <c r="AV551" s="12" t="str">
        <f t="shared" si="29"/>
        <v/>
      </c>
      <c r="AW551" s="12" t="str">
        <f t="shared" si="30"/>
        <v/>
      </c>
      <c r="AX551" s="12"/>
      <c r="AY551" s="408"/>
    </row>
    <row r="552" spans="1:51" ht="30" hidden="1" customHeight="1" x14ac:dyDescent="0.2">
      <c r="A552" s="466">
        <v>552</v>
      </c>
      <c r="B552" s="432">
        <v>10</v>
      </c>
      <c r="C552" s="432">
        <v>12</v>
      </c>
      <c r="D552" s="16">
        <v>1404</v>
      </c>
      <c r="E552" s="431" t="s">
        <v>1207</v>
      </c>
      <c r="F552" s="431" t="s">
        <v>8</v>
      </c>
      <c r="G552" s="489" t="s">
        <v>5608</v>
      </c>
      <c r="H552" s="432" t="s">
        <v>83</v>
      </c>
      <c r="I552" s="360" t="s">
        <v>5479</v>
      </c>
      <c r="J552" s="16" t="s">
        <v>5577</v>
      </c>
      <c r="K552" s="431"/>
      <c r="L552" s="431" t="s">
        <v>104</v>
      </c>
      <c r="M552" s="431"/>
      <c r="N552" s="41" t="s">
        <v>106</v>
      </c>
      <c r="O552" s="13" t="s">
        <v>107</v>
      </c>
      <c r="P552" s="13"/>
      <c r="Q552" s="13"/>
      <c r="R552" s="432"/>
      <c r="S552" s="432">
        <v>345</v>
      </c>
      <c r="T552" s="432">
        <v>7</v>
      </c>
      <c r="U552" s="431"/>
      <c r="V552" s="41" t="s">
        <v>106</v>
      </c>
      <c r="W552" s="13" t="s">
        <v>107</v>
      </c>
      <c r="X552" s="431"/>
      <c r="Y552" s="432" t="s">
        <v>6375</v>
      </c>
      <c r="Z552" s="432">
        <v>183</v>
      </c>
      <c r="AA552" s="432">
        <v>156</v>
      </c>
      <c r="AB552" s="16">
        <v>156</v>
      </c>
      <c r="AC552" s="16"/>
      <c r="AD552" s="16"/>
      <c r="AE552" s="16"/>
      <c r="AF552" s="16"/>
      <c r="AG552" s="16"/>
      <c r="AH552" s="16"/>
      <c r="AI552" s="16">
        <v>6</v>
      </c>
      <c r="AJ552" s="432" t="s">
        <v>3714</v>
      </c>
      <c r="AK552" s="431"/>
      <c r="AL552" s="25"/>
      <c r="AM552" s="432"/>
      <c r="AN552" s="432"/>
      <c r="AO552" s="432"/>
      <c r="AP552" s="16" t="s">
        <v>5080</v>
      </c>
      <c r="AQ552" s="16" t="s">
        <v>161</v>
      </c>
      <c r="AR552" s="130">
        <v>1404</v>
      </c>
      <c r="AS552" s="130">
        <v>12</v>
      </c>
      <c r="AT552" s="130">
        <v>1403</v>
      </c>
      <c r="AU552" s="130">
        <v>3</v>
      </c>
      <c r="AV552" s="12">
        <f t="shared" si="29"/>
        <v>21</v>
      </c>
      <c r="AW552" s="12" t="str">
        <f t="shared" si="30"/>
        <v/>
      </c>
      <c r="AX552" s="12"/>
      <c r="AY552" s="408"/>
    </row>
    <row r="553" spans="1:51" ht="30" hidden="1" customHeight="1" x14ac:dyDescent="0.2">
      <c r="A553" s="466">
        <v>553</v>
      </c>
      <c r="B553" s="432">
        <v>11</v>
      </c>
      <c r="C553" s="432">
        <v>12</v>
      </c>
      <c r="D553" s="16">
        <v>1404</v>
      </c>
      <c r="E553" s="431" t="s">
        <v>1501</v>
      </c>
      <c r="F553" s="431" t="s">
        <v>10</v>
      </c>
      <c r="G553" s="431" t="s">
        <v>185</v>
      </c>
      <c r="H553" s="432" t="s">
        <v>83</v>
      </c>
      <c r="I553" s="360" t="s">
        <v>5479</v>
      </c>
      <c r="J553" s="16" t="s">
        <v>84</v>
      </c>
      <c r="K553" s="431"/>
      <c r="L553" s="431" t="s">
        <v>140</v>
      </c>
      <c r="M553" s="431"/>
      <c r="N553" s="41" t="s">
        <v>106</v>
      </c>
      <c r="O553" s="13" t="s">
        <v>107</v>
      </c>
      <c r="P553" s="13"/>
      <c r="Q553" s="13"/>
      <c r="R553" s="432"/>
      <c r="S553" s="432">
        <v>6608</v>
      </c>
      <c r="T553" s="432">
        <v>16</v>
      </c>
      <c r="U553" s="431"/>
      <c r="V553" s="41" t="s">
        <v>106</v>
      </c>
      <c r="W553" s="13" t="s">
        <v>107</v>
      </c>
      <c r="X553" s="431"/>
      <c r="Y553" s="432" t="s">
        <v>6374</v>
      </c>
      <c r="Z553" s="432">
        <v>232</v>
      </c>
      <c r="AA553" s="432">
        <v>210</v>
      </c>
      <c r="AB553" s="16">
        <v>210</v>
      </c>
      <c r="AC553" s="16"/>
      <c r="AD553" s="16"/>
      <c r="AE553" s="16"/>
      <c r="AF553" s="16"/>
      <c r="AG553" s="16"/>
      <c r="AH553" s="16"/>
      <c r="AI553" s="16">
        <v>4</v>
      </c>
      <c r="AJ553" s="432" t="s">
        <v>3714</v>
      </c>
      <c r="AK553" s="431"/>
      <c r="AL553" s="25"/>
      <c r="AM553" s="432"/>
      <c r="AN553" s="432"/>
      <c r="AO553" s="432"/>
      <c r="AP553" s="16" t="s">
        <v>160</v>
      </c>
      <c r="AQ553" s="16" t="s">
        <v>161</v>
      </c>
      <c r="AR553" s="130">
        <v>1404</v>
      </c>
      <c r="AS553" s="130">
        <v>12</v>
      </c>
      <c r="AT553" s="130">
        <v>1401</v>
      </c>
      <c r="AU553" s="130">
        <v>9</v>
      </c>
      <c r="AV553" s="12">
        <f t="shared" si="29"/>
        <v>39</v>
      </c>
      <c r="AW553" s="12" t="str">
        <f t="shared" si="30"/>
        <v/>
      </c>
      <c r="AX553" s="12"/>
      <c r="AY553" s="408"/>
    </row>
    <row r="554" spans="1:51" ht="30" hidden="1" customHeight="1" x14ac:dyDescent="0.2">
      <c r="A554" s="466">
        <v>554</v>
      </c>
      <c r="B554" s="432">
        <v>11</v>
      </c>
      <c r="C554" s="432">
        <v>12</v>
      </c>
      <c r="D554" s="16">
        <v>1404</v>
      </c>
      <c r="E554" s="431" t="s">
        <v>3488</v>
      </c>
      <c r="F554" s="431" t="s">
        <v>243</v>
      </c>
      <c r="G554" s="489" t="s">
        <v>922</v>
      </c>
      <c r="H554" s="432" t="s">
        <v>83</v>
      </c>
      <c r="I554" s="360" t="s">
        <v>5479</v>
      </c>
      <c r="J554" s="16" t="s">
        <v>92</v>
      </c>
      <c r="K554" s="431"/>
      <c r="L554" s="431" t="s">
        <v>68</v>
      </c>
      <c r="M554" s="431"/>
      <c r="N554" s="41" t="s">
        <v>106</v>
      </c>
      <c r="O554" s="13" t="s">
        <v>107</v>
      </c>
      <c r="P554" s="13"/>
      <c r="Q554" s="13"/>
      <c r="R554" s="432"/>
      <c r="S554" s="432">
        <v>384</v>
      </c>
      <c r="T554" s="432">
        <v>8</v>
      </c>
      <c r="U554" s="431"/>
      <c r="V554" s="41" t="s">
        <v>106</v>
      </c>
      <c r="W554" s="13" t="s">
        <v>107</v>
      </c>
      <c r="X554" s="431"/>
      <c r="Y554" s="432" t="s">
        <v>6367</v>
      </c>
      <c r="Z554" s="432">
        <v>159</v>
      </c>
      <c r="AA554" s="432">
        <v>144</v>
      </c>
      <c r="AB554" s="16">
        <v>144</v>
      </c>
      <c r="AC554" s="16"/>
      <c r="AD554" s="16"/>
      <c r="AE554" s="16"/>
      <c r="AF554" s="16"/>
      <c r="AG554" s="16"/>
      <c r="AH554" s="16"/>
      <c r="AI554" s="16">
        <v>6</v>
      </c>
      <c r="AJ554" s="432" t="s">
        <v>3714</v>
      </c>
      <c r="AK554" s="431"/>
      <c r="AL554" s="25"/>
      <c r="AM554" s="432"/>
      <c r="AN554" s="432"/>
      <c r="AO554" s="432"/>
      <c r="AP554" s="16" t="s">
        <v>5080</v>
      </c>
      <c r="AQ554" s="16" t="s">
        <v>6196</v>
      </c>
      <c r="AR554" s="130">
        <v>1404</v>
      </c>
      <c r="AS554" s="130">
        <v>12</v>
      </c>
      <c r="AT554" s="130">
        <v>1404</v>
      </c>
      <c r="AU554" s="130">
        <v>6</v>
      </c>
      <c r="AV554" s="12">
        <f t="shared" si="29"/>
        <v>6</v>
      </c>
      <c r="AW554" s="12">
        <f t="shared" si="30"/>
        <v>6</v>
      </c>
      <c r="AX554" s="12"/>
      <c r="AY554" s="408"/>
    </row>
    <row r="555" spans="1:51" ht="30" hidden="1" customHeight="1" x14ac:dyDescent="0.2">
      <c r="A555" s="466">
        <v>555</v>
      </c>
      <c r="B555" s="432">
        <v>15</v>
      </c>
      <c r="C555" s="432">
        <v>12</v>
      </c>
      <c r="D555" s="16">
        <v>1404</v>
      </c>
      <c r="E555" s="431" t="s">
        <v>2450</v>
      </c>
      <c r="F555" s="431" t="s">
        <v>6</v>
      </c>
      <c r="G555" s="431"/>
      <c r="H555" s="432" t="s">
        <v>7</v>
      </c>
      <c r="I555" s="360" t="s">
        <v>5479</v>
      </c>
      <c r="J555" s="16" t="s">
        <v>84</v>
      </c>
      <c r="K555" s="431" t="s">
        <v>218</v>
      </c>
      <c r="L555" s="431" t="s">
        <v>218</v>
      </c>
      <c r="M555" s="431" t="s">
        <v>6229</v>
      </c>
      <c r="N555" s="41" t="s">
        <v>106</v>
      </c>
      <c r="O555" s="13" t="s">
        <v>107</v>
      </c>
      <c r="P555" s="13"/>
      <c r="Q555" s="13"/>
      <c r="R555" s="33" t="s">
        <v>268</v>
      </c>
      <c r="S555" s="33">
        <v>345</v>
      </c>
      <c r="T555" s="33">
        <v>11</v>
      </c>
      <c r="U555" s="431" t="s">
        <v>6230</v>
      </c>
      <c r="V555" s="41" t="s">
        <v>106</v>
      </c>
      <c r="W555" s="13" t="s">
        <v>107</v>
      </c>
      <c r="X555" s="431" t="s">
        <v>5187</v>
      </c>
      <c r="Y555" s="432" t="s">
        <v>4502</v>
      </c>
      <c r="Z555" s="432">
        <v>228</v>
      </c>
      <c r="AA555" s="432">
        <v>213</v>
      </c>
      <c r="AB555" s="16">
        <v>213</v>
      </c>
      <c r="AC555" s="16">
        <v>145</v>
      </c>
      <c r="AD555" s="16">
        <v>159</v>
      </c>
      <c r="AE555" s="16">
        <v>7</v>
      </c>
      <c r="AF555" s="16">
        <v>60</v>
      </c>
      <c r="AG555" s="16">
        <v>226</v>
      </c>
      <c r="AH555" s="16">
        <v>23</v>
      </c>
      <c r="AI555" s="16">
        <v>6</v>
      </c>
      <c r="AJ555" s="432"/>
      <c r="AK555" s="431" t="s">
        <v>6231</v>
      </c>
      <c r="AL555" s="25">
        <v>226</v>
      </c>
      <c r="AM555" s="432">
        <v>23</v>
      </c>
      <c r="AN555" s="432"/>
      <c r="AO555" s="432"/>
      <c r="AP555" s="16" t="s">
        <v>160</v>
      </c>
      <c r="AQ555" s="16" t="s">
        <v>165</v>
      </c>
      <c r="AR555" s="130">
        <v>1404</v>
      </c>
      <c r="AS555" s="130">
        <v>12</v>
      </c>
      <c r="AT555" s="130"/>
      <c r="AU555" s="130"/>
      <c r="AV555" s="12" t="str">
        <f t="shared" si="29"/>
        <v/>
      </c>
      <c r="AW555" s="12" t="str">
        <f t="shared" si="30"/>
        <v/>
      </c>
      <c r="AX555" s="12"/>
      <c r="AY555" s="408"/>
    </row>
    <row r="556" spans="1:51" ht="30" hidden="1" customHeight="1" x14ac:dyDescent="0.2">
      <c r="A556" s="466">
        <v>556</v>
      </c>
      <c r="B556" s="432">
        <v>15</v>
      </c>
      <c r="C556" s="432">
        <v>12</v>
      </c>
      <c r="D556" s="16">
        <v>1404</v>
      </c>
      <c r="E556" s="431" t="s">
        <v>1207</v>
      </c>
      <c r="F556" s="431" t="s">
        <v>8</v>
      </c>
      <c r="G556" s="431"/>
      <c r="H556" s="432" t="s">
        <v>7</v>
      </c>
      <c r="I556" s="360" t="s">
        <v>5479</v>
      </c>
      <c r="J556" s="16" t="s">
        <v>5577</v>
      </c>
      <c r="K556" s="35" t="s">
        <v>104</v>
      </c>
      <c r="L556" s="35" t="s">
        <v>68</v>
      </c>
      <c r="M556" s="431" t="s">
        <v>6232</v>
      </c>
      <c r="N556" s="41" t="s">
        <v>106</v>
      </c>
      <c r="O556" s="13" t="s">
        <v>107</v>
      </c>
      <c r="P556" s="13"/>
      <c r="Q556" s="13"/>
      <c r="R556" s="33" t="s">
        <v>361</v>
      </c>
      <c r="S556" s="33">
        <v>345</v>
      </c>
      <c r="T556" s="33">
        <v>8</v>
      </c>
      <c r="U556" s="431" t="s">
        <v>6233</v>
      </c>
      <c r="V556" s="41" t="s">
        <v>69</v>
      </c>
      <c r="W556" s="13" t="s">
        <v>70</v>
      </c>
      <c r="X556" s="431" t="s">
        <v>5187</v>
      </c>
      <c r="Y556" s="432" t="s">
        <v>4514</v>
      </c>
      <c r="Z556" s="432">
        <v>183</v>
      </c>
      <c r="AA556" s="432">
        <v>156</v>
      </c>
      <c r="AB556" s="16">
        <v>156</v>
      </c>
      <c r="AC556" s="16">
        <v>73</v>
      </c>
      <c r="AD556" s="16">
        <v>95</v>
      </c>
      <c r="AE556" s="16">
        <v>6</v>
      </c>
      <c r="AF556" s="16">
        <v>68</v>
      </c>
      <c r="AG556" s="16">
        <v>169</v>
      </c>
      <c r="AH556" s="16">
        <v>23</v>
      </c>
      <c r="AI556" s="16">
        <v>6</v>
      </c>
      <c r="AJ556" s="432"/>
      <c r="AK556" s="431" t="s">
        <v>6231</v>
      </c>
      <c r="AL556" s="25">
        <v>169</v>
      </c>
      <c r="AM556" s="432">
        <v>23</v>
      </c>
      <c r="AN556" s="432"/>
      <c r="AO556" s="432"/>
      <c r="AP556" s="16" t="s">
        <v>5080</v>
      </c>
      <c r="AQ556" s="16" t="s">
        <v>161</v>
      </c>
      <c r="AR556" s="130">
        <v>1404</v>
      </c>
      <c r="AS556" s="130">
        <v>12</v>
      </c>
      <c r="AT556" s="130"/>
      <c r="AU556" s="130"/>
      <c r="AV556" s="12" t="str">
        <f t="shared" si="29"/>
        <v/>
      </c>
      <c r="AW556" s="12" t="str">
        <f t="shared" si="30"/>
        <v/>
      </c>
      <c r="AX556" s="12"/>
      <c r="AY556" s="408"/>
    </row>
    <row r="557" spans="1:51" ht="30" hidden="1" customHeight="1" x14ac:dyDescent="0.2">
      <c r="A557" s="466">
        <v>557</v>
      </c>
      <c r="B557" s="432">
        <v>15</v>
      </c>
      <c r="C557" s="432">
        <v>12</v>
      </c>
      <c r="D557" s="16">
        <v>1404</v>
      </c>
      <c r="E557" s="431" t="s">
        <v>2787</v>
      </c>
      <c r="F557" s="431" t="s">
        <v>8</v>
      </c>
      <c r="G557" s="431"/>
      <c r="H557" s="432" t="s">
        <v>7</v>
      </c>
      <c r="I557" s="360" t="s">
        <v>5479</v>
      </c>
      <c r="J557" s="16" t="s">
        <v>84</v>
      </c>
      <c r="K557" s="431"/>
      <c r="L557" s="431" t="s">
        <v>218</v>
      </c>
      <c r="M557" s="431" t="s">
        <v>6234</v>
      </c>
      <c r="N557" s="41"/>
      <c r="O557" s="13"/>
      <c r="P557" s="13"/>
      <c r="Q557" s="13"/>
      <c r="R557" s="432"/>
      <c r="S557" s="432">
        <v>384</v>
      </c>
      <c r="T557" s="432">
        <v>12</v>
      </c>
      <c r="U557" s="431" t="s">
        <v>6235</v>
      </c>
      <c r="V557" s="41"/>
      <c r="W557" s="13"/>
      <c r="X557" s="431"/>
      <c r="Y557" s="432" t="s">
        <v>5049</v>
      </c>
      <c r="Z557" s="432">
        <v>250</v>
      </c>
      <c r="AA557" s="432">
        <v>186</v>
      </c>
      <c r="AB557" s="16">
        <v>186</v>
      </c>
      <c r="AC557" s="16">
        <v>91</v>
      </c>
      <c r="AD557" s="16">
        <v>133</v>
      </c>
      <c r="AE557" s="16">
        <v>10</v>
      </c>
      <c r="AF557" s="16">
        <v>72</v>
      </c>
      <c r="AG557" s="16">
        <v>215</v>
      </c>
      <c r="AH557" s="16">
        <v>30</v>
      </c>
      <c r="AI557" s="16">
        <v>6</v>
      </c>
      <c r="AJ557" s="432"/>
      <c r="AK557" s="431" t="s">
        <v>6236</v>
      </c>
      <c r="AL557" s="25">
        <v>215</v>
      </c>
      <c r="AM557" s="432">
        <v>30</v>
      </c>
      <c r="AN557" s="432"/>
      <c r="AO557" s="432"/>
      <c r="AP557" s="16" t="s">
        <v>160</v>
      </c>
      <c r="AQ557" s="16" t="s">
        <v>193</v>
      </c>
      <c r="AR557" s="130">
        <v>1404</v>
      </c>
      <c r="AS557" s="130">
        <v>12</v>
      </c>
      <c r="AT557" s="130"/>
      <c r="AU557" s="130"/>
      <c r="AV557" s="12" t="str">
        <f t="shared" si="29"/>
        <v/>
      </c>
      <c r="AW557" s="12" t="str">
        <f t="shared" si="30"/>
        <v/>
      </c>
      <c r="AX557" s="12"/>
      <c r="AY557" s="408"/>
    </row>
    <row r="558" spans="1:51" ht="30" hidden="1" customHeight="1" x14ac:dyDescent="0.2">
      <c r="A558" s="466">
        <v>558</v>
      </c>
      <c r="B558" s="432">
        <v>15</v>
      </c>
      <c r="C558" s="432">
        <v>12</v>
      </c>
      <c r="D558" s="16">
        <v>1404</v>
      </c>
      <c r="E558" s="431" t="s">
        <v>182</v>
      </c>
      <c r="F558" s="431" t="s">
        <v>6</v>
      </c>
      <c r="G558" s="489" t="s">
        <v>5608</v>
      </c>
      <c r="H558" s="432" t="s">
        <v>83</v>
      </c>
      <c r="I558" s="360" t="s">
        <v>5479</v>
      </c>
      <c r="J558" s="16" t="s">
        <v>84</v>
      </c>
      <c r="K558" s="431"/>
      <c r="L558" s="431" t="s">
        <v>141</v>
      </c>
      <c r="M558" s="431"/>
      <c r="N558" s="41" t="s">
        <v>106</v>
      </c>
      <c r="O558" s="13" t="s">
        <v>107</v>
      </c>
      <c r="P558" s="13"/>
      <c r="Q558" s="13"/>
      <c r="R558" s="432"/>
      <c r="S558" s="432">
        <v>6608</v>
      </c>
      <c r="T558" s="432">
        <v>14</v>
      </c>
      <c r="U558" s="431"/>
      <c r="V558" s="41" t="s">
        <v>106</v>
      </c>
      <c r="W558" s="13" t="s">
        <v>107</v>
      </c>
      <c r="X558" s="431"/>
      <c r="Y558" s="432" t="s">
        <v>4182</v>
      </c>
      <c r="Z558" s="432">
        <v>198</v>
      </c>
      <c r="AA558" s="432">
        <v>186</v>
      </c>
      <c r="AB558" s="16">
        <v>186</v>
      </c>
      <c r="AC558" s="16"/>
      <c r="AD558" s="16"/>
      <c r="AE558" s="16"/>
      <c r="AF558" s="16"/>
      <c r="AG558" s="16"/>
      <c r="AH558" s="16"/>
      <c r="AI558" s="16">
        <v>6</v>
      </c>
      <c r="AJ558" s="432"/>
      <c r="AK558" s="431"/>
      <c r="AL558" s="25"/>
      <c r="AM558" s="432"/>
      <c r="AN558" s="432"/>
      <c r="AO558" s="432"/>
      <c r="AP558" s="16"/>
      <c r="AQ558" s="16"/>
      <c r="AR558" s="130">
        <v>1404</v>
      </c>
      <c r="AS558" s="130">
        <v>12</v>
      </c>
      <c r="AT558" s="130">
        <v>1402</v>
      </c>
      <c r="AU558" s="130">
        <v>10</v>
      </c>
      <c r="AV558" s="12">
        <f t="shared" si="29"/>
        <v>26</v>
      </c>
      <c r="AW558" s="12" t="str">
        <f t="shared" si="30"/>
        <v/>
      </c>
      <c r="AX558" s="12"/>
      <c r="AY558" s="408"/>
    </row>
    <row r="559" spans="1:51" ht="30" hidden="1" customHeight="1" x14ac:dyDescent="0.2">
      <c r="A559" s="466">
        <v>559</v>
      </c>
      <c r="B559" s="471">
        <v>15</v>
      </c>
      <c r="C559" s="471">
        <v>12</v>
      </c>
      <c r="D559" s="16">
        <v>1404</v>
      </c>
      <c r="E559" s="470" t="s">
        <v>3785</v>
      </c>
      <c r="F559" s="470" t="s">
        <v>243</v>
      </c>
      <c r="G559" s="470" t="s">
        <v>5189</v>
      </c>
      <c r="H559" s="471" t="s">
        <v>83</v>
      </c>
      <c r="I559" s="360" t="s">
        <v>5479</v>
      </c>
      <c r="J559" s="16" t="s">
        <v>5539</v>
      </c>
      <c r="K559" s="431"/>
      <c r="L559" s="431" t="s">
        <v>104</v>
      </c>
      <c r="M559" s="431"/>
      <c r="N559" s="41" t="s">
        <v>106</v>
      </c>
      <c r="O559" s="13" t="s">
        <v>107</v>
      </c>
      <c r="P559" s="13"/>
      <c r="Q559" s="13"/>
      <c r="R559" s="432"/>
      <c r="S559" s="432">
        <v>384</v>
      </c>
      <c r="T559" s="432">
        <v>7</v>
      </c>
      <c r="U559" s="431"/>
      <c r="V559" s="41" t="s">
        <v>106</v>
      </c>
      <c r="W559" s="13" t="s">
        <v>107</v>
      </c>
      <c r="X559" s="431"/>
      <c r="Y559" s="432" t="s">
        <v>5848</v>
      </c>
      <c r="Z559" s="432">
        <v>229</v>
      </c>
      <c r="AA559" s="432">
        <v>216</v>
      </c>
      <c r="AB559" s="16">
        <v>216</v>
      </c>
      <c r="AC559" s="16"/>
      <c r="AD559" s="16"/>
      <c r="AE559" s="16"/>
      <c r="AF559" s="16"/>
      <c r="AG559" s="16"/>
      <c r="AH559" s="16"/>
      <c r="AI559" s="16">
        <v>6</v>
      </c>
      <c r="AJ559" s="432"/>
      <c r="AK559" s="431"/>
      <c r="AL559" s="25"/>
      <c r="AM559" s="432"/>
      <c r="AN559" s="432"/>
      <c r="AO559" s="432"/>
      <c r="AP559" s="16"/>
      <c r="AQ559" s="16"/>
      <c r="AR559" s="130">
        <v>1404</v>
      </c>
      <c r="AS559" s="130">
        <v>12</v>
      </c>
      <c r="AT559" s="130">
        <v>1402</v>
      </c>
      <c r="AU559" s="130">
        <v>6</v>
      </c>
      <c r="AV559" s="12">
        <f t="shared" si="29"/>
        <v>30</v>
      </c>
      <c r="AW559" s="12" t="str">
        <f t="shared" si="30"/>
        <v/>
      </c>
      <c r="AX559" s="12"/>
      <c r="AY559" s="408"/>
    </row>
    <row r="560" spans="1:51" ht="30" hidden="1" customHeight="1" x14ac:dyDescent="0.2">
      <c r="A560" s="466">
        <v>560</v>
      </c>
      <c r="B560" s="432">
        <v>15</v>
      </c>
      <c r="C560" s="432">
        <v>12</v>
      </c>
      <c r="D560" s="16">
        <v>1404</v>
      </c>
      <c r="E560" s="431" t="s">
        <v>1501</v>
      </c>
      <c r="F560" s="431" t="s">
        <v>10</v>
      </c>
      <c r="G560" s="431"/>
      <c r="H560" s="432" t="s">
        <v>7</v>
      </c>
      <c r="I560" s="360" t="s">
        <v>5479</v>
      </c>
      <c r="J560" s="16" t="s">
        <v>84</v>
      </c>
      <c r="K560" s="35" t="s">
        <v>140</v>
      </c>
      <c r="L560" s="35" t="s">
        <v>141</v>
      </c>
      <c r="M560" s="431" t="s">
        <v>6237</v>
      </c>
      <c r="N560" s="41" t="s">
        <v>106</v>
      </c>
      <c r="O560" s="13" t="s">
        <v>107</v>
      </c>
      <c r="P560" s="13"/>
      <c r="Q560" s="13"/>
      <c r="R560" s="33" t="s">
        <v>153</v>
      </c>
      <c r="S560" s="33">
        <v>6608</v>
      </c>
      <c r="T560" s="33">
        <v>12</v>
      </c>
      <c r="U560" s="431" t="s">
        <v>6238</v>
      </c>
      <c r="V560" s="41" t="s">
        <v>106</v>
      </c>
      <c r="W560" s="13" t="s">
        <v>107</v>
      </c>
      <c r="X560" s="431" t="s">
        <v>5187</v>
      </c>
      <c r="Y560" s="432" t="s">
        <v>5937</v>
      </c>
      <c r="Z560" s="432">
        <v>232</v>
      </c>
      <c r="AA560" s="432">
        <v>210</v>
      </c>
      <c r="AB560" s="16">
        <v>210</v>
      </c>
      <c r="AC560" s="16">
        <v>115</v>
      </c>
      <c r="AD560" s="16">
        <v>152</v>
      </c>
      <c r="AE560" s="16">
        <v>1</v>
      </c>
      <c r="AF560" s="16">
        <v>35</v>
      </c>
      <c r="AG560" s="16">
        <v>188</v>
      </c>
      <c r="AH560" s="16">
        <v>6</v>
      </c>
      <c r="AI560" s="16">
        <v>6</v>
      </c>
      <c r="AJ560" s="432"/>
      <c r="AK560" s="431" t="s">
        <v>6239</v>
      </c>
      <c r="AL560" s="25">
        <v>188</v>
      </c>
      <c r="AM560" s="432">
        <v>6</v>
      </c>
      <c r="AN560" s="432"/>
      <c r="AO560" s="432"/>
      <c r="AP560" s="16" t="s">
        <v>6240</v>
      </c>
      <c r="AQ560" s="16" t="s">
        <v>161</v>
      </c>
      <c r="AR560" s="130">
        <v>1404</v>
      </c>
      <c r="AS560" s="130">
        <v>12</v>
      </c>
      <c r="AT560" s="130"/>
      <c r="AU560" s="130"/>
      <c r="AV560" s="12" t="str">
        <f t="shared" si="29"/>
        <v/>
      </c>
      <c r="AW560" s="12" t="str">
        <f t="shared" si="30"/>
        <v/>
      </c>
      <c r="AX560" s="12"/>
      <c r="AY560" s="408"/>
    </row>
    <row r="561" spans="1:51" ht="30" hidden="1" customHeight="1" x14ac:dyDescent="0.2">
      <c r="A561" s="466">
        <v>561</v>
      </c>
      <c r="B561" s="432">
        <v>15</v>
      </c>
      <c r="C561" s="432">
        <v>12</v>
      </c>
      <c r="D561" s="16">
        <v>1404</v>
      </c>
      <c r="E561" s="431" t="s">
        <v>6228</v>
      </c>
      <c r="F561" s="431" t="s">
        <v>6</v>
      </c>
      <c r="G561" s="431" t="s">
        <v>202</v>
      </c>
      <c r="H561" s="432" t="s">
        <v>83</v>
      </c>
      <c r="I561" s="360" t="s">
        <v>5479</v>
      </c>
      <c r="J561" s="16" t="s">
        <v>84</v>
      </c>
      <c r="K561" s="431"/>
      <c r="L561" s="431" t="s">
        <v>155</v>
      </c>
      <c r="M561" s="431" t="s">
        <v>4326</v>
      </c>
      <c r="N561" s="41" t="s">
        <v>106</v>
      </c>
      <c r="O561" s="13" t="s">
        <v>107</v>
      </c>
      <c r="P561" s="13"/>
      <c r="Q561" s="13"/>
      <c r="R561" s="432"/>
      <c r="S561" s="432">
        <v>384</v>
      </c>
      <c r="T561" s="432">
        <v>10</v>
      </c>
      <c r="U561" s="431" t="s">
        <v>6241</v>
      </c>
      <c r="V561" s="41" t="s">
        <v>106</v>
      </c>
      <c r="W561" s="13" t="s">
        <v>107</v>
      </c>
      <c r="X561" s="431"/>
      <c r="Y561" s="432" t="s">
        <v>6373</v>
      </c>
      <c r="Z561" s="432">
        <v>200</v>
      </c>
      <c r="AA561" s="432">
        <v>180</v>
      </c>
      <c r="AB561" s="16">
        <v>180</v>
      </c>
      <c r="AC561" s="16"/>
      <c r="AD561" s="16"/>
      <c r="AE561" s="16"/>
      <c r="AF561" s="16"/>
      <c r="AG561" s="16"/>
      <c r="AH561" s="16"/>
      <c r="AI561" s="16">
        <v>6</v>
      </c>
      <c r="AJ561" s="432"/>
      <c r="AK561" s="431"/>
      <c r="AL561" s="25"/>
      <c r="AM561" s="432"/>
      <c r="AN561" s="432"/>
      <c r="AO561" s="432"/>
      <c r="AP561" s="16" t="s">
        <v>160</v>
      </c>
      <c r="AQ561" s="16" t="s">
        <v>193</v>
      </c>
      <c r="AR561" s="130">
        <v>1404</v>
      </c>
      <c r="AS561" s="130">
        <v>12</v>
      </c>
      <c r="AT561" s="130">
        <v>1402</v>
      </c>
      <c r="AU561" s="130">
        <v>7</v>
      </c>
      <c r="AV561" s="12">
        <f t="shared" si="29"/>
        <v>29</v>
      </c>
      <c r="AW561" s="12" t="str">
        <f t="shared" si="30"/>
        <v/>
      </c>
      <c r="AX561" s="12"/>
      <c r="AY561" s="408"/>
    </row>
    <row r="562" spans="1:51" s="21" customFormat="1" ht="30" hidden="1" customHeight="1" x14ac:dyDescent="0.2">
      <c r="A562" s="20">
        <v>562</v>
      </c>
      <c r="B562" s="20">
        <v>16</v>
      </c>
      <c r="C562" s="20">
        <v>12</v>
      </c>
      <c r="D562" s="29">
        <v>1404</v>
      </c>
      <c r="E562" s="30" t="s">
        <v>4051</v>
      </c>
      <c r="F562" s="30" t="s">
        <v>243</v>
      </c>
      <c r="G562" s="30" t="s">
        <v>3661</v>
      </c>
      <c r="H562" s="20" t="s">
        <v>83</v>
      </c>
      <c r="I562" s="20" t="s">
        <v>5479</v>
      </c>
      <c r="J562" s="29" t="s">
        <v>5577</v>
      </c>
      <c r="K562" s="30"/>
      <c r="L562" s="30" t="s">
        <v>140</v>
      </c>
      <c r="M562" s="30"/>
      <c r="N562" s="30" t="s">
        <v>142</v>
      </c>
      <c r="O562" s="20" t="s">
        <v>70</v>
      </c>
      <c r="P562" s="20"/>
      <c r="Q562" s="20"/>
      <c r="R562" s="20"/>
      <c r="S562" s="20">
        <v>345</v>
      </c>
      <c r="T562" s="20">
        <v>5</v>
      </c>
      <c r="U562" s="30"/>
      <c r="V562" s="30" t="s">
        <v>106</v>
      </c>
      <c r="W562" s="20" t="s">
        <v>107</v>
      </c>
      <c r="X562" s="30"/>
      <c r="Y562" s="20" t="s">
        <v>5381</v>
      </c>
      <c r="Z562" s="20">
        <v>243</v>
      </c>
      <c r="AA562" s="20">
        <v>225</v>
      </c>
      <c r="AB562" s="29">
        <v>225</v>
      </c>
      <c r="AC562" s="29"/>
      <c r="AD562" s="29"/>
      <c r="AE562" s="29"/>
      <c r="AF562" s="29"/>
      <c r="AG562" s="29"/>
      <c r="AH562" s="29"/>
      <c r="AI562" s="29">
        <v>6</v>
      </c>
      <c r="AJ562" s="20"/>
      <c r="AK562" s="30"/>
      <c r="AL562" s="36"/>
      <c r="AM562" s="20"/>
      <c r="AN562" s="20"/>
      <c r="AO562" s="20"/>
      <c r="AP562" s="29" t="s">
        <v>160</v>
      </c>
      <c r="AQ562" s="29" t="s">
        <v>161</v>
      </c>
      <c r="AR562" s="318">
        <v>1404</v>
      </c>
      <c r="AS562" s="318">
        <v>12</v>
      </c>
      <c r="AT562" s="318">
        <v>1404</v>
      </c>
      <c r="AU562" s="318">
        <v>4</v>
      </c>
      <c r="AV562" s="31">
        <f>IF(AR562*AT562&gt;0,(AR562-AT562)*12+(AS562-AU562),"")</f>
        <v>8</v>
      </c>
      <c r="AW562" s="31">
        <f>IF(AV562&lt;13,AV562,"")</f>
        <v>8</v>
      </c>
      <c r="AX562" s="31" t="s">
        <v>6250</v>
      </c>
      <c r="AY562" s="409" t="s">
        <v>6251</v>
      </c>
    </row>
    <row r="563" spans="1:51" ht="30" hidden="1" customHeight="1" x14ac:dyDescent="0.2">
      <c r="A563" s="472">
        <v>563</v>
      </c>
      <c r="B563" s="432">
        <v>17</v>
      </c>
      <c r="C563" s="432">
        <v>12</v>
      </c>
      <c r="D563" s="16">
        <v>1404</v>
      </c>
      <c r="E563" s="431" t="s">
        <v>6242</v>
      </c>
      <c r="F563" s="431" t="s">
        <v>6</v>
      </c>
      <c r="G563" s="431"/>
      <c r="H563" s="432" t="s">
        <v>7</v>
      </c>
      <c r="I563" s="360" t="s">
        <v>5479</v>
      </c>
      <c r="J563" s="16" t="s">
        <v>84</v>
      </c>
      <c r="K563" s="431" t="s">
        <v>104</v>
      </c>
      <c r="L563" s="431" t="s">
        <v>104</v>
      </c>
      <c r="M563" s="431" t="s">
        <v>6243</v>
      </c>
      <c r="N563" s="41" t="s">
        <v>106</v>
      </c>
      <c r="O563" s="13" t="s">
        <v>107</v>
      </c>
      <c r="P563" s="13"/>
      <c r="Q563" s="13"/>
      <c r="R563" s="432" t="s">
        <v>1727</v>
      </c>
      <c r="S563" s="432">
        <v>293</v>
      </c>
      <c r="T563" s="432">
        <v>15</v>
      </c>
      <c r="U563" s="431" t="s">
        <v>6244</v>
      </c>
      <c r="V563" s="41" t="s">
        <v>106</v>
      </c>
      <c r="W563" s="13" t="s">
        <v>107</v>
      </c>
      <c r="X563" s="431" t="s">
        <v>4420</v>
      </c>
      <c r="Y563" s="432" t="s">
        <v>3710</v>
      </c>
      <c r="Z563" s="432">
        <v>243</v>
      </c>
      <c r="AA563" s="432">
        <v>228</v>
      </c>
      <c r="AB563" s="16">
        <v>234</v>
      </c>
      <c r="AC563" s="16">
        <v>132</v>
      </c>
      <c r="AD563" s="16">
        <v>206</v>
      </c>
      <c r="AE563" s="16">
        <v>2</v>
      </c>
      <c r="AF563" s="16">
        <v>40</v>
      </c>
      <c r="AG563" s="16">
        <v>248</v>
      </c>
      <c r="AH563" s="16">
        <v>13</v>
      </c>
      <c r="AI563" s="16">
        <v>6</v>
      </c>
      <c r="AJ563" s="432"/>
      <c r="AK563" s="431" t="s">
        <v>6245</v>
      </c>
      <c r="AL563" s="25">
        <v>248</v>
      </c>
      <c r="AM563" s="432">
        <v>13</v>
      </c>
      <c r="AN563" s="432"/>
      <c r="AO563" s="432"/>
      <c r="AP563" s="16" t="s">
        <v>160</v>
      </c>
      <c r="AQ563" s="16" t="s">
        <v>193</v>
      </c>
      <c r="AR563" s="130">
        <v>1404</v>
      </c>
      <c r="AS563" s="130">
        <v>12</v>
      </c>
      <c r="AT563" s="130"/>
      <c r="AU563" s="130"/>
      <c r="AV563" s="12" t="str">
        <f t="shared" si="29"/>
        <v/>
      </c>
      <c r="AW563" s="12" t="str">
        <f t="shared" si="30"/>
        <v/>
      </c>
      <c r="AX563" s="12"/>
      <c r="AY563" s="408"/>
    </row>
    <row r="564" spans="1:51" ht="30" hidden="1" customHeight="1" x14ac:dyDescent="0.2">
      <c r="A564" s="472">
        <v>564</v>
      </c>
      <c r="B564" s="432">
        <v>17</v>
      </c>
      <c r="C564" s="432">
        <v>12</v>
      </c>
      <c r="D564" s="16">
        <v>1404</v>
      </c>
      <c r="E564" s="431" t="s">
        <v>1984</v>
      </c>
      <c r="F564" s="431" t="s">
        <v>6</v>
      </c>
      <c r="G564" s="431"/>
      <c r="H564" s="432" t="s">
        <v>7</v>
      </c>
      <c r="I564" s="360" t="s">
        <v>5479</v>
      </c>
      <c r="J564" s="16" t="s">
        <v>84</v>
      </c>
      <c r="K564" s="35" t="s">
        <v>141</v>
      </c>
      <c r="L564" s="35" t="s">
        <v>140</v>
      </c>
      <c r="M564" s="431" t="s">
        <v>6369</v>
      </c>
      <c r="N564" s="41" t="s">
        <v>106</v>
      </c>
      <c r="O564" s="13" t="s">
        <v>107</v>
      </c>
      <c r="P564" s="13"/>
      <c r="Q564" s="13"/>
      <c r="R564" s="33" t="s">
        <v>4818</v>
      </c>
      <c r="S564" s="33">
        <v>233</v>
      </c>
      <c r="T564" s="33">
        <v>17</v>
      </c>
      <c r="U564" s="431" t="s">
        <v>6370</v>
      </c>
      <c r="V564" s="41" t="s">
        <v>106</v>
      </c>
      <c r="W564" s="13" t="s">
        <v>107</v>
      </c>
      <c r="X564" s="431" t="s">
        <v>5187</v>
      </c>
      <c r="Y564" s="432" t="s">
        <v>6371</v>
      </c>
      <c r="Z564" s="432">
        <v>191</v>
      </c>
      <c r="AA564" s="432">
        <v>177</v>
      </c>
      <c r="AB564" s="16">
        <v>177</v>
      </c>
      <c r="AC564" s="16">
        <v>123</v>
      </c>
      <c r="AD564" s="16">
        <v>158</v>
      </c>
      <c r="AE564" s="16">
        <v>1</v>
      </c>
      <c r="AF564" s="16">
        <v>65</v>
      </c>
      <c r="AG564" s="16">
        <v>224</v>
      </c>
      <c r="AH564" s="16">
        <v>7</v>
      </c>
      <c r="AI564" s="16">
        <v>6</v>
      </c>
      <c r="AJ564" s="432"/>
      <c r="AK564" s="431" t="s">
        <v>6239</v>
      </c>
      <c r="AL564" s="25">
        <v>224</v>
      </c>
      <c r="AM564" s="432">
        <v>7</v>
      </c>
      <c r="AN564" s="432"/>
      <c r="AO564" s="432"/>
      <c r="AP564" s="16" t="s">
        <v>160</v>
      </c>
      <c r="AQ564" s="16" t="s">
        <v>112</v>
      </c>
      <c r="AR564" s="130">
        <v>1404</v>
      </c>
      <c r="AS564" s="130">
        <v>12</v>
      </c>
      <c r="AT564" s="130"/>
      <c r="AU564" s="130"/>
      <c r="AV564" s="12" t="str">
        <f t="shared" si="29"/>
        <v/>
      </c>
      <c r="AW564" s="12" t="str">
        <f t="shared" si="30"/>
        <v/>
      </c>
      <c r="AX564" s="12"/>
      <c r="AY564" s="408"/>
    </row>
    <row r="565" spans="1:51" ht="30" hidden="1" customHeight="1" x14ac:dyDescent="0.2">
      <c r="A565" s="472">
        <v>565</v>
      </c>
      <c r="B565" s="432">
        <v>17</v>
      </c>
      <c r="C565" s="432">
        <v>12</v>
      </c>
      <c r="D565" s="16">
        <v>1404</v>
      </c>
      <c r="E565" s="431" t="s">
        <v>4051</v>
      </c>
      <c r="F565" s="431" t="s">
        <v>243</v>
      </c>
      <c r="G565" s="431"/>
      <c r="H565" s="432" t="s">
        <v>7</v>
      </c>
      <c r="I565" s="360" t="s">
        <v>5479</v>
      </c>
      <c r="J565" s="16" t="s">
        <v>5577</v>
      </c>
      <c r="K565" s="431" t="s">
        <v>140</v>
      </c>
      <c r="L565" s="431" t="s">
        <v>140</v>
      </c>
      <c r="M565" s="431" t="s">
        <v>6362</v>
      </c>
      <c r="N565" s="41" t="s">
        <v>106</v>
      </c>
      <c r="O565" s="13" t="s">
        <v>107</v>
      </c>
      <c r="P565" s="13"/>
      <c r="Q565" s="13"/>
      <c r="R565" s="33" t="s">
        <v>188</v>
      </c>
      <c r="S565" s="33">
        <v>293</v>
      </c>
      <c r="T565" s="33">
        <v>12</v>
      </c>
      <c r="U565" s="431" t="s">
        <v>6363</v>
      </c>
      <c r="V565" s="41" t="s">
        <v>69</v>
      </c>
      <c r="W565" s="13" t="s">
        <v>70</v>
      </c>
      <c r="X565" s="431" t="s">
        <v>5187</v>
      </c>
      <c r="Y565" s="432" t="s">
        <v>5646</v>
      </c>
      <c r="Z565" s="432">
        <v>243</v>
      </c>
      <c r="AA565" s="432">
        <v>225</v>
      </c>
      <c r="AB565" s="16">
        <v>225</v>
      </c>
      <c r="AC565" s="16">
        <v>49</v>
      </c>
      <c r="AD565" s="16">
        <v>107</v>
      </c>
      <c r="AE565" s="16">
        <v>4</v>
      </c>
      <c r="AF565" s="16">
        <v>45</v>
      </c>
      <c r="AG565" s="16">
        <v>156</v>
      </c>
      <c r="AH565" s="16">
        <v>15</v>
      </c>
      <c r="AI565" s="16">
        <v>6</v>
      </c>
      <c r="AJ565" s="432"/>
      <c r="AK565" s="431" t="s">
        <v>6364</v>
      </c>
      <c r="AL565" s="25">
        <v>156</v>
      </c>
      <c r="AM565" s="432">
        <v>15</v>
      </c>
      <c r="AN565" s="432"/>
      <c r="AO565" s="432"/>
      <c r="AP565" s="16" t="s">
        <v>160</v>
      </c>
      <c r="AQ565" s="16" t="s">
        <v>161</v>
      </c>
      <c r="AR565" s="130">
        <v>1404</v>
      </c>
      <c r="AS565" s="130">
        <v>12</v>
      </c>
      <c r="AT565" s="130"/>
      <c r="AU565" s="130"/>
      <c r="AV565" s="12" t="str">
        <f t="shared" si="29"/>
        <v/>
      </c>
      <c r="AW565" s="12" t="str">
        <f t="shared" si="30"/>
        <v/>
      </c>
      <c r="AX565" s="12"/>
      <c r="AY565" s="408"/>
    </row>
    <row r="566" spans="1:51" ht="30" hidden="1" customHeight="1" x14ac:dyDescent="0.2">
      <c r="A566" s="472">
        <v>566</v>
      </c>
      <c r="B566" s="432">
        <v>17</v>
      </c>
      <c r="C566" s="432">
        <v>12</v>
      </c>
      <c r="D566" s="16">
        <v>1404</v>
      </c>
      <c r="E566" s="431" t="s">
        <v>1082</v>
      </c>
      <c r="F566" s="431" t="s">
        <v>243</v>
      </c>
      <c r="G566" s="431" t="s">
        <v>5189</v>
      </c>
      <c r="H566" s="432" t="s">
        <v>83</v>
      </c>
      <c r="I566" s="360" t="s">
        <v>5479</v>
      </c>
      <c r="J566" s="16" t="s">
        <v>84</v>
      </c>
      <c r="K566" s="431"/>
      <c r="L566" s="431" t="s">
        <v>155</v>
      </c>
      <c r="M566" s="431"/>
      <c r="N566" s="41" t="s">
        <v>106</v>
      </c>
      <c r="O566" s="13" t="s">
        <v>107</v>
      </c>
      <c r="P566" s="13"/>
      <c r="Q566" s="13"/>
      <c r="R566" s="432"/>
      <c r="S566" s="432">
        <v>374</v>
      </c>
      <c r="T566" s="432">
        <v>6</v>
      </c>
      <c r="U566" s="431"/>
      <c r="V566" s="41" t="s">
        <v>106</v>
      </c>
      <c r="W566" s="13" t="s">
        <v>107</v>
      </c>
      <c r="X566" s="431"/>
      <c r="Y566" s="432" t="s">
        <v>6372</v>
      </c>
      <c r="Z566" s="432">
        <v>178</v>
      </c>
      <c r="AA566" s="432">
        <v>108</v>
      </c>
      <c r="AB566" s="16">
        <v>108</v>
      </c>
      <c r="AC566" s="16"/>
      <c r="AD566" s="16"/>
      <c r="AE566" s="16"/>
      <c r="AF566" s="16"/>
      <c r="AG566" s="16"/>
      <c r="AH566" s="16"/>
      <c r="AI566" s="16">
        <v>6</v>
      </c>
      <c r="AJ566" s="432"/>
      <c r="AK566" s="431"/>
      <c r="AL566" s="25"/>
      <c r="AM566" s="432"/>
      <c r="AN566" s="432"/>
      <c r="AO566" s="432"/>
      <c r="AP566" s="16" t="s">
        <v>5080</v>
      </c>
      <c r="AQ566" s="16" t="s">
        <v>112</v>
      </c>
      <c r="AR566" s="130">
        <v>1404</v>
      </c>
      <c r="AS566" s="130">
        <v>12</v>
      </c>
      <c r="AT566" s="130">
        <v>1401</v>
      </c>
      <c r="AU566" s="130">
        <v>7</v>
      </c>
      <c r="AV566" s="12">
        <f t="shared" si="29"/>
        <v>41</v>
      </c>
      <c r="AW566" s="12" t="str">
        <f t="shared" si="30"/>
        <v/>
      </c>
      <c r="AX566" s="12"/>
      <c r="AY566" s="408"/>
    </row>
    <row r="567" spans="1:51" ht="30" hidden="1" customHeight="1" x14ac:dyDescent="0.2">
      <c r="A567" s="472">
        <v>567</v>
      </c>
      <c r="B567" s="432">
        <v>18</v>
      </c>
      <c r="C567" s="432">
        <v>12</v>
      </c>
      <c r="D567" s="16">
        <v>1404</v>
      </c>
      <c r="E567" s="431" t="s">
        <v>3785</v>
      </c>
      <c r="F567" s="431" t="s">
        <v>243</v>
      </c>
      <c r="G567" s="431" t="s">
        <v>3661</v>
      </c>
      <c r="H567" s="432" t="s">
        <v>7</v>
      </c>
      <c r="I567" s="360" t="s">
        <v>5479</v>
      </c>
      <c r="J567" s="16" t="s">
        <v>5577</v>
      </c>
      <c r="K567" s="431" t="s">
        <v>155</v>
      </c>
      <c r="L567" s="431" t="s">
        <v>155</v>
      </c>
      <c r="M567" s="431" t="s">
        <v>6253</v>
      </c>
      <c r="N567" s="41" t="s">
        <v>106</v>
      </c>
      <c r="O567" s="13" t="s">
        <v>107</v>
      </c>
      <c r="P567" s="13"/>
      <c r="Q567" s="13"/>
      <c r="R567" s="33" t="s">
        <v>324</v>
      </c>
      <c r="S567" s="33">
        <v>345</v>
      </c>
      <c r="T567" s="33">
        <v>9</v>
      </c>
      <c r="U567" s="431" t="s">
        <v>6254</v>
      </c>
      <c r="V567" s="41" t="s">
        <v>106</v>
      </c>
      <c r="W567" s="13" t="s">
        <v>107</v>
      </c>
      <c r="X567" s="431" t="s">
        <v>5187</v>
      </c>
      <c r="Y567" s="432" t="s">
        <v>6255</v>
      </c>
      <c r="Z567" s="432">
        <v>227</v>
      </c>
      <c r="AA567" s="432">
        <v>216</v>
      </c>
      <c r="AB567" s="16">
        <v>216</v>
      </c>
      <c r="AC567" s="16">
        <v>70</v>
      </c>
      <c r="AD567" s="16">
        <v>150</v>
      </c>
      <c r="AE567" s="16">
        <v>4</v>
      </c>
      <c r="AF567" s="16">
        <v>42</v>
      </c>
      <c r="AG567" s="16">
        <v>196</v>
      </c>
      <c r="AH567" s="16">
        <v>20</v>
      </c>
      <c r="AI567" s="16">
        <v>6</v>
      </c>
      <c r="AJ567" s="432"/>
      <c r="AK567" s="431" t="s">
        <v>6256</v>
      </c>
      <c r="AL567" s="25">
        <v>196</v>
      </c>
      <c r="AM567" s="432">
        <v>20</v>
      </c>
      <c r="AN567" s="432"/>
      <c r="AO567" s="432"/>
      <c r="AP567" s="16" t="s">
        <v>160</v>
      </c>
      <c r="AQ567" s="16" t="s">
        <v>193</v>
      </c>
      <c r="AR567" s="130">
        <v>1404</v>
      </c>
      <c r="AS567" s="130">
        <v>12</v>
      </c>
      <c r="AT567" s="130"/>
      <c r="AU567" s="130"/>
      <c r="AV567" s="12" t="str">
        <f t="shared" si="29"/>
        <v/>
      </c>
      <c r="AW567" s="12" t="str">
        <f t="shared" si="30"/>
        <v/>
      </c>
      <c r="AX567" s="12"/>
      <c r="AY567" s="408"/>
    </row>
    <row r="568" spans="1:51" ht="30" hidden="1" customHeight="1" x14ac:dyDescent="0.2">
      <c r="A568" s="472">
        <v>568</v>
      </c>
      <c r="B568" s="432">
        <v>19</v>
      </c>
      <c r="C568" s="432">
        <v>12</v>
      </c>
      <c r="D568" s="16">
        <v>1404</v>
      </c>
      <c r="E568" s="431" t="s">
        <v>2288</v>
      </c>
      <c r="F568" s="431" t="s">
        <v>243</v>
      </c>
      <c r="G568" s="431"/>
      <c r="H568" s="432" t="s">
        <v>7</v>
      </c>
      <c r="I568" s="360" t="s">
        <v>5479</v>
      </c>
      <c r="J568" s="16" t="s">
        <v>5577</v>
      </c>
      <c r="K568" s="35" t="s">
        <v>104</v>
      </c>
      <c r="L568" s="35" t="s">
        <v>117</v>
      </c>
      <c r="M568" s="431" t="s">
        <v>6246</v>
      </c>
      <c r="N568" s="41" t="s">
        <v>69</v>
      </c>
      <c r="O568" s="13" t="s">
        <v>70</v>
      </c>
      <c r="P568" s="13"/>
      <c r="Q568" s="13"/>
      <c r="R568" s="33" t="s">
        <v>804</v>
      </c>
      <c r="S568" s="33">
        <v>384</v>
      </c>
      <c r="T568" s="33">
        <v>6</v>
      </c>
      <c r="U568" s="431" t="s">
        <v>6247</v>
      </c>
      <c r="V568" s="41" t="s">
        <v>69</v>
      </c>
      <c r="W568" s="13" t="s">
        <v>70</v>
      </c>
      <c r="X568" s="431" t="s">
        <v>5187</v>
      </c>
      <c r="Y568" s="432" t="s">
        <v>6248</v>
      </c>
      <c r="Z568" s="432">
        <v>132</v>
      </c>
      <c r="AA568" s="432">
        <v>120</v>
      </c>
      <c r="AB568" s="16">
        <v>120</v>
      </c>
      <c r="AC568" s="16">
        <v>57</v>
      </c>
      <c r="AD568" s="16">
        <v>75</v>
      </c>
      <c r="AE568" s="16">
        <v>6</v>
      </c>
      <c r="AF568" s="16">
        <v>37</v>
      </c>
      <c r="AG568" s="16">
        <v>118</v>
      </c>
      <c r="AH568" s="16">
        <v>26</v>
      </c>
      <c r="AI568" s="16">
        <v>6</v>
      </c>
      <c r="AJ568" s="432"/>
      <c r="AK568" s="431" t="s">
        <v>6249</v>
      </c>
      <c r="AL568" s="25">
        <v>118</v>
      </c>
      <c r="AM568" s="432">
        <v>26</v>
      </c>
      <c r="AN568" s="432"/>
      <c r="AO568" s="432"/>
      <c r="AP568" s="16" t="s">
        <v>5080</v>
      </c>
      <c r="AQ568" s="16" t="s">
        <v>112</v>
      </c>
      <c r="AR568" s="130">
        <v>1404</v>
      </c>
      <c r="AS568" s="130">
        <v>12</v>
      </c>
      <c r="AT568" s="130"/>
      <c r="AU568" s="130"/>
      <c r="AV568" s="12" t="str">
        <f t="shared" si="29"/>
        <v/>
      </c>
      <c r="AW568" s="12" t="str">
        <f t="shared" si="30"/>
        <v/>
      </c>
      <c r="AX568" s="12"/>
      <c r="AY568" s="408"/>
    </row>
    <row r="569" spans="1:51" ht="30" hidden="1" customHeight="1" x14ac:dyDescent="0.2">
      <c r="A569" s="475">
        <v>569</v>
      </c>
      <c r="B569" s="475">
        <v>20</v>
      </c>
      <c r="C569" s="475">
        <v>12</v>
      </c>
      <c r="D569" s="16">
        <v>1404</v>
      </c>
      <c r="E569" s="474" t="s">
        <v>579</v>
      </c>
      <c r="F569" s="474" t="s">
        <v>9</v>
      </c>
      <c r="G569" s="474"/>
      <c r="H569" s="475" t="s">
        <v>7</v>
      </c>
      <c r="I569" s="360" t="s">
        <v>5479</v>
      </c>
      <c r="J569" s="16" t="s">
        <v>5577</v>
      </c>
      <c r="K569" s="35" t="s">
        <v>334</v>
      </c>
      <c r="L569" s="35" t="s">
        <v>223</v>
      </c>
      <c r="M569" s="478" t="s">
        <v>6298</v>
      </c>
      <c r="N569" s="41" t="s">
        <v>106</v>
      </c>
      <c r="O569" s="13" t="s">
        <v>107</v>
      </c>
      <c r="P569" s="13"/>
      <c r="Q569" s="13"/>
      <c r="R569" s="33" t="s">
        <v>306</v>
      </c>
      <c r="S569" s="33">
        <v>193</v>
      </c>
      <c r="T569" s="33">
        <v>16</v>
      </c>
      <c r="U569" s="478" t="s">
        <v>6261</v>
      </c>
      <c r="V569" s="41" t="s">
        <v>69</v>
      </c>
      <c r="W569" s="13" t="s">
        <v>70</v>
      </c>
      <c r="X569" s="478"/>
      <c r="Y569" s="479" t="s">
        <v>5355</v>
      </c>
      <c r="Z569" s="479">
        <v>236</v>
      </c>
      <c r="AA569" s="479">
        <v>222</v>
      </c>
      <c r="AB569" s="16">
        <v>222</v>
      </c>
      <c r="AC569" s="16">
        <v>134</v>
      </c>
      <c r="AD569" s="16">
        <v>173</v>
      </c>
      <c r="AE569" s="16">
        <v>1</v>
      </c>
      <c r="AF569" s="16">
        <v>10</v>
      </c>
      <c r="AG569" s="16">
        <v>184</v>
      </c>
      <c r="AH569" s="16">
        <v>5</v>
      </c>
      <c r="AI569" s="16">
        <v>6</v>
      </c>
      <c r="AJ569" s="479"/>
      <c r="AK569" s="478" t="s">
        <v>6249</v>
      </c>
      <c r="AL569" s="25">
        <v>184</v>
      </c>
      <c r="AM569" s="479">
        <v>5</v>
      </c>
      <c r="AN569" s="479"/>
      <c r="AO569" s="479"/>
      <c r="AP569" s="16" t="s">
        <v>160</v>
      </c>
      <c r="AQ569" s="16" t="s">
        <v>161</v>
      </c>
      <c r="AR569" s="130">
        <v>1404</v>
      </c>
      <c r="AS569" s="130">
        <v>12</v>
      </c>
      <c r="AT569" s="130"/>
      <c r="AU569" s="130"/>
      <c r="AV569" s="12"/>
      <c r="AW569" s="12"/>
      <c r="AX569" s="12"/>
      <c r="AY569" s="408"/>
    </row>
    <row r="570" spans="1:51" ht="30" hidden="1" customHeight="1" x14ac:dyDescent="0.2">
      <c r="A570" s="475">
        <v>570</v>
      </c>
      <c r="B570" s="432">
        <v>21</v>
      </c>
      <c r="C570" s="432">
        <v>12</v>
      </c>
      <c r="D570" s="16">
        <v>1404</v>
      </c>
      <c r="E570" s="431" t="s">
        <v>579</v>
      </c>
      <c r="F570" s="431" t="s">
        <v>9</v>
      </c>
      <c r="G570" s="489" t="s">
        <v>922</v>
      </c>
      <c r="H570" s="432" t="s">
        <v>83</v>
      </c>
      <c r="I570" s="360" t="s">
        <v>5479</v>
      </c>
      <c r="J570" s="16" t="s">
        <v>5577</v>
      </c>
      <c r="K570" s="431"/>
      <c r="L570" s="431" t="s">
        <v>223</v>
      </c>
      <c r="M570" s="478" t="s">
        <v>6298</v>
      </c>
      <c r="N570" s="41" t="s">
        <v>106</v>
      </c>
      <c r="O570" s="13" t="s">
        <v>107</v>
      </c>
      <c r="P570" s="13"/>
      <c r="Q570" s="13"/>
      <c r="R570" s="432"/>
      <c r="S570" s="432">
        <v>193</v>
      </c>
      <c r="T570" s="432">
        <v>16</v>
      </c>
      <c r="U570" s="478" t="s">
        <v>6261</v>
      </c>
      <c r="V570" s="41" t="s">
        <v>106</v>
      </c>
      <c r="W570" s="13" t="s">
        <v>107</v>
      </c>
      <c r="X570" s="431"/>
      <c r="Y570" s="479" t="s">
        <v>5355</v>
      </c>
      <c r="Z570" s="432">
        <v>237</v>
      </c>
      <c r="AA570" s="432">
        <v>222</v>
      </c>
      <c r="AB570" s="16">
        <v>222</v>
      </c>
      <c r="AC570" s="16"/>
      <c r="AD570" s="16"/>
      <c r="AE570" s="16"/>
      <c r="AF570" s="16"/>
      <c r="AG570" s="16"/>
      <c r="AH570" s="16"/>
      <c r="AI570" s="16">
        <v>6</v>
      </c>
      <c r="AJ570" s="432"/>
      <c r="AK570" s="431"/>
      <c r="AL570" s="25"/>
      <c r="AM570" s="432"/>
      <c r="AN570" s="432"/>
      <c r="AO570" s="432"/>
      <c r="AP570" s="16" t="s">
        <v>160</v>
      </c>
      <c r="AQ570" s="16" t="s">
        <v>161</v>
      </c>
      <c r="AR570" s="130">
        <v>1404</v>
      </c>
      <c r="AS570" s="130">
        <v>12</v>
      </c>
      <c r="AT570" s="130">
        <v>1404</v>
      </c>
      <c r="AU570" s="130">
        <v>4</v>
      </c>
      <c r="AV570" s="12">
        <f t="shared" si="29"/>
        <v>8</v>
      </c>
      <c r="AW570" s="12">
        <f t="shared" si="30"/>
        <v>8</v>
      </c>
      <c r="AX570" s="12"/>
      <c r="AY570" s="408"/>
    </row>
    <row r="571" spans="1:51" ht="30" hidden="1" customHeight="1" x14ac:dyDescent="0.2">
      <c r="A571" s="475">
        <v>571</v>
      </c>
      <c r="B571" s="432">
        <v>21</v>
      </c>
      <c r="C571" s="432">
        <v>12</v>
      </c>
      <c r="D571" s="16">
        <v>1404</v>
      </c>
      <c r="E571" s="431" t="s">
        <v>180</v>
      </c>
      <c r="F571" s="431" t="s">
        <v>2981</v>
      </c>
      <c r="G571" s="431"/>
      <c r="H571" s="432" t="s">
        <v>7</v>
      </c>
      <c r="I571" s="360" t="s">
        <v>5479</v>
      </c>
      <c r="J571" s="16" t="s">
        <v>84</v>
      </c>
      <c r="K571" s="35" t="s">
        <v>68</v>
      </c>
      <c r="L571" s="35" t="s">
        <v>140</v>
      </c>
      <c r="M571" s="431" t="s">
        <v>6292</v>
      </c>
      <c r="N571" s="41" t="s">
        <v>106</v>
      </c>
      <c r="O571" s="13" t="s">
        <v>107</v>
      </c>
      <c r="P571" s="13"/>
      <c r="Q571" s="13"/>
      <c r="R571" s="33" t="s">
        <v>2959</v>
      </c>
      <c r="S571" s="33">
        <v>6608</v>
      </c>
      <c r="T571" s="33">
        <v>16</v>
      </c>
      <c r="U571" s="431" t="s">
        <v>6293</v>
      </c>
      <c r="V571" s="41" t="s">
        <v>106</v>
      </c>
      <c r="W571" s="13" t="s">
        <v>107</v>
      </c>
      <c r="X571" s="431"/>
      <c r="Y571" s="432" t="s">
        <v>4677</v>
      </c>
      <c r="Z571" s="432">
        <v>223</v>
      </c>
      <c r="AA571" s="432">
        <v>216</v>
      </c>
      <c r="AB571" s="16">
        <v>216</v>
      </c>
      <c r="AC571" s="16">
        <v>69</v>
      </c>
      <c r="AD571" s="16">
        <v>183</v>
      </c>
      <c r="AE571" s="16">
        <v>1</v>
      </c>
      <c r="AF571" s="16">
        <v>62</v>
      </c>
      <c r="AG571" s="16">
        <v>246</v>
      </c>
      <c r="AH571" s="16">
        <v>8</v>
      </c>
      <c r="AI571" s="16">
        <v>6</v>
      </c>
      <c r="AJ571" s="432"/>
      <c r="AK571" s="431" t="s">
        <v>6294</v>
      </c>
      <c r="AL571" s="25">
        <v>246</v>
      </c>
      <c r="AM571" s="432">
        <v>8</v>
      </c>
      <c r="AN571" s="432"/>
      <c r="AO571" s="432"/>
      <c r="AP571" s="16" t="s">
        <v>160</v>
      </c>
      <c r="AQ571" s="16" t="s">
        <v>112</v>
      </c>
      <c r="AR571" s="130">
        <v>1404</v>
      </c>
      <c r="AS571" s="130">
        <v>12</v>
      </c>
      <c r="AT571" s="130"/>
      <c r="AU571" s="130"/>
      <c r="AV571" s="12" t="str">
        <f t="shared" si="29"/>
        <v/>
      </c>
      <c r="AW571" s="12" t="str">
        <f t="shared" si="30"/>
        <v/>
      </c>
      <c r="AX571" s="12"/>
      <c r="AY571" s="408"/>
    </row>
    <row r="572" spans="1:51" ht="30" hidden="1" customHeight="1" x14ac:dyDescent="0.2">
      <c r="A572" s="475">
        <v>572</v>
      </c>
      <c r="B572" s="432">
        <v>21</v>
      </c>
      <c r="C572" s="432">
        <v>12</v>
      </c>
      <c r="D572" s="16">
        <v>1404</v>
      </c>
      <c r="E572" s="473" t="s">
        <v>1032</v>
      </c>
      <c r="F572" s="431" t="s">
        <v>9</v>
      </c>
      <c r="G572" s="431" t="s">
        <v>4038</v>
      </c>
      <c r="H572" s="432" t="s">
        <v>83</v>
      </c>
      <c r="I572" s="360" t="s">
        <v>5479</v>
      </c>
      <c r="J572" s="16" t="s">
        <v>84</v>
      </c>
      <c r="K572" s="431" t="s">
        <v>3714</v>
      </c>
      <c r="L572" s="431" t="s">
        <v>141</v>
      </c>
      <c r="M572" s="431" t="s">
        <v>3714</v>
      </c>
      <c r="N572" s="41" t="s">
        <v>106</v>
      </c>
      <c r="O572" s="13" t="s">
        <v>107</v>
      </c>
      <c r="P572" s="13"/>
      <c r="Q572" s="13"/>
      <c r="R572" s="432" t="s">
        <v>3714</v>
      </c>
      <c r="S572" s="432">
        <v>6608</v>
      </c>
      <c r="T572" s="432">
        <v>13</v>
      </c>
      <c r="U572" s="431" t="s">
        <v>3714</v>
      </c>
      <c r="V572" s="41" t="s">
        <v>106</v>
      </c>
      <c r="W572" s="13" t="s">
        <v>107</v>
      </c>
      <c r="X572" s="431"/>
      <c r="Y572" s="432" t="s">
        <v>6297</v>
      </c>
      <c r="Z572" s="432">
        <v>210</v>
      </c>
      <c r="AA572" s="432">
        <v>198</v>
      </c>
      <c r="AB572" s="16">
        <v>198</v>
      </c>
      <c r="AC572" s="16"/>
      <c r="AD572" s="16"/>
      <c r="AE572" s="16"/>
      <c r="AF572" s="16"/>
      <c r="AG572" s="16"/>
      <c r="AH572" s="16"/>
      <c r="AI572" s="16">
        <v>4</v>
      </c>
      <c r="AJ572" s="432"/>
      <c r="AK572" s="431"/>
      <c r="AL572" s="25"/>
      <c r="AM572" s="432"/>
      <c r="AN572" s="432"/>
      <c r="AO572" s="432"/>
      <c r="AP572" s="16"/>
      <c r="AQ572" s="16"/>
      <c r="AR572" s="130">
        <v>1404</v>
      </c>
      <c r="AS572" s="130">
        <v>12</v>
      </c>
      <c r="AT572" s="130">
        <v>1401</v>
      </c>
      <c r="AU572" s="130">
        <v>5</v>
      </c>
      <c r="AV572" s="12">
        <f t="shared" si="29"/>
        <v>43</v>
      </c>
      <c r="AW572" s="12" t="str">
        <f t="shared" si="30"/>
        <v/>
      </c>
      <c r="AX572" s="12"/>
      <c r="AY572" s="408"/>
    </row>
    <row r="573" spans="1:51" ht="30" hidden="1" customHeight="1" x14ac:dyDescent="0.2">
      <c r="A573" s="475">
        <v>573</v>
      </c>
      <c r="B573" s="432">
        <v>21</v>
      </c>
      <c r="C573" s="432">
        <v>12</v>
      </c>
      <c r="D573" s="16">
        <v>1404</v>
      </c>
      <c r="E573" s="431" t="s">
        <v>1032</v>
      </c>
      <c r="F573" s="431" t="s">
        <v>9</v>
      </c>
      <c r="G573" s="431"/>
      <c r="H573" s="432" t="s">
        <v>7</v>
      </c>
      <c r="I573" s="360" t="s">
        <v>5479</v>
      </c>
      <c r="J573" s="16" t="s">
        <v>84</v>
      </c>
      <c r="K573" s="35" t="s">
        <v>141</v>
      </c>
      <c r="L573" s="35" t="s">
        <v>116</v>
      </c>
      <c r="M573" s="431" t="s">
        <v>6295</v>
      </c>
      <c r="N573" s="41" t="s">
        <v>106</v>
      </c>
      <c r="O573" s="13" t="s">
        <v>107</v>
      </c>
      <c r="P573" s="13"/>
      <c r="Q573" s="13"/>
      <c r="R573" s="33" t="s">
        <v>1051</v>
      </c>
      <c r="S573" s="33">
        <v>193</v>
      </c>
      <c r="T573" s="33">
        <v>9</v>
      </c>
      <c r="U573" s="431" t="s">
        <v>6296</v>
      </c>
      <c r="V573" s="41" t="s">
        <v>69</v>
      </c>
      <c r="W573" s="13" t="s">
        <v>70</v>
      </c>
      <c r="X573" s="431"/>
      <c r="Y573" s="432" t="s">
        <v>6297</v>
      </c>
      <c r="Z573" s="432">
        <v>218</v>
      </c>
      <c r="AA573" s="432">
        <v>198</v>
      </c>
      <c r="AB573" s="16">
        <v>198</v>
      </c>
      <c r="AC573" s="16">
        <v>69</v>
      </c>
      <c r="AD573" s="16">
        <v>74</v>
      </c>
      <c r="AE573" s="16">
        <v>3</v>
      </c>
      <c r="AF573" s="16">
        <v>25</v>
      </c>
      <c r="AG573" s="16">
        <v>102</v>
      </c>
      <c r="AH573" s="16">
        <v>5</v>
      </c>
      <c r="AI573" s="16">
        <v>4</v>
      </c>
      <c r="AJ573" s="432"/>
      <c r="AK573" s="431" t="s">
        <v>6249</v>
      </c>
      <c r="AL573" s="25">
        <v>102</v>
      </c>
      <c r="AM573" s="432">
        <v>5</v>
      </c>
      <c r="AN573" s="432"/>
      <c r="AO573" s="432"/>
      <c r="AP573" s="16"/>
      <c r="AQ573" s="16"/>
      <c r="AR573" s="130">
        <v>1404</v>
      </c>
      <c r="AS573" s="130">
        <v>12</v>
      </c>
      <c r="AT573" s="130"/>
      <c r="AU573" s="130"/>
      <c r="AV573" s="12" t="str">
        <f t="shared" si="29"/>
        <v/>
      </c>
      <c r="AW573" s="12" t="str">
        <f t="shared" si="30"/>
        <v/>
      </c>
      <c r="AX573" s="12"/>
      <c r="AY573" s="408"/>
    </row>
    <row r="574" spans="1:51" ht="30" hidden="1" customHeight="1" x14ac:dyDescent="0.2">
      <c r="A574" s="475">
        <v>574</v>
      </c>
      <c r="B574" s="432">
        <v>22</v>
      </c>
      <c r="C574" s="432">
        <v>12</v>
      </c>
      <c r="D574" s="16">
        <v>1404</v>
      </c>
      <c r="E574" s="431" t="s">
        <v>579</v>
      </c>
      <c r="F574" s="431" t="s">
        <v>6</v>
      </c>
      <c r="G574" s="431" t="s">
        <v>202</v>
      </c>
      <c r="H574" s="432" t="s">
        <v>7</v>
      </c>
      <c r="I574" s="360" t="s">
        <v>5479</v>
      </c>
      <c r="J574" s="16" t="s">
        <v>5577</v>
      </c>
      <c r="K574" s="35" t="s">
        <v>223</v>
      </c>
      <c r="L574" s="35" t="s">
        <v>334</v>
      </c>
      <c r="M574" s="431" t="s">
        <v>6299</v>
      </c>
      <c r="N574" s="41" t="s">
        <v>106</v>
      </c>
      <c r="O574" s="13" t="s">
        <v>107</v>
      </c>
      <c r="P574" s="13"/>
      <c r="Q574" s="13"/>
      <c r="R574" s="432" t="s">
        <v>298</v>
      </c>
      <c r="S574" s="432">
        <v>193</v>
      </c>
      <c r="T574" s="432">
        <v>16</v>
      </c>
      <c r="U574" s="431" t="s">
        <v>6261</v>
      </c>
      <c r="V574" s="41" t="s">
        <v>69</v>
      </c>
      <c r="W574" s="13" t="s">
        <v>70</v>
      </c>
      <c r="X574" s="431"/>
      <c r="Y574" s="432" t="s">
        <v>5618</v>
      </c>
      <c r="Z574" s="432">
        <v>236</v>
      </c>
      <c r="AA574" s="432">
        <v>222</v>
      </c>
      <c r="AB574" s="16">
        <v>222</v>
      </c>
      <c r="AC574" s="16">
        <v>134</v>
      </c>
      <c r="AD574" s="16">
        <v>173</v>
      </c>
      <c r="AE574" s="16">
        <v>1</v>
      </c>
      <c r="AF574" s="16">
        <v>10</v>
      </c>
      <c r="AG574" s="16">
        <v>184</v>
      </c>
      <c r="AH574" s="16">
        <v>5</v>
      </c>
      <c r="AI574" s="16">
        <v>6</v>
      </c>
      <c r="AJ574" s="432"/>
      <c r="AK574" s="431" t="s">
        <v>6300</v>
      </c>
      <c r="AL574" s="25">
        <v>184</v>
      </c>
      <c r="AM574" s="432">
        <v>5</v>
      </c>
      <c r="AN574" s="432"/>
      <c r="AO574" s="432"/>
      <c r="AP574" s="16" t="s">
        <v>160</v>
      </c>
      <c r="AQ574" s="16" t="s">
        <v>161</v>
      </c>
      <c r="AR574" s="130">
        <v>1404</v>
      </c>
      <c r="AS574" s="130">
        <v>12</v>
      </c>
      <c r="AT574" s="130"/>
      <c r="AU574" s="130"/>
      <c r="AV574" s="12" t="str">
        <f t="shared" si="29"/>
        <v/>
      </c>
      <c r="AW574" s="12" t="str">
        <f t="shared" si="30"/>
        <v/>
      </c>
      <c r="AX574" s="12"/>
      <c r="AY574" s="408"/>
    </row>
    <row r="575" spans="1:51" ht="30" hidden="1" customHeight="1" x14ac:dyDescent="0.2">
      <c r="A575" s="475">
        <v>575</v>
      </c>
      <c r="B575" s="432">
        <v>22</v>
      </c>
      <c r="C575" s="432">
        <v>12</v>
      </c>
      <c r="D575" s="16">
        <v>1404</v>
      </c>
      <c r="E575" s="431" t="s">
        <v>6252</v>
      </c>
      <c r="F575" s="431" t="s">
        <v>2981</v>
      </c>
      <c r="G575" s="431"/>
      <c r="H575" s="432" t="s">
        <v>7</v>
      </c>
      <c r="I575" s="360" t="s">
        <v>5479</v>
      </c>
      <c r="J575" s="16" t="s">
        <v>84</v>
      </c>
      <c r="K575" s="431" t="s">
        <v>104</v>
      </c>
      <c r="L575" s="431" t="s">
        <v>104</v>
      </c>
      <c r="M575" s="431" t="s">
        <v>6301</v>
      </c>
      <c r="N575" s="41" t="s">
        <v>106</v>
      </c>
      <c r="O575" s="13" t="s">
        <v>107</v>
      </c>
      <c r="P575" s="13"/>
      <c r="Q575" s="13"/>
      <c r="R575" s="33" t="s">
        <v>1084</v>
      </c>
      <c r="S575" s="33">
        <v>384</v>
      </c>
      <c r="T575" s="33">
        <v>7</v>
      </c>
      <c r="U575" s="431" t="s">
        <v>6302</v>
      </c>
      <c r="V575" s="41" t="s">
        <v>106</v>
      </c>
      <c r="W575" s="13" t="s">
        <v>107</v>
      </c>
      <c r="X575" s="431"/>
      <c r="Y575" s="432" t="s">
        <v>6303</v>
      </c>
      <c r="Z575" s="432">
        <v>170</v>
      </c>
      <c r="AA575" s="432">
        <v>66</v>
      </c>
      <c r="AB575" s="16">
        <v>156</v>
      </c>
      <c r="AC575" s="16">
        <v>55</v>
      </c>
      <c r="AD575" s="16">
        <v>70</v>
      </c>
      <c r="AE575" s="16">
        <v>9</v>
      </c>
      <c r="AF575" s="16">
        <v>30</v>
      </c>
      <c r="AG575" s="16">
        <v>109</v>
      </c>
      <c r="AH575" s="16">
        <v>30</v>
      </c>
      <c r="AI575" s="16">
        <v>6</v>
      </c>
      <c r="AJ575" s="432"/>
      <c r="AK575" s="431" t="s">
        <v>6294</v>
      </c>
      <c r="AL575" s="25">
        <v>109</v>
      </c>
      <c r="AM575" s="432">
        <v>30</v>
      </c>
      <c r="AN575" s="432"/>
      <c r="AO575" s="432"/>
      <c r="AP575" s="16"/>
      <c r="AQ575" s="16"/>
      <c r="AR575" s="130">
        <v>1404</v>
      </c>
      <c r="AS575" s="130">
        <v>12</v>
      </c>
      <c r="AT575" s="130"/>
      <c r="AU575" s="130"/>
      <c r="AV575" s="12" t="str">
        <f t="shared" si="29"/>
        <v/>
      </c>
      <c r="AW575" s="12" t="str">
        <f t="shared" si="30"/>
        <v/>
      </c>
      <c r="AX575" s="12"/>
      <c r="AY575" s="408"/>
    </row>
    <row r="576" spans="1:51" ht="30" hidden="1" customHeight="1" x14ac:dyDescent="0.2">
      <c r="A576" s="475">
        <v>576</v>
      </c>
      <c r="B576" s="432">
        <v>23</v>
      </c>
      <c r="C576" s="432">
        <v>12</v>
      </c>
      <c r="D576" s="16">
        <v>1404</v>
      </c>
      <c r="E576" s="431" t="s">
        <v>739</v>
      </c>
      <c r="F576" s="431" t="s">
        <v>10</v>
      </c>
      <c r="G576" s="431" t="s">
        <v>4796</v>
      </c>
      <c r="H576" s="432" t="s">
        <v>83</v>
      </c>
      <c r="I576" s="360" t="s">
        <v>5479</v>
      </c>
      <c r="J576" s="16" t="s">
        <v>5577</v>
      </c>
      <c r="K576" s="431"/>
      <c r="L576" s="431" t="s">
        <v>104</v>
      </c>
      <c r="M576" s="431"/>
      <c r="N576" s="41" t="s">
        <v>106</v>
      </c>
      <c r="O576" s="13" t="s">
        <v>107</v>
      </c>
      <c r="P576" s="13"/>
      <c r="Q576" s="13"/>
      <c r="R576" s="432"/>
      <c r="S576" s="432">
        <v>293</v>
      </c>
      <c r="T576" s="432">
        <v>15</v>
      </c>
      <c r="U576" s="431"/>
      <c r="V576" s="41" t="s">
        <v>106</v>
      </c>
      <c r="W576" s="13" t="s">
        <v>107</v>
      </c>
      <c r="X576" s="431"/>
      <c r="Y576" s="432" t="s">
        <v>3279</v>
      </c>
      <c r="Z576" s="432">
        <v>200</v>
      </c>
      <c r="AA576" s="432">
        <v>186</v>
      </c>
      <c r="AB576" s="16">
        <v>186</v>
      </c>
      <c r="AC576" s="16"/>
      <c r="AD576" s="16"/>
      <c r="AE576" s="16"/>
      <c r="AF576" s="16"/>
      <c r="AG576" s="16"/>
      <c r="AH576" s="16"/>
      <c r="AI576" s="16">
        <v>6</v>
      </c>
      <c r="AJ576" s="432"/>
      <c r="AK576" s="431"/>
      <c r="AL576" s="25"/>
      <c r="AM576" s="432"/>
      <c r="AN576" s="432"/>
      <c r="AO576" s="432"/>
      <c r="AP576" s="16" t="s">
        <v>160</v>
      </c>
      <c r="AQ576" s="16" t="s">
        <v>165</v>
      </c>
      <c r="AR576" s="130">
        <v>1404</v>
      </c>
      <c r="AS576" s="130">
        <v>12</v>
      </c>
      <c r="AT576" s="130">
        <v>1402</v>
      </c>
      <c r="AU576" s="130">
        <v>2</v>
      </c>
      <c r="AV576" s="12">
        <f t="shared" si="29"/>
        <v>34</v>
      </c>
      <c r="AW576" s="12" t="str">
        <f t="shared" si="30"/>
        <v/>
      </c>
      <c r="AX576" s="12"/>
      <c r="AY576" s="408"/>
    </row>
    <row r="577" spans="1:51" ht="30" hidden="1" customHeight="1" x14ac:dyDescent="0.2">
      <c r="A577" s="475">
        <v>577</v>
      </c>
      <c r="B577" s="432">
        <v>24</v>
      </c>
      <c r="C577" s="432">
        <v>12</v>
      </c>
      <c r="D577" s="16">
        <v>1404</v>
      </c>
      <c r="E577" s="431" t="s">
        <v>3855</v>
      </c>
      <c r="F577" s="431" t="s">
        <v>6</v>
      </c>
      <c r="G577" s="431" t="s">
        <v>192</v>
      </c>
      <c r="H577" s="432" t="s">
        <v>7</v>
      </c>
      <c r="I577" s="360" t="s">
        <v>5479</v>
      </c>
      <c r="J577" s="16" t="s">
        <v>84</v>
      </c>
      <c r="K577" s="431"/>
      <c r="L577" s="431" t="s">
        <v>218</v>
      </c>
      <c r="M577" s="431" t="s">
        <v>6304</v>
      </c>
      <c r="N577" s="41" t="s">
        <v>106</v>
      </c>
      <c r="O577" s="13" t="s">
        <v>107</v>
      </c>
      <c r="P577" s="13"/>
      <c r="Q577" s="13"/>
      <c r="R577" s="432"/>
      <c r="S577" s="432">
        <v>384</v>
      </c>
      <c r="T577" s="432">
        <v>12</v>
      </c>
      <c r="U577" s="431" t="s">
        <v>6305</v>
      </c>
      <c r="V577" s="41" t="s">
        <v>69</v>
      </c>
      <c r="W577" s="13" t="s">
        <v>70</v>
      </c>
      <c r="X577" s="431"/>
      <c r="Y577" s="432"/>
      <c r="Z577" s="432">
        <v>238</v>
      </c>
      <c r="AA577" s="432"/>
      <c r="AB577" s="16">
        <v>222</v>
      </c>
      <c r="AC577" s="16">
        <v>154</v>
      </c>
      <c r="AD577" s="16">
        <v>166</v>
      </c>
      <c r="AE577" s="16">
        <v>9</v>
      </c>
      <c r="AF577" s="16">
        <v>60</v>
      </c>
      <c r="AG577" s="16"/>
      <c r="AH577" s="16"/>
      <c r="AI577" s="16"/>
      <c r="AJ577" s="432"/>
      <c r="AK577" s="431"/>
      <c r="AL577" s="25"/>
      <c r="AM577" s="432"/>
      <c r="AN577" s="432"/>
      <c r="AO577" s="432"/>
      <c r="AP577" s="16"/>
      <c r="AQ577" s="16"/>
      <c r="AR577" s="130">
        <v>1404</v>
      </c>
      <c r="AS577" s="130">
        <v>12</v>
      </c>
      <c r="AT577" s="130"/>
      <c r="AU577" s="130"/>
      <c r="AV577" s="12" t="str">
        <f t="shared" si="29"/>
        <v/>
      </c>
      <c r="AW577" s="12" t="str">
        <f t="shared" si="30"/>
        <v/>
      </c>
      <c r="AX577" s="12"/>
      <c r="AY577" s="408"/>
    </row>
    <row r="578" spans="1:51" ht="30" hidden="1" customHeight="1" x14ac:dyDescent="0.2">
      <c r="A578" s="475">
        <v>578</v>
      </c>
      <c r="B578" s="432">
        <v>24</v>
      </c>
      <c r="C578" s="432">
        <v>12</v>
      </c>
      <c r="D578" s="16">
        <v>1404</v>
      </c>
      <c r="E578" s="431" t="s">
        <v>579</v>
      </c>
      <c r="F578" s="431" t="s">
        <v>6105</v>
      </c>
      <c r="G578" s="431" t="s">
        <v>5608</v>
      </c>
      <c r="H578" s="432" t="s">
        <v>83</v>
      </c>
      <c r="I578" s="360" t="s">
        <v>5479</v>
      </c>
      <c r="J578" s="16" t="s">
        <v>5577</v>
      </c>
      <c r="K578" s="431"/>
      <c r="L578" s="431" t="s">
        <v>334</v>
      </c>
      <c r="M578" s="431" t="s">
        <v>6299</v>
      </c>
      <c r="N578" s="41" t="s">
        <v>106</v>
      </c>
      <c r="O578" s="13" t="s">
        <v>107</v>
      </c>
      <c r="P578" s="13"/>
      <c r="Q578" s="13"/>
      <c r="R578" s="432"/>
      <c r="S578" s="432">
        <v>193</v>
      </c>
      <c r="T578" s="432">
        <v>16</v>
      </c>
      <c r="U578" s="431" t="s">
        <v>6261</v>
      </c>
      <c r="V578" s="41" t="s">
        <v>69</v>
      </c>
      <c r="W578" s="13" t="s">
        <v>70</v>
      </c>
      <c r="X578" s="431"/>
      <c r="Y578" s="432" t="s">
        <v>6262</v>
      </c>
      <c r="Z578" s="432">
        <v>236</v>
      </c>
      <c r="AA578" s="432">
        <v>222</v>
      </c>
      <c r="AB578" s="16">
        <v>222</v>
      </c>
      <c r="AC578" s="16"/>
      <c r="AD578" s="16"/>
      <c r="AE578" s="16"/>
      <c r="AF578" s="16"/>
      <c r="AG578" s="16"/>
      <c r="AH578" s="16"/>
      <c r="AI578" s="16">
        <v>6</v>
      </c>
      <c r="AJ578" s="432"/>
      <c r="AK578" s="431"/>
      <c r="AL578" s="25"/>
      <c r="AM578" s="432"/>
      <c r="AN578" s="432"/>
      <c r="AO578" s="432"/>
      <c r="AP578" s="16" t="s">
        <v>160</v>
      </c>
      <c r="AQ578" s="16" t="s">
        <v>161</v>
      </c>
      <c r="AR578" s="130">
        <v>1404</v>
      </c>
      <c r="AS578" s="130">
        <v>12</v>
      </c>
      <c r="AT578" s="130">
        <v>1404</v>
      </c>
      <c r="AU578" s="130">
        <v>12</v>
      </c>
      <c r="AV578" s="12">
        <f t="shared" si="29"/>
        <v>0</v>
      </c>
      <c r="AW578" s="12">
        <f t="shared" si="30"/>
        <v>0</v>
      </c>
      <c r="AX578" s="12"/>
      <c r="AY578" s="408"/>
    </row>
    <row r="579" spans="1:51" ht="30" hidden="1" customHeight="1" x14ac:dyDescent="0.2">
      <c r="A579" s="475">
        <v>579</v>
      </c>
      <c r="B579" s="432">
        <v>25</v>
      </c>
      <c r="C579" s="432">
        <v>12</v>
      </c>
      <c r="D579" s="16">
        <v>1404</v>
      </c>
      <c r="E579" s="431" t="s">
        <v>905</v>
      </c>
      <c r="F579" s="431" t="s">
        <v>2981</v>
      </c>
      <c r="G579" s="431"/>
      <c r="H579" s="432" t="s">
        <v>7</v>
      </c>
      <c r="I579" s="360" t="s">
        <v>5479</v>
      </c>
      <c r="J579" s="16" t="s">
        <v>84</v>
      </c>
      <c r="K579" s="35" t="s">
        <v>104</v>
      </c>
      <c r="L579" s="35" t="s">
        <v>68</v>
      </c>
      <c r="M579" s="431" t="s">
        <v>6306</v>
      </c>
      <c r="N579" s="41" t="s">
        <v>106</v>
      </c>
      <c r="O579" s="13" t="s">
        <v>107</v>
      </c>
      <c r="P579" s="13"/>
      <c r="Q579" s="13"/>
      <c r="R579" s="33" t="s">
        <v>131</v>
      </c>
      <c r="S579" s="33">
        <v>6609</v>
      </c>
      <c r="T579" s="33">
        <v>14</v>
      </c>
      <c r="U579" s="431" t="s">
        <v>6307</v>
      </c>
      <c r="V579" s="41" t="s">
        <v>106</v>
      </c>
      <c r="W579" s="13" t="s">
        <v>107</v>
      </c>
      <c r="X579" s="431"/>
      <c r="Y579" s="432" t="s">
        <v>5062</v>
      </c>
      <c r="Z579" s="432">
        <v>246</v>
      </c>
      <c r="AA579" s="432">
        <v>210</v>
      </c>
      <c r="AB579" s="16">
        <v>210</v>
      </c>
      <c r="AC579" s="16">
        <v>70</v>
      </c>
      <c r="AD579" s="16">
        <v>140</v>
      </c>
      <c r="AE579" s="16">
        <v>4</v>
      </c>
      <c r="AF579" s="16">
        <v>21</v>
      </c>
      <c r="AG579" s="16">
        <v>174</v>
      </c>
      <c r="AH579" s="16">
        <v>17</v>
      </c>
      <c r="AI579" s="16">
        <v>6</v>
      </c>
      <c r="AJ579" s="432"/>
      <c r="AK579" s="431" t="s">
        <v>6274</v>
      </c>
      <c r="AL579" s="25">
        <v>174</v>
      </c>
      <c r="AM579" s="432">
        <v>17</v>
      </c>
      <c r="AN579" s="432"/>
      <c r="AO579" s="432"/>
      <c r="AP579" s="16" t="s">
        <v>160</v>
      </c>
      <c r="AQ579" s="16" t="s">
        <v>193</v>
      </c>
      <c r="AR579" s="130">
        <v>1404</v>
      </c>
      <c r="AS579" s="130">
        <v>12</v>
      </c>
      <c r="AT579" s="130"/>
      <c r="AU579" s="130"/>
      <c r="AV579" s="12" t="str">
        <f t="shared" si="29"/>
        <v/>
      </c>
      <c r="AW579" s="12" t="str">
        <f t="shared" si="30"/>
        <v/>
      </c>
      <c r="AX579" s="12"/>
      <c r="AY579" s="408"/>
    </row>
    <row r="580" spans="1:51" ht="30" hidden="1" customHeight="1" x14ac:dyDescent="0.2">
      <c r="A580" s="475">
        <v>580</v>
      </c>
      <c r="B580" s="432">
        <v>25</v>
      </c>
      <c r="C580" s="432">
        <v>12</v>
      </c>
      <c r="D580" s="16">
        <v>1404</v>
      </c>
      <c r="E580" s="431" t="s">
        <v>6257</v>
      </c>
      <c r="F580" s="431" t="s">
        <v>6105</v>
      </c>
      <c r="G580" s="431" t="s">
        <v>90</v>
      </c>
      <c r="H580" s="432" t="s">
        <v>7</v>
      </c>
      <c r="I580" s="360" t="s">
        <v>5479</v>
      </c>
      <c r="J580" s="16" t="s">
        <v>6106</v>
      </c>
      <c r="K580" s="431"/>
      <c r="L580" s="431" t="s">
        <v>104</v>
      </c>
      <c r="M580" s="431" t="s">
        <v>6275</v>
      </c>
      <c r="N580" s="41" t="s">
        <v>69</v>
      </c>
      <c r="O580" s="13" t="s">
        <v>70</v>
      </c>
      <c r="P580" s="13"/>
      <c r="Q580" s="13"/>
      <c r="R580" s="432"/>
      <c r="S580" s="432">
        <v>345</v>
      </c>
      <c r="T580" s="432">
        <v>7</v>
      </c>
      <c r="U580" s="431" t="s">
        <v>6276</v>
      </c>
      <c r="V580" s="41" t="s">
        <v>69</v>
      </c>
      <c r="W580" s="13" t="s">
        <v>70</v>
      </c>
      <c r="X580" s="431"/>
      <c r="Y580" s="432"/>
      <c r="Z580" s="432">
        <v>229</v>
      </c>
      <c r="AA580" s="432"/>
      <c r="AB580" s="16">
        <v>219</v>
      </c>
      <c r="AC580" s="16">
        <v>75</v>
      </c>
      <c r="AD580" s="16">
        <v>111</v>
      </c>
      <c r="AE580" s="16">
        <v>6</v>
      </c>
      <c r="AF580" s="16">
        <v>37</v>
      </c>
      <c r="AG580" s="16">
        <v>150</v>
      </c>
      <c r="AH580" s="16">
        <v>20</v>
      </c>
      <c r="AI580" s="16">
        <v>6</v>
      </c>
      <c r="AJ580" s="432"/>
      <c r="AK580" s="431" t="s">
        <v>6236</v>
      </c>
      <c r="AL580" s="25">
        <v>150</v>
      </c>
      <c r="AM580" s="432">
        <v>20</v>
      </c>
      <c r="AN580" s="432"/>
      <c r="AO580" s="432"/>
      <c r="AP580" s="16" t="s">
        <v>160</v>
      </c>
      <c r="AQ580" s="16" t="s">
        <v>193</v>
      </c>
      <c r="AR580" s="130">
        <v>1404</v>
      </c>
      <c r="AS580" s="130">
        <v>12</v>
      </c>
      <c r="AT580" s="130"/>
      <c r="AU580" s="130"/>
      <c r="AV580" s="12" t="str">
        <f t="shared" si="29"/>
        <v/>
      </c>
      <c r="AW580" s="12" t="str">
        <f t="shared" si="30"/>
        <v/>
      </c>
      <c r="AX580" s="12"/>
      <c r="AY580" s="408"/>
    </row>
    <row r="581" spans="1:51" ht="30" hidden="1" customHeight="1" x14ac:dyDescent="0.2">
      <c r="A581" s="475">
        <v>581</v>
      </c>
      <c r="B581" s="432">
        <v>26</v>
      </c>
      <c r="C581" s="432">
        <v>12</v>
      </c>
      <c r="D581" s="16">
        <v>1404</v>
      </c>
      <c r="E581" s="431" t="s">
        <v>1053</v>
      </c>
      <c r="F581" s="431" t="s">
        <v>6</v>
      </c>
      <c r="G581" s="431"/>
      <c r="H581" s="432" t="s">
        <v>7</v>
      </c>
      <c r="I581" s="360" t="s">
        <v>5479</v>
      </c>
      <c r="J581" s="16" t="s">
        <v>84</v>
      </c>
      <c r="K581" s="35" t="s">
        <v>68</v>
      </c>
      <c r="L581" s="35" t="s">
        <v>104</v>
      </c>
      <c r="M581" s="431" t="s">
        <v>6272</v>
      </c>
      <c r="N581" s="41" t="s">
        <v>106</v>
      </c>
      <c r="O581" s="13" t="s">
        <v>107</v>
      </c>
      <c r="P581" s="13"/>
      <c r="Q581" s="13"/>
      <c r="R581" s="33" t="s">
        <v>361</v>
      </c>
      <c r="S581" s="33">
        <v>6608</v>
      </c>
      <c r="T581" s="33">
        <v>18</v>
      </c>
      <c r="U581" s="431" t="s">
        <v>6273</v>
      </c>
      <c r="V581" s="41" t="s">
        <v>69</v>
      </c>
      <c r="W581" s="13" t="s">
        <v>70</v>
      </c>
      <c r="X581" s="431" t="s">
        <v>5187</v>
      </c>
      <c r="Y581" s="432" t="s">
        <v>3434</v>
      </c>
      <c r="Z581" s="432">
        <v>203</v>
      </c>
      <c r="AA581" s="432">
        <v>192</v>
      </c>
      <c r="AB581" s="16">
        <v>192</v>
      </c>
      <c r="AC581" s="16">
        <v>9</v>
      </c>
      <c r="AD581" s="16">
        <v>192</v>
      </c>
      <c r="AE581" s="16">
        <v>1</v>
      </c>
      <c r="AF581" s="16">
        <v>70</v>
      </c>
      <c r="AG581" s="16">
        <v>263</v>
      </c>
      <c r="AH581" s="16">
        <v>8</v>
      </c>
      <c r="AI581" s="16">
        <v>6</v>
      </c>
      <c r="AJ581" s="432"/>
      <c r="AK581" s="431" t="s">
        <v>6274</v>
      </c>
      <c r="AL581" s="25">
        <v>263</v>
      </c>
      <c r="AM581" s="432">
        <v>8</v>
      </c>
      <c r="AN581" s="432"/>
      <c r="AO581" s="432"/>
      <c r="AP581" s="16" t="s">
        <v>160</v>
      </c>
      <c r="AQ581" s="16" t="s">
        <v>193</v>
      </c>
      <c r="AR581" s="130">
        <v>1404</v>
      </c>
      <c r="AS581" s="130">
        <v>12</v>
      </c>
      <c r="AT581" s="130"/>
      <c r="AU581" s="130"/>
      <c r="AV581" s="12" t="str">
        <f t="shared" si="29"/>
        <v/>
      </c>
      <c r="AW581" s="12" t="str">
        <f t="shared" si="30"/>
        <v/>
      </c>
      <c r="AX581" s="12"/>
      <c r="AY581" s="408"/>
    </row>
    <row r="582" spans="1:51" ht="30" hidden="1" customHeight="1" x14ac:dyDescent="0.2">
      <c r="A582" s="475">
        <v>582</v>
      </c>
      <c r="B582" s="432">
        <v>26</v>
      </c>
      <c r="C582" s="432">
        <v>12</v>
      </c>
      <c r="D582" s="16">
        <v>1404</v>
      </c>
      <c r="E582" s="431" t="s">
        <v>6258</v>
      </c>
      <c r="F582" s="431" t="s">
        <v>2981</v>
      </c>
      <c r="G582" s="431"/>
      <c r="H582" s="432" t="s">
        <v>7</v>
      </c>
      <c r="I582" s="360" t="s">
        <v>5479</v>
      </c>
      <c r="J582" s="16" t="s">
        <v>84</v>
      </c>
      <c r="K582" s="431" t="s">
        <v>104</v>
      </c>
      <c r="L582" s="431" t="s">
        <v>104</v>
      </c>
      <c r="M582" s="431" t="s">
        <v>6269</v>
      </c>
      <c r="N582" s="41" t="s">
        <v>142</v>
      </c>
      <c r="O582" s="13" t="s">
        <v>70</v>
      </c>
      <c r="P582" s="13"/>
      <c r="Q582" s="13"/>
      <c r="R582" s="33" t="s">
        <v>361</v>
      </c>
      <c r="S582" s="33">
        <v>6611</v>
      </c>
      <c r="T582" s="33">
        <v>13</v>
      </c>
      <c r="U582" s="431" t="s">
        <v>6270</v>
      </c>
      <c r="V582" s="41" t="s">
        <v>73</v>
      </c>
      <c r="W582" s="13" t="s">
        <v>70</v>
      </c>
      <c r="X582" s="431" t="s">
        <v>5187</v>
      </c>
      <c r="Y582" s="432" t="s">
        <v>6271</v>
      </c>
      <c r="Z582" s="432">
        <v>224</v>
      </c>
      <c r="AA582" s="432">
        <v>213</v>
      </c>
      <c r="AB582" s="16">
        <v>213</v>
      </c>
      <c r="AC582" s="16">
        <v>65</v>
      </c>
      <c r="AD582" s="16">
        <v>113</v>
      </c>
      <c r="AE582" s="16">
        <v>5</v>
      </c>
      <c r="AF582" s="16">
        <v>53</v>
      </c>
      <c r="AG582" s="16">
        <v>175</v>
      </c>
      <c r="AH582" s="16">
        <v>20</v>
      </c>
      <c r="AI582" s="16">
        <v>6</v>
      </c>
      <c r="AJ582" s="432"/>
      <c r="AK582" s="431" t="s">
        <v>6268</v>
      </c>
      <c r="AL582" s="25">
        <v>175</v>
      </c>
      <c r="AM582" s="432">
        <v>20</v>
      </c>
      <c r="AN582" s="432"/>
      <c r="AO582" s="432"/>
      <c r="AP582" s="16" t="s">
        <v>160</v>
      </c>
      <c r="AQ582" s="16" t="s">
        <v>193</v>
      </c>
      <c r="AR582" s="130">
        <v>1404</v>
      </c>
      <c r="AS582" s="130">
        <v>12</v>
      </c>
      <c r="AT582" s="130"/>
      <c r="AU582" s="130"/>
      <c r="AV582" s="12" t="str">
        <f t="shared" si="29"/>
        <v/>
      </c>
      <c r="AW582" s="12" t="str">
        <f t="shared" si="30"/>
        <v/>
      </c>
      <c r="AX582" s="12"/>
      <c r="AY582" s="408"/>
    </row>
    <row r="583" spans="1:51" ht="30" hidden="1" customHeight="1" x14ac:dyDescent="0.2">
      <c r="A583" s="475">
        <v>583</v>
      </c>
      <c r="B583" s="432">
        <v>27</v>
      </c>
      <c r="C583" s="432">
        <v>12</v>
      </c>
      <c r="D583" s="16">
        <v>140</v>
      </c>
      <c r="E583" s="431" t="s">
        <v>6021</v>
      </c>
      <c r="F583" s="431" t="s">
        <v>243</v>
      </c>
      <c r="G583" s="478" t="s">
        <v>6285</v>
      </c>
      <c r="H583" s="432" t="s">
        <v>83</v>
      </c>
      <c r="I583" s="360" t="s">
        <v>5479</v>
      </c>
      <c r="J583" s="16" t="s">
        <v>84</v>
      </c>
      <c r="K583" s="431"/>
      <c r="L583" s="431" t="s">
        <v>769</v>
      </c>
      <c r="M583" s="431"/>
      <c r="N583" s="41" t="s">
        <v>106</v>
      </c>
      <c r="O583" s="13" t="s">
        <v>107</v>
      </c>
      <c r="P583" s="13"/>
      <c r="Q583" s="13"/>
      <c r="R583" s="432"/>
      <c r="S583" s="432">
        <v>233</v>
      </c>
      <c r="T583" s="432">
        <v>7</v>
      </c>
      <c r="U583" s="431"/>
      <c r="V583" s="41" t="s">
        <v>106</v>
      </c>
      <c r="W583" s="13" t="s">
        <v>107</v>
      </c>
      <c r="X583" s="431"/>
      <c r="Y583" s="432" t="s">
        <v>6138</v>
      </c>
      <c r="Z583" s="432">
        <v>105</v>
      </c>
      <c r="AA583" s="432">
        <v>100</v>
      </c>
      <c r="AB583" s="16">
        <v>100</v>
      </c>
      <c r="AC583" s="16"/>
      <c r="AD583" s="16"/>
      <c r="AE583" s="16"/>
      <c r="AF583" s="16"/>
      <c r="AG583" s="16"/>
      <c r="AH583" s="16"/>
      <c r="AI583" s="16">
        <v>6</v>
      </c>
      <c r="AJ583" s="432"/>
      <c r="AK583" s="431"/>
      <c r="AL583" s="25"/>
      <c r="AM583" s="432"/>
      <c r="AN583" s="432"/>
      <c r="AO583" s="432"/>
      <c r="AP583" s="16" t="s">
        <v>5080</v>
      </c>
      <c r="AQ583" s="16" t="s">
        <v>1956</v>
      </c>
      <c r="AR583" s="130">
        <v>1404</v>
      </c>
      <c r="AS583" s="130">
        <v>12</v>
      </c>
      <c r="AT583" s="130">
        <v>1404</v>
      </c>
      <c r="AU583" s="130">
        <v>11</v>
      </c>
      <c r="AV583" s="12">
        <f t="shared" si="29"/>
        <v>1</v>
      </c>
      <c r="AW583" s="12">
        <f t="shared" si="30"/>
        <v>1</v>
      </c>
      <c r="AX583" s="12"/>
      <c r="AY583" s="408"/>
    </row>
    <row r="584" spans="1:51" ht="30" hidden="1" customHeight="1" x14ac:dyDescent="0.2">
      <c r="A584" s="475">
        <v>584</v>
      </c>
      <c r="B584" s="432">
        <v>27</v>
      </c>
      <c r="C584" s="432">
        <v>12</v>
      </c>
      <c r="D584" s="16">
        <v>1404</v>
      </c>
      <c r="E584" s="431" t="s">
        <v>6021</v>
      </c>
      <c r="F584" s="431" t="s">
        <v>243</v>
      </c>
      <c r="G584" s="431" t="s">
        <v>6285</v>
      </c>
      <c r="H584" s="432" t="s">
        <v>7</v>
      </c>
      <c r="I584" s="360" t="s">
        <v>5479</v>
      </c>
      <c r="J584" s="16" t="s">
        <v>84</v>
      </c>
      <c r="K584" s="35" t="s">
        <v>769</v>
      </c>
      <c r="L584" s="35" t="s">
        <v>223</v>
      </c>
      <c r="M584" s="431" t="s">
        <v>6266</v>
      </c>
      <c r="N584" s="41" t="s">
        <v>106</v>
      </c>
      <c r="O584" s="13" t="s">
        <v>107</v>
      </c>
      <c r="P584" s="13"/>
      <c r="Q584" s="13"/>
      <c r="R584" s="33" t="s">
        <v>2259</v>
      </c>
      <c r="S584" s="33">
        <v>233</v>
      </c>
      <c r="T584" s="33">
        <v>12</v>
      </c>
      <c r="U584" s="431" t="s">
        <v>6267</v>
      </c>
      <c r="V584" s="41" t="s">
        <v>69</v>
      </c>
      <c r="W584" s="13" t="s">
        <v>70</v>
      </c>
      <c r="X584" s="431" t="s">
        <v>5187</v>
      </c>
      <c r="Y584" s="432" t="s">
        <v>6138</v>
      </c>
      <c r="Z584" s="432">
        <v>105</v>
      </c>
      <c r="AA584" s="432">
        <v>100</v>
      </c>
      <c r="AB584" s="16">
        <v>100</v>
      </c>
      <c r="AC584" s="16">
        <v>57</v>
      </c>
      <c r="AD584" s="16">
        <v>82</v>
      </c>
      <c r="AE584" s="16">
        <v>1</v>
      </c>
      <c r="AF584" s="16">
        <v>75</v>
      </c>
      <c r="AG584" s="16">
        <v>158</v>
      </c>
      <c r="AH584" s="16">
        <v>6</v>
      </c>
      <c r="AI584" s="16">
        <v>6</v>
      </c>
      <c r="AJ584" s="432"/>
      <c r="AK584" s="431" t="s">
        <v>6268</v>
      </c>
      <c r="AL584" s="25">
        <v>158</v>
      </c>
      <c r="AM584" s="432">
        <v>6</v>
      </c>
      <c r="AN584" s="432"/>
      <c r="AO584" s="432"/>
      <c r="AP584" s="16" t="s">
        <v>5080</v>
      </c>
      <c r="AQ584" s="16" t="s">
        <v>1956</v>
      </c>
      <c r="AR584" s="130">
        <v>1404</v>
      </c>
      <c r="AS584" s="130">
        <v>12</v>
      </c>
      <c r="AT584" s="130"/>
      <c r="AU584" s="130"/>
      <c r="AV584" s="12" t="str">
        <f t="shared" si="29"/>
        <v/>
      </c>
      <c r="AW584" s="12" t="str">
        <f t="shared" si="30"/>
        <v/>
      </c>
      <c r="AX584" s="12"/>
      <c r="AY584" s="408"/>
    </row>
    <row r="585" spans="1:51" ht="30" hidden="1" customHeight="1" x14ac:dyDescent="0.2">
      <c r="A585" s="475">
        <v>585</v>
      </c>
      <c r="B585" s="432">
        <v>27</v>
      </c>
      <c r="C585" s="432">
        <v>12</v>
      </c>
      <c r="D585" s="16">
        <v>1404</v>
      </c>
      <c r="E585" s="431" t="s">
        <v>1543</v>
      </c>
      <c r="F585" s="431" t="s">
        <v>6</v>
      </c>
      <c r="G585" s="431"/>
      <c r="H585" s="432" t="s">
        <v>7</v>
      </c>
      <c r="I585" s="360" t="s">
        <v>5479</v>
      </c>
      <c r="J585" s="16" t="s">
        <v>84</v>
      </c>
      <c r="K585" s="35" t="s">
        <v>525</v>
      </c>
      <c r="L585" s="35" t="s">
        <v>68</v>
      </c>
      <c r="M585" s="431" t="s">
        <v>6264</v>
      </c>
      <c r="N585" s="41" t="s">
        <v>69</v>
      </c>
      <c r="O585" s="13" t="s">
        <v>70</v>
      </c>
      <c r="P585" s="13"/>
      <c r="Q585" s="13"/>
      <c r="R585" s="33" t="s">
        <v>324</v>
      </c>
      <c r="S585" s="33">
        <v>6609</v>
      </c>
      <c r="T585" s="33">
        <v>16</v>
      </c>
      <c r="U585" s="431" t="s">
        <v>6265</v>
      </c>
      <c r="V585" s="41" t="s">
        <v>69</v>
      </c>
      <c r="W585" s="13" t="s">
        <v>70</v>
      </c>
      <c r="X585" s="431" t="s">
        <v>5187</v>
      </c>
      <c r="Y585" s="432" t="s">
        <v>4451</v>
      </c>
      <c r="Z585" s="432">
        <v>176</v>
      </c>
      <c r="AA585" s="432">
        <v>162</v>
      </c>
      <c r="AB585" s="16">
        <v>162</v>
      </c>
      <c r="AC585" s="16">
        <v>106</v>
      </c>
      <c r="AD585" s="16">
        <v>151</v>
      </c>
      <c r="AE585" s="16">
        <v>4</v>
      </c>
      <c r="AF585" s="16">
        <v>58</v>
      </c>
      <c r="AG585" s="16">
        <v>213</v>
      </c>
      <c r="AH585" s="16">
        <v>17</v>
      </c>
      <c r="AI585" s="16">
        <v>6</v>
      </c>
      <c r="AJ585" s="432"/>
      <c r="AK585" s="431" t="s">
        <v>6262</v>
      </c>
      <c r="AL585" s="25">
        <v>213</v>
      </c>
      <c r="AM585" s="432">
        <v>17</v>
      </c>
      <c r="AN585" s="432"/>
      <c r="AO585" s="432"/>
      <c r="AP585" s="16" t="s">
        <v>5080</v>
      </c>
      <c r="AQ585" s="16" t="s">
        <v>161</v>
      </c>
      <c r="AR585" s="130">
        <v>1404</v>
      </c>
      <c r="AS585" s="130">
        <v>12</v>
      </c>
      <c r="AT585" s="130"/>
      <c r="AU585" s="130"/>
      <c r="AV585" s="12" t="str">
        <f t="shared" si="29"/>
        <v/>
      </c>
      <c r="AW585" s="12" t="str">
        <f t="shared" si="30"/>
        <v/>
      </c>
      <c r="AX585" s="12"/>
      <c r="AY585" s="408"/>
    </row>
    <row r="586" spans="1:51" ht="30" hidden="1" customHeight="1" x14ac:dyDescent="0.2">
      <c r="A586" s="475">
        <v>586</v>
      </c>
      <c r="B586" s="432">
        <v>27</v>
      </c>
      <c r="C586" s="432">
        <v>12</v>
      </c>
      <c r="D586" s="16">
        <v>1404</v>
      </c>
      <c r="E586" s="431" t="s">
        <v>6259</v>
      </c>
      <c r="F586" s="431" t="s">
        <v>6105</v>
      </c>
      <c r="G586" s="478" t="s">
        <v>5608</v>
      </c>
      <c r="H586" s="432" t="s">
        <v>7</v>
      </c>
      <c r="I586" s="360" t="s">
        <v>5479</v>
      </c>
      <c r="J586" s="16" t="s">
        <v>5577</v>
      </c>
      <c r="K586" s="35" t="s">
        <v>334</v>
      </c>
      <c r="L586" s="35" t="s">
        <v>223</v>
      </c>
      <c r="M586" s="431" t="s">
        <v>6260</v>
      </c>
      <c r="N586" s="41" t="s">
        <v>106</v>
      </c>
      <c r="O586" s="13" t="s">
        <v>107</v>
      </c>
      <c r="P586" s="13"/>
      <c r="Q586" s="13"/>
      <c r="R586" s="432" t="s">
        <v>298</v>
      </c>
      <c r="S586" s="432">
        <v>193</v>
      </c>
      <c r="T586" s="432">
        <v>16</v>
      </c>
      <c r="U586" s="431" t="s">
        <v>6261</v>
      </c>
      <c r="V586" s="41" t="s">
        <v>69</v>
      </c>
      <c r="W586" s="13" t="s">
        <v>70</v>
      </c>
      <c r="X586" s="431" t="s">
        <v>5187</v>
      </c>
      <c r="Y586" s="432" t="s">
        <v>6262</v>
      </c>
      <c r="Z586" s="432">
        <v>236</v>
      </c>
      <c r="AA586" s="432">
        <v>222</v>
      </c>
      <c r="AB586" s="16">
        <v>222</v>
      </c>
      <c r="AC586" s="16">
        <v>134</v>
      </c>
      <c r="AD586" s="16">
        <v>173</v>
      </c>
      <c r="AE586" s="16">
        <v>1</v>
      </c>
      <c r="AF586" s="16">
        <v>10</v>
      </c>
      <c r="AG586" s="16">
        <v>184</v>
      </c>
      <c r="AH586" s="16">
        <v>5</v>
      </c>
      <c r="AI586" s="16">
        <v>6</v>
      </c>
      <c r="AJ586" s="432"/>
      <c r="AK586" s="431" t="s">
        <v>6263</v>
      </c>
      <c r="AL586" s="25">
        <v>184</v>
      </c>
      <c r="AM586" s="432">
        <v>5</v>
      </c>
      <c r="AN586" s="432"/>
      <c r="AO586" s="432"/>
      <c r="AP586" s="16" t="s">
        <v>160</v>
      </c>
      <c r="AQ586" s="16" t="s">
        <v>193</v>
      </c>
      <c r="AR586" s="130">
        <v>1404</v>
      </c>
      <c r="AS586" s="130">
        <v>12</v>
      </c>
      <c r="AT586" s="130"/>
      <c r="AU586" s="130"/>
      <c r="AV586" s="12" t="str">
        <f t="shared" si="29"/>
        <v/>
      </c>
      <c r="AW586" s="12" t="str">
        <f t="shared" si="30"/>
        <v/>
      </c>
      <c r="AX586" s="12"/>
      <c r="AY586" s="408"/>
    </row>
    <row r="587" spans="1:51" ht="30" hidden="1" customHeight="1" x14ac:dyDescent="0.2">
      <c r="A587" s="475">
        <v>587</v>
      </c>
      <c r="B587" s="432">
        <v>28</v>
      </c>
      <c r="C587" s="432">
        <v>12</v>
      </c>
      <c r="D587" s="16">
        <v>1404</v>
      </c>
      <c r="E587" s="431" t="s">
        <v>1082</v>
      </c>
      <c r="F587" s="431" t="s">
        <v>243</v>
      </c>
      <c r="G587" s="431" t="s">
        <v>5189</v>
      </c>
      <c r="H587" s="432" t="s">
        <v>7</v>
      </c>
      <c r="I587" s="360" t="s">
        <v>5479</v>
      </c>
      <c r="J587" s="16" t="s">
        <v>84</v>
      </c>
      <c r="K587" s="35" t="s">
        <v>155</v>
      </c>
      <c r="L587" s="35" t="s">
        <v>68</v>
      </c>
      <c r="M587" s="431" t="s">
        <v>6288</v>
      </c>
      <c r="N587" s="41" t="s">
        <v>106</v>
      </c>
      <c r="O587" s="13" t="s">
        <v>107</v>
      </c>
      <c r="P587" s="13"/>
      <c r="Q587" s="13"/>
      <c r="R587" s="33" t="s">
        <v>804</v>
      </c>
      <c r="S587" s="33">
        <v>384</v>
      </c>
      <c r="T587" s="33">
        <v>8</v>
      </c>
      <c r="U587" s="431" t="s">
        <v>6289</v>
      </c>
      <c r="V587" s="41" t="s">
        <v>106</v>
      </c>
      <c r="W587" s="13" t="s">
        <v>107</v>
      </c>
      <c r="X587" s="431" t="s">
        <v>5187</v>
      </c>
      <c r="Y587" s="432" t="s">
        <v>6290</v>
      </c>
      <c r="Z587" s="432">
        <v>176</v>
      </c>
      <c r="AA587" s="432">
        <v>108</v>
      </c>
      <c r="AB587" s="16">
        <v>126</v>
      </c>
      <c r="AC587" s="16">
        <v>70</v>
      </c>
      <c r="AD587" s="16">
        <v>96</v>
      </c>
      <c r="AE587" s="16">
        <v>5</v>
      </c>
      <c r="AF587" s="16">
        <v>57</v>
      </c>
      <c r="AG587" s="16">
        <v>158</v>
      </c>
      <c r="AH587" s="16">
        <v>25</v>
      </c>
      <c r="AI587" s="16">
        <v>6</v>
      </c>
      <c r="AJ587" s="432"/>
      <c r="AK587" s="431" t="s">
        <v>6291</v>
      </c>
      <c r="AL587" s="25">
        <v>158</v>
      </c>
      <c r="AM587" s="432">
        <v>25</v>
      </c>
      <c r="AN587" s="432"/>
      <c r="AO587" s="432"/>
      <c r="AP587" s="16" t="s">
        <v>5080</v>
      </c>
      <c r="AQ587" s="16" t="s">
        <v>112</v>
      </c>
      <c r="AR587" s="130">
        <v>1404</v>
      </c>
      <c r="AS587" s="130">
        <v>12</v>
      </c>
      <c r="AT587" s="130"/>
      <c r="AU587" s="130"/>
      <c r="AV587" s="12" t="str">
        <f t="shared" si="29"/>
        <v/>
      </c>
      <c r="AW587" s="12" t="str">
        <f t="shared" si="30"/>
        <v/>
      </c>
      <c r="AX587" s="12"/>
      <c r="AY587" s="408"/>
    </row>
    <row r="588" spans="1:51" ht="30" hidden="1" customHeight="1" x14ac:dyDescent="0.2">
      <c r="A588" s="475">
        <v>588</v>
      </c>
      <c r="B588" s="432">
        <v>28</v>
      </c>
      <c r="C588" s="432">
        <v>12</v>
      </c>
      <c r="D588" s="16">
        <v>1404</v>
      </c>
      <c r="E588" s="431" t="s">
        <v>3559</v>
      </c>
      <c r="F588" s="431" t="s">
        <v>6</v>
      </c>
      <c r="G588" s="431" t="s">
        <v>202</v>
      </c>
      <c r="H588" s="432" t="s">
        <v>83</v>
      </c>
      <c r="I588" s="360" t="s">
        <v>5479</v>
      </c>
      <c r="J588" s="16" t="s">
        <v>84</v>
      </c>
      <c r="K588" s="431"/>
      <c r="L588" s="431" t="s">
        <v>155</v>
      </c>
      <c r="M588" s="431"/>
      <c r="N588" s="41" t="s">
        <v>106</v>
      </c>
      <c r="O588" s="13" t="s">
        <v>107</v>
      </c>
      <c r="P588" s="13"/>
      <c r="Q588" s="13"/>
      <c r="R588" s="432"/>
      <c r="S588" s="432">
        <v>384</v>
      </c>
      <c r="T588" s="432">
        <v>10</v>
      </c>
      <c r="U588" s="431"/>
      <c r="V588" s="41" t="s">
        <v>106</v>
      </c>
      <c r="W588" s="13" t="s">
        <v>107</v>
      </c>
      <c r="X588" s="431"/>
      <c r="Y588" s="432" t="s">
        <v>4276</v>
      </c>
      <c r="Z588" s="432">
        <v>210</v>
      </c>
      <c r="AA588" s="432">
        <v>198</v>
      </c>
      <c r="AB588" s="16">
        <v>198</v>
      </c>
      <c r="AC588" s="16"/>
      <c r="AD588" s="16"/>
      <c r="AE588" s="16"/>
      <c r="AF588" s="16"/>
      <c r="AG588" s="16"/>
      <c r="AH588" s="16"/>
      <c r="AI588" s="16">
        <v>6</v>
      </c>
      <c r="AJ588" s="432"/>
      <c r="AK588" s="431"/>
      <c r="AL588" s="25"/>
      <c r="AM588" s="432"/>
      <c r="AN588" s="432"/>
      <c r="AO588" s="432"/>
      <c r="AP588" s="16"/>
      <c r="AQ588" s="16"/>
      <c r="AR588" s="130">
        <v>1404</v>
      </c>
      <c r="AS588" s="130">
        <v>12</v>
      </c>
      <c r="AT588" s="130">
        <v>1402</v>
      </c>
      <c r="AU588" s="130">
        <v>12</v>
      </c>
      <c r="AV588" s="12">
        <f t="shared" si="29"/>
        <v>24</v>
      </c>
      <c r="AW588" s="12" t="str">
        <f t="shared" si="30"/>
        <v/>
      </c>
      <c r="AX588" s="12"/>
      <c r="AY588" s="408"/>
    </row>
    <row r="589" spans="1:51" ht="30" hidden="1" customHeight="1" x14ac:dyDescent="0.2">
      <c r="A589" s="475">
        <v>589</v>
      </c>
      <c r="B589" s="432">
        <v>29</v>
      </c>
      <c r="C589" s="432">
        <v>12</v>
      </c>
      <c r="D589" s="16">
        <v>1404</v>
      </c>
      <c r="E589" s="431" t="s">
        <v>6277</v>
      </c>
      <c r="F589" s="431" t="s">
        <v>66</v>
      </c>
      <c r="G589" s="431" t="s">
        <v>90</v>
      </c>
      <c r="H589" s="432" t="s">
        <v>7</v>
      </c>
      <c r="I589" s="360" t="s">
        <v>5479</v>
      </c>
      <c r="J589" s="16" t="s">
        <v>6284</v>
      </c>
      <c r="K589" s="431"/>
      <c r="L589" s="431" t="s">
        <v>116</v>
      </c>
      <c r="M589" s="431" t="s">
        <v>6286</v>
      </c>
      <c r="N589" s="41" t="s">
        <v>262</v>
      </c>
      <c r="O589" s="13" t="s">
        <v>70</v>
      </c>
      <c r="P589" s="13"/>
      <c r="Q589" s="13"/>
      <c r="R589" s="432"/>
      <c r="S589" s="432">
        <v>152</v>
      </c>
      <c r="T589" s="432">
        <v>27</v>
      </c>
      <c r="U589" s="431" t="s">
        <v>5519</v>
      </c>
      <c r="V589" s="41" t="s">
        <v>262</v>
      </c>
      <c r="W589" s="13" t="s">
        <v>70</v>
      </c>
      <c r="X589" s="431"/>
      <c r="Y589" s="432"/>
      <c r="Z589" s="432">
        <v>177</v>
      </c>
      <c r="AA589" s="432"/>
      <c r="AB589" s="16">
        <v>205</v>
      </c>
      <c r="AC589" s="16">
        <v>125</v>
      </c>
      <c r="AD589" s="16">
        <v>141</v>
      </c>
      <c r="AE589" s="16">
        <v>2</v>
      </c>
      <c r="AF589" s="16">
        <v>20</v>
      </c>
      <c r="AG589" s="16">
        <v>163</v>
      </c>
      <c r="AH589" s="16">
        <v>3</v>
      </c>
      <c r="AI589" s="16">
        <v>4</v>
      </c>
      <c r="AJ589" s="432"/>
      <c r="AK589" s="431" t="s">
        <v>6287</v>
      </c>
      <c r="AL589" s="25">
        <v>163</v>
      </c>
      <c r="AM589" s="432">
        <v>3</v>
      </c>
      <c r="AN589" s="432"/>
      <c r="AO589" s="432"/>
      <c r="AP589" s="16" t="s">
        <v>160</v>
      </c>
      <c r="AQ589" s="16" t="s">
        <v>1956</v>
      </c>
      <c r="AR589" s="130">
        <v>1404</v>
      </c>
      <c r="AS589" s="130">
        <v>12</v>
      </c>
      <c r="AT589" s="130"/>
      <c r="AU589" s="130"/>
      <c r="AV589" s="12" t="str">
        <f t="shared" si="29"/>
        <v/>
      </c>
      <c r="AW589" s="12" t="str">
        <f t="shared" si="30"/>
        <v/>
      </c>
      <c r="AX589" s="12"/>
      <c r="AY589" s="408"/>
    </row>
    <row r="590" spans="1:51" ht="30" hidden="1" customHeight="1" x14ac:dyDescent="0.2">
      <c r="T590" s="8" t="s">
        <v>3714</v>
      </c>
    </row>
  </sheetData>
  <autoFilter ref="A1:AY590" xr:uid="{C0715827-4315-4EBD-9DCA-660506A4A001}">
    <filterColumn colId="4">
      <filters>
        <filter val="امام رضا 54"/>
      </filters>
    </filterColumn>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19" showButton="0"/>
    <filterColumn colId="20" showButton="0"/>
    <filterColumn colId="21" showButton="0"/>
  </autoFilter>
  <mergeCells count="58">
    <mergeCell ref="AM1:AM2"/>
    <mergeCell ref="AL1:AL2"/>
    <mergeCell ref="AK1:AK2"/>
    <mergeCell ref="AJ1:AJ2"/>
    <mergeCell ref="Z5:AA5"/>
    <mergeCell ref="AC5:AH5"/>
    <mergeCell ref="AI1:AI2"/>
    <mergeCell ref="AH1:AH2"/>
    <mergeCell ref="AG1:AG2"/>
    <mergeCell ref="AF1:AF2"/>
    <mergeCell ref="AC42:AH42"/>
    <mergeCell ref="AC236:AH236"/>
    <mergeCell ref="AC226:AH226"/>
    <mergeCell ref="AL225:AQ226"/>
    <mergeCell ref="AL86:AM86"/>
    <mergeCell ref="AC17:AH17"/>
    <mergeCell ref="AC27:AH27"/>
    <mergeCell ref="AC38:AH38"/>
    <mergeCell ref="A1:A2"/>
    <mergeCell ref="B1:B2"/>
    <mergeCell ref="Y413:AH413"/>
    <mergeCell ref="AK382:AO382"/>
    <mergeCell ref="AY252:AY253"/>
    <mergeCell ref="AY289:AY290"/>
    <mergeCell ref="AK295:AN295"/>
    <mergeCell ref="AE230:AO230"/>
    <mergeCell ref="N220:O220"/>
    <mergeCell ref="Z81:AH81"/>
    <mergeCell ref="G1:G2"/>
    <mergeCell ref="H1:H2"/>
    <mergeCell ref="I1:I2"/>
    <mergeCell ref="J1:J2"/>
    <mergeCell ref="C1:C2"/>
    <mergeCell ref="F1:F2"/>
    <mergeCell ref="E1:E2"/>
    <mergeCell ref="D1:D2"/>
    <mergeCell ref="AY1:AY2"/>
    <mergeCell ref="AX1:AX2"/>
    <mergeCell ref="AW1:AW2"/>
    <mergeCell ref="AV1:AV2"/>
    <mergeCell ref="AU1:AU2"/>
    <mergeCell ref="AT1:AT2"/>
    <mergeCell ref="AS1:AS2"/>
    <mergeCell ref="AR1:AR2"/>
    <mergeCell ref="AQ1:AQ2"/>
    <mergeCell ref="AP1:AP2"/>
    <mergeCell ref="AO1:AO2"/>
    <mergeCell ref="AN1:AN2"/>
    <mergeCell ref="AE1:AE2"/>
    <mergeCell ref="AD1:AD2"/>
    <mergeCell ref="K1:Q1"/>
    <mergeCell ref="AC1:AC2"/>
    <mergeCell ref="AB1:AB2"/>
    <mergeCell ref="AA1:AA2"/>
    <mergeCell ref="Z1:Z2"/>
    <mergeCell ref="Y1:Y2"/>
    <mergeCell ref="X1:X2"/>
    <mergeCell ref="R1:W1"/>
  </mergeCells>
  <pageMargins left="0" right="0.39370078740157483" top="0.39370078740157483" bottom="0" header="0" footer="0"/>
  <pageSetup orientation="portrait" r:id="rId1"/>
  <headerFooter>
    <oddHeader>&amp;C6</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0782-9BEF-4954-B112-D98D70D68B3B}">
  <sheetPr filterMode="1"/>
  <dimension ref="A1:AT416"/>
  <sheetViews>
    <sheetView rightToLeft="1" topLeftCell="J1" workbookViewId="0">
      <selection activeCell="A398" sqref="A398"/>
    </sheetView>
  </sheetViews>
  <sheetFormatPr defaultColWidth="9.7109375" defaultRowHeight="20.100000000000001" customHeight="1" x14ac:dyDescent="0.2"/>
  <cols>
    <col min="1" max="1" width="4.7109375" style="2" bestFit="1" customWidth="1"/>
    <col min="2" max="2" width="10.42578125" style="5" bestFit="1" customWidth="1"/>
    <col min="3" max="3" width="7.85546875" style="5" customWidth="1"/>
    <col min="4" max="4" width="14.28515625" style="1" customWidth="1"/>
    <col min="5" max="5" width="10.7109375" style="1" bestFit="1" customWidth="1"/>
    <col min="6" max="6" width="7.140625" style="1" customWidth="1"/>
    <col min="7" max="7" width="5.5703125" style="1" customWidth="1"/>
    <col min="8" max="8" width="9.85546875" style="1" customWidth="1"/>
    <col min="9" max="9" width="10.42578125" style="7" customWidth="1"/>
    <col min="10" max="10" width="5.7109375" style="7" customWidth="1"/>
    <col min="11" max="11" width="5.7109375" style="8" customWidth="1"/>
    <col min="12" max="12" width="9.140625" style="8" customWidth="1"/>
    <col min="13" max="13" width="12.42578125" style="1" customWidth="1"/>
    <col min="14" max="15" width="9.28515625" style="1" customWidth="1"/>
    <col min="16" max="18" width="9" style="8" customWidth="1"/>
    <col min="19" max="19" width="12.85546875" style="1" customWidth="1"/>
    <col min="20" max="20" width="8.28515625" style="1" customWidth="1"/>
    <col min="21" max="21" width="11.5703125" style="1" customWidth="1"/>
    <col min="22" max="22" width="16.28515625" style="1" customWidth="1"/>
    <col min="23" max="34" width="5.7109375" style="1" customWidth="1"/>
    <col min="35" max="35" width="11.5703125" style="1" customWidth="1"/>
    <col min="36" max="37" width="5.7109375" style="1" customWidth="1"/>
    <col min="38" max="39" width="11.5703125" style="1" customWidth="1"/>
    <col min="40" max="43" width="9.140625" customWidth="1"/>
    <col min="44" max="44" width="8" customWidth="1"/>
    <col min="45" max="45" width="4.7109375" customWidth="1"/>
    <col min="46" max="46" width="97.28515625" style="285" customWidth="1"/>
    <col min="47" max="16384" width="9.7109375" style="4"/>
  </cols>
  <sheetData>
    <row r="1" spans="1:46" ht="71.25" customHeight="1" x14ac:dyDescent="0.2">
      <c r="A1" s="592" t="s">
        <v>57</v>
      </c>
      <c r="B1" s="592"/>
      <c r="C1" s="593" t="s">
        <v>58</v>
      </c>
      <c r="D1" s="593"/>
      <c r="E1" s="594" t="s">
        <v>3333</v>
      </c>
      <c r="F1" s="595"/>
      <c r="G1" s="596" t="s">
        <v>59</v>
      </c>
      <c r="H1" s="596"/>
      <c r="I1" s="596"/>
      <c r="M1" s="8"/>
      <c r="N1" s="8"/>
      <c r="O1" s="8"/>
      <c r="S1" s="8"/>
      <c r="T1" s="8"/>
    </row>
    <row r="2" spans="1:46" ht="18.75" x14ac:dyDescent="0.2">
      <c r="A2" s="2">
        <v>1</v>
      </c>
      <c r="B2" s="5">
        <v>2</v>
      </c>
      <c r="D2" s="14">
        <v>3</v>
      </c>
      <c r="E2" s="2">
        <v>4</v>
      </c>
      <c r="F2" s="5">
        <v>5</v>
      </c>
      <c r="G2" s="14">
        <v>6</v>
      </c>
      <c r="H2" s="2">
        <v>7</v>
      </c>
      <c r="I2" s="5">
        <v>14</v>
      </c>
      <c r="J2" s="14">
        <v>15</v>
      </c>
      <c r="K2" s="2">
        <v>16</v>
      </c>
      <c r="L2" s="5">
        <v>17</v>
      </c>
      <c r="M2" s="14">
        <v>18</v>
      </c>
      <c r="N2" s="2">
        <v>19</v>
      </c>
      <c r="O2" s="5">
        <v>20</v>
      </c>
      <c r="P2" s="14">
        <v>21</v>
      </c>
      <c r="Q2" s="14"/>
      <c r="R2" s="2">
        <v>22</v>
      </c>
      <c r="S2" s="5">
        <v>23</v>
      </c>
      <c r="T2" s="14">
        <v>24</v>
      </c>
      <c r="U2" s="2">
        <v>25</v>
      </c>
      <c r="V2" s="5">
        <v>26</v>
      </c>
      <c r="W2" s="14">
        <v>27</v>
      </c>
      <c r="X2" s="2">
        <v>28</v>
      </c>
      <c r="Y2" s="5">
        <v>29</v>
      </c>
      <c r="Z2" s="14">
        <v>30</v>
      </c>
      <c r="AA2" s="2">
        <v>31</v>
      </c>
      <c r="AB2" s="5">
        <v>32</v>
      </c>
      <c r="AC2" s="14">
        <v>33</v>
      </c>
      <c r="AD2" s="2">
        <v>34</v>
      </c>
      <c r="AE2" s="5">
        <v>35</v>
      </c>
      <c r="AF2" s="14">
        <v>36</v>
      </c>
      <c r="AG2" s="2">
        <v>37</v>
      </c>
      <c r="AH2" s="5">
        <v>38</v>
      </c>
      <c r="AI2" s="14">
        <v>39</v>
      </c>
      <c r="AJ2" s="2">
        <v>40</v>
      </c>
      <c r="AK2" s="5">
        <v>41</v>
      </c>
      <c r="AL2" s="14">
        <v>42</v>
      </c>
      <c r="AM2" s="14"/>
      <c r="AN2" s="2">
        <v>43</v>
      </c>
      <c r="AO2" s="5">
        <v>44</v>
      </c>
      <c r="AP2" s="14">
        <v>45</v>
      </c>
      <c r="AQ2" s="2">
        <v>46</v>
      </c>
      <c r="AR2" s="5"/>
      <c r="AS2" s="5"/>
    </row>
    <row r="3" spans="1:46" ht="15.75" x14ac:dyDescent="0.2">
      <c r="A3" s="22">
        <f>SUBTOTAL(103,A8:A415)</f>
        <v>1</v>
      </c>
      <c r="B3" s="22">
        <f t="shared" ref="B3:AT3" si="0">SUBTOTAL(103,B8:B415)</f>
        <v>1</v>
      </c>
      <c r="C3" s="22">
        <f t="shared" si="0"/>
        <v>1</v>
      </c>
      <c r="D3" s="22">
        <f t="shared" si="0"/>
        <v>1</v>
      </c>
      <c r="E3" s="22">
        <f t="shared" si="0"/>
        <v>1</v>
      </c>
      <c r="F3" s="22">
        <f>SUBTOTAL(103,F8:F415)</f>
        <v>0</v>
      </c>
      <c r="G3" s="22">
        <f t="shared" si="0"/>
        <v>0</v>
      </c>
      <c r="H3" s="22">
        <f>SUBTOTAL(103,H8:H416)</f>
        <v>1</v>
      </c>
      <c r="I3" s="22">
        <f t="shared" si="0"/>
        <v>1</v>
      </c>
      <c r="J3" s="22">
        <f t="shared" si="0"/>
        <v>1</v>
      </c>
      <c r="K3" s="22">
        <f t="shared" si="0"/>
        <v>1</v>
      </c>
      <c r="L3" s="22">
        <f t="shared" si="0"/>
        <v>0</v>
      </c>
      <c r="M3" s="22">
        <f t="shared" si="0"/>
        <v>1</v>
      </c>
      <c r="N3" s="22">
        <f t="shared" si="0"/>
        <v>1</v>
      </c>
      <c r="O3" s="22">
        <f t="shared" si="0"/>
        <v>1</v>
      </c>
      <c r="P3" s="22">
        <f t="shared" si="0"/>
        <v>1</v>
      </c>
      <c r="Q3" s="22">
        <f t="shared" si="0"/>
        <v>1</v>
      </c>
      <c r="R3" s="22">
        <f t="shared" si="0"/>
        <v>0</v>
      </c>
      <c r="S3" s="22">
        <f t="shared" si="0"/>
        <v>1</v>
      </c>
      <c r="T3" s="22">
        <f t="shared" si="0"/>
        <v>1</v>
      </c>
      <c r="U3" s="22">
        <f t="shared" si="0"/>
        <v>0</v>
      </c>
      <c r="V3" s="22">
        <f t="shared" si="0"/>
        <v>0</v>
      </c>
      <c r="W3" s="22">
        <f t="shared" si="0"/>
        <v>1</v>
      </c>
      <c r="X3" s="22">
        <f t="shared" si="0"/>
        <v>1</v>
      </c>
      <c r="Y3" s="22">
        <f t="shared" si="0"/>
        <v>1</v>
      </c>
      <c r="Z3" s="22">
        <f t="shared" si="0"/>
        <v>1</v>
      </c>
      <c r="AA3" s="22">
        <f t="shared" si="0"/>
        <v>1</v>
      </c>
      <c r="AB3" s="22">
        <f t="shared" si="0"/>
        <v>1</v>
      </c>
      <c r="AC3" s="22">
        <f t="shared" si="0"/>
        <v>1</v>
      </c>
      <c r="AD3" s="22">
        <f t="shared" si="0"/>
        <v>1</v>
      </c>
      <c r="AE3" s="22">
        <f t="shared" si="0"/>
        <v>1</v>
      </c>
      <c r="AF3" s="22">
        <f t="shared" si="0"/>
        <v>1</v>
      </c>
      <c r="AG3" s="22">
        <f t="shared" si="0"/>
        <v>0</v>
      </c>
      <c r="AH3" s="22">
        <f t="shared" si="0"/>
        <v>0</v>
      </c>
      <c r="AI3" s="22">
        <f t="shared" si="0"/>
        <v>1</v>
      </c>
      <c r="AJ3" s="22">
        <f t="shared" si="0"/>
        <v>1</v>
      </c>
      <c r="AK3" s="22">
        <f t="shared" si="0"/>
        <v>1</v>
      </c>
      <c r="AL3" s="22">
        <f t="shared" si="0"/>
        <v>1</v>
      </c>
      <c r="AM3" s="22">
        <f t="shared" si="0"/>
        <v>0</v>
      </c>
      <c r="AN3" s="22">
        <f t="shared" si="0"/>
        <v>0</v>
      </c>
      <c r="AO3" s="22">
        <f t="shared" si="0"/>
        <v>0</v>
      </c>
      <c r="AP3" s="22">
        <f t="shared" si="0"/>
        <v>0</v>
      </c>
      <c r="AQ3" s="22">
        <f t="shared" si="0"/>
        <v>0</v>
      </c>
      <c r="AR3" s="22">
        <f t="shared" si="0"/>
        <v>1</v>
      </c>
      <c r="AS3" s="22">
        <f t="shared" si="0"/>
        <v>1</v>
      </c>
      <c r="AT3" s="22">
        <f t="shared" si="0"/>
        <v>0</v>
      </c>
    </row>
    <row r="4" spans="1:46" ht="18.75" x14ac:dyDescent="0.2">
      <c r="D4" s="14"/>
      <c r="E4" s="2"/>
      <c r="F4" s="5"/>
      <c r="G4" s="14"/>
      <c r="H4" s="2"/>
      <c r="I4" s="5"/>
      <c r="J4" s="14"/>
      <c r="K4" s="2"/>
      <c r="L4" s="5"/>
      <c r="M4" s="14"/>
      <c r="N4" s="2"/>
      <c r="O4" s="5"/>
      <c r="P4" s="14"/>
      <c r="Q4" s="14"/>
      <c r="R4" s="2"/>
      <c r="S4" s="5"/>
      <c r="T4" s="14"/>
      <c r="U4" s="2"/>
      <c r="V4" s="5"/>
      <c r="W4" s="14"/>
      <c r="X4" s="2"/>
      <c r="Y4" s="5">
        <f>SUBTOTAL(109,Y8:Y134)/Y3</f>
        <v>0</v>
      </c>
      <c r="Z4" s="14"/>
      <c r="AA4" s="2"/>
      <c r="AB4" s="5"/>
      <c r="AC4" s="14"/>
      <c r="AD4" s="2"/>
      <c r="AE4" s="5"/>
      <c r="AF4" s="14"/>
      <c r="AG4" s="2"/>
      <c r="AH4" s="5"/>
      <c r="AI4" s="14"/>
      <c r="AJ4" s="5">
        <f>SUBTOTAL(109,AJ8:AJ134)/AJ3</f>
        <v>0</v>
      </c>
      <c r="AK4" s="5">
        <f>SUBTOTAL(109,AK8:AK134)/AK3</f>
        <v>0</v>
      </c>
      <c r="AL4" s="14"/>
      <c r="AM4" s="14"/>
      <c r="AN4" s="2"/>
      <c r="AO4" s="5"/>
      <c r="AP4" s="14"/>
      <c r="AQ4" s="2"/>
      <c r="AR4" s="5">
        <f>SUBTOTAL(109,AR8:AR134)/AR3</f>
        <v>0</v>
      </c>
      <c r="AS4" s="23">
        <f>AS3/AR3</f>
        <v>1</v>
      </c>
    </row>
    <row r="5" spans="1:46" s="3" customFormat="1" ht="20.25" customHeight="1" x14ac:dyDescent="0.2">
      <c r="A5" s="597" t="s">
        <v>0</v>
      </c>
      <c r="B5" s="559" t="s">
        <v>1</v>
      </c>
      <c r="C5" s="559" t="s">
        <v>53</v>
      </c>
      <c r="D5" s="559" t="s">
        <v>2</v>
      </c>
      <c r="E5" s="559" t="s">
        <v>5</v>
      </c>
      <c r="F5" s="559" t="s">
        <v>40</v>
      </c>
      <c r="G5" s="559" t="s">
        <v>41</v>
      </c>
      <c r="H5" s="559" t="s">
        <v>55</v>
      </c>
      <c r="I5" s="559" t="s">
        <v>3</v>
      </c>
      <c r="J5" s="559" t="s">
        <v>17</v>
      </c>
      <c r="K5" s="559"/>
      <c r="L5" s="559"/>
      <c r="M5" s="559"/>
      <c r="N5" s="559"/>
      <c r="O5" s="559"/>
      <c r="P5" s="559"/>
      <c r="Q5" s="559"/>
      <c r="R5" s="559"/>
      <c r="S5" s="559"/>
      <c r="T5" s="559"/>
      <c r="U5" s="559" t="s">
        <v>4</v>
      </c>
      <c r="V5" s="597" t="s">
        <v>4415</v>
      </c>
      <c r="W5" s="597" t="s">
        <v>149</v>
      </c>
      <c r="X5" s="597" t="s">
        <v>48</v>
      </c>
      <c r="Y5" s="597" t="s">
        <v>47</v>
      </c>
      <c r="Z5" s="597" t="s">
        <v>31</v>
      </c>
      <c r="AA5" s="597" t="s">
        <v>32</v>
      </c>
      <c r="AB5" s="597" t="s">
        <v>33</v>
      </c>
      <c r="AC5" s="597" t="s">
        <v>34</v>
      </c>
      <c r="AD5" s="597" t="s">
        <v>35</v>
      </c>
      <c r="AE5" s="597" t="s">
        <v>37</v>
      </c>
      <c r="AF5" s="597" t="s">
        <v>3740</v>
      </c>
      <c r="AG5" s="597" t="s">
        <v>4059</v>
      </c>
      <c r="AH5" s="559" t="s">
        <v>22</v>
      </c>
      <c r="AI5" s="559" t="s">
        <v>61</v>
      </c>
      <c r="AJ5" s="559" t="s">
        <v>24</v>
      </c>
      <c r="AK5" s="559" t="s">
        <v>25</v>
      </c>
      <c r="AL5" s="559" t="s">
        <v>23</v>
      </c>
      <c r="AM5" s="553" t="s">
        <v>60</v>
      </c>
      <c r="AN5" s="600" t="s">
        <v>27</v>
      </c>
      <c r="AO5" s="600" t="s">
        <v>28</v>
      </c>
      <c r="AP5" s="600" t="s">
        <v>11</v>
      </c>
      <c r="AQ5" s="600" t="s">
        <v>12</v>
      </c>
      <c r="AR5" s="601" t="s">
        <v>13</v>
      </c>
      <c r="AS5" s="601" t="s">
        <v>54</v>
      </c>
      <c r="AT5" s="598" t="s">
        <v>29</v>
      </c>
    </row>
    <row r="6" spans="1:46" s="3" customFormat="1" ht="20.25" x14ac:dyDescent="0.2">
      <c r="A6" s="597"/>
      <c r="B6" s="559"/>
      <c r="C6" s="559"/>
      <c r="D6" s="559"/>
      <c r="E6" s="559"/>
      <c r="F6" s="559"/>
      <c r="G6" s="559"/>
      <c r="H6" s="559"/>
      <c r="I6" s="559"/>
      <c r="J6" s="559" t="s">
        <v>18</v>
      </c>
      <c r="K6" s="559"/>
      <c r="L6" s="559"/>
      <c r="M6" s="559"/>
      <c r="N6" s="559"/>
      <c r="O6" s="559" t="s">
        <v>14</v>
      </c>
      <c r="P6" s="559"/>
      <c r="Q6" s="559"/>
      <c r="R6" s="559"/>
      <c r="S6" s="559"/>
      <c r="T6" s="559"/>
      <c r="U6" s="559"/>
      <c r="V6" s="597"/>
      <c r="W6" s="597"/>
      <c r="X6" s="597"/>
      <c r="Y6" s="597"/>
      <c r="Z6" s="597"/>
      <c r="AA6" s="597"/>
      <c r="AB6" s="597"/>
      <c r="AC6" s="597"/>
      <c r="AD6" s="597"/>
      <c r="AE6" s="597"/>
      <c r="AF6" s="597"/>
      <c r="AG6" s="597"/>
      <c r="AH6" s="559"/>
      <c r="AI6" s="559"/>
      <c r="AJ6" s="559"/>
      <c r="AK6" s="559"/>
      <c r="AL6" s="559"/>
      <c r="AM6" s="599"/>
      <c r="AN6" s="600"/>
      <c r="AO6" s="600"/>
      <c r="AP6" s="600"/>
      <c r="AQ6" s="600"/>
      <c r="AR6" s="601"/>
      <c r="AS6" s="601"/>
      <c r="AT6" s="598"/>
    </row>
    <row r="7" spans="1:46" s="3" customFormat="1" ht="87" x14ac:dyDescent="0.2">
      <c r="A7" s="597"/>
      <c r="B7" s="559"/>
      <c r="C7" s="559"/>
      <c r="D7" s="559"/>
      <c r="E7" s="559"/>
      <c r="F7" s="559"/>
      <c r="G7" s="559"/>
      <c r="H7" s="559"/>
      <c r="I7" s="559"/>
      <c r="J7" s="9" t="s">
        <v>50</v>
      </c>
      <c r="K7" s="9" t="s">
        <v>51</v>
      </c>
      <c r="L7" s="9" t="s">
        <v>26</v>
      </c>
      <c r="M7" s="9" t="s">
        <v>16</v>
      </c>
      <c r="N7" s="10" t="s">
        <v>15</v>
      </c>
      <c r="O7" s="10" t="s">
        <v>36</v>
      </c>
      <c r="P7" s="11" t="s">
        <v>49</v>
      </c>
      <c r="Q7" s="11" t="s">
        <v>3676</v>
      </c>
      <c r="R7" s="11" t="s">
        <v>26</v>
      </c>
      <c r="S7" s="9" t="s">
        <v>16</v>
      </c>
      <c r="T7" s="10" t="s">
        <v>15</v>
      </c>
      <c r="U7" s="559"/>
      <c r="V7" s="597"/>
      <c r="W7" s="597"/>
      <c r="X7" s="597"/>
      <c r="Y7" s="597"/>
      <c r="Z7" s="597"/>
      <c r="AA7" s="597"/>
      <c r="AB7" s="597"/>
      <c r="AC7" s="597"/>
      <c r="AD7" s="597"/>
      <c r="AE7" s="597"/>
      <c r="AF7" s="597"/>
      <c r="AG7" s="597"/>
      <c r="AH7" s="559"/>
      <c r="AI7" s="559"/>
      <c r="AJ7" s="559"/>
      <c r="AK7" s="559"/>
      <c r="AL7" s="559"/>
      <c r="AM7" s="554"/>
      <c r="AN7" s="600"/>
      <c r="AO7" s="600"/>
      <c r="AP7" s="600"/>
      <c r="AQ7" s="600"/>
      <c r="AR7" s="601"/>
      <c r="AS7" s="601"/>
      <c r="AT7" s="598"/>
    </row>
    <row r="8" spans="1:46" s="21" customFormat="1" ht="21.75" hidden="1" x14ac:dyDescent="0.2">
      <c r="A8" s="20">
        <v>1</v>
      </c>
      <c r="B8" s="29" t="s">
        <v>4365</v>
      </c>
      <c r="C8" s="29" t="s">
        <v>64</v>
      </c>
      <c r="D8" s="30" t="s">
        <v>3488</v>
      </c>
      <c r="E8" s="30" t="s">
        <v>243</v>
      </c>
      <c r="F8" s="30" t="s">
        <v>4038</v>
      </c>
      <c r="G8" s="30"/>
      <c r="H8" s="20" t="s">
        <v>83</v>
      </c>
      <c r="I8" s="29" t="s">
        <v>92</v>
      </c>
      <c r="J8" s="30"/>
      <c r="K8" s="30" t="s">
        <v>104</v>
      </c>
      <c r="L8" s="30" t="s">
        <v>3489</v>
      </c>
      <c r="M8" s="30" t="s">
        <v>69</v>
      </c>
      <c r="N8" s="20" t="s">
        <v>70</v>
      </c>
      <c r="O8" s="30"/>
      <c r="P8" s="30" t="s">
        <v>3679</v>
      </c>
      <c r="Q8" s="30" t="s">
        <v>555</v>
      </c>
      <c r="R8" s="30" t="s">
        <v>3490</v>
      </c>
      <c r="S8" s="30" t="s">
        <v>106</v>
      </c>
      <c r="T8" s="30" t="s">
        <v>107</v>
      </c>
      <c r="U8" s="20" t="s">
        <v>3487</v>
      </c>
      <c r="V8" s="20"/>
      <c r="W8" s="20"/>
      <c r="X8" s="20"/>
      <c r="Y8" s="29">
        <v>144</v>
      </c>
      <c r="Z8" s="29"/>
      <c r="AA8" s="29"/>
      <c r="AB8" s="29"/>
      <c r="AC8" s="29"/>
      <c r="AD8" s="29"/>
      <c r="AE8" s="29"/>
      <c r="AF8" s="29">
        <v>6</v>
      </c>
      <c r="AG8" s="29"/>
      <c r="AH8" s="20"/>
      <c r="AI8" s="30"/>
      <c r="AJ8" s="36"/>
      <c r="AK8" s="20"/>
      <c r="AL8" s="29"/>
      <c r="AM8" s="29"/>
      <c r="AN8" s="30" t="s">
        <v>4378</v>
      </c>
      <c r="AO8" s="30" t="s">
        <v>114</v>
      </c>
      <c r="AP8" s="30" t="s">
        <v>113</v>
      </c>
      <c r="AQ8" s="30" t="s">
        <v>124</v>
      </c>
      <c r="AR8" s="31">
        <f>IF(AN8*AP8&gt;0,(AN8-AP8)*12+(AO8-AQ8),"")</f>
        <v>9</v>
      </c>
      <c r="AS8" s="31">
        <f>IF(AR8&lt;13,AR8,"")</f>
        <v>9</v>
      </c>
      <c r="AT8" s="32"/>
    </row>
    <row r="9" spans="1:46" s="19" customFormat="1" ht="20.100000000000001" hidden="1" customHeight="1" x14ac:dyDescent="0.2">
      <c r="A9" s="192">
        <v>2</v>
      </c>
      <c r="B9" s="16" t="s">
        <v>4366</v>
      </c>
      <c r="C9" s="16" t="s">
        <v>64</v>
      </c>
      <c r="D9" s="193" t="s">
        <v>3488</v>
      </c>
      <c r="E9" s="193" t="s">
        <v>243</v>
      </c>
      <c r="F9" s="193"/>
      <c r="G9" s="193"/>
      <c r="H9" s="192" t="s">
        <v>7</v>
      </c>
      <c r="I9" s="16" t="s">
        <v>92</v>
      </c>
      <c r="J9" s="193" t="s">
        <v>104</v>
      </c>
      <c r="K9" s="193" t="s">
        <v>104</v>
      </c>
      <c r="L9" s="193" t="s">
        <v>4386</v>
      </c>
      <c r="M9" s="193" t="s">
        <v>106</v>
      </c>
      <c r="N9" s="192" t="s">
        <v>107</v>
      </c>
      <c r="O9" s="193" t="s">
        <v>108</v>
      </c>
      <c r="P9" s="193" t="s">
        <v>3679</v>
      </c>
      <c r="Q9" s="193" t="s">
        <v>555</v>
      </c>
      <c r="R9" s="193" t="s">
        <v>4387</v>
      </c>
      <c r="S9" s="193" t="s">
        <v>106</v>
      </c>
      <c r="T9" s="193" t="s">
        <v>107</v>
      </c>
      <c r="U9" s="192"/>
      <c r="V9" s="192"/>
      <c r="W9" s="192"/>
      <c r="X9" s="192"/>
      <c r="Y9" s="16"/>
      <c r="Z9" s="16"/>
      <c r="AA9" s="16"/>
      <c r="AB9" s="16"/>
      <c r="AC9" s="16"/>
      <c r="AD9" s="16"/>
      <c r="AE9" s="16"/>
      <c r="AF9" s="16"/>
      <c r="AG9" s="162" t="s">
        <v>4405</v>
      </c>
      <c r="AH9" s="193"/>
      <c r="AI9" s="193"/>
      <c r="AJ9" s="193"/>
      <c r="AK9" s="192"/>
      <c r="AL9" s="16"/>
      <c r="AM9" s="16"/>
      <c r="AN9" s="193"/>
      <c r="AO9" s="193"/>
      <c r="AP9" s="193"/>
      <c r="AQ9" s="193"/>
      <c r="AR9" s="12" t="str">
        <f>IF(AN9*AP9&gt;0,(AN9-AP9)*12+(AO9-AQ9),"")</f>
        <v/>
      </c>
      <c r="AS9" s="12" t="str">
        <f>IF(AR9&lt;13,AR9,"")</f>
        <v/>
      </c>
      <c r="AT9" s="18"/>
    </row>
    <row r="10" spans="1:46" s="19" customFormat="1" ht="20.100000000000001" hidden="1" customHeight="1" x14ac:dyDescent="0.2">
      <c r="A10" s="192">
        <v>3</v>
      </c>
      <c r="B10" s="16" t="s">
        <v>4367</v>
      </c>
      <c r="C10" s="16" t="s">
        <v>64</v>
      </c>
      <c r="D10" s="193" t="s">
        <v>2004</v>
      </c>
      <c r="E10" s="193" t="s">
        <v>6</v>
      </c>
      <c r="F10" s="193" t="s">
        <v>186</v>
      </c>
      <c r="G10" s="193"/>
      <c r="H10" s="192" t="s">
        <v>83</v>
      </c>
      <c r="I10" s="16" t="s">
        <v>92</v>
      </c>
      <c r="J10" s="193"/>
      <c r="K10" s="193" t="s">
        <v>769</v>
      </c>
      <c r="L10" s="193" t="s">
        <v>2005</v>
      </c>
      <c r="M10" s="193" t="s">
        <v>69</v>
      </c>
      <c r="N10" s="192" t="s">
        <v>70</v>
      </c>
      <c r="O10" s="193"/>
      <c r="P10" s="193" t="s">
        <v>2325</v>
      </c>
      <c r="Q10" s="193" t="s">
        <v>260</v>
      </c>
      <c r="R10" s="193" t="s">
        <v>2007</v>
      </c>
      <c r="S10" s="193" t="s">
        <v>106</v>
      </c>
      <c r="T10" s="193" t="s">
        <v>107</v>
      </c>
      <c r="U10" s="192" t="s">
        <v>4379</v>
      </c>
      <c r="V10" s="192"/>
      <c r="W10" s="192"/>
      <c r="X10" s="192"/>
      <c r="Y10" s="16">
        <v>165</v>
      </c>
      <c r="Z10" s="16"/>
      <c r="AA10" s="16"/>
      <c r="AB10" s="16"/>
      <c r="AC10" s="16"/>
      <c r="AD10" s="16"/>
      <c r="AE10" s="16"/>
      <c r="AF10" s="16">
        <v>3</v>
      </c>
      <c r="AG10" s="16"/>
      <c r="AH10" s="193"/>
      <c r="AI10" s="193"/>
      <c r="AJ10" s="193"/>
      <c r="AK10" s="192"/>
      <c r="AL10" s="16"/>
      <c r="AM10" s="16"/>
      <c r="AN10" s="193" t="s">
        <v>4378</v>
      </c>
      <c r="AO10" s="193" t="s">
        <v>114</v>
      </c>
      <c r="AP10" s="193" t="s">
        <v>115</v>
      </c>
      <c r="AQ10" s="193" t="s">
        <v>260</v>
      </c>
      <c r="AR10" s="12">
        <f t="shared" ref="AR10:AR73" si="1">IF(AN10*AP10&gt;0,(AN10-AP10)*12+(AO10-AQ10),"")</f>
        <v>13</v>
      </c>
      <c r="AS10" s="12" t="str">
        <f t="shared" ref="AS10:AS73" si="2">IF(AR10&lt;13,AR10,"")</f>
        <v/>
      </c>
      <c r="AT10" s="193"/>
    </row>
    <row r="11" spans="1:46" s="19" customFormat="1" ht="20.100000000000001" hidden="1" customHeight="1" x14ac:dyDescent="0.2">
      <c r="A11" s="222">
        <v>4</v>
      </c>
      <c r="B11" s="16" t="s">
        <v>4368</v>
      </c>
      <c r="C11" s="16" t="s">
        <v>64</v>
      </c>
      <c r="D11" s="193" t="s">
        <v>1605</v>
      </c>
      <c r="E11" s="193" t="s">
        <v>6</v>
      </c>
      <c r="F11" s="193" t="s">
        <v>605</v>
      </c>
      <c r="G11" s="193"/>
      <c r="H11" s="192" t="s">
        <v>83</v>
      </c>
      <c r="I11" s="16" t="s">
        <v>92</v>
      </c>
      <c r="J11" s="193"/>
      <c r="K11" s="193" t="s">
        <v>141</v>
      </c>
      <c r="L11" s="193" t="s">
        <v>1601</v>
      </c>
      <c r="M11" s="193" t="s">
        <v>106</v>
      </c>
      <c r="N11" s="192" t="s">
        <v>107</v>
      </c>
      <c r="O11" s="193"/>
      <c r="P11" s="193" t="s">
        <v>1809</v>
      </c>
      <c r="Q11" s="193" t="s">
        <v>144</v>
      </c>
      <c r="R11" s="193" t="s">
        <v>1769</v>
      </c>
      <c r="S11" s="193" t="s">
        <v>69</v>
      </c>
      <c r="T11" s="193" t="s">
        <v>70</v>
      </c>
      <c r="U11" s="192" t="s">
        <v>4380</v>
      </c>
      <c r="V11" s="192"/>
      <c r="W11" s="192"/>
      <c r="X11" s="192"/>
      <c r="Y11" s="16">
        <v>192</v>
      </c>
      <c r="Z11" s="16"/>
      <c r="AA11" s="16"/>
      <c r="AB11" s="16"/>
      <c r="AC11" s="16"/>
      <c r="AD11" s="16"/>
      <c r="AE11" s="16"/>
      <c r="AF11" s="16">
        <v>6</v>
      </c>
      <c r="AG11" s="16"/>
      <c r="AH11" s="17"/>
      <c r="AI11" s="193"/>
      <c r="AJ11" s="25"/>
      <c r="AK11" s="192"/>
      <c r="AL11" s="16"/>
      <c r="AM11" s="16"/>
      <c r="AN11" s="193" t="s">
        <v>4378</v>
      </c>
      <c r="AO11" s="193" t="s">
        <v>114</v>
      </c>
      <c r="AP11" s="193" t="s">
        <v>115</v>
      </c>
      <c r="AQ11" s="193" t="s">
        <v>441</v>
      </c>
      <c r="AR11" s="12">
        <f t="shared" si="1"/>
        <v>15</v>
      </c>
      <c r="AS11" s="12" t="str">
        <f t="shared" si="2"/>
        <v/>
      </c>
      <c r="AT11" s="18"/>
    </row>
    <row r="12" spans="1:46" s="21" customFormat="1" ht="20.100000000000001" hidden="1" customHeight="1" x14ac:dyDescent="0.2">
      <c r="A12" s="222">
        <v>5</v>
      </c>
      <c r="B12" s="29" t="s">
        <v>4369</v>
      </c>
      <c r="C12" s="29" t="s">
        <v>64</v>
      </c>
      <c r="D12" s="30" t="s">
        <v>4370</v>
      </c>
      <c r="E12" s="30" t="s">
        <v>19</v>
      </c>
      <c r="F12" s="30" t="s">
        <v>202</v>
      </c>
      <c r="G12" s="30"/>
      <c r="H12" s="20" t="s">
        <v>83</v>
      </c>
      <c r="I12" s="29" t="s">
        <v>92</v>
      </c>
      <c r="J12" s="30"/>
      <c r="K12" s="30" t="s">
        <v>68</v>
      </c>
      <c r="L12" s="30" t="s">
        <v>4021</v>
      </c>
      <c r="M12" s="30" t="s">
        <v>69</v>
      </c>
      <c r="N12" s="20" t="s">
        <v>70</v>
      </c>
      <c r="O12" s="30"/>
      <c r="P12" s="30" t="s">
        <v>3677</v>
      </c>
      <c r="Q12" s="30" t="s">
        <v>485</v>
      </c>
      <c r="R12" s="30" t="s">
        <v>4022</v>
      </c>
      <c r="S12" s="30" t="s">
        <v>106</v>
      </c>
      <c r="T12" s="30" t="s">
        <v>107</v>
      </c>
      <c r="U12" s="20" t="s">
        <v>3992</v>
      </c>
      <c r="V12" s="20"/>
      <c r="W12" s="20"/>
      <c r="X12" s="20"/>
      <c r="Y12" s="29">
        <v>234</v>
      </c>
      <c r="Z12" s="29"/>
      <c r="AA12" s="29"/>
      <c r="AB12" s="29"/>
      <c r="AC12" s="29"/>
      <c r="AD12" s="29"/>
      <c r="AE12" s="29"/>
      <c r="AF12" s="29">
        <v>6</v>
      </c>
      <c r="AG12" s="29"/>
      <c r="AH12" s="20"/>
      <c r="AI12" s="30"/>
      <c r="AJ12" s="36"/>
      <c r="AK12" s="20"/>
      <c r="AL12" s="29"/>
      <c r="AM12" s="29"/>
      <c r="AN12" s="30" t="s">
        <v>4378</v>
      </c>
      <c r="AO12" s="30" t="s">
        <v>114</v>
      </c>
      <c r="AP12" s="30" t="s">
        <v>113</v>
      </c>
      <c r="AQ12" s="30" t="s">
        <v>148</v>
      </c>
      <c r="AR12" s="12">
        <f t="shared" si="1"/>
        <v>5</v>
      </c>
      <c r="AS12" s="12">
        <f t="shared" si="2"/>
        <v>5</v>
      </c>
      <c r="AT12" s="32"/>
    </row>
    <row r="13" spans="1:46" s="19" customFormat="1" ht="20.100000000000001" hidden="1" customHeight="1" x14ac:dyDescent="0.2">
      <c r="A13" s="222">
        <v>6</v>
      </c>
      <c r="B13" s="16" t="s">
        <v>4369</v>
      </c>
      <c r="C13" s="16" t="s">
        <v>64</v>
      </c>
      <c r="D13" s="199" t="s">
        <v>4370</v>
      </c>
      <c r="E13" s="193" t="s">
        <v>19</v>
      </c>
      <c r="F13" s="193"/>
      <c r="G13" s="193"/>
      <c r="H13" s="192" t="s">
        <v>7</v>
      </c>
      <c r="I13" s="16" t="s">
        <v>92</v>
      </c>
      <c r="J13" s="193" t="s">
        <v>68</v>
      </c>
      <c r="K13" s="193" t="s">
        <v>68</v>
      </c>
      <c r="L13" s="193" t="s">
        <v>4021</v>
      </c>
      <c r="M13" s="193" t="s">
        <v>69</v>
      </c>
      <c r="N13" s="192" t="s">
        <v>70</v>
      </c>
      <c r="O13" s="193" t="s">
        <v>263</v>
      </c>
      <c r="P13" s="193" t="s">
        <v>3677</v>
      </c>
      <c r="Q13" s="193" t="s">
        <v>485</v>
      </c>
      <c r="R13" s="193"/>
      <c r="S13" s="193" t="s">
        <v>69</v>
      </c>
      <c r="T13" s="193" t="s">
        <v>70</v>
      </c>
      <c r="U13" s="192"/>
      <c r="V13" s="192"/>
      <c r="W13" s="192"/>
      <c r="X13" s="192"/>
      <c r="Y13" s="16"/>
      <c r="Z13" s="16"/>
      <c r="AA13" s="16"/>
      <c r="AB13" s="16"/>
      <c r="AC13" s="16"/>
      <c r="AD13" s="16"/>
      <c r="AE13" s="16"/>
      <c r="AF13" s="16"/>
      <c r="AG13" s="16"/>
      <c r="AH13" s="192"/>
      <c r="AI13" s="193"/>
      <c r="AJ13" s="193"/>
      <c r="AK13" s="192"/>
      <c r="AL13" s="16"/>
      <c r="AM13" s="16"/>
      <c r="AN13" s="193"/>
      <c r="AO13" s="193"/>
      <c r="AP13" s="193"/>
      <c r="AQ13" s="193"/>
      <c r="AR13" s="12" t="str">
        <f t="shared" si="1"/>
        <v/>
      </c>
      <c r="AS13" s="12" t="str">
        <f t="shared" si="2"/>
        <v/>
      </c>
      <c r="AT13" s="18"/>
    </row>
    <row r="14" spans="1:46" s="19" customFormat="1" ht="20.100000000000001" hidden="1" customHeight="1" x14ac:dyDescent="0.2">
      <c r="A14" s="222">
        <v>7</v>
      </c>
      <c r="B14" s="16" t="s">
        <v>4369</v>
      </c>
      <c r="C14" s="16" t="s">
        <v>64</v>
      </c>
      <c r="D14" s="193" t="s">
        <v>4292</v>
      </c>
      <c r="E14" s="193" t="s">
        <v>6</v>
      </c>
      <c r="F14" s="193"/>
      <c r="G14" s="193"/>
      <c r="H14" s="192" t="s">
        <v>7</v>
      </c>
      <c r="I14" s="16" t="s">
        <v>93</v>
      </c>
      <c r="J14" s="193" t="s">
        <v>155</v>
      </c>
      <c r="K14" s="193" t="s">
        <v>155</v>
      </c>
      <c r="L14" s="193" t="s">
        <v>4388</v>
      </c>
      <c r="M14" s="193" t="s">
        <v>106</v>
      </c>
      <c r="N14" s="192" t="s">
        <v>107</v>
      </c>
      <c r="O14" s="193" t="s">
        <v>324</v>
      </c>
      <c r="P14" s="193" t="s">
        <v>3679</v>
      </c>
      <c r="Q14" s="193" t="s">
        <v>718</v>
      </c>
      <c r="R14" s="193" t="s">
        <v>4389</v>
      </c>
      <c r="S14" s="193" t="s">
        <v>106</v>
      </c>
      <c r="T14" s="193" t="s">
        <v>107</v>
      </c>
      <c r="U14" s="192"/>
      <c r="V14" s="192"/>
      <c r="W14" s="192">
        <v>142</v>
      </c>
      <c r="X14" s="201">
        <v>138</v>
      </c>
      <c r="Y14" s="200">
        <v>135</v>
      </c>
      <c r="Z14" s="16">
        <v>113</v>
      </c>
      <c r="AA14" s="16"/>
      <c r="AB14" s="16"/>
      <c r="AC14" s="16">
        <v>40</v>
      </c>
      <c r="AD14" s="16">
        <v>214</v>
      </c>
      <c r="AE14" s="16">
        <v>25</v>
      </c>
      <c r="AF14" s="16" t="s">
        <v>3839</v>
      </c>
      <c r="AG14" s="162" t="s">
        <v>4406</v>
      </c>
      <c r="AH14" s="192"/>
      <c r="AI14" s="193"/>
      <c r="AJ14" s="25"/>
      <c r="AK14" s="192"/>
      <c r="AL14" s="16"/>
      <c r="AM14" s="16"/>
      <c r="AN14" s="193"/>
      <c r="AO14" s="193"/>
      <c r="AP14" s="193"/>
      <c r="AQ14" s="193"/>
      <c r="AR14" s="12" t="str">
        <f t="shared" si="1"/>
        <v/>
      </c>
      <c r="AS14" s="12" t="str">
        <f t="shared" si="2"/>
        <v/>
      </c>
      <c r="AT14" s="18" t="s">
        <v>4394</v>
      </c>
    </row>
    <row r="15" spans="1:46" s="19" customFormat="1" ht="20.100000000000001" hidden="1" customHeight="1" x14ac:dyDescent="0.2">
      <c r="A15" s="222">
        <v>8</v>
      </c>
      <c r="B15" s="16" t="s">
        <v>4371</v>
      </c>
      <c r="C15" s="16" t="s">
        <v>64</v>
      </c>
      <c r="D15" s="193" t="s">
        <v>4372</v>
      </c>
      <c r="E15" s="193" t="s">
        <v>10</v>
      </c>
      <c r="F15" s="193" t="s">
        <v>4038</v>
      </c>
      <c r="G15" s="193"/>
      <c r="H15" s="192" t="s">
        <v>83</v>
      </c>
      <c r="I15" s="16" t="s">
        <v>92</v>
      </c>
      <c r="J15" s="193"/>
      <c r="K15" s="193" t="s">
        <v>155</v>
      </c>
      <c r="L15" s="193" t="s">
        <v>4381</v>
      </c>
      <c r="M15" s="193" t="s">
        <v>69</v>
      </c>
      <c r="N15" s="192" t="s">
        <v>70</v>
      </c>
      <c r="O15" s="193"/>
      <c r="P15" s="193" t="s">
        <v>3679</v>
      </c>
      <c r="Q15" s="193" t="s">
        <v>718</v>
      </c>
      <c r="R15" s="193" t="s">
        <v>2216</v>
      </c>
      <c r="S15" s="193" t="s">
        <v>262</v>
      </c>
      <c r="T15" s="193" t="s">
        <v>70</v>
      </c>
      <c r="U15" s="192" t="s">
        <v>4382</v>
      </c>
      <c r="V15" s="192"/>
      <c r="W15" s="192"/>
      <c r="X15" s="192"/>
      <c r="Y15" s="16">
        <v>174</v>
      </c>
      <c r="Z15" s="16"/>
      <c r="AA15" s="16"/>
      <c r="AB15" s="16"/>
      <c r="AC15" s="16"/>
      <c r="AD15" s="16"/>
      <c r="AE15" s="16"/>
      <c r="AF15" s="16">
        <v>6</v>
      </c>
      <c r="AG15" s="16"/>
      <c r="AH15" s="192"/>
      <c r="AI15" s="193"/>
      <c r="AJ15" s="25"/>
      <c r="AK15" s="192"/>
      <c r="AL15" s="16"/>
      <c r="AM15" s="16"/>
      <c r="AN15" s="193" t="s">
        <v>4378</v>
      </c>
      <c r="AO15" s="193" t="s">
        <v>114</v>
      </c>
      <c r="AP15" s="193" t="s">
        <v>827</v>
      </c>
      <c r="AQ15" s="193" t="s">
        <v>1247</v>
      </c>
      <c r="AR15" s="12">
        <f t="shared" si="1"/>
        <v>164</v>
      </c>
      <c r="AS15" s="12" t="str">
        <f t="shared" si="2"/>
        <v/>
      </c>
      <c r="AT15" s="18"/>
    </row>
    <row r="16" spans="1:46" s="19" customFormat="1" ht="20.100000000000001" hidden="1" customHeight="1" x14ac:dyDescent="0.2">
      <c r="A16" s="222">
        <v>9</v>
      </c>
      <c r="B16" s="16" t="s">
        <v>4373</v>
      </c>
      <c r="C16" s="16" t="s">
        <v>64</v>
      </c>
      <c r="D16" s="193" t="s">
        <v>4374</v>
      </c>
      <c r="E16" s="193" t="s">
        <v>66</v>
      </c>
      <c r="F16" s="193"/>
      <c r="G16" s="193"/>
      <c r="H16" s="192" t="s">
        <v>7</v>
      </c>
      <c r="I16" s="16" t="s">
        <v>92</v>
      </c>
      <c r="J16" s="193" t="s">
        <v>1927</v>
      </c>
      <c r="K16" s="193" t="s">
        <v>1927</v>
      </c>
      <c r="L16" s="193"/>
      <c r="M16" s="193" t="s">
        <v>69</v>
      </c>
      <c r="N16" s="192" t="s">
        <v>70</v>
      </c>
      <c r="O16" s="193" t="s">
        <v>2368</v>
      </c>
      <c r="P16" s="193" t="s">
        <v>4016</v>
      </c>
      <c r="Q16" s="193" t="s">
        <v>493</v>
      </c>
      <c r="R16" s="193"/>
      <c r="S16" s="193" t="s">
        <v>69</v>
      </c>
      <c r="T16" s="193" t="s">
        <v>70</v>
      </c>
      <c r="U16" s="192"/>
      <c r="V16" s="192"/>
      <c r="W16" s="192"/>
      <c r="X16" s="192"/>
      <c r="Y16" s="16"/>
      <c r="Z16" s="16"/>
      <c r="AA16" s="16"/>
      <c r="AB16" s="16"/>
      <c r="AC16" s="16"/>
      <c r="AD16" s="16"/>
      <c r="AE16" s="16"/>
      <c r="AF16" s="16"/>
      <c r="AG16" s="16"/>
      <c r="AH16" s="192"/>
      <c r="AI16" s="193"/>
      <c r="AJ16" s="25"/>
      <c r="AK16" s="192"/>
      <c r="AL16" s="16"/>
      <c r="AM16" s="16"/>
      <c r="AN16" s="193"/>
      <c r="AO16" s="193"/>
      <c r="AP16" s="193"/>
      <c r="AQ16" s="193"/>
      <c r="AR16" s="12" t="str">
        <f t="shared" si="1"/>
        <v/>
      </c>
      <c r="AS16" s="12" t="str">
        <f t="shared" si="2"/>
        <v/>
      </c>
      <c r="AT16" s="18"/>
    </row>
    <row r="17" spans="1:46" s="19" customFormat="1" ht="20.100000000000001" hidden="1" customHeight="1" x14ac:dyDescent="0.2">
      <c r="A17" s="222">
        <v>10</v>
      </c>
      <c r="B17" s="16" t="s">
        <v>4375</v>
      </c>
      <c r="C17" s="16" t="s">
        <v>64</v>
      </c>
      <c r="D17" s="193" t="s">
        <v>4372</v>
      </c>
      <c r="E17" s="193" t="s">
        <v>10</v>
      </c>
      <c r="F17" s="193"/>
      <c r="G17" s="193"/>
      <c r="H17" s="192" t="s">
        <v>7</v>
      </c>
      <c r="I17" s="16" t="s">
        <v>92</v>
      </c>
      <c r="J17" s="193"/>
      <c r="K17" s="193" t="s">
        <v>226</v>
      </c>
      <c r="L17" s="193" t="s">
        <v>4390</v>
      </c>
      <c r="M17" s="193" t="s">
        <v>106</v>
      </c>
      <c r="N17" s="192" t="s">
        <v>107</v>
      </c>
      <c r="O17" s="193"/>
      <c r="P17" s="193" t="s">
        <v>2325</v>
      </c>
      <c r="Q17" s="193" t="s">
        <v>2348</v>
      </c>
      <c r="R17" s="193" t="s">
        <v>4391</v>
      </c>
      <c r="S17" s="193" t="s">
        <v>106</v>
      </c>
      <c r="T17" s="193" t="s">
        <v>107</v>
      </c>
      <c r="U17" s="192"/>
      <c r="V17" s="192"/>
      <c r="W17" s="192">
        <v>200</v>
      </c>
      <c r="X17" s="192">
        <v>178</v>
      </c>
      <c r="Y17" s="16">
        <v>178</v>
      </c>
      <c r="Z17" s="16">
        <v>161</v>
      </c>
      <c r="AA17" s="16">
        <v>170</v>
      </c>
      <c r="AB17" s="16">
        <v>2</v>
      </c>
      <c r="AC17" s="16">
        <v>19</v>
      </c>
      <c r="AD17" s="16">
        <v>191</v>
      </c>
      <c r="AE17" s="16">
        <v>5</v>
      </c>
      <c r="AF17" s="200">
        <v>4</v>
      </c>
      <c r="AG17" s="162" t="s">
        <v>4407</v>
      </c>
      <c r="AH17" s="192"/>
      <c r="AI17" s="193"/>
      <c r="AJ17" s="193"/>
      <c r="AK17" s="192"/>
      <c r="AL17" s="16" t="s">
        <v>160</v>
      </c>
      <c r="AM17" s="16"/>
      <c r="AN17" s="193"/>
      <c r="AO17" s="193"/>
      <c r="AP17" s="193"/>
      <c r="AQ17" s="193"/>
      <c r="AR17" s="12" t="str">
        <f t="shared" si="1"/>
        <v/>
      </c>
      <c r="AS17" s="12" t="str">
        <f t="shared" si="2"/>
        <v/>
      </c>
      <c r="AT17" s="18" t="s">
        <v>4393</v>
      </c>
    </row>
    <row r="18" spans="1:46" s="19" customFormat="1" ht="20.100000000000001" hidden="1" customHeight="1" x14ac:dyDescent="0.2">
      <c r="A18" s="222">
        <v>11</v>
      </c>
      <c r="B18" s="16" t="s">
        <v>4375</v>
      </c>
      <c r="C18" s="16" t="s">
        <v>64</v>
      </c>
      <c r="D18" s="193" t="s">
        <v>4377</v>
      </c>
      <c r="E18" s="193" t="s">
        <v>6</v>
      </c>
      <c r="F18" s="193" t="s">
        <v>174</v>
      </c>
      <c r="G18" s="193"/>
      <c r="H18" s="192" t="s">
        <v>83</v>
      </c>
      <c r="I18" s="16" t="s">
        <v>93</v>
      </c>
      <c r="J18" s="193"/>
      <c r="K18" s="193" t="s">
        <v>117</v>
      </c>
      <c r="L18" s="193" t="s">
        <v>4383</v>
      </c>
      <c r="M18" s="193" t="s">
        <v>119</v>
      </c>
      <c r="N18" s="192" t="s">
        <v>107</v>
      </c>
      <c r="O18" s="193"/>
      <c r="P18" s="193" t="s">
        <v>3677</v>
      </c>
      <c r="Q18" s="193" t="s">
        <v>465</v>
      </c>
      <c r="R18" s="193" t="s">
        <v>4384</v>
      </c>
      <c r="S18" s="193" t="s">
        <v>119</v>
      </c>
      <c r="T18" s="193" t="s">
        <v>107</v>
      </c>
      <c r="U18" s="192" t="s">
        <v>4385</v>
      </c>
      <c r="V18" s="192"/>
      <c r="W18" s="192"/>
      <c r="X18" s="192"/>
      <c r="Y18" s="16">
        <v>114</v>
      </c>
      <c r="Z18" s="16"/>
      <c r="AA18" s="16"/>
      <c r="AB18" s="16"/>
      <c r="AC18" s="16"/>
      <c r="AD18" s="16"/>
      <c r="AE18" s="16"/>
      <c r="AF18" s="16" t="s">
        <v>3839</v>
      </c>
      <c r="AG18" s="16"/>
      <c r="AH18" s="192"/>
      <c r="AI18" s="193"/>
      <c r="AJ18" s="193"/>
      <c r="AK18" s="192"/>
      <c r="AL18" s="16"/>
      <c r="AM18" s="16"/>
      <c r="AN18" s="193" t="s">
        <v>4378</v>
      </c>
      <c r="AO18" s="193" t="s">
        <v>114</v>
      </c>
      <c r="AP18" s="193" t="s">
        <v>400</v>
      </c>
      <c r="AQ18" s="193" t="s">
        <v>260</v>
      </c>
      <c r="AR18" s="12">
        <f t="shared" si="1"/>
        <v>85</v>
      </c>
      <c r="AS18" s="12" t="str">
        <f t="shared" si="2"/>
        <v/>
      </c>
      <c r="AT18" s="18"/>
    </row>
    <row r="19" spans="1:46" s="19" customFormat="1" ht="20.100000000000001" hidden="1" customHeight="1" x14ac:dyDescent="0.2">
      <c r="A19" s="222">
        <v>12</v>
      </c>
      <c r="B19" s="16" t="s">
        <v>4376</v>
      </c>
      <c r="C19" s="16" t="s">
        <v>64</v>
      </c>
      <c r="D19" s="193" t="s">
        <v>2951</v>
      </c>
      <c r="E19" s="193" t="s">
        <v>8</v>
      </c>
      <c r="F19" s="193"/>
      <c r="G19" s="193"/>
      <c r="H19" s="192" t="s">
        <v>7</v>
      </c>
      <c r="I19" s="16" t="s">
        <v>92</v>
      </c>
      <c r="J19" s="193" t="s">
        <v>104</v>
      </c>
      <c r="K19" s="193" t="s">
        <v>104</v>
      </c>
      <c r="L19" s="193" t="s">
        <v>4392</v>
      </c>
      <c r="M19" s="193" t="s">
        <v>106</v>
      </c>
      <c r="N19" s="192" t="s">
        <v>107</v>
      </c>
      <c r="O19" s="193" t="s">
        <v>108</v>
      </c>
      <c r="P19" s="193" t="s">
        <v>3679</v>
      </c>
      <c r="Q19" s="193" t="s">
        <v>555</v>
      </c>
      <c r="R19" s="193" t="s">
        <v>3787</v>
      </c>
      <c r="S19" s="193" t="s">
        <v>106</v>
      </c>
      <c r="T19" s="193" t="s">
        <v>107</v>
      </c>
      <c r="U19" s="192"/>
      <c r="V19" s="192"/>
      <c r="W19" s="192">
        <v>87</v>
      </c>
      <c r="X19" s="201">
        <v>111</v>
      </c>
      <c r="Y19" s="200">
        <v>78</v>
      </c>
      <c r="Z19" s="16">
        <v>46</v>
      </c>
      <c r="AA19" s="16">
        <v>70</v>
      </c>
      <c r="AB19" s="16">
        <v>3</v>
      </c>
      <c r="AC19" s="16">
        <v>53</v>
      </c>
      <c r="AD19" s="16">
        <v>126</v>
      </c>
      <c r="AE19" s="16">
        <v>25</v>
      </c>
      <c r="AF19" s="16">
        <v>6</v>
      </c>
      <c r="AG19" s="162" t="s">
        <v>4408</v>
      </c>
      <c r="AH19" s="192"/>
      <c r="AI19" s="193"/>
      <c r="AJ19" s="193"/>
      <c r="AK19" s="192"/>
      <c r="AL19" s="16"/>
      <c r="AM19" s="16"/>
      <c r="AN19" s="193"/>
      <c r="AO19" s="193"/>
      <c r="AP19" s="193"/>
      <c r="AQ19" s="193"/>
      <c r="AR19" s="12" t="str">
        <f t="shared" si="1"/>
        <v/>
      </c>
      <c r="AS19" s="12" t="str">
        <f t="shared" si="2"/>
        <v/>
      </c>
      <c r="AT19" s="18"/>
    </row>
    <row r="20" spans="1:46" s="19" customFormat="1" ht="20.100000000000001" hidden="1" customHeight="1" x14ac:dyDescent="0.2">
      <c r="A20" s="222">
        <v>13</v>
      </c>
      <c r="B20" s="16" t="s">
        <v>4395</v>
      </c>
      <c r="C20" s="16" t="s">
        <v>64</v>
      </c>
      <c r="D20" s="193" t="s">
        <v>4396</v>
      </c>
      <c r="E20" s="193" t="s">
        <v>8</v>
      </c>
      <c r="F20" s="193"/>
      <c r="G20" s="193"/>
      <c r="H20" s="192" t="s">
        <v>7</v>
      </c>
      <c r="I20" s="16" t="s">
        <v>84</v>
      </c>
      <c r="J20" s="35" t="s">
        <v>140</v>
      </c>
      <c r="K20" s="35" t="s">
        <v>104</v>
      </c>
      <c r="L20" s="193" t="s">
        <v>4402</v>
      </c>
      <c r="M20" s="193" t="s">
        <v>69</v>
      </c>
      <c r="N20" s="192" t="s">
        <v>70</v>
      </c>
      <c r="O20" s="35" t="s">
        <v>276</v>
      </c>
      <c r="P20" s="35" t="s">
        <v>3679</v>
      </c>
      <c r="Q20" s="35" t="s">
        <v>555</v>
      </c>
      <c r="R20" s="193" t="s">
        <v>4403</v>
      </c>
      <c r="S20" s="193" t="s">
        <v>106</v>
      </c>
      <c r="T20" s="193" t="s">
        <v>107</v>
      </c>
      <c r="U20" s="192"/>
      <c r="V20" s="192"/>
      <c r="W20" s="192">
        <v>221</v>
      </c>
      <c r="X20" s="201">
        <v>204</v>
      </c>
      <c r="Y20" s="200">
        <v>206</v>
      </c>
      <c r="Z20" s="16">
        <v>56</v>
      </c>
      <c r="AA20" s="16">
        <v>86</v>
      </c>
      <c r="AB20" s="16">
        <v>6</v>
      </c>
      <c r="AC20" s="16">
        <v>30</v>
      </c>
      <c r="AD20" s="16">
        <v>122</v>
      </c>
      <c r="AE20" s="16">
        <v>25</v>
      </c>
      <c r="AF20" s="16">
        <v>6</v>
      </c>
      <c r="AG20" s="162" t="s">
        <v>4409</v>
      </c>
      <c r="AH20" s="33" t="s">
        <v>158</v>
      </c>
      <c r="AI20" s="193"/>
      <c r="AJ20" s="25"/>
      <c r="AK20" s="192"/>
      <c r="AL20" s="16" t="s">
        <v>160</v>
      </c>
      <c r="AM20" s="16" t="s">
        <v>165</v>
      </c>
      <c r="AN20" s="193"/>
      <c r="AO20" s="193"/>
      <c r="AP20" s="193"/>
      <c r="AQ20" s="193"/>
      <c r="AR20" s="12" t="str">
        <f t="shared" si="1"/>
        <v/>
      </c>
      <c r="AS20" s="12" t="str">
        <f t="shared" si="2"/>
        <v/>
      </c>
      <c r="AT20" s="18"/>
    </row>
    <row r="21" spans="1:46" s="19" customFormat="1" ht="20.100000000000001" hidden="1" customHeight="1" x14ac:dyDescent="0.2">
      <c r="A21" s="222">
        <v>14</v>
      </c>
      <c r="B21" s="16" t="s">
        <v>4397</v>
      </c>
      <c r="C21" s="16" t="s">
        <v>64</v>
      </c>
      <c r="D21" s="193" t="s">
        <v>4398</v>
      </c>
      <c r="E21" s="193" t="s">
        <v>2155</v>
      </c>
      <c r="F21" s="193" t="s">
        <v>192</v>
      </c>
      <c r="G21" s="193"/>
      <c r="H21" s="192" t="s">
        <v>7</v>
      </c>
      <c r="I21" s="16" t="s">
        <v>92</v>
      </c>
      <c r="J21" s="193"/>
      <c r="K21" s="193" t="s">
        <v>141</v>
      </c>
      <c r="L21" s="193" t="s">
        <v>3802</v>
      </c>
      <c r="M21" s="193" t="s">
        <v>106</v>
      </c>
      <c r="N21" s="192" t="s">
        <v>107</v>
      </c>
      <c r="O21" s="193"/>
      <c r="P21" s="193" t="s">
        <v>2245</v>
      </c>
      <c r="Q21" s="193" t="s">
        <v>718</v>
      </c>
      <c r="R21" s="193" t="s">
        <v>1070</v>
      </c>
      <c r="S21" s="193" t="s">
        <v>106</v>
      </c>
      <c r="T21" s="193" t="s">
        <v>107</v>
      </c>
      <c r="U21" s="192"/>
      <c r="V21" s="192"/>
      <c r="W21" s="192">
        <v>178</v>
      </c>
      <c r="X21" s="192"/>
      <c r="Y21" s="16">
        <v>168</v>
      </c>
      <c r="Z21" s="16"/>
      <c r="AA21" s="16">
        <v>138</v>
      </c>
      <c r="AB21" s="16">
        <v>9</v>
      </c>
      <c r="AC21" s="16">
        <v>10</v>
      </c>
      <c r="AD21" s="16">
        <v>157</v>
      </c>
      <c r="AE21" s="16">
        <v>12</v>
      </c>
      <c r="AF21" s="16">
        <v>4</v>
      </c>
      <c r="AG21" s="162" t="s">
        <v>4410</v>
      </c>
      <c r="AH21" s="192"/>
      <c r="AI21" s="193"/>
      <c r="AJ21" s="25"/>
      <c r="AK21" s="192"/>
      <c r="AL21" s="16" t="s">
        <v>160</v>
      </c>
      <c r="AM21" s="16" t="s">
        <v>231</v>
      </c>
      <c r="AN21" s="193"/>
      <c r="AO21" s="193"/>
      <c r="AP21" s="193"/>
      <c r="AQ21" s="193"/>
      <c r="AR21" s="12" t="str">
        <f t="shared" si="1"/>
        <v/>
      </c>
      <c r="AS21" s="12" t="str">
        <f t="shared" si="2"/>
        <v/>
      </c>
      <c r="AT21" s="18"/>
    </row>
    <row r="22" spans="1:46" s="21" customFormat="1" ht="63" hidden="1" x14ac:dyDescent="0.2">
      <c r="A22" s="222">
        <v>15</v>
      </c>
      <c r="B22" s="29" t="s">
        <v>4399</v>
      </c>
      <c r="C22" s="29" t="s">
        <v>64</v>
      </c>
      <c r="D22" s="30" t="s">
        <v>3699</v>
      </c>
      <c r="E22" s="30" t="s">
        <v>20</v>
      </c>
      <c r="F22" s="30" t="s">
        <v>4038</v>
      </c>
      <c r="G22" s="30"/>
      <c r="H22" s="20" t="s">
        <v>83</v>
      </c>
      <c r="I22" s="29" t="s">
        <v>92</v>
      </c>
      <c r="J22" s="30"/>
      <c r="K22" s="30" t="s">
        <v>104</v>
      </c>
      <c r="L22" s="30" t="s">
        <v>3821</v>
      </c>
      <c r="M22" s="30" t="s">
        <v>142</v>
      </c>
      <c r="N22" s="20" t="s">
        <v>70</v>
      </c>
      <c r="O22" s="30"/>
      <c r="P22" s="30" t="s">
        <v>1510</v>
      </c>
      <c r="Q22" s="30" t="s">
        <v>769</v>
      </c>
      <c r="R22" s="30" t="s">
        <v>3823</v>
      </c>
      <c r="S22" s="30" t="s">
        <v>106</v>
      </c>
      <c r="T22" s="30" t="s">
        <v>107</v>
      </c>
      <c r="U22" s="20"/>
      <c r="V22" s="20" t="s">
        <v>4416</v>
      </c>
      <c r="W22" s="20"/>
      <c r="X22" s="20"/>
      <c r="Y22" s="29">
        <v>186</v>
      </c>
      <c r="Z22" s="29"/>
      <c r="AA22" s="29"/>
      <c r="AB22" s="29"/>
      <c r="AC22" s="29"/>
      <c r="AD22" s="29"/>
      <c r="AE22" s="29"/>
      <c r="AF22" s="29">
        <v>6</v>
      </c>
      <c r="AG22" s="29"/>
      <c r="AH22" s="20"/>
      <c r="AI22" s="30"/>
      <c r="AJ22" s="36"/>
      <c r="AK22" s="20"/>
      <c r="AL22" s="29" t="s">
        <v>111</v>
      </c>
      <c r="AM22" s="29" t="s">
        <v>112</v>
      </c>
      <c r="AN22" s="30" t="s">
        <v>4378</v>
      </c>
      <c r="AO22" s="30" t="s">
        <v>114</v>
      </c>
      <c r="AP22" s="30" t="s">
        <v>113</v>
      </c>
      <c r="AQ22" s="30" t="s">
        <v>137</v>
      </c>
      <c r="AR22" s="12">
        <f t="shared" si="1"/>
        <v>7</v>
      </c>
      <c r="AS22" s="12">
        <f t="shared" si="2"/>
        <v>7</v>
      </c>
      <c r="AT22" s="32" t="s">
        <v>4427</v>
      </c>
    </row>
    <row r="23" spans="1:46" s="21" customFormat="1" ht="31.5" hidden="1" x14ac:dyDescent="0.2">
      <c r="A23" s="222">
        <v>16</v>
      </c>
      <c r="B23" s="29" t="s">
        <v>4399</v>
      </c>
      <c r="C23" s="29" t="s">
        <v>64</v>
      </c>
      <c r="D23" s="30" t="s">
        <v>2680</v>
      </c>
      <c r="E23" s="30" t="s">
        <v>20</v>
      </c>
      <c r="F23" s="30" t="s">
        <v>4038</v>
      </c>
      <c r="G23" s="30"/>
      <c r="H23" s="20" t="s">
        <v>83</v>
      </c>
      <c r="I23" s="29" t="s">
        <v>84</v>
      </c>
      <c r="J23" s="30"/>
      <c r="K23" s="30" t="s">
        <v>155</v>
      </c>
      <c r="L23" s="30" t="s">
        <v>4257</v>
      </c>
      <c r="M23" s="30" t="s">
        <v>106</v>
      </c>
      <c r="N23" s="20" t="s">
        <v>107</v>
      </c>
      <c r="O23" s="30"/>
      <c r="P23" s="30" t="s">
        <v>3677</v>
      </c>
      <c r="Q23" s="30" t="s">
        <v>718</v>
      </c>
      <c r="R23" s="30"/>
      <c r="S23" s="30" t="s">
        <v>106</v>
      </c>
      <c r="T23" s="30" t="s">
        <v>107</v>
      </c>
      <c r="U23" s="20"/>
      <c r="V23" s="20"/>
      <c r="W23" s="20"/>
      <c r="X23" s="20"/>
      <c r="Y23" s="29">
        <v>210</v>
      </c>
      <c r="Z23" s="29"/>
      <c r="AA23" s="29"/>
      <c r="AB23" s="29"/>
      <c r="AC23" s="29"/>
      <c r="AD23" s="29"/>
      <c r="AE23" s="29"/>
      <c r="AF23" s="29">
        <v>6</v>
      </c>
      <c r="AG23" s="29"/>
      <c r="AH23" s="20"/>
      <c r="AI23" s="30"/>
      <c r="AJ23" s="30"/>
      <c r="AK23" s="20"/>
      <c r="AL23" s="29" t="s">
        <v>160</v>
      </c>
      <c r="AM23" s="29" t="s">
        <v>165</v>
      </c>
      <c r="AN23" s="30" t="s">
        <v>4378</v>
      </c>
      <c r="AO23" s="30" t="s">
        <v>114</v>
      </c>
      <c r="AP23" s="30" t="s">
        <v>113</v>
      </c>
      <c r="AQ23" s="30" t="s">
        <v>116</v>
      </c>
      <c r="AR23" s="12">
        <f t="shared" si="1"/>
        <v>2</v>
      </c>
      <c r="AS23" s="12">
        <f t="shared" si="2"/>
        <v>2</v>
      </c>
      <c r="AT23" s="32" t="s">
        <v>4401</v>
      </c>
    </row>
    <row r="24" spans="1:46" s="19" customFormat="1" ht="20.100000000000001" hidden="1" customHeight="1" x14ac:dyDescent="0.2">
      <c r="A24" s="222">
        <v>17</v>
      </c>
      <c r="B24" s="16" t="s">
        <v>4400</v>
      </c>
      <c r="C24" s="16" t="s">
        <v>64</v>
      </c>
      <c r="D24" s="193" t="s">
        <v>1336</v>
      </c>
      <c r="E24" s="193" t="s">
        <v>8</v>
      </c>
      <c r="F24" s="193" t="s">
        <v>4038</v>
      </c>
      <c r="G24" s="193"/>
      <c r="H24" s="192" t="s">
        <v>83</v>
      </c>
      <c r="I24" s="16" t="s">
        <v>93</v>
      </c>
      <c r="J24" s="193"/>
      <c r="K24" s="193" t="s">
        <v>104</v>
      </c>
      <c r="L24" s="193" t="s">
        <v>1448</v>
      </c>
      <c r="M24" s="41" t="s">
        <v>106</v>
      </c>
      <c r="N24" s="13" t="s">
        <v>107</v>
      </c>
      <c r="O24" s="193"/>
      <c r="P24" s="193" t="s">
        <v>3679</v>
      </c>
      <c r="Q24" s="193" t="s">
        <v>555</v>
      </c>
      <c r="R24" s="41" t="s">
        <v>857</v>
      </c>
      <c r="S24" s="41" t="s">
        <v>106</v>
      </c>
      <c r="T24" s="41" t="s">
        <v>107</v>
      </c>
      <c r="U24" s="192"/>
      <c r="V24" s="192"/>
      <c r="W24" s="192"/>
      <c r="X24" s="192"/>
      <c r="Y24" s="16">
        <v>132</v>
      </c>
      <c r="Z24" s="16"/>
      <c r="AA24" s="16"/>
      <c r="AB24" s="16"/>
      <c r="AC24" s="16"/>
      <c r="AD24" s="16"/>
      <c r="AE24" s="16"/>
      <c r="AF24" s="16">
        <v>6</v>
      </c>
      <c r="AG24" s="16"/>
      <c r="AH24" s="193"/>
      <c r="AI24" s="193"/>
      <c r="AJ24" s="193"/>
      <c r="AK24" s="192"/>
      <c r="AL24" s="16" t="s">
        <v>111</v>
      </c>
      <c r="AM24" s="16" t="s">
        <v>112</v>
      </c>
      <c r="AN24" s="193" t="s">
        <v>4378</v>
      </c>
      <c r="AO24" s="193" t="s">
        <v>114</v>
      </c>
      <c r="AP24" s="193" t="s">
        <v>115</v>
      </c>
      <c r="AQ24" s="193" t="s">
        <v>148</v>
      </c>
      <c r="AR24" s="12">
        <f t="shared" si="1"/>
        <v>17</v>
      </c>
      <c r="AS24" s="12" t="str">
        <f t="shared" si="2"/>
        <v/>
      </c>
      <c r="AT24" s="18"/>
    </row>
    <row r="25" spans="1:46" s="19" customFormat="1" ht="20.100000000000001" hidden="1" customHeight="1" x14ac:dyDescent="0.2">
      <c r="A25" s="222">
        <v>18</v>
      </c>
      <c r="B25" s="16" t="s">
        <v>4400</v>
      </c>
      <c r="C25" s="16" t="s">
        <v>64</v>
      </c>
      <c r="D25" s="193" t="s">
        <v>1336</v>
      </c>
      <c r="E25" s="193" t="s">
        <v>8</v>
      </c>
      <c r="F25" s="193"/>
      <c r="G25" s="193"/>
      <c r="H25" s="192" t="s">
        <v>7</v>
      </c>
      <c r="I25" s="16" t="s">
        <v>93</v>
      </c>
      <c r="J25" s="35" t="s">
        <v>104</v>
      </c>
      <c r="K25" s="35" t="s">
        <v>140</v>
      </c>
      <c r="L25" s="193" t="s">
        <v>4336</v>
      </c>
      <c r="M25" s="193" t="s">
        <v>106</v>
      </c>
      <c r="N25" s="192" t="s">
        <v>107</v>
      </c>
      <c r="O25" s="35" t="s">
        <v>108</v>
      </c>
      <c r="P25" s="35" t="s">
        <v>2245</v>
      </c>
      <c r="Q25" s="35" t="s">
        <v>116</v>
      </c>
      <c r="R25" s="193" t="s">
        <v>4363</v>
      </c>
      <c r="S25" s="193" t="s">
        <v>106</v>
      </c>
      <c r="T25" s="193" t="s">
        <v>107</v>
      </c>
      <c r="U25" s="192"/>
      <c r="V25" s="192"/>
      <c r="W25" s="192">
        <v>142</v>
      </c>
      <c r="X25" s="192">
        <v>132</v>
      </c>
      <c r="Y25" s="16">
        <v>132</v>
      </c>
      <c r="Z25" s="16">
        <v>40</v>
      </c>
      <c r="AA25" s="16">
        <v>100</v>
      </c>
      <c r="AB25" s="16">
        <v>2</v>
      </c>
      <c r="AC25" s="16">
        <v>63</v>
      </c>
      <c r="AD25" s="16">
        <v>165</v>
      </c>
      <c r="AE25" s="16">
        <v>15</v>
      </c>
      <c r="AF25" s="16">
        <v>6</v>
      </c>
      <c r="AG25" s="162" t="s">
        <v>4414</v>
      </c>
      <c r="AH25" s="33" t="s">
        <v>158</v>
      </c>
      <c r="AI25" s="193"/>
      <c r="AJ25" s="193"/>
      <c r="AK25" s="192"/>
      <c r="AL25" s="16" t="s">
        <v>111</v>
      </c>
      <c r="AM25" s="16" t="s">
        <v>112</v>
      </c>
      <c r="AN25" s="193"/>
      <c r="AO25" s="193"/>
      <c r="AP25" s="193"/>
      <c r="AQ25" s="193"/>
      <c r="AR25" s="12" t="str">
        <f t="shared" si="1"/>
        <v/>
      </c>
      <c r="AS25" s="12" t="str">
        <f t="shared" si="2"/>
        <v/>
      </c>
      <c r="AT25" s="18"/>
    </row>
    <row r="26" spans="1:46" s="19" customFormat="1" ht="21.75" hidden="1" x14ac:dyDescent="0.2">
      <c r="A26" s="222">
        <v>19</v>
      </c>
      <c r="B26" s="16" t="s">
        <v>4404</v>
      </c>
      <c r="C26" s="16" t="s">
        <v>64</v>
      </c>
      <c r="D26" s="193" t="s">
        <v>790</v>
      </c>
      <c r="E26" s="193" t="s">
        <v>6</v>
      </c>
      <c r="F26" s="193" t="s">
        <v>4038</v>
      </c>
      <c r="G26" s="193"/>
      <c r="H26" s="192" t="s">
        <v>83</v>
      </c>
      <c r="I26" s="16" t="s">
        <v>92</v>
      </c>
      <c r="J26" s="193"/>
      <c r="K26" s="193" t="s">
        <v>104</v>
      </c>
      <c r="L26" s="193" t="s">
        <v>1006</v>
      </c>
      <c r="M26" s="193" t="s">
        <v>106</v>
      </c>
      <c r="N26" s="192" t="s">
        <v>107</v>
      </c>
      <c r="O26" s="193"/>
      <c r="P26" s="193" t="s">
        <v>1510</v>
      </c>
      <c r="Q26" s="193" t="s">
        <v>769</v>
      </c>
      <c r="R26" s="193" t="s">
        <v>1240</v>
      </c>
      <c r="S26" s="193" t="s">
        <v>73</v>
      </c>
      <c r="T26" s="193" t="s">
        <v>70</v>
      </c>
      <c r="U26" s="192" t="s">
        <v>5177</v>
      </c>
      <c r="V26" s="192"/>
      <c r="W26" s="192"/>
      <c r="X26" s="192"/>
      <c r="Y26" s="16">
        <v>240</v>
      </c>
      <c r="Z26" s="16"/>
      <c r="AA26" s="16"/>
      <c r="AB26" s="16"/>
      <c r="AC26" s="16"/>
      <c r="AD26" s="16"/>
      <c r="AE26" s="16"/>
      <c r="AF26" s="16">
        <v>6</v>
      </c>
      <c r="AG26" s="16"/>
      <c r="AH26" s="193"/>
      <c r="AI26" s="193"/>
      <c r="AJ26" s="193"/>
      <c r="AK26" s="192"/>
      <c r="AL26" s="16" t="s">
        <v>160</v>
      </c>
      <c r="AM26" s="16" t="s">
        <v>165</v>
      </c>
      <c r="AN26" s="193" t="s">
        <v>4378</v>
      </c>
      <c r="AO26" s="193" t="s">
        <v>114</v>
      </c>
      <c r="AP26" s="193" t="s">
        <v>115</v>
      </c>
      <c r="AQ26" s="193" t="s">
        <v>137</v>
      </c>
      <c r="AR26" s="12">
        <f t="shared" si="1"/>
        <v>19</v>
      </c>
      <c r="AS26" s="12" t="str">
        <f t="shared" si="2"/>
        <v/>
      </c>
      <c r="AT26" s="18"/>
    </row>
    <row r="27" spans="1:46" s="19" customFormat="1" ht="43.5" hidden="1" customHeight="1" x14ac:dyDescent="0.2">
      <c r="A27" s="222">
        <v>20</v>
      </c>
      <c r="B27" s="16" t="s">
        <v>4411</v>
      </c>
      <c r="C27" s="16" t="s">
        <v>64</v>
      </c>
      <c r="D27" s="193" t="s">
        <v>433</v>
      </c>
      <c r="E27" s="193" t="s">
        <v>243</v>
      </c>
      <c r="F27" s="193" t="s">
        <v>4038</v>
      </c>
      <c r="G27" s="193"/>
      <c r="H27" s="192" t="s">
        <v>83</v>
      </c>
      <c r="I27" s="16" t="s">
        <v>93</v>
      </c>
      <c r="J27" s="193"/>
      <c r="K27" s="193" t="s">
        <v>104</v>
      </c>
      <c r="L27" s="193"/>
      <c r="M27" s="193" t="s">
        <v>106</v>
      </c>
      <c r="N27" s="192" t="s">
        <v>107</v>
      </c>
      <c r="O27" s="193"/>
      <c r="P27" s="193" t="s">
        <v>3679</v>
      </c>
      <c r="Q27" s="193" t="s">
        <v>555</v>
      </c>
      <c r="R27" s="193" t="s">
        <v>4413</v>
      </c>
      <c r="S27" s="193" t="s">
        <v>106</v>
      </c>
      <c r="T27" s="193" t="s">
        <v>107</v>
      </c>
      <c r="U27" s="192" t="s">
        <v>2135</v>
      </c>
      <c r="V27" s="192" t="s">
        <v>4416</v>
      </c>
      <c r="W27" s="192"/>
      <c r="X27" s="192"/>
      <c r="Y27" s="192"/>
      <c r="Z27" s="16"/>
      <c r="AA27" s="16"/>
      <c r="AB27" s="16"/>
      <c r="AC27" s="16"/>
      <c r="AD27" s="192"/>
      <c r="AE27" s="16"/>
      <c r="AF27" s="16">
        <v>6</v>
      </c>
      <c r="AG27" s="16"/>
      <c r="AH27" s="192"/>
      <c r="AI27" s="193"/>
      <c r="AJ27" s="25"/>
      <c r="AK27" s="192"/>
      <c r="AL27" s="16" t="s">
        <v>160</v>
      </c>
      <c r="AM27" s="16" t="s">
        <v>193</v>
      </c>
      <c r="AN27" s="193" t="s">
        <v>4378</v>
      </c>
      <c r="AO27" s="193" t="s">
        <v>114</v>
      </c>
      <c r="AP27" s="193" t="s">
        <v>115</v>
      </c>
      <c r="AQ27" s="193" t="s">
        <v>260</v>
      </c>
      <c r="AR27" s="12">
        <f t="shared" si="1"/>
        <v>13</v>
      </c>
      <c r="AS27" s="12" t="str">
        <f t="shared" si="2"/>
        <v/>
      </c>
      <c r="AT27" s="195" t="s">
        <v>4428</v>
      </c>
    </row>
    <row r="28" spans="1:46" s="19" customFormat="1" ht="20.100000000000001" hidden="1" customHeight="1" x14ac:dyDescent="0.2">
      <c r="A28" s="222">
        <v>21</v>
      </c>
      <c r="B28" s="16" t="s">
        <v>4411</v>
      </c>
      <c r="C28" s="16" t="s">
        <v>64</v>
      </c>
      <c r="D28" s="193" t="s">
        <v>1548</v>
      </c>
      <c r="E28" s="193" t="s">
        <v>8</v>
      </c>
      <c r="F28" s="193" t="s">
        <v>4038</v>
      </c>
      <c r="G28" s="193"/>
      <c r="H28" s="192" t="s">
        <v>83</v>
      </c>
      <c r="I28" s="16" t="s">
        <v>92</v>
      </c>
      <c r="J28" s="193"/>
      <c r="K28" s="41" t="s">
        <v>155</v>
      </c>
      <c r="L28" s="41" t="s">
        <v>946</v>
      </c>
      <c r="M28" s="41" t="s">
        <v>106</v>
      </c>
      <c r="N28" s="13" t="s">
        <v>107</v>
      </c>
      <c r="O28" s="193"/>
      <c r="P28" s="193" t="s">
        <v>3679</v>
      </c>
      <c r="Q28" s="193" t="s">
        <v>718</v>
      </c>
      <c r="R28" s="41" t="s">
        <v>1549</v>
      </c>
      <c r="S28" s="41" t="s">
        <v>262</v>
      </c>
      <c r="T28" s="41" t="s">
        <v>70</v>
      </c>
      <c r="U28" s="192" t="s">
        <v>4412</v>
      </c>
      <c r="V28" s="192" t="s">
        <v>4417</v>
      </c>
      <c r="W28" s="192"/>
      <c r="X28" s="192"/>
      <c r="Y28" s="16">
        <v>234</v>
      </c>
      <c r="Z28" s="16"/>
      <c r="AA28" s="16"/>
      <c r="AB28" s="16"/>
      <c r="AC28" s="16"/>
      <c r="AD28" s="16"/>
      <c r="AE28" s="16"/>
      <c r="AF28" s="16">
        <v>6</v>
      </c>
      <c r="AG28" s="16"/>
      <c r="AH28" s="193"/>
      <c r="AI28" s="193"/>
      <c r="AJ28" s="25"/>
      <c r="AK28" s="192"/>
      <c r="AL28" s="16" t="s">
        <v>160</v>
      </c>
      <c r="AM28" s="16" t="s">
        <v>165</v>
      </c>
      <c r="AN28" s="193" t="s">
        <v>4378</v>
      </c>
      <c r="AO28" s="193" t="s">
        <v>114</v>
      </c>
      <c r="AP28" s="193" t="s">
        <v>115</v>
      </c>
      <c r="AQ28" s="193" t="s">
        <v>148</v>
      </c>
      <c r="AR28" s="12">
        <f t="shared" si="1"/>
        <v>17</v>
      </c>
      <c r="AS28" s="12" t="str">
        <f t="shared" si="2"/>
        <v/>
      </c>
      <c r="AT28" s="195" t="s">
        <v>4418</v>
      </c>
    </row>
    <row r="29" spans="1:46" s="19" customFormat="1" ht="20.100000000000001" hidden="1" customHeight="1" x14ac:dyDescent="0.2">
      <c r="A29" s="222">
        <v>22</v>
      </c>
      <c r="B29" s="16" t="s">
        <v>4419</v>
      </c>
      <c r="C29" s="16" t="s">
        <v>64</v>
      </c>
      <c r="D29" s="193" t="s">
        <v>2680</v>
      </c>
      <c r="E29" s="193" t="s">
        <v>20</v>
      </c>
      <c r="F29" s="193"/>
      <c r="G29" s="193"/>
      <c r="H29" s="192" t="s">
        <v>7</v>
      </c>
      <c r="I29" s="16" t="s">
        <v>84</v>
      </c>
      <c r="J29" s="35" t="s">
        <v>155</v>
      </c>
      <c r="K29" s="35" t="s">
        <v>104</v>
      </c>
      <c r="L29" s="193" t="s">
        <v>5074</v>
      </c>
      <c r="M29" s="193" t="s">
        <v>106</v>
      </c>
      <c r="N29" s="192" t="s">
        <v>107</v>
      </c>
      <c r="O29" s="35" t="s">
        <v>156</v>
      </c>
      <c r="P29" s="35" t="s">
        <v>2245</v>
      </c>
      <c r="Q29" s="35" t="s">
        <v>2258</v>
      </c>
      <c r="R29" s="193" t="s">
        <v>5075</v>
      </c>
      <c r="S29" s="193" t="s">
        <v>106</v>
      </c>
      <c r="T29" s="193" t="s">
        <v>107</v>
      </c>
      <c r="U29" s="192"/>
      <c r="V29" s="192"/>
      <c r="W29" s="192">
        <v>220</v>
      </c>
      <c r="X29" s="192">
        <v>210</v>
      </c>
      <c r="Y29" s="16">
        <v>210</v>
      </c>
      <c r="Z29" s="16" t="s">
        <v>4420</v>
      </c>
      <c r="AA29" s="16">
        <v>184</v>
      </c>
      <c r="AB29" s="16">
        <v>2</v>
      </c>
      <c r="AC29" s="16">
        <v>43</v>
      </c>
      <c r="AD29" s="16">
        <v>229</v>
      </c>
      <c r="AE29" s="16">
        <v>12.5</v>
      </c>
      <c r="AF29" s="16">
        <v>6</v>
      </c>
      <c r="AG29" s="162" t="s">
        <v>4425</v>
      </c>
      <c r="AH29" s="33" t="s">
        <v>158</v>
      </c>
      <c r="AI29" s="193"/>
      <c r="AJ29" s="25"/>
      <c r="AK29" s="192"/>
      <c r="AL29" s="16" t="s">
        <v>160</v>
      </c>
      <c r="AM29" s="16" t="s">
        <v>165</v>
      </c>
      <c r="AN29" s="193"/>
      <c r="AO29" s="193"/>
      <c r="AP29" s="193"/>
      <c r="AQ29" s="193"/>
      <c r="AR29" s="12" t="str">
        <f t="shared" si="1"/>
        <v/>
      </c>
      <c r="AS29" s="12" t="str">
        <f t="shared" si="2"/>
        <v/>
      </c>
      <c r="AT29" s="18" t="s">
        <v>4424</v>
      </c>
    </row>
    <row r="30" spans="1:46" s="19" customFormat="1" ht="20.100000000000001" hidden="1" customHeight="1" x14ac:dyDescent="0.2">
      <c r="A30" s="222">
        <v>23</v>
      </c>
      <c r="B30" s="16" t="s">
        <v>4419</v>
      </c>
      <c r="C30" s="16" t="s">
        <v>64</v>
      </c>
      <c r="D30" s="193" t="s">
        <v>1401</v>
      </c>
      <c r="E30" s="193" t="s">
        <v>10</v>
      </c>
      <c r="F30" s="193"/>
      <c r="G30" s="193"/>
      <c r="H30" s="192" t="s">
        <v>7</v>
      </c>
      <c r="I30" s="16" t="s">
        <v>92</v>
      </c>
      <c r="J30" s="35" t="s">
        <v>68</v>
      </c>
      <c r="K30" s="35" t="s">
        <v>117</v>
      </c>
      <c r="L30" s="193" t="s">
        <v>4421</v>
      </c>
      <c r="M30" s="193" t="s">
        <v>69</v>
      </c>
      <c r="N30" s="192" t="s">
        <v>70</v>
      </c>
      <c r="O30" s="35" t="s">
        <v>263</v>
      </c>
      <c r="P30" s="35" t="s">
        <v>2961</v>
      </c>
      <c r="Q30" s="35" t="s">
        <v>1581</v>
      </c>
      <c r="R30" s="193" t="s">
        <v>4422</v>
      </c>
      <c r="S30" s="193" t="s">
        <v>106</v>
      </c>
      <c r="T30" s="193" t="s">
        <v>107</v>
      </c>
      <c r="U30" s="192"/>
      <c r="V30" s="192"/>
      <c r="W30" s="192">
        <v>225</v>
      </c>
      <c r="X30" s="33">
        <v>216</v>
      </c>
      <c r="Y30" s="34">
        <v>210</v>
      </c>
      <c r="Z30" s="16">
        <v>98</v>
      </c>
      <c r="AA30" s="16">
        <v>179</v>
      </c>
      <c r="AB30" s="16">
        <v>2</v>
      </c>
      <c r="AC30" s="16">
        <v>60</v>
      </c>
      <c r="AD30" s="16">
        <v>241</v>
      </c>
      <c r="AE30" s="16">
        <v>9</v>
      </c>
      <c r="AF30" s="16">
        <v>6</v>
      </c>
      <c r="AG30" s="162" t="s">
        <v>4426</v>
      </c>
      <c r="AH30" s="33" t="s">
        <v>158</v>
      </c>
      <c r="AI30" s="193"/>
      <c r="AJ30" s="193"/>
      <c r="AK30" s="192"/>
      <c r="AL30" s="16" t="s">
        <v>160</v>
      </c>
      <c r="AM30" s="16" t="s">
        <v>161</v>
      </c>
      <c r="AN30" s="193"/>
      <c r="AO30" s="193"/>
      <c r="AP30" s="193"/>
      <c r="AQ30" s="193"/>
      <c r="AR30" s="12" t="str">
        <f t="shared" si="1"/>
        <v/>
      </c>
      <c r="AS30" s="12" t="str">
        <f t="shared" si="2"/>
        <v/>
      </c>
      <c r="AT30" s="18" t="s">
        <v>4423</v>
      </c>
    </row>
    <row r="31" spans="1:46" s="19" customFormat="1" ht="20.100000000000001" hidden="1" customHeight="1" x14ac:dyDescent="0.2">
      <c r="A31" s="222">
        <v>24</v>
      </c>
      <c r="B31" s="16" t="s">
        <v>4430</v>
      </c>
      <c r="C31" s="16" t="s">
        <v>64</v>
      </c>
      <c r="D31" s="193" t="s">
        <v>4429</v>
      </c>
      <c r="E31" s="193" t="s">
        <v>243</v>
      </c>
      <c r="F31" s="193" t="s">
        <v>3661</v>
      </c>
      <c r="G31" s="193"/>
      <c r="H31" s="192" t="s">
        <v>83</v>
      </c>
      <c r="I31" s="16" t="s">
        <v>92</v>
      </c>
      <c r="J31" s="193"/>
      <c r="K31" s="193" t="s">
        <v>155</v>
      </c>
      <c r="L31" s="193" t="s">
        <v>409</v>
      </c>
      <c r="M31" s="193" t="s">
        <v>106</v>
      </c>
      <c r="N31" s="192" t="s">
        <v>107</v>
      </c>
      <c r="O31" s="193"/>
      <c r="P31" s="193" t="s">
        <v>3679</v>
      </c>
      <c r="Q31" s="193" t="s">
        <v>718</v>
      </c>
      <c r="R31" s="193" t="s">
        <v>410</v>
      </c>
      <c r="S31" s="193" t="s">
        <v>106</v>
      </c>
      <c r="T31" s="193" t="s">
        <v>107</v>
      </c>
      <c r="U31" s="192"/>
      <c r="V31" s="192" t="s">
        <v>4417</v>
      </c>
      <c r="W31" s="192"/>
      <c r="X31" s="192"/>
      <c r="Y31" s="16">
        <v>225</v>
      </c>
      <c r="Z31" s="16"/>
      <c r="AA31" s="16"/>
      <c r="AB31" s="16"/>
      <c r="AC31" s="16"/>
      <c r="AD31" s="16"/>
      <c r="AE31" s="16"/>
      <c r="AF31" s="16">
        <v>6</v>
      </c>
      <c r="AG31" s="16"/>
      <c r="AH31" s="193"/>
      <c r="AI31" s="193"/>
      <c r="AJ31" s="193"/>
      <c r="AK31" s="192"/>
      <c r="AL31" s="16" t="s">
        <v>160</v>
      </c>
      <c r="AM31" s="16" t="s">
        <v>165</v>
      </c>
      <c r="AN31" s="193" t="s">
        <v>4378</v>
      </c>
      <c r="AO31" s="193" t="s">
        <v>296</v>
      </c>
      <c r="AP31" s="193" t="s">
        <v>113</v>
      </c>
      <c r="AQ31" s="193" t="s">
        <v>296</v>
      </c>
      <c r="AR31" s="12">
        <f t="shared" si="1"/>
        <v>12</v>
      </c>
      <c r="AS31" s="12">
        <f t="shared" si="2"/>
        <v>12</v>
      </c>
      <c r="AT31" s="18"/>
    </row>
    <row r="32" spans="1:46" s="21" customFormat="1" ht="20.100000000000001" hidden="1" customHeight="1" x14ac:dyDescent="0.2">
      <c r="A32" s="222">
        <v>25</v>
      </c>
      <c r="B32" s="29" t="s">
        <v>4431</v>
      </c>
      <c r="C32" s="29" t="s">
        <v>288</v>
      </c>
      <c r="D32" s="30" t="s">
        <v>1537</v>
      </c>
      <c r="E32" s="30" t="s">
        <v>10</v>
      </c>
      <c r="F32" s="30" t="s">
        <v>174</v>
      </c>
      <c r="G32" s="30"/>
      <c r="H32" s="20" t="s">
        <v>83</v>
      </c>
      <c r="I32" s="29" t="s">
        <v>92</v>
      </c>
      <c r="J32" s="30"/>
      <c r="K32" s="30" t="s">
        <v>141</v>
      </c>
      <c r="L32" s="30" t="s">
        <v>3635</v>
      </c>
      <c r="M32" s="30" t="s">
        <v>142</v>
      </c>
      <c r="N32" s="20" t="s">
        <v>70</v>
      </c>
      <c r="O32" s="30"/>
      <c r="P32" s="30" t="s">
        <v>2961</v>
      </c>
      <c r="Q32" s="30" t="s">
        <v>2348</v>
      </c>
      <c r="R32" s="30" t="s">
        <v>3636</v>
      </c>
      <c r="S32" s="30" t="s">
        <v>73</v>
      </c>
      <c r="T32" s="30" t="s">
        <v>70</v>
      </c>
      <c r="U32" s="20"/>
      <c r="V32" s="20" t="s">
        <v>4417</v>
      </c>
      <c r="W32" s="20"/>
      <c r="X32" s="20"/>
      <c r="Y32" s="29">
        <v>186</v>
      </c>
      <c r="Z32" s="29"/>
      <c r="AA32" s="29"/>
      <c r="AB32" s="29"/>
      <c r="AC32" s="29"/>
      <c r="AD32" s="29"/>
      <c r="AE32" s="29"/>
      <c r="AF32" s="29">
        <v>6</v>
      </c>
      <c r="AG32" s="29"/>
      <c r="AH32" s="20"/>
      <c r="AI32" s="30"/>
      <c r="AJ32" s="36"/>
      <c r="AK32" s="20"/>
      <c r="AL32" s="29" t="s">
        <v>111</v>
      </c>
      <c r="AM32" s="29" t="s">
        <v>231</v>
      </c>
      <c r="AN32" s="30" t="s">
        <v>4378</v>
      </c>
      <c r="AO32" s="30" t="s">
        <v>296</v>
      </c>
      <c r="AP32" s="30" t="s">
        <v>113</v>
      </c>
      <c r="AQ32" s="30" t="s">
        <v>1247</v>
      </c>
      <c r="AR32" s="12">
        <f t="shared" si="1"/>
        <v>9</v>
      </c>
      <c r="AS32" s="12">
        <f t="shared" si="2"/>
        <v>9</v>
      </c>
      <c r="AT32" s="32" t="s">
        <v>4443</v>
      </c>
    </row>
    <row r="33" spans="1:46" s="19" customFormat="1" ht="21.75" hidden="1" x14ac:dyDescent="0.2">
      <c r="A33" s="222">
        <v>26</v>
      </c>
      <c r="B33" s="16" t="s">
        <v>4433</v>
      </c>
      <c r="C33" s="16" t="s">
        <v>288</v>
      </c>
      <c r="D33" s="193" t="s">
        <v>731</v>
      </c>
      <c r="E33" s="193" t="s">
        <v>19</v>
      </c>
      <c r="F33" s="193" t="s">
        <v>4038</v>
      </c>
      <c r="G33" s="193"/>
      <c r="H33" s="192" t="s">
        <v>83</v>
      </c>
      <c r="I33" s="16" t="s">
        <v>92</v>
      </c>
      <c r="J33" s="193"/>
      <c r="K33" s="206" t="s">
        <v>104</v>
      </c>
      <c r="L33" s="41" t="s">
        <v>606</v>
      </c>
      <c r="M33" s="41" t="s">
        <v>369</v>
      </c>
      <c r="N33" s="13" t="s">
        <v>369</v>
      </c>
      <c r="O33" s="193"/>
      <c r="P33" s="193" t="s">
        <v>3679</v>
      </c>
      <c r="Q33" s="193" t="s">
        <v>465</v>
      </c>
      <c r="R33" s="41" t="s">
        <v>737</v>
      </c>
      <c r="S33" s="41" t="s">
        <v>106</v>
      </c>
      <c r="T33" s="41" t="s">
        <v>107</v>
      </c>
      <c r="U33" s="192"/>
      <c r="V33" s="192"/>
      <c r="W33" s="192"/>
      <c r="X33" s="192"/>
      <c r="Y33" s="16">
        <v>150</v>
      </c>
      <c r="Z33" s="16"/>
      <c r="AA33" s="16"/>
      <c r="AB33" s="16"/>
      <c r="AC33" s="16"/>
      <c r="AD33" s="16"/>
      <c r="AE33" s="16"/>
      <c r="AF33" s="16">
        <v>6</v>
      </c>
      <c r="AG33" s="16"/>
      <c r="AH33" s="193"/>
      <c r="AI33" s="193"/>
      <c r="AJ33" s="193"/>
      <c r="AK33" s="192"/>
      <c r="AL33" s="16" t="s">
        <v>111</v>
      </c>
      <c r="AM33" s="16"/>
      <c r="AN33" s="193" t="s">
        <v>4378</v>
      </c>
      <c r="AO33" s="193" t="s">
        <v>296</v>
      </c>
      <c r="AP33" s="193" t="s">
        <v>115</v>
      </c>
      <c r="AQ33" s="193" t="s">
        <v>235</v>
      </c>
      <c r="AR33" s="12">
        <f t="shared" si="1"/>
        <v>23</v>
      </c>
      <c r="AS33" s="12" t="str">
        <f t="shared" si="2"/>
        <v/>
      </c>
      <c r="AT33" s="18"/>
    </row>
    <row r="34" spans="1:46" s="19" customFormat="1" ht="20.100000000000001" hidden="1" customHeight="1" x14ac:dyDescent="0.2">
      <c r="A34" s="222">
        <v>27</v>
      </c>
      <c r="B34" s="16" t="s">
        <v>4434</v>
      </c>
      <c r="C34" s="16" t="s">
        <v>288</v>
      </c>
      <c r="D34" s="193" t="s">
        <v>1543</v>
      </c>
      <c r="E34" s="193" t="s">
        <v>6</v>
      </c>
      <c r="F34" s="193" t="s">
        <v>4038</v>
      </c>
      <c r="G34" s="193"/>
      <c r="H34" s="192" t="s">
        <v>83</v>
      </c>
      <c r="I34" s="16" t="s">
        <v>93</v>
      </c>
      <c r="J34" s="193"/>
      <c r="K34" s="41" t="s">
        <v>155</v>
      </c>
      <c r="L34" s="41" t="s">
        <v>1574</v>
      </c>
      <c r="M34" s="41" t="s">
        <v>106</v>
      </c>
      <c r="N34" s="13" t="s">
        <v>107</v>
      </c>
      <c r="O34" s="193"/>
      <c r="P34" s="193" t="s">
        <v>3679</v>
      </c>
      <c r="Q34" s="193" t="s">
        <v>718</v>
      </c>
      <c r="R34" s="41" t="s">
        <v>1575</v>
      </c>
      <c r="S34" s="41" t="s">
        <v>106</v>
      </c>
      <c r="T34" s="41" t="s">
        <v>107</v>
      </c>
      <c r="U34" s="192"/>
      <c r="V34" s="192" t="s">
        <v>4416</v>
      </c>
      <c r="W34" s="192"/>
      <c r="X34" s="192"/>
      <c r="Y34" s="16">
        <v>162</v>
      </c>
      <c r="Z34" s="16"/>
      <c r="AA34" s="16"/>
      <c r="AB34" s="16"/>
      <c r="AC34" s="16"/>
      <c r="AD34" s="16"/>
      <c r="AE34" s="16"/>
      <c r="AF34" s="16">
        <v>6</v>
      </c>
      <c r="AG34" s="16"/>
      <c r="AH34" s="192"/>
      <c r="AI34" s="193"/>
      <c r="AJ34" s="25"/>
      <c r="AK34" s="192"/>
      <c r="AL34" s="16" t="s">
        <v>111</v>
      </c>
      <c r="AM34" s="16"/>
      <c r="AN34" s="193" t="s">
        <v>4378</v>
      </c>
      <c r="AO34" s="193" t="s">
        <v>296</v>
      </c>
      <c r="AP34" s="193" t="s">
        <v>115</v>
      </c>
      <c r="AQ34" s="193" t="s">
        <v>266</v>
      </c>
      <c r="AR34" s="12">
        <f t="shared" si="1"/>
        <v>17</v>
      </c>
      <c r="AS34" s="12" t="str">
        <f t="shared" si="2"/>
        <v/>
      </c>
      <c r="AT34" s="18" t="s">
        <v>4442</v>
      </c>
    </row>
    <row r="35" spans="1:46" s="19" customFormat="1" ht="20.100000000000001" hidden="1" customHeight="1" x14ac:dyDescent="0.2">
      <c r="A35" s="222">
        <v>28</v>
      </c>
      <c r="B35" s="16" t="s">
        <v>4434</v>
      </c>
      <c r="C35" s="16" t="s">
        <v>288</v>
      </c>
      <c r="D35" s="193" t="s">
        <v>3699</v>
      </c>
      <c r="E35" s="193" t="s">
        <v>19</v>
      </c>
      <c r="F35" s="193"/>
      <c r="G35" s="193"/>
      <c r="H35" s="192" t="s">
        <v>7</v>
      </c>
      <c r="I35" s="16" t="s">
        <v>92</v>
      </c>
      <c r="J35" s="193" t="s">
        <v>104</v>
      </c>
      <c r="K35" s="193" t="s">
        <v>104</v>
      </c>
      <c r="L35" s="205" t="s">
        <v>4335</v>
      </c>
      <c r="M35" s="205" t="s">
        <v>106</v>
      </c>
      <c r="N35" s="204" t="s">
        <v>107</v>
      </c>
      <c r="O35" s="35" t="s">
        <v>131</v>
      </c>
      <c r="P35" s="35" t="s">
        <v>2245</v>
      </c>
      <c r="Q35" s="35" t="s">
        <v>769</v>
      </c>
      <c r="R35" s="193" t="s">
        <v>4444</v>
      </c>
      <c r="S35" s="193" t="s">
        <v>142</v>
      </c>
      <c r="T35" s="193" t="s">
        <v>70</v>
      </c>
      <c r="U35" s="192"/>
      <c r="V35" s="192"/>
      <c r="W35" s="192">
        <v>192</v>
      </c>
      <c r="X35" s="192">
        <v>186</v>
      </c>
      <c r="Y35" s="16">
        <v>186</v>
      </c>
      <c r="Z35" s="16">
        <v>86</v>
      </c>
      <c r="AA35" s="16">
        <v>150</v>
      </c>
      <c r="AB35" s="16">
        <v>2</v>
      </c>
      <c r="AC35" s="16">
        <v>40</v>
      </c>
      <c r="AD35" s="16">
        <v>225</v>
      </c>
      <c r="AE35" s="16">
        <v>15</v>
      </c>
      <c r="AF35" s="16">
        <v>6</v>
      </c>
      <c r="AG35" s="16"/>
      <c r="AH35" s="33" t="s">
        <v>158</v>
      </c>
      <c r="AI35" s="193"/>
      <c r="AJ35" s="25"/>
      <c r="AK35" s="192"/>
      <c r="AL35" s="16" t="s">
        <v>111</v>
      </c>
      <c r="AM35" s="16" t="s">
        <v>112</v>
      </c>
      <c r="AN35" s="193"/>
      <c r="AO35" s="193"/>
      <c r="AP35" s="193"/>
      <c r="AQ35" s="193"/>
      <c r="AR35" s="12" t="str">
        <f t="shared" si="1"/>
        <v/>
      </c>
      <c r="AS35" s="12" t="str">
        <f t="shared" si="2"/>
        <v/>
      </c>
      <c r="AT35" s="18"/>
    </row>
    <row r="36" spans="1:46" s="21" customFormat="1" ht="20.100000000000001" hidden="1" customHeight="1" x14ac:dyDescent="0.2">
      <c r="A36" s="222">
        <v>29</v>
      </c>
      <c r="B36" s="29" t="s">
        <v>4435</v>
      </c>
      <c r="C36" s="29" t="s">
        <v>288</v>
      </c>
      <c r="D36" s="30" t="s">
        <v>3336</v>
      </c>
      <c r="E36" s="30" t="s">
        <v>10</v>
      </c>
      <c r="F36" s="30" t="s">
        <v>4589</v>
      </c>
      <c r="G36" s="30"/>
      <c r="H36" s="20" t="s">
        <v>83</v>
      </c>
      <c r="I36" s="29" t="s">
        <v>92</v>
      </c>
      <c r="J36" s="30"/>
      <c r="K36" s="30" t="s">
        <v>140</v>
      </c>
      <c r="L36" s="30" t="s">
        <v>3345</v>
      </c>
      <c r="M36" s="30" t="s">
        <v>106</v>
      </c>
      <c r="N36" s="20" t="s">
        <v>107</v>
      </c>
      <c r="O36" s="30"/>
      <c r="P36" s="30" t="s">
        <v>2245</v>
      </c>
      <c r="Q36" s="30" t="s">
        <v>116</v>
      </c>
      <c r="R36" s="30" t="s">
        <v>3346</v>
      </c>
      <c r="S36" s="30" t="s">
        <v>106</v>
      </c>
      <c r="T36" s="30" t="s">
        <v>107</v>
      </c>
      <c r="U36" s="20"/>
      <c r="V36" s="20"/>
      <c r="W36" s="20"/>
      <c r="X36" s="20"/>
      <c r="Y36" s="29">
        <v>180</v>
      </c>
      <c r="Z36" s="29"/>
      <c r="AA36" s="29"/>
      <c r="AB36" s="29"/>
      <c r="AC36" s="29"/>
      <c r="AD36" s="29"/>
      <c r="AE36" s="29"/>
      <c r="AF36" s="29">
        <v>6</v>
      </c>
      <c r="AG36" s="29"/>
      <c r="AH36" s="30"/>
      <c r="AI36" s="30"/>
      <c r="AJ36" s="36"/>
      <c r="AK36" s="20"/>
      <c r="AL36" s="29" t="s">
        <v>111</v>
      </c>
      <c r="AM36" s="29"/>
      <c r="AN36" s="30" t="s">
        <v>4378</v>
      </c>
      <c r="AO36" s="30" t="s">
        <v>296</v>
      </c>
      <c r="AP36" s="30" t="s">
        <v>113</v>
      </c>
      <c r="AQ36" s="30" t="s">
        <v>235</v>
      </c>
      <c r="AR36" s="12">
        <f t="shared" si="1"/>
        <v>11</v>
      </c>
      <c r="AS36" s="12">
        <f t="shared" si="2"/>
        <v>11</v>
      </c>
      <c r="AT36" s="32" t="s">
        <v>4441</v>
      </c>
    </row>
    <row r="37" spans="1:46" s="21" customFormat="1" ht="20.100000000000001" hidden="1" customHeight="1" x14ac:dyDescent="0.2">
      <c r="A37" s="222">
        <v>30</v>
      </c>
      <c r="B37" s="29" t="s">
        <v>4436</v>
      </c>
      <c r="C37" s="29" t="s">
        <v>288</v>
      </c>
      <c r="D37" s="30" t="s">
        <v>4437</v>
      </c>
      <c r="E37" s="30" t="s">
        <v>6</v>
      </c>
      <c r="F37" s="30" t="s">
        <v>185</v>
      </c>
      <c r="G37" s="30"/>
      <c r="H37" s="20" t="s">
        <v>83</v>
      </c>
      <c r="I37" s="29" t="s">
        <v>92</v>
      </c>
      <c r="J37" s="30"/>
      <c r="K37" s="30" t="s">
        <v>155</v>
      </c>
      <c r="L37" s="30" t="s">
        <v>1791</v>
      </c>
      <c r="M37" s="30" t="s">
        <v>106</v>
      </c>
      <c r="N37" s="20" t="s">
        <v>107</v>
      </c>
      <c r="O37" s="30"/>
      <c r="P37" s="30" t="s">
        <v>3679</v>
      </c>
      <c r="Q37" s="30" t="s">
        <v>718</v>
      </c>
      <c r="R37" s="30" t="s">
        <v>3632</v>
      </c>
      <c r="S37" s="30" t="s">
        <v>106</v>
      </c>
      <c r="T37" s="30" t="s">
        <v>107</v>
      </c>
      <c r="U37" s="20"/>
      <c r="V37" s="20" t="s">
        <v>4416</v>
      </c>
      <c r="W37" s="20"/>
      <c r="X37" s="20"/>
      <c r="Y37" s="29">
        <v>189</v>
      </c>
      <c r="Z37" s="29"/>
      <c r="AA37" s="29"/>
      <c r="AB37" s="29"/>
      <c r="AC37" s="29"/>
      <c r="AD37" s="29"/>
      <c r="AE37" s="29"/>
      <c r="AF37" s="29">
        <v>6</v>
      </c>
      <c r="AG37" s="29"/>
      <c r="AH37" s="30"/>
      <c r="AI37" s="30"/>
      <c r="AJ37" s="30"/>
      <c r="AK37" s="20"/>
      <c r="AL37" s="29" t="s">
        <v>160</v>
      </c>
      <c r="AM37" s="29" t="s">
        <v>193</v>
      </c>
      <c r="AN37" s="30" t="s">
        <v>4378</v>
      </c>
      <c r="AO37" s="30" t="s">
        <v>296</v>
      </c>
      <c r="AP37" s="30" t="s">
        <v>113</v>
      </c>
      <c r="AQ37" s="30" t="s">
        <v>1247</v>
      </c>
      <c r="AR37" s="12">
        <f t="shared" si="1"/>
        <v>9</v>
      </c>
      <c r="AS37" s="12">
        <f t="shared" si="2"/>
        <v>9</v>
      </c>
      <c r="AT37" s="32" t="s">
        <v>4440</v>
      </c>
    </row>
    <row r="38" spans="1:46" s="19" customFormat="1" ht="20.100000000000001" hidden="1" customHeight="1" x14ac:dyDescent="0.2">
      <c r="A38" s="246">
        <v>31</v>
      </c>
      <c r="B38" s="16" t="s">
        <v>4436</v>
      </c>
      <c r="C38" s="16" t="s">
        <v>288</v>
      </c>
      <c r="D38" s="193" t="s">
        <v>4438</v>
      </c>
      <c r="E38" s="193" t="s">
        <v>6</v>
      </c>
      <c r="F38" s="193" t="s">
        <v>202</v>
      </c>
      <c r="G38" s="193"/>
      <c r="H38" s="192" t="s">
        <v>83</v>
      </c>
      <c r="I38" s="16" t="s">
        <v>93</v>
      </c>
      <c r="J38" s="193"/>
      <c r="K38" s="193"/>
      <c r="L38" s="193"/>
      <c r="M38" s="193"/>
      <c r="N38" s="192"/>
      <c r="O38" s="193"/>
      <c r="P38" s="193"/>
      <c r="Q38" s="193"/>
      <c r="R38" s="193"/>
      <c r="S38" s="193"/>
      <c r="T38" s="193"/>
      <c r="U38" s="192"/>
      <c r="V38" s="192"/>
      <c r="W38" s="192"/>
      <c r="X38" s="192"/>
      <c r="Y38" s="16"/>
      <c r="Z38" s="16"/>
      <c r="AA38" s="16"/>
      <c r="AB38" s="16"/>
      <c r="AC38" s="16"/>
      <c r="AD38" s="16"/>
      <c r="AE38" s="16"/>
      <c r="AF38" s="16"/>
      <c r="AG38" s="16"/>
      <c r="AH38" s="192"/>
      <c r="AI38" s="193"/>
      <c r="AJ38" s="193"/>
      <c r="AK38" s="192"/>
      <c r="AL38" s="16" t="s">
        <v>2155</v>
      </c>
      <c r="AM38" s="16"/>
      <c r="AN38" s="193"/>
      <c r="AO38" s="193"/>
      <c r="AP38" s="193"/>
      <c r="AQ38" s="193"/>
      <c r="AR38" s="12" t="str">
        <f t="shared" si="1"/>
        <v/>
      </c>
      <c r="AS38" s="12" t="str">
        <f t="shared" si="2"/>
        <v/>
      </c>
      <c r="AT38" s="18" t="s">
        <v>4439</v>
      </c>
    </row>
    <row r="39" spans="1:46" s="21" customFormat="1" ht="31.5" hidden="1" x14ac:dyDescent="0.2">
      <c r="A39" s="222">
        <v>32</v>
      </c>
      <c r="B39" s="29" t="s">
        <v>4445</v>
      </c>
      <c r="C39" s="29" t="s">
        <v>288</v>
      </c>
      <c r="D39" s="30" t="s">
        <v>4212</v>
      </c>
      <c r="E39" s="30" t="s">
        <v>243</v>
      </c>
      <c r="F39" s="30" t="s">
        <v>4038</v>
      </c>
      <c r="G39" s="30"/>
      <c r="H39" s="20" t="s">
        <v>83</v>
      </c>
      <c r="I39" s="29" t="s">
        <v>92</v>
      </c>
      <c r="J39" s="30"/>
      <c r="K39" s="30" t="s">
        <v>140</v>
      </c>
      <c r="L39" s="30" t="s">
        <v>4271</v>
      </c>
      <c r="M39" s="30" t="s">
        <v>106</v>
      </c>
      <c r="N39" s="20" t="s">
        <v>107</v>
      </c>
      <c r="O39" s="30"/>
      <c r="P39" s="30" t="s">
        <v>2961</v>
      </c>
      <c r="Q39" s="30" t="s">
        <v>144</v>
      </c>
      <c r="R39" s="30" t="s">
        <v>4272</v>
      </c>
      <c r="S39" s="30" t="s">
        <v>73</v>
      </c>
      <c r="T39" s="30" t="s">
        <v>70</v>
      </c>
      <c r="U39" s="20"/>
      <c r="V39" s="20" t="s">
        <v>4416</v>
      </c>
      <c r="W39" s="20"/>
      <c r="X39" s="20"/>
      <c r="Y39" s="29">
        <v>180</v>
      </c>
      <c r="Z39" s="29"/>
      <c r="AA39" s="29"/>
      <c r="AB39" s="29"/>
      <c r="AC39" s="29"/>
      <c r="AD39" s="29"/>
      <c r="AE39" s="29"/>
      <c r="AF39" s="29">
        <v>6</v>
      </c>
      <c r="AG39" s="29"/>
      <c r="AH39" s="30"/>
      <c r="AI39" s="30"/>
      <c r="AJ39" s="30"/>
      <c r="AK39" s="20"/>
      <c r="AL39" s="29" t="s">
        <v>111</v>
      </c>
      <c r="AM39" s="29" t="s">
        <v>112</v>
      </c>
      <c r="AN39" s="30" t="s">
        <v>4378</v>
      </c>
      <c r="AO39" s="30" t="s">
        <v>296</v>
      </c>
      <c r="AP39" s="30" t="s">
        <v>113</v>
      </c>
      <c r="AQ39" s="30" t="s">
        <v>116</v>
      </c>
      <c r="AR39" s="12">
        <f t="shared" si="1"/>
        <v>3</v>
      </c>
      <c r="AS39" s="12">
        <f t="shared" si="2"/>
        <v>3</v>
      </c>
      <c r="AT39" s="32" t="s">
        <v>4446</v>
      </c>
    </row>
    <row r="40" spans="1:46" s="19" customFormat="1" ht="20.100000000000001" hidden="1" customHeight="1" x14ac:dyDescent="0.2">
      <c r="A40" s="222">
        <v>33</v>
      </c>
      <c r="B40" s="16" t="s">
        <v>4447</v>
      </c>
      <c r="C40" s="16" t="s">
        <v>288</v>
      </c>
      <c r="D40" s="193" t="s">
        <v>433</v>
      </c>
      <c r="E40" s="193" t="s">
        <v>243</v>
      </c>
      <c r="F40" s="193"/>
      <c r="G40" s="193"/>
      <c r="H40" s="192" t="s">
        <v>7</v>
      </c>
      <c r="I40" s="16" t="s">
        <v>93</v>
      </c>
      <c r="J40" s="35" t="s">
        <v>104</v>
      </c>
      <c r="K40" s="35" t="s">
        <v>68</v>
      </c>
      <c r="L40" s="193" t="s">
        <v>4452</v>
      </c>
      <c r="M40" s="193" t="s">
        <v>106</v>
      </c>
      <c r="N40" s="192" t="s">
        <v>107</v>
      </c>
      <c r="O40" s="193" t="s">
        <v>108</v>
      </c>
      <c r="P40" s="193" t="s">
        <v>3679</v>
      </c>
      <c r="Q40" s="193" t="s">
        <v>555</v>
      </c>
      <c r="R40" s="193" t="s">
        <v>4453</v>
      </c>
      <c r="S40" s="193" t="s">
        <v>106</v>
      </c>
      <c r="T40" s="193" t="s">
        <v>107</v>
      </c>
      <c r="U40" s="192"/>
      <c r="V40" s="192"/>
      <c r="W40" s="192">
        <v>195</v>
      </c>
      <c r="X40" s="33">
        <v>189</v>
      </c>
      <c r="Y40" s="34">
        <v>186</v>
      </c>
      <c r="Z40" s="16">
        <v>57</v>
      </c>
      <c r="AA40" s="16">
        <v>85</v>
      </c>
      <c r="AB40" s="16">
        <v>3</v>
      </c>
      <c r="AC40" s="16">
        <v>55</v>
      </c>
      <c r="AD40" s="16">
        <v>143</v>
      </c>
      <c r="AE40" s="16">
        <v>25</v>
      </c>
      <c r="AF40" s="16">
        <v>6</v>
      </c>
      <c r="AG40" s="16"/>
      <c r="AH40" s="192"/>
      <c r="AI40" s="193"/>
      <c r="AJ40" s="193"/>
      <c r="AK40" s="192"/>
      <c r="AL40" s="16" t="s">
        <v>160</v>
      </c>
      <c r="AM40" s="16" t="s">
        <v>193</v>
      </c>
      <c r="AN40" s="193"/>
      <c r="AO40" s="193"/>
      <c r="AP40" s="193"/>
      <c r="AQ40" s="193"/>
      <c r="AR40" s="12" t="str">
        <f t="shared" si="1"/>
        <v/>
      </c>
      <c r="AS40" s="12" t="str">
        <f t="shared" si="2"/>
        <v/>
      </c>
      <c r="AT40" s="18"/>
    </row>
    <row r="41" spans="1:46" s="19" customFormat="1" ht="20.100000000000001" hidden="1" customHeight="1" x14ac:dyDescent="0.2">
      <c r="A41" s="222">
        <v>34</v>
      </c>
      <c r="B41" s="16" t="s">
        <v>4447</v>
      </c>
      <c r="C41" s="16" t="s">
        <v>288</v>
      </c>
      <c r="D41" s="193" t="s">
        <v>1116</v>
      </c>
      <c r="E41" s="193" t="s">
        <v>8</v>
      </c>
      <c r="F41" s="193" t="s">
        <v>4038</v>
      </c>
      <c r="G41" s="193"/>
      <c r="H41" s="192" t="s">
        <v>83</v>
      </c>
      <c r="I41" s="16" t="s">
        <v>84</v>
      </c>
      <c r="J41" s="193"/>
      <c r="K41" s="193" t="s">
        <v>68</v>
      </c>
      <c r="L41" s="193" t="s">
        <v>906</v>
      </c>
      <c r="M41" s="193" t="s">
        <v>106</v>
      </c>
      <c r="N41" s="192" t="s">
        <v>107</v>
      </c>
      <c r="O41" s="193"/>
      <c r="P41" s="193"/>
      <c r="Q41" s="193"/>
      <c r="R41" s="193"/>
      <c r="S41" s="193"/>
      <c r="T41" s="193"/>
      <c r="U41" s="192" t="s">
        <v>4454</v>
      </c>
      <c r="V41" s="192"/>
      <c r="W41" s="192"/>
      <c r="X41" s="192"/>
      <c r="Y41" s="16"/>
      <c r="Z41" s="16"/>
      <c r="AA41" s="16"/>
      <c r="AB41" s="16"/>
      <c r="AC41" s="16"/>
      <c r="AD41" s="16"/>
      <c r="AE41" s="16"/>
      <c r="AF41" s="16">
        <v>6</v>
      </c>
      <c r="AG41" s="16"/>
      <c r="AH41" s="192"/>
      <c r="AI41" s="193"/>
      <c r="AJ41" s="25"/>
      <c r="AK41" s="192"/>
      <c r="AL41" s="16"/>
      <c r="AM41" s="16"/>
      <c r="AN41" s="193" t="s">
        <v>4378</v>
      </c>
      <c r="AO41" s="193" t="s">
        <v>296</v>
      </c>
      <c r="AP41" s="193" t="s">
        <v>115</v>
      </c>
      <c r="AQ41" s="193" t="s">
        <v>137</v>
      </c>
      <c r="AR41" s="12">
        <f t="shared" si="1"/>
        <v>20</v>
      </c>
      <c r="AS41" s="12" t="str">
        <f t="shared" si="2"/>
        <v/>
      </c>
      <c r="AT41" s="18"/>
    </row>
    <row r="42" spans="1:46" s="21" customFormat="1" ht="20.100000000000001" hidden="1" customHeight="1" x14ac:dyDescent="0.2">
      <c r="A42" s="222">
        <v>35</v>
      </c>
      <c r="B42" s="29" t="s">
        <v>4448</v>
      </c>
      <c r="C42" s="29" t="s">
        <v>288</v>
      </c>
      <c r="D42" s="30" t="s">
        <v>4449</v>
      </c>
      <c r="E42" s="30" t="s">
        <v>20</v>
      </c>
      <c r="F42" s="30" t="s">
        <v>4038</v>
      </c>
      <c r="G42" s="30"/>
      <c r="H42" s="20" t="s">
        <v>83</v>
      </c>
      <c r="I42" s="29" t="s">
        <v>92</v>
      </c>
      <c r="J42" s="30"/>
      <c r="K42" s="30" t="s">
        <v>104</v>
      </c>
      <c r="L42" s="30" t="s">
        <v>3824</v>
      </c>
      <c r="M42" s="30" t="s">
        <v>69</v>
      </c>
      <c r="N42" s="20" t="s">
        <v>70</v>
      </c>
      <c r="O42" s="30"/>
      <c r="P42" s="30" t="s">
        <v>3680</v>
      </c>
      <c r="Q42" s="30" t="s">
        <v>260</v>
      </c>
      <c r="R42" s="30" t="s">
        <v>3825</v>
      </c>
      <c r="S42" s="30" t="s">
        <v>73</v>
      </c>
      <c r="T42" s="30" t="s">
        <v>70</v>
      </c>
      <c r="U42" s="29" t="s">
        <v>3819</v>
      </c>
      <c r="V42" s="20" t="s">
        <v>185</v>
      </c>
      <c r="W42" s="20"/>
      <c r="X42" s="20"/>
      <c r="Y42" s="29">
        <v>201</v>
      </c>
      <c r="Z42" s="29"/>
      <c r="AA42" s="29"/>
      <c r="AB42" s="29"/>
      <c r="AC42" s="29"/>
      <c r="AD42" s="29"/>
      <c r="AE42" s="29"/>
      <c r="AF42" s="29">
        <v>6</v>
      </c>
      <c r="AG42" s="29"/>
      <c r="AH42" s="30"/>
      <c r="AI42" s="30"/>
      <c r="AJ42" s="36"/>
      <c r="AK42" s="20"/>
      <c r="AL42" s="29" t="s">
        <v>160</v>
      </c>
      <c r="AM42" s="29" t="s">
        <v>193</v>
      </c>
      <c r="AN42" s="30" t="s">
        <v>4378</v>
      </c>
      <c r="AO42" s="30" t="s">
        <v>296</v>
      </c>
      <c r="AP42" s="30" t="s">
        <v>113</v>
      </c>
      <c r="AQ42" s="30" t="s">
        <v>137</v>
      </c>
      <c r="AR42" s="12">
        <f t="shared" si="1"/>
        <v>8</v>
      </c>
      <c r="AS42" s="12">
        <f t="shared" si="2"/>
        <v>8</v>
      </c>
      <c r="AT42" s="32" t="s">
        <v>4455</v>
      </c>
    </row>
    <row r="43" spans="1:46" s="19" customFormat="1" ht="20.100000000000001" hidden="1" customHeight="1" x14ac:dyDescent="0.2">
      <c r="A43" s="222">
        <v>36</v>
      </c>
      <c r="B43" s="16" t="s">
        <v>4450</v>
      </c>
      <c r="C43" s="16" t="s">
        <v>288</v>
      </c>
      <c r="D43" s="193" t="s">
        <v>533</v>
      </c>
      <c r="E43" s="193" t="s">
        <v>243</v>
      </c>
      <c r="F43" s="193" t="s">
        <v>4038</v>
      </c>
      <c r="G43" s="193"/>
      <c r="H43" s="192" t="s">
        <v>83</v>
      </c>
      <c r="I43" s="16" t="s">
        <v>92</v>
      </c>
      <c r="J43" s="193"/>
      <c r="K43" s="41" t="s">
        <v>140</v>
      </c>
      <c r="L43" s="41" t="s">
        <v>748</v>
      </c>
      <c r="M43" s="41" t="s">
        <v>69</v>
      </c>
      <c r="N43" s="13" t="s">
        <v>70</v>
      </c>
      <c r="O43" s="193"/>
      <c r="P43" s="193" t="s">
        <v>3677</v>
      </c>
      <c r="Q43" s="193" t="s">
        <v>506</v>
      </c>
      <c r="R43" s="41" t="s">
        <v>749</v>
      </c>
      <c r="S43" s="41" t="s">
        <v>142</v>
      </c>
      <c r="T43" s="41" t="s">
        <v>70</v>
      </c>
      <c r="U43" s="192" t="s">
        <v>4456</v>
      </c>
      <c r="V43" s="192"/>
      <c r="W43" s="192"/>
      <c r="X43" s="192"/>
      <c r="Y43" s="16">
        <v>108</v>
      </c>
      <c r="Z43" s="16"/>
      <c r="AA43" s="16"/>
      <c r="AB43" s="16"/>
      <c r="AC43" s="16"/>
      <c r="AD43" s="16"/>
      <c r="AE43" s="16"/>
      <c r="AF43" s="16">
        <v>6</v>
      </c>
      <c r="AG43" s="16"/>
      <c r="AH43" s="192"/>
      <c r="AI43" s="193"/>
      <c r="AJ43" s="25"/>
      <c r="AK43" s="192"/>
      <c r="AL43" s="16" t="s">
        <v>160</v>
      </c>
      <c r="AM43" s="16" t="s">
        <v>231</v>
      </c>
      <c r="AN43" s="193" t="s">
        <v>4378</v>
      </c>
      <c r="AO43" s="193" t="s">
        <v>296</v>
      </c>
      <c r="AP43" s="193" t="s">
        <v>115</v>
      </c>
      <c r="AQ43" s="193" t="s">
        <v>235</v>
      </c>
      <c r="AR43" s="12">
        <f t="shared" si="1"/>
        <v>23</v>
      </c>
      <c r="AS43" s="12" t="str">
        <f t="shared" si="2"/>
        <v/>
      </c>
      <c r="AT43" s="18"/>
    </row>
    <row r="44" spans="1:46" s="19" customFormat="1" ht="20.100000000000001" hidden="1" customHeight="1" x14ac:dyDescent="0.2">
      <c r="A44" s="222">
        <v>37</v>
      </c>
      <c r="B44" s="16" t="s">
        <v>4451</v>
      </c>
      <c r="C44" s="16" t="s">
        <v>288</v>
      </c>
      <c r="D44" s="193" t="s">
        <v>4212</v>
      </c>
      <c r="E44" s="193" t="s">
        <v>243</v>
      </c>
      <c r="F44" s="193"/>
      <c r="G44" s="193"/>
      <c r="H44" s="192" t="s">
        <v>7</v>
      </c>
      <c r="I44" s="16" t="s">
        <v>92</v>
      </c>
      <c r="J44" s="193" t="s">
        <v>140</v>
      </c>
      <c r="K44" s="193" t="s">
        <v>140</v>
      </c>
      <c r="L44" s="193" t="s">
        <v>4457</v>
      </c>
      <c r="M44" s="193" t="s">
        <v>106</v>
      </c>
      <c r="N44" s="192" t="s">
        <v>107</v>
      </c>
      <c r="O44" s="193" t="s">
        <v>153</v>
      </c>
      <c r="P44" s="193" t="s">
        <v>2961</v>
      </c>
      <c r="Q44" s="193" t="s">
        <v>144</v>
      </c>
      <c r="R44" s="193" t="s">
        <v>4272</v>
      </c>
      <c r="S44" s="193" t="s">
        <v>106</v>
      </c>
      <c r="T44" s="193" t="s">
        <v>107</v>
      </c>
      <c r="U44" s="192"/>
      <c r="V44" s="192"/>
      <c r="W44" s="192">
        <v>193</v>
      </c>
      <c r="X44" s="192">
        <v>180</v>
      </c>
      <c r="Y44" s="16">
        <v>180</v>
      </c>
      <c r="Z44" s="16">
        <v>59</v>
      </c>
      <c r="AA44" s="16">
        <v>143</v>
      </c>
      <c r="AB44" s="16">
        <v>1</v>
      </c>
      <c r="AC44" s="16">
        <v>36</v>
      </c>
      <c r="AD44" s="16">
        <v>180</v>
      </c>
      <c r="AE44" s="16">
        <v>12</v>
      </c>
      <c r="AF44" s="16">
        <v>6</v>
      </c>
      <c r="AG44" s="16"/>
      <c r="AH44" s="193"/>
      <c r="AI44" s="193"/>
      <c r="AJ44" s="25"/>
      <c r="AK44" s="192"/>
      <c r="AL44" s="16" t="s">
        <v>111</v>
      </c>
      <c r="AM44" s="16" t="s">
        <v>112</v>
      </c>
      <c r="AN44" s="193"/>
      <c r="AO44" s="193"/>
      <c r="AP44" s="193"/>
      <c r="AQ44" s="193"/>
      <c r="AR44" s="12" t="str">
        <f t="shared" si="1"/>
        <v/>
      </c>
      <c r="AS44" s="12" t="str">
        <f t="shared" si="2"/>
        <v/>
      </c>
      <c r="AT44" s="18"/>
    </row>
    <row r="45" spans="1:46" s="19" customFormat="1" ht="20.100000000000001" hidden="1" customHeight="1" x14ac:dyDescent="0.2">
      <c r="A45" s="222">
        <v>38</v>
      </c>
      <c r="B45" s="16" t="s">
        <v>4451</v>
      </c>
      <c r="C45" s="16" t="s">
        <v>288</v>
      </c>
      <c r="D45" s="193" t="s">
        <v>1450</v>
      </c>
      <c r="E45" s="193" t="s">
        <v>20</v>
      </c>
      <c r="F45" s="193" t="s">
        <v>186</v>
      </c>
      <c r="G45" s="193"/>
      <c r="H45" s="192" t="s">
        <v>83</v>
      </c>
      <c r="I45" s="16" t="s">
        <v>93</v>
      </c>
      <c r="J45" s="193"/>
      <c r="K45" s="193" t="s">
        <v>141</v>
      </c>
      <c r="L45" s="41" t="s">
        <v>1469</v>
      </c>
      <c r="M45" s="41" t="s">
        <v>106</v>
      </c>
      <c r="N45" s="13" t="s">
        <v>107</v>
      </c>
      <c r="O45" s="193"/>
      <c r="P45" s="193" t="s">
        <v>2961</v>
      </c>
      <c r="Q45" s="193" t="s">
        <v>2258</v>
      </c>
      <c r="R45" s="41" t="s">
        <v>1831</v>
      </c>
      <c r="S45" s="41" t="s">
        <v>73</v>
      </c>
      <c r="T45" s="41" t="s">
        <v>70</v>
      </c>
      <c r="U45" s="192" t="s">
        <v>1838</v>
      </c>
      <c r="V45" s="192"/>
      <c r="W45" s="192"/>
      <c r="X45" s="192"/>
      <c r="Y45" s="16">
        <v>186</v>
      </c>
      <c r="Z45" s="16"/>
      <c r="AA45" s="16"/>
      <c r="AB45" s="16"/>
      <c r="AC45" s="16"/>
      <c r="AD45" s="16"/>
      <c r="AE45" s="16"/>
      <c r="AF45" s="16">
        <v>6</v>
      </c>
      <c r="AG45" s="16"/>
      <c r="AH45" s="192"/>
      <c r="AI45" s="193"/>
      <c r="AJ45" s="25"/>
      <c r="AK45" s="192"/>
      <c r="AL45" s="16" t="s">
        <v>2155</v>
      </c>
      <c r="AM45" s="16"/>
      <c r="AN45" s="193" t="s">
        <v>4378</v>
      </c>
      <c r="AO45" s="193" t="s">
        <v>296</v>
      </c>
      <c r="AP45" s="193" t="s">
        <v>115</v>
      </c>
      <c r="AQ45" s="193" t="s">
        <v>441</v>
      </c>
      <c r="AR45" s="12">
        <f t="shared" si="1"/>
        <v>16</v>
      </c>
      <c r="AS45" s="12" t="str">
        <f t="shared" si="2"/>
        <v/>
      </c>
      <c r="AT45" s="18"/>
    </row>
    <row r="46" spans="1:46" s="19" customFormat="1" ht="20.100000000000001" hidden="1" customHeight="1" x14ac:dyDescent="0.2">
      <c r="A46" s="222">
        <v>39</v>
      </c>
      <c r="B46" s="16" t="s">
        <v>4461</v>
      </c>
      <c r="C46" s="16" t="s">
        <v>288</v>
      </c>
      <c r="D46" s="193" t="s">
        <v>1543</v>
      </c>
      <c r="E46" s="193" t="s">
        <v>6</v>
      </c>
      <c r="F46" s="193"/>
      <c r="G46" s="193"/>
      <c r="H46" s="192" t="s">
        <v>7</v>
      </c>
      <c r="I46" s="16" t="s">
        <v>93</v>
      </c>
      <c r="J46" s="193" t="s">
        <v>155</v>
      </c>
      <c r="K46" s="193" t="s">
        <v>155</v>
      </c>
      <c r="L46" s="193" t="s">
        <v>4466</v>
      </c>
      <c r="M46" s="193" t="s">
        <v>106</v>
      </c>
      <c r="N46" s="192" t="s">
        <v>107</v>
      </c>
      <c r="O46" s="193" t="s">
        <v>324</v>
      </c>
      <c r="P46" s="193" t="s">
        <v>3679</v>
      </c>
      <c r="Q46" s="193" t="s">
        <v>718</v>
      </c>
      <c r="R46" s="193" t="s">
        <v>4467</v>
      </c>
      <c r="S46" s="193" t="s">
        <v>106</v>
      </c>
      <c r="T46" s="193" t="s">
        <v>107</v>
      </c>
      <c r="U46" s="192">
        <v>0</v>
      </c>
      <c r="V46" s="192"/>
      <c r="W46" s="192">
        <v>180</v>
      </c>
      <c r="X46" s="192">
        <v>162</v>
      </c>
      <c r="Y46" s="16">
        <v>162</v>
      </c>
      <c r="Z46" s="16">
        <v>85</v>
      </c>
      <c r="AA46" s="16">
        <v>109</v>
      </c>
      <c r="AB46" s="16">
        <v>4</v>
      </c>
      <c r="AC46" s="16">
        <v>58</v>
      </c>
      <c r="AD46" s="16">
        <v>171</v>
      </c>
      <c r="AE46" s="16">
        <v>22</v>
      </c>
      <c r="AF46" s="16">
        <v>6</v>
      </c>
      <c r="AG46" s="16"/>
      <c r="AH46" s="192"/>
      <c r="AI46" s="193"/>
      <c r="AJ46" s="25"/>
      <c r="AK46" s="192"/>
      <c r="AL46" s="16" t="s">
        <v>111</v>
      </c>
      <c r="AM46" s="16"/>
      <c r="AN46" s="193"/>
      <c r="AO46" s="193"/>
      <c r="AP46" s="193"/>
      <c r="AQ46" s="193"/>
      <c r="AR46" s="12" t="str">
        <f t="shared" si="1"/>
        <v/>
      </c>
      <c r="AS46" s="12" t="str">
        <f t="shared" si="2"/>
        <v/>
      </c>
      <c r="AT46" s="18"/>
    </row>
    <row r="47" spans="1:46" s="19" customFormat="1" ht="20.100000000000001" hidden="1" customHeight="1" x14ac:dyDescent="0.2">
      <c r="A47" s="222">
        <v>40</v>
      </c>
      <c r="B47" s="16" t="s">
        <v>4462</v>
      </c>
      <c r="C47" s="16" t="s">
        <v>288</v>
      </c>
      <c r="D47" s="193" t="s">
        <v>4449</v>
      </c>
      <c r="E47" s="193" t="s">
        <v>20</v>
      </c>
      <c r="F47" s="193"/>
      <c r="G47" s="193"/>
      <c r="H47" s="192" t="s">
        <v>7</v>
      </c>
      <c r="I47" s="16" t="s">
        <v>92</v>
      </c>
      <c r="J47" s="193" t="s">
        <v>104</v>
      </c>
      <c r="K47" s="193" t="s">
        <v>104</v>
      </c>
      <c r="L47" s="193" t="s">
        <v>4557</v>
      </c>
      <c r="M47" s="193" t="s">
        <v>106</v>
      </c>
      <c r="N47" s="192" t="s">
        <v>107</v>
      </c>
      <c r="O47" s="193" t="s">
        <v>248</v>
      </c>
      <c r="P47" s="193" t="s">
        <v>3680</v>
      </c>
      <c r="Q47" s="193" t="s">
        <v>260</v>
      </c>
      <c r="R47" s="193" t="s">
        <v>3825</v>
      </c>
      <c r="S47" s="193" t="s">
        <v>369</v>
      </c>
      <c r="T47" s="193" t="s">
        <v>369</v>
      </c>
      <c r="U47" s="192">
        <v>0</v>
      </c>
      <c r="V47" s="192"/>
      <c r="W47" s="192">
        <v>211</v>
      </c>
      <c r="X47" s="192">
        <v>201</v>
      </c>
      <c r="Y47" s="16">
        <v>201</v>
      </c>
      <c r="Z47" s="16">
        <v>100</v>
      </c>
      <c r="AA47" s="16">
        <v>126</v>
      </c>
      <c r="AB47" s="16">
        <v>4</v>
      </c>
      <c r="AC47" s="16">
        <v>28</v>
      </c>
      <c r="AD47" s="16">
        <v>158</v>
      </c>
      <c r="AE47" s="16">
        <v>19</v>
      </c>
      <c r="AF47" s="16">
        <v>6</v>
      </c>
      <c r="AG47" s="16"/>
      <c r="AH47" s="192"/>
      <c r="AI47" s="193"/>
      <c r="AJ47" s="193"/>
      <c r="AK47" s="192"/>
      <c r="AL47" s="16" t="s">
        <v>160</v>
      </c>
      <c r="AM47" s="16" t="s">
        <v>193</v>
      </c>
      <c r="AN47" s="193"/>
      <c r="AO47" s="193"/>
      <c r="AP47" s="193"/>
      <c r="AQ47" s="193"/>
      <c r="AR47" s="12" t="str">
        <f t="shared" si="1"/>
        <v/>
      </c>
      <c r="AS47" s="12" t="str">
        <f t="shared" si="2"/>
        <v/>
      </c>
      <c r="AT47" s="18"/>
    </row>
    <row r="48" spans="1:46" s="19" customFormat="1" ht="20.100000000000001" hidden="1" customHeight="1" x14ac:dyDescent="0.2">
      <c r="A48" s="222">
        <v>41</v>
      </c>
      <c r="B48" s="16" t="s">
        <v>4462</v>
      </c>
      <c r="C48" s="16" t="s">
        <v>288</v>
      </c>
      <c r="D48" s="193" t="s">
        <v>2997</v>
      </c>
      <c r="E48" s="193" t="s">
        <v>243</v>
      </c>
      <c r="F48" s="193" t="s">
        <v>4038</v>
      </c>
      <c r="G48" s="193"/>
      <c r="H48" s="192" t="s">
        <v>83</v>
      </c>
      <c r="I48" s="16" t="s">
        <v>93</v>
      </c>
      <c r="J48" s="193"/>
      <c r="K48" s="193" t="s">
        <v>117</v>
      </c>
      <c r="L48" s="193"/>
      <c r="M48" s="193" t="s">
        <v>369</v>
      </c>
      <c r="N48" s="192" t="s">
        <v>369</v>
      </c>
      <c r="O48" s="193"/>
      <c r="P48" s="193" t="s">
        <v>3677</v>
      </c>
      <c r="Q48" s="193" t="s">
        <v>465</v>
      </c>
      <c r="R48" s="193"/>
      <c r="S48" s="193" t="s">
        <v>119</v>
      </c>
      <c r="T48" s="193" t="s">
        <v>107</v>
      </c>
      <c r="U48" s="192" t="s">
        <v>4476</v>
      </c>
      <c r="V48" s="192"/>
      <c r="W48" s="192"/>
      <c r="X48" s="192"/>
      <c r="Y48" s="16"/>
      <c r="Z48" s="16"/>
      <c r="AA48" s="16"/>
      <c r="AB48" s="16"/>
      <c r="AC48" s="16"/>
      <c r="AD48" s="16"/>
      <c r="AE48" s="16"/>
      <c r="AF48" s="16">
        <v>6</v>
      </c>
      <c r="AG48" s="16"/>
      <c r="AH48" s="192"/>
      <c r="AI48" s="193"/>
      <c r="AJ48" s="25"/>
      <c r="AK48" s="192"/>
      <c r="AL48" s="16" t="s">
        <v>111</v>
      </c>
      <c r="AM48" s="16" t="s">
        <v>231</v>
      </c>
      <c r="AN48" s="193" t="s">
        <v>4378</v>
      </c>
      <c r="AO48" s="193" t="s">
        <v>296</v>
      </c>
      <c r="AP48" s="193" t="s">
        <v>348</v>
      </c>
      <c r="AQ48" s="193" t="s">
        <v>296</v>
      </c>
      <c r="AR48" s="12">
        <f t="shared" si="1"/>
        <v>60</v>
      </c>
      <c r="AS48" s="12" t="str">
        <f t="shared" si="2"/>
        <v/>
      </c>
      <c r="AT48" s="18"/>
    </row>
    <row r="49" spans="1:46" s="19" customFormat="1" ht="20.100000000000001" hidden="1" customHeight="1" x14ac:dyDescent="0.2">
      <c r="A49" s="222">
        <v>42</v>
      </c>
      <c r="B49" s="16" t="s">
        <v>4463</v>
      </c>
      <c r="C49" s="16" t="s">
        <v>288</v>
      </c>
      <c r="D49" s="193" t="s">
        <v>1634</v>
      </c>
      <c r="E49" s="193" t="s">
        <v>10</v>
      </c>
      <c r="F49" s="193" t="s">
        <v>4038</v>
      </c>
      <c r="G49" s="193"/>
      <c r="H49" s="192" t="s">
        <v>83</v>
      </c>
      <c r="I49" s="16" t="s">
        <v>92</v>
      </c>
      <c r="J49" s="193"/>
      <c r="K49" s="193" t="s">
        <v>218</v>
      </c>
      <c r="L49" s="193" t="s">
        <v>1746</v>
      </c>
      <c r="M49" s="193" t="s">
        <v>106</v>
      </c>
      <c r="N49" s="192" t="s">
        <v>107</v>
      </c>
      <c r="O49" s="193"/>
      <c r="P49" s="193" t="s">
        <v>3679</v>
      </c>
      <c r="Q49" s="193" t="s">
        <v>260</v>
      </c>
      <c r="R49" s="193" t="s">
        <v>1281</v>
      </c>
      <c r="S49" s="193" t="s">
        <v>106</v>
      </c>
      <c r="T49" s="193" t="s">
        <v>107</v>
      </c>
      <c r="U49" s="192" t="s">
        <v>1751</v>
      </c>
      <c r="V49" s="192"/>
      <c r="W49" s="192"/>
      <c r="X49" s="192"/>
      <c r="Y49" s="16">
        <v>210</v>
      </c>
      <c r="Z49" s="16"/>
      <c r="AA49" s="16"/>
      <c r="AB49" s="16"/>
      <c r="AC49" s="16"/>
      <c r="AD49" s="16"/>
      <c r="AE49" s="16"/>
      <c r="AF49" s="16">
        <v>6</v>
      </c>
      <c r="AG49" s="16"/>
      <c r="AH49" s="192"/>
      <c r="AI49" s="193"/>
      <c r="AJ49" s="193"/>
      <c r="AK49" s="192"/>
      <c r="AL49" s="16" t="s">
        <v>160</v>
      </c>
      <c r="AM49" s="16" t="s">
        <v>165</v>
      </c>
      <c r="AN49" s="193" t="s">
        <v>4378</v>
      </c>
      <c r="AO49" s="193" t="s">
        <v>296</v>
      </c>
      <c r="AP49" s="193" t="s">
        <v>115</v>
      </c>
      <c r="AQ49" s="193" t="s">
        <v>441</v>
      </c>
      <c r="AR49" s="12">
        <f t="shared" si="1"/>
        <v>16</v>
      </c>
      <c r="AS49" s="12" t="str">
        <f t="shared" si="2"/>
        <v/>
      </c>
      <c r="AT49" s="18"/>
    </row>
    <row r="50" spans="1:46" s="21" customFormat="1" ht="20.100000000000001" hidden="1" customHeight="1" x14ac:dyDescent="0.2">
      <c r="A50" s="222">
        <v>43</v>
      </c>
      <c r="B50" s="29" t="s">
        <v>4464</v>
      </c>
      <c r="C50" s="29" t="s">
        <v>288</v>
      </c>
      <c r="D50" s="30" t="s">
        <v>523</v>
      </c>
      <c r="E50" s="30" t="s">
        <v>10</v>
      </c>
      <c r="F50" s="30" t="s">
        <v>4589</v>
      </c>
      <c r="G50" s="30"/>
      <c r="H50" s="20" t="s">
        <v>83</v>
      </c>
      <c r="I50" s="29" t="s">
        <v>92</v>
      </c>
      <c r="J50" s="30"/>
      <c r="K50" s="30" t="s">
        <v>155</v>
      </c>
      <c r="L50" s="30" t="s">
        <v>3810</v>
      </c>
      <c r="M50" s="30" t="s">
        <v>106</v>
      </c>
      <c r="N50" s="20" t="s">
        <v>107</v>
      </c>
      <c r="O50" s="30"/>
      <c r="P50" s="30" t="s">
        <v>3677</v>
      </c>
      <c r="Q50" s="30" t="s">
        <v>718</v>
      </c>
      <c r="R50" s="30" t="s">
        <v>3811</v>
      </c>
      <c r="S50" s="30" t="s">
        <v>106</v>
      </c>
      <c r="T50" s="30" t="s">
        <v>107</v>
      </c>
      <c r="U50" s="20" t="s">
        <v>3806</v>
      </c>
      <c r="V50" s="20"/>
      <c r="W50" s="20"/>
      <c r="X50" s="20"/>
      <c r="Y50" s="29">
        <v>210</v>
      </c>
      <c r="Z50" s="29"/>
      <c r="AA50" s="29"/>
      <c r="AB50" s="29"/>
      <c r="AC50" s="29"/>
      <c r="AD50" s="29"/>
      <c r="AE50" s="29"/>
      <c r="AF50" s="29">
        <v>6</v>
      </c>
      <c r="AG50" s="29"/>
      <c r="AH50" s="20"/>
      <c r="AI50" s="30"/>
      <c r="AJ50" s="36"/>
      <c r="AK50" s="20"/>
      <c r="AL50" s="29" t="s">
        <v>160</v>
      </c>
      <c r="AM50" s="29" t="s">
        <v>165</v>
      </c>
      <c r="AN50" s="30" t="s">
        <v>4378</v>
      </c>
      <c r="AO50" s="30" t="s">
        <v>296</v>
      </c>
      <c r="AP50" s="30" t="s">
        <v>113</v>
      </c>
      <c r="AQ50" s="30" t="s">
        <v>137</v>
      </c>
      <c r="AR50" s="12">
        <f t="shared" si="1"/>
        <v>8</v>
      </c>
      <c r="AS50" s="12">
        <f t="shared" si="2"/>
        <v>8</v>
      </c>
      <c r="AT50" s="32"/>
    </row>
    <row r="51" spans="1:46" s="19" customFormat="1" ht="20.100000000000001" hidden="1" customHeight="1" x14ac:dyDescent="0.2">
      <c r="A51" s="222">
        <v>44</v>
      </c>
      <c r="B51" s="16" t="s">
        <v>4465</v>
      </c>
      <c r="C51" s="16" t="s">
        <v>288</v>
      </c>
      <c r="D51" s="193" t="s">
        <v>3336</v>
      </c>
      <c r="E51" s="193" t="s">
        <v>10</v>
      </c>
      <c r="F51" s="193"/>
      <c r="G51" s="193"/>
      <c r="H51" s="192" t="s">
        <v>7</v>
      </c>
      <c r="I51" s="16" t="s">
        <v>92</v>
      </c>
      <c r="J51" s="35" t="s">
        <v>140</v>
      </c>
      <c r="K51" s="35" t="s">
        <v>334</v>
      </c>
      <c r="L51" s="193" t="s">
        <v>4468</v>
      </c>
      <c r="M51" s="193" t="s">
        <v>106</v>
      </c>
      <c r="N51" s="192" t="s">
        <v>107</v>
      </c>
      <c r="O51" s="35" t="s">
        <v>338</v>
      </c>
      <c r="P51" s="35" t="s">
        <v>2961</v>
      </c>
      <c r="Q51" s="35" t="s">
        <v>260</v>
      </c>
      <c r="R51" s="193" t="s">
        <v>4469</v>
      </c>
      <c r="S51" s="193" t="s">
        <v>106</v>
      </c>
      <c r="T51" s="193" t="s">
        <v>107</v>
      </c>
      <c r="U51" s="192">
        <v>0</v>
      </c>
      <c r="V51" s="192"/>
      <c r="W51" s="192">
        <v>195</v>
      </c>
      <c r="X51" s="192">
        <v>180</v>
      </c>
      <c r="Y51" s="16">
        <v>180</v>
      </c>
      <c r="Z51" s="16">
        <v>155</v>
      </c>
      <c r="AA51" s="16">
        <v>170</v>
      </c>
      <c r="AB51" s="16">
        <v>5</v>
      </c>
      <c r="AC51" s="16">
        <v>18</v>
      </c>
      <c r="AD51" s="16">
        <v>193</v>
      </c>
      <c r="AE51" s="16">
        <v>7</v>
      </c>
      <c r="AF51" s="16">
        <v>6</v>
      </c>
      <c r="AG51" s="208"/>
      <c r="AH51" s="33" t="s">
        <v>158</v>
      </c>
      <c r="AI51" s="193"/>
      <c r="AJ51" s="25"/>
      <c r="AK51" s="192"/>
      <c r="AL51" s="16" t="s">
        <v>111</v>
      </c>
      <c r="AM51" s="16"/>
      <c r="AN51" s="193"/>
      <c r="AO51" s="193"/>
      <c r="AP51" s="193"/>
      <c r="AQ51" s="193"/>
      <c r="AR51" s="12" t="str">
        <f t="shared" si="1"/>
        <v/>
      </c>
      <c r="AS51" s="12" t="str">
        <f t="shared" si="2"/>
        <v/>
      </c>
      <c r="AT51" s="18"/>
    </row>
    <row r="52" spans="1:46" s="19" customFormat="1" ht="20.100000000000001" hidden="1" customHeight="1" x14ac:dyDescent="0.2">
      <c r="A52" s="222">
        <v>45</v>
      </c>
      <c r="B52" s="16" t="s">
        <v>4470</v>
      </c>
      <c r="C52" s="16" t="s">
        <v>288</v>
      </c>
      <c r="D52" s="193" t="s">
        <v>1634</v>
      </c>
      <c r="E52" s="193" t="s">
        <v>10</v>
      </c>
      <c r="F52" s="193"/>
      <c r="G52" s="193"/>
      <c r="H52" s="192" t="s">
        <v>7</v>
      </c>
      <c r="I52" s="16" t="s">
        <v>92</v>
      </c>
      <c r="J52" s="35" t="s">
        <v>218</v>
      </c>
      <c r="K52" s="35" t="s">
        <v>117</v>
      </c>
      <c r="L52" s="193" t="s">
        <v>4477</v>
      </c>
      <c r="M52" s="193" t="s">
        <v>69</v>
      </c>
      <c r="N52" s="192" t="s">
        <v>70</v>
      </c>
      <c r="O52" s="35" t="s">
        <v>453</v>
      </c>
      <c r="P52" s="35" t="s">
        <v>1510</v>
      </c>
      <c r="Q52" s="35" t="s">
        <v>226</v>
      </c>
      <c r="R52" s="193" t="s">
        <v>4478</v>
      </c>
      <c r="S52" s="193" t="s">
        <v>73</v>
      </c>
      <c r="T52" s="193" t="s">
        <v>70</v>
      </c>
      <c r="U52" s="192">
        <v>0</v>
      </c>
      <c r="V52" s="192"/>
      <c r="W52" s="192">
        <v>228</v>
      </c>
      <c r="X52" s="192">
        <v>210</v>
      </c>
      <c r="Y52" s="16">
        <v>210</v>
      </c>
      <c r="Z52" s="16">
        <v>176</v>
      </c>
      <c r="AA52" s="16">
        <v>190</v>
      </c>
      <c r="AB52" s="16">
        <v>1</v>
      </c>
      <c r="AC52" s="16">
        <v>54</v>
      </c>
      <c r="AD52" s="16">
        <v>245</v>
      </c>
      <c r="AE52" s="16">
        <v>10</v>
      </c>
      <c r="AF52" s="16">
        <v>6</v>
      </c>
      <c r="AG52" s="208"/>
      <c r="AH52" s="33" t="s">
        <v>158</v>
      </c>
      <c r="AI52" s="193"/>
      <c r="AJ52" s="25"/>
      <c r="AK52" s="192"/>
      <c r="AL52" s="16" t="s">
        <v>160</v>
      </c>
      <c r="AM52" s="16" t="s">
        <v>165</v>
      </c>
      <c r="AN52" s="193"/>
      <c r="AO52" s="193"/>
      <c r="AP52" s="193"/>
      <c r="AQ52" s="193"/>
      <c r="AR52" s="12" t="str">
        <f t="shared" si="1"/>
        <v/>
      </c>
      <c r="AS52" s="12" t="str">
        <f t="shared" si="2"/>
        <v/>
      </c>
      <c r="AT52" s="18"/>
    </row>
    <row r="53" spans="1:46" s="19" customFormat="1" ht="20.100000000000001" hidden="1" customHeight="1" x14ac:dyDescent="0.2">
      <c r="A53" s="222">
        <v>46</v>
      </c>
      <c r="B53" s="16" t="s">
        <v>4471</v>
      </c>
      <c r="C53" s="16" t="s">
        <v>288</v>
      </c>
      <c r="D53" s="193" t="s">
        <v>731</v>
      </c>
      <c r="E53" s="193" t="s">
        <v>19</v>
      </c>
      <c r="F53" s="193"/>
      <c r="G53" s="193"/>
      <c r="H53" s="192" t="s">
        <v>7</v>
      </c>
      <c r="I53" s="16" t="s">
        <v>92</v>
      </c>
      <c r="J53" s="193" t="s">
        <v>104</v>
      </c>
      <c r="K53" s="193" t="s">
        <v>117</v>
      </c>
      <c r="L53" s="193" t="s">
        <v>4558</v>
      </c>
      <c r="M53" s="193" t="s">
        <v>106</v>
      </c>
      <c r="N53" s="192" t="s">
        <v>107</v>
      </c>
      <c r="O53" s="193" t="s">
        <v>470</v>
      </c>
      <c r="P53" s="193" t="s">
        <v>3679</v>
      </c>
      <c r="Q53" s="193" t="s">
        <v>465</v>
      </c>
      <c r="R53" s="193" t="s">
        <v>4572</v>
      </c>
      <c r="S53" s="193" t="s">
        <v>106</v>
      </c>
      <c r="T53" s="193" t="s">
        <v>107</v>
      </c>
      <c r="U53" s="192">
        <v>0</v>
      </c>
      <c r="V53" s="192"/>
      <c r="W53" s="192">
        <v>217</v>
      </c>
      <c r="X53" s="192">
        <v>150</v>
      </c>
      <c r="Y53" s="16">
        <v>150</v>
      </c>
      <c r="Z53" s="16">
        <v>53</v>
      </c>
      <c r="AA53" s="16">
        <v>85</v>
      </c>
      <c r="AB53" s="16">
        <v>6</v>
      </c>
      <c r="AC53" s="16">
        <v>20</v>
      </c>
      <c r="AD53" s="16">
        <v>111</v>
      </c>
      <c r="AE53" s="16">
        <v>30</v>
      </c>
      <c r="AF53" s="16">
        <v>6</v>
      </c>
      <c r="AG53" s="209"/>
      <c r="AH53" s="16"/>
      <c r="AI53" s="193"/>
      <c r="AJ53" s="193"/>
      <c r="AK53" s="192"/>
      <c r="AL53" s="16" t="s">
        <v>111</v>
      </c>
      <c r="AM53" s="16" t="s">
        <v>231</v>
      </c>
      <c r="AN53" s="193"/>
      <c r="AO53" s="193"/>
      <c r="AP53" s="193"/>
      <c r="AQ53" s="193"/>
      <c r="AR53" s="12" t="str">
        <f t="shared" si="1"/>
        <v/>
      </c>
      <c r="AS53" s="12" t="str">
        <f t="shared" si="2"/>
        <v/>
      </c>
      <c r="AT53" s="18"/>
    </row>
    <row r="54" spans="1:46" s="19" customFormat="1" ht="20.100000000000001" hidden="1" customHeight="1" x14ac:dyDescent="0.2">
      <c r="A54" s="222">
        <v>47</v>
      </c>
      <c r="B54" s="16" t="s">
        <v>4472</v>
      </c>
      <c r="C54" s="16" t="s">
        <v>288</v>
      </c>
      <c r="D54" s="193" t="s">
        <v>533</v>
      </c>
      <c r="E54" s="193" t="s">
        <v>243</v>
      </c>
      <c r="F54" s="193"/>
      <c r="G54" s="193"/>
      <c r="H54" s="192" t="s">
        <v>7</v>
      </c>
      <c r="I54" s="16" t="s">
        <v>92</v>
      </c>
      <c r="J54" s="193" t="s">
        <v>140</v>
      </c>
      <c r="K54" s="193" t="s">
        <v>140</v>
      </c>
      <c r="L54" s="193" t="s">
        <v>1643</v>
      </c>
      <c r="M54" s="193" t="s">
        <v>106</v>
      </c>
      <c r="N54" s="192" t="s">
        <v>107</v>
      </c>
      <c r="O54" s="35" t="s">
        <v>188</v>
      </c>
      <c r="P54" s="35" t="s">
        <v>1510</v>
      </c>
      <c r="Q54" s="35" t="s">
        <v>116</v>
      </c>
      <c r="R54" s="193" t="s">
        <v>4479</v>
      </c>
      <c r="S54" s="193" t="s">
        <v>73</v>
      </c>
      <c r="T54" s="193" t="s">
        <v>70</v>
      </c>
      <c r="U54" s="192">
        <v>0</v>
      </c>
      <c r="V54" s="192"/>
      <c r="W54" s="192">
        <v>120</v>
      </c>
      <c r="X54" s="192">
        <v>102</v>
      </c>
      <c r="Y54" s="16">
        <v>102</v>
      </c>
      <c r="Z54" s="16">
        <v>56</v>
      </c>
      <c r="AA54" s="16">
        <v>90</v>
      </c>
      <c r="AB54" s="16">
        <v>8</v>
      </c>
      <c r="AC54" s="16">
        <v>54</v>
      </c>
      <c r="AD54" s="16">
        <v>152</v>
      </c>
      <c r="AE54" s="16">
        <v>14</v>
      </c>
      <c r="AF54" s="16">
        <v>4</v>
      </c>
      <c r="AG54" s="208"/>
      <c r="AH54" s="33" t="s">
        <v>158</v>
      </c>
      <c r="AI54" s="193"/>
      <c r="AJ54" s="25"/>
      <c r="AK54" s="192"/>
      <c r="AL54" s="16" t="s">
        <v>160</v>
      </c>
      <c r="AM54" s="16" t="s">
        <v>231</v>
      </c>
      <c r="AN54" s="193"/>
      <c r="AO54" s="193"/>
      <c r="AP54" s="193"/>
      <c r="AQ54" s="193"/>
      <c r="AR54" s="12" t="str">
        <f t="shared" si="1"/>
        <v/>
      </c>
      <c r="AS54" s="12" t="str">
        <f t="shared" si="2"/>
        <v/>
      </c>
      <c r="AT54" s="18"/>
    </row>
    <row r="55" spans="1:46" s="19" customFormat="1" ht="20.100000000000001" hidden="1" customHeight="1" x14ac:dyDescent="0.2">
      <c r="A55" s="222">
        <v>48</v>
      </c>
      <c r="B55" s="16" t="s">
        <v>4473</v>
      </c>
      <c r="C55" s="16" t="s">
        <v>288</v>
      </c>
      <c r="D55" s="193" t="s">
        <v>523</v>
      </c>
      <c r="E55" s="193" t="s">
        <v>10</v>
      </c>
      <c r="F55" s="193"/>
      <c r="G55" s="193"/>
      <c r="H55" s="192" t="s">
        <v>7</v>
      </c>
      <c r="I55" s="16" t="s">
        <v>92</v>
      </c>
      <c r="J55" s="35" t="s">
        <v>155</v>
      </c>
      <c r="K55" s="35" t="s">
        <v>68</v>
      </c>
      <c r="L55" s="193" t="s">
        <v>4480</v>
      </c>
      <c r="M55" s="193" t="s">
        <v>106</v>
      </c>
      <c r="N55" s="192" t="s">
        <v>107</v>
      </c>
      <c r="O55" s="35" t="s">
        <v>156</v>
      </c>
      <c r="P55" s="35" t="s">
        <v>1510</v>
      </c>
      <c r="Q55" s="35" t="s">
        <v>1581</v>
      </c>
      <c r="R55" s="193" t="s">
        <v>4481</v>
      </c>
      <c r="S55" s="193" t="s">
        <v>106</v>
      </c>
      <c r="T55" s="193" t="s">
        <v>107</v>
      </c>
      <c r="U55" s="192"/>
      <c r="V55" s="192"/>
      <c r="W55" s="192">
        <v>228</v>
      </c>
      <c r="X55" s="192">
        <v>210</v>
      </c>
      <c r="Y55" s="16">
        <v>210</v>
      </c>
      <c r="Z55" s="16">
        <v>178</v>
      </c>
      <c r="AA55" s="16">
        <v>193</v>
      </c>
      <c r="AB55" s="16">
        <v>3</v>
      </c>
      <c r="AC55" s="16">
        <v>38</v>
      </c>
      <c r="AD55" s="16">
        <v>234</v>
      </c>
      <c r="AE55" s="16">
        <v>15</v>
      </c>
      <c r="AF55" s="16">
        <v>6</v>
      </c>
      <c r="AG55" s="208"/>
      <c r="AH55" s="33" t="s">
        <v>158</v>
      </c>
      <c r="AI55" s="193"/>
      <c r="AJ55" s="25"/>
      <c r="AK55" s="192"/>
      <c r="AL55" s="16" t="s">
        <v>160</v>
      </c>
      <c r="AM55" s="16" t="s">
        <v>165</v>
      </c>
      <c r="AN55" s="193"/>
      <c r="AO55" s="193"/>
      <c r="AP55" s="193"/>
      <c r="AQ55" s="193"/>
      <c r="AR55" s="12" t="str">
        <f t="shared" si="1"/>
        <v/>
      </c>
      <c r="AS55" s="12" t="str">
        <f t="shared" si="2"/>
        <v/>
      </c>
      <c r="AT55" s="18"/>
    </row>
    <row r="56" spans="1:46" s="19" customFormat="1" ht="20.100000000000001" hidden="1" customHeight="1" x14ac:dyDescent="0.2">
      <c r="A56" s="222">
        <v>49</v>
      </c>
      <c r="B56" s="16" t="s">
        <v>4473</v>
      </c>
      <c r="C56" s="16" t="s">
        <v>288</v>
      </c>
      <c r="D56" s="193" t="s">
        <v>1116</v>
      </c>
      <c r="E56" s="193" t="s">
        <v>8</v>
      </c>
      <c r="F56" s="193"/>
      <c r="G56" s="193"/>
      <c r="H56" s="192" t="s">
        <v>7</v>
      </c>
      <c r="I56" s="16" t="s">
        <v>84</v>
      </c>
      <c r="J56" s="35" t="s">
        <v>68</v>
      </c>
      <c r="K56" s="35" t="s">
        <v>155</v>
      </c>
      <c r="L56" s="193" t="s">
        <v>4402</v>
      </c>
      <c r="M56" s="193" t="s">
        <v>106</v>
      </c>
      <c r="N56" s="192" t="s">
        <v>107</v>
      </c>
      <c r="O56" s="35" t="s">
        <v>332</v>
      </c>
      <c r="P56" s="35" t="s">
        <v>3679</v>
      </c>
      <c r="Q56" s="35" t="s">
        <v>718</v>
      </c>
      <c r="R56" s="193" t="s">
        <v>4482</v>
      </c>
      <c r="S56" s="193" t="s">
        <v>142</v>
      </c>
      <c r="T56" s="193" t="s">
        <v>70</v>
      </c>
      <c r="U56" s="192">
        <v>0</v>
      </c>
      <c r="V56" s="192"/>
      <c r="W56" s="192">
        <v>180</v>
      </c>
      <c r="X56" s="33">
        <v>174</v>
      </c>
      <c r="Y56" s="34">
        <v>150</v>
      </c>
      <c r="Z56" s="16">
        <v>64</v>
      </c>
      <c r="AA56" s="16">
        <v>82</v>
      </c>
      <c r="AB56" s="16">
        <v>5</v>
      </c>
      <c r="AC56" s="16">
        <v>74</v>
      </c>
      <c r="AD56" s="16">
        <v>161</v>
      </c>
      <c r="AE56" s="16">
        <v>30</v>
      </c>
      <c r="AF56" s="16">
        <v>6</v>
      </c>
      <c r="AG56" s="208"/>
      <c r="AH56" s="33" t="s">
        <v>158</v>
      </c>
      <c r="AI56" s="193"/>
      <c r="AJ56" s="193"/>
      <c r="AK56" s="192"/>
      <c r="AL56" s="16" t="s">
        <v>111</v>
      </c>
      <c r="AM56" s="16" t="s">
        <v>161</v>
      </c>
      <c r="AN56" s="193"/>
      <c r="AO56" s="193"/>
      <c r="AP56" s="193"/>
      <c r="AQ56" s="193"/>
      <c r="AR56" s="12" t="str">
        <f t="shared" si="1"/>
        <v/>
      </c>
      <c r="AS56" s="12" t="str">
        <f t="shared" si="2"/>
        <v/>
      </c>
      <c r="AT56" s="18"/>
    </row>
    <row r="57" spans="1:46" s="19" customFormat="1" ht="20.100000000000001" hidden="1" customHeight="1" x14ac:dyDescent="0.2">
      <c r="A57" s="222">
        <v>50</v>
      </c>
      <c r="B57" s="16" t="s">
        <v>4474</v>
      </c>
      <c r="C57" s="16" t="s">
        <v>288</v>
      </c>
      <c r="D57" s="193" t="s">
        <v>181</v>
      </c>
      <c r="E57" s="193" t="s">
        <v>66</v>
      </c>
      <c r="F57" s="193"/>
      <c r="G57" s="193"/>
      <c r="H57" s="192" t="s">
        <v>83</v>
      </c>
      <c r="I57" s="16" t="s">
        <v>92</v>
      </c>
      <c r="J57" s="193"/>
      <c r="K57" s="206" t="s">
        <v>223</v>
      </c>
      <c r="L57" s="206" t="s">
        <v>229</v>
      </c>
      <c r="M57" s="206" t="s">
        <v>106</v>
      </c>
      <c r="N57" s="207" t="s">
        <v>107</v>
      </c>
      <c r="O57" s="193"/>
      <c r="P57" s="193" t="s">
        <v>1809</v>
      </c>
      <c r="Q57" s="193" t="s">
        <v>260</v>
      </c>
      <c r="R57" s="206" t="s">
        <v>225</v>
      </c>
      <c r="S57" s="206" t="s">
        <v>106</v>
      </c>
      <c r="T57" s="207" t="s">
        <v>107</v>
      </c>
      <c r="U57" s="16" t="s">
        <v>236</v>
      </c>
      <c r="V57" s="192"/>
      <c r="W57" s="192"/>
      <c r="X57" s="192"/>
      <c r="Y57" s="16">
        <v>216</v>
      </c>
      <c r="Z57" s="16"/>
      <c r="AA57" s="16"/>
      <c r="AB57" s="16"/>
      <c r="AC57" s="16"/>
      <c r="AD57" s="16"/>
      <c r="AE57" s="16"/>
      <c r="AF57" s="16">
        <v>4</v>
      </c>
      <c r="AG57" s="209"/>
      <c r="AH57" s="16"/>
      <c r="AI57" s="193"/>
      <c r="AJ57" s="25"/>
      <c r="AK57" s="192"/>
      <c r="AL57" s="16" t="s">
        <v>160</v>
      </c>
      <c r="AM57" s="16" t="s">
        <v>231</v>
      </c>
      <c r="AN57" s="193" t="s">
        <v>4378</v>
      </c>
      <c r="AO57" s="193" t="s">
        <v>296</v>
      </c>
      <c r="AP57" s="193" t="s">
        <v>113</v>
      </c>
      <c r="AQ57" s="193" t="s">
        <v>114</v>
      </c>
      <c r="AR57" s="12">
        <f t="shared" si="1"/>
        <v>13</v>
      </c>
      <c r="AS57" s="12" t="str">
        <f t="shared" si="2"/>
        <v/>
      </c>
      <c r="AT57" s="18"/>
    </row>
    <row r="58" spans="1:46" s="19" customFormat="1" ht="20.100000000000001" hidden="1" customHeight="1" x14ac:dyDescent="0.2">
      <c r="A58" s="222">
        <v>51</v>
      </c>
      <c r="B58" s="16" t="s">
        <v>4474</v>
      </c>
      <c r="C58" s="16" t="s">
        <v>288</v>
      </c>
      <c r="D58" s="206" t="s">
        <v>181</v>
      </c>
      <c r="E58" s="206" t="s">
        <v>66</v>
      </c>
      <c r="F58" s="193"/>
      <c r="G58" s="193"/>
      <c r="H58" s="192" t="s">
        <v>7</v>
      </c>
      <c r="I58" s="16" t="s">
        <v>92</v>
      </c>
      <c r="J58" s="35" t="s">
        <v>223</v>
      </c>
      <c r="K58" s="35" t="s">
        <v>141</v>
      </c>
      <c r="L58" s="193" t="s">
        <v>4483</v>
      </c>
      <c r="M58" s="193" t="s">
        <v>106</v>
      </c>
      <c r="N58" s="192" t="s">
        <v>107</v>
      </c>
      <c r="O58" s="35" t="s">
        <v>224</v>
      </c>
      <c r="P58" s="35" t="s">
        <v>2961</v>
      </c>
      <c r="Q58" s="35" t="s">
        <v>260</v>
      </c>
      <c r="R58" s="193" t="s">
        <v>4484</v>
      </c>
      <c r="S58" s="193" t="s">
        <v>106</v>
      </c>
      <c r="T58" s="193" t="s">
        <v>107</v>
      </c>
      <c r="U58" s="192"/>
      <c r="V58" s="192"/>
      <c r="W58" s="192">
        <v>230</v>
      </c>
      <c r="X58" s="192">
        <v>216</v>
      </c>
      <c r="Y58" s="16">
        <v>216</v>
      </c>
      <c r="Z58" s="16">
        <v>110</v>
      </c>
      <c r="AA58" s="16">
        <v>120</v>
      </c>
      <c r="AB58" s="16">
        <v>15</v>
      </c>
      <c r="AC58" s="16">
        <v>26</v>
      </c>
      <c r="AD58" s="16">
        <v>171</v>
      </c>
      <c r="AE58" s="16">
        <v>9</v>
      </c>
      <c r="AF58" s="16">
        <v>4</v>
      </c>
      <c r="AG58" s="208"/>
      <c r="AH58" s="33" t="s">
        <v>158</v>
      </c>
      <c r="AI58" s="193"/>
      <c r="AJ58" s="25"/>
      <c r="AK58" s="192"/>
      <c r="AL58" s="16" t="s">
        <v>160</v>
      </c>
      <c r="AM58" s="16" t="s">
        <v>231</v>
      </c>
      <c r="AN58" s="193"/>
      <c r="AO58" s="193"/>
      <c r="AP58" s="193"/>
      <c r="AQ58" s="193"/>
      <c r="AR58" s="12" t="str">
        <f t="shared" si="1"/>
        <v/>
      </c>
      <c r="AS58" s="12" t="str">
        <f t="shared" si="2"/>
        <v/>
      </c>
      <c r="AT58" s="18"/>
    </row>
    <row r="59" spans="1:46" s="19" customFormat="1" ht="20.100000000000001" hidden="1" customHeight="1" x14ac:dyDescent="0.2">
      <c r="A59" s="222">
        <v>52</v>
      </c>
      <c r="B59" s="16" t="s">
        <v>4474</v>
      </c>
      <c r="C59" s="16" t="s">
        <v>288</v>
      </c>
      <c r="D59" s="193" t="s">
        <v>2762</v>
      </c>
      <c r="E59" s="193" t="s">
        <v>6</v>
      </c>
      <c r="F59" s="193" t="s">
        <v>4038</v>
      </c>
      <c r="G59" s="193"/>
      <c r="H59" s="192" t="s">
        <v>83</v>
      </c>
      <c r="I59" s="16" t="s">
        <v>92</v>
      </c>
      <c r="J59" s="193"/>
      <c r="K59" s="193" t="s">
        <v>68</v>
      </c>
      <c r="L59" s="193"/>
      <c r="M59" s="193" t="s">
        <v>369</v>
      </c>
      <c r="N59" s="192" t="s">
        <v>369</v>
      </c>
      <c r="O59" s="193"/>
      <c r="P59" s="193" t="s">
        <v>3679</v>
      </c>
      <c r="Q59" s="193" t="s">
        <v>485</v>
      </c>
      <c r="R59" s="193"/>
      <c r="S59" s="193" t="s">
        <v>119</v>
      </c>
      <c r="T59" s="193" t="s">
        <v>107</v>
      </c>
      <c r="U59" s="192" t="s">
        <v>4485</v>
      </c>
      <c r="V59" s="192"/>
      <c r="W59" s="192"/>
      <c r="X59" s="192"/>
      <c r="Y59" s="16"/>
      <c r="Z59" s="16"/>
      <c r="AA59" s="16"/>
      <c r="AB59" s="16"/>
      <c r="AC59" s="16"/>
      <c r="AD59" s="16"/>
      <c r="AE59" s="16"/>
      <c r="AF59" s="16">
        <v>6</v>
      </c>
      <c r="AG59" s="209"/>
      <c r="AH59" s="16"/>
      <c r="AI59" s="193"/>
      <c r="AJ59" s="25"/>
      <c r="AK59" s="192"/>
      <c r="AL59" s="16"/>
      <c r="AM59" s="16"/>
      <c r="AN59" s="193" t="s">
        <v>4378</v>
      </c>
      <c r="AO59" s="193" t="s">
        <v>296</v>
      </c>
      <c r="AP59" s="193" t="s">
        <v>208</v>
      </c>
      <c r="AQ59" s="193" t="s">
        <v>235</v>
      </c>
      <c r="AR59" s="12">
        <f t="shared" si="1"/>
        <v>47</v>
      </c>
      <c r="AS59" s="12" t="str">
        <f t="shared" si="2"/>
        <v/>
      </c>
      <c r="AT59" s="18"/>
    </row>
    <row r="60" spans="1:46" s="19" customFormat="1" ht="20.100000000000001" hidden="1" customHeight="1" x14ac:dyDescent="0.2">
      <c r="A60" s="222">
        <v>53</v>
      </c>
      <c r="B60" s="16" t="s">
        <v>4475</v>
      </c>
      <c r="C60" s="16" t="s">
        <v>288</v>
      </c>
      <c r="D60" s="193" t="s">
        <v>790</v>
      </c>
      <c r="E60" s="193" t="s">
        <v>6</v>
      </c>
      <c r="F60" s="193"/>
      <c r="G60" s="193"/>
      <c r="H60" s="192" t="s">
        <v>7</v>
      </c>
      <c r="I60" s="16" t="s">
        <v>93</v>
      </c>
      <c r="J60" s="35" t="s">
        <v>104</v>
      </c>
      <c r="K60" s="35" t="s">
        <v>223</v>
      </c>
      <c r="L60" s="193" t="s">
        <v>4559</v>
      </c>
      <c r="M60" s="193" t="s">
        <v>106</v>
      </c>
      <c r="N60" s="192" t="s">
        <v>107</v>
      </c>
      <c r="O60" s="35" t="s">
        <v>131</v>
      </c>
      <c r="P60" s="35" t="s">
        <v>2325</v>
      </c>
      <c r="Q60" s="35" t="s">
        <v>144</v>
      </c>
      <c r="R60" s="193" t="s">
        <v>4573</v>
      </c>
      <c r="S60" s="193" t="s">
        <v>106</v>
      </c>
      <c r="T60" s="193" t="s">
        <v>107</v>
      </c>
      <c r="U60" s="192">
        <v>0</v>
      </c>
      <c r="V60" s="192"/>
      <c r="W60" s="192">
        <v>256</v>
      </c>
      <c r="X60" s="33">
        <v>240</v>
      </c>
      <c r="Y60" s="34">
        <v>246</v>
      </c>
      <c r="Z60" s="16">
        <v>195</v>
      </c>
      <c r="AA60" s="16">
        <v>215</v>
      </c>
      <c r="AB60" s="16">
        <v>4</v>
      </c>
      <c r="AC60" s="16">
        <v>15</v>
      </c>
      <c r="AD60" s="16">
        <v>234</v>
      </c>
      <c r="AE60" s="16">
        <v>5</v>
      </c>
      <c r="AF60" s="16">
        <v>4</v>
      </c>
      <c r="AG60" s="208"/>
      <c r="AH60" s="33" t="s">
        <v>158</v>
      </c>
      <c r="AI60" s="193"/>
      <c r="AJ60" s="193"/>
      <c r="AK60" s="192"/>
      <c r="AL60" s="16" t="s">
        <v>111</v>
      </c>
      <c r="AM60" s="16" t="s">
        <v>231</v>
      </c>
      <c r="AN60" s="193"/>
      <c r="AO60" s="193"/>
      <c r="AP60" s="193"/>
      <c r="AQ60" s="193"/>
      <c r="AR60" s="12" t="str">
        <f t="shared" si="1"/>
        <v/>
      </c>
      <c r="AS60" s="12" t="str">
        <f t="shared" si="2"/>
        <v/>
      </c>
      <c r="AT60" s="18"/>
    </row>
    <row r="61" spans="1:46" s="19" customFormat="1" ht="20.100000000000001" hidden="1" customHeight="1" x14ac:dyDescent="0.2">
      <c r="A61" s="222">
        <v>54</v>
      </c>
      <c r="B61" s="16" t="s">
        <v>4486</v>
      </c>
      <c r="C61" s="16" t="s">
        <v>288</v>
      </c>
      <c r="D61" s="193" t="s">
        <v>4487</v>
      </c>
      <c r="E61" s="193" t="s">
        <v>10</v>
      </c>
      <c r="F61" s="193" t="s">
        <v>185</v>
      </c>
      <c r="G61" s="193"/>
      <c r="H61" s="192" t="s">
        <v>83</v>
      </c>
      <c r="I61" s="16" t="s">
        <v>92</v>
      </c>
      <c r="J61" s="193"/>
      <c r="K61" s="193" t="s">
        <v>155</v>
      </c>
      <c r="L61" s="193" t="s">
        <v>4770</v>
      </c>
      <c r="M61" s="193" t="s">
        <v>69</v>
      </c>
      <c r="N61" s="192" t="s">
        <v>70</v>
      </c>
      <c r="O61" s="193"/>
      <c r="P61" s="193" t="s">
        <v>3679</v>
      </c>
      <c r="Q61" s="193" t="s">
        <v>441</v>
      </c>
      <c r="R61" s="193" t="s">
        <v>4769</v>
      </c>
      <c r="S61" s="193" t="s">
        <v>69</v>
      </c>
      <c r="T61" s="193" t="s">
        <v>70</v>
      </c>
      <c r="U61" s="192" t="s">
        <v>4768</v>
      </c>
      <c r="V61" s="192"/>
      <c r="W61" s="192"/>
      <c r="X61" s="192"/>
      <c r="Y61" s="16">
        <v>231</v>
      </c>
      <c r="Z61" s="16"/>
      <c r="AA61" s="16"/>
      <c r="AB61" s="16"/>
      <c r="AC61" s="16"/>
      <c r="AD61" s="16"/>
      <c r="AE61" s="16"/>
      <c r="AF61" s="16">
        <v>6</v>
      </c>
      <c r="AG61" s="209"/>
      <c r="AH61" s="16"/>
      <c r="AI61" s="193"/>
      <c r="AJ61" s="25"/>
      <c r="AK61" s="192"/>
      <c r="AL61" s="16"/>
      <c r="AM61" s="16"/>
      <c r="AN61" s="193" t="s">
        <v>4378</v>
      </c>
      <c r="AO61" s="193" t="s">
        <v>296</v>
      </c>
      <c r="AP61" s="193" t="s">
        <v>348</v>
      </c>
      <c r="AQ61" s="193" t="s">
        <v>441</v>
      </c>
      <c r="AR61" s="12">
        <f t="shared" si="1"/>
        <v>52</v>
      </c>
      <c r="AS61" s="12" t="str">
        <f t="shared" si="2"/>
        <v/>
      </c>
      <c r="AT61" s="18"/>
    </row>
    <row r="62" spans="1:46" s="19" customFormat="1" ht="20.100000000000001" hidden="1" customHeight="1" x14ac:dyDescent="0.2">
      <c r="A62" s="222">
        <v>55</v>
      </c>
      <c r="B62" s="16" t="s">
        <v>4488</v>
      </c>
      <c r="C62" s="16" t="s">
        <v>288</v>
      </c>
      <c r="D62" s="193" t="s">
        <v>1537</v>
      </c>
      <c r="E62" s="193" t="s">
        <v>10</v>
      </c>
      <c r="F62" s="193"/>
      <c r="G62" s="193"/>
      <c r="H62" s="192" t="s">
        <v>7</v>
      </c>
      <c r="I62" s="16" t="s">
        <v>92</v>
      </c>
      <c r="J62" s="35" t="s">
        <v>141</v>
      </c>
      <c r="K62" s="35" t="s">
        <v>334</v>
      </c>
      <c r="L62" s="193" t="s">
        <v>4493</v>
      </c>
      <c r="M62" s="193" t="s">
        <v>69</v>
      </c>
      <c r="N62" s="192" t="s">
        <v>70</v>
      </c>
      <c r="O62" s="35" t="s">
        <v>276</v>
      </c>
      <c r="P62" s="35" t="s">
        <v>1809</v>
      </c>
      <c r="Q62" s="35" t="s">
        <v>2258</v>
      </c>
      <c r="R62" s="193" t="s">
        <v>4494</v>
      </c>
      <c r="S62" s="193" t="s">
        <v>106</v>
      </c>
      <c r="T62" s="193" t="s">
        <v>107</v>
      </c>
      <c r="U62" s="192"/>
      <c r="V62" s="192"/>
      <c r="W62" s="192">
        <v>192</v>
      </c>
      <c r="X62" s="192">
        <v>186</v>
      </c>
      <c r="Y62" s="16">
        <v>186</v>
      </c>
      <c r="Z62" s="16">
        <v>117</v>
      </c>
      <c r="AA62" s="16">
        <v>186</v>
      </c>
      <c r="AB62" s="16">
        <v>3</v>
      </c>
      <c r="AC62" s="16">
        <v>14</v>
      </c>
      <c r="AD62" s="16">
        <v>203</v>
      </c>
      <c r="AE62" s="16">
        <v>5</v>
      </c>
      <c r="AF62" s="16">
        <v>4</v>
      </c>
      <c r="AG62" s="208"/>
      <c r="AH62" s="33" t="s">
        <v>158</v>
      </c>
      <c r="AI62" s="193"/>
      <c r="AJ62" s="193"/>
      <c r="AK62" s="192"/>
      <c r="AL62" s="16" t="s">
        <v>111</v>
      </c>
      <c r="AM62" s="16" t="s">
        <v>231</v>
      </c>
      <c r="AN62" s="193"/>
      <c r="AO62" s="193"/>
      <c r="AP62" s="193"/>
      <c r="AQ62" s="193"/>
      <c r="AR62" s="12" t="str">
        <f t="shared" si="1"/>
        <v/>
      </c>
      <c r="AS62" s="12" t="str">
        <f t="shared" si="2"/>
        <v/>
      </c>
      <c r="AT62" s="18"/>
    </row>
    <row r="63" spans="1:46" s="19" customFormat="1" ht="20.100000000000001" hidden="1" customHeight="1" x14ac:dyDescent="0.2">
      <c r="A63" s="222">
        <v>56</v>
      </c>
      <c r="B63" s="16" t="s">
        <v>4488</v>
      </c>
      <c r="C63" s="16" t="s">
        <v>288</v>
      </c>
      <c r="D63" s="193" t="s">
        <v>1586</v>
      </c>
      <c r="E63" s="193" t="s">
        <v>9</v>
      </c>
      <c r="F63" s="193"/>
      <c r="G63" s="193"/>
      <c r="H63" s="192" t="s">
        <v>7</v>
      </c>
      <c r="I63" s="16" t="s">
        <v>84</v>
      </c>
      <c r="J63" s="35" t="s">
        <v>155</v>
      </c>
      <c r="K63" s="35" t="s">
        <v>218</v>
      </c>
      <c r="L63" s="193" t="s">
        <v>4495</v>
      </c>
      <c r="M63" s="193" t="s">
        <v>106</v>
      </c>
      <c r="N63" s="192" t="s">
        <v>107</v>
      </c>
      <c r="O63" s="35" t="s">
        <v>156</v>
      </c>
      <c r="P63" s="35" t="s">
        <v>3677</v>
      </c>
      <c r="Q63" s="35" t="s">
        <v>441</v>
      </c>
      <c r="R63" s="193" t="s">
        <v>4496</v>
      </c>
      <c r="S63" s="193" t="s">
        <v>106</v>
      </c>
      <c r="T63" s="193" t="s">
        <v>107</v>
      </c>
      <c r="U63" s="192"/>
      <c r="V63" s="192"/>
      <c r="W63" s="192">
        <v>251</v>
      </c>
      <c r="X63" s="192"/>
      <c r="Y63" s="16"/>
      <c r="Z63" s="16">
        <v>154</v>
      </c>
      <c r="AA63" s="16">
        <v>175</v>
      </c>
      <c r="AB63" s="16">
        <v>7</v>
      </c>
      <c r="AC63" s="16">
        <v>58</v>
      </c>
      <c r="AD63" s="16">
        <v>240</v>
      </c>
      <c r="AE63" s="16">
        <v>22</v>
      </c>
      <c r="AF63" s="16">
        <v>6</v>
      </c>
      <c r="AG63" s="208"/>
      <c r="AH63" s="33" t="s">
        <v>158</v>
      </c>
      <c r="AI63" s="193"/>
      <c r="AJ63" s="25"/>
      <c r="AK63" s="192"/>
      <c r="AL63" s="16" t="s">
        <v>160</v>
      </c>
      <c r="AM63" s="16" t="s">
        <v>165</v>
      </c>
      <c r="AN63" s="193"/>
      <c r="AO63" s="193"/>
      <c r="AP63" s="193"/>
      <c r="AQ63" s="193"/>
      <c r="AR63" s="12" t="str">
        <f t="shared" si="1"/>
        <v/>
      </c>
      <c r="AS63" s="12" t="str">
        <f t="shared" si="2"/>
        <v/>
      </c>
      <c r="AT63" s="18"/>
    </row>
    <row r="64" spans="1:46" s="19" customFormat="1" ht="20.100000000000001" hidden="1" customHeight="1" x14ac:dyDescent="0.2">
      <c r="A64" s="222">
        <v>57</v>
      </c>
      <c r="B64" s="16" t="s">
        <v>4489</v>
      </c>
      <c r="C64" s="16" t="s">
        <v>288</v>
      </c>
      <c r="D64" s="193" t="s">
        <v>1450</v>
      </c>
      <c r="E64" s="193" t="s">
        <v>20</v>
      </c>
      <c r="F64" s="193"/>
      <c r="G64" s="193"/>
      <c r="H64" s="192" t="s">
        <v>7</v>
      </c>
      <c r="I64" s="16" t="s">
        <v>84</v>
      </c>
      <c r="J64" s="193" t="s">
        <v>141</v>
      </c>
      <c r="K64" s="193" t="s">
        <v>141</v>
      </c>
      <c r="L64" s="193" t="s">
        <v>4560</v>
      </c>
      <c r="M64" s="193" t="s">
        <v>106</v>
      </c>
      <c r="N64" s="192" t="s">
        <v>107</v>
      </c>
      <c r="O64" s="35" t="s">
        <v>1051</v>
      </c>
      <c r="P64" s="35" t="s">
        <v>2961</v>
      </c>
      <c r="Q64" s="35" t="s">
        <v>2348</v>
      </c>
      <c r="R64" s="193" t="s">
        <v>4574</v>
      </c>
      <c r="S64" s="193" t="s">
        <v>106</v>
      </c>
      <c r="T64" s="193" t="s">
        <v>107</v>
      </c>
      <c r="U64" s="192"/>
      <c r="V64" s="192"/>
      <c r="W64" s="192">
        <v>198</v>
      </c>
      <c r="X64" s="192">
        <v>186</v>
      </c>
      <c r="Y64" s="16">
        <v>186</v>
      </c>
      <c r="Z64" s="16">
        <v>97</v>
      </c>
      <c r="AA64" s="16">
        <v>152</v>
      </c>
      <c r="AB64" s="16">
        <v>8</v>
      </c>
      <c r="AC64" s="16">
        <v>26</v>
      </c>
      <c r="AD64" s="16">
        <v>186</v>
      </c>
      <c r="AE64" s="16">
        <v>10</v>
      </c>
      <c r="AF64" s="16">
        <v>4</v>
      </c>
      <c r="AG64" s="208"/>
      <c r="AH64" s="33" t="s">
        <v>158</v>
      </c>
      <c r="AI64" s="193"/>
      <c r="AJ64" s="193"/>
      <c r="AK64" s="192"/>
      <c r="AL64" s="16" t="s">
        <v>160</v>
      </c>
      <c r="AM64" s="16" t="s">
        <v>231</v>
      </c>
      <c r="AN64" s="193"/>
      <c r="AO64" s="193"/>
      <c r="AP64" s="193"/>
      <c r="AQ64" s="193"/>
      <c r="AR64" s="12" t="str">
        <f t="shared" si="1"/>
        <v/>
      </c>
      <c r="AS64" s="12" t="str">
        <f t="shared" si="2"/>
        <v/>
      </c>
      <c r="AT64" s="18"/>
    </row>
    <row r="65" spans="1:46" s="19" customFormat="1" ht="20.100000000000001" hidden="1" customHeight="1" x14ac:dyDescent="0.2">
      <c r="A65" s="222">
        <v>58</v>
      </c>
      <c r="B65" s="16" t="s">
        <v>4490</v>
      </c>
      <c r="C65" s="16" t="s">
        <v>288</v>
      </c>
      <c r="D65" s="193" t="s">
        <v>4491</v>
      </c>
      <c r="E65" s="193" t="s">
        <v>6</v>
      </c>
      <c r="F65" s="193" t="s">
        <v>192</v>
      </c>
      <c r="G65" s="193"/>
      <c r="H65" s="192" t="s">
        <v>7</v>
      </c>
      <c r="I65" s="16" t="s">
        <v>3576</v>
      </c>
      <c r="J65" s="193"/>
      <c r="K65" s="193" t="s">
        <v>104</v>
      </c>
      <c r="L65" s="193" t="s">
        <v>4497</v>
      </c>
      <c r="M65" s="193" t="s">
        <v>106</v>
      </c>
      <c r="N65" s="192" t="s">
        <v>107</v>
      </c>
      <c r="O65" s="193"/>
      <c r="P65" s="193" t="s">
        <v>3677</v>
      </c>
      <c r="Q65" s="193" t="s">
        <v>555</v>
      </c>
      <c r="R65" s="193" t="s">
        <v>4498</v>
      </c>
      <c r="S65" s="193" t="s">
        <v>106</v>
      </c>
      <c r="T65" s="193" t="s">
        <v>107</v>
      </c>
      <c r="U65" s="192"/>
      <c r="V65" s="192"/>
      <c r="W65" s="192">
        <v>229</v>
      </c>
      <c r="X65" s="192"/>
      <c r="Y65" s="16">
        <v>216</v>
      </c>
      <c r="Z65" s="16">
        <v>86</v>
      </c>
      <c r="AA65" s="16">
        <v>150</v>
      </c>
      <c r="AB65" s="16">
        <v>4</v>
      </c>
      <c r="AC65" s="16">
        <v>16</v>
      </c>
      <c r="AD65" s="16">
        <v>170</v>
      </c>
      <c r="AE65" s="16">
        <v>18</v>
      </c>
      <c r="AF65" s="16">
        <v>6</v>
      </c>
      <c r="AG65" s="209"/>
      <c r="AH65" s="16"/>
      <c r="AI65" s="193"/>
      <c r="AJ65" s="193"/>
      <c r="AK65" s="192"/>
      <c r="AL65" s="16" t="s">
        <v>160</v>
      </c>
      <c r="AM65" s="16" t="s">
        <v>193</v>
      </c>
      <c r="AN65" s="193"/>
      <c r="AO65" s="193"/>
      <c r="AP65" s="193"/>
      <c r="AQ65" s="193"/>
      <c r="AR65" s="12" t="str">
        <f t="shared" si="1"/>
        <v/>
      </c>
      <c r="AS65" s="12" t="str">
        <f t="shared" si="2"/>
        <v/>
      </c>
      <c r="AT65" s="18"/>
    </row>
    <row r="66" spans="1:46" s="19" customFormat="1" ht="20.100000000000001" hidden="1" customHeight="1" x14ac:dyDescent="0.2">
      <c r="A66" s="222">
        <v>59</v>
      </c>
      <c r="B66" s="16" t="s">
        <v>4492</v>
      </c>
      <c r="C66" s="16" t="s">
        <v>625</v>
      </c>
      <c r="D66" s="193" t="s">
        <v>2450</v>
      </c>
      <c r="E66" s="193" t="s">
        <v>6</v>
      </c>
      <c r="F66" s="193"/>
      <c r="G66" s="193"/>
      <c r="H66" s="192" t="s">
        <v>7</v>
      </c>
      <c r="I66" s="16" t="s">
        <v>92</v>
      </c>
      <c r="J66" s="193" t="s">
        <v>218</v>
      </c>
      <c r="K66" s="193" t="s">
        <v>218</v>
      </c>
      <c r="L66" s="193" t="s">
        <v>4499</v>
      </c>
      <c r="M66" s="193" t="s">
        <v>106</v>
      </c>
      <c r="N66" s="192" t="s">
        <v>107</v>
      </c>
      <c r="O66" s="35" t="s">
        <v>453</v>
      </c>
      <c r="P66" s="35" t="s">
        <v>3679</v>
      </c>
      <c r="Q66" s="35" t="s">
        <v>116</v>
      </c>
      <c r="R66" s="193" t="s">
        <v>4500</v>
      </c>
      <c r="S66" s="193" t="s">
        <v>106</v>
      </c>
      <c r="T66" s="193" t="s">
        <v>107</v>
      </c>
      <c r="U66" s="192"/>
      <c r="V66" s="192"/>
      <c r="W66" s="192">
        <v>228</v>
      </c>
      <c r="X66" s="192">
        <v>213</v>
      </c>
      <c r="Y66" s="16">
        <v>213</v>
      </c>
      <c r="Z66" s="16">
        <v>138</v>
      </c>
      <c r="AA66" s="16">
        <v>152</v>
      </c>
      <c r="AB66" s="16">
        <v>7</v>
      </c>
      <c r="AC66" s="16">
        <v>60</v>
      </c>
      <c r="AD66" s="16">
        <v>219</v>
      </c>
      <c r="AE66" s="16">
        <v>24</v>
      </c>
      <c r="AF66" s="16">
        <v>6</v>
      </c>
      <c r="AG66" s="208"/>
      <c r="AH66" s="33" t="s">
        <v>158</v>
      </c>
      <c r="AI66" s="193"/>
      <c r="AJ66" s="25"/>
      <c r="AK66" s="192"/>
      <c r="AL66" s="16" t="s">
        <v>160</v>
      </c>
      <c r="AM66" s="16" t="s">
        <v>165</v>
      </c>
      <c r="AN66" s="193"/>
      <c r="AO66" s="193"/>
      <c r="AP66" s="193"/>
      <c r="AQ66" s="193"/>
      <c r="AR66" s="12" t="str">
        <f t="shared" si="1"/>
        <v/>
      </c>
      <c r="AS66" s="12" t="str">
        <f t="shared" si="2"/>
        <v/>
      </c>
      <c r="AT66" s="18"/>
    </row>
    <row r="67" spans="1:46" s="19" customFormat="1" ht="20.100000000000001" hidden="1" customHeight="1" x14ac:dyDescent="0.2">
      <c r="A67" s="222">
        <v>60</v>
      </c>
      <c r="B67" s="16" t="s">
        <v>4502</v>
      </c>
      <c r="C67" s="16" t="s">
        <v>625</v>
      </c>
      <c r="D67" s="193" t="s">
        <v>2762</v>
      </c>
      <c r="E67" s="193" t="s">
        <v>6</v>
      </c>
      <c r="F67" s="193"/>
      <c r="G67" s="193"/>
      <c r="H67" s="192" t="s">
        <v>7</v>
      </c>
      <c r="I67" s="16" t="s">
        <v>93</v>
      </c>
      <c r="J67" s="35" t="s">
        <v>68</v>
      </c>
      <c r="K67" s="35" t="s">
        <v>155</v>
      </c>
      <c r="L67" s="193" t="s">
        <v>4452</v>
      </c>
      <c r="M67" s="193" t="s">
        <v>106</v>
      </c>
      <c r="N67" s="192" t="s">
        <v>107</v>
      </c>
      <c r="O67" s="35" t="s">
        <v>332</v>
      </c>
      <c r="P67" s="35" t="s">
        <v>3679</v>
      </c>
      <c r="Q67" s="35" t="s">
        <v>718</v>
      </c>
      <c r="R67" s="193" t="s">
        <v>4525</v>
      </c>
      <c r="S67" s="193" t="s">
        <v>262</v>
      </c>
      <c r="T67" s="193" t="s">
        <v>70</v>
      </c>
      <c r="U67" s="192"/>
      <c r="V67" s="192"/>
      <c r="W67" s="192">
        <v>204</v>
      </c>
      <c r="X67" s="192">
        <v>186</v>
      </c>
      <c r="Y67" s="16">
        <v>186</v>
      </c>
      <c r="Z67" s="16">
        <v>115</v>
      </c>
      <c r="AA67" s="16">
        <v>132</v>
      </c>
      <c r="AB67" s="16">
        <v>6</v>
      </c>
      <c r="AC67" s="16">
        <v>35</v>
      </c>
      <c r="AD67" s="16">
        <v>173</v>
      </c>
      <c r="AE67" s="16">
        <v>24</v>
      </c>
      <c r="AF67" s="16">
        <v>6</v>
      </c>
      <c r="AG67" s="16"/>
      <c r="AH67" s="33" t="s">
        <v>158</v>
      </c>
      <c r="AI67" s="193"/>
      <c r="AJ67" s="25"/>
      <c r="AK67" s="192"/>
      <c r="AL67" s="16"/>
      <c r="AM67" s="16"/>
      <c r="AN67" s="193"/>
      <c r="AO67" s="193"/>
      <c r="AP67" s="193"/>
      <c r="AQ67" s="193"/>
      <c r="AR67" s="12" t="str">
        <f t="shared" si="1"/>
        <v/>
      </c>
      <c r="AS67" s="12" t="str">
        <f t="shared" si="2"/>
        <v/>
      </c>
      <c r="AT67" s="18"/>
    </row>
    <row r="68" spans="1:46" s="19" customFormat="1" ht="20.100000000000001" hidden="1" customHeight="1" x14ac:dyDescent="0.2">
      <c r="A68" s="222">
        <v>61</v>
      </c>
      <c r="B68" s="16" t="s">
        <v>4503</v>
      </c>
      <c r="C68" s="16" t="s">
        <v>625</v>
      </c>
      <c r="D68" s="193" t="s">
        <v>4504</v>
      </c>
      <c r="E68" s="193" t="s">
        <v>6</v>
      </c>
      <c r="F68" s="193" t="s">
        <v>192</v>
      </c>
      <c r="G68" s="193"/>
      <c r="H68" s="192" t="s">
        <v>7</v>
      </c>
      <c r="I68" s="16" t="s">
        <v>92</v>
      </c>
      <c r="J68" s="193"/>
      <c r="K68" s="193" t="s">
        <v>140</v>
      </c>
      <c r="L68" s="193" t="s">
        <v>1039</v>
      </c>
      <c r="M68" s="193" t="s">
        <v>106</v>
      </c>
      <c r="N68" s="192" t="s">
        <v>107</v>
      </c>
      <c r="O68" s="193"/>
      <c r="P68" s="193" t="s">
        <v>2961</v>
      </c>
      <c r="Q68" s="193" t="s">
        <v>144</v>
      </c>
      <c r="R68" s="193" t="s">
        <v>4526</v>
      </c>
      <c r="S68" s="193" t="s">
        <v>69</v>
      </c>
      <c r="T68" s="193" t="s">
        <v>70</v>
      </c>
      <c r="U68" s="192"/>
      <c r="V68" s="192"/>
      <c r="W68" s="192">
        <v>239</v>
      </c>
      <c r="X68" s="192">
        <v>0</v>
      </c>
      <c r="Y68" s="16">
        <v>210</v>
      </c>
      <c r="Z68" s="16">
        <v>120</v>
      </c>
      <c r="AA68" s="16">
        <v>180</v>
      </c>
      <c r="AB68" s="16">
        <v>5</v>
      </c>
      <c r="AC68" s="16">
        <v>60</v>
      </c>
      <c r="AD68" s="16">
        <v>245</v>
      </c>
      <c r="AE68" s="16">
        <v>7</v>
      </c>
      <c r="AF68" s="16">
        <v>4</v>
      </c>
      <c r="AG68" s="16"/>
      <c r="AH68" s="192"/>
      <c r="AI68" s="193"/>
      <c r="AJ68" s="193"/>
      <c r="AK68" s="192"/>
      <c r="AL68" s="16"/>
      <c r="AM68" s="16"/>
      <c r="AN68" s="193"/>
      <c r="AO68" s="193"/>
      <c r="AP68" s="193"/>
      <c r="AQ68" s="193"/>
      <c r="AR68" s="12" t="str">
        <f t="shared" si="1"/>
        <v/>
      </c>
      <c r="AS68" s="12" t="str">
        <f t="shared" si="2"/>
        <v/>
      </c>
      <c r="AT68" s="18"/>
    </row>
    <row r="69" spans="1:46" s="19" customFormat="1" ht="20.100000000000001" hidden="1" customHeight="1" x14ac:dyDescent="0.2">
      <c r="A69" s="222">
        <v>62</v>
      </c>
      <c r="B69" s="16" t="s">
        <v>4505</v>
      </c>
      <c r="C69" s="16" t="s">
        <v>625</v>
      </c>
      <c r="D69" s="193" t="s">
        <v>4506</v>
      </c>
      <c r="E69" s="193" t="s">
        <v>6</v>
      </c>
      <c r="F69" s="193" t="s">
        <v>192</v>
      </c>
      <c r="G69" s="193"/>
      <c r="H69" s="192" t="s">
        <v>7</v>
      </c>
      <c r="I69" s="16" t="s">
        <v>3576</v>
      </c>
      <c r="J69" s="193"/>
      <c r="K69" s="193" t="s">
        <v>117</v>
      </c>
      <c r="L69" s="193" t="s">
        <v>4527</v>
      </c>
      <c r="M69" s="193" t="s">
        <v>106</v>
      </c>
      <c r="N69" s="192" t="s">
        <v>107</v>
      </c>
      <c r="O69" s="193"/>
      <c r="P69" s="193" t="s">
        <v>3679</v>
      </c>
      <c r="Q69" s="193" t="s">
        <v>465</v>
      </c>
      <c r="R69" s="193" t="s">
        <v>4528</v>
      </c>
      <c r="S69" s="193" t="s">
        <v>142</v>
      </c>
      <c r="T69" s="193" t="s">
        <v>70</v>
      </c>
      <c r="U69" s="192"/>
      <c r="V69" s="192"/>
      <c r="W69" s="192">
        <v>204</v>
      </c>
      <c r="X69" s="192">
        <v>0</v>
      </c>
      <c r="Y69" s="16">
        <v>193</v>
      </c>
      <c r="Z69" s="16">
        <v>85</v>
      </c>
      <c r="AA69" s="16">
        <v>104</v>
      </c>
      <c r="AB69" s="16">
        <v>5</v>
      </c>
      <c r="AC69" s="16">
        <v>11</v>
      </c>
      <c r="AD69" s="16">
        <v>120</v>
      </c>
      <c r="AE69" s="16">
        <v>20</v>
      </c>
      <c r="AF69" s="16">
        <v>6</v>
      </c>
      <c r="AG69" s="16"/>
      <c r="AH69" s="17"/>
      <c r="AI69" s="193"/>
      <c r="AJ69" s="193"/>
      <c r="AK69" s="192"/>
      <c r="AL69" s="16"/>
      <c r="AM69" s="16"/>
      <c r="AN69" s="193"/>
      <c r="AO69" s="193"/>
      <c r="AP69" s="193"/>
      <c r="AQ69" s="193"/>
      <c r="AR69" s="12" t="str">
        <f t="shared" si="1"/>
        <v/>
      </c>
      <c r="AS69" s="12" t="str">
        <f t="shared" si="2"/>
        <v/>
      </c>
      <c r="AT69" s="18"/>
    </row>
    <row r="70" spans="1:46" s="19" customFormat="1" ht="20.100000000000001" hidden="1" customHeight="1" x14ac:dyDescent="0.2">
      <c r="A70" s="222">
        <v>63</v>
      </c>
      <c r="B70" s="16" t="s">
        <v>4507</v>
      </c>
      <c r="C70" s="16" t="s">
        <v>625</v>
      </c>
      <c r="D70" s="193" t="s">
        <v>2997</v>
      </c>
      <c r="E70" s="193" t="s">
        <v>243</v>
      </c>
      <c r="F70" s="193"/>
      <c r="G70" s="193"/>
      <c r="H70" s="192" t="s">
        <v>7</v>
      </c>
      <c r="I70" s="16" t="s">
        <v>84</v>
      </c>
      <c r="J70" s="35" t="s">
        <v>117</v>
      </c>
      <c r="K70" s="35" t="s">
        <v>334</v>
      </c>
      <c r="L70" s="193" t="s">
        <v>4561</v>
      </c>
      <c r="M70" s="193" t="s">
        <v>106</v>
      </c>
      <c r="N70" s="192" t="s">
        <v>107</v>
      </c>
      <c r="O70" s="35" t="s">
        <v>120</v>
      </c>
      <c r="P70" s="35" t="s">
        <v>2961</v>
      </c>
      <c r="Q70" s="35" t="s">
        <v>260</v>
      </c>
      <c r="R70" s="193" t="s">
        <v>4575</v>
      </c>
      <c r="S70" s="193" t="s">
        <v>106</v>
      </c>
      <c r="T70" s="193" t="s">
        <v>107</v>
      </c>
      <c r="U70" s="192"/>
      <c r="V70" s="192"/>
      <c r="W70" s="192">
        <v>138</v>
      </c>
      <c r="X70" s="192">
        <v>130</v>
      </c>
      <c r="Y70" s="16">
        <v>127</v>
      </c>
      <c r="Z70" s="16">
        <v>55</v>
      </c>
      <c r="AA70" s="16">
        <v>127</v>
      </c>
      <c r="AB70" s="16">
        <v>1</v>
      </c>
      <c r="AC70" s="16">
        <v>35</v>
      </c>
      <c r="AD70" s="16">
        <v>163</v>
      </c>
      <c r="AE70" s="16">
        <v>8</v>
      </c>
      <c r="AF70" s="16">
        <v>6</v>
      </c>
      <c r="AG70" s="16"/>
      <c r="AH70" s="33" t="s">
        <v>158</v>
      </c>
      <c r="AI70" s="193"/>
      <c r="AJ70" s="25"/>
      <c r="AK70" s="192"/>
      <c r="AL70" s="16"/>
      <c r="AM70" s="16"/>
      <c r="AN70" s="193"/>
      <c r="AO70" s="193"/>
      <c r="AP70" s="193"/>
      <c r="AQ70" s="193"/>
      <c r="AR70" s="12" t="str">
        <f t="shared" si="1"/>
        <v/>
      </c>
      <c r="AS70" s="12" t="str">
        <f t="shared" si="2"/>
        <v/>
      </c>
      <c r="AT70" s="18"/>
    </row>
    <row r="71" spans="1:46" s="19" customFormat="1" ht="20.100000000000001" hidden="1" customHeight="1" x14ac:dyDescent="0.2">
      <c r="A71" s="222">
        <v>64</v>
      </c>
      <c r="B71" s="16" t="s">
        <v>4508</v>
      </c>
      <c r="C71" s="16" t="s">
        <v>625</v>
      </c>
      <c r="D71" s="193" t="s">
        <v>1563</v>
      </c>
      <c r="E71" s="193" t="s">
        <v>10</v>
      </c>
      <c r="F71" s="193"/>
      <c r="G71" s="193"/>
      <c r="H71" s="192" t="s">
        <v>7</v>
      </c>
      <c r="I71" s="16" t="s">
        <v>84</v>
      </c>
      <c r="J71" s="35" t="s">
        <v>334</v>
      </c>
      <c r="K71" s="35" t="s">
        <v>769</v>
      </c>
      <c r="L71" s="193" t="s">
        <v>4562</v>
      </c>
      <c r="M71" s="193" t="s">
        <v>69</v>
      </c>
      <c r="N71" s="192" t="s">
        <v>70</v>
      </c>
      <c r="O71" s="35" t="s">
        <v>991</v>
      </c>
      <c r="P71" s="35" t="s">
        <v>2325</v>
      </c>
      <c r="Q71" s="35" t="s">
        <v>2258</v>
      </c>
      <c r="R71" s="193" t="s">
        <v>4576</v>
      </c>
      <c r="S71" s="211" t="s">
        <v>106</v>
      </c>
      <c r="T71" s="211" t="s">
        <v>107</v>
      </c>
      <c r="U71" s="192"/>
      <c r="V71" s="192"/>
      <c r="W71" s="192">
        <v>176</v>
      </c>
      <c r="X71" s="192">
        <v>174</v>
      </c>
      <c r="Y71" s="16">
        <v>171</v>
      </c>
      <c r="Z71" s="16">
        <v>135</v>
      </c>
      <c r="AA71" s="16">
        <v>157</v>
      </c>
      <c r="AB71" s="16">
        <v>2</v>
      </c>
      <c r="AC71" s="16">
        <v>26</v>
      </c>
      <c r="AD71" s="16">
        <v>185</v>
      </c>
      <c r="AE71" s="16">
        <v>4</v>
      </c>
      <c r="AF71" s="16">
        <v>4</v>
      </c>
      <c r="AG71" s="16"/>
      <c r="AH71" s="33" t="s">
        <v>158</v>
      </c>
      <c r="AI71" s="193"/>
      <c r="AJ71" s="25"/>
      <c r="AK71" s="192"/>
      <c r="AL71" s="16"/>
      <c r="AM71" s="16"/>
      <c r="AN71" s="193"/>
      <c r="AO71" s="193"/>
      <c r="AP71" s="193"/>
      <c r="AQ71" s="193"/>
      <c r="AR71" s="12" t="str">
        <f t="shared" si="1"/>
        <v/>
      </c>
      <c r="AS71" s="12" t="str">
        <f t="shared" si="2"/>
        <v/>
      </c>
      <c r="AT71" s="18"/>
    </row>
    <row r="72" spans="1:46" s="19" customFormat="1" ht="20.100000000000001" hidden="1" customHeight="1" x14ac:dyDescent="0.2">
      <c r="A72" s="222">
        <v>65</v>
      </c>
      <c r="B72" s="16" t="s">
        <v>4509</v>
      </c>
      <c r="C72" s="16" t="s">
        <v>625</v>
      </c>
      <c r="D72" s="193" t="s">
        <v>4275</v>
      </c>
      <c r="E72" s="193" t="s">
        <v>19</v>
      </c>
      <c r="F72" s="193"/>
      <c r="G72" s="193"/>
      <c r="H72" s="192" t="s">
        <v>7</v>
      </c>
      <c r="I72" s="16" t="s">
        <v>84</v>
      </c>
      <c r="J72" s="35" t="s">
        <v>104</v>
      </c>
      <c r="K72" s="35" t="s">
        <v>334</v>
      </c>
      <c r="L72" s="193" t="s">
        <v>4497</v>
      </c>
      <c r="M72" s="193" t="s">
        <v>69</v>
      </c>
      <c r="N72" s="192" t="s">
        <v>70</v>
      </c>
      <c r="O72" s="35" t="s">
        <v>402</v>
      </c>
      <c r="P72" s="35" t="s">
        <v>2961</v>
      </c>
      <c r="Q72" s="35" t="s">
        <v>116</v>
      </c>
      <c r="R72" s="193" t="s">
        <v>4529</v>
      </c>
      <c r="S72" s="193" t="s">
        <v>73</v>
      </c>
      <c r="T72" s="193" t="s">
        <v>70</v>
      </c>
      <c r="U72" s="192"/>
      <c r="V72" s="192"/>
      <c r="W72" s="192">
        <v>182</v>
      </c>
      <c r="X72" s="192">
        <v>180</v>
      </c>
      <c r="Y72" s="16">
        <v>174</v>
      </c>
      <c r="Z72" s="16">
        <v>59</v>
      </c>
      <c r="AA72" s="16">
        <v>160</v>
      </c>
      <c r="AB72" s="16">
        <v>3</v>
      </c>
      <c r="AC72" s="16">
        <v>11</v>
      </c>
      <c r="AD72" s="16">
        <v>174</v>
      </c>
      <c r="AE72" s="16">
        <v>6</v>
      </c>
      <c r="AF72" s="16">
        <v>4</v>
      </c>
      <c r="AG72" s="16"/>
      <c r="AH72" s="33" t="s">
        <v>158</v>
      </c>
      <c r="AI72" s="193"/>
      <c r="AJ72" s="25"/>
      <c r="AK72" s="192"/>
      <c r="AL72" s="16"/>
      <c r="AM72" s="16"/>
      <c r="AN72" s="193"/>
      <c r="AO72" s="193"/>
      <c r="AP72" s="193"/>
      <c r="AQ72" s="193"/>
      <c r="AR72" s="12" t="str">
        <f t="shared" si="1"/>
        <v/>
      </c>
      <c r="AS72" s="12" t="str">
        <f t="shared" si="2"/>
        <v/>
      </c>
      <c r="AT72" s="18"/>
    </row>
    <row r="73" spans="1:46" s="19" customFormat="1" ht="20.100000000000001" hidden="1" customHeight="1" x14ac:dyDescent="0.2">
      <c r="A73" s="222">
        <v>66</v>
      </c>
      <c r="B73" s="16" t="s">
        <v>4510</v>
      </c>
      <c r="C73" s="16" t="s">
        <v>625</v>
      </c>
      <c r="D73" s="193" t="s">
        <v>4487</v>
      </c>
      <c r="E73" s="193" t="s">
        <v>10</v>
      </c>
      <c r="F73" s="193"/>
      <c r="G73" s="193"/>
      <c r="H73" s="192" t="s">
        <v>7</v>
      </c>
      <c r="I73" s="16" t="s">
        <v>84</v>
      </c>
      <c r="J73" s="35" t="s">
        <v>155</v>
      </c>
      <c r="K73" s="35" t="s">
        <v>104</v>
      </c>
      <c r="L73" s="193" t="s">
        <v>4530</v>
      </c>
      <c r="M73" s="193" t="s">
        <v>106</v>
      </c>
      <c r="N73" s="192" t="s">
        <v>107</v>
      </c>
      <c r="O73" s="35" t="s">
        <v>167</v>
      </c>
      <c r="P73" s="35" t="s">
        <v>1510</v>
      </c>
      <c r="Q73" s="35" t="s">
        <v>769</v>
      </c>
      <c r="R73" s="193" t="s">
        <v>4531</v>
      </c>
      <c r="S73" s="193" t="s">
        <v>106</v>
      </c>
      <c r="T73" s="193" t="s">
        <v>107</v>
      </c>
      <c r="U73" s="192"/>
      <c r="V73" s="192"/>
      <c r="W73" s="192">
        <v>251</v>
      </c>
      <c r="X73" s="192">
        <v>231</v>
      </c>
      <c r="Y73" s="16">
        <v>231</v>
      </c>
      <c r="Z73" s="16">
        <v>141</v>
      </c>
      <c r="AA73" s="16">
        <v>151</v>
      </c>
      <c r="AB73" s="16">
        <v>3</v>
      </c>
      <c r="AC73" s="16">
        <v>51</v>
      </c>
      <c r="AD73" s="16">
        <v>205</v>
      </c>
      <c r="AE73" s="16">
        <v>15</v>
      </c>
      <c r="AF73" s="16">
        <v>6</v>
      </c>
      <c r="AG73" s="16"/>
      <c r="AH73" s="33" t="s">
        <v>158</v>
      </c>
      <c r="AI73" s="193"/>
      <c r="AJ73" s="193"/>
      <c r="AK73" s="192"/>
      <c r="AL73" s="16"/>
      <c r="AM73" s="16"/>
      <c r="AN73" s="193"/>
      <c r="AO73" s="193"/>
      <c r="AP73" s="193"/>
      <c r="AQ73" s="193"/>
      <c r="AR73" s="12" t="str">
        <f t="shared" si="1"/>
        <v/>
      </c>
      <c r="AS73" s="12" t="str">
        <f t="shared" si="2"/>
        <v/>
      </c>
      <c r="AT73" s="18"/>
    </row>
    <row r="74" spans="1:46" s="19" customFormat="1" ht="20.100000000000001" hidden="1" customHeight="1" x14ac:dyDescent="0.2">
      <c r="A74" s="222">
        <v>67</v>
      </c>
      <c r="B74" s="16" t="s">
        <v>4511</v>
      </c>
      <c r="C74" s="16" t="s">
        <v>625</v>
      </c>
      <c r="D74" s="193" t="s">
        <v>2072</v>
      </c>
      <c r="E74" s="193" t="s">
        <v>6</v>
      </c>
      <c r="F74" s="193" t="s">
        <v>185</v>
      </c>
      <c r="G74" s="193"/>
      <c r="H74" s="192" t="s">
        <v>83</v>
      </c>
      <c r="I74" s="16" t="s">
        <v>84</v>
      </c>
      <c r="J74" s="193"/>
      <c r="K74" s="212">
        <v>62</v>
      </c>
      <c r="L74" s="41">
        <v>3454</v>
      </c>
      <c r="M74" s="41" t="s">
        <v>106</v>
      </c>
      <c r="N74" s="13" t="s">
        <v>107</v>
      </c>
      <c r="O74" s="193"/>
      <c r="P74" s="193" t="s">
        <v>3677</v>
      </c>
      <c r="Q74" s="193" t="s">
        <v>485</v>
      </c>
      <c r="R74" s="41" t="s">
        <v>2092</v>
      </c>
      <c r="S74" s="41" t="s">
        <v>106</v>
      </c>
      <c r="T74" s="41" t="s">
        <v>107</v>
      </c>
      <c r="U74" s="192" t="s">
        <v>2097</v>
      </c>
      <c r="V74" s="192"/>
      <c r="W74" s="192"/>
      <c r="X74" s="192"/>
      <c r="Y74" s="16">
        <v>192</v>
      </c>
      <c r="Z74" s="16"/>
      <c r="AA74" s="16"/>
      <c r="AB74" s="16"/>
      <c r="AC74" s="16"/>
      <c r="AD74" s="16"/>
      <c r="AE74" s="16"/>
      <c r="AF74" s="16">
        <v>6</v>
      </c>
      <c r="AG74" s="16"/>
      <c r="AH74" s="17"/>
      <c r="AI74" s="193"/>
      <c r="AJ74" s="193"/>
      <c r="AK74" s="192"/>
      <c r="AL74" s="16" t="s">
        <v>160</v>
      </c>
      <c r="AM74" s="16" t="s">
        <v>193</v>
      </c>
      <c r="AN74" s="193" t="s">
        <v>4378</v>
      </c>
      <c r="AO74" s="193" t="s">
        <v>235</v>
      </c>
      <c r="AP74" s="193" t="s">
        <v>115</v>
      </c>
      <c r="AQ74" s="193" t="s">
        <v>260</v>
      </c>
      <c r="AR74" s="12">
        <f t="shared" ref="AR74:AR137" si="3">IF(AN74*AP74&gt;0,(AN74-AP74)*12+(AO74-AQ74),"")</f>
        <v>15</v>
      </c>
      <c r="AS74" s="12" t="str">
        <f t="shared" ref="AS74:AS137" si="4">IF(AR74&lt;13,AR74,"")</f>
        <v/>
      </c>
      <c r="AT74" s="18"/>
    </row>
    <row r="75" spans="1:46" s="21" customFormat="1" ht="20.100000000000001" hidden="1" customHeight="1" x14ac:dyDescent="0.2">
      <c r="A75" s="222">
        <v>68</v>
      </c>
      <c r="B75" s="29" t="s">
        <v>4512</v>
      </c>
      <c r="C75" s="29" t="s">
        <v>625</v>
      </c>
      <c r="D75" s="30" t="s">
        <v>2992</v>
      </c>
      <c r="E75" s="30" t="s">
        <v>19</v>
      </c>
      <c r="F75" s="30" t="s">
        <v>4038</v>
      </c>
      <c r="G75" s="30"/>
      <c r="H75" s="20" t="s">
        <v>83</v>
      </c>
      <c r="I75" s="29" t="s">
        <v>84</v>
      </c>
      <c r="J75" s="30"/>
      <c r="K75" s="30" t="s">
        <v>140</v>
      </c>
      <c r="L75" s="30" t="s">
        <v>4545</v>
      </c>
      <c r="M75" s="30" t="s">
        <v>106</v>
      </c>
      <c r="N75" s="20" t="s">
        <v>107</v>
      </c>
      <c r="O75" s="30"/>
      <c r="P75" s="30" t="s">
        <v>3677</v>
      </c>
      <c r="Q75" s="30" t="s">
        <v>506</v>
      </c>
      <c r="R75" s="30" t="s">
        <v>4027</v>
      </c>
      <c r="S75" s="30" t="s">
        <v>106</v>
      </c>
      <c r="T75" s="30" t="s">
        <v>107</v>
      </c>
      <c r="U75" s="29" t="s">
        <v>4306</v>
      </c>
      <c r="V75" s="20"/>
      <c r="W75" s="20"/>
      <c r="X75" s="20"/>
      <c r="Y75" s="29"/>
      <c r="Z75" s="29"/>
      <c r="AA75" s="29"/>
      <c r="AB75" s="29"/>
      <c r="AC75" s="29"/>
      <c r="AD75" s="29"/>
      <c r="AE75" s="29"/>
      <c r="AF75" s="29"/>
      <c r="AG75" s="29"/>
      <c r="AH75" s="30"/>
      <c r="AI75" s="30"/>
      <c r="AJ75" s="30"/>
      <c r="AK75" s="20"/>
      <c r="AL75" s="29"/>
      <c r="AM75" s="29"/>
      <c r="AN75" s="30" t="s">
        <v>4378</v>
      </c>
      <c r="AO75" s="30" t="s">
        <v>235</v>
      </c>
      <c r="AP75" s="30" t="s">
        <v>113</v>
      </c>
      <c r="AQ75" s="30" t="s">
        <v>260</v>
      </c>
      <c r="AR75" s="12">
        <f t="shared" si="3"/>
        <v>3</v>
      </c>
      <c r="AS75" s="12">
        <f t="shared" si="4"/>
        <v>3</v>
      </c>
      <c r="AT75" s="32"/>
    </row>
    <row r="76" spans="1:46" s="19" customFormat="1" ht="20.100000000000001" hidden="1" customHeight="1" x14ac:dyDescent="0.2">
      <c r="A76" s="247">
        <v>69</v>
      </c>
      <c r="B76" s="16" t="s">
        <v>4512</v>
      </c>
      <c r="C76" s="16" t="s">
        <v>625</v>
      </c>
      <c r="D76" s="193" t="s">
        <v>4513</v>
      </c>
      <c r="E76" s="193" t="s">
        <v>20</v>
      </c>
      <c r="F76" s="193" t="s">
        <v>4038</v>
      </c>
      <c r="G76" s="193"/>
      <c r="H76" s="192" t="s">
        <v>83</v>
      </c>
      <c r="I76" s="16" t="s">
        <v>92</v>
      </c>
      <c r="J76" s="193"/>
      <c r="K76" s="193"/>
      <c r="L76" s="193"/>
      <c r="M76" s="193"/>
      <c r="N76" s="192"/>
      <c r="O76" s="193"/>
      <c r="P76" s="193"/>
      <c r="Q76" s="193"/>
      <c r="R76" s="193"/>
      <c r="S76" s="193"/>
      <c r="T76" s="193"/>
      <c r="U76" s="192"/>
      <c r="V76" s="192"/>
      <c r="W76" s="192"/>
      <c r="X76" s="192"/>
      <c r="Y76" s="16"/>
      <c r="Z76" s="16"/>
      <c r="AA76" s="16"/>
      <c r="AB76" s="16"/>
      <c r="AC76" s="16"/>
      <c r="AD76" s="16"/>
      <c r="AE76" s="16"/>
      <c r="AF76" s="16"/>
      <c r="AG76" s="16"/>
      <c r="AH76" s="192"/>
      <c r="AI76" s="193"/>
      <c r="AJ76" s="193"/>
      <c r="AK76" s="192"/>
      <c r="AL76" s="16"/>
      <c r="AM76" s="16"/>
      <c r="AN76" s="193"/>
      <c r="AO76" s="193"/>
      <c r="AP76" s="193"/>
      <c r="AQ76" s="193"/>
      <c r="AR76" s="12" t="str">
        <f t="shared" si="3"/>
        <v/>
      </c>
      <c r="AS76" s="12" t="str">
        <f t="shared" si="4"/>
        <v/>
      </c>
      <c r="AT76" s="18"/>
    </row>
    <row r="77" spans="1:46" s="19" customFormat="1" ht="20.100000000000001" hidden="1" customHeight="1" x14ac:dyDescent="0.2">
      <c r="A77" s="222">
        <v>70</v>
      </c>
      <c r="B77" s="16" t="s">
        <v>4512</v>
      </c>
      <c r="C77" s="16" t="s">
        <v>625</v>
      </c>
      <c r="D77" s="193" t="s">
        <v>4513</v>
      </c>
      <c r="E77" s="193" t="s">
        <v>20</v>
      </c>
      <c r="F77" s="193"/>
      <c r="G77" s="193"/>
      <c r="H77" s="192" t="s">
        <v>7</v>
      </c>
      <c r="I77" s="16" t="s">
        <v>92</v>
      </c>
      <c r="J77" s="193"/>
      <c r="K77" s="193" t="s">
        <v>116</v>
      </c>
      <c r="L77" s="193" t="s">
        <v>4563</v>
      </c>
      <c r="M77" s="211" t="s">
        <v>106</v>
      </c>
      <c r="N77" s="210" t="s">
        <v>107</v>
      </c>
      <c r="O77" s="193"/>
      <c r="P77" s="193" t="s">
        <v>2961</v>
      </c>
      <c r="Q77" s="193" t="s">
        <v>458</v>
      </c>
      <c r="R77" s="193" t="s">
        <v>4577</v>
      </c>
      <c r="S77" s="211" t="s">
        <v>106</v>
      </c>
      <c r="T77" s="211" t="s">
        <v>107</v>
      </c>
      <c r="U77" s="192"/>
      <c r="V77" s="192"/>
      <c r="W77" s="192"/>
      <c r="X77" s="192"/>
      <c r="Y77" s="16"/>
      <c r="Z77" s="16"/>
      <c r="AA77" s="16"/>
      <c r="AB77" s="16"/>
      <c r="AC77" s="16"/>
      <c r="AD77" s="16">
        <v>37</v>
      </c>
      <c r="AE77" s="16"/>
      <c r="AF77" s="16"/>
      <c r="AG77" s="16"/>
      <c r="AH77" s="17"/>
      <c r="AI77" s="193"/>
      <c r="AJ77" s="25"/>
      <c r="AK77" s="192"/>
      <c r="AL77" s="16"/>
      <c r="AM77" s="16"/>
      <c r="AN77" s="193"/>
      <c r="AO77" s="193"/>
      <c r="AP77" s="193"/>
      <c r="AQ77" s="193"/>
      <c r="AR77" s="12" t="str">
        <f t="shared" si="3"/>
        <v/>
      </c>
      <c r="AS77" s="12" t="str">
        <f t="shared" si="4"/>
        <v/>
      </c>
      <c r="AT77" s="18"/>
    </row>
    <row r="78" spans="1:46" s="19" customFormat="1" ht="20.100000000000001" hidden="1" customHeight="1" x14ac:dyDescent="0.2">
      <c r="A78" s="222">
        <v>71</v>
      </c>
      <c r="B78" s="16" t="s">
        <v>4514</v>
      </c>
      <c r="C78" s="16" t="s">
        <v>625</v>
      </c>
      <c r="D78" s="193" t="s">
        <v>4515</v>
      </c>
      <c r="E78" s="193" t="s">
        <v>6</v>
      </c>
      <c r="F78" s="193" t="s">
        <v>192</v>
      </c>
      <c r="G78" s="193"/>
      <c r="H78" s="192" t="s">
        <v>7</v>
      </c>
      <c r="I78" s="16" t="s">
        <v>84</v>
      </c>
      <c r="J78" s="193"/>
      <c r="K78" s="193" t="s">
        <v>218</v>
      </c>
      <c r="L78" s="193" t="s">
        <v>4532</v>
      </c>
      <c r="M78" s="193" t="s">
        <v>106</v>
      </c>
      <c r="N78" s="192" t="s">
        <v>107</v>
      </c>
      <c r="O78" s="193"/>
      <c r="P78" s="193" t="s">
        <v>3679</v>
      </c>
      <c r="Q78" s="193" t="s">
        <v>116</v>
      </c>
      <c r="R78" s="193" t="s">
        <v>4578</v>
      </c>
      <c r="S78" s="193" t="s">
        <v>106</v>
      </c>
      <c r="T78" s="193" t="s">
        <v>107</v>
      </c>
      <c r="U78" s="192"/>
      <c r="V78" s="192"/>
      <c r="W78" s="192">
        <v>249</v>
      </c>
      <c r="X78" s="192">
        <v>0</v>
      </c>
      <c r="Y78" s="16">
        <v>234</v>
      </c>
      <c r="Z78" s="16">
        <v>70</v>
      </c>
      <c r="AA78" s="16">
        <v>97</v>
      </c>
      <c r="AB78" s="16">
        <v>7</v>
      </c>
      <c r="AC78" s="16">
        <v>92</v>
      </c>
      <c r="AD78" s="16">
        <v>196</v>
      </c>
      <c r="AE78" s="16">
        <v>28</v>
      </c>
      <c r="AF78" s="16">
        <v>6</v>
      </c>
      <c r="AG78" s="16"/>
      <c r="AH78" s="17"/>
      <c r="AI78" s="193"/>
      <c r="AJ78" s="25"/>
      <c r="AK78" s="192"/>
      <c r="AL78" s="16" t="s">
        <v>160</v>
      </c>
      <c r="AM78" s="16" t="s">
        <v>165</v>
      </c>
      <c r="AN78" s="193"/>
      <c r="AO78" s="193"/>
      <c r="AP78" s="193"/>
      <c r="AQ78" s="193"/>
      <c r="AR78" s="12" t="str">
        <f t="shared" si="3"/>
        <v/>
      </c>
      <c r="AS78" s="12" t="str">
        <f t="shared" si="4"/>
        <v/>
      </c>
      <c r="AT78" s="18"/>
    </row>
    <row r="79" spans="1:46" s="19" customFormat="1" ht="20.100000000000001" hidden="1" customHeight="1" x14ac:dyDescent="0.2">
      <c r="A79" s="222">
        <v>72</v>
      </c>
      <c r="B79" s="16" t="s">
        <v>4516</v>
      </c>
      <c r="C79" s="16" t="s">
        <v>625</v>
      </c>
      <c r="D79" s="193" t="s">
        <v>4517</v>
      </c>
      <c r="E79" s="193" t="s">
        <v>20</v>
      </c>
      <c r="F79" s="193" t="s">
        <v>4038</v>
      </c>
      <c r="G79" s="193"/>
      <c r="H79" s="192" t="s">
        <v>83</v>
      </c>
      <c r="I79" s="16" t="s">
        <v>93</v>
      </c>
      <c r="J79" s="193"/>
      <c r="K79" s="215" t="s">
        <v>155</v>
      </c>
      <c r="L79" s="215"/>
      <c r="M79" s="215" t="s">
        <v>142</v>
      </c>
      <c r="N79" s="214" t="s">
        <v>70</v>
      </c>
      <c r="O79" s="193"/>
      <c r="P79" s="215" t="s">
        <v>3679</v>
      </c>
      <c r="Q79" s="215" t="s">
        <v>441</v>
      </c>
      <c r="R79" s="215"/>
      <c r="S79" s="215" t="s">
        <v>106</v>
      </c>
      <c r="T79" s="215" t="s">
        <v>107</v>
      </c>
      <c r="U79" s="16" t="s">
        <v>176</v>
      </c>
      <c r="V79" s="192"/>
      <c r="W79" s="192"/>
      <c r="X79" s="192"/>
      <c r="Y79" s="16">
        <v>144</v>
      </c>
      <c r="Z79" s="16"/>
      <c r="AA79" s="16"/>
      <c r="AB79" s="16"/>
      <c r="AC79" s="16"/>
      <c r="AD79" s="16"/>
      <c r="AE79" s="16"/>
      <c r="AF79" s="16"/>
      <c r="AG79" s="16"/>
      <c r="AH79" s="17"/>
      <c r="AI79" s="193"/>
      <c r="AJ79" s="193"/>
      <c r="AK79" s="192"/>
      <c r="AL79" s="16"/>
      <c r="AM79" s="16"/>
      <c r="AN79" s="193" t="s">
        <v>4378</v>
      </c>
      <c r="AO79" s="193" t="s">
        <v>235</v>
      </c>
      <c r="AP79" s="193" t="s">
        <v>113</v>
      </c>
      <c r="AQ79" s="193" t="s">
        <v>114</v>
      </c>
      <c r="AR79" s="12">
        <f t="shared" si="3"/>
        <v>14</v>
      </c>
      <c r="AS79" s="12" t="str">
        <f t="shared" si="4"/>
        <v/>
      </c>
      <c r="AT79" s="18"/>
    </row>
    <row r="80" spans="1:46" s="19" customFormat="1" ht="20.100000000000001" hidden="1" customHeight="1" x14ac:dyDescent="0.2">
      <c r="A80" s="222">
        <v>73</v>
      </c>
      <c r="B80" s="16" t="s">
        <v>4516</v>
      </c>
      <c r="C80" s="16" t="s">
        <v>625</v>
      </c>
      <c r="D80" s="193" t="s">
        <v>1562</v>
      </c>
      <c r="E80" s="193" t="s">
        <v>6</v>
      </c>
      <c r="F80" s="193" t="s">
        <v>4038</v>
      </c>
      <c r="G80" s="193"/>
      <c r="H80" s="192" t="s">
        <v>83</v>
      </c>
      <c r="I80" s="16" t="s">
        <v>84</v>
      </c>
      <c r="J80" s="193"/>
      <c r="K80" s="41" t="s">
        <v>155</v>
      </c>
      <c r="L80" s="41" t="s">
        <v>1093</v>
      </c>
      <c r="M80" s="41" t="s">
        <v>106</v>
      </c>
      <c r="N80" s="13" t="s">
        <v>107</v>
      </c>
      <c r="O80" s="193"/>
      <c r="P80" s="193" t="s">
        <v>3679</v>
      </c>
      <c r="Q80" s="193" t="s">
        <v>718</v>
      </c>
      <c r="R80" s="41" t="s">
        <v>1028</v>
      </c>
      <c r="S80" s="41" t="s">
        <v>106</v>
      </c>
      <c r="T80" s="41" t="s">
        <v>107</v>
      </c>
      <c r="U80" s="192" t="s">
        <v>4347</v>
      </c>
      <c r="V80" s="192"/>
      <c r="W80" s="192"/>
      <c r="X80" s="192"/>
      <c r="Y80" s="16">
        <v>222</v>
      </c>
      <c r="Z80" s="16"/>
      <c r="AA80" s="16"/>
      <c r="AB80" s="16"/>
      <c r="AC80" s="16"/>
      <c r="AD80" s="16"/>
      <c r="AE80" s="16"/>
      <c r="AF80" s="16"/>
      <c r="AG80" s="16"/>
      <c r="AH80" s="193"/>
      <c r="AI80" s="193"/>
      <c r="AJ80" s="193"/>
      <c r="AK80" s="192"/>
      <c r="AL80" s="16"/>
      <c r="AM80" s="16"/>
      <c r="AN80" s="193" t="s">
        <v>4378</v>
      </c>
      <c r="AO80" s="193" t="s">
        <v>235</v>
      </c>
      <c r="AP80" s="193" t="s">
        <v>115</v>
      </c>
      <c r="AQ80" s="193" t="s">
        <v>266</v>
      </c>
      <c r="AR80" s="12">
        <f t="shared" si="3"/>
        <v>18</v>
      </c>
      <c r="AS80" s="12" t="str">
        <f t="shared" si="4"/>
        <v/>
      </c>
      <c r="AT80" s="18"/>
    </row>
    <row r="81" spans="1:46" s="21" customFormat="1" ht="20.100000000000001" hidden="1" customHeight="1" x14ac:dyDescent="0.2">
      <c r="A81" s="222">
        <v>74</v>
      </c>
      <c r="B81" s="29" t="s">
        <v>4518</v>
      </c>
      <c r="C81" s="29" t="s">
        <v>625</v>
      </c>
      <c r="D81" s="30" t="s">
        <v>4519</v>
      </c>
      <c r="E81" s="30" t="s">
        <v>20</v>
      </c>
      <c r="F81" s="30" t="s">
        <v>4038</v>
      </c>
      <c r="G81" s="30"/>
      <c r="H81" s="20" t="s">
        <v>83</v>
      </c>
      <c r="I81" s="29" t="s">
        <v>93</v>
      </c>
      <c r="J81" s="30"/>
      <c r="K81" s="30" t="s">
        <v>223</v>
      </c>
      <c r="L81" s="30"/>
      <c r="M81" s="30" t="s">
        <v>106</v>
      </c>
      <c r="N81" s="20" t="s">
        <v>107</v>
      </c>
      <c r="O81" s="30"/>
      <c r="P81" s="30" t="s">
        <v>1809</v>
      </c>
      <c r="Q81" s="30" t="s">
        <v>116</v>
      </c>
      <c r="R81" s="30"/>
      <c r="S81" s="30" t="s">
        <v>106</v>
      </c>
      <c r="T81" s="30" t="s">
        <v>107</v>
      </c>
      <c r="U81" s="29" t="s">
        <v>3996</v>
      </c>
      <c r="V81" s="20"/>
      <c r="W81" s="20"/>
      <c r="X81" s="20"/>
      <c r="Y81" s="29">
        <v>138</v>
      </c>
      <c r="Z81" s="29"/>
      <c r="AA81" s="29"/>
      <c r="AB81" s="29"/>
      <c r="AC81" s="29"/>
      <c r="AD81" s="29"/>
      <c r="AE81" s="29"/>
      <c r="AF81" s="29"/>
      <c r="AG81" s="29"/>
      <c r="AH81" s="39"/>
      <c r="AI81" s="30"/>
      <c r="AJ81" s="30"/>
      <c r="AK81" s="20"/>
      <c r="AL81" s="29"/>
      <c r="AM81" s="29"/>
      <c r="AN81" s="30" t="s">
        <v>4378</v>
      </c>
      <c r="AO81" s="30" t="s">
        <v>235</v>
      </c>
      <c r="AP81" s="30" t="s">
        <v>113</v>
      </c>
      <c r="AQ81" s="30" t="s">
        <v>148</v>
      </c>
      <c r="AR81" s="12">
        <f t="shared" si="3"/>
        <v>7</v>
      </c>
      <c r="AS81" s="12">
        <f t="shared" si="4"/>
        <v>7</v>
      </c>
      <c r="AT81" s="32"/>
    </row>
    <row r="82" spans="1:46" s="21" customFormat="1" ht="20.100000000000001" hidden="1" customHeight="1" x14ac:dyDescent="0.2">
      <c r="A82" s="20">
        <v>75</v>
      </c>
      <c r="B82" s="29" t="s">
        <v>4518</v>
      </c>
      <c r="C82" s="29" t="s">
        <v>625</v>
      </c>
      <c r="D82" s="30" t="s">
        <v>4520</v>
      </c>
      <c r="E82" s="30" t="s">
        <v>9</v>
      </c>
      <c r="F82" s="30" t="s">
        <v>202</v>
      </c>
      <c r="G82" s="30"/>
      <c r="H82" s="20" t="s">
        <v>83</v>
      </c>
      <c r="I82" s="29" t="s">
        <v>84</v>
      </c>
      <c r="J82" s="30"/>
      <c r="K82" s="30" t="s">
        <v>334</v>
      </c>
      <c r="L82" s="30" t="s">
        <v>1847</v>
      </c>
      <c r="M82" s="30" t="s">
        <v>69</v>
      </c>
      <c r="N82" s="20" t="s">
        <v>70</v>
      </c>
      <c r="O82" s="30"/>
      <c r="P82" s="30" t="s">
        <v>2961</v>
      </c>
      <c r="Q82" s="30" t="s">
        <v>260</v>
      </c>
      <c r="R82" s="30" t="s">
        <v>3868</v>
      </c>
      <c r="S82" s="30" t="s">
        <v>73</v>
      </c>
      <c r="T82" s="30" t="s">
        <v>70</v>
      </c>
      <c r="U82" s="29" t="s">
        <v>3781</v>
      </c>
      <c r="V82" s="20"/>
      <c r="W82" s="20"/>
      <c r="X82" s="20"/>
      <c r="Y82" s="29">
        <v>222</v>
      </c>
      <c r="Z82" s="29"/>
      <c r="AA82" s="29"/>
      <c r="AB82" s="29"/>
      <c r="AC82" s="29"/>
      <c r="AD82" s="29"/>
      <c r="AE82" s="29"/>
      <c r="AF82" s="29"/>
      <c r="AG82" s="29"/>
      <c r="AH82" s="20"/>
      <c r="AI82" s="30"/>
      <c r="AJ82" s="36"/>
      <c r="AK82" s="20"/>
      <c r="AL82" s="29" t="s">
        <v>160</v>
      </c>
      <c r="AM82" s="29" t="s">
        <v>231</v>
      </c>
      <c r="AN82" s="30" t="s">
        <v>4378</v>
      </c>
      <c r="AO82" s="30" t="s">
        <v>235</v>
      </c>
      <c r="AP82" s="30" t="s">
        <v>113</v>
      </c>
      <c r="AQ82" s="30" t="s">
        <v>137</v>
      </c>
      <c r="AR82" s="12">
        <f t="shared" si="3"/>
        <v>9</v>
      </c>
      <c r="AS82" s="12">
        <f t="shared" si="4"/>
        <v>9</v>
      </c>
      <c r="AT82" s="32"/>
    </row>
    <row r="83" spans="1:46" s="19" customFormat="1" ht="20.100000000000001" hidden="1" customHeight="1" x14ac:dyDescent="0.2">
      <c r="A83" s="222">
        <v>76</v>
      </c>
      <c r="B83" s="16" t="s">
        <v>4518</v>
      </c>
      <c r="C83" s="16" t="s">
        <v>625</v>
      </c>
      <c r="D83" s="211" t="s">
        <v>4520</v>
      </c>
      <c r="E83" s="211" t="s">
        <v>9</v>
      </c>
      <c r="F83" s="193"/>
      <c r="G83" s="193"/>
      <c r="H83" s="192" t="s">
        <v>7</v>
      </c>
      <c r="I83" s="16" t="s">
        <v>84</v>
      </c>
      <c r="J83" s="193"/>
      <c r="K83" s="193" t="s">
        <v>155</v>
      </c>
      <c r="L83" s="193" t="s">
        <v>4533</v>
      </c>
      <c r="M83" s="211" t="s">
        <v>106</v>
      </c>
      <c r="N83" s="210" t="s">
        <v>107</v>
      </c>
      <c r="O83" s="193"/>
      <c r="P83" s="193" t="s">
        <v>3679</v>
      </c>
      <c r="Q83" s="193" t="s">
        <v>718</v>
      </c>
      <c r="R83" s="193" t="s">
        <v>4534</v>
      </c>
      <c r="S83" s="211" t="s">
        <v>69</v>
      </c>
      <c r="T83" s="210" t="s">
        <v>70</v>
      </c>
      <c r="U83" s="192"/>
      <c r="V83" s="192"/>
      <c r="W83" s="192"/>
      <c r="X83" s="192">
        <v>192</v>
      </c>
      <c r="Y83" s="16">
        <v>192</v>
      </c>
      <c r="Z83" s="16">
        <v>149</v>
      </c>
      <c r="AA83" s="16">
        <v>176</v>
      </c>
      <c r="AB83" s="16">
        <v>6</v>
      </c>
      <c r="AC83" s="16">
        <v>22</v>
      </c>
      <c r="AD83" s="16">
        <v>204</v>
      </c>
      <c r="AE83" s="16">
        <v>23</v>
      </c>
      <c r="AF83" s="16">
        <v>6</v>
      </c>
      <c r="AG83" s="16"/>
      <c r="AH83" s="192"/>
      <c r="AI83" s="193"/>
      <c r="AJ83" s="25"/>
      <c r="AK83" s="192"/>
      <c r="AL83" s="16"/>
      <c r="AM83" s="16"/>
      <c r="AN83" s="193"/>
      <c r="AO83" s="193"/>
      <c r="AP83" s="193"/>
      <c r="AQ83" s="193"/>
      <c r="AR83" s="12" t="str">
        <f t="shared" si="3"/>
        <v/>
      </c>
      <c r="AS83" s="12" t="str">
        <f t="shared" si="4"/>
        <v/>
      </c>
      <c r="AT83" s="18"/>
    </row>
    <row r="84" spans="1:46" s="19" customFormat="1" ht="20.100000000000001" hidden="1" customHeight="1" x14ac:dyDescent="0.2">
      <c r="A84" s="222">
        <v>77</v>
      </c>
      <c r="B84" s="16" t="s">
        <v>4521</v>
      </c>
      <c r="C84" s="16" t="s">
        <v>625</v>
      </c>
      <c r="D84" s="193" t="s">
        <v>1820</v>
      </c>
      <c r="E84" s="193" t="s">
        <v>66</v>
      </c>
      <c r="F84" s="193" t="s">
        <v>192</v>
      </c>
      <c r="G84" s="193"/>
      <c r="H84" s="192" t="s">
        <v>7</v>
      </c>
      <c r="I84" s="16" t="s">
        <v>93</v>
      </c>
      <c r="J84" s="193"/>
      <c r="K84" s="193" t="s">
        <v>140</v>
      </c>
      <c r="L84" s="193" t="s">
        <v>4564</v>
      </c>
      <c r="M84" s="193" t="s">
        <v>69</v>
      </c>
      <c r="N84" s="192" t="s">
        <v>70</v>
      </c>
      <c r="O84" s="193"/>
      <c r="P84" s="193" t="s">
        <v>2245</v>
      </c>
      <c r="Q84" s="193" t="s">
        <v>718</v>
      </c>
      <c r="R84" s="193" t="s">
        <v>4579</v>
      </c>
      <c r="S84" s="211" t="s">
        <v>106</v>
      </c>
      <c r="T84" s="211" t="s">
        <v>107</v>
      </c>
      <c r="U84" s="192"/>
      <c r="V84" s="192"/>
      <c r="W84" s="192">
        <v>196</v>
      </c>
      <c r="X84" s="192">
        <v>0</v>
      </c>
      <c r="Y84" s="16">
        <v>186</v>
      </c>
      <c r="Z84" s="16">
        <v>77</v>
      </c>
      <c r="AA84" s="16">
        <v>112</v>
      </c>
      <c r="AB84" s="16">
        <v>2</v>
      </c>
      <c r="AC84" s="16">
        <v>30</v>
      </c>
      <c r="AD84" s="16">
        <v>144</v>
      </c>
      <c r="AE84" s="16">
        <v>12</v>
      </c>
      <c r="AF84" s="16">
        <v>6</v>
      </c>
      <c r="AG84" s="16"/>
      <c r="AH84" s="17"/>
      <c r="AI84" s="193"/>
      <c r="AJ84" s="25"/>
      <c r="AK84" s="192"/>
      <c r="AL84" s="16" t="s">
        <v>160</v>
      </c>
      <c r="AM84" s="16"/>
      <c r="AN84" s="193"/>
      <c r="AO84" s="193"/>
      <c r="AP84" s="193"/>
      <c r="AQ84" s="193"/>
      <c r="AR84" s="12" t="str">
        <f t="shared" si="3"/>
        <v/>
      </c>
      <c r="AS84" s="12" t="str">
        <f t="shared" si="4"/>
        <v/>
      </c>
      <c r="AT84" s="18"/>
    </row>
    <row r="85" spans="1:46" s="21" customFormat="1" ht="20.100000000000001" hidden="1" customHeight="1" x14ac:dyDescent="0.2">
      <c r="A85" s="222">
        <v>78</v>
      </c>
      <c r="B85" s="29" t="s">
        <v>4522</v>
      </c>
      <c r="C85" s="29" t="s">
        <v>625</v>
      </c>
      <c r="D85" s="30" t="s">
        <v>1207</v>
      </c>
      <c r="E85" s="30" t="s">
        <v>8</v>
      </c>
      <c r="F85" s="30" t="s">
        <v>4038</v>
      </c>
      <c r="G85" s="30"/>
      <c r="H85" s="20" t="s">
        <v>83</v>
      </c>
      <c r="I85" s="29" t="s">
        <v>93</v>
      </c>
      <c r="J85" s="30"/>
      <c r="K85" s="30" t="s">
        <v>104</v>
      </c>
      <c r="L85" s="30" t="s">
        <v>127</v>
      </c>
      <c r="M85" s="30" t="s">
        <v>142</v>
      </c>
      <c r="N85" s="20" t="s">
        <v>70</v>
      </c>
      <c r="O85" s="30"/>
      <c r="P85" s="30" t="s">
        <v>3677</v>
      </c>
      <c r="Q85" s="30" t="s">
        <v>555</v>
      </c>
      <c r="R85" s="30" t="s">
        <v>3629</v>
      </c>
      <c r="S85" s="30" t="s">
        <v>106</v>
      </c>
      <c r="T85" s="30" t="s">
        <v>107</v>
      </c>
      <c r="U85" s="29" t="s">
        <v>3613</v>
      </c>
      <c r="V85" s="20"/>
      <c r="W85" s="20"/>
      <c r="X85" s="20"/>
      <c r="Y85" s="29">
        <v>156</v>
      </c>
      <c r="Z85" s="29"/>
      <c r="AA85" s="29"/>
      <c r="AB85" s="29"/>
      <c r="AC85" s="20"/>
      <c r="AD85" s="29"/>
      <c r="AE85" s="29"/>
      <c r="AF85" s="29"/>
      <c r="AG85" s="29"/>
      <c r="AH85" s="20"/>
      <c r="AI85" s="30"/>
      <c r="AJ85" s="30"/>
      <c r="AK85" s="20"/>
      <c r="AL85" s="29"/>
      <c r="AM85" s="29"/>
      <c r="AN85" s="30" t="s">
        <v>4378</v>
      </c>
      <c r="AO85" s="30" t="s">
        <v>235</v>
      </c>
      <c r="AP85" s="30" t="s">
        <v>113</v>
      </c>
      <c r="AQ85" s="30" t="s">
        <v>1247</v>
      </c>
      <c r="AR85" s="12">
        <f t="shared" si="3"/>
        <v>10</v>
      </c>
      <c r="AS85" s="12">
        <f t="shared" si="4"/>
        <v>10</v>
      </c>
      <c r="AT85" s="32"/>
    </row>
    <row r="86" spans="1:46" s="21" customFormat="1" ht="20.100000000000001" hidden="1" customHeight="1" x14ac:dyDescent="0.2">
      <c r="A86" s="222">
        <v>79</v>
      </c>
      <c r="B86" s="29" t="s">
        <v>4523</v>
      </c>
      <c r="C86" s="29" t="s">
        <v>625</v>
      </c>
      <c r="D86" s="30" t="s">
        <v>4524</v>
      </c>
      <c r="E86" s="30" t="s">
        <v>9</v>
      </c>
      <c r="F86" s="30" t="s">
        <v>4589</v>
      </c>
      <c r="G86" s="30"/>
      <c r="H86" s="20" t="s">
        <v>83</v>
      </c>
      <c r="I86" s="29" t="s">
        <v>84</v>
      </c>
      <c r="J86" s="30"/>
      <c r="K86" s="30" t="s">
        <v>223</v>
      </c>
      <c r="L86" s="30" t="s">
        <v>3903</v>
      </c>
      <c r="M86" s="30" t="s">
        <v>69</v>
      </c>
      <c r="N86" s="20" t="s">
        <v>70</v>
      </c>
      <c r="O86" s="30"/>
      <c r="P86" s="30" t="s">
        <v>1809</v>
      </c>
      <c r="Q86" s="30" t="s">
        <v>116</v>
      </c>
      <c r="R86" s="30" t="s">
        <v>3904</v>
      </c>
      <c r="S86" s="30" t="s">
        <v>106</v>
      </c>
      <c r="T86" s="30" t="s">
        <v>107</v>
      </c>
      <c r="U86" s="29" t="s">
        <v>3897</v>
      </c>
      <c r="V86" s="20"/>
      <c r="W86" s="20"/>
      <c r="X86" s="20"/>
      <c r="Y86" s="29">
        <v>128</v>
      </c>
      <c r="Z86" s="29"/>
      <c r="AA86" s="29"/>
      <c r="AB86" s="29"/>
      <c r="AC86" s="29"/>
      <c r="AD86" s="29"/>
      <c r="AE86" s="29"/>
      <c r="AF86" s="29"/>
      <c r="AG86" s="29"/>
      <c r="AH86" s="39"/>
      <c r="AI86" s="30"/>
      <c r="AJ86" s="36"/>
      <c r="AK86" s="20"/>
      <c r="AL86" s="29"/>
      <c r="AM86" s="29"/>
      <c r="AN86" s="30" t="s">
        <v>4378</v>
      </c>
      <c r="AO86" s="30" t="s">
        <v>235</v>
      </c>
      <c r="AP86" s="30" t="s">
        <v>113</v>
      </c>
      <c r="AQ86" s="30" t="s">
        <v>344</v>
      </c>
      <c r="AR86" s="12">
        <f t="shared" si="3"/>
        <v>8</v>
      </c>
      <c r="AS86" s="12">
        <f t="shared" si="4"/>
        <v>8</v>
      </c>
      <c r="AT86" s="32"/>
    </row>
    <row r="87" spans="1:46" s="19" customFormat="1" ht="20.100000000000001" hidden="1" customHeight="1" x14ac:dyDescent="0.2">
      <c r="A87" s="222">
        <v>80</v>
      </c>
      <c r="B87" s="16" t="s">
        <v>4523</v>
      </c>
      <c r="C87" s="16" t="s">
        <v>625</v>
      </c>
      <c r="D87" s="211" t="s">
        <v>4524</v>
      </c>
      <c r="E87" s="211" t="s">
        <v>9</v>
      </c>
      <c r="F87" s="193"/>
      <c r="G87" s="193"/>
      <c r="H87" s="192" t="s">
        <v>7</v>
      </c>
      <c r="I87" s="16" t="s">
        <v>84</v>
      </c>
      <c r="J87" s="193"/>
      <c r="K87" s="193" t="s">
        <v>223</v>
      </c>
      <c r="L87" s="193" t="s">
        <v>4565</v>
      </c>
      <c r="M87" s="211" t="s">
        <v>69</v>
      </c>
      <c r="N87" s="210" t="s">
        <v>70</v>
      </c>
      <c r="O87" s="193"/>
      <c r="P87" s="193" t="s">
        <v>1809</v>
      </c>
      <c r="Q87" s="193" t="s">
        <v>116</v>
      </c>
      <c r="R87" s="193" t="s">
        <v>4580</v>
      </c>
      <c r="S87" s="193" t="s">
        <v>369</v>
      </c>
      <c r="T87" s="193" t="s">
        <v>369</v>
      </c>
      <c r="U87" s="192"/>
      <c r="V87" s="192"/>
      <c r="W87" s="192">
        <v>170</v>
      </c>
      <c r="X87" s="192">
        <v>128</v>
      </c>
      <c r="Y87" s="16">
        <v>128</v>
      </c>
      <c r="Z87" s="16">
        <v>82</v>
      </c>
      <c r="AA87" s="16">
        <v>95</v>
      </c>
      <c r="AB87" s="16">
        <v>9</v>
      </c>
      <c r="AC87" s="16">
        <v>22</v>
      </c>
      <c r="AD87" s="16">
        <v>126</v>
      </c>
      <c r="AE87" s="16">
        <v>8</v>
      </c>
      <c r="AF87" s="16">
        <v>3</v>
      </c>
      <c r="AG87" s="16"/>
      <c r="AH87" s="17"/>
      <c r="AI87" s="193"/>
      <c r="AJ87" s="193"/>
      <c r="AK87" s="192"/>
      <c r="AL87" s="16"/>
      <c r="AM87" s="16"/>
      <c r="AN87" s="193"/>
      <c r="AO87" s="193"/>
      <c r="AP87" s="193"/>
      <c r="AQ87" s="193"/>
      <c r="AR87" s="12" t="str">
        <f t="shared" si="3"/>
        <v/>
      </c>
      <c r="AS87" s="12" t="str">
        <f t="shared" si="4"/>
        <v/>
      </c>
      <c r="AT87" s="18"/>
    </row>
    <row r="88" spans="1:46" s="19" customFormat="1" ht="20.100000000000001" hidden="1" customHeight="1" x14ac:dyDescent="0.2">
      <c r="A88" s="222">
        <v>81</v>
      </c>
      <c r="B88" s="16" t="s">
        <v>4523</v>
      </c>
      <c r="C88" s="16" t="s">
        <v>625</v>
      </c>
      <c r="D88" s="193" t="s">
        <v>2752</v>
      </c>
      <c r="E88" s="211" t="s">
        <v>9</v>
      </c>
      <c r="F88" s="193" t="s">
        <v>186</v>
      </c>
      <c r="G88" s="193"/>
      <c r="H88" s="192" t="s">
        <v>83</v>
      </c>
      <c r="I88" s="16" t="s">
        <v>84</v>
      </c>
      <c r="J88" s="193"/>
      <c r="K88" s="193" t="s">
        <v>2457</v>
      </c>
      <c r="L88" s="193"/>
      <c r="M88" s="215" t="s">
        <v>119</v>
      </c>
      <c r="N88" s="215" t="s">
        <v>107</v>
      </c>
      <c r="O88" s="193"/>
      <c r="P88" s="193" t="s">
        <v>2325</v>
      </c>
      <c r="Q88" s="193" t="s">
        <v>116</v>
      </c>
      <c r="R88" s="193"/>
      <c r="S88" s="215" t="s">
        <v>69</v>
      </c>
      <c r="T88" s="215" t="s">
        <v>70</v>
      </c>
      <c r="U88" s="214" t="s">
        <v>4546</v>
      </c>
      <c r="V88" s="192"/>
      <c r="W88" s="192"/>
      <c r="X88" s="192"/>
      <c r="Y88" s="16">
        <v>174</v>
      </c>
      <c r="Z88" s="16"/>
      <c r="AA88" s="16"/>
      <c r="AB88" s="16"/>
      <c r="AC88" s="16"/>
      <c r="AD88" s="16"/>
      <c r="AE88" s="16"/>
      <c r="AF88" s="16"/>
      <c r="AG88" s="16"/>
      <c r="AH88" s="17"/>
      <c r="AI88" s="193"/>
      <c r="AJ88" s="25"/>
      <c r="AK88" s="192"/>
      <c r="AL88" s="16"/>
      <c r="AM88" s="16"/>
      <c r="AN88" s="193" t="s">
        <v>4378</v>
      </c>
      <c r="AO88" s="193" t="s">
        <v>235</v>
      </c>
      <c r="AP88" s="193" t="s">
        <v>208</v>
      </c>
      <c r="AQ88" s="193" t="s">
        <v>1247</v>
      </c>
      <c r="AR88" s="12">
        <f t="shared" si="3"/>
        <v>46</v>
      </c>
      <c r="AS88" s="12" t="str">
        <f t="shared" si="4"/>
        <v/>
      </c>
      <c r="AT88" s="18"/>
    </row>
    <row r="89" spans="1:46" s="19" customFormat="1" ht="20.100000000000001" hidden="1" customHeight="1" x14ac:dyDescent="0.2">
      <c r="A89" s="222">
        <v>82</v>
      </c>
      <c r="B89" s="16" t="s">
        <v>4523</v>
      </c>
      <c r="C89" s="16" t="s">
        <v>625</v>
      </c>
      <c r="D89" s="211" t="s">
        <v>2752</v>
      </c>
      <c r="E89" s="211" t="s">
        <v>9</v>
      </c>
      <c r="F89" s="193"/>
      <c r="G89" s="193"/>
      <c r="H89" s="192" t="s">
        <v>7</v>
      </c>
      <c r="I89" s="16" t="s">
        <v>84</v>
      </c>
      <c r="J89" s="193"/>
      <c r="K89" s="193" t="s">
        <v>769</v>
      </c>
      <c r="L89" s="193" t="s">
        <v>4566</v>
      </c>
      <c r="M89" s="211" t="s">
        <v>106</v>
      </c>
      <c r="N89" s="210" t="s">
        <v>107</v>
      </c>
      <c r="O89" s="193"/>
      <c r="P89" s="193" t="s">
        <v>2325</v>
      </c>
      <c r="Q89" s="193" t="s">
        <v>441</v>
      </c>
      <c r="R89" s="193" t="s">
        <v>4581</v>
      </c>
      <c r="S89" s="211" t="s">
        <v>369</v>
      </c>
      <c r="T89" s="211" t="s">
        <v>369</v>
      </c>
      <c r="U89" s="192"/>
      <c r="V89" s="192"/>
      <c r="W89" s="192">
        <v>192</v>
      </c>
      <c r="X89" s="192">
        <v>174</v>
      </c>
      <c r="Y89" s="16">
        <v>174</v>
      </c>
      <c r="Z89" s="16">
        <v>105</v>
      </c>
      <c r="AA89" s="16">
        <v>132</v>
      </c>
      <c r="AB89" s="16">
        <v>3</v>
      </c>
      <c r="AC89" s="16">
        <v>20</v>
      </c>
      <c r="AD89" s="16">
        <v>155</v>
      </c>
      <c r="AE89" s="16">
        <v>4</v>
      </c>
      <c r="AF89" s="16">
        <v>4</v>
      </c>
      <c r="AG89" s="16"/>
      <c r="AH89" s="17"/>
      <c r="AI89" s="193"/>
      <c r="AJ89" s="193"/>
      <c r="AK89" s="192"/>
      <c r="AL89" s="16"/>
      <c r="AM89" s="16"/>
      <c r="AN89" s="193"/>
      <c r="AO89" s="193"/>
      <c r="AP89" s="193"/>
      <c r="AQ89" s="193"/>
      <c r="AR89" s="12" t="str">
        <f t="shared" si="3"/>
        <v/>
      </c>
      <c r="AS89" s="12" t="str">
        <f t="shared" si="4"/>
        <v/>
      </c>
      <c r="AT89" s="18"/>
    </row>
    <row r="90" spans="1:46" s="19" customFormat="1" ht="41.25" hidden="1" customHeight="1" x14ac:dyDescent="0.2">
      <c r="A90" s="222">
        <v>83</v>
      </c>
      <c r="B90" s="16" t="s">
        <v>4535</v>
      </c>
      <c r="C90" s="16" t="s">
        <v>625</v>
      </c>
      <c r="D90" s="216" t="s">
        <v>4543</v>
      </c>
      <c r="E90" s="193" t="s">
        <v>20</v>
      </c>
      <c r="F90" s="193" t="s">
        <v>192</v>
      </c>
      <c r="G90" s="193"/>
      <c r="H90" s="192" t="s">
        <v>7</v>
      </c>
      <c r="I90" s="16" t="s">
        <v>3576</v>
      </c>
      <c r="J90" s="193"/>
      <c r="K90" s="193" t="s">
        <v>68</v>
      </c>
      <c r="L90" s="193" t="s">
        <v>4567</v>
      </c>
      <c r="M90" s="193" t="s">
        <v>106</v>
      </c>
      <c r="N90" s="192" t="s">
        <v>107</v>
      </c>
      <c r="O90" s="193"/>
      <c r="P90" s="193" t="s">
        <v>3679</v>
      </c>
      <c r="Q90" s="193" t="s">
        <v>485</v>
      </c>
      <c r="R90" s="193" t="s">
        <v>4582</v>
      </c>
      <c r="S90" s="193" t="s">
        <v>106</v>
      </c>
      <c r="T90" s="193" t="s">
        <v>107</v>
      </c>
      <c r="U90" s="192"/>
      <c r="V90" s="192"/>
      <c r="W90" s="192">
        <v>250</v>
      </c>
      <c r="X90" s="192">
        <v>0</v>
      </c>
      <c r="Y90" s="16">
        <v>238</v>
      </c>
      <c r="Z90" s="16">
        <v>89</v>
      </c>
      <c r="AA90" s="16">
        <v>118</v>
      </c>
      <c r="AB90" s="16">
        <v>8</v>
      </c>
      <c r="AC90" s="16">
        <v>31</v>
      </c>
      <c r="AD90" s="16">
        <v>157</v>
      </c>
      <c r="AE90" s="16">
        <v>25</v>
      </c>
      <c r="AF90" s="16">
        <v>6</v>
      </c>
      <c r="AG90" s="16"/>
      <c r="AH90" s="17"/>
      <c r="AI90" s="193"/>
      <c r="AJ90" s="25"/>
      <c r="AK90" s="192"/>
      <c r="AL90" s="16" t="s">
        <v>160</v>
      </c>
      <c r="AM90" s="16" t="s">
        <v>193</v>
      </c>
      <c r="AN90" s="193"/>
      <c r="AO90" s="193"/>
      <c r="AP90" s="193"/>
      <c r="AQ90" s="193"/>
      <c r="AR90" s="12" t="str">
        <f t="shared" si="3"/>
        <v/>
      </c>
      <c r="AS90" s="12" t="str">
        <f t="shared" si="4"/>
        <v/>
      </c>
      <c r="AT90" s="196"/>
    </row>
    <row r="91" spans="1:46" s="19" customFormat="1" ht="20.100000000000001" hidden="1" customHeight="1" x14ac:dyDescent="0.2">
      <c r="A91" s="222">
        <v>84</v>
      </c>
      <c r="B91" s="16" t="s">
        <v>4536</v>
      </c>
      <c r="C91" s="16" t="s">
        <v>625</v>
      </c>
      <c r="D91" s="193" t="s">
        <v>3560</v>
      </c>
      <c r="E91" s="193" t="s">
        <v>8</v>
      </c>
      <c r="F91" s="193"/>
      <c r="G91" s="193"/>
      <c r="H91" s="192" t="s">
        <v>7</v>
      </c>
      <c r="I91" s="16" t="s">
        <v>84</v>
      </c>
      <c r="J91" s="35" t="s">
        <v>104</v>
      </c>
      <c r="K91" s="35" t="s">
        <v>141</v>
      </c>
      <c r="L91" s="193" t="s">
        <v>4568</v>
      </c>
      <c r="M91" s="212" t="s">
        <v>106</v>
      </c>
      <c r="N91" s="213" t="s">
        <v>107</v>
      </c>
      <c r="O91" s="35" t="s">
        <v>1613</v>
      </c>
      <c r="P91" s="35" t="s">
        <v>3679</v>
      </c>
      <c r="Q91" s="35" t="s">
        <v>458</v>
      </c>
      <c r="R91" s="193" t="s">
        <v>4583</v>
      </c>
      <c r="S91" s="212" t="s">
        <v>106</v>
      </c>
      <c r="T91" s="212" t="s">
        <v>107</v>
      </c>
      <c r="U91" s="192"/>
      <c r="V91" s="192"/>
      <c r="W91" s="192">
        <v>167</v>
      </c>
      <c r="X91" s="192">
        <v>156</v>
      </c>
      <c r="Y91" s="16">
        <v>156</v>
      </c>
      <c r="Z91" s="16">
        <v>35</v>
      </c>
      <c r="AA91" s="16">
        <v>43</v>
      </c>
      <c r="AB91" s="16">
        <v>3</v>
      </c>
      <c r="AC91" s="16">
        <v>25</v>
      </c>
      <c r="AD91" s="16">
        <v>71</v>
      </c>
      <c r="AE91" s="16">
        <v>30</v>
      </c>
      <c r="AF91" s="16">
        <v>6</v>
      </c>
      <c r="AG91" s="16"/>
      <c r="AH91" s="33" t="s">
        <v>158</v>
      </c>
      <c r="AI91" s="193"/>
      <c r="AJ91" s="25"/>
      <c r="AK91" s="192"/>
      <c r="AL91" s="16"/>
      <c r="AM91" s="16"/>
      <c r="AN91" s="193"/>
      <c r="AO91" s="193"/>
      <c r="AP91" s="193"/>
      <c r="AQ91" s="193"/>
      <c r="AR91" s="12" t="str">
        <f t="shared" si="3"/>
        <v/>
      </c>
      <c r="AS91" s="12" t="str">
        <f t="shared" si="4"/>
        <v/>
      </c>
      <c r="AT91" s="18"/>
    </row>
    <row r="92" spans="1:46" s="21" customFormat="1" ht="20.100000000000001" hidden="1" customHeight="1" x14ac:dyDescent="0.2">
      <c r="A92" s="20">
        <v>85</v>
      </c>
      <c r="B92" s="29" t="s">
        <v>4537</v>
      </c>
      <c r="C92" s="29" t="s">
        <v>625</v>
      </c>
      <c r="D92" s="29" t="s">
        <v>1563</v>
      </c>
      <c r="E92" s="30" t="s">
        <v>10</v>
      </c>
      <c r="F92" s="30" t="s">
        <v>4038</v>
      </c>
      <c r="G92" s="193"/>
      <c r="H92" s="20" t="s">
        <v>83</v>
      </c>
      <c r="I92" s="29" t="s">
        <v>92</v>
      </c>
      <c r="J92" s="30"/>
      <c r="K92" s="30" t="s">
        <v>769</v>
      </c>
      <c r="L92" s="30"/>
      <c r="M92" s="30" t="s">
        <v>69</v>
      </c>
      <c r="N92" s="20" t="s">
        <v>70</v>
      </c>
      <c r="O92" s="30"/>
      <c r="P92" s="30" t="s">
        <v>2325</v>
      </c>
      <c r="Q92" s="30" t="s">
        <v>2258</v>
      </c>
      <c r="R92" s="30"/>
      <c r="S92" s="30" t="s">
        <v>369</v>
      </c>
      <c r="T92" s="30" t="s">
        <v>369</v>
      </c>
      <c r="U92" s="20" t="s">
        <v>4508</v>
      </c>
      <c r="V92" s="192"/>
      <c r="W92" s="192"/>
      <c r="X92" s="192"/>
      <c r="Y92" s="16"/>
      <c r="Z92" s="16"/>
      <c r="AA92" s="16"/>
      <c r="AB92" s="16"/>
      <c r="AC92" s="16"/>
      <c r="AD92" s="16"/>
      <c r="AE92" s="16"/>
      <c r="AF92" s="16"/>
      <c r="AG92" s="16"/>
      <c r="AH92" s="17"/>
      <c r="AI92" s="193"/>
      <c r="AJ92" s="25"/>
      <c r="AK92" s="192"/>
      <c r="AL92" s="16"/>
      <c r="AM92" s="16"/>
      <c r="AN92" s="30" t="s">
        <v>4378</v>
      </c>
      <c r="AO92" s="30" t="s">
        <v>235</v>
      </c>
      <c r="AP92" s="30" t="s">
        <v>4378</v>
      </c>
      <c r="AQ92" s="30" t="s">
        <v>235</v>
      </c>
      <c r="AR92" s="31">
        <f t="shared" si="3"/>
        <v>0</v>
      </c>
      <c r="AS92" s="31">
        <f t="shared" si="4"/>
        <v>0</v>
      </c>
      <c r="AT92" s="32" t="s">
        <v>4544</v>
      </c>
    </row>
    <row r="93" spans="1:46" s="19" customFormat="1" ht="20.100000000000001" hidden="1" customHeight="1" x14ac:dyDescent="0.2">
      <c r="A93" s="222">
        <v>86</v>
      </c>
      <c r="B93" s="16" t="s">
        <v>4537</v>
      </c>
      <c r="C93" s="16" t="s">
        <v>625</v>
      </c>
      <c r="D93" s="193" t="s">
        <v>4538</v>
      </c>
      <c r="E93" s="193" t="s">
        <v>20</v>
      </c>
      <c r="F93" s="193" t="s">
        <v>4038</v>
      </c>
      <c r="G93" s="193"/>
      <c r="H93" s="192" t="s">
        <v>83</v>
      </c>
      <c r="I93" s="16" t="s">
        <v>84</v>
      </c>
      <c r="J93" s="193"/>
      <c r="K93" s="35" t="s">
        <v>251</v>
      </c>
      <c r="L93" s="41" t="s">
        <v>1029</v>
      </c>
      <c r="M93" s="41" t="s">
        <v>142</v>
      </c>
      <c r="N93" s="13" t="s">
        <v>70</v>
      </c>
      <c r="O93" s="193"/>
      <c r="P93" s="193" t="s">
        <v>3679</v>
      </c>
      <c r="Q93" s="193" t="s">
        <v>260</v>
      </c>
      <c r="R93" s="41" t="s">
        <v>1030</v>
      </c>
      <c r="S93" s="41" t="s">
        <v>119</v>
      </c>
      <c r="T93" s="41" t="s">
        <v>107</v>
      </c>
      <c r="U93" s="40" t="s">
        <v>4547</v>
      </c>
      <c r="V93" s="192"/>
      <c r="W93" s="192"/>
      <c r="X93" s="192"/>
      <c r="Y93" s="16">
        <v>222</v>
      </c>
      <c r="Z93" s="16"/>
      <c r="AA93" s="16"/>
      <c r="AB93" s="16"/>
      <c r="AC93" s="16"/>
      <c r="AD93" s="16"/>
      <c r="AE93" s="16"/>
      <c r="AF93" s="16"/>
      <c r="AG93" s="16"/>
      <c r="AH93" s="192"/>
      <c r="AI93" s="193"/>
      <c r="AJ93" s="25"/>
      <c r="AK93" s="192"/>
      <c r="AL93" s="16"/>
      <c r="AM93" s="16"/>
      <c r="AN93" s="193" t="s">
        <v>4378</v>
      </c>
      <c r="AO93" s="193" t="s">
        <v>235</v>
      </c>
      <c r="AP93" s="193" t="s">
        <v>115</v>
      </c>
      <c r="AQ93" s="193" t="s">
        <v>1247</v>
      </c>
      <c r="AR93" s="12">
        <f t="shared" si="3"/>
        <v>22</v>
      </c>
      <c r="AS93" s="12" t="str">
        <f t="shared" si="4"/>
        <v/>
      </c>
      <c r="AT93" s="18"/>
    </row>
    <row r="94" spans="1:46" s="19" customFormat="1" ht="20.100000000000001" hidden="1" customHeight="1" x14ac:dyDescent="0.2">
      <c r="A94" s="222">
        <v>87</v>
      </c>
      <c r="B94" s="16" t="s">
        <v>4537</v>
      </c>
      <c r="C94" s="16" t="s">
        <v>625</v>
      </c>
      <c r="D94" s="193" t="s">
        <v>3309</v>
      </c>
      <c r="E94" s="193" t="s">
        <v>8</v>
      </c>
      <c r="F94" s="193"/>
      <c r="G94" s="193"/>
      <c r="H94" s="192" t="s">
        <v>7</v>
      </c>
      <c r="I94" s="16" t="s">
        <v>93</v>
      </c>
      <c r="J94" s="193" t="s">
        <v>104</v>
      </c>
      <c r="K94" s="193" t="s">
        <v>104</v>
      </c>
      <c r="L94" s="193" t="s">
        <v>4570</v>
      </c>
      <c r="M94" s="212" t="s">
        <v>106</v>
      </c>
      <c r="N94" s="213" t="s">
        <v>107</v>
      </c>
      <c r="O94" s="193" t="s">
        <v>361</v>
      </c>
      <c r="P94" s="193" t="s">
        <v>3677</v>
      </c>
      <c r="Q94" s="193" t="s">
        <v>555</v>
      </c>
      <c r="R94" s="193" t="s">
        <v>4584</v>
      </c>
      <c r="S94" s="193" t="s">
        <v>69</v>
      </c>
      <c r="T94" s="193" t="s">
        <v>70</v>
      </c>
      <c r="U94" s="192"/>
      <c r="V94" s="192"/>
      <c r="W94" s="192">
        <v>183</v>
      </c>
      <c r="X94" s="192">
        <v>156</v>
      </c>
      <c r="Y94" s="16">
        <v>156</v>
      </c>
      <c r="Z94" s="16">
        <v>62</v>
      </c>
      <c r="AA94" s="16">
        <v>93</v>
      </c>
      <c r="AB94" s="16">
        <v>5</v>
      </c>
      <c r="AC94" s="16">
        <v>65</v>
      </c>
      <c r="AD94" s="16">
        <v>163</v>
      </c>
      <c r="AE94" s="16">
        <v>21</v>
      </c>
      <c r="AF94" s="16">
        <v>6</v>
      </c>
      <c r="AG94" s="16"/>
      <c r="AH94" s="17"/>
      <c r="AI94" s="193"/>
      <c r="AJ94" s="25"/>
      <c r="AK94" s="192"/>
      <c r="AL94" s="16" t="s">
        <v>111</v>
      </c>
      <c r="AM94" s="16" t="s">
        <v>112</v>
      </c>
      <c r="AN94" s="193"/>
      <c r="AO94" s="193"/>
      <c r="AP94" s="193"/>
      <c r="AQ94" s="193"/>
      <c r="AR94" s="12" t="str">
        <f t="shared" si="3"/>
        <v/>
      </c>
      <c r="AS94" s="12" t="str">
        <f t="shared" si="4"/>
        <v/>
      </c>
      <c r="AT94" s="18"/>
    </row>
    <row r="95" spans="1:46" s="21" customFormat="1" ht="20.100000000000001" hidden="1" customHeight="1" x14ac:dyDescent="0.2">
      <c r="A95" s="20">
        <v>88</v>
      </c>
      <c r="B95" s="29" t="s">
        <v>4539</v>
      </c>
      <c r="C95" s="29" t="s">
        <v>625</v>
      </c>
      <c r="D95" s="30" t="s">
        <v>4540</v>
      </c>
      <c r="E95" s="30" t="s">
        <v>243</v>
      </c>
      <c r="F95" s="30" t="s">
        <v>185</v>
      </c>
      <c r="G95" s="30"/>
      <c r="H95" s="20" t="s">
        <v>83</v>
      </c>
      <c r="I95" s="29" t="s">
        <v>92</v>
      </c>
      <c r="J95" s="30"/>
      <c r="K95" s="30" t="s">
        <v>104</v>
      </c>
      <c r="L95" s="30" t="s">
        <v>4017</v>
      </c>
      <c r="M95" s="30" t="s">
        <v>69</v>
      </c>
      <c r="N95" s="20" t="s">
        <v>70</v>
      </c>
      <c r="O95" s="30"/>
      <c r="P95" s="30" t="s">
        <v>3677</v>
      </c>
      <c r="Q95" s="30" t="s">
        <v>555</v>
      </c>
      <c r="R95" s="30" t="s">
        <v>4018</v>
      </c>
      <c r="S95" s="30" t="s">
        <v>106</v>
      </c>
      <c r="T95" s="30" t="s">
        <v>107</v>
      </c>
      <c r="U95" s="20" t="s">
        <v>3970</v>
      </c>
      <c r="V95" s="20"/>
      <c r="W95" s="20"/>
      <c r="X95" s="20"/>
      <c r="Y95" s="29">
        <v>180</v>
      </c>
      <c r="Z95" s="29"/>
      <c r="AA95" s="29"/>
      <c r="AB95" s="29"/>
      <c r="AC95" s="29"/>
      <c r="AD95" s="29"/>
      <c r="AE95" s="29"/>
      <c r="AF95" s="29">
        <v>6</v>
      </c>
      <c r="AG95" s="29"/>
      <c r="AH95" s="39"/>
      <c r="AI95" s="30"/>
      <c r="AJ95" s="36"/>
      <c r="AK95" s="20"/>
      <c r="AL95" s="29"/>
      <c r="AM95" s="29"/>
      <c r="AN95" s="30" t="s">
        <v>4378</v>
      </c>
      <c r="AO95" s="30" t="s">
        <v>235</v>
      </c>
      <c r="AP95" s="30" t="s">
        <v>113</v>
      </c>
      <c r="AQ95" s="30" t="s">
        <v>148</v>
      </c>
      <c r="AR95" s="12">
        <f t="shared" si="3"/>
        <v>7</v>
      </c>
      <c r="AS95" s="12">
        <f t="shared" si="4"/>
        <v>7</v>
      </c>
      <c r="AT95" s="32"/>
    </row>
    <row r="96" spans="1:46" s="19" customFormat="1" ht="19.5" hidden="1" customHeight="1" x14ac:dyDescent="0.2">
      <c r="A96" s="222">
        <v>89</v>
      </c>
      <c r="B96" s="16" t="s">
        <v>4541</v>
      </c>
      <c r="C96" s="16" t="s">
        <v>625</v>
      </c>
      <c r="D96" s="193" t="s">
        <v>2992</v>
      </c>
      <c r="E96" s="193" t="s">
        <v>19</v>
      </c>
      <c r="F96" s="193"/>
      <c r="G96" s="193"/>
      <c r="H96" s="192" t="s">
        <v>7</v>
      </c>
      <c r="I96" s="16" t="s">
        <v>92</v>
      </c>
      <c r="J96" s="35" t="s">
        <v>140</v>
      </c>
      <c r="K96" s="35" t="s">
        <v>117</v>
      </c>
      <c r="L96" s="193" t="s">
        <v>4480</v>
      </c>
      <c r="M96" s="212" t="s">
        <v>106</v>
      </c>
      <c r="N96" s="213" t="s">
        <v>107</v>
      </c>
      <c r="O96" s="35" t="s">
        <v>188</v>
      </c>
      <c r="P96" s="35" t="s">
        <v>3679</v>
      </c>
      <c r="Q96" s="35" t="s">
        <v>465</v>
      </c>
      <c r="R96" s="193" t="s">
        <v>4542</v>
      </c>
      <c r="S96" s="212" t="s">
        <v>106</v>
      </c>
      <c r="T96" s="212" t="s">
        <v>107</v>
      </c>
      <c r="U96" s="192"/>
      <c r="V96" s="192"/>
      <c r="W96" s="192">
        <v>224</v>
      </c>
      <c r="X96" s="192">
        <v>180</v>
      </c>
      <c r="Y96" s="16">
        <v>180</v>
      </c>
      <c r="Z96" s="16">
        <v>60</v>
      </c>
      <c r="AA96" s="16">
        <v>83</v>
      </c>
      <c r="AB96" s="16">
        <v>6</v>
      </c>
      <c r="AC96" s="16">
        <v>15</v>
      </c>
      <c r="AD96" s="16">
        <v>104</v>
      </c>
      <c r="AE96" s="16">
        <v>27</v>
      </c>
      <c r="AF96" s="16">
        <v>6</v>
      </c>
      <c r="AG96" s="16"/>
      <c r="AH96" s="33" t="s">
        <v>158</v>
      </c>
      <c r="AI96" s="193"/>
      <c r="AJ96" s="25"/>
      <c r="AK96" s="192"/>
      <c r="AL96" s="16" t="s">
        <v>111</v>
      </c>
      <c r="AM96" s="16" t="s">
        <v>112</v>
      </c>
      <c r="AN96" s="193"/>
      <c r="AO96" s="193"/>
      <c r="AP96" s="193"/>
      <c r="AQ96" s="193"/>
      <c r="AR96" s="12" t="str">
        <f t="shared" si="3"/>
        <v/>
      </c>
      <c r="AS96" s="12" t="str">
        <f t="shared" si="4"/>
        <v/>
      </c>
      <c r="AT96" s="18"/>
    </row>
    <row r="97" spans="1:46" s="19" customFormat="1" ht="19.5" hidden="1" customHeight="1" x14ac:dyDescent="0.2">
      <c r="A97" s="222">
        <v>90</v>
      </c>
      <c r="B97" s="16" t="s">
        <v>4548</v>
      </c>
      <c r="C97" s="16" t="s">
        <v>766</v>
      </c>
      <c r="D97" s="193" t="s">
        <v>4549</v>
      </c>
      <c r="E97" s="193" t="s">
        <v>9</v>
      </c>
      <c r="F97" s="193" t="s">
        <v>4589</v>
      </c>
      <c r="G97" s="193"/>
      <c r="H97" s="192" t="s">
        <v>83</v>
      </c>
      <c r="I97" s="16" t="s">
        <v>92</v>
      </c>
      <c r="J97" s="193"/>
      <c r="K97" s="41" t="s">
        <v>141</v>
      </c>
      <c r="L97" s="41" t="s">
        <v>956</v>
      </c>
      <c r="M97" s="41" t="s">
        <v>106</v>
      </c>
      <c r="N97" s="13" t="s">
        <v>107</v>
      </c>
      <c r="O97" s="193"/>
      <c r="P97" s="193" t="s">
        <v>2245</v>
      </c>
      <c r="Q97" s="193" t="s">
        <v>718</v>
      </c>
      <c r="R97" s="41" t="s">
        <v>958</v>
      </c>
      <c r="S97" s="41" t="s">
        <v>106</v>
      </c>
      <c r="T97" s="41" t="s">
        <v>107</v>
      </c>
      <c r="U97" s="40" t="s">
        <v>950</v>
      </c>
      <c r="V97" s="192"/>
      <c r="W97" s="192"/>
      <c r="X97" s="192"/>
      <c r="Y97" s="16">
        <v>198</v>
      </c>
      <c r="Z97" s="16"/>
      <c r="AA97" s="16"/>
      <c r="AB97" s="16"/>
      <c r="AC97" s="16"/>
      <c r="AD97" s="16"/>
      <c r="AE97" s="16"/>
      <c r="AF97" s="16"/>
      <c r="AG97" s="16"/>
      <c r="AH97" s="192"/>
      <c r="AI97" s="193"/>
      <c r="AJ97" s="25"/>
      <c r="AK97" s="192"/>
      <c r="AL97" s="16"/>
      <c r="AM97" s="16"/>
      <c r="AN97" s="193" t="s">
        <v>4378</v>
      </c>
      <c r="AO97" s="193" t="s">
        <v>124</v>
      </c>
      <c r="AP97" s="193" t="s">
        <v>115</v>
      </c>
      <c r="AQ97" s="193" t="s">
        <v>1247</v>
      </c>
      <c r="AR97" s="12">
        <f t="shared" si="3"/>
        <v>23</v>
      </c>
      <c r="AS97" s="12" t="str">
        <f t="shared" si="4"/>
        <v/>
      </c>
      <c r="AT97" s="18"/>
    </row>
    <row r="98" spans="1:46" s="19" customFormat="1" ht="19.5" hidden="1" customHeight="1" x14ac:dyDescent="0.2">
      <c r="A98" s="222">
        <v>91</v>
      </c>
      <c r="B98" s="16" t="s">
        <v>4548</v>
      </c>
      <c r="C98" s="16" t="s">
        <v>766</v>
      </c>
      <c r="D98" s="215" t="s">
        <v>4549</v>
      </c>
      <c r="E98" s="193" t="s">
        <v>9</v>
      </c>
      <c r="F98" s="193"/>
      <c r="G98" s="193"/>
      <c r="H98" s="192" t="s">
        <v>7</v>
      </c>
      <c r="I98" s="16" t="s">
        <v>92</v>
      </c>
      <c r="J98" s="35" t="s">
        <v>141</v>
      </c>
      <c r="K98" s="35" t="s">
        <v>140</v>
      </c>
      <c r="L98" s="193" t="s">
        <v>4571</v>
      </c>
      <c r="M98" s="193" t="s">
        <v>106</v>
      </c>
      <c r="N98" s="192" t="s">
        <v>107</v>
      </c>
      <c r="O98" s="35" t="s">
        <v>957</v>
      </c>
      <c r="P98" s="35" t="s">
        <v>2245</v>
      </c>
      <c r="Q98" s="35" t="s">
        <v>441</v>
      </c>
      <c r="R98" s="193" t="s">
        <v>4585</v>
      </c>
      <c r="S98" s="193" t="s">
        <v>106</v>
      </c>
      <c r="T98" s="193" t="s">
        <v>107</v>
      </c>
      <c r="U98" s="192"/>
      <c r="V98" s="192"/>
      <c r="W98" s="192">
        <v>212</v>
      </c>
      <c r="X98" s="192">
        <v>198</v>
      </c>
      <c r="Y98" s="16">
        <v>198</v>
      </c>
      <c r="Z98" s="16">
        <v>116</v>
      </c>
      <c r="AA98" s="16">
        <v>122</v>
      </c>
      <c r="AB98" s="16">
        <v>10</v>
      </c>
      <c r="AC98" s="16">
        <v>22</v>
      </c>
      <c r="AD98" s="16">
        <v>154</v>
      </c>
      <c r="AE98" s="16">
        <v>14</v>
      </c>
      <c r="AF98" s="16">
        <v>4</v>
      </c>
      <c r="AG98" s="16"/>
      <c r="AH98" s="192"/>
      <c r="AI98" s="193" t="s">
        <v>4536</v>
      </c>
      <c r="AJ98" s="25">
        <v>154</v>
      </c>
      <c r="AK98" s="192">
        <v>12</v>
      </c>
      <c r="AL98" s="16"/>
      <c r="AM98" s="16"/>
      <c r="AN98" s="193"/>
      <c r="AO98" s="193"/>
      <c r="AP98" s="193"/>
      <c r="AQ98" s="193"/>
      <c r="AR98" s="12" t="str">
        <f t="shared" si="3"/>
        <v/>
      </c>
      <c r="AS98" s="12" t="str">
        <f t="shared" si="4"/>
        <v/>
      </c>
      <c r="AT98" s="18"/>
    </row>
    <row r="99" spans="1:46" s="19" customFormat="1" ht="19.5" hidden="1" customHeight="1" x14ac:dyDescent="0.2">
      <c r="A99" s="222">
        <v>92</v>
      </c>
      <c r="B99" s="16" t="s">
        <v>4550</v>
      </c>
      <c r="C99" s="16" t="s">
        <v>766</v>
      </c>
      <c r="D99" s="193" t="s">
        <v>2072</v>
      </c>
      <c r="E99" s="193" t="s">
        <v>6</v>
      </c>
      <c r="F99" s="193"/>
      <c r="G99" s="193"/>
      <c r="H99" s="192" t="s">
        <v>7</v>
      </c>
      <c r="I99" s="16" t="s">
        <v>92</v>
      </c>
      <c r="J99" s="193"/>
      <c r="K99" s="193" t="s">
        <v>155</v>
      </c>
      <c r="L99" s="193" t="s">
        <v>4554</v>
      </c>
      <c r="M99" s="193" t="s">
        <v>106</v>
      </c>
      <c r="N99" s="192" t="s">
        <v>107</v>
      </c>
      <c r="O99" s="193"/>
      <c r="P99" s="193" t="s">
        <v>3677</v>
      </c>
      <c r="Q99" s="193" t="s">
        <v>718</v>
      </c>
      <c r="R99" s="193" t="s">
        <v>4586</v>
      </c>
      <c r="S99" s="193" t="s">
        <v>106</v>
      </c>
      <c r="T99" s="193" t="s">
        <v>107</v>
      </c>
      <c r="U99" s="192"/>
      <c r="V99" s="192"/>
      <c r="W99" s="192"/>
      <c r="X99" s="192"/>
      <c r="Y99" s="16"/>
      <c r="Z99" s="16"/>
      <c r="AA99" s="16"/>
      <c r="AB99" s="16"/>
      <c r="AC99" s="16"/>
      <c r="AD99" s="16"/>
      <c r="AE99" s="16"/>
      <c r="AF99" s="16"/>
      <c r="AG99" s="16"/>
      <c r="AH99" s="192"/>
      <c r="AI99" s="193"/>
      <c r="AJ99" s="193"/>
      <c r="AK99" s="192"/>
      <c r="AL99" s="16"/>
      <c r="AM99" s="16"/>
      <c r="AN99" s="193"/>
      <c r="AO99" s="193"/>
      <c r="AP99" s="193"/>
      <c r="AQ99" s="193"/>
      <c r="AR99" s="12" t="str">
        <f t="shared" si="3"/>
        <v/>
      </c>
      <c r="AS99" s="12" t="str">
        <f t="shared" si="4"/>
        <v/>
      </c>
      <c r="AT99" s="18"/>
    </row>
    <row r="100" spans="1:46" s="19" customFormat="1" ht="20.100000000000001" hidden="1" customHeight="1" x14ac:dyDescent="0.2">
      <c r="A100" s="222">
        <v>93</v>
      </c>
      <c r="B100" s="16" t="s">
        <v>4550</v>
      </c>
      <c r="C100" s="16" t="s">
        <v>766</v>
      </c>
      <c r="D100" s="193" t="s">
        <v>3363</v>
      </c>
      <c r="E100" s="193" t="s">
        <v>19</v>
      </c>
      <c r="F100" s="193" t="s">
        <v>4038</v>
      </c>
      <c r="G100" s="193"/>
      <c r="H100" s="192" t="s">
        <v>83</v>
      </c>
      <c r="I100" s="16" t="s">
        <v>3439</v>
      </c>
      <c r="J100" s="193"/>
      <c r="K100" s="215" t="s">
        <v>68</v>
      </c>
      <c r="L100" s="215" t="s">
        <v>293</v>
      </c>
      <c r="M100" s="215" t="s">
        <v>106</v>
      </c>
      <c r="N100" s="214" t="s">
        <v>107</v>
      </c>
      <c r="O100" s="193"/>
      <c r="P100" s="215" t="s">
        <v>1510</v>
      </c>
      <c r="Q100" s="215" t="s">
        <v>1581</v>
      </c>
      <c r="R100" s="215" t="s">
        <v>3364</v>
      </c>
      <c r="S100" s="215" t="s">
        <v>73</v>
      </c>
      <c r="T100" s="215" t="s">
        <v>70</v>
      </c>
      <c r="U100" s="16" t="s">
        <v>3362</v>
      </c>
      <c r="V100" s="192"/>
      <c r="W100" s="192"/>
      <c r="X100" s="192"/>
      <c r="Y100" s="16">
        <v>210</v>
      </c>
      <c r="Z100" s="16"/>
      <c r="AA100" s="16"/>
      <c r="AB100" s="16"/>
      <c r="AC100" s="16"/>
      <c r="AD100" s="16"/>
      <c r="AE100" s="16"/>
      <c r="AF100" s="16"/>
      <c r="AG100" s="16"/>
      <c r="AH100" s="193"/>
      <c r="AI100" s="193"/>
      <c r="AJ100" s="193"/>
      <c r="AK100" s="192"/>
      <c r="AL100" s="16"/>
      <c r="AM100" s="16"/>
      <c r="AN100" s="193" t="s">
        <v>4378</v>
      </c>
      <c r="AO100" s="193" t="s">
        <v>124</v>
      </c>
      <c r="AP100" s="193" t="s">
        <v>113</v>
      </c>
      <c r="AQ100" s="193" t="s">
        <v>235</v>
      </c>
      <c r="AR100" s="12">
        <f t="shared" si="3"/>
        <v>13</v>
      </c>
      <c r="AS100" s="12" t="str">
        <f t="shared" si="4"/>
        <v/>
      </c>
      <c r="AT100" s="18"/>
    </row>
    <row r="101" spans="1:46" s="21" customFormat="1" ht="20.100000000000001" hidden="1" customHeight="1" x14ac:dyDescent="0.2">
      <c r="A101" s="222">
        <v>94</v>
      </c>
      <c r="B101" s="29" t="s">
        <v>4551</v>
      </c>
      <c r="C101" s="29" t="s">
        <v>766</v>
      </c>
      <c r="D101" s="30" t="s">
        <v>835</v>
      </c>
      <c r="E101" s="30" t="s">
        <v>20</v>
      </c>
      <c r="F101" s="30"/>
      <c r="G101" s="30"/>
      <c r="H101" s="20" t="s">
        <v>222</v>
      </c>
      <c r="I101" s="29" t="s">
        <v>92</v>
      </c>
      <c r="J101" s="30"/>
      <c r="K101" s="30" t="s">
        <v>140</v>
      </c>
      <c r="L101" s="30" t="s">
        <v>3689</v>
      </c>
      <c r="M101" s="30" t="s">
        <v>69</v>
      </c>
      <c r="N101" s="20" t="s">
        <v>70</v>
      </c>
      <c r="O101" s="30"/>
      <c r="P101" s="30" t="s">
        <v>2961</v>
      </c>
      <c r="Q101" s="30" t="s">
        <v>769</v>
      </c>
      <c r="R101" s="30" t="s">
        <v>3690</v>
      </c>
      <c r="S101" s="30" t="s">
        <v>106</v>
      </c>
      <c r="T101" s="30" t="s">
        <v>107</v>
      </c>
      <c r="U101" s="20" t="s">
        <v>3654</v>
      </c>
      <c r="V101" s="20"/>
      <c r="W101" s="20"/>
      <c r="X101" s="20"/>
      <c r="Y101" s="29">
        <v>171</v>
      </c>
      <c r="Z101" s="29"/>
      <c r="AA101" s="29"/>
      <c r="AB101" s="29"/>
      <c r="AC101" s="29"/>
      <c r="AD101" s="29"/>
      <c r="AE101" s="29"/>
      <c r="AF101" s="29"/>
      <c r="AG101" s="29"/>
      <c r="AH101" s="20"/>
      <c r="AI101" s="30"/>
      <c r="AJ101" s="30"/>
      <c r="AK101" s="20"/>
      <c r="AL101" s="29"/>
      <c r="AM101" s="29"/>
      <c r="AN101" s="30" t="s">
        <v>4378</v>
      </c>
      <c r="AO101" s="30" t="s">
        <v>124</v>
      </c>
      <c r="AP101" s="30" t="s">
        <v>113</v>
      </c>
      <c r="AQ101" s="30" t="s">
        <v>1247</v>
      </c>
      <c r="AR101" s="12">
        <f t="shared" si="3"/>
        <v>11</v>
      </c>
      <c r="AS101" s="12">
        <f t="shared" si="4"/>
        <v>11</v>
      </c>
      <c r="AT101" s="32" t="s">
        <v>4555</v>
      </c>
    </row>
    <row r="102" spans="1:46" s="19" customFormat="1" ht="20.100000000000001" hidden="1" customHeight="1" x14ac:dyDescent="0.2">
      <c r="A102" s="222">
        <v>95</v>
      </c>
      <c r="B102" s="16" t="s">
        <v>4551</v>
      </c>
      <c r="C102" s="16" t="s">
        <v>766</v>
      </c>
      <c r="D102" s="193" t="s">
        <v>4519</v>
      </c>
      <c r="E102" s="193" t="s">
        <v>20</v>
      </c>
      <c r="F102" s="193"/>
      <c r="G102" s="193"/>
      <c r="H102" s="192" t="s">
        <v>7</v>
      </c>
      <c r="I102" s="16" t="s">
        <v>3439</v>
      </c>
      <c r="J102" s="35" t="s">
        <v>223</v>
      </c>
      <c r="K102" s="35" t="s">
        <v>334</v>
      </c>
      <c r="L102" s="193" t="s">
        <v>4569</v>
      </c>
      <c r="M102" s="193" t="s">
        <v>106</v>
      </c>
      <c r="N102" s="192" t="s">
        <v>107</v>
      </c>
      <c r="O102" s="35" t="s">
        <v>2753</v>
      </c>
      <c r="P102" s="35" t="s">
        <v>1809</v>
      </c>
      <c r="Q102" s="35" t="s">
        <v>2258</v>
      </c>
      <c r="R102" s="193" t="s">
        <v>4587</v>
      </c>
      <c r="S102" s="193" t="s">
        <v>106</v>
      </c>
      <c r="T102" s="193" t="s">
        <v>107</v>
      </c>
      <c r="U102" s="192"/>
      <c r="V102" s="192"/>
      <c r="W102" s="192">
        <v>145</v>
      </c>
      <c r="X102" s="192">
        <v>138</v>
      </c>
      <c r="Y102" s="16">
        <v>138</v>
      </c>
      <c r="Z102" s="16">
        <v>83</v>
      </c>
      <c r="AA102" s="16">
        <v>108</v>
      </c>
      <c r="AB102" s="16">
        <v>4</v>
      </c>
      <c r="AC102" s="16">
        <v>37</v>
      </c>
      <c r="AD102" s="16">
        <v>138</v>
      </c>
      <c r="AE102" s="16">
        <v>8</v>
      </c>
      <c r="AF102" s="16">
        <v>4</v>
      </c>
      <c r="AG102" s="16"/>
      <c r="AH102" s="193"/>
      <c r="AI102" s="193"/>
      <c r="AJ102" s="193"/>
      <c r="AK102" s="192"/>
      <c r="AL102" s="16"/>
      <c r="AM102" s="16"/>
      <c r="AN102" s="193"/>
      <c r="AO102" s="193"/>
      <c r="AP102" s="193"/>
      <c r="AQ102" s="193"/>
      <c r="AR102" s="12" t="str">
        <f t="shared" si="3"/>
        <v/>
      </c>
      <c r="AS102" s="12" t="str">
        <f t="shared" si="4"/>
        <v/>
      </c>
      <c r="AT102" s="18"/>
    </row>
    <row r="103" spans="1:46" s="19" customFormat="1" ht="20.100000000000001" hidden="1" customHeight="1" x14ac:dyDescent="0.2">
      <c r="A103" s="222">
        <v>96</v>
      </c>
      <c r="B103" s="16" t="s">
        <v>4552</v>
      </c>
      <c r="C103" s="16" t="s">
        <v>766</v>
      </c>
      <c r="D103" s="193" t="s">
        <v>3011</v>
      </c>
      <c r="E103" s="193" t="s">
        <v>6</v>
      </c>
      <c r="F103" s="193" t="s">
        <v>4038</v>
      </c>
      <c r="G103" s="193"/>
      <c r="H103" s="192" t="s">
        <v>83</v>
      </c>
      <c r="I103" s="16" t="s">
        <v>92</v>
      </c>
      <c r="J103" s="193"/>
      <c r="K103" s="193" t="s">
        <v>104</v>
      </c>
      <c r="L103" s="193"/>
      <c r="M103" s="193" t="s">
        <v>444</v>
      </c>
      <c r="N103" s="192" t="s">
        <v>107</v>
      </c>
      <c r="O103" s="193"/>
      <c r="P103" s="193" t="s">
        <v>3677</v>
      </c>
      <c r="Q103" s="193" t="s">
        <v>555</v>
      </c>
      <c r="R103" s="193"/>
      <c r="S103" s="193" t="s">
        <v>444</v>
      </c>
      <c r="T103" s="193" t="s">
        <v>107</v>
      </c>
      <c r="U103" s="68" t="s">
        <v>2982</v>
      </c>
      <c r="V103" s="192"/>
      <c r="W103" s="192"/>
      <c r="X103" s="192"/>
      <c r="Y103" s="16"/>
      <c r="Z103" s="16"/>
      <c r="AA103" s="16"/>
      <c r="AB103" s="16"/>
      <c r="AC103" s="16"/>
      <c r="AD103" s="16"/>
      <c r="AE103" s="16"/>
      <c r="AF103" s="16"/>
      <c r="AG103" s="16"/>
      <c r="AH103" s="192"/>
      <c r="AI103" s="193"/>
      <c r="AJ103" s="193"/>
      <c r="AK103" s="192"/>
      <c r="AL103" s="16"/>
      <c r="AM103" s="16"/>
      <c r="AN103" s="193" t="s">
        <v>4378</v>
      </c>
      <c r="AO103" s="193" t="s">
        <v>124</v>
      </c>
      <c r="AP103" s="193" t="s">
        <v>348</v>
      </c>
      <c r="AQ103" s="193" t="s">
        <v>296</v>
      </c>
      <c r="AR103" s="12">
        <f t="shared" si="3"/>
        <v>62</v>
      </c>
      <c r="AS103" s="12" t="str">
        <f t="shared" si="4"/>
        <v/>
      </c>
      <c r="AT103" s="18"/>
    </row>
    <row r="104" spans="1:46" s="19" customFormat="1" ht="20.100000000000001" hidden="1" customHeight="1" x14ac:dyDescent="0.2">
      <c r="A104" s="222">
        <v>97</v>
      </c>
      <c r="B104" s="16" t="s">
        <v>4552</v>
      </c>
      <c r="C104" s="16" t="s">
        <v>766</v>
      </c>
      <c r="D104" s="193" t="s">
        <v>2626</v>
      </c>
      <c r="E104" s="193" t="s">
        <v>20</v>
      </c>
      <c r="F104" s="193" t="s">
        <v>4038</v>
      </c>
      <c r="G104" s="193"/>
      <c r="H104" s="192" t="s">
        <v>83</v>
      </c>
      <c r="I104" s="16" t="s">
        <v>3439</v>
      </c>
      <c r="J104" s="193"/>
      <c r="K104" s="193" t="s">
        <v>117</v>
      </c>
      <c r="L104" s="193"/>
      <c r="M104" s="193" t="s">
        <v>69</v>
      </c>
      <c r="N104" s="192" t="s">
        <v>70</v>
      </c>
      <c r="O104" s="193"/>
      <c r="P104" s="193" t="s">
        <v>3677</v>
      </c>
      <c r="Q104" s="193" t="s">
        <v>465</v>
      </c>
      <c r="R104" s="193"/>
      <c r="S104" s="193" t="s">
        <v>119</v>
      </c>
      <c r="T104" s="193" t="s">
        <v>107</v>
      </c>
      <c r="U104" s="192" t="s">
        <v>4556</v>
      </c>
      <c r="V104" s="192"/>
      <c r="W104" s="192"/>
      <c r="X104" s="192"/>
      <c r="Y104" s="16"/>
      <c r="Z104" s="16"/>
      <c r="AA104" s="16"/>
      <c r="AB104" s="16"/>
      <c r="AC104" s="16"/>
      <c r="AD104" s="16"/>
      <c r="AE104" s="16"/>
      <c r="AF104" s="16"/>
      <c r="AG104" s="16"/>
      <c r="AH104" s="17"/>
      <c r="AI104" s="193"/>
      <c r="AJ104" s="193"/>
      <c r="AK104" s="192"/>
      <c r="AL104" s="16"/>
      <c r="AM104" s="16"/>
      <c r="AN104" s="193" t="s">
        <v>4378</v>
      </c>
      <c r="AO104" s="193" t="s">
        <v>124</v>
      </c>
      <c r="AP104" s="193" t="s">
        <v>136</v>
      </c>
      <c r="AQ104" s="193" t="s">
        <v>116</v>
      </c>
      <c r="AR104" s="12">
        <f t="shared" si="3"/>
        <v>29</v>
      </c>
      <c r="AS104" s="12" t="str">
        <f t="shared" si="4"/>
        <v/>
      </c>
      <c r="AT104" s="18"/>
    </row>
    <row r="105" spans="1:46" s="21" customFormat="1" ht="20.100000000000001" hidden="1" customHeight="1" x14ac:dyDescent="0.2">
      <c r="A105" s="222">
        <v>98</v>
      </c>
      <c r="B105" s="29" t="s">
        <v>4553</v>
      </c>
      <c r="C105" s="29" t="s">
        <v>766</v>
      </c>
      <c r="D105" s="30" t="s">
        <v>3650</v>
      </c>
      <c r="E105" s="30" t="s">
        <v>6</v>
      </c>
      <c r="F105" s="30" t="s">
        <v>202</v>
      </c>
      <c r="G105" s="30"/>
      <c r="H105" s="20" t="s">
        <v>83</v>
      </c>
      <c r="I105" s="29" t="s">
        <v>92</v>
      </c>
      <c r="J105" s="30"/>
      <c r="K105" s="30" t="s">
        <v>155</v>
      </c>
      <c r="L105" s="30"/>
      <c r="M105" s="30" t="s">
        <v>106</v>
      </c>
      <c r="N105" s="20" t="s">
        <v>107</v>
      </c>
      <c r="O105" s="30"/>
      <c r="P105" s="30" t="s">
        <v>3679</v>
      </c>
      <c r="Q105" s="30" t="s">
        <v>718</v>
      </c>
      <c r="R105" s="30"/>
      <c r="S105" s="30" t="s">
        <v>106</v>
      </c>
      <c r="T105" s="30" t="s">
        <v>107</v>
      </c>
      <c r="U105" s="20" t="s">
        <v>3971</v>
      </c>
      <c r="V105" s="20"/>
      <c r="W105" s="20"/>
      <c r="X105" s="20"/>
      <c r="Y105" s="29">
        <v>198</v>
      </c>
      <c r="Z105" s="29"/>
      <c r="AA105" s="29"/>
      <c r="AB105" s="29"/>
      <c r="AC105" s="29"/>
      <c r="AD105" s="29"/>
      <c r="AE105" s="29"/>
      <c r="AF105" s="29"/>
      <c r="AG105" s="29"/>
      <c r="AH105" s="20"/>
      <c r="AI105" s="30"/>
      <c r="AJ105" s="30"/>
      <c r="AK105" s="20"/>
      <c r="AL105" s="29"/>
      <c r="AM105" s="29"/>
      <c r="AN105" s="30" t="s">
        <v>4378</v>
      </c>
      <c r="AO105" s="30" t="s">
        <v>124</v>
      </c>
      <c r="AP105" s="30" t="s">
        <v>113</v>
      </c>
      <c r="AQ105" s="30" t="s">
        <v>148</v>
      </c>
      <c r="AR105" s="12">
        <f t="shared" si="3"/>
        <v>8</v>
      </c>
      <c r="AS105" s="12">
        <f t="shared" si="4"/>
        <v>8</v>
      </c>
      <c r="AT105" s="32" t="s">
        <v>4640</v>
      </c>
    </row>
    <row r="106" spans="1:46" s="19" customFormat="1" ht="20.100000000000001" hidden="1" customHeight="1" x14ac:dyDescent="0.2">
      <c r="A106" s="243"/>
      <c r="B106" s="16" t="s">
        <v>4693</v>
      </c>
      <c r="C106" s="16" t="s">
        <v>766</v>
      </c>
      <c r="D106" s="244" t="s">
        <v>1563</v>
      </c>
      <c r="E106" s="244" t="s">
        <v>10</v>
      </c>
      <c r="F106" s="244"/>
      <c r="G106" s="244"/>
      <c r="H106" s="243" t="s">
        <v>7</v>
      </c>
      <c r="I106" s="16" t="s">
        <v>92</v>
      </c>
      <c r="J106" s="35" t="s">
        <v>769</v>
      </c>
      <c r="K106" s="35" t="s">
        <v>226</v>
      </c>
      <c r="L106" s="244" t="s">
        <v>4771</v>
      </c>
      <c r="M106" s="244" t="s">
        <v>106</v>
      </c>
      <c r="N106" s="243" t="s">
        <v>107</v>
      </c>
      <c r="O106" s="35" t="s">
        <v>4772</v>
      </c>
      <c r="P106" s="35" t="s">
        <v>2325</v>
      </c>
      <c r="Q106" s="35" t="s">
        <v>2348</v>
      </c>
      <c r="R106" s="244" t="s">
        <v>4773</v>
      </c>
      <c r="S106" s="244" t="s">
        <v>369</v>
      </c>
      <c r="T106" s="244" t="s">
        <v>369</v>
      </c>
      <c r="U106" s="243"/>
      <c r="V106" s="243"/>
      <c r="W106" s="243">
        <v>176</v>
      </c>
      <c r="X106" s="243">
        <v>171</v>
      </c>
      <c r="Y106" s="16">
        <v>165</v>
      </c>
      <c r="Z106" s="16">
        <v>135</v>
      </c>
      <c r="AA106" s="16">
        <v>157</v>
      </c>
      <c r="AB106" s="16">
        <v>2</v>
      </c>
      <c r="AC106" s="16">
        <v>26</v>
      </c>
      <c r="AD106" s="16">
        <v>185</v>
      </c>
      <c r="AE106" s="16"/>
      <c r="AF106" s="16">
        <v>4</v>
      </c>
      <c r="AG106" s="16"/>
      <c r="AH106" s="243"/>
      <c r="AI106" s="244"/>
      <c r="AJ106" s="244"/>
      <c r="AK106" s="243"/>
      <c r="AL106" s="16"/>
      <c r="AM106" s="16"/>
      <c r="AN106" s="244"/>
      <c r="AO106" s="244"/>
      <c r="AP106" s="244"/>
      <c r="AQ106" s="244"/>
      <c r="AR106" s="12" t="str">
        <f t="shared" si="3"/>
        <v/>
      </c>
      <c r="AS106" s="12" t="str">
        <f t="shared" si="4"/>
        <v/>
      </c>
      <c r="AT106" s="18"/>
    </row>
    <row r="107" spans="1:46" s="21" customFormat="1" ht="31.5" hidden="1" x14ac:dyDescent="0.2">
      <c r="A107" s="222">
        <v>99</v>
      </c>
      <c r="B107" s="29" t="s">
        <v>4588</v>
      </c>
      <c r="C107" s="29" t="s">
        <v>766</v>
      </c>
      <c r="D107" s="30" t="s">
        <v>3696</v>
      </c>
      <c r="E107" s="30" t="s">
        <v>243</v>
      </c>
      <c r="F107" s="30" t="s">
        <v>4589</v>
      </c>
      <c r="G107" s="30"/>
      <c r="H107" s="20" t="s">
        <v>83</v>
      </c>
      <c r="I107" s="29" t="s">
        <v>92</v>
      </c>
      <c r="J107" s="30"/>
      <c r="K107" s="30" t="s">
        <v>104</v>
      </c>
      <c r="L107" s="30" t="s">
        <v>3826</v>
      </c>
      <c r="M107" s="30" t="s">
        <v>142</v>
      </c>
      <c r="N107" s="20" t="s">
        <v>70</v>
      </c>
      <c r="O107" s="30"/>
      <c r="P107" s="30" t="s">
        <v>3677</v>
      </c>
      <c r="Q107" s="30" t="s">
        <v>555</v>
      </c>
      <c r="R107" s="30" t="s">
        <v>3827</v>
      </c>
      <c r="S107" s="30" t="s">
        <v>69</v>
      </c>
      <c r="T107" s="30" t="s">
        <v>70</v>
      </c>
      <c r="U107" s="20" t="s">
        <v>3694</v>
      </c>
      <c r="V107" s="20"/>
      <c r="W107" s="20"/>
      <c r="X107" s="20"/>
      <c r="Y107" s="29">
        <v>216</v>
      </c>
      <c r="Z107" s="29"/>
      <c r="AA107" s="29"/>
      <c r="AB107" s="29"/>
      <c r="AC107" s="29"/>
      <c r="AD107" s="29"/>
      <c r="AE107" s="29"/>
      <c r="AF107" s="29"/>
      <c r="AG107" s="29"/>
      <c r="AH107" s="39"/>
      <c r="AI107" s="30"/>
      <c r="AJ107" s="36"/>
      <c r="AK107" s="20"/>
      <c r="AL107" s="29" t="s">
        <v>160</v>
      </c>
      <c r="AM107" s="29"/>
      <c r="AN107" s="30" t="s">
        <v>4378</v>
      </c>
      <c r="AO107" s="30" t="s">
        <v>124</v>
      </c>
      <c r="AP107" s="30" t="s">
        <v>113</v>
      </c>
      <c r="AQ107" s="30" t="s">
        <v>1247</v>
      </c>
      <c r="AR107" s="12">
        <f t="shared" si="3"/>
        <v>11</v>
      </c>
      <c r="AS107" s="12">
        <f t="shared" si="4"/>
        <v>11</v>
      </c>
      <c r="AT107" s="32" t="s">
        <v>4638</v>
      </c>
    </row>
    <row r="108" spans="1:46" s="19" customFormat="1" ht="21.75" hidden="1" x14ac:dyDescent="0.2">
      <c r="A108" s="222">
        <v>100</v>
      </c>
      <c r="B108" s="16" t="s">
        <v>4590</v>
      </c>
      <c r="C108" s="16" t="s">
        <v>766</v>
      </c>
      <c r="D108" s="193" t="s">
        <v>2222</v>
      </c>
      <c r="E108" s="193" t="s">
        <v>243</v>
      </c>
      <c r="F108" s="193" t="s">
        <v>4038</v>
      </c>
      <c r="G108" s="193"/>
      <c r="H108" s="192" t="s">
        <v>83</v>
      </c>
      <c r="I108" s="16" t="s">
        <v>3439</v>
      </c>
      <c r="J108" s="193"/>
      <c r="K108" s="193" t="s">
        <v>223</v>
      </c>
      <c r="L108" s="193"/>
      <c r="M108" s="193" t="s">
        <v>119</v>
      </c>
      <c r="N108" s="192" t="s">
        <v>107</v>
      </c>
      <c r="O108" s="193"/>
      <c r="P108" s="193" t="s">
        <v>1809</v>
      </c>
      <c r="Q108" s="193" t="s">
        <v>2258</v>
      </c>
      <c r="R108" s="193"/>
      <c r="S108" s="193" t="s">
        <v>119</v>
      </c>
      <c r="T108" s="193" t="s">
        <v>107</v>
      </c>
      <c r="U108" s="192" t="s">
        <v>4639</v>
      </c>
      <c r="V108" s="192"/>
      <c r="W108" s="192"/>
      <c r="X108" s="192"/>
      <c r="Y108" s="16"/>
      <c r="Z108" s="16"/>
      <c r="AA108" s="16"/>
      <c r="AB108" s="16"/>
      <c r="AC108" s="16"/>
      <c r="AD108" s="16"/>
      <c r="AE108" s="16"/>
      <c r="AF108" s="16"/>
      <c r="AG108" s="16"/>
      <c r="AH108" s="17"/>
      <c r="AI108" s="193"/>
      <c r="AJ108" s="25"/>
      <c r="AK108" s="192"/>
      <c r="AL108" s="16"/>
      <c r="AM108" s="16"/>
      <c r="AN108" s="193" t="s">
        <v>4378</v>
      </c>
      <c r="AO108" s="193" t="s">
        <v>124</v>
      </c>
      <c r="AP108" s="193" t="s">
        <v>136</v>
      </c>
      <c r="AQ108" s="193" t="s">
        <v>296</v>
      </c>
      <c r="AR108" s="12">
        <f t="shared" si="3"/>
        <v>38</v>
      </c>
      <c r="AS108" s="12" t="str">
        <f t="shared" si="4"/>
        <v/>
      </c>
      <c r="AT108" s="18"/>
    </row>
    <row r="109" spans="1:46" s="19" customFormat="1" ht="20.100000000000001" hidden="1" customHeight="1" x14ac:dyDescent="0.2">
      <c r="A109" s="222">
        <v>101</v>
      </c>
      <c r="B109" s="16" t="s">
        <v>4592</v>
      </c>
      <c r="C109" s="16" t="s">
        <v>766</v>
      </c>
      <c r="D109" s="193" t="s">
        <v>1275</v>
      </c>
      <c r="E109" s="193" t="s">
        <v>10</v>
      </c>
      <c r="F109" s="193" t="s">
        <v>4038</v>
      </c>
      <c r="G109" s="193"/>
      <c r="H109" s="192" t="s">
        <v>83</v>
      </c>
      <c r="I109" s="16" t="s">
        <v>92</v>
      </c>
      <c r="J109" s="193"/>
      <c r="K109" s="35" t="s">
        <v>141</v>
      </c>
      <c r="L109" s="221" t="s">
        <v>3312</v>
      </c>
      <c r="M109" s="221" t="s">
        <v>69</v>
      </c>
      <c r="N109" s="220" t="s">
        <v>70</v>
      </c>
      <c r="O109" s="193"/>
      <c r="P109" s="221" t="s">
        <v>1809</v>
      </c>
      <c r="Q109" s="221" t="s">
        <v>1581</v>
      </c>
      <c r="R109" s="221" t="s">
        <v>3313</v>
      </c>
      <c r="S109" s="221" t="s">
        <v>69</v>
      </c>
      <c r="T109" s="221" t="s">
        <v>70</v>
      </c>
      <c r="U109" s="16" t="s">
        <v>3308</v>
      </c>
      <c r="V109" s="192"/>
      <c r="W109" s="192"/>
      <c r="X109" s="192"/>
      <c r="Y109" s="16">
        <v>207</v>
      </c>
      <c r="Z109" s="16"/>
      <c r="AA109" s="16"/>
      <c r="AB109" s="16"/>
      <c r="AC109" s="16"/>
      <c r="AD109" s="16"/>
      <c r="AE109" s="16"/>
      <c r="AF109" s="16"/>
      <c r="AG109" s="16"/>
      <c r="AH109" s="192"/>
      <c r="AI109" s="193"/>
      <c r="AJ109" s="25"/>
      <c r="AK109" s="192"/>
      <c r="AL109" s="16"/>
      <c r="AM109" s="16"/>
      <c r="AN109" s="193" t="s">
        <v>4378</v>
      </c>
      <c r="AO109" s="193" t="s">
        <v>124</v>
      </c>
      <c r="AP109" s="193" t="s">
        <v>113</v>
      </c>
      <c r="AQ109" s="193" t="s">
        <v>296</v>
      </c>
      <c r="AR109" s="12">
        <f t="shared" si="3"/>
        <v>14</v>
      </c>
      <c r="AS109" s="12" t="str">
        <f t="shared" si="4"/>
        <v/>
      </c>
      <c r="AT109" s="18"/>
    </row>
    <row r="110" spans="1:46" s="19" customFormat="1" ht="20.100000000000001" hidden="1" customHeight="1" x14ac:dyDescent="0.2">
      <c r="A110" s="222">
        <v>102</v>
      </c>
      <c r="B110" s="16" t="s">
        <v>4593</v>
      </c>
      <c r="C110" s="16" t="s">
        <v>766</v>
      </c>
      <c r="D110" s="193" t="s">
        <v>2356</v>
      </c>
      <c r="E110" s="217" t="s">
        <v>10</v>
      </c>
      <c r="F110" s="193" t="s">
        <v>192</v>
      </c>
      <c r="G110" s="193"/>
      <c r="H110" s="192" t="s">
        <v>7</v>
      </c>
      <c r="I110" s="16" t="s">
        <v>92</v>
      </c>
      <c r="J110" s="193"/>
      <c r="K110" s="193" t="s">
        <v>68</v>
      </c>
      <c r="L110" s="193" t="s">
        <v>4568</v>
      </c>
      <c r="M110" s="193" t="s">
        <v>106</v>
      </c>
      <c r="N110" s="192" t="s">
        <v>107</v>
      </c>
      <c r="O110" s="193"/>
      <c r="P110" s="193" t="s">
        <v>1510</v>
      </c>
      <c r="Q110" s="193" t="s">
        <v>769</v>
      </c>
      <c r="R110" s="193" t="s">
        <v>4617</v>
      </c>
      <c r="S110" s="193" t="s">
        <v>262</v>
      </c>
      <c r="T110" s="193" t="s">
        <v>70</v>
      </c>
      <c r="U110" s="192">
        <v>0</v>
      </c>
      <c r="V110" s="192"/>
      <c r="W110" s="192">
        <v>250</v>
      </c>
      <c r="X110" s="192">
        <v>0</v>
      </c>
      <c r="Y110" s="16">
        <v>228</v>
      </c>
      <c r="Z110" s="16">
        <v>106</v>
      </c>
      <c r="AA110" s="16">
        <v>143</v>
      </c>
      <c r="AB110" s="16">
        <v>2</v>
      </c>
      <c r="AC110" s="16">
        <v>20</v>
      </c>
      <c r="AD110" s="16">
        <v>164</v>
      </c>
      <c r="AE110" s="16">
        <v>17</v>
      </c>
      <c r="AF110" s="16">
        <v>6</v>
      </c>
      <c r="AG110" s="16"/>
      <c r="AH110" s="192"/>
      <c r="AI110" s="193"/>
      <c r="AJ110" s="25"/>
      <c r="AK110" s="192"/>
      <c r="AL110" s="16" t="s">
        <v>160</v>
      </c>
      <c r="AM110" s="16" t="s">
        <v>193</v>
      </c>
      <c r="AN110" s="193"/>
      <c r="AO110" s="193"/>
      <c r="AP110" s="193"/>
      <c r="AQ110" s="193"/>
      <c r="AR110" s="12" t="str">
        <f t="shared" si="3"/>
        <v/>
      </c>
      <c r="AS110" s="12" t="str">
        <f t="shared" si="4"/>
        <v/>
      </c>
      <c r="AT110" s="18"/>
    </row>
    <row r="111" spans="1:46" s="19" customFormat="1" ht="20.100000000000001" hidden="1" customHeight="1" x14ac:dyDescent="0.2">
      <c r="A111" s="222">
        <v>103</v>
      </c>
      <c r="B111" s="16" t="s">
        <v>4594</v>
      </c>
      <c r="C111" s="16" t="s">
        <v>766</v>
      </c>
      <c r="D111" s="193" t="s">
        <v>3696</v>
      </c>
      <c r="E111" s="193" t="s">
        <v>243</v>
      </c>
      <c r="F111" s="193"/>
      <c r="G111" s="193"/>
      <c r="H111" s="192" t="s">
        <v>7</v>
      </c>
      <c r="I111" s="16" t="s">
        <v>92</v>
      </c>
      <c r="J111" s="193" t="s">
        <v>104</v>
      </c>
      <c r="K111" s="193" t="s">
        <v>104</v>
      </c>
      <c r="L111" s="193" t="s">
        <v>4618</v>
      </c>
      <c r="M111" s="193" t="s">
        <v>106</v>
      </c>
      <c r="N111" s="192" t="s">
        <v>107</v>
      </c>
      <c r="O111" s="193" t="s">
        <v>361</v>
      </c>
      <c r="P111" s="193" t="s">
        <v>3677</v>
      </c>
      <c r="Q111" s="193" t="s">
        <v>555</v>
      </c>
      <c r="R111" s="193" t="s">
        <v>4619</v>
      </c>
      <c r="S111" s="218" t="s">
        <v>106</v>
      </c>
      <c r="T111" s="218" t="s">
        <v>107</v>
      </c>
      <c r="U111" s="192">
        <v>0</v>
      </c>
      <c r="V111" s="192"/>
      <c r="W111" s="192">
        <v>228</v>
      </c>
      <c r="X111" s="192">
        <v>216</v>
      </c>
      <c r="Y111" s="16">
        <v>216</v>
      </c>
      <c r="Z111" s="16">
        <v>58</v>
      </c>
      <c r="AA111" s="16">
        <v>94</v>
      </c>
      <c r="AB111" s="16">
        <v>5</v>
      </c>
      <c r="AC111" s="16">
        <v>50</v>
      </c>
      <c r="AD111" s="16">
        <v>149</v>
      </c>
      <c r="AE111" s="16">
        <v>20</v>
      </c>
      <c r="AF111" s="16">
        <v>6</v>
      </c>
      <c r="AG111" s="16"/>
      <c r="AH111" s="192"/>
      <c r="AI111" s="193"/>
      <c r="AJ111" s="193"/>
      <c r="AK111" s="192"/>
      <c r="AL111" s="16" t="s">
        <v>160</v>
      </c>
      <c r="AM111" s="16"/>
      <c r="AN111" s="193"/>
      <c r="AO111" s="193"/>
      <c r="AP111" s="193"/>
      <c r="AQ111" s="193"/>
      <c r="AR111" s="12" t="str">
        <f t="shared" si="3"/>
        <v/>
      </c>
      <c r="AS111" s="12" t="str">
        <f t="shared" si="4"/>
        <v/>
      </c>
      <c r="AT111" s="18"/>
    </row>
    <row r="112" spans="1:46" s="19" customFormat="1" ht="20.100000000000001" hidden="1" customHeight="1" x14ac:dyDescent="0.2">
      <c r="A112" s="222">
        <v>104</v>
      </c>
      <c r="B112" s="16" t="s">
        <v>4594</v>
      </c>
      <c r="C112" s="16" t="s">
        <v>766</v>
      </c>
      <c r="D112" s="193" t="s">
        <v>4595</v>
      </c>
      <c r="E112" s="193" t="s">
        <v>9</v>
      </c>
      <c r="F112" s="193" t="s">
        <v>192</v>
      </c>
      <c r="G112" s="193"/>
      <c r="H112" s="192" t="s">
        <v>7</v>
      </c>
      <c r="I112" s="16" t="s">
        <v>3439</v>
      </c>
      <c r="J112" s="193"/>
      <c r="K112" s="193" t="s">
        <v>68</v>
      </c>
      <c r="L112" s="193" t="s">
        <v>4620</v>
      </c>
      <c r="M112" s="193" t="s">
        <v>262</v>
      </c>
      <c r="N112" s="192" t="s">
        <v>70</v>
      </c>
      <c r="O112" s="193"/>
      <c r="P112" s="193" t="s">
        <v>3679</v>
      </c>
      <c r="Q112" s="193" t="s">
        <v>485</v>
      </c>
      <c r="R112" s="193" t="s">
        <v>4621</v>
      </c>
      <c r="S112" s="193" t="s">
        <v>106</v>
      </c>
      <c r="T112" s="193" t="s">
        <v>107</v>
      </c>
      <c r="U112" s="192">
        <v>0</v>
      </c>
      <c r="V112" s="192"/>
      <c r="W112" s="192">
        <v>229</v>
      </c>
      <c r="X112" s="192">
        <v>0</v>
      </c>
      <c r="Y112" s="16">
        <v>216</v>
      </c>
      <c r="Z112" s="16">
        <v>82</v>
      </c>
      <c r="AA112" s="16">
        <v>114</v>
      </c>
      <c r="AB112" s="16">
        <v>7</v>
      </c>
      <c r="AC112" s="16">
        <v>30</v>
      </c>
      <c r="AD112" s="16">
        <v>151</v>
      </c>
      <c r="AE112" s="16">
        <v>26</v>
      </c>
      <c r="AF112" s="16">
        <v>6</v>
      </c>
      <c r="AG112" s="16"/>
      <c r="AH112" s="192"/>
      <c r="AI112" s="193"/>
      <c r="AJ112" s="25"/>
      <c r="AK112" s="192"/>
      <c r="AL112" s="16" t="s">
        <v>160</v>
      </c>
      <c r="AM112" s="16"/>
      <c r="AN112" s="193"/>
      <c r="AO112" s="193"/>
      <c r="AP112" s="193"/>
      <c r="AQ112" s="193"/>
      <c r="AR112" s="12" t="str">
        <f t="shared" si="3"/>
        <v/>
      </c>
      <c r="AS112" s="12" t="str">
        <f t="shared" si="4"/>
        <v/>
      </c>
      <c r="AT112" s="18"/>
    </row>
    <row r="113" spans="1:46" s="19" customFormat="1" ht="20.100000000000001" hidden="1" customHeight="1" x14ac:dyDescent="0.2">
      <c r="A113" s="222">
        <v>105</v>
      </c>
      <c r="B113" s="16" t="s">
        <v>4594</v>
      </c>
      <c r="C113" s="16" t="s">
        <v>766</v>
      </c>
      <c r="D113" s="193" t="s">
        <v>2345</v>
      </c>
      <c r="E113" s="193" t="s">
        <v>9</v>
      </c>
      <c r="F113" s="193" t="s">
        <v>4589</v>
      </c>
      <c r="G113" s="193"/>
      <c r="H113" s="192" t="s">
        <v>83</v>
      </c>
      <c r="I113" s="16" t="s">
        <v>3439</v>
      </c>
      <c r="J113" s="193"/>
      <c r="K113" s="193" t="s">
        <v>140</v>
      </c>
      <c r="L113" s="193"/>
      <c r="M113" s="193" t="s">
        <v>69</v>
      </c>
      <c r="N113" s="192" t="s">
        <v>70</v>
      </c>
      <c r="O113" s="193"/>
      <c r="P113" s="193" t="s">
        <v>2245</v>
      </c>
      <c r="Q113" s="193" t="s">
        <v>441</v>
      </c>
      <c r="R113" s="193"/>
      <c r="S113" s="193" t="s">
        <v>142</v>
      </c>
      <c r="T113" s="193" t="s">
        <v>70</v>
      </c>
      <c r="U113" s="192" t="s">
        <v>4641</v>
      </c>
      <c r="V113" s="192"/>
      <c r="W113" s="192"/>
      <c r="X113" s="192"/>
      <c r="Y113" s="16"/>
      <c r="Z113" s="16"/>
      <c r="AA113" s="16"/>
      <c r="AB113" s="16"/>
      <c r="AC113" s="16"/>
      <c r="AD113" s="16"/>
      <c r="AE113" s="16"/>
      <c r="AF113" s="16"/>
      <c r="AG113" s="16"/>
      <c r="AH113" s="17"/>
      <c r="AI113" s="193"/>
      <c r="AJ113" s="25"/>
      <c r="AK113" s="192"/>
      <c r="AL113" s="16"/>
      <c r="AM113" s="16"/>
      <c r="AN113" s="193" t="s">
        <v>4378</v>
      </c>
      <c r="AO113" s="193" t="s">
        <v>124</v>
      </c>
      <c r="AP113" s="193" t="s">
        <v>136</v>
      </c>
      <c r="AQ113" s="193" t="s">
        <v>1247</v>
      </c>
      <c r="AR113" s="12">
        <f t="shared" si="3"/>
        <v>35</v>
      </c>
      <c r="AS113" s="12" t="str">
        <f t="shared" si="4"/>
        <v/>
      </c>
      <c r="AT113" s="18"/>
    </row>
    <row r="114" spans="1:46" s="21" customFormat="1" ht="20.100000000000001" hidden="1" customHeight="1" x14ac:dyDescent="0.2">
      <c r="A114" s="20">
        <v>106</v>
      </c>
      <c r="B114" s="29" t="s">
        <v>4594</v>
      </c>
      <c r="C114" s="29" t="s">
        <v>766</v>
      </c>
      <c r="D114" s="30" t="s">
        <v>4596</v>
      </c>
      <c r="E114" s="30" t="s">
        <v>66</v>
      </c>
      <c r="F114" s="30" t="s">
        <v>1587</v>
      </c>
      <c r="G114" s="30"/>
      <c r="H114" s="20" t="s">
        <v>222</v>
      </c>
      <c r="I114" s="29" t="s">
        <v>92</v>
      </c>
      <c r="J114" s="30"/>
      <c r="K114" s="30" t="s">
        <v>226</v>
      </c>
      <c r="L114" s="30"/>
      <c r="M114" s="30" t="s">
        <v>69</v>
      </c>
      <c r="N114" s="20" t="s">
        <v>70</v>
      </c>
      <c r="O114" s="30"/>
      <c r="P114" s="30" t="s">
        <v>2325</v>
      </c>
      <c r="Q114" s="30" t="s">
        <v>2348</v>
      </c>
      <c r="R114" s="30"/>
      <c r="S114" s="30" t="s">
        <v>69</v>
      </c>
      <c r="T114" s="30" t="s">
        <v>70</v>
      </c>
      <c r="U114" s="29" t="s">
        <v>4304</v>
      </c>
      <c r="V114" s="20"/>
      <c r="W114" s="20"/>
      <c r="X114" s="20"/>
      <c r="Y114" s="29">
        <v>188</v>
      </c>
      <c r="Z114" s="29"/>
      <c r="AA114" s="29"/>
      <c r="AB114" s="29"/>
      <c r="AC114" s="29"/>
      <c r="AD114" s="29"/>
      <c r="AE114" s="29"/>
      <c r="AF114" s="29">
        <v>3</v>
      </c>
      <c r="AG114" s="29"/>
      <c r="AH114" s="20"/>
      <c r="AI114" s="30"/>
      <c r="AJ114" s="36"/>
      <c r="AK114" s="20"/>
      <c r="AL114" s="29"/>
      <c r="AM114" s="29"/>
      <c r="AN114" s="30" t="s">
        <v>4378</v>
      </c>
      <c r="AO114" s="30" t="s">
        <v>124</v>
      </c>
      <c r="AP114" s="30" t="s">
        <v>113</v>
      </c>
      <c r="AQ114" s="30" t="s">
        <v>260</v>
      </c>
      <c r="AR114" s="12">
        <f t="shared" si="3"/>
        <v>4</v>
      </c>
      <c r="AS114" s="12">
        <f t="shared" si="4"/>
        <v>4</v>
      </c>
      <c r="AT114" s="32"/>
    </row>
    <row r="115" spans="1:46" s="19" customFormat="1" ht="20.100000000000001" hidden="1" customHeight="1" x14ac:dyDescent="0.2">
      <c r="A115" s="222">
        <v>107</v>
      </c>
      <c r="B115" s="16" t="s">
        <v>4597</v>
      </c>
      <c r="C115" s="16" t="s">
        <v>766</v>
      </c>
      <c r="D115" s="193" t="s">
        <v>4591</v>
      </c>
      <c r="E115" s="193" t="s">
        <v>66</v>
      </c>
      <c r="F115" s="193" t="s">
        <v>192</v>
      </c>
      <c r="G115" s="193"/>
      <c r="H115" s="192" t="s">
        <v>7</v>
      </c>
      <c r="I115" s="16" t="s">
        <v>92</v>
      </c>
      <c r="J115" s="193"/>
      <c r="K115" s="193" t="s">
        <v>223</v>
      </c>
      <c r="L115" s="193" t="s">
        <v>4622</v>
      </c>
      <c r="M115" s="193" t="s">
        <v>69</v>
      </c>
      <c r="N115" s="192" t="s">
        <v>70</v>
      </c>
      <c r="O115" s="193"/>
      <c r="P115" s="193" t="s">
        <v>2325</v>
      </c>
      <c r="Q115" s="193" t="s">
        <v>144</v>
      </c>
      <c r="R115" s="193" t="s">
        <v>4623</v>
      </c>
      <c r="S115" s="193" t="s">
        <v>69</v>
      </c>
      <c r="T115" s="193" t="s">
        <v>70</v>
      </c>
      <c r="U115" s="192">
        <v>0</v>
      </c>
      <c r="V115" s="192"/>
      <c r="W115" s="192">
        <v>252</v>
      </c>
      <c r="X115" s="192">
        <v>0</v>
      </c>
      <c r="Y115" s="16">
        <v>240</v>
      </c>
      <c r="Z115" s="16">
        <v>128</v>
      </c>
      <c r="AA115" s="16">
        <v>230</v>
      </c>
      <c r="AB115" s="16">
        <v>2</v>
      </c>
      <c r="AC115" s="16">
        <v>25</v>
      </c>
      <c r="AD115" s="16">
        <v>257</v>
      </c>
      <c r="AE115" s="16">
        <v>3</v>
      </c>
      <c r="AF115" s="16">
        <v>4</v>
      </c>
      <c r="AG115" s="16"/>
      <c r="AH115" s="17"/>
      <c r="AI115" s="193"/>
      <c r="AJ115" s="25"/>
      <c r="AK115" s="192"/>
      <c r="AL115" s="16" t="s">
        <v>160</v>
      </c>
      <c r="AM115" s="16"/>
      <c r="AN115" s="193"/>
      <c r="AO115" s="193"/>
      <c r="AP115" s="193"/>
      <c r="AQ115" s="193"/>
      <c r="AR115" s="12" t="str">
        <f t="shared" si="3"/>
        <v/>
      </c>
      <c r="AS115" s="12" t="str">
        <f t="shared" si="4"/>
        <v/>
      </c>
      <c r="AT115" s="18"/>
    </row>
    <row r="116" spans="1:46" s="19" customFormat="1" ht="20.100000000000001" hidden="1" customHeight="1" x14ac:dyDescent="0.2">
      <c r="A116" s="222">
        <v>108</v>
      </c>
      <c r="B116" s="16" t="s">
        <v>4597</v>
      </c>
      <c r="C116" s="16" t="s">
        <v>766</v>
      </c>
      <c r="D116" s="193" t="s">
        <v>897</v>
      </c>
      <c r="E116" s="193" t="s">
        <v>19</v>
      </c>
      <c r="F116" s="193" t="s">
        <v>4038</v>
      </c>
      <c r="G116" s="193"/>
      <c r="H116" s="192" t="s">
        <v>83</v>
      </c>
      <c r="I116" s="16" t="s">
        <v>3439</v>
      </c>
      <c r="J116" s="193"/>
      <c r="K116" s="41" t="s">
        <v>223</v>
      </c>
      <c r="L116" s="41" t="s">
        <v>1570</v>
      </c>
      <c r="M116" s="41" t="s">
        <v>73</v>
      </c>
      <c r="N116" s="13" t="s">
        <v>107</v>
      </c>
      <c r="O116" s="193"/>
      <c r="P116" s="193" t="s">
        <v>2961</v>
      </c>
      <c r="Q116" s="193" t="s">
        <v>441</v>
      </c>
      <c r="R116" s="41" t="s">
        <v>1571</v>
      </c>
      <c r="S116" s="41" t="s">
        <v>106</v>
      </c>
      <c r="T116" s="41" t="s">
        <v>107</v>
      </c>
      <c r="U116" s="40" t="s">
        <v>1569</v>
      </c>
      <c r="V116" s="192"/>
      <c r="W116" s="192"/>
      <c r="X116" s="192"/>
      <c r="Y116" s="16">
        <v>216</v>
      </c>
      <c r="Z116" s="16"/>
      <c r="AA116" s="16"/>
      <c r="AB116" s="16"/>
      <c r="AC116" s="16"/>
      <c r="AD116" s="16"/>
      <c r="AE116" s="16"/>
      <c r="AF116" s="16"/>
      <c r="AG116" s="16"/>
      <c r="AH116" s="192"/>
      <c r="AI116" s="193"/>
      <c r="AJ116" s="25"/>
      <c r="AK116" s="192"/>
      <c r="AL116" s="16"/>
      <c r="AM116" s="16"/>
      <c r="AN116" s="193" t="s">
        <v>4378</v>
      </c>
      <c r="AO116" s="193" t="s">
        <v>124</v>
      </c>
      <c r="AP116" s="193" t="s">
        <v>115</v>
      </c>
      <c r="AQ116" s="193" t="s">
        <v>266</v>
      </c>
      <c r="AR116" s="12">
        <f t="shared" si="3"/>
        <v>19</v>
      </c>
      <c r="AS116" s="12" t="str">
        <f t="shared" si="4"/>
        <v/>
      </c>
      <c r="AT116" s="18"/>
    </row>
    <row r="117" spans="1:46" s="19" customFormat="1" ht="20.100000000000001" hidden="1" customHeight="1" x14ac:dyDescent="0.2">
      <c r="A117" s="222">
        <v>109</v>
      </c>
      <c r="B117" s="16" t="s">
        <v>4597</v>
      </c>
      <c r="C117" s="16" t="s">
        <v>766</v>
      </c>
      <c r="D117" s="193" t="s">
        <v>2345</v>
      </c>
      <c r="E117" s="193" t="s">
        <v>9</v>
      </c>
      <c r="F117" s="193"/>
      <c r="G117" s="193"/>
      <c r="H117" s="192" t="s">
        <v>7</v>
      </c>
      <c r="I117" s="16" t="s">
        <v>3439</v>
      </c>
      <c r="J117" s="35" t="s">
        <v>140</v>
      </c>
      <c r="K117" s="35" t="s">
        <v>117</v>
      </c>
      <c r="L117" s="193"/>
      <c r="M117" s="218" t="s">
        <v>106</v>
      </c>
      <c r="N117" s="219" t="s">
        <v>107</v>
      </c>
      <c r="O117" s="35" t="s">
        <v>328</v>
      </c>
      <c r="P117" s="35" t="s">
        <v>2245</v>
      </c>
      <c r="Q117" s="35" t="s">
        <v>260</v>
      </c>
      <c r="R117" s="193"/>
      <c r="S117" s="218" t="s">
        <v>106</v>
      </c>
      <c r="T117" s="218" t="s">
        <v>107</v>
      </c>
      <c r="U117" s="192"/>
      <c r="V117" s="192"/>
      <c r="W117" s="192">
        <v>250</v>
      </c>
      <c r="X117" s="192">
        <v>234</v>
      </c>
      <c r="Y117" s="16">
        <v>234</v>
      </c>
      <c r="Z117" s="16">
        <v>120</v>
      </c>
      <c r="AA117" s="16">
        <v>153</v>
      </c>
      <c r="AB117" s="16">
        <v>2</v>
      </c>
      <c r="AC117" s="16">
        <v>15</v>
      </c>
      <c r="AD117" s="16">
        <v>170</v>
      </c>
      <c r="AE117" s="16">
        <v>15</v>
      </c>
      <c r="AF117" s="16">
        <v>6</v>
      </c>
      <c r="AG117" s="16"/>
      <c r="AH117" s="17"/>
      <c r="AI117" s="193"/>
      <c r="AJ117" s="25"/>
      <c r="AK117" s="192"/>
      <c r="AL117" s="16"/>
      <c r="AM117" s="16"/>
      <c r="AN117" s="193"/>
      <c r="AO117" s="193"/>
      <c r="AP117" s="193"/>
      <c r="AQ117" s="193"/>
      <c r="AR117" s="12" t="str">
        <f t="shared" si="3"/>
        <v/>
      </c>
      <c r="AS117" s="12" t="str">
        <f t="shared" si="4"/>
        <v/>
      </c>
      <c r="AT117" s="18"/>
    </row>
    <row r="118" spans="1:46" s="21" customFormat="1" ht="20.100000000000001" hidden="1" customHeight="1" x14ac:dyDescent="0.2">
      <c r="A118" s="222">
        <v>110</v>
      </c>
      <c r="B118" s="29" t="s">
        <v>4598</v>
      </c>
      <c r="C118" s="29" t="s">
        <v>766</v>
      </c>
      <c r="D118" s="30" t="s">
        <v>2992</v>
      </c>
      <c r="E118" s="30" t="s">
        <v>19</v>
      </c>
      <c r="F118" s="30" t="s">
        <v>4589</v>
      </c>
      <c r="G118" s="30"/>
      <c r="H118" s="20" t="s">
        <v>83</v>
      </c>
      <c r="I118" s="29" t="s">
        <v>92</v>
      </c>
      <c r="J118" s="30"/>
      <c r="K118" s="30" t="s">
        <v>140</v>
      </c>
      <c r="L118" s="30" t="s">
        <v>4545</v>
      </c>
      <c r="M118" s="30" t="s">
        <v>106</v>
      </c>
      <c r="N118" s="20" t="s">
        <v>107</v>
      </c>
      <c r="O118" s="30"/>
      <c r="P118" s="30" t="s">
        <v>3677</v>
      </c>
      <c r="Q118" s="30" t="s">
        <v>506</v>
      </c>
      <c r="R118" s="30" t="s">
        <v>4027</v>
      </c>
      <c r="S118" s="30" t="s">
        <v>106</v>
      </c>
      <c r="T118" s="30" t="s">
        <v>107</v>
      </c>
      <c r="U118" s="29" t="s">
        <v>4306</v>
      </c>
      <c r="V118" s="20"/>
      <c r="W118" s="20"/>
      <c r="X118" s="20"/>
      <c r="Y118" s="29">
        <v>204</v>
      </c>
      <c r="Z118" s="29"/>
      <c r="AA118" s="29"/>
      <c r="AB118" s="29"/>
      <c r="AC118" s="29"/>
      <c r="AD118" s="29"/>
      <c r="AE118" s="29"/>
      <c r="AF118" s="29"/>
      <c r="AG118" s="29"/>
      <c r="AH118" s="20"/>
      <c r="AI118" s="30"/>
      <c r="AJ118" s="36"/>
      <c r="AK118" s="20"/>
      <c r="AL118" s="29"/>
      <c r="AM118" s="29"/>
      <c r="AN118" s="30" t="s">
        <v>4378</v>
      </c>
      <c r="AO118" s="30" t="s">
        <v>124</v>
      </c>
      <c r="AP118" s="30" t="s">
        <v>113</v>
      </c>
      <c r="AQ118" s="30" t="s">
        <v>260</v>
      </c>
      <c r="AR118" s="12">
        <f t="shared" si="3"/>
        <v>4</v>
      </c>
      <c r="AS118" s="12">
        <f t="shared" si="4"/>
        <v>4</v>
      </c>
      <c r="AT118" s="32"/>
    </row>
    <row r="119" spans="1:46" s="21" customFormat="1" ht="20.100000000000001" hidden="1" customHeight="1" x14ac:dyDescent="0.2">
      <c r="A119" s="222">
        <v>111</v>
      </c>
      <c r="B119" s="29" t="s">
        <v>4599</v>
      </c>
      <c r="C119" s="29" t="s">
        <v>766</v>
      </c>
      <c r="D119" s="30" t="s">
        <v>604</v>
      </c>
      <c r="E119" s="30" t="s">
        <v>19</v>
      </c>
      <c r="F119" s="30" t="s">
        <v>4038</v>
      </c>
      <c r="G119" s="30"/>
      <c r="H119" s="20" t="s">
        <v>83</v>
      </c>
      <c r="I119" s="29" t="s">
        <v>92</v>
      </c>
      <c r="J119" s="30"/>
      <c r="K119" s="30" t="s">
        <v>104</v>
      </c>
      <c r="L119" s="30"/>
      <c r="M119" s="30" t="s">
        <v>142</v>
      </c>
      <c r="N119" s="20" t="s">
        <v>70</v>
      </c>
      <c r="O119" s="30"/>
      <c r="P119" s="30" t="s">
        <v>1510</v>
      </c>
      <c r="Q119" s="30" t="s">
        <v>2348</v>
      </c>
      <c r="R119" s="30" t="s">
        <v>3845</v>
      </c>
      <c r="S119" s="30" t="s">
        <v>106</v>
      </c>
      <c r="T119" s="30" t="s">
        <v>107</v>
      </c>
      <c r="U119" s="29" t="s">
        <v>3842</v>
      </c>
      <c r="V119" s="20"/>
      <c r="W119" s="20"/>
      <c r="X119" s="20"/>
      <c r="Y119" s="29">
        <v>234</v>
      </c>
      <c r="Z119" s="29"/>
      <c r="AA119" s="29"/>
      <c r="AB119" s="29"/>
      <c r="AC119" s="29"/>
      <c r="AD119" s="29"/>
      <c r="AE119" s="29"/>
      <c r="AF119" s="29"/>
      <c r="AG119" s="29"/>
      <c r="AH119" s="39"/>
      <c r="AI119" s="30"/>
      <c r="AJ119" s="36"/>
      <c r="AK119" s="20"/>
      <c r="AL119" s="29"/>
      <c r="AM119" s="29"/>
      <c r="AN119" s="30" t="s">
        <v>4378</v>
      </c>
      <c r="AO119" s="30" t="s">
        <v>124</v>
      </c>
      <c r="AP119" s="30" t="s">
        <v>113</v>
      </c>
      <c r="AQ119" s="30" t="s">
        <v>137</v>
      </c>
      <c r="AR119" s="12">
        <f t="shared" si="3"/>
        <v>10</v>
      </c>
      <c r="AS119" s="12">
        <f t="shared" si="4"/>
        <v>10</v>
      </c>
      <c r="AT119" s="32"/>
    </row>
    <row r="120" spans="1:46" s="19" customFormat="1" ht="20.100000000000001" hidden="1" customHeight="1" x14ac:dyDescent="0.2">
      <c r="A120" s="222">
        <v>112</v>
      </c>
      <c r="B120" s="16" t="s">
        <v>4600</v>
      </c>
      <c r="C120" s="16" t="s">
        <v>766</v>
      </c>
      <c r="D120" s="193" t="s">
        <v>835</v>
      </c>
      <c r="E120" s="193" t="s">
        <v>20</v>
      </c>
      <c r="F120" s="193" t="s">
        <v>192</v>
      </c>
      <c r="G120" s="193"/>
      <c r="H120" s="192" t="s">
        <v>7</v>
      </c>
      <c r="I120" s="16" t="s">
        <v>92</v>
      </c>
      <c r="J120" s="193"/>
      <c r="K120" s="193" t="s">
        <v>104</v>
      </c>
      <c r="L120" s="193" t="s">
        <v>4624</v>
      </c>
      <c r="M120" s="218" t="s">
        <v>73</v>
      </c>
      <c r="N120" s="219" t="s">
        <v>107</v>
      </c>
      <c r="O120" s="193"/>
      <c r="P120" s="193" t="s">
        <v>2245</v>
      </c>
      <c r="Q120" s="193" t="s">
        <v>769</v>
      </c>
      <c r="R120" s="193" t="s">
        <v>4625</v>
      </c>
      <c r="S120" s="218" t="s">
        <v>106</v>
      </c>
      <c r="T120" s="218" t="s">
        <v>107</v>
      </c>
      <c r="U120" s="192"/>
      <c r="V120" s="192"/>
      <c r="W120" s="192">
        <v>248</v>
      </c>
      <c r="X120" s="192">
        <v>0</v>
      </c>
      <c r="Y120" s="16">
        <v>234</v>
      </c>
      <c r="Z120" s="16">
        <v>94</v>
      </c>
      <c r="AA120" s="16">
        <v>161</v>
      </c>
      <c r="AB120" s="16">
        <v>15</v>
      </c>
      <c r="AC120" s="16">
        <v>63</v>
      </c>
      <c r="AD120" s="16">
        <v>239</v>
      </c>
      <c r="AE120" s="16">
        <v>14</v>
      </c>
      <c r="AF120" s="16">
        <v>4</v>
      </c>
      <c r="AG120" s="16"/>
      <c r="AH120" s="192"/>
      <c r="AI120" s="193"/>
      <c r="AJ120" s="25"/>
      <c r="AK120" s="192"/>
      <c r="AL120" s="16" t="s">
        <v>160</v>
      </c>
      <c r="AM120" s="16" t="s">
        <v>161</v>
      </c>
      <c r="AN120" s="193"/>
      <c r="AO120" s="193"/>
      <c r="AP120" s="193"/>
      <c r="AQ120" s="193"/>
      <c r="AR120" s="12" t="str">
        <f t="shared" si="3"/>
        <v/>
      </c>
      <c r="AS120" s="12" t="str">
        <f t="shared" si="4"/>
        <v/>
      </c>
      <c r="AT120" s="18"/>
    </row>
    <row r="121" spans="1:46" s="19" customFormat="1" ht="20.100000000000001" hidden="1" customHeight="1" x14ac:dyDescent="0.2">
      <c r="A121" s="222">
        <v>113</v>
      </c>
      <c r="B121" s="16" t="s">
        <v>4601</v>
      </c>
      <c r="C121" s="16" t="s">
        <v>766</v>
      </c>
      <c r="D121" s="193" t="s">
        <v>604</v>
      </c>
      <c r="E121" s="193" t="s">
        <v>19</v>
      </c>
      <c r="F121" s="193"/>
      <c r="G121" s="193"/>
      <c r="H121" s="192" t="s">
        <v>7</v>
      </c>
      <c r="I121" s="16" t="s">
        <v>92</v>
      </c>
      <c r="J121" s="35" t="s">
        <v>104</v>
      </c>
      <c r="K121" s="35" t="s">
        <v>155</v>
      </c>
      <c r="L121" s="193" t="s">
        <v>4076</v>
      </c>
      <c r="M121" s="218" t="s">
        <v>106</v>
      </c>
      <c r="N121" s="219" t="s">
        <v>107</v>
      </c>
      <c r="O121" s="193" t="s">
        <v>190</v>
      </c>
      <c r="P121" s="193" t="s">
        <v>3677</v>
      </c>
      <c r="Q121" s="193" t="s">
        <v>718</v>
      </c>
      <c r="R121" s="193" t="s">
        <v>4626</v>
      </c>
      <c r="S121" s="193" t="s">
        <v>106</v>
      </c>
      <c r="T121" s="193" t="s">
        <v>107</v>
      </c>
      <c r="U121" s="192"/>
      <c r="V121" s="192"/>
      <c r="W121" s="192">
        <v>250</v>
      </c>
      <c r="X121" s="192">
        <v>234</v>
      </c>
      <c r="Y121" s="16">
        <v>234</v>
      </c>
      <c r="Z121" s="16">
        <v>79.5</v>
      </c>
      <c r="AA121" s="16">
        <v>158</v>
      </c>
      <c r="AB121" s="16">
        <v>4</v>
      </c>
      <c r="AC121" s="16">
        <v>42</v>
      </c>
      <c r="AD121" s="16">
        <v>204</v>
      </c>
      <c r="AE121" s="16">
        <v>17</v>
      </c>
      <c r="AF121" s="16">
        <v>6</v>
      </c>
      <c r="AG121" s="16"/>
      <c r="AH121" s="17"/>
      <c r="AI121" s="193"/>
      <c r="AJ121" s="25"/>
      <c r="AK121" s="192"/>
      <c r="AL121" s="16" t="s">
        <v>160</v>
      </c>
      <c r="AM121" s="16"/>
      <c r="AN121" s="193"/>
      <c r="AO121" s="193"/>
      <c r="AP121" s="193"/>
      <c r="AQ121" s="193"/>
      <c r="AR121" s="12" t="str">
        <f t="shared" si="3"/>
        <v/>
      </c>
      <c r="AS121" s="12" t="str">
        <f t="shared" si="4"/>
        <v/>
      </c>
      <c r="AT121" s="18"/>
    </row>
    <row r="122" spans="1:46" s="19" customFormat="1" ht="20.100000000000001" hidden="1" customHeight="1" x14ac:dyDescent="0.2">
      <c r="A122" s="222">
        <v>114</v>
      </c>
      <c r="B122" s="16" t="s">
        <v>4601</v>
      </c>
      <c r="C122" s="16" t="s">
        <v>766</v>
      </c>
      <c r="D122" s="193" t="s">
        <v>4602</v>
      </c>
      <c r="E122" s="193" t="s">
        <v>66</v>
      </c>
      <c r="F122" s="193" t="s">
        <v>192</v>
      </c>
      <c r="G122" s="193"/>
      <c r="H122" s="192" t="s">
        <v>7</v>
      </c>
      <c r="I122" s="16" t="s">
        <v>3439</v>
      </c>
      <c r="J122" s="193"/>
      <c r="K122" s="193" t="s">
        <v>223</v>
      </c>
      <c r="L122" s="193" t="s">
        <v>4627</v>
      </c>
      <c r="M122" s="193" t="s">
        <v>106</v>
      </c>
      <c r="N122" s="192" t="s">
        <v>107</v>
      </c>
      <c r="O122" s="193"/>
      <c r="P122" s="193" t="s">
        <v>1809</v>
      </c>
      <c r="Q122" s="193" t="s">
        <v>441</v>
      </c>
      <c r="R122" s="193" t="s">
        <v>4628</v>
      </c>
      <c r="S122" s="193" t="s">
        <v>106</v>
      </c>
      <c r="T122" s="193" t="s">
        <v>107</v>
      </c>
      <c r="U122" s="192"/>
      <c r="V122" s="192"/>
      <c r="W122" s="192"/>
      <c r="X122" s="192"/>
      <c r="Y122" s="16"/>
      <c r="Z122" s="16"/>
      <c r="AA122" s="16"/>
      <c r="AB122" s="16"/>
      <c r="AC122" s="16"/>
      <c r="AD122" s="16"/>
      <c r="AE122" s="16"/>
      <c r="AF122" s="16">
        <v>4</v>
      </c>
      <c r="AG122" s="16"/>
      <c r="AH122" s="17"/>
      <c r="AI122" s="193"/>
      <c r="AJ122" s="25"/>
      <c r="AK122" s="192"/>
      <c r="AL122" s="16"/>
      <c r="AM122" s="16"/>
      <c r="AN122" s="193"/>
      <c r="AO122" s="193"/>
      <c r="AP122" s="193"/>
      <c r="AQ122" s="193"/>
      <c r="AR122" s="12" t="str">
        <f t="shared" si="3"/>
        <v/>
      </c>
      <c r="AS122" s="12" t="str">
        <f t="shared" si="4"/>
        <v/>
      </c>
      <c r="AT122" s="18"/>
    </row>
    <row r="123" spans="1:46" s="19" customFormat="1" ht="20.100000000000001" hidden="1" customHeight="1" x14ac:dyDescent="0.2">
      <c r="A123" s="222">
        <v>115</v>
      </c>
      <c r="B123" s="16" t="s">
        <v>4603</v>
      </c>
      <c r="C123" s="16" t="s">
        <v>766</v>
      </c>
      <c r="D123" s="193" t="s">
        <v>2992</v>
      </c>
      <c r="E123" s="193" t="s">
        <v>19</v>
      </c>
      <c r="F123" s="193"/>
      <c r="G123" s="193"/>
      <c r="H123" s="192" t="s">
        <v>7</v>
      </c>
      <c r="I123" s="16" t="s">
        <v>92</v>
      </c>
      <c r="J123" s="193" t="s">
        <v>117</v>
      </c>
      <c r="K123" s="193" t="s">
        <v>117</v>
      </c>
      <c r="L123" s="193"/>
      <c r="M123" s="193" t="s">
        <v>106</v>
      </c>
      <c r="N123" s="192" t="s">
        <v>107</v>
      </c>
      <c r="O123" s="193" t="s">
        <v>470</v>
      </c>
      <c r="P123" s="193" t="s">
        <v>3679</v>
      </c>
      <c r="Q123" s="193" t="s">
        <v>465</v>
      </c>
      <c r="R123" s="193"/>
      <c r="S123" s="193" t="s">
        <v>106</v>
      </c>
      <c r="T123" s="193" t="s">
        <v>107</v>
      </c>
      <c r="U123" s="192"/>
      <c r="V123" s="192"/>
      <c r="W123" s="192"/>
      <c r="X123" s="192">
        <v>180</v>
      </c>
      <c r="Y123" s="16">
        <v>180</v>
      </c>
      <c r="Z123" s="16">
        <v>60</v>
      </c>
      <c r="AA123" s="16">
        <v>83</v>
      </c>
      <c r="AB123" s="16">
        <v>6</v>
      </c>
      <c r="AC123" s="16">
        <v>15</v>
      </c>
      <c r="AD123" s="16">
        <v>104</v>
      </c>
      <c r="AE123" s="16">
        <v>27</v>
      </c>
      <c r="AF123" s="16">
        <v>6</v>
      </c>
      <c r="AG123" s="16"/>
      <c r="AH123" s="192"/>
      <c r="AI123" s="193"/>
      <c r="AJ123" s="25"/>
      <c r="AK123" s="192"/>
      <c r="AL123" s="16"/>
      <c r="AM123" s="16"/>
      <c r="AN123" s="193"/>
      <c r="AO123" s="193"/>
      <c r="AP123" s="193"/>
      <c r="AQ123" s="193"/>
      <c r="AR123" s="12" t="str">
        <f t="shared" si="3"/>
        <v/>
      </c>
      <c r="AS123" s="12" t="str">
        <f t="shared" si="4"/>
        <v/>
      </c>
      <c r="AT123" s="18"/>
    </row>
    <row r="124" spans="1:46" s="19" customFormat="1" ht="20.100000000000001" hidden="1" customHeight="1" x14ac:dyDescent="0.2">
      <c r="A124" s="246">
        <v>116</v>
      </c>
      <c r="B124" s="16" t="s">
        <v>4604</v>
      </c>
      <c r="C124" s="16" t="s">
        <v>766</v>
      </c>
      <c r="D124" s="193" t="s">
        <v>4605</v>
      </c>
      <c r="E124" s="46" t="s">
        <v>20</v>
      </c>
      <c r="F124" s="193" t="s">
        <v>4038</v>
      </c>
      <c r="G124" s="193"/>
      <c r="H124" s="192" t="s">
        <v>83</v>
      </c>
      <c r="I124" s="16" t="s">
        <v>3439</v>
      </c>
      <c r="J124" s="193"/>
      <c r="K124" s="193"/>
      <c r="L124" s="193"/>
      <c r="M124" s="193"/>
      <c r="N124" s="192"/>
      <c r="O124" s="193"/>
      <c r="P124" s="193"/>
      <c r="Q124" s="193"/>
      <c r="R124" s="193"/>
      <c r="S124" s="193"/>
      <c r="T124" s="193"/>
      <c r="U124" s="192"/>
      <c r="V124" s="192"/>
      <c r="W124" s="192"/>
      <c r="X124" s="192"/>
      <c r="Y124" s="16"/>
      <c r="Z124" s="16"/>
      <c r="AA124" s="16"/>
      <c r="AB124" s="16"/>
      <c r="AC124" s="16"/>
      <c r="AD124" s="16"/>
      <c r="AE124" s="16"/>
      <c r="AF124" s="16"/>
      <c r="AG124" s="16"/>
      <c r="AH124" s="192"/>
      <c r="AI124" s="193"/>
      <c r="AJ124" s="25"/>
      <c r="AK124" s="192"/>
      <c r="AL124" s="16"/>
      <c r="AM124" s="16"/>
      <c r="AN124" s="193"/>
      <c r="AO124" s="193"/>
      <c r="AP124" s="193"/>
      <c r="AQ124" s="193"/>
      <c r="AR124" s="12" t="str">
        <f t="shared" si="3"/>
        <v/>
      </c>
      <c r="AS124" s="12" t="str">
        <f t="shared" si="4"/>
        <v/>
      </c>
      <c r="AT124" s="18"/>
    </row>
    <row r="125" spans="1:46" s="19" customFormat="1" ht="20.100000000000001" hidden="1" customHeight="1" x14ac:dyDescent="0.2">
      <c r="A125" s="222">
        <v>117</v>
      </c>
      <c r="B125" s="16" t="s">
        <v>4604</v>
      </c>
      <c r="C125" s="16" t="s">
        <v>766</v>
      </c>
      <c r="D125" s="193" t="s">
        <v>4606</v>
      </c>
      <c r="E125" s="193" t="s">
        <v>66</v>
      </c>
      <c r="F125" s="193"/>
      <c r="G125" s="193"/>
      <c r="H125" s="192" t="s">
        <v>7</v>
      </c>
      <c r="I125" s="16" t="s">
        <v>3439</v>
      </c>
      <c r="J125" s="35" t="s">
        <v>141</v>
      </c>
      <c r="K125" s="35" t="s">
        <v>140</v>
      </c>
      <c r="L125" s="193" t="s">
        <v>3689</v>
      </c>
      <c r="M125" s="218" t="s">
        <v>106</v>
      </c>
      <c r="N125" s="219" t="s">
        <v>107</v>
      </c>
      <c r="O125" s="35" t="s">
        <v>4147</v>
      </c>
      <c r="P125" s="35" t="s">
        <v>1510</v>
      </c>
      <c r="Q125" s="35" t="s">
        <v>441</v>
      </c>
      <c r="R125" s="193" t="s">
        <v>4629</v>
      </c>
      <c r="S125" s="193" t="s">
        <v>73</v>
      </c>
      <c r="T125" s="193" t="s">
        <v>70</v>
      </c>
      <c r="U125" s="192"/>
      <c r="V125" s="192"/>
      <c r="W125" s="192">
        <v>180</v>
      </c>
      <c r="X125" s="192">
        <v>171</v>
      </c>
      <c r="Y125" s="16">
        <v>171</v>
      </c>
      <c r="Z125" s="16">
        <v>68</v>
      </c>
      <c r="AA125" s="16">
        <v>115</v>
      </c>
      <c r="AB125" s="16">
        <v>14</v>
      </c>
      <c r="AC125" s="16">
        <v>10</v>
      </c>
      <c r="AD125" s="16">
        <v>139</v>
      </c>
      <c r="AE125" s="16">
        <v>15</v>
      </c>
      <c r="AF125" s="16">
        <v>4</v>
      </c>
      <c r="AG125" s="16"/>
      <c r="AH125" s="192"/>
      <c r="AI125" s="193"/>
      <c r="AJ125" s="25"/>
      <c r="AK125" s="192"/>
      <c r="AL125" s="16" t="s">
        <v>111</v>
      </c>
      <c r="AM125" s="16"/>
      <c r="AN125" s="193"/>
      <c r="AO125" s="193"/>
      <c r="AP125" s="193"/>
      <c r="AQ125" s="193"/>
      <c r="AR125" s="12" t="str">
        <f t="shared" si="3"/>
        <v/>
      </c>
      <c r="AS125" s="12" t="str">
        <f t="shared" si="4"/>
        <v/>
      </c>
      <c r="AT125" s="18"/>
    </row>
    <row r="126" spans="1:46" s="19" customFormat="1" ht="20.100000000000001" hidden="1" customHeight="1" x14ac:dyDescent="0.2">
      <c r="A126" s="222">
        <v>118</v>
      </c>
      <c r="B126" s="16" t="s">
        <v>4607</v>
      </c>
      <c r="C126" s="16" t="s">
        <v>766</v>
      </c>
      <c r="D126" s="193" t="s">
        <v>4540</v>
      </c>
      <c r="E126" s="193" t="s">
        <v>243</v>
      </c>
      <c r="F126" s="193"/>
      <c r="G126" s="193"/>
      <c r="H126" s="192" t="s">
        <v>7</v>
      </c>
      <c r="I126" s="16" t="s">
        <v>92</v>
      </c>
      <c r="J126" s="35" t="s">
        <v>104</v>
      </c>
      <c r="K126" s="35" t="s">
        <v>68</v>
      </c>
      <c r="L126" s="193" t="s">
        <v>4630</v>
      </c>
      <c r="M126" s="193" t="s">
        <v>69</v>
      </c>
      <c r="N126" s="192" t="s">
        <v>70</v>
      </c>
      <c r="O126" s="35" t="s">
        <v>361</v>
      </c>
      <c r="P126" s="35" t="s">
        <v>3677</v>
      </c>
      <c r="Q126" s="35" t="s">
        <v>485</v>
      </c>
      <c r="R126" s="193" t="s">
        <v>4631</v>
      </c>
      <c r="S126" s="218" t="s">
        <v>106</v>
      </c>
      <c r="T126" s="218" t="s">
        <v>107</v>
      </c>
      <c r="U126" s="192"/>
      <c r="V126" s="192"/>
      <c r="W126" s="192">
        <v>190</v>
      </c>
      <c r="X126" s="192">
        <v>180</v>
      </c>
      <c r="Y126" s="16">
        <v>180</v>
      </c>
      <c r="Z126" s="16">
        <v>56.6</v>
      </c>
      <c r="AA126" s="16">
        <v>118</v>
      </c>
      <c r="AB126" s="16">
        <v>5</v>
      </c>
      <c r="AC126" s="16">
        <v>43</v>
      </c>
      <c r="AD126" s="16">
        <v>166</v>
      </c>
      <c r="AE126" s="16">
        <v>22</v>
      </c>
      <c r="AF126" s="16">
        <v>6</v>
      </c>
      <c r="AG126" s="16"/>
      <c r="AH126" s="192"/>
      <c r="AI126" s="193"/>
      <c r="AJ126" s="25"/>
      <c r="AK126" s="192"/>
      <c r="AL126" s="16" t="s">
        <v>160</v>
      </c>
      <c r="AM126" s="16"/>
      <c r="AN126" s="193"/>
      <c r="AO126" s="193"/>
      <c r="AP126" s="193"/>
      <c r="AQ126" s="193"/>
      <c r="AR126" s="12" t="str">
        <f t="shared" si="3"/>
        <v/>
      </c>
      <c r="AS126" s="12" t="str">
        <f t="shared" si="4"/>
        <v/>
      </c>
      <c r="AT126" s="18"/>
    </row>
    <row r="127" spans="1:46" s="19" customFormat="1" ht="20.100000000000001" hidden="1" customHeight="1" x14ac:dyDescent="0.2">
      <c r="A127" s="222">
        <v>119</v>
      </c>
      <c r="B127" s="16" t="s">
        <v>4607</v>
      </c>
      <c r="C127" s="16" t="s">
        <v>766</v>
      </c>
      <c r="D127" s="193" t="s">
        <v>4608</v>
      </c>
      <c r="E127" s="193" t="s">
        <v>20</v>
      </c>
      <c r="F127" s="193" t="s">
        <v>4038</v>
      </c>
      <c r="G127" s="193"/>
      <c r="H127" s="192" t="s">
        <v>83</v>
      </c>
      <c r="I127" s="16" t="s">
        <v>3439</v>
      </c>
      <c r="J127" s="193"/>
      <c r="K127" s="193" t="s">
        <v>223</v>
      </c>
      <c r="L127" s="193" t="s">
        <v>4765</v>
      </c>
      <c r="M127" s="193" t="s">
        <v>444</v>
      </c>
      <c r="N127" s="192" t="s">
        <v>107</v>
      </c>
      <c r="O127" s="193"/>
      <c r="P127" s="193" t="s">
        <v>1809</v>
      </c>
      <c r="Q127" s="193" t="s">
        <v>260</v>
      </c>
      <c r="R127" s="193" t="s">
        <v>4766</v>
      </c>
      <c r="S127" s="193" t="s">
        <v>444</v>
      </c>
      <c r="T127" s="193" t="s">
        <v>107</v>
      </c>
      <c r="U127" s="192" t="s">
        <v>4767</v>
      </c>
      <c r="V127" s="192"/>
      <c r="W127" s="192"/>
      <c r="X127" s="192"/>
      <c r="Y127" s="16">
        <v>138</v>
      </c>
      <c r="Z127" s="16"/>
      <c r="AA127" s="16"/>
      <c r="AB127" s="16"/>
      <c r="AC127" s="16"/>
      <c r="AD127" s="16"/>
      <c r="AE127" s="16"/>
      <c r="AF127" s="16" t="s">
        <v>1932</v>
      </c>
      <c r="AG127" s="16"/>
      <c r="AH127" s="192"/>
      <c r="AI127" s="193"/>
      <c r="AJ127" s="25"/>
      <c r="AK127" s="192"/>
      <c r="AL127" s="16"/>
      <c r="AM127" s="16"/>
      <c r="AN127" s="193" t="s">
        <v>4378</v>
      </c>
      <c r="AO127" s="193" t="s">
        <v>124</v>
      </c>
      <c r="AP127" s="193" t="s">
        <v>396</v>
      </c>
      <c r="AQ127" s="193" t="s">
        <v>1247</v>
      </c>
      <c r="AR127" s="12">
        <f t="shared" si="3"/>
        <v>119</v>
      </c>
      <c r="AS127" s="12" t="str">
        <f t="shared" si="4"/>
        <v/>
      </c>
      <c r="AT127" s="18"/>
    </row>
    <row r="128" spans="1:46" s="19" customFormat="1" ht="20.100000000000001" hidden="1" customHeight="1" x14ac:dyDescent="0.2">
      <c r="A128" s="222">
        <v>120</v>
      </c>
      <c r="B128" s="16" t="s">
        <v>4609</v>
      </c>
      <c r="C128" s="16" t="s">
        <v>766</v>
      </c>
      <c r="D128" s="193" t="s">
        <v>4610</v>
      </c>
      <c r="E128" s="193" t="s">
        <v>66</v>
      </c>
      <c r="F128" s="193" t="s">
        <v>192</v>
      </c>
      <c r="G128" s="193"/>
      <c r="H128" s="192" t="s">
        <v>7</v>
      </c>
      <c r="I128" s="16" t="s">
        <v>92</v>
      </c>
      <c r="J128" s="193"/>
      <c r="K128" s="193" t="s">
        <v>140</v>
      </c>
      <c r="L128" s="193" t="s">
        <v>4632</v>
      </c>
      <c r="M128" s="193" t="s">
        <v>262</v>
      </c>
      <c r="N128" s="192" t="s">
        <v>70</v>
      </c>
      <c r="O128" s="193"/>
      <c r="P128" s="193" t="s">
        <v>2961</v>
      </c>
      <c r="Q128" s="193" t="s">
        <v>769</v>
      </c>
      <c r="R128" s="193" t="s">
        <v>4633</v>
      </c>
      <c r="S128" s="193" t="s">
        <v>262</v>
      </c>
      <c r="T128" s="193" t="s">
        <v>70</v>
      </c>
      <c r="U128" s="192"/>
      <c r="V128" s="192"/>
      <c r="W128" s="192">
        <v>204</v>
      </c>
      <c r="X128" s="192">
        <v>0</v>
      </c>
      <c r="Y128" s="16">
        <v>192</v>
      </c>
      <c r="Z128" s="16"/>
      <c r="AA128" s="16">
        <v>160</v>
      </c>
      <c r="AB128" s="16"/>
      <c r="AC128" s="16">
        <v>25</v>
      </c>
      <c r="AD128" s="16">
        <v>192</v>
      </c>
      <c r="AE128" s="16"/>
      <c r="AF128" s="16">
        <v>4</v>
      </c>
      <c r="AG128" s="16"/>
      <c r="AH128" s="192"/>
      <c r="AI128" s="193"/>
      <c r="AJ128" s="25"/>
      <c r="AK128" s="192"/>
      <c r="AL128" s="16" t="s">
        <v>160</v>
      </c>
      <c r="AM128" s="16"/>
      <c r="AN128" s="193"/>
      <c r="AO128" s="193"/>
      <c r="AP128" s="193"/>
      <c r="AQ128" s="193"/>
      <c r="AR128" s="12" t="str">
        <f t="shared" si="3"/>
        <v/>
      </c>
      <c r="AS128" s="12" t="str">
        <f t="shared" si="4"/>
        <v/>
      </c>
      <c r="AT128" s="18"/>
    </row>
    <row r="129" spans="1:46" s="19" customFormat="1" ht="20.100000000000001" hidden="1" customHeight="1" x14ac:dyDescent="0.2">
      <c r="A129" s="246">
        <v>121</v>
      </c>
      <c r="B129" s="16" t="s">
        <v>4609</v>
      </c>
      <c r="C129" s="16" t="s">
        <v>766</v>
      </c>
      <c r="D129" s="193" t="s">
        <v>4611</v>
      </c>
      <c r="E129" s="46" t="s">
        <v>66</v>
      </c>
      <c r="F129" s="193"/>
      <c r="G129" s="193"/>
      <c r="H129" s="192" t="s">
        <v>83</v>
      </c>
      <c r="I129" s="16" t="s">
        <v>92</v>
      </c>
      <c r="J129" s="193"/>
      <c r="K129" s="193"/>
      <c r="L129" s="193"/>
      <c r="M129" s="193"/>
      <c r="N129" s="192"/>
      <c r="O129" s="193"/>
      <c r="P129" s="193"/>
      <c r="Q129" s="193"/>
      <c r="R129" s="193"/>
      <c r="S129" s="193"/>
      <c r="T129" s="193"/>
      <c r="U129" s="192"/>
      <c r="V129" s="192"/>
      <c r="W129" s="192"/>
      <c r="X129" s="192"/>
      <c r="Y129" s="16"/>
      <c r="Z129" s="16"/>
      <c r="AA129" s="16"/>
      <c r="AB129" s="16"/>
      <c r="AC129" s="16"/>
      <c r="AD129" s="16"/>
      <c r="AE129" s="16"/>
      <c r="AF129" s="16"/>
      <c r="AG129" s="16"/>
      <c r="AH129" s="192"/>
      <c r="AI129" s="193"/>
      <c r="AJ129" s="193"/>
      <c r="AK129" s="192"/>
      <c r="AL129" s="16"/>
      <c r="AM129" s="16"/>
      <c r="AN129" s="193"/>
      <c r="AO129" s="193"/>
      <c r="AP129" s="193"/>
      <c r="AQ129" s="193"/>
      <c r="AR129" s="12" t="str">
        <f t="shared" si="3"/>
        <v/>
      </c>
      <c r="AS129" s="12" t="str">
        <f t="shared" si="4"/>
        <v/>
      </c>
      <c r="AT129" s="18"/>
    </row>
    <row r="130" spans="1:46" s="19" customFormat="1" ht="20.100000000000001" hidden="1" customHeight="1" x14ac:dyDescent="0.2">
      <c r="A130" s="222">
        <v>122</v>
      </c>
      <c r="B130" s="16" t="s">
        <v>4609</v>
      </c>
      <c r="C130" s="16" t="s">
        <v>766</v>
      </c>
      <c r="D130" s="218" t="s">
        <v>4611</v>
      </c>
      <c r="E130" s="218" t="s">
        <v>20</v>
      </c>
      <c r="F130" s="193"/>
      <c r="G130" s="193"/>
      <c r="H130" s="192" t="s">
        <v>7</v>
      </c>
      <c r="I130" s="16" t="s">
        <v>92</v>
      </c>
      <c r="J130" s="193"/>
      <c r="K130" s="193" t="s">
        <v>223</v>
      </c>
      <c r="L130" s="193"/>
      <c r="M130" s="221" t="s">
        <v>106</v>
      </c>
      <c r="N130" s="220" t="s">
        <v>107</v>
      </c>
      <c r="O130" s="193"/>
      <c r="P130" s="193" t="s">
        <v>2245</v>
      </c>
      <c r="Q130" s="193" t="s">
        <v>506</v>
      </c>
      <c r="R130" s="193"/>
      <c r="S130" s="221" t="s">
        <v>106</v>
      </c>
      <c r="T130" s="221" t="s">
        <v>107</v>
      </c>
      <c r="U130" s="192"/>
      <c r="V130" s="192"/>
      <c r="W130" s="192"/>
      <c r="X130" s="192"/>
      <c r="Y130" s="16"/>
      <c r="Z130" s="16"/>
      <c r="AA130" s="16"/>
      <c r="AB130" s="16"/>
      <c r="AC130" s="16"/>
      <c r="AD130" s="16"/>
      <c r="AE130" s="16"/>
      <c r="AF130" s="16"/>
      <c r="AG130" s="16"/>
      <c r="AH130" s="192"/>
      <c r="AI130" s="193"/>
      <c r="AJ130" s="193"/>
      <c r="AK130" s="192"/>
      <c r="AL130" s="16"/>
      <c r="AM130" s="16"/>
      <c r="AN130" s="193"/>
      <c r="AO130" s="193"/>
      <c r="AP130" s="193"/>
      <c r="AQ130" s="193"/>
      <c r="AR130" s="12" t="str">
        <f t="shared" si="3"/>
        <v/>
      </c>
      <c r="AS130" s="12" t="str">
        <f t="shared" si="4"/>
        <v/>
      </c>
      <c r="AT130" s="18"/>
    </row>
    <row r="131" spans="1:46" s="19" customFormat="1" ht="20.100000000000001" hidden="1" customHeight="1" x14ac:dyDescent="0.2">
      <c r="A131" s="222">
        <v>123</v>
      </c>
      <c r="B131" s="16" t="s">
        <v>4612</v>
      </c>
      <c r="C131" s="16" t="s">
        <v>766</v>
      </c>
      <c r="D131" s="193" t="s">
        <v>870</v>
      </c>
      <c r="E131" s="193" t="s">
        <v>10</v>
      </c>
      <c r="F131" s="193" t="s">
        <v>202</v>
      </c>
      <c r="G131" s="193"/>
      <c r="H131" s="192" t="s">
        <v>83</v>
      </c>
      <c r="I131" s="16" t="s">
        <v>92</v>
      </c>
      <c r="J131" s="193"/>
      <c r="K131" s="41" t="s">
        <v>104</v>
      </c>
      <c r="L131" s="41" t="s">
        <v>1620</v>
      </c>
      <c r="M131" s="41" t="s">
        <v>142</v>
      </c>
      <c r="N131" s="13" t="s">
        <v>70</v>
      </c>
      <c r="O131" s="193"/>
      <c r="P131" s="193" t="s">
        <v>1510</v>
      </c>
      <c r="Q131" s="193" t="s">
        <v>769</v>
      </c>
      <c r="R131" s="41" t="s">
        <v>1621</v>
      </c>
      <c r="S131" s="41" t="s">
        <v>73</v>
      </c>
      <c r="T131" s="41" t="s">
        <v>70</v>
      </c>
      <c r="U131" s="192" t="s">
        <v>4037</v>
      </c>
      <c r="V131" s="192"/>
      <c r="W131" s="192"/>
      <c r="X131" s="192"/>
      <c r="Y131" s="16">
        <v>180</v>
      </c>
      <c r="Z131" s="16"/>
      <c r="AA131" s="16"/>
      <c r="AB131" s="16"/>
      <c r="AC131" s="16"/>
      <c r="AD131" s="16"/>
      <c r="AE131" s="16"/>
      <c r="AF131" s="16"/>
      <c r="AG131" s="16"/>
      <c r="AH131" s="192"/>
      <c r="AI131" s="193"/>
      <c r="AJ131" s="25"/>
      <c r="AK131" s="192"/>
      <c r="AL131" s="16" t="s">
        <v>160</v>
      </c>
      <c r="AM131" s="16"/>
      <c r="AN131" s="193" t="s">
        <v>4378</v>
      </c>
      <c r="AO131" s="193" t="s">
        <v>124</v>
      </c>
      <c r="AP131" s="193" t="s">
        <v>115</v>
      </c>
      <c r="AQ131" s="193" t="s">
        <v>266</v>
      </c>
      <c r="AR131" s="12">
        <f t="shared" si="3"/>
        <v>19</v>
      </c>
      <c r="AS131" s="12" t="str">
        <f t="shared" si="4"/>
        <v/>
      </c>
      <c r="AT131" s="18"/>
    </row>
    <row r="132" spans="1:46" s="19" customFormat="1" ht="20.100000000000001" hidden="1" customHeight="1" x14ac:dyDescent="0.2">
      <c r="A132" s="222">
        <v>124</v>
      </c>
      <c r="B132" s="16" t="s">
        <v>4613</v>
      </c>
      <c r="C132" s="16" t="s">
        <v>766</v>
      </c>
      <c r="D132" s="193" t="s">
        <v>2626</v>
      </c>
      <c r="E132" s="193" t="s">
        <v>20</v>
      </c>
      <c r="F132" s="193"/>
      <c r="G132" s="193"/>
      <c r="H132" s="192" t="s">
        <v>7</v>
      </c>
      <c r="I132" s="16" t="s">
        <v>3439</v>
      </c>
      <c r="J132" s="35" t="s">
        <v>117</v>
      </c>
      <c r="K132" s="35" t="s">
        <v>140</v>
      </c>
      <c r="L132" s="193" t="s">
        <v>4634</v>
      </c>
      <c r="M132" s="221" t="s">
        <v>106</v>
      </c>
      <c r="N132" s="220" t="s">
        <v>107</v>
      </c>
      <c r="O132" s="35" t="s">
        <v>120</v>
      </c>
      <c r="P132" s="35" t="s">
        <v>2245</v>
      </c>
      <c r="Q132" s="35" t="s">
        <v>116</v>
      </c>
      <c r="R132" s="193" t="s">
        <v>4629</v>
      </c>
      <c r="S132" s="193" t="s">
        <v>69</v>
      </c>
      <c r="T132" s="193" t="s">
        <v>70</v>
      </c>
      <c r="U132" s="192"/>
      <c r="V132" s="192"/>
      <c r="W132" s="192">
        <v>216</v>
      </c>
      <c r="X132" s="192">
        <v>156</v>
      </c>
      <c r="Y132" s="16">
        <v>156</v>
      </c>
      <c r="Z132" s="16">
        <v>101</v>
      </c>
      <c r="AA132" s="16">
        <v>137</v>
      </c>
      <c r="AB132" s="16">
        <v>2</v>
      </c>
      <c r="AC132" s="16">
        <v>25</v>
      </c>
      <c r="AD132" s="16">
        <v>164</v>
      </c>
      <c r="AE132" s="16">
        <v>15</v>
      </c>
      <c r="AF132" s="16">
        <v>6</v>
      </c>
      <c r="AG132" s="16"/>
      <c r="AH132" s="192"/>
      <c r="AI132" s="193"/>
      <c r="AJ132" s="25"/>
      <c r="AK132" s="192"/>
      <c r="AL132" s="16"/>
      <c r="AM132" s="16"/>
      <c r="AN132" s="193"/>
      <c r="AO132" s="193"/>
      <c r="AP132" s="193"/>
      <c r="AQ132" s="193"/>
      <c r="AR132" s="12" t="str">
        <f t="shared" si="3"/>
        <v/>
      </c>
      <c r="AS132" s="12" t="str">
        <f t="shared" si="4"/>
        <v/>
      </c>
      <c r="AT132" s="18"/>
    </row>
    <row r="133" spans="1:46" s="19" customFormat="1" ht="20.100000000000001" hidden="1" customHeight="1" x14ac:dyDescent="0.2">
      <c r="A133" s="222">
        <v>125</v>
      </c>
      <c r="B133" s="16" t="s">
        <v>4613</v>
      </c>
      <c r="C133" s="16" t="s">
        <v>766</v>
      </c>
      <c r="D133" s="193" t="s">
        <v>4614</v>
      </c>
      <c r="E133" s="193" t="s">
        <v>20</v>
      </c>
      <c r="F133" s="193" t="s">
        <v>4038</v>
      </c>
      <c r="G133" s="193"/>
      <c r="H133" s="192" t="s">
        <v>83</v>
      </c>
      <c r="I133" s="16" t="s">
        <v>92</v>
      </c>
      <c r="J133" s="193"/>
      <c r="K133" s="193" t="s">
        <v>117</v>
      </c>
      <c r="L133" s="193"/>
      <c r="M133" s="193" t="s">
        <v>142</v>
      </c>
      <c r="N133" s="192" t="s">
        <v>70</v>
      </c>
      <c r="O133" s="193"/>
      <c r="P133" s="193" t="s">
        <v>2961</v>
      </c>
      <c r="Q133" s="193" t="s">
        <v>226</v>
      </c>
      <c r="R133" s="193"/>
      <c r="S133" s="193" t="s">
        <v>73</v>
      </c>
      <c r="T133" s="193" t="s">
        <v>70</v>
      </c>
      <c r="U133" s="192" t="s">
        <v>4637</v>
      </c>
      <c r="V133" s="192"/>
      <c r="W133" s="192"/>
      <c r="X133" s="192"/>
      <c r="Y133" s="16"/>
      <c r="Z133" s="16"/>
      <c r="AA133" s="16"/>
      <c r="AB133" s="16"/>
      <c r="AC133" s="16"/>
      <c r="AD133" s="16"/>
      <c r="AE133" s="16"/>
      <c r="AF133" s="16"/>
      <c r="AG133" s="16"/>
      <c r="AH133" s="17"/>
      <c r="AI133" s="193"/>
      <c r="AJ133" s="193"/>
      <c r="AK133" s="192"/>
      <c r="AL133" s="16"/>
      <c r="AM133" s="16"/>
      <c r="AN133" s="193" t="s">
        <v>4378</v>
      </c>
      <c r="AO133" s="193" t="s">
        <v>124</v>
      </c>
      <c r="AP133" s="193" t="s">
        <v>136</v>
      </c>
      <c r="AQ133" s="193" t="s">
        <v>114</v>
      </c>
      <c r="AR133" s="12">
        <f t="shared" si="3"/>
        <v>39</v>
      </c>
      <c r="AS133" s="12" t="str">
        <f t="shared" si="4"/>
        <v/>
      </c>
      <c r="AT133" s="18"/>
    </row>
    <row r="134" spans="1:46" s="19" customFormat="1" ht="20.100000000000001" hidden="1" customHeight="1" x14ac:dyDescent="0.2">
      <c r="A134" s="222">
        <v>126</v>
      </c>
      <c r="B134" s="16" t="s">
        <v>4615</v>
      </c>
      <c r="C134" s="16" t="s">
        <v>766</v>
      </c>
      <c r="D134" s="193" t="s">
        <v>3363</v>
      </c>
      <c r="E134" s="193" t="s">
        <v>19</v>
      </c>
      <c r="F134" s="193"/>
      <c r="G134" s="193"/>
      <c r="H134" s="192" t="s">
        <v>7</v>
      </c>
      <c r="I134" s="16" t="s">
        <v>3439</v>
      </c>
      <c r="J134" s="35" t="s">
        <v>68</v>
      </c>
      <c r="K134" s="35" t="s">
        <v>141</v>
      </c>
      <c r="L134" s="193"/>
      <c r="M134" s="221" t="s">
        <v>106</v>
      </c>
      <c r="N134" s="220" t="s">
        <v>107</v>
      </c>
      <c r="O134" s="35" t="s">
        <v>71</v>
      </c>
      <c r="P134" s="35" t="s">
        <v>2961</v>
      </c>
      <c r="Q134" s="35" t="s">
        <v>769</v>
      </c>
      <c r="R134" s="193"/>
      <c r="S134" s="221" t="s">
        <v>106</v>
      </c>
      <c r="T134" s="221" t="s">
        <v>107</v>
      </c>
      <c r="U134" s="192"/>
      <c r="V134" s="192"/>
      <c r="W134" s="192">
        <v>224</v>
      </c>
      <c r="X134" s="192">
        <v>210</v>
      </c>
      <c r="Y134" s="16">
        <v>210</v>
      </c>
      <c r="Z134" s="16">
        <v>75</v>
      </c>
      <c r="AA134" s="16">
        <v>165</v>
      </c>
      <c r="AB134" s="16">
        <v>5</v>
      </c>
      <c r="AC134" s="16">
        <v>70</v>
      </c>
      <c r="AD134" s="16">
        <v>240</v>
      </c>
      <c r="AE134" s="16">
        <v>7.5</v>
      </c>
      <c r="AF134" s="16">
        <v>4</v>
      </c>
      <c r="AG134" s="16"/>
      <c r="AH134" s="192"/>
      <c r="AI134" s="193"/>
      <c r="AJ134" s="25"/>
      <c r="AK134" s="192"/>
      <c r="AL134" s="16"/>
      <c r="AM134" s="16"/>
      <c r="AN134" s="193"/>
      <c r="AO134" s="193"/>
      <c r="AP134" s="193"/>
      <c r="AQ134" s="193"/>
      <c r="AR134" s="12" t="str">
        <f t="shared" si="3"/>
        <v/>
      </c>
      <c r="AS134" s="12" t="str">
        <f t="shared" si="4"/>
        <v/>
      </c>
      <c r="AT134" s="18"/>
    </row>
    <row r="135" spans="1:46" s="21" customFormat="1" ht="20.100000000000001" hidden="1" customHeight="1" x14ac:dyDescent="0.2">
      <c r="A135" s="222">
        <v>127</v>
      </c>
      <c r="B135" s="29" t="s">
        <v>4615</v>
      </c>
      <c r="C135" s="29" t="s">
        <v>766</v>
      </c>
      <c r="D135" s="30" t="s">
        <v>604</v>
      </c>
      <c r="E135" s="30" t="s">
        <v>8</v>
      </c>
      <c r="F135" s="30" t="s">
        <v>4038</v>
      </c>
      <c r="G135" s="30"/>
      <c r="H135" s="20" t="s">
        <v>83</v>
      </c>
      <c r="I135" s="29" t="s">
        <v>92</v>
      </c>
      <c r="J135" s="30"/>
      <c r="K135" s="30" t="s">
        <v>155</v>
      </c>
      <c r="L135" s="30" t="s">
        <v>4076</v>
      </c>
      <c r="M135" s="30" t="s">
        <v>106</v>
      </c>
      <c r="N135" s="20" t="s">
        <v>107</v>
      </c>
      <c r="O135" s="30" t="s">
        <v>429</v>
      </c>
      <c r="P135" s="30" t="s">
        <v>3677</v>
      </c>
      <c r="Q135" s="30" t="s">
        <v>718</v>
      </c>
      <c r="R135" s="30" t="s">
        <v>4626</v>
      </c>
      <c r="S135" s="30"/>
      <c r="T135" s="30"/>
      <c r="U135" s="20" t="s">
        <v>4601</v>
      </c>
      <c r="V135" s="20"/>
      <c r="W135" s="20"/>
      <c r="X135" s="20"/>
      <c r="Y135" s="29">
        <v>234</v>
      </c>
      <c r="Z135" s="29"/>
      <c r="AA135" s="29"/>
      <c r="AB135" s="29"/>
      <c r="AC135" s="29"/>
      <c r="AD135" s="29"/>
      <c r="AE135" s="29"/>
      <c r="AF135" s="29"/>
      <c r="AG135" s="29"/>
      <c r="AH135" s="20"/>
      <c r="AI135" s="30"/>
      <c r="AJ135" s="36"/>
      <c r="AK135" s="20"/>
      <c r="AL135" s="29"/>
      <c r="AM135" s="29"/>
      <c r="AN135" s="30" t="s">
        <v>4378</v>
      </c>
      <c r="AO135" s="30" t="s">
        <v>124</v>
      </c>
      <c r="AP135" s="30" t="s">
        <v>4378</v>
      </c>
      <c r="AQ135" s="30" t="s">
        <v>124</v>
      </c>
      <c r="AR135" s="12">
        <f t="shared" si="3"/>
        <v>0</v>
      </c>
      <c r="AS135" s="12">
        <f t="shared" si="4"/>
        <v>0</v>
      </c>
      <c r="AT135" s="32" t="s">
        <v>4636</v>
      </c>
    </row>
    <row r="136" spans="1:46" s="19" customFormat="1" ht="20.100000000000001" hidden="1" customHeight="1" x14ac:dyDescent="0.2">
      <c r="A136" s="222">
        <v>128</v>
      </c>
      <c r="B136" s="16" t="s">
        <v>4616</v>
      </c>
      <c r="C136" s="16" t="s">
        <v>766</v>
      </c>
      <c r="D136" s="218" t="s">
        <v>604</v>
      </c>
      <c r="E136" s="193" t="s">
        <v>8</v>
      </c>
      <c r="F136" s="193"/>
      <c r="G136" s="193"/>
      <c r="H136" s="192" t="s">
        <v>7</v>
      </c>
      <c r="I136" s="16" t="s">
        <v>92</v>
      </c>
      <c r="J136" s="193" t="s">
        <v>155</v>
      </c>
      <c r="K136" s="193" t="s">
        <v>155</v>
      </c>
      <c r="L136" s="193" t="s">
        <v>4635</v>
      </c>
      <c r="M136" s="193" t="s">
        <v>69</v>
      </c>
      <c r="N136" s="192" t="s">
        <v>70</v>
      </c>
      <c r="O136" s="193" t="s">
        <v>156</v>
      </c>
      <c r="P136" s="193" t="s">
        <v>3677</v>
      </c>
      <c r="Q136" s="193" t="s">
        <v>718</v>
      </c>
      <c r="R136" s="193" t="s">
        <v>4626</v>
      </c>
      <c r="S136" s="193" t="s">
        <v>369</v>
      </c>
      <c r="T136" s="193" t="s">
        <v>369</v>
      </c>
      <c r="U136" s="192"/>
      <c r="V136" s="192"/>
      <c r="W136" s="220">
        <v>250</v>
      </c>
      <c r="X136" s="220">
        <v>234</v>
      </c>
      <c r="Y136" s="16">
        <v>234</v>
      </c>
      <c r="Z136" s="16">
        <v>79.5</v>
      </c>
      <c r="AA136" s="16">
        <v>158</v>
      </c>
      <c r="AB136" s="16">
        <v>4</v>
      </c>
      <c r="AC136" s="16">
        <v>42</v>
      </c>
      <c r="AD136" s="16">
        <v>204</v>
      </c>
      <c r="AE136" s="16">
        <v>17</v>
      </c>
      <c r="AF136" s="16">
        <v>6</v>
      </c>
      <c r="AG136" s="16"/>
      <c r="AH136" s="192"/>
      <c r="AI136" s="193"/>
      <c r="AJ136" s="25"/>
      <c r="AK136" s="192"/>
      <c r="AL136" s="16"/>
      <c r="AM136" s="16"/>
      <c r="AN136" s="193"/>
      <c r="AO136" s="193"/>
      <c r="AP136" s="193"/>
      <c r="AQ136" s="193"/>
      <c r="AR136" s="12" t="str">
        <f t="shared" si="3"/>
        <v/>
      </c>
      <c r="AS136" s="12" t="str">
        <f t="shared" si="4"/>
        <v/>
      </c>
      <c r="AT136" s="18"/>
    </row>
    <row r="137" spans="1:46" s="19" customFormat="1" ht="20.100000000000001" hidden="1" customHeight="1" x14ac:dyDescent="0.2">
      <c r="A137" s="222">
        <v>129</v>
      </c>
      <c r="B137" s="16" t="s">
        <v>4642</v>
      </c>
      <c r="C137" s="16" t="s">
        <v>935</v>
      </c>
      <c r="D137" s="193" t="s">
        <v>1548</v>
      </c>
      <c r="E137" s="193" t="s">
        <v>8</v>
      </c>
      <c r="F137" s="193"/>
      <c r="G137" s="193"/>
      <c r="H137" s="192" t="s">
        <v>7</v>
      </c>
      <c r="I137" s="16" t="s">
        <v>92</v>
      </c>
      <c r="J137" s="193" t="s">
        <v>155</v>
      </c>
      <c r="K137" s="193" t="s">
        <v>155</v>
      </c>
      <c r="L137" s="193" t="s">
        <v>4635</v>
      </c>
      <c r="M137" s="193" t="s">
        <v>69</v>
      </c>
      <c r="N137" s="192" t="s">
        <v>70</v>
      </c>
      <c r="O137" s="35" t="s">
        <v>324</v>
      </c>
      <c r="P137" s="35" t="s">
        <v>3679</v>
      </c>
      <c r="Q137" s="35" t="s">
        <v>441</v>
      </c>
      <c r="R137" s="193" t="s">
        <v>4646</v>
      </c>
      <c r="S137" s="193" t="s">
        <v>106</v>
      </c>
      <c r="T137" s="192" t="s">
        <v>107</v>
      </c>
      <c r="U137" s="192"/>
      <c r="V137" s="192"/>
      <c r="W137" s="192">
        <v>241</v>
      </c>
      <c r="X137" s="192">
        <v>234</v>
      </c>
      <c r="Y137" s="16">
        <v>236</v>
      </c>
      <c r="Z137" s="16">
        <v>60</v>
      </c>
      <c r="AA137" s="16">
        <v>138</v>
      </c>
      <c r="AB137" s="16">
        <v>6</v>
      </c>
      <c r="AC137" s="16">
        <v>58</v>
      </c>
      <c r="AD137" s="16">
        <v>202</v>
      </c>
      <c r="AE137" s="16">
        <v>22</v>
      </c>
      <c r="AF137" s="16">
        <v>6</v>
      </c>
      <c r="AG137" s="16"/>
      <c r="AH137" s="192"/>
      <c r="AI137" s="193"/>
      <c r="AJ137" s="25"/>
      <c r="AK137" s="192"/>
      <c r="AL137" s="16" t="s">
        <v>160</v>
      </c>
      <c r="AM137" s="16"/>
      <c r="AN137" s="193"/>
      <c r="AO137" s="193"/>
      <c r="AP137" s="193"/>
      <c r="AQ137" s="193"/>
      <c r="AR137" s="12" t="str">
        <f t="shared" si="3"/>
        <v/>
      </c>
      <c r="AS137" s="12" t="str">
        <f t="shared" si="4"/>
        <v/>
      </c>
      <c r="AT137" s="18"/>
    </row>
    <row r="138" spans="1:46" s="21" customFormat="1" ht="20.100000000000001" hidden="1" customHeight="1" x14ac:dyDescent="0.2">
      <c r="A138" s="222">
        <v>130</v>
      </c>
      <c r="B138" s="29" t="s">
        <v>4643</v>
      </c>
      <c r="C138" s="29" t="s">
        <v>935</v>
      </c>
      <c r="D138" s="30" t="s">
        <v>1739</v>
      </c>
      <c r="E138" s="30" t="s">
        <v>20</v>
      </c>
      <c r="F138" s="30" t="s">
        <v>185</v>
      </c>
      <c r="G138" s="30"/>
      <c r="H138" s="20" t="s">
        <v>83</v>
      </c>
      <c r="I138" s="29" t="s">
        <v>92</v>
      </c>
      <c r="J138" s="30"/>
      <c r="K138" s="30" t="s">
        <v>140</v>
      </c>
      <c r="L138" s="30" t="s">
        <v>4322</v>
      </c>
      <c r="M138" s="30" t="s">
        <v>106</v>
      </c>
      <c r="N138" s="20" t="s">
        <v>107</v>
      </c>
      <c r="O138" s="30"/>
      <c r="P138" s="30" t="s">
        <v>2961</v>
      </c>
      <c r="Q138" s="30" t="s">
        <v>2258</v>
      </c>
      <c r="R138" s="30" t="s">
        <v>4323</v>
      </c>
      <c r="S138" s="30" t="s">
        <v>369</v>
      </c>
      <c r="T138" s="30" t="s">
        <v>369</v>
      </c>
      <c r="U138" s="29" t="s">
        <v>4303</v>
      </c>
      <c r="V138" s="20"/>
      <c r="W138" s="20"/>
      <c r="X138" s="20"/>
      <c r="Y138" s="29">
        <v>192</v>
      </c>
      <c r="Z138" s="29"/>
      <c r="AA138" s="29"/>
      <c r="AB138" s="29"/>
      <c r="AC138" s="29"/>
      <c r="AD138" s="29"/>
      <c r="AE138" s="29"/>
      <c r="AF138" s="29"/>
      <c r="AG138" s="29"/>
      <c r="AH138" s="20"/>
      <c r="AI138" s="30"/>
      <c r="AJ138" s="36"/>
      <c r="AK138" s="20"/>
      <c r="AL138" s="29"/>
      <c r="AM138" s="29"/>
      <c r="AN138" s="30" t="s">
        <v>4378</v>
      </c>
      <c r="AO138" s="30" t="s">
        <v>1247</v>
      </c>
      <c r="AP138" s="30" t="s">
        <v>113</v>
      </c>
      <c r="AQ138" s="30" t="s">
        <v>260</v>
      </c>
      <c r="AR138" s="12">
        <f t="shared" ref="AR138:AR201" si="5">IF(AN138*AP138&gt;0,(AN138-AP138)*12+(AO138-AQ138),"")</f>
        <v>5</v>
      </c>
      <c r="AS138" s="12">
        <f t="shared" ref="AS138:AS201" si="6">IF(AR138&lt;13,AR138,"")</f>
        <v>5</v>
      </c>
      <c r="AT138" s="32"/>
    </row>
    <row r="139" spans="1:46" s="19" customFormat="1" ht="20.100000000000001" hidden="1" customHeight="1" x14ac:dyDescent="0.2">
      <c r="A139" s="222">
        <v>131</v>
      </c>
      <c r="B139" s="16" t="s">
        <v>4643</v>
      </c>
      <c r="C139" s="16" t="s">
        <v>935</v>
      </c>
      <c r="D139" s="193" t="s">
        <v>684</v>
      </c>
      <c r="E139" s="193" t="s">
        <v>6</v>
      </c>
      <c r="F139" s="193" t="s">
        <v>5190</v>
      </c>
      <c r="G139" s="193"/>
      <c r="H139" s="192" t="s">
        <v>83</v>
      </c>
      <c r="I139" s="16" t="s">
        <v>3439</v>
      </c>
      <c r="J139" s="193"/>
      <c r="K139" s="35" t="s">
        <v>68</v>
      </c>
      <c r="L139" s="41" t="s">
        <v>709</v>
      </c>
      <c r="M139" s="41" t="s">
        <v>106</v>
      </c>
      <c r="N139" s="13" t="s">
        <v>107</v>
      </c>
      <c r="O139" s="193"/>
      <c r="P139" s="193" t="s">
        <v>3677</v>
      </c>
      <c r="Q139" s="193" t="s">
        <v>485</v>
      </c>
      <c r="R139" s="41" t="s">
        <v>869</v>
      </c>
      <c r="S139" s="41" t="s">
        <v>142</v>
      </c>
      <c r="T139" s="41" t="s">
        <v>70</v>
      </c>
      <c r="U139" s="192" t="s">
        <v>4647</v>
      </c>
      <c r="V139" s="192"/>
      <c r="W139" s="192"/>
      <c r="X139" s="192"/>
      <c r="Y139" s="16">
        <v>165</v>
      </c>
      <c r="Z139" s="16"/>
      <c r="AA139" s="16"/>
      <c r="AB139" s="16"/>
      <c r="AC139" s="16"/>
      <c r="AD139" s="16"/>
      <c r="AE139" s="16"/>
      <c r="AF139" s="16"/>
      <c r="AG139" s="16"/>
      <c r="AH139" s="192"/>
      <c r="AI139" s="193"/>
      <c r="AJ139" s="25"/>
      <c r="AK139" s="192"/>
      <c r="AL139" s="16"/>
      <c r="AM139" s="16"/>
      <c r="AN139" s="193" t="s">
        <v>4378</v>
      </c>
      <c r="AO139" s="193" t="s">
        <v>1247</v>
      </c>
      <c r="AP139" s="193" t="s">
        <v>115</v>
      </c>
      <c r="AQ139" s="193" t="s">
        <v>124</v>
      </c>
      <c r="AR139" s="12">
        <f t="shared" si="5"/>
        <v>25</v>
      </c>
      <c r="AS139" s="12" t="str">
        <f t="shared" si="6"/>
        <v/>
      </c>
      <c r="AT139" s="18"/>
    </row>
    <row r="140" spans="1:46" s="19" customFormat="1" ht="20.100000000000001" hidden="1" customHeight="1" x14ac:dyDescent="0.2">
      <c r="A140" s="222">
        <v>132</v>
      </c>
      <c r="B140" s="16" t="s">
        <v>4643</v>
      </c>
      <c r="C140" s="16" t="s">
        <v>935</v>
      </c>
      <c r="D140" s="193" t="s">
        <v>1562</v>
      </c>
      <c r="E140" s="193" t="s">
        <v>6</v>
      </c>
      <c r="F140" s="193"/>
      <c r="G140" s="193"/>
      <c r="H140" s="192" t="s">
        <v>7</v>
      </c>
      <c r="I140" s="16" t="s">
        <v>3439</v>
      </c>
      <c r="J140" s="193" t="s">
        <v>155</v>
      </c>
      <c r="K140" s="193" t="s">
        <v>155</v>
      </c>
      <c r="L140" s="193"/>
      <c r="M140" s="193" t="s">
        <v>69</v>
      </c>
      <c r="N140" s="192" t="s">
        <v>70</v>
      </c>
      <c r="O140" s="35" t="s">
        <v>324</v>
      </c>
      <c r="P140" s="35" t="s">
        <v>3679</v>
      </c>
      <c r="Q140" s="35" t="s">
        <v>441</v>
      </c>
      <c r="R140" s="193"/>
      <c r="S140" s="193" t="s">
        <v>106</v>
      </c>
      <c r="T140" s="193" t="s">
        <v>107</v>
      </c>
      <c r="U140" s="192">
        <v>0</v>
      </c>
      <c r="V140" s="192"/>
      <c r="W140" s="192">
        <v>234</v>
      </c>
      <c r="X140" s="192">
        <v>222</v>
      </c>
      <c r="Y140" s="16">
        <v>222</v>
      </c>
      <c r="Z140" s="16">
        <v>138</v>
      </c>
      <c r="AA140" s="16">
        <v>160</v>
      </c>
      <c r="AB140" s="16">
        <v>7</v>
      </c>
      <c r="AC140" s="16">
        <v>23</v>
      </c>
      <c r="AD140" s="16">
        <v>190</v>
      </c>
      <c r="AE140" s="16">
        <v>25</v>
      </c>
      <c r="AF140" s="16">
        <v>6</v>
      </c>
      <c r="AG140" s="16"/>
      <c r="AH140" s="192"/>
      <c r="AI140" s="193"/>
      <c r="AJ140" s="25"/>
      <c r="AK140" s="192"/>
      <c r="AL140" s="16" t="s">
        <v>160</v>
      </c>
      <c r="AM140" s="16"/>
      <c r="AN140" s="193"/>
      <c r="AO140" s="193"/>
      <c r="AP140" s="193"/>
      <c r="AQ140" s="193"/>
      <c r="AR140" s="12" t="str">
        <f t="shared" si="5"/>
        <v/>
      </c>
      <c r="AS140" s="12" t="str">
        <f t="shared" si="6"/>
        <v/>
      </c>
      <c r="AT140" s="18"/>
    </row>
    <row r="141" spans="1:46" s="19" customFormat="1" ht="20.100000000000001" hidden="1" customHeight="1" x14ac:dyDescent="0.2">
      <c r="A141" s="222">
        <v>133</v>
      </c>
      <c r="B141" s="16" t="s">
        <v>4644</v>
      </c>
      <c r="C141" s="16" t="s">
        <v>935</v>
      </c>
      <c r="D141" s="193" t="s">
        <v>4429</v>
      </c>
      <c r="E141" s="193" t="s">
        <v>243</v>
      </c>
      <c r="F141" s="193"/>
      <c r="G141" s="193"/>
      <c r="H141" s="192" t="s">
        <v>7</v>
      </c>
      <c r="I141" s="16" t="s">
        <v>92</v>
      </c>
      <c r="J141" s="193" t="s">
        <v>155</v>
      </c>
      <c r="K141" s="193" t="s">
        <v>155</v>
      </c>
      <c r="L141" s="193" t="s">
        <v>4648</v>
      </c>
      <c r="M141" s="193" t="s">
        <v>69</v>
      </c>
      <c r="N141" s="192" t="s">
        <v>70</v>
      </c>
      <c r="O141" s="35" t="s">
        <v>324</v>
      </c>
      <c r="P141" s="35" t="s">
        <v>3679</v>
      </c>
      <c r="Q141" s="35" t="s">
        <v>441</v>
      </c>
      <c r="R141" s="193" t="s">
        <v>4649</v>
      </c>
      <c r="S141" s="193" t="s">
        <v>106</v>
      </c>
      <c r="T141" s="192" t="s">
        <v>107</v>
      </c>
      <c r="U141" s="192">
        <v>0</v>
      </c>
      <c r="V141" s="192"/>
      <c r="W141" s="192">
        <v>241</v>
      </c>
      <c r="X141" s="192">
        <v>225</v>
      </c>
      <c r="Y141" s="16">
        <v>225</v>
      </c>
      <c r="Z141" s="16">
        <v>102</v>
      </c>
      <c r="AA141" s="16">
        <v>171</v>
      </c>
      <c r="AB141" s="16">
        <v>7</v>
      </c>
      <c r="AC141" s="16">
        <v>47</v>
      </c>
      <c r="AD141" s="16">
        <v>225</v>
      </c>
      <c r="AE141" s="16">
        <v>21</v>
      </c>
      <c r="AF141" s="16">
        <v>6</v>
      </c>
      <c r="AG141" s="16"/>
      <c r="AH141" s="192"/>
      <c r="AI141" s="193"/>
      <c r="AJ141" s="25"/>
      <c r="AK141" s="192"/>
      <c r="AL141" s="16" t="s">
        <v>160</v>
      </c>
      <c r="AM141" s="16"/>
      <c r="AN141" s="193"/>
      <c r="AO141" s="193"/>
      <c r="AP141" s="193"/>
      <c r="AQ141" s="193"/>
      <c r="AR141" s="12" t="str">
        <f t="shared" si="5"/>
        <v/>
      </c>
      <c r="AS141" s="12" t="str">
        <f t="shared" si="6"/>
        <v/>
      </c>
      <c r="AT141" s="18"/>
    </row>
    <row r="142" spans="1:46" s="19" customFormat="1" ht="20.100000000000001" hidden="1" customHeight="1" x14ac:dyDescent="0.2">
      <c r="A142" s="222">
        <v>134</v>
      </c>
      <c r="B142" s="16" t="s">
        <v>4644</v>
      </c>
      <c r="C142" s="16" t="s">
        <v>935</v>
      </c>
      <c r="D142" s="193" t="s">
        <v>4605</v>
      </c>
      <c r="E142" s="193" t="s">
        <v>20</v>
      </c>
      <c r="F142" s="193"/>
      <c r="G142" s="193"/>
      <c r="H142" s="192" t="s">
        <v>7</v>
      </c>
      <c r="I142" s="16" t="s">
        <v>162</v>
      </c>
      <c r="J142" s="35" t="s">
        <v>116</v>
      </c>
      <c r="K142" s="35" t="s">
        <v>2258</v>
      </c>
      <c r="L142" s="193" t="s">
        <v>5064</v>
      </c>
      <c r="M142" s="193" t="s">
        <v>106</v>
      </c>
      <c r="N142" s="192" t="s">
        <v>107</v>
      </c>
      <c r="O142" s="35" t="s">
        <v>1243</v>
      </c>
      <c r="P142" s="35" t="s">
        <v>2961</v>
      </c>
      <c r="Q142" s="35" t="s">
        <v>465</v>
      </c>
      <c r="R142" s="193" t="s">
        <v>4650</v>
      </c>
      <c r="S142" s="193" t="s">
        <v>106</v>
      </c>
      <c r="T142" s="193" t="s">
        <v>107</v>
      </c>
      <c r="U142" s="192">
        <v>0</v>
      </c>
      <c r="V142" s="192"/>
      <c r="W142" s="192">
        <v>120</v>
      </c>
      <c r="X142" s="33">
        <v>87</v>
      </c>
      <c r="Y142" s="34">
        <v>108</v>
      </c>
      <c r="Z142" s="16">
        <v>42</v>
      </c>
      <c r="AA142" s="16">
        <v>90</v>
      </c>
      <c r="AB142" s="16">
        <v>3</v>
      </c>
      <c r="AC142" s="16">
        <v>5</v>
      </c>
      <c r="AD142" s="16">
        <v>98</v>
      </c>
      <c r="AE142" s="16">
        <v>8</v>
      </c>
      <c r="AF142" s="16">
        <v>4</v>
      </c>
      <c r="AG142" s="16"/>
      <c r="AH142" s="192"/>
      <c r="AI142" s="193"/>
      <c r="AJ142" s="25"/>
      <c r="AK142" s="192"/>
      <c r="AL142" s="16" t="s">
        <v>111</v>
      </c>
      <c r="AM142" s="16"/>
      <c r="AN142" s="193"/>
      <c r="AO142" s="193"/>
      <c r="AP142" s="193"/>
      <c r="AQ142" s="193"/>
      <c r="AR142" s="12" t="str">
        <f t="shared" si="5"/>
        <v/>
      </c>
      <c r="AS142" s="12" t="str">
        <f t="shared" si="6"/>
        <v/>
      </c>
      <c r="AT142" s="18"/>
    </row>
    <row r="143" spans="1:46" s="19" customFormat="1" ht="20.100000000000001" hidden="1" customHeight="1" x14ac:dyDescent="0.2">
      <c r="A143" s="222">
        <v>135</v>
      </c>
      <c r="B143" s="16" t="s">
        <v>4644</v>
      </c>
      <c r="C143" s="16" t="s">
        <v>935</v>
      </c>
      <c r="D143" s="193" t="s">
        <v>684</v>
      </c>
      <c r="E143" s="193" t="s">
        <v>6</v>
      </c>
      <c r="F143" s="193"/>
      <c r="G143" s="193"/>
      <c r="H143" s="192" t="s">
        <v>7</v>
      </c>
      <c r="I143" s="16" t="s">
        <v>3439</v>
      </c>
      <c r="J143" s="35" t="s">
        <v>68</v>
      </c>
      <c r="K143" s="35" t="s">
        <v>140</v>
      </c>
      <c r="L143" s="193" t="s">
        <v>4651</v>
      </c>
      <c r="M143" s="193" t="s">
        <v>106</v>
      </c>
      <c r="N143" s="192" t="s">
        <v>107</v>
      </c>
      <c r="O143" s="35" t="s">
        <v>263</v>
      </c>
      <c r="P143" s="35" t="s">
        <v>2961</v>
      </c>
      <c r="Q143" s="35" t="s">
        <v>769</v>
      </c>
      <c r="R143" s="193" t="s">
        <v>4652</v>
      </c>
      <c r="S143" s="193" t="s">
        <v>73</v>
      </c>
      <c r="T143" s="193" t="s">
        <v>70</v>
      </c>
      <c r="U143" s="192">
        <v>0</v>
      </c>
      <c r="V143" s="192"/>
      <c r="W143" s="192">
        <v>175</v>
      </c>
      <c r="X143" s="192">
        <v>165</v>
      </c>
      <c r="Y143" s="16">
        <v>165</v>
      </c>
      <c r="Z143" s="16">
        <v>117</v>
      </c>
      <c r="AA143" s="16">
        <v>134</v>
      </c>
      <c r="AB143" s="16">
        <v>1</v>
      </c>
      <c r="AC143" s="16">
        <v>73</v>
      </c>
      <c r="AD143" s="16">
        <v>213</v>
      </c>
      <c r="AE143" s="16">
        <v>8</v>
      </c>
      <c r="AF143" s="16">
        <v>6</v>
      </c>
      <c r="AG143" s="16"/>
      <c r="AH143" s="192"/>
      <c r="AI143" s="193"/>
      <c r="AJ143" s="25"/>
      <c r="AK143" s="192"/>
      <c r="AL143" s="16" t="s">
        <v>160</v>
      </c>
      <c r="AM143" s="16"/>
      <c r="AN143" s="193"/>
      <c r="AO143" s="193"/>
      <c r="AP143" s="193"/>
      <c r="AQ143" s="193"/>
      <c r="AR143" s="12" t="str">
        <f t="shared" si="5"/>
        <v/>
      </c>
      <c r="AS143" s="12" t="str">
        <f t="shared" si="6"/>
        <v/>
      </c>
      <c r="AT143" s="18"/>
    </row>
    <row r="144" spans="1:46" s="19" customFormat="1" ht="20.100000000000001" hidden="1" customHeight="1" x14ac:dyDescent="0.2">
      <c r="A144" s="222">
        <v>136</v>
      </c>
      <c r="B144" s="16" t="s">
        <v>4645</v>
      </c>
      <c r="C144" s="16" t="s">
        <v>935</v>
      </c>
      <c r="D144" s="193" t="s">
        <v>4437</v>
      </c>
      <c r="E144" s="193" t="s">
        <v>6</v>
      </c>
      <c r="F144" s="193" t="s">
        <v>192</v>
      </c>
      <c r="G144" s="193"/>
      <c r="H144" s="192" t="s">
        <v>7</v>
      </c>
      <c r="I144" s="16" t="s">
        <v>3439</v>
      </c>
      <c r="J144" s="193" t="s">
        <v>429</v>
      </c>
      <c r="K144" s="193" t="s">
        <v>104</v>
      </c>
      <c r="L144" s="193"/>
      <c r="M144" s="193" t="s">
        <v>106</v>
      </c>
      <c r="N144" s="192" t="s">
        <v>107</v>
      </c>
      <c r="O144" s="193"/>
      <c r="P144" s="193" t="s">
        <v>2245</v>
      </c>
      <c r="Q144" s="193" t="s">
        <v>2258</v>
      </c>
      <c r="R144" s="193"/>
      <c r="S144" s="193" t="s">
        <v>106</v>
      </c>
      <c r="T144" s="193" t="s">
        <v>107</v>
      </c>
      <c r="U144" s="192">
        <v>0</v>
      </c>
      <c r="V144" s="192"/>
      <c r="W144" s="192">
        <v>195</v>
      </c>
      <c r="X144" s="192"/>
      <c r="Y144" s="16">
        <v>183</v>
      </c>
      <c r="Z144" s="16">
        <v>54</v>
      </c>
      <c r="AA144" s="16">
        <v>140</v>
      </c>
      <c r="AB144" s="16">
        <v>2</v>
      </c>
      <c r="AC144" s="16">
        <v>60</v>
      </c>
      <c r="AD144" s="16">
        <v>202</v>
      </c>
      <c r="AE144" s="16">
        <v>15</v>
      </c>
      <c r="AF144" s="16">
        <v>6</v>
      </c>
      <c r="AG144" s="16"/>
      <c r="AH144" s="192"/>
      <c r="AI144" s="193"/>
      <c r="AJ144" s="25"/>
      <c r="AK144" s="192"/>
      <c r="AL144" s="16" t="s">
        <v>160</v>
      </c>
      <c r="AM144" s="16"/>
      <c r="AN144" s="193"/>
      <c r="AO144" s="193"/>
      <c r="AP144" s="193"/>
      <c r="AQ144" s="193"/>
      <c r="AR144" s="12" t="str">
        <f t="shared" si="5"/>
        <v/>
      </c>
      <c r="AS144" s="12" t="str">
        <f t="shared" si="6"/>
        <v/>
      </c>
      <c r="AT144" s="18"/>
    </row>
    <row r="145" spans="1:46" s="19" customFormat="1" ht="20.100000000000001" hidden="1" customHeight="1" x14ac:dyDescent="0.2">
      <c r="A145" s="222">
        <v>137</v>
      </c>
      <c r="B145" s="16" t="s">
        <v>4653</v>
      </c>
      <c r="C145" s="16" t="s">
        <v>935</v>
      </c>
      <c r="D145" s="193" t="s">
        <v>4654</v>
      </c>
      <c r="E145" s="193" t="s">
        <v>20</v>
      </c>
      <c r="F145" s="193"/>
      <c r="G145" s="193"/>
      <c r="H145" s="192" t="s">
        <v>7</v>
      </c>
      <c r="I145" s="16" t="s">
        <v>3439</v>
      </c>
      <c r="J145" s="193" t="s">
        <v>155</v>
      </c>
      <c r="K145" s="193" t="s">
        <v>155</v>
      </c>
      <c r="L145" s="193" t="s">
        <v>4651</v>
      </c>
      <c r="M145" s="193" t="s">
        <v>69</v>
      </c>
      <c r="N145" s="192" t="s">
        <v>70</v>
      </c>
      <c r="O145" s="193" t="s">
        <v>167</v>
      </c>
      <c r="P145" s="193" t="s">
        <v>3679</v>
      </c>
      <c r="Q145" s="193" t="s">
        <v>441</v>
      </c>
      <c r="R145" s="193" t="s">
        <v>4652</v>
      </c>
      <c r="S145" s="193" t="s">
        <v>106</v>
      </c>
      <c r="T145" s="193" t="s">
        <v>107</v>
      </c>
      <c r="U145" s="192"/>
      <c r="V145" s="192"/>
      <c r="W145" s="192">
        <v>166</v>
      </c>
      <c r="X145" s="192">
        <v>144</v>
      </c>
      <c r="Y145" s="16">
        <v>144</v>
      </c>
      <c r="Z145" s="16">
        <v>70</v>
      </c>
      <c r="AA145" s="16">
        <v>77</v>
      </c>
      <c r="AB145" s="16">
        <v>5</v>
      </c>
      <c r="AC145" s="16">
        <v>105</v>
      </c>
      <c r="AD145" s="16">
        <v>187</v>
      </c>
      <c r="AE145" s="16">
        <v>29</v>
      </c>
      <c r="AF145" s="16">
        <v>6</v>
      </c>
      <c r="AG145" s="16"/>
      <c r="AH145" s="192"/>
      <c r="AI145" s="193"/>
      <c r="AJ145" s="25"/>
      <c r="AK145" s="192"/>
      <c r="AL145" s="16"/>
      <c r="AM145" s="16"/>
      <c r="AN145" s="193"/>
      <c r="AO145" s="193"/>
      <c r="AP145" s="193"/>
      <c r="AQ145" s="193"/>
      <c r="AR145" s="12" t="str">
        <f t="shared" si="5"/>
        <v/>
      </c>
      <c r="AS145" s="12" t="str">
        <f t="shared" si="6"/>
        <v/>
      </c>
      <c r="AT145" s="18"/>
    </row>
    <row r="146" spans="1:46" s="21" customFormat="1" ht="31.5" hidden="1" x14ac:dyDescent="0.2">
      <c r="A146" s="20">
        <v>138</v>
      </c>
      <c r="B146" s="29" t="s">
        <v>4653</v>
      </c>
      <c r="C146" s="29" t="s">
        <v>935</v>
      </c>
      <c r="D146" s="30" t="s">
        <v>2794</v>
      </c>
      <c r="E146" s="30" t="s">
        <v>243</v>
      </c>
      <c r="F146" s="30" t="s">
        <v>4038</v>
      </c>
      <c r="G146" s="30"/>
      <c r="H146" s="20" t="s">
        <v>83</v>
      </c>
      <c r="I146" s="29" t="s">
        <v>3439</v>
      </c>
      <c r="J146" s="30" t="s">
        <v>2155</v>
      </c>
      <c r="K146" s="30" t="s">
        <v>140</v>
      </c>
      <c r="L146" s="30" t="s">
        <v>4320</v>
      </c>
      <c r="M146" s="30" t="s">
        <v>106</v>
      </c>
      <c r="N146" s="20" t="s">
        <v>107</v>
      </c>
      <c r="O146" s="30" t="s">
        <v>2155</v>
      </c>
      <c r="P146" s="30" t="s">
        <v>1510</v>
      </c>
      <c r="Q146" s="30" t="s">
        <v>116</v>
      </c>
      <c r="R146" s="30" t="s">
        <v>4321</v>
      </c>
      <c r="S146" s="30" t="s">
        <v>73</v>
      </c>
      <c r="T146" s="30" t="s">
        <v>70</v>
      </c>
      <c r="U146" s="29" t="s">
        <v>4299</v>
      </c>
      <c r="V146" s="20"/>
      <c r="W146" s="20"/>
      <c r="X146" s="20"/>
      <c r="Y146" s="29">
        <v>96</v>
      </c>
      <c r="Z146" s="29"/>
      <c r="AA146" s="29"/>
      <c r="AB146" s="29"/>
      <c r="AC146" s="29"/>
      <c r="AD146" s="29"/>
      <c r="AE146" s="29"/>
      <c r="AF146" s="29"/>
      <c r="AG146" s="29"/>
      <c r="AH146" s="20"/>
      <c r="AI146" s="30"/>
      <c r="AJ146" s="36"/>
      <c r="AK146" s="20"/>
      <c r="AL146" s="29"/>
      <c r="AM146" s="29"/>
      <c r="AN146" s="30" t="s">
        <v>4378</v>
      </c>
      <c r="AO146" s="30" t="s">
        <v>1247</v>
      </c>
      <c r="AP146" s="30" t="s">
        <v>113</v>
      </c>
      <c r="AQ146" s="30" t="s">
        <v>260</v>
      </c>
      <c r="AR146" s="12">
        <f t="shared" si="5"/>
        <v>5</v>
      </c>
      <c r="AS146" s="12">
        <f t="shared" si="6"/>
        <v>5</v>
      </c>
      <c r="AT146" s="32" t="s">
        <v>4658</v>
      </c>
    </row>
    <row r="147" spans="1:46" s="21" customFormat="1" ht="47.25" hidden="1" x14ac:dyDescent="0.2">
      <c r="A147" s="20">
        <v>139</v>
      </c>
      <c r="B147" s="29" t="s">
        <v>4655</v>
      </c>
      <c r="C147" s="29" t="s">
        <v>935</v>
      </c>
      <c r="D147" s="30" t="s">
        <v>2356</v>
      </c>
      <c r="E147" s="30" t="s">
        <v>10</v>
      </c>
      <c r="F147" s="30" t="s">
        <v>202</v>
      </c>
      <c r="G147" s="30"/>
      <c r="H147" s="20" t="s">
        <v>83</v>
      </c>
      <c r="I147" s="29" t="s">
        <v>3439</v>
      </c>
      <c r="J147" s="30"/>
      <c r="K147" s="30" t="s">
        <v>68</v>
      </c>
      <c r="L147" s="30" t="s">
        <v>4568</v>
      </c>
      <c r="M147" s="30" t="s">
        <v>106</v>
      </c>
      <c r="N147" s="20" t="s">
        <v>107</v>
      </c>
      <c r="O147" s="30"/>
      <c r="P147" s="30" t="s">
        <v>1510</v>
      </c>
      <c r="Q147" s="30" t="s">
        <v>769</v>
      </c>
      <c r="R147" s="30" t="s">
        <v>4617</v>
      </c>
      <c r="S147" s="30" t="s">
        <v>262</v>
      </c>
      <c r="T147" s="30" t="s">
        <v>70</v>
      </c>
      <c r="U147" s="29" t="s">
        <v>4593</v>
      </c>
      <c r="V147" s="20"/>
      <c r="W147" s="20"/>
      <c r="X147" s="20"/>
      <c r="Y147" s="29">
        <v>228</v>
      </c>
      <c r="Z147" s="29"/>
      <c r="AA147" s="29"/>
      <c r="AB147" s="29"/>
      <c r="AC147" s="29"/>
      <c r="AD147" s="29"/>
      <c r="AE147" s="29"/>
      <c r="AF147" s="29">
        <v>6</v>
      </c>
      <c r="AG147" s="29"/>
      <c r="AH147" s="20"/>
      <c r="AI147" s="30"/>
      <c r="AJ147" s="36"/>
      <c r="AK147" s="20"/>
      <c r="AL147" s="29" t="s">
        <v>160</v>
      </c>
      <c r="AM147" s="29"/>
      <c r="AN147" s="30" t="s">
        <v>4378</v>
      </c>
      <c r="AO147" s="30" t="s">
        <v>1247</v>
      </c>
      <c r="AP147" s="30" t="s">
        <v>4378</v>
      </c>
      <c r="AQ147" s="30" t="s">
        <v>124</v>
      </c>
      <c r="AR147" s="12">
        <f t="shared" si="5"/>
        <v>1</v>
      </c>
      <c r="AS147" s="12">
        <f t="shared" si="6"/>
        <v>1</v>
      </c>
      <c r="AT147" s="32" t="s">
        <v>4656</v>
      </c>
    </row>
    <row r="148" spans="1:46" s="19" customFormat="1" ht="20.100000000000001" hidden="1" customHeight="1" x14ac:dyDescent="0.2">
      <c r="A148" s="222">
        <v>140</v>
      </c>
      <c r="B148" s="16" t="s">
        <v>4657</v>
      </c>
      <c r="C148" s="16" t="s">
        <v>935</v>
      </c>
      <c r="D148" s="193" t="s">
        <v>2222</v>
      </c>
      <c r="E148" s="193" t="s">
        <v>20</v>
      </c>
      <c r="F148" s="193"/>
      <c r="G148" s="193"/>
      <c r="H148" s="192" t="s">
        <v>7</v>
      </c>
      <c r="I148" s="16" t="s">
        <v>3439</v>
      </c>
      <c r="J148" s="35" t="s">
        <v>223</v>
      </c>
      <c r="K148" s="35" t="s">
        <v>2258</v>
      </c>
      <c r="L148" s="193" t="s">
        <v>4664</v>
      </c>
      <c r="M148" s="193" t="s">
        <v>106</v>
      </c>
      <c r="N148" s="192" t="s">
        <v>107</v>
      </c>
      <c r="O148" s="35" t="s">
        <v>224</v>
      </c>
      <c r="P148" s="35" t="s">
        <v>2325</v>
      </c>
      <c r="Q148" s="35" t="s">
        <v>260</v>
      </c>
      <c r="R148" s="193" t="s">
        <v>4665</v>
      </c>
      <c r="S148" s="224" t="s">
        <v>106</v>
      </c>
      <c r="T148" s="224" t="s">
        <v>107</v>
      </c>
      <c r="U148" s="192"/>
      <c r="V148" s="192"/>
      <c r="W148" s="192">
        <v>127</v>
      </c>
      <c r="X148" s="192">
        <v>121</v>
      </c>
      <c r="Y148" s="16">
        <v>121</v>
      </c>
      <c r="Z148" s="16">
        <v>91</v>
      </c>
      <c r="AA148" s="16">
        <v>114</v>
      </c>
      <c r="AB148" s="16">
        <v>10</v>
      </c>
      <c r="AC148" s="16">
        <v>32</v>
      </c>
      <c r="AD148" s="16">
        <v>176</v>
      </c>
      <c r="AE148" s="16">
        <v>3.33</v>
      </c>
      <c r="AF148" s="16">
        <v>2.5</v>
      </c>
      <c r="AG148" s="16"/>
      <c r="AH148" s="192"/>
      <c r="AI148" s="193"/>
      <c r="AJ148" s="25"/>
      <c r="AK148" s="192"/>
      <c r="AL148" s="16" t="s">
        <v>111</v>
      </c>
      <c r="AM148" s="16"/>
      <c r="AN148" s="193"/>
      <c r="AO148" s="193"/>
      <c r="AP148" s="193"/>
      <c r="AQ148" s="193"/>
      <c r="AR148" s="12" t="str">
        <f t="shared" si="5"/>
        <v/>
      </c>
      <c r="AS148" s="12" t="str">
        <f t="shared" si="6"/>
        <v/>
      </c>
      <c r="AT148" s="18"/>
    </row>
    <row r="149" spans="1:46" s="21" customFormat="1" ht="20.100000000000001" hidden="1" customHeight="1" x14ac:dyDescent="0.2">
      <c r="A149" s="20">
        <v>141</v>
      </c>
      <c r="B149" s="29" t="s">
        <v>4659</v>
      </c>
      <c r="C149" s="29" t="s">
        <v>935</v>
      </c>
      <c r="D149" s="30" t="s">
        <v>4372</v>
      </c>
      <c r="E149" s="30" t="s">
        <v>10</v>
      </c>
      <c r="F149" s="30" t="s">
        <v>202</v>
      </c>
      <c r="G149" s="30"/>
      <c r="H149" s="20" t="s">
        <v>83</v>
      </c>
      <c r="I149" s="29" t="s">
        <v>92</v>
      </c>
      <c r="J149" s="30"/>
      <c r="K149" s="30" t="s">
        <v>226</v>
      </c>
      <c r="L149" s="30" t="s">
        <v>4390</v>
      </c>
      <c r="M149" s="30" t="s">
        <v>106</v>
      </c>
      <c r="N149" s="20" t="s">
        <v>107</v>
      </c>
      <c r="O149" s="30"/>
      <c r="P149" s="30" t="s">
        <v>2325</v>
      </c>
      <c r="Q149" s="30" t="s">
        <v>2348</v>
      </c>
      <c r="R149" s="30" t="s">
        <v>4391</v>
      </c>
      <c r="S149" s="30" t="s">
        <v>106</v>
      </c>
      <c r="T149" s="30" t="s">
        <v>107</v>
      </c>
      <c r="U149" s="20" t="s">
        <v>4375</v>
      </c>
      <c r="V149" s="20"/>
      <c r="W149" s="20"/>
      <c r="X149" s="20"/>
      <c r="Y149" s="29">
        <v>174</v>
      </c>
      <c r="Z149" s="29"/>
      <c r="AA149" s="29"/>
      <c r="AB149" s="29"/>
      <c r="AC149" s="29"/>
      <c r="AD149" s="29"/>
      <c r="AE149" s="29"/>
      <c r="AF149" s="29">
        <v>4</v>
      </c>
      <c r="AG149" s="29"/>
      <c r="AH149" s="20"/>
      <c r="AI149" s="30"/>
      <c r="AJ149" s="36"/>
      <c r="AK149" s="20"/>
      <c r="AL149" s="29"/>
      <c r="AM149" s="29"/>
      <c r="AN149" s="30" t="s">
        <v>4378</v>
      </c>
      <c r="AO149" s="30" t="s">
        <v>1247</v>
      </c>
      <c r="AP149" s="30" t="s">
        <v>4378</v>
      </c>
      <c r="AQ149" s="30" t="s">
        <v>114</v>
      </c>
      <c r="AR149" s="12">
        <f t="shared" si="5"/>
        <v>4</v>
      </c>
      <c r="AS149" s="12">
        <f t="shared" si="6"/>
        <v>4</v>
      </c>
      <c r="AT149" s="32"/>
    </row>
    <row r="150" spans="1:46" s="19" customFormat="1" ht="20.100000000000001" hidden="1" customHeight="1" x14ac:dyDescent="0.2">
      <c r="A150" s="222">
        <v>142</v>
      </c>
      <c r="B150" s="16" t="s">
        <v>4660</v>
      </c>
      <c r="C150" s="16" t="s">
        <v>935</v>
      </c>
      <c r="D150" s="193" t="s">
        <v>1739</v>
      </c>
      <c r="E150" s="193" t="s">
        <v>20</v>
      </c>
      <c r="F150" s="193"/>
      <c r="G150" s="193"/>
      <c r="H150" s="192" t="s">
        <v>7</v>
      </c>
      <c r="I150" s="16" t="s">
        <v>92</v>
      </c>
      <c r="J150" s="193" t="s">
        <v>141</v>
      </c>
      <c r="K150" s="193" t="s">
        <v>141</v>
      </c>
      <c r="L150" s="193" t="s">
        <v>4666</v>
      </c>
      <c r="M150" s="193" t="s">
        <v>69</v>
      </c>
      <c r="N150" s="192" t="s">
        <v>70</v>
      </c>
      <c r="O150" s="35" t="s">
        <v>1478</v>
      </c>
      <c r="P150" s="35" t="s">
        <v>2961</v>
      </c>
      <c r="Q150" s="35" t="s">
        <v>2348</v>
      </c>
      <c r="R150" s="193" t="s">
        <v>4667</v>
      </c>
      <c r="S150" s="224" t="s">
        <v>106</v>
      </c>
      <c r="T150" s="224" t="s">
        <v>107</v>
      </c>
      <c r="U150" s="192"/>
      <c r="V150" s="192"/>
      <c r="W150" s="192">
        <v>207</v>
      </c>
      <c r="X150" s="192">
        <v>192</v>
      </c>
      <c r="Y150" s="16">
        <v>192</v>
      </c>
      <c r="Z150" s="16">
        <v>97</v>
      </c>
      <c r="AA150" s="16">
        <v>128</v>
      </c>
      <c r="AB150" s="16">
        <v>8</v>
      </c>
      <c r="AC150" s="16">
        <v>31</v>
      </c>
      <c r="AD150" s="16">
        <v>169</v>
      </c>
      <c r="AE150" s="16">
        <v>10</v>
      </c>
      <c r="AF150" s="16">
        <v>4</v>
      </c>
      <c r="AG150" s="16"/>
      <c r="AH150" s="192"/>
      <c r="AI150" s="193"/>
      <c r="AJ150" s="25"/>
      <c r="AK150" s="192"/>
      <c r="AL150" s="16" t="s">
        <v>160</v>
      </c>
      <c r="AM150" s="16"/>
      <c r="AN150" s="193"/>
      <c r="AO150" s="193"/>
      <c r="AP150" s="193"/>
      <c r="AQ150" s="193"/>
      <c r="AR150" s="12" t="str">
        <f t="shared" si="5"/>
        <v/>
      </c>
      <c r="AS150" s="12" t="str">
        <f t="shared" si="6"/>
        <v/>
      </c>
      <c r="AT150" s="18"/>
    </row>
    <row r="151" spans="1:46" s="19" customFormat="1" ht="20.100000000000001" hidden="1" customHeight="1" x14ac:dyDescent="0.2">
      <c r="A151" s="222">
        <v>143</v>
      </c>
      <c r="B151" s="16" t="s">
        <v>4661</v>
      </c>
      <c r="C151" s="16" t="s">
        <v>935</v>
      </c>
      <c r="D151" s="193" t="s">
        <v>517</v>
      </c>
      <c r="E151" s="193" t="s">
        <v>243</v>
      </c>
      <c r="F151" s="193" t="s">
        <v>4038</v>
      </c>
      <c r="G151" s="193"/>
      <c r="H151" s="192" t="s">
        <v>83</v>
      </c>
      <c r="I151" s="16" t="s">
        <v>92</v>
      </c>
      <c r="J151" s="193"/>
      <c r="K151" s="193" t="s">
        <v>155</v>
      </c>
      <c r="L151" s="41" t="s">
        <v>527</v>
      </c>
      <c r="M151" s="41" t="s">
        <v>69</v>
      </c>
      <c r="N151" s="13" t="s">
        <v>70</v>
      </c>
      <c r="O151" s="193"/>
      <c r="P151" s="193" t="s">
        <v>3679</v>
      </c>
      <c r="Q151" s="193" t="s">
        <v>441</v>
      </c>
      <c r="R151" s="41" t="s">
        <v>528</v>
      </c>
      <c r="S151" s="41" t="s">
        <v>106</v>
      </c>
      <c r="T151" s="41" t="s">
        <v>107</v>
      </c>
      <c r="U151" s="192" t="s">
        <v>4668</v>
      </c>
      <c r="V151" s="192"/>
      <c r="W151" s="192"/>
      <c r="X151" s="192"/>
      <c r="Y151" s="16">
        <v>216</v>
      </c>
      <c r="Z151" s="16"/>
      <c r="AA151" s="16"/>
      <c r="AB151" s="16"/>
      <c r="AC151" s="16"/>
      <c r="AD151" s="16"/>
      <c r="AE151" s="16"/>
      <c r="AF151" s="16"/>
      <c r="AG151" s="16"/>
      <c r="AH151" s="192"/>
      <c r="AI151" s="193"/>
      <c r="AJ151" s="25"/>
      <c r="AK151" s="192"/>
      <c r="AL151" s="16"/>
      <c r="AM151" s="16"/>
      <c r="AN151" s="193" t="s">
        <v>4378</v>
      </c>
      <c r="AO151" s="193" t="s">
        <v>1247</v>
      </c>
      <c r="AP151" s="193" t="s">
        <v>115</v>
      </c>
      <c r="AQ151" s="193" t="s">
        <v>296</v>
      </c>
      <c r="AR151" s="12">
        <f t="shared" si="5"/>
        <v>27</v>
      </c>
      <c r="AS151" s="12" t="str">
        <f t="shared" si="6"/>
        <v/>
      </c>
      <c r="AT151" s="18"/>
    </row>
    <row r="152" spans="1:46" s="21" customFormat="1" ht="20.100000000000001" hidden="1" customHeight="1" x14ac:dyDescent="0.2">
      <c r="A152" s="20">
        <v>144</v>
      </c>
      <c r="B152" s="29" t="s">
        <v>4661</v>
      </c>
      <c r="C152" s="29" t="s">
        <v>935</v>
      </c>
      <c r="D152" s="30" t="s">
        <v>3975</v>
      </c>
      <c r="E152" s="30" t="s">
        <v>19</v>
      </c>
      <c r="F152" s="30" t="s">
        <v>1642</v>
      </c>
      <c r="G152" s="30"/>
      <c r="H152" s="20" t="s">
        <v>83</v>
      </c>
      <c r="I152" s="29" t="s">
        <v>3439</v>
      </c>
      <c r="J152" s="30"/>
      <c r="K152" s="30" t="s">
        <v>140</v>
      </c>
      <c r="L152" s="30" t="s">
        <v>4019</v>
      </c>
      <c r="M152" s="30" t="s">
        <v>106</v>
      </c>
      <c r="N152" s="20" t="s">
        <v>107</v>
      </c>
      <c r="O152" s="30" t="s">
        <v>429</v>
      </c>
      <c r="P152" s="30" t="s">
        <v>3679</v>
      </c>
      <c r="Q152" s="30" t="s">
        <v>506</v>
      </c>
      <c r="R152" s="30" t="s">
        <v>4020</v>
      </c>
      <c r="S152" s="30" t="s">
        <v>106</v>
      </c>
      <c r="T152" s="30" t="s">
        <v>107</v>
      </c>
      <c r="U152" s="29" t="s">
        <v>3972</v>
      </c>
      <c r="V152" s="20"/>
      <c r="W152" s="20"/>
      <c r="X152" s="20"/>
      <c r="Y152" s="29">
        <v>96</v>
      </c>
      <c r="Z152" s="29"/>
      <c r="AA152" s="29"/>
      <c r="AB152" s="29"/>
      <c r="AC152" s="29"/>
      <c r="AD152" s="29"/>
      <c r="AE152" s="29"/>
      <c r="AF152" s="29"/>
      <c r="AG152" s="29"/>
      <c r="AH152" s="20"/>
      <c r="AI152" s="30"/>
      <c r="AJ152" s="36"/>
      <c r="AK152" s="20"/>
      <c r="AL152" s="29"/>
      <c r="AM152" s="29"/>
      <c r="AN152" s="30" t="s">
        <v>4378</v>
      </c>
      <c r="AO152" s="30" t="s">
        <v>1247</v>
      </c>
      <c r="AP152" s="30" t="s">
        <v>113</v>
      </c>
      <c r="AQ152" s="30" t="s">
        <v>148</v>
      </c>
      <c r="AR152" s="12">
        <f t="shared" si="5"/>
        <v>9</v>
      </c>
      <c r="AS152" s="12">
        <f t="shared" si="6"/>
        <v>9</v>
      </c>
      <c r="AT152" s="32" t="s">
        <v>4663</v>
      </c>
    </row>
    <row r="153" spans="1:46" s="19" customFormat="1" ht="20.100000000000001" hidden="1" customHeight="1" x14ac:dyDescent="0.2">
      <c r="A153" s="222">
        <v>145</v>
      </c>
      <c r="B153" s="16" t="s">
        <v>4662</v>
      </c>
      <c r="C153" s="16" t="s">
        <v>935</v>
      </c>
      <c r="D153" s="193" t="s">
        <v>238</v>
      </c>
      <c r="E153" s="193" t="s">
        <v>6</v>
      </c>
      <c r="F153" s="193" t="s">
        <v>202</v>
      </c>
      <c r="G153" s="193"/>
      <c r="H153" s="192" t="s">
        <v>83</v>
      </c>
      <c r="I153" s="16" t="s">
        <v>3439</v>
      </c>
      <c r="J153" s="193"/>
      <c r="K153" s="224" t="s">
        <v>104</v>
      </c>
      <c r="L153" s="224" t="s">
        <v>366</v>
      </c>
      <c r="M153" s="224" t="s">
        <v>106</v>
      </c>
      <c r="N153" s="223" t="s">
        <v>107</v>
      </c>
      <c r="O153" s="193"/>
      <c r="P153" s="35" t="s">
        <v>1510</v>
      </c>
      <c r="Q153" s="35" t="s">
        <v>260</v>
      </c>
      <c r="R153" s="224" t="s">
        <v>367</v>
      </c>
      <c r="S153" s="224" t="s">
        <v>106</v>
      </c>
      <c r="T153" s="224" t="s">
        <v>107</v>
      </c>
      <c r="U153" s="16" t="s">
        <v>363</v>
      </c>
      <c r="V153" s="192"/>
      <c r="W153" s="192"/>
      <c r="X153" s="192"/>
      <c r="Y153" s="16">
        <v>192</v>
      </c>
      <c r="Z153" s="16"/>
      <c r="AA153" s="16"/>
      <c r="AB153" s="16"/>
      <c r="AC153" s="16"/>
      <c r="AD153" s="16"/>
      <c r="AE153" s="16"/>
      <c r="AF153" s="16"/>
      <c r="AG153" s="16"/>
      <c r="AH153" s="192"/>
      <c r="AI153" s="193"/>
      <c r="AJ153" s="25"/>
      <c r="AK153" s="192"/>
      <c r="AL153" s="16" t="s">
        <v>111</v>
      </c>
      <c r="AM153" s="16" t="s">
        <v>193</v>
      </c>
      <c r="AN153" s="193" t="s">
        <v>4378</v>
      </c>
      <c r="AO153" s="193" t="s">
        <v>1247</v>
      </c>
      <c r="AP153" s="193" t="s">
        <v>113</v>
      </c>
      <c r="AQ153" s="193" t="s">
        <v>296</v>
      </c>
      <c r="AR153" s="12">
        <f t="shared" si="5"/>
        <v>15</v>
      </c>
      <c r="AS153" s="12" t="str">
        <f t="shared" si="6"/>
        <v/>
      </c>
      <c r="AT153" s="18"/>
    </row>
    <row r="154" spans="1:46" s="19" customFormat="1" ht="20.100000000000001" hidden="1" customHeight="1" x14ac:dyDescent="0.2">
      <c r="A154" s="222">
        <v>146</v>
      </c>
      <c r="B154" s="16" t="s">
        <v>4669</v>
      </c>
      <c r="C154" s="16" t="s">
        <v>935</v>
      </c>
      <c r="D154" s="193" t="s">
        <v>2050</v>
      </c>
      <c r="E154" s="193" t="s">
        <v>6</v>
      </c>
      <c r="F154" s="193" t="s">
        <v>202</v>
      </c>
      <c r="G154" s="193"/>
      <c r="H154" s="192" t="s">
        <v>83</v>
      </c>
      <c r="I154" s="16" t="s">
        <v>3439</v>
      </c>
      <c r="J154" s="193"/>
      <c r="K154" s="193" t="s">
        <v>104</v>
      </c>
      <c r="L154" s="193"/>
      <c r="M154" s="193" t="s">
        <v>69</v>
      </c>
      <c r="N154" s="192" t="s">
        <v>70</v>
      </c>
      <c r="O154" s="193"/>
      <c r="P154" s="193" t="s">
        <v>2245</v>
      </c>
      <c r="Q154" s="193" t="s">
        <v>769</v>
      </c>
      <c r="R154" s="193" t="s">
        <v>4711</v>
      </c>
      <c r="S154" s="193" t="s">
        <v>69</v>
      </c>
      <c r="T154" s="193" t="s">
        <v>70</v>
      </c>
      <c r="U154" s="192" t="s">
        <v>2129</v>
      </c>
      <c r="V154" s="192"/>
      <c r="W154" s="192"/>
      <c r="X154" s="192"/>
      <c r="Y154" s="16">
        <v>234</v>
      </c>
      <c r="Z154" s="16"/>
      <c r="AA154" s="16"/>
      <c r="AB154" s="16"/>
      <c r="AC154" s="16"/>
      <c r="AD154" s="16"/>
      <c r="AE154" s="16"/>
      <c r="AF154" s="16"/>
      <c r="AG154" s="16"/>
      <c r="AH154" s="192"/>
      <c r="AI154" s="193"/>
      <c r="AJ154" s="25"/>
      <c r="AK154" s="192"/>
      <c r="AL154" s="16"/>
      <c r="AM154" s="16"/>
      <c r="AN154" s="193" t="s">
        <v>4378</v>
      </c>
      <c r="AO154" s="193" t="s">
        <v>1247</v>
      </c>
      <c r="AP154" s="193" t="s">
        <v>115</v>
      </c>
      <c r="AQ154" s="193" t="s">
        <v>260</v>
      </c>
      <c r="AR154" s="12">
        <f t="shared" si="5"/>
        <v>17</v>
      </c>
      <c r="AS154" s="12" t="str">
        <f t="shared" si="6"/>
        <v/>
      </c>
      <c r="AT154" s="18"/>
    </row>
    <row r="155" spans="1:46" s="21" customFormat="1" ht="20.100000000000001" hidden="1" customHeight="1" x14ac:dyDescent="0.2">
      <c r="A155" s="20"/>
      <c r="B155" s="29" t="s">
        <v>4694</v>
      </c>
      <c r="C155" s="29" t="s">
        <v>935</v>
      </c>
      <c r="D155" s="30" t="s">
        <v>4062</v>
      </c>
      <c r="E155" s="30" t="s">
        <v>19</v>
      </c>
      <c r="F155" s="30" t="s">
        <v>202</v>
      </c>
      <c r="G155" s="30"/>
      <c r="H155" s="20" t="s">
        <v>83</v>
      </c>
      <c r="I155" s="29" t="s">
        <v>67</v>
      </c>
      <c r="J155" s="30"/>
      <c r="K155" s="30" t="s">
        <v>104</v>
      </c>
      <c r="L155" s="30"/>
      <c r="M155" s="30" t="s">
        <v>106</v>
      </c>
      <c r="N155" s="20" t="s">
        <v>107</v>
      </c>
      <c r="O155" s="30"/>
      <c r="P155" s="30" t="s">
        <v>3677</v>
      </c>
      <c r="Q155" s="30" t="s">
        <v>555</v>
      </c>
      <c r="R155" s="30"/>
      <c r="S155" s="30" t="s">
        <v>106</v>
      </c>
      <c r="T155" s="30" t="s">
        <v>107</v>
      </c>
      <c r="U155" s="20" t="s">
        <v>4061</v>
      </c>
      <c r="V155" s="20"/>
      <c r="W155" s="20"/>
      <c r="X155" s="20"/>
      <c r="Y155" s="29">
        <v>207</v>
      </c>
      <c r="Z155" s="29"/>
      <c r="AA155" s="29"/>
      <c r="AB155" s="29"/>
      <c r="AC155" s="29"/>
      <c r="AD155" s="29"/>
      <c r="AE155" s="29"/>
      <c r="AF155" s="29">
        <v>6</v>
      </c>
      <c r="AG155" s="29"/>
      <c r="AH155" s="20"/>
      <c r="AI155" s="30"/>
      <c r="AJ155" s="36"/>
      <c r="AK155" s="20"/>
      <c r="AL155" s="29"/>
      <c r="AM155" s="29"/>
      <c r="AN155" s="30" t="s">
        <v>4378</v>
      </c>
      <c r="AO155" s="30" t="s">
        <v>1247</v>
      </c>
      <c r="AP155" s="30" t="s">
        <v>113</v>
      </c>
      <c r="AQ155" s="30" t="s">
        <v>266</v>
      </c>
      <c r="AR155" s="12">
        <f t="shared" si="5"/>
        <v>8</v>
      </c>
      <c r="AS155" s="12">
        <f t="shared" si="6"/>
        <v>8</v>
      </c>
      <c r="AT155" s="32"/>
    </row>
    <row r="156" spans="1:46" s="21" customFormat="1" ht="20.100000000000001" hidden="1" customHeight="1" x14ac:dyDescent="0.2">
      <c r="A156" s="20">
        <v>147</v>
      </c>
      <c r="B156" s="29" t="s">
        <v>4670</v>
      </c>
      <c r="C156" s="29" t="s">
        <v>935</v>
      </c>
      <c r="D156" s="30" t="s">
        <v>3960</v>
      </c>
      <c r="E156" s="30" t="s">
        <v>19</v>
      </c>
      <c r="F156" s="30" t="s">
        <v>202</v>
      </c>
      <c r="G156" s="30"/>
      <c r="H156" s="20" t="s">
        <v>83</v>
      </c>
      <c r="I156" s="29" t="s">
        <v>67</v>
      </c>
      <c r="J156" s="30"/>
      <c r="K156" s="30" t="s">
        <v>155</v>
      </c>
      <c r="L156" s="30" t="s">
        <v>4007</v>
      </c>
      <c r="M156" s="30" t="s">
        <v>69</v>
      </c>
      <c r="N156" s="20" t="s">
        <v>70</v>
      </c>
      <c r="O156" s="30"/>
      <c r="P156" s="30" t="s">
        <v>3677</v>
      </c>
      <c r="Q156" s="30" t="s">
        <v>441</v>
      </c>
      <c r="R156" s="30" t="s">
        <v>4008</v>
      </c>
      <c r="S156" s="30" t="s">
        <v>69</v>
      </c>
      <c r="T156" s="30" t="s">
        <v>70</v>
      </c>
      <c r="U156" s="20" t="s">
        <v>3614</v>
      </c>
      <c r="V156" s="20"/>
      <c r="W156" s="20"/>
      <c r="X156" s="20"/>
      <c r="Y156" s="29">
        <v>216</v>
      </c>
      <c r="Z156" s="29"/>
      <c r="AA156" s="29"/>
      <c r="AB156" s="29"/>
      <c r="AC156" s="29"/>
      <c r="AD156" s="29"/>
      <c r="AE156" s="29"/>
      <c r="AF156" s="29">
        <v>6</v>
      </c>
      <c r="AG156" s="29"/>
      <c r="AH156" s="20"/>
      <c r="AI156" s="30"/>
      <c r="AJ156" s="36"/>
      <c r="AK156" s="20"/>
      <c r="AL156" s="29" t="s">
        <v>160</v>
      </c>
      <c r="AM156" s="29" t="s">
        <v>165</v>
      </c>
      <c r="AN156" s="30" t="s">
        <v>4378</v>
      </c>
      <c r="AO156" s="30" t="s">
        <v>1247</v>
      </c>
      <c r="AP156" s="30" t="s">
        <v>113</v>
      </c>
      <c r="AQ156" s="30" t="s">
        <v>148</v>
      </c>
      <c r="AR156" s="12">
        <f t="shared" si="5"/>
        <v>9</v>
      </c>
      <c r="AS156" s="12">
        <f t="shared" si="6"/>
        <v>9</v>
      </c>
      <c r="AT156" s="32" t="s">
        <v>4686</v>
      </c>
    </row>
    <row r="157" spans="1:46" s="19" customFormat="1" ht="20.100000000000001" hidden="1" customHeight="1" x14ac:dyDescent="0.2">
      <c r="A157" s="222">
        <v>148</v>
      </c>
      <c r="B157" s="16" t="s">
        <v>4671</v>
      </c>
      <c r="C157" s="16" t="s">
        <v>935</v>
      </c>
      <c r="D157" s="193" t="s">
        <v>2163</v>
      </c>
      <c r="E157" s="193" t="s">
        <v>20</v>
      </c>
      <c r="F157" s="193"/>
      <c r="G157" s="193"/>
      <c r="H157" s="192" t="s">
        <v>7</v>
      </c>
      <c r="I157" s="16" t="s">
        <v>92</v>
      </c>
      <c r="J157" s="193"/>
      <c r="K157" s="193" t="s">
        <v>117</v>
      </c>
      <c r="L157" s="193"/>
      <c r="M157" s="193" t="s">
        <v>142</v>
      </c>
      <c r="N157" s="192" t="s">
        <v>70</v>
      </c>
      <c r="O157" s="193"/>
      <c r="P157" s="193" t="s">
        <v>2961</v>
      </c>
      <c r="Q157" s="193" t="s">
        <v>226</v>
      </c>
      <c r="R157" s="193"/>
      <c r="S157" s="193" t="s">
        <v>73</v>
      </c>
      <c r="T157" s="193" t="s">
        <v>70</v>
      </c>
      <c r="U157" s="192" t="s">
        <v>4637</v>
      </c>
      <c r="V157" s="192"/>
      <c r="W157" s="192"/>
      <c r="X157" s="192"/>
      <c r="Y157" s="16"/>
      <c r="Z157" s="16"/>
      <c r="AA157" s="16"/>
      <c r="AB157" s="16"/>
      <c r="AC157" s="16"/>
      <c r="AD157" s="16"/>
      <c r="AE157" s="16"/>
      <c r="AF157" s="16"/>
      <c r="AG157" s="16"/>
      <c r="AH157" s="192"/>
      <c r="AI157" s="193"/>
      <c r="AJ157" s="25"/>
      <c r="AK157" s="192"/>
      <c r="AL157" s="16" t="s">
        <v>160</v>
      </c>
      <c r="AM157" s="16"/>
      <c r="AN157" s="193" t="s">
        <v>4378</v>
      </c>
      <c r="AO157" s="193" t="s">
        <v>1247</v>
      </c>
      <c r="AP157" s="193" t="s">
        <v>136</v>
      </c>
      <c r="AQ157" s="193" t="s">
        <v>114</v>
      </c>
      <c r="AR157" s="12">
        <f t="shared" si="5"/>
        <v>40</v>
      </c>
      <c r="AS157" s="12" t="str">
        <f t="shared" si="6"/>
        <v/>
      </c>
      <c r="AT157" s="18"/>
    </row>
    <row r="158" spans="1:46" s="21" customFormat="1" ht="31.5" hidden="1" x14ac:dyDescent="0.2">
      <c r="A158" s="20">
        <v>149</v>
      </c>
      <c r="B158" s="29" t="s">
        <v>4671</v>
      </c>
      <c r="C158" s="29" t="s">
        <v>935</v>
      </c>
      <c r="D158" s="30" t="s">
        <v>4672</v>
      </c>
      <c r="E158" s="30" t="s">
        <v>20</v>
      </c>
      <c r="F158" s="30" t="s">
        <v>202</v>
      </c>
      <c r="G158" s="30"/>
      <c r="H158" s="20" t="s">
        <v>83</v>
      </c>
      <c r="I158" s="29" t="s">
        <v>3439</v>
      </c>
      <c r="J158" s="30"/>
      <c r="K158" s="30" t="s">
        <v>68</v>
      </c>
      <c r="L158" s="30" t="s">
        <v>4567</v>
      </c>
      <c r="M158" s="30" t="s">
        <v>106</v>
      </c>
      <c r="N158" s="20" t="s">
        <v>107</v>
      </c>
      <c r="O158" s="30"/>
      <c r="P158" s="30" t="s">
        <v>3679</v>
      </c>
      <c r="Q158" s="30" t="s">
        <v>485</v>
      </c>
      <c r="R158" s="30" t="s">
        <v>4582</v>
      </c>
      <c r="S158" s="30" t="s">
        <v>106</v>
      </c>
      <c r="T158" s="30" t="s">
        <v>107</v>
      </c>
      <c r="U158" s="20" t="s">
        <v>4535</v>
      </c>
      <c r="V158" s="20"/>
      <c r="W158" s="20"/>
      <c r="X158" s="20"/>
      <c r="Y158" s="29">
        <v>238</v>
      </c>
      <c r="Z158" s="29"/>
      <c r="AA158" s="29"/>
      <c r="AB158" s="29"/>
      <c r="AC158" s="29"/>
      <c r="AD158" s="29"/>
      <c r="AE158" s="29"/>
      <c r="AF158" s="29">
        <v>6</v>
      </c>
      <c r="AG158" s="29"/>
      <c r="AH158" s="20"/>
      <c r="AI158" s="30"/>
      <c r="AJ158" s="36"/>
      <c r="AK158" s="20"/>
      <c r="AL158" s="29" t="s">
        <v>160</v>
      </c>
      <c r="AM158" s="29"/>
      <c r="AN158" s="30" t="s">
        <v>4378</v>
      </c>
      <c r="AO158" s="30" t="s">
        <v>1247</v>
      </c>
      <c r="AP158" s="30" t="s">
        <v>4378</v>
      </c>
      <c r="AQ158" s="30" t="s">
        <v>235</v>
      </c>
      <c r="AR158" s="12">
        <f t="shared" si="5"/>
        <v>2</v>
      </c>
      <c r="AS158" s="12">
        <f t="shared" si="6"/>
        <v>2</v>
      </c>
      <c r="AT158" s="32" t="s">
        <v>4687</v>
      </c>
    </row>
    <row r="159" spans="1:46" s="19" customFormat="1" ht="20.100000000000001" hidden="1" customHeight="1" x14ac:dyDescent="0.2">
      <c r="A159" s="222">
        <v>150</v>
      </c>
      <c r="B159" s="16" t="s">
        <v>4673</v>
      </c>
      <c r="C159" s="16" t="s">
        <v>935</v>
      </c>
      <c r="D159" s="193" t="s">
        <v>1508</v>
      </c>
      <c r="E159" s="193" t="s">
        <v>10</v>
      </c>
      <c r="F159" s="193"/>
      <c r="G159" s="193"/>
      <c r="H159" s="192" t="s">
        <v>7</v>
      </c>
      <c r="I159" s="16" t="s">
        <v>92</v>
      </c>
      <c r="J159" s="35" t="s">
        <v>117</v>
      </c>
      <c r="K159" s="35" t="s">
        <v>334</v>
      </c>
      <c r="L159" s="193" t="s">
        <v>4901</v>
      </c>
      <c r="M159" s="193" t="s">
        <v>106</v>
      </c>
      <c r="N159" s="192" t="s">
        <v>107</v>
      </c>
      <c r="O159" s="35" t="s">
        <v>153</v>
      </c>
      <c r="P159" s="35" t="s">
        <v>1809</v>
      </c>
      <c r="Q159" s="35" t="s">
        <v>2348</v>
      </c>
      <c r="R159" s="193" t="s">
        <v>4902</v>
      </c>
      <c r="S159" s="193" t="s">
        <v>106</v>
      </c>
      <c r="T159" s="193" t="s">
        <v>107</v>
      </c>
      <c r="U159" s="192"/>
      <c r="V159" s="192"/>
      <c r="W159" s="192">
        <v>193</v>
      </c>
      <c r="X159" s="192">
        <v>186</v>
      </c>
      <c r="Y159" s="16">
        <v>186</v>
      </c>
      <c r="Z159" s="16">
        <v>166</v>
      </c>
      <c r="AA159" s="16">
        <v>182</v>
      </c>
      <c r="AB159" s="16">
        <v>3</v>
      </c>
      <c r="AC159" s="16">
        <v>5</v>
      </c>
      <c r="AD159" s="16">
        <v>190</v>
      </c>
      <c r="AE159" s="16">
        <v>6</v>
      </c>
      <c r="AF159" s="16">
        <v>4</v>
      </c>
      <c r="AG159" s="16"/>
      <c r="AH159" s="192"/>
      <c r="AI159" s="193"/>
      <c r="AJ159" s="25"/>
      <c r="AK159" s="192"/>
      <c r="AL159" s="16"/>
      <c r="AM159" s="16"/>
      <c r="AN159" s="193"/>
      <c r="AO159" s="193"/>
      <c r="AP159" s="193"/>
      <c r="AQ159" s="193"/>
      <c r="AR159" s="12" t="str">
        <f t="shared" si="5"/>
        <v/>
      </c>
      <c r="AS159" s="12" t="str">
        <f t="shared" si="6"/>
        <v/>
      </c>
      <c r="AT159" s="18"/>
    </row>
    <row r="160" spans="1:46" s="19" customFormat="1" ht="20.100000000000001" hidden="1" customHeight="1" x14ac:dyDescent="0.2">
      <c r="A160" s="222">
        <v>151</v>
      </c>
      <c r="B160" s="16" t="s">
        <v>4674</v>
      </c>
      <c r="C160" s="16" t="s">
        <v>935</v>
      </c>
      <c r="D160" s="193" t="s">
        <v>870</v>
      </c>
      <c r="E160" s="193" t="s">
        <v>10</v>
      </c>
      <c r="F160" s="193"/>
      <c r="G160" s="193"/>
      <c r="H160" s="192" t="s">
        <v>7</v>
      </c>
      <c r="I160" s="16" t="s">
        <v>92</v>
      </c>
      <c r="J160" s="193"/>
      <c r="K160" s="193" t="s">
        <v>141</v>
      </c>
      <c r="L160" s="193" t="s">
        <v>4684</v>
      </c>
      <c r="M160" s="226" t="s">
        <v>106</v>
      </c>
      <c r="N160" s="225" t="s">
        <v>107</v>
      </c>
      <c r="O160" s="193"/>
      <c r="P160" s="193" t="s">
        <v>2961</v>
      </c>
      <c r="Q160" s="193" t="s">
        <v>2348</v>
      </c>
      <c r="R160" s="193" t="s">
        <v>4685</v>
      </c>
      <c r="S160" s="193" t="s">
        <v>73</v>
      </c>
      <c r="T160" s="193" t="s">
        <v>70</v>
      </c>
      <c r="U160" s="192"/>
      <c r="V160" s="192"/>
      <c r="W160" s="192"/>
      <c r="X160" s="192"/>
      <c r="Y160" s="16"/>
      <c r="Z160" s="16">
        <v>152</v>
      </c>
      <c r="AA160" s="16">
        <v>170</v>
      </c>
      <c r="AB160" s="16"/>
      <c r="AC160" s="16">
        <v>30</v>
      </c>
      <c r="AD160" s="16">
        <v>202</v>
      </c>
      <c r="AE160" s="16">
        <v>8</v>
      </c>
      <c r="AF160" s="16">
        <v>6</v>
      </c>
      <c r="AG160" s="16"/>
      <c r="AH160" s="192"/>
      <c r="AI160" s="193" t="s">
        <v>4673</v>
      </c>
      <c r="AJ160" s="25">
        <v>210</v>
      </c>
      <c r="AK160" s="192">
        <v>7.5</v>
      </c>
      <c r="AL160" s="16" t="s">
        <v>111</v>
      </c>
      <c r="AM160" s="16" t="s">
        <v>231</v>
      </c>
      <c r="AN160" s="193"/>
      <c r="AO160" s="193"/>
      <c r="AP160" s="193"/>
      <c r="AQ160" s="193"/>
      <c r="AR160" s="12" t="str">
        <f t="shared" si="5"/>
        <v/>
      </c>
      <c r="AS160" s="12" t="str">
        <f t="shared" si="6"/>
        <v/>
      </c>
      <c r="AT160" s="18"/>
    </row>
    <row r="161" spans="1:46" s="19" customFormat="1" ht="31.5" hidden="1" x14ac:dyDescent="0.2">
      <c r="A161" s="222">
        <v>152</v>
      </c>
      <c r="B161" s="16" t="s">
        <v>4675</v>
      </c>
      <c r="C161" s="16" t="s">
        <v>935</v>
      </c>
      <c r="D161" s="193" t="s">
        <v>180</v>
      </c>
      <c r="E161" s="193" t="s">
        <v>19</v>
      </c>
      <c r="F161" s="193" t="s">
        <v>4038</v>
      </c>
      <c r="G161" s="193"/>
      <c r="H161" s="192" t="s">
        <v>83</v>
      </c>
      <c r="I161" s="16" t="s">
        <v>92</v>
      </c>
      <c r="J161" s="193"/>
      <c r="K161" s="227" t="s">
        <v>155</v>
      </c>
      <c r="L161" s="227" t="s">
        <v>194</v>
      </c>
      <c r="M161" s="227" t="s">
        <v>106</v>
      </c>
      <c r="N161" s="228" t="s">
        <v>107</v>
      </c>
      <c r="O161" s="193"/>
      <c r="P161" s="227" t="s">
        <v>3677</v>
      </c>
      <c r="Q161" s="227" t="s">
        <v>718</v>
      </c>
      <c r="R161" s="227" t="s">
        <v>254</v>
      </c>
      <c r="S161" s="227" t="s">
        <v>106</v>
      </c>
      <c r="T161" s="227" t="s">
        <v>107</v>
      </c>
      <c r="U161" s="192" t="s">
        <v>237</v>
      </c>
      <c r="V161" s="192"/>
      <c r="W161" s="192"/>
      <c r="X161" s="192"/>
      <c r="Y161" s="16">
        <v>216</v>
      </c>
      <c r="Z161" s="16"/>
      <c r="AA161" s="16"/>
      <c r="AB161" s="16"/>
      <c r="AC161" s="16"/>
      <c r="AD161" s="16"/>
      <c r="AE161" s="16"/>
      <c r="AF161" s="16">
        <v>6</v>
      </c>
      <c r="AG161" s="16"/>
      <c r="AH161" s="192"/>
      <c r="AI161" s="193"/>
      <c r="AJ161" s="25"/>
      <c r="AK161" s="192"/>
      <c r="AL161" s="16" t="s">
        <v>160</v>
      </c>
      <c r="AM161" s="16" t="s">
        <v>165</v>
      </c>
      <c r="AN161" s="193" t="s">
        <v>4378</v>
      </c>
      <c r="AO161" s="193" t="s">
        <v>1247</v>
      </c>
      <c r="AP161" s="193" t="s">
        <v>113</v>
      </c>
      <c r="AQ161" s="193" t="s">
        <v>114</v>
      </c>
      <c r="AR161" s="12">
        <f t="shared" si="5"/>
        <v>16</v>
      </c>
      <c r="AS161" s="12" t="str">
        <f t="shared" si="6"/>
        <v/>
      </c>
      <c r="AT161" s="18" t="s">
        <v>4688</v>
      </c>
    </row>
    <row r="162" spans="1:46" s="19" customFormat="1" ht="20.100000000000001" hidden="1" customHeight="1" x14ac:dyDescent="0.2">
      <c r="A162" s="222">
        <v>153</v>
      </c>
      <c r="B162" s="16" t="s">
        <v>4676</v>
      </c>
      <c r="C162" s="16" t="s">
        <v>935</v>
      </c>
      <c r="D162" s="193" t="s">
        <v>4608</v>
      </c>
      <c r="E162" s="193" t="s">
        <v>20</v>
      </c>
      <c r="F162" s="193"/>
      <c r="G162" s="193"/>
      <c r="H162" s="192" t="s">
        <v>7</v>
      </c>
      <c r="I162" s="16" t="s">
        <v>3439</v>
      </c>
      <c r="J162" s="35" t="s">
        <v>223</v>
      </c>
      <c r="K162" s="35" t="s">
        <v>769</v>
      </c>
      <c r="L162" s="193" t="s">
        <v>4681</v>
      </c>
      <c r="M162" s="193" t="s">
        <v>369</v>
      </c>
      <c r="N162" s="192" t="s">
        <v>369</v>
      </c>
      <c r="O162" s="35" t="s">
        <v>224</v>
      </c>
      <c r="P162" s="35" t="s">
        <v>2325</v>
      </c>
      <c r="Q162" s="35" t="s">
        <v>260</v>
      </c>
      <c r="R162" s="193" t="s">
        <v>4682</v>
      </c>
      <c r="S162" s="193" t="s">
        <v>369</v>
      </c>
      <c r="T162" s="193" t="s">
        <v>369</v>
      </c>
      <c r="U162" s="192"/>
      <c r="V162" s="192"/>
      <c r="W162" s="192">
        <v>162</v>
      </c>
      <c r="X162" s="192">
        <v>138</v>
      </c>
      <c r="Y162" s="16">
        <v>138</v>
      </c>
      <c r="Z162" s="16">
        <v>90</v>
      </c>
      <c r="AA162" s="16">
        <v>135</v>
      </c>
      <c r="AB162" s="16">
        <v>3</v>
      </c>
      <c r="AC162" s="16">
        <v>25</v>
      </c>
      <c r="AD162" s="16">
        <v>163</v>
      </c>
      <c r="AE162" s="16">
        <v>4</v>
      </c>
      <c r="AF162" s="16">
        <v>3</v>
      </c>
      <c r="AG162" s="16"/>
      <c r="AH162" s="192"/>
      <c r="AI162" s="193" t="s">
        <v>4675</v>
      </c>
      <c r="AJ162" s="25">
        <v>163</v>
      </c>
      <c r="AK162" s="192">
        <v>4.5</v>
      </c>
      <c r="AL162" s="16" t="s">
        <v>111</v>
      </c>
      <c r="AM162" s="16" t="s">
        <v>231</v>
      </c>
      <c r="AN162" s="193"/>
      <c r="AO162" s="193"/>
      <c r="AP162" s="193"/>
      <c r="AQ162" s="193"/>
      <c r="AR162" s="12" t="str">
        <f t="shared" si="5"/>
        <v/>
      </c>
      <c r="AS162" s="12" t="str">
        <f t="shared" si="6"/>
        <v/>
      </c>
      <c r="AT162" s="18" t="s">
        <v>4683</v>
      </c>
    </row>
    <row r="163" spans="1:46" s="19" customFormat="1" ht="20.100000000000001" hidden="1" customHeight="1" x14ac:dyDescent="0.2">
      <c r="A163" s="222">
        <v>154</v>
      </c>
      <c r="B163" s="16" t="s">
        <v>4677</v>
      </c>
      <c r="C163" s="16" t="s">
        <v>935</v>
      </c>
      <c r="D163" s="193" t="s">
        <v>180</v>
      </c>
      <c r="E163" s="193" t="s">
        <v>19</v>
      </c>
      <c r="F163" s="193"/>
      <c r="G163" s="193"/>
      <c r="H163" s="192" t="s">
        <v>7</v>
      </c>
      <c r="I163" s="16" t="s">
        <v>3439</v>
      </c>
      <c r="J163" s="35" t="s">
        <v>155</v>
      </c>
      <c r="K163" s="35" t="s">
        <v>68</v>
      </c>
      <c r="L163" s="193" t="s">
        <v>4678</v>
      </c>
      <c r="M163" s="226" t="s">
        <v>106</v>
      </c>
      <c r="N163" s="225" t="s">
        <v>107</v>
      </c>
      <c r="O163" s="35" t="s">
        <v>156</v>
      </c>
      <c r="P163" s="35" t="s">
        <v>2245</v>
      </c>
      <c r="Q163" s="35" t="s">
        <v>144</v>
      </c>
      <c r="R163" s="193" t="s">
        <v>4679</v>
      </c>
      <c r="S163" s="226" t="s">
        <v>106</v>
      </c>
      <c r="T163" s="225" t="s">
        <v>107</v>
      </c>
      <c r="U163" s="192"/>
      <c r="V163" s="192"/>
      <c r="W163" s="192">
        <v>223</v>
      </c>
      <c r="X163" s="192">
        <v>216</v>
      </c>
      <c r="Y163" s="16">
        <v>216</v>
      </c>
      <c r="Z163" s="16">
        <v>90</v>
      </c>
      <c r="AA163" s="16">
        <v>176</v>
      </c>
      <c r="AB163" s="16">
        <v>2</v>
      </c>
      <c r="AC163" s="16">
        <v>62</v>
      </c>
      <c r="AD163" s="16">
        <v>240</v>
      </c>
      <c r="AE163" s="16">
        <v>15</v>
      </c>
      <c r="AF163" s="16">
        <v>6</v>
      </c>
      <c r="AG163" s="16"/>
      <c r="AH163" s="192"/>
      <c r="AI163" s="193" t="s">
        <v>4676</v>
      </c>
      <c r="AJ163" s="25">
        <v>240</v>
      </c>
      <c r="AK163" s="192">
        <v>14</v>
      </c>
      <c r="AL163" s="16" t="s">
        <v>160</v>
      </c>
      <c r="AM163" s="16" t="s">
        <v>193</v>
      </c>
      <c r="AN163" s="193"/>
      <c r="AO163" s="193"/>
      <c r="AP163" s="193"/>
      <c r="AQ163" s="193"/>
      <c r="AR163" s="12" t="str">
        <f t="shared" si="5"/>
        <v/>
      </c>
      <c r="AS163" s="12" t="str">
        <f t="shared" si="6"/>
        <v/>
      </c>
      <c r="AT163" s="18" t="s">
        <v>4680</v>
      </c>
    </row>
    <row r="164" spans="1:46" s="19" customFormat="1" ht="20.100000000000001" hidden="1" customHeight="1" x14ac:dyDescent="0.2">
      <c r="A164" s="222">
        <v>155</v>
      </c>
      <c r="B164" s="16" t="s">
        <v>4689</v>
      </c>
      <c r="C164" s="16" t="s">
        <v>935</v>
      </c>
      <c r="D164" s="193" t="s">
        <v>4690</v>
      </c>
      <c r="E164" s="193" t="s">
        <v>9</v>
      </c>
      <c r="F164" s="193" t="s">
        <v>192</v>
      </c>
      <c r="G164" s="193"/>
      <c r="H164" s="192" t="s">
        <v>7</v>
      </c>
      <c r="I164" s="16" t="s">
        <v>92</v>
      </c>
      <c r="J164" s="193"/>
      <c r="K164" s="193" t="s">
        <v>140</v>
      </c>
      <c r="L164" s="193" t="s">
        <v>4691</v>
      </c>
      <c r="M164" s="193" t="s">
        <v>369</v>
      </c>
      <c r="N164" s="192" t="s">
        <v>369</v>
      </c>
      <c r="O164" s="193"/>
      <c r="P164" s="193" t="s">
        <v>2245</v>
      </c>
      <c r="Q164" s="193" t="s">
        <v>260</v>
      </c>
      <c r="R164" s="193" t="s">
        <v>4692</v>
      </c>
      <c r="S164" s="193" t="s">
        <v>106</v>
      </c>
      <c r="T164" s="193" t="s">
        <v>107</v>
      </c>
      <c r="U164" s="192"/>
      <c r="V164" s="192"/>
      <c r="W164" s="192">
        <v>250</v>
      </c>
      <c r="X164" s="192">
        <v>0</v>
      </c>
      <c r="Y164" s="16">
        <v>210</v>
      </c>
      <c r="Z164" s="16">
        <v>139</v>
      </c>
      <c r="AA164" s="16">
        <v>150</v>
      </c>
      <c r="AB164" s="16">
        <v>2</v>
      </c>
      <c r="AC164" s="16">
        <v>40</v>
      </c>
      <c r="AD164" s="16">
        <v>192</v>
      </c>
      <c r="AE164" s="16">
        <v>12</v>
      </c>
      <c r="AF164" s="16">
        <v>6</v>
      </c>
      <c r="AG164" s="16"/>
      <c r="AH164" s="192"/>
      <c r="AI164" s="193" t="s">
        <v>4673</v>
      </c>
      <c r="AJ164" s="25">
        <v>192</v>
      </c>
      <c r="AK164" s="192">
        <v>12.3</v>
      </c>
      <c r="AL164" s="16" t="s">
        <v>160</v>
      </c>
      <c r="AM164" s="16" t="s">
        <v>161</v>
      </c>
      <c r="AN164" s="193"/>
      <c r="AO164" s="193"/>
      <c r="AP164" s="193"/>
      <c r="AQ164" s="193"/>
      <c r="AR164" s="12" t="str">
        <f t="shared" si="5"/>
        <v/>
      </c>
      <c r="AS164" s="12" t="str">
        <f t="shared" si="6"/>
        <v/>
      </c>
      <c r="AT164" s="18"/>
    </row>
    <row r="165" spans="1:46" s="21" customFormat="1" ht="31.5" hidden="1" x14ac:dyDescent="0.2">
      <c r="A165" s="20">
        <v>156</v>
      </c>
      <c r="B165" s="29" t="s">
        <v>4695</v>
      </c>
      <c r="C165" s="29" t="s">
        <v>935</v>
      </c>
      <c r="D165" s="30" t="s">
        <v>4608</v>
      </c>
      <c r="E165" s="30" t="s">
        <v>20</v>
      </c>
      <c r="F165" s="30" t="s">
        <v>4038</v>
      </c>
      <c r="G165" s="30"/>
      <c r="H165" s="20" t="s">
        <v>83</v>
      </c>
      <c r="I165" s="29" t="s">
        <v>3439</v>
      </c>
      <c r="J165" s="30"/>
      <c r="K165" s="30" t="s">
        <v>769</v>
      </c>
      <c r="L165" s="30" t="s">
        <v>4681</v>
      </c>
      <c r="M165" s="30" t="s">
        <v>369</v>
      </c>
      <c r="N165" s="20" t="s">
        <v>369</v>
      </c>
      <c r="O165" s="30"/>
      <c r="P165" s="30" t="s">
        <v>2325</v>
      </c>
      <c r="Q165" s="30" t="s">
        <v>260</v>
      </c>
      <c r="R165" s="30" t="s">
        <v>4682</v>
      </c>
      <c r="S165" s="30" t="s">
        <v>369</v>
      </c>
      <c r="T165" s="30" t="s">
        <v>369</v>
      </c>
      <c r="U165" s="20" t="s">
        <v>4676</v>
      </c>
      <c r="V165" s="20"/>
      <c r="W165" s="20"/>
      <c r="X165" s="20"/>
      <c r="Y165" s="29">
        <v>138</v>
      </c>
      <c r="Z165" s="29"/>
      <c r="AA165" s="29"/>
      <c r="AB165" s="29"/>
      <c r="AC165" s="29"/>
      <c r="AD165" s="29"/>
      <c r="AE165" s="29"/>
      <c r="AF165" s="29">
        <v>3</v>
      </c>
      <c r="AG165" s="29"/>
      <c r="AH165" s="20"/>
      <c r="AI165" s="30"/>
      <c r="AJ165" s="36"/>
      <c r="AK165" s="20"/>
      <c r="AL165" s="29" t="s">
        <v>111</v>
      </c>
      <c r="AM165" s="29" t="s">
        <v>231</v>
      </c>
      <c r="AN165" s="30" t="s">
        <v>4378</v>
      </c>
      <c r="AO165" s="30" t="s">
        <v>1247</v>
      </c>
      <c r="AP165" s="30" t="s">
        <v>4378</v>
      </c>
      <c r="AQ165" s="30" t="s">
        <v>1247</v>
      </c>
      <c r="AR165" s="12">
        <f t="shared" si="5"/>
        <v>0</v>
      </c>
      <c r="AS165" s="12">
        <f t="shared" si="6"/>
        <v>0</v>
      </c>
      <c r="AT165" s="32" t="s">
        <v>4698</v>
      </c>
    </row>
    <row r="166" spans="1:46" s="19" customFormat="1" ht="20.100000000000001" hidden="1" customHeight="1" x14ac:dyDescent="0.2">
      <c r="A166" s="222">
        <v>157</v>
      </c>
      <c r="B166" s="16" t="s">
        <v>4695</v>
      </c>
      <c r="C166" s="16" t="s">
        <v>935</v>
      </c>
      <c r="D166" s="193" t="s">
        <v>1984</v>
      </c>
      <c r="E166" s="193" t="s">
        <v>6</v>
      </c>
      <c r="F166" s="193" t="s">
        <v>4038</v>
      </c>
      <c r="G166" s="193"/>
      <c r="H166" s="192" t="s">
        <v>83</v>
      </c>
      <c r="I166" s="16" t="s">
        <v>3439</v>
      </c>
      <c r="J166" s="193"/>
      <c r="K166" s="230" t="s">
        <v>104</v>
      </c>
      <c r="L166" s="41" t="s">
        <v>1979</v>
      </c>
      <c r="M166" s="41" t="s">
        <v>369</v>
      </c>
      <c r="N166" s="13" t="s">
        <v>369</v>
      </c>
      <c r="O166" s="193"/>
      <c r="P166" s="193" t="s">
        <v>2245</v>
      </c>
      <c r="Q166" s="193" t="s">
        <v>2348</v>
      </c>
      <c r="R166" s="41" t="s">
        <v>2009</v>
      </c>
      <c r="S166" s="41" t="s">
        <v>106</v>
      </c>
      <c r="T166" s="41" t="s">
        <v>107</v>
      </c>
      <c r="U166" s="192" t="s">
        <v>4379</v>
      </c>
      <c r="V166" s="192"/>
      <c r="W166" s="192"/>
      <c r="X166" s="192"/>
      <c r="Y166" s="16">
        <v>180</v>
      </c>
      <c r="Z166" s="16"/>
      <c r="AA166" s="16"/>
      <c r="AB166" s="16"/>
      <c r="AC166" s="16"/>
      <c r="AD166" s="16"/>
      <c r="AE166" s="16"/>
      <c r="AF166" s="16">
        <v>6</v>
      </c>
      <c r="AG166" s="16"/>
      <c r="AH166" s="192"/>
      <c r="AI166" s="193"/>
      <c r="AJ166" s="25"/>
      <c r="AK166" s="192"/>
      <c r="AL166" s="16" t="s">
        <v>160</v>
      </c>
      <c r="AM166" s="16" t="s">
        <v>161</v>
      </c>
      <c r="AN166" s="193" t="s">
        <v>4378</v>
      </c>
      <c r="AO166" s="193" t="s">
        <v>1247</v>
      </c>
      <c r="AP166" s="193" t="s">
        <v>115</v>
      </c>
      <c r="AQ166" s="193" t="s">
        <v>260</v>
      </c>
      <c r="AR166" s="12">
        <f t="shared" si="5"/>
        <v>17</v>
      </c>
      <c r="AS166" s="12" t="str">
        <f t="shared" si="6"/>
        <v/>
      </c>
      <c r="AT166" s="18"/>
    </row>
    <row r="167" spans="1:46" s="19" customFormat="1" ht="47.25" hidden="1" x14ac:dyDescent="0.2">
      <c r="A167" s="222">
        <v>158</v>
      </c>
      <c r="B167" s="16" t="s">
        <v>4696</v>
      </c>
      <c r="C167" s="16" t="s">
        <v>935</v>
      </c>
      <c r="D167" s="229" t="s">
        <v>1984</v>
      </c>
      <c r="E167" s="193" t="s">
        <v>6</v>
      </c>
      <c r="F167" s="193"/>
      <c r="G167" s="193"/>
      <c r="H167" s="192" t="s">
        <v>7</v>
      </c>
      <c r="I167" s="16" t="s">
        <v>3439</v>
      </c>
      <c r="J167" s="193" t="s">
        <v>104</v>
      </c>
      <c r="K167" s="193" t="s">
        <v>68</v>
      </c>
      <c r="L167" s="193" t="s">
        <v>4700</v>
      </c>
      <c r="M167" s="193" t="s">
        <v>69</v>
      </c>
      <c r="N167" s="192" t="s">
        <v>70</v>
      </c>
      <c r="O167" s="193" t="s">
        <v>305</v>
      </c>
      <c r="P167" s="193" t="s">
        <v>2245</v>
      </c>
      <c r="Q167" s="193" t="s">
        <v>769</v>
      </c>
      <c r="R167" s="193" t="s">
        <v>4701</v>
      </c>
      <c r="S167" s="193" t="s">
        <v>69</v>
      </c>
      <c r="T167" s="193" t="s">
        <v>70</v>
      </c>
      <c r="U167" s="192"/>
      <c r="V167" s="192"/>
      <c r="W167" s="192">
        <v>200</v>
      </c>
      <c r="X167" s="192">
        <v>180</v>
      </c>
      <c r="Y167" s="16">
        <v>180</v>
      </c>
      <c r="Z167" s="16">
        <v>139</v>
      </c>
      <c r="AA167" s="16"/>
      <c r="AB167" s="16"/>
      <c r="AC167" s="16">
        <v>60</v>
      </c>
      <c r="AD167" s="16">
        <v>277</v>
      </c>
      <c r="AE167" s="16">
        <v>11</v>
      </c>
      <c r="AF167" s="16">
        <v>6</v>
      </c>
      <c r="AG167" s="16"/>
      <c r="AH167" s="192"/>
      <c r="AI167" s="193" t="s">
        <v>4695</v>
      </c>
      <c r="AJ167" s="25">
        <v>277</v>
      </c>
      <c r="AK167" s="192">
        <v>12.2</v>
      </c>
      <c r="AL167" s="16" t="s">
        <v>160</v>
      </c>
      <c r="AM167" s="16" t="s">
        <v>193</v>
      </c>
      <c r="AN167" s="193"/>
      <c r="AO167" s="193"/>
      <c r="AP167" s="193"/>
      <c r="AQ167" s="193"/>
      <c r="AR167" s="12" t="str">
        <f t="shared" si="5"/>
        <v/>
      </c>
      <c r="AS167" s="12" t="str">
        <f t="shared" si="6"/>
        <v/>
      </c>
      <c r="AT167" s="18" t="s">
        <v>4699</v>
      </c>
    </row>
    <row r="168" spans="1:46" s="19" customFormat="1" ht="20.100000000000001" hidden="1" customHeight="1" x14ac:dyDescent="0.2">
      <c r="A168" s="222">
        <v>159</v>
      </c>
      <c r="B168" s="16" t="s">
        <v>4696</v>
      </c>
      <c r="C168" s="16" t="s">
        <v>935</v>
      </c>
      <c r="D168" s="193" t="s">
        <v>2794</v>
      </c>
      <c r="E168" s="193" t="s">
        <v>243</v>
      </c>
      <c r="F168" s="193"/>
      <c r="G168" s="193"/>
      <c r="H168" s="192" t="s">
        <v>7</v>
      </c>
      <c r="I168" s="16" t="s">
        <v>3439</v>
      </c>
      <c r="J168" s="35" t="s">
        <v>140</v>
      </c>
      <c r="K168" s="35" t="s">
        <v>223</v>
      </c>
      <c r="L168" s="193" t="s">
        <v>5300</v>
      </c>
      <c r="M168" s="193" t="s">
        <v>142</v>
      </c>
      <c r="N168" s="192" t="s">
        <v>70</v>
      </c>
      <c r="O168" s="35" t="s">
        <v>2539</v>
      </c>
      <c r="P168" s="35" t="s">
        <v>1809</v>
      </c>
      <c r="Q168" s="35" t="s">
        <v>116</v>
      </c>
      <c r="R168" s="193" t="s">
        <v>4646</v>
      </c>
      <c r="S168" s="193" t="s">
        <v>106</v>
      </c>
      <c r="T168" s="193" t="s">
        <v>107</v>
      </c>
      <c r="U168" s="192"/>
      <c r="V168" s="192"/>
      <c r="W168" s="192"/>
      <c r="X168" s="192"/>
      <c r="Y168" s="16"/>
      <c r="Z168" s="16"/>
      <c r="AA168" s="16"/>
      <c r="AB168" s="16"/>
      <c r="AC168" s="16"/>
      <c r="AD168" s="16"/>
      <c r="AE168" s="16"/>
      <c r="AF168" s="16"/>
      <c r="AG168" s="16"/>
      <c r="AH168" s="192"/>
      <c r="AI168" s="193"/>
      <c r="AJ168" s="25"/>
      <c r="AK168" s="192"/>
      <c r="AL168" s="16"/>
      <c r="AM168" s="16"/>
      <c r="AN168" s="193"/>
      <c r="AO168" s="193"/>
      <c r="AP168" s="193"/>
      <c r="AQ168" s="193"/>
      <c r="AR168" s="12" t="str">
        <f t="shared" si="5"/>
        <v/>
      </c>
      <c r="AS168" s="12" t="str">
        <f t="shared" si="6"/>
        <v/>
      </c>
      <c r="AT168" s="18"/>
    </row>
    <row r="169" spans="1:46" s="19" customFormat="1" ht="20.100000000000001" hidden="1" customHeight="1" x14ac:dyDescent="0.2">
      <c r="A169" s="222">
        <v>160</v>
      </c>
      <c r="B169" s="16" t="s">
        <v>4697</v>
      </c>
      <c r="C169" s="16" t="s">
        <v>935</v>
      </c>
      <c r="D169" s="193" t="s">
        <v>3269</v>
      </c>
      <c r="E169" s="193" t="s">
        <v>20</v>
      </c>
      <c r="F169" s="193" t="s">
        <v>1642</v>
      </c>
      <c r="G169" s="193"/>
      <c r="H169" s="192" t="s">
        <v>83</v>
      </c>
      <c r="I169" s="16" t="s">
        <v>3439</v>
      </c>
      <c r="J169" s="193"/>
      <c r="K169" s="231" t="s">
        <v>68</v>
      </c>
      <c r="L169" s="231" t="s">
        <v>301</v>
      </c>
      <c r="M169" s="231" t="s">
        <v>106</v>
      </c>
      <c r="N169" s="232" t="s">
        <v>107</v>
      </c>
      <c r="O169" s="193"/>
      <c r="P169" s="231" t="s">
        <v>2961</v>
      </c>
      <c r="Q169" s="231" t="s">
        <v>493</v>
      </c>
      <c r="R169" s="231" t="s">
        <v>3301</v>
      </c>
      <c r="S169" s="231" t="s">
        <v>106</v>
      </c>
      <c r="T169" s="231" t="s">
        <v>107</v>
      </c>
      <c r="U169" s="16" t="s">
        <v>3291</v>
      </c>
      <c r="V169" s="192"/>
      <c r="W169" s="192"/>
      <c r="X169" s="192"/>
      <c r="Y169" s="16">
        <v>222</v>
      </c>
      <c r="Z169" s="16"/>
      <c r="AA169" s="16"/>
      <c r="AB169" s="16"/>
      <c r="AC169" s="16"/>
      <c r="AD169" s="16"/>
      <c r="AE169" s="16"/>
      <c r="AF169" s="16">
        <v>6</v>
      </c>
      <c r="AG169" s="16"/>
      <c r="AH169" s="192"/>
      <c r="AI169" s="193"/>
      <c r="AJ169" s="25"/>
      <c r="AK169" s="192"/>
      <c r="AL169" s="16" t="s">
        <v>160</v>
      </c>
      <c r="AM169" s="16" t="s">
        <v>193</v>
      </c>
      <c r="AN169" s="193" t="s">
        <v>4378</v>
      </c>
      <c r="AO169" s="193" t="s">
        <v>1247</v>
      </c>
      <c r="AP169" s="193" t="s">
        <v>113</v>
      </c>
      <c r="AQ169" s="193" t="s">
        <v>296</v>
      </c>
      <c r="AR169" s="12">
        <f t="shared" si="5"/>
        <v>15</v>
      </c>
      <c r="AS169" s="12" t="str">
        <f t="shared" si="6"/>
        <v/>
      </c>
      <c r="AT169" s="18" t="s">
        <v>4702</v>
      </c>
    </row>
    <row r="170" spans="1:46" s="21" customFormat="1" ht="20.100000000000001" hidden="1" customHeight="1" x14ac:dyDescent="0.2">
      <c r="A170" s="20">
        <v>161</v>
      </c>
      <c r="B170" s="29" t="s">
        <v>4697</v>
      </c>
      <c r="C170" s="29" t="s">
        <v>935</v>
      </c>
      <c r="D170" s="30" t="s">
        <v>3611</v>
      </c>
      <c r="E170" s="30" t="s">
        <v>10</v>
      </c>
      <c r="F170" s="30" t="s">
        <v>4038</v>
      </c>
      <c r="G170" s="30"/>
      <c r="H170" s="20" t="s">
        <v>83</v>
      </c>
      <c r="I170" s="29" t="s">
        <v>92</v>
      </c>
      <c r="J170" s="30"/>
      <c r="K170" s="30" t="s">
        <v>155</v>
      </c>
      <c r="L170" s="30" t="s">
        <v>3624</v>
      </c>
      <c r="M170" s="30" t="s">
        <v>69</v>
      </c>
      <c r="N170" s="20" t="s">
        <v>70</v>
      </c>
      <c r="O170" s="30"/>
      <c r="P170" s="30" t="s">
        <v>3677</v>
      </c>
      <c r="Q170" s="30" t="s">
        <v>718</v>
      </c>
      <c r="R170" s="30" t="s">
        <v>3625</v>
      </c>
      <c r="S170" s="30" t="s">
        <v>106</v>
      </c>
      <c r="T170" s="30" t="s">
        <v>107</v>
      </c>
      <c r="U170" s="20" t="s">
        <v>3605</v>
      </c>
      <c r="V170" s="20"/>
      <c r="W170" s="20"/>
      <c r="X170" s="20"/>
      <c r="Y170" s="29">
        <v>234</v>
      </c>
      <c r="Z170" s="29"/>
      <c r="AA170" s="29"/>
      <c r="AB170" s="29"/>
      <c r="AC170" s="29"/>
      <c r="AD170" s="29"/>
      <c r="AE170" s="29"/>
      <c r="AF170" s="29">
        <v>6</v>
      </c>
      <c r="AG170" s="29"/>
      <c r="AH170" s="20"/>
      <c r="AI170" s="30"/>
      <c r="AJ170" s="36"/>
      <c r="AK170" s="20"/>
      <c r="AL170" s="29" t="s">
        <v>160</v>
      </c>
      <c r="AM170" s="29" t="s">
        <v>165</v>
      </c>
      <c r="AN170" s="30" t="s">
        <v>4378</v>
      </c>
      <c r="AO170" s="30" t="s">
        <v>1247</v>
      </c>
      <c r="AP170" s="30" t="s">
        <v>113</v>
      </c>
      <c r="AQ170" s="30" t="s">
        <v>1247</v>
      </c>
      <c r="AR170" s="12">
        <f t="shared" si="5"/>
        <v>12</v>
      </c>
      <c r="AS170" s="12">
        <f t="shared" si="6"/>
        <v>12</v>
      </c>
      <c r="AT170" s="32"/>
    </row>
    <row r="171" spans="1:46" s="19" customFormat="1" ht="20.100000000000001" hidden="1" customHeight="1" x14ac:dyDescent="0.2">
      <c r="A171" s="222">
        <v>162</v>
      </c>
      <c r="B171" s="16" t="s">
        <v>4703</v>
      </c>
      <c r="C171" s="16" t="s">
        <v>1056</v>
      </c>
      <c r="D171" s="193" t="s">
        <v>1913</v>
      </c>
      <c r="E171" s="193" t="s">
        <v>20</v>
      </c>
      <c r="F171" s="193" t="s">
        <v>4038</v>
      </c>
      <c r="G171" s="193"/>
      <c r="H171" s="192" t="s">
        <v>83</v>
      </c>
      <c r="I171" s="16" t="s">
        <v>92</v>
      </c>
      <c r="J171" s="193"/>
      <c r="K171" s="41" t="s">
        <v>104</v>
      </c>
      <c r="L171" s="41" t="s">
        <v>1914</v>
      </c>
      <c r="M171" s="41" t="s">
        <v>69</v>
      </c>
      <c r="N171" s="13" t="s">
        <v>70</v>
      </c>
      <c r="O171" s="193"/>
      <c r="P171" s="193" t="s">
        <v>2245</v>
      </c>
      <c r="Q171" s="193" t="s">
        <v>2258</v>
      </c>
      <c r="R171" s="41" t="s">
        <v>1915</v>
      </c>
      <c r="S171" s="41" t="s">
        <v>69</v>
      </c>
      <c r="T171" s="41" t="s">
        <v>70</v>
      </c>
      <c r="U171" s="40" t="s">
        <v>2094</v>
      </c>
      <c r="V171" s="192"/>
      <c r="W171" s="192"/>
      <c r="X171" s="192"/>
      <c r="Y171" s="16">
        <v>153</v>
      </c>
      <c r="Z171" s="16"/>
      <c r="AA171" s="16"/>
      <c r="AB171" s="16"/>
      <c r="AC171" s="16"/>
      <c r="AD171" s="16"/>
      <c r="AE171" s="16"/>
      <c r="AF171" s="16">
        <v>6</v>
      </c>
      <c r="AG171" s="16"/>
      <c r="AH171" s="192"/>
      <c r="AI171" s="193"/>
      <c r="AJ171" s="25"/>
      <c r="AK171" s="192"/>
      <c r="AL171" s="16" t="s">
        <v>160</v>
      </c>
      <c r="AM171" s="16"/>
      <c r="AN171" s="193" t="s">
        <v>4378</v>
      </c>
      <c r="AO171" s="193" t="s">
        <v>137</v>
      </c>
      <c r="AP171" s="193" t="s">
        <v>115</v>
      </c>
      <c r="AQ171" s="193" t="s">
        <v>260</v>
      </c>
      <c r="AR171" s="12">
        <f t="shared" si="5"/>
        <v>18</v>
      </c>
      <c r="AS171" s="12" t="str">
        <f t="shared" si="6"/>
        <v/>
      </c>
      <c r="AT171" s="18"/>
    </row>
    <row r="172" spans="1:46" s="19" customFormat="1" ht="20.100000000000001" hidden="1" customHeight="1" x14ac:dyDescent="0.2">
      <c r="A172" s="222">
        <v>163</v>
      </c>
      <c r="B172" s="16" t="s">
        <v>4703</v>
      </c>
      <c r="C172" s="16" t="s">
        <v>1056</v>
      </c>
      <c r="D172" s="193" t="s">
        <v>3650</v>
      </c>
      <c r="E172" s="193" t="s">
        <v>6</v>
      </c>
      <c r="F172" s="193"/>
      <c r="G172" s="193"/>
      <c r="H172" s="192" t="s">
        <v>7</v>
      </c>
      <c r="I172" s="16" t="s">
        <v>84</v>
      </c>
      <c r="J172" s="35" t="s">
        <v>155</v>
      </c>
      <c r="K172" s="35" t="s">
        <v>140</v>
      </c>
      <c r="L172" s="193" t="s">
        <v>4745</v>
      </c>
      <c r="M172" s="193" t="s">
        <v>106</v>
      </c>
      <c r="N172" s="192" t="s">
        <v>107</v>
      </c>
      <c r="O172" s="35" t="s">
        <v>324</v>
      </c>
      <c r="P172" s="35" t="s">
        <v>2961</v>
      </c>
      <c r="Q172" s="35" t="s">
        <v>769</v>
      </c>
      <c r="R172" s="193" t="s">
        <v>4746</v>
      </c>
      <c r="S172" s="193" t="s">
        <v>106</v>
      </c>
      <c r="T172" s="193" t="s">
        <v>107</v>
      </c>
      <c r="U172" s="192"/>
      <c r="V172" s="192"/>
      <c r="W172" s="192">
        <v>220</v>
      </c>
      <c r="X172" s="192">
        <v>198</v>
      </c>
      <c r="Y172" s="16">
        <v>198</v>
      </c>
      <c r="Z172" s="16">
        <v>124</v>
      </c>
      <c r="AA172" s="16">
        <v>136</v>
      </c>
      <c r="AB172" s="16">
        <v>2</v>
      </c>
      <c r="AC172" s="16">
        <v>25</v>
      </c>
      <c r="AD172" s="16">
        <v>163</v>
      </c>
      <c r="AE172" s="16">
        <v>11</v>
      </c>
      <c r="AF172" s="16">
        <v>6</v>
      </c>
      <c r="AG172" s="16"/>
      <c r="AH172" s="192"/>
      <c r="AI172" s="193" t="s">
        <v>4744</v>
      </c>
      <c r="AJ172" s="25">
        <v>165</v>
      </c>
      <c r="AK172" s="192">
        <v>12.1</v>
      </c>
      <c r="AL172" s="16" t="s">
        <v>160</v>
      </c>
      <c r="AM172" s="16" t="s">
        <v>112</v>
      </c>
      <c r="AN172" s="193"/>
      <c r="AO172" s="193"/>
      <c r="AP172" s="193"/>
      <c r="AQ172" s="193"/>
      <c r="AR172" s="12" t="str">
        <f t="shared" si="5"/>
        <v/>
      </c>
      <c r="AS172" s="12" t="str">
        <f t="shared" si="6"/>
        <v/>
      </c>
      <c r="AT172" s="18"/>
    </row>
    <row r="173" spans="1:46" s="19" customFormat="1" ht="20.100000000000001" hidden="1" customHeight="1" x14ac:dyDescent="0.2">
      <c r="A173" s="222">
        <v>164</v>
      </c>
      <c r="B173" s="16" t="s">
        <v>4704</v>
      </c>
      <c r="C173" s="16" t="s">
        <v>1056</v>
      </c>
      <c r="D173" s="193" t="s">
        <v>238</v>
      </c>
      <c r="E173" s="193" t="s">
        <v>6</v>
      </c>
      <c r="F173" s="193"/>
      <c r="G173" s="193"/>
      <c r="H173" s="192" t="s">
        <v>7</v>
      </c>
      <c r="I173" s="16" t="s">
        <v>84</v>
      </c>
      <c r="J173" s="35" t="s">
        <v>117</v>
      </c>
      <c r="K173" s="35" t="s">
        <v>104</v>
      </c>
      <c r="L173" s="193" t="s">
        <v>4742</v>
      </c>
      <c r="M173" s="193" t="s">
        <v>106</v>
      </c>
      <c r="N173" s="192" t="s">
        <v>107</v>
      </c>
      <c r="O173" s="35" t="s">
        <v>199</v>
      </c>
      <c r="P173" s="35" t="s">
        <v>2245</v>
      </c>
      <c r="Q173" s="35" t="s">
        <v>2258</v>
      </c>
      <c r="R173" s="193" t="s">
        <v>4743</v>
      </c>
      <c r="S173" s="193" t="s">
        <v>106</v>
      </c>
      <c r="T173" s="193" t="s">
        <v>107</v>
      </c>
      <c r="U173" s="192"/>
      <c r="V173" s="192"/>
      <c r="W173" s="192">
        <v>200</v>
      </c>
      <c r="X173" s="192">
        <v>192</v>
      </c>
      <c r="Y173" s="16">
        <v>192</v>
      </c>
      <c r="Z173" s="16">
        <v>145</v>
      </c>
      <c r="AA173" s="16">
        <v>185</v>
      </c>
      <c r="AB173" s="16">
        <v>2</v>
      </c>
      <c r="AC173" s="16">
        <v>5</v>
      </c>
      <c r="AD173" s="16">
        <v>192</v>
      </c>
      <c r="AE173" s="16">
        <v>15</v>
      </c>
      <c r="AF173" s="16">
        <v>6</v>
      </c>
      <c r="AG173" s="16"/>
      <c r="AH173" s="192"/>
      <c r="AI173" s="193" t="s">
        <v>4744</v>
      </c>
      <c r="AJ173" s="25">
        <v>197</v>
      </c>
      <c r="AK173" s="192">
        <v>15</v>
      </c>
      <c r="AL173" s="16" t="s">
        <v>160</v>
      </c>
      <c r="AM173" s="16" t="s">
        <v>193</v>
      </c>
      <c r="AN173" s="193"/>
      <c r="AO173" s="193"/>
      <c r="AP173" s="193"/>
      <c r="AQ173" s="193"/>
      <c r="AR173" s="12" t="str">
        <f t="shared" si="5"/>
        <v/>
      </c>
      <c r="AS173" s="12" t="str">
        <f t="shared" si="6"/>
        <v/>
      </c>
      <c r="AT173" s="18"/>
    </row>
    <row r="174" spans="1:46" s="19" customFormat="1" ht="20.100000000000001" hidden="1" customHeight="1" x14ac:dyDescent="0.2">
      <c r="A174" s="222">
        <v>165</v>
      </c>
      <c r="B174" s="16" t="s">
        <v>4705</v>
      </c>
      <c r="C174" s="16" t="s">
        <v>1056</v>
      </c>
      <c r="D174" s="193" t="s">
        <v>2528</v>
      </c>
      <c r="E174" s="193" t="s">
        <v>10</v>
      </c>
      <c r="F174" s="193" t="s">
        <v>186</v>
      </c>
      <c r="G174" s="193"/>
      <c r="H174" s="192" t="s">
        <v>83</v>
      </c>
      <c r="I174" s="16" t="s">
        <v>84</v>
      </c>
      <c r="J174" s="193"/>
      <c r="K174" s="35" t="s">
        <v>226</v>
      </c>
      <c r="L174" s="234" t="s">
        <v>1953</v>
      </c>
      <c r="M174" s="234" t="s">
        <v>106</v>
      </c>
      <c r="N174" s="233" t="s">
        <v>107</v>
      </c>
      <c r="O174" s="193"/>
      <c r="P174" s="234" t="s">
        <v>2325</v>
      </c>
      <c r="Q174" s="234" t="s">
        <v>260</v>
      </c>
      <c r="R174" s="234" t="s">
        <v>3394</v>
      </c>
      <c r="S174" s="234" t="s">
        <v>369</v>
      </c>
      <c r="T174" s="234" t="s">
        <v>369</v>
      </c>
      <c r="U174" s="16" t="s">
        <v>3393</v>
      </c>
      <c r="V174" s="192"/>
      <c r="W174" s="192"/>
      <c r="X174" s="192"/>
      <c r="Y174" s="16">
        <v>144</v>
      </c>
      <c r="Z174" s="16"/>
      <c r="AA174" s="16"/>
      <c r="AB174" s="16"/>
      <c r="AC174" s="16"/>
      <c r="AD174" s="16"/>
      <c r="AE174" s="16"/>
      <c r="AF174" s="16"/>
      <c r="AG174" s="16"/>
      <c r="AH174" s="192"/>
      <c r="AI174" s="193"/>
      <c r="AJ174" s="25"/>
      <c r="AK174" s="192"/>
      <c r="AL174" s="16" t="s">
        <v>111</v>
      </c>
      <c r="AM174" s="16" t="s">
        <v>231</v>
      </c>
      <c r="AN174" s="193" t="s">
        <v>4378</v>
      </c>
      <c r="AO174" s="193" t="s">
        <v>137</v>
      </c>
      <c r="AP174" s="193" t="s">
        <v>113</v>
      </c>
      <c r="AQ174" s="193" t="s">
        <v>235</v>
      </c>
      <c r="AR174" s="12">
        <f t="shared" si="5"/>
        <v>15</v>
      </c>
      <c r="AS174" s="12" t="str">
        <f t="shared" si="6"/>
        <v/>
      </c>
      <c r="AT174" s="18"/>
    </row>
    <row r="175" spans="1:46" s="19" customFormat="1" ht="20.100000000000001" hidden="1" customHeight="1" x14ac:dyDescent="0.2">
      <c r="A175" s="222">
        <v>166</v>
      </c>
      <c r="B175" s="16" t="s">
        <v>4706</v>
      </c>
      <c r="C175" s="16" t="s">
        <v>1056</v>
      </c>
      <c r="D175" s="193" t="s">
        <v>2707</v>
      </c>
      <c r="E175" s="193" t="s">
        <v>6</v>
      </c>
      <c r="F175" s="193" t="s">
        <v>4038</v>
      </c>
      <c r="G175" s="193"/>
      <c r="H175" s="192" t="s">
        <v>83</v>
      </c>
      <c r="I175" s="16" t="s">
        <v>84</v>
      </c>
      <c r="J175" s="193"/>
      <c r="K175" s="234" t="s">
        <v>155</v>
      </c>
      <c r="M175" s="234" t="s">
        <v>142</v>
      </c>
      <c r="N175" s="234" t="s">
        <v>70</v>
      </c>
      <c r="O175" s="193"/>
      <c r="P175" s="193" t="s">
        <v>3679</v>
      </c>
      <c r="Q175" s="193" t="s">
        <v>718</v>
      </c>
      <c r="R175" s="193"/>
      <c r="S175" s="234" t="s">
        <v>142</v>
      </c>
      <c r="T175" s="234" t="s">
        <v>2705</v>
      </c>
      <c r="U175" s="233" t="s">
        <v>4708</v>
      </c>
      <c r="V175" s="192"/>
      <c r="W175" s="192"/>
      <c r="X175" s="192"/>
      <c r="Y175" s="16"/>
      <c r="Z175" s="16"/>
      <c r="AA175" s="16"/>
      <c r="AB175" s="16"/>
      <c r="AC175" s="16"/>
      <c r="AD175" s="16"/>
      <c r="AE175" s="16"/>
      <c r="AF175" s="16"/>
      <c r="AG175" s="16"/>
      <c r="AH175" s="192"/>
      <c r="AI175" s="193"/>
      <c r="AJ175" s="25"/>
      <c r="AK175" s="192"/>
      <c r="AL175" s="16"/>
      <c r="AM175" s="16"/>
      <c r="AN175" s="193" t="s">
        <v>4378</v>
      </c>
      <c r="AO175" s="193" t="s">
        <v>137</v>
      </c>
      <c r="AP175" s="193" t="s">
        <v>208</v>
      </c>
      <c r="AQ175" s="193" t="s">
        <v>296</v>
      </c>
      <c r="AR175" s="12">
        <f t="shared" si="5"/>
        <v>52</v>
      </c>
      <c r="AS175" s="12" t="str">
        <f t="shared" si="6"/>
        <v/>
      </c>
      <c r="AT175" s="18"/>
    </row>
    <row r="176" spans="1:46" s="19" customFormat="1" ht="20.100000000000001" hidden="1" customHeight="1" x14ac:dyDescent="0.2">
      <c r="A176" s="222">
        <v>167</v>
      </c>
      <c r="B176" s="16" t="s">
        <v>4706</v>
      </c>
      <c r="C176" s="16" t="s">
        <v>1056</v>
      </c>
      <c r="D176" s="193" t="s">
        <v>3611</v>
      </c>
      <c r="E176" s="193" t="s">
        <v>10</v>
      </c>
      <c r="F176" s="193"/>
      <c r="G176" s="193"/>
      <c r="H176" s="192" t="s">
        <v>7</v>
      </c>
      <c r="I176" s="16" t="s">
        <v>92</v>
      </c>
      <c r="J176" s="193" t="s">
        <v>155</v>
      </c>
      <c r="K176" s="193" t="s">
        <v>155</v>
      </c>
      <c r="L176" s="193" t="s">
        <v>4716</v>
      </c>
      <c r="M176" s="193" t="s">
        <v>106</v>
      </c>
      <c r="N176" s="192" t="s">
        <v>107</v>
      </c>
      <c r="O176" s="193" t="s">
        <v>156</v>
      </c>
      <c r="P176" s="193" t="s">
        <v>3677</v>
      </c>
      <c r="Q176" s="193" t="s">
        <v>718</v>
      </c>
      <c r="R176" s="193" t="s">
        <v>4774</v>
      </c>
      <c r="S176" s="193" t="s">
        <v>106</v>
      </c>
      <c r="T176" s="193" t="s">
        <v>107</v>
      </c>
      <c r="U176" s="192"/>
      <c r="V176" s="192"/>
      <c r="W176" s="192">
        <v>247</v>
      </c>
      <c r="X176" s="192">
        <v>234</v>
      </c>
      <c r="Y176" s="16">
        <v>234</v>
      </c>
      <c r="Z176" s="16">
        <v>136</v>
      </c>
      <c r="AA176" s="16">
        <v>150</v>
      </c>
      <c r="AB176" s="16">
        <v>6</v>
      </c>
      <c r="AC176" s="16">
        <v>30</v>
      </c>
      <c r="AD176" s="16">
        <v>186</v>
      </c>
      <c r="AE176" s="16">
        <v>22</v>
      </c>
      <c r="AF176" s="16">
        <v>6</v>
      </c>
      <c r="AG176" s="16"/>
      <c r="AH176" s="192"/>
      <c r="AI176" s="193"/>
      <c r="AJ176" s="25"/>
      <c r="AK176" s="192"/>
      <c r="AL176" s="16"/>
      <c r="AM176" s="16"/>
      <c r="AN176" s="193"/>
      <c r="AO176" s="193"/>
      <c r="AP176" s="193"/>
      <c r="AQ176" s="193"/>
      <c r="AR176" s="12" t="str">
        <f t="shared" si="5"/>
        <v/>
      </c>
      <c r="AS176" s="12" t="str">
        <f t="shared" si="6"/>
        <v/>
      </c>
      <c r="AT176" s="18"/>
    </row>
    <row r="177" spans="1:46" s="19" customFormat="1" ht="20.100000000000001" hidden="1" customHeight="1" x14ac:dyDescent="0.2">
      <c r="A177" s="222">
        <v>168</v>
      </c>
      <c r="B177" s="16" t="s">
        <v>4706</v>
      </c>
      <c r="C177" s="16" t="s">
        <v>1056</v>
      </c>
      <c r="D177" s="193" t="s">
        <v>4707</v>
      </c>
      <c r="E177" s="193" t="s">
        <v>8</v>
      </c>
      <c r="F177" s="193" t="s">
        <v>4038</v>
      </c>
      <c r="G177" s="193"/>
      <c r="H177" s="192" t="s">
        <v>83</v>
      </c>
      <c r="I177" s="16" t="s">
        <v>84</v>
      </c>
      <c r="J177" s="193"/>
      <c r="K177" s="234" t="s">
        <v>140</v>
      </c>
      <c r="L177" s="234"/>
      <c r="M177" s="234" t="s">
        <v>106</v>
      </c>
      <c r="N177" s="233" t="s">
        <v>107</v>
      </c>
      <c r="O177" s="193"/>
      <c r="P177" s="234" t="s">
        <v>2245</v>
      </c>
      <c r="Q177" s="234" t="s">
        <v>116</v>
      </c>
      <c r="R177" s="234" t="s">
        <v>340</v>
      </c>
      <c r="S177" s="234" t="s">
        <v>106</v>
      </c>
      <c r="T177" s="234" t="s">
        <v>107</v>
      </c>
      <c r="U177" s="16" t="s">
        <v>317</v>
      </c>
      <c r="V177" s="192"/>
      <c r="W177" s="192"/>
      <c r="X177" s="192"/>
      <c r="Y177" s="16">
        <v>180</v>
      </c>
      <c r="Z177" s="16"/>
      <c r="AA177" s="16"/>
      <c r="AB177" s="16"/>
      <c r="AC177" s="16"/>
      <c r="AD177" s="16"/>
      <c r="AE177" s="16"/>
      <c r="AF177" s="16"/>
      <c r="AG177" s="16"/>
      <c r="AH177" s="192"/>
      <c r="AI177" s="193"/>
      <c r="AJ177" s="25"/>
      <c r="AK177" s="192"/>
      <c r="AL177" s="16" t="s">
        <v>111</v>
      </c>
      <c r="AM177" s="16" t="s">
        <v>112</v>
      </c>
      <c r="AN177" s="193" t="s">
        <v>4378</v>
      </c>
      <c r="AO177" s="193" t="s">
        <v>137</v>
      </c>
      <c r="AP177" s="193" t="s">
        <v>113</v>
      </c>
      <c r="AQ177" s="193" t="s">
        <v>296</v>
      </c>
      <c r="AR177" s="12">
        <f t="shared" si="5"/>
        <v>16</v>
      </c>
      <c r="AS177" s="12" t="str">
        <f t="shared" si="6"/>
        <v/>
      </c>
      <c r="AT177" s="18"/>
    </row>
    <row r="178" spans="1:46" s="19" customFormat="1" ht="20.100000000000001" hidden="1" customHeight="1" x14ac:dyDescent="0.2">
      <c r="A178" s="222">
        <v>169</v>
      </c>
      <c r="B178" s="16" t="s">
        <v>4706</v>
      </c>
      <c r="C178" s="16" t="s">
        <v>1056</v>
      </c>
      <c r="D178" s="234" t="s">
        <v>4707</v>
      </c>
      <c r="E178" s="193" t="s">
        <v>8</v>
      </c>
      <c r="F178" s="193"/>
      <c r="G178" s="193"/>
      <c r="H178" s="192" t="s">
        <v>7</v>
      </c>
      <c r="I178" s="16" t="s">
        <v>84</v>
      </c>
      <c r="J178" s="35" t="s">
        <v>140</v>
      </c>
      <c r="K178" s="35" t="s">
        <v>334</v>
      </c>
      <c r="L178" s="193" t="s">
        <v>4719</v>
      </c>
      <c r="M178" s="193" t="s">
        <v>106</v>
      </c>
      <c r="N178" s="192" t="s">
        <v>107</v>
      </c>
      <c r="O178" s="193" t="s">
        <v>338</v>
      </c>
      <c r="P178" s="193" t="s">
        <v>2961</v>
      </c>
      <c r="Q178" s="193" t="s">
        <v>260</v>
      </c>
      <c r="R178" s="193" t="s">
        <v>4720</v>
      </c>
      <c r="S178" s="193" t="s">
        <v>106</v>
      </c>
      <c r="T178" s="193" t="s">
        <v>107</v>
      </c>
      <c r="U178" s="192"/>
      <c r="V178" s="192"/>
      <c r="W178" s="192">
        <v>190</v>
      </c>
      <c r="X178" s="192">
        <v>180</v>
      </c>
      <c r="Y178" s="16">
        <v>180</v>
      </c>
      <c r="Z178" s="16">
        <v>70</v>
      </c>
      <c r="AA178" s="16">
        <v>137</v>
      </c>
      <c r="AB178" s="16">
        <v>8</v>
      </c>
      <c r="AC178" s="16">
        <v>8</v>
      </c>
      <c r="AD178" s="16">
        <v>153</v>
      </c>
      <c r="AE178" s="16">
        <v>9.1</v>
      </c>
      <c r="AF178" s="16">
        <v>4</v>
      </c>
      <c r="AG178" s="16"/>
      <c r="AH178" s="192"/>
      <c r="AI178" s="193" t="s">
        <v>4706</v>
      </c>
      <c r="AJ178" s="25">
        <v>153</v>
      </c>
      <c r="AK178" s="192">
        <v>9.6999999999999993</v>
      </c>
      <c r="AL178" s="16" t="s">
        <v>111</v>
      </c>
      <c r="AM178" s="16" t="s">
        <v>112</v>
      </c>
      <c r="AN178" s="193"/>
      <c r="AO178" s="193"/>
      <c r="AP178" s="193"/>
      <c r="AQ178" s="193"/>
      <c r="AR178" s="12" t="str">
        <f t="shared" si="5"/>
        <v/>
      </c>
      <c r="AS178" s="12" t="str">
        <f t="shared" si="6"/>
        <v/>
      </c>
      <c r="AT178" s="18"/>
    </row>
    <row r="179" spans="1:46" s="21" customFormat="1" ht="20.100000000000001" hidden="1" customHeight="1" x14ac:dyDescent="0.2">
      <c r="A179" s="20">
        <v>170</v>
      </c>
      <c r="B179" s="29" t="s">
        <v>4709</v>
      </c>
      <c r="C179" s="29" t="s">
        <v>1056</v>
      </c>
      <c r="D179" s="30" t="s">
        <v>2345</v>
      </c>
      <c r="E179" s="30" t="s">
        <v>9</v>
      </c>
      <c r="F179" s="30" t="s">
        <v>4589</v>
      </c>
      <c r="G179" s="30"/>
      <c r="H179" s="20" t="s">
        <v>83</v>
      </c>
      <c r="I179" s="29" t="s">
        <v>84</v>
      </c>
      <c r="J179" s="30"/>
      <c r="K179" s="30" t="s">
        <v>117</v>
      </c>
      <c r="L179" s="30"/>
      <c r="M179" s="30" t="s">
        <v>106</v>
      </c>
      <c r="N179" s="20" t="s">
        <v>107</v>
      </c>
      <c r="O179" s="30"/>
      <c r="P179" s="30" t="s">
        <v>2245</v>
      </c>
      <c r="Q179" s="30" t="s">
        <v>260</v>
      </c>
      <c r="R179" s="30"/>
      <c r="S179" s="30" t="s">
        <v>106</v>
      </c>
      <c r="T179" s="30" t="s">
        <v>107</v>
      </c>
      <c r="U179" s="20" t="s">
        <v>4597</v>
      </c>
      <c r="V179" s="20"/>
      <c r="W179" s="20"/>
      <c r="X179" s="20"/>
      <c r="Y179" s="29">
        <v>234</v>
      </c>
      <c r="Z179" s="29"/>
      <c r="AA179" s="29"/>
      <c r="AB179" s="29"/>
      <c r="AC179" s="29"/>
      <c r="AD179" s="29"/>
      <c r="AE179" s="29"/>
      <c r="AF179" s="29">
        <v>6</v>
      </c>
      <c r="AG179" s="29"/>
      <c r="AH179" s="20"/>
      <c r="AI179" s="30"/>
      <c r="AJ179" s="36"/>
      <c r="AK179" s="20"/>
      <c r="AL179" s="29" t="s">
        <v>160</v>
      </c>
      <c r="AM179" s="29" t="s">
        <v>161</v>
      </c>
      <c r="AN179" s="30" t="s">
        <v>4378</v>
      </c>
      <c r="AO179" s="30" t="s">
        <v>137</v>
      </c>
      <c r="AP179" s="30" t="s">
        <v>4378</v>
      </c>
      <c r="AQ179" s="30" t="s">
        <v>124</v>
      </c>
      <c r="AR179" s="12">
        <f t="shared" si="5"/>
        <v>2</v>
      </c>
      <c r="AS179" s="12">
        <f t="shared" si="6"/>
        <v>2</v>
      </c>
      <c r="AT179" s="32"/>
    </row>
    <row r="180" spans="1:46" s="19" customFormat="1" ht="20.100000000000001" hidden="1" customHeight="1" x14ac:dyDescent="0.2">
      <c r="A180" s="222">
        <v>171</v>
      </c>
      <c r="B180" s="16" t="s">
        <v>4709</v>
      </c>
      <c r="C180" s="16" t="s">
        <v>1056</v>
      </c>
      <c r="D180" s="234" t="s">
        <v>2345</v>
      </c>
      <c r="E180" s="193" t="s">
        <v>9</v>
      </c>
      <c r="F180" s="193"/>
      <c r="G180" s="193"/>
      <c r="H180" s="192" t="s">
        <v>7</v>
      </c>
      <c r="I180" s="16" t="s">
        <v>84</v>
      </c>
      <c r="J180" s="193" t="s">
        <v>117</v>
      </c>
      <c r="K180" s="193" t="s">
        <v>104</v>
      </c>
      <c r="L180" s="193"/>
      <c r="M180" s="234" t="s">
        <v>106</v>
      </c>
      <c r="N180" s="233" t="s">
        <v>107</v>
      </c>
      <c r="O180" s="193" t="s">
        <v>204</v>
      </c>
      <c r="P180" s="193" t="s">
        <v>2245</v>
      </c>
      <c r="Q180" s="193" t="s">
        <v>260</v>
      </c>
      <c r="R180" s="193"/>
      <c r="S180" s="193" t="s">
        <v>69</v>
      </c>
      <c r="T180" s="193" t="s">
        <v>70</v>
      </c>
      <c r="U180" s="192"/>
      <c r="V180" s="192"/>
      <c r="W180" s="192">
        <v>250</v>
      </c>
      <c r="X180" s="192">
        <v>234</v>
      </c>
      <c r="Y180" s="16">
        <v>234</v>
      </c>
      <c r="Z180" s="16">
        <v>120</v>
      </c>
      <c r="AA180" s="16">
        <v>193</v>
      </c>
      <c r="AB180" s="16">
        <v>2</v>
      </c>
      <c r="AC180" s="16">
        <v>15</v>
      </c>
      <c r="AD180" s="16">
        <v>210</v>
      </c>
      <c r="AE180" s="16">
        <v>13</v>
      </c>
      <c r="AF180" s="16">
        <v>6</v>
      </c>
      <c r="AG180" s="16"/>
      <c r="AH180" s="192"/>
      <c r="AI180" s="193" t="s">
        <v>4710</v>
      </c>
      <c r="AJ180" s="25">
        <v>212</v>
      </c>
      <c r="AK180" s="192">
        <v>13.3</v>
      </c>
      <c r="AL180" s="16" t="s">
        <v>160</v>
      </c>
      <c r="AM180" s="16" t="s">
        <v>161</v>
      </c>
      <c r="AN180" s="193"/>
      <c r="AO180" s="193"/>
      <c r="AP180" s="193"/>
      <c r="AQ180" s="193"/>
      <c r="AR180" s="12" t="str">
        <f t="shared" si="5"/>
        <v/>
      </c>
      <c r="AS180" s="12" t="str">
        <f t="shared" si="6"/>
        <v/>
      </c>
      <c r="AT180" s="18"/>
    </row>
    <row r="181" spans="1:46" s="19" customFormat="1" ht="20.100000000000001" hidden="1" customHeight="1" x14ac:dyDescent="0.2">
      <c r="A181" s="222">
        <v>172</v>
      </c>
      <c r="B181" s="16" t="s">
        <v>4712</v>
      </c>
      <c r="C181" s="16" t="s">
        <v>1056</v>
      </c>
      <c r="D181" s="193" t="s">
        <v>3011</v>
      </c>
      <c r="E181" s="193" t="s">
        <v>6</v>
      </c>
      <c r="F181" s="193"/>
      <c r="G181" s="193"/>
      <c r="H181" s="192" t="s">
        <v>7</v>
      </c>
      <c r="I181" s="16" t="s">
        <v>84</v>
      </c>
      <c r="J181" s="35" t="s">
        <v>104</v>
      </c>
      <c r="K181" s="35" t="s">
        <v>117</v>
      </c>
      <c r="L181" s="193" t="s">
        <v>4715</v>
      </c>
      <c r="M181" s="193" t="s">
        <v>106</v>
      </c>
      <c r="N181" s="192" t="s">
        <v>107</v>
      </c>
      <c r="O181" s="35" t="s">
        <v>361</v>
      </c>
      <c r="P181" s="35" t="s">
        <v>2961</v>
      </c>
      <c r="Q181" s="35" t="s">
        <v>144</v>
      </c>
      <c r="R181" s="193"/>
      <c r="S181" s="236" t="s">
        <v>106</v>
      </c>
      <c r="T181" s="236" t="s">
        <v>107</v>
      </c>
      <c r="U181" s="192"/>
      <c r="V181" s="192"/>
      <c r="W181" s="192">
        <v>241</v>
      </c>
      <c r="X181" s="33">
        <v>222</v>
      </c>
      <c r="Y181" s="34">
        <v>225</v>
      </c>
      <c r="Z181" s="16">
        <v>120</v>
      </c>
      <c r="AA181" s="16">
        <v>173</v>
      </c>
      <c r="AB181" s="16">
        <v>2</v>
      </c>
      <c r="AC181" s="16">
        <v>28</v>
      </c>
      <c r="AD181" s="16">
        <v>203</v>
      </c>
      <c r="AE181" s="16">
        <v>10</v>
      </c>
      <c r="AF181" s="16">
        <v>6</v>
      </c>
      <c r="AG181" s="16"/>
      <c r="AH181" s="192"/>
      <c r="AI181" s="193" t="s">
        <v>4712</v>
      </c>
      <c r="AJ181" s="25">
        <v>208</v>
      </c>
      <c r="AK181" s="192">
        <v>10.3</v>
      </c>
      <c r="AL181" s="16" t="s">
        <v>111</v>
      </c>
      <c r="AM181" s="16" t="s">
        <v>161</v>
      </c>
      <c r="AN181" s="193"/>
      <c r="AO181" s="193"/>
      <c r="AP181" s="193"/>
      <c r="AQ181" s="193"/>
      <c r="AR181" s="12" t="str">
        <f t="shared" si="5"/>
        <v/>
      </c>
      <c r="AS181" s="12" t="str">
        <f t="shared" si="6"/>
        <v/>
      </c>
      <c r="AT181" s="18"/>
    </row>
    <row r="182" spans="1:46" s="19" customFormat="1" ht="20.100000000000001" hidden="1" customHeight="1" x14ac:dyDescent="0.2">
      <c r="A182" s="222">
        <v>173</v>
      </c>
      <c r="B182" s="16" t="s">
        <v>4713</v>
      </c>
      <c r="C182" s="16" t="s">
        <v>1056</v>
      </c>
      <c r="D182" s="193" t="s">
        <v>1913</v>
      </c>
      <c r="E182" s="193" t="s">
        <v>20</v>
      </c>
      <c r="F182" s="193"/>
      <c r="G182" s="193"/>
      <c r="H182" s="192" t="s">
        <v>7</v>
      </c>
      <c r="I182" s="16" t="s">
        <v>92</v>
      </c>
      <c r="J182" s="35" t="s">
        <v>104</v>
      </c>
      <c r="K182" s="35" t="s">
        <v>68</v>
      </c>
      <c r="L182" s="193" t="s">
        <v>4716</v>
      </c>
      <c r="M182" s="193" t="s">
        <v>106</v>
      </c>
      <c r="N182" s="192" t="s">
        <v>107</v>
      </c>
      <c r="O182" s="35" t="s">
        <v>402</v>
      </c>
      <c r="P182" s="35" t="s">
        <v>2245</v>
      </c>
      <c r="Q182" s="35" t="s">
        <v>2348</v>
      </c>
      <c r="R182" s="193" t="s">
        <v>4717</v>
      </c>
      <c r="S182" s="193" t="s">
        <v>69</v>
      </c>
      <c r="T182" s="193" t="s">
        <v>70</v>
      </c>
      <c r="U182" s="192"/>
      <c r="V182" s="192"/>
      <c r="W182" s="192">
        <v>167</v>
      </c>
      <c r="X182" s="192">
        <v>153</v>
      </c>
      <c r="Y182" s="16">
        <v>153</v>
      </c>
      <c r="Z182" s="16">
        <v>65</v>
      </c>
      <c r="AA182" s="16">
        <v>111</v>
      </c>
      <c r="AB182" s="16">
        <v>2</v>
      </c>
      <c r="AC182" s="16">
        <v>108</v>
      </c>
      <c r="AD182" s="16">
        <v>221</v>
      </c>
      <c r="AE182" s="16">
        <v>14</v>
      </c>
      <c r="AF182" s="16">
        <v>6</v>
      </c>
      <c r="AG182" s="16"/>
      <c r="AH182" s="192"/>
      <c r="AI182" s="193" t="s">
        <v>4718</v>
      </c>
      <c r="AJ182" s="25">
        <v>231</v>
      </c>
      <c r="AK182" s="192">
        <v>12.7</v>
      </c>
      <c r="AL182" s="16" t="s">
        <v>160</v>
      </c>
      <c r="AM182" s="16" t="s">
        <v>161</v>
      </c>
      <c r="AN182" s="193"/>
      <c r="AO182" s="193"/>
      <c r="AP182" s="193"/>
      <c r="AQ182" s="193"/>
      <c r="AR182" s="12" t="str">
        <f t="shared" si="5"/>
        <v/>
      </c>
      <c r="AS182" s="12" t="str">
        <f t="shared" si="6"/>
        <v/>
      </c>
      <c r="AT182" s="18"/>
    </row>
    <row r="183" spans="1:46" s="19" customFormat="1" ht="20.100000000000001" hidden="1" customHeight="1" x14ac:dyDescent="0.2">
      <c r="A183" s="222">
        <v>174</v>
      </c>
      <c r="B183" s="16" t="s">
        <v>4713</v>
      </c>
      <c r="C183" s="16" t="s">
        <v>1056</v>
      </c>
      <c r="D183" s="193" t="s">
        <v>4714</v>
      </c>
      <c r="E183" s="193" t="s">
        <v>6</v>
      </c>
      <c r="F183" s="193" t="s">
        <v>4038</v>
      </c>
      <c r="G183" s="193"/>
      <c r="H183" s="192" t="s">
        <v>83</v>
      </c>
      <c r="I183" s="16" t="s">
        <v>84</v>
      </c>
      <c r="J183" s="193"/>
      <c r="K183" s="193" t="s">
        <v>68</v>
      </c>
      <c r="L183" s="193" t="s">
        <v>4762</v>
      </c>
      <c r="M183" s="193" t="s">
        <v>69</v>
      </c>
      <c r="N183" s="192" t="s">
        <v>70</v>
      </c>
      <c r="O183" s="193"/>
      <c r="P183" s="193" t="s">
        <v>3679</v>
      </c>
      <c r="Q183" s="193" t="s">
        <v>485</v>
      </c>
      <c r="R183" s="193" t="s">
        <v>4763</v>
      </c>
      <c r="S183" s="193" t="s">
        <v>106</v>
      </c>
      <c r="T183" s="193" t="s">
        <v>107</v>
      </c>
      <c r="U183" s="192" t="s">
        <v>4764</v>
      </c>
      <c r="V183" s="192"/>
      <c r="W183" s="192"/>
      <c r="X183" s="192"/>
      <c r="Y183" s="16">
        <v>219</v>
      </c>
      <c r="Z183" s="16"/>
      <c r="AA183" s="16"/>
      <c r="AB183" s="16"/>
      <c r="AC183" s="16"/>
      <c r="AD183" s="16"/>
      <c r="AE183" s="16"/>
      <c r="AF183" s="16">
        <v>6</v>
      </c>
      <c r="AG183" s="16"/>
      <c r="AH183" s="192"/>
      <c r="AI183" s="193"/>
      <c r="AJ183" s="25"/>
      <c r="AK183" s="192"/>
      <c r="AL183" s="16"/>
      <c r="AM183" s="16"/>
      <c r="AN183" s="193" t="s">
        <v>4378</v>
      </c>
      <c r="AO183" s="193" t="s">
        <v>137</v>
      </c>
      <c r="AP183" s="193" t="s">
        <v>123</v>
      </c>
      <c r="AQ183" s="193" t="s">
        <v>344</v>
      </c>
      <c r="AR183" s="12">
        <f t="shared" si="5"/>
        <v>71</v>
      </c>
      <c r="AS183" s="12" t="str">
        <f t="shared" si="6"/>
        <v/>
      </c>
      <c r="AT183" s="18"/>
    </row>
    <row r="184" spans="1:46" s="19" customFormat="1" ht="20.100000000000001" hidden="1" customHeight="1" x14ac:dyDescent="0.2">
      <c r="A184" s="222">
        <v>175</v>
      </c>
      <c r="B184" s="16" t="s">
        <v>4713</v>
      </c>
      <c r="C184" s="16" t="s">
        <v>1056</v>
      </c>
      <c r="D184" s="193" t="s">
        <v>2425</v>
      </c>
      <c r="E184" s="193" t="s">
        <v>6</v>
      </c>
      <c r="F184" s="193" t="s">
        <v>202</v>
      </c>
      <c r="G184" s="193"/>
      <c r="H184" s="192" t="s">
        <v>83</v>
      </c>
      <c r="I184" s="16" t="s">
        <v>84</v>
      </c>
      <c r="J184" s="193"/>
      <c r="K184" s="193" t="s">
        <v>155</v>
      </c>
      <c r="L184" s="193"/>
      <c r="M184" s="193" t="s">
        <v>69</v>
      </c>
      <c r="N184" s="192" t="s">
        <v>70</v>
      </c>
      <c r="O184" s="193"/>
      <c r="P184" s="193" t="s">
        <v>3679</v>
      </c>
      <c r="Q184" s="193" t="s">
        <v>441</v>
      </c>
      <c r="R184" s="193"/>
      <c r="S184" s="193" t="s">
        <v>119</v>
      </c>
      <c r="T184" s="193" t="s">
        <v>107</v>
      </c>
      <c r="U184" s="235" t="s">
        <v>2440</v>
      </c>
      <c r="V184" s="192"/>
      <c r="W184" s="192"/>
      <c r="X184" s="192"/>
      <c r="Y184" s="16">
        <v>222</v>
      </c>
      <c r="Z184" s="16"/>
      <c r="AA184" s="16"/>
      <c r="AB184" s="16"/>
      <c r="AC184" s="16"/>
      <c r="AD184" s="16"/>
      <c r="AE184" s="16"/>
      <c r="AF184" s="16">
        <v>6</v>
      </c>
      <c r="AG184" s="16"/>
      <c r="AH184" s="192"/>
      <c r="AI184" s="193"/>
      <c r="AJ184" s="25"/>
      <c r="AK184" s="192"/>
      <c r="AL184" s="16" t="s">
        <v>160</v>
      </c>
      <c r="AM184" s="16"/>
      <c r="AN184" s="193" t="s">
        <v>4378</v>
      </c>
      <c r="AO184" s="193" t="s">
        <v>137</v>
      </c>
      <c r="AP184" s="193" t="s">
        <v>136</v>
      </c>
      <c r="AQ184" s="193" t="s">
        <v>137</v>
      </c>
      <c r="AR184" s="12">
        <f t="shared" si="5"/>
        <v>36</v>
      </c>
      <c r="AS184" s="12" t="str">
        <f t="shared" si="6"/>
        <v/>
      </c>
      <c r="AT184" s="18"/>
    </row>
    <row r="185" spans="1:46" s="21" customFormat="1" ht="20.100000000000001" hidden="1" customHeight="1" x14ac:dyDescent="0.2">
      <c r="A185" s="20">
        <v>176</v>
      </c>
      <c r="B185" s="29" t="s">
        <v>4721</v>
      </c>
      <c r="C185" s="29" t="s">
        <v>1056</v>
      </c>
      <c r="D185" s="30" t="s">
        <v>1586</v>
      </c>
      <c r="E185" s="30" t="s">
        <v>9</v>
      </c>
      <c r="F185" s="30" t="s">
        <v>202</v>
      </c>
      <c r="G185" s="30"/>
      <c r="H185" s="20" t="s">
        <v>83</v>
      </c>
      <c r="I185" s="29" t="s">
        <v>92</v>
      </c>
      <c r="J185" s="30"/>
      <c r="K185" s="30" t="s">
        <v>218</v>
      </c>
      <c r="L185" s="30" t="s">
        <v>4495</v>
      </c>
      <c r="M185" s="30" t="s">
        <v>106</v>
      </c>
      <c r="N185" s="20" t="s">
        <v>107</v>
      </c>
      <c r="O185" s="30"/>
      <c r="P185" s="30" t="s">
        <v>3677</v>
      </c>
      <c r="Q185" s="30" t="s">
        <v>441</v>
      </c>
      <c r="R185" s="30" t="s">
        <v>4496</v>
      </c>
      <c r="S185" s="30" t="s">
        <v>106</v>
      </c>
      <c r="T185" s="20" t="s">
        <v>107</v>
      </c>
      <c r="U185" s="20" t="s">
        <v>4488</v>
      </c>
      <c r="V185" s="20"/>
      <c r="W185" s="20"/>
      <c r="X185" s="20"/>
      <c r="Y185" s="29">
        <v>219</v>
      </c>
      <c r="Z185" s="29"/>
      <c r="AA185" s="29"/>
      <c r="AB185" s="29"/>
      <c r="AC185" s="29"/>
      <c r="AD185" s="29"/>
      <c r="AE185" s="29"/>
      <c r="AF185" s="29">
        <v>6</v>
      </c>
      <c r="AG185" s="29"/>
      <c r="AH185" s="20"/>
      <c r="AI185" s="30"/>
      <c r="AJ185" s="36"/>
      <c r="AK185" s="20"/>
      <c r="AL185" s="29"/>
      <c r="AM185" s="29"/>
      <c r="AN185" s="30" t="s">
        <v>4378</v>
      </c>
      <c r="AO185" s="30" t="s">
        <v>137</v>
      </c>
      <c r="AP185" s="30" t="s">
        <v>4378</v>
      </c>
      <c r="AQ185" s="30" t="s">
        <v>296</v>
      </c>
      <c r="AR185" s="12">
        <f t="shared" si="5"/>
        <v>4</v>
      </c>
      <c r="AS185" s="12">
        <f t="shared" si="6"/>
        <v>4</v>
      </c>
      <c r="AT185" s="32"/>
    </row>
    <row r="186" spans="1:46" s="19" customFormat="1" ht="20.100000000000001" hidden="1" customHeight="1" x14ac:dyDescent="0.2">
      <c r="A186" s="222">
        <v>177</v>
      </c>
      <c r="B186" s="16" t="s">
        <v>4721</v>
      </c>
      <c r="C186" s="16" t="s">
        <v>1056</v>
      </c>
      <c r="D186" s="193" t="s">
        <v>1011</v>
      </c>
      <c r="E186" s="193" t="s">
        <v>66</v>
      </c>
      <c r="F186" s="193"/>
      <c r="G186" s="193"/>
      <c r="H186" s="237" t="s">
        <v>83</v>
      </c>
      <c r="I186" s="16" t="s">
        <v>84</v>
      </c>
      <c r="J186" s="193"/>
      <c r="K186" s="193" t="s">
        <v>334</v>
      </c>
      <c r="L186" s="193" t="s">
        <v>1681</v>
      </c>
      <c r="M186" s="193" t="s">
        <v>106</v>
      </c>
      <c r="N186" s="192" t="s">
        <v>107</v>
      </c>
      <c r="O186" s="193"/>
      <c r="P186" s="193" t="s">
        <v>1809</v>
      </c>
      <c r="Q186" s="193" t="s">
        <v>2258</v>
      </c>
      <c r="R186" s="193" t="s">
        <v>1682</v>
      </c>
      <c r="S186" s="193" t="s">
        <v>106</v>
      </c>
      <c r="T186" s="193" t="s">
        <v>107</v>
      </c>
      <c r="U186" s="192" t="s">
        <v>1695</v>
      </c>
      <c r="V186" s="192"/>
      <c r="W186" s="192"/>
      <c r="X186" s="192"/>
      <c r="Y186" s="16">
        <v>180</v>
      </c>
      <c r="Z186" s="16"/>
      <c r="AA186" s="16"/>
      <c r="AB186" s="16"/>
      <c r="AC186" s="16"/>
      <c r="AD186" s="16"/>
      <c r="AE186" s="16"/>
      <c r="AF186" s="16">
        <v>4</v>
      </c>
      <c r="AG186" s="16"/>
      <c r="AH186" s="192"/>
      <c r="AI186" s="193"/>
      <c r="AJ186" s="25"/>
      <c r="AK186" s="192"/>
      <c r="AL186" s="16"/>
      <c r="AM186" s="16"/>
      <c r="AN186" s="193" t="s">
        <v>4378</v>
      </c>
      <c r="AO186" s="193" t="s">
        <v>137</v>
      </c>
      <c r="AP186" s="193" t="s">
        <v>115</v>
      </c>
      <c r="AQ186" s="193" t="s">
        <v>266</v>
      </c>
      <c r="AR186" s="12">
        <f t="shared" si="5"/>
        <v>21</v>
      </c>
      <c r="AS186" s="12" t="str">
        <f t="shared" si="6"/>
        <v/>
      </c>
      <c r="AT186" s="18"/>
    </row>
    <row r="187" spans="1:46" s="19" customFormat="1" ht="20.100000000000001" hidden="1" customHeight="1" x14ac:dyDescent="0.2">
      <c r="A187" s="222">
        <v>178</v>
      </c>
      <c r="B187" s="16" t="s">
        <v>4721</v>
      </c>
      <c r="C187" s="16" t="s">
        <v>1056</v>
      </c>
      <c r="D187" s="238" t="s">
        <v>1011</v>
      </c>
      <c r="E187" s="193" t="s">
        <v>66</v>
      </c>
      <c r="F187" s="193"/>
      <c r="G187" s="193"/>
      <c r="H187" s="192" t="s">
        <v>7</v>
      </c>
      <c r="I187" s="16" t="s">
        <v>84</v>
      </c>
      <c r="J187" s="193" t="s">
        <v>334</v>
      </c>
      <c r="K187" s="193" t="s">
        <v>334</v>
      </c>
      <c r="L187" s="193"/>
      <c r="M187" s="193" t="s">
        <v>69</v>
      </c>
      <c r="N187" s="192" t="s">
        <v>70</v>
      </c>
      <c r="O187" s="35" t="s">
        <v>1013</v>
      </c>
      <c r="P187" s="35" t="s">
        <v>2961</v>
      </c>
      <c r="Q187" s="35" t="s">
        <v>116</v>
      </c>
      <c r="R187" s="193"/>
      <c r="S187" s="193" t="s">
        <v>106</v>
      </c>
      <c r="T187" s="193" t="s">
        <v>107</v>
      </c>
      <c r="U187" s="192"/>
      <c r="V187" s="192"/>
      <c r="W187" s="192"/>
      <c r="X187" s="192"/>
      <c r="Y187" s="16"/>
      <c r="Z187" s="16"/>
      <c r="AA187" s="16"/>
      <c r="AB187" s="16"/>
      <c r="AC187" s="16"/>
      <c r="AD187" s="16"/>
      <c r="AE187" s="16"/>
      <c r="AF187" s="16"/>
      <c r="AG187" s="16"/>
      <c r="AH187" s="192"/>
      <c r="AI187" s="193"/>
      <c r="AJ187" s="25"/>
      <c r="AK187" s="192"/>
      <c r="AL187" s="16"/>
      <c r="AM187" s="16"/>
      <c r="AN187" s="193"/>
      <c r="AO187" s="193"/>
      <c r="AP187" s="193"/>
      <c r="AQ187" s="193"/>
      <c r="AR187" s="12" t="str">
        <f t="shared" si="5"/>
        <v/>
      </c>
      <c r="AS187" s="12" t="str">
        <f t="shared" si="6"/>
        <v/>
      </c>
      <c r="AT187" s="18"/>
    </row>
    <row r="188" spans="1:46" s="19" customFormat="1" ht="20.100000000000001" hidden="1" customHeight="1" x14ac:dyDescent="0.2">
      <c r="A188" s="222">
        <v>179</v>
      </c>
      <c r="B188" s="16" t="s">
        <v>4722</v>
      </c>
      <c r="C188" s="16" t="s">
        <v>1056</v>
      </c>
      <c r="D188" s="193" t="s">
        <v>4723</v>
      </c>
      <c r="E188" s="193" t="s">
        <v>9</v>
      </c>
      <c r="F188" s="193" t="s">
        <v>3661</v>
      </c>
      <c r="G188" s="193"/>
      <c r="H188" s="192" t="s">
        <v>83</v>
      </c>
      <c r="I188" s="16" t="s">
        <v>84</v>
      </c>
      <c r="J188" s="193"/>
      <c r="K188" s="193" t="s">
        <v>218</v>
      </c>
      <c r="L188" s="193" t="s">
        <v>4759</v>
      </c>
      <c r="M188" s="193" t="s">
        <v>142</v>
      </c>
      <c r="N188" s="192" t="s">
        <v>70</v>
      </c>
      <c r="O188" s="193"/>
      <c r="P188" s="193" t="s">
        <v>3678</v>
      </c>
      <c r="Q188" s="193" t="s">
        <v>555</v>
      </c>
      <c r="R188" s="193" t="s">
        <v>4760</v>
      </c>
      <c r="S188" s="193" t="s">
        <v>142</v>
      </c>
      <c r="T188" s="193" t="s">
        <v>70</v>
      </c>
      <c r="U188" s="192" t="s">
        <v>4761</v>
      </c>
      <c r="V188" s="192"/>
      <c r="W188" s="192"/>
      <c r="X188" s="192"/>
      <c r="Y188" s="16">
        <v>260</v>
      </c>
      <c r="Z188" s="16"/>
      <c r="AA188" s="16"/>
      <c r="AB188" s="16"/>
      <c r="AC188" s="16"/>
      <c r="AD188" s="16"/>
      <c r="AE188" s="16"/>
      <c r="AF188" s="16">
        <v>6</v>
      </c>
      <c r="AG188" s="16"/>
      <c r="AH188" s="192"/>
      <c r="AI188" s="193"/>
      <c r="AJ188" s="25"/>
      <c r="AK188" s="192"/>
      <c r="AL188" s="16"/>
      <c r="AM188" s="16"/>
      <c r="AN188" s="193" t="s">
        <v>4378</v>
      </c>
      <c r="AO188" s="193" t="s">
        <v>137</v>
      </c>
      <c r="AP188" s="193" t="s">
        <v>259</v>
      </c>
      <c r="AQ188" s="193" t="s">
        <v>148</v>
      </c>
      <c r="AR188" s="12">
        <f t="shared" si="5"/>
        <v>106</v>
      </c>
      <c r="AS188" s="12" t="str">
        <f t="shared" si="6"/>
        <v/>
      </c>
      <c r="AT188" s="18"/>
    </row>
    <row r="189" spans="1:46" s="19" customFormat="1" ht="20.100000000000001" hidden="1" customHeight="1" x14ac:dyDescent="0.2">
      <c r="A189" s="222">
        <v>180</v>
      </c>
      <c r="B189" s="16" t="s">
        <v>4724</v>
      </c>
      <c r="C189" s="16" t="s">
        <v>1056</v>
      </c>
      <c r="D189" s="238" t="s">
        <v>4723</v>
      </c>
      <c r="E189" s="238" t="s">
        <v>9</v>
      </c>
      <c r="F189" s="193"/>
      <c r="G189" s="193"/>
      <c r="H189" s="192" t="s">
        <v>7</v>
      </c>
      <c r="I189" s="16" t="s">
        <v>84</v>
      </c>
      <c r="J189" s="193"/>
      <c r="K189" s="193" t="s">
        <v>218</v>
      </c>
      <c r="L189" s="193" t="s">
        <v>267</v>
      </c>
      <c r="M189" s="239" t="s">
        <v>106</v>
      </c>
      <c r="N189" s="240" t="s">
        <v>107</v>
      </c>
      <c r="O189" s="193"/>
      <c r="P189" s="193" t="s">
        <v>3679</v>
      </c>
      <c r="Q189" s="193" t="s">
        <v>116</v>
      </c>
      <c r="R189" s="193"/>
      <c r="S189" s="239" t="s">
        <v>106</v>
      </c>
      <c r="T189" s="239" t="s">
        <v>107</v>
      </c>
      <c r="U189" s="192"/>
      <c r="V189" s="192"/>
      <c r="W189" s="192">
        <v>270</v>
      </c>
      <c r="X189" s="192">
        <v>260</v>
      </c>
      <c r="Y189" s="16">
        <v>260</v>
      </c>
      <c r="Z189" s="16">
        <v>164</v>
      </c>
      <c r="AA189" s="16">
        <v>174</v>
      </c>
      <c r="AB189" s="16">
        <v>8</v>
      </c>
      <c r="AC189" s="16">
        <v>8</v>
      </c>
      <c r="AD189" s="16">
        <v>190</v>
      </c>
      <c r="AE189" s="16">
        <v>30</v>
      </c>
      <c r="AF189" s="16">
        <v>6</v>
      </c>
      <c r="AG189" s="16"/>
      <c r="AH189" s="192"/>
      <c r="AI189" s="193" t="s">
        <v>4722</v>
      </c>
      <c r="AJ189" s="25">
        <v>189</v>
      </c>
      <c r="AK189" s="192">
        <v>27</v>
      </c>
      <c r="AL189" s="16" t="s">
        <v>160</v>
      </c>
      <c r="AM189" s="16" t="s">
        <v>165</v>
      </c>
      <c r="AN189" s="193"/>
      <c r="AO189" s="193"/>
      <c r="AP189" s="193"/>
      <c r="AQ189" s="193"/>
      <c r="AR189" s="12" t="str">
        <f t="shared" si="5"/>
        <v/>
      </c>
      <c r="AS189" s="12" t="str">
        <f t="shared" si="6"/>
        <v/>
      </c>
      <c r="AT189" s="18"/>
    </row>
    <row r="190" spans="1:46" s="19" customFormat="1" ht="20.100000000000001" hidden="1" customHeight="1" x14ac:dyDescent="0.2">
      <c r="A190" s="222">
        <v>181</v>
      </c>
      <c r="B190" s="16" t="s">
        <v>4725</v>
      </c>
      <c r="C190" s="16" t="s">
        <v>1056</v>
      </c>
      <c r="D190" s="193" t="s">
        <v>517</v>
      </c>
      <c r="E190" s="193" t="s">
        <v>243</v>
      </c>
      <c r="F190" s="193"/>
      <c r="G190" s="193"/>
      <c r="H190" s="192" t="s">
        <v>7</v>
      </c>
      <c r="I190" s="16" t="s">
        <v>92</v>
      </c>
      <c r="J190" s="193" t="s">
        <v>155</v>
      </c>
      <c r="K190" s="193" t="s">
        <v>155</v>
      </c>
      <c r="L190" s="193"/>
      <c r="M190" s="193" t="s">
        <v>106</v>
      </c>
      <c r="N190" s="192" t="s">
        <v>107</v>
      </c>
      <c r="O190" s="193" t="s">
        <v>167</v>
      </c>
      <c r="P190" s="193" t="s">
        <v>3679</v>
      </c>
      <c r="Q190" s="193" t="s">
        <v>441</v>
      </c>
      <c r="R190" s="193"/>
      <c r="S190" s="193" t="s">
        <v>106</v>
      </c>
      <c r="T190" s="193" t="s">
        <v>107</v>
      </c>
      <c r="U190" s="192"/>
      <c r="V190" s="192"/>
      <c r="W190" s="192">
        <v>228</v>
      </c>
      <c r="X190" s="192">
        <v>216</v>
      </c>
      <c r="Y190" s="16">
        <v>216</v>
      </c>
      <c r="Z190" s="16">
        <v>0</v>
      </c>
      <c r="AA190" s="16">
        <v>0</v>
      </c>
      <c r="AB190" s="16">
        <v>0</v>
      </c>
      <c r="AC190" s="16">
        <v>0</v>
      </c>
      <c r="AD190" s="16">
        <v>0</v>
      </c>
      <c r="AE190" s="16">
        <v>0</v>
      </c>
      <c r="AF190" s="16">
        <v>6</v>
      </c>
      <c r="AG190" s="16"/>
      <c r="AH190" s="192"/>
      <c r="AI190" s="193" t="s">
        <v>4722</v>
      </c>
      <c r="AJ190" s="25"/>
      <c r="AK190" s="192"/>
      <c r="AL190" s="16" t="s">
        <v>160</v>
      </c>
      <c r="AM190" s="16"/>
      <c r="AN190" s="193"/>
      <c r="AO190" s="193"/>
      <c r="AP190" s="193"/>
      <c r="AQ190" s="193"/>
      <c r="AR190" s="12" t="str">
        <f t="shared" si="5"/>
        <v/>
      </c>
      <c r="AS190" s="12" t="str">
        <f t="shared" si="6"/>
        <v/>
      </c>
      <c r="AT190" s="18"/>
    </row>
    <row r="191" spans="1:46" s="19" customFormat="1" ht="20.100000000000001" hidden="1" customHeight="1" x14ac:dyDescent="0.2">
      <c r="A191" s="222">
        <v>182</v>
      </c>
      <c r="B191" s="16" t="s">
        <v>4725</v>
      </c>
      <c r="C191" s="16" t="s">
        <v>1056</v>
      </c>
      <c r="D191" s="193" t="s">
        <v>3975</v>
      </c>
      <c r="E191" s="193" t="s">
        <v>19</v>
      </c>
      <c r="F191" s="193"/>
      <c r="G191" s="193"/>
      <c r="H191" s="192" t="s">
        <v>7</v>
      </c>
      <c r="I191" s="16" t="s">
        <v>84</v>
      </c>
      <c r="J191" s="193" t="s">
        <v>140</v>
      </c>
      <c r="K191" s="193" t="s">
        <v>140</v>
      </c>
      <c r="L191" s="193" t="s">
        <v>4740</v>
      </c>
      <c r="M191" s="193" t="s">
        <v>106</v>
      </c>
      <c r="N191" s="192" t="s">
        <v>107</v>
      </c>
      <c r="O191" s="193" t="s">
        <v>143</v>
      </c>
      <c r="P191" s="193" t="s">
        <v>3679</v>
      </c>
      <c r="Q191" s="193" t="s">
        <v>506</v>
      </c>
      <c r="R191" s="193" t="s">
        <v>4741</v>
      </c>
      <c r="S191" s="239" t="s">
        <v>106</v>
      </c>
      <c r="T191" s="240" t="s">
        <v>107</v>
      </c>
      <c r="U191" s="192"/>
      <c r="V191" s="192"/>
      <c r="W191" s="192">
        <v>97</v>
      </c>
      <c r="X191" s="33">
        <v>96</v>
      </c>
      <c r="Y191" s="34">
        <v>87</v>
      </c>
      <c r="Z191" s="16">
        <v>46</v>
      </c>
      <c r="AA191" s="16">
        <v>58</v>
      </c>
      <c r="AB191" s="16">
        <v>4</v>
      </c>
      <c r="AC191" s="16">
        <v>5</v>
      </c>
      <c r="AD191" s="16">
        <v>67</v>
      </c>
      <c r="AE191" s="16">
        <v>30</v>
      </c>
      <c r="AF191" s="16">
        <v>6</v>
      </c>
      <c r="AG191" s="16"/>
      <c r="AH191" s="192"/>
      <c r="AI191" s="193" t="s">
        <v>4724</v>
      </c>
      <c r="AJ191" s="25">
        <v>65</v>
      </c>
      <c r="AK191" s="192">
        <v>37.5</v>
      </c>
      <c r="AL191" s="16" t="s">
        <v>160</v>
      </c>
      <c r="AM191" s="16" t="s">
        <v>112</v>
      </c>
      <c r="AN191" s="193"/>
      <c r="AO191" s="193"/>
      <c r="AP191" s="193"/>
      <c r="AQ191" s="193"/>
      <c r="AR191" s="12" t="str">
        <f t="shared" si="5"/>
        <v/>
      </c>
      <c r="AS191" s="12" t="str">
        <f t="shared" si="6"/>
        <v/>
      </c>
      <c r="AT191" s="18"/>
    </row>
    <row r="192" spans="1:46" s="19" customFormat="1" ht="20.100000000000001" hidden="1" customHeight="1" x14ac:dyDescent="0.2">
      <c r="A192" s="222">
        <v>183</v>
      </c>
      <c r="B192" s="16" t="s">
        <v>4725</v>
      </c>
      <c r="C192" s="16" t="s">
        <v>1056</v>
      </c>
      <c r="D192" s="193" t="s">
        <v>4726</v>
      </c>
      <c r="E192" s="193" t="s">
        <v>66</v>
      </c>
      <c r="F192" s="193"/>
      <c r="G192" s="193"/>
      <c r="H192" s="192" t="s">
        <v>83</v>
      </c>
      <c r="I192" s="16" t="s">
        <v>3439</v>
      </c>
      <c r="J192" s="193"/>
      <c r="K192" s="193"/>
      <c r="L192" s="193"/>
      <c r="M192" s="193"/>
      <c r="N192" s="192"/>
      <c r="O192" s="193"/>
      <c r="P192" s="193"/>
      <c r="Q192" s="193"/>
      <c r="R192" s="193"/>
      <c r="S192" s="193"/>
      <c r="T192" s="193"/>
      <c r="U192" s="192"/>
      <c r="V192" s="192"/>
      <c r="W192" s="192"/>
      <c r="X192" s="192"/>
      <c r="Y192" s="16"/>
      <c r="Z192" s="16"/>
      <c r="AA192" s="16"/>
      <c r="AB192" s="16"/>
      <c r="AC192" s="16"/>
      <c r="AD192" s="16"/>
      <c r="AE192" s="16"/>
      <c r="AF192" s="16"/>
      <c r="AG192" s="16"/>
      <c r="AH192" s="192"/>
      <c r="AI192" s="193"/>
      <c r="AJ192" s="25"/>
      <c r="AK192" s="192"/>
      <c r="AL192" s="16"/>
      <c r="AM192" s="16"/>
      <c r="AN192" s="193"/>
      <c r="AO192" s="193"/>
      <c r="AP192" s="193"/>
      <c r="AQ192" s="193"/>
      <c r="AR192" s="12" t="str">
        <f t="shared" si="5"/>
        <v/>
      </c>
      <c r="AS192" s="12" t="str">
        <f t="shared" si="6"/>
        <v/>
      </c>
      <c r="AT192" s="18"/>
    </row>
    <row r="193" spans="1:46" s="19" customFormat="1" ht="20.100000000000001" hidden="1" customHeight="1" x14ac:dyDescent="0.2">
      <c r="A193" s="222">
        <v>184</v>
      </c>
      <c r="B193" s="16" t="s">
        <v>4725</v>
      </c>
      <c r="C193" s="16" t="s">
        <v>1056</v>
      </c>
      <c r="D193" s="238" t="s">
        <v>4726</v>
      </c>
      <c r="E193" s="238" t="s">
        <v>66</v>
      </c>
      <c r="F193" s="193"/>
      <c r="G193" s="193"/>
      <c r="H193" s="192" t="s">
        <v>7</v>
      </c>
      <c r="I193" s="16" t="s">
        <v>3439</v>
      </c>
      <c r="J193" s="193"/>
      <c r="K193" s="193"/>
      <c r="L193" s="193"/>
      <c r="M193" s="193"/>
      <c r="N193" s="192"/>
      <c r="O193" s="193"/>
      <c r="P193" s="193"/>
      <c r="Q193" s="193"/>
      <c r="R193" s="193"/>
      <c r="S193" s="193"/>
      <c r="T193" s="193"/>
      <c r="U193" s="192"/>
      <c r="V193" s="192"/>
      <c r="W193" s="192"/>
      <c r="X193" s="192"/>
      <c r="Y193" s="16"/>
      <c r="Z193" s="16"/>
      <c r="AA193" s="16"/>
      <c r="AB193" s="16"/>
      <c r="AC193" s="16"/>
      <c r="AD193" s="16"/>
      <c r="AE193" s="16"/>
      <c r="AF193" s="16"/>
      <c r="AG193" s="16"/>
      <c r="AH193" s="192"/>
      <c r="AI193" s="193"/>
      <c r="AJ193" s="25"/>
      <c r="AK193" s="192"/>
      <c r="AL193" s="16"/>
      <c r="AM193" s="16"/>
      <c r="AN193" s="193"/>
      <c r="AO193" s="193"/>
      <c r="AP193" s="193"/>
      <c r="AQ193" s="193"/>
      <c r="AR193" s="12" t="str">
        <f t="shared" si="5"/>
        <v/>
      </c>
      <c r="AS193" s="12" t="str">
        <f t="shared" si="6"/>
        <v/>
      </c>
      <c r="AT193" s="18"/>
    </row>
    <row r="194" spans="1:46" s="19" customFormat="1" ht="20.100000000000001" hidden="1" customHeight="1" x14ac:dyDescent="0.2">
      <c r="A194" s="222">
        <v>185</v>
      </c>
      <c r="B194" s="16" t="s">
        <v>4727</v>
      </c>
      <c r="C194" s="16" t="s">
        <v>1056</v>
      </c>
      <c r="D194" s="193" t="s">
        <v>2050</v>
      </c>
      <c r="E194" s="193" t="s">
        <v>6</v>
      </c>
      <c r="F194" s="193" t="s">
        <v>5189</v>
      </c>
      <c r="G194" s="193"/>
      <c r="H194" s="192" t="s">
        <v>83</v>
      </c>
      <c r="I194" s="16" t="s">
        <v>84</v>
      </c>
      <c r="J194" s="193"/>
      <c r="K194" s="193" t="s">
        <v>104</v>
      </c>
      <c r="L194" s="193" t="s">
        <v>4758</v>
      </c>
      <c r="M194" s="193" t="s">
        <v>69</v>
      </c>
      <c r="N194" s="192" t="s">
        <v>70</v>
      </c>
      <c r="O194" s="193"/>
      <c r="P194" s="193" t="s">
        <v>2245</v>
      </c>
      <c r="Q194" s="193" t="s">
        <v>769</v>
      </c>
      <c r="R194" s="193" t="s">
        <v>4711</v>
      </c>
      <c r="S194" s="193" t="s">
        <v>69</v>
      </c>
      <c r="T194" s="193" t="s">
        <v>70</v>
      </c>
      <c r="U194" s="192" t="s">
        <v>2129</v>
      </c>
      <c r="V194" s="192"/>
      <c r="W194" s="192"/>
      <c r="X194" s="192"/>
      <c r="Y194" s="16">
        <v>234</v>
      </c>
      <c r="Z194" s="16"/>
      <c r="AA194" s="16"/>
      <c r="AB194" s="16"/>
      <c r="AC194" s="16"/>
      <c r="AD194" s="16"/>
      <c r="AE194" s="16"/>
      <c r="AF194" s="16">
        <v>6</v>
      </c>
      <c r="AG194" s="16"/>
      <c r="AH194" s="192"/>
      <c r="AI194" s="193"/>
      <c r="AJ194" s="25"/>
      <c r="AK194" s="192"/>
      <c r="AL194" s="16"/>
      <c r="AM194" s="16"/>
      <c r="AN194" s="193" t="s">
        <v>4378</v>
      </c>
      <c r="AO194" s="193" t="s">
        <v>137</v>
      </c>
      <c r="AP194" s="193" t="s">
        <v>115</v>
      </c>
      <c r="AQ194" s="193" t="s">
        <v>260</v>
      </c>
      <c r="AR194" s="12">
        <f t="shared" si="5"/>
        <v>18</v>
      </c>
      <c r="AS194" s="12" t="str">
        <f t="shared" si="6"/>
        <v/>
      </c>
      <c r="AT194" s="18"/>
    </row>
    <row r="195" spans="1:46" s="19" customFormat="1" ht="20.100000000000001" hidden="1" customHeight="1" x14ac:dyDescent="0.2">
      <c r="A195" s="222">
        <v>186</v>
      </c>
      <c r="B195" s="16" t="s">
        <v>4727</v>
      </c>
      <c r="C195" s="16" t="s">
        <v>1056</v>
      </c>
      <c r="D195" s="193" t="s">
        <v>102</v>
      </c>
      <c r="E195" s="193" t="s">
        <v>10</v>
      </c>
      <c r="F195" s="193" t="s">
        <v>185</v>
      </c>
      <c r="G195" s="193"/>
      <c r="H195" s="192" t="s">
        <v>83</v>
      </c>
      <c r="I195" s="16" t="s">
        <v>92</v>
      </c>
      <c r="J195" s="193"/>
      <c r="K195" s="242" t="s">
        <v>117</v>
      </c>
      <c r="L195" s="242" t="s">
        <v>360</v>
      </c>
      <c r="M195" s="242" t="s">
        <v>142</v>
      </c>
      <c r="N195" s="241" t="s">
        <v>70</v>
      </c>
      <c r="O195" s="242"/>
      <c r="P195" s="242" t="s">
        <v>1510</v>
      </c>
      <c r="Q195" s="242" t="s">
        <v>2258</v>
      </c>
      <c r="R195" s="242" t="s">
        <v>200</v>
      </c>
      <c r="S195" s="242" t="s">
        <v>106</v>
      </c>
      <c r="T195" s="242" t="s">
        <v>107</v>
      </c>
      <c r="U195" s="16" t="s">
        <v>359</v>
      </c>
      <c r="V195" s="192"/>
      <c r="W195" s="192"/>
      <c r="X195" s="192"/>
      <c r="Y195" s="16">
        <v>204</v>
      </c>
      <c r="Z195" s="16"/>
      <c r="AA195" s="16"/>
      <c r="AB195" s="16"/>
      <c r="AC195" s="16"/>
      <c r="AD195" s="16"/>
      <c r="AE195" s="16"/>
      <c r="AF195" s="16">
        <v>6</v>
      </c>
      <c r="AG195" s="16"/>
      <c r="AH195" s="192"/>
      <c r="AI195" s="193"/>
      <c r="AJ195" s="25"/>
      <c r="AK195" s="192"/>
      <c r="AL195" s="16" t="s">
        <v>111</v>
      </c>
      <c r="AM195" s="16" t="s">
        <v>161</v>
      </c>
      <c r="AN195" s="193" t="s">
        <v>4378</v>
      </c>
      <c r="AO195" s="193" t="s">
        <v>137</v>
      </c>
      <c r="AP195" s="193" t="s">
        <v>113</v>
      </c>
      <c r="AQ195" s="193" t="s">
        <v>296</v>
      </c>
      <c r="AR195" s="12">
        <f t="shared" si="5"/>
        <v>16</v>
      </c>
      <c r="AS195" s="12" t="str">
        <f t="shared" si="6"/>
        <v/>
      </c>
      <c r="AT195" s="18"/>
    </row>
    <row r="196" spans="1:46" s="19" customFormat="1" ht="20.100000000000001" hidden="1" customHeight="1" x14ac:dyDescent="0.2">
      <c r="A196" s="222">
        <v>187</v>
      </c>
      <c r="B196" s="16" t="s">
        <v>4728</v>
      </c>
      <c r="C196" s="16" t="s">
        <v>1056</v>
      </c>
      <c r="D196" s="193" t="s">
        <v>4729</v>
      </c>
      <c r="E196" s="193" t="s">
        <v>66</v>
      </c>
      <c r="F196" s="193" t="s">
        <v>192</v>
      </c>
      <c r="G196" s="193"/>
      <c r="H196" s="192" t="s">
        <v>7</v>
      </c>
      <c r="I196" s="16" t="s">
        <v>92</v>
      </c>
      <c r="J196" s="193"/>
      <c r="K196" s="193" t="s">
        <v>226</v>
      </c>
      <c r="L196" s="193" t="s">
        <v>4748</v>
      </c>
      <c r="M196" s="193" t="s">
        <v>69</v>
      </c>
      <c r="N196" s="192" t="s">
        <v>70</v>
      </c>
      <c r="O196" s="193"/>
      <c r="P196" s="193" t="s">
        <v>2325</v>
      </c>
      <c r="Q196" s="193" t="s">
        <v>2348</v>
      </c>
      <c r="R196" s="193" t="s">
        <v>4749</v>
      </c>
      <c r="S196" s="242" t="s">
        <v>69</v>
      </c>
      <c r="T196" s="241" t="s">
        <v>70</v>
      </c>
      <c r="U196" s="192"/>
      <c r="V196" s="192"/>
      <c r="W196" s="192">
        <v>175</v>
      </c>
      <c r="X196" s="192">
        <v>0</v>
      </c>
      <c r="Y196" s="16">
        <v>168</v>
      </c>
      <c r="Z196" s="16">
        <v>73</v>
      </c>
      <c r="AA196" s="16">
        <v>143</v>
      </c>
      <c r="AB196" s="16">
        <v>3</v>
      </c>
      <c r="AC196" s="16">
        <v>35</v>
      </c>
      <c r="AD196" s="16">
        <v>181</v>
      </c>
      <c r="AE196" s="16">
        <v>5</v>
      </c>
      <c r="AF196" s="16">
        <v>4</v>
      </c>
      <c r="AG196" s="16"/>
      <c r="AH196" s="192"/>
      <c r="AI196" s="193" t="s">
        <v>4727</v>
      </c>
      <c r="AJ196" s="25">
        <v>186</v>
      </c>
      <c r="AK196" s="192">
        <v>4.9000000000000004</v>
      </c>
      <c r="AL196" s="16" t="s">
        <v>160</v>
      </c>
      <c r="AM196" s="16" t="s">
        <v>231</v>
      </c>
      <c r="AN196" s="193"/>
      <c r="AO196" s="193"/>
      <c r="AP196" s="193"/>
      <c r="AQ196" s="193"/>
      <c r="AR196" s="12" t="str">
        <f t="shared" si="5"/>
        <v/>
      </c>
      <c r="AS196" s="12" t="str">
        <f t="shared" si="6"/>
        <v/>
      </c>
      <c r="AT196" s="18"/>
    </row>
    <row r="197" spans="1:46" s="19" customFormat="1" ht="20.100000000000001" hidden="1" customHeight="1" x14ac:dyDescent="0.2">
      <c r="A197" s="222">
        <v>188</v>
      </c>
      <c r="B197" s="16" t="s">
        <v>4730</v>
      </c>
      <c r="C197" s="16" t="s">
        <v>1056</v>
      </c>
      <c r="D197" s="193" t="s">
        <v>1182</v>
      </c>
      <c r="E197" s="193" t="s">
        <v>20</v>
      </c>
      <c r="F197" s="193" t="s">
        <v>202</v>
      </c>
      <c r="G197" s="193"/>
      <c r="H197" s="192" t="s">
        <v>83</v>
      </c>
      <c r="I197" s="16" t="s">
        <v>84</v>
      </c>
      <c r="J197" s="193"/>
      <c r="K197" s="193" t="s">
        <v>104</v>
      </c>
      <c r="L197" s="193" t="s">
        <v>4752</v>
      </c>
      <c r="M197" s="193" t="s">
        <v>106</v>
      </c>
      <c r="N197" s="192" t="s">
        <v>107</v>
      </c>
      <c r="O197" s="193"/>
      <c r="P197" s="193" t="s">
        <v>3677</v>
      </c>
      <c r="Q197" s="193" t="s">
        <v>555</v>
      </c>
      <c r="R197" s="193" t="s">
        <v>4753</v>
      </c>
      <c r="S197" s="193" t="s">
        <v>142</v>
      </c>
      <c r="T197" s="193" t="s">
        <v>70</v>
      </c>
      <c r="U197" s="192" t="s">
        <v>3667</v>
      </c>
      <c r="V197" s="192"/>
      <c r="W197" s="192"/>
      <c r="X197" s="192"/>
      <c r="Y197" s="16">
        <v>162</v>
      </c>
      <c r="Z197" s="16"/>
      <c r="AA197" s="16"/>
      <c r="AB197" s="16"/>
      <c r="AC197" s="16"/>
      <c r="AD197" s="16"/>
      <c r="AE197" s="16"/>
      <c r="AF197" s="16">
        <v>6</v>
      </c>
      <c r="AG197" s="16"/>
      <c r="AH197" s="192"/>
      <c r="AI197" s="193"/>
      <c r="AJ197" s="25"/>
      <c r="AK197" s="192"/>
      <c r="AL197" s="16"/>
      <c r="AM197" s="16"/>
      <c r="AN197" s="193" t="s">
        <v>4378</v>
      </c>
      <c r="AO197" s="193" t="s">
        <v>137</v>
      </c>
      <c r="AP197" s="193" t="s">
        <v>115</v>
      </c>
      <c r="AQ197" s="193" t="s">
        <v>137</v>
      </c>
      <c r="AR197" s="12">
        <f t="shared" si="5"/>
        <v>24</v>
      </c>
      <c r="AS197" s="12" t="str">
        <f t="shared" si="6"/>
        <v/>
      </c>
      <c r="AT197" s="18"/>
    </row>
    <row r="198" spans="1:46" s="19" customFormat="1" ht="20.100000000000001" hidden="1" customHeight="1" x14ac:dyDescent="0.2">
      <c r="A198" s="222">
        <v>189</v>
      </c>
      <c r="B198" s="16" t="s">
        <v>4730</v>
      </c>
      <c r="C198" s="16" t="s">
        <v>1056</v>
      </c>
      <c r="D198" s="193" t="s">
        <v>4714</v>
      </c>
      <c r="E198" s="193" t="s">
        <v>6</v>
      </c>
      <c r="F198" s="193"/>
      <c r="G198" s="193"/>
      <c r="H198" s="192" t="s">
        <v>7</v>
      </c>
      <c r="I198" s="16" t="s">
        <v>84</v>
      </c>
      <c r="J198" s="193" t="s">
        <v>68</v>
      </c>
      <c r="K198" s="193" t="s">
        <v>68</v>
      </c>
      <c r="L198" s="193" t="s">
        <v>4750</v>
      </c>
      <c r="M198" s="242" t="s">
        <v>106</v>
      </c>
      <c r="N198" s="241" t="s">
        <v>107</v>
      </c>
      <c r="O198" s="193" t="s">
        <v>332</v>
      </c>
      <c r="P198" s="193" t="s">
        <v>3679</v>
      </c>
      <c r="Q198" s="193" t="s">
        <v>485</v>
      </c>
      <c r="R198" s="193" t="s">
        <v>4498</v>
      </c>
      <c r="S198" s="193" t="s">
        <v>142</v>
      </c>
      <c r="T198" s="193" t="s">
        <v>70</v>
      </c>
      <c r="U198" s="192"/>
      <c r="V198" s="192"/>
      <c r="W198" s="192">
        <v>230</v>
      </c>
      <c r="X198" s="33">
        <v>219</v>
      </c>
      <c r="Y198" s="34">
        <v>206</v>
      </c>
      <c r="Z198" s="16">
        <v>124</v>
      </c>
      <c r="AA198" s="16">
        <v>140</v>
      </c>
      <c r="AB198" s="16">
        <v>6</v>
      </c>
      <c r="AC198" s="16">
        <v>5</v>
      </c>
      <c r="AD198" s="16">
        <v>151</v>
      </c>
      <c r="AE198" s="16">
        <v>24</v>
      </c>
      <c r="AF198" s="16">
        <v>6</v>
      </c>
      <c r="AG198" s="16"/>
      <c r="AH198" s="192"/>
      <c r="AI198" s="193" t="s">
        <v>4751</v>
      </c>
      <c r="AJ198" s="25">
        <v>151</v>
      </c>
      <c r="AK198" s="192">
        <v>24.9</v>
      </c>
      <c r="AL198" s="16"/>
      <c r="AM198" s="16"/>
      <c r="AN198" s="193"/>
      <c r="AO198" s="193"/>
      <c r="AP198" s="193"/>
      <c r="AQ198" s="193"/>
      <c r="AR198" s="12" t="str">
        <f t="shared" si="5"/>
        <v/>
      </c>
      <c r="AS198" s="12" t="str">
        <f t="shared" si="6"/>
        <v/>
      </c>
      <c r="AT198" s="18"/>
    </row>
    <row r="199" spans="1:46" s="19" customFormat="1" ht="20.100000000000001" hidden="1" customHeight="1" x14ac:dyDescent="0.2">
      <c r="A199" s="222">
        <v>190</v>
      </c>
      <c r="B199" s="16" t="s">
        <v>4731</v>
      </c>
      <c r="C199" s="16" t="s">
        <v>1056</v>
      </c>
      <c r="D199" s="193" t="s">
        <v>2707</v>
      </c>
      <c r="E199" s="193" t="s">
        <v>6</v>
      </c>
      <c r="F199" s="193"/>
      <c r="G199" s="193"/>
      <c r="H199" s="192" t="s">
        <v>7</v>
      </c>
      <c r="I199" s="16" t="s">
        <v>84</v>
      </c>
      <c r="J199" s="35" t="s">
        <v>155</v>
      </c>
      <c r="K199" s="35" t="s">
        <v>104</v>
      </c>
      <c r="L199" s="193"/>
      <c r="M199" s="193" t="s">
        <v>69</v>
      </c>
      <c r="N199" s="192" t="s">
        <v>70</v>
      </c>
      <c r="O199" s="35" t="s">
        <v>324</v>
      </c>
      <c r="P199" s="35" t="s">
        <v>1510</v>
      </c>
      <c r="Q199" s="35" t="s">
        <v>769</v>
      </c>
      <c r="R199" s="193"/>
      <c r="S199" s="193" t="s">
        <v>73</v>
      </c>
      <c r="T199" s="193" t="s">
        <v>70</v>
      </c>
      <c r="U199" s="192"/>
      <c r="V199" s="192"/>
      <c r="W199" s="192">
        <v>140</v>
      </c>
      <c r="X199" s="192">
        <v>120</v>
      </c>
      <c r="Y199" s="16">
        <v>120</v>
      </c>
      <c r="Z199" s="16">
        <v>88</v>
      </c>
      <c r="AA199" s="16">
        <v>120</v>
      </c>
      <c r="AB199" s="16">
        <v>11</v>
      </c>
      <c r="AC199" s="16">
        <v>65</v>
      </c>
      <c r="AD199" s="16">
        <v>186</v>
      </c>
      <c r="AE199" s="16">
        <v>16.600000000000001</v>
      </c>
      <c r="AF199" s="16">
        <v>8</v>
      </c>
      <c r="AG199" s="16"/>
      <c r="AH199" s="192"/>
      <c r="AI199" s="193" t="s">
        <v>4728</v>
      </c>
      <c r="AJ199" s="25">
        <v>187</v>
      </c>
      <c r="AK199" s="192">
        <v>19</v>
      </c>
      <c r="AL199" s="16"/>
      <c r="AM199" s="16"/>
      <c r="AN199" s="193"/>
      <c r="AO199" s="193"/>
      <c r="AP199" s="193"/>
      <c r="AQ199" s="193"/>
      <c r="AR199" s="12" t="str">
        <f t="shared" si="5"/>
        <v/>
      </c>
      <c r="AS199" s="12" t="str">
        <f t="shared" si="6"/>
        <v/>
      </c>
      <c r="AT199" s="18"/>
    </row>
    <row r="200" spans="1:46" s="19" customFormat="1" ht="20.100000000000001" hidden="1" customHeight="1" x14ac:dyDescent="0.2">
      <c r="A200" s="222">
        <v>191</v>
      </c>
      <c r="B200" s="16" t="s">
        <v>4731</v>
      </c>
      <c r="C200" s="16" t="s">
        <v>1056</v>
      </c>
      <c r="D200" s="193" t="s">
        <v>4732</v>
      </c>
      <c r="E200" s="193" t="s">
        <v>19</v>
      </c>
      <c r="F200" s="193" t="s">
        <v>4038</v>
      </c>
      <c r="G200" s="193"/>
      <c r="H200" s="192" t="s">
        <v>83</v>
      </c>
      <c r="I200" s="16" t="s">
        <v>84</v>
      </c>
      <c r="J200" s="193"/>
      <c r="K200" s="193" t="s">
        <v>141</v>
      </c>
      <c r="L200" s="193" t="s">
        <v>4754</v>
      </c>
      <c r="M200" s="193" t="s">
        <v>69</v>
      </c>
      <c r="N200" s="192" t="s">
        <v>70</v>
      </c>
      <c r="O200" s="193"/>
      <c r="P200" s="193" t="s">
        <v>2245</v>
      </c>
      <c r="Q200" s="193" t="s">
        <v>485</v>
      </c>
      <c r="R200" s="193" t="s">
        <v>4755</v>
      </c>
      <c r="S200" s="193" t="s">
        <v>69</v>
      </c>
      <c r="T200" s="193" t="s">
        <v>70</v>
      </c>
      <c r="U200" s="192" t="s">
        <v>4756</v>
      </c>
      <c r="V200" s="192"/>
      <c r="W200" s="192"/>
      <c r="X200" s="192"/>
      <c r="Y200" s="16">
        <v>132</v>
      </c>
      <c r="Z200" s="16"/>
      <c r="AA200" s="16"/>
      <c r="AB200" s="16"/>
      <c r="AC200" s="16"/>
      <c r="AD200" s="16"/>
      <c r="AE200" s="16"/>
      <c r="AF200" s="16" t="s">
        <v>4757</v>
      </c>
      <c r="AG200" s="16"/>
      <c r="AH200" s="192"/>
      <c r="AI200" s="193"/>
      <c r="AJ200" s="25"/>
      <c r="AK200" s="192"/>
      <c r="AL200" s="16"/>
      <c r="AM200" s="16"/>
      <c r="AN200" s="193" t="s">
        <v>4378</v>
      </c>
      <c r="AO200" s="193" t="s">
        <v>137</v>
      </c>
      <c r="AP200" s="193" t="s">
        <v>495</v>
      </c>
      <c r="AQ200" s="193" t="s">
        <v>148</v>
      </c>
      <c r="AR200" s="12">
        <f t="shared" si="5"/>
        <v>130</v>
      </c>
      <c r="AS200" s="12" t="str">
        <f t="shared" si="6"/>
        <v/>
      </c>
      <c r="AT200" s="18"/>
    </row>
    <row r="201" spans="1:46" s="21" customFormat="1" ht="20.100000000000001" hidden="1" customHeight="1" x14ac:dyDescent="0.2">
      <c r="A201" s="20">
        <v>192</v>
      </c>
      <c r="B201" s="29" t="s">
        <v>4733</v>
      </c>
      <c r="C201" s="16" t="s">
        <v>1056</v>
      </c>
      <c r="D201" s="30" t="s">
        <v>4734</v>
      </c>
      <c r="E201" s="30" t="s">
        <v>19</v>
      </c>
      <c r="F201" s="30" t="s">
        <v>202</v>
      </c>
      <c r="G201" s="30"/>
      <c r="H201" s="20" t="s">
        <v>83</v>
      </c>
      <c r="I201" s="29" t="s">
        <v>92</v>
      </c>
      <c r="J201" s="30" t="s">
        <v>429</v>
      </c>
      <c r="K201" s="30" t="s">
        <v>68</v>
      </c>
      <c r="L201" s="30" t="s">
        <v>4021</v>
      </c>
      <c r="M201" s="30" t="s">
        <v>69</v>
      </c>
      <c r="N201" s="20" t="s">
        <v>70</v>
      </c>
      <c r="O201" s="30" t="s">
        <v>429</v>
      </c>
      <c r="P201" s="30" t="s">
        <v>3677</v>
      </c>
      <c r="Q201" s="30" t="s">
        <v>485</v>
      </c>
      <c r="R201" s="30" t="s">
        <v>4022</v>
      </c>
      <c r="S201" s="30" t="s">
        <v>106</v>
      </c>
      <c r="T201" s="30" t="s">
        <v>107</v>
      </c>
      <c r="U201" s="20"/>
      <c r="V201" s="20"/>
      <c r="W201" s="20"/>
      <c r="X201" s="20"/>
      <c r="Y201" s="29">
        <v>234</v>
      </c>
      <c r="Z201" s="29"/>
      <c r="AA201" s="29"/>
      <c r="AB201" s="29"/>
      <c r="AC201" s="29"/>
      <c r="AD201" s="29"/>
      <c r="AE201" s="29"/>
      <c r="AF201" s="29">
        <v>6</v>
      </c>
      <c r="AG201" s="29"/>
      <c r="AH201" s="20"/>
      <c r="AI201" s="30"/>
      <c r="AJ201" s="36"/>
      <c r="AK201" s="20"/>
      <c r="AL201" s="29" t="s">
        <v>160</v>
      </c>
      <c r="AM201" s="29" t="s">
        <v>193</v>
      </c>
      <c r="AN201" s="30" t="s">
        <v>4378</v>
      </c>
      <c r="AO201" s="30" t="s">
        <v>137</v>
      </c>
      <c r="AP201" s="30" t="s">
        <v>113</v>
      </c>
      <c r="AQ201" s="30" t="s">
        <v>148</v>
      </c>
      <c r="AR201" s="12">
        <f t="shared" si="5"/>
        <v>10</v>
      </c>
      <c r="AS201" s="12">
        <f t="shared" si="6"/>
        <v>10</v>
      </c>
      <c r="AT201" s="32"/>
    </row>
    <row r="202" spans="1:46" s="19" customFormat="1" ht="20.100000000000001" hidden="1" customHeight="1" x14ac:dyDescent="0.2">
      <c r="A202" s="222">
        <v>193</v>
      </c>
      <c r="B202" s="16" t="s">
        <v>4735</v>
      </c>
      <c r="C202" s="16" t="s">
        <v>1056</v>
      </c>
      <c r="D202" s="193" t="s">
        <v>2425</v>
      </c>
      <c r="E202" s="193" t="s">
        <v>6</v>
      </c>
      <c r="F202" s="193"/>
      <c r="G202" s="193"/>
      <c r="H202" s="192" t="s">
        <v>7</v>
      </c>
      <c r="I202" s="16" t="s">
        <v>84</v>
      </c>
      <c r="J202" s="35" t="s">
        <v>155</v>
      </c>
      <c r="K202" s="35" t="s">
        <v>68</v>
      </c>
      <c r="L202" s="193"/>
      <c r="M202" s="193" t="s">
        <v>262</v>
      </c>
      <c r="N202" s="192" t="s">
        <v>70</v>
      </c>
      <c r="O202" s="35" t="s">
        <v>167</v>
      </c>
      <c r="P202" s="35" t="s">
        <v>1510</v>
      </c>
      <c r="Q202" s="35" t="s">
        <v>144</v>
      </c>
      <c r="R202" s="193" t="s">
        <v>4747</v>
      </c>
      <c r="S202" s="193" t="s">
        <v>73</v>
      </c>
      <c r="T202" s="193" t="s">
        <v>70</v>
      </c>
      <c r="U202" s="192"/>
      <c r="V202" s="192"/>
      <c r="W202" s="192">
        <v>235</v>
      </c>
      <c r="X202" s="192">
        <v>222</v>
      </c>
      <c r="Y202" s="16">
        <v>222</v>
      </c>
      <c r="Z202" s="16">
        <v>132</v>
      </c>
      <c r="AA202" s="16">
        <v>154</v>
      </c>
      <c r="AB202" s="16">
        <v>3</v>
      </c>
      <c r="AC202" s="16">
        <v>55</v>
      </c>
      <c r="AD202" s="16">
        <v>212</v>
      </c>
      <c r="AE202" s="16">
        <v>15</v>
      </c>
      <c r="AF202" s="16">
        <v>6</v>
      </c>
      <c r="AG202" s="16"/>
      <c r="AH202" s="192"/>
      <c r="AI202" s="193" t="s">
        <v>4733</v>
      </c>
      <c r="AJ202" s="25">
        <v>224</v>
      </c>
      <c r="AK202" s="192">
        <v>18.399999999999999</v>
      </c>
      <c r="AL202" s="16"/>
      <c r="AM202" s="16"/>
      <c r="AN202" s="193"/>
      <c r="AO202" s="193"/>
      <c r="AP202" s="193"/>
      <c r="AQ202" s="193"/>
      <c r="AR202" s="12" t="str">
        <f t="shared" ref="AR202:AR265" si="7">IF(AN202*AP202&gt;0,(AN202-AP202)*12+(AO202-AQ202),"")</f>
        <v/>
      </c>
      <c r="AS202" s="12" t="str">
        <f t="shared" ref="AS202:AS265" si="8">IF(AR202&lt;13,AR202,"")</f>
        <v/>
      </c>
      <c r="AT202" s="18"/>
    </row>
    <row r="203" spans="1:46" s="19" customFormat="1" ht="20.100000000000001" hidden="1" customHeight="1" x14ac:dyDescent="0.2">
      <c r="A203" s="222">
        <v>194</v>
      </c>
      <c r="B203" s="16" t="s">
        <v>4736</v>
      </c>
      <c r="C203" s="16" t="s">
        <v>1056</v>
      </c>
      <c r="D203" s="193" t="s">
        <v>591</v>
      </c>
      <c r="E203" s="193" t="s">
        <v>9</v>
      </c>
      <c r="F203" s="193" t="s">
        <v>192</v>
      </c>
      <c r="G203" s="193"/>
      <c r="H203" s="192" t="s">
        <v>7</v>
      </c>
      <c r="I203" s="16" t="s">
        <v>92</v>
      </c>
      <c r="J203" s="193"/>
      <c r="K203" s="193" t="s">
        <v>155</v>
      </c>
      <c r="L203" s="193"/>
      <c r="M203" s="193" t="s">
        <v>69</v>
      </c>
      <c r="N203" s="192" t="s">
        <v>70</v>
      </c>
      <c r="O203" s="193"/>
      <c r="P203" s="193" t="s">
        <v>3679</v>
      </c>
      <c r="Q203" s="193" t="s">
        <v>441</v>
      </c>
      <c r="R203" s="193"/>
      <c r="S203" s="193" t="s">
        <v>142</v>
      </c>
      <c r="T203" s="193" t="s">
        <v>70</v>
      </c>
      <c r="U203" s="192"/>
      <c r="V203" s="192"/>
      <c r="W203" s="192">
        <v>250</v>
      </c>
      <c r="X203" s="192">
        <v>0</v>
      </c>
      <c r="Y203" s="16">
        <v>231</v>
      </c>
      <c r="Z203" s="16">
        <v>150</v>
      </c>
      <c r="AA203" s="16">
        <v>174</v>
      </c>
      <c r="AB203" s="16">
        <v>7</v>
      </c>
      <c r="AC203" s="16">
        <v>25</v>
      </c>
      <c r="AD203" s="16">
        <v>206</v>
      </c>
      <c r="AE203" s="16">
        <v>23</v>
      </c>
      <c r="AF203" s="16">
        <v>6</v>
      </c>
      <c r="AG203" s="16"/>
      <c r="AH203" s="192"/>
      <c r="AI203" s="193" t="s">
        <v>4735</v>
      </c>
      <c r="AJ203" s="25">
        <v>204</v>
      </c>
      <c r="AK203" s="192">
        <v>22.8</v>
      </c>
      <c r="AL203" s="16"/>
      <c r="AM203" s="16"/>
      <c r="AN203" s="193"/>
      <c r="AO203" s="193"/>
      <c r="AP203" s="193"/>
      <c r="AQ203" s="193"/>
      <c r="AR203" s="12" t="str">
        <f t="shared" si="7"/>
        <v/>
      </c>
      <c r="AS203" s="12" t="str">
        <f t="shared" si="8"/>
        <v/>
      </c>
      <c r="AT203" s="18"/>
    </row>
    <row r="204" spans="1:46" s="19" customFormat="1" ht="20.100000000000001" hidden="1" customHeight="1" x14ac:dyDescent="0.2">
      <c r="A204" s="222">
        <v>195</v>
      </c>
      <c r="B204" s="16" t="s">
        <v>4737</v>
      </c>
      <c r="C204" s="16" t="s">
        <v>1056</v>
      </c>
      <c r="D204" s="193" t="s">
        <v>944</v>
      </c>
      <c r="E204" s="193" t="s">
        <v>20</v>
      </c>
      <c r="F204" s="193"/>
      <c r="G204" s="193"/>
      <c r="H204" s="192" t="s">
        <v>7</v>
      </c>
      <c r="I204" s="16" t="s">
        <v>84</v>
      </c>
      <c r="J204" s="35" t="s">
        <v>251</v>
      </c>
      <c r="K204" s="35" t="s">
        <v>104</v>
      </c>
      <c r="L204" s="193"/>
      <c r="M204" s="193" t="s">
        <v>69</v>
      </c>
      <c r="N204" s="192" t="s">
        <v>70</v>
      </c>
      <c r="O204" s="35" t="s">
        <v>453</v>
      </c>
      <c r="P204" s="35" t="s">
        <v>2245</v>
      </c>
      <c r="Q204" s="35" t="s">
        <v>769</v>
      </c>
      <c r="R204" s="193"/>
      <c r="S204" s="242" t="s">
        <v>106</v>
      </c>
      <c r="T204" s="241" t="s">
        <v>107</v>
      </c>
      <c r="U204" s="192"/>
      <c r="V204" s="192"/>
      <c r="W204" s="192">
        <v>241</v>
      </c>
      <c r="X204" s="33">
        <v>222</v>
      </c>
      <c r="Y204" s="34">
        <v>228</v>
      </c>
      <c r="Z204" s="16">
        <v>99</v>
      </c>
      <c r="AA204" s="16">
        <v>180</v>
      </c>
      <c r="AB204" s="16">
        <v>2</v>
      </c>
      <c r="AC204" s="16">
        <v>67</v>
      </c>
      <c r="AD204" s="16">
        <v>249</v>
      </c>
      <c r="AE204" s="16">
        <v>12.5</v>
      </c>
      <c r="AF204" s="16">
        <v>6</v>
      </c>
      <c r="AG204" s="16"/>
      <c r="AH204" s="192"/>
      <c r="AI204" s="193" t="s">
        <v>4736</v>
      </c>
      <c r="AJ204" s="25">
        <v>247</v>
      </c>
      <c r="AK204" s="192">
        <v>13</v>
      </c>
      <c r="AL204" s="16" t="s">
        <v>160</v>
      </c>
      <c r="AM204" s="16"/>
      <c r="AN204" s="193"/>
      <c r="AO204" s="193"/>
      <c r="AP204" s="193"/>
      <c r="AQ204" s="193"/>
      <c r="AR204" s="12" t="str">
        <f t="shared" si="7"/>
        <v/>
      </c>
      <c r="AS204" s="12" t="str">
        <f t="shared" si="8"/>
        <v/>
      </c>
      <c r="AT204" s="18"/>
    </row>
    <row r="205" spans="1:46" s="21" customFormat="1" ht="20.100000000000001" hidden="1" customHeight="1" x14ac:dyDescent="0.2">
      <c r="A205" s="20">
        <v>196</v>
      </c>
      <c r="B205" s="29" t="s">
        <v>4738</v>
      </c>
      <c r="C205" s="16" t="s">
        <v>1056</v>
      </c>
      <c r="D205" s="30" t="s">
        <v>4491</v>
      </c>
      <c r="E205" s="30" t="s">
        <v>6</v>
      </c>
      <c r="F205" s="30" t="s">
        <v>202</v>
      </c>
      <c r="G205" s="30"/>
      <c r="H205" s="20" t="s">
        <v>83</v>
      </c>
      <c r="I205" s="29" t="s">
        <v>84</v>
      </c>
      <c r="J205" s="30"/>
      <c r="K205" s="30" t="s">
        <v>104</v>
      </c>
      <c r="L205" s="30" t="s">
        <v>4497</v>
      </c>
      <c r="M205" s="30" t="s">
        <v>106</v>
      </c>
      <c r="N205" s="20" t="s">
        <v>107</v>
      </c>
      <c r="O205" s="30"/>
      <c r="P205" s="30" t="s">
        <v>3677</v>
      </c>
      <c r="Q205" s="30" t="s">
        <v>555</v>
      </c>
      <c r="R205" s="30" t="s">
        <v>4498</v>
      </c>
      <c r="S205" s="30" t="s">
        <v>106</v>
      </c>
      <c r="T205" s="30" t="s">
        <v>107</v>
      </c>
      <c r="U205" s="20"/>
      <c r="V205" s="20"/>
      <c r="W205" s="20"/>
      <c r="X205" s="20"/>
      <c r="Y205" s="29">
        <v>216</v>
      </c>
      <c r="Z205" s="29"/>
      <c r="AA205" s="29"/>
      <c r="AB205" s="29"/>
      <c r="AC205" s="29"/>
      <c r="AD205" s="29"/>
      <c r="AE205" s="29"/>
      <c r="AF205" s="29">
        <v>6</v>
      </c>
      <c r="AG205" s="29"/>
      <c r="AH205" s="20"/>
      <c r="AI205" s="30"/>
      <c r="AJ205" s="36"/>
      <c r="AK205" s="20"/>
      <c r="AL205" s="29" t="s">
        <v>160</v>
      </c>
      <c r="AM205" s="29" t="s">
        <v>193</v>
      </c>
      <c r="AN205" s="30" t="s">
        <v>4378</v>
      </c>
      <c r="AO205" s="30" t="s">
        <v>137</v>
      </c>
      <c r="AP205" s="30" t="s">
        <v>4378</v>
      </c>
      <c r="AQ205" s="30" t="s">
        <v>296</v>
      </c>
      <c r="AR205" s="12">
        <f t="shared" si="7"/>
        <v>4</v>
      </c>
      <c r="AS205" s="12">
        <f t="shared" si="8"/>
        <v>4</v>
      </c>
      <c r="AT205" s="32"/>
    </row>
    <row r="206" spans="1:46" s="19" customFormat="1" ht="20.100000000000001" hidden="1" customHeight="1" x14ac:dyDescent="0.2">
      <c r="A206" s="222">
        <v>197</v>
      </c>
      <c r="B206" s="16" t="s">
        <v>4738</v>
      </c>
      <c r="C206" s="16" t="s">
        <v>1056</v>
      </c>
      <c r="D206" s="193" t="s">
        <v>4739</v>
      </c>
      <c r="E206" s="193" t="s">
        <v>8</v>
      </c>
      <c r="F206" s="193" t="s">
        <v>4038</v>
      </c>
      <c r="G206" s="193"/>
      <c r="H206" s="237" t="s">
        <v>83</v>
      </c>
      <c r="I206" s="16" t="s">
        <v>92</v>
      </c>
      <c r="J206" s="193"/>
      <c r="K206" s="193"/>
      <c r="L206" s="193"/>
      <c r="M206" s="193"/>
      <c r="N206" s="192"/>
      <c r="O206" s="193"/>
      <c r="P206" s="193"/>
      <c r="Q206" s="193"/>
      <c r="R206" s="193"/>
      <c r="S206" s="193"/>
      <c r="T206" s="193"/>
      <c r="U206" s="192"/>
      <c r="V206" s="192"/>
      <c r="W206" s="192"/>
      <c r="X206" s="192"/>
      <c r="Y206" s="16"/>
      <c r="Z206" s="16"/>
      <c r="AA206" s="16"/>
      <c r="AB206" s="16"/>
      <c r="AC206" s="16"/>
      <c r="AD206" s="16"/>
      <c r="AE206" s="16"/>
      <c r="AF206" s="16"/>
      <c r="AG206" s="16"/>
      <c r="AH206" s="192"/>
      <c r="AI206" s="193"/>
      <c r="AJ206" s="25"/>
      <c r="AK206" s="192"/>
      <c r="AL206" s="16"/>
      <c r="AM206" s="16"/>
      <c r="AN206" s="193"/>
      <c r="AO206" s="193"/>
      <c r="AP206" s="193"/>
      <c r="AQ206" s="193"/>
      <c r="AR206" s="12" t="str">
        <f t="shared" si="7"/>
        <v/>
      </c>
      <c r="AS206" s="12" t="str">
        <f t="shared" si="8"/>
        <v/>
      </c>
      <c r="AT206" s="18"/>
    </row>
    <row r="207" spans="1:46" s="19" customFormat="1" ht="20.100000000000001" hidden="1" customHeight="1" x14ac:dyDescent="0.2">
      <c r="A207" s="222">
        <v>198</v>
      </c>
      <c r="B207" s="16" t="s">
        <v>4738</v>
      </c>
      <c r="C207" s="16" t="s">
        <v>1056</v>
      </c>
      <c r="D207" s="238" t="s">
        <v>4739</v>
      </c>
      <c r="E207" s="193" t="s">
        <v>8</v>
      </c>
      <c r="F207" s="193"/>
      <c r="G207" s="193"/>
      <c r="H207" s="192" t="s">
        <v>7</v>
      </c>
      <c r="I207" s="16" t="s">
        <v>92</v>
      </c>
      <c r="J207" s="193"/>
      <c r="K207" s="193"/>
      <c r="L207" s="193"/>
      <c r="M207" s="193"/>
      <c r="N207" s="192"/>
      <c r="O207" s="193"/>
      <c r="P207" s="193"/>
      <c r="Q207" s="193"/>
      <c r="R207" s="193"/>
      <c r="S207" s="193"/>
      <c r="T207" s="193"/>
      <c r="U207" s="192"/>
      <c r="V207" s="192"/>
      <c r="W207" s="192"/>
      <c r="X207" s="192"/>
      <c r="Y207" s="16"/>
      <c r="Z207" s="16"/>
      <c r="AA207" s="16"/>
      <c r="AB207" s="16"/>
      <c r="AC207" s="16"/>
      <c r="AD207" s="16"/>
      <c r="AE207" s="16"/>
      <c r="AF207" s="16"/>
      <c r="AG207" s="16"/>
      <c r="AH207" s="192"/>
      <c r="AI207" s="193"/>
      <c r="AJ207" s="25"/>
      <c r="AK207" s="192"/>
      <c r="AL207" s="16"/>
      <c r="AM207" s="16"/>
      <c r="AN207" s="193"/>
      <c r="AO207" s="193"/>
      <c r="AP207" s="193"/>
      <c r="AQ207" s="193"/>
      <c r="AR207" s="12" t="str">
        <f t="shared" si="7"/>
        <v/>
      </c>
      <c r="AS207" s="12" t="str">
        <f t="shared" si="8"/>
        <v/>
      </c>
      <c r="AT207" s="18"/>
    </row>
    <row r="208" spans="1:46" s="19" customFormat="1" ht="20.100000000000001" hidden="1" customHeight="1" x14ac:dyDescent="0.2">
      <c r="A208" s="222">
        <v>199</v>
      </c>
      <c r="B208" s="16" t="s">
        <v>4775</v>
      </c>
      <c r="C208" s="16" t="s">
        <v>1056</v>
      </c>
      <c r="D208" s="193" t="s">
        <v>1646</v>
      </c>
      <c r="E208" s="193" t="s">
        <v>66</v>
      </c>
      <c r="F208" s="193" t="s">
        <v>4038</v>
      </c>
      <c r="G208" s="193"/>
      <c r="H208" s="192" t="s">
        <v>83</v>
      </c>
      <c r="I208" s="16" t="s">
        <v>3439</v>
      </c>
      <c r="J208" s="193"/>
      <c r="K208" s="193" t="s">
        <v>223</v>
      </c>
      <c r="L208" s="193"/>
      <c r="M208" s="193" t="s">
        <v>2767</v>
      </c>
      <c r="N208" s="192" t="s">
        <v>107</v>
      </c>
      <c r="O208" s="193"/>
      <c r="P208" s="193" t="s">
        <v>2961</v>
      </c>
      <c r="Q208" s="193" t="s">
        <v>441</v>
      </c>
      <c r="R208" s="193"/>
      <c r="S208" s="193" t="s">
        <v>2767</v>
      </c>
      <c r="T208" s="193" t="s">
        <v>107</v>
      </c>
      <c r="U208" s="192" t="s">
        <v>2390</v>
      </c>
      <c r="V208" s="192"/>
      <c r="W208" s="192"/>
      <c r="X208" s="192"/>
      <c r="Y208" s="16">
        <v>138</v>
      </c>
      <c r="Z208" s="16"/>
      <c r="AA208" s="16"/>
      <c r="AB208" s="16"/>
      <c r="AC208" s="16"/>
      <c r="AD208" s="16"/>
      <c r="AE208" s="16"/>
      <c r="AF208" s="16">
        <v>3</v>
      </c>
      <c r="AG208" s="16"/>
      <c r="AH208" s="192"/>
      <c r="AI208" s="193"/>
      <c r="AJ208" s="25"/>
      <c r="AK208" s="192"/>
      <c r="AL208" s="16"/>
      <c r="AM208" s="16"/>
      <c r="AN208" s="193"/>
      <c r="AO208" s="193"/>
      <c r="AP208" s="193"/>
      <c r="AQ208" s="193"/>
      <c r="AR208" s="12" t="str">
        <f t="shared" si="7"/>
        <v/>
      </c>
      <c r="AS208" s="12" t="str">
        <f t="shared" si="8"/>
        <v/>
      </c>
      <c r="AT208" s="18"/>
    </row>
    <row r="209" spans="1:46" s="19" customFormat="1" ht="20.100000000000001" hidden="1" customHeight="1" x14ac:dyDescent="0.2">
      <c r="A209" s="222">
        <v>200</v>
      </c>
      <c r="B209" s="16" t="s">
        <v>4776</v>
      </c>
      <c r="C209" s="16" t="s">
        <v>1056</v>
      </c>
      <c r="D209" s="245" t="s">
        <v>1646</v>
      </c>
      <c r="E209" s="193" t="s">
        <v>66</v>
      </c>
      <c r="F209" s="193"/>
      <c r="G209" s="193"/>
      <c r="H209" s="192" t="s">
        <v>7</v>
      </c>
      <c r="I209" s="16" t="s">
        <v>84</v>
      </c>
      <c r="J209" s="193" t="s">
        <v>223</v>
      </c>
      <c r="K209" s="193" t="s">
        <v>223</v>
      </c>
      <c r="L209" s="193"/>
      <c r="M209" s="193" t="s">
        <v>106</v>
      </c>
      <c r="N209" s="192" t="s">
        <v>107</v>
      </c>
      <c r="O209" s="35" t="s">
        <v>230</v>
      </c>
      <c r="P209" s="35" t="s">
        <v>2961</v>
      </c>
      <c r="Q209" s="35" t="s">
        <v>718</v>
      </c>
      <c r="R209" s="193"/>
      <c r="S209" s="193" t="s">
        <v>69</v>
      </c>
      <c r="T209" s="193" t="s">
        <v>70</v>
      </c>
      <c r="U209" s="192"/>
      <c r="V209" s="192"/>
      <c r="W209" s="192"/>
      <c r="X209" s="192">
        <v>138</v>
      </c>
      <c r="Y209" s="16">
        <v>138</v>
      </c>
      <c r="Z209" s="16"/>
      <c r="AA209" s="16"/>
      <c r="AB209" s="16"/>
      <c r="AC209" s="16"/>
      <c r="AD209" s="16"/>
      <c r="AE209" s="16"/>
      <c r="AF209" s="16">
        <v>3</v>
      </c>
      <c r="AG209" s="16"/>
      <c r="AH209" s="192"/>
      <c r="AI209" s="193"/>
      <c r="AJ209" s="25"/>
      <c r="AK209" s="192"/>
      <c r="AL209" s="16"/>
      <c r="AM209" s="16"/>
      <c r="AN209" s="193"/>
      <c r="AO209" s="193"/>
      <c r="AP209" s="193"/>
      <c r="AQ209" s="193"/>
      <c r="AR209" s="12" t="str">
        <f t="shared" si="7"/>
        <v/>
      </c>
      <c r="AS209" s="12" t="str">
        <f t="shared" si="8"/>
        <v/>
      </c>
      <c r="AT209" s="18"/>
    </row>
    <row r="210" spans="1:46" s="19" customFormat="1" ht="20.100000000000001" hidden="1" customHeight="1" x14ac:dyDescent="0.2">
      <c r="A210" s="222">
        <v>201</v>
      </c>
      <c r="B210" s="16" t="s">
        <v>4776</v>
      </c>
      <c r="C210" s="16" t="s">
        <v>1056</v>
      </c>
      <c r="D210" s="193" t="s">
        <v>1652</v>
      </c>
      <c r="E210" s="193" t="s">
        <v>10</v>
      </c>
      <c r="F210" s="193" t="s">
        <v>202</v>
      </c>
      <c r="G210" s="193"/>
      <c r="H210" s="192" t="s">
        <v>83</v>
      </c>
      <c r="I210" s="16" t="s">
        <v>92</v>
      </c>
      <c r="J210" s="193"/>
      <c r="K210" s="193" t="s">
        <v>117</v>
      </c>
      <c r="L210" s="193" t="s">
        <v>4116</v>
      </c>
      <c r="M210" s="193" t="s">
        <v>106</v>
      </c>
      <c r="N210" s="192" t="s">
        <v>107</v>
      </c>
      <c r="O210" s="193"/>
      <c r="P210" s="193" t="s">
        <v>1510</v>
      </c>
      <c r="Q210" s="193" t="s">
        <v>2258</v>
      </c>
      <c r="R210" s="193" t="s">
        <v>4117</v>
      </c>
      <c r="S210" s="193" t="s">
        <v>106</v>
      </c>
      <c r="T210" s="193" t="s">
        <v>107</v>
      </c>
      <c r="U210" s="192" t="s">
        <v>4111</v>
      </c>
      <c r="V210" s="192"/>
      <c r="W210" s="192"/>
      <c r="X210" s="192"/>
      <c r="Y210" s="16">
        <v>204</v>
      </c>
      <c r="Z210" s="16"/>
      <c r="AA210" s="16"/>
      <c r="AB210" s="16"/>
      <c r="AC210" s="16"/>
      <c r="AD210" s="16"/>
      <c r="AE210" s="16"/>
      <c r="AF210" s="16">
        <v>6</v>
      </c>
      <c r="AG210" s="16"/>
      <c r="AH210" s="192"/>
      <c r="AI210" s="193"/>
      <c r="AJ210" s="25"/>
      <c r="AK210" s="192"/>
      <c r="AL210" s="16" t="s">
        <v>160</v>
      </c>
      <c r="AM210" s="16"/>
      <c r="AN210" s="193" t="s">
        <v>4378</v>
      </c>
      <c r="AO210" s="193" t="s">
        <v>137</v>
      </c>
      <c r="AP210" s="193" t="s">
        <v>113</v>
      </c>
      <c r="AQ210" s="193" t="s">
        <v>266</v>
      </c>
      <c r="AR210" s="12">
        <f t="shared" si="7"/>
        <v>9</v>
      </c>
      <c r="AS210" s="12">
        <f t="shared" si="8"/>
        <v>9</v>
      </c>
      <c r="AT210" s="18"/>
    </row>
    <row r="211" spans="1:46" s="19" customFormat="1" ht="20.100000000000001" hidden="1" customHeight="1" x14ac:dyDescent="0.2">
      <c r="A211" s="222">
        <v>202</v>
      </c>
      <c r="B211" s="16" t="s">
        <v>4777</v>
      </c>
      <c r="C211" s="16" t="s">
        <v>1056</v>
      </c>
      <c r="D211" s="193" t="s">
        <v>4778</v>
      </c>
      <c r="E211" s="252" t="s">
        <v>10</v>
      </c>
      <c r="F211" s="193"/>
      <c r="G211" s="193"/>
      <c r="H211" s="192" t="s">
        <v>7</v>
      </c>
      <c r="I211" s="16" t="s">
        <v>92</v>
      </c>
      <c r="J211" s="35" t="s">
        <v>117</v>
      </c>
      <c r="K211" s="35" t="s">
        <v>140</v>
      </c>
      <c r="L211" s="193"/>
      <c r="M211" s="193" t="s">
        <v>69</v>
      </c>
      <c r="N211" s="192" t="s">
        <v>70</v>
      </c>
      <c r="O211" s="35" t="s">
        <v>199</v>
      </c>
      <c r="P211" s="35" t="s">
        <v>2961</v>
      </c>
      <c r="Q211" s="35" t="s">
        <v>144</v>
      </c>
      <c r="R211" s="193"/>
      <c r="S211" s="349" t="s">
        <v>106</v>
      </c>
      <c r="T211" s="349" t="s">
        <v>107</v>
      </c>
      <c r="U211" s="192"/>
      <c r="V211" s="192"/>
      <c r="W211" s="192">
        <v>213</v>
      </c>
      <c r="X211" s="192">
        <v>204</v>
      </c>
      <c r="Y211" s="16">
        <v>204</v>
      </c>
      <c r="Z211" s="16">
        <v>125</v>
      </c>
      <c r="AA211" s="16">
        <v>163</v>
      </c>
      <c r="AB211" s="16">
        <v>2</v>
      </c>
      <c r="AC211" s="16">
        <v>36</v>
      </c>
      <c r="AD211" s="16">
        <v>205</v>
      </c>
      <c r="AE211" s="16">
        <v>11</v>
      </c>
      <c r="AF211" s="16">
        <v>6</v>
      </c>
      <c r="AG211" s="16"/>
      <c r="AH211" s="192"/>
      <c r="AI211" s="193"/>
      <c r="AJ211" s="25"/>
      <c r="AK211" s="192"/>
      <c r="AL211" s="16"/>
      <c r="AM211" s="16"/>
      <c r="AN211" s="193"/>
      <c r="AO211" s="193"/>
      <c r="AP211" s="193"/>
      <c r="AQ211" s="193"/>
      <c r="AR211" s="12" t="str">
        <f t="shared" si="7"/>
        <v/>
      </c>
      <c r="AS211" s="12" t="str">
        <f t="shared" si="8"/>
        <v/>
      </c>
      <c r="AT211" s="18"/>
    </row>
    <row r="212" spans="1:46" s="21" customFormat="1" ht="20.100000000000001" hidden="1" customHeight="1" x14ac:dyDescent="0.2">
      <c r="A212" s="20">
        <v>203</v>
      </c>
      <c r="B212" s="29" t="s">
        <v>4779</v>
      </c>
      <c r="C212" s="29" t="s">
        <v>1253</v>
      </c>
      <c r="D212" s="30" t="s">
        <v>181</v>
      </c>
      <c r="E212" s="30" t="s">
        <v>9</v>
      </c>
      <c r="F212" s="30" t="s">
        <v>4038</v>
      </c>
      <c r="G212" s="193"/>
      <c r="H212" s="20" t="s">
        <v>83</v>
      </c>
      <c r="I212" s="29" t="s">
        <v>92</v>
      </c>
      <c r="J212" s="30"/>
      <c r="K212" s="30" t="s">
        <v>334</v>
      </c>
      <c r="L212" s="30" t="s">
        <v>4483</v>
      </c>
      <c r="M212" s="30" t="s">
        <v>106</v>
      </c>
      <c r="N212" s="20" t="s">
        <v>107</v>
      </c>
      <c r="O212" s="30"/>
      <c r="P212" s="30" t="s">
        <v>2961</v>
      </c>
      <c r="Q212" s="30" t="s">
        <v>260</v>
      </c>
      <c r="R212" s="30" t="s">
        <v>4484</v>
      </c>
      <c r="S212" s="30" t="s">
        <v>106</v>
      </c>
      <c r="T212" s="30" t="s">
        <v>107</v>
      </c>
      <c r="U212" s="20" t="s">
        <v>4474</v>
      </c>
      <c r="V212" s="192"/>
      <c r="W212" s="20"/>
      <c r="X212" s="20"/>
      <c r="Y212" s="29">
        <v>216</v>
      </c>
      <c r="Z212" s="29"/>
      <c r="AA212" s="29"/>
      <c r="AB212" s="29"/>
      <c r="AC212" s="29"/>
      <c r="AD212" s="29"/>
      <c r="AE212" s="29"/>
      <c r="AF212" s="29">
        <v>4</v>
      </c>
      <c r="AG212" s="16"/>
      <c r="AH212" s="192"/>
      <c r="AI212" s="30"/>
      <c r="AJ212" s="36"/>
      <c r="AK212" s="20"/>
      <c r="AL212" s="29"/>
      <c r="AM212" s="29"/>
      <c r="AN212" s="30" t="s">
        <v>4378</v>
      </c>
      <c r="AO212" s="30" t="s">
        <v>344</v>
      </c>
      <c r="AP212" s="30" t="s">
        <v>4378</v>
      </c>
      <c r="AQ212" s="30" t="s">
        <v>296</v>
      </c>
      <c r="AR212" s="31">
        <f t="shared" si="7"/>
        <v>5</v>
      </c>
      <c r="AS212" s="31">
        <f t="shared" si="8"/>
        <v>5</v>
      </c>
      <c r="AT212" s="32"/>
    </row>
    <row r="213" spans="1:46" s="19" customFormat="1" ht="20.100000000000001" hidden="1" customHeight="1" x14ac:dyDescent="0.2">
      <c r="A213" s="222">
        <v>204</v>
      </c>
      <c r="B213" s="16" t="s">
        <v>4779</v>
      </c>
      <c r="C213" s="16" t="s">
        <v>1253</v>
      </c>
      <c r="D213" s="245" t="s">
        <v>181</v>
      </c>
      <c r="E213" s="252" t="s">
        <v>9</v>
      </c>
      <c r="F213" s="193"/>
      <c r="G213" s="193"/>
      <c r="H213" s="192" t="s">
        <v>7</v>
      </c>
      <c r="I213" s="16" t="s">
        <v>92</v>
      </c>
      <c r="J213" s="35" t="s">
        <v>334</v>
      </c>
      <c r="K213" s="35" t="s">
        <v>223</v>
      </c>
      <c r="L213" s="193"/>
      <c r="M213" s="193" t="s">
        <v>106</v>
      </c>
      <c r="N213" s="192" t="s">
        <v>107</v>
      </c>
      <c r="O213" s="35" t="s">
        <v>991</v>
      </c>
      <c r="P213" s="35" t="s">
        <v>1809</v>
      </c>
      <c r="Q213" s="35" t="s">
        <v>116</v>
      </c>
      <c r="R213" s="193"/>
      <c r="S213" s="349" t="s">
        <v>106</v>
      </c>
      <c r="T213" s="349" t="s">
        <v>107</v>
      </c>
      <c r="U213" s="192"/>
      <c r="V213" s="192"/>
      <c r="W213" s="192">
        <v>230</v>
      </c>
      <c r="X213" s="192">
        <v>216</v>
      </c>
      <c r="Y213" s="16">
        <v>216</v>
      </c>
      <c r="Z213" s="16">
        <v>112</v>
      </c>
      <c r="AA213" s="16">
        <v>118</v>
      </c>
      <c r="AB213" s="16">
        <v>10</v>
      </c>
      <c r="AC213" s="16">
        <v>27</v>
      </c>
      <c r="AD213" s="16">
        <v>155</v>
      </c>
      <c r="AE213" s="16">
        <v>6</v>
      </c>
      <c r="AF213" s="16">
        <v>3</v>
      </c>
      <c r="AG213" s="16"/>
      <c r="AH213" s="192"/>
      <c r="AI213" s="193"/>
      <c r="AJ213" s="25"/>
      <c r="AK213" s="192"/>
      <c r="AL213" s="16"/>
      <c r="AM213" s="16"/>
      <c r="AN213" s="193"/>
      <c r="AO213" s="193"/>
      <c r="AP213" s="193"/>
      <c r="AQ213" s="193"/>
      <c r="AR213" s="12" t="str">
        <f t="shared" si="7"/>
        <v/>
      </c>
      <c r="AS213" s="12" t="str">
        <f t="shared" si="8"/>
        <v/>
      </c>
      <c r="AT213" s="18"/>
    </row>
    <row r="214" spans="1:46" s="19" customFormat="1" ht="20.100000000000001" hidden="1" customHeight="1" x14ac:dyDescent="0.2">
      <c r="A214" s="222">
        <v>205</v>
      </c>
      <c r="B214" s="16" t="s">
        <v>4780</v>
      </c>
      <c r="C214" s="16" t="s">
        <v>1253</v>
      </c>
      <c r="D214" s="193" t="s">
        <v>4062</v>
      </c>
      <c r="E214" s="193" t="s">
        <v>19</v>
      </c>
      <c r="F214" s="193"/>
      <c r="G214" s="193"/>
      <c r="H214" s="192" t="s">
        <v>7</v>
      </c>
      <c r="I214" s="16" t="s">
        <v>84</v>
      </c>
      <c r="J214" s="35" t="s">
        <v>104</v>
      </c>
      <c r="K214" s="35" t="s">
        <v>117</v>
      </c>
      <c r="L214" s="193"/>
      <c r="M214" s="193" t="s">
        <v>106</v>
      </c>
      <c r="N214" s="192" t="s">
        <v>107</v>
      </c>
      <c r="O214" s="35" t="s">
        <v>361</v>
      </c>
      <c r="P214" s="35" t="s">
        <v>1809</v>
      </c>
      <c r="Q214" s="35" t="s">
        <v>1581</v>
      </c>
      <c r="R214" s="193" t="s">
        <v>5299</v>
      </c>
      <c r="S214" s="193" t="s">
        <v>69</v>
      </c>
      <c r="T214" s="193" t="s">
        <v>70</v>
      </c>
      <c r="U214" s="192"/>
      <c r="V214" s="192"/>
      <c r="W214" s="192">
        <v>230</v>
      </c>
      <c r="X214" s="192">
        <v>207</v>
      </c>
      <c r="Y214" s="16">
        <v>207</v>
      </c>
      <c r="Z214" s="16">
        <v>79</v>
      </c>
      <c r="AA214" s="16">
        <v>168</v>
      </c>
      <c r="AB214" s="16">
        <v>1</v>
      </c>
      <c r="AC214" s="16">
        <v>20</v>
      </c>
      <c r="AD214" s="16">
        <v>189</v>
      </c>
      <c r="AE214" s="16">
        <v>8</v>
      </c>
      <c r="AF214" s="16">
        <v>6</v>
      </c>
      <c r="AG214" s="16"/>
      <c r="AH214" s="192"/>
      <c r="AI214" s="193"/>
      <c r="AJ214" s="25"/>
      <c r="AK214" s="192"/>
      <c r="AL214" s="16"/>
      <c r="AM214" s="16"/>
      <c r="AN214" s="193"/>
      <c r="AO214" s="193"/>
      <c r="AP214" s="193"/>
      <c r="AQ214" s="193"/>
      <c r="AR214" s="12" t="str">
        <f t="shared" si="7"/>
        <v/>
      </c>
      <c r="AS214" s="12" t="str">
        <f t="shared" si="8"/>
        <v/>
      </c>
      <c r="AT214" s="18"/>
    </row>
    <row r="215" spans="1:46" s="19" customFormat="1" ht="20.100000000000001" hidden="1" customHeight="1" x14ac:dyDescent="0.2">
      <c r="A215" s="222">
        <v>206</v>
      </c>
      <c r="B215" s="16" t="s">
        <v>4781</v>
      </c>
      <c r="C215" s="16" t="s">
        <v>1253</v>
      </c>
      <c r="D215" s="193" t="s">
        <v>4370</v>
      </c>
      <c r="E215" s="193" t="s">
        <v>19</v>
      </c>
      <c r="F215" s="193"/>
      <c r="G215" s="193"/>
      <c r="H215" s="192" t="s">
        <v>7</v>
      </c>
      <c r="I215" s="16" t="s">
        <v>92</v>
      </c>
      <c r="J215" s="193" t="s">
        <v>68</v>
      </c>
      <c r="K215" s="193" t="s">
        <v>68</v>
      </c>
      <c r="L215" s="193"/>
      <c r="M215" s="193" t="s">
        <v>69</v>
      </c>
      <c r="N215" s="192" t="s">
        <v>70</v>
      </c>
      <c r="O215" s="35" t="s">
        <v>263</v>
      </c>
      <c r="P215" s="35" t="s">
        <v>1510</v>
      </c>
      <c r="Q215" s="35" t="s">
        <v>1581</v>
      </c>
      <c r="R215" s="193"/>
      <c r="S215" s="193" t="s">
        <v>69</v>
      </c>
      <c r="T215" s="193" t="s">
        <v>70</v>
      </c>
      <c r="U215" s="192"/>
      <c r="V215" s="192"/>
      <c r="W215" s="192">
        <v>247</v>
      </c>
      <c r="X215" s="192">
        <v>210</v>
      </c>
      <c r="Y215" s="16">
        <v>210</v>
      </c>
      <c r="Z215" s="16">
        <v>96</v>
      </c>
      <c r="AA215" s="16">
        <v>143</v>
      </c>
      <c r="AB215" s="16">
        <v>6</v>
      </c>
      <c r="AC215" s="16">
        <v>52</v>
      </c>
      <c r="AD215" s="16">
        <v>205</v>
      </c>
      <c r="AE215" s="16">
        <v>16</v>
      </c>
      <c r="AF215" s="16">
        <v>6</v>
      </c>
      <c r="AG215" s="16"/>
      <c r="AH215" s="192"/>
      <c r="AI215" s="193"/>
      <c r="AJ215" s="25"/>
      <c r="AK215" s="192"/>
      <c r="AL215" s="16"/>
      <c r="AM215" s="16"/>
      <c r="AN215" s="193"/>
      <c r="AO215" s="193"/>
      <c r="AP215" s="193"/>
      <c r="AQ215" s="193"/>
      <c r="AR215" s="12" t="str">
        <f t="shared" si="7"/>
        <v/>
      </c>
      <c r="AS215" s="12" t="str">
        <f t="shared" si="8"/>
        <v/>
      </c>
      <c r="AT215" s="18"/>
    </row>
    <row r="216" spans="1:46" s="21" customFormat="1" ht="20.100000000000001" hidden="1" customHeight="1" x14ac:dyDescent="0.2">
      <c r="A216" s="20">
        <v>207</v>
      </c>
      <c r="B216" s="29" t="s">
        <v>4781</v>
      </c>
      <c r="C216" s="29" t="s">
        <v>1253</v>
      </c>
      <c r="D216" s="30" t="s">
        <v>4377</v>
      </c>
      <c r="E216" s="30" t="s">
        <v>6</v>
      </c>
      <c r="F216" s="30" t="s">
        <v>202</v>
      </c>
      <c r="G216" s="193"/>
      <c r="H216" s="20" t="s">
        <v>83</v>
      </c>
      <c r="I216" s="29" t="s">
        <v>84</v>
      </c>
      <c r="J216" s="30"/>
      <c r="K216" s="30" t="s">
        <v>140</v>
      </c>
      <c r="L216" s="30" t="s">
        <v>1039</v>
      </c>
      <c r="M216" s="30" t="s">
        <v>106</v>
      </c>
      <c r="N216" s="20" t="s">
        <v>107</v>
      </c>
      <c r="O216" s="30"/>
      <c r="P216" s="30" t="s">
        <v>1809</v>
      </c>
      <c r="Q216" s="30" t="s">
        <v>226</v>
      </c>
      <c r="R216" s="30" t="s">
        <v>4526</v>
      </c>
      <c r="S216" s="30" t="s">
        <v>69</v>
      </c>
      <c r="T216" s="30" t="s">
        <v>70</v>
      </c>
      <c r="U216" s="20" t="s">
        <v>4503</v>
      </c>
      <c r="V216" s="192"/>
      <c r="W216" s="20"/>
      <c r="X216" s="20"/>
      <c r="Y216" s="29">
        <v>210</v>
      </c>
      <c r="Z216" s="29"/>
      <c r="AA216" s="29"/>
      <c r="AB216" s="29"/>
      <c r="AC216" s="29"/>
      <c r="AD216" s="29"/>
      <c r="AE216" s="29"/>
      <c r="AF216" s="29">
        <v>4</v>
      </c>
      <c r="AG216" s="16"/>
      <c r="AH216" s="192"/>
      <c r="AI216" s="30"/>
      <c r="AJ216" s="36"/>
      <c r="AK216" s="20"/>
      <c r="AL216" s="29"/>
      <c r="AM216" s="29"/>
      <c r="AN216" s="30" t="s">
        <v>4378</v>
      </c>
      <c r="AO216" s="30" t="s">
        <v>344</v>
      </c>
      <c r="AP216" s="30" t="s">
        <v>4378</v>
      </c>
      <c r="AQ216" s="30" t="s">
        <v>235</v>
      </c>
      <c r="AR216" s="31">
        <f t="shared" si="7"/>
        <v>4</v>
      </c>
      <c r="AS216" s="31">
        <f t="shared" si="8"/>
        <v>4</v>
      </c>
      <c r="AT216" s="32"/>
    </row>
    <row r="217" spans="1:46" s="19" customFormat="1" ht="20.100000000000001" hidden="1" customHeight="1" x14ac:dyDescent="0.2">
      <c r="A217" s="222">
        <v>208</v>
      </c>
      <c r="B217" s="16" t="s">
        <v>4782</v>
      </c>
      <c r="C217" s="16" t="s">
        <v>1253</v>
      </c>
      <c r="D217" s="193" t="s">
        <v>4672</v>
      </c>
      <c r="E217" s="193" t="s">
        <v>20</v>
      </c>
      <c r="F217" s="193"/>
      <c r="G217" s="193"/>
      <c r="H217" s="192" t="s">
        <v>7</v>
      </c>
      <c r="I217" s="16" t="s">
        <v>84</v>
      </c>
      <c r="J217" s="193"/>
      <c r="K217" s="193" t="s">
        <v>68</v>
      </c>
      <c r="L217" s="193" t="s">
        <v>5070</v>
      </c>
      <c r="M217" s="193" t="s">
        <v>106</v>
      </c>
      <c r="N217" s="192" t="s">
        <v>107</v>
      </c>
      <c r="O217" s="193"/>
      <c r="P217" s="193" t="s">
        <v>3679</v>
      </c>
      <c r="Q217" s="193" t="s">
        <v>485</v>
      </c>
      <c r="R217" s="193" t="s">
        <v>5069</v>
      </c>
      <c r="S217" s="299" t="s">
        <v>106</v>
      </c>
      <c r="T217" s="299" t="s">
        <v>107</v>
      </c>
      <c r="U217" s="192"/>
      <c r="V217" s="192"/>
      <c r="W217" s="298">
        <v>250</v>
      </c>
      <c r="X217" s="298">
        <v>0</v>
      </c>
      <c r="Y217" s="16">
        <v>238</v>
      </c>
      <c r="Z217" s="16">
        <v>89</v>
      </c>
      <c r="AA217" s="16">
        <v>118</v>
      </c>
      <c r="AB217" s="16">
        <v>8</v>
      </c>
      <c r="AC217" s="16">
        <v>31</v>
      </c>
      <c r="AD217" s="16">
        <v>157</v>
      </c>
      <c r="AE217" s="16">
        <v>25</v>
      </c>
      <c r="AF217" s="16">
        <v>6</v>
      </c>
      <c r="AG217" s="16"/>
      <c r="AH217" s="192"/>
      <c r="AI217" s="193"/>
      <c r="AJ217" s="25"/>
      <c r="AK217" s="192"/>
      <c r="AL217" s="16" t="s">
        <v>160</v>
      </c>
      <c r="AM217" s="16" t="s">
        <v>193</v>
      </c>
      <c r="AN217" s="193"/>
      <c r="AO217" s="193"/>
      <c r="AP217" s="193"/>
      <c r="AQ217" s="193"/>
      <c r="AR217" s="12" t="str">
        <f t="shared" si="7"/>
        <v/>
      </c>
      <c r="AS217" s="12" t="str">
        <f t="shared" si="8"/>
        <v/>
      </c>
      <c r="AT217" s="18"/>
    </row>
    <row r="218" spans="1:46" s="19" customFormat="1" ht="20.100000000000001" hidden="1" customHeight="1" x14ac:dyDescent="0.2">
      <c r="A218" s="222">
        <v>209</v>
      </c>
      <c r="B218" s="16" t="s">
        <v>4783</v>
      </c>
      <c r="C218" s="16" t="s">
        <v>1253</v>
      </c>
      <c r="D218" s="193" t="s">
        <v>3960</v>
      </c>
      <c r="E218" s="193" t="s">
        <v>19</v>
      </c>
      <c r="F218" s="193"/>
      <c r="G218" s="193"/>
      <c r="H218" s="192" t="s">
        <v>7</v>
      </c>
      <c r="I218" s="16" t="s">
        <v>92</v>
      </c>
      <c r="J218" s="193" t="s">
        <v>155</v>
      </c>
      <c r="K218" s="193" t="s">
        <v>117</v>
      </c>
      <c r="L218" s="193"/>
      <c r="M218" s="193" t="s">
        <v>106</v>
      </c>
      <c r="N218" s="192" t="s">
        <v>107</v>
      </c>
      <c r="O218" s="193" t="s">
        <v>170</v>
      </c>
      <c r="P218" s="193" t="s">
        <v>2961</v>
      </c>
      <c r="Q218" s="193" t="s">
        <v>1581</v>
      </c>
      <c r="R218" s="193" t="s">
        <v>4833</v>
      </c>
      <c r="S218" s="193" t="s">
        <v>73</v>
      </c>
      <c r="T218" s="193" t="s">
        <v>70</v>
      </c>
      <c r="U218" s="192"/>
      <c r="V218" s="192"/>
      <c r="W218" s="192">
        <v>235</v>
      </c>
      <c r="X218" s="192">
        <v>216</v>
      </c>
      <c r="Y218" s="16">
        <v>216</v>
      </c>
      <c r="Z218" s="16">
        <v>97</v>
      </c>
      <c r="AA218" s="16">
        <v>155</v>
      </c>
      <c r="AB218" s="16">
        <v>2</v>
      </c>
      <c r="AC218" s="16">
        <v>57</v>
      </c>
      <c r="AD218" s="16">
        <v>214</v>
      </c>
      <c r="AE218" s="16">
        <v>10</v>
      </c>
      <c r="AF218" s="16">
        <v>6</v>
      </c>
      <c r="AG218" s="16"/>
      <c r="AH218" s="192"/>
      <c r="AI218" s="193" t="s">
        <v>4834</v>
      </c>
      <c r="AJ218" s="25">
        <v>214</v>
      </c>
      <c r="AK218" s="192">
        <v>11</v>
      </c>
      <c r="AL218" s="16"/>
      <c r="AM218" s="16"/>
      <c r="AN218" s="193"/>
      <c r="AO218" s="193"/>
      <c r="AP218" s="193"/>
      <c r="AQ218" s="193"/>
      <c r="AR218" s="12" t="str">
        <f t="shared" si="7"/>
        <v/>
      </c>
      <c r="AS218" s="12" t="str">
        <f t="shared" si="8"/>
        <v/>
      </c>
      <c r="AT218" s="18"/>
    </row>
    <row r="219" spans="1:46" s="19" customFormat="1" ht="20.100000000000001" hidden="1" customHeight="1" x14ac:dyDescent="0.2">
      <c r="A219" s="222">
        <v>210</v>
      </c>
      <c r="B219" s="16" t="s">
        <v>4784</v>
      </c>
      <c r="C219" s="16" t="s">
        <v>1253</v>
      </c>
      <c r="D219" s="193" t="s">
        <v>1373</v>
      </c>
      <c r="E219" s="193" t="s">
        <v>19</v>
      </c>
      <c r="F219" s="193" t="s">
        <v>4038</v>
      </c>
      <c r="G219" s="193"/>
      <c r="H219" s="192" t="s">
        <v>83</v>
      </c>
      <c r="I219" s="16" t="s">
        <v>84</v>
      </c>
      <c r="J219" s="193"/>
      <c r="K219" s="193" t="s">
        <v>141</v>
      </c>
      <c r="L219" s="193" t="s">
        <v>1390</v>
      </c>
      <c r="M219" s="193" t="s">
        <v>106</v>
      </c>
      <c r="N219" s="192" t="s">
        <v>107</v>
      </c>
      <c r="O219" s="193"/>
      <c r="P219" s="193" t="s">
        <v>3679</v>
      </c>
      <c r="Q219" s="193" t="s">
        <v>458</v>
      </c>
      <c r="R219" s="193" t="s">
        <v>1391</v>
      </c>
      <c r="S219" s="315" t="s">
        <v>5170</v>
      </c>
      <c r="T219" s="315" t="s">
        <v>107</v>
      </c>
      <c r="U219" s="192" t="s">
        <v>5171</v>
      </c>
      <c r="V219" s="192"/>
      <c r="W219" s="192"/>
      <c r="X219" s="192"/>
      <c r="Y219" s="16">
        <v>126</v>
      </c>
      <c r="Z219" s="16"/>
      <c r="AA219" s="16"/>
      <c r="AB219" s="16"/>
      <c r="AC219" s="16"/>
      <c r="AD219" s="16"/>
      <c r="AE219" s="16"/>
      <c r="AF219" s="16">
        <v>6</v>
      </c>
      <c r="AG219" s="16"/>
      <c r="AH219" s="192"/>
      <c r="AI219" s="193"/>
      <c r="AJ219" s="25"/>
      <c r="AK219" s="192"/>
      <c r="AL219" s="16"/>
      <c r="AM219" s="16"/>
      <c r="AN219" s="193" t="s">
        <v>4378</v>
      </c>
      <c r="AO219" s="193" t="s">
        <v>344</v>
      </c>
      <c r="AP219" s="193" t="s">
        <v>115</v>
      </c>
      <c r="AQ219" s="193" t="s">
        <v>148</v>
      </c>
      <c r="AR219" s="12">
        <f t="shared" si="7"/>
        <v>23</v>
      </c>
      <c r="AS219" s="12" t="str">
        <f t="shared" si="8"/>
        <v/>
      </c>
      <c r="AT219" s="18"/>
    </row>
    <row r="220" spans="1:46" s="19" customFormat="1" ht="20.100000000000001" hidden="1" customHeight="1" x14ac:dyDescent="0.2">
      <c r="A220" s="222">
        <v>211</v>
      </c>
      <c r="B220" s="16" t="s">
        <v>4785</v>
      </c>
      <c r="C220" s="16" t="s">
        <v>1253</v>
      </c>
      <c r="D220" s="193" t="s">
        <v>3378</v>
      </c>
      <c r="E220" s="193" t="s">
        <v>10</v>
      </c>
      <c r="F220" s="193" t="s">
        <v>4589</v>
      </c>
      <c r="G220" s="193"/>
      <c r="H220" s="192" t="s">
        <v>83</v>
      </c>
      <c r="I220" s="16" t="s">
        <v>92</v>
      </c>
      <c r="J220" s="193"/>
      <c r="K220" s="193" t="s">
        <v>68</v>
      </c>
      <c r="L220" s="193" t="s">
        <v>5175</v>
      </c>
      <c r="M220" s="193" t="s">
        <v>106</v>
      </c>
      <c r="N220" s="192" t="s">
        <v>107</v>
      </c>
      <c r="O220" s="193"/>
      <c r="P220" s="193" t="s">
        <v>1510</v>
      </c>
      <c r="Q220" s="193" t="s">
        <v>1581</v>
      </c>
      <c r="R220" s="193" t="s">
        <v>5176</v>
      </c>
      <c r="S220" s="315" t="s">
        <v>5170</v>
      </c>
      <c r="T220" s="315" t="s">
        <v>107</v>
      </c>
      <c r="U220" s="192" t="s">
        <v>3870</v>
      </c>
      <c r="V220" s="192"/>
      <c r="W220" s="192"/>
      <c r="X220" s="192"/>
      <c r="Y220" s="16">
        <v>231</v>
      </c>
      <c r="Z220" s="16"/>
      <c r="AA220" s="16"/>
      <c r="AB220" s="16"/>
      <c r="AC220" s="16"/>
      <c r="AD220" s="16"/>
      <c r="AE220" s="16"/>
      <c r="AF220" s="16">
        <v>6</v>
      </c>
      <c r="AG220" s="16"/>
      <c r="AH220" s="192"/>
      <c r="AI220" s="193"/>
      <c r="AJ220" s="25"/>
      <c r="AK220" s="192"/>
      <c r="AL220" s="16"/>
      <c r="AM220" s="16"/>
      <c r="AN220" s="193" t="s">
        <v>4378</v>
      </c>
      <c r="AO220" s="193" t="s">
        <v>344</v>
      </c>
      <c r="AP220" s="193" t="s">
        <v>113</v>
      </c>
      <c r="AQ220" s="193" t="s">
        <v>344</v>
      </c>
      <c r="AR220" s="12">
        <f t="shared" si="7"/>
        <v>12</v>
      </c>
      <c r="AS220" s="12">
        <f t="shared" si="8"/>
        <v>12</v>
      </c>
      <c r="AT220" s="18"/>
    </row>
    <row r="221" spans="1:46" s="19" customFormat="1" ht="20.100000000000001" hidden="1" customHeight="1" x14ac:dyDescent="0.2">
      <c r="A221" s="222">
        <v>212</v>
      </c>
      <c r="B221" s="16" t="s">
        <v>4786</v>
      </c>
      <c r="C221" s="16" t="s">
        <v>1253</v>
      </c>
      <c r="D221" s="193" t="s">
        <v>2183</v>
      </c>
      <c r="E221" s="193" t="s">
        <v>20</v>
      </c>
      <c r="F221" s="193"/>
      <c r="G221" s="193"/>
      <c r="H221" s="192" t="s">
        <v>7</v>
      </c>
      <c r="I221" s="16" t="s">
        <v>84</v>
      </c>
      <c r="J221" s="35" t="s">
        <v>68</v>
      </c>
      <c r="K221" s="35" t="s">
        <v>223</v>
      </c>
      <c r="L221" s="193"/>
      <c r="M221" s="193" t="s">
        <v>106</v>
      </c>
      <c r="N221" s="192" t="s">
        <v>107</v>
      </c>
      <c r="O221" s="193" t="s">
        <v>128</v>
      </c>
      <c r="P221" s="193" t="s">
        <v>2325</v>
      </c>
      <c r="Q221" s="193" t="s">
        <v>144</v>
      </c>
      <c r="R221" s="193"/>
      <c r="S221" s="193" t="s">
        <v>69</v>
      </c>
      <c r="T221" s="193" t="s">
        <v>70</v>
      </c>
      <c r="U221" s="192"/>
      <c r="V221" s="192"/>
      <c r="W221" s="192">
        <v>238</v>
      </c>
      <c r="X221" s="192">
        <v>222</v>
      </c>
      <c r="Y221" s="16">
        <v>222</v>
      </c>
      <c r="Z221" s="16">
        <v>96</v>
      </c>
      <c r="AA221" s="16">
        <v>160</v>
      </c>
      <c r="AB221" s="16">
        <v>2</v>
      </c>
      <c r="AC221" s="16">
        <v>70</v>
      </c>
      <c r="AD221" s="16">
        <v>232</v>
      </c>
      <c r="AE221" s="16">
        <v>4</v>
      </c>
      <c r="AF221" s="16">
        <v>4</v>
      </c>
      <c r="AG221" s="16"/>
      <c r="AH221" s="192"/>
      <c r="AI221" s="193"/>
      <c r="AJ221" s="25"/>
      <c r="AK221" s="192"/>
      <c r="AL221" s="16"/>
      <c r="AM221" s="16"/>
      <c r="AN221" s="193"/>
      <c r="AO221" s="193"/>
      <c r="AP221" s="193"/>
      <c r="AQ221" s="193"/>
      <c r="AR221" s="12" t="str">
        <f t="shared" si="7"/>
        <v/>
      </c>
      <c r="AS221" s="12" t="str">
        <f t="shared" si="8"/>
        <v/>
      </c>
      <c r="AT221" s="18"/>
    </row>
    <row r="222" spans="1:46" s="19" customFormat="1" ht="20.100000000000001" hidden="1" customHeight="1" x14ac:dyDescent="0.2">
      <c r="A222" s="222">
        <v>213</v>
      </c>
      <c r="B222" s="16" t="s">
        <v>4786</v>
      </c>
      <c r="C222" s="16" t="s">
        <v>1253</v>
      </c>
      <c r="D222" s="193" t="s">
        <v>3159</v>
      </c>
      <c r="E222" s="193" t="s">
        <v>9</v>
      </c>
      <c r="F222" s="193" t="s">
        <v>202</v>
      </c>
      <c r="G222" s="193"/>
      <c r="H222" s="192" t="s">
        <v>83</v>
      </c>
      <c r="I222" s="16" t="s">
        <v>84</v>
      </c>
      <c r="J222" s="193"/>
      <c r="K222" s="193" t="s">
        <v>155</v>
      </c>
      <c r="L222" s="193" t="s">
        <v>5172</v>
      </c>
      <c r="M222" s="193" t="s">
        <v>574</v>
      </c>
      <c r="N222" s="192" t="s">
        <v>107</v>
      </c>
      <c r="O222" s="193"/>
      <c r="P222" s="193" t="s">
        <v>3677</v>
      </c>
      <c r="Q222" s="193" t="s">
        <v>718</v>
      </c>
      <c r="R222" s="193" t="s">
        <v>5173</v>
      </c>
      <c r="S222" s="193" t="s">
        <v>69</v>
      </c>
      <c r="T222" s="193" t="s">
        <v>70</v>
      </c>
      <c r="U222" s="192" t="s">
        <v>5174</v>
      </c>
      <c r="V222" s="192"/>
      <c r="W222" s="192"/>
      <c r="X222" s="192"/>
      <c r="Y222" s="16">
        <v>192</v>
      </c>
      <c r="Z222" s="16"/>
      <c r="AA222" s="16"/>
      <c r="AB222" s="16"/>
      <c r="AC222" s="16"/>
      <c r="AD222" s="16"/>
      <c r="AE222" s="16"/>
      <c r="AF222" s="16">
        <v>6</v>
      </c>
      <c r="AG222" s="16"/>
      <c r="AH222" s="192"/>
      <c r="AI222" s="193"/>
      <c r="AJ222" s="25"/>
      <c r="AK222" s="192"/>
      <c r="AL222" s="16"/>
      <c r="AM222" s="16"/>
      <c r="AN222" s="193" t="s">
        <v>4378</v>
      </c>
      <c r="AO222" s="193" t="s">
        <v>344</v>
      </c>
      <c r="AP222" s="193" t="s">
        <v>348</v>
      </c>
      <c r="AQ222" s="193" t="s">
        <v>344</v>
      </c>
      <c r="AR222" s="12">
        <f t="shared" si="7"/>
        <v>60</v>
      </c>
      <c r="AS222" s="12" t="str">
        <f t="shared" si="8"/>
        <v/>
      </c>
      <c r="AT222" s="18"/>
    </row>
    <row r="223" spans="1:46" s="19" customFormat="1" ht="20.100000000000001" hidden="1" customHeight="1" x14ac:dyDescent="0.2">
      <c r="A223" s="222">
        <v>214</v>
      </c>
      <c r="B223" s="16" t="s">
        <v>4787</v>
      </c>
      <c r="C223" s="16" t="s">
        <v>1253</v>
      </c>
      <c r="D223" s="193" t="s">
        <v>1373</v>
      </c>
      <c r="E223" s="193" t="s">
        <v>19</v>
      </c>
      <c r="F223" s="193"/>
      <c r="G223" s="193"/>
      <c r="H223" s="192" t="s">
        <v>7</v>
      </c>
      <c r="I223" s="16" t="s">
        <v>84</v>
      </c>
      <c r="J223" s="193" t="s">
        <v>141</v>
      </c>
      <c r="K223" s="193" t="s">
        <v>141</v>
      </c>
      <c r="L223" s="193"/>
      <c r="M223" s="193" t="s">
        <v>69</v>
      </c>
      <c r="N223" s="192" t="s">
        <v>70</v>
      </c>
      <c r="O223" s="193" t="s">
        <v>998</v>
      </c>
      <c r="P223" s="193" t="s">
        <v>3679</v>
      </c>
      <c r="Q223" s="193" t="s">
        <v>458</v>
      </c>
      <c r="R223" s="193"/>
      <c r="S223" s="193" t="s">
        <v>142</v>
      </c>
      <c r="T223" s="193" t="s">
        <v>70</v>
      </c>
      <c r="U223" s="192"/>
      <c r="V223" s="192"/>
      <c r="W223" s="192">
        <v>154</v>
      </c>
      <c r="X223" s="192">
        <v>126</v>
      </c>
      <c r="Y223" s="16">
        <v>126</v>
      </c>
      <c r="Z223" s="16">
        <v>44.5</v>
      </c>
      <c r="AA223" s="16">
        <v>61</v>
      </c>
      <c r="AB223" s="16">
        <v>4</v>
      </c>
      <c r="AC223" s="16">
        <v>15</v>
      </c>
      <c r="AD223" s="16">
        <v>80</v>
      </c>
      <c r="AE223" s="16">
        <v>25</v>
      </c>
      <c r="AF223" s="16">
        <v>6</v>
      </c>
      <c r="AG223" s="16"/>
      <c r="AH223" s="192"/>
      <c r="AI223" s="193" t="s">
        <v>4786</v>
      </c>
      <c r="AJ223" s="25">
        <v>81</v>
      </c>
      <c r="AK223" s="192">
        <v>24</v>
      </c>
      <c r="AL223" s="16" t="s">
        <v>111</v>
      </c>
      <c r="AM223" s="16" t="s">
        <v>231</v>
      </c>
      <c r="AN223" s="193"/>
      <c r="AO223" s="193"/>
      <c r="AP223" s="193"/>
      <c r="AQ223" s="193"/>
      <c r="AR223" s="12" t="str">
        <f t="shared" si="7"/>
        <v/>
      </c>
      <c r="AS223" s="12" t="str">
        <f t="shared" si="8"/>
        <v/>
      </c>
      <c r="AT223" s="18"/>
    </row>
    <row r="224" spans="1:46" s="19" customFormat="1" ht="20.100000000000001" hidden="1" customHeight="1" x14ac:dyDescent="0.2">
      <c r="A224" s="222">
        <v>215</v>
      </c>
      <c r="B224" s="16" t="s">
        <v>4788</v>
      </c>
      <c r="C224" s="16" t="s">
        <v>1253</v>
      </c>
      <c r="D224" s="193" t="s">
        <v>1586</v>
      </c>
      <c r="E224" s="193" t="s">
        <v>9</v>
      </c>
      <c r="F224" s="193"/>
      <c r="G224" s="193"/>
      <c r="H224" s="192" t="s">
        <v>7</v>
      </c>
      <c r="I224" s="16" t="s">
        <v>92</v>
      </c>
      <c r="J224" s="193" t="s">
        <v>218</v>
      </c>
      <c r="K224" s="193" t="s">
        <v>155</v>
      </c>
      <c r="L224" s="193"/>
      <c r="M224" s="193" t="s">
        <v>69</v>
      </c>
      <c r="N224" s="192" t="s">
        <v>70</v>
      </c>
      <c r="O224" s="193" t="s">
        <v>170</v>
      </c>
      <c r="P224" s="193" t="s">
        <v>3680</v>
      </c>
      <c r="Q224" s="193" t="s">
        <v>1581</v>
      </c>
      <c r="R224" s="193"/>
      <c r="S224" s="193" t="s">
        <v>262</v>
      </c>
      <c r="T224" s="193" t="s">
        <v>70</v>
      </c>
      <c r="U224" s="192"/>
      <c r="V224" s="192"/>
      <c r="W224" s="192">
        <v>251</v>
      </c>
      <c r="X224" s="192">
        <v>219</v>
      </c>
      <c r="Y224" s="16">
        <v>219</v>
      </c>
      <c r="Z224" s="16">
        <v>155</v>
      </c>
      <c r="AA224" s="16">
        <v>168</v>
      </c>
      <c r="AB224" s="16">
        <v>7</v>
      </c>
      <c r="AC224" s="16">
        <v>40</v>
      </c>
      <c r="AD224" s="16">
        <v>219</v>
      </c>
      <c r="AE224" s="16">
        <v>22</v>
      </c>
      <c r="AF224" s="16">
        <v>6</v>
      </c>
      <c r="AG224" s="16"/>
      <c r="AH224" s="192"/>
      <c r="AI224" s="193" t="s">
        <v>4786</v>
      </c>
      <c r="AJ224" s="25">
        <v>219</v>
      </c>
      <c r="AK224" s="192">
        <v>19.600000000000001</v>
      </c>
      <c r="AL224" s="16"/>
      <c r="AM224" s="16"/>
      <c r="AN224" s="193"/>
      <c r="AO224" s="193"/>
      <c r="AP224" s="193"/>
      <c r="AQ224" s="193"/>
      <c r="AR224" s="12" t="str">
        <f t="shared" si="7"/>
        <v/>
      </c>
      <c r="AS224" s="12" t="str">
        <f t="shared" si="8"/>
        <v/>
      </c>
      <c r="AT224" s="18"/>
    </row>
    <row r="225" spans="1:46" s="19" customFormat="1" ht="20.100000000000001" hidden="1" customHeight="1" x14ac:dyDescent="0.2">
      <c r="A225" s="222">
        <v>216</v>
      </c>
      <c r="B225" s="16" t="s">
        <v>4788</v>
      </c>
      <c r="C225" s="16" t="s">
        <v>1253</v>
      </c>
      <c r="D225" s="193" t="s">
        <v>3476</v>
      </c>
      <c r="E225" s="193" t="s">
        <v>6</v>
      </c>
      <c r="F225" s="193" t="s">
        <v>202</v>
      </c>
      <c r="G225" s="193"/>
      <c r="H225" s="192" t="s">
        <v>83</v>
      </c>
      <c r="I225" s="16" t="s">
        <v>84</v>
      </c>
      <c r="J225" s="193"/>
      <c r="K225" s="193" t="s">
        <v>155</v>
      </c>
      <c r="L225" s="193" t="s">
        <v>3527</v>
      </c>
      <c r="M225" s="193" t="s">
        <v>106</v>
      </c>
      <c r="N225" s="192" t="s">
        <v>107</v>
      </c>
      <c r="O225" s="193"/>
      <c r="P225" s="193" t="s">
        <v>3679</v>
      </c>
      <c r="Q225" s="193" t="s">
        <v>718</v>
      </c>
      <c r="R225" s="193" t="s">
        <v>3528</v>
      </c>
      <c r="S225" s="193" t="s">
        <v>5170</v>
      </c>
      <c r="T225" s="193" t="s">
        <v>107</v>
      </c>
      <c r="U225" s="192" t="s">
        <v>3500</v>
      </c>
      <c r="V225" s="192"/>
      <c r="W225" s="192"/>
      <c r="X225" s="192"/>
      <c r="Y225" s="16">
        <v>186</v>
      </c>
      <c r="Z225" s="16"/>
      <c r="AA225" s="16"/>
      <c r="AB225" s="16"/>
      <c r="AC225" s="16"/>
      <c r="AD225" s="16"/>
      <c r="AE225" s="16"/>
      <c r="AF225" s="16">
        <v>6</v>
      </c>
      <c r="AG225" s="16"/>
      <c r="AH225" s="192"/>
      <c r="AI225" s="193"/>
      <c r="AJ225" s="25"/>
      <c r="AK225" s="192"/>
      <c r="AL225" s="16"/>
      <c r="AM225" s="16"/>
      <c r="AN225" s="193" t="s">
        <v>4378</v>
      </c>
      <c r="AO225" s="193" t="s">
        <v>344</v>
      </c>
      <c r="AP225" s="193" t="s">
        <v>113</v>
      </c>
      <c r="AQ225" s="193" t="s">
        <v>124</v>
      </c>
      <c r="AR225" s="12">
        <f t="shared" si="7"/>
        <v>15</v>
      </c>
      <c r="AS225" s="12" t="str">
        <f t="shared" si="8"/>
        <v/>
      </c>
      <c r="AT225" s="18"/>
    </row>
    <row r="226" spans="1:46" s="19" customFormat="1" ht="20.100000000000001" hidden="1" customHeight="1" x14ac:dyDescent="0.2">
      <c r="A226" s="222">
        <v>217</v>
      </c>
      <c r="B226" s="16" t="s">
        <v>4788</v>
      </c>
      <c r="C226" s="16" t="s">
        <v>1253</v>
      </c>
      <c r="D226" s="193" t="s">
        <v>1965</v>
      </c>
      <c r="E226" s="193" t="s">
        <v>9</v>
      </c>
      <c r="F226" s="193" t="s">
        <v>4038</v>
      </c>
      <c r="G226" s="193"/>
      <c r="H226" s="192" t="s">
        <v>83</v>
      </c>
      <c r="I226" s="16" t="s">
        <v>84</v>
      </c>
      <c r="J226" s="193"/>
      <c r="K226" s="193" t="s">
        <v>140</v>
      </c>
      <c r="L226" s="193" t="s">
        <v>1900</v>
      </c>
      <c r="M226" s="193" t="s">
        <v>106</v>
      </c>
      <c r="N226" s="192" t="s">
        <v>107</v>
      </c>
      <c r="O226" s="193"/>
      <c r="P226" s="193" t="s">
        <v>2961</v>
      </c>
      <c r="Q226" s="193" t="s">
        <v>769</v>
      </c>
      <c r="R226" s="193" t="s">
        <v>5168</v>
      </c>
      <c r="S226" s="193" t="s">
        <v>106</v>
      </c>
      <c r="T226" s="193" t="s">
        <v>107</v>
      </c>
      <c r="U226" s="192" t="s">
        <v>5169</v>
      </c>
      <c r="V226" s="192"/>
      <c r="W226" s="192"/>
      <c r="X226" s="192"/>
      <c r="Y226" s="16">
        <v>204</v>
      </c>
      <c r="Z226" s="16"/>
      <c r="AA226" s="16"/>
      <c r="AB226" s="16"/>
      <c r="AC226" s="16"/>
      <c r="AD226" s="16"/>
      <c r="AE226" s="16"/>
      <c r="AF226" s="16">
        <v>6</v>
      </c>
      <c r="AG226" s="16"/>
      <c r="AH226" s="192"/>
      <c r="AI226" s="193"/>
      <c r="AJ226" s="25"/>
      <c r="AK226" s="192"/>
      <c r="AL226" s="16"/>
      <c r="AM226" s="16"/>
      <c r="AN226" s="193" t="s">
        <v>4378</v>
      </c>
      <c r="AO226" s="193" t="s">
        <v>344</v>
      </c>
      <c r="AP226" s="193" t="s">
        <v>115</v>
      </c>
      <c r="AQ226" s="193" t="s">
        <v>116</v>
      </c>
      <c r="AR226" s="12">
        <f t="shared" si="7"/>
        <v>20</v>
      </c>
      <c r="AS226" s="12" t="str">
        <f t="shared" si="8"/>
        <v/>
      </c>
      <c r="AT226" s="18"/>
    </row>
    <row r="227" spans="1:46" s="19" customFormat="1" ht="20.100000000000001" hidden="1" customHeight="1" x14ac:dyDescent="0.2">
      <c r="A227" s="222">
        <v>218</v>
      </c>
      <c r="B227" s="16" t="s">
        <v>4789</v>
      </c>
      <c r="C227" s="16" t="s">
        <v>1253</v>
      </c>
      <c r="D227" s="193" t="s">
        <v>220</v>
      </c>
      <c r="E227" s="193" t="s">
        <v>6</v>
      </c>
      <c r="F227" s="193" t="s">
        <v>185</v>
      </c>
      <c r="G227" s="193"/>
      <c r="H227" s="192" t="s">
        <v>83</v>
      </c>
      <c r="I227" s="16" t="s">
        <v>84</v>
      </c>
      <c r="J227" s="193"/>
      <c r="K227" s="193" t="s">
        <v>117</v>
      </c>
      <c r="L227" s="193" t="s">
        <v>3626</v>
      </c>
      <c r="M227" s="193" t="s">
        <v>142</v>
      </c>
      <c r="N227" s="192" t="s">
        <v>70</v>
      </c>
      <c r="O227" s="193"/>
      <c r="P227" s="193" t="s">
        <v>2961</v>
      </c>
      <c r="Q227" s="193" t="s">
        <v>226</v>
      </c>
      <c r="R227" s="193" t="s">
        <v>3627</v>
      </c>
      <c r="S227" s="193" t="s">
        <v>73</v>
      </c>
      <c r="T227" s="193" t="s">
        <v>70</v>
      </c>
      <c r="U227" s="192" t="s">
        <v>3613</v>
      </c>
      <c r="V227" s="192"/>
      <c r="W227" s="192"/>
      <c r="X227" s="192"/>
      <c r="Y227" s="16">
        <v>171</v>
      </c>
      <c r="Z227" s="16"/>
      <c r="AA227" s="16"/>
      <c r="AB227" s="16"/>
      <c r="AC227" s="16"/>
      <c r="AD227" s="16"/>
      <c r="AE227" s="16"/>
      <c r="AF227" s="16">
        <v>4</v>
      </c>
      <c r="AG227" s="16"/>
      <c r="AH227" s="192"/>
      <c r="AI227" s="193"/>
      <c r="AJ227" s="25"/>
      <c r="AK227" s="192"/>
      <c r="AL227" s="16"/>
      <c r="AM227" s="16"/>
      <c r="AN227" s="193" t="s">
        <v>4378</v>
      </c>
      <c r="AO227" s="193" t="s">
        <v>344</v>
      </c>
      <c r="AP227" s="193" t="s">
        <v>113</v>
      </c>
      <c r="AQ227" s="193" t="s">
        <v>1247</v>
      </c>
      <c r="AR227" s="12">
        <f t="shared" si="7"/>
        <v>14</v>
      </c>
      <c r="AS227" s="12" t="str">
        <f t="shared" si="8"/>
        <v/>
      </c>
      <c r="AT227" s="18"/>
    </row>
    <row r="228" spans="1:46" s="19" customFormat="1" ht="20.100000000000001" hidden="1" customHeight="1" x14ac:dyDescent="0.2">
      <c r="A228" s="222">
        <v>219</v>
      </c>
      <c r="B228" s="16" t="s">
        <v>4790</v>
      </c>
      <c r="C228" s="16" t="s">
        <v>1253</v>
      </c>
      <c r="D228" s="193" t="s">
        <v>2837</v>
      </c>
      <c r="E228" s="193" t="s">
        <v>243</v>
      </c>
      <c r="F228" s="193" t="s">
        <v>4038</v>
      </c>
      <c r="G228" s="193"/>
      <c r="H228" s="192" t="s">
        <v>83</v>
      </c>
      <c r="I228" s="16" t="s">
        <v>84</v>
      </c>
      <c r="J228" s="193"/>
      <c r="K228" s="193" t="s">
        <v>117</v>
      </c>
      <c r="L228" s="193" t="s">
        <v>5165</v>
      </c>
      <c r="M228" s="193" t="s">
        <v>69</v>
      </c>
      <c r="N228" s="192" t="s">
        <v>70</v>
      </c>
      <c r="O228" s="193"/>
      <c r="P228" s="193" t="s">
        <v>2245</v>
      </c>
      <c r="Q228" s="193" t="s">
        <v>260</v>
      </c>
      <c r="R228" s="193" t="s">
        <v>5166</v>
      </c>
      <c r="S228" s="193" t="s">
        <v>69</v>
      </c>
      <c r="T228" s="193" t="s">
        <v>70</v>
      </c>
      <c r="U228" s="192" t="s">
        <v>5167</v>
      </c>
      <c r="V228" s="192"/>
      <c r="W228" s="192"/>
      <c r="X228" s="192"/>
      <c r="Y228" s="16">
        <v>180</v>
      </c>
      <c r="Z228" s="16"/>
      <c r="AA228" s="16"/>
      <c r="AB228" s="16"/>
      <c r="AC228" s="16"/>
      <c r="AD228" s="16"/>
      <c r="AE228" s="16"/>
      <c r="AF228" s="16">
        <v>4</v>
      </c>
      <c r="AG228" s="16"/>
      <c r="AH228" s="192"/>
      <c r="AI228" s="193"/>
      <c r="AJ228" s="25"/>
      <c r="AK228" s="192"/>
      <c r="AL228" s="16"/>
      <c r="AM228" s="16"/>
      <c r="AN228" s="193" t="s">
        <v>4378</v>
      </c>
      <c r="AO228" s="193" t="s">
        <v>344</v>
      </c>
      <c r="AP228" s="193" t="s">
        <v>208</v>
      </c>
      <c r="AQ228" s="193" t="s">
        <v>137</v>
      </c>
      <c r="AR228" s="12">
        <f t="shared" si="7"/>
        <v>49</v>
      </c>
      <c r="AS228" s="12" t="str">
        <f t="shared" si="8"/>
        <v/>
      </c>
      <c r="AT228" s="18"/>
    </row>
    <row r="229" spans="1:46" s="19" customFormat="1" ht="20.100000000000001" hidden="1" customHeight="1" x14ac:dyDescent="0.2">
      <c r="A229" s="222">
        <v>220</v>
      </c>
      <c r="B229" s="16" t="s">
        <v>4791</v>
      </c>
      <c r="C229" s="16" t="s">
        <v>1253</v>
      </c>
      <c r="D229" s="193" t="s">
        <v>4491</v>
      </c>
      <c r="E229" s="193" t="s">
        <v>6</v>
      </c>
      <c r="F229" s="193"/>
      <c r="G229" s="193"/>
      <c r="H229" s="192" t="s">
        <v>7</v>
      </c>
      <c r="I229" s="16" t="s">
        <v>84</v>
      </c>
      <c r="J229" s="193" t="s">
        <v>104</v>
      </c>
      <c r="K229" s="193" t="s">
        <v>68</v>
      </c>
      <c r="L229" s="193"/>
      <c r="M229" s="252" t="s">
        <v>106</v>
      </c>
      <c r="N229" s="251" t="s">
        <v>107</v>
      </c>
      <c r="O229" s="193" t="s">
        <v>361</v>
      </c>
      <c r="P229" s="193" t="s">
        <v>3677</v>
      </c>
      <c r="Q229" s="193" t="s">
        <v>555</v>
      </c>
      <c r="R229" s="193"/>
      <c r="S229" s="252" t="s">
        <v>106</v>
      </c>
      <c r="T229" s="251" t="s">
        <v>107</v>
      </c>
      <c r="U229" s="192"/>
      <c r="V229" s="192"/>
      <c r="W229" s="192">
        <v>229</v>
      </c>
      <c r="X229" s="192">
        <v>216</v>
      </c>
      <c r="Y229" s="16">
        <v>216</v>
      </c>
      <c r="Z229" s="16">
        <v>86</v>
      </c>
      <c r="AA229" s="16">
        <v>150</v>
      </c>
      <c r="AB229" s="16">
        <v>4</v>
      </c>
      <c r="AC229" s="16">
        <v>16</v>
      </c>
      <c r="AD229" s="16">
        <v>170</v>
      </c>
      <c r="AE229" s="16">
        <v>18</v>
      </c>
      <c r="AF229" s="16">
        <v>6</v>
      </c>
      <c r="AG229" s="16"/>
      <c r="AH229" s="192"/>
      <c r="AI229" s="193" t="s">
        <v>4790</v>
      </c>
      <c r="AJ229" s="25">
        <v>170</v>
      </c>
      <c r="AK229" s="192">
        <v>19.7</v>
      </c>
      <c r="AL229" s="16" t="s">
        <v>160</v>
      </c>
      <c r="AM229" s="16"/>
      <c r="AN229" s="193"/>
      <c r="AO229" s="193"/>
      <c r="AP229" s="193"/>
      <c r="AQ229" s="193"/>
      <c r="AR229" s="12" t="str">
        <f t="shared" si="7"/>
        <v/>
      </c>
      <c r="AS229" s="12" t="str">
        <f t="shared" si="8"/>
        <v/>
      </c>
      <c r="AT229" s="18"/>
    </row>
    <row r="230" spans="1:46" s="19" customFormat="1" ht="20.100000000000001" hidden="1" customHeight="1" x14ac:dyDescent="0.2">
      <c r="A230" s="222">
        <v>221</v>
      </c>
      <c r="B230" s="16" t="s">
        <v>4792</v>
      </c>
      <c r="C230" s="16" t="s">
        <v>1253</v>
      </c>
      <c r="D230" s="193" t="s">
        <v>1965</v>
      </c>
      <c r="E230" s="193" t="s">
        <v>9</v>
      </c>
      <c r="F230" s="193"/>
      <c r="G230" s="193"/>
      <c r="H230" s="192" t="s">
        <v>7</v>
      </c>
      <c r="I230" s="16" t="s">
        <v>84</v>
      </c>
      <c r="J230" s="193" t="s">
        <v>140</v>
      </c>
      <c r="K230" s="193" t="s">
        <v>141</v>
      </c>
      <c r="L230" s="193"/>
      <c r="M230" s="193" t="s">
        <v>262</v>
      </c>
      <c r="N230" s="192" t="s">
        <v>70</v>
      </c>
      <c r="O230" s="193" t="s">
        <v>276</v>
      </c>
      <c r="P230" s="193" t="s">
        <v>1809</v>
      </c>
      <c r="Q230" s="193" t="s">
        <v>769</v>
      </c>
      <c r="R230" s="193" t="s">
        <v>4835</v>
      </c>
      <c r="S230" s="193" t="s">
        <v>69</v>
      </c>
      <c r="T230" s="193" t="s">
        <v>70</v>
      </c>
      <c r="U230" s="192"/>
      <c r="V230" s="192"/>
      <c r="W230" s="192">
        <v>0</v>
      </c>
      <c r="X230" s="192">
        <v>204</v>
      </c>
      <c r="Y230" s="16">
        <v>204</v>
      </c>
      <c r="Z230" s="16">
        <v>135</v>
      </c>
      <c r="AA230" s="16">
        <v>182</v>
      </c>
      <c r="AB230" s="16">
        <v>1</v>
      </c>
      <c r="AC230" s="16">
        <v>22</v>
      </c>
      <c r="AD230" s="16">
        <v>205</v>
      </c>
      <c r="AE230" s="16">
        <v>5.8</v>
      </c>
      <c r="AF230" s="16">
        <v>6</v>
      </c>
      <c r="AG230" s="16"/>
      <c r="AH230" s="192"/>
      <c r="AI230" s="193" t="s">
        <v>4791</v>
      </c>
      <c r="AJ230" s="25">
        <v>211</v>
      </c>
      <c r="AK230" s="25">
        <v>5.3</v>
      </c>
      <c r="AL230" s="16" t="s">
        <v>160</v>
      </c>
      <c r="AM230" s="16"/>
      <c r="AN230" s="193"/>
      <c r="AO230" s="193"/>
      <c r="AP230" s="193"/>
      <c r="AQ230" s="193"/>
      <c r="AR230" s="12" t="str">
        <f t="shared" si="7"/>
        <v/>
      </c>
      <c r="AS230" s="12" t="str">
        <f t="shared" si="8"/>
        <v/>
      </c>
      <c r="AT230" s="18"/>
    </row>
    <row r="231" spans="1:46" s="19" customFormat="1" ht="20.100000000000001" hidden="1" customHeight="1" x14ac:dyDescent="0.2">
      <c r="A231" s="222">
        <v>222</v>
      </c>
      <c r="B231" s="16" t="s">
        <v>4797</v>
      </c>
      <c r="C231" s="16" t="s">
        <v>1253</v>
      </c>
      <c r="D231" s="193" t="s">
        <v>2579</v>
      </c>
      <c r="E231" s="193" t="s">
        <v>20</v>
      </c>
      <c r="F231" s="193" t="s">
        <v>4038</v>
      </c>
      <c r="G231" s="193"/>
      <c r="H231" s="192" t="s">
        <v>83</v>
      </c>
      <c r="I231" s="16" t="s">
        <v>84</v>
      </c>
      <c r="J231" s="193"/>
      <c r="K231" s="193" t="s">
        <v>140</v>
      </c>
      <c r="L231" s="193" t="s">
        <v>5162</v>
      </c>
      <c r="M231" s="193" t="s">
        <v>69</v>
      </c>
      <c r="N231" s="192" t="s">
        <v>70</v>
      </c>
      <c r="O231" s="193"/>
      <c r="P231" s="193" t="s">
        <v>2245</v>
      </c>
      <c r="Q231" s="193" t="s">
        <v>441</v>
      </c>
      <c r="R231" s="193" t="s">
        <v>5163</v>
      </c>
      <c r="S231" s="193" t="s">
        <v>69</v>
      </c>
      <c r="T231" s="193" t="s">
        <v>107</v>
      </c>
      <c r="U231" s="192" t="s">
        <v>5164</v>
      </c>
      <c r="V231" s="192"/>
      <c r="W231" s="192"/>
      <c r="X231" s="192"/>
      <c r="Y231" s="16">
        <v>120</v>
      </c>
      <c r="Z231" s="16"/>
      <c r="AA231" s="16"/>
      <c r="AB231" s="16"/>
      <c r="AC231" s="16"/>
      <c r="AD231" s="16"/>
      <c r="AE231" s="16"/>
      <c r="AF231" s="16">
        <v>4</v>
      </c>
      <c r="AG231" s="16"/>
      <c r="AH231" s="192"/>
      <c r="AI231" s="193"/>
      <c r="AJ231" s="25"/>
      <c r="AK231" s="192"/>
      <c r="AL231" s="16"/>
      <c r="AM231" s="16"/>
      <c r="AN231" s="193" t="s">
        <v>4378</v>
      </c>
      <c r="AO231" s="193" t="s">
        <v>344</v>
      </c>
      <c r="AP231" s="193" t="s">
        <v>136</v>
      </c>
      <c r="AQ231" s="193" t="s">
        <v>266</v>
      </c>
      <c r="AR231" s="12">
        <f t="shared" si="7"/>
        <v>34</v>
      </c>
      <c r="AS231" s="12" t="str">
        <f t="shared" si="8"/>
        <v/>
      </c>
      <c r="AT231" s="18"/>
    </row>
    <row r="232" spans="1:46" s="19" customFormat="1" ht="20.100000000000001" hidden="1" customHeight="1" x14ac:dyDescent="0.2">
      <c r="A232" s="222">
        <v>223</v>
      </c>
      <c r="B232" s="16" t="s">
        <v>4797</v>
      </c>
      <c r="C232" s="16" t="s">
        <v>1253</v>
      </c>
      <c r="D232" s="193" t="s">
        <v>4798</v>
      </c>
      <c r="E232" s="193" t="s">
        <v>8</v>
      </c>
      <c r="F232" s="193" t="s">
        <v>4038</v>
      </c>
      <c r="G232" s="193"/>
      <c r="H232" s="192" t="s">
        <v>83</v>
      </c>
      <c r="I232" s="16" t="s">
        <v>92</v>
      </c>
      <c r="J232" s="193"/>
      <c r="K232" s="193" t="s">
        <v>140</v>
      </c>
      <c r="L232" s="193" t="s">
        <v>5156</v>
      </c>
      <c r="M232" s="193" t="s">
        <v>73</v>
      </c>
      <c r="N232" s="192" t="s">
        <v>107</v>
      </c>
      <c r="O232" s="193"/>
      <c r="P232" s="193" t="s">
        <v>2325</v>
      </c>
      <c r="Q232" s="193" t="s">
        <v>718</v>
      </c>
      <c r="R232" s="193" t="s">
        <v>5157</v>
      </c>
      <c r="S232" s="193" t="s">
        <v>262</v>
      </c>
      <c r="T232" s="193" t="s">
        <v>70</v>
      </c>
      <c r="U232" s="192" t="s">
        <v>5158</v>
      </c>
      <c r="V232" s="192"/>
      <c r="W232" s="192"/>
      <c r="X232" s="192"/>
      <c r="Y232" s="16">
        <v>138</v>
      </c>
      <c r="Z232" s="16"/>
      <c r="AA232" s="16"/>
      <c r="AB232" s="16"/>
      <c r="AC232" s="16"/>
      <c r="AD232" s="16"/>
      <c r="AE232" s="16"/>
      <c r="AF232" s="16">
        <v>6</v>
      </c>
      <c r="AG232" s="16"/>
      <c r="AH232" s="192"/>
      <c r="AI232" s="193"/>
      <c r="AJ232" s="25"/>
      <c r="AK232" s="192"/>
      <c r="AL232" s="16"/>
      <c r="AM232" s="16"/>
      <c r="AN232" s="193" t="s">
        <v>4378</v>
      </c>
      <c r="AO232" s="193" t="s">
        <v>344</v>
      </c>
      <c r="AP232" s="193" t="s">
        <v>547</v>
      </c>
      <c r="AQ232" s="193" t="s">
        <v>148</v>
      </c>
      <c r="AR232" s="12">
        <f t="shared" si="7"/>
        <v>83</v>
      </c>
      <c r="AS232" s="12" t="str">
        <f t="shared" si="8"/>
        <v/>
      </c>
      <c r="AT232" s="18"/>
    </row>
    <row r="233" spans="1:46" s="19" customFormat="1" ht="20.100000000000001" hidden="1" customHeight="1" x14ac:dyDescent="0.2">
      <c r="A233" s="222">
        <v>224</v>
      </c>
      <c r="B233" s="16" t="s">
        <v>4799</v>
      </c>
      <c r="C233" s="16" t="s">
        <v>1253</v>
      </c>
      <c r="D233" s="193" t="s">
        <v>3259</v>
      </c>
      <c r="E233" s="193" t="s">
        <v>6</v>
      </c>
      <c r="F233" s="193" t="s">
        <v>202</v>
      </c>
      <c r="G233" s="193"/>
      <c r="H233" s="192" t="s">
        <v>83</v>
      </c>
      <c r="I233" s="16" t="s">
        <v>84</v>
      </c>
      <c r="J233" s="193"/>
      <c r="K233" s="193" t="s">
        <v>155</v>
      </c>
      <c r="L233" s="193" t="s">
        <v>5159</v>
      </c>
      <c r="M233" s="193" t="s">
        <v>369</v>
      </c>
      <c r="N233" s="192" t="s">
        <v>369</v>
      </c>
      <c r="O233" s="193"/>
      <c r="P233" s="193" t="s">
        <v>3679</v>
      </c>
      <c r="Q233" s="193" t="s">
        <v>718</v>
      </c>
      <c r="R233" s="193" t="s">
        <v>5160</v>
      </c>
      <c r="S233" s="193" t="s">
        <v>574</v>
      </c>
      <c r="T233" s="193" t="s">
        <v>107</v>
      </c>
      <c r="U233" s="192" t="s">
        <v>5161</v>
      </c>
      <c r="V233" s="192"/>
      <c r="W233" s="192"/>
      <c r="X233" s="192"/>
      <c r="Y233" s="16">
        <v>186</v>
      </c>
      <c r="Z233" s="16"/>
      <c r="AA233" s="16"/>
      <c r="AB233" s="16"/>
      <c r="AC233" s="16"/>
      <c r="AD233" s="16"/>
      <c r="AE233" s="16"/>
      <c r="AF233" s="16">
        <v>6</v>
      </c>
      <c r="AG233" s="16"/>
      <c r="AH233" s="192"/>
      <c r="AI233" s="193"/>
      <c r="AJ233" s="25"/>
      <c r="AK233" s="192"/>
      <c r="AL233" s="16"/>
      <c r="AM233" s="16"/>
      <c r="AN233" s="193" t="s">
        <v>4378</v>
      </c>
      <c r="AO233" s="193" t="s">
        <v>344</v>
      </c>
      <c r="AP233" s="193" t="s">
        <v>348</v>
      </c>
      <c r="AQ233" s="193" t="s">
        <v>260</v>
      </c>
      <c r="AR233" s="12">
        <f t="shared" si="7"/>
        <v>55</v>
      </c>
      <c r="AS233" s="12" t="str">
        <f t="shared" si="8"/>
        <v/>
      </c>
      <c r="AT233" s="18"/>
    </row>
    <row r="234" spans="1:46" s="19" customFormat="1" ht="20.100000000000001" hidden="1" customHeight="1" x14ac:dyDescent="0.2">
      <c r="A234" s="222">
        <v>225</v>
      </c>
      <c r="B234" s="16" t="s">
        <v>4800</v>
      </c>
      <c r="C234" s="16" t="s">
        <v>1253</v>
      </c>
      <c r="D234" s="193" t="s">
        <v>4732</v>
      </c>
      <c r="E234" s="193" t="s">
        <v>8</v>
      </c>
      <c r="F234" s="193"/>
      <c r="G234" s="193"/>
      <c r="H234" s="192" t="s">
        <v>7</v>
      </c>
      <c r="I234" s="16" t="s">
        <v>84</v>
      </c>
      <c r="J234" s="35" t="s">
        <v>141</v>
      </c>
      <c r="K234" s="35" t="s">
        <v>223</v>
      </c>
      <c r="L234" s="193"/>
      <c r="M234" s="193" t="s">
        <v>106</v>
      </c>
      <c r="N234" s="192" t="s">
        <v>107</v>
      </c>
      <c r="O234" s="35" t="s">
        <v>1704</v>
      </c>
      <c r="P234" s="35" t="s">
        <v>2961</v>
      </c>
      <c r="Q234" s="35" t="s">
        <v>718</v>
      </c>
      <c r="R234" s="193" t="s">
        <v>3893</v>
      </c>
      <c r="S234" s="193" t="s">
        <v>73</v>
      </c>
      <c r="T234" s="193" t="s">
        <v>70</v>
      </c>
      <c r="U234" s="192">
        <v>0</v>
      </c>
      <c r="V234" s="192"/>
      <c r="W234" s="192">
        <v>151</v>
      </c>
      <c r="X234" s="192">
        <v>132</v>
      </c>
      <c r="Y234" s="16">
        <v>132</v>
      </c>
      <c r="Z234" s="16">
        <v>31</v>
      </c>
      <c r="AA234" s="16">
        <v>80</v>
      </c>
      <c r="AB234" s="16">
        <v>5</v>
      </c>
      <c r="AC234" s="16">
        <v>28</v>
      </c>
      <c r="AD234" s="16">
        <v>113</v>
      </c>
      <c r="AE234" s="16">
        <v>9</v>
      </c>
      <c r="AF234" s="16">
        <v>4</v>
      </c>
      <c r="AG234" s="16"/>
      <c r="AH234" s="192"/>
      <c r="AI234" s="193"/>
      <c r="AJ234" s="25"/>
      <c r="AK234" s="192"/>
      <c r="AL234" s="16"/>
      <c r="AM234" s="16"/>
      <c r="AN234" s="193"/>
      <c r="AO234" s="193"/>
      <c r="AP234" s="193"/>
      <c r="AQ234" s="193"/>
      <c r="AR234" s="12" t="str">
        <f t="shared" si="7"/>
        <v/>
      </c>
      <c r="AS234" s="12" t="str">
        <f t="shared" si="8"/>
        <v/>
      </c>
      <c r="AT234" s="18"/>
    </row>
    <row r="235" spans="1:46" s="19" customFormat="1" ht="20.100000000000001" hidden="1" customHeight="1" x14ac:dyDescent="0.2">
      <c r="A235" s="222">
        <v>226</v>
      </c>
      <c r="B235" s="16" t="s">
        <v>4800</v>
      </c>
      <c r="C235" s="16" t="s">
        <v>1253</v>
      </c>
      <c r="D235" s="193" t="s">
        <v>4801</v>
      </c>
      <c r="E235" s="193" t="s">
        <v>19</v>
      </c>
      <c r="F235" s="193" t="s">
        <v>192</v>
      </c>
      <c r="G235" s="193"/>
      <c r="H235" s="192" t="s">
        <v>7</v>
      </c>
      <c r="I235" s="16" t="s">
        <v>3576</v>
      </c>
      <c r="J235" s="193"/>
      <c r="K235" s="193" t="s">
        <v>334</v>
      </c>
      <c r="L235" s="193"/>
      <c r="M235" s="252" t="s">
        <v>106</v>
      </c>
      <c r="N235" s="251" t="s">
        <v>107</v>
      </c>
      <c r="O235" s="193"/>
      <c r="P235" s="193" t="s">
        <v>1809</v>
      </c>
      <c r="Q235" s="193" t="s">
        <v>2348</v>
      </c>
      <c r="R235" s="193"/>
      <c r="S235" s="193" t="s">
        <v>69</v>
      </c>
      <c r="T235" s="193" t="s">
        <v>70</v>
      </c>
      <c r="U235" s="192"/>
      <c r="V235" s="192"/>
      <c r="W235" s="192">
        <v>229</v>
      </c>
      <c r="X235" s="192"/>
      <c r="Y235" s="16">
        <v>192</v>
      </c>
      <c r="Z235" s="16">
        <v>65</v>
      </c>
      <c r="AA235" s="16">
        <v>182</v>
      </c>
      <c r="AB235" s="16">
        <v>3</v>
      </c>
      <c r="AC235" s="16">
        <v>5</v>
      </c>
      <c r="AD235" s="16">
        <v>190</v>
      </c>
      <c r="AE235" s="16">
        <v>6</v>
      </c>
      <c r="AF235" s="16">
        <v>4</v>
      </c>
      <c r="AG235" s="16"/>
      <c r="AH235" s="192"/>
      <c r="AI235" s="193" t="s">
        <v>3871</v>
      </c>
      <c r="AJ235" s="25">
        <v>190</v>
      </c>
      <c r="AK235" s="192">
        <v>6.5</v>
      </c>
      <c r="AL235" s="16" t="s">
        <v>160</v>
      </c>
      <c r="AM235" s="16"/>
      <c r="AN235" s="193"/>
      <c r="AO235" s="193"/>
      <c r="AP235" s="193"/>
      <c r="AQ235" s="193"/>
      <c r="AR235" s="12" t="str">
        <f t="shared" si="7"/>
        <v/>
      </c>
      <c r="AS235" s="12" t="str">
        <f t="shared" si="8"/>
        <v/>
      </c>
      <c r="AT235" s="18"/>
    </row>
    <row r="236" spans="1:46" s="19" customFormat="1" ht="20.100000000000001" hidden="1" customHeight="1" x14ac:dyDescent="0.2">
      <c r="A236" s="222">
        <v>227</v>
      </c>
      <c r="B236" s="16" t="s">
        <v>4802</v>
      </c>
      <c r="C236" s="16" t="s">
        <v>1253</v>
      </c>
      <c r="D236" s="193" t="s">
        <v>2050</v>
      </c>
      <c r="E236" s="193" t="s">
        <v>6</v>
      </c>
      <c r="F236" s="193"/>
      <c r="G236" s="193"/>
      <c r="H236" s="250" t="s">
        <v>7</v>
      </c>
      <c r="I236" s="16" t="s">
        <v>84</v>
      </c>
      <c r="J236" s="193" t="s">
        <v>104</v>
      </c>
      <c r="K236" s="193" t="s">
        <v>68</v>
      </c>
      <c r="L236" s="193"/>
      <c r="M236" s="193" t="s">
        <v>106</v>
      </c>
      <c r="N236" s="192" t="s">
        <v>107</v>
      </c>
      <c r="O236" s="193" t="s">
        <v>1727</v>
      </c>
      <c r="P236" s="193" t="s">
        <v>2245</v>
      </c>
      <c r="Q236" s="193" t="s">
        <v>769</v>
      </c>
      <c r="R236" s="193" t="s">
        <v>4832</v>
      </c>
      <c r="S236" s="252" t="s">
        <v>106</v>
      </c>
      <c r="T236" s="251" t="s">
        <v>107</v>
      </c>
      <c r="U236" s="192"/>
      <c r="V236" s="192"/>
      <c r="W236" s="192">
        <v>238</v>
      </c>
      <c r="X236" s="192">
        <v>234</v>
      </c>
      <c r="Y236" s="16">
        <v>228</v>
      </c>
      <c r="Z236" s="16">
        <v>182</v>
      </c>
      <c r="AA236" s="16">
        <v>197</v>
      </c>
      <c r="AB236" s="16">
        <v>3</v>
      </c>
      <c r="AC236" s="16">
        <v>15</v>
      </c>
      <c r="AD236" s="16">
        <v>215</v>
      </c>
      <c r="AE236" s="16">
        <v>16.600000000000001</v>
      </c>
      <c r="AF236" s="16">
        <v>6</v>
      </c>
      <c r="AG236" s="16"/>
      <c r="AH236" s="192"/>
      <c r="AI236" s="193" t="s">
        <v>4799</v>
      </c>
      <c r="AJ236" s="25">
        <v>227</v>
      </c>
      <c r="AK236" s="192">
        <v>14</v>
      </c>
      <c r="AL236" s="16" t="s">
        <v>160</v>
      </c>
      <c r="AM236" s="16"/>
      <c r="AN236" s="193"/>
      <c r="AO236" s="193"/>
      <c r="AP236" s="193"/>
      <c r="AQ236" s="193"/>
      <c r="AR236" s="12" t="str">
        <f t="shared" si="7"/>
        <v/>
      </c>
      <c r="AS236" s="12" t="str">
        <f t="shared" si="8"/>
        <v/>
      </c>
      <c r="AT236" s="18"/>
    </row>
    <row r="237" spans="1:46" s="19" customFormat="1" ht="20.100000000000001" hidden="1" customHeight="1" x14ac:dyDescent="0.2">
      <c r="A237" s="222">
        <v>228</v>
      </c>
      <c r="B237" s="16" t="s">
        <v>4803</v>
      </c>
      <c r="C237" s="16" t="s">
        <v>1253</v>
      </c>
      <c r="D237" s="193" t="s">
        <v>4377</v>
      </c>
      <c r="E237" s="193" t="s">
        <v>6</v>
      </c>
      <c r="F237" s="193"/>
      <c r="G237" s="193"/>
      <c r="H237" s="250" t="s">
        <v>7</v>
      </c>
      <c r="I237" s="16" t="s">
        <v>84</v>
      </c>
      <c r="J237" s="193" t="s">
        <v>140</v>
      </c>
      <c r="K237" s="193" t="s">
        <v>140</v>
      </c>
      <c r="L237" s="193"/>
      <c r="M237" s="193" t="s">
        <v>69</v>
      </c>
      <c r="N237" s="192" t="s">
        <v>70</v>
      </c>
      <c r="O237" s="193" t="s">
        <v>4818</v>
      </c>
      <c r="P237" s="193" t="s">
        <v>2961</v>
      </c>
      <c r="Q237" s="193" t="s">
        <v>144</v>
      </c>
      <c r="R237" s="193" t="s">
        <v>4817</v>
      </c>
      <c r="S237" s="193" t="s">
        <v>73</v>
      </c>
      <c r="T237" s="193" t="s">
        <v>70</v>
      </c>
      <c r="U237" s="192"/>
      <c r="V237" s="192"/>
      <c r="W237" s="192">
        <v>239</v>
      </c>
      <c r="X237" s="192">
        <v>210</v>
      </c>
      <c r="Y237" s="16">
        <v>210</v>
      </c>
      <c r="Z237" s="16">
        <v>120</v>
      </c>
      <c r="AA237" s="16">
        <v>180</v>
      </c>
      <c r="AB237" s="16">
        <v>5</v>
      </c>
      <c r="AC237" s="16">
        <v>60</v>
      </c>
      <c r="AD237" s="16">
        <v>245</v>
      </c>
      <c r="AE237" s="16">
        <v>7</v>
      </c>
      <c r="AF237" s="16">
        <v>4</v>
      </c>
      <c r="AG237" s="16"/>
      <c r="AH237" s="192"/>
      <c r="AI237" s="193" t="s">
        <v>4799</v>
      </c>
      <c r="AJ237" s="25">
        <v>245</v>
      </c>
      <c r="AK237" s="192">
        <v>6.2</v>
      </c>
      <c r="AL237" s="16" t="s">
        <v>160</v>
      </c>
      <c r="AM237" s="16" t="s">
        <v>161</v>
      </c>
      <c r="AN237" s="193"/>
      <c r="AO237" s="193"/>
      <c r="AP237" s="193"/>
      <c r="AQ237" s="193"/>
      <c r="AR237" s="12" t="str">
        <f t="shared" si="7"/>
        <v/>
      </c>
      <c r="AS237" s="12" t="str">
        <f t="shared" si="8"/>
        <v/>
      </c>
      <c r="AT237" s="18"/>
    </row>
    <row r="238" spans="1:46" s="19" customFormat="1" ht="20.100000000000001" hidden="1" customHeight="1" x14ac:dyDescent="0.2">
      <c r="A238" s="222">
        <v>229</v>
      </c>
      <c r="B238" s="16" t="s">
        <v>4803</v>
      </c>
      <c r="C238" s="16" t="s">
        <v>1253</v>
      </c>
      <c r="D238" s="193" t="s">
        <v>4804</v>
      </c>
      <c r="E238" s="193" t="s">
        <v>10</v>
      </c>
      <c r="F238" s="193" t="s">
        <v>4589</v>
      </c>
      <c r="G238" s="193"/>
      <c r="H238" s="192" t="s">
        <v>83</v>
      </c>
      <c r="I238" s="16" t="s">
        <v>92</v>
      </c>
      <c r="J238" s="193"/>
      <c r="K238" s="193" t="s">
        <v>218</v>
      </c>
      <c r="L238" s="193"/>
      <c r="M238" s="193" t="s">
        <v>69</v>
      </c>
      <c r="N238" s="192" t="s">
        <v>70</v>
      </c>
      <c r="O238" s="193"/>
      <c r="P238" s="193" t="s">
        <v>3678</v>
      </c>
      <c r="Q238" s="193" t="s">
        <v>485</v>
      </c>
      <c r="R238" s="193"/>
      <c r="S238" s="193" t="s">
        <v>69</v>
      </c>
      <c r="T238" s="193" t="s">
        <v>70</v>
      </c>
      <c r="U238" s="192" t="s">
        <v>5155</v>
      </c>
      <c r="V238" s="192"/>
      <c r="W238" s="192"/>
      <c r="X238" s="192"/>
      <c r="Y238" s="16">
        <v>216</v>
      </c>
      <c r="Z238" s="16"/>
      <c r="AA238" s="16"/>
      <c r="AB238" s="16"/>
      <c r="AC238" s="16"/>
      <c r="AD238" s="16"/>
      <c r="AE238" s="16"/>
      <c r="AF238" s="16">
        <v>6</v>
      </c>
      <c r="AG238" s="16"/>
      <c r="AH238" s="192"/>
      <c r="AI238" s="193"/>
      <c r="AJ238" s="25"/>
      <c r="AK238" s="192"/>
      <c r="AL238" s="16"/>
      <c r="AM238" s="16"/>
      <c r="AN238" s="193" t="s">
        <v>4378</v>
      </c>
      <c r="AO238" s="193" t="s">
        <v>344</v>
      </c>
      <c r="AP238" s="193" t="s">
        <v>396</v>
      </c>
      <c r="AQ238" s="193" t="s">
        <v>344</v>
      </c>
      <c r="AR238" s="12">
        <f t="shared" si="7"/>
        <v>120</v>
      </c>
      <c r="AS238" s="12" t="str">
        <f t="shared" si="8"/>
        <v/>
      </c>
      <c r="AT238" s="18"/>
    </row>
    <row r="239" spans="1:46" s="19" customFormat="1" ht="20.100000000000001" hidden="1" customHeight="1" x14ac:dyDescent="0.2">
      <c r="A239" s="222">
        <v>230</v>
      </c>
      <c r="B239" s="16" t="s">
        <v>4806</v>
      </c>
      <c r="C239" s="16" t="s">
        <v>1253</v>
      </c>
      <c r="D239" s="16" t="s">
        <v>4805</v>
      </c>
      <c r="E239" s="193" t="s">
        <v>66</v>
      </c>
      <c r="F239" s="193"/>
      <c r="G239" s="193"/>
      <c r="H239" s="192" t="s">
        <v>83</v>
      </c>
      <c r="I239" s="16" t="s">
        <v>92</v>
      </c>
      <c r="J239" s="193"/>
      <c r="K239" s="193"/>
      <c r="L239" s="193"/>
      <c r="M239" s="193"/>
      <c r="N239" s="192"/>
      <c r="O239" s="193"/>
      <c r="P239" s="193"/>
      <c r="Q239" s="193"/>
      <c r="R239" s="193"/>
      <c r="S239" s="193"/>
      <c r="T239" s="193"/>
      <c r="U239" s="192"/>
      <c r="V239" s="192"/>
      <c r="W239" s="192"/>
      <c r="X239" s="192"/>
      <c r="Y239" s="16"/>
      <c r="Z239" s="16"/>
      <c r="AA239" s="16"/>
      <c r="AB239" s="16"/>
      <c r="AC239" s="16"/>
      <c r="AD239" s="16"/>
      <c r="AE239" s="16"/>
      <c r="AF239" s="16"/>
      <c r="AG239" s="16"/>
      <c r="AH239" s="192"/>
      <c r="AI239" s="193"/>
      <c r="AJ239" s="25"/>
      <c r="AK239" s="192"/>
      <c r="AL239" s="16"/>
      <c r="AM239" s="16"/>
      <c r="AN239" s="193"/>
      <c r="AO239" s="193"/>
      <c r="AP239" s="193"/>
      <c r="AQ239" s="193"/>
      <c r="AR239" s="12" t="str">
        <f t="shared" si="7"/>
        <v/>
      </c>
      <c r="AS239" s="12" t="str">
        <f t="shared" si="8"/>
        <v/>
      </c>
      <c r="AT239" s="18"/>
    </row>
    <row r="240" spans="1:46" s="19" customFormat="1" ht="20.100000000000001" hidden="1" customHeight="1" x14ac:dyDescent="0.2">
      <c r="A240" s="222">
        <v>231</v>
      </c>
      <c r="B240" s="16" t="s">
        <v>4806</v>
      </c>
      <c r="C240" s="16" t="s">
        <v>1253</v>
      </c>
      <c r="D240" s="16" t="s">
        <v>4805</v>
      </c>
      <c r="E240" s="193" t="s">
        <v>66</v>
      </c>
      <c r="F240" s="193"/>
      <c r="G240" s="193"/>
      <c r="H240" s="192" t="s">
        <v>7</v>
      </c>
      <c r="I240" s="16" t="s">
        <v>92</v>
      </c>
      <c r="J240" s="193"/>
      <c r="K240" s="193" t="s">
        <v>2258</v>
      </c>
      <c r="L240" s="193"/>
      <c r="M240" s="193" t="s">
        <v>69</v>
      </c>
      <c r="N240" s="192" t="s">
        <v>70</v>
      </c>
      <c r="O240" s="193"/>
      <c r="P240" s="193" t="s">
        <v>2325</v>
      </c>
      <c r="Q240" s="193" t="s">
        <v>116</v>
      </c>
      <c r="R240" s="193"/>
      <c r="S240" s="193" t="s">
        <v>69</v>
      </c>
      <c r="T240" s="193" t="s">
        <v>70</v>
      </c>
      <c r="U240" s="192"/>
      <c r="V240" s="192"/>
      <c r="W240" s="192"/>
      <c r="X240" s="192"/>
      <c r="Y240" s="16"/>
      <c r="Z240" s="16"/>
      <c r="AA240" s="16"/>
      <c r="AB240" s="16"/>
      <c r="AC240" s="16"/>
      <c r="AD240" s="16"/>
      <c r="AE240" s="16"/>
      <c r="AF240" s="16">
        <v>3</v>
      </c>
      <c r="AG240" s="16"/>
      <c r="AH240" s="192"/>
      <c r="AI240" s="193" t="s">
        <v>4806</v>
      </c>
      <c r="AJ240" s="25"/>
      <c r="AK240" s="192"/>
      <c r="AL240" s="16"/>
      <c r="AM240" s="16"/>
      <c r="AN240" s="193"/>
      <c r="AO240" s="193"/>
      <c r="AP240" s="193"/>
      <c r="AQ240" s="193"/>
      <c r="AR240" s="12" t="str">
        <f t="shared" si="7"/>
        <v/>
      </c>
      <c r="AS240" s="12" t="str">
        <f t="shared" si="8"/>
        <v/>
      </c>
      <c r="AT240" s="18"/>
    </row>
    <row r="241" spans="1:46" s="19" customFormat="1" ht="20.100000000000001" hidden="1" customHeight="1" x14ac:dyDescent="0.2">
      <c r="A241" s="222">
        <v>232</v>
      </c>
      <c r="B241" s="16" t="s">
        <v>4806</v>
      </c>
      <c r="C241" s="16" t="s">
        <v>1253</v>
      </c>
      <c r="D241" s="193" t="s">
        <v>3766</v>
      </c>
      <c r="E241" s="193" t="s">
        <v>6</v>
      </c>
      <c r="F241" s="193" t="s">
        <v>4038</v>
      </c>
      <c r="G241" s="193"/>
      <c r="H241" s="192" t="s">
        <v>83</v>
      </c>
      <c r="I241" s="16" t="s">
        <v>84</v>
      </c>
      <c r="J241" s="193"/>
      <c r="K241" s="193" t="s">
        <v>104</v>
      </c>
      <c r="L241" s="193"/>
      <c r="M241" s="193" t="s">
        <v>142</v>
      </c>
      <c r="N241" s="192" t="s">
        <v>70</v>
      </c>
      <c r="O241" s="193"/>
      <c r="P241" s="193" t="s">
        <v>3680</v>
      </c>
      <c r="Q241" s="193" t="s">
        <v>2258</v>
      </c>
      <c r="R241" s="193" t="s">
        <v>4004</v>
      </c>
      <c r="S241" s="193" t="s">
        <v>73</v>
      </c>
      <c r="T241" s="193" t="s">
        <v>70</v>
      </c>
      <c r="U241" s="192" t="s">
        <v>3933</v>
      </c>
      <c r="V241" s="192"/>
      <c r="W241" s="192"/>
      <c r="X241" s="192"/>
      <c r="Y241" s="16">
        <v>192</v>
      </c>
      <c r="Z241" s="16"/>
      <c r="AA241" s="16"/>
      <c r="AB241" s="16"/>
      <c r="AC241" s="16"/>
      <c r="AD241" s="16"/>
      <c r="AE241" s="16"/>
      <c r="AF241" s="16">
        <v>6</v>
      </c>
      <c r="AG241" s="16"/>
      <c r="AH241" s="192"/>
      <c r="AI241" s="193"/>
      <c r="AJ241" s="25"/>
      <c r="AK241" s="192"/>
      <c r="AL241" s="16"/>
      <c r="AM241" s="16"/>
      <c r="AN241" s="193" t="s">
        <v>4378</v>
      </c>
      <c r="AO241" s="193" t="s">
        <v>344</v>
      </c>
      <c r="AP241" s="193" t="s">
        <v>113</v>
      </c>
      <c r="AQ241" s="193" t="s">
        <v>344</v>
      </c>
      <c r="AR241" s="12">
        <f t="shared" si="7"/>
        <v>12</v>
      </c>
      <c r="AS241" s="12">
        <f t="shared" si="8"/>
        <v>12</v>
      </c>
      <c r="AT241" s="18"/>
    </row>
    <row r="242" spans="1:46" s="19" customFormat="1" ht="20.100000000000001" hidden="1" customHeight="1" x14ac:dyDescent="0.2">
      <c r="A242" s="222">
        <v>233</v>
      </c>
      <c r="B242" s="16" t="s">
        <v>4806</v>
      </c>
      <c r="C242" s="16" t="s">
        <v>1253</v>
      </c>
      <c r="D242" s="193" t="s">
        <v>4807</v>
      </c>
      <c r="E242" s="193" t="s">
        <v>66</v>
      </c>
      <c r="F242" s="193"/>
      <c r="G242" s="193"/>
      <c r="H242" s="192" t="s">
        <v>83</v>
      </c>
      <c r="I242" s="16" t="s">
        <v>93</v>
      </c>
      <c r="J242" s="193"/>
      <c r="K242" s="193"/>
      <c r="L242" s="193"/>
      <c r="M242" s="193"/>
      <c r="N242" s="192"/>
      <c r="O242" s="193"/>
      <c r="P242" s="193"/>
      <c r="Q242" s="193"/>
      <c r="R242" s="193"/>
      <c r="S242" s="193"/>
      <c r="T242" s="193"/>
      <c r="U242" s="192"/>
      <c r="V242" s="192"/>
      <c r="W242" s="192"/>
      <c r="X242" s="192"/>
      <c r="Y242" s="16"/>
      <c r="Z242" s="16"/>
      <c r="AA242" s="16"/>
      <c r="AB242" s="16"/>
      <c r="AC242" s="16"/>
      <c r="AD242" s="16"/>
      <c r="AE242" s="16"/>
      <c r="AF242" s="16"/>
      <c r="AG242" s="16"/>
      <c r="AH242" s="192"/>
      <c r="AI242" s="193"/>
      <c r="AJ242" s="25"/>
      <c r="AK242" s="192"/>
      <c r="AL242" s="16"/>
      <c r="AM242" s="16"/>
      <c r="AN242" s="193"/>
      <c r="AO242" s="193"/>
      <c r="AP242" s="193"/>
      <c r="AQ242" s="193"/>
      <c r="AR242" s="12" t="str">
        <f t="shared" si="7"/>
        <v/>
      </c>
      <c r="AS242" s="12" t="str">
        <f t="shared" si="8"/>
        <v/>
      </c>
      <c r="AT242" s="18"/>
    </row>
    <row r="243" spans="1:46" s="19" customFormat="1" ht="20.100000000000001" hidden="1" customHeight="1" x14ac:dyDescent="0.2">
      <c r="A243" s="222">
        <v>234</v>
      </c>
      <c r="B243" s="16" t="s">
        <v>4808</v>
      </c>
      <c r="C243" s="16" t="s">
        <v>1253</v>
      </c>
      <c r="D243" s="193" t="s">
        <v>4809</v>
      </c>
      <c r="E243" s="193" t="s">
        <v>8</v>
      </c>
      <c r="F243" s="193" t="s">
        <v>5189</v>
      </c>
      <c r="G243" s="193"/>
      <c r="H243" s="192" t="s">
        <v>83</v>
      </c>
      <c r="I243" s="16" t="s">
        <v>84</v>
      </c>
      <c r="J243" s="193"/>
      <c r="K243" s="193" t="s">
        <v>117</v>
      </c>
      <c r="L243" s="193" t="s">
        <v>5152</v>
      </c>
      <c r="M243" s="193" t="s">
        <v>119</v>
      </c>
      <c r="N243" s="192" t="s">
        <v>107</v>
      </c>
      <c r="O243" s="193"/>
      <c r="P243" s="193" t="s">
        <v>3677</v>
      </c>
      <c r="Q243" s="193" t="s">
        <v>465</v>
      </c>
      <c r="R243" s="193" t="s">
        <v>5153</v>
      </c>
      <c r="S243" s="193" t="s">
        <v>142</v>
      </c>
      <c r="T243" s="193" t="s">
        <v>70</v>
      </c>
      <c r="U243" s="192" t="s">
        <v>5154</v>
      </c>
      <c r="V243" s="192"/>
      <c r="W243" s="192"/>
      <c r="X243" s="192"/>
      <c r="Y243" s="16">
        <v>84</v>
      </c>
      <c r="Z243" s="16"/>
      <c r="AA243" s="16"/>
      <c r="AB243" s="16"/>
      <c r="AC243" s="16"/>
      <c r="AD243" s="16"/>
      <c r="AE243" s="16"/>
      <c r="AF243" s="16">
        <v>6</v>
      </c>
      <c r="AG243" s="16"/>
      <c r="AH243" s="192"/>
      <c r="AI243" s="193"/>
      <c r="AJ243" s="25"/>
      <c r="AK243" s="192"/>
      <c r="AL243" s="16"/>
      <c r="AM243" s="16"/>
      <c r="AN243" s="193" t="s">
        <v>4378</v>
      </c>
      <c r="AO243" s="193" t="s">
        <v>344</v>
      </c>
      <c r="AP243" s="193" t="s">
        <v>547</v>
      </c>
      <c r="AQ243" s="193" t="s">
        <v>465</v>
      </c>
      <c r="AR243" s="12">
        <f t="shared" si="7"/>
        <v>85</v>
      </c>
      <c r="AS243" s="12" t="str">
        <f t="shared" si="8"/>
        <v/>
      </c>
      <c r="AT243" s="18"/>
    </row>
    <row r="244" spans="1:46" s="19" customFormat="1" ht="20.100000000000001" hidden="1" customHeight="1" x14ac:dyDescent="0.2">
      <c r="A244" s="222">
        <v>235</v>
      </c>
      <c r="B244" s="16" t="s">
        <v>4808</v>
      </c>
      <c r="C244" s="16" t="s">
        <v>1253</v>
      </c>
      <c r="D244" s="193" t="s">
        <v>3378</v>
      </c>
      <c r="E244" s="193" t="s">
        <v>10</v>
      </c>
      <c r="F244" s="193"/>
      <c r="G244" s="193"/>
      <c r="H244" s="192" t="s">
        <v>7</v>
      </c>
      <c r="I244" s="16" t="s">
        <v>92</v>
      </c>
      <c r="J244" s="193" t="s">
        <v>68</v>
      </c>
      <c r="K244" s="193" t="s">
        <v>68</v>
      </c>
      <c r="L244" s="193"/>
      <c r="M244" s="193" t="s">
        <v>69</v>
      </c>
      <c r="N244" s="192" t="s">
        <v>70</v>
      </c>
      <c r="O244" s="193" t="s">
        <v>71</v>
      </c>
      <c r="P244" s="193" t="s">
        <v>1510</v>
      </c>
      <c r="Q244" s="193" t="s">
        <v>1581</v>
      </c>
      <c r="R244" s="193" t="s">
        <v>4819</v>
      </c>
      <c r="S244" s="193" t="s">
        <v>73</v>
      </c>
      <c r="T244" s="193" t="s">
        <v>70</v>
      </c>
      <c r="U244" s="192"/>
      <c r="V244" s="192"/>
      <c r="W244" s="192">
        <v>245</v>
      </c>
      <c r="X244" s="192">
        <v>231</v>
      </c>
      <c r="Y244" s="16">
        <v>231</v>
      </c>
      <c r="Z244" s="16">
        <v>98</v>
      </c>
      <c r="AA244" s="16">
        <v>130</v>
      </c>
      <c r="AB244" s="16">
        <v>5</v>
      </c>
      <c r="AC244" s="16">
        <v>65</v>
      </c>
      <c r="AD244" s="16">
        <v>200</v>
      </c>
      <c r="AE244" s="16">
        <v>16</v>
      </c>
      <c r="AF244" s="16">
        <v>6</v>
      </c>
      <c r="AG244" s="16"/>
      <c r="AH244" s="192"/>
      <c r="AI244" s="193" t="s">
        <v>4820</v>
      </c>
      <c r="AJ244" s="25">
        <v>200</v>
      </c>
      <c r="AK244" s="192">
        <v>21</v>
      </c>
      <c r="AL244" s="16" t="s">
        <v>160</v>
      </c>
      <c r="AM244" s="16" t="s">
        <v>193</v>
      </c>
      <c r="AN244" s="193"/>
      <c r="AO244" s="193"/>
      <c r="AP244" s="193"/>
      <c r="AQ244" s="193"/>
      <c r="AR244" s="12" t="str">
        <f t="shared" si="7"/>
        <v/>
      </c>
      <c r="AS244" s="12" t="str">
        <f t="shared" si="8"/>
        <v/>
      </c>
      <c r="AT244" s="18"/>
    </row>
    <row r="245" spans="1:46" s="19" customFormat="1" ht="20.100000000000001" hidden="1" customHeight="1" x14ac:dyDescent="0.2">
      <c r="A245" s="222">
        <v>236</v>
      </c>
      <c r="B245" s="16" t="s">
        <v>4810</v>
      </c>
      <c r="C245" s="16" t="s">
        <v>1253</v>
      </c>
      <c r="D245" s="193" t="s">
        <v>4608</v>
      </c>
      <c r="E245" s="193" t="s">
        <v>20</v>
      </c>
      <c r="F245" s="193"/>
      <c r="G245" s="193"/>
      <c r="H245" s="192" t="s">
        <v>7</v>
      </c>
      <c r="I245" s="16" t="s">
        <v>84</v>
      </c>
      <c r="J245" s="193" t="s">
        <v>769</v>
      </c>
      <c r="K245" s="193" t="s">
        <v>769</v>
      </c>
      <c r="L245" s="193"/>
      <c r="M245" s="193" t="s">
        <v>369</v>
      </c>
      <c r="N245" s="192" t="s">
        <v>369</v>
      </c>
      <c r="O245" s="193" t="s">
        <v>979</v>
      </c>
      <c r="P245" s="193" t="s">
        <v>2325</v>
      </c>
      <c r="Q245" s="193" t="s">
        <v>260</v>
      </c>
      <c r="R245" s="193" t="s">
        <v>5298</v>
      </c>
      <c r="S245" s="193" t="s">
        <v>369</v>
      </c>
      <c r="T245" s="193" t="s">
        <v>369</v>
      </c>
      <c r="U245" s="192"/>
      <c r="V245" s="192"/>
      <c r="W245" s="192">
        <v>162</v>
      </c>
      <c r="X245" s="192">
        <v>138</v>
      </c>
      <c r="Y245" s="16">
        <v>138</v>
      </c>
      <c r="Z245" s="16">
        <v>90</v>
      </c>
      <c r="AA245" s="16">
        <v>135</v>
      </c>
      <c r="AB245" s="16">
        <v>3</v>
      </c>
      <c r="AC245" s="16">
        <v>25</v>
      </c>
      <c r="AD245" s="16">
        <v>163</v>
      </c>
      <c r="AE245" s="16">
        <v>4</v>
      </c>
      <c r="AF245" s="16">
        <v>3</v>
      </c>
      <c r="AG245" s="16"/>
      <c r="AH245" s="192"/>
      <c r="AI245" s="193"/>
      <c r="AJ245" s="25"/>
      <c r="AK245" s="192"/>
      <c r="AL245" s="16"/>
      <c r="AM245" s="16"/>
      <c r="AN245" s="193"/>
      <c r="AO245" s="193"/>
      <c r="AP245" s="193"/>
      <c r="AQ245" s="193"/>
      <c r="AR245" s="12" t="str">
        <f t="shared" si="7"/>
        <v/>
      </c>
      <c r="AS245" s="12" t="str">
        <f t="shared" si="8"/>
        <v/>
      </c>
      <c r="AT245" s="18"/>
    </row>
    <row r="246" spans="1:46" s="19" customFormat="1" ht="20.100000000000001" hidden="1" customHeight="1" x14ac:dyDescent="0.2">
      <c r="A246" s="222">
        <v>237</v>
      </c>
      <c r="B246" s="16" t="s">
        <v>4811</v>
      </c>
      <c r="C246" s="16" t="s">
        <v>1253</v>
      </c>
      <c r="D246" s="193" t="s">
        <v>4812</v>
      </c>
      <c r="E246" s="193" t="s">
        <v>8</v>
      </c>
      <c r="F246" s="193" t="s">
        <v>192</v>
      </c>
      <c r="G246" s="193"/>
      <c r="H246" s="192" t="s">
        <v>7</v>
      </c>
      <c r="I246" s="16" t="s">
        <v>3576</v>
      </c>
      <c r="J246" s="193"/>
      <c r="K246" s="193" t="s">
        <v>68</v>
      </c>
      <c r="L246" s="193"/>
      <c r="M246" s="193" t="s">
        <v>69</v>
      </c>
      <c r="N246" s="192" t="s">
        <v>70</v>
      </c>
      <c r="O246" s="193"/>
      <c r="P246" s="193" t="s">
        <v>3680</v>
      </c>
      <c r="Q246" s="193" t="s">
        <v>2348</v>
      </c>
      <c r="R246" s="193"/>
      <c r="S246" s="193" t="s">
        <v>262</v>
      </c>
      <c r="T246" s="193" t="s">
        <v>70</v>
      </c>
      <c r="U246" s="192"/>
      <c r="V246" s="192"/>
      <c r="W246" s="192">
        <v>223</v>
      </c>
      <c r="X246" s="192"/>
      <c r="Y246" s="16">
        <v>210</v>
      </c>
      <c r="Z246" s="16">
        <v>58</v>
      </c>
      <c r="AA246" s="16">
        <v>152</v>
      </c>
      <c r="AB246" s="16">
        <v>3</v>
      </c>
      <c r="AC246" s="16">
        <v>40</v>
      </c>
      <c r="AD246" s="16">
        <v>195</v>
      </c>
      <c r="AE246" s="16">
        <v>19</v>
      </c>
      <c r="AF246" s="16">
        <v>6</v>
      </c>
      <c r="AG246" s="16"/>
      <c r="AH246" s="192"/>
      <c r="AI246" s="193" t="s">
        <v>4816</v>
      </c>
      <c r="AJ246" s="25">
        <v>195</v>
      </c>
      <c r="AK246" s="192">
        <v>19</v>
      </c>
      <c r="AL246" s="16" t="s">
        <v>160</v>
      </c>
      <c r="AM246" s="16" t="s">
        <v>193</v>
      </c>
      <c r="AN246" s="193"/>
      <c r="AO246" s="193"/>
      <c r="AP246" s="193"/>
      <c r="AQ246" s="193"/>
      <c r="AR246" s="12" t="str">
        <f t="shared" si="7"/>
        <v/>
      </c>
      <c r="AS246" s="12" t="str">
        <f t="shared" si="8"/>
        <v/>
      </c>
      <c r="AT246" s="18"/>
    </row>
    <row r="247" spans="1:46" s="19" customFormat="1" ht="20.100000000000001" hidden="1" customHeight="1" x14ac:dyDescent="0.2">
      <c r="A247" s="222">
        <v>238</v>
      </c>
      <c r="B247" s="16" t="s">
        <v>4813</v>
      </c>
      <c r="C247" s="16" t="s">
        <v>1253</v>
      </c>
      <c r="D247" s="16" t="s">
        <v>220</v>
      </c>
      <c r="E247" s="193" t="s">
        <v>6</v>
      </c>
      <c r="F247" s="193"/>
      <c r="G247" s="193"/>
      <c r="H247" s="192" t="s">
        <v>7</v>
      </c>
      <c r="I247" s="16" t="s">
        <v>84</v>
      </c>
      <c r="J247" s="193" t="s">
        <v>117</v>
      </c>
      <c r="K247" s="193" t="s">
        <v>140</v>
      </c>
      <c r="L247" s="193"/>
      <c r="M247" s="193" t="s">
        <v>106</v>
      </c>
      <c r="N247" s="192" t="s">
        <v>107</v>
      </c>
      <c r="O247" s="35" t="s">
        <v>306</v>
      </c>
      <c r="P247" s="35" t="s">
        <v>2961</v>
      </c>
      <c r="Q247" s="35" t="s">
        <v>769</v>
      </c>
      <c r="R247" s="193" t="s">
        <v>4815</v>
      </c>
      <c r="S247" s="193" t="s">
        <v>73</v>
      </c>
      <c r="T247" s="193" t="s">
        <v>70</v>
      </c>
      <c r="U247" s="192"/>
      <c r="V247" s="192"/>
      <c r="W247" s="192">
        <v>181</v>
      </c>
      <c r="X247" s="192">
        <v>171</v>
      </c>
      <c r="Y247" s="16">
        <v>171</v>
      </c>
      <c r="Z247" s="16">
        <v>145</v>
      </c>
      <c r="AA247" s="16">
        <v>158</v>
      </c>
      <c r="AB247" s="16">
        <v>7</v>
      </c>
      <c r="AC247" s="16">
        <v>20</v>
      </c>
      <c r="AD247" s="16">
        <v>185</v>
      </c>
      <c r="AE247" s="16">
        <v>10</v>
      </c>
      <c r="AF247" s="16">
        <v>4</v>
      </c>
      <c r="AG247" s="16"/>
      <c r="AH247" s="192"/>
      <c r="AI247" s="193" t="s">
        <v>4811</v>
      </c>
      <c r="AJ247" s="25">
        <v>195</v>
      </c>
      <c r="AK247" s="192">
        <v>10</v>
      </c>
      <c r="AL247" s="16"/>
      <c r="AM247" s="16"/>
      <c r="AN247" s="193"/>
      <c r="AO247" s="193"/>
      <c r="AP247" s="193"/>
      <c r="AQ247" s="193"/>
      <c r="AR247" s="12" t="str">
        <f t="shared" si="7"/>
        <v/>
      </c>
      <c r="AS247" s="12" t="str">
        <f t="shared" si="8"/>
        <v/>
      </c>
      <c r="AT247" s="18"/>
    </row>
    <row r="248" spans="1:46" s="19" customFormat="1" ht="20.100000000000001" hidden="1" customHeight="1" x14ac:dyDescent="0.2">
      <c r="A248" s="222">
        <v>239</v>
      </c>
      <c r="B248" s="16" t="s">
        <v>4813</v>
      </c>
      <c r="C248" s="16" t="s">
        <v>1253</v>
      </c>
      <c r="D248" s="193" t="s">
        <v>1652</v>
      </c>
      <c r="E248" s="193" t="s">
        <v>10</v>
      </c>
      <c r="F248" s="193"/>
      <c r="G248" s="193"/>
      <c r="H248" s="192" t="s">
        <v>7</v>
      </c>
      <c r="I248" s="16" t="s">
        <v>84</v>
      </c>
      <c r="J248" s="35" t="s">
        <v>117</v>
      </c>
      <c r="K248" s="35" t="s">
        <v>140</v>
      </c>
      <c r="L248" s="193"/>
      <c r="M248" s="193" t="s">
        <v>106</v>
      </c>
      <c r="N248" s="192" t="s">
        <v>107</v>
      </c>
      <c r="O248" s="35" t="s">
        <v>199</v>
      </c>
      <c r="P248" s="35" t="s">
        <v>2961</v>
      </c>
      <c r="Q248" s="35" t="s">
        <v>769</v>
      </c>
      <c r="R248" s="193" t="s">
        <v>4814</v>
      </c>
      <c r="S248" s="193" t="s">
        <v>73</v>
      </c>
      <c r="T248" s="193" t="s">
        <v>70</v>
      </c>
      <c r="U248" s="192"/>
      <c r="V248" s="192"/>
      <c r="W248" s="192">
        <v>214</v>
      </c>
      <c r="X248" s="192">
        <v>204</v>
      </c>
      <c r="Y248" s="16">
        <v>204</v>
      </c>
      <c r="Z248" s="16">
        <v>111</v>
      </c>
      <c r="AA248" s="16">
        <v>142</v>
      </c>
      <c r="AB248" s="16">
        <v>3</v>
      </c>
      <c r="AC248" s="16">
        <v>42</v>
      </c>
      <c r="AD248" s="16">
        <v>187</v>
      </c>
      <c r="AE248" s="16">
        <v>10</v>
      </c>
      <c r="AF248" s="16">
        <v>6</v>
      </c>
      <c r="AG248" s="16"/>
      <c r="AH248" s="192"/>
      <c r="AI248" s="193" t="s">
        <v>4811</v>
      </c>
      <c r="AJ248" s="25">
        <v>187</v>
      </c>
      <c r="AK248" s="192">
        <v>11</v>
      </c>
      <c r="AL248" s="16" t="s">
        <v>160</v>
      </c>
      <c r="AM248" s="16"/>
      <c r="AN248" s="193"/>
      <c r="AO248" s="193"/>
      <c r="AP248" s="193"/>
      <c r="AQ248" s="193"/>
      <c r="AR248" s="12" t="str">
        <f t="shared" si="7"/>
        <v/>
      </c>
      <c r="AS248" s="12" t="str">
        <f t="shared" si="8"/>
        <v/>
      </c>
      <c r="AT248" s="18"/>
    </row>
    <row r="249" spans="1:46" s="21" customFormat="1" ht="20.100000000000001" hidden="1" customHeight="1" x14ac:dyDescent="0.2">
      <c r="A249" s="20"/>
      <c r="B249" s="29" t="s">
        <v>4919</v>
      </c>
      <c r="C249" s="29" t="s">
        <v>1253</v>
      </c>
      <c r="D249" s="30" t="s">
        <v>4732</v>
      </c>
      <c r="E249" s="30"/>
      <c r="F249" s="30" t="s">
        <v>202</v>
      </c>
      <c r="G249" s="260"/>
      <c r="H249" s="20" t="s">
        <v>83</v>
      </c>
      <c r="I249" s="29" t="s">
        <v>84</v>
      </c>
      <c r="J249" s="30"/>
      <c r="K249" s="30" t="s">
        <v>223</v>
      </c>
      <c r="L249" s="30"/>
      <c r="M249" s="30" t="s">
        <v>106</v>
      </c>
      <c r="N249" s="20" t="s">
        <v>107</v>
      </c>
      <c r="O249" s="30"/>
      <c r="P249" s="30" t="s">
        <v>2961</v>
      </c>
      <c r="Q249" s="30" t="s">
        <v>718</v>
      </c>
      <c r="R249" s="30" t="s">
        <v>3893</v>
      </c>
      <c r="S249" s="30" t="s">
        <v>73</v>
      </c>
      <c r="T249" s="30" t="s">
        <v>70</v>
      </c>
      <c r="U249" s="20" t="s">
        <v>4800</v>
      </c>
      <c r="V249" s="259"/>
      <c r="W249" s="20"/>
      <c r="X249" s="20"/>
      <c r="Y249" s="29">
        <v>132</v>
      </c>
      <c r="Z249" s="29"/>
      <c r="AA249" s="29"/>
      <c r="AB249" s="29"/>
      <c r="AC249" s="29"/>
      <c r="AD249" s="29"/>
      <c r="AE249" s="29"/>
      <c r="AF249" s="29">
        <v>4</v>
      </c>
      <c r="AG249" s="16"/>
      <c r="AH249" s="259"/>
      <c r="AI249" s="30"/>
      <c r="AJ249" s="36"/>
      <c r="AK249" s="20"/>
      <c r="AL249" s="29"/>
      <c r="AM249" s="29"/>
      <c r="AN249" s="30" t="s">
        <v>4378</v>
      </c>
      <c r="AO249" s="30" t="s">
        <v>344</v>
      </c>
      <c r="AP249" s="30" t="s">
        <v>4378</v>
      </c>
      <c r="AQ249" s="30" t="s">
        <v>344</v>
      </c>
      <c r="AR249" s="12">
        <f t="shared" si="7"/>
        <v>0</v>
      </c>
      <c r="AS249" s="12">
        <f t="shared" si="8"/>
        <v>0</v>
      </c>
      <c r="AT249" s="32" t="s">
        <v>4920</v>
      </c>
    </row>
    <row r="250" spans="1:46" s="19" customFormat="1" ht="20.100000000000001" hidden="1" customHeight="1" x14ac:dyDescent="0.2">
      <c r="A250" s="222">
        <v>240</v>
      </c>
      <c r="B250" s="16" t="s">
        <v>4821</v>
      </c>
      <c r="C250" s="16" t="s">
        <v>1360</v>
      </c>
      <c r="D250" s="193" t="s">
        <v>2256</v>
      </c>
      <c r="E250" s="193" t="s">
        <v>66</v>
      </c>
      <c r="F250" s="193"/>
      <c r="G250" s="193"/>
      <c r="H250" s="192" t="s">
        <v>83</v>
      </c>
      <c r="I250" s="16" t="s">
        <v>3439</v>
      </c>
      <c r="J250" s="193"/>
      <c r="K250" s="193"/>
      <c r="L250" s="193"/>
      <c r="M250" s="193"/>
      <c r="N250" s="192"/>
      <c r="O250" s="193"/>
      <c r="P250" s="193"/>
      <c r="Q250" s="193"/>
      <c r="R250" s="193"/>
      <c r="S250" s="193"/>
      <c r="T250" s="193"/>
      <c r="U250" s="192"/>
      <c r="V250" s="192"/>
      <c r="W250" s="192"/>
      <c r="X250" s="192"/>
      <c r="Y250" s="16"/>
      <c r="Z250" s="16"/>
      <c r="AA250" s="16"/>
      <c r="AB250" s="16"/>
      <c r="AC250" s="16"/>
      <c r="AD250" s="16"/>
      <c r="AE250" s="16"/>
      <c r="AF250" s="16"/>
      <c r="AG250" s="16"/>
      <c r="AH250" s="192"/>
      <c r="AI250" s="193"/>
      <c r="AJ250" s="25"/>
      <c r="AK250" s="192"/>
      <c r="AL250" s="16"/>
      <c r="AM250" s="16"/>
      <c r="AN250" s="193"/>
      <c r="AO250" s="193"/>
      <c r="AP250" s="193"/>
      <c r="AQ250" s="193"/>
      <c r="AR250" s="12" t="str">
        <f t="shared" si="7"/>
        <v/>
      </c>
      <c r="AS250" s="12" t="str">
        <f t="shared" si="8"/>
        <v/>
      </c>
      <c r="AT250" s="18"/>
    </row>
    <row r="251" spans="1:46" s="19" customFormat="1" ht="20.100000000000001" hidden="1" customHeight="1" x14ac:dyDescent="0.2">
      <c r="A251" s="222">
        <v>241</v>
      </c>
      <c r="B251" s="16" t="s">
        <v>4821</v>
      </c>
      <c r="C251" s="16" t="s">
        <v>1360</v>
      </c>
      <c r="D251" s="252" t="s">
        <v>2256</v>
      </c>
      <c r="E251" s="252" t="s">
        <v>66</v>
      </c>
      <c r="F251" s="193"/>
      <c r="G251" s="193"/>
      <c r="H251" s="192" t="s">
        <v>7</v>
      </c>
      <c r="I251" s="16" t="s">
        <v>3439</v>
      </c>
      <c r="J251" s="193" t="s">
        <v>525</v>
      </c>
      <c r="K251" s="193" t="s">
        <v>525</v>
      </c>
      <c r="L251" s="193"/>
      <c r="M251" s="193" t="s">
        <v>5301</v>
      </c>
      <c r="N251" s="192" t="s">
        <v>70</v>
      </c>
      <c r="O251" s="193" t="s">
        <v>5302</v>
      </c>
      <c r="P251" s="193" t="s">
        <v>4016</v>
      </c>
      <c r="Q251" s="193" t="s">
        <v>718</v>
      </c>
      <c r="R251" s="193"/>
      <c r="S251" s="193" t="s">
        <v>5301</v>
      </c>
      <c r="T251" s="193" t="s">
        <v>70</v>
      </c>
      <c r="U251" s="192"/>
      <c r="V251" s="192"/>
      <c r="W251" s="192"/>
      <c r="X251" s="192"/>
      <c r="Y251" s="16"/>
      <c r="Z251" s="16"/>
      <c r="AA251" s="16"/>
      <c r="AB251" s="16"/>
      <c r="AC251" s="16"/>
      <c r="AD251" s="16"/>
      <c r="AE251" s="16"/>
      <c r="AF251" s="16"/>
      <c r="AG251" s="16"/>
      <c r="AH251" s="192"/>
      <c r="AI251" s="193"/>
      <c r="AJ251" s="25"/>
      <c r="AK251" s="192"/>
      <c r="AL251" s="16"/>
      <c r="AM251" s="16"/>
      <c r="AN251" s="193"/>
      <c r="AO251" s="193"/>
      <c r="AP251" s="193"/>
      <c r="AQ251" s="193"/>
      <c r="AR251" s="12" t="str">
        <f t="shared" si="7"/>
        <v/>
      </c>
      <c r="AS251" s="12" t="str">
        <f t="shared" si="8"/>
        <v/>
      </c>
      <c r="AT251" s="18"/>
    </row>
    <row r="252" spans="1:46" s="19" customFormat="1" ht="20.100000000000001" hidden="1" customHeight="1" x14ac:dyDescent="0.2">
      <c r="A252" s="222">
        <v>242</v>
      </c>
      <c r="B252" s="16" t="s">
        <v>4821</v>
      </c>
      <c r="C252" s="16" t="s">
        <v>1360</v>
      </c>
      <c r="D252" s="193" t="s">
        <v>4822</v>
      </c>
      <c r="E252" s="252" t="s">
        <v>66</v>
      </c>
      <c r="F252" s="193"/>
      <c r="G252" s="193"/>
      <c r="H252" s="192" t="s">
        <v>83</v>
      </c>
      <c r="I252" s="16" t="s">
        <v>84</v>
      </c>
      <c r="J252" s="193"/>
      <c r="K252" s="193"/>
      <c r="L252" s="193"/>
      <c r="M252" s="193"/>
      <c r="N252" s="192"/>
      <c r="O252" s="193"/>
      <c r="P252" s="193"/>
      <c r="Q252" s="193"/>
      <c r="R252" s="193"/>
      <c r="S252" s="193"/>
      <c r="T252" s="193"/>
      <c r="U252" s="192"/>
      <c r="V252" s="192"/>
      <c r="W252" s="192"/>
      <c r="X252" s="192"/>
      <c r="Y252" s="16"/>
      <c r="Z252" s="16"/>
      <c r="AA252" s="16"/>
      <c r="AB252" s="16"/>
      <c r="AC252" s="16"/>
      <c r="AD252" s="16"/>
      <c r="AE252" s="16"/>
      <c r="AF252" s="16"/>
      <c r="AG252" s="16"/>
      <c r="AH252" s="192"/>
      <c r="AI252" s="193"/>
      <c r="AJ252" s="25"/>
      <c r="AK252" s="192"/>
      <c r="AL252" s="16"/>
      <c r="AM252" s="16"/>
      <c r="AN252" s="193"/>
      <c r="AO252" s="193"/>
      <c r="AP252" s="193"/>
      <c r="AQ252" s="193"/>
      <c r="AR252" s="12" t="str">
        <f t="shared" si="7"/>
        <v/>
      </c>
      <c r="AS252" s="12" t="str">
        <f t="shared" si="8"/>
        <v/>
      </c>
      <c r="AT252" s="18"/>
    </row>
    <row r="253" spans="1:46" s="19" customFormat="1" ht="20.100000000000001" hidden="1" customHeight="1" x14ac:dyDescent="0.2">
      <c r="A253" s="222">
        <v>243</v>
      </c>
      <c r="B253" s="16" t="s">
        <v>4821</v>
      </c>
      <c r="C253" s="16" t="s">
        <v>1360</v>
      </c>
      <c r="D253" s="252" t="s">
        <v>4822</v>
      </c>
      <c r="E253" s="252" t="s">
        <v>66</v>
      </c>
      <c r="F253" s="193"/>
      <c r="G253" s="193"/>
      <c r="H253" s="192" t="s">
        <v>7</v>
      </c>
      <c r="I253" s="16" t="s">
        <v>84</v>
      </c>
      <c r="J253" s="193"/>
      <c r="K253" s="193"/>
      <c r="L253" s="193"/>
      <c r="M253" s="193"/>
      <c r="N253" s="192"/>
      <c r="O253" s="193"/>
      <c r="P253" s="193"/>
      <c r="Q253" s="193"/>
      <c r="R253" s="193"/>
      <c r="S253" s="193"/>
      <c r="T253" s="193"/>
      <c r="U253" s="192"/>
      <c r="V253" s="192"/>
      <c r="W253" s="192"/>
      <c r="X253" s="192"/>
      <c r="Y253" s="16"/>
      <c r="Z253" s="16"/>
      <c r="AA253" s="16"/>
      <c r="AB253" s="16"/>
      <c r="AC253" s="16"/>
      <c r="AD253" s="16"/>
      <c r="AE253" s="16"/>
      <c r="AF253" s="16"/>
      <c r="AG253" s="16"/>
      <c r="AH253" s="192"/>
      <c r="AI253" s="193"/>
      <c r="AJ253" s="25"/>
      <c r="AK253" s="192"/>
      <c r="AL253" s="16"/>
      <c r="AM253" s="16"/>
      <c r="AN253" s="193"/>
      <c r="AO253" s="193"/>
      <c r="AP253" s="193"/>
      <c r="AQ253" s="193"/>
      <c r="AR253" s="12" t="str">
        <f t="shared" si="7"/>
        <v/>
      </c>
      <c r="AS253" s="12" t="str">
        <f t="shared" si="8"/>
        <v/>
      </c>
      <c r="AT253" s="18"/>
    </row>
    <row r="254" spans="1:46" s="19" customFormat="1" ht="20.100000000000001" hidden="1" customHeight="1" x14ac:dyDescent="0.2">
      <c r="A254" s="222">
        <v>244</v>
      </c>
      <c r="B254" s="16" t="s">
        <v>4823</v>
      </c>
      <c r="C254" s="16" t="s">
        <v>1360</v>
      </c>
      <c r="D254" s="193" t="s">
        <v>4824</v>
      </c>
      <c r="E254" s="252" t="s">
        <v>66</v>
      </c>
      <c r="F254" s="193"/>
      <c r="G254" s="193"/>
      <c r="H254" s="192" t="s">
        <v>83</v>
      </c>
      <c r="I254" s="16" t="s">
        <v>84</v>
      </c>
      <c r="J254" s="193"/>
      <c r="K254" s="193"/>
      <c r="L254" s="193"/>
      <c r="M254" s="193"/>
      <c r="N254" s="192"/>
      <c r="O254" s="193"/>
      <c r="P254" s="193"/>
      <c r="Q254" s="193"/>
      <c r="R254" s="193"/>
      <c r="S254" s="193"/>
      <c r="T254" s="193"/>
      <c r="U254" s="192"/>
      <c r="V254" s="192"/>
      <c r="W254" s="192"/>
      <c r="X254" s="192"/>
      <c r="Y254" s="16"/>
      <c r="Z254" s="16"/>
      <c r="AA254" s="16"/>
      <c r="AB254" s="16"/>
      <c r="AC254" s="16"/>
      <c r="AD254" s="16"/>
      <c r="AE254" s="16"/>
      <c r="AF254" s="16"/>
      <c r="AG254" s="16"/>
      <c r="AH254" s="192"/>
      <c r="AI254" s="193"/>
      <c r="AJ254" s="25"/>
      <c r="AK254" s="192"/>
      <c r="AL254" s="16"/>
      <c r="AM254" s="16"/>
      <c r="AN254" s="193"/>
      <c r="AO254" s="193"/>
      <c r="AP254" s="193"/>
      <c r="AQ254" s="193"/>
      <c r="AR254" s="12" t="str">
        <f t="shared" si="7"/>
        <v/>
      </c>
      <c r="AS254" s="12" t="str">
        <f t="shared" si="8"/>
        <v/>
      </c>
      <c r="AT254" s="18"/>
    </row>
    <row r="255" spans="1:46" s="19" customFormat="1" ht="20.100000000000001" hidden="1" customHeight="1" x14ac:dyDescent="0.2">
      <c r="A255" s="222">
        <v>245</v>
      </c>
      <c r="B255" s="16" t="s">
        <v>4823</v>
      </c>
      <c r="C255" s="16" t="s">
        <v>1360</v>
      </c>
      <c r="D255" s="252" t="s">
        <v>4824</v>
      </c>
      <c r="E255" s="252" t="s">
        <v>66</v>
      </c>
      <c r="F255" s="193"/>
      <c r="G255" s="193"/>
      <c r="H255" s="192" t="s">
        <v>7</v>
      </c>
      <c r="I255" s="16" t="s">
        <v>84</v>
      </c>
      <c r="J255" s="193"/>
      <c r="K255" s="193"/>
      <c r="L255" s="193"/>
      <c r="M255" s="193"/>
      <c r="N255" s="192"/>
      <c r="O255" s="193"/>
      <c r="P255" s="193"/>
      <c r="Q255" s="193"/>
      <c r="R255" s="193"/>
      <c r="S255" s="193"/>
      <c r="T255" s="193"/>
      <c r="U255" s="192"/>
      <c r="V255" s="192"/>
      <c r="W255" s="192"/>
      <c r="X255" s="192"/>
      <c r="Y255" s="16"/>
      <c r="Z255" s="16"/>
      <c r="AA255" s="16"/>
      <c r="AB255" s="16"/>
      <c r="AC255" s="16"/>
      <c r="AD255" s="16"/>
      <c r="AE255" s="16"/>
      <c r="AF255" s="16"/>
      <c r="AG255" s="16"/>
      <c r="AH255" s="192"/>
      <c r="AI255" s="193"/>
      <c r="AJ255" s="25"/>
      <c r="AK255" s="192"/>
      <c r="AL255" s="16"/>
      <c r="AM255" s="16"/>
      <c r="AN255" s="193"/>
      <c r="AO255" s="193"/>
      <c r="AP255" s="193"/>
      <c r="AQ255" s="193"/>
      <c r="AR255" s="12" t="str">
        <f t="shared" si="7"/>
        <v/>
      </c>
      <c r="AS255" s="12" t="str">
        <f t="shared" si="8"/>
        <v/>
      </c>
      <c r="AT255" s="18"/>
    </row>
    <row r="256" spans="1:46" s="19" customFormat="1" ht="20.100000000000001" hidden="1" customHeight="1" x14ac:dyDescent="0.2">
      <c r="A256" s="222">
        <v>246</v>
      </c>
      <c r="B256" s="16" t="s">
        <v>4825</v>
      </c>
      <c r="C256" s="16" t="s">
        <v>1360</v>
      </c>
      <c r="D256" s="193" t="s">
        <v>2837</v>
      </c>
      <c r="E256" s="193" t="s">
        <v>243</v>
      </c>
      <c r="F256" s="193"/>
      <c r="G256" s="193"/>
      <c r="H256" s="192" t="s">
        <v>7</v>
      </c>
      <c r="I256" s="16" t="s">
        <v>84</v>
      </c>
      <c r="J256" s="35" t="s">
        <v>117</v>
      </c>
      <c r="K256" s="35" t="s">
        <v>334</v>
      </c>
      <c r="L256" s="193"/>
      <c r="M256" s="254" t="s">
        <v>106</v>
      </c>
      <c r="N256" s="253" t="s">
        <v>107</v>
      </c>
      <c r="O256" s="35" t="s">
        <v>204</v>
      </c>
      <c r="P256" s="35" t="s">
        <v>1809</v>
      </c>
      <c r="Q256" s="35" t="s">
        <v>260</v>
      </c>
      <c r="R256" s="193" t="s">
        <v>4850</v>
      </c>
      <c r="S256" s="254" t="s">
        <v>106</v>
      </c>
      <c r="T256" s="253" t="s">
        <v>107</v>
      </c>
      <c r="U256" s="192"/>
      <c r="V256" s="192"/>
      <c r="W256" s="192">
        <v>191</v>
      </c>
      <c r="X256" s="192">
        <v>180</v>
      </c>
      <c r="Y256" s="16">
        <v>180</v>
      </c>
      <c r="Z256" s="16">
        <v>96</v>
      </c>
      <c r="AA256" s="16">
        <v>135</v>
      </c>
      <c r="AB256" s="16">
        <v>5</v>
      </c>
      <c r="AC256" s="16">
        <v>19</v>
      </c>
      <c r="AD256" s="16">
        <v>159</v>
      </c>
      <c r="AE256" s="16">
        <v>7</v>
      </c>
      <c r="AF256" s="16">
        <v>4</v>
      </c>
      <c r="AG256" s="16"/>
      <c r="AH256" s="192"/>
      <c r="AI256" s="193" t="s">
        <v>4823</v>
      </c>
      <c r="AJ256" s="25">
        <v>159</v>
      </c>
      <c r="AK256" s="192">
        <v>6.3</v>
      </c>
      <c r="AL256" s="16" t="s">
        <v>111</v>
      </c>
      <c r="AM256" s="16"/>
      <c r="AN256" s="193"/>
      <c r="AO256" s="193"/>
      <c r="AP256" s="193"/>
      <c r="AQ256" s="193"/>
      <c r="AR256" s="12" t="str">
        <f t="shared" si="7"/>
        <v/>
      </c>
      <c r="AS256" s="12" t="str">
        <f t="shared" si="8"/>
        <v/>
      </c>
      <c r="AT256" s="18"/>
    </row>
    <row r="257" spans="1:46" s="19" customFormat="1" ht="20.100000000000001" hidden="1" customHeight="1" x14ac:dyDescent="0.2">
      <c r="A257" s="222">
        <v>247</v>
      </c>
      <c r="B257" s="16" t="s">
        <v>4826</v>
      </c>
      <c r="C257" s="16" t="s">
        <v>1360</v>
      </c>
      <c r="D257" s="193" t="s">
        <v>4827</v>
      </c>
      <c r="E257" s="193" t="s">
        <v>10</v>
      </c>
      <c r="F257" s="193" t="s">
        <v>202</v>
      </c>
      <c r="G257" s="193"/>
      <c r="H257" s="192" t="s">
        <v>83</v>
      </c>
      <c r="I257" s="16" t="s">
        <v>92</v>
      </c>
      <c r="J257" s="193"/>
      <c r="K257" s="193" t="s">
        <v>117</v>
      </c>
      <c r="L257" s="193" t="s">
        <v>5149</v>
      </c>
      <c r="M257" s="193" t="s">
        <v>369</v>
      </c>
      <c r="N257" s="192" t="s">
        <v>369</v>
      </c>
      <c r="O257" s="193"/>
      <c r="P257" s="193" t="s">
        <v>3677</v>
      </c>
      <c r="Q257" s="193" t="s">
        <v>465</v>
      </c>
      <c r="R257" s="193" t="s">
        <v>5150</v>
      </c>
      <c r="S257" s="193" t="s">
        <v>119</v>
      </c>
      <c r="T257" s="193" t="s">
        <v>107</v>
      </c>
      <c r="U257" s="192" t="s">
        <v>5151</v>
      </c>
      <c r="V257" s="192"/>
      <c r="W257" s="192"/>
      <c r="X257" s="192"/>
      <c r="Y257" s="16">
        <v>174</v>
      </c>
      <c r="Z257" s="16"/>
      <c r="AA257" s="16"/>
      <c r="AB257" s="16"/>
      <c r="AC257" s="16"/>
      <c r="AD257" s="16"/>
      <c r="AE257" s="16"/>
      <c r="AF257" s="16">
        <v>6</v>
      </c>
      <c r="AG257" s="16"/>
      <c r="AH257" s="192"/>
      <c r="AI257" s="193"/>
      <c r="AJ257" s="25"/>
      <c r="AK257" s="192"/>
      <c r="AL257" s="16"/>
      <c r="AM257" s="16"/>
      <c r="AN257" s="193" t="s">
        <v>4378</v>
      </c>
      <c r="AO257" s="193" t="s">
        <v>148</v>
      </c>
      <c r="AP257" s="193" t="s">
        <v>136</v>
      </c>
      <c r="AQ257" s="193" t="s">
        <v>116</v>
      </c>
      <c r="AR257" s="12">
        <f t="shared" si="7"/>
        <v>33</v>
      </c>
      <c r="AS257" s="12" t="str">
        <f t="shared" si="8"/>
        <v/>
      </c>
      <c r="AT257" s="18"/>
    </row>
    <row r="258" spans="1:46" s="21" customFormat="1" ht="20.100000000000001" hidden="1" customHeight="1" x14ac:dyDescent="0.2">
      <c r="A258" s="20">
        <v>248</v>
      </c>
      <c r="B258" s="29" t="s">
        <v>4828</v>
      </c>
      <c r="C258" s="29" t="s">
        <v>1360</v>
      </c>
      <c r="D258" s="30" t="s">
        <v>1984</v>
      </c>
      <c r="E258" s="30" t="s">
        <v>6</v>
      </c>
      <c r="F258" s="30" t="s">
        <v>185</v>
      </c>
      <c r="G258" s="193"/>
      <c r="H258" s="20" t="s">
        <v>83</v>
      </c>
      <c r="I258" s="29" t="s">
        <v>84</v>
      </c>
      <c r="J258" s="30"/>
      <c r="K258" s="30" t="s">
        <v>68</v>
      </c>
      <c r="L258" s="30" t="s">
        <v>4700</v>
      </c>
      <c r="M258" s="30" t="s">
        <v>69</v>
      </c>
      <c r="N258" s="20" t="s">
        <v>70</v>
      </c>
      <c r="O258" s="30"/>
      <c r="P258" s="30" t="s">
        <v>2245</v>
      </c>
      <c r="Q258" s="30" t="s">
        <v>769</v>
      </c>
      <c r="R258" s="30" t="s">
        <v>4701</v>
      </c>
      <c r="S258" s="30" t="s">
        <v>69</v>
      </c>
      <c r="T258" s="30" t="s">
        <v>70</v>
      </c>
      <c r="U258" s="20" t="s">
        <v>4696</v>
      </c>
      <c r="V258" s="192"/>
      <c r="W258" s="20"/>
      <c r="X258" s="20"/>
      <c r="Y258" s="29">
        <v>180</v>
      </c>
      <c r="Z258" s="29"/>
      <c r="AA258" s="29"/>
      <c r="AB258" s="29"/>
      <c r="AC258" s="29"/>
      <c r="AD258" s="29"/>
      <c r="AE258" s="29"/>
      <c r="AF258" s="29">
        <v>6</v>
      </c>
      <c r="AG258" s="16"/>
      <c r="AH258" s="192"/>
      <c r="AI258" s="30"/>
      <c r="AJ258" s="36"/>
      <c r="AK258" s="20"/>
      <c r="AL258" s="29" t="s">
        <v>160</v>
      </c>
      <c r="AM258" s="29" t="s">
        <v>193</v>
      </c>
      <c r="AN258" s="30" t="s">
        <v>4378</v>
      </c>
      <c r="AO258" s="30" t="s">
        <v>148</v>
      </c>
      <c r="AP258" s="30" t="s">
        <v>4378</v>
      </c>
      <c r="AQ258" s="30" t="s">
        <v>1247</v>
      </c>
      <c r="AR258" s="31">
        <f t="shared" si="7"/>
        <v>3</v>
      </c>
      <c r="AS258" s="31">
        <f t="shared" si="8"/>
        <v>3</v>
      </c>
      <c r="AT258" s="32"/>
    </row>
    <row r="259" spans="1:46" s="19" customFormat="1" ht="20.100000000000001" hidden="1" customHeight="1" x14ac:dyDescent="0.2">
      <c r="A259" s="222">
        <v>249</v>
      </c>
      <c r="B259" s="16" t="s">
        <v>4828</v>
      </c>
      <c r="C259" s="16" t="s">
        <v>1360</v>
      </c>
      <c r="D259" s="193" t="s">
        <v>1984</v>
      </c>
      <c r="E259" s="193" t="s">
        <v>6</v>
      </c>
      <c r="F259" s="193"/>
      <c r="G259" s="193"/>
      <c r="H259" s="192" t="s">
        <v>7</v>
      </c>
      <c r="I259" s="16" t="s">
        <v>84</v>
      </c>
      <c r="J259" s="193" t="s">
        <v>68</v>
      </c>
      <c r="K259" s="193" t="s">
        <v>141</v>
      </c>
      <c r="L259" s="193"/>
      <c r="M259" s="193" t="s">
        <v>69</v>
      </c>
      <c r="N259" s="192" t="s">
        <v>70</v>
      </c>
      <c r="O259" s="193" t="s">
        <v>1727</v>
      </c>
      <c r="P259" s="193" t="s">
        <v>2961</v>
      </c>
      <c r="Q259" s="193" t="s">
        <v>2258</v>
      </c>
      <c r="R259" s="193" t="s">
        <v>4926</v>
      </c>
      <c r="S259" s="193" t="s">
        <v>69</v>
      </c>
      <c r="T259" s="193" t="s">
        <v>70</v>
      </c>
      <c r="U259" s="192"/>
      <c r="V259" s="192"/>
      <c r="W259" s="192">
        <v>191</v>
      </c>
      <c r="X259" s="192">
        <v>180</v>
      </c>
      <c r="Y259" s="16">
        <v>180</v>
      </c>
      <c r="Z259" s="16">
        <v>120</v>
      </c>
      <c r="AA259" s="16">
        <v>161</v>
      </c>
      <c r="AB259" s="16">
        <v>1</v>
      </c>
      <c r="AC259" s="16">
        <v>20</v>
      </c>
      <c r="AD259" s="16">
        <v>182</v>
      </c>
      <c r="AE259" s="16">
        <v>10</v>
      </c>
      <c r="AF259" s="16">
        <v>6</v>
      </c>
      <c r="AG259" s="16"/>
      <c r="AH259" s="192"/>
      <c r="AI259" s="193"/>
      <c r="AJ259" s="25"/>
      <c r="AK259" s="192"/>
      <c r="AL259" s="16"/>
      <c r="AM259" s="16"/>
      <c r="AN259" s="193"/>
      <c r="AO259" s="193"/>
      <c r="AP259" s="193"/>
      <c r="AQ259" s="193"/>
      <c r="AR259" s="12" t="str">
        <f t="shared" si="7"/>
        <v/>
      </c>
      <c r="AS259" s="12" t="str">
        <f t="shared" si="8"/>
        <v/>
      </c>
      <c r="AT259" s="18"/>
    </row>
    <row r="260" spans="1:46" s="19" customFormat="1" ht="20.100000000000001" hidden="1" customHeight="1" x14ac:dyDescent="0.2">
      <c r="A260" s="222">
        <v>250</v>
      </c>
      <c r="B260" s="16" t="s">
        <v>4829</v>
      </c>
      <c r="C260" s="16" t="s">
        <v>1360</v>
      </c>
      <c r="D260" s="193" t="s">
        <v>550</v>
      </c>
      <c r="E260" s="193" t="s">
        <v>10</v>
      </c>
      <c r="F260" s="193" t="s">
        <v>4038</v>
      </c>
      <c r="G260" s="193"/>
      <c r="H260" s="192" t="s">
        <v>83</v>
      </c>
      <c r="I260" s="16" t="s">
        <v>92</v>
      </c>
      <c r="J260" s="193"/>
      <c r="K260" s="193" t="s">
        <v>218</v>
      </c>
      <c r="L260" s="193" t="s">
        <v>570</v>
      </c>
      <c r="M260" s="193" t="s">
        <v>106</v>
      </c>
      <c r="N260" s="192" t="s">
        <v>107</v>
      </c>
      <c r="O260" s="193"/>
      <c r="P260" s="193" t="s">
        <v>3679</v>
      </c>
      <c r="Q260" s="193" t="s">
        <v>116</v>
      </c>
      <c r="R260" s="193" t="s">
        <v>571</v>
      </c>
      <c r="S260" s="193" t="s">
        <v>106</v>
      </c>
      <c r="T260" s="193" t="s">
        <v>107</v>
      </c>
      <c r="U260" s="192" t="s">
        <v>5148</v>
      </c>
      <c r="V260" s="192"/>
      <c r="W260" s="192"/>
      <c r="X260" s="192"/>
      <c r="Y260" s="16">
        <v>212</v>
      </c>
      <c r="Z260" s="16"/>
      <c r="AA260" s="16"/>
      <c r="AB260" s="16"/>
      <c r="AC260" s="16"/>
      <c r="AD260" s="16"/>
      <c r="AE260" s="16"/>
      <c r="AF260" s="16">
        <v>6</v>
      </c>
      <c r="AG260" s="16"/>
      <c r="AH260" s="192"/>
      <c r="AI260" s="193"/>
      <c r="AJ260" s="25"/>
      <c r="AK260" s="192"/>
      <c r="AL260" s="16"/>
      <c r="AM260" s="16"/>
      <c r="AN260" s="193" t="s">
        <v>4378</v>
      </c>
      <c r="AO260" s="193" t="s">
        <v>148</v>
      </c>
      <c r="AP260" s="193" t="s">
        <v>115</v>
      </c>
      <c r="AQ260" s="193" t="s">
        <v>296</v>
      </c>
      <c r="AR260" s="12">
        <f t="shared" si="7"/>
        <v>30</v>
      </c>
      <c r="AS260" s="12" t="str">
        <f t="shared" si="8"/>
        <v/>
      </c>
      <c r="AT260" s="18"/>
    </row>
    <row r="261" spans="1:46" s="19" customFormat="1" ht="20.100000000000001" hidden="1" customHeight="1" x14ac:dyDescent="0.2">
      <c r="A261" s="222">
        <v>252</v>
      </c>
      <c r="B261" s="16" t="s">
        <v>4830</v>
      </c>
      <c r="C261" s="16" t="s">
        <v>1360</v>
      </c>
      <c r="D261" s="193" t="s">
        <v>4831</v>
      </c>
      <c r="E261" s="193" t="s">
        <v>6</v>
      </c>
      <c r="F261" s="193" t="s">
        <v>4038</v>
      </c>
      <c r="G261" s="193"/>
      <c r="H261" s="192" t="s">
        <v>83</v>
      </c>
      <c r="I261" s="16" t="s">
        <v>84</v>
      </c>
      <c r="J261" s="193"/>
      <c r="K261" s="193" t="s">
        <v>141</v>
      </c>
      <c r="L261" s="193" t="s">
        <v>5145</v>
      </c>
      <c r="M261" s="193" t="s">
        <v>119</v>
      </c>
      <c r="N261" s="192" t="s">
        <v>107</v>
      </c>
      <c r="O261" s="193"/>
      <c r="P261" s="193" t="s">
        <v>3679</v>
      </c>
      <c r="Q261" s="193" t="s">
        <v>458</v>
      </c>
      <c r="R261" s="193"/>
      <c r="S261" s="193" t="s">
        <v>369</v>
      </c>
      <c r="T261" s="193" t="s">
        <v>369</v>
      </c>
      <c r="U261" s="192" t="s">
        <v>5146</v>
      </c>
      <c r="V261" s="192"/>
      <c r="W261" s="192"/>
      <c r="X261" s="192"/>
      <c r="Y261" s="16">
        <v>138</v>
      </c>
      <c r="Z261" s="16"/>
      <c r="AA261" s="16"/>
      <c r="AB261" s="16"/>
      <c r="AC261" s="16"/>
      <c r="AD261" s="16"/>
      <c r="AE261" s="16"/>
      <c r="AF261" s="16">
        <v>6</v>
      </c>
      <c r="AG261" s="16"/>
      <c r="AH261" s="192"/>
      <c r="AI261" s="193"/>
      <c r="AJ261" s="25"/>
      <c r="AK261" s="192"/>
      <c r="AL261" s="16"/>
      <c r="AM261" s="16"/>
      <c r="AN261" s="193" t="s">
        <v>4378</v>
      </c>
      <c r="AO261" s="193" t="s">
        <v>148</v>
      </c>
      <c r="AP261" s="193" t="s">
        <v>547</v>
      </c>
      <c r="AQ261" s="193" t="s">
        <v>260</v>
      </c>
      <c r="AR261" s="12">
        <f t="shared" si="7"/>
        <v>80</v>
      </c>
      <c r="AS261" s="12" t="str">
        <f t="shared" si="8"/>
        <v/>
      </c>
      <c r="AT261" s="18"/>
    </row>
    <row r="262" spans="1:46" s="19" customFormat="1" ht="20.100000000000001" hidden="1" customHeight="1" x14ac:dyDescent="0.2">
      <c r="A262" s="222">
        <v>253</v>
      </c>
      <c r="B262" s="16" t="s">
        <v>4830</v>
      </c>
      <c r="C262" s="16" t="s">
        <v>1360</v>
      </c>
      <c r="D262" s="193" t="s">
        <v>4807</v>
      </c>
      <c r="E262" s="193" t="s">
        <v>66</v>
      </c>
      <c r="F262" s="193"/>
      <c r="G262" s="193"/>
      <c r="H262" s="192" t="s">
        <v>7</v>
      </c>
      <c r="I262" s="16" t="s">
        <v>3439</v>
      </c>
      <c r="J262" s="35" t="s">
        <v>140</v>
      </c>
      <c r="K262" s="35" t="s">
        <v>141</v>
      </c>
      <c r="L262" s="193"/>
      <c r="M262" s="193" t="s">
        <v>69</v>
      </c>
      <c r="N262" s="192" t="s">
        <v>70</v>
      </c>
      <c r="O262" s="35" t="s">
        <v>276</v>
      </c>
      <c r="P262" s="35" t="s">
        <v>2961</v>
      </c>
      <c r="Q262" s="35" t="s">
        <v>2258</v>
      </c>
      <c r="R262" s="193"/>
      <c r="S262" s="193" t="s">
        <v>73</v>
      </c>
      <c r="T262" s="193" t="s">
        <v>70</v>
      </c>
      <c r="U262" s="192"/>
      <c r="V262" s="192"/>
      <c r="W262" s="192">
        <v>202</v>
      </c>
      <c r="X262" s="192">
        <v>192</v>
      </c>
      <c r="Y262" s="16">
        <v>192</v>
      </c>
      <c r="Z262" s="16">
        <v>106</v>
      </c>
      <c r="AA262" s="16">
        <v>158</v>
      </c>
      <c r="AB262" s="16">
        <v>5</v>
      </c>
      <c r="AC262" s="16">
        <v>25</v>
      </c>
      <c r="AD262" s="16">
        <v>188</v>
      </c>
      <c r="AE262" s="16">
        <v>8</v>
      </c>
      <c r="AF262" s="16">
        <v>4</v>
      </c>
      <c r="AG262" s="16"/>
      <c r="AH262" s="192"/>
      <c r="AI262" s="193"/>
      <c r="AJ262" s="25"/>
      <c r="AK262" s="192"/>
      <c r="AL262" s="16"/>
      <c r="AM262" s="16"/>
      <c r="AN262" s="193"/>
      <c r="AO262" s="193"/>
      <c r="AP262" s="193"/>
      <c r="AQ262" s="193"/>
      <c r="AR262" s="12" t="str">
        <f t="shared" si="7"/>
        <v/>
      </c>
      <c r="AS262" s="12" t="str">
        <f t="shared" si="8"/>
        <v/>
      </c>
      <c r="AT262" s="18"/>
    </row>
    <row r="263" spans="1:46" s="19" customFormat="1" ht="20.100000000000001" hidden="1" customHeight="1" x14ac:dyDescent="0.2">
      <c r="A263" s="222">
        <v>254</v>
      </c>
      <c r="B263" s="16" t="s">
        <v>4857</v>
      </c>
      <c r="C263" s="16" t="s">
        <v>1360</v>
      </c>
      <c r="D263" s="193" t="s">
        <v>3074</v>
      </c>
      <c r="E263" s="193" t="s">
        <v>243</v>
      </c>
      <c r="F263" s="193" t="s">
        <v>4038</v>
      </c>
      <c r="G263" s="193"/>
      <c r="H263" s="192" t="s">
        <v>83</v>
      </c>
      <c r="I263" s="16" t="s">
        <v>92</v>
      </c>
      <c r="J263" s="193"/>
      <c r="K263" s="193" t="s">
        <v>117</v>
      </c>
      <c r="L263" s="193" t="s">
        <v>3447</v>
      </c>
      <c r="M263" s="193" t="s">
        <v>142</v>
      </c>
      <c r="N263" s="192" t="s">
        <v>70</v>
      </c>
      <c r="O263" s="193"/>
      <c r="P263" s="193" t="s">
        <v>2961</v>
      </c>
      <c r="Q263" s="193" t="s">
        <v>226</v>
      </c>
      <c r="R263" s="193" t="s">
        <v>3448</v>
      </c>
      <c r="S263" s="193" t="s">
        <v>73</v>
      </c>
      <c r="T263" s="193" t="s">
        <v>70</v>
      </c>
      <c r="U263" s="192" t="s">
        <v>3438</v>
      </c>
      <c r="V263" s="192"/>
      <c r="W263" s="192"/>
      <c r="X263" s="192"/>
      <c r="Y263" s="16">
        <v>192</v>
      </c>
      <c r="Z263" s="16"/>
      <c r="AA263" s="16"/>
      <c r="AB263" s="16"/>
      <c r="AC263" s="16"/>
      <c r="AD263" s="16"/>
      <c r="AE263" s="16"/>
      <c r="AF263" s="16">
        <v>6</v>
      </c>
      <c r="AG263" s="16"/>
      <c r="AH263" s="192"/>
      <c r="AI263" s="193"/>
      <c r="AJ263" s="25"/>
      <c r="AK263" s="192"/>
      <c r="AL263" s="16"/>
      <c r="AM263" s="16"/>
      <c r="AN263" s="193" t="s">
        <v>4378</v>
      </c>
      <c r="AO263" s="193" t="s">
        <v>148</v>
      </c>
      <c r="AP263" s="193" t="s">
        <v>113</v>
      </c>
      <c r="AQ263" s="193" t="s">
        <v>235</v>
      </c>
      <c r="AR263" s="12">
        <f t="shared" si="7"/>
        <v>17</v>
      </c>
      <c r="AS263" s="12" t="str">
        <f t="shared" si="8"/>
        <v/>
      </c>
      <c r="AT263" s="18"/>
    </row>
    <row r="264" spans="1:46" s="19" customFormat="1" ht="20.100000000000001" hidden="1" customHeight="1" x14ac:dyDescent="0.2">
      <c r="A264" s="222">
        <v>255</v>
      </c>
      <c r="B264" s="16" t="s">
        <v>4836</v>
      </c>
      <c r="C264" s="16" t="s">
        <v>1360</v>
      </c>
      <c r="D264" s="193" t="s">
        <v>2579</v>
      </c>
      <c r="E264" s="193" t="s">
        <v>20</v>
      </c>
      <c r="F264" s="193"/>
      <c r="G264" s="193"/>
      <c r="H264" s="192" t="s">
        <v>7</v>
      </c>
      <c r="I264" s="16" t="s">
        <v>84</v>
      </c>
      <c r="J264" s="35" t="s">
        <v>140</v>
      </c>
      <c r="K264" s="35" t="s">
        <v>334</v>
      </c>
      <c r="L264" s="193"/>
      <c r="M264" s="193" t="s">
        <v>106</v>
      </c>
      <c r="N264" s="192" t="s">
        <v>107</v>
      </c>
      <c r="O264" s="35" t="s">
        <v>328</v>
      </c>
      <c r="P264" s="35" t="s">
        <v>1809</v>
      </c>
      <c r="Q264" s="35" t="s">
        <v>2258</v>
      </c>
      <c r="R264" s="193"/>
      <c r="S264" s="193" t="s">
        <v>106</v>
      </c>
      <c r="T264" s="193" t="s">
        <v>107</v>
      </c>
      <c r="U264" s="192"/>
      <c r="V264" s="192"/>
      <c r="W264" s="192">
        <v>126</v>
      </c>
      <c r="X264" s="192">
        <v>120</v>
      </c>
      <c r="Y264" s="16">
        <v>120</v>
      </c>
      <c r="Z264" s="16">
        <v>90</v>
      </c>
      <c r="AA264" s="16">
        <v>111</v>
      </c>
      <c r="AB264" s="16">
        <v>3</v>
      </c>
      <c r="AC264" s="16">
        <v>28</v>
      </c>
      <c r="AD264" s="16">
        <v>142</v>
      </c>
      <c r="AE264" s="16">
        <v>8</v>
      </c>
      <c r="AF264" s="16">
        <v>4</v>
      </c>
      <c r="AG264" s="16"/>
      <c r="AH264" s="192"/>
      <c r="AI264" s="193" t="s">
        <v>4857</v>
      </c>
      <c r="AJ264" s="25">
        <v>142</v>
      </c>
      <c r="AK264" s="192">
        <v>8</v>
      </c>
      <c r="AL264" s="16" t="s">
        <v>111</v>
      </c>
      <c r="AM264" s="16"/>
      <c r="AN264" s="193"/>
      <c r="AO264" s="193"/>
      <c r="AP264" s="193"/>
      <c r="AQ264" s="193"/>
      <c r="AR264" s="12" t="str">
        <f t="shared" si="7"/>
        <v/>
      </c>
      <c r="AS264" s="12" t="str">
        <f t="shared" si="8"/>
        <v/>
      </c>
      <c r="AT264" s="18"/>
    </row>
    <row r="265" spans="1:46" s="21" customFormat="1" ht="20.100000000000001" hidden="1" customHeight="1" x14ac:dyDescent="0.2">
      <c r="A265" s="20">
        <v>256</v>
      </c>
      <c r="B265" s="29" t="s">
        <v>4836</v>
      </c>
      <c r="C265" s="29" t="s">
        <v>1360</v>
      </c>
      <c r="D265" s="30" t="s">
        <v>4305</v>
      </c>
      <c r="E265" s="30" t="s">
        <v>9</v>
      </c>
      <c r="F265" s="30" t="s">
        <v>4038</v>
      </c>
      <c r="G265" s="193"/>
      <c r="H265" s="20" t="s">
        <v>83</v>
      </c>
      <c r="I265" s="29" t="s">
        <v>3439</v>
      </c>
      <c r="J265" s="30"/>
      <c r="K265" s="30" t="s">
        <v>223</v>
      </c>
      <c r="L265" s="30" t="s">
        <v>4622</v>
      </c>
      <c r="M265" s="30" t="s">
        <v>69</v>
      </c>
      <c r="N265" s="20" t="s">
        <v>70</v>
      </c>
      <c r="O265" s="30"/>
      <c r="P265" s="30" t="s">
        <v>2325</v>
      </c>
      <c r="Q265" s="30" t="s">
        <v>144</v>
      </c>
      <c r="R265" s="30" t="s">
        <v>4623</v>
      </c>
      <c r="S265" s="30" t="s">
        <v>69</v>
      </c>
      <c r="T265" s="30" t="s">
        <v>70</v>
      </c>
      <c r="U265" s="20" t="s">
        <v>5147</v>
      </c>
      <c r="V265" s="192"/>
      <c r="W265" s="20"/>
      <c r="X265" s="20"/>
      <c r="Y265" s="29">
        <v>240</v>
      </c>
      <c r="Z265" s="29"/>
      <c r="AA265" s="29"/>
      <c r="AB265" s="29"/>
      <c r="AC265" s="29"/>
      <c r="AD265" s="29"/>
      <c r="AE265" s="29"/>
      <c r="AF265" s="29">
        <v>4</v>
      </c>
      <c r="AG265" s="16"/>
      <c r="AH265" s="192"/>
      <c r="AI265" s="30"/>
      <c r="AJ265" s="36"/>
      <c r="AK265" s="20"/>
      <c r="AL265" s="29"/>
      <c r="AM265" s="29"/>
      <c r="AN265" s="30" t="s">
        <v>4378</v>
      </c>
      <c r="AO265" s="30" t="s">
        <v>148</v>
      </c>
      <c r="AP265" s="30" t="s">
        <v>4378</v>
      </c>
      <c r="AQ265" s="30" t="s">
        <v>124</v>
      </c>
      <c r="AR265" s="31">
        <f t="shared" si="7"/>
        <v>4</v>
      </c>
      <c r="AS265" s="31">
        <f t="shared" si="8"/>
        <v>4</v>
      </c>
      <c r="AT265" s="32"/>
    </row>
    <row r="266" spans="1:46" s="19" customFormat="1" ht="20.100000000000001" hidden="1" customHeight="1" x14ac:dyDescent="0.2">
      <c r="A266" s="222">
        <v>257</v>
      </c>
      <c r="B266" s="16" t="s">
        <v>4837</v>
      </c>
      <c r="C266" s="16" t="s">
        <v>1360</v>
      </c>
      <c r="D266" s="193" t="s">
        <v>3259</v>
      </c>
      <c r="E266" s="193" t="s">
        <v>6</v>
      </c>
      <c r="F266" s="193"/>
      <c r="G266" s="193"/>
      <c r="H266" s="192" t="s">
        <v>7</v>
      </c>
      <c r="I266" s="16" t="s">
        <v>84</v>
      </c>
      <c r="J266" s="35" t="s">
        <v>155</v>
      </c>
      <c r="K266" s="35" t="s">
        <v>68</v>
      </c>
      <c r="L266" s="193"/>
      <c r="M266" s="193" t="s">
        <v>69</v>
      </c>
      <c r="N266" s="192" t="s">
        <v>70</v>
      </c>
      <c r="O266" s="35" t="s">
        <v>324</v>
      </c>
      <c r="P266" s="35" t="s">
        <v>3680</v>
      </c>
      <c r="Q266" s="35" t="s">
        <v>769</v>
      </c>
      <c r="R266" s="193"/>
      <c r="S266" s="193" t="s">
        <v>262</v>
      </c>
      <c r="T266" s="193" t="s">
        <v>70</v>
      </c>
      <c r="U266" s="192"/>
      <c r="V266" s="192"/>
      <c r="W266" s="192">
        <v>200</v>
      </c>
      <c r="X266" s="192">
        <v>186</v>
      </c>
      <c r="Y266" s="16">
        <v>186</v>
      </c>
      <c r="Z266" s="16">
        <v>136</v>
      </c>
      <c r="AA266" s="16">
        <v>152</v>
      </c>
      <c r="AB266" s="16">
        <v>3</v>
      </c>
      <c r="AC266" s="16">
        <v>36</v>
      </c>
      <c r="AD266" s="16">
        <v>196</v>
      </c>
      <c r="AE266" s="16">
        <v>20</v>
      </c>
      <c r="AF266" s="16">
        <v>6</v>
      </c>
      <c r="AG266" s="16"/>
      <c r="AH266" s="192"/>
      <c r="AI266" s="193" t="s">
        <v>4836</v>
      </c>
      <c r="AJ266" s="25">
        <v>195</v>
      </c>
      <c r="AK266" s="192">
        <v>18</v>
      </c>
      <c r="AL266" s="16" t="s">
        <v>160</v>
      </c>
      <c r="AM266" s="16" t="s">
        <v>193</v>
      </c>
      <c r="AN266" s="193"/>
      <c r="AO266" s="193"/>
      <c r="AP266" s="193"/>
      <c r="AQ266" s="193"/>
      <c r="AR266" s="12" t="str">
        <f t="shared" ref="AR266:AR318" si="9">IF(AN266*AP266&gt;0,(AN266-AP266)*12+(AO266-AQ266),"")</f>
        <v/>
      </c>
      <c r="AS266" s="12" t="str">
        <f t="shared" ref="AS266:AS318" si="10">IF(AR266&lt;13,AR266,"")</f>
        <v/>
      </c>
      <c r="AT266" s="18"/>
    </row>
    <row r="267" spans="1:46" s="19" customFormat="1" ht="20.100000000000001" hidden="1" customHeight="1" x14ac:dyDescent="0.2">
      <c r="A267" s="222">
        <v>258</v>
      </c>
      <c r="B267" s="16" t="s">
        <v>4837</v>
      </c>
      <c r="C267" s="16" t="s">
        <v>1360</v>
      </c>
      <c r="D267" s="193" t="s">
        <v>4305</v>
      </c>
      <c r="E267" s="193" t="s">
        <v>66</v>
      </c>
      <c r="F267" s="193"/>
      <c r="G267" s="193"/>
      <c r="H267" s="192" t="s">
        <v>7</v>
      </c>
      <c r="I267" s="16" t="s">
        <v>3439</v>
      </c>
      <c r="J267" s="35" t="s">
        <v>223</v>
      </c>
      <c r="K267" s="35" t="s">
        <v>718</v>
      </c>
      <c r="L267" s="193"/>
      <c r="M267" s="193" t="s">
        <v>69</v>
      </c>
      <c r="N267" s="192" t="s">
        <v>70</v>
      </c>
      <c r="O267" s="193" t="s">
        <v>298</v>
      </c>
      <c r="P267" s="193" t="s">
        <v>4016</v>
      </c>
      <c r="Q267" s="193" t="s">
        <v>141</v>
      </c>
      <c r="R267" s="193"/>
      <c r="S267" s="193" t="s">
        <v>69</v>
      </c>
      <c r="T267" s="193" t="s">
        <v>70</v>
      </c>
      <c r="U267" s="192"/>
      <c r="V267" s="192"/>
      <c r="W267" s="192"/>
      <c r="X267" s="192"/>
      <c r="Y267" s="16"/>
      <c r="Z267" s="16"/>
      <c r="AA267" s="16"/>
      <c r="AB267" s="16"/>
      <c r="AC267" s="16"/>
      <c r="AD267" s="16"/>
      <c r="AE267" s="16"/>
      <c r="AF267" s="16"/>
      <c r="AG267" s="16"/>
      <c r="AH267" s="192"/>
      <c r="AI267" s="193"/>
      <c r="AJ267" s="25"/>
      <c r="AK267" s="192"/>
      <c r="AL267" s="16"/>
      <c r="AM267" s="16"/>
      <c r="AN267" s="193"/>
      <c r="AO267" s="193"/>
      <c r="AP267" s="193"/>
      <c r="AQ267" s="193"/>
      <c r="AR267" s="12" t="str">
        <f t="shared" si="9"/>
        <v/>
      </c>
      <c r="AS267" s="12" t="str">
        <f t="shared" si="10"/>
        <v/>
      </c>
      <c r="AT267" s="18"/>
    </row>
    <row r="268" spans="1:46" s="19" customFormat="1" ht="20.100000000000001" hidden="1" customHeight="1" x14ac:dyDescent="0.2">
      <c r="A268" s="222">
        <v>259</v>
      </c>
      <c r="B268" s="16" t="s">
        <v>4837</v>
      </c>
      <c r="C268" s="16" t="s">
        <v>1360</v>
      </c>
      <c r="D268" s="193" t="s">
        <v>3074</v>
      </c>
      <c r="E268" s="193" t="s">
        <v>243</v>
      </c>
      <c r="F268" s="193"/>
      <c r="G268" s="193"/>
      <c r="H268" s="192" t="s">
        <v>7</v>
      </c>
      <c r="I268" s="16" t="s">
        <v>92</v>
      </c>
      <c r="J268" s="35" t="s">
        <v>117</v>
      </c>
      <c r="K268" s="35" t="s">
        <v>141</v>
      </c>
      <c r="L268" s="193"/>
      <c r="M268" s="193" t="s">
        <v>106</v>
      </c>
      <c r="N268" s="192" t="s">
        <v>107</v>
      </c>
      <c r="O268" s="35" t="s">
        <v>306</v>
      </c>
      <c r="P268" s="35" t="s">
        <v>1809</v>
      </c>
      <c r="Q268" s="35" t="s">
        <v>2258</v>
      </c>
      <c r="R268" s="193"/>
      <c r="S268" s="193" t="s">
        <v>4856</v>
      </c>
      <c r="T268" s="193" t="s">
        <v>107</v>
      </c>
      <c r="U268" s="192"/>
      <c r="V268" s="192"/>
      <c r="W268" s="192">
        <v>208</v>
      </c>
      <c r="X268" s="192">
        <v>186</v>
      </c>
      <c r="Y268" s="16">
        <v>186</v>
      </c>
      <c r="Z268" s="16">
        <v>51</v>
      </c>
      <c r="AA268" s="16">
        <v>154</v>
      </c>
      <c r="AB268" s="16">
        <v>3</v>
      </c>
      <c r="AC268" s="16">
        <v>25</v>
      </c>
      <c r="AD268" s="16">
        <v>182</v>
      </c>
      <c r="AE268" s="16">
        <v>6</v>
      </c>
      <c r="AF268" s="16">
        <v>4</v>
      </c>
      <c r="AG268" s="16"/>
      <c r="AH268" s="192"/>
      <c r="AI268" s="193" t="s">
        <v>4836</v>
      </c>
      <c r="AJ268" s="25">
        <v>183</v>
      </c>
      <c r="AK268" s="192">
        <v>6.5</v>
      </c>
      <c r="AL268" s="16" t="s">
        <v>160</v>
      </c>
      <c r="AM268" s="16"/>
      <c r="AN268" s="193"/>
      <c r="AO268" s="193"/>
      <c r="AP268" s="193"/>
      <c r="AQ268" s="193"/>
      <c r="AR268" s="12" t="str">
        <f t="shared" si="9"/>
        <v/>
      </c>
      <c r="AS268" s="12" t="str">
        <f t="shared" si="10"/>
        <v/>
      </c>
      <c r="AT268" s="18"/>
    </row>
    <row r="269" spans="1:46" s="19" customFormat="1" ht="20.100000000000001" hidden="1" customHeight="1" x14ac:dyDescent="0.2">
      <c r="A269" s="222">
        <v>260</v>
      </c>
      <c r="B269" s="16" t="s">
        <v>4838</v>
      </c>
      <c r="C269" s="16" t="s">
        <v>1360</v>
      </c>
      <c r="D269" s="193" t="s">
        <v>550</v>
      </c>
      <c r="E269" s="193" t="s">
        <v>10</v>
      </c>
      <c r="F269" s="193"/>
      <c r="G269" s="193"/>
      <c r="H269" s="192" t="s">
        <v>7</v>
      </c>
      <c r="I269" s="16" t="s">
        <v>92</v>
      </c>
      <c r="J269" s="193" t="s">
        <v>218</v>
      </c>
      <c r="K269" s="193" t="s">
        <v>218</v>
      </c>
      <c r="L269" s="193"/>
      <c r="M269" s="193" t="s">
        <v>106</v>
      </c>
      <c r="N269" s="192" t="s">
        <v>107</v>
      </c>
      <c r="O269" s="193" t="s">
        <v>268</v>
      </c>
      <c r="P269" s="193" t="s">
        <v>3679</v>
      </c>
      <c r="Q269" s="193" t="s">
        <v>116</v>
      </c>
      <c r="R269" s="193"/>
      <c r="S269" s="193" t="s">
        <v>4856</v>
      </c>
      <c r="T269" s="193" t="s">
        <v>107</v>
      </c>
      <c r="U269" s="192"/>
      <c r="V269" s="192"/>
      <c r="W269" s="192">
        <v>232</v>
      </c>
      <c r="X269" s="192">
        <v>212</v>
      </c>
      <c r="Y269" s="16">
        <v>212</v>
      </c>
      <c r="Z269" s="16">
        <v>151</v>
      </c>
      <c r="AA269" s="16">
        <v>170</v>
      </c>
      <c r="AB269" s="16">
        <v>6</v>
      </c>
      <c r="AC269" s="16">
        <v>50</v>
      </c>
      <c r="AD269" s="16">
        <v>226</v>
      </c>
      <c r="AE269" s="16">
        <v>21</v>
      </c>
      <c r="AF269" s="16">
        <v>6</v>
      </c>
      <c r="AG269" s="16"/>
      <c r="AH269" s="192"/>
      <c r="AI269" s="193" t="s">
        <v>4837</v>
      </c>
      <c r="AJ269" s="25">
        <v>225</v>
      </c>
      <c r="AK269" s="192">
        <v>23.2</v>
      </c>
      <c r="AL269" s="16" t="s">
        <v>160</v>
      </c>
      <c r="AM269" s="16" t="s">
        <v>165</v>
      </c>
      <c r="AN269" s="193"/>
      <c r="AO269" s="193"/>
      <c r="AP269" s="193"/>
      <c r="AQ269" s="193"/>
      <c r="AR269" s="12" t="str">
        <f t="shared" si="9"/>
        <v/>
      </c>
      <c r="AS269" s="12" t="str">
        <f t="shared" si="10"/>
        <v/>
      </c>
      <c r="AT269" s="18"/>
    </row>
    <row r="270" spans="1:46" s="19" customFormat="1" ht="20.100000000000001" hidden="1" customHeight="1" x14ac:dyDescent="0.2">
      <c r="A270" s="222">
        <v>261</v>
      </c>
      <c r="B270" s="16" t="s">
        <v>4839</v>
      </c>
      <c r="C270" s="16" t="s">
        <v>1360</v>
      </c>
      <c r="D270" s="193" t="s">
        <v>4831</v>
      </c>
      <c r="E270" s="193" t="s">
        <v>6</v>
      </c>
      <c r="F270" s="193"/>
      <c r="G270" s="193"/>
      <c r="H270" s="192" t="s">
        <v>7</v>
      </c>
      <c r="I270" s="16" t="s">
        <v>84</v>
      </c>
      <c r="J270" s="193" t="s">
        <v>141</v>
      </c>
      <c r="K270" s="193" t="s">
        <v>141</v>
      </c>
      <c r="L270" s="193"/>
      <c r="M270" s="193" t="s">
        <v>106</v>
      </c>
      <c r="N270" s="192" t="s">
        <v>107</v>
      </c>
      <c r="O270" s="193" t="s">
        <v>998</v>
      </c>
      <c r="P270" s="193" t="s">
        <v>3679</v>
      </c>
      <c r="Q270" s="193" t="s">
        <v>458</v>
      </c>
      <c r="R270" s="193"/>
      <c r="S270" s="193" t="s">
        <v>142</v>
      </c>
      <c r="T270" s="193" t="s">
        <v>70</v>
      </c>
      <c r="U270" s="192"/>
      <c r="V270" s="192"/>
      <c r="W270" s="192">
        <v>148</v>
      </c>
      <c r="X270" s="192">
        <v>138</v>
      </c>
      <c r="Y270" s="16">
        <v>138</v>
      </c>
      <c r="Z270" s="16">
        <v>36</v>
      </c>
      <c r="AA270" s="16">
        <v>46</v>
      </c>
      <c r="AB270" s="16">
        <v>5</v>
      </c>
      <c r="AC270" s="16">
        <v>5</v>
      </c>
      <c r="AD270" s="16">
        <v>56</v>
      </c>
      <c r="AE270" s="16">
        <v>28</v>
      </c>
      <c r="AF270" s="16">
        <v>6</v>
      </c>
      <c r="AG270" s="16"/>
      <c r="AH270" s="192"/>
      <c r="AI270" s="193" t="s">
        <v>4838</v>
      </c>
      <c r="AJ270" s="25">
        <v>52</v>
      </c>
      <c r="AK270" s="192">
        <v>33</v>
      </c>
      <c r="AL270" s="16"/>
      <c r="AM270" s="16"/>
      <c r="AN270" s="193"/>
      <c r="AO270" s="193"/>
      <c r="AP270" s="193"/>
      <c r="AQ270" s="193"/>
      <c r="AR270" s="12" t="str">
        <f t="shared" si="9"/>
        <v/>
      </c>
      <c r="AS270" s="12" t="str">
        <f t="shared" si="10"/>
        <v/>
      </c>
      <c r="AT270" s="18"/>
    </row>
    <row r="271" spans="1:46" s="19" customFormat="1" ht="20.100000000000001" hidden="1" customHeight="1" x14ac:dyDescent="0.2">
      <c r="A271" s="222">
        <v>262</v>
      </c>
      <c r="B271" s="16" t="s">
        <v>4839</v>
      </c>
      <c r="C271" s="16" t="s">
        <v>1360</v>
      </c>
      <c r="D271" s="193" t="s">
        <v>378</v>
      </c>
      <c r="E271" s="193" t="s">
        <v>10</v>
      </c>
      <c r="F271" s="193" t="s">
        <v>4038</v>
      </c>
      <c r="G271" s="193"/>
      <c r="H271" s="192" t="s">
        <v>83</v>
      </c>
      <c r="I271" s="16" t="s">
        <v>92</v>
      </c>
      <c r="J271" s="193"/>
      <c r="K271" s="193" t="s">
        <v>155</v>
      </c>
      <c r="L271" s="193" t="s">
        <v>420</v>
      </c>
      <c r="M271" s="193" t="s">
        <v>142</v>
      </c>
      <c r="N271" s="192" t="s">
        <v>70</v>
      </c>
      <c r="O271" s="193"/>
      <c r="P271" s="193" t="s">
        <v>3677</v>
      </c>
      <c r="Q271" s="193" t="s">
        <v>441</v>
      </c>
      <c r="R271" s="193" t="s">
        <v>421</v>
      </c>
      <c r="S271" s="193" t="s">
        <v>106</v>
      </c>
      <c r="T271" s="193" t="s">
        <v>107</v>
      </c>
      <c r="U271" s="192" t="s">
        <v>4922</v>
      </c>
      <c r="V271" s="192"/>
      <c r="W271" s="192"/>
      <c r="X271" s="192"/>
      <c r="Y271" s="16">
        <v>214</v>
      </c>
      <c r="Z271" s="16"/>
      <c r="AA271" s="16"/>
      <c r="AB271" s="16"/>
      <c r="AC271" s="16"/>
      <c r="AD271" s="16"/>
      <c r="AE271" s="16"/>
      <c r="AF271" s="16">
        <v>6</v>
      </c>
      <c r="AG271" s="16"/>
      <c r="AH271" s="192"/>
      <c r="AI271" s="193"/>
      <c r="AJ271" s="25"/>
      <c r="AK271" s="192"/>
      <c r="AL271" s="16"/>
      <c r="AM271" s="16"/>
      <c r="AN271" s="193" t="s">
        <v>4378</v>
      </c>
      <c r="AO271" s="193" t="s">
        <v>148</v>
      </c>
      <c r="AP271" s="193" t="s">
        <v>123</v>
      </c>
      <c r="AQ271" s="193" t="s">
        <v>137</v>
      </c>
      <c r="AR271" s="12">
        <f t="shared" si="9"/>
        <v>74</v>
      </c>
      <c r="AS271" s="12" t="str">
        <f t="shared" si="10"/>
        <v/>
      </c>
      <c r="AT271" s="18"/>
    </row>
    <row r="272" spans="1:46" s="19" customFormat="1" ht="20.100000000000001" hidden="1" customHeight="1" x14ac:dyDescent="0.2">
      <c r="A272" s="222">
        <v>263</v>
      </c>
      <c r="B272" s="16" t="s">
        <v>4839</v>
      </c>
      <c r="C272" s="16" t="s">
        <v>1360</v>
      </c>
      <c r="D272" s="193" t="s">
        <v>4840</v>
      </c>
      <c r="E272" s="193" t="s">
        <v>66</v>
      </c>
      <c r="F272" s="193"/>
      <c r="G272" s="193"/>
      <c r="H272" s="192" t="s">
        <v>83</v>
      </c>
      <c r="I272" s="16" t="s">
        <v>3439</v>
      </c>
      <c r="J272" s="193"/>
      <c r="K272" s="193" t="s">
        <v>223</v>
      </c>
      <c r="L272" s="193" t="s">
        <v>5144</v>
      </c>
      <c r="M272" s="193" t="s">
        <v>2148</v>
      </c>
      <c r="N272" s="192" t="s">
        <v>2148</v>
      </c>
      <c r="O272" s="193"/>
      <c r="P272" s="193" t="s">
        <v>2961</v>
      </c>
      <c r="Q272" s="193" t="s">
        <v>441</v>
      </c>
      <c r="R272" s="193"/>
      <c r="S272" s="193" t="s">
        <v>2148</v>
      </c>
      <c r="T272" s="193" t="s">
        <v>2148</v>
      </c>
      <c r="U272" s="192" t="s">
        <v>5141</v>
      </c>
      <c r="V272" s="192"/>
      <c r="W272" s="192"/>
      <c r="X272" s="192"/>
      <c r="Y272" s="16">
        <v>138</v>
      </c>
      <c r="Z272" s="16"/>
      <c r="AA272" s="16"/>
      <c r="AB272" s="16"/>
      <c r="AC272" s="16"/>
      <c r="AD272" s="16"/>
      <c r="AE272" s="16"/>
      <c r="AF272" s="16">
        <v>4</v>
      </c>
      <c r="AG272" s="16"/>
      <c r="AH272" s="192"/>
      <c r="AI272" s="193"/>
      <c r="AJ272" s="25"/>
      <c r="AK272" s="192"/>
      <c r="AL272" s="16"/>
      <c r="AM272" s="16"/>
      <c r="AN272" s="193" t="s">
        <v>4378</v>
      </c>
      <c r="AO272" s="193" t="s">
        <v>148</v>
      </c>
      <c r="AP272" s="193"/>
      <c r="AQ272" s="193"/>
      <c r="AR272" s="12" t="str">
        <f t="shared" si="9"/>
        <v/>
      </c>
      <c r="AS272" s="12" t="str">
        <f t="shared" si="10"/>
        <v/>
      </c>
      <c r="AT272" s="18"/>
    </row>
    <row r="273" spans="1:46" s="19" customFormat="1" ht="20.100000000000001" hidden="1" customHeight="1" x14ac:dyDescent="0.2">
      <c r="A273" s="222">
        <v>264</v>
      </c>
      <c r="B273" s="16" t="s">
        <v>4710</v>
      </c>
      <c r="C273" s="16" t="s">
        <v>1360</v>
      </c>
      <c r="D273" s="193" t="s">
        <v>667</v>
      </c>
      <c r="E273" s="193" t="s">
        <v>20</v>
      </c>
      <c r="F273" s="193" t="s">
        <v>4038</v>
      </c>
      <c r="G273" s="193"/>
      <c r="H273" s="192" t="s">
        <v>83</v>
      </c>
      <c r="I273" s="16" t="s">
        <v>84</v>
      </c>
      <c r="J273" s="193"/>
      <c r="K273" s="193" t="s">
        <v>155</v>
      </c>
      <c r="L273" s="193" t="s">
        <v>3414</v>
      </c>
      <c r="M273" s="193" t="s">
        <v>106</v>
      </c>
      <c r="N273" s="192" t="s">
        <v>107</v>
      </c>
      <c r="O273" s="193"/>
      <c r="P273" s="193" t="s">
        <v>3679</v>
      </c>
      <c r="Q273" s="193" t="s">
        <v>718</v>
      </c>
      <c r="R273" s="193" t="s">
        <v>3415</v>
      </c>
      <c r="S273" s="193" t="s">
        <v>106</v>
      </c>
      <c r="T273" s="193" t="s">
        <v>107</v>
      </c>
      <c r="U273" s="192" t="s">
        <v>3413</v>
      </c>
      <c r="V273" s="192"/>
      <c r="W273" s="192"/>
      <c r="X273" s="192"/>
      <c r="Y273" s="16">
        <v>174</v>
      </c>
      <c r="Z273" s="16"/>
      <c r="AA273" s="16"/>
      <c r="AB273" s="16"/>
      <c r="AC273" s="16"/>
      <c r="AD273" s="16"/>
      <c r="AE273" s="16"/>
      <c r="AF273" s="16">
        <v>6</v>
      </c>
      <c r="AG273" s="16"/>
      <c r="AH273" s="192"/>
      <c r="AI273" s="193"/>
      <c r="AJ273" s="25"/>
      <c r="AK273" s="192"/>
      <c r="AL273" s="16" t="s">
        <v>111</v>
      </c>
      <c r="AM273" s="16" t="s">
        <v>161</v>
      </c>
      <c r="AN273" s="193" t="s">
        <v>4378</v>
      </c>
      <c r="AO273" s="193" t="s">
        <v>148</v>
      </c>
      <c r="AP273" s="193" t="s">
        <v>113</v>
      </c>
      <c r="AQ273" s="193" t="s">
        <v>235</v>
      </c>
      <c r="AR273" s="12">
        <f t="shared" si="9"/>
        <v>17</v>
      </c>
      <c r="AS273" s="12" t="str">
        <f t="shared" si="10"/>
        <v/>
      </c>
      <c r="AT273" s="18"/>
    </row>
    <row r="274" spans="1:46" s="19" customFormat="1" ht="20.100000000000001" hidden="1" customHeight="1" x14ac:dyDescent="0.2">
      <c r="A274" s="222">
        <v>265</v>
      </c>
      <c r="B274" s="16" t="s">
        <v>4841</v>
      </c>
      <c r="C274" s="16" t="s">
        <v>1360</v>
      </c>
      <c r="D274" s="254" t="s">
        <v>667</v>
      </c>
      <c r="E274" s="254" t="s">
        <v>20</v>
      </c>
      <c r="F274" s="193"/>
      <c r="G274" s="193"/>
      <c r="H274" s="192" t="s">
        <v>7</v>
      </c>
      <c r="I274" s="16" t="s">
        <v>84</v>
      </c>
      <c r="J274" s="193" t="s">
        <v>155</v>
      </c>
      <c r="K274" s="193" t="s">
        <v>155</v>
      </c>
      <c r="L274" s="193"/>
      <c r="M274" s="193" t="s">
        <v>106</v>
      </c>
      <c r="N274" s="192" t="s">
        <v>107</v>
      </c>
      <c r="O274" s="193" t="s">
        <v>324</v>
      </c>
      <c r="P274" s="193" t="s">
        <v>3679</v>
      </c>
      <c r="Q274" s="193" t="s">
        <v>718</v>
      </c>
      <c r="R274" s="193" t="s">
        <v>4925</v>
      </c>
      <c r="S274" s="193" t="s">
        <v>106</v>
      </c>
      <c r="T274" s="193" t="s">
        <v>107</v>
      </c>
      <c r="U274" s="192"/>
      <c r="V274" s="192"/>
      <c r="W274" s="192">
        <v>204</v>
      </c>
      <c r="X274" s="192">
        <v>174</v>
      </c>
      <c r="Y274" s="16">
        <v>174</v>
      </c>
      <c r="Z274" s="16">
        <v>119</v>
      </c>
      <c r="AA274" s="16">
        <v>157</v>
      </c>
      <c r="AB274" s="16">
        <v>5</v>
      </c>
      <c r="AC274" s="16">
        <v>32</v>
      </c>
      <c r="AD274" s="16">
        <v>192</v>
      </c>
      <c r="AE274" s="16">
        <v>23</v>
      </c>
      <c r="AF274" s="16">
        <v>6</v>
      </c>
      <c r="AG274" s="16"/>
      <c r="AH274" s="192"/>
      <c r="AI274" s="193"/>
      <c r="AJ274" s="25"/>
      <c r="AK274" s="192"/>
      <c r="AL274" s="16" t="s">
        <v>111</v>
      </c>
      <c r="AM274" s="16" t="s">
        <v>161</v>
      </c>
      <c r="AN274" s="193"/>
      <c r="AO274" s="193"/>
      <c r="AP274" s="193"/>
      <c r="AQ274" s="193"/>
      <c r="AR274" s="12" t="str">
        <f t="shared" si="9"/>
        <v/>
      </c>
      <c r="AS274" s="12" t="str">
        <f t="shared" si="10"/>
        <v/>
      </c>
      <c r="AT274" s="18"/>
    </row>
    <row r="275" spans="1:46" s="19" customFormat="1" ht="20.100000000000001" hidden="1" customHeight="1" x14ac:dyDescent="0.2">
      <c r="A275" s="222">
        <v>266</v>
      </c>
      <c r="B275" s="16" t="s">
        <v>4842</v>
      </c>
      <c r="C275" s="16" t="s">
        <v>1360</v>
      </c>
      <c r="D275" s="193" t="s">
        <v>562</v>
      </c>
      <c r="E275" s="193" t="s">
        <v>8</v>
      </c>
      <c r="F275" s="193" t="s">
        <v>185</v>
      </c>
      <c r="G275" s="193"/>
      <c r="H275" s="192" t="s">
        <v>83</v>
      </c>
      <c r="I275" s="16" t="s">
        <v>92</v>
      </c>
      <c r="J275" s="193"/>
      <c r="K275" s="41" t="s">
        <v>117</v>
      </c>
      <c r="L275" s="41" t="s">
        <v>585</v>
      </c>
      <c r="M275" s="41" t="s">
        <v>106</v>
      </c>
      <c r="N275" s="13" t="s">
        <v>107</v>
      </c>
      <c r="O275" s="193"/>
      <c r="P275" s="193" t="s">
        <v>3679</v>
      </c>
      <c r="Q275" s="193" t="s">
        <v>465</v>
      </c>
      <c r="R275" s="41" t="s">
        <v>586</v>
      </c>
      <c r="S275" s="41" t="s">
        <v>106</v>
      </c>
      <c r="T275" s="41" t="s">
        <v>107</v>
      </c>
      <c r="U275" s="40" t="s">
        <v>4979</v>
      </c>
      <c r="V275" s="192"/>
      <c r="W275" s="192"/>
      <c r="X275" s="192"/>
      <c r="Y275" s="16">
        <v>198</v>
      </c>
      <c r="Z275" s="16"/>
      <c r="AA275" s="16"/>
      <c r="AB275" s="16"/>
      <c r="AC275" s="16"/>
      <c r="AD275" s="16"/>
      <c r="AE275" s="16"/>
      <c r="AF275" s="16">
        <v>6</v>
      </c>
      <c r="AG275" s="16"/>
      <c r="AH275" s="192"/>
      <c r="AI275" s="193"/>
      <c r="AJ275" s="25"/>
      <c r="AK275" s="192"/>
      <c r="AL275" s="16"/>
      <c r="AM275" s="16"/>
      <c r="AN275" s="193" t="s">
        <v>4378</v>
      </c>
      <c r="AO275" s="193" t="s">
        <v>148</v>
      </c>
      <c r="AP275" s="193" t="s">
        <v>115</v>
      </c>
      <c r="AQ275" s="193" t="s">
        <v>296</v>
      </c>
      <c r="AR275" s="12">
        <f t="shared" si="9"/>
        <v>30</v>
      </c>
      <c r="AS275" s="12" t="str">
        <f t="shared" si="10"/>
        <v/>
      </c>
      <c r="AT275" s="18"/>
    </row>
    <row r="276" spans="1:46" s="19" customFormat="1" ht="20.100000000000001" hidden="1" customHeight="1" x14ac:dyDescent="0.2">
      <c r="A276" s="222">
        <v>267</v>
      </c>
      <c r="B276" s="16" t="s">
        <v>4842</v>
      </c>
      <c r="C276" s="16" t="s">
        <v>1360</v>
      </c>
      <c r="D276" s="193" t="s">
        <v>4210</v>
      </c>
      <c r="E276" s="193" t="s">
        <v>20</v>
      </c>
      <c r="F276" s="193"/>
      <c r="G276" s="193"/>
      <c r="H276" s="192" t="s">
        <v>7</v>
      </c>
      <c r="I276" s="16" t="s">
        <v>84</v>
      </c>
      <c r="J276" s="35" t="s">
        <v>155</v>
      </c>
      <c r="K276" s="35" t="s">
        <v>141</v>
      </c>
      <c r="L276" s="193"/>
      <c r="M276" s="193" t="s">
        <v>106</v>
      </c>
      <c r="N276" s="192" t="s">
        <v>107</v>
      </c>
      <c r="O276" s="35" t="s">
        <v>324</v>
      </c>
      <c r="P276" s="35" t="s">
        <v>2961</v>
      </c>
      <c r="Q276" s="35" t="s">
        <v>2258</v>
      </c>
      <c r="R276" s="193" t="s">
        <v>4855</v>
      </c>
      <c r="S276" s="193" t="s">
        <v>73</v>
      </c>
      <c r="T276" s="193" t="s">
        <v>70</v>
      </c>
      <c r="U276" s="192"/>
      <c r="V276" s="192"/>
      <c r="W276" s="192">
        <v>200</v>
      </c>
      <c r="X276" s="192">
        <v>186</v>
      </c>
      <c r="Y276" s="16">
        <v>186</v>
      </c>
      <c r="Z276" s="16">
        <v>47</v>
      </c>
      <c r="AA276" s="16">
        <v>118</v>
      </c>
      <c r="AB276" s="16">
        <v>1</v>
      </c>
      <c r="AC276" s="16">
        <v>82</v>
      </c>
      <c r="AD276" s="16">
        <v>201</v>
      </c>
      <c r="AE276" s="16">
        <v>8</v>
      </c>
      <c r="AF276" s="16">
        <v>6</v>
      </c>
      <c r="AG276" s="16"/>
      <c r="AH276" s="192"/>
      <c r="AI276" s="193" t="s">
        <v>4841</v>
      </c>
      <c r="AJ276" s="25">
        <v>212</v>
      </c>
      <c r="AK276" s="192">
        <v>6.6</v>
      </c>
      <c r="AL276" s="16" t="s">
        <v>160</v>
      </c>
      <c r="AM276" s="16"/>
      <c r="AN276" s="193"/>
      <c r="AO276" s="193"/>
      <c r="AP276" s="193"/>
      <c r="AQ276" s="193"/>
      <c r="AR276" s="12" t="str">
        <f t="shared" si="9"/>
        <v/>
      </c>
      <c r="AS276" s="12" t="str">
        <f t="shared" si="10"/>
        <v/>
      </c>
      <c r="AT276" s="18"/>
    </row>
    <row r="277" spans="1:46" s="19" customFormat="1" ht="20.100000000000001" hidden="1" customHeight="1" x14ac:dyDescent="0.2">
      <c r="A277" s="222">
        <v>268</v>
      </c>
      <c r="B277" s="16" t="s">
        <v>4843</v>
      </c>
      <c r="C277" s="16" t="s">
        <v>1360</v>
      </c>
      <c r="D277" s="193" t="s">
        <v>562</v>
      </c>
      <c r="E277" s="193" t="s">
        <v>8</v>
      </c>
      <c r="F277" s="193"/>
      <c r="G277" s="193"/>
      <c r="H277" s="192" t="s">
        <v>7</v>
      </c>
      <c r="I277" s="16" t="s">
        <v>92</v>
      </c>
      <c r="J277" s="35" t="s">
        <v>117</v>
      </c>
      <c r="K277" s="35" t="s">
        <v>104</v>
      </c>
      <c r="L277" s="193"/>
      <c r="M277" s="193" t="s">
        <v>69</v>
      </c>
      <c r="N277" s="192" t="s">
        <v>70</v>
      </c>
      <c r="O277" s="35" t="s">
        <v>470</v>
      </c>
      <c r="P277" s="35" t="s">
        <v>3679</v>
      </c>
      <c r="Q277" s="35" t="s">
        <v>555</v>
      </c>
      <c r="R277" s="193" t="s">
        <v>4854</v>
      </c>
      <c r="S277" s="193" t="s">
        <v>106</v>
      </c>
      <c r="T277" s="193" t="s">
        <v>107</v>
      </c>
      <c r="U277" s="192"/>
      <c r="V277" s="192"/>
      <c r="W277" s="192">
        <v>248</v>
      </c>
      <c r="X277" s="192">
        <v>198</v>
      </c>
      <c r="Y277" s="16">
        <v>198</v>
      </c>
      <c r="Z277" s="16">
        <v>39.5</v>
      </c>
      <c r="AA277" s="16">
        <v>73</v>
      </c>
      <c r="AB277" s="16">
        <v>6</v>
      </c>
      <c r="AC277" s="16">
        <v>43</v>
      </c>
      <c r="AD277" s="16">
        <v>122</v>
      </c>
      <c r="AE277" s="16">
        <v>290</v>
      </c>
      <c r="AF277" s="16">
        <v>6</v>
      </c>
      <c r="AG277" s="16"/>
      <c r="AH277" s="192"/>
      <c r="AI277" s="193" t="s">
        <v>4842</v>
      </c>
      <c r="AJ277" s="25">
        <v>121</v>
      </c>
      <c r="AK277" s="192">
        <v>27.2</v>
      </c>
      <c r="AL277" s="16" t="s">
        <v>111</v>
      </c>
      <c r="AM277" s="16" t="s">
        <v>161</v>
      </c>
      <c r="AN277" s="193"/>
      <c r="AO277" s="193"/>
      <c r="AP277" s="193"/>
      <c r="AQ277" s="193"/>
      <c r="AR277" s="12" t="str">
        <f t="shared" si="9"/>
        <v/>
      </c>
      <c r="AS277" s="12" t="str">
        <f t="shared" si="10"/>
        <v/>
      </c>
      <c r="AT277" s="18"/>
    </row>
    <row r="278" spans="1:46" s="19" customFormat="1" ht="20.100000000000001" hidden="1" customHeight="1" x14ac:dyDescent="0.2">
      <c r="A278" s="222">
        <v>269</v>
      </c>
      <c r="B278" s="16" t="s">
        <v>4843</v>
      </c>
      <c r="C278" s="16" t="s">
        <v>1360</v>
      </c>
      <c r="D278" s="193" t="s">
        <v>1943</v>
      </c>
      <c r="E278" s="193" t="s">
        <v>9</v>
      </c>
      <c r="F278" s="193" t="s">
        <v>202</v>
      </c>
      <c r="G278" s="193"/>
      <c r="H278" s="192" t="s">
        <v>83</v>
      </c>
      <c r="I278" s="16" t="s">
        <v>84</v>
      </c>
      <c r="J278" s="193"/>
      <c r="K278" s="41" t="s">
        <v>104</v>
      </c>
      <c r="L278" s="41" t="s">
        <v>1944</v>
      </c>
      <c r="M278" s="41" t="s">
        <v>106</v>
      </c>
      <c r="N278" s="13" t="s">
        <v>107</v>
      </c>
      <c r="O278" s="193"/>
      <c r="P278" s="193" t="s">
        <v>3680</v>
      </c>
      <c r="Q278" s="193" t="s">
        <v>260</v>
      </c>
      <c r="R278" s="41" t="s">
        <v>1945</v>
      </c>
      <c r="S278" s="41" t="s">
        <v>73</v>
      </c>
      <c r="T278" s="41" t="s">
        <v>70</v>
      </c>
      <c r="U278" s="40" t="s">
        <v>4895</v>
      </c>
      <c r="V278" s="192"/>
      <c r="W278" s="192"/>
      <c r="X278" s="192"/>
      <c r="Y278" s="16">
        <v>204</v>
      </c>
      <c r="Z278" s="16"/>
      <c r="AA278" s="16"/>
      <c r="AB278" s="16"/>
      <c r="AC278" s="16"/>
      <c r="AD278" s="16"/>
      <c r="AE278" s="16"/>
      <c r="AF278" s="16">
        <v>6</v>
      </c>
      <c r="AG278" s="16"/>
      <c r="AH278" s="192"/>
      <c r="AI278" s="193"/>
      <c r="AJ278" s="25"/>
      <c r="AK278" s="192"/>
      <c r="AL278" s="16" t="s">
        <v>160</v>
      </c>
      <c r="AM278" s="16" t="s">
        <v>193</v>
      </c>
      <c r="AN278" s="193" t="s">
        <v>4378</v>
      </c>
      <c r="AO278" s="193" t="s">
        <v>148</v>
      </c>
      <c r="AP278" s="193" t="s">
        <v>115</v>
      </c>
      <c r="AQ278" s="193" t="s">
        <v>116</v>
      </c>
      <c r="AR278" s="12">
        <f t="shared" si="9"/>
        <v>21</v>
      </c>
      <c r="AS278" s="12" t="str">
        <f t="shared" si="10"/>
        <v/>
      </c>
      <c r="AT278" s="18"/>
    </row>
    <row r="279" spans="1:46" s="19" customFormat="1" ht="20.100000000000001" hidden="1" customHeight="1" x14ac:dyDescent="0.2">
      <c r="A279" s="222">
        <v>270</v>
      </c>
      <c r="B279" s="16" t="s">
        <v>4843</v>
      </c>
      <c r="C279" s="16" t="s">
        <v>1360</v>
      </c>
      <c r="D279" s="193" t="s">
        <v>4844</v>
      </c>
      <c r="E279" s="193" t="s">
        <v>66</v>
      </c>
      <c r="F279" s="193"/>
      <c r="G279" s="193"/>
      <c r="H279" s="192" t="s">
        <v>83</v>
      </c>
      <c r="I279" s="16" t="s">
        <v>3439</v>
      </c>
      <c r="J279" s="193"/>
      <c r="K279" s="193" t="s">
        <v>141</v>
      </c>
      <c r="L279" s="193" t="s">
        <v>429</v>
      </c>
      <c r="M279" s="193" t="s">
        <v>106</v>
      </c>
      <c r="N279" s="192" t="s">
        <v>107</v>
      </c>
      <c r="O279" s="193"/>
      <c r="P279" s="193" t="s">
        <v>2961</v>
      </c>
      <c r="Q279" s="193" t="s">
        <v>2348</v>
      </c>
      <c r="R279" s="193"/>
      <c r="S279" s="193" t="s">
        <v>73</v>
      </c>
      <c r="T279" s="193" t="s">
        <v>70</v>
      </c>
      <c r="U279" s="192" t="s">
        <v>3840</v>
      </c>
      <c r="V279" s="192"/>
      <c r="W279" s="192"/>
      <c r="X279" s="192"/>
      <c r="Y279" s="16">
        <v>198</v>
      </c>
      <c r="Z279" s="16"/>
      <c r="AA279" s="16"/>
      <c r="AB279" s="16"/>
      <c r="AC279" s="16"/>
      <c r="AD279" s="16"/>
      <c r="AE279" s="16"/>
      <c r="AF279" s="16">
        <v>4</v>
      </c>
      <c r="AG279" s="16"/>
      <c r="AH279" s="192"/>
      <c r="AI279" s="193"/>
      <c r="AJ279" s="25"/>
      <c r="AK279" s="192"/>
      <c r="AL279" s="16"/>
      <c r="AM279" s="16"/>
      <c r="AN279" s="193" t="s">
        <v>4378</v>
      </c>
      <c r="AO279" s="193" t="s">
        <v>148</v>
      </c>
      <c r="AP279" s="193" t="s">
        <v>115</v>
      </c>
      <c r="AQ279" s="193" t="s">
        <v>137</v>
      </c>
      <c r="AR279" s="12">
        <f t="shared" si="9"/>
        <v>26</v>
      </c>
      <c r="AS279" s="12" t="str">
        <f t="shared" si="10"/>
        <v/>
      </c>
      <c r="AT279" s="18"/>
    </row>
    <row r="280" spans="1:46" s="19" customFormat="1" ht="20.100000000000001" hidden="1" customHeight="1" x14ac:dyDescent="0.2">
      <c r="A280" s="222">
        <v>271</v>
      </c>
      <c r="B280" s="16" t="s">
        <v>4845</v>
      </c>
      <c r="C280" s="16" t="s">
        <v>1360</v>
      </c>
      <c r="D280" s="193" t="s">
        <v>283</v>
      </c>
      <c r="E280" s="193" t="s">
        <v>19</v>
      </c>
      <c r="F280" s="193" t="s">
        <v>3661</v>
      </c>
      <c r="G280" s="193"/>
      <c r="H280" s="192" t="s">
        <v>83</v>
      </c>
      <c r="I280" s="16" t="s">
        <v>92</v>
      </c>
      <c r="J280" s="193"/>
      <c r="K280" s="193" t="s">
        <v>117</v>
      </c>
      <c r="L280" s="257" t="s">
        <v>3758</v>
      </c>
      <c r="M280" s="257" t="s">
        <v>142</v>
      </c>
      <c r="N280" s="258" t="s">
        <v>70</v>
      </c>
      <c r="O280" s="193"/>
      <c r="P280" s="193" t="s">
        <v>1510</v>
      </c>
      <c r="Q280" s="193" t="s">
        <v>2258</v>
      </c>
      <c r="R280" s="257" t="s">
        <v>3759</v>
      </c>
      <c r="S280" s="257" t="s">
        <v>106</v>
      </c>
      <c r="T280" s="257" t="s">
        <v>107</v>
      </c>
      <c r="U280" s="16" t="s">
        <v>3756</v>
      </c>
      <c r="V280" s="192"/>
      <c r="W280" s="192"/>
      <c r="X280" s="192"/>
      <c r="Y280" s="16">
        <v>222</v>
      </c>
      <c r="Z280" s="16"/>
      <c r="AA280" s="16"/>
      <c r="AB280" s="16"/>
      <c r="AC280" s="16"/>
      <c r="AD280" s="16"/>
      <c r="AE280" s="16"/>
      <c r="AF280" s="16">
        <v>4</v>
      </c>
      <c r="AG280" s="16"/>
      <c r="AH280" s="192"/>
      <c r="AI280" s="193"/>
      <c r="AJ280" s="25"/>
      <c r="AK280" s="192"/>
      <c r="AL280" s="16" t="s">
        <v>160</v>
      </c>
      <c r="AM280" s="16" t="s">
        <v>161</v>
      </c>
      <c r="AN280" s="193" t="s">
        <v>4378</v>
      </c>
      <c r="AO280" s="193" t="s">
        <v>148</v>
      </c>
      <c r="AP280" s="193" t="s">
        <v>113</v>
      </c>
      <c r="AQ280" s="193" t="s">
        <v>137</v>
      </c>
      <c r="AR280" s="12">
        <f t="shared" si="9"/>
        <v>14</v>
      </c>
      <c r="AS280" s="12" t="str">
        <f t="shared" si="10"/>
        <v/>
      </c>
      <c r="AT280" s="18"/>
    </row>
    <row r="281" spans="1:46" s="19" customFormat="1" ht="20.100000000000001" hidden="1" customHeight="1" x14ac:dyDescent="0.2">
      <c r="A281" s="222">
        <v>272</v>
      </c>
      <c r="B281" s="16" t="s">
        <v>4845</v>
      </c>
      <c r="C281" s="16" t="s">
        <v>1360</v>
      </c>
      <c r="D281" s="193" t="s">
        <v>4844</v>
      </c>
      <c r="E281" s="193" t="s">
        <v>66</v>
      </c>
      <c r="F281" s="193"/>
      <c r="G281" s="193"/>
      <c r="H281" s="192" t="s">
        <v>7</v>
      </c>
      <c r="I281" s="16" t="s">
        <v>3439</v>
      </c>
      <c r="J281" s="193" t="s">
        <v>141</v>
      </c>
      <c r="K281" s="193" t="s">
        <v>141</v>
      </c>
      <c r="L281" s="193"/>
      <c r="M281" s="193" t="s">
        <v>262</v>
      </c>
      <c r="N281" s="192" t="s">
        <v>70</v>
      </c>
      <c r="O281" s="193" t="s">
        <v>1478</v>
      </c>
      <c r="P281" s="193" t="s">
        <v>2961</v>
      </c>
      <c r="Q281" s="193" t="s">
        <v>2348</v>
      </c>
      <c r="R281" s="193"/>
      <c r="S281" s="193" t="s">
        <v>262</v>
      </c>
      <c r="T281" s="193" t="s">
        <v>70</v>
      </c>
      <c r="U281" s="192"/>
      <c r="V281" s="192"/>
      <c r="W281" s="192"/>
      <c r="X281" s="192"/>
      <c r="Y281" s="16"/>
      <c r="Z281" s="16"/>
      <c r="AA281" s="16"/>
      <c r="AB281" s="16"/>
      <c r="AC281" s="16"/>
      <c r="AD281" s="16"/>
      <c r="AE281" s="16"/>
      <c r="AF281" s="16"/>
      <c r="AG281" s="16"/>
      <c r="AH281" s="192"/>
      <c r="AI281" s="193"/>
      <c r="AJ281" s="25"/>
      <c r="AK281" s="192"/>
      <c r="AL281" s="16"/>
      <c r="AM281" s="16"/>
      <c r="AN281" s="193"/>
      <c r="AO281" s="193"/>
      <c r="AP281" s="193"/>
      <c r="AQ281" s="193"/>
      <c r="AR281" s="12" t="str">
        <f t="shared" si="9"/>
        <v/>
      </c>
      <c r="AS281" s="12" t="str">
        <f t="shared" si="10"/>
        <v/>
      </c>
      <c r="AT281" s="18"/>
    </row>
    <row r="282" spans="1:46" s="19" customFormat="1" ht="20.100000000000001" hidden="1" customHeight="1" x14ac:dyDescent="0.2">
      <c r="A282" s="222">
        <v>273</v>
      </c>
      <c r="B282" s="16" t="s">
        <v>4846</v>
      </c>
      <c r="C282" s="16" t="s">
        <v>1360</v>
      </c>
      <c r="D282" s="193" t="s">
        <v>1467</v>
      </c>
      <c r="E282" s="193" t="s">
        <v>19</v>
      </c>
      <c r="F282" s="193" t="s">
        <v>185</v>
      </c>
      <c r="G282" s="193"/>
      <c r="H282" s="192" t="s">
        <v>83</v>
      </c>
      <c r="I282" s="16" t="s">
        <v>84</v>
      </c>
      <c r="J282" s="193"/>
      <c r="K282" s="41" t="s">
        <v>140</v>
      </c>
      <c r="L282" s="41" t="s">
        <v>1732</v>
      </c>
      <c r="M282" s="41" t="s">
        <v>69</v>
      </c>
      <c r="N282" s="13" t="s">
        <v>70</v>
      </c>
      <c r="O282" s="193"/>
      <c r="P282" s="193" t="s">
        <v>2245</v>
      </c>
      <c r="Q282" s="193" t="s">
        <v>116</v>
      </c>
      <c r="R282" s="41" t="s">
        <v>1733</v>
      </c>
      <c r="S282" s="41" t="s">
        <v>106</v>
      </c>
      <c r="T282" s="41" t="s">
        <v>107</v>
      </c>
      <c r="U282" s="40" t="s">
        <v>4896</v>
      </c>
      <c r="V282" s="192"/>
      <c r="W282" s="192"/>
      <c r="X282" s="192"/>
      <c r="Y282" s="16">
        <v>159</v>
      </c>
      <c r="Z282" s="16"/>
      <c r="AA282" s="16"/>
      <c r="AB282" s="16"/>
      <c r="AC282" s="16"/>
      <c r="AD282" s="16"/>
      <c r="AE282" s="16"/>
      <c r="AF282" s="16">
        <v>6</v>
      </c>
      <c r="AG282" s="16"/>
      <c r="AH282" s="192"/>
      <c r="AI282" s="193"/>
      <c r="AJ282" s="25"/>
      <c r="AK282" s="192"/>
      <c r="AL282" s="16" t="s">
        <v>111</v>
      </c>
      <c r="AM282" s="16" t="s">
        <v>231</v>
      </c>
      <c r="AN282" s="193" t="s">
        <v>4378</v>
      </c>
      <c r="AO282" s="193" t="s">
        <v>148</v>
      </c>
      <c r="AP282" s="193" t="s">
        <v>115</v>
      </c>
      <c r="AQ282" s="193" t="s">
        <v>441</v>
      </c>
      <c r="AR282" s="12">
        <f t="shared" si="9"/>
        <v>22</v>
      </c>
      <c r="AS282" s="12" t="str">
        <f t="shared" si="10"/>
        <v/>
      </c>
      <c r="AT282" s="18"/>
    </row>
    <row r="283" spans="1:46" s="19" customFormat="1" ht="20.100000000000001" hidden="1" customHeight="1" x14ac:dyDescent="0.2">
      <c r="A283" s="222">
        <v>274</v>
      </c>
      <c r="B283" s="16" t="s">
        <v>4846</v>
      </c>
      <c r="C283" s="16" t="s">
        <v>1360</v>
      </c>
      <c r="D283" s="193" t="s">
        <v>283</v>
      </c>
      <c r="E283" s="193" t="s">
        <v>19</v>
      </c>
      <c r="F283" s="193"/>
      <c r="G283" s="193"/>
      <c r="H283" s="192" t="s">
        <v>7</v>
      </c>
      <c r="I283" s="16" t="s">
        <v>92</v>
      </c>
      <c r="J283" s="35" t="s">
        <v>117</v>
      </c>
      <c r="K283" s="35" t="s">
        <v>104</v>
      </c>
      <c r="L283" s="193"/>
      <c r="M283" s="193" t="s">
        <v>106</v>
      </c>
      <c r="N283" s="192" t="s">
        <v>107</v>
      </c>
      <c r="O283" s="35" t="s">
        <v>199</v>
      </c>
      <c r="P283" s="35" t="s">
        <v>1510</v>
      </c>
      <c r="Q283" s="35" t="s">
        <v>2348</v>
      </c>
      <c r="R283" s="193" t="s">
        <v>4851</v>
      </c>
      <c r="S283" s="193" t="s">
        <v>73</v>
      </c>
      <c r="T283" s="193" t="s">
        <v>70</v>
      </c>
      <c r="U283" s="192"/>
      <c r="V283" s="192"/>
      <c r="W283" s="192">
        <v>235</v>
      </c>
      <c r="X283" s="192">
        <v>222</v>
      </c>
      <c r="Y283" s="16">
        <v>222</v>
      </c>
      <c r="Z283" s="16">
        <v>74</v>
      </c>
      <c r="AA283" s="16">
        <v>141</v>
      </c>
      <c r="AB283" s="16">
        <v>13</v>
      </c>
      <c r="AC283" s="16">
        <v>40</v>
      </c>
      <c r="AD283" s="16">
        <v>194</v>
      </c>
      <c r="AE283" s="16">
        <v>15</v>
      </c>
      <c r="AF283" s="16">
        <v>4</v>
      </c>
      <c r="AG283" s="16"/>
      <c r="AH283" s="192"/>
      <c r="AI283" s="193" t="s">
        <v>4843</v>
      </c>
      <c r="AJ283" s="25">
        <v>196</v>
      </c>
      <c r="AK283" s="192">
        <v>17.8</v>
      </c>
      <c r="AL283" s="16"/>
      <c r="AM283" s="16"/>
      <c r="AN283" s="193"/>
      <c r="AO283" s="193"/>
      <c r="AP283" s="193"/>
      <c r="AQ283" s="193"/>
      <c r="AR283" s="12" t="str">
        <f t="shared" si="9"/>
        <v/>
      </c>
      <c r="AS283" s="12" t="str">
        <f t="shared" si="10"/>
        <v/>
      </c>
      <c r="AT283" s="18"/>
    </row>
    <row r="284" spans="1:46" s="19" customFormat="1" ht="20.100000000000001" hidden="1" customHeight="1" x14ac:dyDescent="0.2">
      <c r="A284" s="222">
        <v>275</v>
      </c>
      <c r="B284" s="16" t="s">
        <v>4847</v>
      </c>
      <c r="C284" s="16" t="s">
        <v>1360</v>
      </c>
      <c r="D284" s="193" t="s">
        <v>3476</v>
      </c>
      <c r="E284" s="193" t="s">
        <v>6</v>
      </c>
      <c r="F284" s="193"/>
      <c r="G284" s="193"/>
      <c r="H284" s="192" t="s">
        <v>7</v>
      </c>
      <c r="I284" s="16" t="s">
        <v>84</v>
      </c>
      <c r="J284" s="193" t="s">
        <v>155</v>
      </c>
      <c r="K284" s="193" t="s">
        <v>155</v>
      </c>
      <c r="L284" s="193"/>
      <c r="M284" s="193" t="s">
        <v>106</v>
      </c>
      <c r="N284" s="192" t="s">
        <v>107</v>
      </c>
      <c r="O284" s="193" t="s">
        <v>324</v>
      </c>
      <c r="P284" s="193" t="s">
        <v>3679</v>
      </c>
      <c r="Q284" s="193" t="s">
        <v>718</v>
      </c>
      <c r="R284" s="193" t="s">
        <v>4852</v>
      </c>
      <c r="S284" s="193" t="s">
        <v>106</v>
      </c>
      <c r="T284" s="193" t="s">
        <v>107</v>
      </c>
      <c r="U284" s="192"/>
      <c r="V284" s="192"/>
      <c r="W284" s="192">
        <v>201</v>
      </c>
      <c r="X284" s="192">
        <v>186</v>
      </c>
      <c r="Y284" s="16">
        <v>186</v>
      </c>
      <c r="Z284" s="16">
        <v>0</v>
      </c>
      <c r="AA284" s="16">
        <v>140</v>
      </c>
      <c r="AB284" s="16">
        <v>5</v>
      </c>
      <c r="AC284" s="16">
        <v>45</v>
      </c>
      <c r="AD284" s="16">
        <v>190</v>
      </c>
      <c r="AE284" s="16">
        <v>24</v>
      </c>
      <c r="AF284" s="16">
        <v>6</v>
      </c>
      <c r="AG284" s="16"/>
      <c r="AH284" s="192"/>
      <c r="AI284" s="193" t="s">
        <v>4846</v>
      </c>
      <c r="AJ284" s="25">
        <v>190</v>
      </c>
      <c r="AK284" s="192">
        <v>20</v>
      </c>
      <c r="AL284" s="16"/>
      <c r="AM284" s="16"/>
      <c r="AN284" s="193"/>
      <c r="AO284" s="193"/>
      <c r="AP284" s="193"/>
      <c r="AQ284" s="193"/>
      <c r="AR284" s="12" t="str">
        <f t="shared" si="9"/>
        <v/>
      </c>
      <c r="AS284" s="12" t="str">
        <f t="shared" si="10"/>
        <v/>
      </c>
      <c r="AT284" s="18"/>
    </row>
    <row r="285" spans="1:46" s="19" customFormat="1" ht="20.100000000000001" hidden="1" customHeight="1" x14ac:dyDescent="0.2">
      <c r="A285" s="222">
        <v>276</v>
      </c>
      <c r="B285" s="16" t="s">
        <v>4848</v>
      </c>
      <c r="C285" s="16" t="s">
        <v>1360</v>
      </c>
      <c r="D285" s="193" t="s">
        <v>1634</v>
      </c>
      <c r="E285" s="193" t="s">
        <v>10</v>
      </c>
      <c r="F285" s="193" t="s">
        <v>185</v>
      </c>
      <c r="G285" s="193"/>
      <c r="H285" s="192" t="s">
        <v>83</v>
      </c>
      <c r="I285" s="16" t="s">
        <v>92</v>
      </c>
      <c r="J285" s="193"/>
      <c r="K285" s="257" t="s">
        <v>218</v>
      </c>
      <c r="L285" s="41" t="s">
        <v>1746</v>
      </c>
      <c r="M285" s="41" t="s">
        <v>106</v>
      </c>
      <c r="N285" s="13" t="s">
        <v>107</v>
      </c>
      <c r="O285" s="193"/>
      <c r="P285" s="193" t="s">
        <v>3679</v>
      </c>
      <c r="Q285" s="193" t="s">
        <v>260</v>
      </c>
      <c r="R285" s="41" t="s">
        <v>1281</v>
      </c>
      <c r="S285" s="41" t="s">
        <v>106</v>
      </c>
      <c r="T285" s="41" t="s">
        <v>107</v>
      </c>
      <c r="U285" s="40" t="s">
        <v>1751</v>
      </c>
      <c r="V285" s="192"/>
      <c r="W285" s="192"/>
      <c r="X285" s="192"/>
      <c r="Y285" s="16">
        <v>210</v>
      </c>
      <c r="Z285" s="16"/>
      <c r="AA285" s="16"/>
      <c r="AB285" s="16"/>
      <c r="AC285" s="16"/>
      <c r="AD285" s="16"/>
      <c r="AE285" s="16"/>
      <c r="AF285" s="16">
        <v>6</v>
      </c>
      <c r="AG285" s="16"/>
      <c r="AH285" s="192"/>
      <c r="AI285" s="193"/>
      <c r="AJ285" s="25"/>
      <c r="AK285" s="192"/>
      <c r="AL285" s="16" t="s">
        <v>160</v>
      </c>
      <c r="AM285" s="16" t="s">
        <v>165</v>
      </c>
      <c r="AN285" s="193" t="s">
        <v>4378</v>
      </c>
      <c r="AO285" s="193" t="s">
        <v>148</v>
      </c>
      <c r="AP285" s="193" t="s">
        <v>115</v>
      </c>
      <c r="AQ285" s="193" t="s">
        <v>441</v>
      </c>
      <c r="AR285" s="12">
        <f t="shared" si="9"/>
        <v>22</v>
      </c>
      <c r="AS285" s="12" t="str">
        <f t="shared" si="10"/>
        <v/>
      </c>
      <c r="AT285" s="18"/>
    </row>
    <row r="286" spans="1:46" s="19" customFormat="1" ht="20.100000000000001" hidden="1" customHeight="1" x14ac:dyDescent="0.2">
      <c r="A286" s="222">
        <v>277</v>
      </c>
      <c r="B286" s="16" t="s">
        <v>4849</v>
      </c>
      <c r="C286" s="16" t="s">
        <v>1360</v>
      </c>
      <c r="D286" s="193" t="s">
        <v>3159</v>
      </c>
      <c r="E286" s="193" t="s">
        <v>9</v>
      </c>
      <c r="F286" s="193"/>
      <c r="G286" s="193"/>
      <c r="H286" s="192" t="s">
        <v>7</v>
      </c>
      <c r="I286" s="16" t="s">
        <v>84</v>
      </c>
      <c r="J286" s="35" t="s">
        <v>155</v>
      </c>
      <c r="K286" s="35" t="s">
        <v>117</v>
      </c>
      <c r="L286" s="193"/>
      <c r="M286" s="193" t="s">
        <v>106</v>
      </c>
      <c r="N286" s="192" t="s">
        <v>107</v>
      </c>
      <c r="O286" s="35" t="s">
        <v>156</v>
      </c>
      <c r="P286" s="35" t="s">
        <v>2961</v>
      </c>
      <c r="Q286" s="35" t="s">
        <v>1581</v>
      </c>
      <c r="R286" s="193"/>
      <c r="S286" s="193" t="s">
        <v>73</v>
      </c>
      <c r="T286" s="193" t="s">
        <v>70</v>
      </c>
      <c r="U286" s="192"/>
      <c r="V286" s="192"/>
      <c r="W286" s="192">
        <v>206</v>
      </c>
      <c r="X286" s="33">
        <v>192</v>
      </c>
      <c r="Y286" s="34">
        <v>195</v>
      </c>
      <c r="Z286" s="16"/>
      <c r="AA286" s="16">
        <v>186</v>
      </c>
      <c r="AB286" s="16">
        <v>1</v>
      </c>
      <c r="AC286" s="16">
        <v>30</v>
      </c>
      <c r="AD286" s="16">
        <v>217</v>
      </c>
      <c r="AE286" s="16">
        <v>10</v>
      </c>
      <c r="AF286" s="16">
        <v>6</v>
      </c>
      <c r="AG286" s="16"/>
      <c r="AH286" s="192"/>
      <c r="AI286" s="193" t="s">
        <v>4853</v>
      </c>
      <c r="AJ286" s="25">
        <v>217</v>
      </c>
      <c r="AK286" s="192">
        <v>10</v>
      </c>
      <c r="AL286" s="16" t="s">
        <v>111</v>
      </c>
      <c r="AM286" s="16"/>
      <c r="AN286" s="193"/>
      <c r="AO286" s="193"/>
      <c r="AP286" s="193"/>
      <c r="AQ286" s="193"/>
      <c r="AR286" s="12" t="str">
        <f t="shared" si="9"/>
        <v/>
      </c>
      <c r="AS286" s="12" t="str">
        <f t="shared" si="10"/>
        <v/>
      </c>
      <c r="AT286" s="18"/>
    </row>
    <row r="287" spans="1:46" s="19" customFormat="1" ht="20.100000000000001" hidden="1" customHeight="1" x14ac:dyDescent="0.2">
      <c r="A287" s="255"/>
      <c r="B287" s="16" t="s">
        <v>4858</v>
      </c>
      <c r="C287" s="16" t="s">
        <v>1360</v>
      </c>
      <c r="D287" s="256" t="s">
        <v>1242</v>
      </c>
      <c r="E287" s="256" t="s">
        <v>66</v>
      </c>
      <c r="F287" s="256"/>
      <c r="G287" s="256"/>
      <c r="H287" s="255" t="s">
        <v>83</v>
      </c>
      <c r="I287" s="16" t="s">
        <v>92</v>
      </c>
      <c r="J287" s="257"/>
      <c r="K287" s="35" t="s">
        <v>116</v>
      </c>
      <c r="L287" s="256"/>
      <c r="M287" s="256" t="s">
        <v>106</v>
      </c>
      <c r="N287" s="255" t="s">
        <v>107</v>
      </c>
      <c r="O287" s="257"/>
      <c r="P287" s="35" t="s">
        <v>1809</v>
      </c>
      <c r="Q287" s="35" t="s">
        <v>465</v>
      </c>
      <c r="R287" s="256"/>
      <c r="S287" s="256" t="s">
        <v>106</v>
      </c>
      <c r="T287" s="256" t="s">
        <v>107</v>
      </c>
      <c r="U287" s="255"/>
      <c r="V287" s="255"/>
      <c r="W287" s="255"/>
      <c r="X287" s="33"/>
      <c r="Y287" s="34">
        <v>110</v>
      </c>
      <c r="Z287" s="16"/>
      <c r="AA287" s="16"/>
      <c r="AB287" s="16"/>
      <c r="AC287" s="16"/>
      <c r="AD287" s="16"/>
      <c r="AE287" s="16"/>
      <c r="AF287" s="16">
        <v>4</v>
      </c>
      <c r="AG287" s="16"/>
      <c r="AH287" s="255"/>
      <c r="AI287" s="256"/>
      <c r="AJ287" s="25"/>
      <c r="AK287" s="255"/>
      <c r="AL287" s="16" t="s">
        <v>1721</v>
      </c>
      <c r="AM287" s="16" t="s">
        <v>1956</v>
      </c>
      <c r="AN287" s="256" t="s">
        <v>4378</v>
      </c>
      <c r="AO287" s="256" t="s">
        <v>148</v>
      </c>
      <c r="AP287" s="256" t="s">
        <v>115</v>
      </c>
      <c r="AQ287" s="256" t="s">
        <v>137</v>
      </c>
      <c r="AR287" s="12">
        <f t="shared" si="9"/>
        <v>26</v>
      </c>
      <c r="AS287" s="12" t="str">
        <f t="shared" si="10"/>
        <v/>
      </c>
      <c r="AT287" s="18"/>
    </row>
    <row r="288" spans="1:46" s="19" customFormat="1" ht="20.100000000000001" hidden="1" customHeight="1" x14ac:dyDescent="0.2">
      <c r="A288" s="222">
        <v>278</v>
      </c>
      <c r="B288" s="16" t="s">
        <v>4858</v>
      </c>
      <c r="C288" s="16" t="s">
        <v>1360</v>
      </c>
      <c r="D288" s="193" t="s">
        <v>1242</v>
      </c>
      <c r="E288" s="193"/>
      <c r="F288" s="193"/>
      <c r="G288" s="193"/>
      <c r="H288" s="192" t="s">
        <v>7</v>
      </c>
      <c r="I288" s="16" t="s">
        <v>92</v>
      </c>
      <c r="J288" s="193"/>
      <c r="K288" s="193" t="s">
        <v>116</v>
      </c>
      <c r="L288" s="193"/>
      <c r="M288" s="193" t="s">
        <v>106</v>
      </c>
      <c r="N288" s="192" t="s">
        <v>107</v>
      </c>
      <c r="O288" s="193"/>
      <c r="P288" s="193" t="s">
        <v>1809</v>
      </c>
      <c r="Q288" s="193" t="s">
        <v>465</v>
      </c>
      <c r="R288" s="193"/>
      <c r="S288" s="257" t="s">
        <v>106</v>
      </c>
      <c r="T288" s="257" t="s">
        <v>107</v>
      </c>
      <c r="U288" s="192"/>
      <c r="V288" s="192"/>
      <c r="W288" s="192"/>
      <c r="X288" s="192"/>
      <c r="Y288" s="16">
        <v>110</v>
      </c>
      <c r="Z288" s="16"/>
      <c r="AA288" s="16"/>
      <c r="AB288" s="16"/>
      <c r="AC288" s="16"/>
      <c r="AD288" s="16"/>
      <c r="AE288" s="16"/>
      <c r="AF288" s="16">
        <v>4</v>
      </c>
      <c r="AG288" s="16"/>
      <c r="AH288" s="192"/>
      <c r="AI288" s="193"/>
      <c r="AJ288" s="25"/>
      <c r="AK288" s="192"/>
      <c r="AL288" s="16" t="s">
        <v>1721</v>
      </c>
      <c r="AM288" s="16" t="s">
        <v>1956</v>
      </c>
      <c r="AN288" s="193"/>
      <c r="AO288" s="193"/>
      <c r="AP288" s="193"/>
      <c r="AQ288" s="193"/>
      <c r="AR288" s="12" t="str">
        <f t="shared" si="9"/>
        <v/>
      </c>
      <c r="AS288" s="12" t="str">
        <f t="shared" si="10"/>
        <v/>
      </c>
      <c r="AT288" s="18"/>
    </row>
    <row r="289" spans="1:46" s="19" customFormat="1" ht="20.100000000000001" hidden="1" customHeight="1" x14ac:dyDescent="0.2">
      <c r="A289" s="222">
        <v>279</v>
      </c>
      <c r="B289" s="16" t="s">
        <v>4859</v>
      </c>
      <c r="C289" s="16" t="s">
        <v>1553</v>
      </c>
      <c r="D289" s="193" t="s">
        <v>4732</v>
      </c>
      <c r="E289" s="193" t="s">
        <v>8</v>
      </c>
      <c r="F289" s="193"/>
      <c r="G289" s="193"/>
      <c r="H289" s="192" t="s">
        <v>7</v>
      </c>
      <c r="I289" s="16" t="s">
        <v>84</v>
      </c>
      <c r="J289" s="193" t="s">
        <v>223</v>
      </c>
      <c r="K289" s="193" t="s">
        <v>223</v>
      </c>
      <c r="L289" s="193"/>
      <c r="M289" s="193" t="s">
        <v>106</v>
      </c>
      <c r="N289" s="192" t="s">
        <v>107</v>
      </c>
      <c r="O289" s="193" t="s">
        <v>965</v>
      </c>
      <c r="P289" s="193" t="s">
        <v>2961</v>
      </c>
      <c r="Q289" s="193" t="s">
        <v>718</v>
      </c>
      <c r="R289" s="193" t="s">
        <v>4921</v>
      </c>
      <c r="S289" s="193" t="s">
        <v>106</v>
      </c>
      <c r="T289" s="193" t="s">
        <v>107</v>
      </c>
      <c r="U289" s="192"/>
      <c r="V289" s="192"/>
      <c r="W289" s="192">
        <v>151</v>
      </c>
      <c r="X289" s="192">
        <v>132</v>
      </c>
      <c r="Y289" s="16">
        <v>132</v>
      </c>
      <c r="Z289" s="16">
        <v>31</v>
      </c>
      <c r="AA289" s="16">
        <v>80</v>
      </c>
      <c r="AB289" s="16">
        <v>5</v>
      </c>
      <c r="AC289" s="16">
        <v>28</v>
      </c>
      <c r="AD289" s="16">
        <v>113</v>
      </c>
      <c r="AE289" s="16">
        <v>9</v>
      </c>
      <c r="AF289" s="16">
        <v>4</v>
      </c>
      <c r="AG289" s="16"/>
      <c r="AH289" s="192"/>
      <c r="AI289" s="193"/>
      <c r="AJ289" s="25"/>
      <c r="AK289" s="192"/>
      <c r="AL289" s="16"/>
      <c r="AM289" s="16"/>
      <c r="AN289" s="193"/>
      <c r="AO289" s="193"/>
      <c r="AP289" s="193"/>
      <c r="AQ289" s="193"/>
      <c r="AR289" s="12" t="str">
        <f t="shared" si="9"/>
        <v/>
      </c>
      <c r="AS289" s="12" t="str">
        <f t="shared" si="10"/>
        <v/>
      </c>
      <c r="AT289" s="18"/>
    </row>
    <row r="290" spans="1:46" s="19" customFormat="1" ht="20.100000000000001" hidden="1" customHeight="1" x14ac:dyDescent="0.2">
      <c r="A290" s="222">
        <v>280</v>
      </c>
      <c r="B290" s="16" t="s">
        <v>4859</v>
      </c>
      <c r="C290" s="16" t="s">
        <v>1553</v>
      </c>
      <c r="D290" s="193" t="s">
        <v>1634</v>
      </c>
      <c r="E290" s="193" t="s">
        <v>10</v>
      </c>
      <c r="F290" s="193"/>
      <c r="G290" s="193"/>
      <c r="H290" s="192" t="s">
        <v>7</v>
      </c>
      <c r="I290" s="16" t="s">
        <v>92</v>
      </c>
      <c r="J290" s="35" t="s">
        <v>218</v>
      </c>
      <c r="K290" s="35" t="s">
        <v>117</v>
      </c>
      <c r="L290" s="193"/>
      <c r="M290" s="193" t="s">
        <v>69</v>
      </c>
      <c r="N290" s="192" t="s">
        <v>70</v>
      </c>
      <c r="O290" s="35" t="s">
        <v>453</v>
      </c>
      <c r="P290" s="35" t="s">
        <v>2961</v>
      </c>
      <c r="Q290" s="35" t="s">
        <v>2186</v>
      </c>
      <c r="R290" s="193" t="s">
        <v>4924</v>
      </c>
      <c r="S290" s="193" t="s">
        <v>106</v>
      </c>
      <c r="T290" s="193" t="s">
        <v>107</v>
      </c>
      <c r="U290" s="192"/>
      <c r="V290" s="192"/>
      <c r="W290" s="192">
        <v>228</v>
      </c>
      <c r="X290" s="192">
        <v>210</v>
      </c>
      <c r="Y290" s="16">
        <v>210</v>
      </c>
      <c r="Z290" s="16">
        <v>176</v>
      </c>
      <c r="AA290" s="16">
        <v>190</v>
      </c>
      <c r="AB290" s="16">
        <v>1</v>
      </c>
      <c r="AC290" s="16">
        <v>54</v>
      </c>
      <c r="AD290" s="16">
        <v>245</v>
      </c>
      <c r="AE290" s="16">
        <v>10</v>
      </c>
      <c r="AF290" s="16">
        <v>6</v>
      </c>
      <c r="AG290" s="16"/>
      <c r="AH290" s="192"/>
      <c r="AI290" s="193"/>
      <c r="AJ290" s="25"/>
      <c r="AK290" s="192"/>
      <c r="AL290" s="16"/>
      <c r="AM290" s="16"/>
      <c r="AN290" s="193"/>
      <c r="AO290" s="193"/>
      <c r="AP290" s="193"/>
      <c r="AQ290" s="193"/>
      <c r="AR290" s="12" t="str">
        <f t="shared" si="9"/>
        <v/>
      </c>
      <c r="AS290" s="12" t="str">
        <f t="shared" si="10"/>
        <v/>
      </c>
      <c r="AT290" s="18"/>
    </row>
    <row r="291" spans="1:46" s="19" customFormat="1" ht="20.100000000000001" hidden="1" customHeight="1" x14ac:dyDescent="0.2">
      <c r="A291" s="222">
        <v>281</v>
      </c>
      <c r="B291" s="16" t="s">
        <v>4860</v>
      </c>
      <c r="C291" s="16" t="s">
        <v>1553</v>
      </c>
      <c r="D291" s="193" t="s">
        <v>378</v>
      </c>
      <c r="E291" s="256" t="s">
        <v>10</v>
      </c>
      <c r="F291" s="193"/>
      <c r="G291" s="193"/>
      <c r="H291" s="255" t="s">
        <v>7</v>
      </c>
      <c r="I291" s="16" t="s">
        <v>92</v>
      </c>
      <c r="J291" s="193" t="s">
        <v>155</v>
      </c>
      <c r="K291" s="193" t="s">
        <v>155</v>
      </c>
      <c r="L291" s="193"/>
      <c r="M291" s="193" t="s">
        <v>106</v>
      </c>
      <c r="N291" s="192" t="s">
        <v>107</v>
      </c>
      <c r="O291" s="193" t="s">
        <v>170</v>
      </c>
      <c r="P291" s="193" t="s">
        <v>3677</v>
      </c>
      <c r="Q291" s="193" t="s">
        <v>441</v>
      </c>
      <c r="R291" s="193" t="s">
        <v>4923</v>
      </c>
      <c r="S291" s="193" t="s">
        <v>69</v>
      </c>
      <c r="T291" s="193" t="s">
        <v>70</v>
      </c>
      <c r="U291" s="192"/>
      <c r="V291" s="192"/>
      <c r="W291" s="192">
        <v>235</v>
      </c>
      <c r="X291" s="192">
        <v>214</v>
      </c>
      <c r="Y291" s="16">
        <v>214</v>
      </c>
      <c r="Z291" s="16">
        <v>174</v>
      </c>
      <c r="AA291" s="16">
        <v>198</v>
      </c>
      <c r="AB291" s="16">
        <v>4</v>
      </c>
      <c r="AC291" s="16">
        <v>22</v>
      </c>
      <c r="AD291" s="16">
        <v>224</v>
      </c>
      <c r="AE291" s="16">
        <v>18.8</v>
      </c>
      <c r="AF291" s="16">
        <v>6</v>
      </c>
      <c r="AG291" s="16"/>
      <c r="AH291" s="192"/>
      <c r="AI291" s="193"/>
      <c r="AJ291" s="25"/>
      <c r="AK291" s="192"/>
      <c r="AL291" s="16"/>
      <c r="AM291" s="16"/>
      <c r="AN291" s="193"/>
      <c r="AO291" s="193"/>
      <c r="AP291" s="193"/>
      <c r="AQ291" s="193"/>
      <c r="AR291" s="12" t="str">
        <f t="shared" si="9"/>
        <v/>
      </c>
      <c r="AS291" s="12" t="str">
        <f t="shared" si="10"/>
        <v/>
      </c>
      <c r="AT291" s="18"/>
    </row>
    <row r="292" spans="1:46" s="19" customFormat="1" ht="20.100000000000001" hidden="1" customHeight="1" x14ac:dyDescent="0.2">
      <c r="A292" s="222">
        <v>282</v>
      </c>
      <c r="B292" s="16" t="s">
        <v>4860</v>
      </c>
      <c r="C292" s="16" t="s">
        <v>1553</v>
      </c>
      <c r="D292" s="193" t="s">
        <v>2464</v>
      </c>
      <c r="E292" s="193" t="s">
        <v>6</v>
      </c>
      <c r="F292" s="193" t="s">
        <v>4038</v>
      </c>
      <c r="G292" s="193"/>
      <c r="H292" s="192" t="s">
        <v>83</v>
      </c>
      <c r="I292" s="16" t="s">
        <v>84</v>
      </c>
      <c r="J292" s="193"/>
      <c r="K292" s="193" t="s">
        <v>155</v>
      </c>
      <c r="L292" s="193"/>
      <c r="M292" s="193" t="s">
        <v>574</v>
      </c>
      <c r="N292" s="192" t="s">
        <v>107</v>
      </c>
      <c r="O292" s="193"/>
      <c r="P292" s="193" t="s">
        <v>3679</v>
      </c>
      <c r="Q292" s="193" t="s">
        <v>718</v>
      </c>
      <c r="R292" s="193"/>
      <c r="S292" s="193" t="s">
        <v>574</v>
      </c>
      <c r="T292" s="193" t="s">
        <v>107</v>
      </c>
      <c r="U292" s="192" t="s">
        <v>4904</v>
      </c>
      <c r="V292" s="192"/>
      <c r="W292" s="192"/>
      <c r="X292" s="192"/>
      <c r="Y292" s="16">
        <v>213</v>
      </c>
      <c r="Z292" s="16"/>
      <c r="AA292" s="16"/>
      <c r="AB292" s="16"/>
      <c r="AC292" s="16"/>
      <c r="AD292" s="16"/>
      <c r="AE292" s="16"/>
      <c r="AF292" s="16">
        <v>6</v>
      </c>
      <c r="AG292" s="16"/>
      <c r="AH292" s="192"/>
      <c r="AI292" s="193"/>
      <c r="AJ292" s="25"/>
      <c r="AK292" s="192"/>
      <c r="AL292" s="16"/>
      <c r="AM292" s="16"/>
      <c r="AN292" s="193" t="s">
        <v>4378</v>
      </c>
      <c r="AO292" s="193" t="s">
        <v>266</v>
      </c>
      <c r="AP292" s="193" t="s">
        <v>136</v>
      </c>
      <c r="AQ292" s="193" t="s">
        <v>344</v>
      </c>
      <c r="AR292" s="12">
        <f t="shared" si="9"/>
        <v>38</v>
      </c>
      <c r="AS292" s="12" t="str">
        <f t="shared" si="10"/>
        <v/>
      </c>
      <c r="AT292" s="18"/>
    </row>
    <row r="293" spans="1:46" s="19" customFormat="1" ht="20.100000000000001" hidden="1" customHeight="1" x14ac:dyDescent="0.2">
      <c r="A293" s="222">
        <v>283</v>
      </c>
      <c r="B293" s="16" t="s">
        <v>4861</v>
      </c>
      <c r="C293" s="16" t="s">
        <v>1553</v>
      </c>
      <c r="D293" s="193" t="s">
        <v>905</v>
      </c>
      <c r="E293" s="193" t="s">
        <v>19</v>
      </c>
      <c r="F293" s="193" t="s">
        <v>4038</v>
      </c>
      <c r="G293" s="193"/>
      <c r="H293" s="192" t="s">
        <v>83</v>
      </c>
      <c r="I293" s="16" t="s">
        <v>84</v>
      </c>
      <c r="J293" s="193"/>
      <c r="K293" s="193" t="s">
        <v>68</v>
      </c>
      <c r="L293" s="41" t="s">
        <v>906</v>
      </c>
      <c r="M293" s="41" t="s">
        <v>106</v>
      </c>
      <c r="N293" s="13" t="s">
        <v>107</v>
      </c>
      <c r="O293" s="193"/>
      <c r="P293" s="193" t="s">
        <v>3679</v>
      </c>
      <c r="Q293" s="193" t="s">
        <v>485</v>
      </c>
      <c r="R293" s="41" t="s">
        <v>907</v>
      </c>
      <c r="S293" s="41" t="s">
        <v>142</v>
      </c>
      <c r="T293" s="41" t="s">
        <v>70</v>
      </c>
      <c r="U293" s="40" t="s">
        <v>4897</v>
      </c>
      <c r="V293" s="192"/>
      <c r="W293" s="192"/>
      <c r="X293" s="192"/>
      <c r="Y293" s="16">
        <v>243</v>
      </c>
      <c r="Z293" s="16"/>
      <c r="AA293" s="16"/>
      <c r="AB293" s="16"/>
      <c r="AC293" s="16"/>
      <c r="AD293" s="16"/>
      <c r="AE293" s="16"/>
      <c r="AF293" s="16">
        <v>6</v>
      </c>
      <c r="AG293" s="16"/>
      <c r="AH293" s="192"/>
      <c r="AI293" s="193"/>
      <c r="AJ293" s="25"/>
      <c r="AK293" s="192"/>
      <c r="AL293" s="16"/>
      <c r="AM293" s="16"/>
      <c r="AN293" s="193" t="s">
        <v>4378</v>
      </c>
      <c r="AO293" s="193" t="s">
        <v>266</v>
      </c>
      <c r="AP293" s="193" t="s">
        <v>115</v>
      </c>
      <c r="AQ293" s="193" t="s">
        <v>124</v>
      </c>
      <c r="AR293" s="12">
        <f t="shared" si="9"/>
        <v>29</v>
      </c>
      <c r="AS293" s="12" t="str">
        <f t="shared" si="10"/>
        <v/>
      </c>
      <c r="AT293" s="18"/>
    </row>
    <row r="294" spans="1:46" s="19" customFormat="1" ht="20.100000000000001" hidden="1" customHeight="1" x14ac:dyDescent="0.2">
      <c r="A294" s="222">
        <v>284</v>
      </c>
      <c r="B294" s="16" t="s">
        <v>4861</v>
      </c>
      <c r="C294" s="16" t="s">
        <v>1553</v>
      </c>
      <c r="D294" s="193" t="s">
        <v>3766</v>
      </c>
      <c r="E294" s="193" t="s">
        <v>6</v>
      </c>
      <c r="F294" s="193"/>
      <c r="G294" s="193"/>
      <c r="H294" s="192" t="s">
        <v>7</v>
      </c>
      <c r="I294" s="16" t="s">
        <v>84</v>
      </c>
      <c r="J294" s="35" t="s">
        <v>104</v>
      </c>
      <c r="K294" s="35" t="s">
        <v>117</v>
      </c>
      <c r="L294" s="193"/>
      <c r="M294" s="193" t="s">
        <v>106</v>
      </c>
      <c r="N294" s="192" t="s">
        <v>107</v>
      </c>
      <c r="O294" s="35" t="s">
        <v>414</v>
      </c>
      <c r="P294" s="35" t="s">
        <v>2961</v>
      </c>
      <c r="Q294" s="35" t="s">
        <v>226</v>
      </c>
      <c r="R294" s="193"/>
      <c r="S294" s="193" t="s">
        <v>106</v>
      </c>
      <c r="T294" s="193" t="s">
        <v>107</v>
      </c>
      <c r="U294" s="192"/>
      <c r="V294" s="192"/>
      <c r="W294" s="192">
        <v>206</v>
      </c>
      <c r="X294" s="192">
        <v>192</v>
      </c>
      <c r="Y294" s="16">
        <v>192</v>
      </c>
      <c r="Z294" s="16">
        <v>159</v>
      </c>
      <c r="AA294" s="16">
        <v>178</v>
      </c>
      <c r="AB294" s="16">
        <v>2</v>
      </c>
      <c r="AC294" s="16">
        <v>15</v>
      </c>
      <c r="AD294" s="16">
        <v>195</v>
      </c>
      <c r="AE294" s="16">
        <v>11</v>
      </c>
      <c r="AF294" s="16">
        <v>6</v>
      </c>
      <c r="AG294" s="16"/>
      <c r="AH294" s="192"/>
      <c r="AI294" s="193"/>
      <c r="AJ294" s="25"/>
      <c r="AK294" s="192"/>
      <c r="AL294" s="16"/>
      <c r="AM294" s="16"/>
      <c r="AN294" s="193"/>
      <c r="AO294" s="193"/>
      <c r="AP294" s="193"/>
      <c r="AQ294" s="193"/>
      <c r="AR294" s="12" t="str">
        <f t="shared" si="9"/>
        <v/>
      </c>
      <c r="AS294" s="12" t="str">
        <f t="shared" si="10"/>
        <v/>
      </c>
      <c r="AT294" s="18"/>
    </row>
    <row r="295" spans="1:46" s="21" customFormat="1" ht="20.100000000000001" hidden="1" customHeight="1" x14ac:dyDescent="0.2">
      <c r="A295" s="20">
        <v>285</v>
      </c>
      <c r="B295" s="29" t="s">
        <v>4861</v>
      </c>
      <c r="C295" s="29" t="s">
        <v>1553</v>
      </c>
      <c r="D295" s="30" t="s">
        <v>591</v>
      </c>
      <c r="E295" s="30" t="s">
        <v>9</v>
      </c>
      <c r="F295" s="30" t="s">
        <v>202</v>
      </c>
      <c r="G295" s="193"/>
      <c r="H295" s="20" t="s">
        <v>83</v>
      </c>
      <c r="I295" s="29" t="s">
        <v>92</v>
      </c>
      <c r="J295" s="30"/>
      <c r="K295" s="30" t="s">
        <v>155</v>
      </c>
      <c r="L295" s="30"/>
      <c r="M295" s="30" t="s">
        <v>69</v>
      </c>
      <c r="N295" s="20" t="s">
        <v>70</v>
      </c>
      <c r="O295" s="30"/>
      <c r="P295" s="30" t="s">
        <v>3679</v>
      </c>
      <c r="Q295" s="30" t="s">
        <v>441</v>
      </c>
      <c r="R295" s="30"/>
      <c r="S295" s="30" t="s">
        <v>142</v>
      </c>
      <c r="T295" s="30" t="s">
        <v>70</v>
      </c>
      <c r="U295" s="20"/>
      <c r="V295" s="192"/>
      <c r="W295" s="20"/>
      <c r="X295" s="20"/>
      <c r="Y295" s="29">
        <v>231</v>
      </c>
      <c r="Z295" s="29"/>
      <c r="AA295" s="29"/>
      <c r="AB295" s="29"/>
      <c r="AC295" s="29"/>
      <c r="AD295" s="29"/>
      <c r="AE295" s="29"/>
      <c r="AF295" s="29">
        <v>6</v>
      </c>
      <c r="AG295" s="16"/>
      <c r="AH295" s="192"/>
      <c r="AI295" s="30"/>
      <c r="AJ295" s="36"/>
      <c r="AK295" s="20"/>
      <c r="AL295" s="29" t="s">
        <v>160</v>
      </c>
      <c r="AM295" s="29" t="s">
        <v>165</v>
      </c>
      <c r="AN295" s="30" t="s">
        <v>4378</v>
      </c>
      <c r="AO295" s="30" t="s">
        <v>266</v>
      </c>
      <c r="AP295" s="30" t="s">
        <v>4378</v>
      </c>
      <c r="AQ295" s="30" t="s">
        <v>137</v>
      </c>
      <c r="AR295" s="31">
        <f t="shared" si="9"/>
        <v>3</v>
      </c>
      <c r="AS295" s="31">
        <f t="shared" si="10"/>
        <v>3</v>
      </c>
      <c r="AT295" s="32"/>
    </row>
    <row r="296" spans="1:46" s="21" customFormat="1" ht="20.100000000000001" hidden="1" customHeight="1" x14ac:dyDescent="0.2">
      <c r="A296" s="20">
        <v>286</v>
      </c>
      <c r="B296" s="29" t="s">
        <v>4862</v>
      </c>
      <c r="C296" s="29" t="s">
        <v>1553</v>
      </c>
      <c r="D296" s="30" t="s">
        <v>1508</v>
      </c>
      <c r="E296" s="30" t="s">
        <v>10</v>
      </c>
      <c r="F296" s="30" t="s">
        <v>1587</v>
      </c>
      <c r="G296" s="30"/>
      <c r="H296" s="20" t="s">
        <v>222</v>
      </c>
      <c r="I296" s="29" t="s">
        <v>92</v>
      </c>
      <c r="J296" s="30"/>
      <c r="K296" s="30" t="s">
        <v>334</v>
      </c>
      <c r="L296" s="30" t="s">
        <v>4901</v>
      </c>
      <c r="M296" s="30" t="s">
        <v>106</v>
      </c>
      <c r="N296" s="20" t="s">
        <v>107</v>
      </c>
      <c r="O296" s="30"/>
      <c r="P296" s="30" t="s">
        <v>1809</v>
      </c>
      <c r="Q296" s="30" t="s">
        <v>2348</v>
      </c>
      <c r="R296" s="30" t="s">
        <v>4902</v>
      </c>
      <c r="S296" s="30" t="s">
        <v>106</v>
      </c>
      <c r="T296" s="30" t="s">
        <v>107</v>
      </c>
      <c r="U296" s="20" t="s">
        <v>4673</v>
      </c>
      <c r="V296" s="20"/>
      <c r="W296" s="20"/>
      <c r="X296" s="20"/>
      <c r="Y296" s="29">
        <v>186</v>
      </c>
      <c r="Z296" s="29"/>
      <c r="AA296" s="29"/>
      <c r="AB296" s="29"/>
      <c r="AC296" s="29"/>
      <c r="AD296" s="29"/>
      <c r="AE296" s="29"/>
      <c r="AF296" s="29">
        <v>4</v>
      </c>
      <c r="AG296" s="29"/>
      <c r="AH296" s="20"/>
      <c r="AI296" s="30"/>
      <c r="AJ296" s="36"/>
      <c r="AK296" s="20"/>
      <c r="AL296" s="29"/>
      <c r="AM296" s="29"/>
      <c r="AN296" s="30" t="s">
        <v>4378</v>
      </c>
      <c r="AO296" s="30" t="s">
        <v>266</v>
      </c>
      <c r="AP296" s="30" t="s">
        <v>4378</v>
      </c>
      <c r="AQ296" s="30" t="s">
        <v>1247</v>
      </c>
      <c r="AR296" s="31">
        <f t="shared" si="9"/>
        <v>4</v>
      </c>
      <c r="AS296" s="31">
        <f t="shared" si="10"/>
        <v>4</v>
      </c>
      <c r="AT296" s="32" t="s">
        <v>4903</v>
      </c>
    </row>
    <row r="297" spans="1:46" s="19" customFormat="1" ht="20.100000000000001" hidden="1" customHeight="1" x14ac:dyDescent="0.2">
      <c r="A297" s="222">
        <v>287</v>
      </c>
      <c r="B297" s="16" t="s">
        <v>4862</v>
      </c>
      <c r="C297" s="16" t="s">
        <v>1553</v>
      </c>
      <c r="D297" s="193" t="s">
        <v>2824</v>
      </c>
      <c r="E297" s="193" t="s">
        <v>9</v>
      </c>
      <c r="F297" s="193" t="s">
        <v>202</v>
      </c>
      <c r="G297" s="193"/>
      <c r="H297" s="192" t="s">
        <v>83</v>
      </c>
      <c r="I297" s="16" t="s">
        <v>84</v>
      </c>
      <c r="J297" s="193"/>
      <c r="K297" s="257" t="s">
        <v>68</v>
      </c>
      <c r="L297" s="257" t="s">
        <v>417</v>
      </c>
      <c r="M297" s="257" t="s">
        <v>69</v>
      </c>
      <c r="N297" s="258" t="s">
        <v>70</v>
      </c>
      <c r="O297" s="193"/>
      <c r="P297" s="257" t="s">
        <v>3677</v>
      </c>
      <c r="Q297" s="257" t="s">
        <v>485</v>
      </c>
      <c r="R297" s="257" t="s">
        <v>418</v>
      </c>
      <c r="S297" s="257" t="s">
        <v>106</v>
      </c>
      <c r="T297" s="257" t="s">
        <v>107</v>
      </c>
      <c r="U297" s="16" t="s">
        <v>385</v>
      </c>
      <c r="V297" s="192"/>
      <c r="W297" s="192"/>
      <c r="X297" s="192"/>
      <c r="Y297" s="16">
        <v>234</v>
      </c>
      <c r="Z297" s="16"/>
      <c r="AA297" s="16"/>
      <c r="AB297" s="16"/>
      <c r="AC297" s="16"/>
      <c r="AD297" s="16"/>
      <c r="AE297" s="16"/>
      <c r="AF297" s="16">
        <v>6</v>
      </c>
      <c r="AG297" s="16"/>
      <c r="AH297" s="192"/>
      <c r="AI297" s="193"/>
      <c r="AJ297" s="25"/>
      <c r="AK297" s="192"/>
      <c r="AL297" s="16" t="s">
        <v>160</v>
      </c>
      <c r="AM297" s="16" t="s">
        <v>165</v>
      </c>
      <c r="AN297" s="193" t="s">
        <v>4378</v>
      </c>
      <c r="AO297" s="193" t="s">
        <v>266</v>
      </c>
      <c r="AP297" s="193" t="s">
        <v>113</v>
      </c>
      <c r="AQ297" s="193" t="s">
        <v>296</v>
      </c>
      <c r="AR297" s="12">
        <f t="shared" si="9"/>
        <v>19</v>
      </c>
      <c r="AS297" s="12" t="str">
        <f t="shared" si="10"/>
        <v/>
      </c>
      <c r="AT297" s="18"/>
    </row>
    <row r="298" spans="1:46" s="19" customFormat="1" ht="20.100000000000001" hidden="1" customHeight="1" x14ac:dyDescent="0.2">
      <c r="A298" s="222">
        <v>288</v>
      </c>
      <c r="B298" s="16" t="s">
        <v>4863</v>
      </c>
      <c r="C298" s="16" t="s">
        <v>1553</v>
      </c>
      <c r="D298" s="193" t="s">
        <v>4864</v>
      </c>
      <c r="E298" s="193" t="s">
        <v>66</v>
      </c>
      <c r="F298" s="193" t="s">
        <v>192</v>
      </c>
      <c r="G298" s="193"/>
      <c r="H298" s="192" t="s">
        <v>7</v>
      </c>
      <c r="I298" s="16" t="s">
        <v>84</v>
      </c>
      <c r="J298" s="193"/>
      <c r="K298" s="193" t="s">
        <v>493</v>
      </c>
      <c r="L298" s="193"/>
      <c r="M298" s="193" t="s">
        <v>106</v>
      </c>
      <c r="N298" s="192" t="s">
        <v>107</v>
      </c>
      <c r="O298" s="193"/>
      <c r="P298" s="193" t="s">
        <v>2325</v>
      </c>
      <c r="Q298" s="193" t="s">
        <v>458</v>
      </c>
      <c r="R298" s="193"/>
      <c r="S298" s="193" t="s">
        <v>106</v>
      </c>
      <c r="T298" s="193" t="s">
        <v>107</v>
      </c>
      <c r="U298" s="192"/>
      <c r="V298" s="192"/>
      <c r="W298" s="192">
        <v>168</v>
      </c>
      <c r="X298" s="192"/>
      <c r="Y298" s="16">
        <v>159</v>
      </c>
      <c r="Z298" s="16">
        <v>18</v>
      </c>
      <c r="AA298" s="16">
        <v>25</v>
      </c>
      <c r="AB298" s="16">
        <v>2</v>
      </c>
      <c r="AC298" s="16">
        <v>25</v>
      </c>
      <c r="AD298" s="16">
        <v>52</v>
      </c>
      <c r="AE298" s="16">
        <v>4</v>
      </c>
      <c r="AF298" s="16">
        <v>4</v>
      </c>
      <c r="AG298" s="16"/>
      <c r="AH298" s="192"/>
      <c r="AI298" s="193"/>
      <c r="AJ298" s="25"/>
      <c r="AK298" s="192"/>
      <c r="AL298" s="16" t="s">
        <v>1721</v>
      </c>
      <c r="AM298" s="16" t="s">
        <v>228</v>
      </c>
      <c r="AN298" s="193"/>
      <c r="AO298" s="193"/>
      <c r="AP298" s="193"/>
      <c r="AQ298" s="193"/>
      <c r="AR298" s="12" t="str">
        <f t="shared" si="9"/>
        <v/>
      </c>
      <c r="AS298" s="12" t="str">
        <f t="shared" si="10"/>
        <v/>
      </c>
      <c r="AT298" s="18"/>
    </row>
    <row r="299" spans="1:46" s="21" customFormat="1" ht="20.100000000000001" hidden="1" customHeight="1" x14ac:dyDescent="0.2">
      <c r="A299" s="20">
        <v>289</v>
      </c>
      <c r="B299" s="29" t="s">
        <v>4863</v>
      </c>
      <c r="C299" s="29" t="s">
        <v>1553</v>
      </c>
      <c r="D299" s="30" t="s">
        <v>4519</v>
      </c>
      <c r="E299" s="30" t="s">
        <v>20</v>
      </c>
      <c r="F299" s="30" t="s">
        <v>185</v>
      </c>
      <c r="G299" s="193"/>
      <c r="H299" s="20" t="s">
        <v>83</v>
      </c>
      <c r="I299" s="29" t="s">
        <v>92</v>
      </c>
      <c r="J299" s="30"/>
      <c r="K299" s="30" t="s">
        <v>334</v>
      </c>
      <c r="L299" s="30" t="s">
        <v>4569</v>
      </c>
      <c r="M299" s="30" t="s">
        <v>106</v>
      </c>
      <c r="N299" s="20" t="s">
        <v>107</v>
      </c>
      <c r="O299" s="30"/>
      <c r="P299" s="30" t="s">
        <v>1809</v>
      </c>
      <c r="Q299" s="30" t="s">
        <v>2258</v>
      </c>
      <c r="R299" s="30" t="s">
        <v>4587</v>
      </c>
      <c r="S299" s="30" t="s">
        <v>106</v>
      </c>
      <c r="T299" s="30" t="s">
        <v>107</v>
      </c>
      <c r="U299" s="20" t="s">
        <v>4551</v>
      </c>
      <c r="V299" s="192"/>
      <c r="W299" s="20"/>
      <c r="X299" s="20"/>
      <c r="Y299" s="29">
        <v>138</v>
      </c>
      <c r="Z299" s="29"/>
      <c r="AA299" s="29"/>
      <c r="AB299" s="29"/>
      <c r="AC299" s="29"/>
      <c r="AD299" s="29"/>
      <c r="AE299" s="29"/>
      <c r="AF299" s="29"/>
      <c r="AG299" s="16"/>
      <c r="AH299" s="192"/>
      <c r="AI299" s="30"/>
      <c r="AJ299" s="36"/>
      <c r="AK299" s="20"/>
      <c r="AL299" s="29"/>
      <c r="AM299" s="29"/>
      <c r="AN299" s="30" t="s">
        <v>4378</v>
      </c>
      <c r="AO299" s="30" t="s">
        <v>266</v>
      </c>
      <c r="AP299" s="30" t="s">
        <v>4378</v>
      </c>
      <c r="AQ299" s="30" t="s">
        <v>124</v>
      </c>
      <c r="AR299" s="31">
        <f t="shared" si="9"/>
        <v>5</v>
      </c>
      <c r="AS299" s="31">
        <f t="shared" si="10"/>
        <v>5</v>
      </c>
      <c r="AT299" s="32"/>
    </row>
    <row r="300" spans="1:46" s="19" customFormat="1" ht="20.100000000000001" hidden="1" customHeight="1" x14ac:dyDescent="0.2">
      <c r="A300" s="222">
        <v>290</v>
      </c>
      <c r="B300" s="16" t="s">
        <v>4865</v>
      </c>
      <c r="C300" s="16" t="s">
        <v>1553</v>
      </c>
      <c r="D300" s="193" t="s">
        <v>4866</v>
      </c>
      <c r="E300" s="193" t="s">
        <v>10</v>
      </c>
      <c r="F300" s="193" t="s">
        <v>185</v>
      </c>
      <c r="G300" s="193"/>
      <c r="H300" s="192" t="s">
        <v>83</v>
      </c>
      <c r="I300" s="16" t="s">
        <v>92</v>
      </c>
      <c r="J300" s="193"/>
      <c r="K300" s="257" t="s">
        <v>155</v>
      </c>
      <c r="L300" s="257" t="s">
        <v>3302</v>
      </c>
      <c r="M300" s="257" t="s">
        <v>142</v>
      </c>
      <c r="N300" s="258" t="s">
        <v>70</v>
      </c>
      <c r="O300" s="193"/>
      <c r="P300" s="257" t="s">
        <v>3677</v>
      </c>
      <c r="Q300" s="257" t="s">
        <v>718</v>
      </c>
      <c r="R300" s="257" t="s">
        <v>3303</v>
      </c>
      <c r="S300" s="257" t="s">
        <v>106</v>
      </c>
      <c r="T300" s="257" t="s">
        <v>107</v>
      </c>
      <c r="U300" s="16" t="s">
        <v>3292</v>
      </c>
      <c r="V300" s="192"/>
      <c r="W300" s="192"/>
      <c r="X300" s="192"/>
      <c r="Y300" s="16">
        <v>192</v>
      </c>
      <c r="Z300" s="16"/>
      <c r="AA300" s="16"/>
      <c r="AB300" s="16"/>
      <c r="AC300" s="16"/>
      <c r="AD300" s="16"/>
      <c r="AE300" s="16"/>
      <c r="AF300" s="16">
        <v>6</v>
      </c>
      <c r="AG300" s="16"/>
      <c r="AH300" s="192"/>
      <c r="AI300" s="193"/>
      <c r="AJ300" s="25"/>
      <c r="AK300" s="192"/>
      <c r="AL300" s="16" t="s">
        <v>160</v>
      </c>
      <c r="AM300" s="16" t="s">
        <v>193</v>
      </c>
      <c r="AN300" s="193" t="s">
        <v>4378</v>
      </c>
      <c r="AO300" s="193" t="s">
        <v>266</v>
      </c>
      <c r="AP300" s="193" t="s">
        <v>113</v>
      </c>
      <c r="AQ300" s="193" t="s">
        <v>296</v>
      </c>
      <c r="AR300" s="12">
        <f t="shared" si="9"/>
        <v>19</v>
      </c>
      <c r="AS300" s="12" t="str">
        <f t="shared" si="10"/>
        <v/>
      </c>
      <c r="AT300" s="18"/>
    </row>
    <row r="301" spans="1:46" s="19" customFormat="1" ht="20.100000000000001" hidden="1" customHeight="1" x14ac:dyDescent="0.2">
      <c r="A301" s="222">
        <v>291</v>
      </c>
      <c r="B301" s="16" t="s">
        <v>4867</v>
      </c>
      <c r="C301" s="16" t="s">
        <v>1553</v>
      </c>
      <c r="D301" s="193" t="s">
        <v>4868</v>
      </c>
      <c r="E301" s="193" t="s">
        <v>19</v>
      </c>
      <c r="F301" s="193"/>
      <c r="G301" s="193"/>
      <c r="H301" s="192" t="s">
        <v>7</v>
      </c>
      <c r="I301" s="16" t="s">
        <v>84</v>
      </c>
      <c r="J301" s="35" t="s">
        <v>140</v>
      </c>
      <c r="K301" s="35" t="s">
        <v>334</v>
      </c>
      <c r="L301" s="193"/>
      <c r="M301" s="193" t="s">
        <v>69</v>
      </c>
      <c r="N301" s="192" t="s">
        <v>70</v>
      </c>
      <c r="O301" s="35" t="s">
        <v>188</v>
      </c>
      <c r="P301" s="35" t="s">
        <v>2961</v>
      </c>
      <c r="Q301" s="35" t="s">
        <v>260</v>
      </c>
      <c r="R301" s="193"/>
      <c r="S301" s="193" t="s">
        <v>262</v>
      </c>
      <c r="T301" s="193" t="s">
        <v>70</v>
      </c>
      <c r="U301" s="192">
        <v>0</v>
      </c>
      <c r="V301" s="192"/>
      <c r="W301" s="192">
        <v>135</v>
      </c>
      <c r="X301" s="33">
        <v>162</v>
      </c>
      <c r="Y301" s="34">
        <v>126</v>
      </c>
      <c r="Z301" s="16">
        <v>37</v>
      </c>
      <c r="AA301" s="16">
        <v>92</v>
      </c>
      <c r="AB301" s="16">
        <v>1</v>
      </c>
      <c r="AC301" s="16">
        <v>35</v>
      </c>
      <c r="AD301" s="16">
        <v>128</v>
      </c>
      <c r="AE301" s="16">
        <v>12</v>
      </c>
      <c r="AF301" s="16">
        <v>6</v>
      </c>
      <c r="AG301" s="16"/>
      <c r="AH301" s="192"/>
      <c r="AI301" s="193"/>
      <c r="AJ301" s="25"/>
      <c r="AK301" s="192"/>
      <c r="AL301" s="16" t="s">
        <v>111</v>
      </c>
      <c r="AM301" s="16" t="s">
        <v>231</v>
      </c>
      <c r="AN301" s="193"/>
      <c r="AO301" s="193"/>
      <c r="AP301" s="193"/>
      <c r="AQ301" s="193"/>
      <c r="AR301" s="12" t="str">
        <f t="shared" si="9"/>
        <v/>
      </c>
      <c r="AS301" s="12" t="str">
        <f t="shared" si="10"/>
        <v/>
      </c>
      <c r="AT301" s="18"/>
    </row>
    <row r="302" spans="1:46" s="19" customFormat="1" ht="20.100000000000001" hidden="1" customHeight="1" x14ac:dyDescent="0.2">
      <c r="A302" s="222">
        <v>292</v>
      </c>
      <c r="B302" s="16" t="s">
        <v>4869</v>
      </c>
      <c r="C302" s="16" t="s">
        <v>1553</v>
      </c>
      <c r="D302" s="193" t="s">
        <v>4870</v>
      </c>
      <c r="E302" s="193" t="s">
        <v>20</v>
      </c>
      <c r="F302" s="193"/>
      <c r="G302" s="193"/>
      <c r="H302" s="192" t="s">
        <v>222</v>
      </c>
      <c r="I302" s="16" t="s">
        <v>92</v>
      </c>
      <c r="J302" s="193"/>
      <c r="K302" s="193" t="s">
        <v>117</v>
      </c>
      <c r="L302" s="193" t="s">
        <v>745</v>
      </c>
      <c r="M302" s="193" t="s">
        <v>106</v>
      </c>
      <c r="N302" s="192" t="s">
        <v>107</v>
      </c>
      <c r="O302" s="193"/>
      <c r="P302" s="193" t="s">
        <v>3677</v>
      </c>
      <c r="Q302" s="193" t="s">
        <v>465</v>
      </c>
      <c r="R302" s="193" t="s">
        <v>746</v>
      </c>
      <c r="S302" s="193" t="s">
        <v>142</v>
      </c>
      <c r="T302" s="193" t="s">
        <v>70</v>
      </c>
      <c r="U302" s="192" t="s">
        <v>4456</v>
      </c>
      <c r="V302" s="192"/>
      <c r="W302" s="192"/>
      <c r="X302" s="192"/>
      <c r="Y302" s="16">
        <v>213</v>
      </c>
      <c r="Z302" s="16"/>
      <c r="AA302" s="16"/>
      <c r="AB302" s="16"/>
      <c r="AC302" s="16"/>
      <c r="AD302" s="16"/>
      <c r="AE302" s="16"/>
      <c r="AF302" s="16">
        <v>6</v>
      </c>
      <c r="AG302" s="16"/>
      <c r="AH302" s="192"/>
      <c r="AI302" s="193"/>
      <c r="AJ302" s="25"/>
      <c r="AK302" s="192"/>
      <c r="AL302" s="16"/>
      <c r="AM302" s="16"/>
      <c r="AN302" s="193" t="s">
        <v>4378</v>
      </c>
      <c r="AO302" s="193" t="s">
        <v>266</v>
      </c>
      <c r="AP302" s="193" t="s">
        <v>115</v>
      </c>
      <c r="AQ302" s="193" t="s">
        <v>235</v>
      </c>
      <c r="AR302" s="12">
        <f t="shared" si="9"/>
        <v>30</v>
      </c>
      <c r="AS302" s="12" t="str">
        <f t="shared" si="10"/>
        <v/>
      </c>
      <c r="AT302" s="18"/>
    </row>
    <row r="303" spans="1:46" s="19" customFormat="1" ht="20.100000000000001" hidden="1" customHeight="1" x14ac:dyDescent="0.2">
      <c r="A303" s="222">
        <v>293</v>
      </c>
      <c r="B303" s="16" t="s">
        <v>4871</v>
      </c>
      <c r="C303" s="16" t="s">
        <v>1553</v>
      </c>
      <c r="D303" s="193" t="s">
        <v>1467</v>
      </c>
      <c r="E303" s="193" t="s">
        <v>19</v>
      </c>
      <c r="F303" s="193"/>
      <c r="G303" s="193"/>
      <c r="H303" s="192" t="s">
        <v>7</v>
      </c>
      <c r="I303" s="16" t="s">
        <v>84</v>
      </c>
      <c r="J303" s="35" t="s">
        <v>140</v>
      </c>
      <c r="K303" s="35" t="s">
        <v>334</v>
      </c>
      <c r="L303" s="193"/>
      <c r="M303" s="193" t="s">
        <v>106</v>
      </c>
      <c r="N303" s="192" t="s">
        <v>107</v>
      </c>
      <c r="O303" s="35" t="s">
        <v>338</v>
      </c>
      <c r="P303" s="35" t="s">
        <v>1809</v>
      </c>
      <c r="Q303" s="35" t="s">
        <v>2348</v>
      </c>
      <c r="R303" s="193" t="s">
        <v>4900</v>
      </c>
      <c r="S303" s="193" t="s">
        <v>69</v>
      </c>
      <c r="T303" s="193" t="s">
        <v>70</v>
      </c>
      <c r="U303" s="192"/>
      <c r="V303" s="192"/>
      <c r="W303" s="192">
        <v>167</v>
      </c>
      <c r="X303" s="192">
        <v>159</v>
      </c>
      <c r="Y303" s="16">
        <v>159</v>
      </c>
      <c r="Z303" s="16">
        <v>58</v>
      </c>
      <c r="AA303" s="16">
        <v>128</v>
      </c>
      <c r="AB303" s="16">
        <v>5</v>
      </c>
      <c r="AC303" s="16">
        <v>26</v>
      </c>
      <c r="AD303" s="16">
        <v>159</v>
      </c>
      <c r="AE303" s="16">
        <v>8</v>
      </c>
      <c r="AF303" s="16">
        <v>4</v>
      </c>
      <c r="AG303" s="16"/>
      <c r="AH303" s="192"/>
      <c r="AI303" s="193"/>
      <c r="AJ303" s="25"/>
      <c r="AK303" s="192"/>
      <c r="AL303" s="16"/>
      <c r="AM303" s="16"/>
      <c r="AN303" s="193"/>
      <c r="AO303" s="193"/>
      <c r="AP303" s="193"/>
      <c r="AQ303" s="193"/>
      <c r="AR303" s="12" t="str">
        <f t="shared" si="9"/>
        <v/>
      </c>
      <c r="AS303" s="12" t="str">
        <f t="shared" si="10"/>
        <v/>
      </c>
      <c r="AT303" s="18"/>
    </row>
    <row r="304" spans="1:46" s="19" customFormat="1" ht="20.100000000000001" hidden="1" customHeight="1" x14ac:dyDescent="0.2">
      <c r="A304" s="222">
        <v>294</v>
      </c>
      <c r="B304" s="16" t="s">
        <v>4872</v>
      </c>
      <c r="C304" s="16" t="s">
        <v>1553</v>
      </c>
      <c r="D304" s="193" t="s">
        <v>4873</v>
      </c>
      <c r="E304" s="193" t="s">
        <v>10</v>
      </c>
      <c r="F304" s="193" t="s">
        <v>185</v>
      </c>
      <c r="G304" s="193"/>
      <c r="H304" s="192" t="s">
        <v>83</v>
      </c>
      <c r="I304" s="16" t="s">
        <v>92</v>
      </c>
      <c r="J304" s="193"/>
      <c r="K304" s="193" t="s">
        <v>104</v>
      </c>
      <c r="L304" s="193"/>
      <c r="M304" s="193" t="s">
        <v>142</v>
      </c>
      <c r="N304" s="192" t="s">
        <v>70</v>
      </c>
      <c r="O304" s="193"/>
      <c r="P304" s="193" t="s">
        <v>1510</v>
      </c>
      <c r="Q304" s="193" t="s">
        <v>2348</v>
      </c>
      <c r="R304" s="193"/>
      <c r="S304" s="193" t="s">
        <v>73</v>
      </c>
      <c r="T304" s="193" t="s">
        <v>70</v>
      </c>
      <c r="U304" s="192" t="s">
        <v>4894</v>
      </c>
      <c r="V304" s="192"/>
      <c r="W304" s="192"/>
      <c r="X304" s="192"/>
      <c r="Y304" s="16">
        <v>202</v>
      </c>
      <c r="Z304" s="16"/>
      <c r="AA304" s="16"/>
      <c r="AB304" s="16"/>
      <c r="AC304" s="16"/>
      <c r="AD304" s="16"/>
      <c r="AE304" s="16"/>
      <c r="AF304" s="16">
        <v>6</v>
      </c>
      <c r="AG304" s="16"/>
      <c r="AH304" s="192"/>
      <c r="AI304" s="193"/>
      <c r="AJ304" s="25"/>
      <c r="AK304" s="192"/>
      <c r="AL304" s="16" t="s">
        <v>160</v>
      </c>
      <c r="AM304" s="16"/>
      <c r="AN304" s="193" t="s">
        <v>4378</v>
      </c>
      <c r="AO304" s="193" t="s">
        <v>266</v>
      </c>
      <c r="AP304" s="193" t="s">
        <v>136</v>
      </c>
      <c r="AQ304" s="193" t="s">
        <v>260</v>
      </c>
      <c r="AR304" s="12">
        <f t="shared" si="9"/>
        <v>33</v>
      </c>
      <c r="AS304" s="12" t="str">
        <f t="shared" si="10"/>
        <v/>
      </c>
      <c r="AT304" s="18"/>
    </row>
    <row r="305" spans="1:46" s="19" customFormat="1" ht="20.100000000000001" hidden="1" customHeight="1" x14ac:dyDescent="0.2">
      <c r="A305" s="222">
        <v>295</v>
      </c>
      <c r="B305" s="16" t="s">
        <v>4872</v>
      </c>
      <c r="C305" s="16" t="s">
        <v>1553</v>
      </c>
      <c r="D305" s="193" t="s">
        <v>2072</v>
      </c>
      <c r="E305" s="193" t="s">
        <v>6</v>
      </c>
      <c r="F305" s="193" t="s">
        <v>185</v>
      </c>
      <c r="G305" s="193"/>
      <c r="H305" s="192" t="s">
        <v>83</v>
      </c>
      <c r="I305" s="16" t="s">
        <v>84</v>
      </c>
      <c r="J305" s="193"/>
      <c r="K305" s="193" t="s">
        <v>68</v>
      </c>
      <c r="L305" s="193" t="s">
        <v>4893</v>
      </c>
      <c r="M305" s="257" t="s">
        <v>106</v>
      </c>
      <c r="N305" s="258" t="s">
        <v>107</v>
      </c>
      <c r="O305" s="193"/>
      <c r="P305" s="193" t="s">
        <v>3677</v>
      </c>
      <c r="Q305" s="193" t="s">
        <v>485</v>
      </c>
      <c r="R305" s="41" t="s">
        <v>2092</v>
      </c>
      <c r="S305" s="41" t="s">
        <v>106</v>
      </c>
      <c r="T305" s="41" t="s">
        <v>107</v>
      </c>
      <c r="U305" s="192" t="s">
        <v>2097</v>
      </c>
      <c r="V305" s="192"/>
      <c r="W305" s="192"/>
      <c r="X305" s="192"/>
      <c r="Y305" s="16">
        <v>192</v>
      </c>
      <c r="Z305" s="16"/>
      <c r="AA305" s="16"/>
      <c r="AB305" s="16"/>
      <c r="AC305" s="16"/>
      <c r="AD305" s="16"/>
      <c r="AE305" s="16"/>
      <c r="AF305" s="16">
        <v>6</v>
      </c>
      <c r="AG305" s="16"/>
      <c r="AH305" s="192"/>
      <c r="AI305" s="193"/>
      <c r="AJ305" s="25"/>
      <c r="AK305" s="192"/>
      <c r="AL305" s="16" t="s">
        <v>160</v>
      </c>
      <c r="AM305" s="16" t="s">
        <v>165</v>
      </c>
      <c r="AN305" s="193" t="s">
        <v>4378</v>
      </c>
      <c r="AO305" s="193" t="s">
        <v>266</v>
      </c>
      <c r="AP305" s="193" t="s">
        <v>115</v>
      </c>
      <c r="AQ305" s="193" t="s">
        <v>260</v>
      </c>
      <c r="AR305" s="12">
        <f t="shared" si="9"/>
        <v>21</v>
      </c>
      <c r="AS305" s="12" t="str">
        <f t="shared" si="10"/>
        <v/>
      </c>
      <c r="AT305" s="18"/>
    </row>
    <row r="306" spans="1:46" s="19" customFormat="1" ht="20.100000000000001" hidden="1" customHeight="1" x14ac:dyDescent="0.2">
      <c r="A306" s="222">
        <v>296</v>
      </c>
      <c r="B306" s="16" t="s">
        <v>4874</v>
      </c>
      <c r="C306" s="16" t="s">
        <v>1553</v>
      </c>
      <c r="D306" s="193" t="s">
        <v>2382</v>
      </c>
      <c r="E306" s="193" t="s">
        <v>10</v>
      </c>
      <c r="F306" s="193" t="s">
        <v>202</v>
      </c>
      <c r="G306" s="193"/>
      <c r="H306" s="192" t="s">
        <v>83</v>
      </c>
      <c r="I306" s="16" t="s">
        <v>92</v>
      </c>
      <c r="J306" s="193"/>
      <c r="K306" s="193" t="s">
        <v>104</v>
      </c>
      <c r="L306" s="193"/>
      <c r="M306" s="193" t="s">
        <v>106</v>
      </c>
      <c r="N306" s="192" t="s">
        <v>107</v>
      </c>
      <c r="O306" s="193"/>
      <c r="P306" s="193" t="s">
        <v>3677</v>
      </c>
      <c r="Q306" s="193" t="s">
        <v>555</v>
      </c>
      <c r="R306" s="193"/>
      <c r="S306" s="193" t="s">
        <v>106</v>
      </c>
      <c r="T306" s="193" t="s">
        <v>107</v>
      </c>
      <c r="U306" s="192" t="s">
        <v>4899</v>
      </c>
      <c r="V306" s="192"/>
      <c r="W306" s="192"/>
      <c r="X306" s="192"/>
      <c r="Y306" s="16">
        <v>192</v>
      </c>
      <c r="Z306" s="16"/>
      <c r="AA306" s="16"/>
      <c r="AB306" s="16"/>
      <c r="AC306" s="16"/>
      <c r="AD306" s="16"/>
      <c r="AE306" s="16"/>
      <c r="AF306" s="16">
        <v>6</v>
      </c>
      <c r="AG306" s="16"/>
      <c r="AH306" s="192"/>
      <c r="AI306" s="193"/>
      <c r="AJ306" s="25"/>
      <c r="AK306" s="192"/>
      <c r="AL306" s="16"/>
      <c r="AM306" s="16"/>
      <c r="AN306" s="193" t="s">
        <v>4378</v>
      </c>
      <c r="AO306" s="193" t="s">
        <v>266</v>
      </c>
      <c r="AP306" s="193" t="s">
        <v>136</v>
      </c>
      <c r="AQ306" s="193" t="s">
        <v>1247</v>
      </c>
      <c r="AR306" s="12">
        <f t="shared" si="9"/>
        <v>40</v>
      </c>
      <c r="AS306" s="12" t="str">
        <f t="shared" si="10"/>
        <v/>
      </c>
      <c r="AT306" s="18"/>
    </row>
    <row r="307" spans="1:46" s="19" customFormat="1" ht="20.100000000000001" hidden="1" customHeight="1" x14ac:dyDescent="0.2">
      <c r="A307" s="222">
        <v>297</v>
      </c>
      <c r="B307" s="16" t="s">
        <v>4874</v>
      </c>
      <c r="C307" s="16" t="s">
        <v>1553</v>
      </c>
      <c r="D307" s="193" t="s">
        <v>1943</v>
      </c>
      <c r="E307" s="193" t="s">
        <v>9</v>
      </c>
      <c r="F307" s="193"/>
      <c r="G307" s="193"/>
      <c r="H307" s="192" t="s">
        <v>7</v>
      </c>
      <c r="I307" s="16" t="s">
        <v>84</v>
      </c>
      <c r="J307" s="35" t="s">
        <v>104</v>
      </c>
      <c r="K307" s="35" t="s">
        <v>117</v>
      </c>
      <c r="L307" s="193" t="s">
        <v>3531</v>
      </c>
      <c r="M307" s="193" t="s">
        <v>106</v>
      </c>
      <c r="N307" s="192" t="s">
        <v>107</v>
      </c>
      <c r="O307" s="35" t="s">
        <v>248</v>
      </c>
      <c r="P307" s="35" t="s">
        <v>1510</v>
      </c>
      <c r="Q307" s="35" t="s">
        <v>260</v>
      </c>
      <c r="R307" s="193" t="s">
        <v>4892</v>
      </c>
      <c r="S307" s="193" t="s">
        <v>73</v>
      </c>
      <c r="T307" s="193" t="s">
        <v>70</v>
      </c>
      <c r="U307" s="192">
        <v>0</v>
      </c>
      <c r="V307" s="192"/>
      <c r="W307" s="192">
        <v>218</v>
      </c>
      <c r="X307" s="192">
        <v>195</v>
      </c>
      <c r="Y307" s="16">
        <v>195</v>
      </c>
      <c r="Z307" s="16">
        <v>137</v>
      </c>
      <c r="AA307" s="16">
        <v>147</v>
      </c>
      <c r="AB307" s="16">
        <v>2</v>
      </c>
      <c r="AC307" s="16">
        <v>15</v>
      </c>
      <c r="AD307" s="16">
        <v>164</v>
      </c>
      <c r="AE307" s="16">
        <v>15</v>
      </c>
      <c r="AF307" s="16">
        <v>6</v>
      </c>
      <c r="AG307" s="16"/>
      <c r="AH307" s="192"/>
      <c r="AI307" s="193" t="s">
        <v>4872</v>
      </c>
      <c r="AJ307" s="25">
        <v>164</v>
      </c>
      <c r="AK307" s="192">
        <v>18.5</v>
      </c>
      <c r="AL307" s="16" t="s">
        <v>160</v>
      </c>
      <c r="AM307" s="16"/>
      <c r="AN307" s="193"/>
      <c r="AO307" s="193"/>
      <c r="AP307" s="193"/>
      <c r="AQ307" s="193"/>
      <c r="AR307" s="12" t="str">
        <f t="shared" si="9"/>
        <v/>
      </c>
      <c r="AS307" s="12" t="str">
        <f t="shared" si="10"/>
        <v/>
      </c>
      <c r="AT307" s="18"/>
    </row>
    <row r="308" spans="1:46" s="19" customFormat="1" ht="20.100000000000001" hidden="1" customHeight="1" x14ac:dyDescent="0.2">
      <c r="A308" s="222">
        <v>298</v>
      </c>
      <c r="B308" s="16" t="s">
        <v>4875</v>
      </c>
      <c r="C308" s="16" t="s">
        <v>1553</v>
      </c>
      <c r="D308" s="193" t="s">
        <v>3807</v>
      </c>
      <c r="E308" s="193"/>
      <c r="F308" s="193" t="s">
        <v>4038</v>
      </c>
      <c r="G308" s="193"/>
      <c r="H308" s="192" t="s">
        <v>83</v>
      </c>
      <c r="I308" s="16" t="s">
        <v>92</v>
      </c>
      <c r="J308" s="193"/>
      <c r="K308" s="257" t="s">
        <v>68</v>
      </c>
      <c r="L308" s="257"/>
      <c r="M308" s="257" t="s">
        <v>106</v>
      </c>
      <c r="N308" s="258" t="s">
        <v>107</v>
      </c>
      <c r="O308" s="193"/>
      <c r="P308" s="257" t="s">
        <v>3677</v>
      </c>
      <c r="Q308" s="257" t="s">
        <v>485</v>
      </c>
      <c r="R308" s="257"/>
      <c r="S308" s="257" t="s">
        <v>106</v>
      </c>
      <c r="T308" s="257" t="s">
        <v>107</v>
      </c>
      <c r="U308" s="192" t="s">
        <v>3806</v>
      </c>
      <c r="V308" s="192"/>
      <c r="W308" s="192"/>
      <c r="X308" s="192"/>
      <c r="Y308" s="16">
        <v>210</v>
      </c>
      <c r="Z308" s="16"/>
      <c r="AA308" s="16"/>
      <c r="AB308" s="16"/>
      <c r="AC308" s="16"/>
      <c r="AD308" s="16"/>
      <c r="AE308" s="16"/>
      <c r="AF308" s="16">
        <v>6</v>
      </c>
      <c r="AG308" s="16"/>
      <c r="AH308" s="192"/>
      <c r="AI308" s="193"/>
      <c r="AJ308" s="25"/>
      <c r="AK308" s="192"/>
      <c r="AL308" s="16"/>
      <c r="AM308" s="16"/>
      <c r="AN308" s="193" t="s">
        <v>4378</v>
      </c>
      <c r="AO308" s="193" t="s">
        <v>266</v>
      </c>
      <c r="AP308" s="193" t="s">
        <v>113</v>
      </c>
      <c r="AQ308" s="193" t="s">
        <v>137</v>
      </c>
      <c r="AR308" s="12">
        <f t="shared" si="9"/>
        <v>15</v>
      </c>
      <c r="AS308" s="12" t="str">
        <f t="shared" si="10"/>
        <v/>
      </c>
      <c r="AT308" s="18"/>
    </row>
    <row r="309" spans="1:46" s="19" customFormat="1" ht="20.100000000000001" hidden="1" customHeight="1" x14ac:dyDescent="0.2">
      <c r="A309" s="222">
        <v>299</v>
      </c>
      <c r="B309" s="16" t="s">
        <v>4875</v>
      </c>
      <c r="C309" s="16" t="s">
        <v>1553</v>
      </c>
      <c r="D309" s="193" t="s">
        <v>2464</v>
      </c>
      <c r="E309" s="193" t="s">
        <v>6</v>
      </c>
      <c r="F309" s="193"/>
      <c r="G309" s="193"/>
      <c r="H309" s="192" t="s">
        <v>7</v>
      </c>
      <c r="I309" s="16" t="s">
        <v>84</v>
      </c>
      <c r="J309" s="193" t="s">
        <v>155</v>
      </c>
      <c r="K309" s="193" t="s">
        <v>155</v>
      </c>
      <c r="L309" s="193" t="s">
        <v>3552</v>
      </c>
      <c r="M309" s="193" t="s">
        <v>106</v>
      </c>
      <c r="N309" s="192" t="s">
        <v>107</v>
      </c>
      <c r="O309" s="193" t="s">
        <v>324</v>
      </c>
      <c r="P309" s="193" t="s">
        <v>3679</v>
      </c>
      <c r="Q309" s="193" t="s">
        <v>718</v>
      </c>
      <c r="R309" s="193" t="s">
        <v>4891</v>
      </c>
      <c r="S309" s="193" t="s">
        <v>106</v>
      </c>
      <c r="T309" s="193" t="s">
        <v>107</v>
      </c>
      <c r="U309" s="192"/>
      <c r="V309" s="192"/>
      <c r="W309" s="192">
        <v>230</v>
      </c>
      <c r="X309" s="192">
        <v>210</v>
      </c>
      <c r="Y309" s="16">
        <v>210</v>
      </c>
      <c r="Z309" s="16">
        <v>134</v>
      </c>
      <c r="AA309" s="16">
        <v>150</v>
      </c>
      <c r="AB309" s="16">
        <v>7</v>
      </c>
      <c r="AC309" s="16">
        <v>20</v>
      </c>
      <c r="AD309" s="16">
        <v>177</v>
      </c>
      <c r="AE309" s="16">
        <v>26</v>
      </c>
      <c r="AF309" s="16">
        <v>6</v>
      </c>
      <c r="AG309" s="16"/>
      <c r="AH309" s="192"/>
      <c r="AI309" s="193" t="s">
        <v>4874</v>
      </c>
      <c r="AJ309" s="25">
        <v>170</v>
      </c>
      <c r="AK309" s="192">
        <v>25</v>
      </c>
      <c r="AL309" s="16" t="s">
        <v>160</v>
      </c>
      <c r="AM309" s="16" t="s">
        <v>193</v>
      </c>
      <c r="AN309" s="193"/>
      <c r="AO309" s="193"/>
      <c r="AP309" s="193"/>
      <c r="AQ309" s="193"/>
      <c r="AR309" s="12" t="str">
        <f t="shared" si="9"/>
        <v/>
      </c>
      <c r="AS309" s="12" t="str">
        <f t="shared" si="10"/>
        <v/>
      </c>
      <c r="AT309" s="18"/>
    </row>
    <row r="310" spans="1:46" s="19" customFormat="1" ht="20.100000000000001" hidden="1" customHeight="1" x14ac:dyDescent="0.2">
      <c r="A310" s="222">
        <v>300</v>
      </c>
      <c r="B310" s="16" t="s">
        <v>4876</v>
      </c>
      <c r="C310" s="16" t="s">
        <v>1553</v>
      </c>
      <c r="D310" s="193" t="s">
        <v>4877</v>
      </c>
      <c r="E310" s="193" t="s">
        <v>20</v>
      </c>
      <c r="F310" s="193" t="s">
        <v>202</v>
      </c>
      <c r="G310" s="193"/>
      <c r="H310" s="192" t="s">
        <v>83</v>
      </c>
      <c r="I310" s="16" t="s">
        <v>84</v>
      </c>
      <c r="J310" s="193"/>
      <c r="K310" s="193" t="s">
        <v>1927</v>
      </c>
      <c r="L310" s="193" t="s">
        <v>1928</v>
      </c>
      <c r="M310" s="193" t="s">
        <v>106</v>
      </c>
      <c r="N310" s="192" t="s">
        <v>107</v>
      </c>
      <c r="O310" s="193"/>
      <c r="P310" s="193" t="s">
        <v>4016</v>
      </c>
      <c r="Q310" s="193" t="s">
        <v>2348</v>
      </c>
      <c r="R310" s="193" t="s">
        <v>1930</v>
      </c>
      <c r="S310" s="193" t="s">
        <v>69</v>
      </c>
      <c r="T310" s="193" t="s">
        <v>70</v>
      </c>
      <c r="U310" s="192" t="s">
        <v>4898</v>
      </c>
      <c r="V310" s="192"/>
      <c r="W310" s="192"/>
      <c r="X310" s="192"/>
      <c r="Y310" s="16">
        <v>75</v>
      </c>
      <c r="Z310" s="16"/>
      <c r="AA310" s="16"/>
      <c r="AB310" s="16"/>
      <c r="AC310" s="16"/>
      <c r="AD310" s="16"/>
      <c r="AE310" s="16"/>
      <c r="AF310" s="16">
        <v>3</v>
      </c>
      <c r="AG310" s="16"/>
      <c r="AH310" s="192"/>
      <c r="AI310" s="193"/>
      <c r="AJ310" s="25"/>
      <c r="AK310" s="192"/>
      <c r="AL310" s="16"/>
      <c r="AM310" s="16"/>
      <c r="AN310" s="193" t="s">
        <v>4378</v>
      </c>
      <c r="AO310" s="193" t="s">
        <v>266</v>
      </c>
      <c r="AP310" s="193" t="s">
        <v>115</v>
      </c>
      <c r="AQ310" s="193" t="s">
        <v>116</v>
      </c>
      <c r="AR310" s="12">
        <f t="shared" si="9"/>
        <v>22</v>
      </c>
      <c r="AS310" s="12" t="str">
        <f t="shared" si="10"/>
        <v/>
      </c>
      <c r="AT310" s="18"/>
    </row>
    <row r="311" spans="1:46" s="19" customFormat="1" ht="20.100000000000001" hidden="1" customHeight="1" x14ac:dyDescent="0.2">
      <c r="A311" s="222">
        <v>301</v>
      </c>
      <c r="B311" s="16" t="s">
        <v>4876</v>
      </c>
      <c r="C311" s="16" t="s">
        <v>1553</v>
      </c>
      <c r="D311" s="193" t="s">
        <v>4866</v>
      </c>
      <c r="E311" s="193" t="s">
        <v>10</v>
      </c>
      <c r="F311" s="193"/>
      <c r="G311" s="193"/>
      <c r="H311" s="192" t="s">
        <v>7</v>
      </c>
      <c r="I311" s="16" t="s">
        <v>92</v>
      </c>
      <c r="J311" s="193" t="s">
        <v>155</v>
      </c>
      <c r="K311" s="193" t="s">
        <v>155</v>
      </c>
      <c r="L311" s="193"/>
      <c r="M311" s="193" t="s">
        <v>69</v>
      </c>
      <c r="N311" s="192" t="s">
        <v>70</v>
      </c>
      <c r="O311" s="35" t="s">
        <v>156</v>
      </c>
      <c r="P311" s="35" t="s">
        <v>3677</v>
      </c>
      <c r="Q311" s="35" t="s">
        <v>441</v>
      </c>
      <c r="R311" s="193" t="s">
        <v>4889</v>
      </c>
      <c r="S311" s="193" t="s">
        <v>106</v>
      </c>
      <c r="T311" s="193" t="s">
        <v>107</v>
      </c>
      <c r="U311" s="192"/>
      <c r="V311" s="192"/>
      <c r="W311" s="192">
        <v>203</v>
      </c>
      <c r="X311" s="192">
        <v>192</v>
      </c>
      <c r="Y311" s="16">
        <v>192</v>
      </c>
      <c r="Z311" s="16">
        <v>145</v>
      </c>
      <c r="AA311" s="16">
        <v>157</v>
      </c>
      <c r="AB311" s="16">
        <v>6</v>
      </c>
      <c r="AC311" s="16">
        <v>55</v>
      </c>
      <c r="AD311" s="16">
        <v>218</v>
      </c>
      <c r="AE311" s="16">
        <v>22</v>
      </c>
      <c r="AF311" s="16">
        <v>6</v>
      </c>
      <c r="AG311" s="16"/>
      <c r="AH311" s="192"/>
      <c r="AI311" s="193" t="s">
        <v>4890</v>
      </c>
      <c r="AJ311" s="25">
        <v>218</v>
      </c>
      <c r="AK311" s="192">
        <v>22.8</v>
      </c>
      <c r="AL311" s="16"/>
      <c r="AM311" s="16"/>
      <c r="AN311" s="193"/>
      <c r="AO311" s="193"/>
      <c r="AP311" s="193"/>
      <c r="AQ311" s="193"/>
      <c r="AR311" s="12" t="str">
        <f t="shared" si="9"/>
        <v/>
      </c>
      <c r="AS311" s="12" t="str">
        <f t="shared" si="10"/>
        <v/>
      </c>
      <c r="AT311" s="18"/>
    </row>
    <row r="312" spans="1:46" s="19" customFormat="1" ht="20.100000000000001" hidden="1" customHeight="1" x14ac:dyDescent="0.2">
      <c r="A312" s="222">
        <v>302</v>
      </c>
      <c r="B312" s="16" t="s">
        <v>4878</v>
      </c>
      <c r="C312" s="16" t="s">
        <v>1553</v>
      </c>
      <c r="D312" s="193" t="s">
        <v>695</v>
      </c>
      <c r="E312" s="193"/>
      <c r="F312" s="193"/>
      <c r="G312" s="193"/>
      <c r="H312" s="192" t="s">
        <v>7</v>
      </c>
      <c r="I312" s="16" t="s">
        <v>92</v>
      </c>
      <c r="J312" s="35" t="s">
        <v>104</v>
      </c>
      <c r="K312" s="35" t="s">
        <v>140</v>
      </c>
      <c r="L312" s="193"/>
      <c r="M312" s="193" t="s">
        <v>106</v>
      </c>
      <c r="N312" s="192" t="s">
        <v>107</v>
      </c>
      <c r="O312" s="35" t="s">
        <v>190</v>
      </c>
      <c r="P312" s="35" t="s">
        <v>2961</v>
      </c>
      <c r="Q312" s="35" t="s">
        <v>2348</v>
      </c>
      <c r="R312" s="193"/>
      <c r="S312" s="193" t="s">
        <v>106</v>
      </c>
      <c r="T312" s="193" t="s">
        <v>107</v>
      </c>
      <c r="U312" s="192"/>
      <c r="V312" s="192"/>
      <c r="W312" s="192">
        <v>147</v>
      </c>
      <c r="X312" s="192">
        <v>180</v>
      </c>
      <c r="Y312" s="16">
        <v>135</v>
      </c>
      <c r="Z312" s="16">
        <v>100</v>
      </c>
      <c r="AA312" s="16">
        <v>126</v>
      </c>
      <c r="AB312" s="16">
        <v>6</v>
      </c>
      <c r="AC312" s="16">
        <v>15</v>
      </c>
      <c r="AD312" s="16">
        <v>147</v>
      </c>
      <c r="AE312" s="16">
        <v>11</v>
      </c>
      <c r="AF312" s="16">
        <v>4</v>
      </c>
      <c r="AG312" s="16"/>
      <c r="AH312" s="192"/>
      <c r="AI312" s="193"/>
      <c r="AJ312" s="25"/>
      <c r="AK312" s="192"/>
      <c r="AL312" s="16"/>
      <c r="AM312" s="16"/>
      <c r="AN312" s="193"/>
      <c r="AO312" s="193"/>
      <c r="AP312" s="193"/>
      <c r="AQ312" s="193"/>
      <c r="AR312" s="12" t="str">
        <f t="shared" si="9"/>
        <v/>
      </c>
      <c r="AS312" s="12" t="str">
        <f t="shared" si="10"/>
        <v/>
      </c>
      <c r="AT312" s="18"/>
    </row>
    <row r="313" spans="1:46" s="19" customFormat="1" ht="31.5" hidden="1" x14ac:dyDescent="0.2">
      <c r="A313" s="222">
        <v>303</v>
      </c>
      <c r="B313" s="16" t="s">
        <v>4878</v>
      </c>
      <c r="C313" s="16" t="s">
        <v>1553</v>
      </c>
      <c r="D313" s="193" t="s">
        <v>1148</v>
      </c>
      <c r="E313" s="193" t="s">
        <v>10</v>
      </c>
      <c r="F313" s="193" t="s">
        <v>4589</v>
      </c>
      <c r="G313" s="193"/>
      <c r="H313" s="192" t="s">
        <v>83</v>
      </c>
      <c r="I313" s="16" t="s">
        <v>84</v>
      </c>
      <c r="J313" s="193"/>
      <c r="K313" s="193" t="s">
        <v>68</v>
      </c>
      <c r="L313" s="193" t="s">
        <v>1584</v>
      </c>
      <c r="M313" s="193" t="s">
        <v>262</v>
      </c>
      <c r="N313" s="192" t="s">
        <v>70</v>
      </c>
      <c r="O313" s="193"/>
      <c r="P313" s="193" t="s">
        <v>3677</v>
      </c>
      <c r="Q313" s="193" t="s">
        <v>485</v>
      </c>
      <c r="R313" s="193" t="s">
        <v>1585</v>
      </c>
      <c r="S313" s="193" t="s">
        <v>69</v>
      </c>
      <c r="T313" s="193" t="s">
        <v>70</v>
      </c>
      <c r="U313" s="192"/>
      <c r="V313" s="192"/>
      <c r="W313" s="192"/>
      <c r="X313" s="192"/>
      <c r="Y313" s="16">
        <v>228</v>
      </c>
      <c r="Z313" s="16"/>
      <c r="AA313" s="16"/>
      <c r="AB313" s="16"/>
      <c r="AC313" s="16"/>
      <c r="AD313" s="16"/>
      <c r="AE313" s="16"/>
      <c r="AF313" s="16">
        <v>6</v>
      </c>
      <c r="AG313" s="16"/>
      <c r="AH313" s="192"/>
      <c r="AI313" s="193"/>
      <c r="AJ313" s="25"/>
      <c r="AK313" s="192"/>
      <c r="AL313" s="16" t="s">
        <v>160</v>
      </c>
      <c r="AM313" s="16"/>
      <c r="AN313" s="193" t="s">
        <v>4378</v>
      </c>
      <c r="AO313" s="193" t="s">
        <v>266</v>
      </c>
      <c r="AP313" s="193" t="s">
        <v>115</v>
      </c>
      <c r="AQ313" s="193" t="s">
        <v>266</v>
      </c>
      <c r="AR313" s="12">
        <f t="shared" si="9"/>
        <v>24</v>
      </c>
      <c r="AS313" s="12" t="str">
        <f t="shared" si="10"/>
        <v/>
      </c>
      <c r="AT313" s="18" t="s">
        <v>4880</v>
      </c>
    </row>
    <row r="314" spans="1:46" s="19" customFormat="1" ht="20.100000000000001" hidden="1" customHeight="1" x14ac:dyDescent="0.2">
      <c r="A314" s="222">
        <v>304</v>
      </c>
      <c r="B314" s="16" t="s">
        <v>4879</v>
      </c>
      <c r="C314" s="16" t="s">
        <v>1553</v>
      </c>
      <c r="D314" s="193" t="s">
        <v>822</v>
      </c>
      <c r="E314" s="193" t="s">
        <v>20</v>
      </c>
      <c r="F314" s="193" t="s">
        <v>4038</v>
      </c>
      <c r="G314" s="193"/>
      <c r="H314" s="192" t="s">
        <v>83</v>
      </c>
      <c r="I314" s="16" t="s">
        <v>92</v>
      </c>
      <c r="J314" s="193"/>
      <c r="K314" s="41" t="s">
        <v>117</v>
      </c>
      <c r="L314" s="41" t="s">
        <v>732</v>
      </c>
      <c r="M314" s="41" t="s">
        <v>106</v>
      </c>
      <c r="N314" s="13" t="s">
        <v>107</v>
      </c>
      <c r="O314" s="193"/>
      <c r="P314" s="193" t="s">
        <v>3677</v>
      </c>
      <c r="Q314" s="193" t="s">
        <v>465</v>
      </c>
      <c r="R314" s="41" t="s">
        <v>830</v>
      </c>
      <c r="S314" s="41" t="s">
        <v>106</v>
      </c>
      <c r="T314" s="41" t="s">
        <v>107</v>
      </c>
      <c r="U314" s="192"/>
      <c r="V314" s="192"/>
      <c r="W314" s="192"/>
      <c r="X314" s="192"/>
      <c r="Y314" s="16">
        <v>138</v>
      </c>
      <c r="Z314" s="16"/>
      <c r="AA314" s="16"/>
      <c r="AB314" s="16"/>
      <c r="AC314" s="16"/>
      <c r="AD314" s="16"/>
      <c r="AE314" s="16"/>
      <c r="AF314" s="16"/>
      <c r="AG314" s="16"/>
      <c r="AH314" s="192"/>
      <c r="AI314" s="193"/>
      <c r="AJ314" s="25"/>
      <c r="AK314" s="192"/>
      <c r="AL314" s="16" t="s">
        <v>111</v>
      </c>
      <c r="AM314" s="16" t="s">
        <v>112</v>
      </c>
      <c r="AN314" s="193" t="s">
        <v>4378</v>
      </c>
      <c r="AO314" s="193" t="s">
        <v>266</v>
      </c>
      <c r="AP314" s="193" t="s">
        <v>115</v>
      </c>
      <c r="AQ314" s="193" t="s">
        <v>124</v>
      </c>
      <c r="AR314" s="12">
        <f t="shared" si="9"/>
        <v>29</v>
      </c>
      <c r="AS314" s="12" t="str">
        <f t="shared" si="10"/>
        <v/>
      </c>
      <c r="AT314" s="18" t="s">
        <v>4888</v>
      </c>
    </row>
    <row r="315" spans="1:46" s="21" customFormat="1" ht="31.5" hidden="1" x14ac:dyDescent="0.2">
      <c r="A315" s="20"/>
      <c r="B315" s="29" t="s">
        <v>4884</v>
      </c>
      <c r="C315" s="29" t="s">
        <v>1553</v>
      </c>
      <c r="D315" s="30" t="s">
        <v>1242</v>
      </c>
      <c r="E315" s="30" t="s">
        <v>8</v>
      </c>
      <c r="F315" s="30" t="s">
        <v>4038</v>
      </c>
      <c r="G315" s="30"/>
      <c r="H315" s="20" t="s">
        <v>83</v>
      </c>
      <c r="I315" s="29" t="s">
        <v>92</v>
      </c>
      <c r="J315" s="30"/>
      <c r="K315" s="30" t="s">
        <v>116</v>
      </c>
      <c r="L315" s="30"/>
      <c r="M315" s="30" t="s">
        <v>106</v>
      </c>
      <c r="N315" s="20" t="s">
        <v>107</v>
      </c>
      <c r="O315" s="30"/>
      <c r="P315" s="30" t="s">
        <v>1809</v>
      </c>
      <c r="Q315" s="30" t="s">
        <v>465</v>
      </c>
      <c r="R315" s="30"/>
      <c r="S315" s="30" t="s">
        <v>106</v>
      </c>
      <c r="T315" s="30" t="s">
        <v>107</v>
      </c>
      <c r="U315" s="29" t="s">
        <v>4858</v>
      </c>
      <c r="V315" s="20"/>
      <c r="W315" s="20"/>
      <c r="X315" s="20"/>
      <c r="Y315" s="29">
        <v>110</v>
      </c>
      <c r="Z315" s="29"/>
      <c r="AA315" s="29"/>
      <c r="AB315" s="29"/>
      <c r="AC315" s="29"/>
      <c r="AD315" s="29"/>
      <c r="AE315" s="29"/>
      <c r="AF315" s="29">
        <v>4</v>
      </c>
      <c r="AG315" s="29"/>
      <c r="AH315" s="20"/>
      <c r="AI315" s="30"/>
      <c r="AJ315" s="36"/>
      <c r="AK315" s="20"/>
      <c r="AL315" s="29" t="s">
        <v>1721</v>
      </c>
      <c r="AM315" s="29" t="s">
        <v>1956</v>
      </c>
      <c r="AN315" s="30" t="s">
        <v>4378</v>
      </c>
      <c r="AO315" s="30" t="s">
        <v>266</v>
      </c>
      <c r="AP315" s="30" t="s">
        <v>4378</v>
      </c>
      <c r="AQ315" s="30" t="s">
        <v>148</v>
      </c>
      <c r="AR315" s="12">
        <f t="shared" si="9"/>
        <v>1</v>
      </c>
      <c r="AS315" s="12">
        <f t="shared" si="10"/>
        <v>1</v>
      </c>
      <c r="AT315" s="32" t="s">
        <v>4887</v>
      </c>
    </row>
    <row r="316" spans="1:46" s="19" customFormat="1" ht="20.100000000000001" hidden="1" customHeight="1" x14ac:dyDescent="0.2">
      <c r="A316" s="258"/>
      <c r="B316" s="16" t="s">
        <v>4884</v>
      </c>
      <c r="C316" s="16" t="s">
        <v>1553</v>
      </c>
      <c r="D316" s="257" t="s">
        <v>1242</v>
      </c>
      <c r="E316" s="257" t="s">
        <v>8</v>
      </c>
      <c r="F316" s="257"/>
      <c r="G316" s="257"/>
      <c r="H316" s="258" t="s">
        <v>7</v>
      </c>
      <c r="I316" s="16" t="s">
        <v>92</v>
      </c>
      <c r="J316" s="257" t="s">
        <v>116</v>
      </c>
      <c r="K316" s="257" t="s">
        <v>116</v>
      </c>
      <c r="L316" s="257" t="s">
        <v>4557</v>
      </c>
      <c r="M316" s="257" t="s">
        <v>106</v>
      </c>
      <c r="N316" s="258" t="s">
        <v>107</v>
      </c>
      <c r="O316" s="257" t="s">
        <v>4885</v>
      </c>
      <c r="P316" s="257" t="s">
        <v>1809</v>
      </c>
      <c r="Q316" s="257" t="s">
        <v>465</v>
      </c>
      <c r="R316" s="257" t="s">
        <v>4886</v>
      </c>
      <c r="S316" s="257" t="s">
        <v>106</v>
      </c>
      <c r="T316" s="257" t="s">
        <v>107</v>
      </c>
      <c r="U316" s="258"/>
      <c r="V316" s="258"/>
      <c r="W316" s="258">
        <v>120</v>
      </c>
      <c r="X316" s="258">
        <v>110</v>
      </c>
      <c r="Y316" s="16">
        <v>110</v>
      </c>
      <c r="Z316" s="16">
        <v>25</v>
      </c>
      <c r="AA316" s="16">
        <v>40</v>
      </c>
      <c r="AB316" s="16">
        <v>2</v>
      </c>
      <c r="AC316" s="16">
        <v>30</v>
      </c>
      <c r="AD316" s="16">
        <v>72</v>
      </c>
      <c r="AE316" s="16">
        <v>6.6</v>
      </c>
      <c r="AF316" s="16">
        <v>4</v>
      </c>
      <c r="AG316" s="16"/>
      <c r="AH316" s="258"/>
      <c r="AI316" s="257" t="s">
        <v>4879</v>
      </c>
      <c r="AJ316" s="25">
        <v>72</v>
      </c>
      <c r="AK316" s="258">
        <v>6</v>
      </c>
      <c r="AL316" s="16" t="s">
        <v>1721</v>
      </c>
      <c r="AM316" s="16" t="s">
        <v>1956</v>
      </c>
      <c r="AN316" s="257"/>
      <c r="AO316" s="257"/>
      <c r="AP316" s="257"/>
      <c r="AQ316" s="257"/>
      <c r="AR316" s="12" t="str">
        <f t="shared" si="9"/>
        <v/>
      </c>
      <c r="AS316" s="12" t="str">
        <f t="shared" si="10"/>
        <v/>
      </c>
      <c r="AT316" s="18"/>
    </row>
    <row r="317" spans="1:46" s="19" customFormat="1" ht="31.5" hidden="1" x14ac:dyDescent="0.2">
      <c r="A317" s="222">
        <v>305</v>
      </c>
      <c r="B317" s="16" t="s">
        <v>4881</v>
      </c>
      <c r="C317" s="16" t="s">
        <v>1731</v>
      </c>
      <c r="D317" s="193" t="s">
        <v>2511</v>
      </c>
      <c r="E317" s="193" t="s">
        <v>10</v>
      </c>
      <c r="F317" s="193"/>
      <c r="G317" s="193"/>
      <c r="H317" s="192" t="s">
        <v>7</v>
      </c>
      <c r="I317" s="16" t="s">
        <v>92</v>
      </c>
      <c r="J317" s="35" t="s">
        <v>117</v>
      </c>
      <c r="K317" s="35" t="s">
        <v>223</v>
      </c>
      <c r="L317" s="193" t="s">
        <v>4554</v>
      </c>
      <c r="M317" s="193" t="s">
        <v>106</v>
      </c>
      <c r="N317" s="192" t="s">
        <v>107</v>
      </c>
      <c r="O317" s="35" t="s">
        <v>120</v>
      </c>
      <c r="P317" s="35" t="s">
        <v>1809</v>
      </c>
      <c r="Q317" s="35" t="s">
        <v>260</v>
      </c>
      <c r="R317" s="193" t="s">
        <v>4882</v>
      </c>
      <c r="S317" s="193" t="s">
        <v>69</v>
      </c>
      <c r="T317" s="193" t="s">
        <v>70</v>
      </c>
      <c r="U317" s="192"/>
      <c r="V317" s="192"/>
      <c r="W317" s="192">
        <v>178</v>
      </c>
      <c r="X317" s="192">
        <v>174</v>
      </c>
      <c r="Y317" s="16">
        <v>174</v>
      </c>
      <c r="Z317" s="16">
        <v>95</v>
      </c>
      <c r="AA317" s="16">
        <v>119</v>
      </c>
      <c r="AB317" s="16">
        <v>1</v>
      </c>
      <c r="AC317" s="16">
        <v>18</v>
      </c>
      <c r="AD317" s="16">
        <v>138</v>
      </c>
      <c r="AE317" s="16">
        <v>8.3000000000000007</v>
      </c>
      <c r="AF317" s="16">
        <v>6</v>
      </c>
      <c r="AG317" s="16"/>
      <c r="AH317" s="192"/>
      <c r="AI317" s="193" t="s">
        <v>4879</v>
      </c>
      <c r="AJ317" s="25">
        <v>141</v>
      </c>
      <c r="AK317" s="192">
        <v>8.4</v>
      </c>
      <c r="AL317" s="16" t="s">
        <v>111</v>
      </c>
      <c r="AM317" s="16" t="s">
        <v>112</v>
      </c>
      <c r="AN317" s="193"/>
      <c r="AO317" s="193"/>
      <c r="AP317" s="193"/>
      <c r="AQ317" s="193"/>
      <c r="AR317" s="12" t="str">
        <f t="shared" si="9"/>
        <v/>
      </c>
      <c r="AS317" s="12" t="str">
        <f t="shared" si="10"/>
        <v/>
      </c>
      <c r="AT317" s="18" t="s">
        <v>4883</v>
      </c>
    </row>
    <row r="318" spans="1:46" s="19" customFormat="1" ht="20.100000000000001" hidden="1" customHeight="1" x14ac:dyDescent="0.2">
      <c r="A318" s="222">
        <v>306</v>
      </c>
      <c r="B318" s="16" t="s">
        <v>4905</v>
      </c>
      <c r="C318" s="16" t="s">
        <v>1731</v>
      </c>
      <c r="D318" s="193" t="s">
        <v>1017</v>
      </c>
      <c r="E318" s="193" t="s">
        <v>10</v>
      </c>
      <c r="F318" s="193" t="s">
        <v>3661</v>
      </c>
      <c r="G318" s="193"/>
      <c r="H318" s="192" t="s">
        <v>83</v>
      </c>
      <c r="I318" s="16" t="s">
        <v>92</v>
      </c>
      <c r="J318" s="193"/>
      <c r="K318" s="193" t="s">
        <v>155</v>
      </c>
      <c r="L318" s="193" t="s">
        <v>1020</v>
      </c>
      <c r="M318" s="193" t="s">
        <v>106</v>
      </c>
      <c r="N318" s="192" t="s">
        <v>107</v>
      </c>
      <c r="O318" s="193"/>
      <c r="P318" s="193" t="s">
        <v>3677</v>
      </c>
      <c r="Q318" s="193" t="s">
        <v>441</v>
      </c>
      <c r="R318" s="193" t="s">
        <v>1021</v>
      </c>
      <c r="S318" s="193" t="s">
        <v>106</v>
      </c>
      <c r="T318" s="193" t="s">
        <v>107</v>
      </c>
      <c r="U318" s="192" t="s">
        <v>4910</v>
      </c>
      <c r="V318" s="192"/>
      <c r="W318" s="192"/>
      <c r="X318" s="192"/>
      <c r="Y318" s="16">
        <v>210</v>
      </c>
      <c r="Z318" s="16"/>
      <c r="AA318" s="16"/>
      <c r="AB318" s="16"/>
      <c r="AC318" s="16"/>
      <c r="AD318" s="16"/>
      <c r="AE318" s="16"/>
      <c r="AF318" s="16">
        <v>6</v>
      </c>
      <c r="AG318" s="16"/>
      <c r="AH318" s="192"/>
      <c r="AI318" s="193"/>
      <c r="AJ318" s="25"/>
      <c r="AK318" s="192"/>
      <c r="AL318" s="16" t="s">
        <v>160</v>
      </c>
      <c r="AM318" s="16" t="s">
        <v>165</v>
      </c>
      <c r="AN318" s="193" t="s">
        <v>4378</v>
      </c>
      <c r="AO318" s="193" t="s">
        <v>441</v>
      </c>
      <c r="AP318" s="193" t="s">
        <v>115</v>
      </c>
      <c r="AQ318" s="193" t="s">
        <v>1247</v>
      </c>
      <c r="AR318" s="12">
        <f t="shared" si="9"/>
        <v>29</v>
      </c>
      <c r="AS318" s="12" t="str">
        <f t="shared" si="10"/>
        <v/>
      </c>
      <c r="AT318" s="18"/>
    </row>
    <row r="319" spans="1:46" s="19" customFormat="1" ht="20.100000000000001" hidden="1" customHeight="1" x14ac:dyDescent="0.2">
      <c r="A319" s="222">
        <v>307</v>
      </c>
      <c r="B319" s="16" t="s">
        <v>4905</v>
      </c>
      <c r="C319" s="16" t="s">
        <v>1731</v>
      </c>
      <c r="D319" s="193" t="s">
        <v>1297</v>
      </c>
      <c r="E319" s="193" t="s">
        <v>6</v>
      </c>
      <c r="F319" s="193" t="s">
        <v>4038</v>
      </c>
      <c r="G319" s="193"/>
      <c r="H319" s="192" t="s">
        <v>83</v>
      </c>
      <c r="I319" s="16" t="s">
        <v>84</v>
      </c>
      <c r="J319" s="193"/>
      <c r="K319" s="193" t="s">
        <v>155</v>
      </c>
      <c r="L319" s="193" t="s">
        <v>3552</v>
      </c>
      <c r="M319" s="193" t="s">
        <v>106</v>
      </c>
      <c r="N319" s="192" t="s">
        <v>107</v>
      </c>
      <c r="O319" s="193"/>
      <c r="P319" s="193" t="s">
        <v>3677</v>
      </c>
      <c r="Q319" s="193" t="s">
        <v>718</v>
      </c>
      <c r="R319" s="193" t="s">
        <v>3553</v>
      </c>
      <c r="S319" s="193" t="s">
        <v>106</v>
      </c>
      <c r="T319" s="193" t="s">
        <v>107</v>
      </c>
      <c r="U319" s="192" t="s">
        <v>3543</v>
      </c>
      <c r="V319" s="192"/>
      <c r="W319" s="192"/>
      <c r="X319" s="192"/>
      <c r="Y319" s="16">
        <v>234</v>
      </c>
      <c r="Z319" s="16"/>
      <c r="AA319" s="16"/>
      <c r="AB319" s="16"/>
      <c r="AC319" s="16"/>
      <c r="AD319" s="16"/>
      <c r="AE319" s="16"/>
      <c r="AF319" s="16">
        <v>6</v>
      </c>
      <c r="AG319" s="16"/>
      <c r="AH319" s="192"/>
      <c r="AI319" s="193"/>
      <c r="AJ319" s="25"/>
      <c r="AK319" s="192"/>
      <c r="AL319" s="16" t="s">
        <v>160</v>
      </c>
      <c r="AM319" s="16" t="s">
        <v>165</v>
      </c>
      <c r="AN319" s="193" t="s">
        <v>4378</v>
      </c>
      <c r="AO319" s="193" t="s">
        <v>441</v>
      </c>
      <c r="AP319" s="193" t="s">
        <v>113</v>
      </c>
      <c r="AQ319" s="193" t="s">
        <v>124</v>
      </c>
      <c r="AR319" s="12">
        <f t="shared" ref="AR319:AR332" si="11">IF(AN319*AP319&gt;0,(AN319-AP319)*12+(AO319-AQ319),"")</f>
        <v>18</v>
      </c>
      <c r="AS319" s="12" t="str">
        <f t="shared" ref="AS319:AS332" si="12">IF(AR319&lt;13,AR319,"")</f>
        <v/>
      </c>
      <c r="AT319" s="283"/>
    </row>
    <row r="320" spans="1:46" s="19" customFormat="1" ht="20.100000000000001" hidden="1" customHeight="1" x14ac:dyDescent="0.2">
      <c r="A320" s="222">
        <v>308</v>
      </c>
      <c r="B320" s="16" t="s">
        <v>4905</v>
      </c>
      <c r="C320" s="16" t="s">
        <v>1731</v>
      </c>
      <c r="D320" s="193" t="s">
        <v>4906</v>
      </c>
      <c r="E320" s="193" t="s">
        <v>66</v>
      </c>
      <c r="F320" s="193" t="s">
        <v>4038</v>
      </c>
      <c r="G320" s="193"/>
      <c r="H320" s="192" t="s">
        <v>83</v>
      </c>
      <c r="I320" s="16" t="s">
        <v>84</v>
      </c>
      <c r="J320" s="193"/>
      <c r="K320" s="193" t="s">
        <v>1927</v>
      </c>
      <c r="L320" s="193" t="s">
        <v>66</v>
      </c>
      <c r="M320" s="193" t="s">
        <v>69</v>
      </c>
      <c r="N320" s="192" t="s">
        <v>70</v>
      </c>
      <c r="O320" s="193"/>
      <c r="P320" s="193" t="s">
        <v>4016</v>
      </c>
      <c r="Q320" s="193" t="s">
        <v>493</v>
      </c>
      <c r="R320" s="193" t="s">
        <v>66</v>
      </c>
      <c r="S320" s="193" t="s">
        <v>69</v>
      </c>
      <c r="T320" s="193" t="s">
        <v>70</v>
      </c>
      <c r="U320" s="192"/>
      <c r="V320" s="192"/>
      <c r="W320" s="192"/>
      <c r="X320" s="192"/>
      <c r="Y320" s="16"/>
      <c r="Z320" s="16"/>
      <c r="AA320" s="16"/>
      <c r="AB320" s="16"/>
      <c r="AC320" s="16"/>
      <c r="AD320" s="16"/>
      <c r="AE320" s="16"/>
      <c r="AF320" s="16"/>
      <c r="AG320" s="16"/>
      <c r="AH320" s="192"/>
      <c r="AI320" s="193"/>
      <c r="AJ320" s="25"/>
      <c r="AK320" s="192"/>
      <c r="AL320" s="16"/>
      <c r="AM320" s="16"/>
      <c r="AN320" s="193"/>
      <c r="AO320" s="193"/>
      <c r="AP320" s="193"/>
      <c r="AQ320" s="193"/>
      <c r="AR320" s="12" t="str">
        <f t="shared" si="11"/>
        <v/>
      </c>
      <c r="AS320" s="12" t="str">
        <f t="shared" si="12"/>
        <v/>
      </c>
      <c r="AT320" s="18"/>
    </row>
    <row r="321" spans="1:46" s="19" customFormat="1" ht="20.100000000000001" hidden="1" customHeight="1" x14ac:dyDescent="0.2">
      <c r="A321" s="222">
        <v>309</v>
      </c>
      <c r="B321" s="16" t="s">
        <v>4905</v>
      </c>
      <c r="C321" s="16" t="s">
        <v>1731</v>
      </c>
      <c r="D321" s="260" t="s">
        <v>4906</v>
      </c>
      <c r="E321" s="193" t="s">
        <v>66</v>
      </c>
      <c r="F321" s="193"/>
      <c r="G321" s="193"/>
      <c r="H321" s="192" t="s">
        <v>7</v>
      </c>
      <c r="I321" s="16" t="s">
        <v>84</v>
      </c>
      <c r="J321" s="193" t="s">
        <v>1927</v>
      </c>
      <c r="K321" s="193" t="s">
        <v>1927</v>
      </c>
      <c r="L321" s="260" t="s">
        <v>66</v>
      </c>
      <c r="M321" s="193" t="s">
        <v>69</v>
      </c>
      <c r="N321" s="192" t="s">
        <v>70</v>
      </c>
      <c r="O321" s="193" t="s">
        <v>2368</v>
      </c>
      <c r="P321" s="193" t="s">
        <v>4016</v>
      </c>
      <c r="Q321" s="193" t="s">
        <v>493</v>
      </c>
      <c r="R321" s="260" t="s">
        <v>66</v>
      </c>
      <c r="S321" s="193" t="s">
        <v>69</v>
      </c>
      <c r="T321" s="193" t="s">
        <v>70</v>
      </c>
      <c r="U321" s="192"/>
      <c r="V321" s="192"/>
      <c r="W321" s="192"/>
      <c r="X321" s="192"/>
      <c r="Y321" s="16"/>
      <c r="Z321" s="16"/>
      <c r="AA321" s="16"/>
      <c r="AB321" s="16"/>
      <c r="AC321" s="16"/>
      <c r="AD321" s="16"/>
      <c r="AE321" s="16"/>
      <c r="AF321" s="16"/>
      <c r="AG321" s="16"/>
      <c r="AH321" s="192"/>
      <c r="AI321" s="193"/>
      <c r="AJ321" s="25"/>
      <c r="AK321" s="192"/>
      <c r="AL321" s="16"/>
      <c r="AM321" s="16"/>
      <c r="AN321" s="193"/>
      <c r="AO321" s="193"/>
      <c r="AP321" s="193"/>
      <c r="AQ321" s="193"/>
      <c r="AR321" s="12" t="str">
        <f t="shared" si="11"/>
        <v/>
      </c>
      <c r="AS321" s="12" t="str">
        <f t="shared" si="12"/>
        <v/>
      </c>
      <c r="AT321" s="18"/>
    </row>
    <row r="322" spans="1:46" s="19" customFormat="1" ht="20.100000000000001" hidden="1" customHeight="1" x14ac:dyDescent="0.2">
      <c r="A322" s="222">
        <v>310</v>
      </c>
      <c r="B322" s="16" t="s">
        <v>4907</v>
      </c>
      <c r="C322" s="16" t="s">
        <v>1731</v>
      </c>
      <c r="D322" s="193" t="s">
        <v>1811</v>
      </c>
      <c r="E322" s="193" t="s">
        <v>10</v>
      </c>
      <c r="F322" s="193" t="s">
        <v>1587</v>
      </c>
      <c r="G322" s="193"/>
      <c r="H322" s="192" t="s">
        <v>222</v>
      </c>
      <c r="I322" s="16" t="s">
        <v>92</v>
      </c>
      <c r="J322" s="193"/>
      <c r="K322" s="193" t="s">
        <v>117</v>
      </c>
      <c r="L322" s="193" t="s">
        <v>1919</v>
      </c>
      <c r="M322" s="193" t="s">
        <v>106</v>
      </c>
      <c r="N322" s="192" t="s">
        <v>107</v>
      </c>
      <c r="O322" s="193"/>
      <c r="P322" s="193" t="s">
        <v>1510</v>
      </c>
      <c r="Q322" s="193" t="s">
        <v>2258</v>
      </c>
      <c r="R322" s="193" t="s">
        <v>1920</v>
      </c>
      <c r="S322" s="193" t="s">
        <v>73</v>
      </c>
      <c r="T322" s="193" t="s">
        <v>70</v>
      </c>
      <c r="U322" s="192" t="s">
        <v>4911</v>
      </c>
      <c r="V322" s="192"/>
      <c r="W322" s="192"/>
      <c r="X322" s="192"/>
      <c r="Y322" s="16">
        <v>174</v>
      </c>
      <c r="Z322" s="16"/>
      <c r="AA322" s="16"/>
      <c r="AB322" s="16"/>
      <c r="AC322" s="16"/>
      <c r="AD322" s="16"/>
      <c r="AE322" s="16"/>
      <c r="AF322" s="16">
        <v>6</v>
      </c>
      <c r="AG322" s="16"/>
      <c r="AH322" s="192"/>
      <c r="AI322" s="193"/>
      <c r="AJ322" s="25"/>
      <c r="AK322" s="192"/>
      <c r="AL322" s="16" t="s">
        <v>111</v>
      </c>
      <c r="AM322" s="16"/>
      <c r="AN322" s="193" t="s">
        <v>4378</v>
      </c>
      <c r="AO322" s="193" t="s">
        <v>441</v>
      </c>
      <c r="AP322" s="193" t="s">
        <v>115</v>
      </c>
      <c r="AQ322" s="193" t="s">
        <v>116</v>
      </c>
      <c r="AR322" s="12">
        <f t="shared" si="11"/>
        <v>23</v>
      </c>
      <c r="AS322" s="12" t="str">
        <f t="shared" si="12"/>
        <v/>
      </c>
      <c r="AT322" s="18" t="s">
        <v>4912</v>
      </c>
    </row>
    <row r="323" spans="1:46" s="19" customFormat="1" ht="20.100000000000001" hidden="1" customHeight="1" x14ac:dyDescent="0.2">
      <c r="A323" s="222">
        <v>311</v>
      </c>
      <c r="B323" s="16" t="s">
        <v>4908</v>
      </c>
      <c r="C323" s="16" t="s">
        <v>1731</v>
      </c>
      <c r="D323" s="193" t="s">
        <v>1764</v>
      </c>
      <c r="E323" s="260" t="s">
        <v>10</v>
      </c>
      <c r="F323" s="193" t="s">
        <v>192</v>
      </c>
      <c r="G323" s="193"/>
      <c r="H323" s="192" t="s">
        <v>7</v>
      </c>
      <c r="I323" s="16" t="s">
        <v>84</v>
      </c>
      <c r="J323" s="193"/>
      <c r="K323" s="193" t="s">
        <v>155</v>
      </c>
      <c r="L323" s="193" t="s">
        <v>4913</v>
      </c>
      <c r="M323" s="193" t="s">
        <v>106</v>
      </c>
      <c r="N323" s="192" t="s">
        <v>107</v>
      </c>
      <c r="O323" s="193"/>
      <c r="P323" s="193" t="s">
        <v>3677</v>
      </c>
      <c r="Q323" s="193" t="s">
        <v>718</v>
      </c>
      <c r="R323" s="193" t="s">
        <v>4914</v>
      </c>
      <c r="S323" s="193" t="s">
        <v>106</v>
      </c>
      <c r="T323" s="193" t="s">
        <v>107</v>
      </c>
      <c r="U323" s="192"/>
      <c r="V323" s="192"/>
      <c r="W323" s="192">
        <v>250</v>
      </c>
      <c r="X323" s="192">
        <v>0</v>
      </c>
      <c r="Y323" s="16">
        <v>240</v>
      </c>
      <c r="Z323" s="16">
        <v>159</v>
      </c>
      <c r="AA323" s="16">
        <v>172</v>
      </c>
      <c r="AB323" s="16">
        <v>7</v>
      </c>
      <c r="AC323" s="16">
        <v>20</v>
      </c>
      <c r="AD323" s="16">
        <v>200</v>
      </c>
      <c r="AE323" s="16">
        <v>22</v>
      </c>
      <c r="AF323" s="16">
        <v>6</v>
      </c>
      <c r="AG323" s="16"/>
      <c r="AH323" s="192"/>
      <c r="AI323" s="193" t="s">
        <v>4905</v>
      </c>
      <c r="AJ323" s="25">
        <v>194</v>
      </c>
      <c r="AK323" s="192">
        <v>22.5</v>
      </c>
      <c r="AL323" s="16" t="s">
        <v>160</v>
      </c>
      <c r="AM323" s="16" t="s">
        <v>165</v>
      </c>
      <c r="AN323" s="193"/>
      <c r="AO323" s="193"/>
      <c r="AP323" s="193"/>
      <c r="AQ323" s="193"/>
      <c r="AR323" s="12" t="str">
        <f t="shared" si="11"/>
        <v/>
      </c>
      <c r="AS323" s="12" t="str">
        <f t="shared" si="12"/>
        <v/>
      </c>
      <c r="AT323" s="18"/>
    </row>
    <row r="324" spans="1:46" s="19" customFormat="1" ht="20.100000000000001" hidden="1" customHeight="1" x14ac:dyDescent="0.2">
      <c r="A324" s="222">
        <v>312</v>
      </c>
      <c r="B324" s="16" t="s">
        <v>4908</v>
      </c>
      <c r="C324" s="16" t="s">
        <v>1731</v>
      </c>
      <c r="D324" s="193" t="s">
        <v>1811</v>
      </c>
      <c r="E324" s="260" t="s">
        <v>10</v>
      </c>
      <c r="F324" s="193" t="s">
        <v>192</v>
      </c>
      <c r="G324" s="193"/>
      <c r="H324" s="192" t="s">
        <v>7</v>
      </c>
      <c r="I324" s="16" t="s">
        <v>92</v>
      </c>
      <c r="J324" s="193"/>
      <c r="K324" s="193" t="s">
        <v>104</v>
      </c>
      <c r="L324" s="193" t="s">
        <v>4915</v>
      </c>
      <c r="M324" s="193" t="s">
        <v>106</v>
      </c>
      <c r="N324" s="192" t="s">
        <v>107</v>
      </c>
      <c r="O324" s="193"/>
      <c r="P324" s="193" t="s">
        <v>1510</v>
      </c>
      <c r="Q324" s="193" t="s">
        <v>2258</v>
      </c>
      <c r="R324" s="193" t="s">
        <v>4916</v>
      </c>
      <c r="S324" s="193" t="s">
        <v>73</v>
      </c>
      <c r="T324" s="193" t="s">
        <v>70</v>
      </c>
      <c r="U324" s="192"/>
      <c r="V324" s="192"/>
      <c r="W324" s="192">
        <v>232</v>
      </c>
      <c r="X324" s="192">
        <v>0</v>
      </c>
      <c r="Y324" s="16">
        <v>216</v>
      </c>
      <c r="Z324" s="16">
        <v>116</v>
      </c>
      <c r="AA324" s="16">
        <v>137</v>
      </c>
      <c r="AB324" s="16">
        <v>3</v>
      </c>
      <c r="AC324" s="16">
        <v>22</v>
      </c>
      <c r="AD324" s="16">
        <v>162</v>
      </c>
      <c r="AE324" s="16">
        <v>16</v>
      </c>
      <c r="AF324" s="16">
        <v>6</v>
      </c>
      <c r="AG324" s="16"/>
      <c r="AH324" s="192"/>
      <c r="AI324" s="193" t="s">
        <v>4881</v>
      </c>
      <c r="AJ324" s="25">
        <v>161</v>
      </c>
      <c r="AK324" s="192">
        <v>22</v>
      </c>
      <c r="AL324" s="16" t="s">
        <v>160</v>
      </c>
      <c r="AM324" s="16" t="s">
        <v>193</v>
      </c>
      <c r="AN324" s="193"/>
      <c r="AO324" s="193"/>
      <c r="AP324" s="193"/>
      <c r="AQ324" s="193"/>
      <c r="AR324" s="12" t="str">
        <f t="shared" si="11"/>
        <v/>
      </c>
      <c r="AS324" s="12" t="str">
        <f t="shared" si="12"/>
        <v/>
      </c>
      <c r="AT324" s="18"/>
    </row>
    <row r="325" spans="1:46" s="19" customFormat="1" ht="20.100000000000001" hidden="1" customHeight="1" x14ac:dyDescent="0.2">
      <c r="A325" s="222">
        <v>313</v>
      </c>
      <c r="B325" s="16" t="s">
        <v>4909</v>
      </c>
      <c r="C325" s="16" t="s">
        <v>1731</v>
      </c>
      <c r="D325" s="193" t="s">
        <v>1297</v>
      </c>
      <c r="E325" s="193" t="s">
        <v>6</v>
      </c>
      <c r="F325" s="193"/>
      <c r="G325" s="193"/>
      <c r="H325" s="192" t="s">
        <v>7</v>
      </c>
      <c r="I325" s="16" t="s">
        <v>84</v>
      </c>
      <c r="J325" s="193" t="s">
        <v>155</v>
      </c>
      <c r="K325" s="193" t="s">
        <v>155</v>
      </c>
      <c r="L325" s="193" t="s">
        <v>4917</v>
      </c>
      <c r="M325" s="193" t="s">
        <v>106</v>
      </c>
      <c r="N325" s="192" t="s">
        <v>107</v>
      </c>
      <c r="O325" s="193" t="s">
        <v>156</v>
      </c>
      <c r="P325" s="193" t="s">
        <v>3677</v>
      </c>
      <c r="Q325" s="193" t="s">
        <v>441</v>
      </c>
      <c r="R325" s="193" t="s">
        <v>4918</v>
      </c>
      <c r="S325" s="193" t="s">
        <v>106</v>
      </c>
      <c r="T325" s="193" t="s">
        <v>107</v>
      </c>
      <c r="U325" s="192"/>
      <c r="V325" s="192"/>
      <c r="W325" s="192">
        <v>248</v>
      </c>
      <c r="X325" s="192">
        <v>234</v>
      </c>
      <c r="Y325" s="16">
        <v>234</v>
      </c>
      <c r="Z325" s="16">
        <v>165</v>
      </c>
      <c r="AA325" s="16">
        <v>182</v>
      </c>
      <c r="AB325" s="16">
        <v>4</v>
      </c>
      <c r="AC325" s="16">
        <v>40</v>
      </c>
      <c r="AD325" s="16">
        <v>226</v>
      </c>
      <c r="AE325" s="16">
        <v>19</v>
      </c>
      <c r="AF325" s="16">
        <v>6</v>
      </c>
      <c r="AG325" s="16"/>
      <c r="AH325" s="192"/>
      <c r="AI325" s="193" t="s">
        <v>4907</v>
      </c>
      <c r="AJ325" s="25">
        <v>226</v>
      </c>
      <c r="AK325" s="192">
        <v>21</v>
      </c>
      <c r="AL325" s="16" t="s">
        <v>160</v>
      </c>
      <c r="AM325" s="16" t="s">
        <v>165</v>
      </c>
      <c r="AN325" s="193"/>
      <c r="AO325" s="193"/>
      <c r="AP325" s="193"/>
      <c r="AQ325" s="193"/>
      <c r="AR325" s="12" t="str">
        <f t="shared" si="11"/>
        <v/>
      </c>
      <c r="AS325" s="12" t="str">
        <f t="shared" si="12"/>
        <v/>
      </c>
      <c r="AT325" s="283"/>
    </row>
    <row r="326" spans="1:46" s="19" customFormat="1" ht="20.100000000000001" hidden="1" customHeight="1" x14ac:dyDescent="0.2">
      <c r="A326" s="222">
        <v>314</v>
      </c>
      <c r="B326" s="16" t="s">
        <v>4927</v>
      </c>
      <c r="C326" s="16" t="s">
        <v>1731</v>
      </c>
      <c r="D326" s="193" t="s">
        <v>4873</v>
      </c>
      <c r="E326" s="193" t="s">
        <v>10</v>
      </c>
      <c r="F326" s="193"/>
      <c r="G326" s="193"/>
      <c r="H326" s="192" t="s">
        <v>7</v>
      </c>
      <c r="I326" s="16" t="s">
        <v>92</v>
      </c>
      <c r="J326" s="35" t="s">
        <v>104</v>
      </c>
      <c r="K326" s="35" t="s">
        <v>141</v>
      </c>
      <c r="L326" s="193"/>
      <c r="M326" s="193" t="s">
        <v>69</v>
      </c>
      <c r="N326" s="192" t="s">
        <v>70</v>
      </c>
      <c r="O326" s="35" t="s">
        <v>190</v>
      </c>
      <c r="P326" s="35" t="s">
        <v>2961</v>
      </c>
      <c r="Q326" s="35" t="s">
        <v>2348</v>
      </c>
      <c r="R326" s="193"/>
      <c r="S326" s="193" t="s">
        <v>106</v>
      </c>
      <c r="T326" s="193" t="s">
        <v>107</v>
      </c>
      <c r="U326" s="192"/>
      <c r="V326" s="192"/>
      <c r="W326" s="192">
        <v>225</v>
      </c>
      <c r="X326" s="192">
        <v>202</v>
      </c>
      <c r="Y326" s="16">
        <v>202</v>
      </c>
      <c r="Z326" s="16">
        <v>109</v>
      </c>
      <c r="AA326" s="16">
        <v>149</v>
      </c>
      <c r="AB326" s="16">
        <v>1</v>
      </c>
      <c r="AC326" s="16">
        <v>48</v>
      </c>
      <c r="AD326" s="16">
        <v>198</v>
      </c>
      <c r="AE326" s="16">
        <v>8.3000000000000007</v>
      </c>
      <c r="AF326" s="16">
        <v>6</v>
      </c>
      <c r="AG326" s="16"/>
      <c r="AH326" s="192"/>
      <c r="AI326" s="193"/>
      <c r="AJ326" s="25"/>
      <c r="AK326" s="192"/>
      <c r="AL326" s="16"/>
      <c r="AM326" s="16"/>
      <c r="AN326" s="193"/>
      <c r="AO326" s="193"/>
      <c r="AP326" s="193"/>
      <c r="AQ326" s="193"/>
      <c r="AR326" s="12" t="str">
        <f t="shared" si="11"/>
        <v/>
      </c>
      <c r="AS326" s="12" t="str">
        <f t="shared" si="12"/>
        <v/>
      </c>
      <c r="AT326" s="18"/>
    </row>
    <row r="327" spans="1:46" s="19" customFormat="1" ht="20.100000000000001" hidden="1" customHeight="1" x14ac:dyDescent="0.2">
      <c r="A327" s="222">
        <v>315</v>
      </c>
      <c r="B327" s="16" t="s">
        <v>4928</v>
      </c>
      <c r="C327" s="16" t="s">
        <v>1731</v>
      </c>
      <c r="D327" s="193" t="s">
        <v>822</v>
      </c>
      <c r="E327" s="193" t="s">
        <v>20</v>
      </c>
      <c r="F327" s="193"/>
      <c r="G327" s="193"/>
      <c r="H327" s="192" t="s">
        <v>7</v>
      </c>
      <c r="I327" s="16" t="s">
        <v>92</v>
      </c>
      <c r="J327" s="35" t="s">
        <v>117</v>
      </c>
      <c r="K327" s="35" t="s">
        <v>769</v>
      </c>
      <c r="L327" s="193" t="s">
        <v>4929</v>
      </c>
      <c r="M327" s="193" t="s">
        <v>106</v>
      </c>
      <c r="N327" s="192" t="s">
        <v>107</v>
      </c>
      <c r="O327" s="35" t="s">
        <v>120</v>
      </c>
      <c r="P327" s="35" t="s">
        <v>2325</v>
      </c>
      <c r="Q327" s="35" t="s">
        <v>260</v>
      </c>
      <c r="R327" s="193" t="s">
        <v>4930</v>
      </c>
      <c r="S327" s="193" t="s">
        <v>106</v>
      </c>
      <c r="T327" s="193" t="s">
        <v>107</v>
      </c>
      <c r="U327" s="192"/>
      <c r="V327" s="192"/>
      <c r="W327" s="192">
        <v>148</v>
      </c>
      <c r="X327" s="192">
        <v>138</v>
      </c>
      <c r="Y327" s="16">
        <v>138</v>
      </c>
      <c r="Z327" s="16">
        <v>93</v>
      </c>
      <c r="AA327" s="16">
        <v>124</v>
      </c>
      <c r="AB327" s="16">
        <v>2</v>
      </c>
      <c r="AC327" s="16">
        <v>23</v>
      </c>
      <c r="AD327" s="16">
        <v>149</v>
      </c>
      <c r="AE327" s="16">
        <v>5</v>
      </c>
      <c r="AF327" s="16">
        <v>4</v>
      </c>
      <c r="AG327" s="16"/>
      <c r="AH327" s="192"/>
      <c r="AI327" s="193" t="s">
        <v>4927</v>
      </c>
      <c r="AJ327" s="25"/>
      <c r="AK327" s="192"/>
      <c r="AL327" s="16" t="s">
        <v>111</v>
      </c>
      <c r="AM327" s="16" t="s">
        <v>330</v>
      </c>
      <c r="AN327" s="193"/>
      <c r="AO327" s="193"/>
      <c r="AP327" s="193"/>
      <c r="AQ327" s="193"/>
      <c r="AR327" s="12" t="str">
        <f t="shared" si="11"/>
        <v/>
      </c>
      <c r="AS327" s="12" t="str">
        <f t="shared" si="12"/>
        <v/>
      </c>
      <c r="AT327" s="18"/>
    </row>
    <row r="328" spans="1:46" s="19" customFormat="1" ht="20.100000000000001" hidden="1" customHeight="1" x14ac:dyDescent="0.2">
      <c r="A328" s="222">
        <v>316</v>
      </c>
      <c r="B328" s="16" t="s">
        <v>4928</v>
      </c>
      <c r="C328" s="16" t="s">
        <v>1731</v>
      </c>
      <c r="D328" s="193" t="s">
        <v>3928</v>
      </c>
      <c r="E328" s="193" t="s">
        <v>8</v>
      </c>
      <c r="F328" s="193" t="s">
        <v>4038</v>
      </c>
      <c r="G328" s="193"/>
      <c r="H328" s="192" t="s">
        <v>83</v>
      </c>
      <c r="I328" s="16" t="s">
        <v>92</v>
      </c>
      <c r="J328" s="193"/>
      <c r="K328" s="262" t="s">
        <v>117</v>
      </c>
      <c r="L328" s="262" t="s">
        <v>3954</v>
      </c>
      <c r="M328" s="262" t="s">
        <v>106</v>
      </c>
      <c r="N328" s="261" t="s">
        <v>107</v>
      </c>
      <c r="O328" s="193"/>
      <c r="P328" s="262" t="s">
        <v>3679</v>
      </c>
      <c r="Q328" s="262" t="s">
        <v>465</v>
      </c>
      <c r="R328" s="262" t="s">
        <v>3955</v>
      </c>
      <c r="S328" s="262" t="s">
        <v>106</v>
      </c>
      <c r="T328" s="262" t="s">
        <v>107</v>
      </c>
      <c r="U328" s="16" t="s">
        <v>3944</v>
      </c>
      <c r="V328" s="192"/>
      <c r="W328" s="192"/>
      <c r="X328" s="192"/>
      <c r="Y328" s="16">
        <v>150</v>
      </c>
      <c r="Z328" s="16"/>
      <c r="AA328" s="16"/>
      <c r="AB328" s="16"/>
      <c r="AC328" s="16"/>
      <c r="AD328" s="16"/>
      <c r="AE328" s="16"/>
      <c r="AF328" s="16">
        <v>4</v>
      </c>
      <c r="AG328" s="16"/>
      <c r="AH328" s="192"/>
      <c r="AI328" s="193"/>
      <c r="AJ328" s="25"/>
      <c r="AK328" s="192"/>
      <c r="AL328" s="16" t="s">
        <v>111</v>
      </c>
      <c r="AM328" s="16" t="s">
        <v>112</v>
      </c>
      <c r="AN328" s="193" t="s">
        <v>4378</v>
      </c>
      <c r="AO328" s="193" t="s">
        <v>441</v>
      </c>
      <c r="AP328" s="193" t="s">
        <v>113</v>
      </c>
      <c r="AQ328" s="193" t="s">
        <v>148</v>
      </c>
      <c r="AR328" s="12">
        <f t="shared" si="11"/>
        <v>14</v>
      </c>
      <c r="AS328" s="12" t="str">
        <f t="shared" si="12"/>
        <v/>
      </c>
      <c r="AT328" s="18"/>
    </row>
    <row r="329" spans="1:46" s="19" customFormat="1" ht="20.100000000000001" hidden="1" customHeight="1" x14ac:dyDescent="0.2">
      <c r="A329" s="222">
        <v>317</v>
      </c>
      <c r="B329" s="16" t="s">
        <v>4931</v>
      </c>
      <c r="C329" s="16" t="s">
        <v>1731</v>
      </c>
      <c r="D329" s="193" t="s">
        <v>4932</v>
      </c>
      <c r="E329" s="193" t="s">
        <v>8</v>
      </c>
      <c r="F329" s="193" t="s">
        <v>202</v>
      </c>
      <c r="G329" s="193"/>
      <c r="H329" s="192" t="s">
        <v>83</v>
      </c>
      <c r="I329" s="16" t="s">
        <v>92</v>
      </c>
      <c r="J329" s="193"/>
      <c r="K329" s="41" t="s">
        <v>104</v>
      </c>
      <c r="L329" s="41" t="s">
        <v>4935</v>
      </c>
      <c r="M329" s="41" t="s">
        <v>106</v>
      </c>
      <c r="N329" s="13" t="s">
        <v>107</v>
      </c>
      <c r="O329" s="193"/>
      <c r="P329" s="193" t="s">
        <v>3680</v>
      </c>
      <c r="Q329" s="193" t="s">
        <v>2258</v>
      </c>
      <c r="R329" s="41" t="s">
        <v>1877</v>
      </c>
      <c r="S329" s="41" t="s">
        <v>73</v>
      </c>
      <c r="T329" s="41" t="s">
        <v>70</v>
      </c>
      <c r="U329" s="40" t="s">
        <v>1882</v>
      </c>
      <c r="V329" s="192"/>
      <c r="W329" s="192"/>
      <c r="X329" s="192"/>
      <c r="Y329" s="16">
        <v>222</v>
      </c>
      <c r="Z329" s="16"/>
      <c r="AA329" s="16"/>
      <c r="AB329" s="16"/>
      <c r="AC329" s="16"/>
      <c r="AD329" s="16"/>
      <c r="AE329" s="16"/>
      <c r="AF329" s="16">
        <v>6</v>
      </c>
      <c r="AG329" s="16"/>
      <c r="AH329" s="192"/>
      <c r="AI329" s="193"/>
      <c r="AJ329" s="25"/>
      <c r="AK329" s="192"/>
      <c r="AL329" s="16" t="s">
        <v>160</v>
      </c>
      <c r="AM329" s="16" t="s">
        <v>193</v>
      </c>
      <c r="AN329" s="193" t="s">
        <v>4378</v>
      </c>
      <c r="AO329" s="193" t="s">
        <v>441</v>
      </c>
      <c r="AP329" s="193" t="s">
        <v>115</v>
      </c>
      <c r="AQ329" s="193" t="s">
        <v>116</v>
      </c>
      <c r="AR329" s="12">
        <f t="shared" si="11"/>
        <v>23</v>
      </c>
      <c r="AS329" s="12" t="str">
        <f t="shared" si="12"/>
        <v/>
      </c>
      <c r="AT329" s="18" t="s">
        <v>4936</v>
      </c>
    </row>
    <row r="330" spans="1:46" s="19" customFormat="1" ht="20.100000000000001" hidden="1" customHeight="1" x14ac:dyDescent="0.2">
      <c r="A330" s="222">
        <v>318</v>
      </c>
      <c r="B330" s="16" t="s">
        <v>4931</v>
      </c>
      <c r="C330" s="16" t="s">
        <v>1731</v>
      </c>
      <c r="D330" s="193" t="s">
        <v>1148</v>
      </c>
      <c r="E330" s="193" t="s">
        <v>10</v>
      </c>
      <c r="F330" s="193"/>
      <c r="G330" s="193"/>
      <c r="H330" s="192" t="s">
        <v>7</v>
      </c>
      <c r="I330" s="16" t="s">
        <v>84</v>
      </c>
      <c r="J330" s="35" t="s">
        <v>68</v>
      </c>
      <c r="K330" s="35" t="s">
        <v>117</v>
      </c>
      <c r="L330" s="193" t="s">
        <v>4933</v>
      </c>
      <c r="M330" s="263" t="s">
        <v>106</v>
      </c>
      <c r="N330" s="264" t="s">
        <v>107</v>
      </c>
      <c r="O330" s="35" t="s">
        <v>263</v>
      </c>
      <c r="P330" s="35" t="s">
        <v>2961</v>
      </c>
      <c r="Q330" s="35" t="s">
        <v>226</v>
      </c>
      <c r="R330" s="193" t="s">
        <v>4934</v>
      </c>
      <c r="S330" s="263" t="s">
        <v>106</v>
      </c>
      <c r="T330" s="263" t="s">
        <v>107</v>
      </c>
      <c r="U330" s="192"/>
      <c r="V330" s="192"/>
      <c r="W330" s="192">
        <v>240</v>
      </c>
      <c r="X330" s="33">
        <v>228</v>
      </c>
      <c r="Y330" s="34">
        <v>210</v>
      </c>
      <c r="Z330" s="16">
        <v>138</v>
      </c>
      <c r="AA330" s="16">
        <v>166</v>
      </c>
      <c r="AB330" s="16">
        <v>1</v>
      </c>
      <c r="AC330" s="16">
        <v>30</v>
      </c>
      <c r="AD330" s="16">
        <v>197</v>
      </c>
      <c r="AE330" s="16">
        <v>11</v>
      </c>
      <c r="AF330" s="16">
        <v>6</v>
      </c>
      <c r="AG330" s="16"/>
      <c r="AH330" s="192"/>
      <c r="AI330" s="193" t="s">
        <v>4928</v>
      </c>
      <c r="AJ330" s="25">
        <v>187</v>
      </c>
      <c r="AK330" s="192">
        <v>11</v>
      </c>
      <c r="AL330" s="16" t="s">
        <v>160</v>
      </c>
      <c r="AM330" s="16"/>
      <c r="AN330" s="193"/>
      <c r="AO330" s="193"/>
      <c r="AP330" s="193"/>
      <c r="AQ330" s="193"/>
      <c r="AR330" s="12" t="str">
        <f t="shared" si="11"/>
        <v/>
      </c>
      <c r="AS330" s="12" t="str">
        <f t="shared" si="12"/>
        <v/>
      </c>
      <c r="AT330" s="18"/>
    </row>
    <row r="331" spans="1:46" s="19" customFormat="1" ht="20.100000000000001" hidden="1" customHeight="1" x14ac:dyDescent="0.2">
      <c r="A331" s="222">
        <v>319</v>
      </c>
      <c r="B331" s="16" t="s">
        <v>4937</v>
      </c>
      <c r="C331" s="16" t="s">
        <v>1731</v>
      </c>
      <c r="D331" s="193" t="s">
        <v>3807</v>
      </c>
      <c r="E331" s="193"/>
      <c r="F331" s="193"/>
      <c r="G331" s="193"/>
      <c r="H331" s="192" t="s">
        <v>7</v>
      </c>
      <c r="I331" s="16"/>
      <c r="J331" s="193" t="s">
        <v>68</v>
      </c>
      <c r="K331" s="193" t="s">
        <v>68</v>
      </c>
      <c r="L331" s="193" t="s">
        <v>4941</v>
      </c>
      <c r="M331" s="193" t="s">
        <v>69</v>
      </c>
      <c r="N331" s="192" t="s">
        <v>70</v>
      </c>
      <c r="O331" s="193" t="s">
        <v>263</v>
      </c>
      <c r="P331" s="193" t="s">
        <v>3677</v>
      </c>
      <c r="Q331" s="193" t="s">
        <v>485</v>
      </c>
      <c r="R331" s="193" t="s">
        <v>1813</v>
      </c>
      <c r="S331" s="193" t="s">
        <v>106</v>
      </c>
      <c r="T331" s="193" t="s">
        <v>107</v>
      </c>
      <c r="U331" s="192"/>
      <c r="V331" s="192"/>
      <c r="W331" s="192">
        <v>251</v>
      </c>
      <c r="X331" s="192">
        <v>210</v>
      </c>
      <c r="Y331" s="16">
        <v>210</v>
      </c>
      <c r="Z331" s="16">
        <v>135</v>
      </c>
      <c r="AA331" s="16">
        <v>148</v>
      </c>
      <c r="AB331" s="16">
        <v>5</v>
      </c>
      <c r="AC331" s="16">
        <v>22</v>
      </c>
      <c r="AD331" s="16">
        <v>175</v>
      </c>
      <c r="AE331" s="16">
        <v>22</v>
      </c>
      <c r="AF331" s="16">
        <v>6</v>
      </c>
      <c r="AG331" s="16"/>
      <c r="AH331" s="192"/>
      <c r="AI331" s="193" t="s">
        <v>4931</v>
      </c>
      <c r="AJ331" s="25">
        <v>170</v>
      </c>
      <c r="AK331" s="192">
        <v>22.6</v>
      </c>
      <c r="AL331" s="16" t="s">
        <v>160</v>
      </c>
      <c r="AM331" s="16" t="s">
        <v>193</v>
      </c>
      <c r="AN331" s="193"/>
      <c r="AO331" s="193"/>
      <c r="AP331" s="193"/>
      <c r="AQ331" s="193"/>
      <c r="AR331" s="12" t="str">
        <f t="shared" si="11"/>
        <v/>
      </c>
      <c r="AS331" s="12" t="str">
        <f t="shared" si="12"/>
        <v/>
      </c>
      <c r="AT331" s="18"/>
    </row>
    <row r="332" spans="1:46" s="19" customFormat="1" ht="20.100000000000001" hidden="1" customHeight="1" x14ac:dyDescent="0.2">
      <c r="A332" s="222">
        <v>320</v>
      </c>
      <c r="B332" s="16" t="s">
        <v>4937</v>
      </c>
      <c r="C332" s="16" t="s">
        <v>1731</v>
      </c>
      <c r="D332" s="193" t="s">
        <v>4938</v>
      </c>
      <c r="E332" s="193" t="s">
        <v>66</v>
      </c>
      <c r="F332" s="193" t="s">
        <v>4038</v>
      </c>
      <c r="G332" s="193"/>
      <c r="H332" s="192" t="s">
        <v>83</v>
      </c>
      <c r="I332" s="16" t="s">
        <v>84</v>
      </c>
      <c r="J332" s="193"/>
      <c r="K332" s="193" t="s">
        <v>3714</v>
      </c>
      <c r="L332" s="193" t="s">
        <v>429</v>
      </c>
      <c r="M332" s="193" t="s">
        <v>429</v>
      </c>
      <c r="N332" s="192">
        <v>0</v>
      </c>
      <c r="O332" s="193"/>
      <c r="P332" s="193" t="s">
        <v>1809</v>
      </c>
      <c r="Q332" s="193" t="s">
        <v>555</v>
      </c>
      <c r="R332" s="193"/>
      <c r="S332" s="193" t="s">
        <v>429</v>
      </c>
      <c r="T332" s="193" t="s">
        <v>429</v>
      </c>
      <c r="U332" s="192"/>
      <c r="V332" s="192"/>
      <c r="W332" s="192"/>
      <c r="X332" s="192"/>
      <c r="Y332" s="16"/>
      <c r="Z332" s="16"/>
      <c r="AA332" s="16"/>
      <c r="AB332" s="16"/>
      <c r="AC332" s="16"/>
      <c r="AD332" s="16"/>
      <c r="AE332" s="16"/>
      <c r="AF332" s="16"/>
      <c r="AG332" s="16"/>
      <c r="AH332" s="192"/>
      <c r="AI332" s="193"/>
      <c r="AJ332" s="25"/>
      <c r="AK332" s="192"/>
      <c r="AL332" s="16"/>
      <c r="AM332" s="16"/>
      <c r="AN332" s="193"/>
      <c r="AO332" s="193"/>
      <c r="AP332" s="193"/>
      <c r="AQ332" s="193"/>
      <c r="AR332" s="12" t="str">
        <f t="shared" si="11"/>
        <v/>
      </c>
      <c r="AS332" s="12" t="str">
        <f t="shared" si="12"/>
        <v/>
      </c>
      <c r="AT332" s="18"/>
    </row>
    <row r="333" spans="1:46" s="19" customFormat="1" ht="20.100000000000001" hidden="1" customHeight="1" x14ac:dyDescent="0.2">
      <c r="A333" s="222">
        <v>321</v>
      </c>
      <c r="B333" s="16" t="s">
        <v>4937</v>
      </c>
      <c r="C333" s="16" t="s">
        <v>1731</v>
      </c>
      <c r="D333" s="265" t="s">
        <v>4938</v>
      </c>
      <c r="E333" s="193" t="s">
        <v>8</v>
      </c>
      <c r="F333" s="193"/>
      <c r="G333" s="193"/>
      <c r="H333" s="192" t="s">
        <v>7</v>
      </c>
      <c r="I333" s="16" t="s">
        <v>84</v>
      </c>
      <c r="J333" s="193" t="s">
        <v>769</v>
      </c>
      <c r="K333" s="193" t="s">
        <v>769</v>
      </c>
      <c r="L333" s="193" t="s">
        <v>978</v>
      </c>
      <c r="M333" s="193" t="s">
        <v>106</v>
      </c>
      <c r="N333" s="192" t="s">
        <v>107</v>
      </c>
      <c r="O333" s="193" t="s">
        <v>2259</v>
      </c>
      <c r="P333" s="193" t="s">
        <v>1809</v>
      </c>
      <c r="Q333" s="193" t="s">
        <v>555</v>
      </c>
      <c r="R333" s="193" t="s">
        <v>4942</v>
      </c>
      <c r="S333" s="193" t="s">
        <v>106</v>
      </c>
      <c r="T333" s="193" t="s">
        <v>107</v>
      </c>
      <c r="U333" s="192"/>
      <c r="V333" s="192"/>
      <c r="W333" s="192"/>
      <c r="X333" s="192"/>
      <c r="Y333" s="16"/>
      <c r="Z333" s="16"/>
      <c r="AA333" s="16"/>
      <c r="AB333" s="16"/>
      <c r="AC333" s="16"/>
      <c r="AD333" s="16"/>
      <c r="AE333" s="16"/>
      <c r="AF333" s="16"/>
      <c r="AG333" s="16"/>
      <c r="AH333" s="192"/>
      <c r="AI333" s="193" t="s">
        <v>4931</v>
      </c>
      <c r="AJ333" s="25"/>
      <c r="AK333" s="192"/>
      <c r="AL333" s="16"/>
      <c r="AM333" s="16"/>
      <c r="AN333" s="193"/>
      <c r="AO333" s="193"/>
      <c r="AP333" s="193"/>
      <c r="AQ333" s="193"/>
      <c r="AR333" s="12" t="str">
        <f t="shared" ref="AR333:AR397" si="13">IF(AN333*AP333&gt;0,(AN333-AP333)*12+(AO333-AQ333),"")</f>
        <v/>
      </c>
      <c r="AS333" s="12" t="str">
        <f t="shared" ref="AS333:AS397" si="14">IF(AR333&lt;13,AR333,"")</f>
        <v/>
      </c>
      <c r="AT333" s="18" t="s">
        <v>4943</v>
      </c>
    </row>
    <row r="334" spans="1:46" s="19" customFormat="1" ht="20.100000000000001" hidden="1" customHeight="1" x14ac:dyDescent="0.2">
      <c r="A334" s="222">
        <v>322</v>
      </c>
      <c r="B334" s="16" t="s">
        <v>4939</v>
      </c>
      <c r="C334" s="16" t="s">
        <v>1731</v>
      </c>
      <c r="D334" s="193" t="s">
        <v>4940</v>
      </c>
      <c r="E334" s="193" t="s">
        <v>66</v>
      </c>
      <c r="F334" s="193" t="s">
        <v>4038</v>
      </c>
      <c r="G334" s="193"/>
      <c r="H334" s="192" t="s">
        <v>83</v>
      </c>
      <c r="I334" s="16" t="s">
        <v>92</v>
      </c>
      <c r="J334" s="193"/>
      <c r="K334" s="193" t="s">
        <v>155</v>
      </c>
      <c r="L334" s="193"/>
      <c r="M334" s="193" t="s">
        <v>69</v>
      </c>
      <c r="N334" s="192" t="s">
        <v>70</v>
      </c>
      <c r="O334" s="193"/>
      <c r="P334" s="193" t="s">
        <v>3677</v>
      </c>
      <c r="Q334" s="193" t="s">
        <v>441</v>
      </c>
      <c r="R334" s="193"/>
      <c r="S334" s="193" t="s">
        <v>142</v>
      </c>
      <c r="T334" s="193" t="s">
        <v>70</v>
      </c>
      <c r="U334" s="266" t="s">
        <v>4945</v>
      </c>
      <c r="V334" s="192"/>
      <c r="W334" s="192"/>
      <c r="X334" s="192"/>
      <c r="Y334" s="16">
        <v>216</v>
      </c>
      <c r="Z334" s="16"/>
      <c r="AA334" s="16"/>
      <c r="AB334" s="16"/>
      <c r="AC334" s="16"/>
      <c r="AD334" s="16"/>
      <c r="AE334" s="16"/>
      <c r="AF334" s="16">
        <v>6</v>
      </c>
      <c r="AG334" s="16"/>
      <c r="AH334" s="192"/>
      <c r="AI334" s="193"/>
      <c r="AJ334" s="25"/>
      <c r="AK334" s="192"/>
      <c r="AL334" s="16" t="s">
        <v>160</v>
      </c>
      <c r="AM334" s="16" t="s">
        <v>193</v>
      </c>
      <c r="AN334" s="193" t="s">
        <v>4378</v>
      </c>
      <c r="AO334" s="193" t="s">
        <v>441</v>
      </c>
      <c r="AP334" s="193" t="s">
        <v>208</v>
      </c>
      <c r="AQ334" s="193" t="s">
        <v>441</v>
      </c>
      <c r="AR334" s="12">
        <f t="shared" si="13"/>
        <v>48</v>
      </c>
      <c r="AS334" s="12" t="str">
        <f t="shared" si="14"/>
        <v/>
      </c>
      <c r="AT334" s="18" t="s">
        <v>4946</v>
      </c>
    </row>
    <row r="335" spans="1:46" s="19" customFormat="1" ht="20.100000000000001" hidden="1" customHeight="1" x14ac:dyDescent="0.2">
      <c r="A335" s="222">
        <v>323</v>
      </c>
      <c r="B335" s="16" t="s">
        <v>4939</v>
      </c>
      <c r="C335" s="16" t="s">
        <v>1731</v>
      </c>
      <c r="D335" s="193" t="s">
        <v>2178</v>
      </c>
      <c r="E335" s="193" t="s">
        <v>6</v>
      </c>
      <c r="F335" s="193" t="s">
        <v>185</v>
      </c>
      <c r="G335" s="193"/>
      <c r="H335" s="192" t="s">
        <v>83</v>
      </c>
      <c r="I335" s="16" t="s">
        <v>84</v>
      </c>
      <c r="J335" s="193"/>
      <c r="K335" s="193" t="s">
        <v>68</v>
      </c>
      <c r="L335" s="193"/>
      <c r="M335" s="193" t="s">
        <v>119</v>
      </c>
      <c r="N335" s="192" t="s">
        <v>107</v>
      </c>
      <c r="O335" s="193"/>
      <c r="P335" s="193" t="s">
        <v>3677</v>
      </c>
      <c r="Q335" s="193" t="s">
        <v>485</v>
      </c>
      <c r="R335" s="193"/>
      <c r="S335" s="193" t="s">
        <v>119</v>
      </c>
      <c r="T335" s="193" t="s">
        <v>107</v>
      </c>
      <c r="U335" s="192" t="s">
        <v>4947</v>
      </c>
      <c r="V335" s="192"/>
      <c r="W335" s="192"/>
      <c r="X335" s="192"/>
      <c r="Y335" s="16">
        <v>135</v>
      </c>
      <c r="Z335" s="16"/>
      <c r="AA335" s="16"/>
      <c r="AB335" s="16"/>
      <c r="AC335" s="16"/>
      <c r="AD335" s="16"/>
      <c r="AE335" s="16"/>
      <c r="AF335" s="16">
        <v>6</v>
      </c>
      <c r="AG335" s="16"/>
      <c r="AH335" s="192"/>
      <c r="AI335" s="193"/>
      <c r="AJ335" s="25"/>
      <c r="AK335" s="192"/>
      <c r="AL335" s="16"/>
      <c r="AM335" s="16"/>
      <c r="AN335" s="193" t="s">
        <v>4378</v>
      </c>
      <c r="AO335" s="193" t="s">
        <v>441</v>
      </c>
      <c r="AP335" s="193" t="s">
        <v>136</v>
      </c>
      <c r="AQ335" s="193"/>
      <c r="AR335" s="12">
        <f t="shared" si="13"/>
        <v>46</v>
      </c>
      <c r="AS335" s="12" t="str">
        <f t="shared" si="14"/>
        <v/>
      </c>
      <c r="AT335" s="18"/>
    </row>
    <row r="336" spans="1:46" s="19" customFormat="1" ht="20.100000000000001" hidden="1" customHeight="1" x14ac:dyDescent="0.2">
      <c r="A336" s="222">
        <v>324</v>
      </c>
      <c r="B336" s="16" t="s">
        <v>4948</v>
      </c>
      <c r="C336" s="16" t="s">
        <v>1731</v>
      </c>
      <c r="D336" s="193" t="s">
        <v>4940</v>
      </c>
      <c r="E336" s="193" t="s">
        <v>66</v>
      </c>
      <c r="F336" s="193"/>
      <c r="G336" s="193"/>
      <c r="H336" s="192" t="s">
        <v>7</v>
      </c>
      <c r="I336" s="16" t="s">
        <v>92</v>
      </c>
      <c r="J336" s="193"/>
      <c r="K336" s="193" t="s">
        <v>155</v>
      </c>
      <c r="L336" s="193" t="s">
        <v>4950</v>
      </c>
      <c r="M336" s="193" t="s">
        <v>69</v>
      </c>
      <c r="N336" s="192" t="s">
        <v>70</v>
      </c>
      <c r="O336" s="193"/>
      <c r="P336" s="193" t="s">
        <v>3677</v>
      </c>
      <c r="Q336" s="193" t="s">
        <v>441</v>
      </c>
      <c r="R336" s="193" t="s">
        <v>4951</v>
      </c>
      <c r="S336" s="193" t="s">
        <v>69</v>
      </c>
      <c r="T336" s="193" t="s">
        <v>70</v>
      </c>
      <c r="U336" s="192">
        <v>0</v>
      </c>
      <c r="V336" s="192"/>
      <c r="W336" s="192"/>
      <c r="X336" s="192"/>
      <c r="Y336" s="16"/>
      <c r="Z336" s="16"/>
      <c r="AA336" s="16"/>
      <c r="AB336" s="16"/>
      <c r="AC336" s="16"/>
      <c r="AD336" s="16"/>
      <c r="AE336" s="16"/>
      <c r="AF336" s="16">
        <v>6</v>
      </c>
      <c r="AG336" s="16"/>
      <c r="AH336" s="192"/>
      <c r="AI336" s="193" t="s">
        <v>4909</v>
      </c>
      <c r="AJ336" s="25"/>
      <c r="AK336" s="192"/>
      <c r="AL336" s="16" t="s">
        <v>160</v>
      </c>
      <c r="AM336" s="16" t="s">
        <v>193</v>
      </c>
      <c r="AN336" s="193"/>
      <c r="AO336" s="193"/>
      <c r="AP336" s="193"/>
      <c r="AQ336" s="193"/>
      <c r="AR336" s="12" t="str">
        <f t="shared" si="13"/>
        <v/>
      </c>
      <c r="AS336" s="12" t="str">
        <f t="shared" si="14"/>
        <v/>
      </c>
      <c r="AT336" s="18"/>
    </row>
    <row r="337" spans="1:46" s="21" customFormat="1" ht="31.5" hidden="1" x14ac:dyDescent="0.2">
      <c r="A337" s="20">
        <v>325</v>
      </c>
      <c r="B337" s="29" t="s">
        <v>4948</v>
      </c>
      <c r="C337" s="29" t="s">
        <v>1731</v>
      </c>
      <c r="D337" s="30" t="s">
        <v>684</v>
      </c>
      <c r="E337" s="30" t="s">
        <v>6</v>
      </c>
      <c r="F337" s="30" t="s">
        <v>605</v>
      </c>
      <c r="G337" s="193"/>
      <c r="H337" s="20" t="s">
        <v>83</v>
      </c>
      <c r="I337" s="29" t="s">
        <v>84</v>
      </c>
      <c r="J337" s="30"/>
      <c r="K337" s="30" t="s">
        <v>140</v>
      </c>
      <c r="L337" s="30" t="s">
        <v>4651</v>
      </c>
      <c r="M337" s="30" t="s">
        <v>106</v>
      </c>
      <c r="N337" s="20" t="s">
        <v>107</v>
      </c>
      <c r="O337" s="30"/>
      <c r="P337" s="30" t="s">
        <v>2961</v>
      </c>
      <c r="Q337" s="30" t="s">
        <v>769</v>
      </c>
      <c r="R337" s="30" t="s">
        <v>4652</v>
      </c>
      <c r="S337" s="30" t="s">
        <v>73</v>
      </c>
      <c r="T337" s="30" t="s">
        <v>70</v>
      </c>
      <c r="U337" s="20" t="s">
        <v>4644</v>
      </c>
      <c r="V337" s="192"/>
      <c r="W337" s="20"/>
      <c r="X337" s="20"/>
      <c r="Y337" s="29">
        <v>165</v>
      </c>
      <c r="Z337" s="29"/>
      <c r="AA337" s="29"/>
      <c r="AB337" s="29"/>
      <c r="AC337" s="29"/>
      <c r="AD337" s="29"/>
      <c r="AE337" s="29"/>
      <c r="AF337" s="29">
        <v>6</v>
      </c>
      <c r="AG337" s="16"/>
      <c r="AH337" s="192"/>
      <c r="AI337" s="30"/>
      <c r="AJ337" s="36"/>
      <c r="AK337" s="20"/>
      <c r="AL337" s="29" t="s">
        <v>160</v>
      </c>
      <c r="AM337" s="29" t="s">
        <v>112</v>
      </c>
      <c r="AN337" s="30" t="s">
        <v>4378</v>
      </c>
      <c r="AO337" s="30" t="s">
        <v>441</v>
      </c>
      <c r="AP337" s="30" t="s">
        <v>4378</v>
      </c>
      <c r="AQ337" s="30" t="s">
        <v>1247</v>
      </c>
      <c r="AR337" s="31">
        <f t="shared" si="13"/>
        <v>5</v>
      </c>
      <c r="AS337" s="31">
        <f t="shared" si="14"/>
        <v>5</v>
      </c>
      <c r="AT337" s="32" t="s">
        <v>4980</v>
      </c>
    </row>
    <row r="338" spans="1:46" s="19" customFormat="1" ht="20.100000000000001" hidden="1" customHeight="1" x14ac:dyDescent="0.2">
      <c r="A338" s="222">
        <v>326</v>
      </c>
      <c r="B338" s="16" t="s">
        <v>4948</v>
      </c>
      <c r="C338" s="16" t="s">
        <v>1731</v>
      </c>
      <c r="D338" s="268" t="s">
        <v>684</v>
      </c>
      <c r="E338" s="193" t="s">
        <v>6</v>
      </c>
      <c r="F338" s="193"/>
      <c r="G338" s="193"/>
      <c r="H338" s="192" t="s">
        <v>7</v>
      </c>
      <c r="I338" s="16" t="s">
        <v>84</v>
      </c>
      <c r="J338" s="193" t="s">
        <v>140</v>
      </c>
      <c r="K338" s="193" t="s">
        <v>140</v>
      </c>
      <c r="L338" s="193" t="s">
        <v>4952</v>
      </c>
      <c r="M338" s="193" t="s">
        <v>69</v>
      </c>
      <c r="N338" s="192" t="s">
        <v>70</v>
      </c>
      <c r="O338" s="193" t="s">
        <v>276</v>
      </c>
      <c r="P338" s="193" t="s">
        <v>2961</v>
      </c>
      <c r="Q338" s="193" t="s">
        <v>769</v>
      </c>
      <c r="R338" s="193" t="s">
        <v>4953</v>
      </c>
      <c r="S338" s="193" t="s">
        <v>73</v>
      </c>
      <c r="T338" s="193" t="s">
        <v>70</v>
      </c>
      <c r="U338" s="192"/>
      <c r="V338" s="192"/>
      <c r="W338" s="267">
        <v>175</v>
      </c>
      <c r="X338" s="267">
        <v>165</v>
      </c>
      <c r="Y338" s="16">
        <v>165</v>
      </c>
      <c r="Z338" s="16">
        <v>117</v>
      </c>
      <c r="AA338" s="16">
        <v>134</v>
      </c>
      <c r="AB338" s="16">
        <v>1</v>
      </c>
      <c r="AC338" s="16">
        <v>73</v>
      </c>
      <c r="AD338" s="16">
        <v>213</v>
      </c>
      <c r="AE338" s="16">
        <v>8</v>
      </c>
      <c r="AF338" s="16">
        <v>6</v>
      </c>
      <c r="AG338" s="16"/>
      <c r="AH338" s="192"/>
      <c r="AI338" s="193" t="s">
        <v>4948</v>
      </c>
      <c r="AJ338" s="25">
        <v>195</v>
      </c>
      <c r="AK338" s="192">
        <v>11</v>
      </c>
      <c r="AL338" s="16" t="s">
        <v>160</v>
      </c>
      <c r="AM338" s="16" t="s">
        <v>112</v>
      </c>
      <c r="AN338" s="193"/>
      <c r="AO338" s="193"/>
      <c r="AP338" s="193"/>
      <c r="AQ338" s="193"/>
      <c r="AR338" s="12" t="str">
        <f t="shared" si="13"/>
        <v/>
      </c>
      <c r="AS338" s="12" t="str">
        <f t="shared" si="14"/>
        <v/>
      </c>
      <c r="AT338" s="18"/>
    </row>
    <row r="339" spans="1:46" s="19" customFormat="1" ht="20.100000000000001" hidden="1" customHeight="1" x14ac:dyDescent="0.2">
      <c r="A339" s="222">
        <v>327</v>
      </c>
      <c r="B339" s="16" t="s">
        <v>4949</v>
      </c>
      <c r="C339" s="16" t="s">
        <v>1731</v>
      </c>
      <c r="D339" s="193" t="s">
        <v>3928</v>
      </c>
      <c r="E339" s="193" t="s">
        <v>8</v>
      </c>
      <c r="F339" s="193"/>
      <c r="G339" s="193"/>
      <c r="H339" s="192" t="s">
        <v>7</v>
      </c>
      <c r="I339" s="16" t="s">
        <v>84</v>
      </c>
      <c r="J339" s="193" t="s">
        <v>117</v>
      </c>
      <c r="K339" s="193" t="s">
        <v>117</v>
      </c>
      <c r="L339" s="193" t="s">
        <v>4954</v>
      </c>
      <c r="M339" s="193" t="s">
        <v>106</v>
      </c>
      <c r="N339" s="192" t="s">
        <v>107</v>
      </c>
      <c r="O339" s="193" t="s">
        <v>470</v>
      </c>
      <c r="P339" s="193" t="s">
        <v>3679</v>
      </c>
      <c r="Q339" s="193" t="s">
        <v>465</v>
      </c>
      <c r="R339" s="193" t="s">
        <v>4955</v>
      </c>
      <c r="S339" s="193" t="s">
        <v>106</v>
      </c>
      <c r="T339" s="193" t="s">
        <v>107</v>
      </c>
      <c r="U339" s="192"/>
      <c r="V339" s="192"/>
      <c r="W339" s="192">
        <v>216</v>
      </c>
      <c r="X339" s="192">
        <v>150</v>
      </c>
      <c r="Y339" s="16">
        <v>150</v>
      </c>
      <c r="Z339" s="16">
        <v>39</v>
      </c>
      <c r="AA339" s="16">
        <v>49</v>
      </c>
      <c r="AB339" s="16">
        <v>5</v>
      </c>
      <c r="AC339" s="16">
        <v>42</v>
      </c>
      <c r="AD339" s="16">
        <v>96</v>
      </c>
      <c r="AE339" s="16">
        <v>30</v>
      </c>
      <c r="AF339" s="16">
        <v>6</v>
      </c>
      <c r="AG339" s="16"/>
      <c r="AH339" s="192"/>
      <c r="AI339" s="193" t="s">
        <v>4939</v>
      </c>
      <c r="AJ339" s="25">
        <v>92</v>
      </c>
      <c r="AK339" s="192">
        <v>31</v>
      </c>
      <c r="AL339" s="16" t="s">
        <v>111</v>
      </c>
      <c r="AM339" s="16" t="s">
        <v>112</v>
      </c>
      <c r="AN339" s="193"/>
      <c r="AO339" s="193"/>
      <c r="AP339" s="193"/>
      <c r="AQ339" s="193"/>
      <c r="AR339" s="12" t="str">
        <f t="shared" si="13"/>
        <v/>
      </c>
      <c r="AS339" s="12" t="str">
        <f t="shared" si="14"/>
        <v/>
      </c>
      <c r="AT339" s="18"/>
    </row>
    <row r="340" spans="1:46" s="19" customFormat="1" ht="20.100000000000001" hidden="1" customHeight="1" x14ac:dyDescent="0.2">
      <c r="A340" s="222">
        <v>328</v>
      </c>
      <c r="B340" s="16" t="s">
        <v>4956</v>
      </c>
      <c r="C340" s="16" t="s">
        <v>1731</v>
      </c>
      <c r="D340" s="193" t="s">
        <v>3053</v>
      </c>
      <c r="E340" s="193" t="s">
        <v>20</v>
      </c>
      <c r="F340" s="193" t="s">
        <v>3661</v>
      </c>
      <c r="G340" s="193"/>
      <c r="H340" s="192" t="s">
        <v>83</v>
      </c>
      <c r="I340" s="16" t="s">
        <v>84</v>
      </c>
      <c r="J340" s="193"/>
      <c r="K340" s="193" t="s">
        <v>155</v>
      </c>
      <c r="L340" s="193"/>
      <c r="M340" s="193" t="s">
        <v>69</v>
      </c>
      <c r="N340" s="192" t="s">
        <v>70</v>
      </c>
      <c r="O340" s="193"/>
      <c r="P340" s="193" t="s">
        <v>3679</v>
      </c>
      <c r="Q340" s="193" t="s">
        <v>441</v>
      </c>
      <c r="R340" s="193"/>
      <c r="S340" s="193" t="s">
        <v>69</v>
      </c>
      <c r="T340" s="193" t="s">
        <v>70</v>
      </c>
      <c r="U340" s="192" t="s">
        <v>4957</v>
      </c>
      <c r="V340" s="192"/>
      <c r="W340" s="192"/>
      <c r="X340" s="192"/>
      <c r="Y340" s="16"/>
      <c r="Z340" s="16"/>
      <c r="AA340" s="16"/>
      <c r="AB340" s="16"/>
      <c r="AC340" s="16"/>
      <c r="AD340" s="16"/>
      <c r="AE340" s="16"/>
      <c r="AF340" s="16">
        <v>6</v>
      </c>
      <c r="AG340" s="16"/>
      <c r="AH340" s="192"/>
      <c r="AI340" s="193"/>
      <c r="AJ340" s="25"/>
      <c r="AK340" s="192"/>
      <c r="AL340" s="16" t="s">
        <v>160</v>
      </c>
      <c r="AM340" s="16"/>
      <c r="AN340" s="193" t="s">
        <v>4378</v>
      </c>
      <c r="AO340" s="193" t="s">
        <v>441</v>
      </c>
      <c r="AP340" s="193" t="s">
        <v>348</v>
      </c>
      <c r="AQ340" s="193" t="s">
        <v>124</v>
      </c>
      <c r="AR340" s="12">
        <f t="shared" si="13"/>
        <v>66</v>
      </c>
      <c r="AS340" s="12" t="str">
        <f t="shared" si="14"/>
        <v/>
      </c>
      <c r="AT340" s="18"/>
    </row>
    <row r="341" spans="1:46" s="19" customFormat="1" ht="20.100000000000001" hidden="1" customHeight="1" x14ac:dyDescent="0.2">
      <c r="A341" s="222">
        <v>329</v>
      </c>
      <c r="B341" s="16" t="s">
        <v>4958</v>
      </c>
      <c r="C341" s="16" t="s">
        <v>1731</v>
      </c>
      <c r="D341" s="269" t="s">
        <v>3053</v>
      </c>
      <c r="E341" s="193" t="s">
        <v>20</v>
      </c>
      <c r="F341" s="193"/>
      <c r="G341" s="193"/>
      <c r="H341" s="192" t="s">
        <v>7</v>
      </c>
      <c r="I341" s="16" t="s">
        <v>84</v>
      </c>
      <c r="J341" s="193" t="s">
        <v>155</v>
      </c>
      <c r="K341" s="193" t="s">
        <v>155</v>
      </c>
      <c r="L341" s="193"/>
      <c r="M341" s="193" t="s">
        <v>4959</v>
      </c>
      <c r="N341" s="192" t="s">
        <v>4960</v>
      </c>
      <c r="O341" s="193" t="s">
        <v>167</v>
      </c>
      <c r="P341" s="193" t="s">
        <v>4962</v>
      </c>
      <c r="Q341" s="193" t="s">
        <v>2258</v>
      </c>
      <c r="R341" s="193"/>
      <c r="S341" s="193" t="s">
        <v>4959</v>
      </c>
      <c r="T341" s="193" t="s">
        <v>4960</v>
      </c>
      <c r="U341" s="192"/>
      <c r="V341" s="192"/>
      <c r="W341" s="192">
        <v>248</v>
      </c>
      <c r="X341" s="192">
        <v>224</v>
      </c>
      <c r="Y341" s="16">
        <v>224</v>
      </c>
      <c r="Z341" s="16">
        <v>86</v>
      </c>
      <c r="AA341" s="16">
        <v>107</v>
      </c>
      <c r="AB341" s="16">
        <v>8</v>
      </c>
      <c r="AC341" s="16">
        <v>18</v>
      </c>
      <c r="AD341" s="16">
        <v>133</v>
      </c>
      <c r="AE341" s="16">
        <v>30</v>
      </c>
      <c r="AF341" s="16">
        <v>6</v>
      </c>
      <c r="AG341" s="16"/>
      <c r="AH341" s="192"/>
      <c r="AI341" s="193"/>
      <c r="AJ341" s="25"/>
      <c r="AK341" s="192"/>
      <c r="AL341" s="16" t="s">
        <v>160</v>
      </c>
      <c r="AM341" s="16" t="s">
        <v>165</v>
      </c>
      <c r="AN341" s="193"/>
      <c r="AO341" s="193"/>
      <c r="AP341" s="193"/>
      <c r="AQ341" s="193"/>
      <c r="AR341" s="12" t="str">
        <f t="shared" si="13"/>
        <v/>
      </c>
      <c r="AS341" s="12" t="str">
        <f t="shared" si="14"/>
        <v/>
      </c>
      <c r="AT341" s="18"/>
    </row>
    <row r="342" spans="1:46" s="19" customFormat="1" ht="20.100000000000001" hidden="1" customHeight="1" x14ac:dyDescent="0.2">
      <c r="A342" s="222">
        <v>330</v>
      </c>
      <c r="B342" s="16" t="s">
        <v>4958</v>
      </c>
      <c r="C342" s="16" t="s">
        <v>1731</v>
      </c>
      <c r="D342" s="193" t="s">
        <v>1548</v>
      </c>
      <c r="E342" s="193" t="s">
        <v>8</v>
      </c>
      <c r="F342" s="193" t="s">
        <v>4038</v>
      </c>
      <c r="G342" s="193"/>
      <c r="H342" s="192" t="s">
        <v>83</v>
      </c>
      <c r="I342" s="16"/>
      <c r="J342" s="193"/>
      <c r="K342" s="41" t="s">
        <v>155</v>
      </c>
      <c r="L342" s="41" t="s">
        <v>946</v>
      </c>
      <c r="M342" s="41" t="s">
        <v>106</v>
      </c>
      <c r="N342" s="13" t="s">
        <v>107</v>
      </c>
      <c r="O342" s="193"/>
      <c r="P342" s="193" t="s">
        <v>3679</v>
      </c>
      <c r="Q342" s="193" t="s">
        <v>718</v>
      </c>
      <c r="R342" s="41" t="s">
        <v>1549</v>
      </c>
      <c r="S342" s="41" t="s">
        <v>262</v>
      </c>
      <c r="T342" s="41" t="s">
        <v>70</v>
      </c>
      <c r="U342" s="40" t="s">
        <v>4412</v>
      </c>
      <c r="V342" s="192"/>
      <c r="W342" s="192"/>
      <c r="X342" s="192"/>
      <c r="Y342" s="16">
        <v>234</v>
      </c>
      <c r="Z342" s="16"/>
      <c r="AA342" s="16"/>
      <c r="AB342" s="16"/>
      <c r="AC342" s="16"/>
      <c r="AD342" s="16"/>
      <c r="AE342" s="16"/>
      <c r="AF342" s="16">
        <v>6</v>
      </c>
      <c r="AG342" s="16"/>
      <c r="AH342" s="192"/>
      <c r="AI342" s="193"/>
      <c r="AJ342" s="25"/>
      <c r="AK342" s="192"/>
      <c r="AL342" s="16" t="s">
        <v>160</v>
      </c>
      <c r="AM342" s="16" t="s">
        <v>165</v>
      </c>
      <c r="AN342" s="193" t="s">
        <v>4378</v>
      </c>
      <c r="AO342" s="193" t="s">
        <v>441</v>
      </c>
      <c r="AP342" s="193" t="s">
        <v>115</v>
      </c>
      <c r="AQ342" s="193" t="s">
        <v>148</v>
      </c>
      <c r="AR342" s="12">
        <f t="shared" si="13"/>
        <v>26</v>
      </c>
      <c r="AS342" s="12" t="str">
        <f t="shared" si="14"/>
        <v/>
      </c>
      <c r="AT342" s="18"/>
    </row>
    <row r="343" spans="1:46" s="19" customFormat="1" ht="20.100000000000001" hidden="1" customHeight="1" x14ac:dyDescent="0.2">
      <c r="A343" s="222">
        <v>331</v>
      </c>
      <c r="B343" s="16" t="s">
        <v>4961</v>
      </c>
      <c r="C343" s="16" t="s">
        <v>1731</v>
      </c>
      <c r="D343" s="193" t="s">
        <v>540</v>
      </c>
      <c r="E343" s="193" t="s">
        <v>8</v>
      </c>
      <c r="F343" s="193" t="s">
        <v>185</v>
      </c>
      <c r="G343" s="193"/>
      <c r="H343" s="192" t="s">
        <v>83</v>
      </c>
      <c r="I343" s="16"/>
      <c r="J343" s="193"/>
      <c r="K343" s="41" t="s">
        <v>104</v>
      </c>
      <c r="L343" s="41" t="s">
        <v>567</v>
      </c>
      <c r="M343" s="41" t="s">
        <v>106</v>
      </c>
      <c r="N343" s="13" t="s">
        <v>107</v>
      </c>
      <c r="O343" s="193"/>
      <c r="P343" s="193" t="s">
        <v>3678</v>
      </c>
      <c r="Q343" s="193" t="s">
        <v>506</v>
      </c>
      <c r="R343" s="41" t="s">
        <v>568</v>
      </c>
      <c r="S343" s="41" t="s">
        <v>119</v>
      </c>
      <c r="T343" s="41" t="s">
        <v>107</v>
      </c>
      <c r="U343" s="40" t="s">
        <v>4969</v>
      </c>
      <c r="V343" s="192"/>
      <c r="W343" s="192"/>
      <c r="X343" s="192"/>
      <c r="Y343" s="16">
        <v>102</v>
      </c>
      <c r="Z343" s="16"/>
      <c r="AA343" s="16"/>
      <c r="AB343" s="16"/>
      <c r="AC343" s="16"/>
      <c r="AD343" s="16"/>
      <c r="AE343" s="16"/>
      <c r="AF343" s="16">
        <v>6</v>
      </c>
      <c r="AG343" s="16"/>
      <c r="AH343" s="192"/>
      <c r="AI343" s="193"/>
      <c r="AJ343" s="25"/>
      <c r="AK343" s="192"/>
      <c r="AL343" s="16"/>
      <c r="AM343" s="16"/>
      <c r="AN343" s="193" t="s">
        <v>4378</v>
      </c>
      <c r="AO343" s="193" t="s">
        <v>441</v>
      </c>
      <c r="AP343" s="193" t="s">
        <v>115</v>
      </c>
      <c r="AQ343" s="193" t="s">
        <v>296</v>
      </c>
      <c r="AR343" s="12">
        <f t="shared" si="13"/>
        <v>32</v>
      </c>
      <c r="AS343" s="12" t="str">
        <f t="shared" si="14"/>
        <v/>
      </c>
      <c r="AT343" s="18"/>
    </row>
    <row r="344" spans="1:46" s="19" customFormat="1" ht="20.100000000000001" hidden="1" customHeight="1" x14ac:dyDescent="0.2">
      <c r="A344" s="222">
        <v>332</v>
      </c>
      <c r="B344" s="16" t="s">
        <v>4961</v>
      </c>
      <c r="C344" s="16" t="s">
        <v>1731</v>
      </c>
      <c r="D344" s="193" t="s">
        <v>4963</v>
      </c>
      <c r="E344" s="193" t="s">
        <v>20</v>
      </c>
      <c r="F344" s="193" t="s">
        <v>4038</v>
      </c>
      <c r="G344" s="193"/>
      <c r="H344" s="192" t="s">
        <v>83</v>
      </c>
      <c r="I344" s="16"/>
      <c r="J344" s="193"/>
      <c r="K344" s="193" t="s">
        <v>141</v>
      </c>
      <c r="L344" s="193" t="s">
        <v>429</v>
      </c>
      <c r="M344" s="193" t="s">
        <v>2148</v>
      </c>
      <c r="N344" s="192" t="s">
        <v>2148</v>
      </c>
      <c r="O344" s="193"/>
      <c r="P344" s="193" t="s">
        <v>1809</v>
      </c>
      <c r="Q344" s="193" t="s">
        <v>1581</v>
      </c>
      <c r="R344" s="193"/>
      <c r="S344" s="193" t="s">
        <v>2148</v>
      </c>
      <c r="T344" s="193" t="s">
        <v>2148</v>
      </c>
      <c r="U344" s="192" t="s">
        <v>5141</v>
      </c>
      <c r="V344" s="192"/>
      <c r="W344" s="192"/>
      <c r="X344" s="192"/>
      <c r="Y344" s="16">
        <v>168</v>
      </c>
      <c r="Z344" s="16"/>
      <c r="AA344" s="16"/>
      <c r="AB344" s="16"/>
      <c r="AC344" s="16"/>
      <c r="AD344" s="16"/>
      <c r="AE344" s="16"/>
      <c r="AF344" s="16">
        <v>4</v>
      </c>
      <c r="AG344" s="16"/>
      <c r="AH344" s="192"/>
      <c r="AI344" s="193"/>
      <c r="AJ344" s="25"/>
      <c r="AK344" s="192"/>
      <c r="AL344" s="16"/>
      <c r="AM344" s="16"/>
      <c r="AN344" s="193" t="s">
        <v>4378</v>
      </c>
      <c r="AO344" s="193" t="s">
        <v>441</v>
      </c>
      <c r="AP344" s="193"/>
      <c r="AQ344" s="193"/>
      <c r="AR344" s="12" t="str">
        <f t="shared" si="13"/>
        <v/>
      </c>
      <c r="AS344" s="12" t="str">
        <f t="shared" si="14"/>
        <v/>
      </c>
      <c r="AT344" s="18"/>
    </row>
    <row r="345" spans="1:46" s="19" customFormat="1" ht="20.100000000000001" hidden="1" customHeight="1" x14ac:dyDescent="0.2">
      <c r="A345" s="222">
        <v>333</v>
      </c>
      <c r="B345" s="16" t="s">
        <v>4964</v>
      </c>
      <c r="C345" s="16" t="s">
        <v>1731</v>
      </c>
      <c r="D345" s="193" t="s">
        <v>1922</v>
      </c>
      <c r="E345" s="193" t="s">
        <v>20</v>
      </c>
      <c r="F345" s="193" t="s">
        <v>3661</v>
      </c>
      <c r="G345" s="193"/>
      <c r="H345" s="192" t="s">
        <v>83</v>
      </c>
      <c r="I345" s="16"/>
      <c r="J345" s="193"/>
      <c r="K345" s="41" t="s">
        <v>104</v>
      </c>
      <c r="L345" s="41" t="s">
        <v>1981</v>
      </c>
      <c r="M345" s="41" t="s">
        <v>69</v>
      </c>
      <c r="N345" s="13" t="s">
        <v>70</v>
      </c>
      <c r="O345" s="193"/>
      <c r="P345" s="193" t="s">
        <v>3679</v>
      </c>
      <c r="Q345" s="193" t="s">
        <v>555</v>
      </c>
      <c r="R345" s="41" t="s">
        <v>1959</v>
      </c>
      <c r="S345" s="41" t="s">
        <v>106</v>
      </c>
      <c r="T345" s="41" t="s">
        <v>107</v>
      </c>
      <c r="U345" s="40" t="s">
        <v>4970</v>
      </c>
      <c r="V345" s="192"/>
      <c r="W345" s="192"/>
      <c r="X345" s="192"/>
      <c r="Y345" s="16">
        <v>168</v>
      </c>
      <c r="Z345" s="16">
        <v>6</v>
      </c>
      <c r="AA345" s="16"/>
      <c r="AB345" s="16"/>
      <c r="AC345" s="16"/>
      <c r="AD345" s="16"/>
      <c r="AE345" s="16"/>
      <c r="AF345" s="16">
        <v>6</v>
      </c>
      <c r="AG345" s="16"/>
      <c r="AH345" s="192"/>
      <c r="AI345" s="193"/>
      <c r="AJ345" s="25"/>
      <c r="AK345" s="192"/>
      <c r="AL345" s="16" t="s">
        <v>160</v>
      </c>
      <c r="AM345" s="16" t="s">
        <v>193</v>
      </c>
      <c r="AN345" s="193" t="s">
        <v>4378</v>
      </c>
      <c r="AO345" s="193" t="s">
        <v>441</v>
      </c>
      <c r="AP345" s="193" t="s">
        <v>115</v>
      </c>
      <c r="AQ345" s="193" t="s">
        <v>116</v>
      </c>
      <c r="AR345" s="12">
        <f t="shared" si="13"/>
        <v>23</v>
      </c>
      <c r="AS345" s="12" t="str">
        <f t="shared" si="14"/>
        <v/>
      </c>
      <c r="AT345" s="18"/>
    </row>
    <row r="346" spans="1:46" s="19" customFormat="1" ht="20.100000000000001" hidden="1" customHeight="1" x14ac:dyDescent="0.2">
      <c r="A346" s="222">
        <v>334</v>
      </c>
      <c r="B346" s="16" t="s">
        <v>4965</v>
      </c>
      <c r="C346" s="16" t="s">
        <v>1731</v>
      </c>
      <c r="D346" s="270" t="s">
        <v>1922</v>
      </c>
      <c r="E346" s="270" t="s">
        <v>20</v>
      </c>
      <c r="F346" s="193"/>
      <c r="G346" s="193"/>
      <c r="H346" s="192" t="s">
        <v>7</v>
      </c>
      <c r="I346" s="16"/>
      <c r="J346" s="35" t="s">
        <v>104</v>
      </c>
      <c r="K346" s="35" t="s">
        <v>68</v>
      </c>
      <c r="L346" s="193"/>
      <c r="M346" s="193" t="s">
        <v>69</v>
      </c>
      <c r="N346" s="192" t="s">
        <v>70</v>
      </c>
      <c r="O346" s="35" t="s">
        <v>108</v>
      </c>
      <c r="P346" s="35" t="s">
        <v>3679</v>
      </c>
      <c r="Q346" s="35" t="s">
        <v>485</v>
      </c>
      <c r="R346" s="193"/>
      <c r="S346" s="193" t="s">
        <v>69</v>
      </c>
      <c r="T346" s="193" t="s">
        <v>70</v>
      </c>
      <c r="U346" s="192"/>
      <c r="V346" s="192"/>
      <c r="W346" s="192">
        <v>180</v>
      </c>
      <c r="X346" s="192">
        <v>168</v>
      </c>
      <c r="Y346" s="16">
        <v>168</v>
      </c>
      <c r="Z346" s="16">
        <v>78</v>
      </c>
      <c r="AA346" s="16">
        <v>130</v>
      </c>
      <c r="AB346" s="16">
        <v>5</v>
      </c>
      <c r="AC346" s="16">
        <v>28</v>
      </c>
      <c r="AD346" s="16">
        <v>163</v>
      </c>
      <c r="AE346" s="16">
        <v>25</v>
      </c>
      <c r="AF346" s="16">
        <v>6</v>
      </c>
      <c r="AG346" s="16"/>
      <c r="AH346" s="192"/>
      <c r="AI346" s="193"/>
      <c r="AJ346" s="25"/>
      <c r="AK346" s="192"/>
      <c r="AL346" s="16" t="s">
        <v>160</v>
      </c>
      <c r="AM346" s="16" t="s">
        <v>193</v>
      </c>
      <c r="AN346" s="193"/>
      <c r="AO346" s="193"/>
      <c r="AP346" s="193"/>
      <c r="AQ346" s="193"/>
      <c r="AR346" s="12" t="str">
        <f t="shared" si="13"/>
        <v/>
      </c>
      <c r="AS346" s="12" t="str">
        <f t="shared" si="14"/>
        <v/>
      </c>
      <c r="AT346" s="18"/>
    </row>
    <row r="347" spans="1:46" s="19" customFormat="1" ht="20.100000000000001" hidden="1" customHeight="1" x14ac:dyDescent="0.2">
      <c r="A347" s="222">
        <v>335</v>
      </c>
      <c r="B347" s="16" t="s">
        <v>4966</v>
      </c>
      <c r="C347" s="16" t="s">
        <v>1731</v>
      </c>
      <c r="D347" s="193" t="s">
        <v>4967</v>
      </c>
      <c r="E347" s="193" t="s">
        <v>9</v>
      </c>
      <c r="F347" s="193" t="s">
        <v>605</v>
      </c>
      <c r="G347" s="193"/>
      <c r="H347" s="192" t="s">
        <v>83</v>
      </c>
      <c r="I347" s="16"/>
      <c r="J347" s="193"/>
      <c r="K347" s="193" t="s">
        <v>116</v>
      </c>
      <c r="L347" s="193" t="s">
        <v>1497</v>
      </c>
      <c r="M347" s="193" t="s">
        <v>119</v>
      </c>
      <c r="N347" s="192" t="s">
        <v>107</v>
      </c>
      <c r="O347" s="193"/>
      <c r="P347" s="193" t="s">
        <v>2325</v>
      </c>
      <c r="Q347" s="193" t="s">
        <v>718</v>
      </c>
      <c r="R347" s="193" t="s">
        <v>5142</v>
      </c>
      <c r="S347" s="193" t="s">
        <v>119</v>
      </c>
      <c r="T347" s="193" t="s">
        <v>107</v>
      </c>
      <c r="U347" s="192" t="s">
        <v>5143</v>
      </c>
      <c r="V347" s="192"/>
      <c r="W347" s="192"/>
      <c r="X347" s="192"/>
      <c r="Y347" s="16">
        <v>111</v>
      </c>
      <c r="Z347" s="16"/>
      <c r="AA347" s="16"/>
      <c r="AB347" s="16"/>
      <c r="AC347" s="16"/>
      <c r="AD347" s="16"/>
      <c r="AE347" s="16"/>
      <c r="AF347" s="16">
        <v>3</v>
      </c>
      <c r="AG347" s="16"/>
      <c r="AH347" s="192"/>
      <c r="AI347" s="193"/>
      <c r="AJ347" s="25"/>
      <c r="AK347" s="192"/>
      <c r="AL347" s="16"/>
      <c r="AM347" s="16"/>
      <c r="AN347" s="193" t="s">
        <v>4378</v>
      </c>
      <c r="AO347" s="193" t="s">
        <v>441</v>
      </c>
      <c r="AP347" s="193" t="s">
        <v>123</v>
      </c>
      <c r="AQ347" s="193" t="s">
        <v>1247</v>
      </c>
      <c r="AR347" s="12">
        <f t="shared" si="13"/>
        <v>77</v>
      </c>
      <c r="AS347" s="12" t="str">
        <f t="shared" si="14"/>
        <v/>
      </c>
      <c r="AT347" s="18"/>
    </row>
    <row r="348" spans="1:46" s="19" customFormat="1" ht="20.100000000000001" hidden="1" customHeight="1" x14ac:dyDescent="0.2">
      <c r="A348" s="222">
        <v>336</v>
      </c>
      <c r="B348" s="16" t="s">
        <v>4966</v>
      </c>
      <c r="C348" s="16" t="s">
        <v>1731</v>
      </c>
      <c r="D348" s="193" t="s">
        <v>4967</v>
      </c>
      <c r="E348" s="193" t="s">
        <v>9</v>
      </c>
      <c r="F348" s="193"/>
      <c r="G348" s="193"/>
      <c r="H348" s="192" t="s">
        <v>7</v>
      </c>
      <c r="I348" s="16"/>
      <c r="J348" s="193" t="s">
        <v>140</v>
      </c>
      <c r="K348" s="193" t="s">
        <v>140</v>
      </c>
      <c r="L348" s="193"/>
      <c r="M348" s="193" t="s">
        <v>106</v>
      </c>
      <c r="N348" s="192" t="s">
        <v>107</v>
      </c>
      <c r="O348" s="193" t="s">
        <v>957</v>
      </c>
      <c r="P348" s="193" t="s">
        <v>2245</v>
      </c>
      <c r="Q348" s="193" t="s">
        <v>718</v>
      </c>
      <c r="R348" s="193"/>
      <c r="S348" s="193" t="s">
        <v>106</v>
      </c>
      <c r="T348" s="193" t="s">
        <v>107</v>
      </c>
      <c r="U348" s="192"/>
      <c r="V348" s="192"/>
      <c r="W348" s="192"/>
      <c r="X348" s="192"/>
      <c r="Y348" s="16"/>
      <c r="Z348" s="16"/>
      <c r="AA348" s="16"/>
      <c r="AB348" s="16"/>
      <c r="AC348" s="16"/>
      <c r="AD348" s="16"/>
      <c r="AE348" s="16"/>
      <c r="AF348" s="16"/>
      <c r="AG348" s="16"/>
      <c r="AH348" s="192"/>
      <c r="AI348" s="193"/>
      <c r="AJ348" s="25"/>
      <c r="AK348" s="192"/>
      <c r="AL348" s="16"/>
      <c r="AM348" s="16"/>
      <c r="AN348" s="193"/>
      <c r="AO348" s="193"/>
      <c r="AP348" s="193"/>
      <c r="AQ348" s="193"/>
      <c r="AR348" s="12" t="str">
        <f t="shared" si="13"/>
        <v/>
      </c>
      <c r="AS348" s="12" t="str">
        <f t="shared" si="14"/>
        <v/>
      </c>
      <c r="AT348" s="18"/>
    </row>
    <row r="349" spans="1:46" s="19" customFormat="1" ht="20.100000000000001" hidden="1" customHeight="1" x14ac:dyDescent="0.2">
      <c r="A349" s="222">
        <v>337</v>
      </c>
      <c r="B349" s="16" t="s">
        <v>4966</v>
      </c>
      <c r="C349" s="16" t="s">
        <v>1731</v>
      </c>
      <c r="D349" s="193" t="s">
        <v>4968</v>
      </c>
      <c r="E349" s="193" t="s">
        <v>20</v>
      </c>
      <c r="F349" s="193" t="s">
        <v>4038</v>
      </c>
      <c r="G349" s="193"/>
      <c r="H349" s="192" t="s">
        <v>83</v>
      </c>
      <c r="I349" s="16"/>
      <c r="J349" s="193"/>
      <c r="K349" s="193" t="s">
        <v>68</v>
      </c>
      <c r="L349" s="193" t="s">
        <v>5135</v>
      </c>
      <c r="M349" s="193" t="s">
        <v>69</v>
      </c>
      <c r="N349" s="192" t="s">
        <v>70</v>
      </c>
      <c r="O349" s="193"/>
      <c r="P349" s="193" t="s">
        <v>3679</v>
      </c>
      <c r="Q349" s="193" t="s">
        <v>485</v>
      </c>
      <c r="R349" s="193" t="s">
        <v>5136</v>
      </c>
      <c r="S349" s="193" t="s">
        <v>69</v>
      </c>
      <c r="T349" s="193" t="s">
        <v>70</v>
      </c>
      <c r="U349" s="192" t="s">
        <v>5137</v>
      </c>
      <c r="V349" s="192"/>
      <c r="W349" s="192"/>
      <c r="X349" s="192"/>
      <c r="Y349" s="16">
        <v>216</v>
      </c>
      <c r="Z349" s="16"/>
      <c r="AA349" s="16"/>
      <c r="AB349" s="16"/>
      <c r="AC349" s="16"/>
      <c r="AD349" s="16"/>
      <c r="AE349" s="16"/>
      <c r="AF349" s="16">
        <v>6</v>
      </c>
      <c r="AG349" s="16"/>
      <c r="AH349" s="192"/>
      <c r="AI349" s="193"/>
      <c r="AJ349" s="25"/>
      <c r="AK349" s="192"/>
      <c r="AL349" s="16"/>
      <c r="AM349" s="16"/>
      <c r="AN349" s="193" t="s">
        <v>4378</v>
      </c>
      <c r="AO349" s="193" t="s">
        <v>441</v>
      </c>
      <c r="AP349" s="193" t="s">
        <v>547</v>
      </c>
      <c r="AQ349" s="193" t="s">
        <v>266</v>
      </c>
      <c r="AR349" s="12">
        <f t="shared" si="13"/>
        <v>85</v>
      </c>
      <c r="AS349" s="12" t="str">
        <f t="shared" si="14"/>
        <v/>
      </c>
      <c r="AT349" s="18"/>
    </row>
    <row r="350" spans="1:46" s="19" customFormat="1" ht="20.100000000000001" hidden="1" customHeight="1" x14ac:dyDescent="0.2">
      <c r="A350" s="222">
        <v>338</v>
      </c>
      <c r="B350" s="16" t="s">
        <v>4971</v>
      </c>
      <c r="C350" s="16" t="s">
        <v>1731</v>
      </c>
      <c r="D350" s="193" t="s">
        <v>1675</v>
      </c>
      <c r="E350" s="193" t="s">
        <v>8</v>
      </c>
      <c r="F350" s="193" t="s">
        <v>185</v>
      </c>
      <c r="G350" s="193"/>
      <c r="H350" s="192" t="s">
        <v>83</v>
      </c>
      <c r="I350" s="16"/>
      <c r="J350" s="193"/>
      <c r="K350" s="193" t="s">
        <v>117</v>
      </c>
      <c r="L350" s="41" t="s">
        <v>138</v>
      </c>
      <c r="M350" s="41" t="s">
        <v>69</v>
      </c>
      <c r="N350" s="13" t="s">
        <v>70</v>
      </c>
      <c r="O350" s="193"/>
      <c r="P350" s="193" t="s">
        <v>2961</v>
      </c>
      <c r="Q350" s="193" t="s">
        <v>226</v>
      </c>
      <c r="R350" s="41" t="s">
        <v>1904</v>
      </c>
      <c r="S350" s="41" t="s">
        <v>106</v>
      </c>
      <c r="T350" s="41" t="s">
        <v>107</v>
      </c>
      <c r="U350" s="192" t="s">
        <v>4973</v>
      </c>
      <c r="V350" s="192"/>
      <c r="W350" s="192"/>
      <c r="X350" s="192"/>
      <c r="Y350" s="16">
        <v>180</v>
      </c>
      <c r="Z350" s="16"/>
      <c r="AA350" s="16"/>
      <c r="AB350" s="16"/>
      <c r="AC350" s="16"/>
      <c r="AD350" s="16"/>
      <c r="AE350" s="16"/>
      <c r="AF350" s="16">
        <v>4</v>
      </c>
      <c r="AG350" s="16"/>
      <c r="AH350" s="192"/>
      <c r="AI350" s="193"/>
      <c r="AJ350" s="25"/>
      <c r="AK350" s="192"/>
      <c r="AL350" s="16" t="s">
        <v>111</v>
      </c>
      <c r="AM350" s="16" t="s">
        <v>161</v>
      </c>
      <c r="AN350" s="193" t="s">
        <v>4378</v>
      </c>
      <c r="AO350" s="193" t="s">
        <v>441</v>
      </c>
      <c r="AP350" s="193" t="s">
        <v>115</v>
      </c>
      <c r="AQ350" s="193" t="s">
        <v>260</v>
      </c>
      <c r="AR350" s="12">
        <f t="shared" si="13"/>
        <v>22</v>
      </c>
      <c r="AS350" s="12" t="str">
        <f t="shared" si="14"/>
        <v/>
      </c>
      <c r="AT350" s="18"/>
    </row>
    <row r="351" spans="1:46" s="19" customFormat="1" ht="20.100000000000001" hidden="1" customHeight="1" x14ac:dyDescent="0.2">
      <c r="A351" s="222">
        <v>339</v>
      </c>
      <c r="B351" s="16" t="s">
        <v>4972</v>
      </c>
      <c r="C351" s="16" t="s">
        <v>1731</v>
      </c>
      <c r="D351" s="193" t="s">
        <v>1548</v>
      </c>
      <c r="E351" s="193" t="s">
        <v>8</v>
      </c>
      <c r="F351" s="193"/>
      <c r="G351" s="193"/>
      <c r="H351" s="192" t="s">
        <v>7</v>
      </c>
      <c r="I351" s="16"/>
      <c r="J351" s="193" t="s">
        <v>155</v>
      </c>
      <c r="K351" s="193" t="s">
        <v>155</v>
      </c>
      <c r="L351" s="193"/>
      <c r="M351" s="272" t="s">
        <v>106</v>
      </c>
      <c r="N351" s="271" t="s">
        <v>107</v>
      </c>
      <c r="O351" s="193" t="s">
        <v>167</v>
      </c>
      <c r="P351" s="193" t="s">
        <v>3679</v>
      </c>
      <c r="Q351" s="193" t="s">
        <v>441</v>
      </c>
      <c r="R351" s="193"/>
      <c r="S351" s="193" t="s">
        <v>106</v>
      </c>
      <c r="T351" s="193" t="s">
        <v>107</v>
      </c>
      <c r="U351" s="192"/>
      <c r="V351" s="192"/>
      <c r="W351" s="192">
        <v>241</v>
      </c>
      <c r="X351" s="192">
        <v>231</v>
      </c>
      <c r="Y351" s="16">
        <v>231</v>
      </c>
      <c r="Z351" s="16">
        <v>60</v>
      </c>
      <c r="AA351" s="16">
        <v>108</v>
      </c>
      <c r="AB351" s="16">
        <v>8</v>
      </c>
      <c r="AC351" s="16">
        <v>56</v>
      </c>
      <c r="AD351" s="16">
        <v>189</v>
      </c>
      <c r="AE351" s="16">
        <v>31</v>
      </c>
      <c r="AF351" s="16">
        <v>6</v>
      </c>
      <c r="AG351" s="16"/>
      <c r="AH351" s="192"/>
      <c r="AI351" s="193" t="s">
        <v>4971</v>
      </c>
      <c r="AJ351" s="25"/>
      <c r="AK351" s="192"/>
      <c r="AL351" s="16" t="s">
        <v>160</v>
      </c>
      <c r="AM351" s="16" t="s">
        <v>165</v>
      </c>
      <c r="AN351" s="193"/>
      <c r="AO351" s="193"/>
      <c r="AP351" s="193"/>
      <c r="AQ351" s="193"/>
      <c r="AR351" s="12" t="str">
        <f t="shared" si="13"/>
        <v/>
      </c>
      <c r="AS351" s="12" t="str">
        <f t="shared" si="14"/>
        <v/>
      </c>
      <c r="AT351" s="18"/>
    </row>
    <row r="352" spans="1:46" s="19" customFormat="1" ht="20.100000000000001" hidden="1" customHeight="1" x14ac:dyDescent="0.2">
      <c r="A352" s="222">
        <v>340</v>
      </c>
      <c r="B352" s="16" t="s">
        <v>4972</v>
      </c>
      <c r="C352" s="16" t="s">
        <v>1731</v>
      </c>
      <c r="D352" s="193" t="s">
        <v>3872</v>
      </c>
      <c r="E352" s="193" t="s">
        <v>6</v>
      </c>
      <c r="F352" s="193" t="s">
        <v>202</v>
      </c>
      <c r="G352" s="193"/>
      <c r="H352" s="192" t="s">
        <v>83</v>
      </c>
      <c r="I352" s="16"/>
      <c r="J352" s="193"/>
      <c r="K352" s="272" t="s">
        <v>141</v>
      </c>
      <c r="L352" s="272" t="s">
        <v>3512</v>
      </c>
      <c r="M352" s="272" t="s">
        <v>106</v>
      </c>
      <c r="N352" s="271" t="s">
        <v>107</v>
      </c>
      <c r="O352" s="193"/>
      <c r="P352" s="272" t="s">
        <v>2961</v>
      </c>
      <c r="Q352" s="272" t="s">
        <v>2348</v>
      </c>
      <c r="R352" s="272" t="s">
        <v>3754</v>
      </c>
      <c r="S352" s="272" t="s">
        <v>106</v>
      </c>
      <c r="T352" s="272" t="s">
        <v>107</v>
      </c>
      <c r="U352" s="16" t="s">
        <v>3966</v>
      </c>
      <c r="V352" s="192"/>
      <c r="W352" s="192"/>
      <c r="X352" s="192"/>
      <c r="Y352" s="16">
        <v>198</v>
      </c>
      <c r="Z352" s="16"/>
      <c r="AA352" s="16"/>
      <c r="AB352" s="16"/>
      <c r="AC352" s="16"/>
      <c r="AD352" s="16"/>
      <c r="AE352" s="16"/>
      <c r="AF352" s="16">
        <v>6</v>
      </c>
      <c r="AG352" s="16"/>
      <c r="AH352" s="192"/>
      <c r="AI352" s="193"/>
      <c r="AJ352" s="25"/>
      <c r="AK352" s="192"/>
      <c r="AL352" s="16" t="s">
        <v>111</v>
      </c>
      <c r="AM352" s="16" t="s">
        <v>231</v>
      </c>
      <c r="AN352" s="193" t="s">
        <v>4378</v>
      </c>
      <c r="AO352" s="193" t="s">
        <v>441</v>
      </c>
      <c r="AP352" s="193" t="s">
        <v>113</v>
      </c>
      <c r="AQ352" s="193" t="s">
        <v>148</v>
      </c>
      <c r="AR352" s="12">
        <f t="shared" si="13"/>
        <v>14</v>
      </c>
      <c r="AS352" s="12" t="str">
        <f t="shared" si="14"/>
        <v/>
      </c>
      <c r="AT352" s="18"/>
    </row>
    <row r="353" spans="1:46" s="19" customFormat="1" ht="20.100000000000001" hidden="1" customHeight="1" x14ac:dyDescent="0.2">
      <c r="A353" s="222">
        <v>341</v>
      </c>
      <c r="B353" s="16" t="s">
        <v>4975</v>
      </c>
      <c r="C353" s="16" t="s">
        <v>1731</v>
      </c>
      <c r="D353" s="193" t="s">
        <v>591</v>
      </c>
      <c r="E353" s="193" t="s">
        <v>9</v>
      </c>
      <c r="F353" s="193"/>
      <c r="G353" s="193"/>
      <c r="H353" s="192" t="s">
        <v>7</v>
      </c>
      <c r="I353" s="16"/>
      <c r="J353" s="35" t="s">
        <v>155</v>
      </c>
      <c r="K353" s="35" t="s">
        <v>68</v>
      </c>
      <c r="L353" s="193"/>
      <c r="M353" s="193" t="s">
        <v>106</v>
      </c>
      <c r="N353" s="192" t="s">
        <v>107</v>
      </c>
      <c r="O353" s="35" t="s">
        <v>167</v>
      </c>
      <c r="P353" s="35" t="s">
        <v>1510</v>
      </c>
      <c r="Q353" s="35" t="s">
        <v>769</v>
      </c>
      <c r="R353" s="193"/>
      <c r="S353" s="193" t="s">
        <v>73</v>
      </c>
      <c r="T353" s="193" t="s">
        <v>70</v>
      </c>
      <c r="U353" s="192"/>
      <c r="V353" s="192"/>
      <c r="W353" s="192">
        <v>250</v>
      </c>
      <c r="X353" s="192">
        <v>231</v>
      </c>
      <c r="Y353" s="16">
        <v>231</v>
      </c>
      <c r="Z353" s="16">
        <v>160</v>
      </c>
      <c r="AA353" s="16">
        <v>189</v>
      </c>
      <c r="AB353" s="16">
        <v>7</v>
      </c>
      <c r="AC353" s="16">
        <v>25</v>
      </c>
      <c r="AD353" s="16">
        <v>221</v>
      </c>
      <c r="AE353" s="16">
        <v>17</v>
      </c>
      <c r="AF353" s="16">
        <v>6</v>
      </c>
      <c r="AG353" s="16"/>
      <c r="AH353" s="192"/>
      <c r="AI353" s="193" t="s">
        <v>4974</v>
      </c>
      <c r="AJ353" s="25">
        <v>225</v>
      </c>
      <c r="AK353" s="192">
        <v>18.2</v>
      </c>
      <c r="AL353" s="16" t="s">
        <v>160</v>
      </c>
      <c r="AM353" s="16" t="s">
        <v>165</v>
      </c>
      <c r="AN353" s="193"/>
      <c r="AO353" s="193"/>
      <c r="AP353" s="193"/>
      <c r="AQ353" s="193"/>
      <c r="AR353" s="12" t="str">
        <f t="shared" si="13"/>
        <v/>
      </c>
      <c r="AS353" s="12" t="str">
        <f t="shared" si="14"/>
        <v/>
      </c>
      <c r="AT353" s="18"/>
    </row>
    <row r="354" spans="1:46" s="19" customFormat="1" ht="20.100000000000001" hidden="1" customHeight="1" x14ac:dyDescent="0.2">
      <c r="A354" s="222">
        <v>342</v>
      </c>
      <c r="B354" s="16" t="s">
        <v>4976</v>
      </c>
      <c r="C354" s="16" t="s">
        <v>1731</v>
      </c>
      <c r="D354" s="193" t="s">
        <v>3363</v>
      </c>
      <c r="E354" s="193" t="s">
        <v>19</v>
      </c>
      <c r="F354" s="193" t="s">
        <v>4038</v>
      </c>
      <c r="G354" s="193"/>
      <c r="H354" s="192" t="s">
        <v>83</v>
      </c>
      <c r="I354" s="16" t="s">
        <v>84</v>
      </c>
      <c r="J354" s="193"/>
      <c r="K354" s="273" t="s">
        <v>68</v>
      </c>
      <c r="L354" s="273" t="s">
        <v>293</v>
      </c>
      <c r="M354" s="273" t="s">
        <v>106</v>
      </c>
      <c r="N354" s="274" t="s">
        <v>107</v>
      </c>
      <c r="O354" s="193"/>
      <c r="P354" s="273" t="s">
        <v>1510</v>
      </c>
      <c r="Q354" s="273" t="s">
        <v>1581</v>
      </c>
      <c r="R354" s="273" t="s">
        <v>3364</v>
      </c>
      <c r="S354" s="273" t="s">
        <v>73</v>
      </c>
      <c r="T354" s="273" t="s">
        <v>70</v>
      </c>
      <c r="U354" s="16" t="s">
        <v>3362</v>
      </c>
      <c r="V354" s="192"/>
      <c r="W354" s="175"/>
      <c r="X354" s="175"/>
      <c r="Y354" s="175">
        <v>210</v>
      </c>
      <c r="Z354" s="175"/>
      <c r="AA354" s="175"/>
      <c r="AB354" s="175"/>
      <c r="AC354" s="175"/>
      <c r="AD354" s="175"/>
      <c r="AE354" s="175"/>
      <c r="AF354" s="16">
        <v>4</v>
      </c>
      <c r="AG354" s="16"/>
      <c r="AH354" s="192"/>
      <c r="AI354" s="193"/>
      <c r="AJ354" s="25"/>
      <c r="AK354" s="192"/>
      <c r="AL354" s="16" t="s">
        <v>160</v>
      </c>
      <c r="AM354" s="16" t="s">
        <v>193</v>
      </c>
      <c r="AN354" s="193" t="s">
        <v>4378</v>
      </c>
      <c r="AO354" s="193" t="s">
        <v>441</v>
      </c>
      <c r="AP354" s="193" t="s">
        <v>113</v>
      </c>
      <c r="AQ354" s="193" t="s">
        <v>235</v>
      </c>
      <c r="AR354" s="12">
        <f t="shared" si="13"/>
        <v>19</v>
      </c>
      <c r="AS354" s="12" t="str">
        <f t="shared" si="14"/>
        <v/>
      </c>
      <c r="AT354" s="18"/>
    </row>
    <row r="355" spans="1:46" s="19" customFormat="1" ht="20.100000000000001" hidden="1" customHeight="1" x14ac:dyDescent="0.2">
      <c r="A355" s="222">
        <v>343</v>
      </c>
      <c r="B355" s="16" t="s">
        <v>4977</v>
      </c>
      <c r="C355" s="16" t="s">
        <v>1731</v>
      </c>
      <c r="D355" s="193" t="s">
        <v>3294</v>
      </c>
      <c r="E355" s="193" t="s">
        <v>66</v>
      </c>
      <c r="F355" s="193" t="s">
        <v>4038</v>
      </c>
      <c r="G355" s="193"/>
      <c r="H355" s="192" t="s">
        <v>83</v>
      </c>
      <c r="I355" s="16"/>
      <c r="J355" s="193"/>
      <c r="K355" s="193" t="s">
        <v>223</v>
      </c>
      <c r="L355" s="193" t="s">
        <v>3304</v>
      </c>
      <c r="M355" s="193" t="s">
        <v>69</v>
      </c>
      <c r="N355" s="192" t="s">
        <v>70</v>
      </c>
      <c r="O355" s="193"/>
      <c r="P355" s="193" t="s">
        <v>2961</v>
      </c>
      <c r="Q355" s="193" t="s">
        <v>441</v>
      </c>
      <c r="R355" s="193" t="s">
        <v>3305</v>
      </c>
      <c r="S355" s="193" t="s">
        <v>69</v>
      </c>
      <c r="T355" s="193" t="s">
        <v>70</v>
      </c>
      <c r="U355" s="192" t="s">
        <v>3293</v>
      </c>
      <c r="V355" s="192"/>
      <c r="W355" s="192"/>
      <c r="X355" s="192"/>
      <c r="Y355" s="16">
        <v>99</v>
      </c>
      <c r="Z355" s="16"/>
      <c r="AA355" s="16"/>
      <c r="AB355" s="16"/>
      <c r="AC355" s="16"/>
      <c r="AD355" s="16"/>
      <c r="AE355" s="16"/>
      <c r="AF355" s="16">
        <v>4</v>
      </c>
      <c r="AG355" s="16"/>
      <c r="AH355" s="192"/>
      <c r="AI355" s="193"/>
      <c r="AJ355" s="25"/>
      <c r="AK355" s="192"/>
      <c r="AL355" s="16"/>
      <c r="AM355" s="16"/>
      <c r="AN355" s="193" t="s">
        <v>4378</v>
      </c>
      <c r="AO355" s="193" t="s">
        <v>441</v>
      </c>
      <c r="AP355" s="193" t="s">
        <v>113</v>
      </c>
      <c r="AQ355" s="193" t="s">
        <v>296</v>
      </c>
      <c r="AR355" s="12">
        <f t="shared" si="13"/>
        <v>20</v>
      </c>
      <c r="AS355" s="12" t="str">
        <f t="shared" si="14"/>
        <v/>
      </c>
      <c r="AT355" s="18"/>
    </row>
    <row r="356" spans="1:46" s="19" customFormat="1" ht="20.100000000000001" hidden="1" customHeight="1" x14ac:dyDescent="0.2">
      <c r="A356" s="222">
        <v>344</v>
      </c>
      <c r="B356" s="16" t="s">
        <v>4977</v>
      </c>
      <c r="C356" s="16" t="s">
        <v>1731</v>
      </c>
      <c r="D356" s="193" t="s">
        <v>3294</v>
      </c>
      <c r="E356" s="193" t="s">
        <v>66</v>
      </c>
      <c r="F356" s="193"/>
      <c r="G356" s="193"/>
      <c r="H356" s="192" t="s">
        <v>7</v>
      </c>
      <c r="I356" s="16"/>
      <c r="J356" s="193" t="s">
        <v>223</v>
      </c>
      <c r="K356" s="193" t="s">
        <v>223</v>
      </c>
      <c r="L356" s="193"/>
      <c r="M356" s="193" t="s">
        <v>69</v>
      </c>
      <c r="N356" s="192" t="s">
        <v>70</v>
      </c>
      <c r="O356" s="193" t="s">
        <v>230</v>
      </c>
      <c r="P356" s="193" t="s">
        <v>2961</v>
      </c>
      <c r="Q356" s="193" t="s">
        <v>441</v>
      </c>
      <c r="R356" s="193"/>
      <c r="S356" s="193" t="s">
        <v>73</v>
      </c>
      <c r="T356" s="193" t="s">
        <v>70</v>
      </c>
      <c r="U356" s="192"/>
      <c r="V356" s="192"/>
      <c r="W356" s="192"/>
      <c r="X356" s="192"/>
      <c r="Y356" s="16"/>
      <c r="Z356" s="16"/>
      <c r="AA356" s="16"/>
      <c r="AB356" s="16"/>
      <c r="AC356" s="16"/>
      <c r="AD356" s="16"/>
      <c r="AE356" s="16"/>
      <c r="AF356" s="16">
        <v>4</v>
      </c>
      <c r="AG356" s="16"/>
      <c r="AH356" s="192"/>
      <c r="AI356" s="193"/>
      <c r="AJ356" s="25"/>
      <c r="AK356" s="192"/>
      <c r="AL356" s="16"/>
      <c r="AM356" s="16"/>
      <c r="AN356" s="193"/>
      <c r="AO356" s="193"/>
      <c r="AP356" s="193"/>
      <c r="AQ356" s="193"/>
      <c r="AR356" s="12" t="str">
        <f t="shared" si="13"/>
        <v/>
      </c>
      <c r="AS356" s="12" t="str">
        <f t="shared" si="14"/>
        <v/>
      </c>
      <c r="AT356" s="18"/>
    </row>
    <row r="357" spans="1:46" s="19" customFormat="1" ht="20.100000000000001" hidden="1" customHeight="1" x14ac:dyDescent="0.2">
      <c r="A357" s="222">
        <v>345</v>
      </c>
      <c r="B357" s="16" t="s">
        <v>4978</v>
      </c>
      <c r="C357" s="16" t="s">
        <v>1731</v>
      </c>
      <c r="D357" s="193" t="s">
        <v>2824</v>
      </c>
      <c r="E357" s="193" t="s">
        <v>9</v>
      </c>
      <c r="F357" s="193"/>
      <c r="G357" s="193"/>
      <c r="H357" s="192" t="s">
        <v>7</v>
      </c>
      <c r="I357" s="16"/>
      <c r="J357" s="193" t="s">
        <v>68</v>
      </c>
      <c r="K357" s="193" t="s">
        <v>68</v>
      </c>
      <c r="L357" s="193"/>
      <c r="M357" s="193" t="s">
        <v>106</v>
      </c>
      <c r="N357" s="192" t="s">
        <v>107</v>
      </c>
      <c r="O357" s="193" t="s">
        <v>263</v>
      </c>
      <c r="P357" s="193" t="s">
        <v>3680</v>
      </c>
      <c r="Q357" s="193" t="s">
        <v>2348</v>
      </c>
      <c r="R357" s="193"/>
      <c r="S357" s="193" t="s">
        <v>106</v>
      </c>
      <c r="T357" s="193" t="s">
        <v>107</v>
      </c>
      <c r="U357" s="192"/>
      <c r="V357" s="192"/>
      <c r="W357" s="192">
        <v>252</v>
      </c>
      <c r="X357" s="192">
        <v>234</v>
      </c>
      <c r="Y357" s="16">
        <v>234</v>
      </c>
      <c r="Z357" s="16">
        <v>122</v>
      </c>
      <c r="AA357" s="16">
        <v>169</v>
      </c>
      <c r="AB357" s="16">
        <v>4</v>
      </c>
      <c r="AC357" s="16">
        <v>15</v>
      </c>
      <c r="AD357" s="16">
        <v>188</v>
      </c>
      <c r="AE357" s="16">
        <v>19</v>
      </c>
      <c r="AF357" s="16">
        <v>6</v>
      </c>
      <c r="AG357" s="16"/>
      <c r="AH357" s="192"/>
      <c r="AI357" s="193" t="s">
        <v>4976</v>
      </c>
      <c r="AJ357" s="25">
        <v>181</v>
      </c>
      <c r="AK357" s="192">
        <v>21.6</v>
      </c>
      <c r="AL357" s="16" t="s">
        <v>160</v>
      </c>
      <c r="AM357" s="16" t="s">
        <v>165</v>
      </c>
      <c r="AN357" s="193"/>
      <c r="AO357" s="193"/>
      <c r="AP357" s="193"/>
      <c r="AQ357" s="193"/>
      <c r="AR357" s="12" t="str">
        <f t="shared" si="13"/>
        <v/>
      </c>
      <c r="AS357" s="12" t="str">
        <f t="shared" si="14"/>
        <v/>
      </c>
      <c r="AT357" s="18"/>
    </row>
    <row r="358" spans="1:46" s="19" customFormat="1" ht="20.100000000000001" hidden="1" customHeight="1" x14ac:dyDescent="0.2">
      <c r="A358" s="222">
        <v>346</v>
      </c>
      <c r="B358" s="16" t="s">
        <v>4981</v>
      </c>
      <c r="C358" s="16" t="s">
        <v>1731</v>
      </c>
      <c r="D358" s="193" t="s">
        <v>3363</v>
      </c>
      <c r="E358" s="193" t="s">
        <v>19</v>
      </c>
      <c r="F358" s="193"/>
      <c r="G358" s="193"/>
      <c r="H358" s="192" t="s">
        <v>7</v>
      </c>
      <c r="I358" s="16" t="s">
        <v>84</v>
      </c>
      <c r="J358" s="193" t="s">
        <v>140</v>
      </c>
      <c r="K358" s="193" t="s">
        <v>140</v>
      </c>
      <c r="L358" s="193" t="s">
        <v>4982</v>
      </c>
      <c r="M358" s="193" t="s">
        <v>106</v>
      </c>
      <c r="N358" s="192" t="s">
        <v>107</v>
      </c>
      <c r="O358" s="193" t="s">
        <v>276</v>
      </c>
      <c r="P358" s="193" t="s">
        <v>1809</v>
      </c>
      <c r="Q358" s="193" t="s">
        <v>1581</v>
      </c>
      <c r="R358" s="193"/>
      <c r="S358" s="193" t="s">
        <v>69</v>
      </c>
      <c r="T358" s="193" t="s">
        <v>70</v>
      </c>
      <c r="U358" s="192"/>
      <c r="V358" s="192"/>
      <c r="W358" s="192">
        <v>224</v>
      </c>
      <c r="X358" s="192">
        <v>210</v>
      </c>
      <c r="Y358" s="16">
        <v>210</v>
      </c>
      <c r="Z358" s="16">
        <v>110</v>
      </c>
      <c r="AA358" s="16">
        <v>186</v>
      </c>
      <c r="AB358" s="16">
        <v>5</v>
      </c>
      <c r="AC358" s="16">
        <v>62</v>
      </c>
      <c r="AD358" s="16">
        <v>253</v>
      </c>
      <c r="AE358" s="16">
        <v>6</v>
      </c>
      <c r="AF358" s="16">
        <v>4</v>
      </c>
      <c r="AG358" s="16"/>
      <c r="AH358" s="192"/>
      <c r="AI358" s="193" t="s">
        <v>4961</v>
      </c>
      <c r="AJ358" s="25">
        <v>239</v>
      </c>
      <c r="AK358" s="192">
        <v>6.3</v>
      </c>
      <c r="AL358" s="16" t="s">
        <v>160</v>
      </c>
      <c r="AM358" s="16" t="s">
        <v>112</v>
      </c>
      <c r="AN358" s="193"/>
      <c r="AO358" s="193"/>
      <c r="AP358" s="193"/>
      <c r="AQ358" s="193"/>
      <c r="AR358" s="12" t="str">
        <f t="shared" si="13"/>
        <v/>
      </c>
      <c r="AS358" s="12" t="str">
        <f t="shared" si="14"/>
        <v/>
      </c>
      <c r="AT358" s="18"/>
    </row>
    <row r="359" spans="1:46" s="19" customFormat="1" ht="20.100000000000001" hidden="1" customHeight="1" x14ac:dyDescent="0.2">
      <c r="A359" s="222">
        <v>347</v>
      </c>
      <c r="B359" s="16" t="s">
        <v>4981</v>
      </c>
      <c r="C359" s="16" t="s">
        <v>1731</v>
      </c>
      <c r="D359" s="193" t="s">
        <v>2501</v>
      </c>
      <c r="E359" s="193" t="s">
        <v>9</v>
      </c>
      <c r="F359" s="193" t="s">
        <v>4589</v>
      </c>
      <c r="G359" s="193"/>
      <c r="H359" s="192" t="s">
        <v>83</v>
      </c>
      <c r="I359" s="16" t="s">
        <v>92</v>
      </c>
      <c r="J359" s="193"/>
      <c r="K359" s="193" t="s">
        <v>68</v>
      </c>
      <c r="L359" s="193"/>
      <c r="M359" s="193" t="s">
        <v>119</v>
      </c>
      <c r="N359" s="192" t="s">
        <v>107</v>
      </c>
      <c r="O359" s="193"/>
      <c r="P359" s="193" t="s">
        <v>3677</v>
      </c>
      <c r="Q359" s="193" t="s">
        <v>485</v>
      </c>
      <c r="R359" s="193"/>
      <c r="S359" s="276" t="s">
        <v>119</v>
      </c>
      <c r="T359" s="276" t="s">
        <v>107</v>
      </c>
      <c r="U359" s="275" t="s">
        <v>4983</v>
      </c>
      <c r="V359" s="192"/>
      <c r="W359" s="192"/>
      <c r="X359" s="192"/>
      <c r="Y359" s="16">
        <v>210</v>
      </c>
      <c r="Z359" s="16"/>
      <c r="AA359" s="16"/>
      <c r="AB359" s="16"/>
      <c r="AC359" s="16"/>
      <c r="AD359" s="16"/>
      <c r="AE359" s="16"/>
      <c r="AF359" s="16">
        <v>6</v>
      </c>
      <c r="AG359" s="16"/>
      <c r="AH359" s="192"/>
      <c r="AI359" s="193"/>
      <c r="AJ359" s="25"/>
      <c r="AK359" s="192"/>
      <c r="AL359" s="16" t="s">
        <v>160</v>
      </c>
      <c r="AM359" s="16" t="s">
        <v>165</v>
      </c>
      <c r="AN359" s="193" t="s">
        <v>4378</v>
      </c>
      <c r="AO359" s="193" t="s">
        <v>441</v>
      </c>
      <c r="AP359" s="193" t="s">
        <v>136</v>
      </c>
      <c r="AQ359" s="193" t="s">
        <v>266</v>
      </c>
      <c r="AR359" s="12">
        <f t="shared" si="13"/>
        <v>37</v>
      </c>
      <c r="AS359" s="12" t="str">
        <f t="shared" si="14"/>
        <v/>
      </c>
      <c r="AT359" s="18" t="s">
        <v>4984</v>
      </c>
    </row>
    <row r="360" spans="1:46" s="21" customFormat="1" ht="37.5" hidden="1" x14ac:dyDescent="0.2">
      <c r="A360" s="20">
        <v>348</v>
      </c>
      <c r="B360" s="29" t="s">
        <v>4985</v>
      </c>
      <c r="C360" s="29" t="s">
        <v>1731</v>
      </c>
      <c r="D360" s="30" t="s">
        <v>1297</v>
      </c>
      <c r="E360" s="30" t="s">
        <v>6</v>
      </c>
      <c r="F360" s="30" t="s">
        <v>202</v>
      </c>
      <c r="G360" s="193"/>
      <c r="H360" s="20" t="s">
        <v>83</v>
      </c>
      <c r="I360" s="29" t="s">
        <v>84</v>
      </c>
      <c r="J360" s="30"/>
      <c r="K360" s="30" t="s">
        <v>155</v>
      </c>
      <c r="L360" s="30" t="s">
        <v>4917</v>
      </c>
      <c r="M360" s="30" t="s">
        <v>106</v>
      </c>
      <c r="N360" s="20" t="s">
        <v>107</v>
      </c>
      <c r="O360" s="30"/>
      <c r="P360" s="30" t="s">
        <v>3677</v>
      </c>
      <c r="Q360" s="30" t="s">
        <v>441</v>
      </c>
      <c r="R360" s="30" t="s">
        <v>4918</v>
      </c>
      <c r="S360" s="30" t="s">
        <v>106</v>
      </c>
      <c r="T360" s="30" t="s">
        <v>107</v>
      </c>
      <c r="U360" s="29" t="s">
        <v>4909</v>
      </c>
      <c r="V360" s="192"/>
      <c r="W360" s="20"/>
      <c r="X360" s="20"/>
      <c r="Y360" s="29">
        <v>234</v>
      </c>
      <c r="Z360" s="29"/>
      <c r="AA360" s="29"/>
      <c r="AB360" s="29"/>
      <c r="AC360" s="29"/>
      <c r="AD360" s="29"/>
      <c r="AE360" s="29"/>
      <c r="AF360" s="29">
        <v>6</v>
      </c>
      <c r="AG360" s="16"/>
      <c r="AH360" s="192"/>
      <c r="AI360" s="30"/>
      <c r="AJ360" s="36"/>
      <c r="AK360" s="20"/>
      <c r="AL360" s="29" t="s">
        <v>160</v>
      </c>
      <c r="AM360" s="29" t="s">
        <v>165</v>
      </c>
      <c r="AN360" s="30" t="s">
        <v>4378</v>
      </c>
      <c r="AO360" s="30" t="s">
        <v>441</v>
      </c>
      <c r="AP360" s="30" t="s">
        <v>4378</v>
      </c>
      <c r="AQ360" s="30" t="s">
        <v>441</v>
      </c>
      <c r="AR360" s="31">
        <f t="shared" si="13"/>
        <v>0</v>
      </c>
      <c r="AS360" s="31">
        <f t="shared" si="14"/>
        <v>0</v>
      </c>
      <c r="AT360" s="284" t="s">
        <v>4988</v>
      </c>
    </row>
    <row r="361" spans="1:46" s="19" customFormat="1" ht="20.100000000000001" customHeight="1" x14ac:dyDescent="0.2">
      <c r="A361" s="222">
        <v>349</v>
      </c>
      <c r="B361" s="16" t="s">
        <v>4987</v>
      </c>
      <c r="C361" s="16" t="s">
        <v>1863</v>
      </c>
      <c r="D361" s="193" t="s">
        <v>4986</v>
      </c>
      <c r="E361" s="193" t="s">
        <v>6</v>
      </c>
      <c r="F361" s="193"/>
      <c r="G361" s="193"/>
      <c r="H361" s="192" t="s">
        <v>7</v>
      </c>
      <c r="I361" s="16" t="s">
        <v>84</v>
      </c>
      <c r="J361" s="35" t="s">
        <v>155</v>
      </c>
      <c r="K361" s="35" t="s">
        <v>140</v>
      </c>
      <c r="L361" s="193"/>
      <c r="M361" s="277" t="s">
        <v>106</v>
      </c>
      <c r="N361" s="278" t="s">
        <v>107</v>
      </c>
      <c r="O361" s="35" t="s">
        <v>324</v>
      </c>
      <c r="P361" s="35" t="s">
        <v>1809</v>
      </c>
      <c r="Q361" s="35" t="s">
        <v>226</v>
      </c>
      <c r="R361" s="193"/>
      <c r="S361" s="277" t="s">
        <v>69</v>
      </c>
      <c r="T361" s="277" t="s">
        <v>70</v>
      </c>
      <c r="U361" s="192"/>
      <c r="V361" s="192"/>
      <c r="W361" s="192">
        <v>240</v>
      </c>
      <c r="X361" s="192">
        <v>222</v>
      </c>
      <c r="Y361" s="16">
        <v>222</v>
      </c>
      <c r="Z361" s="16">
        <v>177</v>
      </c>
      <c r="AA361" s="16">
        <v>192</v>
      </c>
      <c r="AB361" s="16">
        <v>4</v>
      </c>
      <c r="AC361" s="16">
        <v>8</v>
      </c>
      <c r="AD361" s="16">
        <v>205</v>
      </c>
      <c r="AE361" s="16">
        <v>8</v>
      </c>
      <c r="AF361" s="34">
        <v>4</v>
      </c>
      <c r="AG361" s="16"/>
      <c r="AH361" s="192"/>
      <c r="AI361" s="193" t="s">
        <v>4981</v>
      </c>
      <c r="AJ361" s="25">
        <v>209</v>
      </c>
      <c r="AK361" s="192">
        <v>7.2</v>
      </c>
      <c r="AL361" s="16" t="s">
        <v>160</v>
      </c>
      <c r="AM361" s="16"/>
      <c r="AN361" s="193"/>
      <c r="AO361" s="193"/>
      <c r="AP361" s="193"/>
      <c r="AQ361" s="193"/>
      <c r="AR361" s="12" t="str">
        <f t="shared" si="13"/>
        <v/>
      </c>
      <c r="AS361" s="12" t="str">
        <f t="shared" si="14"/>
        <v/>
      </c>
      <c r="AT361" s="18"/>
    </row>
    <row r="362" spans="1:46" s="19" customFormat="1" ht="20.100000000000001" hidden="1" customHeight="1" x14ac:dyDescent="0.2">
      <c r="A362" s="222">
        <v>350</v>
      </c>
      <c r="B362" s="16" t="s">
        <v>4989</v>
      </c>
      <c r="C362" s="16" t="s">
        <v>1863</v>
      </c>
      <c r="D362" s="193" t="s">
        <v>1017</v>
      </c>
      <c r="E362" s="193" t="s">
        <v>10</v>
      </c>
      <c r="F362" s="193"/>
      <c r="G362" s="193"/>
      <c r="H362" s="192" t="s">
        <v>7</v>
      </c>
      <c r="I362" s="16" t="s">
        <v>92</v>
      </c>
      <c r="J362" s="35" t="s">
        <v>155</v>
      </c>
      <c r="K362" s="35" t="s">
        <v>117</v>
      </c>
      <c r="L362" s="193"/>
      <c r="M362" s="193" t="s">
        <v>106</v>
      </c>
      <c r="N362" s="192" t="s">
        <v>107</v>
      </c>
      <c r="O362" s="35" t="s">
        <v>170</v>
      </c>
      <c r="P362" s="35" t="s">
        <v>2961</v>
      </c>
      <c r="Q362" s="35" t="s">
        <v>226</v>
      </c>
      <c r="R362" s="193"/>
      <c r="S362" s="193" t="s">
        <v>106</v>
      </c>
      <c r="T362" s="193" t="s">
        <v>107</v>
      </c>
      <c r="U362" s="192"/>
      <c r="V362" s="192"/>
      <c r="W362" s="192">
        <v>198</v>
      </c>
      <c r="X362" s="33">
        <v>210</v>
      </c>
      <c r="Y362" s="34">
        <v>192</v>
      </c>
      <c r="Z362" s="16">
        <v>172</v>
      </c>
      <c r="AA362" s="16">
        <v>184</v>
      </c>
      <c r="AB362" s="16">
        <v>2</v>
      </c>
      <c r="AC362" s="16">
        <v>40</v>
      </c>
      <c r="AD362" s="16">
        <v>226</v>
      </c>
      <c r="AE362" s="16">
        <v>9</v>
      </c>
      <c r="AF362" s="16">
        <v>6</v>
      </c>
      <c r="AG362" s="16"/>
      <c r="AH362" s="192"/>
      <c r="AI362" s="193" t="s">
        <v>4987</v>
      </c>
      <c r="AJ362" s="25">
        <v>233</v>
      </c>
      <c r="AK362" s="192">
        <v>10.5</v>
      </c>
      <c r="AL362" s="16" t="s">
        <v>160</v>
      </c>
      <c r="AM362" s="16"/>
      <c r="AN362" s="193"/>
      <c r="AO362" s="193"/>
      <c r="AP362" s="193"/>
      <c r="AQ362" s="193"/>
      <c r="AR362" s="12" t="str">
        <f t="shared" si="13"/>
        <v/>
      </c>
      <c r="AS362" s="12" t="str">
        <f t="shared" si="14"/>
        <v/>
      </c>
      <c r="AT362" s="18"/>
    </row>
    <row r="363" spans="1:46" s="19" customFormat="1" ht="20.100000000000001" hidden="1" customHeight="1" x14ac:dyDescent="0.2">
      <c r="A363" s="222">
        <v>351</v>
      </c>
      <c r="B363" s="16" t="s">
        <v>4989</v>
      </c>
      <c r="C363" s="16" t="s">
        <v>1863</v>
      </c>
      <c r="D363" s="193" t="s">
        <v>1758</v>
      </c>
      <c r="E363" s="193" t="s">
        <v>66</v>
      </c>
      <c r="F363" s="193"/>
      <c r="G363" s="193"/>
      <c r="H363" s="192" t="s">
        <v>83</v>
      </c>
      <c r="I363" s="16" t="s">
        <v>84</v>
      </c>
      <c r="J363" s="193"/>
      <c r="K363" s="193" t="s">
        <v>226</v>
      </c>
      <c r="L363" s="193" t="s">
        <v>3285</v>
      </c>
      <c r="M363" s="193" t="s">
        <v>106</v>
      </c>
      <c r="N363" s="192" t="s">
        <v>107</v>
      </c>
      <c r="O363" s="193"/>
      <c r="P363" s="193" t="s">
        <v>1809</v>
      </c>
      <c r="Q363" s="193" t="s">
        <v>441</v>
      </c>
      <c r="R363" s="193" t="s">
        <v>3286</v>
      </c>
      <c r="S363" s="193" t="s">
        <v>142</v>
      </c>
      <c r="T363" s="193" t="s">
        <v>70</v>
      </c>
      <c r="U363" s="192" t="s">
        <v>377</v>
      </c>
      <c r="V363" s="192"/>
      <c r="W363" s="175"/>
      <c r="X363" s="175"/>
      <c r="Y363" s="175">
        <v>138</v>
      </c>
      <c r="Z363" s="175"/>
      <c r="AA363" s="175"/>
      <c r="AB363" s="175"/>
      <c r="AC363" s="175"/>
      <c r="AD363" s="175"/>
      <c r="AE363" s="175"/>
      <c r="AF363" s="16">
        <v>4</v>
      </c>
      <c r="AG363" s="16"/>
      <c r="AH363" s="192"/>
      <c r="AI363" s="193"/>
      <c r="AJ363" s="25"/>
      <c r="AK363" s="192"/>
      <c r="AL363" s="16"/>
      <c r="AM363" s="16"/>
      <c r="AN363" s="193" t="s">
        <v>4378</v>
      </c>
      <c r="AO363" s="193" t="s">
        <v>116</v>
      </c>
      <c r="AP363" s="193" t="s">
        <v>113</v>
      </c>
      <c r="AQ363" s="193" t="s">
        <v>296</v>
      </c>
      <c r="AR363" s="12">
        <f t="shared" si="13"/>
        <v>21</v>
      </c>
      <c r="AS363" s="12" t="str">
        <f t="shared" si="14"/>
        <v/>
      </c>
      <c r="AT363" s="18"/>
    </row>
    <row r="364" spans="1:46" s="19" customFormat="1" ht="20.100000000000001" hidden="1" customHeight="1" x14ac:dyDescent="0.2">
      <c r="A364" s="222">
        <v>352</v>
      </c>
      <c r="B364" s="16" t="s">
        <v>4990</v>
      </c>
      <c r="C364" s="16" t="s">
        <v>1863</v>
      </c>
      <c r="D364" s="193" t="s">
        <v>4991</v>
      </c>
      <c r="E364" s="193" t="s">
        <v>20</v>
      </c>
      <c r="F364" s="193" t="s">
        <v>3661</v>
      </c>
      <c r="G364" s="193"/>
      <c r="H364" s="192" t="s">
        <v>83</v>
      </c>
      <c r="I364" s="16" t="s">
        <v>84</v>
      </c>
      <c r="J364" s="193"/>
      <c r="K364" s="193" t="s">
        <v>68</v>
      </c>
      <c r="L364" s="193" t="s">
        <v>5133</v>
      </c>
      <c r="M364" s="193" t="s">
        <v>69</v>
      </c>
      <c r="N364" s="192" t="s">
        <v>70</v>
      </c>
      <c r="O364" s="193"/>
      <c r="P364" s="193" t="s">
        <v>3679</v>
      </c>
      <c r="Q364" s="193" t="s">
        <v>485</v>
      </c>
      <c r="R364" s="193"/>
      <c r="S364" s="193" t="s">
        <v>69</v>
      </c>
      <c r="T364" s="193" t="s">
        <v>70</v>
      </c>
      <c r="U364" s="192" t="s">
        <v>5134</v>
      </c>
      <c r="V364" s="192"/>
      <c r="W364" s="192"/>
      <c r="X364" s="192"/>
      <c r="Y364" s="16">
        <v>201</v>
      </c>
      <c r="Z364" s="16"/>
      <c r="AA364" s="16"/>
      <c r="AB364" s="16"/>
      <c r="AC364" s="16"/>
      <c r="AD364" s="16"/>
      <c r="AE364" s="16"/>
      <c r="AF364" s="16">
        <v>6</v>
      </c>
      <c r="AG364" s="16"/>
      <c r="AH364" s="192"/>
      <c r="AI364" s="193"/>
      <c r="AJ364" s="25"/>
      <c r="AK364" s="192"/>
      <c r="AL364" s="16"/>
      <c r="AM364" s="16"/>
      <c r="AN364" s="193" t="s">
        <v>4378</v>
      </c>
      <c r="AO364" s="193" t="s">
        <v>116</v>
      </c>
      <c r="AP364" s="193" t="s">
        <v>115</v>
      </c>
      <c r="AQ364" s="193" t="s">
        <v>344</v>
      </c>
      <c r="AR364" s="12">
        <f t="shared" si="13"/>
        <v>28</v>
      </c>
      <c r="AS364" s="12" t="str">
        <f t="shared" si="14"/>
        <v/>
      </c>
      <c r="AT364" s="18"/>
    </row>
    <row r="365" spans="1:46" s="19" customFormat="1" ht="20.100000000000001" hidden="1" customHeight="1" x14ac:dyDescent="0.2">
      <c r="A365" s="222">
        <v>353</v>
      </c>
      <c r="B365" s="16" t="s">
        <v>4992</v>
      </c>
      <c r="C365" s="16" t="s">
        <v>1863</v>
      </c>
      <c r="D365" s="280" t="s">
        <v>4991</v>
      </c>
      <c r="E365" s="280" t="s">
        <v>20</v>
      </c>
      <c r="F365" s="193"/>
      <c r="G365" s="193"/>
      <c r="H365" s="192" t="s">
        <v>7</v>
      </c>
      <c r="I365" s="16" t="s">
        <v>84</v>
      </c>
      <c r="J365" s="193" t="s">
        <v>68</v>
      </c>
      <c r="K365" s="193" t="s">
        <v>68</v>
      </c>
      <c r="L365" s="193"/>
      <c r="M365" s="193" t="s">
        <v>106</v>
      </c>
      <c r="N365" s="192" t="s">
        <v>107</v>
      </c>
      <c r="O365" s="35" t="s">
        <v>332</v>
      </c>
      <c r="P365" s="35" t="s">
        <v>3677</v>
      </c>
      <c r="Q365" s="35" t="s">
        <v>485</v>
      </c>
      <c r="R365" s="193"/>
      <c r="S365" s="193" t="s">
        <v>106</v>
      </c>
      <c r="T365" s="193" t="s">
        <v>107</v>
      </c>
      <c r="U365" s="192"/>
      <c r="V365" s="192"/>
      <c r="W365" s="192">
        <v>220</v>
      </c>
      <c r="X365" s="192">
        <v>203</v>
      </c>
      <c r="Y365" s="16">
        <v>203</v>
      </c>
      <c r="Z365" s="16">
        <v>98</v>
      </c>
      <c r="AA365" s="16">
        <v>148</v>
      </c>
      <c r="AB365" s="16">
        <v>3</v>
      </c>
      <c r="AC365" s="16">
        <v>46</v>
      </c>
      <c r="AD365" s="16">
        <v>197</v>
      </c>
      <c r="AE365" s="16">
        <v>18</v>
      </c>
      <c r="AF365" s="16">
        <v>6</v>
      </c>
      <c r="AG365" s="16"/>
      <c r="AH365" s="192"/>
      <c r="AI365" s="193"/>
      <c r="AJ365" s="25"/>
      <c r="AK365" s="192"/>
      <c r="AL365" s="16"/>
      <c r="AM365" s="16"/>
      <c r="AN365" s="193"/>
      <c r="AO365" s="193"/>
      <c r="AP365" s="193"/>
      <c r="AQ365" s="193"/>
      <c r="AR365" s="12" t="str">
        <f t="shared" si="13"/>
        <v/>
      </c>
      <c r="AS365" s="12" t="str">
        <f t="shared" si="14"/>
        <v/>
      </c>
      <c r="AT365" s="18"/>
    </row>
    <row r="366" spans="1:46" s="19" customFormat="1" ht="20.100000000000001" hidden="1" customHeight="1" x14ac:dyDescent="0.2">
      <c r="A366" s="222">
        <v>354</v>
      </c>
      <c r="B366" s="16" t="s">
        <v>4993</v>
      </c>
      <c r="C366" s="16" t="s">
        <v>1863</v>
      </c>
      <c r="D366" s="193" t="s">
        <v>3783</v>
      </c>
      <c r="E366" s="193" t="s">
        <v>10</v>
      </c>
      <c r="F366" s="193" t="s">
        <v>185</v>
      </c>
      <c r="G366" s="193"/>
      <c r="H366" s="192" t="s">
        <v>83</v>
      </c>
      <c r="I366" s="16" t="s">
        <v>92</v>
      </c>
      <c r="J366" s="193"/>
      <c r="K366" s="280" t="s">
        <v>104</v>
      </c>
      <c r="L366" s="280" t="s">
        <v>3814</v>
      </c>
      <c r="M366" s="280" t="s">
        <v>106</v>
      </c>
      <c r="N366" s="279" t="s">
        <v>107</v>
      </c>
      <c r="O366" s="193"/>
      <c r="P366" s="280" t="s">
        <v>1510</v>
      </c>
      <c r="Q366" s="280" t="s">
        <v>2348</v>
      </c>
      <c r="R366" s="280" t="s">
        <v>3815</v>
      </c>
      <c r="S366" s="280" t="s">
        <v>106</v>
      </c>
      <c r="T366" s="280" t="s">
        <v>107</v>
      </c>
      <c r="U366" s="16" t="s">
        <v>3808</v>
      </c>
      <c r="V366" s="192"/>
      <c r="W366" s="192"/>
      <c r="X366" s="192"/>
      <c r="Y366" s="16">
        <v>183</v>
      </c>
      <c r="Z366" s="16"/>
      <c r="AA366" s="16"/>
      <c r="AB366" s="16"/>
      <c r="AC366" s="16"/>
      <c r="AD366" s="16"/>
      <c r="AE366" s="16"/>
      <c r="AF366" s="16">
        <v>6</v>
      </c>
      <c r="AG366" s="16"/>
      <c r="AH366" s="192"/>
      <c r="AI366" s="193"/>
      <c r="AJ366" s="25"/>
      <c r="AK366" s="192"/>
      <c r="AL366" s="16"/>
      <c r="AM366" s="16"/>
      <c r="AN366" s="193" t="s">
        <v>4378</v>
      </c>
      <c r="AO366" s="193" t="s">
        <v>116</v>
      </c>
      <c r="AP366" s="193" t="s">
        <v>113</v>
      </c>
      <c r="AQ366" s="193" t="s">
        <v>137</v>
      </c>
      <c r="AR366" s="12">
        <f t="shared" si="13"/>
        <v>17</v>
      </c>
      <c r="AS366" s="12" t="str">
        <f t="shared" si="14"/>
        <v/>
      </c>
      <c r="AT366" s="18"/>
    </row>
    <row r="367" spans="1:46" s="19" customFormat="1" ht="20.100000000000001" hidden="1" customHeight="1" x14ac:dyDescent="0.2">
      <c r="A367" s="222">
        <v>355</v>
      </c>
      <c r="B367" s="16" t="s">
        <v>4994</v>
      </c>
      <c r="C367" s="16" t="s">
        <v>1863</v>
      </c>
      <c r="D367" s="193" t="s">
        <v>4995</v>
      </c>
      <c r="E367" s="193" t="s">
        <v>9</v>
      </c>
      <c r="F367" s="193" t="s">
        <v>185</v>
      </c>
      <c r="G367" s="193"/>
      <c r="H367" s="192" t="s">
        <v>83</v>
      </c>
      <c r="I367" s="16" t="s">
        <v>84</v>
      </c>
      <c r="J367" s="193"/>
      <c r="K367" s="193" t="s">
        <v>104</v>
      </c>
      <c r="L367" s="193"/>
      <c r="M367" s="70" t="s">
        <v>69</v>
      </c>
      <c r="N367" s="70" t="s">
        <v>70</v>
      </c>
      <c r="O367" s="193"/>
      <c r="P367" s="193" t="s">
        <v>3677</v>
      </c>
      <c r="Q367" s="193" t="s">
        <v>555</v>
      </c>
      <c r="R367" s="193"/>
      <c r="S367" s="282" t="s">
        <v>119</v>
      </c>
      <c r="T367" s="281" t="s">
        <v>107</v>
      </c>
      <c r="U367" s="281" t="s">
        <v>5001</v>
      </c>
      <c r="V367" s="192"/>
      <c r="W367" s="192"/>
      <c r="X367" s="192"/>
      <c r="Y367" s="16">
        <v>221</v>
      </c>
      <c r="Z367" s="16"/>
      <c r="AA367" s="16"/>
      <c r="AB367" s="16"/>
      <c r="AC367" s="16"/>
      <c r="AD367" s="16"/>
      <c r="AE367" s="16"/>
      <c r="AF367" s="16">
        <v>6</v>
      </c>
      <c r="AG367" s="16"/>
      <c r="AH367" s="192"/>
      <c r="AI367" s="193"/>
      <c r="AJ367" s="25"/>
      <c r="AK367" s="192"/>
      <c r="AL367" s="16"/>
      <c r="AM367" s="16"/>
      <c r="AN367" s="193" t="s">
        <v>4378</v>
      </c>
      <c r="AO367" s="193" t="s">
        <v>116</v>
      </c>
      <c r="AP367" s="193" t="s">
        <v>136</v>
      </c>
      <c r="AQ367" s="193" t="s">
        <v>1247</v>
      </c>
      <c r="AR367" s="12">
        <f t="shared" si="13"/>
        <v>42</v>
      </c>
      <c r="AS367" s="12" t="str">
        <f t="shared" si="14"/>
        <v/>
      </c>
      <c r="AT367" s="18"/>
    </row>
    <row r="368" spans="1:46" s="19" customFormat="1" ht="20.100000000000001" hidden="1" customHeight="1" x14ac:dyDescent="0.2">
      <c r="A368" s="222">
        <v>356</v>
      </c>
      <c r="B368" s="16" t="s">
        <v>4996</v>
      </c>
      <c r="C368" s="16" t="s">
        <v>1863</v>
      </c>
      <c r="D368" s="193" t="s">
        <v>4997</v>
      </c>
      <c r="E368" s="193" t="s">
        <v>8</v>
      </c>
      <c r="F368" s="193"/>
      <c r="G368" s="193"/>
      <c r="H368" s="192" t="s">
        <v>7</v>
      </c>
      <c r="I368" s="16" t="s">
        <v>92</v>
      </c>
      <c r="J368" s="193" t="s">
        <v>140</v>
      </c>
      <c r="K368" s="193" t="s">
        <v>140</v>
      </c>
      <c r="L368" s="193"/>
      <c r="M368" s="193" t="s">
        <v>106</v>
      </c>
      <c r="N368" s="192" t="s">
        <v>107</v>
      </c>
      <c r="O368" s="35" t="s">
        <v>957</v>
      </c>
      <c r="P368" s="35" t="s">
        <v>2961</v>
      </c>
      <c r="Q368" s="35" t="s">
        <v>2258</v>
      </c>
      <c r="R368" s="193"/>
      <c r="S368" s="193" t="s">
        <v>106</v>
      </c>
      <c r="T368" s="193" t="s">
        <v>107</v>
      </c>
      <c r="U368" s="192"/>
      <c r="V368" s="192"/>
      <c r="W368" s="192">
        <v>180</v>
      </c>
      <c r="X368" s="33">
        <v>138</v>
      </c>
      <c r="Y368" s="34">
        <v>162</v>
      </c>
      <c r="Z368" s="16">
        <v>46</v>
      </c>
      <c r="AA368" s="16">
        <v>144</v>
      </c>
      <c r="AB368" s="16">
        <v>2</v>
      </c>
      <c r="AC368" s="16">
        <v>23</v>
      </c>
      <c r="AD368" s="16">
        <v>169</v>
      </c>
      <c r="AE368" s="16">
        <v>8.5</v>
      </c>
      <c r="AF368" s="16">
        <v>6</v>
      </c>
      <c r="AG368" s="16"/>
      <c r="AH368" s="192"/>
      <c r="AI368" s="193" t="s">
        <v>4992</v>
      </c>
      <c r="AJ368" s="25">
        <v>169</v>
      </c>
      <c r="AK368" s="192">
        <v>8</v>
      </c>
      <c r="AL368" s="16" t="s">
        <v>111</v>
      </c>
      <c r="AM368" s="16"/>
      <c r="AN368" s="193"/>
      <c r="AO368" s="193"/>
      <c r="AP368" s="193"/>
      <c r="AQ368" s="193"/>
      <c r="AR368" s="12" t="str">
        <f t="shared" si="13"/>
        <v/>
      </c>
      <c r="AS368" s="12" t="str">
        <f t="shared" si="14"/>
        <v/>
      </c>
      <c r="AT368" s="18"/>
    </row>
    <row r="369" spans="1:46" s="19" customFormat="1" ht="20.100000000000001" hidden="1" customHeight="1" x14ac:dyDescent="0.2">
      <c r="A369" s="222">
        <v>357</v>
      </c>
      <c r="B369" s="16" t="s">
        <v>4996</v>
      </c>
      <c r="C369" s="16" t="s">
        <v>1863</v>
      </c>
      <c r="D369" s="193" t="s">
        <v>4995</v>
      </c>
      <c r="E369" s="193" t="s">
        <v>9</v>
      </c>
      <c r="F369" s="193"/>
      <c r="G369" s="193"/>
      <c r="H369" s="192" t="s">
        <v>7</v>
      </c>
      <c r="I369" s="16" t="s">
        <v>84</v>
      </c>
      <c r="J369" s="35" t="s">
        <v>104</v>
      </c>
      <c r="K369" s="35" t="s">
        <v>117</v>
      </c>
      <c r="L369" s="193"/>
      <c r="M369" s="193" t="s">
        <v>106</v>
      </c>
      <c r="N369" s="192" t="s">
        <v>107</v>
      </c>
      <c r="O369" s="35" t="s">
        <v>361</v>
      </c>
      <c r="P369" s="35" t="s">
        <v>2961</v>
      </c>
      <c r="Q369" s="35" t="s">
        <v>1581</v>
      </c>
      <c r="R369" s="193"/>
      <c r="S369" s="193" t="s">
        <v>106</v>
      </c>
      <c r="T369" s="193" t="s">
        <v>107</v>
      </c>
      <c r="V369" s="192"/>
      <c r="W369" s="192">
        <v>233</v>
      </c>
      <c r="X369" s="192">
        <v>221</v>
      </c>
      <c r="Y369" s="16">
        <v>221</v>
      </c>
      <c r="Z369" s="16">
        <v>136</v>
      </c>
      <c r="AA369" s="16">
        <v>183</v>
      </c>
      <c r="AB369" s="16">
        <v>2</v>
      </c>
      <c r="AC369" s="16">
        <v>20</v>
      </c>
      <c r="AD369" s="16">
        <v>205</v>
      </c>
      <c r="AE369" s="16">
        <v>10</v>
      </c>
      <c r="AF369" s="16">
        <v>6</v>
      </c>
      <c r="AG369" s="16"/>
      <c r="AH369" s="192"/>
      <c r="AI369" s="193" t="s">
        <v>4994</v>
      </c>
      <c r="AJ369" s="25">
        <v>205</v>
      </c>
      <c r="AK369" s="192">
        <v>10.199999999999999</v>
      </c>
      <c r="AL369" s="16" t="s">
        <v>160</v>
      </c>
      <c r="AM369" s="16" t="s">
        <v>193</v>
      </c>
      <c r="AN369" s="193"/>
      <c r="AO369" s="193"/>
      <c r="AP369" s="193"/>
      <c r="AQ369" s="193"/>
      <c r="AR369" s="12" t="str">
        <f t="shared" si="13"/>
        <v/>
      </c>
      <c r="AS369" s="12" t="str">
        <f t="shared" si="14"/>
        <v/>
      </c>
      <c r="AT369" s="18"/>
    </row>
    <row r="370" spans="1:46" s="19" customFormat="1" ht="20.100000000000001" hidden="1" customHeight="1" x14ac:dyDescent="0.2">
      <c r="A370" s="222">
        <v>358</v>
      </c>
      <c r="B370" s="16" t="s">
        <v>4999</v>
      </c>
      <c r="C370" s="16" t="s">
        <v>1863</v>
      </c>
      <c r="D370" s="193" t="s">
        <v>4932</v>
      </c>
      <c r="E370" s="193" t="s">
        <v>8</v>
      </c>
      <c r="F370" s="193"/>
      <c r="G370" s="193"/>
      <c r="H370" s="192" t="s">
        <v>7</v>
      </c>
      <c r="I370" s="16" t="s">
        <v>92</v>
      </c>
      <c r="J370" s="35" t="s">
        <v>104</v>
      </c>
      <c r="K370" s="35" t="s">
        <v>68</v>
      </c>
      <c r="L370" s="193"/>
      <c r="M370" s="193" t="s">
        <v>69</v>
      </c>
      <c r="N370" s="192" t="s">
        <v>70</v>
      </c>
      <c r="O370" s="35" t="s">
        <v>414</v>
      </c>
      <c r="P370" s="35" t="s">
        <v>1510</v>
      </c>
      <c r="Q370" s="35" t="s">
        <v>144</v>
      </c>
      <c r="R370" s="193"/>
      <c r="S370" s="193" t="s">
        <v>73</v>
      </c>
      <c r="T370" s="193" t="s">
        <v>70</v>
      </c>
      <c r="U370" s="192"/>
      <c r="V370" s="192"/>
      <c r="W370" s="192">
        <v>237</v>
      </c>
      <c r="X370" s="192">
        <v>222</v>
      </c>
      <c r="Y370" s="16">
        <v>222</v>
      </c>
      <c r="Z370" s="16">
        <v>58.5</v>
      </c>
      <c r="AA370" s="16">
        <v>139</v>
      </c>
      <c r="AB370" s="16">
        <v>4</v>
      </c>
      <c r="AC370" s="16">
        <v>70</v>
      </c>
      <c r="AD370" s="16">
        <v>210</v>
      </c>
      <c r="AE370" s="16">
        <v>17</v>
      </c>
      <c r="AF370" s="16">
        <v>6</v>
      </c>
      <c r="AG370" s="16"/>
      <c r="AH370" s="192"/>
      <c r="AI370" s="193" t="s">
        <v>4998</v>
      </c>
      <c r="AJ370" s="25">
        <v>200</v>
      </c>
      <c r="AK370" s="192">
        <v>21.1</v>
      </c>
      <c r="AL370" s="16" t="s">
        <v>160</v>
      </c>
      <c r="AM370" s="16" t="s">
        <v>193</v>
      </c>
      <c r="AN370" s="193"/>
      <c r="AO370" s="193"/>
      <c r="AP370" s="193"/>
      <c r="AQ370" s="193"/>
      <c r="AR370" s="12" t="str">
        <f t="shared" si="13"/>
        <v/>
      </c>
      <c r="AS370" s="12" t="str">
        <f t="shared" si="14"/>
        <v/>
      </c>
      <c r="AT370" s="18"/>
    </row>
    <row r="371" spans="1:46" s="19" customFormat="1" ht="20.100000000000001" hidden="1" customHeight="1" x14ac:dyDescent="0.2">
      <c r="A371" s="222">
        <v>359</v>
      </c>
      <c r="B371" s="16" t="s">
        <v>4999</v>
      </c>
      <c r="C371" s="16" t="s">
        <v>1863</v>
      </c>
      <c r="D371" s="193" t="s">
        <v>5000</v>
      </c>
      <c r="E371" s="193" t="s">
        <v>8</v>
      </c>
      <c r="F371" s="193"/>
      <c r="G371" s="193"/>
      <c r="H371" s="192" t="s">
        <v>7</v>
      </c>
      <c r="I371" s="16" t="s">
        <v>84</v>
      </c>
      <c r="J371" s="35" t="s">
        <v>117</v>
      </c>
      <c r="K371" s="35" t="s">
        <v>334</v>
      </c>
      <c r="L371" s="193"/>
      <c r="M371" s="193" t="s">
        <v>106</v>
      </c>
      <c r="N371" s="192" t="s">
        <v>107</v>
      </c>
      <c r="O371" s="35" t="s">
        <v>120</v>
      </c>
      <c r="P371" s="35" t="s">
        <v>2961</v>
      </c>
      <c r="Q371" s="35" t="s">
        <v>116</v>
      </c>
      <c r="R371" s="193"/>
      <c r="S371" s="193" t="s">
        <v>73</v>
      </c>
      <c r="T371" s="193" t="s">
        <v>70</v>
      </c>
      <c r="U371" s="192"/>
      <c r="V371" s="192"/>
      <c r="W371" s="192">
        <v>88</v>
      </c>
      <c r="X371" s="33">
        <v>84</v>
      </c>
      <c r="Y371" s="34">
        <v>81</v>
      </c>
      <c r="Z371" s="16">
        <v>68</v>
      </c>
      <c r="AA371" s="16">
        <v>77</v>
      </c>
      <c r="AB371" s="16">
        <v>1</v>
      </c>
      <c r="AC371" s="16">
        <v>68</v>
      </c>
      <c r="AD371" s="16">
        <v>146</v>
      </c>
      <c r="AE371" s="16">
        <v>9</v>
      </c>
      <c r="AF371" s="16">
        <v>4</v>
      </c>
      <c r="AG371" s="16"/>
      <c r="AH371" s="192"/>
      <c r="AI371" s="193" t="s">
        <v>4993</v>
      </c>
      <c r="AJ371" s="25">
        <v>143</v>
      </c>
      <c r="AK371" s="192">
        <v>9.9</v>
      </c>
      <c r="AL371" s="16" t="s">
        <v>111</v>
      </c>
      <c r="AM371" s="16" t="s">
        <v>1956</v>
      </c>
      <c r="AN371" s="193"/>
      <c r="AO371" s="193"/>
      <c r="AP371" s="193"/>
      <c r="AQ371" s="193"/>
      <c r="AR371" s="12" t="str">
        <f t="shared" si="13"/>
        <v/>
      </c>
      <c r="AS371" s="12" t="str">
        <f t="shared" si="14"/>
        <v/>
      </c>
      <c r="AT371" s="18"/>
    </row>
    <row r="372" spans="1:46" s="19" customFormat="1" ht="20.100000000000001" hidden="1" customHeight="1" x14ac:dyDescent="0.2">
      <c r="A372" s="222">
        <v>360</v>
      </c>
      <c r="B372" s="16" t="s">
        <v>5002</v>
      </c>
      <c r="C372" s="16" t="s">
        <v>1863</v>
      </c>
      <c r="D372" s="193" t="s">
        <v>2302</v>
      </c>
      <c r="E372" s="193" t="s">
        <v>8</v>
      </c>
      <c r="F372" s="193" t="s">
        <v>4038</v>
      </c>
      <c r="G372" s="193"/>
      <c r="H372" s="192" t="s">
        <v>83</v>
      </c>
      <c r="I372" s="16" t="s">
        <v>92</v>
      </c>
      <c r="J372" s="193"/>
      <c r="K372" s="286" t="s">
        <v>117</v>
      </c>
      <c r="L372" s="286" t="s">
        <v>3359</v>
      </c>
      <c r="M372" s="286" t="s">
        <v>106</v>
      </c>
      <c r="N372" s="287" t="s">
        <v>107</v>
      </c>
      <c r="O372" s="193"/>
      <c r="P372" s="286" t="s">
        <v>3679</v>
      </c>
      <c r="Q372" s="286" t="s">
        <v>506</v>
      </c>
      <c r="R372" s="286" t="s">
        <v>3416</v>
      </c>
      <c r="S372" s="286" t="s">
        <v>106</v>
      </c>
      <c r="T372" s="286" t="s">
        <v>107</v>
      </c>
      <c r="U372" s="16" t="s">
        <v>3413</v>
      </c>
      <c r="V372" s="192"/>
      <c r="W372" s="192"/>
      <c r="X372" s="192"/>
      <c r="Y372" s="16">
        <v>114</v>
      </c>
      <c r="Z372" s="16"/>
      <c r="AA372" s="16"/>
      <c r="AB372" s="16"/>
      <c r="AC372" s="16"/>
      <c r="AD372" s="16"/>
      <c r="AE372" s="16"/>
      <c r="AF372" s="16"/>
      <c r="AG372" s="16"/>
      <c r="AH372" s="192"/>
      <c r="AI372" s="193"/>
      <c r="AJ372" s="25"/>
      <c r="AK372" s="192"/>
      <c r="AL372" s="16" t="s">
        <v>111</v>
      </c>
      <c r="AM372" s="16" t="s">
        <v>231</v>
      </c>
      <c r="AN372" s="193" t="s">
        <v>4378</v>
      </c>
      <c r="AO372" s="193" t="s">
        <v>116</v>
      </c>
      <c r="AP372" s="193" t="s">
        <v>113</v>
      </c>
      <c r="AQ372" s="193" t="s">
        <v>235</v>
      </c>
      <c r="AR372" s="12">
        <f t="shared" si="13"/>
        <v>20</v>
      </c>
      <c r="AS372" s="12" t="str">
        <f t="shared" si="14"/>
        <v/>
      </c>
      <c r="AT372" s="18"/>
    </row>
    <row r="373" spans="1:46" s="19" customFormat="1" ht="20.100000000000001" hidden="1" customHeight="1" x14ac:dyDescent="0.2">
      <c r="A373" s="222">
        <v>361</v>
      </c>
      <c r="B373" s="16" t="s">
        <v>5002</v>
      </c>
      <c r="C373" s="16" t="s">
        <v>1863</v>
      </c>
      <c r="D373" s="193" t="s">
        <v>905</v>
      </c>
      <c r="E373" s="193" t="s">
        <v>19</v>
      </c>
      <c r="F373" s="193"/>
      <c r="G373" s="193"/>
      <c r="H373" s="192" t="s">
        <v>7</v>
      </c>
      <c r="I373" s="16" t="s">
        <v>84</v>
      </c>
      <c r="J373" s="193" t="s">
        <v>68</v>
      </c>
      <c r="K373" s="193" t="s">
        <v>68</v>
      </c>
      <c r="L373" s="193"/>
      <c r="M373" s="193" t="s">
        <v>106</v>
      </c>
      <c r="N373" s="192" t="s">
        <v>107</v>
      </c>
      <c r="O373" s="35" t="s">
        <v>332</v>
      </c>
      <c r="P373" s="35" t="s">
        <v>1510</v>
      </c>
      <c r="Q373" s="35" t="s">
        <v>769</v>
      </c>
      <c r="R373" s="193"/>
      <c r="S373" s="193" t="s">
        <v>73</v>
      </c>
      <c r="T373" s="193" t="s">
        <v>70</v>
      </c>
      <c r="U373" s="192"/>
      <c r="V373" s="192"/>
      <c r="W373" s="192">
        <v>252</v>
      </c>
      <c r="X373" s="33">
        <v>240</v>
      </c>
      <c r="Y373" s="34">
        <v>210</v>
      </c>
      <c r="Z373" s="16">
        <v>68</v>
      </c>
      <c r="AA373" s="16">
        <v>140</v>
      </c>
      <c r="AB373" s="16">
        <v>3</v>
      </c>
      <c r="AC373" s="16">
        <v>35</v>
      </c>
      <c r="AD373" s="16">
        <v>178</v>
      </c>
      <c r="AE373" s="16">
        <v>16.600000000000001</v>
      </c>
      <c r="AF373" s="16">
        <v>6</v>
      </c>
      <c r="AG373" s="16"/>
      <c r="AH373" s="192"/>
      <c r="AI373" s="193" t="s">
        <v>4999</v>
      </c>
      <c r="AJ373" s="25">
        <v>186</v>
      </c>
      <c r="AK373" s="192">
        <v>19</v>
      </c>
      <c r="AL373" s="16"/>
      <c r="AM373" s="16"/>
      <c r="AN373" s="193"/>
      <c r="AO373" s="193"/>
      <c r="AP373" s="193"/>
      <c r="AQ373" s="193"/>
      <c r="AR373" s="12" t="str">
        <f t="shared" si="13"/>
        <v/>
      </c>
      <c r="AS373" s="12" t="str">
        <f t="shared" si="14"/>
        <v/>
      </c>
      <c r="AT373" s="18"/>
    </row>
    <row r="374" spans="1:46" s="19" customFormat="1" ht="20.100000000000001" hidden="1" customHeight="1" x14ac:dyDescent="0.2">
      <c r="A374" s="222">
        <v>362</v>
      </c>
      <c r="B374" s="16" t="s">
        <v>5003</v>
      </c>
      <c r="C374" s="16" t="s">
        <v>1863</v>
      </c>
      <c r="D374" s="193" t="s">
        <v>2881</v>
      </c>
      <c r="E374" s="193" t="s">
        <v>10</v>
      </c>
      <c r="F374" s="193" t="s">
        <v>202</v>
      </c>
      <c r="G374" s="193"/>
      <c r="H374" s="192" t="s">
        <v>83</v>
      </c>
      <c r="I374" s="16" t="s">
        <v>92</v>
      </c>
      <c r="J374" s="193"/>
      <c r="K374" s="286" t="s">
        <v>104</v>
      </c>
      <c r="L374" s="286" t="s">
        <v>3863</v>
      </c>
      <c r="M374" s="286" t="s">
        <v>69</v>
      </c>
      <c r="N374" s="287" t="s">
        <v>70</v>
      </c>
      <c r="O374" s="193"/>
      <c r="P374" s="286" t="s">
        <v>2245</v>
      </c>
      <c r="Q374" s="286" t="s">
        <v>769</v>
      </c>
      <c r="R374" s="286" t="s">
        <v>3864</v>
      </c>
      <c r="S374" s="286" t="s">
        <v>142</v>
      </c>
      <c r="T374" s="286" t="s">
        <v>70</v>
      </c>
      <c r="U374" s="16" t="s">
        <v>3828</v>
      </c>
      <c r="V374" s="192"/>
      <c r="W374" s="192"/>
      <c r="X374" s="192"/>
      <c r="Y374" s="16">
        <v>222</v>
      </c>
      <c r="Z374" s="16"/>
      <c r="AA374" s="16"/>
      <c r="AB374" s="16"/>
      <c r="AC374" s="16"/>
      <c r="AD374" s="16"/>
      <c r="AE374" s="16"/>
      <c r="AF374" s="16">
        <v>6</v>
      </c>
      <c r="AG374" s="16"/>
      <c r="AH374" s="192"/>
      <c r="AI374" s="193"/>
      <c r="AJ374" s="25"/>
      <c r="AK374" s="192"/>
      <c r="AL374" s="16" t="s">
        <v>160</v>
      </c>
      <c r="AM374" s="16" t="s">
        <v>165</v>
      </c>
      <c r="AN374" s="193" t="s">
        <v>4378</v>
      </c>
      <c r="AO374" s="193" t="s">
        <v>116</v>
      </c>
      <c r="AP374" s="193" t="s">
        <v>113</v>
      </c>
      <c r="AQ374" s="193" t="s">
        <v>137</v>
      </c>
      <c r="AR374" s="12">
        <f t="shared" si="13"/>
        <v>17</v>
      </c>
      <c r="AS374" s="12" t="str">
        <f t="shared" si="14"/>
        <v/>
      </c>
      <c r="AT374" s="18"/>
    </row>
    <row r="375" spans="1:46" s="19" customFormat="1" ht="20.100000000000001" hidden="1" customHeight="1" x14ac:dyDescent="0.2">
      <c r="A375" s="222">
        <v>363</v>
      </c>
      <c r="B375" s="16" t="s">
        <v>5004</v>
      </c>
      <c r="C375" s="16" t="s">
        <v>1863</v>
      </c>
      <c r="D375" s="193" t="s">
        <v>2501</v>
      </c>
      <c r="E375" s="193" t="s">
        <v>9</v>
      </c>
      <c r="F375" s="193"/>
      <c r="G375" s="193"/>
      <c r="H375" s="192" t="s">
        <v>7</v>
      </c>
      <c r="I375" s="16" t="s">
        <v>92</v>
      </c>
      <c r="J375" s="35" t="s">
        <v>68</v>
      </c>
      <c r="K375" s="35" t="s">
        <v>117</v>
      </c>
      <c r="L375" s="286"/>
      <c r="M375" s="286" t="s">
        <v>106</v>
      </c>
      <c r="N375" s="192" t="s">
        <v>107</v>
      </c>
      <c r="O375" s="35" t="s">
        <v>263</v>
      </c>
      <c r="P375" s="35" t="s">
        <v>2245</v>
      </c>
      <c r="Q375" s="35" t="s">
        <v>260</v>
      </c>
      <c r="R375" s="193"/>
      <c r="S375" s="193" t="s">
        <v>69</v>
      </c>
      <c r="T375" s="193" t="s">
        <v>70</v>
      </c>
      <c r="U375" s="192"/>
      <c r="V375" s="192"/>
      <c r="W375" s="192">
        <v>222</v>
      </c>
      <c r="X375" s="192">
        <v>210</v>
      </c>
      <c r="Y375" s="16">
        <v>210</v>
      </c>
      <c r="Z375" s="16">
        <v>137</v>
      </c>
      <c r="AA375" s="16">
        <v>170</v>
      </c>
      <c r="AB375" s="16">
        <v>2</v>
      </c>
      <c r="AC375" s="16">
        <v>10</v>
      </c>
      <c r="AD375" s="16">
        <v>182</v>
      </c>
      <c r="AE375" s="16">
        <v>15</v>
      </c>
      <c r="AF375" s="16">
        <v>6</v>
      </c>
      <c r="AG375" s="16"/>
      <c r="AH375" s="192"/>
      <c r="AI375" s="193" t="s">
        <v>5003</v>
      </c>
      <c r="AJ375" s="25">
        <v>182</v>
      </c>
      <c r="AK375" s="192">
        <v>14</v>
      </c>
      <c r="AL375" s="16" t="s">
        <v>160</v>
      </c>
      <c r="AM375" s="16" t="s">
        <v>193</v>
      </c>
      <c r="AN375" s="193"/>
      <c r="AO375" s="193"/>
      <c r="AP375" s="193"/>
      <c r="AQ375" s="193"/>
      <c r="AR375" s="12"/>
      <c r="AS375" s="12">
        <f t="shared" si="14"/>
        <v>0</v>
      </c>
      <c r="AT375" s="18"/>
    </row>
    <row r="376" spans="1:46" s="19" customFormat="1" ht="20.100000000000001" hidden="1" customHeight="1" x14ac:dyDescent="0.2">
      <c r="A376" s="222">
        <v>364</v>
      </c>
      <c r="B376" s="16" t="s">
        <v>5005</v>
      </c>
      <c r="C376" s="16" t="s">
        <v>1863</v>
      </c>
      <c r="D376" s="193" t="s">
        <v>1712</v>
      </c>
      <c r="E376" s="193" t="s">
        <v>9</v>
      </c>
      <c r="F376" s="193" t="s">
        <v>192</v>
      </c>
      <c r="G376" s="193"/>
      <c r="H376" s="192" t="s">
        <v>7</v>
      </c>
      <c r="I376" s="16" t="s">
        <v>92</v>
      </c>
      <c r="J376" s="193"/>
      <c r="K376" s="193" t="s">
        <v>155</v>
      </c>
      <c r="L376" s="193"/>
      <c r="M376" s="193" t="s">
        <v>106</v>
      </c>
      <c r="N376" s="192" t="s">
        <v>107</v>
      </c>
      <c r="O376" s="193"/>
      <c r="P376" s="193" t="s">
        <v>3679</v>
      </c>
      <c r="Q376" s="193" t="s">
        <v>718</v>
      </c>
      <c r="R376" s="193"/>
      <c r="S376" s="193" t="s">
        <v>69</v>
      </c>
      <c r="T376" s="193" t="s">
        <v>70</v>
      </c>
      <c r="U376" s="192"/>
      <c r="V376" s="192"/>
      <c r="W376" s="192">
        <v>250</v>
      </c>
      <c r="X376" s="192">
        <v>0</v>
      </c>
      <c r="Y376" s="16">
        <v>231</v>
      </c>
      <c r="Z376" s="16">
        <v>146</v>
      </c>
      <c r="AA376" s="16">
        <v>166</v>
      </c>
      <c r="AB376" s="16">
        <v>7</v>
      </c>
      <c r="AC376" s="16">
        <v>10</v>
      </c>
      <c r="AD376" s="16">
        <v>183</v>
      </c>
      <c r="AE376" s="16">
        <v>25</v>
      </c>
      <c r="AF376" s="16">
        <v>6</v>
      </c>
      <c r="AG376" s="16"/>
      <c r="AH376" s="192"/>
      <c r="AI376" s="193"/>
      <c r="AJ376" s="25">
        <v>184</v>
      </c>
      <c r="AK376" s="192">
        <v>22.5</v>
      </c>
      <c r="AL376" s="16" t="s">
        <v>160</v>
      </c>
      <c r="AM376" s="16" t="s">
        <v>165</v>
      </c>
      <c r="AN376" s="193"/>
      <c r="AO376" s="193"/>
      <c r="AP376" s="193"/>
      <c r="AQ376" s="193"/>
      <c r="AR376" s="12" t="str">
        <f t="shared" si="13"/>
        <v/>
      </c>
      <c r="AS376" s="12" t="str">
        <f t="shared" si="14"/>
        <v/>
      </c>
      <c r="AT376" s="18"/>
    </row>
    <row r="377" spans="1:46" s="19" customFormat="1" ht="20.100000000000001" hidden="1" customHeight="1" x14ac:dyDescent="0.2">
      <c r="A377" s="222">
        <v>365</v>
      </c>
      <c r="B377" s="16" t="s">
        <v>5005</v>
      </c>
      <c r="C377" s="16" t="s">
        <v>1863</v>
      </c>
      <c r="D377" s="193" t="s">
        <v>4372</v>
      </c>
      <c r="E377" s="193" t="s">
        <v>10</v>
      </c>
      <c r="F377" s="193" t="s">
        <v>192</v>
      </c>
      <c r="G377" s="193"/>
      <c r="H377" s="192" t="s">
        <v>7</v>
      </c>
      <c r="I377" s="16" t="s">
        <v>84</v>
      </c>
      <c r="J377" s="193"/>
      <c r="K377" s="193" t="s">
        <v>155</v>
      </c>
      <c r="L377" s="193"/>
      <c r="M377" s="193" t="s">
        <v>106</v>
      </c>
      <c r="N377" s="192" t="s">
        <v>107</v>
      </c>
      <c r="O377" s="193"/>
      <c r="P377" s="193" t="s">
        <v>3677</v>
      </c>
      <c r="Q377" s="193" t="s">
        <v>441</v>
      </c>
      <c r="R377" s="193"/>
      <c r="S377" s="193" t="s">
        <v>106</v>
      </c>
      <c r="T377" s="193" t="s">
        <v>107</v>
      </c>
      <c r="U377" s="192"/>
      <c r="V377" s="192"/>
      <c r="W377" s="192">
        <v>254</v>
      </c>
      <c r="X377" s="192">
        <v>0</v>
      </c>
      <c r="Y377" s="16">
        <v>237</v>
      </c>
      <c r="Z377" s="16">
        <v>166</v>
      </c>
      <c r="AA377" s="16">
        <v>189</v>
      </c>
      <c r="AB377" s="16">
        <v>7</v>
      </c>
      <c r="AC377" s="16">
        <v>10</v>
      </c>
      <c r="AD377" s="16">
        <v>219</v>
      </c>
      <c r="AE377" s="16">
        <v>22</v>
      </c>
      <c r="AF377" s="16">
        <v>6</v>
      </c>
      <c r="AG377" s="16"/>
      <c r="AH377" s="192"/>
      <c r="AI377" s="193" t="s">
        <v>5002</v>
      </c>
      <c r="AJ377" s="25">
        <v>218</v>
      </c>
      <c r="AK377" s="192">
        <v>22</v>
      </c>
      <c r="AL377" s="16" t="s">
        <v>160</v>
      </c>
      <c r="AM377" s="16" t="s">
        <v>165</v>
      </c>
      <c r="AN377" s="193"/>
      <c r="AO377" s="193"/>
      <c r="AP377" s="193"/>
      <c r="AQ377" s="193"/>
      <c r="AR377" s="12" t="str">
        <f t="shared" si="13"/>
        <v/>
      </c>
      <c r="AS377" s="12" t="str">
        <f t="shared" si="14"/>
        <v/>
      </c>
      <c r="AT377" s="18"/>
    </row>
    <row r="378" spans="1:46" s="19" customFormat="1" ht="20.100000000000001" hidden="1" customHeight="1" x14ac:dyDescent="0.2">
      <c r="A378" s="222">
        <v>366</v>
      </c>
      <c r="B378" s="16" t="s">
        <v>5006</v>
      </c>
      <c r="C378" s="16" t="s">
        <v>1863</v>
      </c>
      <c r="D378" s="193" t="s">
        <v>1758</v>
      </c>
      <c r="E378" s="193"/>
      <c r="F378" s="193"/>
      <c r="G378" s="193"/>
      <c r="H378" s="192" t="s">
        <v>7</v>
      </c>
      <c r="I378" s="16" t="s">
        <v>84</v>
      </c>
      <c r="J378" s="35" t="s">
        <v>226</v>
      </c>
      <c r="K378" s="35" t="s">
        <v>223</v>
      </c>
      <c r="L378" s="193"/>
      <c r="M378" s="193" t="s">
        <v>106</v>
      </c>
      <c r="N378" s="192" t="s">
        <v>107</v>
      </c>
      <c r="O378" s="35" t="s">
        <v>425</v>
      </c>
      <c r="P378" s="35" t="s">
        <v>1809</v>
      </c>
      <c r="Q378" s="35" t="s">
        <v>116</v>
      </c>
      <c r="R378" s="193"/>
      <c r="S378" s="193" t="s">
        <v>69</v>
      </c>
      <c r="T378" s="193" t="s">
        <v>70</v>
      </c>
      <c r="U378" s="192"/>
      <c r="V378" s="192"/>
      <c r="W378" s="192">
        <v>143</v>
      </c>
      <c r="X378" s="192">
        <v>138</v>
      </c>
      <c r="Y378" s="16">
        <v>138</v>
      </c>
      <c r="Z378" s="16">
        <v>75</v>
      </c>
      <c r="AA378" s="16">
        <v>107</v>
      </c>
      <c r="AB378" s="16">
        <v>4</v>
      </c>
      <c r="AC378" s="16">
        <v>25</v>
      </c>
      <c r="AD378" s="16">
        <v>136</v>
      </c>
      <c r="AE378" s="16">
        <v>7</v>
      </c>
      <c r="AF378" s="16">
        <v>4</v>
      </c>
      <c r="AG378" s="16"/>
      <c r="AH378" s="192"/>
      <c r="AI378" s="193" t="s">
        <v>5005</v>
      </c>
      <c r="AJ378" s="25">
        <v>136</v>
      </c>
      <c r="AK378" s="192">
        <v>7.7</v>
      </c>
      <c r="AL378" s="16" t="s">
        <v>111</v>
      </c>
      <c r="AM378" s="16"/>
      <c r="AN378" s="193"/>
      <c r="AO378" s="193"/>
      <c r="AP378" s="193"/>
      <c r="AQ378" s="193"/>
      <c r="AR378" s="12" t="str">
        <f t="shared" si="13"/>
        <v/>
      </c>
      <c r="AS378" s="12" t="str">
        <f t="shared" si="14"/>
        <v/>
      </c>
      <c r="AT378" s="18"/>
    </row>
    <row r="379" spans="1:46" s="19" customFormat="1" ht="20.100000000000001" hidden="1" customHeight="1" x14ac:dyDescent="0.2">
      <c r="A379" s="222">
        <v>367</v>
      </c>
      <c r="B379" s="16" t="s">
        <v>5007</v>
      </c>
      <c r="C379" s="16" t="s">
        <v>1863</v>
      </c>
      <c r="D379" s="193" t="s">
        <v>2178</v>
      </c>
      <c r="E379" s="193" t="s">
        <v>6</v>
      </c>
      <c r="F379" s="193"/>
      <c r="G379" s="193"/>
      <c r="H379" s="192" t="s">
        <v>7</v>
      </c>
      <c r="I379" s="16" t="s">
        <v>84</v>
      </c>
      <c r="J379" s="35" t="s">
        <v>68</v>
      </c>
      <c r="K379" s="35" t="s">
        <v>140</v>
      </c>
      <c r="L379" s="193"/>
      <c r="M379" s="193" t="s">
        <v>106</v>
      </c>
      <c r="N379" s="192" t="s">
        <v>107</v>
      </c>
      <c r="O379" s="35" t="s">
        <v>263</v>
      </c>
      <c r="P379" s="35" t="s">
        <v>2245</v>
      </c>
      <c r="Q379" s="35" t="s">
        <v>116</v>
      </c>
      <c r="R379" s="193"/>
      <c r="S379" s="193" t="s">
        <v>106</v>
      </c>
      <c r="T379" s="193" t="s">
        <v>107</v>
      </c>
      <c r="U379" s="192"/>
      <c r="V379" s="192"/>
      <c r="W379" s="192">
        <v>138</v>
      </c>
      <c r="X379" s="33">
        <v>135</v>
      </c>
      <c r="Y379" s="34">
        <v>132</v>
      </c>
      <c r="Z379" s="16">
        <v>115</v>
      </c>
      <c r="AA379" s="16">
        <v>125</v>
      </c>
      <c r="AB379" s="16">
        <v>1</v>
      </c>
      <c r="AC379" s="16">
        <v>65</v>
      </c>
      <c r="AD379" s="16">
        <v>191</v>
      </c>
      <c r="AE379" s="16">
        <v>12</v>
      </c>
      <c r="AF379" s="16">
        <v>8</v>
      </c>
      <c r="AG379" s="16"/>
      <c r="AH379" s="192"/>
      <c r="AI379" s="193"/>
      <c r="AJ379" s="25">
        <v>191</v>
      </c>
      <c r="AK379" s="192">
        <v>12</v>
      </c>
      <c r="AL379" s="16" t="s">
        <v>111</v>
      </c>
      <c r="AM379" s="16" t="s">
        <v>112</v>
      </c>
      <c r="AN379" s="193"/>
      <c r="AO379" s="193"/>
      <c r="AP379" s="193"/>
      <c r="AQ379" s="193"/>
      <c r="AR379" s="12" t="str">
        <f t="shared" si="13"/>
        <v/>
      </c>
      <c r="AS379" s="12" t="str">
        <f t="shared" si="14"/>
        <v/>
      </c>
      <c r="AT379" s="18"/>
    </row>
    <row r="380" spans="1:46" s="19" customFormat="1" ht="20.100000000000001" hidden="1" customHeight="1" x14ac:dyDescent="0.2">
      <c r="A380" s="222">
        <v>368</v>
      </c>
      <c r="B380" s="16" t="s">
        <v>5008</v>
      </c>
      <c r="C380" s="16" t="s">
        <v>1863</v>
      </c>
      <c r="D380" s="193" t="s">
        <v>3783</v>
      </c>
      <c r="E380" s="193" t="s">
        <v>10</v>
      </c>
      <c r="F380" s="193"/>
      <c r="G380" s="193"/>
      <c r="H380" s="192" t="s">
        <v>7</v>
      </c>
      <c r="I380" s="16" t="s">
        <v>92</v>
      </c>
      <c r="J380" s="193" t="s">
        <v>104</v>
      </c>
      <c r="K380" s="193" t="s">
        <v>104</v>
      </c>
      <c r="L380" s="193"/>
      <c r="M380" s="193" t="s">
        <v>106</v>
      </c>
      <c r="N380" s="192" t="s">
        <v>107</v>
      </c>
      <c r="O380" s="35" t="s">
        <v>190</v>
      </c>
      <c r="P380" s="35" t="s">
        <v>2961</v>
      </c>
      <c r="Q380" s="35" t="s">
        <v>1581</v>
      </c>
      <c r="R380" s="193"/>
      <c r="S380" s="193" t="s">
        <v>106</v>
      </c>
      <c r="T380" s="193" t="s">
        <v>107</v>
      </c>
      <c r="U380" s="192"/>
      <c r="V380" s="192"/>
      <c r="W380" s="192">
        <v>193</v>
      </c>
      <c r="X380" s="192">
        <v>183</v>
      </c>
      <c r="Y380" s="16">
        <v>183</v>
      </c>
      <c r="Z380" s="16">
        <v>107</v>
      </c>
      <c r="AA380" s="16">
        <v>129</v>
      </c>
      <c r="AB380" s="16">
        <v>2</v>
      </c>
      <c r="AC380" s="16">
        <v>55</v>
      </c>
      <c r="AD380" s="16">
        <v>186</v>
      </c>
      <c r="AE380" s="16">
        <v>12</v>
      </c>
      <c r="AF380" s="16">
        <v>6</v>
      </c>
      <c r="AG380" s="16"/>
      <c r="AH380" s="192"/>
      <c r="AI380" s="193" t="s">
        <v>5006</v>
      </c>
      <c r="AJ380" s="25">
        <v>186</v>
      </c>
      <c r="AK380" s="192">
        <v>12.3</v>
      </c>
      <c r="AL380" s="16"/>
      <c r="AM380" s="16"/>
      <c r="AN380" s="193"/>
      <c r="AO380" s="193"/>
      <c r="AP380" s="193"/>
      <c r="AQ380" s="193"/>
      <c r="AR380" s="12" t="str">
        <f t="shared" si="13"/>
        <v/>
      </c>
      <c r="AS380" s="12" t="str">
        <f t="shared" si="14"/>
        <v/>
      </c>
      <c r="AT380" s="18"/>
    </row>
    <row r="381" spans="1:46" s="19" customFormat="1" ht="20.100000000000001" hidden="1" customHeight="1" x14ac:dyDescent="0.2">
      <c r="A381" s="288"/>
      <c r="B381" s="16" t="s">
        <v>5011</v>
      </c>
      <c r="C381" s="16" t="s">
        <v>1863</v>
      </c>
      <c r="D381" s="289" t="s">
        <v>3392</v>
      </c>
      <c r="E381" s="289" t="s">
        <v>10</v>
      </c>
      <c r="F381" s="289" t="s">
        <v>185</v>
      </c>
      <c r="G381" s="289"/>
      <c r="H381" s="288" t="s">
        <v>83</v>
      </c>
      <c r="I381" s="16" t="s">
        <v>84</v>
      </c>
      <c r="J381" s="289"/>
      <c r="K381" s="290" t="s">
        <v>68</v>
      </c>
      <c r="L381" s="290" t="s">
        <v>3395</v>
      </c>
      <c r="M381" s="290" t="s">
        <v>106</v>
      </c>
      <c r="N381" s="291" t="s">
        <v>107</v>
      </c>
      <c r="O381" s="289"/>
      <c r="P381" s="290" t="s">
        <v>3677</v>
      </c>
      <c r="Q381" s="290" t="s">
        <v>485</v>
      </c>
      <c r="R381" s="290" t="s">
        <v>3396</v>
      </c>
      <c r="S381" s="290" t="s">
        <v>106</v>
      </c>
      <c r="T381" s="290" t="s">
        <v>107</v>
      </c>
      <c r="U381" s="16" t="s">
        <v>3391</v>
      </c>
      <c r="V381" s="288"/>
      <c r="W381" s="288"/>
      <c r="X381" s="288"/>
      <c r="Y381" s="16">
        <v>186</v>
      </c>
      <c r="Z381" s="16"/>
      <c r="AA381" s="16"/>
      <c r="AB381" s="16"/>
      <c r="AC381" s="16"/>
      <c r="AD381" s="16"/>
      <c r="AE381" s="16"/>
      <c r="AF381" s="16">
        <v>6</v>
      </c>
      <c r="AG381" s="16"/>
      <c r="AH381" s="288"/>
      <c r="AI381" s="289"/>
      <c r="AJ381" s="25"/>
      <c r="AK381" s="288"/>
      <c r="AL381" s="16"/>
      <c r="AM381" s="16"/>
      <c r="AN381" s="289" t="s">
        <v>4378</v>
      </c>
      <c r="AO381" s="289" t="s">
        <v>116</v>
      </c>
      <c r="AP381" s="289" t="s">
        <v>113</v>
      </c>
      <c r="AQ381" s="289" t="s">
        <v>235</v>
      </c>
      <c r="AR381" s="12">
        <f t="shared" si="13"/>
        <v>20</v>
      </c>
      <c r="AS381" s="12" t="str">
        <f t="shared" si="14"/>
        <v/>
      </c>
      <c r="AT381" s="18"/>
    </row>
    <row r="382" spans="1:46" s="19" customFormat="1" ht="20.100000000000001" hidden="1" customHeight="1" x14ac:dyDescent="0.2">
      <c r="A382" s="222">
        <v>369</v>
      </c>
      <c r="B382" s="16" t="s">
        <v>5009</v>
      </c>
      <c r="C382" s="16" t="s">
        <v>1863</v>
      </c>
      <c r="D382" s="193" t="s">
        <v>822</v>
      </c>
      <c r="E382" s="193" t="s">
        <v>20</v>
      </c>
      <c r="F382" s="193"/>
      <c r="G382" s="193"/>
      <c r="H382" s="192" t="s">
        <v>7</v>
      </c>
      <c r="I382" s="16" t="s">
        <v>92</v>
      </c>
      <c r="J382" s="35" t="s">
        <v>117</v>
      </c>
      <c r="K382" s="177">
        <v>15</v>
      </c>
      <c r="L382" s="175"/>
      <c r="M382" s="175" t="s">
        <v>106</v>
      </c>
      <c r="N382" s="175" t="s">
        <v>107</v>
      </c>
      <c r="O382" s="177" t="s">
        <v>120</v>
      </c>
      <c r="P382" s="177">
        <v>193</v>
      </c>
      <c r="Q382" s="177">
        <v>12</v>
      </c>
      <c r="R382" s="175"/>
      <c r="S382" s="175" t="s">
        <v>69</v>
      </c>
      <c r="T382" s="193" t="s">
        <v>70</v>
      </c>
      <c r="U382" s="192"/>
      <c r="V382" s="192"/>
      <c r="W382" s="175">
        <v>148</v>
      </c>
      <c r="X382" s="175">
        <v>138</v>
      </c>
      <c r="Y382" s="175">
        <v>138</v>
      </c>
      <c r="Z382" s="175">
        <v>93.2</v>
      </c>
      <c r="AA382" s="175">
        <v>134</v>
      </c>
      <c r="AB382" s="175">
        <v>2</v>
      </c>
      <c r="AC382" s="175">
        <v>23</v>
      </c>
      <c r="AD382" s="175">
        <v>149</v>
      </c>
      <c r="AE382" s="175">
        <v>5</v>
      </c>
      <c r="AF382" s="16">
        <v>4</v>
      </c>
      <c r="AG382" s="16"/>
      <c r="AH382" s="192"/>
      <c r="AI382" s="193" t="s">
        <v>5011</v>
      </c>
      <c r="AJ382" s="25">
        <v>149</v>
      </c>
      <c r="AK382" s="192">
        <v>5</v>
      </c>
      <c r="AL382" s="16" t="s">
        <v>111</v>
      </c>
      <c r="AM382" s="16"/>
      <c r="AN382" s="193"/>
      <c r="AO382" s="193"/>
      <c r="AP382" s="193"/>
      <c r="AQ382" s="193"/>
      <c r="AR382" s="12" t="str">
        <f t="shared" si="13"/>
        <v/>
      </c>
      <c r="AS382" s="12" t="str">
        <f t="shared" si="14"/>
        <v/>
      </c>
      <c r="AT382" s="18"/>
    </row>
    <row r="383" spans="1:46" s="19" customFormat="1" ht="20.100000000000001" hidden="1" customHeight="1" x14ac:dyDescent="0.2">
      <c r="A383" s="222">
        <v>370</v>
      </c>
      <c r="B383" s="16" t="s">
        <v>5009</v>
      </c>
      <c r="C383" s="16" t="s">
        <v>1863</v>
      </c>
      <c r="D383" s="193" t="s">
        <v>2422</v>
      </c>
      <c r="E383" s="193" t="s">
        <v>8</v>
      </c>
      <c r="F383" s="193" t="s">
        <v>4038</v>
      </c>
      <c r="G383" s="193"/>
      <c r="H383" s="192" t="s">
        <v>83</v>
      </c>
      <c r="I383" s="16" t="s">
        <v>84</v>
      </c>
      <c r="J383" s="193"/>
      <c r="K383" s="175">
        <v>30</v>
      </c>
      <c r="L383" s="175"/>
      <c r="M383" s="175" t="s">
        <v>119</v>
      </c>
      <c r="N383" s="175" t="s">
        <v>107</v>
      </c>
      <c r="O383" s="193"/>
      <c r="P383" s="175">
        <v>345</v>
      </c>
      <c r="Q383" s="175">
        <v>4</v>
      </c>
      <c r="R383" s="175"/>
      <c r="S383" s="286" t="s">
        <v>119</v>
      </c>
      <c r="T383" s="286" t="s">
        <v>107</v>
      </c>
      <c r="U383" s="192" t="s">
        <v>5010</v>
      </c>
      <c r="V383" s="192"/>
      <c r="W383" s="175"/>
      <c r="X383" s="175"/>
      <c r="Y383" s="175">
        <v>78</v>
      </c>
      <c r="Z383" s="175"/>
      <c r="AA383" s="175"/>
      <c r="AB383" s="175"/>
      <c r="AC383" s="175"/>
      <c r="AD383" s="175"/>
      <c r="AE383" s="175"/>
      <c r="AF383" s="16">
        <v>6</v>
      </c>
      <c r="AG383" s="16"/>
      <c r="AH383" s="192"/>
      <c r="AI383" s="193"/>
      <c r="AJ383" s="25"/>
      <c r="AK383" s="192"/>
      <c r="AL383" s="16" t="s">
        <v>111</v>
      </c>
      <c r="AM383" s="16"/>
      <c r="AN383" s="193" t="s">
        <v>4378</v>
      </c>
      <c r="AO383" s="193" t="s">
        <v>116</v>
      </c>
      <c r="AP383" s="193" t="s">
        <v>136</v>
      </c>
      <c r="AQ383" s="193" t="s">
        <v>137</v>
      </c>
      <c r="AR383" s="12">
        <f t="shared" si="13"/>
        <v>41</v>
      </c>
      <c r="AS383" s="12" t="str">
        <f t="shared" si="14"/>
        <v/>
      </c>
      <c r="AT383" s="18"/>
    </row>
    <row r="384" spans="1:46" s="19" customFormat="1" ht="20.100000000000001" hidden="1" customHeight="1" x14ac:dyDescent="0.2">
      <c r="A384" s="222">
        <v>371</v>
      </c>
      <c r="B384" s="16" t="s">
        <v>5012</v>
      </c>
      <c r="C384" s="16" t="s">
        <v>1863</v>
      </c>
      <c r="D384" s="193" t="s">
        <v>2897</v>
      </c>
      <c r="E384" s="193" t="s">
        <v>8</v>
      </c>
      <c r="F384" s="193" t="s">
        <v>4038</v>
      </c>
      <c r="G384" s="193"/>
      <c r="H384" s="192" t="s">
        <v>83</v>
      </c>
      <c r="I384" s="16" t="s">
        <v>92</v>
      </c>
      <c r="J384" s="193"/>
      <c r="K384" s="175">
        <v>55</v>
      </c>
      <c r="L384" s="175"/>
      <c r="M384" s="175" t="s">
        <v>69</v>
      </c>
      <c r="N384" s="175" t="s">
        <v>70</v>
      </c>
      <c r="O384" s="193"/>
      <c r="P384" s="175">
        <v>374</v>
      </c>
      <c r="Q384" s="175">
        <v>5</v>
      </c>
      <c r="R384" s="175"/>
      <c r="S384" s="175" t="s">
        <v>119</v>
      </c>
      <c r="T384" s="175" t="s">
        <v>107</v>
      </c>
      <c r="U384" s="192" t="s">
        <v>5016</v>
      </c>
      <c r="V384" s="192"/>
      <c r="W384" s="175"/>
      <c r="X384" s="175"/>
      <c r="Y384" s="175"/>
      <c r="Z384" s="175"/>
      <c r="AA384" s="175"/>
      <c r="AB384" s="175"/>
      <c r="AC384" s="175"/>
      <c r="AD384" s="175"/>
      <c r="AE384" s="175"/>
      <c r="AF384" s="16">
        <v>6</v>
      </c>
      <c r="AG384" s="16"/>
      <c r="AH384" s="192"/>
      <c r="AI384" s="193"/>
      <c r="AJ384" s="25"/>
      <c r="AK384" s="192"/>
      <c r="AL384" s="16"/>
      <c r="AM384" s="16"/>
      <c r="AN384" s="193" t="s">
        <v>4378</v>
      </c>
      <c r="AO384" s="193" t="s">
        <v>116</v>
      </c>
      <c r="AP384" s="193" t="s">
        <v>208</v>
      </c>
      <c r="AQ384" s="193" t="s">
        <v>148</v>
      </c>
      <c r="AR384" s="12">
        <f t="shared" si="13"/>
        <v>51</v>
      </c>
      <c r="AS384" s="12" t="str">
        <f t="shared" si="14"/>
        <v/>
      </c>
      <c r="AT384" s="18"/>
    </row>
    <row r="385" spans="1:46" s="19" customFormat="1" ht="20.100000000000001" hidden="1" customHeight="1" x14ac:dyDescent="0.2">
      <c r="A385" s="222">
        <v>372</v>
      </c>
      <c r="B385" s="16" t="s">
        <v>5012</v>
      </c>
      <c r="C385" s="16" t="s">
        <v>1863</v>
      </c>
      <c r="D385" s="193" t="s">
        <v>1042</v>
      </c>
      <c r="E385" s="193" t="s">
        <v>8</v>
      </c>
      <c r="F385" s="193" t="s">
        <v>4038</v>
      </c>
      <c r="G385" s="193"/>
      <c r="H385" s="192" t="s">
        <v>83</v>
      </c>
      <c r="I385" s="16" t="s">
        <v>84</v>
      </c>
      <c r="J385" s="193"/>
      <c r="K385" s="175">
        <v>37</v>
      </c>
      <c r="L385" s="175"/>
      <c r="M385" s="175" t="s">
        <v>119</v>
      </c>
      <c r="N385" s="175" t="s">
        <v>107</v>
      </c>
      <c r="O385" s="193"/>
      <c r="P385" s="175">
        <v>6609</v>
      </c>
      <c r="Q385" s="175">
        <v>11</v>
      </c>
      <c r="R385" s="175"/>
      <c r="S385" s="175" t="s">
        <v>119</v>
      </c>
      <c r="T385" s="175" t="s">
        <v>107</v>
      </c>
      <c r="U385" s="192" t="s">
        <v>5033</v>
      </c>
      <c r="V385" s="192"/>
      <c r="W385" s="175"/>
      <c r="X385" s="175"/>
      <c r="Y385" s="175">
        <v>139</v>
      </c>
      <c r="Z385" s="175"/>
      <c r="AA385" s="175"/>
      <c r="AB385" s="175"/>
      <c r="AC385" s="175"/>
      <c r="AD385" s="175"/>
      <c r="AE385" s="175"/>
      <c r="AF385" s="16">
        <v>4</v>
      </c>
      <c r="AG385" s="16"/>
      <c r="AH385" s="192"/>
      <c r="AI385" s="193"/>
      <c r="AJ385" s="25"/>
      <c r="AK385" s="192"/>
      <c r="AL385" s="16"/>
      <c r="AM385" s="16"/>
      <c r="AN385" s="193" t="s">
        <v>4378</v>
      </c>
      <c r="AO385" s="193" t="s">
        <v>116</v>
      </c>
      <c r="AP385" s="193" t="s">
        <v>208</v>
      </c>
      <c r="AQ385" s="193" t="s">
        <v>235</v>
      </c>
      <c r="AR385" s="12">
        <f t="shared" si="13"/>
        <v>56</v>
      </c>
      <c r="AS385" s="12" t="str">
        <f t="shared" si="14"/>
        <v/>
      </c>
      <c r="AT385" s="18"/>
    </row>
    <row r="386" spans="1:46" s="19" customFormat="1" ht="20.100000000000001" hidden="1" customHeight="1" x14ac:dyDescent="0.2">
      <c r="A386" s="222">
        <v>373</v>
      </c>
      <c r="B386" s="16" t="s">
        <v>5013</v>
      </c>
      <c r="C386" s="16" t="s">
        <v>1863</v>
      </c>
      <c r="D386" s="193" t="s">
        <v>2787</v>
      </c>
      <c r="E386" s="193" t="s">
        <v>8</v>
      </c>
      <c r="F386" s="193" t="s">
        <v>4038</v>
      </c>
      <c r="G386" s="193"/>
      <c r="H386" s="192" t="s">
        <v>83</v>
      </c>
      <c r="I386" s="16" t="s">
        <v>92</v>
      </c>
      <c r="J386" s="193"/>
      <c r="K386" s="295" t="s">
        <v>218</v>
      </c>
      <c r="L386" s="295"/>
      <c r="M386" s="295" t="s">
        <v>106</v>
      </c>
      <c r="N386" s="294" t="s">
        <v>107</v>
      </c>
      <c r="O386" s="295"/>
      <c r="P386" s="295" t="s">
        <v>3679</v>
      </c>
      <c r="Q386" s="295" t="s">
        <v>116</v>
      </c>
      <c r="R386" s="295"/>
      <c r="S386" s="295" t="s">
        <v>69</v>
      </c>
      <c r="T386" s="295" t="s">
        <v>70</v>
      </c>
      <c r="U386" s="192" t="s">
        <v>3993</v>
      </c>
      <c r="V386" s="192"/>
      <c r="W386" s="175"/>
      <c r="X386" s="175"/>
      <c r="Y386" s="175">
        <v>186</v>
      </c>
      <c r="Z386" s="175"/>
      <c r="AA386" s="175"/>
      <c r="AB386" s="175"/>
      <c r="AC386" s="175"/>
      <c r="AD386" s="175"/>
      <c r="AE386" s="175"/>
      <c r="AF386" s="16">
        <v>6</v>
      </c>
      <c r="AG386" s="16"/>
      <c r="AH386" s="192"/>
      <c r="AI386" s="193"/>
      <c r="AJ386" s="25"/>
      <c r="AK386" s="192"/>
      <c r="AL386" s="16"/>
      <c r="AM386" s="16"/>
      <c r="AN386" s="193" t="s">
        <v>4378</v>
      </c>
      <c r="AO386" s="193" t="s">
        <v>116</v>
      </c>
      <c r="AP386" s="193" t="s">
        <v>113</v>
      </c>
      <c r="AQ386" s="193" t="s">
        <v>148</v>
      </c>
      <c r="AR386" s="12">
        <f t="shared" si="13"/>
        <v>15</v>
      </c>
      <c r="AS386" s="12" t="str">
        <f t="shared" si="14"/>
        <v/>
      </c>
      <c r="AT386" s="18"/>
    </row>
    <row r="387" spans="1:46" s="19" customFormat="1" ht="20.100000000000001" hidden="1" customHeight="1" x14ac:dyDescent="0.2">
      <c r="A387" s="222">
        <v>374</v>
      </c>
      <c r="B387" s="16" t="s">
        <v>5013</v>
      </c>
      <c r="C387" s="16" t="s">
        <v>1863</v>
      </c>
      <c r="D387" s="193" t="s">
        <v>2330</v>
      </c>
      <c r="E387" s="193"/>
      <c r="F387" s="193" t="s">
        <v>4038</v>
      </c>
      <c r="G387" s="193"/>
      <c r="H387" s="192" t="s">
        <v>83</v>
      </c>
      <c r="I387" s="16" t="s">
        <v>84</v>
      </c>
      <c r="J387" s="193"/>
      <c r="K387" s="193" t="s">
        <v>141</v>
      </c>
      <c r="L387" s="193"/>
      <c r="M387" s="193" t="s">
        <v>262</v>
      </c>
      <c r="N387" s="192" t="s">
        <v>70</v>
      </c>
      <c r="O387" s="193"/>
      <c r="P387" s="193" t="s">
        <v>2245</v>
      </c>
      <c r="Q387" s="193" t="s">
        <v>485</v>
      </c>
      <c r="R387" s="193"/>
      <c r="S387" s="193" t="s">
        <v>142</v>
      </c>
      <c r="T387" s="193" t="s">
        <v>70</v>
      </c>
      <c r="U387" s="192" t="s">
        <v>5034</v>
      </c>
      <c r="V387" s="192"/>
      <c r="W387" s="192"/>
      <c r="X387" s="192"/>
      <c r="Y387" s="16"/>
      <c r="Z387" s="16"/>
      <c r="AA387" s="16"/>
      <c r="AB387" s="16"/>
      <c r="AC387" s="16"/>
      <c r="AD387" s="16"/>
      <c r="AE387" s="16"/>
      <c r="AF387" s="16">
        <v>6</v>
      </c>
      <c r="AG387" s="16"/>
      <c r="AH387" s="192"/>
      <c r="AI387" s="193"/>
      <c r="AJ387" s="25"/>
      <c r="AK387" s="192"/>
      <c r="AL387" s="16"/>
      <c r="AM387" s="16"/>
      <c r="AN387" s="193" t="s">
        <v>4378</v>
      </c>
      <c r="AO387" s="193" t="s">
        <v>116</v>
      </c>
      <c r="AP387" s="193" t="s">
        <v>136</v>
      </c>
      <c r="AQ387" s="193" t="s">
        <v>124</v>
      </c>
      <c r="AR387" s="12">
        <f t="shared" si="13"/>
        <v>43</v>
      </c>
      <c r="AS387" s="12" t="str">
        <f t="shared" si="14"/>
        <v/>
      </c>
      <c r="AT387" s="18"/>
    </row>
    <row r="388" spans="1:46" s="19" customFormat="1" ht="20.100000000000001" hidden="1" customHeight="1" x14ac:dyDescent="0.2">
      <c r="A388" s="222">
        <v>375</v>
      </c>
      <c r="B388" s="16" t="s">
        <v>5013</v>
      </c>
      <c r="C388" s="16" t="s">
        <v>1863</v>
      </c>
      <c r="D388" s="290" t="s">
        <v>2330</v>
      </c>
      <c r="E388" s="193"/>
      <c r="F388" s="193"/>
      <c r="G388" s="193"/>
      <c r="H388" s="192" t="s">
        <v>7</v>
      </c>
      <c r="I388" s="16" t="s">
        <v>84</v>
      </c>
      <c r="J388" s="193" t="s">
        <v>141</v>
      </c>
      <c r="K388" s="193" t="s">
        <v>141</v>
      </c>
      <c r="L388" s="193"/>
      <c r="M388" s="193" t="s">
        <v>106</v>
      </c>
      <c r="N388" s="192" t="s">
        <v>107</v>
      </c>
      <c r="O388" s="193" t="s">
        <v>1704</v>
      </c>
      <c r="P388" s="193" t="s">
        <v>2245</v>
      </c>
      <c r="Q388" s="193" t="s">
        <v>485</v>
      </c>
      <c r="R388" s="193"/>
      <c r="S388" s="193" t="s">
        <v>69</v>
      </c>
      <c r="T388" s="193" t="s">
        <v>70</v>
      </c>
      <c r="U388" s="192"/>
      <c r="V388" s="192"/>
      <c r="W388" s="175"/>
      <c r="X388" s="175"/>
      <c r="Y388" s="175"/>
      <c r="Z388" s="175"/>
      <c r="AA388" s="175"/>
      <c r="AB388" s="175"/>
      <c r="AC388" s="175"/>
      <c r="AD388" s="175"/>
      <c r="AE388" s="175"/>
      <c r="AF388" s="16">
        <v>6</v>
      </c>
      <c r="AG388" s="16"/>
      <c r="AH388" s="192"/>
      <c r="AI388" s="193"/>
      <c r="AJ388" s="25"/>
      <c r="AK388" s="192"/>
      <c r="AL388" s="16"/>
      <c r="AM388" s="16"/>
      <c r="AN388" s="193"/>
      <c r="AO388" s="193"/>
      <c r="AP388" s="193"/>
      <c r="AQ388" s="193"/>
      <c r="AR388" s="12" t="str">
        <f t="shared" si="13"/>
        <v/>
      </c>
      <c r="AS388" s="12" t="str">
        <f t="shared" si="14"/>
        <v/>
      </c>
      <c r="AT388" s="18"/>
    </row>
    <row r="389" spans="1:46" s="19" customFormat="1" ht="49.5" hidden="1" customHeight="1" x14ac:dyDescent="0.2">
      <c r="A389" s="222">
        <v>376</v>
      </c>
      <c r="B389" s="16" t="s">
        <v>5014</v>
      </c>
      <c r="C389" s="16" t="s">
        <v>1863</v>
      </c>
      <c r="D389" s="193" t="s">
        <v>5015</v>
      </c>
      <c r="E389" s="193" t="s">
        <v>6</v>
      </c>
      <c r="F389" s="193" t="s">
        <v>605</v>
      </c>
      <c r="G389" s="193"/>
      <c r="H389" s="192" t="s">
        <v>83</v>
      </c>
      <c r="I389" s="16" t="s">
        <v>84</v>
      </c>
      <c r="J389" s="193"/>
      <c r="K389" s="175">
        <v>62</v>
      </c>
      <c r="L389" s="175"/>
      <c r="M389" s="175" t="s">
        <v>142</v>
      </c>
      <c r="N389" s="175" t="s">
        <v>70</v>
      </c>
      <c r="O389" s="193"/>
      <c r="P389" s="175">
        <v>345</v>
      </c>
      <c r="Q389" s="175">
        <v>8</v>
      </c>
      <c r="R389" s="175"/>
      <c r="S389" s="175" t="s">
        <v>142</v>
      </c>
      <c r="T389" s="175" t="s">
        <v>70</v>
      </c>
      <c r="U389" s="192" t="s">
        <v>5017</v>
      </c>
      <c r="V389" s="192"/>
      <c r="W389" s="175"/>
      <c r="X389" s="175"/>
      <c r="Y389" s="175">
        <v>210</v>
      </c>
      <c r="Z389" s="175"/>
      <c r="AA389" s="175"/>
      <c r="AB389" s="175"/>
      <c r="AC389" s="175"/>
      <c r="AD389" s="175"/>
      <c r="AE389" s="175"/>
      <c r="AF389" s="16">
        <v>4</v>
      </c>
      <c r="AG389" s="16"/>
      <c r="AH389" s="192"/>
      <c r="AI389" s="193"/>
      <c r="AJ389" s="25"/>
      <c r="AK389" s="192"/>
      <c r="AL389" s="16" t="s">
        <v>160</v>
      </c>
      <c r="AM389" s="16"/>
      <c r="AN389" s="193" t="s">
        <v>4378</v>
      </c>
      <c r="AO389" s="193" t="s">
        <v>116</v>
      </c>
      <c r="AP389" s="193" t="s">
        <v>348</v>
      </c>
      <c r="AQ389" s="193" t="s">
        <v>344</v>
      </c>
      <c r="AR389" s="12">
        <f t="shared" si="13"/>
        <v>64</v>
      </c>
      <c r="AS389" s="12" t="str">
        <f t="shared" si="14"/>
        <v/>
      </c>
      <c r="AT389" s="18" t="s">
        <v>5020</v>
      </c>
    </row>
    <row r="390" spans="1:46" s="19" customFormat="1" ht="20.100000000000001" hidden="1" customHeight="1" x14ac:dyDescent="0.2">
      <c r="A390" s="222">
        <v>377</v>
      </c>
      <c r="B390" s="16" t="s">
        <v>5018</v>
      </c>
      <c r="C390" s="16" t="s">
        <v>1863</v>
      </c>
      <c r="D390" s="193" t="s">
        <v>1675</v>
      </c>
      <c r="E390" s="193" t="s">
        <v>8</v>
      </c>
      <c r="F390" s="193"/>
      <c r="G390" s="193"/>
      <c r="H390" s="192" t="s">
        <v>7</v>
      </c>
      <c r="I390" s="16" t="s">
        <v>84</v>
      </c>
      <c r="J390" s="35" t="s">
        <v>104</v>
      </c>
      <c r="K390" s="35" t="s">
        <v>223</v>
      </c>
      <c r="L390" s="193"/>
      <c r="M390" s="193" t="s">
        <v>106</v>
      </c>
      <c r="N390" s="192" t="s">
        <v>107</v>
      </c>
      <c r="O390" s="35" t="s">
        <v>5019</v>
      </c>
      <c r="P390" s="35" t="s">
        <v>2325</v>
      </c>
      <c r="Q390" s="35" t="s">
        <v>1581</v>
      </c>
      <c r="R390" s="193"/>
      <c r="S390" s="193" t="s">
        <v>69</v>
      </c>
      <c r="T390" s="193" t="s">
        <v>70</v>
      </c>
      <c r="U390" s="192">
        <v>0</v>
      </c>
      <c r="V390" s="192"/>
      <c r="W390" s="192">
        <v>190</v>
      </c>
      <c r="X390" s="192">
        <v>180</v>
      </c>
      <c r="Y390" s="16">
        <v>180</v>
      </c>
      <c r="Z390" s="16">
        <v>92</v>
      </c>
      <c r="AA390" s="16">
        <v>158</v>
      </c>
      <c r="AB390" s="16">
        <v>1</v>
      </c>
      <c r="AC390" s="16">
        <v>58</v>
      </c>
      <c r="AD390" s="16">
        <v>217</v>
      </c>
      <c r="AE390" s="16">
        <v>5</v>
      </c>
      <c r="AF390" s="16">
        <v>6</v>
      </c>
      <c r="AG390" s="16"/>
      <c r="AH390" s="192"/>
      <c r="AI390" s="193" t="s">
        <v>5018</v>
      </c>
      <c r="AJ390" s="25">
        <v>217</v>
      </c>
      <c r="AK390" s="192">
        <v>4.8</v>
      </c>
      <c r="AL390" s="16" t="s">
        <v>111</v>
      </c>
      <c r="AM390" s="16" t="s">
        <v>330</v>
      </c>
      <c r="AN390" s="193"/>
      <c r="AO390" s="193"/>
      <c r="AP390" s="193"/>
      <c r="AQ390" s="193"/>
      <c r="AR390" s="12" t="str">
        <f t="shared" si="13"/>
        <v/>
      </c>
      <c r="AS390" s="12" t="str">
        <f t="shared" si="14"/>
        <v/>
      </c>
      <c r="AT390" s="18" t="s">
        <v>5021</v>
      </c>
    </row>
    <row r="391" spans="1:46" s="19" customFormat="1" ht="20.100000000000001" hidden="1" customHeight="1" x14ac:dyDescent="0.2">
      <c r="A391" s="222">
        <v>378</v>
      </c>
      <c r="B391" s="16" t="s">
        <v>5022</v>
      </c>
      <c r="C391" s="16" t="s">
        <v>1863</v>
      </c>
      <c r="D391" s="193" t="s">
        <v>835</v>
      </c>
      <c r="E391" s="193" t="s">
        <v>20</v>
      </c>
      <c r="F391" s="193" t="s">
        <v>202</v>
      </c>
      <c r="G391" s="193"/>
      <c r="H391" s="192" t="s">
        <v>83</v>
      </c>
      <c r="I391" s="16" t="s">
        <v>92</v>
      </c>
      <c r="J391" s="193"/>
      <c r="K391" s="292" t="s">
        <v>140</v>
      </c>
      <c r="L391" s="292" t="s">
        <v>3689</v>
      </c>
      <c r="M391" s="292" t="s">
        <v>69</v>
      </c>
      <c r="N391" s="293" t="s">
        <v>70</v>
      </c>
      <c r="O391" s="193"/>
      <c r="P391" s="292" t="s">
        <v>2961</v>
      </c>
      <c r="Q391" s="292" t="s">
        <v>769</v>
      </c>
      <c r="R391" s="292" t="s">
        <v>5071</v>
      </c>
      <c r="S391" s="292" t="s">
        <v>106</v>
      </c>
      <c r="T391" s="292" t="s">
        <v>107</v>
      </c>
      <c r="U391" s="16" t="s">
        <v>3654</v>
      </c>
      <c r="V391" s="192"/>
      <c r="W391" s="192"/>
      <c r="X391" s="192"/>
      <c r="Y391" s="16">
        <v>171</v>
      </c>
      <c r="Z391" s="16"/>
      <c r="AA391" s="16"/>
      <c r="AB391" s="16"/>
      <c r="AC391" s="16"/>
      <c r="AD391" s="16"/>
      <c r="AE391" s="16"/>
      <c r="AF391" s="16"/>
      <c r="AG391" s="16"/>
      <c r="AH391" s="192"/>
      <c r="AI391" s="193"/>
      <c r="AJ391" s="25"/>
      <c r="AK391" s="192"/>
      <c r="AL391" s="16" t="s">
        <v>160</v>
      </c>
      <c r="AM391" s="16"/>
      <c r="AN391" s="193" t="s">
        <v>4378</v>
      </c>
      <c r="AO391" s="193" t="s">
        <v>116</v>
      </c>
      <c r="AP391" s="193" t="s">
        <v>113</v>
      </c>
      <c r="AQ391" s="193" t="s">
        <v>1247</v>
      </c>
      <c r="AR391" s="12">
        <f t="shared" si="13"/>
        <v>18</v>
      </c>
      <c r="AS391" s="12" t="str">
        <f t="shared" si="14"/>
        <v/>
      </c>
      <c r="AT391" s="18"/>
    </row>
    <row r="392" spans="1:46" s="21" customFormat="1" ht="31.5" hidden="1" x14ac:dyDescent="0.2">
      <c r="A392" s="20">
        <v>379</v>
      </c>
      <c r="B392" s="29" t="s">
        <v>5022</v>
      </c>
      <c r="C392" s="29" t="s">
        <v>1863</v>
      </c>
      <c r="D392" s="30" t="s">
        <v>3294</v>
      </c>
      <c r="E392" s="30" t="s">
        <v>66</v>
      </c>
      <c r="F392" s="30"/>
      <c r="G392" s="193"/>
      <c r="H392" s="20" t="s">
        <v>83</v>
      </c>
      <c r="I392" s="29" t="s">
        <v>84</v>
      </c>
      <c r="J392" s="30"/>
      <c r="K392" s="30" t="s">
        <v>223</v>
      </c>
      <c r="L392" s="30"/>
      <c r="M392" s="30" t="s">
        <v>69</v>
      </c>
      <c r="N392" s="20" t="s">
        <v>70</v>
      </c>
      <c r="O392" s="30"/>
      <c r="P392" s="30" t="s">
        <v>2961</v>
      </c>
      <c r="Q392" s="30" t="s">
        <v>441</v>
      </c>
      <c r="R392" s="30"/>
      <c r="S392" s="30" t="s">
        <v>73</v>
      </c>
      <c r="T392" s="30" t="s">
        <v>70</v>
      </c>
      <c r="U392" s="20" t="s">
        <v>5022</v>
      </c>
      <c r="V392" s="192"/>
      <c r="W392" s="20"/>
      <c r="X392" s="20"/>
      <c r="Y392" s="29"/>
      <c r="Z392" s="29"/>
      <c r="AA392" s="29"/>
      <c r="AB392" s="29"/>
      <c r="AC392" s="29"/>
      <c r="AD392" s="29"/>
      <c r="AE392" s="29"/>
      <c r="AF392" s="29">
        <v>4</v>
      </c>
      <c r="AG392" s="16"/>
      <c r="AH392" s="192"/>
      <c r="AI392" s="30"/>
      <c r="AJ392" s="36"/>
      <c r="AK392" s="20"/>
      <c r="AL392" s="29"/>
      <c r="AM392" s="29"/>
      <c r="AN392" s="30" t="s">
        <v>4378</v>
      </c>
      <c r="AO392" s="30" t="s">
        <v>116</v>
      </c>
      <c r="AP392" s="30" t="s">
        <v>4378</v>
      </c>
      <c r="AQ392" s="30" t="s">
        <v>441</v>
      </c>
      <c r="AR392" s="31">
        <f t="shared" si="13"/>
        <v>1</v>
      </c>
      <c r="AS392" s="31">
        <f t="shared" si="14"/>
        <v>1</v>
      </c>
      <c r="AT392" s="32" t="s">
        <v>5024</v>
      </c>
    </row>
    <row r="393" spans="1:46" s="19" customFormat="1" ht="21.75" hidden="1" x14ac:dyDescent="0.2">
      <c r="A393" s="222">
        <v>380</v>
      </c>
      <c r="B393" s="16" t="s">
        <v>5022</v>
      </c>
      <c r="C393" s="16" t="s">
        <v>1863</v>
      </c>
      <c r="D393" s="193" t="s">
        <v>3294</v>
      </c>
      <c r="E393" s="193" t="s">
        <v>66</v>
      </c>
      <c r="F393" s="193"/>
      <c r="G393" s="193"/>
      <c r="H393" s="192" t="s">
        <v>7</v>
      </c>
      <c r="I393" s="16" t="s">
        <v>84</v>
      </c>
      <c r="J393" s="193" t="s">
        <v>223</v>
      </c>
      <c r="K393" s="193" t="s">
        <v>223</v>
      </c>
      <c r="L393" s="193"/>
      <c r="M393" s="193" t="s">
        <v>66</v>
      </c>
      <c r="N393" s="192" t="s">
        <v>107</v>
      </c>
      <c r="O393" s="193" t="s">
        <v>230</v>
      </c>
      <c r="P393" s="193" t="s">
        <v>2961</v>
      </c>
      <c r="Q393" s="193" t="s">
        <v>441</v>
      </c>
      <c r="R393" s="193"/>
      <c r="S393" s="193" t="s">
        <v>66</v>
      </c>
      <c r="T393" s="193" t="s">
        <v>107</v>
      </c>
      <c r="U393" s="192"/>
      <c r="V393" s="192"/>
      <c r="W393" s="192"/>
      <c r="X393" s="192"/>
      <c r="Y393" s="16"/>
      <c r="Z393" s="16"/>
      <c r="AA393" s="16"/>
      <c r="AB393" s="16"/>
      <c r="AC393" s="16"/>
      <c r="AD393" s="16"/>
      <c r="AE393" s="16"/>
      <c r="AF393" s="16">
        <v>4</v>
      </c>
      <c r="AG393" s="162"/>
      <c r="AH393" s="192"/>
      <c r="AI393" s="193"/>
      <c r="AJ393" s="25"/>
      <c r="AK393" s="192"/>
      <c r="AL393" s="16"/>
      <c r="AM393" s="16"/>
      <c r="AN393" s="193"/>
      <c r="AO393" s="193"/>
      <c r="AP393" s="193"/>
      <c r="AQ393" s="193"/>
      <c r="AR393" s="12" t="str">
        <f t="shared" si="13"/>
        <v/>
      </c>
      <c r="AS393" s="12" t="str">
        <f t="shared" si="14"/>
        <v/>
      </c>
      <c r="AT393" s="197"/>
    </row>
    <row r="394" spans="1:46" s="19" customFormat="1" ht="20.100000000000001" hidden="1" customHeight="1" x14ac:dyDescent="0.2">
      <c r="A394" s="222">
        <v>381</v>
      </c>
      <c r="B394" s="16" t="s">
        <v>5023</v>
      </c>
      <c r="C394" s="16" t="s">
        <v>1998</v>
      </c>
      <c r="D394" s="193" t="s">
        <v>2958</v>
      </c>
      <c r="E394" s="193" t="s">
        <v>66</v>
      </c>
      <c r="F394" s="193" t="s">
        <v>4038</v>
      </c>
      <c r="G394" s="193"/>
      <c r="H394" s="192" t="s">
        <v>83</v>
      </c>
      <c r="I394" s="16" t="s">
        <v>84</v>
      </c>
      <c r="J394" s="193"/>
      <c r="K394" s="193" t="s">
        <v>68</v>
      </c>
      <c r="L394" s="193"/>
      <c r="M394" s="193" t="s">
        <v>262</v>
      </c>
      <c r="N394" s="192" t="s">
        <v>70</v>
      </c>
      <c r="O394" s="193"/>
      <c r="P394" s="193" t="s">
        <v>2245</v>
      </c>
      <c r="Q394" s="193" t="s">
        <v>1581</v>
      </c>
      <c r="R394" s="193"/>
      <c r="S394" s="193" t="s">
        <v>262</v>
      </c>
      <c r="T394" s="193" t="s">
        <v>70</v>
      </c>
      <c r="U394" s="192" t="s">
        <v>5025</v>
      </c>
      <c r="V394" s="192"/>
      <c r="W394" s="192"/>
      <c r="X394" s="192"/>
      <c r="Y394" s="16">
        <v>222</v>
      </c>
      <c r="Z394" s="16"/>
      <c r="AA394" s="16"/>
      <c r="AB394" s="16"/>
      <c r="AC394" s="16"/>
      <c r="AD394" s="16"/>
      <c r="AE394" s="16"/>
      <c r="AF394" s="16">
        <v>4</v>
      </c>
      <c r="AG394" s="16"/>
      <c r="AH394" s="192"/>
      <c r="AI394" s="193"/>
      <c r="AJ394" s="25"/>
      <c r="AK394" s="192"/>
      <c r="AL394" s="16" t="s">
        <v>160</v>
      </c>
      <c r="AM394" s="16" t="s">
        <v>193</v>
      </c>
      <c r="AN394" s="193" t="s">
        <v>4378</v>
      </c>
      <c r="AO394" s="193" t="s">
        <v>260</v>
      </c>
      <c r="AP394" s="193" t="s">
        <v>208</v>
      </c>
      <c r="AQ394" s="193" t="s">
        <v>260</v>
      </c>
      <c r="AR394" s="12">
        <f t="shared" si="13"/>
        <v>48</v>
      </c>
      <c r="AS394" s="12" t="str">
        <f t="shared" si="14"/>
        <v/>
      </c>
      <c r="AT394" s="18"/>
    </row>
    <row r="395" spans="1:46" s="19" customFormat="1" ht="20.100000000000001" hidden="1" customHeight="1" x14ac:dyDescent="0.2">
      <c r="A395" s="222">
        <v>382</v>
      </c>
      <c r="B395" s="16" t="s">
        <v>5023</v>
      </c>
      <c r="C395" s="16" t="s">
        <v>1998</v>
      </c>
      <c r="D395" s="193" t="s">
        <v>2302</v>
      </c>
      <c r="E395" s="193" t="s">
        <v>8</v>
      </c>
      <c r="F395" s="193"/>
      <c r="G395" s="193"/>
      <c r="H395" s="192" t="s">
        <v>7</v>
      </c>
      <c r="I395" s="16" t="s">
        <v>92</v>
      </c>
      <c r="J395" s="35" t="s">
        <v>117</v>
      </c>
      <c r="K395" s="35" t="s">
        <v>140</v>
      </c>
      <c r="L395" s="193"/>
      <c r="M395" s="193" t="s">
        <v>106</v>
      </c>
      <c r="N395" s="192" t="s">
        <v>107</v>
      </c>
      <c r="O395" s="35" t="s">
        <v>143</v>
      </c>
      <c r="P395" s="35" t="s">
        <v>3680</v>
      </c>
      <c r="Q395" s="35" t="s">
        <v>718</v>
      </c>
      <c r="R395" s="193"/>
      <c r="S395" s="193" t="s">
        <v>73</v>
      </c>
      <c r="T395" s="193" t="s">
        <v>70</v>
      </c>
      <c r="U395" s="192"/>
      <c r="V395" s="192"/>
      <c r="W395" s="192">
        <v>119</v>
      </c>
      <c r="X395" s="192">
        <v>114</v>
      </c>
      <c r="Y395" s="16">
        <v>114</v>
      </c>
      <c r="Z395" s="16">
        <v>39</v>
      </c>
      <c r="AA395" s="16">
        <v>75</v>
      </c>
      <c r="AB395" s="16">
        <v>5</v>
      </c>
      <c r="AC395" s="16">
        <v>38</v>
      </c>
      <c r="AD395" s="16">
        <v>113</v>
      </c>
      <c r="AE395" s="16">
        <v>21</v>
      </c>
      <c r="AF395" s="16">
        <v>6</v>
      </c>
      <c r="AG395" s="162"/>
      <c r="AH395" s="192"/>
      <c r="AI395" s="193" t="s">
        <v>5022</v>
      </c>
      <c r="AJ395" s="25">
        <v>117</v>
      </c>
      <c r="AK395" s="192">
        <v>21.9</v>
      </c>
      <c r="AL395" s="16" t="s">
        <v>111</v>
      </c>
      <c r="AM395" s="16" t="s">
        <v>231</v>
      </c>
      <c r="AN395" s="193"/>
      <c r="AO395" s="193"/>
      <c r="AP395" s="193"/>
      <c r="AQ395" s="193"/>
      <c r="AR395" s="12" t="str">
        <f t="shared" si="13"/>
        <v/>
      </c>
      <c r="AS395" s="12" t="str">
        <f t="shared" si="14"/>
        <v/>
      </c>
      <c r="AT395" s="197"/>
    </row>
    <row r="396" spans="1:46" s="19" customFormat="1" ht="20.100000000000001" hidden="1" customHeight="1" x14ac:dyDescent="0.2">
      <c r="A396" s="222">
        <v>383</v>
      </c>
      <c r="B396" s="16" t="s">
        <v>5026</v>
      </c>
      <c r="C396" s="16" t="s">
        <v>1998</v>
      </c>
      <c r="D396" s="193" t="s">
        <v>626</v>
      </c>
      <c r="E396" s="193" t="s">
        <v>9</v>
      </c>
      <c r="F396" s="193" t="s">
        <v>202</v>
      </c>
      <c r="G396" s="193"/>
      <c r="H396" s="192" t="s">
        <v>83</v>
      </c>
      <c r="I396" s="16" t="s">
        <v>84</v>
      </c>
      <c r="J396" s="193"/>
      <c r="K396" s="295" t="s">
        <v>155</v>
      </c>
      <c r="L396" s="295" t="s">
        <v>3497</v>
      </c>
      <c r="M396" s="295" t="s">
        <v>106</v>
      </c>
      <c r="N396" s="294" t="s">
        <v>107</v>
      </c>
      <c r="O396" s="193"/>
      <c r="P396" s="193" t="s">
        <v>3677</v>
      </c>
      <c r="Q396" s="193" t="s">
        <v>718</v>
      </c>
      <c r="R396" s="295" t="s">
        <v>3525</v>
      </c>
      <c r="S396" s="295" t="s">
        <v>106</v>
      </c>
      <c r="T396" s="295" t="s">
        <v>107</v>
      </c>
      <c r="U396" s="16" t="s">
        <v>3506</v>
      </c>
      <c r="V396" s="192"/>
      <c r="W396" s="175"/>
      <c r="X396" s="175"/>
      <c r="Y396" s="175">
        <v>210</v>
      </c>
      <c r="Z396" s="175"/>
      <c r="AA396" s="175"/>
      <c r="AB396" s="175"/>
      <c r="AC396" s="175"/>
      <c r="AD396" s="175"/>
      <c r="AE396" s="175"/>
      <c r="AF396" s="16">
        <v>6</v>
      </c>
      <c r="AG396" s="16"/>
      <c r="AH396" s="192"/>
      <c r="AI396" s="193"/>
      <c r="AJ396" s="25"/>
      <c r="AK396" s="192"/>
      <c r="AL396" s="16"/>
      <c r="AM396" s="16"/>
      <c r="AN396" s="193" t="s">
        <v>4378</v>
      </c>
      <c r="AO396" s="193" t="s">
        <v>260</v>
      </c>
      <c r="AP396" s="193" t="s">
        <v>113</v>
      </c>
      <c r="AQ396" s="193" t="s">
        <v>441</v>
      </c>
      <c r="AR396" s="12">
        <f t="shared" si="13"/>
        <v>14</v>
      </c>
      <c r="AS396" s="12" t="str">
        <f t="shared" si="14"/>
        <v/>
      </c>
      <c r="AT396" s="18"/>
    </row>
    <row r="397" spans="1:46" s="19" customFormat="1" ht="20.100000000000001" hidden="1" customHeight="1" x14ac:dyDescent="0.2">
      <c r="A397" s="222">
        <v>384</v>
      </c>
      <c r="B397" s="16" t="s">
        <v>5027</v>
      </c>
      <c r="C397" s="16" t="s">
        <v>1998</v>
      </c>
      <c r="D397" s="193" t="s">
        <v>3392</v>
      </c>
      <c r="E397" s="193" t="s">
        <v>10</v>
      </c>
      <c r="F397" s="193"/>
      <c r="G397" s="193"/>
      <c r="H397" s="192" t="s">
        <v>7</v>
      </c>
      <c r="I397" s="16"/>
      <c r="J397" s="35" t="s">
        <v>68</v>
      </c>
      <c r="K397" s="35" t="s">
        <v>140</v>
      </c>
      <c r="L397" s="193"/>
      <c r="M397" s="193" t="s">
        <v>106</v>
      </c>
      <c r="N397" s="192" t="s">
        <v>107</v>
      </c>
      <c r="O397" s="35" t="s">
        <v>263</v>
      </c>
      <c r="P397" s="35" t="s">
        <v>2961</v>
      </c>
      <c r="Q397" s="35" t="s">
        <v>144</v>
      </c>
      <c r="R397" s="193"/>
      <c r="S397" s="193" t="s">
        <v>106</v>
      </c>
      <c r="T397" s="193" t="s">
        <v>107</v>
      </c>
      <c r="U397" s="192"/>
      <c r="V397" s="192"/>
      <c r="W397" s="192">
        <v>200</v>
      </c>
      <c r="X397" s="192">
        <v>186</v>
      </c>
      <c r="Y397" s="16">
        <v>186</v>
      </c>
      <c r="Z397" s="16">
        <v>150</v>
      </c>
      <c r="AA397" s="16">
        <v>170</v>
      </c>
      <c r="AB397" s="16">
        <v>5</v>
      </c>
      <c r="AC397" s="16">
        <v>5</v>
      </c>
      <c r="AD397" s="16">
        <v>180</v>
      </c>
      <c r="AE397" s="16">
        <v>12</v>
      </c>
      <c r="AF397" s="16">
        <v>6</v>
      </c>
      <c r="AG397" s="16"/>
      <c r="AH397" s="192"/>
      <c r="AI397" s="193" t="s">
        <v>5023</v>
      </c>
      <c r="AJ397" s="25">
        <v>176</v>
      </c>
      <c r="AK397" s="192">
        <v>11.7</v>
      </c>
      <c r="AL397" s="16"/>
      <c r="AM397" s="16"/>
      <c r="AN397" s="193"/>
      <c r="AO397" s="193"/>
      <c r="AP397" s="193"/>
      <c r="AQ397" s="193"/>
      <c r="AR397" s="12" t="str">
        <f t="shared" si="13"/>
        <v/>
      </c>
      <c r="AS397" s="12" t="str">
        <f t="shared" si="14"/>
        <v/>
      </c>
      <c r="AT397" s="18"/>
    </row>
    <row r="398" spans="1:46" s="19" customFormat="1" ht="20.100000000000001" hidden="1" customHeight="1" x14ac:dyDescent="0.2">
      <c r="A398" s="222">
        <v>385</v>
      </c>
      <c r="B398" s="16" t="s">
        <v>5028</v>
      </c>
      <c r="C398" s="16" t="s">
        <v>1998</v>
      </c>
      <c r="D398" s="193" t="s">
        <v>1508</v>
      </c>
      <c r="E398" s="193" t="s">
        <v>10</v>
      </c>
      <c r="F398" s="193" t="s">
        <v>192</v>
      </c>
      <c r="G398" s="193"/>
      <c r="H398" s="192" t="s">
        <v>7</v>
      </c>
      <c r="I398" s="16" t="s">
        <v>84</v>
      </c>
      <c r="J398" s="193"/>
      <c r="K398" s="193" t="s">
        <v>104</v>
      </c>
      <c r="L398" s="193"/>
      <c r="M398" s="193" t="s">
        <v>106</v>
      </c>
      <c r="N398" s="192" t="s">
        <v>107</v>
      </c>
      <c r="O398" s="193"/>
      <c r="P398" s="193" t="s">
        <v>2961</v>
      </c>
      <c r="Q398" s="193" t="s">
        <v>226</v>
      </c>
      <c r="R398" s="193"/>
      <c r="S398" s="193" t="s">
        <v>106</v>
      </c>
      <c r="T398" s="193" t="s">
        <v>107</v>
      </c>
      <c r="U398" s="192"/>
      <c r="V398" s="192"/>
      <c r="W398" s="192">
        <v>217</v>
      </c>
      <c r="X398" s="192"/>
      <c r="Y398" s="16">
        <v>207</v>
      </c>
      <c r="Z398" s="16">
        <v>176</v>
      </c>
      <c r="AA398" s="16">
        <v>193</v>
      </c>
      <c r="AB398" s="16">
        <v>2</v>
      </c>
      <c r="AC398" s="16">
        <v>5</v>
      </c>
      <c r="AD398" s="16">
        <v>207</v>
      </c>
      <c r="AE398" s="16">
        <v>10</v>
      </c>
      <c r="AF398" s="16">
        <v>4</v>
      </c>
      <c r="AG398" s="162"/>
      <c r="AH398" s="192"/>
      <c r="AI398" s="193" t="s">
        <v>5030</v>
      </c>
      <c r="AJ398" s="25">
        <v>207</v>
      </c>
      <c r="AK398" s="192">
        <v>10</v>
      </c>
      <c r="AL398" s="16" t="s">
        <v>160</v>
      </c>
      <c r="AM398" s="16" t="s">
        <v>193</v>
      </c>
      <c r="AN398" s="193"/>
      <c r="AO398" s="193"/>
      <c r="AP398" s="193"/>
      <c r="AQ398" s="193"/>
      <c r="AR398" s="12" t="str">
        <f t="shared" ref="AR398:AR416" si="15">IF(AN398*AP398&gt;0,(AN398-AP398)*12+(AO398-AQ398),"")</f>
        <v/>
      </c>
      <c r="AS398" s="12" t="str">
        <f t="shared" ref="AS398:AS416" si="16">IF(AR398&lt;13,AR398,"")</f>
        <v/>
      </c>
      <c r="AT398" s="18" t="s">
        <v>5031</v>
      </c>
    </row>
    <row r="399" spans="1:46" s="19" customFormat="1" ht="20.100000000000001" hidden="1" customHeight="1" x14ac:dyDescent="0.2">
      <c r="A399" s="222">
        <v>386</v>
      </c>
      <c r="B399" s="16" t="s">
        <v>5029</v>
      </c>
      <c r="C399" s="16" t="s">
        <v>1998</v>
      </c>
      <c r="D399" s="193" t="s">
        <v>2897</v>
      </c>
      <c r="E399" s="193" t="s">
        <v>8</v>
      </c>
      <c r="F399" s="193"/>
      <c r="G399" s="193"/>
      <c r="H399" s="192" t="s">
        <v>7</v>
      </c>
      <c r="I399" s="16" t="s">
        <v>92</v>
      </c>
      <c r="J399" s="35" t="s">
        <v>104</v>
      </c>
      <c r="K399" s="35" t="s">
        <v>68</v>
      </c>
      <c r="L399" s="193"/>
      <c r="M399" s="193" t="s">
        <v>106</v>
      </c>
      <c r="N399" s="192" t="s">
        <v>107</v>
      </c>
      <c r="O399" s="35" t="s">
        <v>256</v>
      </c>
      <c r="P399" s="35" t="s">
        <v>3679</v>
      </c>
      <c r="Q399" s="35" t="s">
        <v>485</v>
      </c>
      <c r="R399" s="193"/>
      <c r="S399" s="193" t="s">
        <v>106</v>
      </c>
      <c r="T399" s="193" t="s">
        <v>107</v>
      </c>
      <c r="U399" s="192"/>
      <c r="V399" s="192"/>
      <c r="W399" s="192">
        <v>239</v>
      </c>
      <c r="X399" s="192">
        <v>180</v>
      </c>
      <c r="Y399" s="16">
        <v>180</v>
      </c>
      <c r="Z399" s="16">
        <v>49</v>
      </c>
      <c r="AA399" s="16">
        <v>118</v>
      </c>
      <c r="AB399" s="16">
        <v>7</v>
      </c>
      <c r="AC399" s="16">
        <v>37</v>
      </c>
      <c r="AD399" s="16">
        <v>162</v>
      </c>
      <c r="AE399" s="16">
        <v>25</v>
      </c>
      <c r="AF399" s="16">
        <v>6</v>
      </c>
      <c r="AG399" s="16"/>
      <c r="AH399" s="192"/>
      <c r="AI399" s="193" t="s">
        <v>5027</v>
      </c>
      <c r="AJ399" s="25">
        <v>163</v>
      </c>
      <c r="AK399" s="192">
        <v>22.5</v>
      </c>
      <c r="AL399" s="16" t="s">
        <v>111</v>
      </c>
      <c r="AM399" s="16" t="s">
        <v>161</v>
      </c>
      <c r="AN399" s="193"/>
      <c r="AO399" s="193"/>
      <c r="AP399" s="193"/>
      <c r="AQ399" s="193"/>
      <c r="AR399" s="12" t="str">
        <f t="shared" si="15"/>
        <v/>
      </c>
      <c r="AS399" s="12" t="str">
        <f t="shared" si="16"/>
        <v/>
      </c>
      <c r="AT399" s="18"/>
    </row>
    <row r="400" spans="1:46" s="19" customFormat="1" ht="20.100000000000001" hidden="1" customHeight="1" x14ac:dyDescent="0.2">
      <c r="A400" s="222">
        <v>387</v>
      </c>
      <c r="B400" s="16" t="s">
        <v>5029</v>
      </c>
      <c r="C400" s="16" t="s">
        <v>1998</v>
      </c>
      <c r="D400" s="193" t="s">
        <v>557</v>
      </c>
      <c r="E400" s="193" t="s">
        <v>66</v>
      </c>
      <c r="F400" s="193" t="s">
        <v>4038</v>
      </c>
      <c r="G400" s="193"/>
      <c r="H400" s="192" t="s">
        <v>83</v>
      </c>
      <c r="I400" s="16" t="s">
        <v>84</v>
      </c>
      <c r="J400" s="193"/>
      <c r="K400" s="41" t="s">
        <v>334</v>
      </c>
      <c r="L400" s="41" t="s">
        <v>558</v>
      </c>
      <c r="M400" s="41" t="s">
        <v>142</v>
      </c>
      <c r="N400" s="13" t="s">
        <v>70</v>
      </c>
      <c r="O400" s="193"/>
      <c r="P400" s="193" t="s">
        <v>2961</v>
      </c>
      <c r="Q400" s="193" t="s">
        <v>116</v>
      </c>
      <c r="R400" s="41" t="s">
        <v>560</v>
      </c>
      <c r="S400" s="41" t="s">
        <v>106</v>
      </c>
      <c r="T400" s="41" t="s">
        <v>107</v>
      </c>
      <c r="U400" s="40" t="s">
        <v>5032</v>
      </c>
      <c r="V400" s="192"/>
      <c r="W400" s="192"/>
      <c r="X400" s="192"/>
      <c r="Y400" s="16">
        <v>210</v>
      </c>
      <c r="Z400" s="16"/>
      <c r="AA400" s="16"/>
      <c r="AB400" s="16"/>
      <c r="AC400" s="16"/>
      <c r="AD400" s="16"/>
      <c r="AE400" s="16"/>
      <c r="AF400" s="16">
        <v>4</v>
      </c>
      <c r="AG400" s="162"/>
      <c r="AH400" s="192"/>
      <c r="AI400" s="193"/>
      <c r="AJ400" s="25"/>
      <c r="AK400" s="192"/>
      <c r="AL400" s="16"/>
      <c r="AM400" s="16"/>
      <c r="AN400" s="193" t="s">
        <v>4378</v>
      </c>
      <c r="AO400" s="193" t="s">
        <v>260</v>
      </c>
      <c r="AP400" s="193" t="s">
        <v>115</v>
      </c>
      <c r="AQ400" s="193" t="s">
        <v>296</v>
      </c>
      <c r="AR400" s="12">
        <f t="shared" si="15"/>
        <v>34</v>
      </c>
      <c r="AS400" s="12" t="str">
        <f t="shared" si="16"/>
        <v/>
      </c>
      <c r="AT400" s="18"/>
    </row>
    <row r="401" spans="1:46" s="19" customFormat="1" ht="20.100000000000001" hidden="1" customHeight="1" x14ac:dyDescent="0.2">
      <c r="A401" s="222">
        <v>388</v>
      </c>
      <c r="B401" s="16" t="s">
        <v>5037</v>
      </c>
      <c r="C401" s="16" t="s">
        <v>1998</v>
      </c>
      <c r="D401" s="193" t="s">
        <v>5038</v>
      </c>
      <c r="E401" s="193" t="s">
        <v>243</v>
      </c>
      <c r="F401" s="193" t="s">
        <v>192</v>
      </c>
      <c r="G401" s="193"/>
      <c r="H401" s="192" t="s">
        <v>7</v>
      </c>
      <c r="I401" s="16" t="s">
        <v>3576</v>
      </c>
      <c r="J401" s="193"/>
      <c r="K401" s="193" t="s">
        <v>104</v>
      </c>
      <c r="L401" s="193" t="s">
        <v>5067</v>
      </c>
      <c r="M401" s="193" t="s">
        <v>106</v>
      </c>
      <c r="N401" s="192" t="s">
        <v>107</v>
      </c>
      <c r="O401" s="193"/>
      <c r="P401" s="193" t="s">
        <v>3679</v>
      </c>
      <c r="Q401" s="193" t="s">
        <v>465</v>
      </c>
      <c r="R401" s="193" t="s">
        <v>5068</v>
      </c>
      <c r="S401" s="193" t="s">
        <v>69</v>
      </c>
      <c r="T401" s="193" t="s">
        <v>70</v>
      </c>
      <c r="U401" s="192"/>
      <c r="V401" s="192"/>
      <c r="W401" s="192">
        <v>223</v>
      </c>
      <c r="X401" s="192">
        <v>0</v>
      </c>
      <c r="Y401" s="16">
        <v>210</v>
      </c>
      <c r="Z401" s="16">
        <v>40</v>
      </c>
      <c r="AA401" s="16">
        <v>71</v>
      </c>
      <c r="AB401" s="16">
        <v>7</v>
      </c>
      <c r="AC401" s="16">
        <v>35</v>
      </c>
      <c r="AD401" s="16">
        <v>113</v>
      </c>
      <c r="AE401" s="16">
        <v>25</v>
      </c>
      <c r="AF401" s="16">
        <v>6</v>
      </c>
      <c r="AG401" s="16"/>
      <c r="AH401" s="192"/>
      <c r="AI401" s="193" t="s">
        <v>5060</v>
      </c>
      <c r="AJ401" s="25"/>
      <c r="AK401" s="192"/>
      <c r="AL401" s="16" t="s">
        <v>160</v>
      </c>
      <c r="AM401" s="16"/>
      <c r="AN401" s="193"/>
      <c r="AO401" s="193"/>
      <c r="AP401" s="193"/>
      <c r="AQ401" s="193"/>
      <c r="AR401" s="12" t="str">
        <f t="shared" si="15"/>
        <v/>
      </c>
      <c r="AS401" s="12" t="str">
        <f t="shared" si="16"/>
        <v/>
      </c>
      <c r="AT401" s="18"/>
    </row>
    <row r="402" spans="1:46" s="19" customFormat="1" ht="20.100000000000001" hidden="1" customHeight="1" x14ac:dyDescent="0.2">
      <c r="A402" s="222">
        <v>389</v>
      </c>
      <c r="B402" s="16" t="s">
        <v>5039</v>
      </c>
      <c r="C402" s="16" t="s">
        <v>1998</v>
      </c>
      <c r="D402" s="193" t="s">
        <v>2422</v>
      </c>
      <c r="E402" s="193" t="s">
        <v>8</v>
      </c>
      <c r="F402" s="193"/>
      <c r="G402" s="193"/>
      <c r="H402" s="192" t="s">
        <v>7</v>
      </c>
      <c r="I402" s="16" t="s">
        <v>84</v>
      </c>
      <c r="J402" s="193"/>
      <c r="K402" s="193" t="s">
        <v>140</v>
      </c>
      <c r="L402" s="193"/>
      <c r="M402" s="193" t="s">
        <v>106</v>
      </c>
      <c r="N402" s="192" t="s">
        <v>107</v>
      </c>
      <c r="O402" s="193"/>
      <c r="P402" s="193" t="s">
        <v>3679</v>
      </c>
      <c r="Q402" s="193" t="s">
        <v>506</v>
      </c>
      <c r="R402" s="193"/>
      <c r="S402" s="193" t="s">
        <v>262</v>
      </c>
      <c r="T402" s="193" t="s">
        <v>70</v>
      </c>
      <c r="U402" s="192"/>
      <c r="V402" s="192"/>
      <c r="W402" s="192">
        <v>179</v>
      </c>
      <c r="X402" s="33">
        <v>78</v>
      </c>
      <c r="Y402" s="34">
        <v>84</v>
      </c>
      <c r="Z402" s="16">
        <v>36</v>
      </c>
      <c r="AA402" s="16">
        <v>44</v>
      </c>
      <c r="AB402" s="16">
        <v>4</v>
      </c>
      <c r="AC402" s="16">
        <v>36</v>
      </c>
      <c r="AD402" s="16">
        <v>84</v>
      </c>
      <c r="AE402" s="16">
        <v>30</v>
      </c>
      <c r="AF402" s="16">
        <v>6</v>
      </c>
      <c r="AG402" s="162"/>
      <c r="AH402" s="192"/>
      <c r="AI402" s="193" t="s">
        <v>5037</v>
      </c>
      <c r="AJ402" s="25"/>
      <c r="AK402" s="192"/>
      <c r="AL402" s="16" t="s">
        <v>111</v>
      </c>
      <c r="AM402" s="16" t="s">
        <v>231</v>
      </c>
      <c r="AN402" s="193"/>
      <c r="AO402" s="193"/>
      <c r="AP402" s="193"/>
      <c r="AQ402" s="193"/>
      <c r="AR402" s="12" t="str">
        <f t="shared" si="15"/>
        <v/>
      </c>
      <c r="AS402" s="12" t="str">
        <f t="shared" si="16"/>
        <v/>
      </c>
      <c r="AT402" s="18"/>
    </row>
    <row r="403" spans="1:46" s="19" customFormat="1" ht="20.100000000000001" hidden="1" customHeight="1" x14ac:dyDescent="0.2">
      <c r="A403" s="222">
        <v>390</v>
      </c>
      <c r="B403" s="16" t="s">
        <v>5040</v>
      </c>
      <c r="C403" s="16" t="s">
        <v>1998</v>
      </c>
      <c r="D403" s="193" t="s">
        <v>2382</v>
      </c>
      <c r="E403" s="193" t="s">
        <v>10</v>
      </c>
      <c r="F403" s="193"/>
      <c r="G403" s="193"/>
      <c r="H403" s="192" t="s">
        <v>7</v>
      </c>
      <c r="I403" s="16"/>
      <c r="J403" s="193"/>
      <c r="K403" s="193" t="s">
        <v>141</v>
      </c>
      <c r="L403" s="193"/>
      <c r="M403" s="297" t="s">
        <v>106</v>
      </c>
      <c r="N403" s="296" t="s">
        <v>107</v>
      </c>
      <c r="O403" s="193"/>
      <c r="P403" s="193" t="s">
        <v>2961</v>
      </c>
      <c r="Q403" s="193" t="s">
        <v>260</v>
      </c>
      <c r="R403" s="193"/>
      <c r="S403" s="297" t="s">
        <v>73</v>
      </c>
      <c r="T403" s="297" t="s">
        <v>70</v>
      </c>
      <c r="U403" s="192"/>
      <c r="V403" s="192"/>
      <c r="W403" s="175">
        <v>205</v>
      </c>
      <c r="X403" s="175">
        <v>192</v>
      </c>
      <c r="Y403" s="175">
        <v>192</v>
      </c>
      <c r="Z403" s="175">
        <v>168</v>
      </c>
      <c r="AA403" s="175">
        <v>180</v>
      </c>
      <c r="AB403" s="175">
        <v>5</v>
      </c>
      <c r="AC403" s="175">
        <v>10</v>
      </c>
      <c r="AD403" s="175">
        <v>195</v>
      </c>
      <c r="AE403" s="175">
        <v>7</v>
      </c>
      <c r="AF403" s="16">
        <v>6</v>
      </c>
      <c r="AG403" s="162"/>
      <c r="AH403" s="192"/>
      <c r="AI403" s="193" t="s">
        <v>5039</v>
      </c>
      <c r="AJ403" s="25">
        <v>196</v>
      </c>
      <c r="AK403" s="192">
        <v>7</v>
      </c>
      <c r="AL403" s="16" t="s">
        <v>111</v>
      </c>
      <c r="AM403" s="16" t="s">
        <v>161</v>
      </c>
      <c r="AN403" s="193"/>
      <c r="AO403" s="193"/>
      <c r="AP403" s="193"/>
      <c r="AQ403" s="193"/>
      <c r="AR403" s="12" t="str">
        <f t="shared" si="15"/>
        <v/>
      </c>
      <c r="AS403" s="12" t="str">
        <f t="shared" si="16"/>
        <v/>
      </c>
      <c r="AT403" s="18"/>
    </row>
    <row r="404" spans="1:46" s="19" customFormat="1" ht="20.100000000000001" hidden="1" customHeight="1" x14ac:dyDescent="0.2">
      <c r="A404" s="222">
        <v>391</v>
      </c>
      <c r="B404" s="16" t="s">
        <v>5041</v>
      </c>
      <c r="C404" s="16" t="s">
        <v>1998</v>
      </c>
      <c r="D404" s="193" t="s">
        <v>5042</v>
      </c>
      <c r="E404" s="193"/>
      <c r="F404" s="193" t="s">
        <v>192</v>
      </c>
      <c r="G404" s="193"/>
      <c r="H404" s="192" t="s">
        <v>7</v>
      </c>
      <c r="I404" s="16" t="s">
        <v>3576</v>
      </c>
      <c r="J404" s="193"/>
      <c r="K404" s="193" t="s">
        <v>104</v>
      </c>
      <c r="L404" s="193" t="s">
        <v>5066</v>
      </c>
      <c r="M404" s="193" t="s">
        <v>106</v>
      </c>
      <c r="N404" s="192" t="s">
        <v>107</v>
      </c>
      <c r="O404" s="193"/>
      <c r="P404" s="193" t="s">
        <v>3679</v>
      </c>
      <c r="Q404" s="193" t="s">
        <v>555</v>
      </c>
      <c r="R404" s="193" t="s">
        <v>5065</v>
      </c>
      <c r="S404" s="193" t="s">
        <v>106</v>
      </c>
      <c r="T404" s="193" t="s">
        <v>107</v>
      </c>
      <c r="U404" s="192"/>
      <c r="V404" s="192"/>
      <c r="W404" s="192">
        <v>241</v>
      </c>
      <c r="X404" s="192">
        <v>0</v>
      </c>
      <c r="Y404" s="16">
        <v>222</v>
      </c>
      <c r="Z404" s="16">
        <v>68</v>
      </c>
      <c r="AA404" s="16">
        <v>97</v>
      </c>
      <c r="AB404" s="16">
        <v>6</v>
      </c>
      <c r="AC404" s="16">
        <v>36</v>
      </c>
      <c r="AD404" s="16">
        <v>139</v>
      </c>
      <c r="AE404" s="16">
        <v>25</v>
      </c>
      <c r="AF404" s="16">
        <v>6</v>
      </c>
      <c r="AG404" s="16"/>
      <c r="AH404" s="192"/>
      <c r="AI404" s="193" t="s">
        <v>5061</v>
      </c>
      <c r="AJ404" s="25"/>
      <c r="AK404" s="192"/>
      <c r="AL404" s="16" t="s">
        <v>160</v>
      </c>
      <c r="AM404" s="16" t="s">
        <v>193</v>
      </c>
      <c r="AN404" s="193"/>
      <c r="AO404" s="193"/>
      <c r="AP404" s="193"/>
      <c r="AQ404" s="193"/>
      <c r="AR404" s="12" t="str">
        <f t="shared" si="15"/>
        <v/>
      </c>
      <c r="AS404" s="12" t="str">
        <f t="shared" si="16"/>
        <v/>
      </c>
      <c r="AT404" s="18"/>
    </row>
    <row r="405" spans="1:46" s="19" customFormat="1" ht="20.100000000000001" hidden="1" customHeight="1" x14ac:dyDescent="0.2">
      <c r="A405" s="222">
        <v>392</v>
      </c>
      <c r="B405" s="16" t="s">
        <v>5043</v>
      </c>
      <c r="C405" s="16" t="s">
        <v>1998</v>
      </c>
      <c r="D405" s="193" t="s">
        <v>1042</v>
      </c>
      <c r="E405" s="193"/>
      <c r="F405" s="193"/>
      <c r="G405" s="193"/>
      <c r="H405" s="192" t="s">
        <v>7</v>
      </c>
      <c r="I405" s="16" t="s">
        <v>84</v>
      </c>
      <c r="J405" s="193"/>
      <c r="K405" s="193" t="s">
        <v>334</v>
      </c>
      <c r="L405" s="193"/>
      <c r="M405" s="193" t="s">
        <v>69</v>
      </c>
      <c r="N405" s="192" t="s">
        <v>70</v>
      </c>
      <c r="O405" s="193"/>
      <c r="P405" s="193" t="s">
        <v>2961</v>
      </c>
      <c r="Q405" s="193" t="s">
        <v>116</v>
      </c>
      <c r="R405" s="193"/>
      <c r="S405" s="193" t="s">
        <v>73</v>
      </c>
      <c r="T405" s="193" t="s">
        <v>70</v>
      </c>
      <c r="U405" s="192"/>
      <c r="V405" s="192"/>
      <c r="W405" s="192">
        <v>147</v>
      </c>
      <c r="X405" s="192">
        <v>139</v>
      </c>
      <c r="Y405" s="16">
        <v>139</v>
      </c>
      <c r="Z405" s="16">
        <v>74</v>
      </c>
      <c r="AA405" s="16">
        <v>126</v>
      </c>
      <c r="AB405" s="16">
        <v>4</v>
      </c>
      <c r="AC405" s="16">
        <v>23</v>
      </c>
      <c r="AD405" s="16">
        <v>153</v>
      </c>
      <c r="AE405" s="16">
        <v>8</v>
      </c>
      <c r="AF405" s="16">
        <v>4</v>
      </c>
      <c r="AG405" s="16"/>
      <c r="AH405" s="192"/>
      <c r="AI405" s="193" t="s">
        <v>5062</v>
      </c>
      <c r="AJ405" s="25"/>
      <c r="AK405" s="192"/>
      <c r="AL405" s="16" t="s">
        <v>111</v>
      </c>
      <c r="AM405" s="16" t="s">
        <v>231</v>
      </c>
      <c r="AN405" s="193"/>
      <c r="AO405" s="193"/>
      <c r="AP405" s="193"/>
      <c r="AQ405" s="193"/>
      <c r="AR405" s="12" t="str">
        <f t="shared" si="15"/>
        <v/>
      </c>
      <c r="AS405" s="12" t="str">
        <f t="shared" si="16"/>
        <v/>
      </c>
      <c r="AT405" s="18"/>
    </row>
    <row r="406" spans="1:46" s="19" customFormat="1" ht="20.100000000000001" hidden="1" customHeight="1" x14ac:dyDescent="0.2">
      <c r="A406" s="222">
        <v>393</v>
      </c>
      <c r="B406" s="16" t="s">
        <v>5044</v>
      </c>
      <c r="C406" s="16" t="s">
        <v>1998</v>
      </c>
      <c r="D406" s="193" t="s">
        <v>2958</v>
      </c>
      <c r="E406" s="193"/>
      <c r="F406" s="193"/>
      <c r="G406" s="193"/>
      <c r="H406" s="192" t="s">
        <v>7</v>
      </c>
      <c r="I406" s="16" t="s">
        <v>84</v>
      </c>
      <c r="J406" s="193"/>
      <c r="K406" s="193" t="s">
        <v>68</v>
      </c>
      <c r="L406" s="193"/>
      <c r="M406" s="193" t="s">
        <v>106</v>
      </c>
      <c r="N406" s="192" t="s">
        <v>107</v>
      </c>
      <c r="O406" s="193"/>
      <c r="P406" s="193" t="s">
        <v>2245</v>
      </c>
      <c r="Q406" s="193" t="s">
        <v>1581</v>
      </c>
      <c r="R406" s="193"/>
      <c r="S406" s="193" t="s">
        <v>69</v>
      </c>
      <c r="T406" s="193" t="s">
        <v>70</v>
      </c>
      <c r="U406" s="192"/>
      <c r="V406" s="192"/>
      <c r="W406" s="567" t="s">
        <v>5055</v>
      </c>
      <c r="X406" s="568"/>
      <c r="Y406" s="568"/>
      <c r="Z406" s="568"/>
      <c r="AA406" s="568"/>
      <c r="AB406" s="568"/>
      <c r="AC406" s="568"/>
      <c r="AD406" s="568"/>
      <c r="AE406" s="569"/>
      <c r="AF406" s="16"/>
      <c r="AG406" s="162"/>
      <c r="AH406" s="192"/>
      <c r="AI406" s="193" t="s">
        <v>5029</v>
      </c>
      <c r="AJ406" s="25"/>
      <c r="AK406" s="192"/>
      <c r="AL406" s="16" t="s">
        <v>160</v>
      </c>
      <c r="AM406" s="16" t="s">
        <v>193</v>
      </c>
      <c r="AN406" s="193"/>
      <c r="AO406" s="193"/>
      <c r="AP406" s="193"/>
      <c r="AQ406" s="193"/>
      <c r="AR406" s="12" t="str">
        <f t="shared" si="15"/>
        <v/>
      </c>
      <c r="AS406" s="12" t="str">
        <f t="shared" si="16"/>
        <v/>
      </c>
      <c r="AT406" s="18"/>
    </row>
    <row r="407" spans="1:46" s="19" customFormat="1" ht="20.100000000000001" hidden="1" customHeight="1" x14ac:dyDescent="0.2">
      <c r="A407" s="222">
        <v>394</v>
      </c>
      <c r="B407" s="16" t="s">
        <v>5044</v>
      </c>
      <c r="C407" s="16" t="s">
        <v>1998</v>
      </c>
      <c r="D407" s="193" t="s">
        <v>5045</v>
      </c>
      <c r="E407" s="193"/>
      <c r="F407" s="193" t="s">
        <v>185</v>
      </c>
      <c r="G407" s="193"/>
      <c r="H407" s="192" t="s">
        <v>83</v>
      </c>
      <c r="I407" s="16" t="s">
        <v>84</v>
      </c>
      <c r="J407" s="193"/>
      <c r="K407" s="299" t="s">
        <v>140</v>
      </c>
      <c r="L407" s="299" t="s">
        <v>4184</v>
      </c>
      <c r="M407" s="299" t="s">
        <v>106</v>
      </c>
      <c r="N407" s="298" t="s">
        <v>107</v>
      </c>
      <c r="O407" s="193"/>
      <c r="P407" s="299" t="s">
        <v>3677</v>
      </c>
      <c r="Q407" s="299" t="s">
        <v>506</v>
      </c>
      <c r="R407" s="299" t="s">
        <v>4185</v>
      </c>
      <c r="S407" s="299" t="s">
        <v>106</v>
      </c>
      <c r="T407" s="299" t="s">
        <v>107</v>
      </c>
      <c r="U407" s="192" t="s">
        <v>4135</v>
      </c>
      <c r="V407" s="192"/>
      <c r="W407" s="192"/>
      <c r="X407" s="192"/>
      <c r="Y407" s="16">
        <v>102</v>
      </c>
      <c r="Z407" s="16"/>
      <c r="AA407" s="16"/>
      <c r="AB407" s="16"/>
      <c r="AC407" s="16"/>
      <c r="AD407" s="16"/>
      <c r="AE407" s="16"/>
      <c r="AF407" s="16"/>
      <c r="AG407" s="162"/>
      <c r="AH407" s="192"/>
      <c r="AI407" s="193"/>
      <c r="AJ407" s="25"/>
      <c r="AK407" s="192"/>
      <c r="AL407" s="16" t="s">
        <v>111</v>
      </c>
      <c r="AM407" s="16" t="s">
        <v>330</v>
      </c>
      <c r="AN407" s="193" t="s">
        <v>4378</v>
      </c>
      <c r="AO407" s="193" t="s">
        <v>260</v>
      </c>
      <c r="AP407" s="193" t="s">
        <v>113</v>
      </c>
      <c r="AQ407" s="193" t="s">
        <v>441</v>
      </c>
      <c r="AR407" s="12">
        <f t="shared" si="15"/>
        <v>14</v>
      </c>
      <c r="AS407" s="12" t="str">
        <f t="shared" si="16"/>
        <v/>
      </c>
      <c r="AT407" s="18"/>
    </row>
    <row r="408" spans="1:46" s="19" customFormat="1" ht="21.75" hidden="1" x14ac:dyDescent="0.2">
      <c r="A408" s="222">
        <v>395</v>
      </c>
      <c r="B408" s="16" t="s">
        <v>5046</v>
      </c>
      <c r="C408" s="16" t="s">
        <v>1998</v>
      </c>
      <c r="D408" s="193" t="s">
        <v>540</v>
      </c>
      <c r="E408" s="193"/>
      <c r="F408" s="193"/>
      <c r="G408" s="193"/>
      <c r="H408" s="192" t="s">
        <v>7</v>
      </c>
      <c r="I408" s="16" t="s">
        <v>84</v>
      </c>
      <c r="J408" s="35" t="s">
        <v>104</v>
      </c>
      <c r="K408" s="35" t="s">
        <v>68</v>
      </c>
      <c r="L408" s="193"/>
      <c r="M408" s="193" t="s">
        <v>106</v>
      </c>
      <c r="N408" s="192" t="s">
        <v>107</v>
      </c>
      <c r="O408" s="193" t="s">
        <v>256</v>
      </c>
      <c r="P408" s="193" t="s">
        <v>3678</v>
      </c>
      <c r="Q408" s="193" t="s">
        <v>5063</v>
      </c>
      <c r="R408" s="193"/>
      <c r="S408" s="193" t="s">
        <v>106</v>
      </c>
      <c r="T408" s="193" t="s">
        <v>107</v>
      </c>
      <c r="U408" s="192"/>
      <c r="V408" s="192"/>
      <c r="W408" s="192">
        <v>200</v>
      </c>
      <c r="X408" s="192">
        <v>102</v>
      </c>
      <c r="Y408" s="16">
        <v>102</v>
      </c>
      <c r="Z408" s="16">
        <v>31</v>
      </c>
      <c r="AA408" s="16">
        <v>81</v>
      </c>
      <c r="AB408" s="16">
        <v>5</v>
      </c>
      <c r="AC408" s="16">
        <v>46</v>
      </c>
      <c r="AD408" s="16">
        <v>132</v>
      </c>
      <c r="AE408" s="16">
        <v>32</v>
      </c>
      <c r="AF408" s="16">
        <v>6</v>
      </c>
      <c r="AG408" s="16"/>
      <c r="AH408" s="192"/>
      <c r="AI408" s="193" t="s">
        <v>5062</v>
      </c>
      <c r="AJ408" s="25"/>
      <c r="AK408" s="192"/>
      <c r="AL408" s="16" t="s">
        <v>111</v>
      </c>
      <c r="AM408" s="16" t="s">
        <v>112</v>
      </c>
      <c r="AN408" s="193"/>
      <c r="AO408" s="193"/>
      <c r="AP408" s="193"/>
      <c r="AQ408" s="193"/>
      <c r="AR408" s="12" t="str">
        <f t="shared" si="15"/>
        <v/>
      </c>
      <c r="AS408" s="12" t="str">
        <f t="shared" si="16"/>
        <v/>
      </c>
      <c r="AT408" s="197"/>
    </row>
    <row r="409" spans="1:46" s="19" customFormat="1" ht="20.100000000000001" hidden="1" customHeight="1" x14ac:dyDescent="0.2">
      <c r="A409" s="222">
        <v>396</v>
      </c>
      <c r="B409" s="16" t="s">
        <v>5047</v>
      </c>
      <c r="C409" s="16" t="s">
        <v>1998</v>
      </c>
      <c r="D409" s="193" t="s">
        <v>5048</v>
      </c>
      <c r="E409" s="193" t="s">
        <v>20</v>
      </c>
      <c r="F409" s="193" t="s">
        <v>192</v>
      </c>
      <c r="G409" s="193"/>
      <c r="H409" s="192" t="s">
        <v>7</v>
      </c>
      <c r="I409" s="16" t="s">
        <v>3576</v>
      </c>
      <c r="J409" s="193"/>
      <c r="K409" s="193" t="s">
        <v>68</v>
      </c>
      <c r="L409" s="193"/>
      <c r="M409" s="193" t="s">
        <v>106</v>
      </c>
      <c r="N409" s="192" t="s">
        <v>107</v>
      </c>
      <c r="O409" s="193"/>
      <c r="P409" s="193" t="s">
        <v>3677</v>
      </c>
      <c r="Q409" s="193" t="s">
        <v>485</v>
      </c>
      <c r="R409" s="193"/>
      <c r="S409" s="193" t="s">
        <v>106</v>
      </c>
      <c r="T409" s="193" t="s">
        <v>107</v>
      </c>
      <c r="U409" s="192"/>
      <c r="V409" s="192"/>
      <c r="W409" s="192">
        <v>250</v>
      </c>
      <c r="X409" s="192">
        <v>0</v>
      </c>
      <c r="Y409" s="16">
        <v>240</v>
      </c>
      <c r="Z409" s="16">
        <v>102</v>
      </c>
      <c r="AA409" s="16">
        <v>121</v>
      </c>
      <c r="AB409" s="16">
        <v>7</v>
      </c>
      <c r="AC409" s="16">
        <v>29</v>
      </c>
      <c r="AD409" s="16">
        <v>157</v>
      </c>
      <c r="AE409" s="16">
        <v>23</v>
      </c>
      <c r="AF409" s="16">
        <v>6</v>
      </c>
      <c r="AG409" s="162"/>
      <c r="AH409" s="192"/>
      <c r="AI409" s="193" t="s">
        <v>5046</v>
      </c>
      <c r="AJ409" s="25"/>
      <c r="AK409" s="192"/>
      <c r="AL409" s="16" t="s">
        <v>160</v>
      </c>
      <c r="AM409" s="16" t="s">
        <v>193</v>
      </c>
      <c r="AN409" s="193"/>
      <c r="AO409" s="193"/>
      <c r="AP409" s="193"/>
      <c r="AQ409" s="193"/>
      <c r="AR409" s="12" t="str">
        <f t="shared" si="15"/>
        <v/>
      </c>
      <c r="AS409" s="12" t="str">
        <f t="shared" si="16"/>
        <v/>
      </c>
      <c r="AT409" s="18"/>
    </row>
    <row r="410" spans="1:46" s="19" customFormat="1" ht="20.100000000000001" hidden="1" customHeight="1" x14ac:dyDescent="0.2">
      <c r="A410" s="222">
        <v>397</v>
      </c>
      <c r="B410" s="16" t="s">
        <v>5047</v>
      </c>
      <c r="C410" s="16" t="s">
        <v>1998</v>
      </c>
      <c r="D410" s="193" t="s">
        <v>3928</v>
      </c>
      <c r="E410" s="193"/>
      <c r="F410" s="193" t="s">
        <v>4038</v>
      </c>
      <c r="G410" s="193"/>
      <c r="H410" s="192" t="s">
        <v>83</v>
      </c>
      <c r="I410" s="16" t="s">
        <v>84</v>
      </c>
      <c r="J410" s="193"/>
      <c r="K410" s="299" t="s">
        <v>117</v>
      </c>
      <c r="L410" s="299" t="s">
        <v>3954</v>
      </c>
      <c r="M410" s="299" t="s">
        <v>106</v>
      </c>
      <c r="N410" s="298" t="s">
        <v>107</v>
      </c>
      <c r="O410" s="193"/>
      <c r="P410" s="299" t="s">
        <v>3679</v>
      </c>
      <c r="Q410" s="299" t="s">
        <v>465</v>
      </c>
      <c r="R410" s="299" t="s">
        <v>3955</v>
      </c>
      <c r="S410" s="299" t="s">
        <v>106</v>
      </c>
      <c r="T410" s="299" t="s">
        <v>107</v>
      </c>
      <c r="U410" s="192" t="s">
        <v>3944</v>
      </c>
      <c r="V410" s="192"/>
      <c r="W410" s="192"/>
      <c r="X410" s="192"/>
      <c r="Y410" s="16">
        <v>150</v>
      </c>
      <c r="Z410" s="16"/>
      <c r="AA410" s="16"/>
      <c r="AB410" s="16"/>
      <c r="AC410" s="16"/>
      <c r="AD410" s="16"/>
      <c r="AE410" s="16"/>
      <c r="AF410" s="16"/>
      <c r="AG410" s="162"/>
      <c r="AH410" s="192"/>
      <c r="AI410" s="193"/>
      <c r="AJ410" s="25"/>
      <c r="AK410" s="192"/>
      <c r="AL410" s="16" t="s">
        <v>2155</v>
      </c>
      <c r="AM410" s="16"/>
      <c r="AN410" s="193" t="s">
        <v>4378</v>
      </c>
      <c r="AO410" s="193" t="s">
        <v>260</v>
      </c>
      <c r="AP410" s="193" t="s">
        <v>113</v>
      </c>
      <c r="AQ410" s="193" t="s">
        <v>148</v>
      </c>
      <c r="AR410" s="12">
        <f t="shared" si="15"/>
        <v>16</v>
      </c>
      <c r="AS410" s="12" t="str">
        <f t="shared" si="16"/>
        <v/>
      </c>
      <c r="AT410" s="18"/>
    </row>
    <row r="411" spans="1:46" s="19" customFormat="1" ht="20.100000000000001" hidden="1" customHeight="1" x14ac:dyDescent="0.2">
      <c r="A411" s="222">
        <v>398</v>
      </c>
      <c r="B411" s="16" t="s">
        <v>5049</v>
      </c>
      <c r="C411" s="16" t="s">
        <v>1998</v>
      </c>
      <c r="D411" s="193" t="s">
        <v>2787</v>
      </c>
      <c r="E411" s="193"/>
      <c r="F411" s="193"/>
      <c r="G411" s="193"/>
      <c r="H411" s="192" t="s">
        <v>7</v>
      </c>
      <c r="I411" s="16" t="s">
        <v>84</v>
      </c>
      <c r="J411" s="193"/>
      <c r="K411" s="193" t="s">
        <v>218</v>
      </c>
      <c r="L411" s="193"/>
      <c r="M411" s="193" t="s">
        <v>106</v>
      </c>
      <c r="N411" s="192" t="s">
        <v>107</v>
      </c>
      <c r="O411" s="193"/>
      <c r="P411" s="193" t="s">
        <v>3679</v>
      </c>
      <c r="Q411" s="193" t="s">
        <v>260</v>
      </c>
      <c r="R411" s="193"/>
      <c r="S411" s="193" t="s">
        <v>69</v>
      </c>
      <c r="T411" s="193" t="s">
        <v>70</v>
      </c>
      <c r="U411" s="192"/>
      <c r="V411" s="192"/>
      <c r="W411" s="192">
        <v>250</v>
      </c>
      <c r="X411" s="192">
        <v>186</v>
      </c>
      <c r="Y411" s="16">
        <v>186</v>
      </c>
      <c r="Z411" s="16">
        <v>90</v>
      </c>
      <c r="AA411" s="16">
        <v>133</v>
      </c>
      <c r="AB411" s="16">
        <v>7</v>
      </c>
      <c r="AC411" s="16">
        <v>71</v>
      </c>
      <c r="AD411" s="192">
        <v>211</v>
      </c>
      <c r="AE411" s="16">
        <v>30</v>
      </c>
      <c r="AF411" s="16">
        <v>6</v>
      </c>
      <c r="AG411" s="162"/>
      <c r="AH411" s="192"/>
      <c r="AI411" s="193" t="s">
        <v>5046</v>
      </c>
      <c r="AJ411" s="25"/>
      <c r="AK411" s="192"/>
      <c r="AL411" s="16" t="s">
        <v>111</v>
      </c>
      <c r="AM411" s="16" t="s">
        <v>193</v>
      </c>
      <c r="AN411" s="193"/>
      <c r="AO411" s="193"/>
      <c r="AP411" s="193"/>
      <c r="AQ411" s="193"/>
      <c r="AR411" s="12" t="str">
        <f t="shared" si="15"/>
        <v/>
      </c>
      <c r="AS411" s="12" t="str">
        <f t="shared" si="16"/>
        <v/>
      </c>
      <c r="AT411" s="18"/>
    </row>
    <row r="412" spans="1:46" s="21" customFormat="1" ht="36" hidden="1" customHeight="1" x14ac:dyDescent="0.2">
      <c r="A412" s="20">
        <v>399</v>
      </c>
      <c r="B412" s="29" t="s">
        <v>5050</v>
      </c>
      <c r="C412" s="29" t="s">
        <v>1998</v>
      </c>
      <c r="D412" s="30" t="s">
        <v>540</v>
      </c>
      <c r="E412" s="30"/>
      <c r="F412" s="30" t="s">
        <v>185</v>
      </c>
      <c r="G412" s="30"/>
      <c r="H412" s="20" t="s">
        <v>83</v>
      </c>
      <c r="I412" s="29"/>
      <c r="J412" s="30"/>
      <c r="K412" s="30" t="s">
        <v>68</v>
      </c>
      <c r="L412" s="30"/>
      <c r="M412" s="30" t="s">
        <v>106</v>
      </c>
      <c r="N412" s="20" t="s">
        <v>107</v>
      </c>
      <c r="O412" s="30"/>
      <c r="P412" s="30" t="s">
        <v>3678</v>
      </c>
      <c r="Q412" s="30" t="s">
        <v>465</v>
      </c>
      <c r="R412" s="30"/>
      <c r="S412" s="30" t="s">
        <v>106</v>
      </c>
      <c r="T412" s="30" t="s">
        <v>107</v>
      </c>
      <c r="U412" s="20" t="s">
        <v>5046</v>
      </c>
      <c r="V412" s="20"/>
      <c r="W412" s="20"/>
      <c r="X412" s="20"/>
      <c r="Y412" s="29">
        <v>102</v>
      </c>
      <c r="Z412" s="29"/>
      <c r="AA412" s="29"/>
      <c r="AB412" s="29"/>
      <c r="AC412" s="29"/>
      <c r="AD412" s="29"/>
      <c r="AE412" s="29"/>
      <c r="AF412" s="29">
        <v>6</v>
      </c>
      <c r="AG412" s="29"/>
      <c r="AH412" s="20"/>
      <c r="AI412" s="30"/>
      <c r="AJ412" s="36"/>
      <c r="AK412" s="20"/>
      <c r="AL412" s="29" t="s">
        <v>111</v>
      </c>
      <c r="AM412" s="29" t="s">
        <v>112</v>
      </c>
      <c r="AN412" s="30" t="s">
        <v>4378</v>
      </c>
      <c r="AO412" s="30" t="s">
        <v>260</v>
      </c>
      <c r="AP412" s="30" t="s">
        <v>4378</v>
      </c>
      <c r="AQ412" s="30" t="s">
        <v>260</v>
      </c>
      <c r="AR412" s="31">
        <f t="shared" si="15"/>
        <v>0</v>
      </c>
      <c r="AS412" s="31">
        <f t="shared" si="16"/>
        <v>0</v>
      </c>
      <c r="AT412" s="32" t="s">
        <v>5056</v>
      </c>
    </row>
    <row r="413" spans="1:46" s="21" customFormat="1" ht="31.5" hidden="1" x14ac:dyDescent="0.2">
      <c r="A413" s="20">
        <v>400</v>
      </c>
      <c r="B413" s="29" t="s">
        <v>5050</v>
      </c>
      <c r="C413" s="29" t="s">
        <v>1998</v>
      </c>
      <c r="D413" s="30" t="s">
        <v>1401</v>
      </c>
      <c r="E413" s="30"/>
      <c r="F413" s="30" t="s">
        <v>4038</v>
      </c>
      <c r="G413" s="193"/>
      <c r="H413" s="20" t="s">
        <v>83</v>
      </c>
      <c r="I413" s="29"/>
      <c r="J413" s="30"/>
      <c r="K413" s="30" t="s">
        <v>117</v>
      </c>
      <c r="L413" s="30" t="s">
        <v>4421</v>
      </c>
      <c r="M413" s="30" t="s">
        <v>69</v>
      </c>
      <c r="N413" s="20" t="s">
        <v>70</v>
      </c>
      <c r="O413" s="30"/>
      <c r="P413" s="30" t="s">
        <v>2961</v>
      </c>
      <c r="Q413" s="30" t="s">
        <v>1581</v>
      </c>
      <c r="R413" s="30" t="s">
        <v>4422</v>
      </c>
      <c r="S413" s="30" t="s">
        <v>106</v>
      </c>
      <c r="T413" s="30" t="s">
        <v>107</v>
      </c>
      <c r="U413" s="20"/>
      <c r="V413" s="192"/>
      <c r="W413" s="20"/>
      <c r="X413" s="20"/>
      <c r="Y413" s="29">
        <v>210</v>
      </c>
      <c r="Z413" s="29"/>
      <c r="AA413" s="29"/>
      <c r="AB413" s="29"/>
      <c r="AC413" s="29"/>
      <c r="AD413" s="29"/>
      <c r="AE413" s="29"/>
      <c r="AF413" s="29">
        <v>6</v>
      </c>
      <c r="AG413" s="16"/>
      <c r="AH413" s="192"/>
      <c r="AI413" s="30"/>
      <c r="AJ413" s="36"/>
      <c r="AK413" s="20"/>
      <c r="AL413" s="29" t="s">
        <v>160</v>
      </c>
      <c r="AM413" s="29" t="s">
        <v>161</v>
      </c>
      <c r="AN413" s="30" t="s">
        <v>4378</v>
      </c>
      <c r="AO413" s="30" t="s">
        <v>260</v>
      </c>
      <c r="AP413" s="30" t="s">
        <v>4378</v>
      </c>
      <c r="AQ413" s="30" t="s">
        <v>114</v>
      </c>
      <c r="AR413" s="31">
        <f t="shared" si="15"/>
        <v>11</v>
      </c>
      <c r="AS413" s="31">
        <f t="shared" si="16"/>
        <v>11</v>
      </c>
      <c r="AT413" s="32" t="s">
        <v>5059</v>
      </c>
    </row>
    <row r="414" spans="1:46" s="19" customFormat="1" ht="20.100000000000001" hidden="1" customHeight="1" x14ac:dyDescent="0.2">
      <c r="A414" s="222">
        <v>401</v>
      </c>
      <c r="B414" s="16" t="s">
        <v>5051</v>
      </c>
      <c r="C414" s="16" t="s">
        <v>1998</v>
      </c>
      <c r="D414" s="193" t="s">
        <v>5052</v>
      </c>
      <c r="E414" s="193"/>
      <c r="F414" s="193" t="s">
        <v>202</v>
      </c>
      <c r="G414" s="193"/>
      <c r="H414" s="192" t="s">
        <v>83</v>
      </c>
      <c r="I414" s="16"/>
      <c r="J414" s="193"/>
      <c r="K414" s="297" t="s">
        <v>104</v>
      </c>
      <c r="L414" s="41" t="s">
        <v>923</v>
      </c>
      <c r="M414" s="41" t="s">
        <v>106</v>
      </c>
      <c r="N414" s="13" t="s">
        <v>107</v>
      </c>
      <c r="O414" s="193"/>
      <c r="P414" s="193" t="s">
        <v>2961</v>
      </c>
      <c r="Q414" s="193" t="s">
        <v>493</v>
      </c>
      <c r="R414" s="193" t="s">
        <v>1844</v>
      </c>
      <c r="S414" s="193" t="s">
        <v>5057</v>
      </c>
      <c r="T414" s="193" t="s">
        <v>70</v>
      </c>
      <c r="U414" s="40" t="s">
        <v>1860</v>
      </c>
      <c r="V414" s="192"/>
      <c r="W414" s="192"/>
      <c r="X414" s="192"/>
      <c r="Y414" s="16">
        <v>216</v>
      </c>
      <c r="Z414" s="16"/>
      <c r="AA414" s="16"/>
      <c r="AB414" s="16"/>
      <c r="AC414" s="16"/>
      <c r="AD414" s="16"/>
      <c r="AE414" s="16"/>
      <c r="AF414" s="16">
        <v>6</v>
      </c>
      <c r="AG414" s="162"/>
      <c r="AH414" s="192"/>
      <c r="AI414" s="193"/>
      <c r="AJ414" s="25"/>
      <c r="AK414" s="192"/>
      <c r="AL414" s="16" t="s">
        <v>160</v>
      </c>
      <c r="AM414" s="16" t="s">
        <v>193</v>
      </c>
      <c r="AN414" s="193" t="s">
        <v>4378</v>
      </c>
      <c r="AO414" s="193" t="s">
        <v>260</v>
      </c>
      <c r="AP414" s="193" t="s">
        <v>115</v>
      </c>
      <c r="AQ414" s="193" t="s">
        <v>441</v>
      </c>
      <c r="AR414" s="12">
        <f t="shared" si="15"/>
        <v>26</v>
      </c>
      <c r="AS414" s="12" t="str">
        <f t="shared" si="16"/>
        <v/>
      </c>
      <c r="AT414" s="18" t="s">
        <v>5058</v>
      </c>
    </row>
    <row r="415" spans="1:46" s="19" customFormat="1" ht="20.100000000000001" hidden="1" customHeight="1" x14ac:dyDescent="0.2">
      <c r="A415" s="222">
        <v>402</v>
      </c>
      <c r="B415" s="16" t="s">
        <v>5051</v>
      </c>
      <c r="C415" s="16" t="s">
        <v>1998</v>
      </c>
      <c r="D415" s="193" t="s">
        <v>5053</v>
      </c>
      <c r="E415" s="193" t="s">
        <v>6</v>
      </c>
      <c r="F415" s="193" t="s">
        <v>5191</v>
      </c>
      <c r="G415" s="193"/>
      <c r="H415" s="192" t="s">
        <v>83</v>
      </c>
      <c r="I415" s="16"/>
      <c r="J415" s="193"/>
      <c r="K415" s="193" t="s">
        <v>155</v>
      </c>
      <c r="L415" s="193" t="s">
        <v>5138</v>
      </c>
      <c r="M415" s="193" t="s">
        <v>73</v>
      </c>
      <c r="N415" s="192" t="s">
        <v>107</v>
      </c>
      <c r="O415" s="193"/>
      <c r="P415" s="193" t="s">
        <v>3679</v>
      </c>
      <c r="Q415" s="193" t="s">
        <v>441</v>
      </c>
      <c r="R415" s="193" t="s">
        <v>5139</v>
      </c>
      <c r="S415" s="193" t="s">
        <v>119</v>
      </c>
      <c r="T415" s="193" t="s">
        <v>107</v>
      </c>
      <c r="U415" s="192" t="s">
        <v>5140</v>
      </c>
      <c r="V415" s="192"/>
      <c r="W415" s="192"/>
      <c r="X415" s="192"/>
      <c r="Y415" s="16">
        <v>234</v>
      </c>
      <c r="Z415" s="16"/>
      <c r="AA415" s="16"/>
      <c r="AB415" s="16"/>
      <c r="AC415" s="16"/>
      <c r="AD415" s="16"/>
      <c r="AE415" s="16"/>
      <c r="AF415" s="16">
        <v>6</v>
      </c>
      <c r="AG415" s="162"/>
      <c r="AH415" s="192"/>
      <c r="AI415" s="193"/>
      <c r="AJ415" s="25"/>
      <c r="AK415" s="192"/>
      <c r="AL415" s="16"/>
      <c r="AM415" s="16"/>
      <c r="AN415" s="193" t="s">
        <v>4378</v>
      </c>
      <c r="AO415" s="193" t="s">
        <v>260</v>
      </c>
      <c r="AP415" s="193" t="s">
        <v>547</v>
      </c>
      <c r="AQ415" s="193" t="s">
        <v>296</v>
      </c>
      <c r="AR415" s="12">
        <f t="shared" si="15"/>
        <v>94</v>
      </c>
      <c r="AS415" s="12" t="str">
        <f t="shared" si="16"/>
        <v/>
      </c>
      <c r="AT415" s="18"/>
    </row>
    <row r="416" spans="1:46" s="19" customFormat="1" ht="20.100000000000001" hidden="1" customHeight="1" x14ac:dyDescent="0.2">
      <c r="A416" s="222">
        <v>403</v>
      </c>
      <c r="B416" s="16" t="s">
        <v>5051</v>
      </c>
      <c r="C416" s="16" t="s">
        <v>1998</v>
      </c>
      <c r="D416" s="193" t="s">
        <v>5054</v>
      </c>
      <c r="E416" s="193" t="s">
        <v>20</v>
      </c>
      <c r="F416" s="193"/>
      <c r="G416" s="193"/>
      <c r="H416" s="192" t="s">
        <v>7</v>
      </c>
      <c r="I416" s="16"/>
      <c r="J416" s="35" t="s">
        <v>223</v>
      </c>
      <c r="K416" s="35" t="s">
        <v>718</v>
      </c>
      <c r="L416" s="193"/>
      <c r="M416" s="193" t="s">
        <v>69</v>
      </c>
      <c r="N416" s="192" t="s">
        <v>70</v>
      </c>
      <c r="O416" s="35" t="s">
        <v>230</v>
      </c>
      <c r="P416" s="35" t="s">
        <v>4016</v>
      </c>
      <c r="Q416" s="35" t="s">
        <v>334</v>
      </c>
      <c r="R416" s="193"/>
      <c r="S416" s="193" t="s">
        <v>69</v>
      </c>
      <c r="T416" s="193" t="s">
        <v>70</v>
      </c>
      <c r="U416" s="192" t="s">
        <v>5050</v>
      </c>
      <c r="V416" s="192"/>
      <c r="W416" s="192">
        <v>150</v>
      </c>
      <c r="X416" s="33">
        <v>138</v>
      </c>
      <c r="Y416" s="34">
        <v>141</v>
      </c>
      <c r="Z416" s="16">
        <v>111</v>
      </c>
      <c r="AA416" s="16">
        <v>136</v>
      </c>
      <c r="AB416" s="16">
        <v>1</v>
      </c>
      <c r="AC416" s="16">
        <v>27</v>
      </c>
      <c r="AD416" s="16">
        <v>164</v>
      </c>
      <c r="AE416" s="16">
        <v>3</v>
      </c>
      <c r="AF416" s="16">
        <v>4</v>
      </c>
      <c r="AG416" s="162"/>
      <c r="AH416" s="192"/>
      <c r="AI416" s="193"/>
      <c r="AJ416" s="25"/>
      <c r="AK416" s="192"/>
      <c r="AL416" s="16"/>
      <c r="AM416" s="16"/>
      <c r="AN416" s="193"/>
      <c r="AO416" s="193"/>
      <c r="AP416" s="193"/>
      <c r="AQ416" s="193"/>
      <c r="AR416" s="12" t="str">
        <f t="shared" si="15"/>
        <v/>
      </c>
      <c r="AS416" s="12" t="str">
        <f t="shared" si="16"/>
        <v/>
      </c>
      <c r="AT416" s="18"/>
    </row>
  </sheetData>
  <autoFilter ref="A7:BE416" xr:uid="{1850699D-CB2D-4E22-9276-780BDB6BDC8D}">
    <filterColumn colId="3">
      <filters>
        <filter val="امام رضا 16"/>
      </filters>
    </filterColumn>
  </autoFilter>
  <mergeCells count="43">
    <mergeCell ref="W406:AE406"/>
    <mergeCell ref="AO5:AO7"/>
    <mergeCell ref="AP5:AP7"/>
    <mergeCell ref="AQ5:AQ7"/>
    <mergeCell ref="AR5:AR7"/>
    <mergeCell ref="AS5:AS7"/>
    <mergeCell ref="AC5:AC7"/>
    <mergeCell ref="AD5:AD7"/>
    <mergeCell ref="AE5:AE7"/>
    <mergeCell ref="AF5:AF7"/>
    <mergeCell ref="AT5:AT7"/>
    <mergeCell ref="AI5:AI7"/>
    <mergeCell ref="AJ5:AJ7"/>
    <mergeCell ref="AK5:AK7"/>
    <mergeCell ref="AL5:AL7"/>
    <mergeCell ref="AM5:AM7"/>
    <mergeCell ref="AN5:AN7"/>
    <mergeCell ref="E5:E7"/>
    <mergeCell ref="F5:F7"/>
    <mergeCell ref="AG5:AG7"/>
    <mergeCell ref="AH5:AH7"/>
    <mergeCell ref="W5:W7"/>
    <mergeCell ref="X5:X7"/>
    <mergeCell ref="Y5:Y7"/>
    <mergeCell ref="Z5:Z7"/>
    <mergeCell ref="AA5:AA7"/>
    <mergeCell ref="AB5:AB7"/>
    <mergeCell ref="I5:I7"/>
    <mergeCell ref="J5:T5"/>
    <mergeCell ref="U5:U7"/>
    <mergeCell ref="V5:V7"/>
    <mergeCell ref="J6:N6"/>
    <mergeCell ref="O6:T6"/>
    <mergeCell ref="G5:G7"/>
    <mergeCell ref="H5:H7"/>
    <mergeCell ref="A1:B1"/>
    <mergeCell ref="C1:D1"/>
    <mergeCell ref="E1:F1"/>
    <mergeCell ref="G1:I1"/>
    <mergeCell ref="A5:A7"/>
    <mergeCell ref="B5:B7"/>
    <mergeCell ref="C5:C7"/>
    <mergeCell ref="D5:D7"/>
  </mergeCells>
  <hyperlinks>
    <hyperlink ref="AG9" r:id="rId1" xr:uid="{C4397F01-11CE-4544-A3FD-B10AB51E3EAD}"/>
    <hyperlink ref="AG14" r:id="rId2" xr:uid="{F2406F0F-DDBE-4C01-93BD-90940593CD63}"/>
    <hyperlink ref="AG17" r:id="rId3" xr:uid="{5BF7D331-88DC-476E-8BF1-C21B9CF73B43}"/>
    <hyperlink ref="AG19" r:id="rId4" xr:uid="{39C7AC42-4751-40FB-A0F2-BABC0C2AD5B7}"/>
    <hyperlink ref="AG20" r:id="rId5" xr:uid="{9308ACA1-9625-42EB-B878-5AFD399CA7A6}"/>
    <hyperlink ref="AG21" r:id="rId6" xr:uid="{ECA8426E-565C-4579-B91E-5831DD230AC0}"/>
    <hyperlink ref="AG25" r:id="rId7" xr:uid="{D8C4A8E8-8CB3-45EE-9585-979A6C490B41}"/>
    <hyperlink ref="AG29" r:id="rId8" xr:uid="{B8A2D876-E369-4C06-8AEE-E8E31572FCAF}"/>
    <hyperlink ref="AG30" r:id="rId9" xr:uid="{16E169DB-B599-4FE2-B0FF-5B24C5319AFC}"/>
  </hyperlinks>
  <pageMargins left="0.7" right="0.7" top="0.75" bottom="0.75" header="0.3" footer="0.3"/>
  <pageSetup orientation="portrait"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4207-06CB-4B86-8649-ECCC9227CD58}">
  <sheetPr codeName="Sheet2" filterMode="1"/>
  <dimension ref="A1:BK505"/>
  <sheetViews>
    <sheetView rightToLeft="1" workbookViewId="0">
      <selection activeCell="Q443" sqref="Q443"/>
    </sheetView>
  </sheetViews>
  <sheetFormatPr defaultColWidth="9.7109375" defaultRowHeight="20.100000000000001" customHeight="1" x14ac:dyDescent="0.2"/>
  <cols>
    <col min="1" max="1" width="4.7109375" style="2" bestFit="1" customWidth="1"/>
    <col min="2" max="2" width="10.42578125" style="5" bestFit="1" customWidth="1"/>
    <col min="3" max="3" width="7.85546875" style="5" hidden="1" customWidth="1"/>
    <col min="4" max="4" width="14.28515625" style="1" customWidth="1"/>
    <col min="5" max="5" width="10.7109375" style="1" customWidth="1"/>
    <col min="6" max="6" width="7.85546875" style="1" customWidth="1"/>
    <col min="7" max="7" width="5.5703125" style="1" customWidth="1"/>
    <col min="8" max="8" width="11.140625" style="1" customWidth="1"/>
    <col min="9" max="9" width="5.85546875" style="1" hidden="1" customWidth="1"/>
    <col min="10" max="14" width="5.7109375" style="1" hidden="1" customWidth="1"/>
    <col min="15" max="15" width="10.42578125" style="7" customWidth="1"/>
    <col min="16" max="16" width="5.7109375" style="7" customWidth="1"/>
    <col min="17" max="17" width="5.7109375" style="8" customWidth="1"/>
    <col min="18" max="18" width="9.140625" style="8" bestFit="1" customWidth="1"/>
    <col min="19" max="19" width="12.42578125" style="1" customWidth="1"/>
    <col min="20" max="21" width="9.28515625" style="1" customWidth="1"/>
    <col min="22" max="24" width="9" style="8" customWidth="1"/>
    <col min="25" max="25" width="12.85546875" style="1" customWidth="1"/>
    <col min="26" max="26" width="8.28515625" style="1" customWidth="1"/>
    <col min="27" max="27" width="11.5703125" style="1" customWidth="1"/>
    <col min="28" max="28" width="16.28515625" style="1" customWidth="1"/>
    <col min="29" max="40" width="5.7109375" style="1" customWidth="1"/>
    <col min="41" max="41" width="11.5703125" style="1" customWidth="1"/>
    <col min="42" max="43" width="5.7109375" style="1" customWidth="1"/>
    <col min="44" max="45" width="11.5703125" style="1" customWidth="1"/>
    <col min="46" max="49" width="9.140625" customWidth="1"/>
    <col min="50" max="50" width="8" customWidth="1"/>
    <col min="51" max="51" width="6" customWidth="1"/>
    <col min="52" max="52" width="97.28515625" style="4" customWidth="1"/>
    <col min="53" max="16384" width="9.7109375" style="4"/>
  </cols>
  <sheetData>
    <row r="1" spans="1:63" ht="71.25" customHeight="1" x14ac:dyDescent="0.2">
      <c r="A1" s="592" t="s">
        <v>57</v>
      </c>
      <c r="B1" s="592"/>
      <c r="C1" s="593" t="s">
        <v>58</v>
      </c>
      <c r="D1" s="593"/>
      <c r="E1" s="594" t="s">
        <v>3333</v>
      </c>
      <c r="F1" s="595"/>
      <c r="G1" s="596" t="s">
        <v>59</v>
      </c>
      <c r="H1" s="596"/>
      <c r="I1" s="596"/>
      <c r="J1" s="596"/>
      <c r="K1" s="596"/>
      <c r="L1" s="596"/>
      <c r="M1" s="596"/>
      <c r="N1" s="596"/>
      <c r="O1" s="596"/>
      <c r="P1" s="603" t="s">
        <v>4432</v>
      </c>
      <c r="Q1" s="603"/>
      <c r="R1" s="603"/>
      <c r="S1" s="8"/>
      <c r="T1" s="8"/>
      <c r="U1" s="8"/>
      <c r="Y1" s="8"/>
      <c r="Z1" s="8"/>
    </row>
    <row r="2" spans="1:63" ht="15.75" x14ac:dyDescent="0.2">
      <c r="A2" s="2">
        <v>1</v>
      </c>
      <c r="B2" s="5">
        <v>2</v>
      </c>
      <c r="D2" s="14">
        <v>3</v>
      </c>
      <c r="E2" s="2">
        <v>4</v>
      </c>
      <c r="F2" s="5">
        <v>5</v>
      </c>
      <c r="G2" s="14">
        <v>6</v>
      </c>
      <c r="H2" s="2">
        <v>7</v>
      </c>
      <c r="I2" s="5">
        <v>8</v>
      </c>
      <c r="J2" s="14">
        <v>9</v>
      </c>
      <c r="K2" s="2">
        <v>10</v>
      </c>
      <c r="L2" s="5">
        <v>11</v>
      </c>
      <c r="M2" s="14">
        <v>12</v>
      </c>
      <c r="N2" s="2">
        <v>13</v>
      </c>
      <c r="O2" s="5">
        <v>14</v>
      </c>
      <c r="P2" s="14">
        <v>15</v>
      </c>
      <c r="Q2" s="2">
        <v>16</v>
      </c>
      <c r="R2" s="5">
        <v>17</v>
      </c>
      <c r="S2" s="14">
        <v>18</v>
      </c>
      <c r="T2" s="2">
        <v>19</v>
      </c>
      <c r="U2" s="5">
        <v>20</v>
      </c>
      <c r="V2" s="14">
        <v>21</v>
      </c>
      <c r="W2" s="14"/>
      <c r="X2" s="2">
        <v>22</v>
      </c>
      <c r="Y2" s="5">
        <v>23</v>
      </c>
      <c r="Z2" s="14">
        <v>24</v>
      </c>
      <c r="AA2" s="2">
        <v>25</v>
      </c>
      <c r="AB2" s="5">
        <v>26</v>
      </c>
      <c r="AC2" s="14">
        <v>27</v>
      </c>
      <c r="AD2" s="2">
        <v>28</v>
      </c>
      <c r="AE2" s="5">
        <v>29</v>
      </c>
      <c r="AF2" s="14">
        <v>30</v>
      </c>
      <c r="AG2" s="2">
        <v>31</v>
      </c>
      <c r="AH2" s="5">
        <v>32</v>
      </c>
      <c r="AI2" s="14">
        <v>33</v>
      </c>
      <c r="AJ2" s="2">
        <v>34</v>
      </c>
      <c r="AK2" s="5">
        <v>35</v>
      </c>
      <c r="AL2" s="14">
        <v>36</v>
      </c>
      <c r="AM2" s="2">
        <v>37</v>
      </c>
      <c r="AN2" s="5">
        <v>38</v>
      </c>
      <c r="AO2" s="14">
        <v>39</v>
      </c>
      <c r="AP2" s="2">
        <v>40</v>
      </c>
      <c r="AQ2" s="5">
        <v>41</v>
      </c>
      <c r="AR2" s="14">
        <v>42</v>
      </c>
      <c r="AS2" s="14"/>
      <c r="AT2" s="2">
        <v>43</v>
      </c>
      <c r="AU2" s="5">
        <v>44</v>
      </c>
      <c r="AV2" s="14">
        <v>45</v>
      </c>
      <c r="AW2" s="2">
        <v>46</v>
      </c>
      <c r="AX2" s="5"/>
      <c r="AY2" s="5"/>
    </row>
    <row r="3" spans="1:63" ht="18.75" x14ac:dyDescent="0.2">
      <c r="A3" s="22">
        <f t="shared" ref="A3:V3" si="0">SUBTOTAL(103,A8:A133)</f>
        <v>0</v>
      </c>
      <c r="B3" s="22">
        <f t="shared" si="0"/>
        <v>0</v>
      </c>
      <c r="C3" s="22">
        <f t="shared" si="0"/>
        <v>0</v>
      </c>
      <c r="D3" s="22">
        <f t="shared" si="0"/>
        <v>0</v>
      </c>
      <c r="E3" s="22">
        <f t="shared" si="0"/>
        <v>0</v>
      </c>
      <c r="F3" s="22">
        <f t="shared" si="0"/>
        <v>0</v>
      </c>
      <c r="G3" s="22">
        <f t="shared" si="0"/>
        <v>0</v>
      </c>
      <c r="H3" s="24">
        <f t="shared" si="0"/>
        <v>0</v>
      </c>
      <c r="I3" s="22">
        <f t="shared" si="0"/>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c r="X3" s="22">
        <f t="shared" ref="X3:AR3" si="1">SUBTOTAL(103,X8:X133)</f>
        <v>0</v>
      </c>
      <c r="Y3" s="22">
        <f t="shared" si="1"/>
        <v>0</v>
      </c>
      <c r="Z3" s="22">
        <f t="shared" si="1"/>
        <v>0</v>
      </c>
      <c r="AA3" s="22">
        <f t="shared" si="1"/>
        <v>0</v>
      </c>
      <c r="AB3" s="22">
        <f t="shared" si="1"/>
        <v>0</v>
      </c>
      <c r="AC3" s="22">
        <f t="shared" si="1"/>
        <v>0</v>
      </c>
      <c r="AD3" s="22">
        <f t="shared" si="1"/>
        <v>0</v>
      </c>
      <c r="AE3" s="22">
        <f t="shared" si="1"/>
        <v>0</v>
      </c>
      <c r="AF3" s="22">
        <f t="shared" si="1"/>
        <v>0</v>
      </c>
      <c r="AG3" s="22">
        <f t="shared" si="1"/>
        <v>0</v>
      </c>
      <c r="AH3" s="22">
        <f t="shared" si="1"/>
        <v>0</v>
      </c>
      <c r="AI3" s="22">
        <f t="shared" si="1"/>
        <v>0</v>
      </c>
      <c r="AJ3" s="22">
        <f t="shared" si="1"/>
        <v>0</v>
      </c>
      <c r="AK3" s="22">
        <f t="shared" si="1"/>
        <v>0</v>
      </c>
      <c r="AL3" s="22">
        <f t="shared" si="1"/>
        <v>0</v>
      </c>
      <c r="AM3" s="22">
        <f t="shared" si="1"/>
        <v>0</v>
      </c>
      <c r="AN3" s="22">
        <f t="shared" si="1"/>
        <v>0</v>
      </c>
      <c r="AO3" s="22">
        <f t="shared" si="1"/>
        <v>0</v>
      </c>
      <c r="AP3" s="22">
        <f t="shared" si="1"/>
        <v>0</v>
      </c>
      <c r="AQ3" s="22">
        <f t="shared" si="1"/>
        <v>0</v>
      </c>
      <c r="AR3" s="22">
        <f t="shared" si="1"/>
        <v>0</v>
      </c>
      <c r="AS3" s="22"/>
      <c r="AT3" s="22">
        <f>SUBTOTAL(103,AT8:AT133)</f>
        <v>0</v>
      </c>
      <c r="AU3" s="22">
        <f>SUBTOTAL(103,AU8:AU133)</f>
        <v>0</v>
      </c>
      <c r="AV3" s="22">
        <f>SUBTOTAL(103,AV8:AV133)</f>
        <v>0</v>
      </c>
      <c r="AW3" s="22">
        <f>SUBTOTAL(103,AW8:AW133)</f>
        <v>0</v>
      </c>
      <c r="AX3" s="22">
        <f>SUBTOTAL(102,AX8:AX133)</f>
        <v>0</v>
      </c>
      <c r="AY3" s="22">
        <f>SUBTOTAL(102,AY8:AY133)</f>
        <v>0</v>
      </c>
      <c r="AZ3" s="22">
        <f>SUBTOTAL(102,AZ8:AZ133)</f>
        <v>0</v>
      </c>
    </row>
    <row r="4" spans="1:63" ht="15.75" x14ac:dyDescent="0.2">
      <c r="D4" s="14"/>
      <c r="E4" s="2"/>
      <c r="F4" s="5"/>
      <c r="G4" s="14"/>
      <c r="H4" s="2"/>
      <c r="I4" s="5"/>
      <c r="J4" s="14"/>
      <c r="K4" s="2"/>
      <c r="L4" s="5"/>
      <c r="M4" s="14"/>
      <c r="N4" s="2"/>
      <c r="O4" s="5"/>
      <c r="P4" s="14"/>
      <c r="Q4" s="2"/>
      <c r="R4" s="5"/>
      <c r="S4" s="14"/>
      <c r="T4" s="2"/>
      <c r="U4" s="5"/>
      <c r="V4" s="14"/>
      <c r="W4" s="14"/>
      <c r="X4" s="2"/>
      <c r="Y4" s="5"/>
      <c r="Z4" s="14"/>
      <c r="AA4" s="2"/>
      <c r="AB4" s="5"/>
      <c r="AC4" s="14"/>
      <c r="AD4" s="2"/>
      <c r="AE4" s="5" t="e">
        <f>SUBTOTAL(109,AE8:AE133)/AE3</f>
        <v>#DIV/0!</v>
      </c>
      <c r="AF4" s="14"/>
      <c r="AG4" s="2"/>
      <c r="AH4" s="5"/>
      <c r="AI4" s="14"/>
      <c r="AJ4" s="2"/>
      <c r="AK4" s="5"/>
      <c r="AL4" s="14"/>
      <c r="AM4" s="2"/>
      <c r="AN4" s="5"/>
      <c r="AO4" s="14"/>
      <c r="AP4" s="5" t="e">
        <f>SUBTOTAL(109,AP8:AP133)/AP3</f>
        <v>#DIV/0!</v>
      </c>
      <c r="AQ4" s="5" t="e">
        <f>SUBTOTAL(109,AQ8:AQ133)/AQ3</f>
        <v>#DIV/0!</v>
      </c>
      <c r="AR4" s="14"/>
      <c r="AS4" s="14"/>
      <c r="AT4" s="2"/>
      <c r="AU4" s="5"/>
      <c r="AV4" s="14"/>
      <c r="AW4" s="2"/>
      <c r="AX4" s="5" t="e">
        <f>SUBTOTAL(109,AX8:AX133)/AX3</f>
        <v>#DIV/0!</v>
      </c>
      <c r="AY4" s="23" t="e">
        <f>AY3/AX3</f>
        <v>#DIV/0!</v>
      </c>
    </row>
    <row r="5" spans="1:63" s="3" customFormat="1" ht="20.25" customHeight="1" x14ac:dyDescent="0.2">
      <c r="A5" s="597" t="s">
        <v>0</v>
      </c>
      <c r="B5" s="559" t="s">
        <v>1</v>
      </c>
      <c r="C5" s="559" t="s">
        <v>53</v>
      </c>
      <c r="D5" s="559" t="s">
        <v>2</v>
      </c>
      <c r="E5" s="559" t="s">
        <v>5</v>
      </c>
      <c r="F5" s="559" t="s">
        <v>40</v>
      </c>
      <c r="G5" s="559" t="s">
        <v>41</v>
      </c>
      <c r="H5" s="559" t="s">
        <v>55</v>
      </c>
      <c r="I5" s="597" t="s">
        <v>52</v>
      </c>
      <c r="J5" s="597" t="s">
        <v>43</v>
      </c>
      <c r="K5" s="597" t="s">
        <v>44</v>
      </c>
      <c r="L5" s="597" t="s">
        <v>42</v>
      </c>
      <c r="M5" s="597" t="s">
        <v>45</v>
      </c>
      <c r="N5" s="597" t="s">
        <v>46</v>
      </c>
      <c r="O5" s="559" t="s">
        <v>3</v>
      </c>
      <c r="P5" s="559" t="s">
        <v>17</v>
      </c>
      <c r="Q5" s="559"/>
      <c r="R5" s="559"/>
      <c r="S5" s="559"/>
      <c r="T5" s="559"/>
      <c r="U5" s="559"/>
      <c r="V5" s="559"/>
      <c r="W5" s="559"/>
      <c r="X5" s="559"/>
      <c r="Y5" s="559"/>
      <c r="Z5" s="559"/>
      <c r="AA5" s="559" t="s">
        <v>4</v>
      </c>
      <c r="AB5" s="597" t="s">
        <v>150</v>
      </c>
      <c r="AC5" s="597" t="s">
        <v>149</v>
      </c>
      <c r="AD5" s="597" t="s">
        <v>48</v>
      </c>
      <c r="AE5" s="597" t="s">
        <v>47</v>
      </c>
      <c r="AF5" s="597" t="s">
        <v>31</v>
      </c>
      <c r="AG5" s="597" t="s">
        <v>32</v>
      </c>
      <c r="AH5" s="597" t="s">
        <v>33</v>
      </c>
      <c r="AI5" s="597" t="s">
        <v>34</v>
      </c>
      <c r="AJ5" s="597" t="s">
        <v>35</v>
      </c>
      <c r="AK5" s="597" t="s">
        <v>37</v>
      </c>
      <c r="AL5" s="597" t="s">
        <v>3740</v>
      </c>
      <c r="AM5" s="597" t="s">
        <v>4059</v>
      </c>
      <c r="AN5" s="559" t="s">
        <v>22</v>
      </c>
      <c r="AO5" s="559" t="s">
        <v>61</v>
      </c>
      <c r="AP5" s="559" t="s">
        <v>24</v>
      </c>
      <c r="AQ5" s="559" t="s">
        <v>25</v>
      </c>
      <c r="AR5" s="559" t="s">
        <v>23</v>
      </c>
      <c r="AS5" s="553" t="s">
        <v>60</v>
      </c>
      <c r="AT5" s="600" t="s">
        <v>27</v>
      </c>
      <c r="AU5" s="600" t="s">
        <v>28</v>
      </c>
      <c r="AV5" s="600" t="s">
        <v>11</v>
      </c>
      <c r="AW5" s="600" t="s">
        <v>12</v>
      </c>
      <c r="AX5" s="601" t="s">
        <v>13</v>
      </c>
      <c r="AY5" s="601" t="s">
        <v>54</v>
      </c>
      <c r="AZ5" s="602" t="s">
        <v>29</v>
      </c>
    </row>
    <row r="6" spans="1:63" s="3" customFormat="1" ht="20.25" x14ac:dyDescent="0.2">
      <c r="A6" s="597"/>
      <c r="B6" s="559"/>
      <c r="C6" s="559"/>
      <c r="D6" s="559"/>
      <c r="E6" s="559"/>
      <c r="F6" s="559"/>
      <c r="G6" s="559"/>
      <c r="H6" s="559"/>
      <c r="I6" s="597"/>
      <c r="J6" s="597"/>
      <c r="K6" s="597"/>
      <c r="L6" s="597"/>
      <c r="M6" s="597"/>
      <c r="N6" s="597"/>
      <c r="O6" s="559"/>
      <c r="P6" s="559" t="s">
        <v>18</v>
      </c>
      <c r="Q6" s="559"/>
      <c r="R6" s="559"/>
      <c r="S6" s="559"/>
      <c r="T6" s="559"/>
      <c r="U6" s="559" t="s">
        <v>14</v>
      </c>
      <c r="V6" s="559"/>
      <c r="W6" s="559"/>
      <c r="X6" s="559"/>
      <c r="Y6" s="559"/>
      <c r="Z6" s="559"/>
      <c r="AA6" s="559"/>
      <c r="AB6" s="597"/>
      <c r="AC6" s="597"/>
      <c r="AD6" s="597"/>
      <c r="AE6" s="597"/>
      <c r="AF6" s="597"/>
      <c r="AG6" s="597"/>
      <c r="AH6" s="597"/>
      <c r="AI6" s="597"/>
      <c r="AJ6" s="597"/>
      <c r="AK6" s="597"/>
      <c r="AL6" s="597"/>
      <c r="AM6" s="597"/>
      <c r="AN6" s="559"/>
      <c r="AO6" s="559"/>
      <c r="AP6" s="559"/>
      <c r="AQ6" s="559"/>
      <c r="AR6" s="559"/>
      <c r="AS6" s="599"/>
      <c r="AT6" s="600"/>
      <c r="AU6" s="600"/>
      <c r="AV6" s="600"/>
      <c r="AW6" s="600"/>
      <c r="AX6" s="601"/>
      <c r="AY6" s="601"/>
      <c r="AZ6" s="602"/>
    </row>
    <row r="7" spans="1:63" s="3" customFormat="1" ht="87" x14ac:dyDescent="0.2">
      <c r="A7" s="597"/>
      <c r="B7" s="559"/>
      <c r="C7" s="559"/>
      <c r="D7" s="559"/>
      <c r="E7" s="559"/>
      <c r="F7" s="559"/>
      <c r="G7" s="559"/>
      <c r="H7" s="559"/>
      <c r="I7" s="597"/>
      <c r="J7" s="597"/>
      <c r="K7" s="597"/>
      <c r="L7" s="597"/>
      <c r="M7" s="597"/>
      <c r="N7" s="597"/>
      <c r="O7" s="559"/>
      <c r="P7" s="9" t="s">
        <v>50</v>
      </c>
      <c r="Q7" s="9" t="s">
        <v>51</v>
      </c>
      <c r="R7" s="9" t="s">
        <v>26</v>
      </c>
      <c r="S7" s="9" t="s">
        <v>16</v>
      </c>
      <c r="T7" s="10" t="s">
        <v>15</v>
      </c>
      <c r="U7" s="10" t="s">
        <v>36</v>
      </c>
      <c r="V7" s="11" t="s">
        <v>49</v>
      </c>
      <c r="W7" s="11" t="s">
        <v>3676</v>
      </c>
      <c r="X7" s="11" t="s">
        <v>26</v>
      </c>
      <c r="Y7" s="9" t="s">
        <v>16</v>
      </c>
      <c r="Z7" s="10" t="s">
        <v>15</v>
      </c>
      <c r="AA7" s="559"/>
      <c r="AB7" s="597"/>
      <c r="AC7" s="597"/>
      <c r="AD7" s="597"/>
      <c r="AE7" s="597"/>
      <c r="AF7" s="597"/>
      <c r="AG7" s="597"/>
      <c r="AH7" s="597"/>
      <c r="AI7" s="597"/>
      <c r="AJ7" s="597"/>
      <c r="AK7" s="597"/>
      <c r="AL7" s="597"/>
      <c r="AM7" s="597"/>
      <c r="AN7" s="559"/>
      <c r="AO7" s="559"/>
      <c r="AP7" s="559"/>
      <c r="AQ7" s="559"/>
      <c r="AR7" s="559"/>
      <c r="AS7" s="554"/>
      <c r="AT7" s="600"/>
      <c r="AU7" s="600"/>
      <c r="AV7" s="600"/>
      <c r="AW7" s="600"/>
      <c r="AX7" s="601"/>
      <c r="AY7" s="601"/>
      <c r="AZ7" s="602"/>
    </row>
    <row r="8" spans="1:63" ht="21.75" hidden="1" x14ac:dyDescent="0.2">
      <c r="A8" s="13">
        <v>1</v>
      </c>
      <c r="B8" s="16" t="s">
        <v>63</v>
      </c>
      <c r="C8" s="16" t="s">
        <v>64</v>
      </c>
      <c r="D8" s="6" t="s">
        <v>65</v>
      </c>
      <c r="E8" s="6" t="s">
        <v>66</v>
      </c>
      <c r="F8" s="6"/>
      <c r="G8" s="6"/>
      <c r="H8" s="15" t="s">
        <v>7</v>
      </c>
      <c r="I8" s="27"/>
      <c r="J8" s="15"/>
      <c r="K8" s="15"/>
      <c r="L8" s="15"/>
      <c r="M8" s="15"/>
      <c r="N8" s="15"/>
      <c r="O8" s="16" t="s">
        <v>67</v>
      </c>
      <c r="P8" s="35" t="s">
        <v>155</v>
      </c>
      <c r="Q8" s="35" t="s">
        <v>68</v>
      </c>
      <c r="R8" s="6" t="s">
        <v>210</v>
      </c>
      <c r="S8" s="6" t="s">
        <v>69</v>
      </c>
      <c r="T8" s="15" t="s">
        <v>70</v>
      </c>
      <c r="U8" s="35" t="s">
        <v>170</v>
      </c>
      <c r="V8" s="35" t="s">
        <v>1510</v>
      </c>
      <c r="W8" s="35" t="s">
        <v>1581</v>
      </c>
      <c r="X8" s="6" t="s">
        <v>72</v>
      </c>
      <c r="Y8" s="6" t="s">
        <v>73</v>
      </c>
      <c r="Z8" s="6" t="s">
        <v>70</v>
      </c>
      <c r="AA8" s="15">
        <v>0</v>
      </c>
      <c r="AB8" s="15" t="s">
        <v>162</v>
      </c>
      <c r="AC8" s="15"/>
      <c r="AD8" s="15">
        <v>168</v>
      </c>
      <c r="AE8" s="16">
        <v>162</v>
      </c>
      <c r="AF8" s="16">
        <v>97</v>
      </c>
      <c r="AG8" s="16"/>
      <c r="AH8" s="16"/>
      <c r="AI8" s="16"/>
      <c r="AJ8" s="16">
        <v>238</v>
      </c>
      <c r="AK8" s="16">
        <v>15</v>
      </c>
      <c r="AL8" s="16"/>
      <c r="AM8" s="16"/>
      <c r="AN8" s="33" t="s">
        <v>158</v>
      </c>
      <c r="AO8" s="6" t="s">
        <v>171</v>
      </c>
      <c r="AP8" s="25">
        <v>250</v>
      </c>
      <c r="AQ8" s="15">
        <v>16</v>
      </c>
      <c r="AR8" s="16" t="s">
        <v>111</v>
      </c>
      <c r="AS8" s="16" t="s">
        <v>112</v>
      </c>
      <c r="AT8" s="6"/>
      <c r="AU8" s="6"/>
      <c r="AV8" s="6"/>
      <c r="AW8" s="6"/>
      <c r="AX8" s="12" t="str">
        <f t="shared" ref="AX8:AX39" si="2">IF(AT8*AV8&gt;0,(AT8-AV8)*12+(AU8-AW8),"")</f>
        <v/>
      </c>
      <c r="AY8" s="12" t="str">
        <f t="shared" ref="AY8:AY39" si="3">IF(AX8&lt;13,AX8,"")</f>
        <v/>
      </c>
      <c r="AZ8" s="18"/>
      <c r="BA8" s="19"/>
      <c r="BB8" s="19"/>
      <c r="BC8" s="19"/>
      <c r="BD8" s="19"/>
      <c r="BE8" s="19"/>
      <c r="BF8" s="19"/>
      <c r="BG8" s="19"/>
      <c r="BH8" s="19"/>
      <c r="BI8" s="19"/>
      <c r="BJ8" s="19"/>
      <c r="BK8" s="19"/>
    </row>
    <row r="9" spans="1:63" ht="20.100000000000001" hidden="1" customHeight="1" x14ac:dyDescent="0.2">
      <c r="A9" s="13">
        <v>2</v>
      </c>
      <c r="B9" s="16" t="s">
        <v>237</v>
      </c>
      <c r="C9" s="16" t="s">
        <v>64</v>
      </c>
      <c r="D9" s="6" t="s">
        <v>239</v>
      </c>
      <c r="E9" s="6" t="s">
        <v>6</v>
      </c>
      <c r="F9" s="6" t="s">
        <v>185</v>
      </c>
      <c r="G9" s="6"/>
      <c r="H9" s="15" t="s">
        <v>83</v>
      </c>
      <c r="I9" s="15"/>
      <c r="J9" s="15"/>
      <c r="K9" s="15"/>
      <c r="L9" s="15"/>
      <c r="M9" s="15"/>
      <c r="N9" s="15"/>
      <c r="O9" s="16" t="s">
        <v>84</v>
      </c>
      <c r="P9" s="6"/>
      <c r="Q9" s="6" t="s">
        <v>140</v>
      </c>
      <c r="R9" s="6" t="s">
        <v>251</v>
      </c>
      <c r="S9" s="6" t="s">
        <v>69</v>
      </c>
      <c r="T9" s="15" t="s">
        <v>70</v>
      </c>
      <c r="U9" s="6"/>
      <c r="V9" s="6" t="s">
        <v>3679</v>
      </c>
      <c r="W9" s="6" t="s">
        <v>260</v>
      </c>
      <c r="X9" s="6" t="s">
        <v>252</v>
      </c>
      <c r="Y9" s="6" t="s">
        <v>69</v>
      </c>
      <c r="Z9" s="6" t="s">
        <v>70</v>
      </c>
      <c r="AA9" s="15" t="s">
        <v>253</v>
      </c>
      <c r="AB9" s="15" t="s">
        <v>162</v>
      </c>
      <c r="AC9" s="15"/>
      <c r="AD9" s="15">
        <v>126</v>
      </c>
      <c r="AE9" s="16"/>
      <c r="AF9" s="16"/>
      <c r="AG9" s="16"/>
      <c r="AH9" s="16"/>
      <c r="AI9" s="16"/>
      <c r="AJ9" s="16"/>
      <c r="AK9" s="16"/>
      <c r="AL9" s="16"/>
      <c r="AM9" s="16"/>
      <c r="AN9" s="6"/>
      <c r="AO9" s="6"/>
      <c r="AP9" s="6"/>
      <c r="AQ9" s="15"/>
      <c r="AR9" s="16"/>
      <c r="AS9" s="16"/>
      <c r="AT9" s="6" t="s">
        <v>113</v>
      </c>
      <c r="AU9" s="6" t="s">
        <v>114</v>
      </c>
      <c r="AV9" s="6" t="s">
        <v>147</v>
      </c>
      <c r="AW9" s="6" t="s">
        <v>116</v>
      </c>
      <c r="AX9" s="12">
        <f t="shared" si="2"/>
        <v>158</v>
      </c>
      <c r="AY9" s="12" t="str">
        <f t="shared" si="3"/>
        <v/>
      </c>
      <c r="AZ9" s="18"/>
      <c r="BA9" s="19"/>
      <c r="BB9" s="19"/>
      <c r="BC9" s="19"/>
      <c r="BD9" s="19"/>
      <c r="BE9" s="19"/>
      <c r="BF9" s="19"/>
      <c r="BG9" s="19"/>
      <c r="BH9" s="19"/>
      <c r="BI9" s="19"/>
      <c r="BJ9" s="19"/>
      <c r="BK9" s="19"/>
    </row>
    <row r="10" spans="1:63" ht="20.100000000000001" hidden="1" customHeight="1" x14ac:dyDescent="0.2">
      <c r="A10" s="13">
        <v>3</v>
      </c>
      <c r="B10" s="29" t="s">
        <v>81</v>
      </c>
      <c r="C10" s="29" t="s">
        <v>64</v>
      </c>
      <c r="D10" s="30" t="s">
        <v>82</v>
      </c>
      <c r="E10" s="30" t="s">
        <v>9</v>
      </c>
      <c r="F10" s="30" t="s">
        <v>94</v>
      </c>
      <c r="G10" s="30" t="s">
        <v>98</v>
      </c>
      <c r="H10" s="20" t="s">
        <v>83</v>
      </c>
      <c r="I10" s="20"/>
      <c r="J10" s="20"/>
      <c r="K10" s="20"/>
      <c r="L10" s="20"/>
      <c r="M10" s="20"/>
      <c r="N10" s="20"/>
      <c r="O10" s="29" t="s">
        <v>84</v>
      </c>
      <c r="P10" s="30"/>
      <c r="Q10" s="30" t="s">
        <v>117</v>
      </c>
      <c r="R10" s="30" t="s">
        <v>133</v>
      </c>
      <c r="S10" s="30" t="s">
        <v>119</v>
      </c>
      <c r="T10" s="20" t="s">
        <v>107</v>
      </c>
      <c r="U10" s="30"/>
      <c r="V10" s="30" t="s">
        <v>1510</v>
      </c>
      <c r="W10" s="30" t="s">
        <v>260</v>
      </c>
      <c r="X10" s="30" t="s">
        <v>134</v>
      </c>
      <c r="Y10" s="30" t="s">
        <v>119</v>
      </c>
      <c r="Z10" s="30" t="s">
        <v>107</v>
      </c>
      <c r="AA10" s="20" t="s">
        <v>135</v>
      </c>
      <c r="AB10" s="20" t="s">
        <v>163</v>
      </c>
      <c r="AC10" s="20"/>
      <c r="AD10" s="20">
        <v>222</v>
      </c>
      <c r="AE10" s="29"/>
      <c r="AF10" s="29"/>
      <c r="AG10" s="29"/>
      <c r="AH10" s="29"/>
      <c r="AI10" s="29"/>
      <c r="AJ10" s="29"/>
      <c r="AK10" s="29"/>
      <c r="AL10" s="29"/>
      <c r="AM10" s="29"/>
      <c r="AN10" s="30"/>
      <c r="AO10" s="30"/>
      <c r="AP10" s="30"/>
      <c r="AQ10" s="20"/>
      <c r="AR10" s="29"/>
      <c r="AS10" s="29"/>
      <c r="AT10" s="30" t="s">
        <v>113</v>
      </c>
      <c r="AU10" s="30" t="s">
        <v>114</v>
      </c>
      <c r="AV10" s="30" t="s">
        <v>136</v>
      </c>
      <c r="AW10" s="30" t="s">
        <v>137</v>
      </c>
      <c r="AX10" s="12">
        <f t="shared" si="2"/>
        <v>19</v>
      </c>
      <c r="AY10" s="12" t="str">
        <f t="shared" si="3"/>
        <v/>
      </c>
      <c r="AZ10" s="30" t="s">
        <v>97</v>
      </c>
      <c r="BA10" s="19"/>
      <c r="BB10" s="19"/>
      <c r="BC10" s="19"/>
      <c r="BD10" s="19"/>
      <c r="BE10" s="19"/>
      <c r="BF10" s="19"/>
      <c r="BG10" s="19"/>
      <c r="BH10" s="19"/>
      <c r="BI10" s="19"/>
      <c r="BJ10" s="19"/>
      <c r="BK10" s="19"/>
    </row>
    <row r="11" spans="1:63" ht="20.100000000000001" hidden="1" customHeight="1" x14ac:dyDescent="0.2">
      <c r="A11" s="13">
        <v>4</v>
      </c>
      <c r="B11" s="29" t="s">
        <v>317</v>
      </c>
      <c r="C11" s="29" t="s">
        <v>288</v>
      </c>
      <c r="D11" s="30" t="s">
        <v>321</v>
      </c>
      <c r="E11" s="30" t="s">
        <v>20</v>
      </c>
      <c r="F11" s="30" t="s">
        <v>4038</v>
      </c>
      <c r="G11" s="30"/>
      <c r="H11" s="20" t="s">
        <v>83</v>
      </c>
      <c r="I11" s="20"/>
      <c r="J11" s="20"/>
      <c r="K11" s="20"/>
      <c r="L11" s="20"/>
      <c r="M11" s="20"/>
      <c r="N11" s="20"/>
      <c r="O11" s="29" t="s">
        <v>92</v>
      </c>
      <c r="P11" s="30"/>
      <c r="Q11" s="30" t="s">
        <v>140</v>
      </c>
      <c r="R11" s="30" t="s">
        <v>352</v>
      </c>
      <c r="S11" s="30" t="s">
        <v>73</v>
      </c>
      <c r="T11" s="20" t="s">
        <v>107</v>
      </c>
      <c r="U11" s="30"/>
      <c r="V11" s="30" t="s">
        <v>2245</v>
      </c>
      <c r="W11" s="30" t="s">
        <v>116</v>
      </c>
      <c r="X11" s="30" t="s">
        <v>353</v>
      </c>
      <c r="Y11" s="30" t="s">
        <v>69</v>
      </c>
      <c r="Z11" s="30" t="s">
        <v>70</v>
      </c>
      <c r="AA11" s="20" t="s">
        <v>354</v>
      </c>
      <c r="AB11" s="20" t="s">
        <v>163</v>
      </c>
      <c r="AC11" s="20"/>
      <c r="AD11" s="20">
        <v>168</v>
      </c>
      <c r="AE11" s="29"/>
      <c r="AF11" s="29"/>
      <c r="AG11" s="29"/>
      <c r="AH11" s="29"/>
      <c r="AI11" s="29"/>
      <c r="AJ11" s="29"/>
      <c r="AK11" s="29"/>
      <c r="AL11" s="29"/>
      <c r="AM11" s="29"/>
      <c r="AN11" s="39"/>
      <c r="AO11" s="30"/>
      <c r="AP11" s="36"/>
      <c r="AQ11" s="20"/>
      <c r="AR11" s="29"/>
      <c r="AS11" s="29"/>
      <c r="AT11" s="30" t="s">
        <v>113</v>
      </c>
      <c r="AU11" s="30" t="s">
        <v>296</v>
      </c>
      <c r="AV11" s="30" t="s">
        <v>115</v>
      </c>
      <c r="AW11" s="30" t="s">
        <v>137</v>
      </c>
      <c r="AX11" s="31">
        <f t="shared" si="2"/>
        <v>8</v>
      </c>
      <c r="AY11" s="31">
        <f t="shared" si="3"/>
        <v>8</v>
      </c>
      <c r="AZ11" s="32"/>
      <c r="BA11" s="21"/>
      <c r="BB11" s="21"/>
      <c r="BC11" s="21"/>
      <c r="BD11" s="21"/>
      <c r="BE11" s="21"/>
      <c r="BF11" s="21"/>
      <c r="BG11" s="21"/>
      <c r="BH11" s="21"/>
      <c r="BI11" s="21"/>
      <c r="BJ11" s="21"/>
      <c r="BK11" s="21"/>
    </row>
    <row r="12" spans="1:63" s="21" customFormat="1" ht="20.100000000000001" hidden="1" customHeight="1" x14ac:dyDescent="0.2">
      <c r="A12" s="13">
        <v>5</v>
      </c>
      <c r="B12" s="16" t="s">
        <v>74</v>
      </c>
      <c r="C12" s="16" t="s">
        <v>64</v>
      </c>
      <c r="D12" s="6" t="s">
        <v>56</v>
      </c>
      <c r="E12" s="6" t="s">
        <v>20</v>
      </c>
      <c r="F12" s="249" t="s">
        <v>94</v>
      </c>
      <c r="G12" s="6" t="s">
        <v>95</v>
      </c>
      <c r="H12" s="15" t="s">
        <v>83</v>
      </c>
      <c r="I12" s="27"/>
      <c r="J12" s="15"/>
      <c r="K12" s="15"/>
      <c r="L12" s="15"/>
      <c r="M12" s="15"/>
      <c r="N12" s="15"/>
      <c r="O12" s="16" t="s">
        <v>92</v>
      </c>
      <c r="P12" s="6"/>
      <c r="Q12" s="6" t="s">
        <v>218</v>
      </c>
      <c r="R12" s="6" t="s">
        <v>1960</v>
      </c>
      <c r="S12" s="41" t="s">
        <v>106</v>
      </c>
      <c r="T12" s="13" t="s">
        <v>107</v>
      </c>
      <c r="U12" s="194" t="s">
        <v>429</v>
      </c>
      <c r="V12" s="194" t="s">
        <v>3679</v>
      </c>
      <c r="W12" s="41" t="s">
        <v>441</v>
      </c>
      <c r="X12" s="41" t="s">
        <v>1961</v>
      </c>
      <c r="Y12" s="41" t="s">
        <v>106</v>
      </c>
      <c r="Z12" s="6" t="s">
        <v>107</v>
      </c>
      <c r="AA12" s="15" t="s">
        <v>4333</v>
      </c>
      <c r="AB12" s="15" t="s">
        <v>162</v>
      </c>
      <c r="AC12" s="15"/>
      <c r="AD12" s="15"/>
      <c r="AE12" s="16">
        <v>162</v>
      </c>
      <c r="AF12" s="16"/>
      <c r="AG12" s="16"/>
      <c r="AH12" s="16"/>
      <c r="AI12" s="16"/>
      <c r="AJ12" s="16"/>
      <c r="AK12" s="16"/>
      <c r="AL12" s="16"/>
      <c r="AM12" s="16"/>
      <c r="AN12" s="15"/>
      <c r="AO12" s="6"/>
      <c r="AP12" s="25"/>
      <c r="AQ12" s="15"/>
      <c r="AR12" s="16" t="s">
        <v>160</v>
      </c>
      <c r="AS12" s="16" t="s">
        <v>193</v>
      </c>
      <c r="AT12" s="6" t="s">
        <v>113</v>
      </c>
      <c r="AU12" s="6" t="s">
        <v>114</v>
      </c>
      <c r="AV12" s="6" t="s">
        <v>115</v>
      </c>
      <c r="AW12" s="6" t="s">
        <v>116</v>
      </c>
      <c r="AX12" s="12">
        <f t="shared" si="2"/>
        <v>2</v>
      </c>
      <c r="AY12" s="12">
        <f t="shared" si="3"/>
        <v>2</v>
      </c>
      <c r="AZ12" s="18"/>
      <c r="BA12" s="19"/>
      <c r="BB12" s="19"/>
      <c r="BC12" s="19"/>
      <c r="BD12" s="19"/>
      <c r="BE12" s="19"/>
      <c r="BF12" s="19"/>
      <c r="BG12" s="19"/>
      <c r="BH12" s="19"/>
      <c r="BI12" s="19"/>
      <c r="BJ12" s="19"/>
      <c r="BK12" s="19"/>
    </row>
    <row r="13" spans="1:63" ht="20.100000000000001" hidden="1" customHeight="1" x14ac:dyDescent="0.2">
      <c r="A13" s="13">
        <v>6</v>
      </c>
      <c r="B13" s="16" t="s">
        <v>77</v>
      </c>
      <c r="C13" s="16" t="s">
        <v>64</v>
      </c>
      <c r="D13" s="6" t="s">
        <v>91</v>
      </c>
      <c r="E13" s="6" t="s">
        <v>20</v>
      </c>
      <c r="F13" s="6"/>
      <c r="G13" s="6"/>
      <c r="H13" s="15" t="s">
        <v>7</v>
      </c>
      <c r="I13" s="15"/>
      <c r="J13" s="15"/>
      <c r="K13" s="15"/>
      <c r="L13" s="15"/>
      <c r="M13" s="15"/>
      <c r="N13" s="15"/>
      <c r="O13" s="16" t="s">
        <v>92</v>
      </c>
      <c r="P13" s="6" t="s">
        <v>117</v>
      </c>
      <c r="Q13" s="6" t="s">
        <v>117</v>
      </c>
      <c r="R13" s="6" t="s">
        <v>209</v>
      </c>
      <c r="S13" s="6" t="s">
        <v>69</v>
      </c>
      <c r="T13" s="15" t="s">
        <v>70</v>
      </c>
      <c r="U13" s="35" t="s">
        <v>120</v>
      </c>
      <c r="V13" s="35" t="s">
        <v>1510</v>
      </c>
      <c r="W13" s="35" t="s">
        <v>260</v>
      </c>
      <c r="X13" s="6" t="s">
        <v>126</v>
      </c>
      <c r="Y13" s="6" t="s">
        <v>106</v>
      </c>
      <c r="Z13" s="6" t="s">
        <v>107</v>
      </c>
      <c r="AA13" s="15">
        <v>0</v>
      </c>
      <c r="AB13" s="15" t="s">
        <v>163</v>
      </c>
      <c r="AC13" s="15">
        <v>173</v>
      </c>
      <c r="AD13" s="33">
        <v>168</v>
      </c>
      <c r="AE13" s="34">
        <v>165</v>
      </c>
      <c r="AF13" s="16">
        <v>83</v>
      </c>
      <c r="AG13" s="16">
        <v>127</v>
      </c>
      <c r="AH13" s="16">
        <v>4</v>
      </c>
      <c r="AI13" s="16">
        <v>26</v>
      </c>
      <c r="AJ13" s="16">
        <v>157</v>
      </c>
      <c r="AK13" s="16">
        <v>25</v>
      </c>
      <c r="AL13" s="16"/>
      <c r="AM13" s="16"/>
      <c r="AN13" s="33" t="s">
        <v>158</v>
      </c>
      <c r="AO13" s="6" t="s">
        <v>76</v>
      </c>
      <c r="AP13" s="6" t="s">
        <v>159</v>
      </c>
      <c r="AQ13" s="15">
        <v>16</v>
      </c>
      <c r="AR13" s="16" t="s">
        <v>160</v>
      </c>
      <c r="AS13" s="16" t="s">
        <v>161</v>
      </c>
      <c r="AT13" s="6"/>
      <c r="AU13" s="6"/>
      <c r="AV13" s="6"/>
      <c r="AW13" s="6"/>
      <c r="AX13" s="12" t="str">
        <f t="shared" si="2"/>
        <v/>
      </c>
      <c r="AY13" s="12" t="str">
        <f t="shared" si="3"/>
        <v/>
      </c>
      <c r="AZ13" s="18"/>
      <c r="BA13" s="19"/>
      <c r="BB13" s="19"/>
      <c r="BC13" s="19"/>
      <c r="BD13" s="19"/>
      <c r="BE13" s="19"/>
      <c r="BF13" s="19"/>
      <c r="BG13" s="19"/>
      <c r="BH13" s="19"/>
      <c r="BI13" s="19"/>
      <c r="BJ13" s="19"/>
      <c r="BK13" s="19"/>
    </row>
    <row r="14" spans="1:63" ht="20.100000000000001" hidden="1" customHeight="1" x14ac:dyDescent="0.2">
      <c r="A14" s="13">
        <v>7</v>
      </c>
      <c r="B14" s="16" t="s">
        <v>77</v>
      </c>
      <c r="C14" s="16" t="s">
        <v>64</v>
      </c>
      <c r="D14" s="6" t="s">
        <v>89</v>
      </c>
      <c r="E14" s="6" t="s">
        <v>9</v>
      </c>
      <c r="F14" s="6" t="s">
        <v>192</v>
      </c>
      <c r="G14" s="6"/>
      <c r="H14" s="15" t="s">
        <v>7</v>
      </c>
      <c r="I14" s="15"/>
      <c r="J14" s="15"/>
      <c r="K14" s="15"/>
      <c r="L14" s="15"/>
      <c r="M14" s="15"/>
      <c r="N14" s="15"/>
      <c r="O14" s="16" t="s">
        <v>84</v>
      </c>
      <c r="P14" s="6"/>
      <c r="Q14" s="6" t="s">
        <v>155</v>
      </c>
      <c r="R14" s="6" t="s">
        <v>211</v>
      </c>
      <c r="S14" s="6" t="s">
        <v>69</v>
      </c>
      <c r="T14" s="15" t="s">
        <v>70</v>
      </c>
      <c r="U14" s="6"/>
      <c r="V14" s="6" t="s">
        <v>3677</v>
      </c>
      <c r="W14" s="6" t="s">
        <v>718</v>
      </c>
      <c r="X14" s="6" t="s">
        <v>157</v>
      </c>
      <c r="Y14" s="6" t="s">
        <v>106</v>
      </c>
      <c r="Z14" s="6" t="s">
        <v>107</v>
      </c>
      <c r="AA14" s="15">
        <v>0</v>
      </c>
      <c r="AB14" s="15" t="s">
        <v>163</v>
      </c>
      <c r="AC14" s="15">
        <v>250</v>
      </c>
      <c r="AD14" s="15">
        <v>0</v>
      </c>
      <c r="AE14" s="16">
        <v>236</v>
      </c>
      <c r="AF14" s="16">
        <v>151</v>
      </c>
      <c r="AG14" s="16">
        <v>166</v>
      </c>
      <c r="AH14" s="16">
        <v>10</v>
      </c>
      <c r="AI14" s="16">
        <v>55</v>
      </c>
      <c r="AJ14" s="16">
        <v>231</v>
      </c>
      <c r="AK14" s="16"/>
      <c r="AL14" s="16"/>
      <c r="AM14" s="16"/>
      <c r="AN14" s="15"/>
      <c r="AO14" s="6" t="s">
        <v>164</v>
      </c>
      <c r="AP14" s="25">
        <v>231</v>
      </c>
      <c r="AQ14" s="15">
        <v>18</v>
      </c>
      <c r="AR14" s="16" t="s">
        <v>160</v>
      </c>
      <c r="AS14" s="16" t="s">
        <v>165</v>
      </c>
      <c r="AT14" s="6"/>
      <c r="AU14" s="6"/>
      <c r="AV14" s="6"/>
      <c r="AW14" s="6"/>
      <c r="AX14" s="12" t="str">
        <f t="shared" si="2"/>
        <v/>
      </c>
      <c r="AY14" s="12" t="str">
        <f t="shared" si="3"/>
        <v/>
      </c>
      <c r="AZ14" s="18"/>
      <c r="BA14" s="19"/>
      <c r="BB14" s="19"/>
      <c r="BC14" s="19"/>
      <c r="BD14" s="19"/>
      <c r="BE14" s="19"/>
      <c r="BF14" s="19"/>
      <c r="BG14" s="19"/>
      <c r="BH14" s="19"/>
      <c r="BI14" s="19"/>
      <c r="BJ14" s="19"/>
      <c r="BK14" s="19"/>
    </row>
    <row r="15" spans="1:63" ht="20.100000000000001" hidden="1" customHeight="1" x14ac:dyDescent="0.2">
      <c r="A15" s="13">
        <v>8</v>
      </c>
      <c r="B15" s="16" t="s">
        <v>78</v>
      </c>
      <c r="C15" s="16" t="s">
        <v>64</v>
      </c>
      <c r="D15" s="6" t="s">
        <v>88</v>
      </c>
      <c r="E15" s="6" t="s">
        <v>9</v>
      </c>
      <c r="F15" s="6"/>
      <c r="G15" s="6"/>
      <c r="H15" s="15" t="s">
        <v>7</v>
      </c>
      <c r="I15" s="15"/>
      <c r="J15" s="15"/>
      <c r="K15" s="15"/>
      <c r="L15" s="15"/>
      <c r="M15" s="15"/>
      <c r="N15" s="15"/>
      <c r="O15" s="16" t="s">
        <v>67</v>
      </c>
      <c r="P15" s="35" t="s">
        <v>104</v>
      </c>
      <c r="Q15" s="35" t="s">
        <v>68</v>
      </c>
      <c r="R15" s="6" t="s">
        <v>212</v>
      </c>
      <c r="S15" s="6" t="s">
        <v>106</v>
      </c>
      <c r="T15" s="15" t="s">
        <v>107</v>
      </c>
      <c r="U15" s="35" t="s">
        <v>128</v>
      </c>
      <c r="V15" s="35" t="s">
        <v>1510</v>
      </c>
      <c r="W15" s="35" t="s">
        <v>769</v>
      </c>
      <c r="X15" s="6" t="s">
        <v>132</v>
      </c>
      <c r="Y15" s="6" t="s">
        <v>73</v>
      </c>
      <c r="Z15" s="6" t="s">
        <v>70</v>
      </c>
      <c r="AA15" s="15">
        <v>0</v>
      </c>
      <c r="AB15" s="15" t="s">
        <v>162</v>
      </c>
      <c r="AC15" s="15">
        <v>240</v>
      </c>
      <c r="AD15" s="15">
        <v>216</v>
      </c>
      <c r="AE15" s="16">
        <v>216</v>
      </c>
      <c r="AF15" s="16">
        <v>128</v>
      </c>
      <c r="AG15" s="16">
        <v>198</v>
      </c>
      <c r="AH15" s="16">
        <v>4</v>
      </c>
      <c r="AI15" s="16">
        <v>2</v>
      </c>
      <c r="AJ15" s="16">
        <v>204</v>
      </c>
      <c r="AK15" s="16">
        <v>15</v>
      </c>
      <c r="AL15" s="16"/>
      <c r="AM15" s="16"/>
      <c r="AN15" s="33" t="s">
        <v>158</v>
      </c>
      <c r="AO15" s="6"/>
      <c r="AP15" s="25"/>
      <c r="AQ15" s="15"/>
      <c r="AR15" s="16" t="s">
        <v>160</v>
      </c>
      <c r="AS15" s="16" t="s">
        <v>165</v>
      </c>
      <c r="AT15" s="6"/>
      <c r="AU15" s="6"/>
      <c r="AV15" s="6"/>
      <c r="AW15" s="6"/>
      <c r="AX15" s="12" t="str">
        <f t="shared" si="2"/>
        <v/>
      </c>
      <c r="AY15" s="12" t="str">
        <f t="shared" si="3"/>
        <v/>
      </c>
      <c r="AZ15" s="18"/>
      <c r="BA15" s="19"/>
      <c r="BB15" s="19"/>
      <c r="BC15" s="19"/>
      <c r="BD15" s="19"/>
      <c r="BE15" s="19"/>
      <c r="BF15" s="19"/>
      <c r="BG15" s="19"/>
      <c r="BH15" s="19"/>
      <c r="BI15" s="19"/>
      <c r="BJ15" s="19"/>
      <c r="BK15" s="19"/>
    </row>
    <row r="16" spans="1:63" ht="20.100000000000001" hidden="1" customHeight="1" x14ac:dyDescent="0.2">
      <c r="A16" s="13">
        <v>9</v>
      </c>
      <c r="B16" s="16" t="s">
        <v>78</v>
      </c>
      <c r="C16" s="16" t="s">
        <v>64</v>
      </c>
      <c r="D16" s="6" t="s">
        <v>87</v>
      </c>
      <c r="E16" s="6" t="s">
        <v>6</v>
      </c>
      <c r="F16" s="6"/>
      <c r="G16" s="6"/>
      <c r="H16" s="15" t="s">
        <v>7</v>
      </c>
      <c r="I16" s="15"/>
      <c r="J16" s="15"/>
      <c r="K16" s="15"/>
      <c r="L16" s="15"/>
      <c r="M16" s="15"/>
      <c r="N16" s="15"/>
      <c r="O16" s="16" t="s">
        <v>92</v>
      </c>
      <c r="P16" s="35" t="s">
        <v>155</v>
      </c>
      <c r="Q16" s="35" t="s">
        <v>68</v>
      </c>
      <c r="R16" s="6" t="s">
        <v>151</v>
      </c>
      <c r="S16" s="6" t="s">
        <v>69</v>
      </c>
      <c r="T16" s="15" t="s">
        <v>70</v>
      </c>
      <c r="U16" s="35" t="s">
        <v>167</v>
      </c>
      <c r="V16" s="35" t="s">
        <v>1510</v>
      </c>
      <c r="W16" s="35" t="s">
        <v>1581</v>
      </c>
      <c r="X16" s="6" t="s">
        <v>152</v>
      </c>
      <c r="Y16" s="6" t="s">
        <v>73</v>
      </c>
      <c r="Z16" s="6" t="s">
        <v>70</v>
      </c>
      <c r="AA16" s="15">
        <v>0</v>
      </c>
      <c r="AB16" s="15" t="s">
        <v>162</v>
      </c>
      <c r="AC16" s="15"/>
      <c r="AD16" s="15">
        <v>225</v>
      </c>
      <c r="AE16" s="16">
        <v>225</v>
      </c>
      <c r="AF16" s="16">
        <v>121</v>
      </c>
      <c r="AG16" s="16">
        <v>203</v>
      </c>
      <c r="AH16" s="16">
        <v>5</v>
      </c>
      <c r="AI16" s="16">
        <v>30</v>
      </c>
      <c r="AJ16" s="16">
        <v>238</v>
      </c>
      <c r="AK16" s="16">
        <v>15</v>
      </c>
      <c r="AL16" s="16"/>
      <c r="AM16" s="16"/>
      <c r="AN16" s="33" t="s">
        <v>158</v>
      </c>
      <c r="AO16" s="6" t="s">
        <v>213</v>
      </c>
      <c r="AP16" s="25">
        <v>238</v>
      </c>
      <c r="AQ16" s="15">
        <v>15</v>
      </c>
      <c r="AR16" s="16"/>
      <c r="AS16" s="16"/>
      <c r="AT16" s="6"/>
      <c r="AU16" s="6"/>
      <c r="AV16" s="6"/>
      <c r="AW16" s="6"/>
      <c r="AX16" s="12" t="str">
        <f t="shared" si="2"/>
        <v/>
      </c>
      <c r="AY16" s="12" t="str">
        <f t="shared" si="3"/>
        <v/>
      </c>
      <c r="AZ16" s="18"/>
      <c r="BA16" s="19"/>
      <c r="BB16" s="19"/>
      <c r="BC16" s="19"/>
      <c r="BD16" s="19"/>
      <c r="BE16" s="19"/>
      <c r="BF16" s="19"/>
      <c r="BG16" s="19"/>
      <c r="BH16" s="19"/>
      <c r="BI16" s="19"/>
      <c r="BJ16" s="19"/>
      <c r="BK16" s="19"/>
    </row>
    <row r="17" spans="1:63" s="21" customFormat="1" ht="20.100000000000001" hidden="1" customHeight="1" x14ac:dyDescent="0.2">
      <c r="A17" s="13">
        <v>10</v>
      </c>
      <c r="B17" s="16" t="s">
        <v>79</v>
      </c>
      <c r="C17" s="16" t="s">
        <v>64</v>
      </c>
      <c r="D17" s="6" t="s">
        <v>86</v>
      </c>
      <c r="E17" s="6" t="s">
        <v>8</v>
      </c>
      <c r="F17" s="6"/>
      <c r="G17" s="6"/>
      <c r="H17" s="15" t="s">
        <v>7</v>
      </c>
      <c r="I17" s="15"/>
      <c r="J17" s="15"/>
      <c r="K17" s="15"/>
      <c r="L17" s="15"/>
      <c r="M17" s="15"/>
      <c r="N17" s="15"/>
      <c r="O17" s="16" t="s">
        <v>93</v>
      </c>
      <c r="P17" s="6" t="s">
        <v>104</v>
      </c>
      <c r="Q17" s="6" t="s">
        <v>104</v>
      </c>
      <c r="R17" s="6" t="s">
        <v>105</v>
      </c>
      <c r="S17" s="6" t="s">
        <v>106</v>
      </c>
      <c r="T17" s="15" t="s">
        <v>107</v>
      </c>
      <c r="U17" s="6" t="s">
        <v>108</v>
      </c>
      <c r="V17" s="6" t="s">
        <v>3679</v>
      </c>
      <c r="W17" s="6" t="s">
        <v>555</v>
      </c>
      <c r="X17" s="6" t="s">
        <v>109</v>
      </c>
      <c r="Y17" s="6" t="s">
        <v>106</v>
      </c>
      <c r="Z17" s="6" t="s">
        <v>107</v>
      </c>
      <c r="AA17" s="15">
        <v>0</v>
      </c>
      <c r="AB17" s="15" t="s">
        <v>163</v>
      </c>
      <c r="AC17" s="15">
        <v>220</v>
      </c>
      <c r="AD17" s="15">
        <v>162</v>
      </c>
      <c r="AE17" s="16">
        <v>162</v>
      </c>
      <c r="AF17" s="16"/>
      <c r="AG17" s="16">
        <v>63</v>
      </c>
      <c r="AH17" s="16">
        <v>7</v>
      </c>
      <c r="AI17" s="16">
        <v>65</v>
      </c>
      <c r="AJ17" s="16">
        <v>135</v>
      </c>
      <c r="AK17" s="16">
        <v>26</v>
      </c>
      <c r="AL17" s="16"/>
      <c r="AM17" s="16"/>
      <c r="AN17" s="15"/>
      <c r="AO17" s="6" t="s">
        <v>77</v>
      </c>
      <c r="AP17" s="6" t="s">
        <v>166</v>
      </c>
      <c r="AQ17" s="15">
        <v>25</v>
      </c>
      <c r="AR17" s="16" t="s">
        <v>111</v>
      </c>
      <c r="AS17" s="16" t="s">
        <v>112</v>
      </c>
      <c r="AT17" s="6"/>
      <c r="AU17" s="6"/>
      <c r="AV17" s="6"/>
      <c r="AW17" s="6"/>
      <c r="AX17" s="12" t="str">
        <f t="shared" si="2"/>
        <v/>
      </c>
      <c r="AY17" s="12" t="str">
        <f t="shared" si="3"/>
        <v/>
      </c>
      <c r="AZ17" s="18"/>
      <c r="BA17" s="19"/>
      <c r="BB17" s="19"/>
      <c r="BC17" s="19"/>
      <c r="BD17" s="19"/>
      <c r="BE17" s="19"/>
      <c r="BF17" s="19"/>
      <c r="BG17" s="19"/>
      <c r="BH17" s="19"/>
      <c r="BI17" s="19"/>
      <c r="BJ17" s="19"/>
      <c r="BK17" s="19"/>
    </row>
    <row r="18" spans="1:63" ht="20.100000000000001" hidden="1" customHeight="1" x14ac:dyDescent="0.2">
      <c r="A18" s="13">
        <v>11</v>
      </c>
      <c r="B18" s="16" t="s">
        <v>80</v>
      </c>
      <c r="C18" s="16" t="s">
        <v>64</v>
      </c>
      <c r="D18" s="6" t="s">
        <v>85</v>
      </c>
      <c r="E18" s="6" t="s">
        <v>10</v>
      </c>
      <c r="F18" s="6"/>
      <c r="G18" s="6"/>
      <c r="H18" s="15" t="s">
        <v>7</v>
      </c>
      <c r="I18" s="15"/>
      <c r="J18" s="15"/>
      <c r="K18" s="15"/>
      <c r="L18" s="15"/>
      <c r="M18" s="15"/>
      <c r="N18" s="15"/>
      <c r="O18" s="16" t="s">
        <v>84</v>
      </c>
      <c r="P18" s="35" t="s">
        <v>155</v>
      </c>
      <c r="Q18" s="35" t="s">
        <v>140</v>
      </c>
      <c r="R18" s="6" t="s">
        <v>215</v>
      </c>
      <c r="S18" s="6" t="s">
        <v>69</v>
      </c>
      <c r="T18" s="15" t="s">
        <v>70</v>
      </c>
      <c r="U18" s="35" t="s">
        <v>167</v>
      </c>
      <c r="V18" s="35" t="s">
        <v>2961</v>
      </c>
      <c r="W18" s="35" t="s">
        <v>144</v>
      </c>
      <c r="X18" s="6" t="s">
        <v>154</v>
      </c>
      <c r="Y18" s="6" t="s">
        <v>73</v>
      </c>
      <c r="Z18" s="6" t="s">
        <v>70</v>
      </c>
      <c r="AA18" s="15">
        <v>0</v>
      </c>
      <c r="AB18" s="15" t="s">
        <v>162</v>
      </c>
      <c r="AC18" s="15">
        <v>220</v>
      </c>
      <c r="AD18" s="15">
        <v>180</v>
      </c>
      <c r="AE18" s="16">
        <v>180</v>
      </c>
      <c r="AF18" s="16">
        <v>116</v>
      </c>
      <c r="AG18" s="16">
        <v>147</v>
      </c>
      <c r="AH18" s="16">
        <v>3</v>
      </c>
      <c r="AI18" s="16">
        <v>62</v>
      </c>
      <c r="AJ18" s="16">
        <v>212</v>
      </c>
      <c r="AK18" s="16">
        <v>9</v>
      </c>
      <c r="AL18" s="16"/>
      <c r="AM18" s="16"/>
      <c r="AN18" s="33" t="s">
        <v>158</v>
      </c>
      <c r="AO18" s="6" t="s">
        <v>168</v>
      </c>
      <c r="AP18" s="6" t="s">
        <v>169</v>
      </c>
      <c r="AQ18" s="15">
        <v>10</v>
      </c>
      <c r="AR18" s="16" t="s">
        <v>160</v>
      </c>
      <c r="AS18" s="16" t="s">
        <v>112</v>
      </c>
      <c r="AT18" s="6"/>
      <c r="AU18" s="6"/>
      <c r="AV18" s="6"/>
      <c r="AW18" s="6"/>
      <c r="AX18" s="12" t="str">
        <f t="shared" si="2"/>
        <v/>
      </c>
      <c r="AY18" s="12" t="str">
        <f t="shared" si="3"/>
        <v/>
      </c>
      <c r="AZ18" s="18"/>
      <c r="BA18" s="19"/>
      <c r="BB18" s="19"/>
      <c r="BC18" s="19"/>
      <c r="BD18" s="19"/>
      <c r="BE18" s="19"/>
      <c r="BF18" s="19"/>
      <c r="BG18" s="19"/>
      <c r="BH18" s="19"/>
      <c r="BI18" s="19"/>
      <c r="BJ18" s="19"/>
      <c r="BK18" s="19"/>
    </row>
    <row r="19" spans="1:63" ht="20.100000000000001" hidden="1" customHeight="1" x14ac:dyDescent="0.2">
      <c r="A19" s="13">
        <v>12</v>
      </c>
      <c r="B19" s="16" t="s">
        <v>76</v>
      </c>
      <c r="C19" s="16" t="s">
        <v>64</v>
      </c>
      <c r="D19" s="6" t="s">
        <v>88</v>
      </c>
      <c r="E19" s="6" t="s">
        <v>9</v>
      </c>
      <c r="F19" s="6" t="s">
        <v>94</v>
      </c>
      <c r="G19" s="6"/>
      <c r="H19" s="15" t="s">
        <v>83</v>
      </c>
      <c r="I19" s="15"/>
      <c r="J19" s="15"/>
      <c r="K19" s="15"/>
      <c r="L19" s="15"/>
      <c r="M19" s="15"/>
      <c r="N19" s="15"/>
      <c r="O19" s="16" t="s">
        <v>67</v>
      </c>
      <c r="P19" s="6"/>
      <c r="Q19" s="6" t="s">
        <v>104</v>
      </c>
      <c r="R19" s="6" t="s">
        <v>127</v>
      </c>
      <c r="S19" s="6" t="s">
        <v>106</v>
      </c>
      <c r="T19" s="15" t="s">
        <v>107</v>
      </c>
      <c r="U19" s="6"/>
      <c r="V19" s="6" t="s">
        <v>2961</v>
      </c>
      <c r="W19" s="6" t="s">
        <v>493</v>
      </c>
      <c r="X19" s="6" t="s">
        <v>129</v>
      </c>
      <c r="Y19" s="6" t="s">
        <v>73</v>
      </c>
      <c r="Z19" s="6" t="s">
        <v>70</v>
      </c>
      <c r="AA19" s="15" t="s">
        <v>130</v>
      </c>
      <c r="AB19" s="15" t="s">
        <v>162</v>
      </c>
      <c r="AC19" s="15"/>
      <c r="AD19" s="15">
        <v>216</v>
      </c>
      <c r="AE19" s="16"/>
      <c r="AF19" s="16"/>
      <c r="AG19" s="16"/>
      <c r="AH19" s="16"/>
      <c r="AI19" s="16"/>
      <c r="AJ19" s="16"/>
      <c r="AK19" s="16"/>
      <c r="AL19" s="16"/>
      <c r="AM19" s="16"/>
      <c r="AN19" s="15"/>
      <c r="AO19" s="6"/>
      <c r="AP19" s="6"/>
      <c r="AQ19" s="15"/>
      <c r="AR19" s="16"/>
      <c r="AS19" s="16"/>
      <c r="AT19" s="6" t="s">
        <v>113</v>
      </c>
      <c r="AU19" s="6" t="s">
        <v>114</v>
      </c>
      <c r="AV19" s="6" t="s">
        <v>115</v>
      </c>
      <c r="AW19" s="6" t="s">
        <v>114</v>
      </c>
      <c r="AX19" s="12">
        <f t="shared" si="2"/>
        <v>12</v>
      </c>
      <c r="AY19" s="12">
        <f t="shared" si="3"/>
        <v>12</v>
      </c>
      <c r="AZ19" s="18"/>
      <c r="BA19" s="19"/>
      <c r="BB19" s="19"/>
      <c r="BC19" s="19"/>
      <c r="BD19" s="19"/>
      <c r="BE19" s="19"/>
      <c r="BF19" s="19"/>
      <c r="BG19" s="19"/>
      <c r="BH19" s="19"/>
      <c r="BI19" s="19"/>
      <c r="BJ19" s="19"/>
      <c r="BK19" s="19"/>
    </row>
    <row r="20" spans="1:63" ht="20.100000000000001" hidden="1" customHeight="1" x14ac:dyDescent="0.2">
      <c r="A20" s="13">
        <v>13</v>
      </c>
      <c r="B20" s="16" t="s">
        <v>100</v>
      </c>
      <c r="C20" s="16" t="s">
        <v>64</v>
      </c>
      <c r="D20" s="6" t="s">
        <v>82</v>
      </c>
      <c r="E20" s="6" t="s">
        <v>9</v>
      </c>
      <c r="F20" s="6"/>
      <c r="G20" s="6"/>
      <c r="H20" s="15" t="s">
        <v>7</v>
      </c>
      <c r="I20" s="15"/>
      <c r="J20" s="15"/>
      <c r="K20" s="15"/>
      <c r="L20" s="15"/>
      <c r="M20" s="15"/>
      <c r="N20" s="15"/>
      <c r="O20" s="16" t="s">
        <v>84</v>
      </c>
      <c r="P20" s="6" t="s">
        <v>117</v>
      </c>
      <c r="Q20" s="6" t="s">
        <v>117</v>
      </c>
      <c r="R20" s="6" t="s">
        <v>138</v>
      </c>
      <c r="S20" s="6" t="s">
        <v>106</v>
      </c>
      <c r="T20" s="15" t="s">
        <v>107</v>
      </c>
      <c r="U20" s="35" t="s">
        <v>125</v>
      </c>
      <c r="V20" s="35" t="s">
        <v>2961</v>
      </c>
      <c r="W20" s="35" t="s">
        <v>1581</v>
      </c>
      <c r="X20" s="6" t="s">
        <v>139</v>
      </c>
      <c r="Y20" s="6" t="s">
        <v>73</v>
      </c>
      <c r="Z20" s="6" t="s">
        <v>70</v>
      </c>
      <c r="AA20" s="15">
        <v>0</v>
      </c>
      <c r="AB20" s="15" t="s">
        <v>162</v>
      </c>
      <c r="AC20" s="15"/>
      <c r="AD20" s="15">
        <v>222</v>
      </c>
      <c r="AE20" s="16"/>
      <c r="AF20" s="16"/>
      <c r="AG20" s="16"/>
      <c r="AH20" s="16"/>
      <c r="AI20" s="16"/>
      <c r="AJ20" s="16"/>
      <c r="AK20" s="16"/>
      <c r="AL20" s="16"/>
      <c r="AM20" s="16"/>
      <c r="AN20" s="33" t="s">
        <v>158</v>
      </c>
      <c r="AO20" s="6" t="s">
        <v>81</v>
      </c>
      <c r="AP20" s="25"/>
      <c r="AQ20" s="15"/>
      <c r="AR20" s="16"/>
      <c r="AS20" s="16"/>
      <c r="AT20" s="6"/>
      <c r="AU20" s="6"/>
      <c r="AV20" s="6"/>
      <c r="AW20" s="6"/>
      <c r="AX20" s="12" t="str">
        <f t="shared" si="2"/>
        <v/>
      </c>
      <c r="AY20" s="12" t="str">
        <f t="shared" si="3"/>
        <v/>
      </c>
      <c r="AZ20" s="18"/>
      <c r="BA20" s="19"/>
      <c r="BB20" s="19"/>
      <c r="BC20" s="19"/>
      <c r="BD20" s="19"/>
      <c r="BE20" s="19"/>
      <c r="BF20" s="19"/>
      <c r="BG20" s="19"/>
      <c r="BH20" s="19"/>
      <c r="BI20" s="19"/>
      <c r="BJ20" s="19"/>
      <c r="BK20" s="19"/>
    </row>
    <row r="21" spans="1:63" ht="20.100000000000001" hidden="1" customHeight="1" x14ac:dyDescent="0.2">
      <c r="A21" s="13">
        <v>14</v>
      </c>
      <c r="B21" s="29" t="s">
        <v>237</v>
      </c>
      <c r="C21" s="29" t="s">
        <v>64</v>
      </c>
      <c r="D21" s="30" t="s">
        <v>238</v>
      </c>
      <c r="E21" s="30" t="s">
        <v>6</v>
      </c>
      <c r="F21" s="30" t="s">
        <v>202</v>
      </c>
      <c r="G21" s="30"/>
      <c r="H21" s="20" t="s">
        <v>83</v>
      </c>
      <c r="I21" s="20"/>
      <c r="J21" s="20"/>
      <c r="K21" s="20"/>
      <c r="L21" s="20"/>
      <c r="M21" s="20"/>
      <c r="N21" s="20"/>
      <c r="O21" s="29" t="s">
        <v>84</v>
      </c>
      <c r="P21" s="30"/>
      <c r="Q21" s="30" t="s">
        <v>104</v>
      </c>
      <c r="R21" s="30" t="s">
        <v>247</v>
      </c>
      <c r="S21" s="30" t="s">
        <v>106</v>
      </c>
      <c r="T21" s="20" t="s">
        <v>107</v>
      </c>
      <c r="U21" s="30"/>
      <c r="V21" s="30" t="s">
        <v>3680</v>
      </c>
      <c r="W21" s="30" t="s">
        <v>260</v>
      </c>
      <c r="X21" s="30" t="s">
        <v>249</v>
      </c>
      <c r="Y21" s="30" t="s">
        <v>73</v>
      </c>
      <c r="Z21" s="30" t="s">
        <v>70</v>
      </c>
      <c r="AA21" s="20" t="s">
        <v>250</v>
      </c>
      <c r="AB21" s="20" t="s">
        <v>162</v>
      </c>
      <c r="AC21" s="20"/>
      <c r="AD21" s="20">
        <v>195</v>
      </c>
      <c r="AE21" s="29"/>
      <c r="AF21" s="29"/>
      <c r="AG21" s="29"/>
      <c r="AH21" s="29"/>
      <c r="AI21" s="29"/>
      <c r="AJ21" s="29"/>
      <c r="AK21" s="29"/>
      <c r="AL21" s="29">
        <v>6</v>
      </c>
      <c r="AM21" s="29"/>
      <c r="AN21" s="20"/>
      <c r="AO21" s="30"/>
      <c r="AP21" s="36"/>
      <c r="AQ21" s="20"/>
      <c r="AR21" s="29"/>
      <c r="AS21" s="29"/>
      <c r="AT21" s="30" t="s">
        <v>113</v>
      </c>
      <c r="AU21" s="30" t="s">
        <v>114</v>
      </c>
      <c r="AV21" s="30" t="s">
        <v>115</v>
      </c>
      <c r="AW21" s="30" t="s">
        <v>148</v>
      </c>
      <c r="AX21" s="31">
        <f t="shared" si="2"/>
        <v>5</v>
      </c>
      <c r="AY21" s="31">
        <f t="shared" si="3"/>
        <v>5</v>
      </c>
      <c r="AZ21" s="32"/>
      <c r="BA21" s="21"/>
      <c r="BB21" s="21"/>
      <c r="BC21" s="21"/>
      <c r="BD21" s="21"/>
      <c r="BE21" s="21"/>
      <c r="BF21" s="21"/>
      <c r="BG21" s="21"/>
      <c r="BH21" s="21"/>
      <c r="BI21" s="21"/>
      <c r="BJ21" s="21"/>
      <c r="BK21" s="21"/>
    </row>
    <row r="22" spans="1:63" ht="20.100000000000001" hidden="1" customHeight="1" x14ac:dyDescent="0.2">
      <c r="A22" s="13">
        <v>15</v>
      </c>
      <c r="B22" s="16" t="s">
        <v>178</v>
      </c>
      <c r="C22" s="16" t="s">
        <v>64</v>
      </c>
      <c r="D22" s="6" t="s">
        <v>182</v>
      </c>
      <c r="E22" s="6" t="s">
        <v>6</v>
      </c>
      <c r="F22" s="6" t="s">
        <v>202</v>
      </c>
      <c r="G22" s="6"/>
      <c r="H22" s="15" t="s">
        <v>83</v>
      </c>
      <c r="I22" s="15"/>
      <c r="J22" s="15"/>
      <c r="K22" s="15"/>
      <c r="L22" s="15"/>
      <c r="M22" s="15"/>
      <c r="N22" s="15"/>
      <c r="O22" s="16" t="s">
        <v>84</v>
      </c>
      <c r="P22" s="6"/>
      <c r="Q22" s="6" t="s">
        <v>117</v>
      </c>
      <c r="R22" s="6" t="s">
        <v>203</v>
      </c>
      <c r="S22" s="6" t="s">
        <v>69</v>
      </c>
      <c r="T22" s="15" t="s">
        <v>70</v>
      </c>
      <c r="U22" s="6"/>
      <c r="V22" s="6" t="s">
        <v>2245</v>
      </c>
      <c r="W22" s="6" t="s">
        <v>260</v>
      </c>
      <c r="X22" s="6" t="s">
        <v>205</v>
      </c>
      <c r="Y22" s="6" t="s">
        <v>206</v>
      </c>
      <c r="Z22" s="6" t="s">
        <v>107</v>
      </c>
      <c r="AA22" s="15" t="s">
        <v>207</v>
      </c>
      <c r="AB22" s="15" t="s">
        <v>162</v>
      </c>
      <c r="AC22" s="15"/>
      <c r="AD22" s="15"/>
      <c r="AE22" s="16">
        <v>198</v>
      </c>
      <c r="AF22" s="16"/>
      <c r="AG22" s="16"/>
      <c r="AH22" s="16"/>
      <c r="AI22" s="16"/>
      <c r="AJ22" s="16"/>
      <c r="AK22" s="16"/>
      <c r="AL22" s="16"/>
      <c r="AM22" s="16"/>
      <c r="AN22" s="15"/>
      <c r="AO22" s="6"/>
      <c r="AP22" s="25"/>
      <c r="AQ22" s="15"/>
      <c r="AR22" s="16"/>
      <c r="AS22" s="16"/>
      <c r="AT22" s="6" t="s">
        <v>113</v>
      </c>
      <c r="AU22" s="6" t="s">
        <v>114</v>
      </c>
      <c r="AV22" s="6" t="s">
        <v>208</v>
      </c>
      <c r="AW22" s="6" t="s">
        <v>148</v>
      </c>
      <c r="AX22" s="12">
        <f t="shared" si="2"/>
        <v>29</v>
      </c>
      <c r="AY22" s="12" t="str">
        <f t="shared" si="3"/>
        <v/>
      </c>
      <c r="AZ22" s="18"/>
      <c r="BA22" s="19"/>
      <c r="BB22" s="19"/>
      <c r="BC22" s="19"/>
      <c r="BD22" s="19"/>
      <c r="BE22" s="19"/>
      <c r="BF22" s="19"/>
      <c r="BG22" s="19"/>
      <c r="BH22" s="19"/>
      <c r="BI22" s="19"/>
      <c r="BJ22" s="19"/>
      <c r="BK22" s="19"/>
    </row>
    <row r="23" spans="1:63" s="21" customFormat="1" ht="20.100000000000001" hidden="1" customHeight="1" x14ac:dyDescent="0.2">
      <c r="A23" s="13">
        <v>16</v>
      </c>
      <c r="B23" s="16" t="s">
        <v>175</v>
      </c>
      <c r="C23" s="16" t="s">
        <v>64</v>
      </c>
      <c r="D23" s="6" t="s">
        <v>103</v>
      </c>
      <c r="E23" s="6" t="s">
        <v>20</v>
      </c>
      <c r="F23" s="6"/>
      <c r="G23" s="6"/>
      <c r="H23" s="15" t="s">
        <v>7</v>
      </c>
      <c r="I23" s="15"/>
      <c r="J23" s="15"/>
      <c r="K23" s="15"/>
      <c r="L23" s="15"/>
      <c r="M23" s="15"/>
      <c r="N23" s="15"/>
      <c r="O23" s="16" t="s">
        <v>92</v>
      </c>
      <c r="P23" s="6" t="s">
        <v>140</v>
      </c>
      <c r="Q23" s="6" t="s">
        <v>140</v>
      </c>
      <c r="R23" s="6" t="s">
        <v>187</v>
      </c>
      <c r="S23" s="6" t="s">
        <v>106</v>
      </c>
      <c r="T23" s="15" t="s">
        <v>107</v>
      </c>
      <c r="U23" s="35" t="s">
        <v>143</v>
      </c>
      <c r="V23" s="35" t="s">
        <v>3677</v>
      </c>
      <c r="W23" s="35" t="s">
        <v>506</v>
      </c>
      <c r="X23" s="6" t="s">
        <v>189</v>
      </c>
      <c r="Y23" s="6" t="s">
        <v>106</v>
      </c>
      <c r="Z23" s="6" t="s">
        <v>107</v>
      </c>
      <c r="AA23" s="15">
        <v>0</v>
      </c>
      <c r="AB23" s="15" t="s">
        <v>163</v>
      </c>
      <c r="AC23" s="15">
        <v>123</v>
      </c>
      <c r="AD23" s="15">
        <v>102</v>
      </c>
      <c r="AE23" s="16">
        <v>102</v>
      </c>
      <c r="AF23" s="16">
        <v>68</v>
      </c>
      <c r="AG23" s="16">
        <v>80</v>
      </c>
      <c r="AH23" s="16">
        <v>4</v>
      </c>
      <c r="AI23" s="16">
        <v>36</v>
      </c>
      <c r="AJ23" s="16">
        <v>120</v>
      </c>
      <c r="AK23" s="16">
        <v>19</v>
      </c>
      <c r="AL23" s="16"/>
      <c r="AM23" s="16"/>
      <c r="AN23" s="33" t="s">
        <v>158</v>
      </c>
      <c r="AO23" s="6" t="s">
        <v>183</v>
      </c>
      <c r="AP23" s="6" t="s">
        <v>216</v>
      </c>
      <c r="AQ23" s="15">
        <v>17</v>
      </c>
      <c r="AR23" s="16" t="s">
        <v>111</v>
      </c>
      <c r="AS23" s="16" t="s">
        <v>112</v>
      </c>
      <c r="AT23" s="6"/>
      <c r="AU23" s="6"/>
      <c r="AV23" s="6"/>
      <c r="AW23" s="6"/>
      <c r="AX23" s="12" t="str">
        <f t="shared" si="2"/>
        <v/>
      </c>
      <c r="AY23" s="12" t="str">
        <f t="shared" si="3"/>
        <v/>
      </c>
      <c r="AZ23" s="18"/>
      <c r="BA23" s="19"/>
      <c r="BB23" s="19"/>
      <c r="BC23" s="19"/>
      <c r="BD23" s="19"/>
      <c r="BE23" s="19"/>
      <c r="BF23" s="19"/>
      <c r="BG23" s="19"/>
      <c r="BH23" s="19"/>
      <c r="BI23" s="19"/>
      <c r="BJ23" s="19"/>
      <c r="BK23" s="19"/>
    </row>
    <row r="24" spans="1:63" ht="20.100000000000001" hidden="1" customHeight="1" x14ac:dyDescent="0.2">
      <c r="A24" s="13">
        <v>17</v>
      </c>
      <c r="B24" s="16" t="s">
        <v>175</v>
      </c>
      <c r="C24" s="16" t="s">
        <v>64</v>
      </c>
      <c r="D24" s="6" t="s">
        <v>179</v>
      </c>
      <c r="E24" s="6" t="s">
        <v>19</v>
      </c>
      <c r="F24" s="6" t="s">
        <v>192</v>
      </c>
      <c r="G24" s="6"/>
      <c r="H24" s="15" t="s">
        <v>7</v>
      </c>
      <c r="I24" s="15"/>
      <c r="J24" s="15"/>
      <c r="K24" s="15"/>
      <c r="L24" s="15"/>
      <c r="M24" s="15"/>
      <c r="N24" s="15"/>
      <c r="O24" s="16" t="s">
        <v>84</v>
      </c>
      <c r="P24" s="6"/>
      <c r="Q24" s="6" t="s">
        <v>104</v>
      </c>
      <c r="R24" s="6" t="s">
        <v>217</v>
      </c>
      <c r="S24" s="6" t="s">
        <v>106</v>
      </c>
      <c r="T24" s="15" t="s">
        <v>107</v>
      </c>
      <c r="U24" s="6"/>
      <c r="V24" s="6" t="s">
        <v>1510</v>
      </c>
      <c r="W24" s="6" t="s">
        <v>2348</v>
      </c>
      <c r="X24" s="6" t="s">
        <v>191</v>
      </c>
      <c r="Y24" s="6" t="s">
        <v>73</v>
      </c>
      <c r="Z24" s="6" t="s">
        <v>70</v>
      </c>
      <c r="AA24" s="15">
        <v>0</v>
      </c>
      <c r="AB24" s="15" t="s">
        <v>163</v>
      </c>
      <c r="AC24" s="15">
        <v>250</v>
      </c>
      <c r="AD24" s="15">
        <v>234</v>
      </c>
      <c r="AE24" s="16">
        <v>234</v>
      </c>
      <c r="AF24" s="16">
        <v>53</v>
      </c>
      <c r="AG24" s="16">
        <v>162</v>
      </c>
      <c r="AH24" s="16">
        <v>5</v>
      </c>
      <c r="AI24" s="16">
        <v>20</v>
      </c>
      <c r="AJ24" s="16">
        <v>175</v>
      </c>
      <c r="AK24" s="16">
        <v>18</v>
      </c>
      <c r="AL24" s="16"/>
      <c r="AM24" s="16"/>
      <c r="AN24" s="6"/>
      <c r="AO24" s="6" t="s">
        <v>183</v>
      </c>
      <c r="AP24" s="6" t="s">
        <v>214</v>
      </c>
      <c r="AQ24" s="15">
        <v>17</v>
      </c>
      <c r="AR24" s="16" t="s">
        <v>160</v>
      </c>
      <c r="AS24" s="16" t="s">
        <v>193</v>
      </c>
      <c r="AT24" s="6"/>
      <c r="AU24" s="6"/>
      <c r="AV24" s="6"/>
      <c r="AW24" s="6"/>
      <c r="AX24" s="12" t="str">
        <f t="shared" si="2"/>
        <v/>
      </c>
      <c r="AY24" s="12" t="str">
        <f t="shared" si="3"/>
        <v/>
      </c>
      <c r="AZ24" s="18"/>
      <c r="BA24" s="19"/>
      <c r="BB24" s="19"/>
      <c r="BC24" s="19"/>
      <c r="BD24" s="19"/>
      <c r="BE24" s="19"/>
      <c r="BF24" s="19"/>
      <c r="BG24" s="19"/>
      <c r="BH24" s="19"/>
      <c r="BI24" s="19"/>
      <c r="BJ24" s="19"/>
      <c r="BK24" s="19"/>
    </row>
    <row r="25" spans="1:63" ht="20.100000000000001" hidden="1" customHeight="1" x14ac:dyDescent="0.2">
      <c r="A25" s="13">
        <v>18</v>
      </c>
      <c r="B25" s="16" t="s">
        <v>176</v>
      </c>
      <c r="C25" s="16" t="s">
        <v>64</v>
      </c>
      <c r="D25" s="6" t="s">
        <v>56</v>
      </c>
      <c r="E25" s="6" t="s">
        <v>20</v>
      </c>
      <c r="F25" s="6"/>
      <c r="G25" s="6"/>
      <c r="H25" s="15" t="s">
        <v>7</v>
      </c>
      <c r="I25" s="15"/>
      <c r="J25" s="15"/>
      <c r="K25" s="15"/>
      <c r="L25" s="15"/>
      <c r="M25" s="15"/>
      <c r="N25" s="15"/>
      <c r="O25" s="16" t="s">
        <v>84</v>
      </c>
      <c r="P25" s="35" t="s">
        <v>218</v>
      </c>
      <c r="Q25" s="35" t="s">
        <v>155</v>
      </c>
      <c r="R25" s="6"/>
      <c r="S25" s="6" t="s">
        <v>142</v>
      </c>
      <c r="T25" s="15" t="s">
        <v>70</v>
      </c>
      <c r="U25" s="6" t="s">
        <v>167</v>
      </c>
      <c r="V25" s="6" t="s">
        <v>3679</v>
      </c>
      <c r="W25" s="6" t="s">
        <v>441</v>
      </c>
      <c r="X25" s="6"/>
      <c r="Y25" s="6" t="s">
        <v>106</v>
      </c>
      <c r="Z25" s="6" t="s">
        <v>107</v>
      </c>
      <c r="AA25" s="15">
        <v>0</v>
      </c>
      <c r="AB25" s="15" t="s">
        <v>162</v>
      </c>
      <c r="AC25" s="15">
        <v>162</v>
      </c>
      <c r="AD25" s="33">
        <v>147</v>
      </c>
      <c r="AE25" s="34">
        <v>144</v>
      </c>
      <c r="AF25" s="16">
        <v>69</v>
      </c>
      <c r="AG25" s="16">
        <v>83</v>
      </c>
      <c r="AH25" s="16">
        <v>7</v>
      </c>
      <c r="AI25" s="16">
        <v>100</v>
      </c>
      <c r="AJ25" s="16">
        <v>190</v>
      </c>
      <c r="AK25" s="16">
        <v>25</v>
      </c>
      <c r="AL25" s="16"/>
      <c r="AM25" s="16"/>
      <c r="AN25" s="33" t="s">
        <v>158</v>
      </c>
      <c r="AO25" s="6" t="s">
        <v>175</v>
      </c>
      <c r="AP25" s="6"/>
      <c r="AQ25" s="15"/>
      <c r="AR25" s="16" t="s">
        <v>160</v>
      </c>
      <c r="AS25" s="16" t="s">
        <v>193</v>
      </c>
      <c r="AT25" s="6"/>
      <c r="AU25" s="6"/>
      <c r="AV25" s="6"/>
      <c r="AW25" s="6"/>
      <c r="AX25" s="12" t="str">
        <f t="shared" si="2"/>
        <v/>
      </c>
      <c r="AY25" s="12" t="str">
        <f t="shared" si="3"/>
        <v/>
      </c>
      <c r="AZ25" s="18"/>
      <c r="BA25" s="19"/>
      <c r="BB25" s="19"/>
      <c r="BC25" s="19"/>
      <c r="BD25" s="19"/>
      <c r="BE25" s="19"/>
      <c r="BF25" s="19"/>
      <c r="BG25" s="19"/>
      <c r="BH25" s="19"/>
      <c r="BI25" s="19"/>
      <c r="BJ25" s="19"/>
      <c r="BK25" s="19"/>
    </row>
    <row r="26" spans="1:63" s="21" customFormat="1" ht="21.75" hidden="1" x14ac:dyDescent="0.2">
      <c r="A26" s="13">
        <v>19</v>
      </c>
      <c r="B26" s="16" t="s">
        <v>236</v>
      </c>
      <c r="C26" s="16" t="s">
        <v>64</v>
      </c>
      <c r="D26" s="6" t="s">
        <v>220</v>
      </c>
      <c r="E26" s="6" t="s">
        <v>6</v>
      </c>
      <c r="F26" s="6" t="s">
        <v>202</v>
      </c>
      <c r="G26" s="6"/>
      <c r="H26" s="15" t="s">
        <v>83</v>
      </c>
      <c r="I26" s="15"/>
      <c r="J26" s="15"/>
      <c r="K26" s="15"/>
      <c r="L26" s="15"/>
      <c r="M26" s="15"/>
      <c r="N26" s="15"/>
      <c r="O26" s="16" t="s">
        <v>84</v>
      </c>
      <c r="P26" s="6"/>
      <c r="Q26" s="6" t="s">
        <v>155</v>
      </c>
      <c r="R26" s="6" t="s">
        <v>232</v>
      </c>
      <c r="S26" s="6" t="s">
        <v>142</v>
      </c>
      <c r="T26" s="15" t="s">
        <v>70</v>
      </c>
      <c r="U26" s="6"/>
      <c r="V26" s="6" t="s">
        <v>3679</v>
      </c>
      <c r="W26" s="6" t="s">
        <v>441</v>
      </c>
      <c r="X26" s="6" t="s">
        <v>233</v>
      </c>
      <c r="Y26" s="6" t="s">
        <v>119</v>
      </c>
      <c r="Z26" s="6" t="s">
        <v>107</v>
      </c>
      <c r="AA26" s="15" t="s">
        <v>234</v>
      </c>
      <c r="AB26" s="15" t="s">
        <v>163</v>
      </c>
      <c r="AC26" s="15"/>
      <c r="AD26" s="15">
        <v>171</v>
      </c>
      <c r="AE26" s="16"/>
      <c r="AF26" s="16"/>
      <c r="AG26" s="16"/>
      <c r="AH26" s="16"/>
      <c r="AI26" s="16"/>
      <c r="AJ26" s="16"/>
      <c r="AK26" s="16"/>
      <c r="AL26" s="16"/>
      <c r="AM26" s="16"/>
      <c r="AN26" s="6"/>
      <c r="AO26" s="6"/>
      <c r="AP26" s="6"/>
      <c r="AQ26" s="15"/>
      <c r="AR26" s="16"/>
      <c r="AS26" s="16"/>
      <c r="AT26" s="6" t="s">
        <v>113</v>
      </c>
      <c r="AU26" s="6" t="s">
        <v>114</v>
      </c>
      <c r="AV26" s="6" t="s">
        <v>123</v>
      </c>
      <c r="AW26" s="6" t="s">
        <v>235</v>
      </c>
      <c r="AX26" s="12">
        <f t="shared" si="2"/>
        <v>58</v>
      </c>
      <c r="AY26" s="12" t="str">
        <f t="shared" si="3"/>
        <v/>
      </c>
      <c r="AZ26" s="18"/>
      <c r="BA26" s="19"/>
      <c r="BB26" s="19"/>
      <c r="BC26" s="19"/>
      <c r="BD26" s="19"/>
      <c r="BE26" s="19"/>
      <c r="BF26" s="19"/>
      <c r="BG26" s="19"/>
      <c r="BH26" s="19"/>
      <c r="BI26" s="19"/>
      <c r="BJ26" s="19"/>
      <c r="BK26" s="19"/>
    </row>
    <row r="27" spans="1:63" s="21" customFormat="1" ht="43.5" hidden="1" customHeight="1" x14ac:dyDescent="0.2">
      <c r="A27" s="13">
        <v>20</v>
      </c>
      <c r="B27" s="29" t="s">
        <v>3268</v>
      </c>
      <c r="C27" s="29" t="s">
        <v>288</v>
      </c>
      <c r="D27" s="30" t="s">
        <v>739</v>
      </c>
      <c r="E27" s="30" t="s">
        <v>10</v>
      </c>
      <c r="F27" s="30" t="s">
        <v>605</v>
      </c>
      <c r="G27" s="37" t="s">
        <v>197</v>
      </c>
      <c r="H27" s="20" t="s">
        <v>83</v>
      </c>
      <c r="I27" s="20"/>
      <c r="J27" s="20"/>
      <c r="K27" s="20"/>
      <c r="L27" s="20"/>
      <c r="M27" s="20"/>
      <c r="N27" s="20"/>
      <c r="O27" s="29" t="s">
        <v>84</v>
      </c>
      <c r="P27" s="30"/>
      <c r="Q27" s="30" t="s">
        <v>104</v>
      </c>
      <c r="R27" s="30" t="s">
        <v>2095</v>
      </c>
      <c r="S27" s="30" t="s">
        <v>69</v>
      </c>
      <c r="T27" s="20" t="s">
        <v>70</v>
      </c>
      <c r="U27" s="30"/>
      <c r="V27" s="30" t="s">
        <v>2245</v>
      </c>
      <c r="W27" s="30" t="s">
        <v>769</v>
      </c>
      <c r="X27" s="30" t="s">
        <v>2096</v>
      </c>
      <c r="Y27" s="30" t="s">
        <v>106</v>
      </c>
      <c r="Z27" s="30" t="s">
        <v>107</v>
      </c>
      <c r="AA27" s="20" t="s">
        <v>2102</v>
      </c>
      <c r="AB27" s="20"/>
      <c r="AC27" s="20">
        <v>200</v>
      </c>
      <c r="AD27" s="20">
        <v>186</v>
      </c>
      <c r="AE27" s="20"/>
      <c r="AF27" s="29"/>
      <c r="AG27" s="29"/>
      <c r="AH27" s="29"/>
      <c r="AI27" s="29"/>
      <c r="AJ27" s="20"/>
      <c r="AK27" s="29"/>
      <c r="AL27" s="29"/>
      <c r="AM27" s="29"/>
      <c r="AN27" s="20"/>
      <c r="AO27" s="30"/>
      <c r="AP27" s="36"/>
      <c r="AQ27" s="20"/>
      <c r="AR27" s="29"/>
      <c r="AS27" s="29"/>
      <c r="AT27" s="30" t="s">
        <v>113</v>
      </c>
      <c r="AU27" s="30" t="s">
        <v>296</v>
      </c>
      <c r="AV27" s="30" t="s">
        <v>115</v>
      </c>
      <c r="AW27" s="30" t="s">
        <v>260</v>
      </c>
      <c r="AX27" s="31">
        <f t="shared" si="2"/>
        <v>2</v>
      </c>
      <c r="AY27" s="31">
        <f t="shared" si="3"/>
        <v>2</v>
      </c>
      <c r="AZ27" s="88" t="s">
        <v>3307</v>
      </c>
    </row>
    <row r="28" spans="1:63" ht="20.100000000000001" hidden="1" customHeight="1" x14ac:dyDescent="0.2">
      <c r="A28" s="13">
        <v>21</v>
      </c>
      <c r="B28" s="29" t="s">
        <v>177</v>
      </c>
      <c r="C28" s="29" t="s">
        <v>64</v>
      </c>
      <c r="D28" s="30" t="s">
        <v>180</v>
      </c>
      <c r="E28" s="30" t="s">
        <v>19</v>
      </c>
      <c r="F28" s="30" t="s">
        <v>186</v>
      </c>
      <c r="G28" s="37" t="s">
        <v>197</v>
      </c>
      <c r="H28" s="20" t="s">
        <v>83</v>
      </c>
      <c r="I28" s="20"/>
      <c r="J28" s="20"/>
      <c r="K28" s="20"/>
      <c r="L28" s="20"/>
      <c r="M28" s="20"/>
      <c r="N28" s="20"/>
      <c r="O28" s="29" t="s">
        <v>84</v>
      </c>
      <c r="P28" s="30"/>
      <c r="Q28" s="30" t="s">
        <v>155</v>
      </c>
      <c r="R28" s="30" t="s">
        <v>194</v>
      </c>
      <c r="S28" s="30" t="s">
        <v>106</v>
      </c>
      <c r="T28" s="20" t="s">
        <v>107</v>
      </c>
      <c r="U28" s="30"/>
      <c r="V28" s="30" t="s">
        <v>3677</v>
      </c>
      <c r="W28" s="30" t="s">
        <v>718</v>
      </c>
      <c r="X28" s="30" t="s">
        <v>195</v>
      </c>
      <c r="Y28" s="30" t="s">
        <v>106</v>
      </c>
      <c r="Z28" s="30" t="s">
        <v>107</v>
      </c>
      <c r="AA28" s="20" t="s">
        <v>196</v>
      </c>
      <c r="AB28" s="20" t="s">
        <v>163</v>
      </c>
      <c r="AC28" s="20"/>
      <c r="AD28" s="20"/>
      <c r="AE28" s="29">
        <v>216</v>
      </c>
      <c r="AF28" s="29"/>
      <c r="AG28" s="29"/>
      <c r="AH28" s="29"/>
      <c r="AI28" s="29"/>
      <c r="AJ28" s="29"/>
      <c r="AK28" s="29"/>
      <c r="AL28" s="29"/>
      <c r="AM28" s="29"/>
      <c r="AN28" s="30"/>
      <c r="AO28" s="30"/>
      <c r="AP28" s="36"/>
      <c r="AQ28" s="20"/>
      <c r="AR28" s="29" t="s">
        <v>160</v>
      </c>
      <c r="AS28" s="29" t="s">
        <v>165</v>
      </c>
      <c r="AT28" s="30" t="s">
        <v>113</v>
      </c>
      <c r="AU28" s="30" t="s">
        <v>114</v>
      </c>
      <c r="AV28" s="30" t="s">
        <v>115</v>
      </c>
      <c r="AW28" s="30" t="s">
        <v>116</v>
      </c>
      <c r="AX28" s="31">
        <f t="shared" si="2"/>
        <v>2</v>
      </c>
      <c r="AY28" s="31">
        <f t="shared" si="3"/>
        <v>2</v>
      </c>
      <c r="AZ28" s="38" t="s">
        <v>219</v>
      </c>
      <c r="BA28" s="21"/>
      <c r="BB28" s="21"/>
      <c r="BC28" s="21"/>
      <c r="BD28" s="21"/>
      <c r="BE28" s="21"/>
      <c r="BF28" s="21"/>
      <c r="BG28" s="21"/>
      <c r="BH28" s="21"/>
      <c r="BI28" s="21"/>
      <c r="BJ28" s="21"/>
      <c r="BK28" s="21"/>
    </row>
    <row r="29" spans="1:63" ht="20.100000000000001" hidden="1" customHeight="1" x14ac:dyDescent="0.2">
      <c r="A29" s="13">
        <v>22</v>
      </c>
      <c r="B29" s="16" t="s">
        <v>362</v>
      </c>
      <c r="C29" s="16" t="s">
        <v>288</v>
      </c>
      <c r="D29" s="6" t="s">
        <v>365</v>
      </c>
      <c r="E29" s="6" t="s">
        <v>20</v>
      </c>
      <c r="F29" s="6" t="s">
        <v>186</v>
      </c>
      <c r="G29" s="6"/>
      <c r="H29" s="15" t="s">
        <v>83</v>
      </c>
      <c r="I29" s="15"/>
      <c r="J29" s="15"/>
      <c r="K29" s="15"/>
      <c r="L29" s="15"/>
      <c r="M29" s="15"/>
      <c r="N29" s="15"/>
      <c r="O29" s="16" t="s">
        <v>92</v>
      </c>
      <c r="P29" s="6"/>
      <c r="Q29" s="6" t="s">
        <v>68</v>
      </c>
      <c r="R29" s="6" t="s">
        <v>373</v>
      </c>
      <c r="S29" s="6" t="s">
        <v>69</v>
      </c>
      <c r="T29" s="15" t="s">
        <v>70</v>
      </c>
      <c r="U29" s="6"/>
      <c r="V29" s="6"/>
      <c r="W29" s="6" t="s">
        <v>1581</v>
      </c>
      <c r="X29" s="6" t="s">
        <v>374</v>
      </c>
      <c r="Y29" s="6" t="s">
        <v>73</v>
      </c>
      <c r="Z29" s="6" t="s">
        <v>70</v>
      </c>
      <c r="AA29" s="15" t="s">
        <v>375</v>
      </c>
      <c r="AB29" s="15" t="s">
        <v>163</v>
      </c>
      <c r="AC29" s="15"/>
      <c r="AD29" s="15">
        <v>210</v>
      </c>
      <c r="AE29" s="16"/>
      <c r="AF29" s="16"/>
      <c r="AG29" s="16"/>
      <c r="AH29" s="16"/>
      <c r="AI29" s="16"/>
      <c r="AJ29" s="16"/>
      <c r="AK29" s="16"/>
      <c r="AL29" s="16"/>
      <c r="AM29" s="16"/>
      <c r="AN29" s="15"/>
      <c r="AO29" s="6"/>
      <c r="AP29" s="25"/>
      <c r="AQ29" s="15"/>
      <c r="AR29" s="16"/>
      <c r="AS29" s="16"/>
      <c r="AT29" s="6" t="s">
        <v>113</v>
      </c>
      <c r="AU29" s="6" t="s">
        <v>296</v>
      </c>
      <c r="AV29" s="6" t="s">
        <v>115</v>
      </c>
      <c r="AW29" s="6" t="s">
        <v>114</v>
      </c>
      <c r="AX29" s="12">
        <f t="shared" si="2"/>
        <v>13</v>
      </c>
      <c r="AY29" s="12" t="str">
        <f t="shared" si="3"/>
        <v/>
      </c>
      <c r="AZ29" s="18"/>
      <c r="BA29" s="19"/>
      <c r="BB29" s="19"/>
      <c r="BC29" s="19"/>
      <c r="BD29" s="19"/>
      <c r="BE29" s="19"/>
      <c r="BF29" s="19"/>
      <c r="BG29" s="19"/>
      <c r="BH29" s="19"/>
      <c r="BI29" s="19"/>
      <c r="BJ29" s="19"/>
      <c r="BK29" s="19"/>
    </row>
    <row r="30" spans="1:63" ht="20.100000000000001" hidden="1" customHeight="1" x14ac:dyDescent="0.2">
      <c r="A30" s="13">
        <v>23</v>
      </c>
      <c r="B30" s="29" t="s">
        <v>75</v>
      </c>
      <c r="C30" s="29" t="s">
        <v>64</v>
      </c>
      <c r="D30" s="30" t="s">
        <v>86</v>
      </c>
      <c r="E30" s="30" t="s">
        <v>8</v>
      </c>
      <c r="F30" s="30" t="s">
        <v>96</v>
      </c>
      <c r="G30" s="30" t="s">
        <v>99</v>
      </c>
      <c r="H30" s="20" t="s">
        <v>83</v>
      </c>
      <c r="I30" s="20"/>
      <c r="J30" s="20"/>
      <c r="K30" s="20"/>
      <c r="L30" s="20"/>
      <c r="M30" s="20"/>
      <c r="N30" s="20"/>
      <c r="O30" s="29" t="s">
        <v>93</v>
      </c>
      <c r="P30" s="30"/>
      <c r="Q30" s="30" t="s">
        <v>104</v>
      </c>
      <c r="R30" s="30" t="s">
        <v>105</v>
      </c>
      <c r="S30" s="30" t="s">
        <v>106</v>
      </c>
      <c r="T30" s="20" t="s">
        <v>107</v>
      </c>
      <c r="U30" s="30"/>
      <c r="V30" s="30" t="s">
        <v>3679</v>
      </c>
      <c r="W30" s="30" t="s">
        <v>555</v>
      </c>
      <c r="X30" s="30" t="s">
        <v>109</v>
      </c>
      <c r="Y30" s="30" t="s">
        <v>106</v>
      </c>
      <c r="Z30" s="30" t="s">
        <v>107</v>
      </c>
      <c r="AA30" s="20" t="s">
        <v>110</v>
      </c>
      <c r="AB30" s="20" t="s">
        <v>163</v>
      </c>
      <c r="AC30" s="20"/>
      <c r="AD30" s="20">
        <v>162</v>
      </c>
      <c r="AE30" s="29"/>
      <c r="AF30" s="29"/>
      <c r="AG30" s="29"/>
      <c r="AH30" s="29"/>
      <c r="AI30" s="29"/>
      <c r="AJ30" s="29"/>
      <c r="AK30" s="29"/>
      <c r="AL30" s="29"/>
      <c r="AM30" s="29"/>
      <c r="AN30" s="20"/>
      <c r="AO30" s="30"/>
      <c r="AP30" s="30"/>
      <c r="AQ30" s="20"/>
      <c r="AR30" s="29" t="s">
        <v>111</v>
      </c>
      <c r="AS30" s="29" t="s">
        <v>112</v>
      </c>
      <c r="AT30" s="30" t="s">
        <v>113</v>
      </c>
      <c r="AU30" s="30" t="s">
        <v>114</v>
      </c>
      <c r="AV30" s="30" t="s">
        <v>115</v>
      </c>
      <c r="AW30" s="30" t="s">
        <v>116</v>
      </c>
      <c r="AX30" s="12">
        <f t="shared" si="2"/>
        <v>2</v>
      </c>
      <c r="AY30" s="12">
        <f t="shared" si="3"/>
        <v>2</v>
      </c>
      <c r="AZ30" s="32"/>
      <c r="BA30" s="19"/>
      <c r="BB30" s="19"/>
      <c r="BC30" s="19"/>
      <c r="BD30" s="19"/>
      <c r="BE30" s="19"/>
      <c r="BF30" s="19"/>
      <c r="BG30" s="19"/>
      <c r="BH30" s="19"/>
      <c r="BI30" s="19"/>
      <c r="BJ30" s="19"/>
      <c r="BK30" s="19"/>
    </row>
    <row r="31" spans="1:63" ht="20.100000000000001" hidden="1" customHeight="1" x14ac:dyDescent="0.2">
      <c r="A31" s="13">
        <v>24</v>
      </c>
      <c r="B31" s="16" t="s">
        <v>236</v>
      </c>
      <c r="C31" s="16" t="s">
        <v>64</v>
      </c>
      <c r="D31" s="6" t="s">
        <v>221</v>
      </c>
      <c r="E31" s="6"/>
      <c r="F31" s="6"/>
      <c r="G31" s="6"/>
      <c r="H31" s="15" t="s">
        <v>222</v>
      </c>
      <c r="I31" s="15"/>
      <c r="J31" s="15"/>
      <c r="K31" s="15"/>
      <c r="L31" s="15"/>
      <c r="M31" s="15"/>
      <c r="N31" s="15"/>
      <c r="O31" s="16" t="s">
        <v>92</v>
      </c>
      <c r="P31" s="6"/>
      <c r="Q31" s="6" t="s">
        <v>226</v>
      </c>
      <c r="R31" s="6"/>
      <c r="S31" s="6"/>
      <c r="T31" s="15"/>
      <c r="U31" s="6"/>
      <c r="V31" s="6" t="s">
        <v>227</v>
      </c>
      <c r="W31" s="6"/>
      <c r="X31" s="6"/>
      <c r="Y31" s="6"/>
      <c r="Z31" s="6"/>
      <c r="AA31" s="15"/>
      <c r="AB31" s="15" t="s">
        <v>163</v>
      </c>
      <c r="AC31" s="15"/>
      <c r="AD31" s="15"/>
      <c r="AE31" s="16"/>
      <c r="AF31" s="16"/>
      <c r="AG31" s="16"/>
      <c r="AH31" s="16"/>
      <c r="AI31" s="16"/>
      <c r="AJ31" s="16"/>
      <c r="AK31" s="16"/>
      <c r="AL31" s="16"/>
      <c r="AM31" s="16"/>
      <c r="AN31" s="6"/>
      <c r="AO31" s="6"/>
      <c r="AP31" s="6"/>
      <c r="AQ31" s="15"/>
      <c r="AR31" s="16" t="s">
        <v>111</v>
      </c>
      <c r="AS31" s="16" t="s">
        <v>228</v>
      </c>
      <c r="AT31" s="6"/>
      <c r="AU31" s="6"/>
      <c r="AV31" s="6"/>
      <c r="AW31" s="6"/>
      <c r="AX31" s="12" t="str">
        <f t="shared" si="2"/>
        <v/>
      </c>
      <c r="AY31" s="12" t="str">
        <f t="shared" si="3"/>
        <v/>
      </c>
      <c r="AZ31" s="18"/>
      <c r="BA31" s="19"/>
      <c r="BB31" s="19"/>
      <c r="BC31" s="19"/>
      <c r="BD31" s="19"/>
      <c r="BE31" s="19"/>
      <c r="BF31" s="19"/>
      <c r="BG31" s="19"/>
      <c r="BH31" s="19"/>
      <c r="BI31" s="19"/>
      <c r="BJ31" s="19"/>
      <c r="BK31" s="19"/>
    </row>
    <row r="32" spans="1:63" ht="20.100000000000001" hidden="1" customHeight="1" x14ac:dyDescent="0.2">
      <c r="A32" s="13">
        <v>25</v>
      </c>
      <c r="B32" s="16" t="s">
        <v>236</v>
      </c>
      <c r="C32" s="16" t="s">
        <v>64</v>
      </c>
      <c r="D32" s="6" t="s">
        <v>181</v>
      </c>
      <c r="E32" s="6" t="s">
        <v>9</v>
      </c>
      <c r="F32" s="6"/>
      <c r="G32" s="6"/>
      <c r="H32" s="15" t="s">
        <v>7</v>
      </c>
      <c r="I32" s="15"/>
      <c r="J32" s="15"/>
      <c r="K32" s="15"/>
      <c r="L32" s="15"/>
      <c r="M32" s="15"/>
      <c r="N32" s="15"/>
      <c r="O32" s="16" t="s">
        <v>92</v>
      </c>
      <c r="P32" s="6" t="s">
        <v>223</v>
      </c>
      <c r="Q32" s="6" t="s">
        <v>223</v>
      </c>
      <c r="R32" s="6" t="s">
        <v>229</v>
      </c>
      <c r="S32" s="6" t="s">
        <v>106</v>
      </c>
      <c r="T32" s="15" t="s">
        <v>107</v>
      </c>
      <c r="U32" s="35" t="s">
        <v>230</v>
      </c>
      <c r="V32" s="35" t="s">
        <v>1809</v>
      </c>
      <c r="W32" s="35" t="s">
        <v>260</v>
      </c>
      <c r="X32" s="6" t="s">
        <v>225</v>
      </c>
      <c r="Y32" s="6" t="s">
        <v>106</v>
      </c>
      <c r="Z32" s="15" t="s">
        <v>107</v>
      </c>
      <c r="AA32" s="15">
        <v>0</v>
      </c>
      <c r="AB32" s="15" t="s">
        <v>163</v>
      </c>
      <c r="AC32" s="15">
        <v>231</v>
      </c>
      <c r="AD32" s="15">
        <v>216</v>
      </c>
      <c r="AE32" s="16">
        <v>216</v>
      </c>
      <c r="AF32" s="16"/>
      <c r="AG32" s="16">
        <v>115</v>
      </c>
      <c r="AH32" s="16">
        <v>20</v>
      </c>
      <c r="AI32" s="16">
        <v>25</v>
      </c>
      <c r="AJ32" s="16">
        <v>160</v>
      </c>
      <c r="AK32" s="16">
        <v>7</v>
      </c>
      <c r="AL32" s="16"/>
      <c r="AM32" s="16"/>
      <c r="AN32" s="33" t="s">
        <v>158</v>
      </c>
      <c r="AO32" s="6" t="s">
        <v>178</v>
      </c>
      <c r="AP32" s="25">
        <v>160</v>
      </c>
      <c r="AQ32" s="15">
        <v>7</v>
      </c>
      <c r="AR32" s="16" t="s">
        <v>160</v>
      </c>
      <c r="AS32" s="16" t="s">
        <v>231</v>
      </c>
      <c r="AT32" s="6"/>
      <c r="AU32" s="6"/>
      <c r="AV32" s="6"/>
      <c r="AW32" s="6"/>
      <c r="AX32" s="12" t="str">
        <f t="shared" si="2"/>
        <v/>
      </c>
      <c r="AY32" s="12" t="str">
        <f t="shared" si="3"/>
        <v/>
      </c>
      <c r="AZ32" s="18"/>
      <c r="BA32" s="19"/>
      <c r="BB32" s="19"/>
      <c r="BC32" s="19"/>
      <c r="BD32" s="19"/>
      <c r="BE32" s="19"/>
      <c r="BF32" s="19"/>
      <c r="BG32" s="19"/>
      <c r="BH32" s="19"/>
      <c r="BI32" s="19"/>
      <c r="BJ32" s="19"/>
      <c r="BK32" s="19"/>
    </row>
    <row r="33" spans="1:63" s="21" customFormat="1" ht="21.75" hidden="1" x14ac:dyDescent="0.2">
      <c r="A33" s="13">
        <v>26</v>
      </c>
      <c r="B33" s="29" t="s">
        <v>177</v>
      </c>
      <c r="C33" s="29" t="s">
        <v>64</v>
      </c>
      <c r="D33" s="30" t="s">
        <v>21</v>
      </c>
      <c r="E33" s="30" t="s">
        <v>9</v>
      </c>
      <c r="F33" s="30" t="s">
        <v>174</v>
      </c>
      <c r="G33" s="30"/>
      <c r="H33" s="20" t="s">
        <v>83</v>
      </c>
      <c r="I33" s="20"/>
      <c r="J33" s="20"/>
      <c r="K33" s="20"/>
      <c r="L33" s="20"/>
      <c r="M33" s="20"/>
      <c r="N33" s="20"/>
      <c r="O33" s="29" t="s">
        <v>84</v>
      </c>
      <c r="P33" s="30"/>
      <c r="Q33" s="30" t="s">
        <v>117</v>
      </c>
      <c r="R33" s="30" t="s">
        <v>198</v>
      </c>
      <c r="S33" s="30" t="s">
        <v>106</v>
      </c>
      <c r="T33" s="20" t="s">
        <v>107</v>
      </c>
      <c r="U33" s="30"/>
      <c r="V33" s="30" t="s">
        <v>1510</v>
      </c>
      <c r="W33" s="30" t="s">
        <v>2258</v>
      </c>
      <c r="X33" s="30" t="s">
        <v>200</v>
      </c>
      <c r="Y33" s="30" t="s">
        <v>73</v>
      </c>
      <c r="Z33" s="30" t="s">
        <v>70</v>
      </c>
      <c r="AA33" s="20" t="s">
        <v>201</v>
      </c>
      <c r="AB33" s="20" t="s">
        <v>163</v>
      </c>
      <c r="AC33" s="20"/>
      <c r="AD33" s="20"/>
      <c r="AE33" s="29">
        <v>168</v>
      </c>
      <c r="AF33" s="29"/>
      <c r="AG33" s="29"/>
      <c r="AH33" s="29"/>
      <c r="AI33" s="29"/>
      <c r="AJ33" s="29"/>
      <c r="AK33" s="29"/>
      <c r="AL33" s="29"/>
      <c r="AM33" s="29"/>
      <c r="AN33" s="30"/>
      <c r="AO33" s="30"/>
      <c r="AP33" s="30"/>
      <c r="AQ33" s="20"/>
      <c r="AR33" s="29" t="s">
        <v>111</v>
      </c>
      <c r="AS33" s="29" t="s">
        <v>112</v>
      </c>
      <c r="AT33" s="30" t="s">
        <v>113</v>
      </c>
      <c r="AU33" s="30" t="s">
        <v>114</v>
      </c>
      <c r="AV33" s="30" t="s">
        <v>115</v>
      </c>
      <c r="AW33" s="30" t="s">
        <v>148</v>
      </c>
      <c r="AX33" s="31">
        <f t="shared" si="2"/>
        <v>5</v>
      </c>
      <c r="AY33" s="31">
        <f t="shared" si="3"/>
        <v>5</v>
      </c>
      <c r="AZ33" s="32"/>
    </row>
    <row r="34" spans="1:63" ht="20.100000000000001" hidden="1" customHeight="1" x14ac:dyDescent="0.2">
      <c r="A34" s="13">
        <v>27</v>
      </c>
      <c r="B34" s="16" t="s">
        <v>244</v>
      </c>
      <c r="C34" s="16" t="s">
        <v>64</v>
      </c>
      <c r="D34" s="6" t="s">
        <v>240</v>
      </c>
      <c r="E34" s="6" t="s">
        <v>9</v>
      </c>
      <c r="F34" s="6" t="s">
        <v>174</v>
      </c>
      <c r="G34" s="6"/>
      <c r="H34" s="15" t="s">
        <v>83</v>
      </c>
      <c r="I34" s="15"/>
      <c r="J34" s="15"/>
      <c r="K34" s="15"/>
      <c r="L34" s="15"/>
      <c r="M34" s="15"/>
      <c r="N34" s="15"/>
      <c r="O34" s="16" t="s">
        <v>92</v>
      </c>
      <c r="P34" s="6"/>
      <c r="Q34" s="6" t="s">
        <v>68</v>
      </c>
      <c r="R34" s="6" t="s">
        <v>261</v>
      </c>
      <c r="S34" s="6" t="s">
        <v>262</v>
      </c>
      <c r="T34" s="15" t="s">
        <v>70</v>
      </c>
      <c r="U34" s="6"/>
      <c r="V34" s="6" t="s">
        <v>3677</v>
      </c>
      <c r="W34" s="6" t="s">
        <v>485</v>
      </c>
      <c r="X34" s="6" t="s">
        <v>264</v>
      </c>
      <c r="Y34" s="6" t="s">
        <v>206</v>
      </c>
      <c r="Z34" s="6" t="s">
        <v>107</v>
      </c>
      <c r="AA34" s="15" t="s">
        <v>265</v>
      </c>
      <c r="AB34" s="15" t="s">
        <v>163</v>
      </c>
      <c r="AC34" s="15"/>
      <c r="AD34" s="15">
        <v>180</v>
      </c>
      <c r="AE34" s="16"/>
      <c r="AF34" s="16"/>
      <c r="AG34" s="16"/>
      <c r="AH34" s="16"/>
      <c r="AI34" s="16"/>
      <c r="AJ34" s="16"/>
      <c r="AK34" s="16"/>
      <c r="AL34" s="16"/>
      <c r="AM34" s="16"/>
      <c r="AN34" s="15"/>
      <c r="AO34" s="6"/>
      <c r="AP34" s="25"/>
      <c r="AQ34" s="15"/>
      <c r="AR34" s="16"/>
      <c r="AS34" s="16"/>
      <c r="AT34" s="6" t="s">
        <v>113</v>
      </c>
      <c r="AU34" s="6" t="s">
        <v>114</v>
      </c>
      <c r="AV34" s="6" t="s">
        <v>123</v>
      </c>
      <c r="AW34" s="6" t="s">
        <v>266</v>
      </c>
      <c r="AX34" s="12">
        <f t="shared" si="2"/>
        <v>52</v>
      </c>
      <c r="AY34" s="12" t="str">
        <f t="shared" si="3"/>
        <v/>
      </c>
      <c r="AZ34" s="18"/>
      <c r="BA34" s="19"/>
      <c r="BB34" s="19"/>
      <c r="BC34" s="19"/>
      <c r="BD34" s="19"/>
      <c r="BE34" s="19"/>
      <c r="BF34" s="19"/>
      <c r="BG34" s="19"/>
      <c r="BH34" s="19"/>
      <c r="BI34" s="19"/>
      <c r="BJ34" s="19"/>
      <c r="BK34" s="19"/>
    </row>
    <row r="35" spans="1:63" ht="20.100000000000001" hidden="1" customHeight="1" x14ac:dyDescent="0.2">
      <c r="A35" s="13">
        <v>28</v>
      </c>
      <c r="B35" s="16" t="s">
        <v>237</v>
      </c>
      <c r="C35" s="16" t="s">
        <v>64</v>
      </c>
      <c r="D35" s="6" t="s">
        <v>180</v>
      </c>
      <c r="E35" s="6" t="s">
        <v>19</v>
      </c>
      <c r="F35" s="6"/>
      <c r="G35" s="6"/>
      <c r="H35" s="15" t="s">
        <v>7</v>
      </c>
      <c r="I35" s="15"/>
      <c r="J35" s="15"/>
      <c r="K35" s="15"/>
      <c r="L35" s="15"/>
      <c r="M35" s="15"/>
      <c r="N35" s="15"/>
      <c r="O35" s="16" t="s">
        <v>84</v>
      </c>
      <c r="P35" s="6" t="s">
        <v>155</v>
      </c>
      <c r="Q35" s="6" t="s">
        <v>155</v>
      </c>
      <c r="R35" s="6" t="s">
        <v>194</v>
      </c>
      <c r="S35" s="6" t="s">
        <v>106</v>
      </c>
      <c r="T35" s="15" t="s">
        <v>107</v>
      </c>
      <c r="U35" s="6" t="s">
        <v>156</v>
      </c>
      <c r="V35" s="6" t="s">
        <v>3677</v>
      </c>
      <c r="W35" s="6" t="s">
        <v>718</v>
      </c>
      <c r="X35" s="6" t="s">
        <v>254</v>
      </c>
      <c r="Y35" s="6" t="s">
        <v>106</v>
      </c>
      <c r="Z35" s="6" t="s">
        <v>107</v>
      </c>
      <c r="AA35" s="15">
        <v>0</v>
      </c>
      <c r="AB35" s="15" t="s">
        <v>162</v>
      </c>
      <c r="AC35" s="15"/>
      <c r="AD35" s="15">
        <v>216</v>
      </c>
      <c r="AE35" s="16"/>
      <c r="AF35" s="16"/>
      <c r="AG35" s="16"/>
      <c r="AH35" s="16"/>
      <c r="AI35" s="16"/>
      <c r="AJ35" s="16"/>
      <c r="AK35" s="16"/>
      <c r="AL35" s="16"/>
      <c r="AM35" s="16"/>
      <c r="AN35" s="15"/>
      <c r="AO35" s="6" t="s">
        <v>236</v>
      </c>
      <c r="AP35" s="25"/>
      <c r="AQ35" s="15"/>
      <c r="AR35" s="16" t="s">
        <v>160</v>
      </c>
      <c r="AS35" s="16" t="s">
        <v>165</v>
      </c>
      <c r="AT35" s="6"/>
      <c r="AU35" s="6"/>
      <c r="AV35" s="6"/>
      <c r="AW35" s="6"/>
      <c r="AX35" s="12" t="str">
        <f t="shared" si="2"/>
        <v/>
      </c>
      <c r="AY35" s="12" t="str">
        <f t="shared" si="3"/>
        <v/>
      </c>
      <c r="AZ35" s="18"/>
      <c r="BA35" s="19"/>
      <c r="BB35" s="19"/>
      <c r="BC35" s="19"/>
      <c r="BD35" s="19"/>
      <c r="BE35" s="19"/>
      <c r="BF35" s="19"/>
      <c r="BG35" s="19"/>
      <c r="BH35" s="19"/>
      <c r="BI35" s="19"/>
      <c r="BJ35" s="19"/>
      <c r="BK35" s="19"/>
    </row>
    <row r="36" spans="1:63" ht="20.100000000000001" hidden="1" customHeight="1" x14ac:dyDescent="0.2">
      <c r="A36" s="13">
        <v>29</v>
      </c>
      <c r="B36" s="29" t="s">
        <v>284</v>
      </c>
      <c r="C36" s="29" t="s">
        <v>64</v>
      </c>
      <c r="D36" s="30" t="s">
        <v>286</v>
      </c>
      <c r="E36" s="30" t="s">
        <v>9</v>
      </c>
      <c r="F36" s="30" t="s">
        <v>94</v>
      </c>
      <c r="G36" s="30"/>
      <c r="H36" s="20" t="s">
        <v>83</v>
      </c>
      <c r="I36" s="20"/>
      <c r="J36" s="20"/>
      <c r="K36" s="20"/>
      <c r="L36" s="20"/>
      <c r="M36" s="20"/>
      <c r="N36" s="20"/>
      <c r="O36" s="29" t="s">
        <v>92</v>
      </c>
      <c r="P36" s="30"/>
      <c r="Q36" s="30" t="s">
        <v>223</v>
      </c>
      <c r="R36" s="30" t="s">
        <v>297</v>
      </c>
      <c r="S36" s="30" t="s">
        <v>106</v>
      </c>
      <c r="T36" s="20" t="s">
        <v>107</v>
      </c>
      <c r="U36" s="30"/>
      <c r="V36" s="30" t="s">
        <v>2325</v>
      </c>
      <c r="W36" s="30" t="s">
        <v>144</v>
      </c>
      <c r="X36" s="30" t="s">
        <v>299</v>
      </c>
      <c r="Y36" s="30" t="s">
        <v>69</v>
      </c>
      <c r="Z36" s="30" t="s">
        <v>70</v>
      </c>
      <c r="AA36" s="20" t="s">
        <v>300</v>
      </c>
      <c r="AB36" s="20" t="s">
        <v>163</v>
      </c>
      <c r="AC36" s="20"/>
      <c r="AD36" s="20">
        <v>192</v>
      </c>
      <c r="AE36" s="29"/>
      <c r="AF36" s="29"/>
      <c r="AG36" s="29"/>
      <c r="AH36" s="29"/>
      <c r="AI36" s="29"/>
      <c r="AJ36" s="29"/>
      <c r="AK36" s="29"/>
      <c r="AL36" s="29"/>
      <c r="AM36" s="29"/>
      <c r="AN36" s="30"/>
      <c r="AO36" s="30"/>
      <c r="AP36" s="36"/>
      <c r="AQ36" s="20"/>
      <c r="AR36" s="29"/>
      <c r="AS36" s="29"/>
      <c r="AT36" s="30" t="s">
        <v>113</v>
      </c>
      <c r="AU36" s="30" t="s">
        <v>114</v>
      </c>
      <c r="AV36" s="30" t="s">
        <v>115</v>
      </c>
      <c r="AW36" s="30" t="s">
        <v>266</v>
      </c>
      <c r="AX36" s="31">
        <f t="shared" si="2"/>
        <v>4</v>
      </c>
      <c r="AY36" s="31">
        <f t="shared" si="3"/>
        <v>4</v>
      </c>
      <c r="AZ36" s="32" t="s">
        <v>313</v>
      </c>
      <c r="BA36" s="21"/>
      <c r="BB36" s="21"/>
      <c r="BC36" s="21"/>
      <c r="BD36" s="21"/>
      <c r="BE36" s="21"/>
      <c r="BF36" s="21"/>
      <c r="BG36" s="21"/>
      <c r="BH36" s="21"/>
      <c r="BI36" s="21"/>
      <c r="BJ36" s="21"/>
      <c r="BK36" s="21"/>
    </row>
    <row r="37" spans="1:63" s="21" customFormat="1" ht="20.100000000000001" hidden="1" customHeight="1" x14ac:dyDescent="0.2">
      <c r="A37" s="13">
        <v>30</v>
      </c>
      <c r="B37" s="29" t="s">
        <v>289</v>
      </c>
      <c r="C37" s="29" t="s">
        <v>288</v>
      </c>
      <c r="D37" s="30" t="s">
        <v>290</v>
      </c>
      <c r="E37" s="30" t="s">
        <v>20</v>
      </c>
      <c r="F37" s="30" t="s">
        <v>185</v>
      </c>
      <c r="G37" s="30"/>
      <c r="H37" s="20" t="s">
        <v>83</v>
      </c>
      <c r="I37" s="20"/>
      <c r="J37" s="20"/>
      <c r="K37" s="20"/>
      <c r="L37" s="20"/>
      <c r="M37" s="20"/>
      <c r="N37" s="20"/>
      <c r="O37" s="29" t="s">
        <v>84</v>
      </c>
      <c r="P37" s="30"/>
      <c r="Q37" s="30" t="s">
        <v>68</v>
      </c>
      <c r="R37" s="30" t="s">
        <v>301</v>
      </c>
      <c r="S37" s="30" t="s">
        <v>106</v>
      </c>
      <c r="T37" s="20" t="s">
        <v>107</v>
      </c>
      <c r="U37" s="30"/>
      <c r="V37" s="30" t="s">
        <v>3677</v>
      </c>
      <c r="W37" s="30" t="s">
        <v>465</v>
      </c>
      <c r="X37" s="30" t="s">
        <v>302</v>
      </c>
      <c r="Y37" s="30" t="s">
        <v>106</v>
      </c>
      <c r="Z37" s="30" t="s">
        <v>107</v>
      </c>
      <c r="AA37" s="20" t="s">
        <v>303</v>
      </c>
      <c r="AB37" s="20" t="s">
        <v>163</v>
      </c>
      <c r="AC37" s="20"/>
      <c r="AD37" s="20">
        <v>210</v>
      </c>
      <c r="AE37" s="29"/>
      <c r="AF37" s="29"/>
      <c r="AG37" s="29"/>
      <c r="AH37" s="29"/>
      <c r="AI37" s="29"/>
      <c r="AJ37" s="29"/>
      <c r="AK37" s="29"/>
      <c r="AL37" s="29"/>
      <c r="AM37" s="29"/>
      <c r="AN37" s="30"/>
      <c r="AO37" s="30"/>
      <c r="AP37" s="30"/>
      <c r="AQ37" s="20"/>
      <c r="AR37" s="29"/>
      <c r="AS37" s="29"/>
      <c r="AT37" s="30" t="s">
        <v>113</v>
      </c>
      <c r="AU37" s="30" t="s">
        <v>296</v>
      </c>
      <c r="AV37" s="30" t="s">
        <v>115</v>
      </c>
      <c r="AW37" s="30" t="s">
        <v>260</v>
      </c>
      <c r="AX37" s="31">
        <f t="shared" si="2"/>
        <v>2</v>
      </c>
      <c r="AY37" s="31">
        <f t="shared" si="3"/>
        <v>2</v>
      </c>
      <c r="AZ37" s="32" t="s">
        <v>312</v>
      </c>
    </row>
    <row r="38" spans="1:63" s="21" customFormat="1" ht="20.100000000000001" hidden="1" customHeight="1" x14ac:dyDescent="0.2">
      <c r="A38" s="13">
        <v>31</v>
      </c>
      <c r="B38" s="29" t="s">
        <v>405</v>
      </c>
      <c r="C38" s="29" t="s">
        <v>288</v>
      </c>
      <c r="D38" s="30" t="s">
        <v>1739</v>
      </c>
      <c r="E38" s="30" t="s">
        <v>20</v>
      </c>
      <c r="F38" s="30" t="s">
        <v>186</v>
      </c>
      <c r="G38" s="37" t="s">
        <v>197</v>
      </c>
      <c r="H38" s="20" t="s">
        <v>83</v>
      </c>
      <c r="I38" s="20"/>
      <c r="J38" s="20"/>
      <c r="K38" s="20"/>
      <c r="L38" s="20"/>
      <c r="M38" s="20"/>
      <c r="N38" s="20"/>
      <c r="O38" s="29" t="s">
        <v>84</v>
      </c>
      <c r="P38" s="30"/>
      <c r="Q38" s="30" t="s">
        <v>68</v>
      </c>
      <c r="R38" s="30" t="s">
        <v>803</v>
      </c>
      <c r="S38" s="30" t="s">
        <v>262</v>
      </c>
      <c r="T38" s="20" t="s">
        <v>70</v>
      </c>
      <c r="U38" s="30"/>
      <c r="V38" s="30" t="s">
        <v>3679</v>
      </c>
      <c r="W38" s="30" t="s">
        <v>485</v>
      </c>
      <c r="X38" s="30" t="s">
        <v>1740</v>
      </c>
      <c r="Y38" s="30" t="s">
        <v>106</v>
      </c>
      <c r="Z38" s="30" t="s">
        <v>107</v>
      </c>
      <c r="AA38" s="20" t="s">
        <v>3278</v>
      </c>
      <c r="AB38" s="20"/>
      <c r="AC38" s="20"/>
      <c r="AD38" s="20">
        <v>192</v>
      </c>
      <c r="AE38" s="29"/>
      <c r="AF38" s="29"/>
      <c r="AG38" s="29"/>
      <c r="AH38" s="29"/>
      <c r="AI38" s="29"/>
      <c r="AJ38" s="29"/>
      <c r="AK38" s="29"/>
      <c r="AL38" s="29"/>
      <c r="AM38" s="29"/>
      <c r="AN38" s="20"/>
      <c r="AO38" s="30"/>
      <c r="AP38" s="30"/>
      <c r="AQ38" s="20"/>
      <c r="AR38" s="29"/>
      <c r="AS38" s="29"/>
      <c r="AT38" s="30" t="s">
        <v>113</v>
      </c>
      <c r="AU38" s="30" t="s">
        <v>296</v>
      </c>
      <c r="AV38" s="30" t="s">
        <v>115</v>
      </c>
      <c r="AW38" s="30" t="s">
        <v>441</v>
      </c>
      <c r="AX38" s="31">
        <f t="shared" si="2"/>
        <v>4</v>
      </c>
      <c r="AY38" s="31">
        <f t="shared" si="3"/>
        <v>4</v>
      </c>
      <c r="AZ38" s="32"/>
    </row>
    <row r="39" spans="1:63" ht="20.100000000000001" hidden="1" customHeight="1" x14ac:dyDescent="0.2">
      <c r="A39" s="13">
        <v>32</v>
      </c>
      <c r="B39" s="16" t="s">
        <v>271</v>
      </c>
      <c r="C39" s="16" t="s">
        <v>64</v>
      </c>
      <c r="D39" s="6" t="s">
        <v>272</v>
      </c>
      <c r="E39" s="6" t="s">
        <v>20</v>
      </c>
      <c r="F39" s="6"/>
      <c r="G39" s="37" t="s">
        <v>197</v>
      </c>
      <c r="H39" s="15" t="s">
        <v>7</v>
      </c>
      <c r="I39" s="15"/>
      <c r="J39" s="15"/>
      <c r="K39" s="15"/>
      <c r="L39" s="15"/>
      <c r="M39" s="15"/>
      <c r="N39" s="15"/>
      <c r="O39" s="16" t="s">
        <v>92</v>
      </c>
      <c r="P39" s="6"/>
      <c r="Q39" s="6" t="s">
        <v>226</v>
      </c>
      <c r="R39" s="6"/>
      <c r="S39" s="6" t="s">
        <v>106</v>
      </c>
      <c r="T39" s="15" t="s">
        <v>107</v>
      </c>
      <c r="U39" s="6"/>
      <c r="V39" s="6" t="s">
        <v>1809</v>
      </c>
      <c r="W39" s="6" t="s">
        <v>718</v>
      </c>
      <c r="X39" s="6"/>
      <c r="Y39" s="6" t="s">
        <v>142</v>
      </c>
      <c r="Z39" s="6" t="s">
        <v>70</v>
      </c>
      <c r="AA39" s="15">
        <v>0</v>
      </c>
      <c r="AB39" s="15" t="s">
        <v>162</v>
      </c>
      <c r="AC39" s="15">
        <v>107</v>
      </c>
      <c r="AD39" s="33">
        <v>102</v>
      </c>
      <c r="AE39" s="34">
        <v>99</v>
      </c>
      <c r="AF39" s="16">
        <v>75</v>
      </c>
      <c r="AG39" s="16">
        <v>92</v>
      </c>
      <c r="AH39" s="16">
        <v>4</v>
      </c>
      <c r="AI39" s="16">
        <v>40</v>
      </c>
      <c r="AJ39" s="16">
        <v>136</v>
      </c>
      <c r="AK39" s="16">
        <v>6</v>
      </c>
      <c r="AL39" s="16"/>
      <c r="AM39" s="16"/>
      <c r="AN39" s="6"/>
      <c r="AO39" s="6" t="s">
        <v>246</v>
      </c>
      <c r="AP39" s="6" t="s">
        <v>279</v>
      </c>
      <c r="AQ39" s="15">
        <v>6</v>
      </c>
      <c r="AR39" s="16" t="s">
        <v>111</v>
      </c>
      <c r="AS39" s="16" t="s">
        <v>228</v>
      </c>
      <c r="AT39" s="6"/>
      <c r="AU39" s="6"/>
      <c r="AV39" s="6"/>
      <c r="AW39" s="6"/>
      <c r="AX39" s="12" t="str">
        <f t="shared" si="2"/>
        <v/>
      </c>
      <c r="AY39" s="12" t="str">
        <f t="shared" si="3"/>
        <v/>
      </c>
      <c r="AZ39" s="18"/>
      <c r="BA39" s="19"/>
      <c r="BB39" s="19"/>
      <c r="BC39" s="19"/>
      <c r="BD39" s="19"/>
      <c r="BE39" s="19"/>
      <c r="BF39" s="19"/>
      <c r="BG39" s="19"/>
      <c r="BH39" s="19"/>
      <c r="BI39" s="19"/>
      <c r="BJ39" s="19"/>
      <c r="BK39" s="19"/>
    </row>
    <row r="40" spans="1:63" ht="20.100000000000001" hidden="1" customHeight="1" x14ac:dyDescent="0.2">
      <c r="A40" s="13">
        <v>33</v>
      </c>
      <c r="B40" s="16" t="s">
        <v>273</v>
      </c>
      <c r="C40" s="16" t="s">
        <v>64</v>
      </c>
      <c r="D40" s="6" t="s">
        <v>241</v>
      </c>
      <c r="E40" s="6" t="s">
        <v>8</v>
      </c>
      <c r="F40" s="6"/>
      <c r="G40" s="6"/>
      <c r="H40" s="15" t="s">
        <v>7</v>
      </c>
      <c r="I40" s="15"/>
      <c r="J40" s="15"/>
      <c r="K40" s="15"/>
      <c r="L40" s="15"/>
      <c r="M40" s="15"/>
      <c r="N40" s="15"/>
      <c r="O40" s="16" t="s">
        <v>92</v>
      </c>
      <c r="P40" s="35" t="s">
        <v>218</v>
      </c>
      <c r="Q40" s="35" t="s">
        <v>155</v>
      </c>
      <c r="R40" s="6" t="s">
        <v>3281</v>
      </c>
      <c r="S40" s="6" t="s">
        <v>69</v>
      </c>
      <c r="T40" s="15" t="s">
        <v>70</v>
      </c>
      <c r="U40" s="35" t="s">
        <v>268</v>
      </c>
      <c r="V40" s="35" t="s">
        <v>3677</v>
      </c>
      <c r="W40" s="35" t="s">
        <v>441</v>
      </c>
      <c r="X40" s="6" t="s">
        <v>3282</v>
      </c>
      <c r="Y40" s="6" t="s">
        <v>106</v>
      </c>
      <c r="Z40" s="6" t="s">
        <v>107</v>
      </c>
      <c r="AA40" s="15">
        <v>0</v>
      </c>
      <c r="AB40" s="15" t="s">
        <v>162</v>
      </c>
      <c r="AC40" s="15">
        <v>250</v>
      </c>
      <c r="AD40" s="15">
        <v>210</v>
      </c>
      <c r="AE40" s="16">
        <v>210</v>
      </c>
      <c r="AF40" s="16">
        <v>90</v>
      </c>
      <c r="AG40" s="16">
        <v>131</v>
      </c>
      <c r="AH40" s="16">
        <v>10</v>
      </c>
      <c r="AI40" s="16">
        <v>72</v>
      </c>
      <c r="AJ40" s="16">
        <v>213</v>
      </c>
      <c r="AK40" s="16">
        <v>22</v>
      </c>
      <c r="AL40" s="16"/>
      <c r="AM40" s="16"/>
      <c r="AN40" s="33" t="s">
        <v>158</v>
      </c>
      <c r="AO40" s="6" t="s">
        <v>274</v>
      </c>
      <c r="AP40" s="6" t="s">
        <v>275</v>
      </c>
      <c r="AQ40" s="15">
        <v>22</v>
      </c>
      <c r="AR40" s="16" t="s">
        <v>160</v>
      </c>
      <c r="AS40" s="16" t="s">
        <v>165</v>
      </c>
      <c r="AT40" s="6"/>
      <c r="AU40" s="6"/>
      <c r="AV40" s="6"/>
      <c r="AW40" s="6"/>
      <c r="AX40" s="12" t="str">
        <f t="shared" ref="AX40:AX71" si="4">IF(AT40*AV40&gt;0,(AT40-AV40)*12+(AU40-AW40),"")</f>
        <v/>
      </c>
      <c r="AY40" s="12" t="str">
        <f t="shared" ref="AY40:AY71" si="5">IF(AX40&lt;13,AX40,"")</f>
        <v/>
      </c>
      <c r="AZ40" s="18"/>
      <c r="BA40" s="19"/>
      <c r="BB40" s="19"/>
      <c r="BC40" s="19"/>
      <c r="BD40" s="19"/>
      <c r="BE40" s="19"/>
      <c r="BF40" s="19"/>
      <c r="BG40" s="19"/>
      <c r="BH40" s="19"/>
      <c r="BI40" s="19"/>
      <c r="BJ40" s="19"/>
      <c r="BK40" s="19"/>
    </row>
    <row r="41" spans="1:63" ht="20.100000000000001" hidden="1" customHeight="1" x14ac:dyDescent="0.2">
      <c r="A41" s="13">
        <v>34</v>
      </c>
      <c r="B41" s="16" t="s">
        <v>273</v>
      </c>
      <c r="C41" s="16" t="s">
        <v>64</v>
      </c>
      <c r="D41" s="6" t="s">
        <v>21</v>
      </c>
      <c r="E41" s="6" t="s">
        <v>9</v>
      </c>
      <c r="F41" s="6"/>
      <c r="G41" s="6"/>
      <c r="H41" s="15" t="s">
        <v>7</v>
      </c>
      <c r="I41" s="15"/>
      <c r="J41" s="15"/>
      <c r="K41" s="15"/>
      <c r="L41" s="15"/>
      <c r="M41" s="15"/>
      <c r="N41" s="15"/>
      <c r="O41" s="16" t="s">
        <v>92</v>
      </c>
      <c r="P41" s="35" t="s">
        <v>117</v>
      </c>
      <c r="Q41" s="35" t="s">
        <v>155</v>
      </c>
      <c r="R41" s="6"/>
      <c r="S41" s="6" t="s">
        <v>106</v>
      </c>
      <c r="T41" s="15" t="s">
        <v>107</v>
      </c>
      <c r="U41" s="35" t="s">
        <v>199</v>
      </c>
      <c r="V41" s="35" t="s">
        <v>2961</v>
      </c>
      <c r="W41" s="35" t="s">
        <v>769</v>
      </c>
      <c r="X41" s="6" t="s">
        <v>277</v>
      </c>
      <c r="Y41" s="6" t="s">
        <v>73</v>
      </c>
      <c r="Z41" s="6" t="s">
        <v>70</v>
      </c>
      <c r="AA41" s="15">
        <v>0</v>
      </c>
      <c r="AB41" s="15" t="s">
        <v>162</v>
      </c>
      <c r="AC41" s="15">
        <v>180</v>
      </c>
      <c r="AD41" s="15">
        <v>168</v>
      </c>
      <c r="AE41" s="16">
        <v>168</v>
      </c>
      <c r="AF41" s="16">
        <v>148</v>
      </c>
      <c r="AG41" s="16">
        <v>168</v>
      </c>
      <c r="AH41" s="16">
        <v>3</v>
      </c>
      <c r="AI41" s="16">
        <v>5</v>
      </c>
      <c r="AJ41" s="16">
        <v>176</v>
      </c>
      <c r="AK41" s="16">
        <v>11</v>
      </c>
      <c r="AL41" s="16"/>
      <c r="AM41" s="16"/>
      <c r="AN41" s="33" t="s">
        <v>158</v>
      </c>
      <c r="AO41" s="6" t="s">
        <v>274</v>
      </c>
      <c r="AP41" s="25">
        <v>176</v>
      </c>
      <c r="AQ41" s="15">
        <v>10</v>
      </c>
      <c r="AR41" s="16" t="s">
        <v>111</v>
      </c>
      <c r="AS41" s="16" t="s">
        <v>112</v>
      </c>
      <c r="AT41" s="6"/>
      <c r="AU41" s="6"/>
      <c r="AV41" s="6"/>
      <c r="AW41" s="6"/>
      <c r="AX41" s="12" t="str">
        <f t="shared" si="4"/>
        <v/>
      </c>
      <c r="AY41" s="12" t="str">
        <f t="shared" si="5"/>
        <v/>
      </c>
      <c r="AZ41" s="18"/>
      <c r="BA41" s="19"/>
      <c r="BB41" s="19"/>
      <c r="BC41" s="19"/>
      <c r="BD41" s="19"/>
      <c r="BE41" s="19"/>
      <c r="BF41" s="19"/>
      <c r="BG41" s="19"/>
      <c r="BH41" s="19"/>
      <c r="BI41" s="19"/>
      <c r="BJ41" s="19"/>
      <c r="BK41" s="19"/>
    </row>
    <row r="42" spans="1:63" ht="20.100000000000001" hidden="1" customHeight="1" x14ac:dyDescent="0.2">
      <c r="A42" s="13">
        <v>35</v>
      </c>
      <c r="B42" s="16" t="s">
        <v>75</v>
      </c>
      <c r="C42" s="16" t="s">
        <v>64</v>
      </c>
      <c r="D42" s="6" t="s">
        <v>91</v>
      </c>
      <c r="E42" s="6" t="s">
        <v>20</v>
      </c>
      <c r="F42" s="6" t="s">
        <v>185</v>
      </c>
      <c r="G42" s="6"/>
      <c r="H42" s="15" t="s">
        <v>83</v>
      </c>
      <c r="I42" s="15"/>
      <c r="J42" s="15"/>
      <c r="K42" s="15"/>
      <c r="L42" s="15"/>
      <c r="M42" s="15"/>
      <c r="N42" s="15"/>
      <c r="O42" s="16" t="s">
        <v>84</v>
      </c>
      <c r="P42" s="6"/>
      <c r="Q42" s="6" t="s">
        <v>117</v>
      </c>
      <c r="R42" s="6" t="s">
        <v>118</v>
      </c>
      <c r="S42" s="6" t="s">
        <v>119</v>
      </c>
      <c r="T42" s="15" t="s">
        <v>107</v>
      </c>
      <c r="U42" s="6"/>
      <c r="V42" s="6" t="s">
        <v>3677</v>
      </c>
      <c r="W42" s="6" t="s">
        <v>465</v>
      </c>
      <c r="X42" s="6" t="s">
        <v>121</v>
      </c>
      <c r="Y42" s="6" t="s">
        <v>119</v>
      </c>
      <c r="Z42" s="6" t="s">
        <v>107</v>
      </c>
      <c r="AA42" s="15" t="s">
        <v>122</v>
      </c>
      <c r="AB42" s="15" t="s">
        <v>163</v>
      </c>
      <c r="AC42" s="15"/>
      <c r="AD42" s="15">
        <v>168</v>
      </c>
      <c r="AE42" s="16"/>
      <c r="AF42" s="16"/>
      <c r="AG42" s="16"/>
      <c r="AH42" s="16"/>
      <c r="AI42" s="16"/>
      <c r="AJ42" s="16"/>
      <c r="AK42" s="16"/>
      <c r="AL42" s="16"/>
      <c r="AM42" s="16"/>
      <c r="AN42" s="6"/>
      <c r="AO42" s="6"/>
      <c r="AP42" s="25"/>
      <c r="AQ42" s="15"/>
      <c r="AR42" s="16"/>
      <c r="AS42" s="16"/>
      <c r="AT42" s="6" t="s">
        <v>113</v>
      </c>
      <c r="AU42" s="6" t="s">
        <v>114</v>
      </c>
      <c r="AV42" s="6" t="s">
        <v>123</v>
      </c>
      <c r="AW42" s="6" t="s">
        <v>124</v>
      </c>
      <c r="AX42" s="12">
        <f t="shared" si="4"/>
        <v>57</v>
      </c>
      <c r="AY42" s="12" t="str">
        <f t="shared" si="5"/>
        <v/>
      </c>
      <c r="AZ42" s="18"/>
      <c r="BA42" s="19"/>
      <c r="BB42" s="19"/>
      <c r="BC42" s="19"/>
      <c r="BD42" s="19"/>
      <c r="BE42" s="19"/>
      <c r="BF42" s="19"/>
      <c r="BG42" s="19"/>
      <c r="BH42" s="19"/>
      <c r="BI42" s="19"/>
      <c r="BJ42" s="19"/>
      <c r="BK42" s="19"/>
    </row>
    <row r="43" spans="1:63" s="19" customFormat="1" ht="20.100000000000001" hidden="1" customHeight="1" x14ac:dyDescent="0.2">
      <c r="A43" s="13">
        <v>36</v>
      </c>
      <c r="B43" s="16" t="s">
        <v>282</v>
      </c>
      <c r="C43" s="16" t="s">
        <v>64</v>
      </c>
      <c r="D43" s="6" t="s">
        <v>173</v>
      </c>
      <c r="E43" s="6" t="s">
        <v>9</v>
      </c>
      <c r="F43" s="6"/>
      <c r="G43" s="6"/>
      <c r="H43" s="15" t="s">
        <v>7</v>
      </c>
      <c r="I43" s="15"/>
      <c r="J43" s="15"/>
      <c r="K43" s="15"/>
      <c r="L43" s="15"/>
      <c r="M43" s="15"/>
      <c r="N43" s="15"/>
      <c r="O43" s="16" t="s">
        <v>92</v>
      </c>
      <c r="P43" s="35" t="s">
        <v>104</v>
      </c>
      <c r="Q43" s="35" t="s">
        <v>117</v>
      </c>
      <c r="R43" s="6" t="s">
        <v>304</v>
      </c>
      <c r="S43" s="6" t="s">
        <v>106</v>
      </c>
      <c r="T43" s="15" t="s">
        <v>107</v>
      </c>
      <c r="U43" s="35" t="s">
        <v>305</v>
      </c>
      <c r="V43" s="35" t="s">
        <v>2961</v>
      </c>
      <c r="W43" s="35" t="s">
        <v>226</v>
      </c>
      <c r="X43" s="6" t="s">
        <v>307</v>
      </c>
      <c r="Y43" s="6" t="s">
        <v>73</v>
      </c>
      <c r="Z43" s="6" t="s">
        <v>70</v>
      </c>
      <c r="AA43" s="15">
        <v>0</v>
      </c>
      <c r="AB43" s="15" t="s">
        <v>162</v>
      </c>
      <c r="AC43" s="15">
        <v>217</v>
      </c>
      <c r="AD43" s="15">
        <v>204</v>
      </c>
      <c r="AE43" s="16">
        <v>204</v>
      </c>
      <c r="AF43" s="16">
        <v>163</v>
      </c>
      <c r="AG43" s="16">
        <v>198</v>
      </c>
      <c r="AH43" s="16"/>
      <c r="AI43" s="16"/>
      <c r="AJ43" s="16"/>
      <c r="AK43" s="16"/>
      <c r="AL43" s="16"/>
      <c r="AM43" s="16"/>
      <c r="AN43" s="33" t="s">
        <v>158</v>
      </c>
      <c r="AO43" s="6" t="s">
        <v>273</v>
      </c>
      <c r="AP43" s="25">
        <v>203</v>
      </c>
      <c r="AQ43" s="15">
        <v>10</v>
      </c>
      <c r="AR43" s="16" t="s">
        <v>160</v>
      </c>
      <c r="AS43" s="16" t="s">
        <v>165</v>
      </c>
      <c r="AT43" s="6"/>
      <c r="AU43" s="6"/>
      <c r="AV43" s="6"/>
      <c r="AW43" s="6"/>
      <c r="AX43" s="12" t="str">
        <f t="shared" si="4"/>
        <v/>
      </c>
      <c r="AY43" s="12" t="str">
        <f t="shared" si="5"/>
        <v/>
      </c>
      <c r="AZ43" s="18"/>
    </row>
    <row r="44" spans="1:63" ht="20.100000000000001" hidden="1" customHeight="1" x14ac:dyDescent="0.2">
      <c r="A44" s="13">
        <v>37</v>
      </c>
      <c r="B44" s="16" t="s">
        <v>282</v>
      </c>
      <c r="C44" s="16" t="s">
        <v>64</v>
      </c>
      <c r="D44" s="6" t="s">
        <v>283</v>
      </c>
      <c r="E44" s="6" t="s">
        <v>19</v>
      </c>
      <c r="F44" s="6" t="s">
        <v>192</v>
      </c>
      <c r="G44" s="6"/>
      <c r="H44" s="15" t="s">
        <v>7</v>
      </c>
      <c r="I44" s="15"/>
      <c r="J44" s="15"/>
      <c r="K44" s="15"/>
      <c r="L44" s="15"/>
      <c r="M44" s="15"/>
      <c r="N44" s="15"/>
      <c r="O44" s="16" t="s">
        <v>84</v>
      </c>
      <c r="P44" s="6"/>
      <c r="Q44" s="6" t="s">
        <v>104</v>
      </c>
      <c r="R44" s="6" t="s">
        <v>3283</v>
      </c>
      <c r="S44" s="6" t="s">
        <v>106</v>
      </c>
      <c r="T44" s="15" t="s">
        <v>107</v>
      </c>
      <c r="U44" s="6"/>
      <c r="V44" s="6" t="s">
        <v>3677</v>
      </c>
      <c r="W44" s="6" t="s">
        <v>555</v>
      </c>
      <c r="X44" s="6" t="s">
        <v>3284</v>
      </c>
      <c r="Y44" s="6" t="s">
        <v>106</v>
      </c>
      <c r="Z44" s="6" t="s">
        <v>107</v>
      </c>
      <c r="AA44" s="15">
        <v>0</v>
      </c>
      <c r="AB44" s="15" t="s">
        <v>162</v>
      </c>
      <c r="AC44" s="15">
        <v>235</v>
      </c>
      <c r="AD44" s="15"/>
      <c r="AE44" s="16">
        <v>222</v>
      </c>
      <c r="AF44" s="16">
        <v>61</v>
      </c>
      <c r="AG44" s="16">
        <v>102</v>
      </c>
      <c r="AH44" s="16">
        <v>10</v>
      </c>
      <c r="AI44" s="16">
        <v>40</v>
      </c>
      <c r="AJ44" s="16">
        <v>152</v>
      </c>
      <c r="AK44" s="16">
        <v>22</v>
      </c>
      <c r="AL44" s="16"/>
      <c r="AM44" s="16"/>
      <c r="AN44" s="6"/>
      <c r="AO44" s="6"/>
      <c r="AP44" s="25"/>
      <c r="AQ44" s="15"/>
      <c r="AR44" s="16"/>
      <c r="AS44" s="16"/>
      <c r="AT44" s="6"/>
      <c r="AU44" s="6"/>
      <c r="AV44" s="6"/>
      <c r="AW44" s="6"/>
      <c r="AX44" s="12" t="str">
        <f t="shared" si="4"/>
        <v/>
      </c>
      <c r="AY44" s="12" t="str">
        <f t="shared" si="5"/>
        <v/>
      </c>
      <c r="AZ44" s="18"/>
      <c r="BA44" s="19"/>
      <c r="BB44" s="19"/>
      <c r="BC44" s="19"/>
      <c r="BD44" s="19"/>
      <c r="BE44" s="19"/>
      <c r="BF44" s="19"/>
      <c r="BG44" s="19"/>
      <c r="BH44" s="19"/>
      <c r="BI44" s="19"/>
      <c r="BJ44" s="19"/>
      <c r="BK44" s="19"/>
    </row>
    <row r="45" spans="1:63" ht="20.100000000000001" hidden="1" customHeight="1" x14ac:dyDescent="0.2">
      <c r="A45" s="13">
        <v>38</v>
      </c>
      <c r="B45" s="16" t="s">
        <v>284</v>
      </c>
      <c r="C45" s="16" t="s">
        <v>64</v>
      </c>
      <c r="D45" s="6" t="s">
        <v>285</v>
      </c>
      <c r="E45" s="6" t="s">
        <v>9</v>
      </c>
      <c r="F45" s="6"/>
      <c r="G45" s="6"/>
      <c r="H45" s="15" t="s">
        <v>7</v>
      </c>
      <c r="I45" s="15"/>
      <c r="J45" s="15"/>
      <c r="K45" s="15"/>
      <c r="L45" s="15"/>
      <c r="M45" s="15"/>
      <c r="N45" s="15"/>
      <c r="O45" s="16" t="s">
        <v>84</v>
      </c>
      <c r="P45" s="35" t="s">
        <v>117</v>
      </c>
      <c r="Q45" s="35" t="s">
        <v>104</v>
      </c>
      <c r="R45" s="6" t="s">
        <v>308</v>
      </c>
      <c r="S45" s="6" t="s">
        <v>106</v>
      </c>
      <c r="T45" s="15" t="s">
        <v>107</v>
      </c>
      <c r="U45" s="6" t="s">
        <v>306</v>
      </c>
      <c r="V45" s="6" t="s">
        <v>2961</v>
      </c>
      <c r="W45" s="6" t="s">
        <v>226</v>
      </c>
      <c r="X45" s="6" t="s">
        <v>309</v>
      </c>
      <c r="Y45" s="6" t="s">
        <v>73</v>
      </c>
      <c r="Z45" s="6" t="s">
        <v>70</v>
      </c>
      <c r="AA45" s="15">
        <v>0</v>
      </c>
      <c r="AB45" s="15" t="s">
        <v>163</v>
      </c>
      <c r="AC45" s="15">
        <v>227</v>
      </c>
      <c r="AD45" s="15">
        <v>216</v>
      </c>
      <c r="AE45" s="16">
        <v>216</v>
      </c>
      <c r="AF45" s="16">
        <v>159</v>
      </c>
      <c r="AG45" s="16">
        <v>181</v>
      </c>
      <c r="AH45" s="16">
        <v>4</v>
      </c>
      <c r="AI45" s="16">
        <v>50</v>
      </c>
      <c r="AJ45" s="16">
        <v>235</v>
      </c>
      <c r="AK45" s="16">
        <v>9</v>
      </c>
      <c r="AL45" s="16"/>
      <c r="AM45" s="16"/>
      <c r="AN45" s="33" t="s">
        <v>158</v>
      </c>
      <c r="AO45" s="6" t="s">
        <v>282</v>
      </c>
      <c r="AP45" s="25">
        <v>235</v>
      </c>
      <c r="AQ45" s="15">
        <v>8</v>
      </c>
      <c r="AR45" s="16" t="s">
        <v>111</v>
      </c>
      <c r="AS45" s="16" t="s">
        <v>112</v>
      </c>
      <c r="AT45" s="6"/>
      <c r="AU45" s="6"/>
      <c r="AV45" s="6"/>
      <c r="AW45" s="6"/>
      <c r="AX45" s="12" t="str">
        <f t="shared" si="4"/>
        <v/>
      </c>
      <c r="AY45" s="12" t="str">
        <f t="shared" si="5"/>
        <v/>
      </c>
      <c r="AZ45" s="18"/>
      <c r="BA45" s="19"/>
      <c r="BB45" s="19"/>
      <c r="BC45" s="19"/>
      <c r="BD45" s="19"/>
      <c r="BE45" s="19"/>
      <c r="BF45" s="19"/>
      <c r="BG45" s="19"/>
      <c r="BH45" s="19"/>
      <c r="BI45" s="19"/>
      <c r="BJ45" s="19"/>
      <c r="BK45" s="19"/>
    </row>
    <row r="46" spans="1:63" s="21" customFormat="1" ht="20.100000000000001" hidden="1" customHeight="1" x14ac:dyDescent="0.2">
      <c r="A46" s="13">
        <v>39</v>
      </c>
      <c r="B46" s="16" t="s">
        <v>101</v>
      </c>
      <c r="C46" s="16" t="s">
        <v>64</v>
      </c>
      <c r="D46" s="6" t="s">
        <v>102</v>
      </c>
      <c r="E46" s="6" t="s">
        <v>10</v>
      </c>
      <c r="F46" s="6" t="s">
        <v>185</v>
      </c>
      <c r="G46" s="6"/>
      <c r="H46" s="15" t="s">
        <v>83</v>
      </c>
      <c r="I46" s="15"/>
      <c r="J46" s="15"/>
      <c r="K46" s="15"/>
      <c r="L46" s="15"/>
      <c r="M46" s="15"/>
      <c r="N46" s="15"/>
      <c r="O46" s="16" t="s">
        <v>84</v>
      </c>
      <c r="P46" s="6"/>
      <c r="Q46" s="6" t="s">
        <v>104</v>
      </c>
      <c r="R46" s="6"/>
      <c r="S46" s="6" t="s">
        <v>69</v>
      </c>
      <c r="T46" s="15" t="s">
        <v>70</v>
      </c>
      <c r="U46" s="6"/>
      <c r="V46" s="6" t="s">
        <v>3677</v>
      </c>
      <c r="W46" s="6" t="s">
        <v>555</v>
      </c>
      <c r="X46" s="6"/>
      <c r="Y46" s="6" t="s">
        <v>119</v>
      </c>
      <c r="Z46" s="6" t="s">
        <v>107</v>
      </c>
      <c r="AA46" s="15" t="s">
        <v>4501</v>
      </c>
      <c r="AB46" s="15" t="s">
        <v>163</v>
      </c>
      <c r="AC46" s="15"/>
      <c r="AD46" s="15"/>
      <c r="AE46" s="16"/>
      <c r="AF46" s="16"/>
      <c r="AG46" s="16"/>
      <c r="AH46" s="16"/>
      <c r="AI46" s="16"/>
      <c r="AJ46" s="16"/>
      <c r="AK46" s="16"/>
      <c r="AL46" s="16"/>
      <c r="AM46" s="16"/>
      <c r="AN46" s="15"/>
      <c r="AO46" s="6"/>
      <c r="AP46" s="25"/>
      <c r="AQ46" s="15"/>
      <c r="AR46" s="16"/>
      <c r="AS46" s="16"/>
      <c r="AT46" s="6" t="s">
        <v>113</v>
      </c>
      <c r="AU46" s="6" t="s">
        <v>114</v>
      </c>
      <c r="AV46" s="6" t="s">
        <v>136</v>
      </c>
      <c r="AW46" s="6" t="s">
        <v>116</v>
      </c>
      <c r="AX46" s="12">
        <f t="shared" si="4"/>
        <v>14</v>
      </c>
      <c r="AY46" s="12" t="str">
        <f t="shared" si="5"/>
        <v/>
      </c>
      <c r="AZ46" s="18"/>
      <c r="BA46" s="19"/>
      <c r="BB46" s="19"/>
      <c r="BC46" s="19"/>
      <c r="BD46" s="19"/>
      <c r="BE46" s="19"/>
      <c r="BF46" s="19"/>
      <c r="BG46" s="19"/>
      <c r="BH46" s="19"/>
      <c r="BI46" s="19"/>
      <c r="BJ46" s="19"/>
      <c r="BK46" s="19"/>
    </row>
    <row r="47" spans="1:63" ht="20.100000000000001" hidden="1" customHeight="1" x14ac:dyDescent="0.2">
      <c r="A47" s="13">
        <v>40</v>
      </c>
      <c r="B47" s="16" t="s">
        <v>287</v>
      </c>
      <c r="C47" s="16" t="s">
        <v>288</v>
      </c>
      <c r="D47" s="6" t="s">
        <v>240</v>
      </c>
      <c r="E47" s="6" t="s">
        <v>9</v>
      </c>
      <c r="F47" s="6"/>
      <c r="G47" s="6"/>
      <c r="H47" s="15" t="s">
        <v>7</v>
      </c>
      <c r="I47" s="15"/>
      <c r="J47" s="15"/>
      <c r="K47" s="15"/>
      <c r="L47" s="15"/>
      <c r="M47" s="15"/>
      <c r="N47" s="15"/>
      <c r="O47" s="16" t="s">
        <v>92</v>
      </c>
      <c r="P47" s="35" t="s">
        <v>68</v>
      </c>
      <c r="Q47" s="35" t="s">
        <v>140</v>
      </c>
      <c r="R47" s="6" t="s">
        <v>310</v>
      </c>
      <c r="S47" s="6" t="s">
        <v>69</v>
      </c>
      <c r="T47" s="15" t="s">
        <v>70</v>
      </c>
      <c r="U47" s="35" t="s">
        <v>263</v>
      </c>
      <c r="V47" s="35" t="s">
        <v>2961</v>
      </c>
      <c r="W47" s="35" t="s">
        <v>144</v>
      </c>
      <c r="X47" s="6" t="s">
        <v>311</v>
      </c>
      <c r="Y47" s="6" t="s">
        <v>73</v>
      </c>
      <c r="Z47" s="6" t="s">
        <v>70</v>
      </c>
      <c r="AA47" s="15">
        <v>0</v>
      </c>
      <c r="AB47" s="15" t="s">
        <v>162</v>
      </c>
      <c r="AC47" s="15">
        <v>216</v>
      </c>
      <c r="AD47" s="15">
        <v>180</v>
      </c>
      <c r="AE47" s="16">
        <v>180</v>
      </c>
      <c r="AF47" s="16">
        <v>134</v>
      </c>
      <c r="AG47" s="16">
        <v>160</v>
      </c>
      <c r="AH47" s="16">
        <v>3</v>
      </c>
      <c r="AI47" s="16">
        <v>40</v>
      </c>
      <c r="AJ47" s="16">
        <v>203</v>
      </c>
      <c r="AK47" s="16">
        <v>11</v>
      </c>
      <c r="AL47" s="16"/>
      <c r="AM47" s="16"/>
      <c r="AN47" s="33" t="s">
        <v>158</v>
      </c>
      <c r="AO47" s="6"/>
      <c r="AP47" s="6"/>
      <c r="AQ47" s="15"/>
      <c r="AR47" s="16" t="s">
        <v>160</v>
      </c>
      <c r="AS47" s="16"/>
      <c r="AT47" s="6"/>
      <c r="AU47" s="6"/>
      <c r="AV47" s="6"/>
      <c r="AW47" s="6"/>
      <c r="AX47" s="12" t="str">
        <f t="shared" si="4"/>
        <v/>
      </c>
      <c r="AY47" s="12" t="str">
        <f t="shared" si="5"/>
        <v/>
      </c>
      <c r="AZ47" s="18"/>
      <c r="BA47" s="19"/>
      <c r="BB47" s="19"/>
      <c r="BC47" s="19"/>
      <c r="BD47" s="19"/>
      <c r="BE47" s="19"/>
      <c r="BF47" s="19"/>
      <c r="BG47" s="19"/>
      <c r="BH47" s="19"/>
      <c r="BI47" s="19"/>
      <c r="BJ47" s="19"/>
      <c r="BK47" s="19"/>
    </row>
    <row r="48" spans="1:63" s="21" customFormat="1" ht="20.100000000000001" hidden="1" customHeight="1" x14ac:dyDescent="0.2">
      <c r="A48" s="13">
        <v>41</v>
      </c>
      <c r="B48" s="16" t="s">
        <v>101</v>
      </c>
      <c r="C48" s="16" t="s">
        <v>64</v>
      </c>
      <c r="D48" s="6" t="s">
        <v>103</v>
      </c>
      <c r="E48" s="6" t="s">
        <v>20</v>
      </c>
      <c r="F48" s="6" t="s">
        <v>185</v>
      </c>
      <c r="G48" s="6"/>
      <c r="H48" s="15" t="s">
        <v>83</v>
      </c>
      <c r="I48" s="15"/>
      <c r="J48" s="15"/>
      <c r="K48" s="15"/>
      <c r="L48" s="15"/>
      <c r="M48" s="15"/>
      <c r="N48" s="15"/>
      <c r="O48" s="16" t="s">
        <v>92</v>
      </c>
      <c r="P48" s="6"/>
      <c r="Q48" s="6" t="s">
        <v>140</v>
      </c>
      <c r="R48" s="6" t="s">
        <v>141</v>
      </c>
      <c r="S48" s="6" t="s">
        <v>142</v>
      </c>
      <c r="T48" s="15" t="s">
        <v>70</v>
      </c>
      <c r="U48" s="6"/>
      <c r="V48" s="6" t="s">
        <v>3679</v>
      </c>
      <c r="W48" s="6" t="s">
        <v>506</v>
      </c>
      <c r="X48" s="6" t="s">
        <v>144</v>
      </c>
      <c r="Y48" s="6" t="s">
        <v>145</v>
      </c>
      <c r="Z48" s="6" t="s">
        <v>107</v>
      </c>
      <c r="AA48" s="15" t="s">
        <v>146</v>
      </c>
      <c r="AB48" s="15" t="s">
        <v>163</v>
      </c>
      <c r="AC48" s="15"/>
      <c r="AD48" s="15">
        <v>102</v>
      </c>
      <c r="AE48" s="16"/>
      <c r="AF48" s="16"/>
      <c r="AG48" s="16"/>
      <c r="AH48" s="16"/>
      <c r="AI48" s="16"/>
      <c r="AJ48" s="16"/>
      <c r="AK48" s="16"/>
      <c r="AL48" s="16"/>
      <c r="AM48" s="16"/>
      <c r="AN48" s="15"/>
      <c r="AO48" s="6"/>
      <c r="AP48" s="25"/>
      <c r="AQ48" s="15"/>
      <c r="AR48" s="16"/>
      <c r="AS48" s="16"/>
      <c r="AT48" s="6" t="s">
        <v>113</v>
      </c>
      <c r="AU48" s="6" t="s">
        <v>114</v>
      </c>
      <c r="AV48" s="6" t="s">
        <v>147</v>
      </c>
      <c r="AW48" s="6" t="s">
        <v>148</v>
      </c>
      <c r="AX48" s="12">
        <f t="shared" si="4"/>
        <v>161</v>
      </c>
      <c r="AY48" s="12" t="str">
        <f t="shared" si="5"/>
        <v/>
      </c>
      <c r="AZ48" s="18"/>
      <c r="BA48" s="19"/>
      <c r="BB48" s="19"/>
      <c r="BC48" s="19"/>
      <c r="BD48" s="19"/>
      <c r="BE48" s="19"/>
      <c r="BF48" s="19"/>
      <c r="BG48" s="19"/>
      <c r="BH48" s="19"/>
      <c r="BI48" s="19"/>
      <c r="BJ48" s="19"/>
      <c r="BK48" s="19"/>
    </row>
    <row r="49" spans="1:63" ht="20.100000000000001" hidden="1" customHeight="1" x14ac:dyDescent="0.2">
      <c r="A49" s="13">
        <v>42</v>
      </c>
      <c r="B49" s="16" t="s">
        <v>291</v>
      </c>
      <c r="C49" s="16" t="s">
        <v>288</v>
      </c>
      <c r="D49" s="6" t="s">
        <v>292</v>
      </c>
      <c r="E49" s="6" t="s">
        <v>243</v>
      </c>
      <c r="F49" s="6" t="s">
        <v>192</v>
      </c>
      <c r="G49" s="6"/>
      <c r="H49" s="15" t="s">
        <v>7</v>
      </c>
      <c r="I49" s="15"/>
      <c r="J49" s="15"/>
      <c r="K49" s="15"/>
      <c r="L49" s="15"/>
      <c r="M49" s="15"/>
      <c r="N49" s="15"/>
      <c r="O49" s="16" t="s">
        <v>84</v>
      </c>
      <c r="P49" s="6"/>
      <c r="Q49" s="6" t="s">
        <v>155</v>
      </c>
      <c r="R49" s="6" t="s">
        <v>323</v>
      </c>
      <c r="S49" s="6" t="s">
        <v>69</v>
      </c>
      <c r="T49" s="15" t="s">
        <v>70</v>
      </c>
      <c r="U49" s="6"/>
      <c r="V49" s="6" t="s">
        <v>3679</v>
      </c>
      <c r="W49" s="6" t="s">
        <v>718</v>
      </c>
      <c r="X49" s="6" t="s">
        <v>325</v>
      </c>
      <c r="Y49" s="6" t="s">
        <v>106</v>
      </c>
      <c r="Z49" s="6" t="s">
        <v>107</v>
      </c>
      <c r="AA49" s="15">
        <v>0</v>
      </c>
      <c r="AB49" s="15" t="s">
        <v>162</v>
      </c>
      <c r="AC49" s="15">
        <v>251</v>
      </c>
      <c r="AD49" s="15"/>
      <c r="AE49" s="16">
        <v>234</v>
      </c>
      <c r="AF49" s="16">
        <v>72</v>
      </c>
      <c r="AG49" s="16">
        <v>112</v>
      </c>
      <c r="AH49" s="16">
        <v>10</v>
      </c>
      <c r="AI49" s="16">
        <v>45</v>
      </c>
      <c r="AJ49" s="16">
        <v>167</v>
      </c>
      <c r="AK49" s="16">
        <v>25</v>
      </c>
      <c r="AL49" s="16"/>
      <c r="AM49" s="16"/>
      <c r="AN49" s="15"/>
      <c r="AO49" s="6" t="s">
        <v>289</v>
      </c>
      <c r="AP49" s="6" t="s">
        <v>326</v>
      </c>
      <c r="AQ49" s="15">
        <v>24.5</v>
      </c>
      <c r="AR49" s="16" t="s">
        <v>160</v>
      </c>
      <c r="AS49" s="16" t="s">
        <v>165</v>
      </c>
      <c r="AT49" s="6"/>
      <c r="AU49" s="6"/>
      <c r="AV49" s="6"/>
      <c r="AW49" s="6"/>
      <c r="AX49" s="12" t="str">
        <f t="shared" si="4"/>
        <v/>
      </c>
      <c r="AY49" s="12" t="str">
        <f t="shared" si="5"/>
        <v/>
      </c>
      <c r="AZ49" s="18"/>
      <c r="BA49" s="19"/>
      <c r="BB49" s="19"/>
      <c r="BC49" s="19"/>
      <c r="BD49" s="19"/>
      <c r="BE49" s="19"/>
      <c r="BF49" s="19"/>
      <c r="BG49" s="19"/>
      <c r="BH49" s="19"/>
      <c r="BI49" s="19"/>
      <c r="BJ49" s="19"/>
      <c r="BK49" s="19"/>
    </row>
    <row r="50" spans="1:63" ht="20.100000000000001" hidden="1" customHeight="1" x14ac:dyDescent="0.2">
      <c r="A50" s="13">
        <v>43</v>
      </c>
      <c r="B50" s="16" t="s">
        <v>314</v>
      </c>
      <c r="C50" s="16" t="s">
        <v>288</v>
      </c>
      <c r="D50" s="6" t="s">
        <v>30</v>
      </c>
      <c r="E50" s="6" t="s">
        <v>19</v>
      </c>
      <c r="F50" s="6"/>
      <c r="G50" s="6"/>
      <c r="H50" s="15" t="s">
        <v>7</v>
      </c>
      <c r="I50" s="15"/>
      <c r="J50" s="15"/>
      <c r="K50" s="15"/>
      <c r="L50" s="15"/>
      <c r="M50" s="15"/>
      <c r="N50" s="15"/>
      <c r="O50" s="16" t="s">
        <v>92</v>
      </c>
      <c r="P50" s="35" t="s">
        <v>140</v>
      </c>
      <c r="Q50" s="35" t="s">
        <v>223</v>
      </c>
      <c r="R50" s="6" t="s">
        <v>327</v>
      </c>
      <c r="S50" s="6" t="s">
        <v>142</v>
      </c>
      <c r="T50" s="15" t="s">
        <v>70</v>
      </c>
      <c r="U50" s="35" t="s">
        <v>328</v>
      </c>
      <c r="V50" s="35" t="s">
        <v>1809</v>
      </c>
      <c r="W50" s="35" t="s">
        <v>260</v>
      </c>
      <c r="X50" s="6" t="s">
        <v>329</v>
      </c>
      <c r="Y50" s="6" t="s">
        <v>106</v>
      </c>
      <c r="Z50" s="6" t="s">
        <v>107</v>
      </c>
      <c r="AA50" s="15">
        <v>0</v>
      </c>
      <c r="AB50" s="15" t="s">
        <v>162</v>
      </c>
      <c r="AC50" s="15">
        <v>160</v>
      </c>
      <c r="AD50" s="33">
        <v>112</v>
      </c>
      <c r="AE50" s="34">
        <v>144</v>
      </c>
      <c r="AF50" s="16"/>
      <c r="AG50" s="16">
        <v>106</v>
      </c>
      <c r="AH50" s="16">
        <v>2</v>
      </c>
      <c r="AI50" s="16">
        <v>30</v>
      </c>
      <c r="AJ50" s="16">
        <v>138</v>
      </c>
      <c r="AK50" s="16">
        <v>8</v>
      </c>
      <c r="AL50" s="16"/>
      <c r="AM50" s="16"/>
      <c r="AN50" s="33" t="s">
        <v>158</v>
      </c>
      <c r="AO50" s="6" t="s">
        <v>291</v>
      </c>
      <c r="AP50" s="25">
        <v>138</v>
      </c>
      <c r="AQ50" s="15">
        <v>6</v>
      </c>
      <c r="AR50" s="16" t="s">
        <v>111</v>
      </c>
      <c r="AS50" s="16" t="s">
        <v>330</v>
      </c>
      <c r="AT50" s="6"/>
      <c r="AU50" s="6"/>
      <c r="AV50" s="6"/>
      <c r="AW50" s="6"/>
      <c r="AX50" s="12" t="str">
        <f t="shared" si="4"/>
        <v/>
      </c>
      <c r="AY50" s="12" t="str">
        <f t="shared" si="5"/>
        <v/>
      </c>
      <c r="AZ50" s="18"/>
      <c r="BA50" s="19"/>
      <c r="BB50" s="19"/>
      <c r="BC50" s="19"/>
      <c r="BD50" s="19"/>
      <c r="BE50" s="19"/>
      <c r="BF50" s="19"/>
      <c r="BG50" s="19"/>
      <c r="BH50" s="19"/>
      <c r="BI50" s="19"/>
      <c r="BJ50" s="19"/>
      <c r="BK50" s="19"/>
    </row>
    <row r="51" spans="1:63" ht="20.100000000000001" hidden="1" customHeight="1" x14ac:dyDescent="0.2">
      <c r="A51" s="13">
        <v>44</v>
      </c>
      <c r="B51" s="16" t="s">
        <v>178</v>
      </c>
      <c r="C51" s="16" t="s">
        <v>64</v>
      </c>
      <c r="D51" s="6" t="s">
        <v>181</v>
      </c>
      <c r="E51" s="6" t="s">
        <v>66</v>
      </c>
      <c r="F51" s="6" t="s">
        <v>4038</v>
      </c>
      <c r="G51" s="6"/>
      <c r="H51" s="15" t="s">
        <v>83</v>
      </c>
      <c r="I51" s="15"/>
      <c r="J51" s="15"/>
      <c r="K51" s="15"/>
      <c r="L51" s="15"/>
      <c r="M51" s="15"/>
      <c r="N51" s="15"/>
      <c r="O51" s="16" t="s">
        <v>92</v>
      </c>
      <c r="P51" s="6"/>
      <c r="Q51" s="6"/>
      <c r="R51" s="6"/>
      <c r="S51" s="6"/>
      <c r="T51" s="15"/>
      <c r="U51" s="6"/>
      <c r="V51" s="6"/>
      <c r="W51" s="6"/>
      <c r="X51" s="6"/>
      <c r="Y51" s="6"/>
      <c r="Z51" s="6"/>
      <c r="AA51" s="15"/>
      <c r="AB51" s="15" t="s">
        <v>162</v>
      </c>
      <c r="AC51" s="15"/>
      <c r="AD51" s="15"/>
      <c r="AE51" s="16"/>
      <c r="AF51" s="16"/>
      <c r="AG51" s="16"/>
      <c r="AH51" s="16"/>
      <c r="AI51" s="16"/>
      <c r="AJ51" s="16"/>
      <c r="AK51" s="16"/>
      <c r="AL51" s="16"/>
      <c r="AM51" s="16"/>
      <c r="AN51" s="6"/>
      <c r="AO51" s="6"/>
      <c r="AP51" s="25"/>
      <c r="AQ51" s="15"/>
      <c r="AR51" s="16" t="s">
        <v>160</v>
      </c>
      <c r="AS51" s="16"/>
      <c r="AT51" s="6"/>
      <c r="AU51" s="6"/>
      <c r="AV51" s="6"/>
      <c r="AW51" s="6"/>
      <c r="AX51" s="12" t="str">
        <f t="shared" si="4"/>
        <v/>
      </c>
      <c r="AY51" s="12" t="str">
        <f t="shared" si="5"/>
        <v/>
      </c>
      <c r="AZ51" s="18"/>
      <c r="BA51" s="19"/>
      <c r="BB51" s="19"/>
      <c r="BC51" s="19"/>
      <c r="BD51" s="19"/>
      <c r="BE51" s="19"/>
      <c r="BF51" s="19"/>
      <c r="BG51" s="19"/>
      <c r="BH51" s="19"/>
      <c r="BI51" s="19"/>
      <c r="BJ51" s="19"/>
      <c r="BK51" s="19"/>
    </row>
    <row r="52" spans="1:63" ht="20.100000000000001" hidden="1" customHeight="1" x14ac:dyDescent="0.2">
      <c r="A52" s="13">
        <v>45</v>
      </c>
      <c r="B52" s="16" t="s">
        <v>315</v>
      </c>
      <c r="C52" s="16" t="s">
        <v>288</v>
      </c>
      <c r="D52" s="6" t="s">
        <v>319</v>
      </c>
      <c r="E52" s="6" t="s">
        <v>9</v>
      </c>
      <c r="F52" s="6"/>
      <c r="G52" s="6"/>
      <c r="H52" s="15" t="s">
        <v>222</v>
      </c>
      <c r="I52" s="15"/>
      <c r="J52" s="15"/>
      <c r="K52" s="15"/>
      <c r="L52" s="15"/>
      <c r="M52" s="15"/>
      <c r="N52" s="15"/>
      <c r="O52" s="16" t="s">
        <v>92</v>
      </c>
      <c r="P52" s="6"/>
      <c r="Q52" s="6" t="s">
        <v>68</v>
      </c>
      <c r="R52" s="6" t="s">
        <v>345</v>
      </c>
      <c r="S52" s="6" t="s">
        <v>206</v>
      </c>
      <c r="T52" s="15" t="s">
        <v>107</v>
      </c>
      <c r="U52" s="6"/>
      <c r="V52" s="6" t="s">
        <v>263</v>
      </c>
      <c r="W52" s="6"/>
      <c r="X52" s="6" t="s">
        <v>346</v>
      </c>
      <c r="Y52" s="6" t="s">
        <v>206</v>
      </c>
      <c r="Z52" s="6" t="s">
        <v>107</v>
      </c>
      <c r="AA52" s="15" t="s">
        <v>347</v>
      </c>
      <c r="AB52" s="15" t="s">
        <v>163</v>
      </c>
      <c r="AC52" s="15"/>
      <c r="AD52" s="15">
        <v>186</v>
      </c>
      <c r="AE52" s="16"/>
      <c r="AF52" s="16"/>
      <c r="AG52" s="16"/>
      <c r="AH52" s="16"/>
      <c r="AI52" s="16"/>
      <c r="AJ52" s="16"/>
      <c r="AK52" s="16"/>
      <c r="AL52" s="16"/>
      <c r="AM52" s="16"/>
      <c r="AN52" s="17"/>
      <c r="AO52" s="6"/>
      <c r="AP52" s="25"/>
      <c r="AQ52" s="15"/>
      <c r="AR52" s="16"/>
      <c r="AS52" s="16"/>
      <c r="AT52" s="6" t="s">
        <v>113</v>
      </c>
      <c r="AU52" s="6" t="s">
        <v>296</v>
      </c>
      <c r="AV52" s="6" t="s">
        <v>348</v>
      </c>
      <c r="AW52" s="6" t="s">
        <v>344</v>
      </c>
      <c r="AX52" s="12">
        <f t="shared" si="4"/>
        <v>43</v>
      </c>
      <c r="AY52" s="12" t="str">
        <f t="shared" si="5"/>
        <v/>
      </c>
      <c r="AZ52" s="18"/>
      <c r="BA52" s="19"/>
      <c r="BB52" s="19"/>
      <c r="BC52" s="19"/>
      <c r="BD52" s="19"/>
      <c r="BE52" s="19"/>
      <c r="BF52" s="19"/>
      <c r="BG52" s="19"/>
      <c r="BH52" s="19"/>
      <c r="BI52" s="19"/>
      <c r="BJ52" s="19"/>
      <c r="BK52" s="19"/>
    </row>
    <row r="53" spans="1:63" s="19" customFormat="1" ht="20.100000000000001" hidden="1" customHeight="1" x14ac:dyDescent="0.2">
      <c r="A53" s="13">
        <v>46</v>
      </c>
      <c r="B53" s="16" t="s">
        <v>315</v>
      </c>
      <c r="C53" s="16" t="s">
        <v>288</v>
      </c>
      <c r="D53" s="6" t="s">
        <v>320</v>
      </c>
      <c r="E53" s="6" t="s">
        <v>9</v>
      </c>
      <c r="F53" s="6"/>
      <c r="G53" s="6"/>
      <c r="H53" s="15" t="s">
        <v>222</v>
      </c>
      <c r="I53" s="15"/>
      <c r="J53" s="15"/>
      <c r="K53" s="15"/>
      <c r="L53" s="15"/>
      <c r="M53" s="15"/>
      <c r="N53" s="15"/>
      <c r="O53" s="16" t="s">
        <v>84</v>
      </c>
      <c r="P53" s="6"/>
      <c r="Q53" s="6" t="s">
        <v>68</v>
      </c>
      <c r="R53" s="6" t="s">
        <v>349</v>
      </c>
      <c r="S53" s="6" t="s">
        <v>142</v>
      </c>
      <c r="T53" s="15" t="s">
        <v>70</v>
      </c>
      <c r="U53" s="6"/>
      <c r="V53" s="6" t="s">
        <v>263</v>
      </c>
      <c r="W53" s="6"/>
      <c r="X53" s="6" t="s">
        <v>350</v>
      </c>
      <c r="Y53" s="6" t="s">
        <v>142</v>
      </c>
      <c r="Z53" s="6" t="s">
        <v>70</v>
      </c>
      <c r="AA53" s="15" t="s">
        <v>351</v>
      </c>
      <c r="AB53" s="15" t="s">
        <v>163</v>
      </c>
      <c r="AC53" s="15"/>
      <c r="AD53" s="15">
        <v>174</v>
      </c>
      <c r="AE53" s="16"/>
      <c r="AF53" s="16"/>
      <c r="AG53" s="16"/>
      <c r="AH53" s="16"/>
      <c r="AI53" s="16"/>
      <c r="AJ53" s="16"/>
      <c r="AK53" s="16"/>
      <c r="AL53" s="16"/>
      <c r="AM53" s="16"/>
      <c r="AN53" s="6"/>
      <c r="AO53" s="6"/>
      <c r="AP53" s="6"/>
      <c r="AQ53" s="15"/>
      <c r="AR53" s="16"/>
      <c r="AS53" s="16"/>
      <c r="AT53" s="6" t="s">
        <v>113</v>
      </c>
      <c r="AU53" s="6" t="s">
        <v>296</v>
      </c>
      <c r="AV53" s="6" t="s">
        <v>123</v>
      </c>
      <c r="AW53" s="6" t="s">
        <v>260</v>
      </c>
      <c r="AX53" s="12">
        <f t="shared" si="4"/>
        <v>50</v>
      </c>
      <c r="AY53" s="12" t="str">
        <f t="shared" si="5"/>
        <v/>
      </c>
      <c r="AZ53" s="18"/>
    </row>
    <row r="54" spans="1:63" ht="20.100000000000001" hidden="1" customHeight="1" x14ac:dyDescent="0.2">
      <c r="A54" s="13">
        <v>47</v>
      </c>
      <c r="B54" s="16" t="s">
        <v>316</v>
      </c>
      <c r="C54" s="16" t="s">
        <v>288</v>
      </c>
      <c r="D54" s="6" t="s">
        <v>318</v>
      </c>
      <c r="E54" s="6" t="s">
        <v>6</v>
      </c>
      <c r="F54" s="6"/>
      <c r="G54" s="6"/>
      <c r="H54" s="15" t="s">
        <v>7</v>
      </c>
      <c r="I54" s="15"/>
      <c r="J54" s="15"/>
      <c r="K54" s="15"/>
      <c r="L54" s="15"/>
      <c r="M54" s="15"/>
      <c r="N54" s="15"/>
      <c r="O54" s="16" t="s">
        <v>84</v>
      </c>
      <c r="P54" s="35" t="s">
        <v>68</v>
      </c>
      <c r="Q54" s="35" t="s">
        <v>155</v>
      </c>
      <c r="R54" s="6" t="s">
        <v>331</v>
      </c>
      <c r="S54" s="6" t="s">
        <v>69</v>
      </c>
      <c r="T54" s="15" t="s">
        <v>70</v>
      </c>
      <c r="U54" s="35" t="s">
        <v>332</v>
      </c>
      <c r="V54" s="35" t="s">
        <v>3679</v>
      </c>
      <c r="W54" s="35" t="s">
        <v>718</v>
      </c>
      <c r="X54" s="6" t="s">
        <v>333</v>
      </c>
      <c r="Y54" s="6" t="s">
        <v>106</v>
      </c>
      <c r="Z54" s="6" t="s">
        <v>107</v>
      </c>
      <c r="AA54" s="15">
        <v>0</v>
      </c>
      <c r="AB54" s="15" t="s">
        <v>162</v>
      </c>
      <c r="AC54" s="15">
        <v>212</v>
      </c>
      <c r="AD54" s="15">
        <v>186</v>
      </c>
      <c r="AE54" s="16">
        <v>186</v>
      </c>
      <c r="AF54" s="16">
        <v>124</v>
      </c>
      <c r="AG54" s="16">
        <v>139</v>
      </c>
      <c r="AH54" s="16">
        <v>10</v>
      </c>
      <c r="AI54" s="16">
        <v>30</v>
      </c>
      <c r="AJ54" s="16">
        <v>179</v>
      </c>
      <c r="AK54" s="16">
        <v>24</v>
      </c>
      <c r="AL54" s="16"/>
      <c r="AM54" s="16"/>
      <c r="AN54" s="33" t="s">
        <v>158</v>
      </c>
      <c r="AO54" s="6" t="s">
        <v>316</v>
      </c>
      <c r="AP54" s="25">
        <v>179</v>
      </c>
      <c r="AQ54" s="15">
        <v>25</v>
      </c>
      <c r="AR54" s="16" t="s">
        <v>160</v>
      </c>
      <c r="AS54" s="16" t="s">
        <v>193</v>
      </c>
      <c r="AT54" s="6"/>
      <c r="AU54" s="6"/>
      <c r="AV54" s="6"/>
      <c r="AW54" s="6"/>
      <c r="AX54" s="12" t="str">
        <f t="shared" si="4"/>
        <v/>
      </c>
      <c r="AY54" s="12" t="str">
        <f t="shared" si="5"/>
        <v/>
      </c>
      <c r="AZ54" s="18"/>
      <c r="BA54" s="19"/>
      <c r="BB54" s="19"/>
      <c r="BC54" s="19"/>
      <c r="BD54" s="19"/>
      <c r="BE54" s="19"/>
      <c r="BF54" s="19"/>
      <c r="BG54" s="19"/>
      <c r="BH54" s="19"/>
      <c r="BI54" s="19"/>
      <c r="BJ54" s="19"/>
      <c r="BK54" s="19"/>
    </row>
    <row r="55" spans="1:63" s="21" customFormat="1" ht="20.100000000000001" hidden="1" customHeight="1" x14ac:dyDescent="0.2">
      <c r="A55" s="13">
        <v>48</v>
      </c>
      <c r="B55" s="16" t="s">
        <v>316</v>
      </c>
      <c r="C55" s="16" t="s">
        <v>288</v>
      </c>
      <c r="D55" s="6" t="s">
        <v>286</v>
      </c>
      <c r="E55" s="6" t="s">
        <v>9</v>
      </c>
      <c r="F55" s="6"/>
      <c r="G55" s="6"/>
      <c r="H55" s="15" t="s">
        <v>7</v>
      </c>
      <c r="I55" s="15"/>
      <c r="J55" s="15"/>
      <c r="K55" s="15"/>
      <c r="L55" s="15"/>
      <c r="M55" s="15"/>
      <c r="N55" s="15"/>
      <c r="O55" s="16" t="s">
        <v>92</v>
      </c>
      <c r="P55" s="35" t="s">
        <v>223</v>
      </c>
      <c r="Q55" s="35" t="s">
        <v>334</v>
      </c>
      <c r="R55" s="6" t="s">
        <v>335</v>
      </c>
      <c r="S55" s="6" t="s">
        <v>69</v>
      </c>
      <c r="T55" s="15" t="s">
        <v>70</v>
      </c>
      <c r="U55" s="35" t="s">
        <v>298</v>
      </c>
      <c r="V55" s="35" t="s">
        <v>1809</v>
      </c>
      <c r="W55" s="35" t="s">
        <v>2348</v>
      </c>
      <c r="X55" s="6" t="s">
        <v>337</v>
      </c>
      <c r="Y55" s="6" t="s">
        <v>142</v>
      </c>
      <c r="Z55" s="6" t="s">
        <v>70</v>
      </c>
      <c r="AA55" s="15">
        <v>0</v>
      </c>
      <c r="AB55" s="15" t="s">
        <v>162</v>
      </c>
      <c r="AC55" s="15">
        <v>210</v>
      </c>
      <c r="AD55" s="15">
        <v>192</v>
      </c>
      <c r="AE55" s="16">
        <v>192</v>
      </c>
      <c r="AF55" s="16">
        <v>166</v>
      </c>
      <c r="AG55" s="16">
        <v>170</v>
      </c>
      <c r="AH55" s="16">
        <v>2</v>
      </c>
      <c r="AI55" s="16">
        <v>40</v>
      </c>
      <c r="AJ55" s="16">
        <v>227</v>
      </c>
      <c r="AK55" s="16">
        <v>6</v>
      </c>
      <c r="AL55" s="16"/>
      <c r="AM55" s="16"/>
      <c r="AN55" s="33" t="s">
        <v>158</v>
      </c>
      <c r="AO55" s="6" t="s">
        <v>316</v>
      </c>
      <c r="AP55" s="25">
        <v>227</v>
      </c>
      <c r="AQ55" s="15">
        <v>5</v>
      </c>
      <c r="AR55" s="16" t="s">
        <v>160</v>
      </c>
      <c r="AS55" s="16" t="s">
        <v>231</v>
      </c>
      <c r="AT55" s="6"/>
      <c r="AU55" s="6"/>
      <c r="AV55" s="6"/>
      <c r="AW55" s="6"/>
      <c r="AX55" s="12" t="str">
        <f t="shared" si="4"/>
        <v/>
      </c>
      <c r="AY55" s="12" t="str">
        <f t="shared" si="5"/>
        <v/>
      </c>
      <c r="AZ55" s="18"/>
      <c r="BA55" s="19"/>
      <c r="BB55" s="19"/>
      <c r="BC55" s="19"/>
      <c r="BD55" s="19"/>
      <c r="BE55" s="19"/>
      <c r="BF55" s="19"/>
      <c r="BG55" s="19"/>
      <c r="BH55" s="19"/>
      <c r="BI55" s="19"/>
      <c r="BJ55" s="19"/>
      <c r="BK55" s="19"/>
    </row>
    <row r="56" spans="1:63" s="21" customFormat="1" ht="20.100000000000001" hidden="1" customHeight="1" x14ac:dyDescent="0.2">
      <c r="A56" s="13">
        <v>49</v>
      </c>
      <c r="B56" s="16" t="s">
        <v>245</v>
      </c>
      <c r="C56" s="16" t="s">
        <v>64</v>
      </c>
      <c r="D56" s="6" t="s">
        <v>241</v>
      </c>
      <c r="E56" s="6" t="s">
        <v>8</v>
      </c>
      <c r="F56" s="6" t="s">
        <v>3661</v>
      </c>
      <c r="G56" s="6"/>
      <c r="H56" s="15" t="s">
        <v>83</v>
      </c>
      <c r="I56" s="15"/>
      <c r="J56" s="15"/>
      <c r="K56" s="15"/>
      <c r="L56" s="15"/>
      <c r="M56" s="15"/>
      <c r="N56" s="15"/>
      <c r="O56" s="16" t="s">
        <v>92</v>
      </c>
      <c r="P56" s="6"/>
      <c r="Q56" s="6" t="s">
        <v>218</v>
      </c>
      <c r="R56" s="6" t="s">
        <v>267</v>
      </c>
      <c r="S56" s="6" t="s">
        <v>262</v>
      </c>
      <c r="T56" s="15" t="s">
        <v>70</v>
      </c>
      <c r="U56" s="6"/>
      <c r="V56" s="6" t="s">
        <v>3679</v>
      </c>
      <c r="W56" s="6" t="s">
        <v>116</v>
      </c>
      <c r="X56" s="6" t="s">
        <v>269</v>
      </c>
      <c r="Y56" s="6" t="s">
        <v>142</v>
      </c>
      <c r="Z56" s="6" t="s">
        <v>70</v>
      </c>
      <c r="AA56" s="15" t="s">
        <v>270</v>
      </c>
      <c r="AB56" s="15" t="s">
        <v>162</v>
      </c>
      <c r="AC56" s="15"/>
      <c r="AD56" s="15">
        <v>210</v>
      </c>
      <c r="AE56" s="16"/>
      <c r="AF56" s="16"/>
      <c r="AG56" s="16"/>
      <c r="AH56" s="16"/>
      <c r="AI56" s="16"/>
      <c r="AJ56" s="16"/>
      <c r="AK56" s="16"/>
      <c r="AL56" s="16"/>
      <c r="AM56" s="16"/>
      <c r="AN56" s="6"/>
      <c r="AO56" s="6"/>
      <c r="AP56" s="6"/>
      <c r="AQ56" s="15"/>
      <c r="AR56" s="16"/>
      <c r="AS56" s="16"/>
      <c r="AT56" s="6" t="s">
        <v>113</v>
      </c>
      <c r="AU56" s="6" t="s">
        <v>114</v>
      </c>
      <c r="AV56" s="6" t="s">
        <v>115</v>
      </c>
      <c r="AW56" s="6" t="s">
        <v>114</v>
      </c>
      <c r="AX56" s="12">
        <f t="shared" si="4"/>
        <v>12</v>
      </c>
      <c r="AY56" s="12">
        <f t="shared" si="5"/>
        <v>12</v>
      </c>
      <c r="AZ56" s="18"/>
      <c r="BA56" s="19"/>
      <c r="BB56" s="19"/>
      <c r="BC56" s="19"/>
      <c r="BD56" s="19"/>
      <c r="BE56" s="19"/>
      <c r="BF56" s="19"/>
      <c r="BG56" s="19"/>
      <c r="BH56" s="19"/>
      <c r="BI56" s="19"/>
      <c r="BJ56" s="19"/>
      <c r="BK56" s="19"/>
    </row>
    <row r="57" spans="1:63" ht="20.100000000000001" hidden="1" customHeight="1" x14ac:dyDescent="0.2">
      <c r="A57" s="13">
        <v>50</v>
      </c>
      <c r="B57" s="16" t="s">
        <v>317</v>
      </c>
      <c r="C57" s="16" t="s">
        <v>288</v>
      </c>
      <c r="D57" s="6" t="s">
        <v>321</v>
      </c>
      <c r="E57" s="6" t="s">
        <v>20</v>
      </c>
      <c r="F57" s="6"/>
      <c r="G57" s="6"/>
      <c r="H57" s="15" t="s">
        <v>7</v>
      </c>
      <c r="I57" s="15"/>
      <c r="J57" s="15"/>
      <c r="K57" s="15"/>
      <c r="L57" s="15"/>
      <c r="M57" s="15"/>
      <c r="N57" s="15"/>
      <c r="O57" s="16" t="s">
        <v>92</v>
      </c>
      <c r="P57" s="6" t="s">
        <v>140</v>
      </c>
      <c r="Q57" s="6" t="s">
        <v>140</v>
      </c>
      <c r="R57" s="6" t="s">
        <v>358</v>
      </c>
      <c r="S57" s="6" t="s">
        <v>69</v>
      </c>
      <c r="T57" s="15" t="s">
        <v>70</v>
      </c>
      <c r="U57" s="35" t="s">
        <v>338</v>
      </c>
      <c r="V57" s="35" t="s">
        <v>2961</v>
      </c>
      <c r="W57" s="35" t="s">
        <v>144</v>
      </c>
      <c r="X57" s="6" t="s">
        <v>339</v>
      </c>
      <c r="Y57" s="6" t="s">
        <v>73</v>
      </c>
      <c r="Z57" s="6" t="s">
        <v>70</v>
      </c>
      <c r="AA57" s="15">
        <v>0</v>
      </c>
      <c r="AB57" s="15" t="s">
        <v>163</v>
      </c>
      <c r="AC57" s="15"/>
      <c r="AD57" s="15">
        <v>174</v>
      </c>
      <c r="AE57" s="16">
        <v>174</v>
      </c>
      <c r="AF57" s="16"/>
      <c r="AG57" s="16">
        <v>151</v>
      </c>
      <c r="AH57" s="16">
        <v>30</v>
      </c>
      <c r="AI57" s="16">
        <v>24</v>
      </c>
      <c r="AJ57" s="16">
        <v>206</v>
      </c>
      <c r="AK57" s="16">
        <v>8</v>
      </c>
      <c r="AL57" s="16"/>
      <c r="AM57" s="16"/>
      <c r="AN57" s="33" t="s">
        <v>158</v>
      </c>
      <c r="AO57" s="6" t="s">
        <v>316</v>
      </c>
      <c r="AP57" s="25">
        <v>206</v>
      </c>
      <c r="AQ57" s="15">
        <v>7</v>
      </c>
      <c r="AR57" s="16" t="s">
        <v>111</v>
      </c>
      <c r="AS57" s="16" t="s">
        <v>112</v>
      </c>
      <c r="AT57" s="6"/>
      <c r="AU57" s="6"/>
      <c r="AV57" s="6"/>
      <c r="AW57" s="6"/>
      <c r="AX57" s="12" t="str">
        <f t="shared" si="4"/>
        <v/>
      </c>
      <c r="AY57" s="12" t="str">
        <f t="shared" si="5"/>
        <v/>
      </c>
      <c r="AZ57" s="18"/>
      <c r="BA57" s="19"/>
      <c r="BB57" s="19"/>
      <c r="BC57" s="19"/>
      <c r="BD57" s="19"/>
      <c r="BE57" s="19"/>
      <c r="BF57" s="19"/>
      <c r="BG57" s="19"/>
      <c r="BH57" s="19"/>
      <c r="BI57" s="19"/>
      <c r="BJ57" s="19"/>
      <c r="BK57" s="19"/>
    </row>
    <row r="58" spans="1:63" s="21" customFormat="1" ht="20.100000000000001" hidden="1" customHeight="1" x14ac:dyDescent="0.2">
      <c r="A58" s="13">
        <v>51</v>
      </c>
      <c r="B58" s="16" t="s">
        <v>246</v>
      </c>
      <c r="C58" s="16" t="s">
        <v>64</v>
      </c>
      <c r="D58" s="6" t="s">
        <v>242</v>
      </c>
      <c r="E58" s="6" t="s">
        <v>243</v>
      </c>
      <c r="F58" s="6" t="s">
        <v>185</v>
      </c>
      <c r="G58" s="6"/>
      <c r="H58" s="15" t="s">
        <v>83</v>
      </c>
      <c r="I58" s="15"/>
      <c r="J58" s="15"/>
      <c r="K58" s="15"/>
      <c r="L58" s="15"/>
      <c r="M58" s="15"/>
      <c r="N58" s="15"/>
      <c r="O58" s="16" t="s">
        <v>92</v>
      </c>
      <c r="P58" s="6"/>
      <c r="Q58" s="6" t="s">
        <v>117</v>
      </c>
      <c r="R58" s="6" t="s">
        <v>255</v>
      </c>
      <c r="S58" s="6" t="s">
        <v>69</v>
      </c>
      <c r="T58" s="15" t="s">
        <v>70</v>
      </c>
      <c r="U58" s="6"/>
      <c r="V58" s="6" t="s">
        <v>3678</v>
      </c>
      <c r="W58" s="6" t="s">
        <v>506</v>
      </c>
      <c r="X58" s="6" t="s">
        <v>257</v>
      </c>
      <c r="Y58" s="6" t="s">
        <v>119</v>
      </c>
      <c r="Z58" s="6" t="s">
        <v>107</v>
      </c>
      <c r="AA58" s="15" t="s">
        <v>258</v>
      </c>
      <c r="AB58" s="15" t="s">
        <v>163</v>
      </c>
      <c r="AC58" s="15"/>
      <c r="AD58" s="15">
        <v>84</v>
      </c>
      <c r="AE58" s="16"/>
      <c r="AF58" s="16"/>
      <c r="AG58" s="16"/>
      <c r="AH58" s="16"/>
      <c r="AI58" s="16"/>
      <c r="AJ58" s="16"/>
      <c r="AK58" s="16"/>
      <c r="AL58" s="16"/>
      <c r="AM58" s="16"/>
      <c r="AN58" s="6"/>
      <c r="AO58" s="6"/>
      <c r="AP58" s="25"/>
      <c r="AQ58" s="15"/>
      <c r="AR58" s="16"/>
      <c r="AS58" s="16"/>
      <c r="AT58" s="6" t="s">
        <v>113</v>
      </c>
      <c r="AU58" s="6" t="s">
        <v>114</v>
      </c>
      <c r="AV58" s="6" t="s">
        <v>259</v>
      </c>
      <c r="AW58" s="6" t="s">
        <v>260</v>
      </c>
      <c r="AX58" s="12">
        <f t="shared" si="4"/>
        <v>85</v>
      </c>
      <c r="AY58" s="12" t="str">
        <f t="shared" si="5"/>
        <v/>
      </c>
      <c r="AZ58" s="18"/>
      <c r="BA58" s="19"/>
      <c r="BB58" s="19"/>
      <c r="BC58" s="19"/>
      <c r="BD58" s="19"/>
      <c r="BE58" s="19"/>
      <c r="BF58" s="19"/>
      <c r="BG58" s="19"/>
      <c r="BH58" s="19"/>
      <c r="BI58" s="19"/>
      <c r="BJ58" s="19"/>
      <c r="BK58" s="19"/>
    </row>
    <row r="59" spans="1:63" ht="20.100000000000001" hidden="1" customHeight="1" x14ac:dyDescent="0.2">
      <c r="A59" s="13">
        <v>52</v>
      </c>
      <c r="B59" s="16" t="s">
        <v>317</v>
      </c>
      <c r="C59" s="16" t="s">
        <v>288</v>
      </c>
      <c r="D59" s="6" t="s">
        <v>322</v>
      </c>
      <c r="E59" s="6" t="s">
        <v>19</v>
      </c>
      <c r="F59" s="6"/>
      <c r="G59" s="6"/>
      <c r="H59" s="15" t="s">
        <v>7</v>
      </c>
      <c r="I59" s="15"/>
      <c r="J59" s="15"/>
      <c r="K59" s="15"/>
      <c r="L59" s="15"/>
      <c r="M59" s="15"/>
      <c r="N59" s="15"/>
      <c r="O59" s="16" t="s">
        <v>84</v>
      </c>
      <c r="P59" s="6" t="s">
        <v>140</v>
      </c>
      <c r="Q59" s="6" t="s">
        <v>140</v>
      </c>
      <c r="R59" s="6"/>
      <c r="S59" s="6" t="s">
        <v>106</v>
      </c>
      <c r="T59" s="15" t="s">
        <v>107</v>
      </c>
      <c r="U59" s="6" t="s">
        <v>338</v>
      </c>
      <c r="V59" s="6" t="s">
        <v>2245</v>
      </c>
      <c r="W59" s="6" t="s">
        <v>116</v>
      </c>
      <c r="X59" s="6" t="s">
        <v>340</v>
      </c>
      <c r="Y59" s="6" t="s">
        <v>106</v>
      </c>
      <c r="Z59" s="6" t="s">
        <v>107</v>
      </c>
      <c r="AA59" s="15">
        <v>0</v>
      </c>
      <c r="AB59" s="15" t="s">
        <v>163</v>
      </c>
      <c r="AC59" s="15"/>
      <c r="AD59" s="15"/>
      <c r="AE59" s="16"/>
      <c r="AF59" s="16"/>
      <c r="AG59" s="16"/>
      <c r="AH59" s="16"/>
      <c r="AI59" s="16"/>
      <c r="AJ59" s="16"/>
      <c r="AK59" s="16"/>
      <c r="AL59" s="16"/>
      <c r="AM59" s="16"/>
      <c r="AN59" s="17"/>
      <c r="AO59" s="6"/>
      <c r="AP59" s="25"/>
      <c r="AQ59" s="15"/>
      <c r="AR59" s="16" t="s">
        <v>111</v>
      </c>
      <c r="AS59" s="16" t="s">
        <v>112</v>
      </c>
      <c r="AT59" s="6"/>
      <c r="AU59" s="6"/>
      <c r="AV59" s="6"/>
      <c r="AW59" s="6"/>
      <c r="AX59" s="12" t="str">
        <f t="shared" si="4"/>
        <v/>
      </c>
      <c r="AY59" s="12" t="str">
        <f t="shared" si="5"/>
        <v/>
      </c>
      <c r="AZ59" s="18"/>
      <c r="BA59" s="19"/>
      <c r="BB59" s="19"/>
      <c r="BC59" s="19"/>
      <c r="BD59" s="19"/>
      <c r="BE59" s="19"/>
      <c r="BF59" s="19"/>
      <c r="BG59" s="19"/>
      <c r="BH59" s="19"/>
      <c r="BI59" s="19"/>
      <c r="BJ59" s="19"/>
      <c r="BK59" s="19"/>
    </row>
    <row r="60" spans="1:63" ht="20.100000000000001" hidden="1" customHeight="1" x14ac:dyDescent="0.2">
      <c r="A60" s="13">
        <v>53</v>
      </c>
      <c r="B60" s="16" t="s">
        <v>359</v>
      </c>
      <c r="C60" s="16" t="s">
        <v>288</v>
      </c>
      <c r="D60" s="6" t="s">
        <v>102</v>
      </c>
      <c r="E60" s="6" t="s">
        <v>10</v>
      </c>
      <c r="F60" s="6"/>
      <c r="G60" s="6"/>
      <c r="H60" s="15" t="s">
        <v>7</v>
      </c>
      <c r="I60" s="15"/>
      <c r="J60" s="15"/>
      <c r="K60" s="15"/>
      <c r="L60" s="15"/>
      <c r="M60" s="15"/>
      <c r="N60" s="15"/>
      <c r="O60" s="16" t="s">
        <v>92</v>
      </c>
      <c r="P60" s="6"/>
      <c r="Q60" s="6" t="s">
        <v>117</v>
      </c>
      <c r="R60" s="6" t="s">
        <v>360</v>
      </c>
      <c r="S60" s="6" t="s">
        <v>142</v>
      </c>
      <c r="T60" s="15" t="s">
        <v>70</v>
      </c>
      <c r="U60" s="6"/>
      <c r="V60" s="6" t="s">
        <v>1510</v>
      </c>
      <c r="W60" s="6" t="s">
        <v>2258</v>
      </c>
      <c r="X60" s="6" t="s">
        <v>200</v>
      </c>
      <c r="Y60" s="6" t="s">
        <v>106</v>
      </c>
      <c r="Z60" s="6" t="s">
        <v>107</v>
      </c>
      <c r="AA60" s="15">
        <v>0</v>
      </c>
      <c r="AB60" s="15" t="s">
        <v>162</v>
      </c>
      <c r="AC60" s="15"/>
      <c r="AD60" s="15"/>
      <c r="AE60" s="16">
        <v>204</v>
      </c>
      <c r="AF60" s="16"/>
      <c r="AG60" s="16"/>
      <c r="AH60" s="16"/>
      <c r="AI60" s="16"/>
      <c r="AJ60" s="16"/>
      <c r="AK60" s="16"/>
      <c r="AL60" s="16"/>
      <c r="AM60" s="16"/>
      <c r="AN60" s="6"/>
      <c r="AO60" s="6"/>
      <c r="AP60" s="6"/>
      <c r="AQ60" s="15"/>
      <c r="AR60" s="16" t="s">
        <v>111</v>
      </c>
      <c r="AS60" s="16" t="s">
        <v>161</v>
      </c>
      <c r="AT60" s="6"/>
      <c r="AU60" s="6"/>
      <c r="AV60" s="6"/>
      <c r="AW60" s="6"/>
      <c r="AX60" s="12" t="str">
        <f t="shared" si="4"/>
        <v/>
      </c>
      <c r="AY60" s="12" t="str">
        <f t="shared" si="5"/>
        <v/>
      </c>
      <c r="AZ60" s="18"/>
      <c r="BA60" s="19"/>
      <c r="BB60" s="19"/>
      <c r="BC60" s="19"/>
      <c r="BD60" s="19"/>
      <c r="BE60" s="19"/>
      <c r="BF60" s="19"/>
      <c r="BG60" s="19"/>
      <c r="BH60" s="19"/>
      <c r="BI60" s="19"/>
      <c r="BJ60" s="19"/>
      <c r="BK60" s="19"/>
    </row>
    <row r="61" spans="1:63" ht="20.100000000000001" hidden="1" customHeight="1" x14ac:dyDescent="0.2">
      <c r="A61" s="13">
        <v>54</v>
      </c>
      <c r="B61" s="16" t="s">
        <v>280</v>
      </c>
      <c r="C61" s="16" t="s">
        <v>64</v>
      </c>
      <c r="D61" s="6" t="s">
        <v>281</v>
      </c>
      <c r="E61" s="6" t="s">
        <v>8</v>
      </c>
      <c r="F61" s="6" t="s">
        <v>185</v>
      </c>
      <c r="G61" s="6"/>
      <c r="H61" s="15" t="s">
        <v>83</v>
      </c>
      <c r="I61" s="15"/>
      <c r="J61" s="15"/>
      <c r="K61" s="15"/>
      <c r="L61" s="15"/>
      <c r="M61" s="15"/>
      <c r="N61" s="15"/>
      <c r="O61" s="16" t="s">
        <v>92</v>
      </c>
      <c r="P61" s="6"/>
      <c r="Q61" s="6" t="s">
        <v>68</v>
      </c>
      <c r="R61" s="6" t="s">
        <v>293</v>
      </c>
      <c r="S61" s="6" t="s">
        <v>69</v>
      </c>
      <c r="T61" s="15" t="s">
        <v>70</v>
      </c>
      <c r="U61" s="6"/>
      <c r="V61" s="6" t="s">
        <v>3677</v>
      </c>
      <c r="W61" s="6" t="s">
        <v>485</v>
      </c>
      <c r="X61" s="6" t="s">
        <v>294</v>
      </c>
      <c r="Y61" s="6" t="s">
        <v>119</v>
      </c>
      <c r="Z61" s="6" t="s">
        <v>107</v>
      </c>
      <c r="AA61" s="15" t="s">
        <v>295</v>
      </c>
      <c r="AB61" s="15" t="s">
        <v>163</v>
      </c>
      <c r="AC61" s="15"/>
      <c r="AD61" s="15">
        <v>186</v>
      </c>
      <c r="AE61" s="16"/>
      <c r="AF61" s="16"/>
      <c r="AG61" s="16"/>
      <c r="AH61" s="16"/>
      <c r="AI61" s="16"/>
      <c r="AJ61" s="16"/>
      <c r="AK61" s="16"/>
      <c r="AL61" s="16"/>
      <c r="AM61" s="16"/>
      <c r="AN61" s="6"/>
      <c r="AO61" s="6"/>
      <c r="AP61" s="25"/>
      <c r="AQ61" s="15"/>
      <c r="AR61" s="16"/>
      <c r="AS61" s="16"/>
      <c r="AT61" s="6" t="s">
        <v>113</v>
      </c>
      <c r="AU61" s="6" t="s">
        <v>114</v>
      </c>
      <c r="AV61" s="6" t="s">
        <v>136</v>
      </c>
      <c r="AW61" s="6" t="s">
        <v>235</v>
      </c>
      <c r="AX61" s="12">
        <f t="shared" si="4"/>
        <v>22</v>
      </c>
      <c r="AY61" s="12" t="str">
        <f t="shared" si="5"/>
        <v/>
      </c>
      <c r="AZ61" s="18"/>
      <c r="BA61" s="19"/>
      <c r="BB61" s="19"/>
      <c r="BC61" s="19"/>
      <c r="BD61" s="19"/>
      <c r="BE61" s="19"/>
      <c r="BF61" s="19"/>
      <c r="BG61" s="19"/>
      <c r="BH61" s="19"/>
      <c r="BI61" s="19"/>
      <c r="BJ61" s="19"/>
      <c r="BK61" s="19"/>
    </row>
    <row r="62" spans="1:63" ht="20.100000000000001" hidden="1" customHeight="1" x14ac:dyDescent="0.2">
      <c r="A62" s="13">
        <v>55</v>
      </c>
      <c r="B62" s="16" t="s">
        <v>314</v>
      </c>
      <c r="C62" s="16" t="s">
        <v>288</v>
      </c>
      <c r="D62" s="6" t="s">
        <v>318</v>
      </c>
      <c r="E62" s="6" t="s">
        <v>6</v>
      </c>
      <c r="F62" s="6" t="s">
        <v>94</v>
      </c>
      <c r="G62" s="6"/>
      <c r="H62" s="15" t="s">
        <v>83</v>
      </c>
      <c r="I62" s="15"/>
      <c r="J62" s="15"/>
      <c r="K62" s="15"/>
      <c r="L62" s="15"/>
      <c r="M62" s="15"/>
      <c r="N62" s="15"/>
      <c r="O62" s="16" t="s">
        <v>84</v>
      </c>
      <c r="P62" s="6"/>
      <c r="Q62" s="6" t="s">
        <v>68</v>
      </c>
      <c r="R62" s="6" t="s">
        <v>341</v>
      </c>
      <c r="S62" s="6" t="s">
        <v>119</v>
      </c>
      <c r="T62" s="15" t="s">
        <v>107</v>
      </c>
      <c r="U62" s="6"/>
      <c r="V62" s="6" t="s">
        <v>3679</v>
      </c>
      <c r="W62" s="6" t="s">
        <v>485</v>
      </c>
      <c r="X62" s="6" t="s">
        <v>342</v>
      </c>
      <c r="Y62" s="6" t="s">
        <v>69</v>
      </c>
      <c r="Z62" s="6" t="s">
        <v>70</v>
      </c>
      <c r="AA62" s="15" t="s">
        <v>343</v>
      </c>
      <c r="AB62" s="15" t="s">
        <v>162</v>
      </c>
      <c r="AC62" s="15"/>
      <c r="AD62" s="15">
        <v>186</v>
      </c>
      <c r="AE62" s="16"/>
      <c r="AF62" s="16"/>
      <c r="AG62" s="16"/>
      <c r="AH62" s="16"/>
      <c r="AI62" s="16"/>
      <c r="AJ62" s="16"/>
      <c r="AK62" s="16"/>
      <c r="AL62" s="16"/>
      <c r="AM62" s="16"/>
      <c r="AN62" s="6"/>
      <c r="AO62" s="6"/>
      <c r="AP62" s="6"/>
      <c r="AQ62" s="15"/>
      <c r="AR62" s="16"/>
      <c r="AS62" s="16"/>
      <c r="AT62" s="6" t="s">
        <v>113</v>
      </c>
      <c r="AU62" s="6" t="s">
        <v>296</v>
      </c>
      <c r="AV62" s="6" t="s">
        <v>208</v>
      </c>
      <c r="AW62" s="6" t="s">
        <v>344</v>
      </c>
      <c r="AX62" s="12">
        <f t="shared" si="4"/>
        <v>31</v>
      </c>
      <c r="AY62" s="12" t="str">
        <f t="shared" si="5"/>
        <v/>
      </c>
      <c r="AZ62" s="18"/>
      <c r="BA62" s="19"/>
      <c r="BB62" s="19"/>
      <c r="BC62" s="19"/>
      <c r="BD62" s="19"/>
      <c r="BE62" s="19"/>
      <c r="BF62" s="19"/>
      <c r="BG62" s="19"/>
      <c r="BH62" s="19"/>
      <c r="BI62" s="19"/>
      <c r="BJ62" s="19"/>
      <c r="BK62" s="19"/>
    </row>
    <row r="63" spans="1:63" ht="20.100000000000001" hidden="1" customHeight="1" x14ac:dyDescent="0.2">
      <c r="A63" s="13">
        <v>56</v>
      </c>
      <c r="B63" s="16" t="s">
        <v>363</v>
      </c>
      <c r="C63" s="16" t="s">
        <v>288</v>
      </c>
      <c r="D63" s="6" t="s">
        <v>238</v>
      </c>
      <c r="E63" s="6" t="s">
        <v>6</v>
      </c>
      <c r="F63" s="6"/>
      <c r="G63" s="6"/>
      <c r="H63" s="15" t="s">
        <v>7</v>
      </c>
      <c r="I63" s="15"/>
      <c r="J63" s="15"/>
      <c r="K63" s="15"/>
      <c r="L63" s="15"/>
      <c r="M63" s="15"/>
      <c r="N63" s="15"/>
      <c r="O63" s="16" t="s">
        <v>92</v>
      </c>
      <c r="P63" s="6" t="s">
        <v>104</v>
      </c>
      <c r="Q63" s="6" t="s">
        <v>104</v>
      </c>
      <c r="R63" s="6" t="s">
        <v>366</v>
      </c>
      <c r="S63" s="6" t="s">
        <v>106</v>
      </c>
      <c r="T63" s="15" t="s">
        <v>107</v>
      </c>
      <c r="U63" s="35" t="s">
        <v>248</v>
      </c>
      <c r="V63" s="35" t="s">
        <v>1510</v>
      </c>
      <c r="W63" s="35" t="s">
        <v>260</v>
      </c>
      <c r="X63" s="6" t="s">
        <v>367</v>
      </c>
      <c r="Y63" s="6" t="s">
        <v>106</v>
      </c>
      <c r="Z63" s="6" t="s">
        <v>107</v>
      </c>
      <c r="AA63" s="15">
        <v>0</v>
      </c>
      <c r="AB63" s="15" t="s">
        <v>162</v>
      </c>
      <c r="AC63" s="15">
        <v>200</v>
      </c>
      <c r="AD63" s="33">
        <v>195</v>
      </c>
      <c r="AE63" s="34">
        <v>192</v>
      </c>
      <c r="AF63" s="16">
        <v>136</v>
      </c>
      <c r="AG63" s="16">
        <v>150</v>
      </c>
      <c r="AH63" s="16">
        <v>4</v>
      </c>
      <c r="AI63" s="16">
        <v>5</v>
      </c>
      <c r="AJ63" s="16">
        <v>159</v>
      </c>
      <c r="AK63" s="16">
        <v>16</v>
      </c>
      <c r="AL63" s="16">
        <v>6</v>
      </c>
      <c r="AM63" s="16"/>
      <c r="AN63" s="33" t="s">
        <v>158</v>
      </c>
      <c r="AO63" s="6" t="s">
        <v>362</v>
      </c>
      <c r="AP63" s="25">
        <v>159</v>
      </c>
      <c r="AQ63" s="15">
        <v>14</v>
      </c>
      <c r="AR63" s="16" t="s">
        <v>111</v>
      </c>
      <c r="AS63" s="16" t="s">
        <v>193</v>
      </c>
      <c r="AT63" s="6"/>
      <c r="AU63" s="6"/>
      <c r="AV63" s="6"/>
      <c r="AW63" s="6"/>
      <c r="AX63" s="12" t="str">
        <f t="shared" si="4"/>
        <v/>
      </c>
      <c r="AY63" s="12" t="str">
        <f t="shared" si="5"/>
        <v/>
      </c>
      <c r="AZ63" s="18"/>
      <c r="BA63" s="19"/>
      <c r="BB63" s="19"/>
      <c r="BC63" s="19"/>
      <c r="BD63" s="19"/>
      <c r="BE63" s="19"/>
      <c r="BF63" s="19"/>
      <c r="BG63" s="19"/>
      <c r="BH63" s="19"/>
      <c r="BI63" s="19"/>
      <c r="BJ63" s="19"/>
      <c r="BK63" s="19"/>
    </row>
    <row r="64" spans="1:63" s="21" customFormat="1" ht="20.100000000000001" hidden="1" customHeight="1" x14ac:dyDescent="0.2">
      <c r="A64" s="13">
        <v>57</v>
      </c>
      <c r="B64" s="16" t="s">
        <v>376</v>
      </c>
      <c r="C64" s="16" t="s">
        <v>288</v>
      </c>
      <c r="D64" s="6" t="s">
        <v>290</v>
      </c>
      <c r="E64" s="6" t="s">
        <v>20</v>
      </c>
      <c r="F64" s="6"/>
      <c r="G64" s="6"/>
      <c r="H64" s="15" t="s">
        <v>7</v>
      </c>
      <c r="I64" s="15"/>
      <c r="J64" s="15"/>
      <c r="K64" s="15"/>
      <c r="L64" s="15"/>
      <c r="M64" s="15"/>
      <c r="N64" s="15"/>
      <c r="O64" s="16" t="s">
        <v>92</v>
      </c>
      <c r="P64" s="6" t="s">
        <v>68</v>
      </c>
      <c r="Q64" s="6" t="s">
        <v>68</v>
      </c>
      <c r="R64" s="6" t="s">
        <v>3288</v>
      </c>
      <c r="S64" s="6" t="s">
        <v>106</v>
      </c>
      <c r="T64" s="15" t="s">
        <v>107</v>
      </c>
      <c r="U64" s="35" t="s">
        <v>120</v>
      </c>
      <c r="V64" s="35" t="s">
        <v>3679</v>
      </c>
      <c r="W64" s="35" t="s">
        <v>485</v>
      </c>
      <c r="X64" s="6" t="s">
        <v>423</v>
      </c>
      <c r="Y64" s="6" t="s">
        <v>106</v>
      </c>
      <c r="Z64" s="6" t="s">
        <v>107</v>
      </c>
      <c r="AA64" s="15">
        <v>0</v>
      </c>
      <c r="AB64" s="15"/>
      <c r="AC64" s="15">
        <v>217</v>
      </c>
      <c r="AD64" s="15">
        <v>210</v>
      </c>
      <c r="AE64" s="16">
        <v>210</v>
      </c>
      <c r="AF64" s="16">
        <v>78</v>
      </c>
      <c r="AG64" s="16">
        <v>105</v>
      </c>
      <c r="AH64" s="16">
        <v>10</v>
      </c>
      <c r="AI64" s="16">
        <v>34</v>
      </c>
      <c r="AJ64" s="16">
        <v>149</v>
      </c>
      <c r="AK64" s="16">
        <v>25</v>
      </c>
      <c r="AL64" s="16"/>
      <c r="AM64" s="16"/>
      <c r="AN64" s="33" t="s">
        <v>158</v>
      </c>
      <c r="AO64" s="6" t="s">
        <v>363</v>
      </c>
      <c r="AP64" s="6" t="s">
        <v>424</v>
      </c>
      <c r="AQ64" s="15">
        <v>24</v>
      </c>
      <c r="AR64" s="16" t="s">
        <v>160</v>
      </c>
      <c r="AS64" s="16" t="s">
        <v>193</v>
      </c>
      <c r="AT64" s="6"/>
      <c r="AU64" s="6"/>
      <c r="AV64" s="6"/>
      <c r="AW64" s="6"/>
      <c r="AX64" s="12" t="str">
        <f t="shared" si="4"/>
        <v/>
      </c>
      <c r="AY64" s="12" t="str">
        <f t="shared" si="5"/>
        <v/>
      </c>
      <c r="AZ64" s="18"/>
      <c r="BA64" s="19"/>
      <c r="BB64" s="19"/>
      <c r="BC64" s="19"/>
      <c r="BD64" s="19"/>
      <c r="BE64" s="19"/>
      <c r="BF64" s="19"/>
      <c r="BG64" s="19"/>
      <c r="BH64" s="19"/>
      <c r="BI64" s="19"/>
      <c r="BJ64" s="19"/>
      <c r="BK64" s="19"/>
    </row>
    <row r="65" spans="1:63" ht="20.100000000000001" hidden="1" customHeight="1" x14ac:dyDescent="0.2">
      <c r="A65" s="13">
        <v>58</v>
      </c>
      <c r="B65" s="16" t="s">
        <v>376</v>
      </c>
      <c r="C65" s="16" t="s">
        <v>288</v>
      </c>
      <c r="D65" s="6" t="s">
        <v>179</v>
      </c>
      <c r="E65" s="6" t="s">
        <v>19</v>
      </c>
      <c r="F65" s="6"/>
      <c r="G65" s="6"/>
      <c r="H65" s="15" t="s">
        <v>222</v>
      </c>
      <c r="I65" s="15"/>
      <c r="J65" s="15"/>
      <c r="K65" s="15"/>
      <c r="L65" s="15"/>
      <c r="M65" s="15"/>
      <c r="N65" s="15"/>
      <c r="O65" s="16" t="s">
        <v>93</v>
      </c>
      <c r="P65" s="6"/>
      <c r="Q65" s="6"/>
      <c r="R65" s="6"/>
      <c r="S65" s="6"/>
      <c r="T65" s="15"/>
      <c r="U65" s="6"/>
      <c r="V65" s="6"/>
      <c r="W65" s="6"/>
      <c r="X65" s="6"/>
      <c r="Y65" s="6"/>
      <c r="Z65" s="6"/>
      <c r="AA65" s="15"/>
      <c r="AB65" s="15"/>
      <c r="AC65" s="15"/>
      <c r="AD65" s="15"/>
      <c r="AE65" s="16"/>
      <c r="AF65" s="16"/>
      <c r="AG65" s="16"/>
      <c r="AH65" s="16"/>
      <c r="AI65" s="16"/>
      <c r="AJ65" s="16"/>
      <c r="AK65" s="16"/>
      <c r="AL65" s="16"/>
      <c r="AM65" s="16"/>
      <c r="AN65" s="17"/>
      <c r="AO65" s="6"/>
      <c r="AP65" s="6"/>
      <c r="AQ65" s="15"/>
      <c r="AR65" s="16"/>
      <c r="AS65" s="16"/>
      <c r="AT65" s="6"/>
      <c r="AU65" s="6"/>
      <c r="AV65" s="6"/>
      <c r="AW65" s="6"/>
      <c r="AX65" s="12" t="str">
        <f t="shared" si="4"/>
        <v/>
      </c>
      <c r="AY65" s="12" t="str">
        <f t="shared" si="5"/>
        <v/>
      </c>
      <c r="AZ65" s="18"/>
      <c r="BA65" s="19"/>
      <c r="BB65" s="19"/>
      <c r="BC65" s="19"/>
      <c r="BD65" s="19"/>
      <c r="BE65" s="19"/>
      <c r="BF65" s="19"/>
      <c r="BG65" s="19"/>
      <c r="BH65" s="19"/>
      <c r="BI65" s="19"/>
      <c r="BJ65" s="19"/>
      <c r="BK65" s="19"/>
    </row>
    <row r="66" spans="1:63" s="21" customFormat="1" ht="20.100000000000001" hidden="1" customHeight="1" x14ac:dyDescent="0.2">
      <c r="A66" s="13">
        <v>59</v>
      </c>
      <c r="B66" s="16" t="s">
        <v>317</v>
      </c>
      <c r="C66" s="16" t="s">
        <v>288</v>
      </c>
      <c r="D66" s="6" t="s">
        <v>322</v>
      </c>
      <c r="E66" s="6" t="s">
        <v>8</v>
      </c>
      <c r="F66" s="6" t="s">
        <v>185</v>
      </c>
      <c r="G66" s="6"/>
      <c r="H66" s="15" t="s">
        <v>83</v>
      </c>
      <c r="I66" s="15"/>
      <c r="J66" s="15"/>
      <c r="K66" s="15"/>
      <c r="L66" s="15"/>
      <c r="M66" s="15"/>
      <c r="N66" s="15"/>
      <c r="O66" s="16" t="s">
        <v>84</v>
      </c>
      <c r="P66" s="6"/>
      <c r="Q66" s="6" t="s">
        <v>140</v>
      </c>
      <c r="R66" s="6" t="s">
        <v>355</v>
      </c>
      <c r="S66" s="6" t="s">
        <v>106</v>
      </c>
      <c r="T66" s="15" t="s">
        <v>107</v>
      </c>
      <c r="U66" s="6"/>
      <c r="V66" s="6" t="s">
        <v>2245</v>
      </c>
      <c r="W66" s="6" t="s">
        <v>116</v>
      </c>
      <c r="X66" s="6" t="s">
        <v>356</v>
      </c>
      <c r="Y66" s="6" t="s">
        <v>106</v>
      </c>
      <c r="Z66" s="6" t="s">
        <v>107</v>
      </c>
      <c r="AA66" s="15" t="s">
        <v>357</v>
      </c>
      <c r="AB66" s="15" t="s">
        <v>163</v>
      </c>
      <c r="AC66" s="15"/>
      <c r="AD66" s="15">
        <v>180</v>
      </c>
      <c r="AE66" s="16"/>
      <c r="AF66" s="16"/>
      <c r="AG66" s="16"/>
      <c r="AH66" s="16"/>
      <c r="AI66" s="16"/>
      <c r="AJ66" s="16"/>
      <c r="AK66" s="16"/>
      <c r="AL66" s="16"/>
      <c r="AM66" s="16"/>
      <c r="AN66" s="17"/>
      <c r="AO66" s="6"/>
      <c r="AP66" s="25"/>
      <c r="AQ66" s="15"/>
      <c r="AR66" s="16"/>
      <c r="AS66" s="16"/>
      <c r="AT66" s="6" t="s">
        <v>113</v>
      </c>
      <c r="AU66" s="6" t="s">
        <v>296</v>
      </c>
      <c r="AV66" s="6" t="s">
        <v>115</v>
      </c>
      <c r="AW66" s="6" t="s">
        <v>235</v>
      </c>
      <c r="AX66" s="12">
        <f t="shared" si="4"/>
        <v>11</v>
      </c>
      <c r="AY66" s="12">
        <f t="shared" si="5"/>
        <v>11</v>
      </c>
      <c r="AZ66" s="18"/>
      <c r="BA66" s="19"/>
      <c r="BB66" s="19"/>
      <c r="BC66" s="19"/>
      <c r="BD66" s="19"/>
      <c r="BE66" s="19"/>
      <c r="BF66" s="19"/>
      <c r="BG66" s="19"/>
      <c r="BH66" s="19"/>
      <c r="BI66" s="19"/>
      <c r="BJ66" s="19"/>
      <c r="BK66" s="19"/>
    </row>
    <row r="67" spans="1:63" ht="20.100000000000001" hidden="1" customHeight="1" x14ac:dyDescent="0.2">
      <c r="A67" s="13">
        <v>60</v>
      </c>
      <c r="B67" s="16" t="s">
        <v>362</v>
      </c>
      <c r="C67" s="16" t="s">
        <v>288</v>
      </c>
      <c r="D67" s="6" t="s">
        <v>364</v>
      </c>
      <c r="E67" s="6" t="s">
        <v>19</v>
      </c>
      <c r="F67" s="6" t="s">
        <v>4794</v>
      </c>
      <c r="G67" s="6"/>
      <c r="H67" s="15" t="s">
        <v>83</v>
      </c>
      <c r="I67" s="15"/>
      <c r="J67" s="15"/>
      <c r="K67" s="15"/>
      <c r="L67" s="15"/>
      <c r="M67" s="15"/>
      <c r="N67" s="15"/>
      <c r="O67" s="16" t="s">
        <v>93</v>
      </c>
      <c r="P67" s="6"/>
      <c r="Q67" s="6" t="s">
        <v>223</v>
      </c>
      <c r="R67" s="6" t="s">
        <v>368</v>
      </c>
      <c r="S67" s="6" t="s">
        <v>369</v>
      </c>
      <c r="T67" s="15" t="s">
        <v>369</v>
      </c>
      <c r="U67" s="6"/>
      <c r="V67" s="6" t="s">
        <v>2245</v>
      </c>
      <c r="W67" s="6" t="s">
        <v>465</v>
      </c>
      <c r="X67" s="6" t="s">
        <v>371</v>
      </c>
      <c r="Y67" s="6" t="s">
        <v>369</v>
      </c>
      <c r="Z67" s="6" t="s">
        <v>369</v>
      </c>
      <c r="AA67" s="15" t="s">
        <v>372</v>
      </c>
      <c r="AB67" s="15" t="s">
        <v>163</v>
      </c>
      <c r="AC67" s="15"/>
      <c r="AD67" s="15">
        <v>69</v>
      </c>
      <c r="AE67" s="16"/>
      <c r="AF67" s="16"/>
      <c r="AG67" s="16"/>
      <c r="AH67" s="16"/>
      <c r="AI67" s="16"/>
      <c r="AJ67" s="16"/>
      <c r="AK67" s="16"/>
      <c r="AL67" s="16"/>
      <c r="AM67" s="16"/>
      <c r="AN67" s="17"/>
      <c r="AO67" s="6"/>
      <c r="AP67" s="25"/>
      <c r="AQ67" s="15"/>
      <c r="AR67" s="16"/>
      <c r="AS67" s="16"/>
      <c r="AT67" s="6" t="s">
        <v>113</v>
      </c>
      <c r="AU67" s="6" t="s">
        <v>296</v>
      </c>
      <c r="AV67" s="6" t="s">
        <v>123</v>
      </c>
      <c r="AW67" s="6" t="s">
        <v>296</v>
      </c>
      <c r="AX67" s="12">
        <f t="shared" si="4"/>
        <v>60</v>
      </c>
      <c r="AY67" s="12" t="str">
        <f t="shared" si="5"/>
        <v/>
      </c>
      <c r="AZ67" s="18"/>
      <c r="BA67" s="19"/>
      <c r="BB67" s="19"/>
      <c r="BC67" s="19"/>
      <c r="BD67" s="19"/>
      <c r="BE67" s="19"/>
      <c r="BF67" s="19"/>
      <c r="BG67" s="19"/>
      <c r="BH67" s="19"/>
      <c r="BI67" s="19"/>
      <c r="BJ67" s="19"/>
      <c r="BK67" s="19"/>
    </row>
    <row r="68" spans="1:63" s="21" customFormat="1" ht="20.100000000000001" hidden="1" customHeight="1" x14ac:dyDescent="0.2">
      <c r="A68" s="13">
        <v>61</v>
      </c>
      <c r="B68" s="16" t="s">
        <v>377</v>
      </c>
      <c r="C68" s="16" t="s">
        <v>288</v>
      </c>
      <c r="D68" s="6" t="s">
        <v>184</v>
      </c>
      <c r="E68" s="6" t="s">
        <v>19</v>
      </c>
      <c r="F68" s="6"/>
      <c r="G68" s="6"/>
      <c r="H68" s="15" t="s">
        <v>7</v>
      </c>
      <c r="I68" s="15"/>
      <c r="J68" s="15"/>
      <c r="K68" s="15"/>
      <c r="L68" s="15"/>
      <c r="M68" s="15"/>
      <c r="N68" s="15"/>
      <c r="O68" s="16" t="s">
        <v>93</v>
      </c>
      <c r="P68" s="35" t="s">
        <v>223</v>
      </c>
      <c r="Q68" s="35" t="s">
        <v>226</v>
      </c>
      <c r="R68" s="6" t="s">
        <v>3285</v>
      </c>
      <c r="S68" s="6" t="s">
        <v>106</v>
      </c>
      <c r="T68" s="15" t="s">
        <v>107</v>
      </c>
      <c r="U68" s="35" t="s">
        <v>224</v>
      </c>
      <c r="V68" s="35" t="s">
        <v>1809</v>
      </c>
      <c r="W68" s="35" t="s">
        <v>441</v>
      </c>
      <c r="X68" s="6" t="s">
        <v>3286</v>
      </c>
      <c r="Y68" s="6" t="s">
        <v>142</v>
      </c>
      <c r="Z68" s="6" t="s">
        <v>70</v>
      </c>
      <c r="AA68" s="15">
        <v>0</v>
      </c>
      <c r="AB68" s="15"/>
      <c r="AC68" s="15">
        <v>150</v>
      </c>
      <c r="AD68" s="33">
        <v>148</v>
      </c>
      <c r="AE68" s="34">
        <v>138</v>
      </c>
      <c r="AF68" s="16"/>
      <c r="AG68" s="16">
        <v>94</v>
      </c>
      <c r="AH68" s="16">
        <v>6</v>
      </c>
      <c r="AI68" s="16">
        <v>15</v>
      </c>
      <c r="AJ68" s="16">
        <v>115</v>
      </c>
      <c r="AK68" s="16">
        <v>10</v>
      </c>
      <c r="AL68" s="16"/>
      <c r="AM68" s="16"/>
      <c r="AN68" s="33" t="s">
        <v>158</v>
      </c>
      <c r="AO68" s="6" t="s">
        <v>376</v>
      </c>
      <c r="AP68" s="6" t="s">
        <v>3287</v>
      </c>
      <c r="AQ68" s="15">
        <v>9</v>
      </c>
      <c r="AR68" s="16" t="s">
        <v>111</v>
      </c>
      <c r="AS68" s="16" t="s">
        <v>1956</v>
      </c>
      <c r="AT68" s="6"/>
      <c r="AU68" s="6"/>
      <c r="AV68" s="6"/>
      <c r="AW68" s="6"/>
      <c r="AX68" s="12" t="str">
        <f t="shared" si="4"/>
        <v/>
      </c>
      <c r="AY68" s="12" t="str">
        <f t="shared" si="5"/>
        <v/>
      </c>
      <c r="AZ68" s="18"/>
      <c r="BA68" s="19"/>
      <c r="BB68" s="19"/>
      <c r="BC68" s="19"/>
      <c r="BD68" s="19"/>
      <c r="BE68" s="19"/>
      <c r="BF68" s="19"/>
      <c r="BG68" s="19"/>
      <c r="BH68" s="19"/>
      <c r="BI68" s="19"/>
      <c r="BJ68" s="19"/>
      <c r="BK68" s="19"/>
    </row>
    <row r="69" spans="1:63" ht="20.100000000000001" hidden="1" customHeight="1" x14ac:dyDescent="0.2">
      <c r="A69" s="13">
        <v>62</v>
      </c>
      <c r="B69" s="16" t="s">
        <v>380</v>
      </c>
      <c r="C69" s="16" t="s">
        <v>288</v>
      </c>
      <c r="D69" s="6" t="s">
        <v>378</v>
      </c>
      <c r="E69" s="6" t="s">
        <v>10</v>
      </c>
      <c r="F69" s="6"/>
      <c r="G69" s="6"/>
      <c r="H69" s="15" t="s">
        <v>7</v>
      </c>
      <c r="I69" s="15"/>
      <c r="J69" s="15"/>
      <c r="K69" s="15"/>
      <c r="L69" s="15"/>
      <c r="M69" s="15"/>
      <c r="N69" s="15"/>
      <c r="O69" s="16" t="s">
        <v>92</v>
      </c>
      <c r="P69" s="6" t="s">
        <v>155</v>
      </c>
      <c r="Q69" s="6" t="s">
        <v>155</v>
      </c>
      <c r="R69" s="6" t="s">
        <v>420</v>
      </c>
      <c r="S69" s="6" t="s">
        <v>142</v>
      </c>
      <c r="T69" s="15" t="s">
        <v>70</v>
      </c>
      <c r="U69" s="6" t="s">
        <v>170</v>
      </c>
      <c r="V69" s="6" t="s">
        <v>3677</v>
      </c>
      <c r="W69" s="6" t="s">
        <v>441</v>
      </c>
      <c r="X69" s="6" t="s">
        <v>421</v>
      </c>
      <c r="Y69" s="6" t="s">
        <v>106</v>
      </c>
      <c r="Z69" s="6" t="s">
        <v>107</v>
      </c>
      <c r="AA69" s="15">
        <v>0</v>
      </c>
      <c r="AB69" s="15"/>
      <c r="AC69" s="15">
        <v>235</v>
      </c>
      <c r="AD69" s="15">
        <v>216</v>
      </c>
      <c r="AE69" s="16">
        <v>216</v>
      </c>
      <c r="AF69" s="16">
        <v>168</v>
      </c>
      <c r="AG69" s="16">
        <v>183</v>
      </c>
      <c r="AH69" s="16">
        <v>5</v>
      </c>
      <c r="AI69" s="16">
        <v>48</v>
      </c>
      <c r="AJ69" s="16">
        <v>236</v>
      </c>
      <c r="AK69" s="16">
        <v>16</v>
      </c>
      <c r="AL69" s="16"/>
      <c r="AM69" s="16"/>
      <c r="AN69" s="17"/>
      <c r="AO69" s="6" t="s">
        <v>377</v>
      </c>
      <c r="AP69" s="6" t="s">
        <v>422</v>
      </c>
      <c r="AQ69" s="15">
        <v>15</v>
      </c>
      <c r="AR69" s="16" t="s">
        <v>160</v>
      </c>
      <c r="AS69" s="16" t="s">
        <v>165</v>
      </c>
      <c r="AT69" s="6"/>
      <c r="AU69" s="6"/>
      <c r="AV69" s="6"/>
      <c r="AW69" s="6"/>
      <c r="AX69" s="12" t="str">
        <f t="shared" si="4"/>
        <v/>
      </c>
      <c r="AY69" s="12" t="str">
        <f t="shared" si="5"/>
        <v/>
      </c>
      <c r="AZ69" s="18"/>
      <c r="BA69" s="19"/>
      <c r="BB69" s="19"/>
      <c r="BC69" s="19"/>
      <c r="BD69" s="19"/>
      <c r="BE69" s="19"/>
      <c r="BF69" s="19"/>
      <c r="BG69" s="19"/>
      <c r="BH69" s="19"/>
      <c r="BI69" s="19"/>
      <c r="BJ69" s="19"/>
      <c r="BK69" s="19"/>
    </row>
    <row r="70" spans="1:63" ht="20.100000000000001" hidden="1" customHeight="1" x14ac:dyDescent="0.2">
      <c r="A70" s="13">
        <v>63</v>
      </c>
      <c r="B70" s="16" t="s">
        <v>381</v>
      </c>
      <c r="C70" s="16" t="s">
        <v>288</v>
      </c>
      <c r="D70" s="6" t="s">
        <v>365</v>
      </c>
      <c r="E70" s="6" t="s">
        <v>20</v>
      </c>
      <c r="F70" s="6"/>
      <c r="G70" s="6"/>
      <c r="H70" s="15" t="s">
        <v>7</v>
      </c>
      <c r="I70" s="15"/>
      <c r="J70" s="15"/>
      <c r="K70" s="15"/>
      <c r="L70" s="15"/>
      <c r="M70" s="15"/>
      <c r="N70" s="15"/>
      <c r="O70" s="16" t="s">
        <v>84</v>
      </c>
      <c r="P70" s="6" t="s">
        <v>68</v>
      </c>
      <c r="Q70" s="6" t="s">
        <v>68</v>
      </c>
      <c r="R70" s="6" t="s">
        <v>411</v>
      </c>
      <c r="S70" s="6" t="s">
        <v>69</v>
      </c>
      <c r="T70" s="15" t="s">
        <v>70</v>
      </c>
      <c r="U70" s="6" t="s">
        <v>71</v>
      </c>
      <c r="V70" s="6" t="s">
        <v>1510</v>
      </c>
      <c r="W70" s="6" t="s">
        <v>1581</v>
      </c>
      <c r="X70" s="6" t="s">
        <v>412</v>
      </c>
      <c r="Y70" s="6" t="s">
        <v>106</v>
      </c>
      <c r="Z70" s="6" t="s">
        <v>107</v>
      </c>
      <c r="AA70" s="15">
        <v>0</v>
      </c>
      <c r="AB70" s="15"/>
      <c r="AC70" s="15">
        <v>206</v>
      </c>
      <c r="AD70" s="15"/>
      <c r="AE70" s="16"/>
      <c r="AF70" s="16">
        <v>136</v>
      </c>
      <c r="AG70" s="16">
        <v>140</v>
      </c>
      <c r="AH70" s="16">
        <v>5</v>
      </c>
      <c r="AI70" s="16">
        <v>53</v>
      </c>
      <c r="AJ70" s="16">
        <v>198</v>
      </c>
      <c r="AK70" s="16">
        <v>17</v>
      </c>
      <c r="AL70" s="16"/>
      <c r="AM70" s="16"/>
      <c r="AN70" s="15"/>
      <c r="AO70" s="6" t="s">
        <v>380</v>
      </c>
      <c r="AP70" s="25">
        <v>198</v>
      </c>
      <c r="AQ70" s="15">
        <v>15</v>
      </c>
      <c r="AR70" s="16" t="s">
        <v>160</v>
      </c>
      <c r="AS70" s="16" t="s">
        <v>193</v>
      </c>
      <c r="AT70" s="6"/>
      <c r="AU70" s="6"/>
      <c r="AV70" s="6"/>
      <c r="AW70" s="6"/>
      <c r="AX70" s="12" t="str">
        <f t="shared" si="4"/>
        <v/>
      </c>
      <c r="AY70" s="12" t="str">
        <f t="shared" si="5"/>
        <v/>
      </c>
      <c r="AZ70" s="18"/>
      <c r="BA70" s="19"/>
      <c r="BB70" s="19"/>
      <c r="BC70" s="19"/>
      <c r="BD70" s="19"/>
      <c r="BE70" s="19"/>
      <c r="BF70" s="19"/>
      <c r="BG70" s="19"/>
      <c r="BH70" s="19"/>
      <c r="BI70" s="19"/>
      <c r="BJ70" s="19"/>
      <c r="BK70" s="19"/>
    </row>
    <row r="71" spans="1:63" ht="20.100000000000001" hidden="1" customHeight="1" x14ac:dyDescent="0.2">
      <c r="A71" s="13">
        <v>64</v>
      </c>
      <c r="B71" s="16" t="s">
        <v>382</v>
      </c>
      <c r="C71" s="16" t="s">
        <v>288</v>
      </c>
      <c r="D71" s="6" t="s">
        <v>383</v>
      </c>
      <c r="E71" s="6" t="s">
        <v>243</v>
      </c>
      <c r="F71" s="6" t="s">
        <v>192</v>
      </c>
      <c r="G71" s="6"/>
      <c r="H71" s="15" t="s">
        <v>7</v>
      </c>
      <c r="I71" s="15"/>
      <c r="J71" s="15"/>
      <c r="K71" s="15"/>
      <c r="L71" s="15"/>
      <c r="M71" s="15"/>
      <c r="N71" s="15"/>
      <c r="O71" s="16" t="s">
        <v>84</v>
      </c>
      <c r="P71" s="6"/>
      <c r="Q71" s="6" t="s">
        <v>155</v>
      </c>
      <c r="R71" s="6" t="s">
        <v>409</v>
      </c>
      <c r="S71" s="6" t="s">
        <v>106</v>
      </c>
      <c r="T71" s="15" t="s">
        <v>107</v>
      </c>
      <c r="U71" s="6"/>
      <c r="V71" s="6" t="s">
        <v>3679</v>
      </c>
      <c r="W71" s="6" t="s">
        <v>718</v>
      </c>
      <c r="X71" s="6" t="s">
        <v>410</v>
      </c>
      <c r="Y71" s="6" t="s">
        <v>106</v>
      </c>
      <c r="Z71" s="6" t="s">
        <v>107</v>
      </c>
      <c r="AA71" s="15">
        <v>0</v>
      </c>
      <c r="AB71" s="15"/>
      <c r="AC71" s="15">
        <v>241</v>
      </c>
      <c r="AD71" s="15">
        <v>0</v>
      </c>
      <c r="AE71" s="16">
        <v>225</v>
      </c>
      <c r="AF71" s="16">
        <v>67</v>
      </c>
      <c r="AG71" s="16">
        <v>117</v>
      </c>
      <c r="AH71" s="16">
        <v>11</v>
      </c>
      <c r="AI71" s="16">
        <v>41</v>
      </c>
      <c r="AJ71" s="16">
        <v>169</v>
      </c>
      <c r="AK71" s="16">
        <v>28</v>
      </c>
      <c r="AL71" s="16">
        <v>6</v>
      </c>
      <c r="AM71" s="16"/>
      <c r="AN71" s="15"/>
      <c r="AO71" s="6" t="s">
        <v>381</v>
      </c>
      <c r="AP71" s="25">
        <v>169</v>
      </c>
      <c r="AQ71" s="15">
        <v>30</v>
      </c>
      <c r="AR71" s="16" t="s">
        <v>160</v>
      </c>
      <c r="AS71" s="16" t="s">
        <v>165</v>
      </c>
      <c r="AT71" s="6"/>
      <c r="AU71" s="6"/>
      <c r="AV71" s="6"/>
      <c r="AW71" s="6"/>
      <c r="AX71" s="12" t="str">
        <f t="shared" si="4"/>
        <v/>
      </c>
      <c r="AY71" s="12" t="str">
        <f t="shared" si="5"/>
        <v/>
      </c>
      <c r="AZ71" s="18"/>
      <c r="BA71" s="19"/>
      <c r="BB71" s="19"/>
      <c r="BC71" s="19"/>
      <c r="BD71" s="19"/>
      <c r="BE71" s="19"/>
      <c r="BF71" s="19"/>
      <c r="BG71" s="19"/>
      <c r="BH71" s="19"/>
      <c r="BI71" s="19"/>
      <c r="BJ71" s="19"/>
      <c r="BK71" s="19"/>
    </row>
    <row r="72" spans="1:63" ht="20.100000000000001" hidden="1" customHeight="1" x14ac:dyDescent="0.2">
      <c r="A72" s="13">
        <v>65</v>
      </c>
      <c r="B72" s="16" t="s">
        <v>377</v>
      </c>
      <c r="C72" s="16" t="s">
        <v>288</v>
      </c>
      <c r="D72" s="6" t="s">
        <v>378</v>
      </c>
      <c r="E72" s="6" t="s">
        <v>10</v>
      </c>
      <c r="F72" s="6" t="s">
        <v>94</v>
      </c>
      <c r="G72" s="6"/>
      <c r="H72" s="15" t="s">
        <v>83</v>
      </c>
      <c r="I72" s="15"/>
      <c r="J72" s="15"/>
      <c r="K72" s="15"/>
      <c r="L72" s="15"/>
      <c r="M72" s="15"/>
      <c r="N72" s="15"/>
      <c r="O72" s="16" t="s">
        <v>92</v>
      </c>
      <c r="P72" s="6"/>
      <c r="Q72" s="6" t="s">
        <v>155</v>
      </c>
      <c r="R72" s="6" t="s">
        <v>390</v>
      </c>
      <c r="S72" s="6" t="s">
        <v>142</v>
      </c>
      <c r="T72" s="15" t="s">
        <v>70</v>
      </c>
      <c r="U72" s="6"/>
      <c r="V72" s="6" t="s">
        <v>3677</v>
      </c>
      <c r="W72" s="6" t="s">
        <v>441</v>
      </c>
      <c r="X72" s="6" t="s">
        <v>391</v>
      </c>
      <c r="Y72" s="6" t="s">
        <v>142</v>
      </c>
      <c r="Z72" s="6" t="s">
        <v>70</v>
      </c>
      <c r="AA72" s="15" t="s">
        <v>392</v>
      </c>
      <c r="AB72" s="15"/>
      <c r="AC72" s="15"/>
      <c r="AD72" s="15">
        <v>214</v>
      </c>
      <c r="AE72" s="16"/>
      <c r="AF72" s="16"/>
      <c r="AG72" s="16"/>
      <c r="AH72" s="16"/>
      <c r="AI72" s="16"/>
      <c r="AJ72" s="16"/>
      <c r="AK72" s="16"/>
      <c r="AL72" s="16"/>
      <c r="AM72" s="16"/>
      <c r="AN72" s="15"/>
      <c r="AO72" s="6"/>
      <c r="AP72" s="25"/>
      <c r="AQ72" s="15"/>
      <c r="AR72" s="16"/>
      <c r="AS72" s="16"/>
      <c r="AT72" s="6" t="s">
        <v>113</v>
      </c>
      <c r="AU72" s="6" t="s">
        <v>296</v>
      </c>
      <c r="AV72" s="6" t="s">
        <v>123</v>
      </c>
      <c r="AW72" s="6" t="s">
        <v>124</v>
      </c>
      <c r="AX72" s="12">
        <f t="shared" ref="AX72:AX82" si="6">IF(AT72*AV72&gt;0,(AT72-AV72)*12+(AU72-AW72),"")</f>
        <v>58</v>
      </c>
      <c r="AY72" s="12" t="str">
        <f t="shared" ref="AY72:AY82" si="7">IF(AX72&lt;13,AX72,"")</f>
        <v/>
      </c>
      <c r="AZ72" s="18"/>
      <c r="BA72" s="19"/>
      <c r="BB72" s="19"/>
      <c r="BC72" s="19"/>
      <c r="BD72" s="19"/>
      <c r="BE72" s="19"/>
      <c r="BF72" s="19"/>
      <c r="BG72" s="19"/>
      <c r="BH72" s="19"/>
      <c r="BI72" s="19"/>
      <c r="BJ72" s="19"/>
      <c r="BK72" s="19"/>
    </row>
    <row r="73" spans="1:63" ht="20.100000000000001" hidden="1" customHeight="1" x14ac:dyDescent="0.2">
      <c r="A73" s="13">
        <v>66</v>
      </c>
      <c r="B73" s="16" t="s">
        <v>385</v>
      </c>
      <c r="C73" s="16" t="s">
        <v>288</v>
      </c>
      <c r="D73" s="6" t="s">
        <v>387</v>
      </c>
      <c r="E73" s="6" t="s">
        <v>9</v>
      </c>
      <c r="F73" s="6"/>
      <c r="G73" s="6"/>
      <c r="H73" s="15" t="s">
        <v>222</v>
      </c>
      <c r="I73" s="15"/>
      <c r="J73" s="15"/>
      <c r="K73" s="15"/>
      <c r="L73" s="15"/>
      <c r="M73" s="15"/>
      <c r="N73" s="15"/>
      <c r="O73" s="16" t="s">
        <v>92</v>
      </c>
      <c r="P73" s="6"/>
      <c r="Q73" s="6" t="s">
        <v>104</v>
      </c>
      <c r="R73" s="6" t="s">
        <v>401</v>
      </c>
      <c r="S73" s="6" t="s">
        <v>119</v>
      </c>
      <c r="T73" s="15" t="s">
        <v>107</v>
      </c>
      <c r="U73" s="6"/>
      <c r="V73" s="6" t="s">
        <v>402</v>
      </c>
      <c r="W73" s="6"/>
      <c r="X73" s="6" t="s">
        <v>403</v>
      </c>
      <c r="Y73" s="6" t="s">
        <v>119</v>
      </c>
      <c r="Z73" s="6" t="s">
        <v>107</v>
      </c>
      <c r="AA73" s="15" t="s">
        <v>404</v>
      </c>
      <c r="AB73" s="15"/>
      <c r="AC73" s="15"/>
      <c r="AD73" s="15">
        <v>183</v>
      </c>
      <c r="AE73" s="16"/>
      <c r="AF73" s="16"/>
      <c r="AG73" s="16"/>
      <c r="AH73" s="16"/>
      <c r="AI73" s="16"/>
      <c r="AJ73" s="16"/>
      <c r="AK73" s="16"/>
      <c r="AL73" s="16"/>
      <c r="AM73" s="16"/>
      <c r="AN73" s="17"/>
      <c r="AO73" s="6"/>
      <c r="AP73" s="6"/>
      <c r="AQ73" s="15"/>
      <c r="AR73" s="16"/>
      <c r="AS73" s="16"/>
      <c r="AT73" s="6" t="s">
        <v>113</v>
      </c>
      <c r="AU73" s="6" t="s">
        <v>296</v>
      </c>
      <c r="AV73" s="6" t="s">
        <v>208</v>
      </c>
      <c r="AW73" s="6" t="s">
        <v>137</v>
      </c>
      <c r="AX73" s="12">
        <f t="shared" si="6"/>
        <v>32</v>
      </c>
      <c r="AY73" s="12" t="str">
        <f t="shared" si="7"/>
        <v/>
      </c>
      <c r="AZ73" s="18"/>
      <c r="BA73" s="19"/>
      <c r="BB73" s="19"/>
      <c r="BC73" s="19"/>
      <c r="BD73" s="19"/>
      <c r="BE73" s="19"/>
      <c r="BF73" s="19"/>
      <c r="BG73" s="19"/>
      <c r="BH73" s="19"/>
      <c r="BI73" s="19"/>
      <c r="BJ73" s="19"/>
      <c r="BK73" s="19"/>
    </row>
    <row r="74" spans="1:63" ht="20.100000000000001" hidden="1" customHeight="1" x14ac:dyDescent="0.2">
      <c r="A74" s="13">
        <v>67</v>
      </c>
      <c r="B74" s="16" t="s">
        <v>385</v>
      </c>
      <c r="C74" s="16" t="s">
        <v>288</v>
      </c>
      <c r="D74" s="6" t="s">
        <v>388</v>
      </c>
      <c r="E74" s="6" t="s">
        <v>9</v>
      </c>
      <c r="F74" s="6" t="s">
        <v>192</v>
      </c>
      <c r="G74" s="6"/>
      <c r="H74" s="15" t="s">
        <v>7</v>
      </c>
      <c r="I74" s="15"/>
      <c r="J74" s="15"/>
      <c r="K74" s="15"/>
      <c r="L74" s="15"/>
      <c r="M74" s="15"/>
      <c r="N74" s="15"/>
      <c r="O74" s="16" t="s">
        <v>92</v>
      </c>
      <c r="P74" s="6"/>
      <c r="Q74" s="6" t="s">
        <v>68</v>
      </c>
      <c r="R74" s="6" t="s">
        <v>417</v>
      </c>
      <c r="S74" s="6" t="s">
        <v>69</v>
      </c>
      <c r="T74" s="15" t="s">
        <v>70</v>
      </c>
      <c r="U74" s="6"/>
      <c r="V74" s="6" t="s">
        <v>3677</v>
      </c>
      <c r="W74" s="6" t="s">
        <v>485</v>
      </c>
      <c r="X74" s="6" t="s">
        <v>418</v>
      </c>
      <c r="Y74" s="6" t="s">
        <v>106</v>
      </c>
      <c r="Z74" s="6" t="s">
        <v>107</v>
      </c>
      <c r="AA74" s="15">
        <v>0</v>
      </c>
      <c r="AB74" s="15"/>
      <c r="AC74" s="15">
        <v>250</v>
      </c>
      <c r="AD74" s="15">
        <v>0</v>
      </c>
      <c r="AE74" s="16">
        <v>234</v>
      </c>
      <c r="AF74" s="16">
        <v>122</v>
      </c>
      <c r="AG74" s="16">
        <v>145</v>
      </c>
      <c r="AH74" s="16">
        <v>10</v>
      </c>
      <c r="AI74" s="16">
        <v>55</v>
      </c>
      <c r="AJ74" s="16">
        <v>210</v>
      </c>
      <c r="AK74" s="16">
        <v>18</v>
      </c>
      <c r="AL74" s="16"/>
      <c r="AM74" s="16"/>
      <c r="AN74" s="17"/>
      <c r="AO74" s="6" t="s">
        <v>385</v>
      </c>
      <c r="AP74" s="6" t="s">
        <v>419</v>
      </c>
      <c r="AQ74" s="15">
        <v>18</v>
      </c>
      <c r="AR74" s="16" t="s">
        <v>160</v>
      </c>
      <c r="AS74" s="16" t="s">
        <v>165</v>
      </c>
      <c r="AT74" s="6"/>
      <c r="AU74" s="6"/>
      <c r="AV74" s="6"/>
      <c r="AW74" s="6"/>
      <c r="AX74" s="12" t="str">
        <f t="shared" si="6"/>
        <v/>
      </c>
      <c r="AY74" s="12" t="str">
        <f t="shared" si="7"/>
        <v/>
      </c>
      <c r="AZ74" s="18"/>
      <c r="BA74" s="19"/>
      <c r="BB74" s="19"/>
      <c r="BC74" s="19"/>
      <c r="BD74" s="19"/>
      <c r="BE74" s="19"/>
      <c r="BF74" s="19"/>
      <c r="BG74" s="19"/>
      <c r="BH74" s="19"/>
      <c r="BI74" s="19"/>
      <c r="BJ74" s="19"/>
      <c r="BK74" s="19"/>
    </row>
    <row r="75" spans="1:63" ht="20.100000000000001" hidden="1" customHeight="1" x14ac:dyDescent="0.2">
      <c r="A75" s="13">
        <v>69</v>
      </c>
      <c r="B75" s="16" t="s">
        <v>386</v>
      </c>
      <c r="C75" s="16" t="s">
        <v>288</v>
      </c>
      <c r="D75" s="6" t="s">
        <v>389</v>
      </c>
      <c r="E75" s="6" t="s">
        <v>10</v>
      </c>
      <c r="F75" s="6" t="s">
        <v>192</v>
      </c>
      <c r="G75" s="6"/>
      <c r="H75" s="15" t="s">
        <v>7</v>
      </c>
      <c r="I75" s="15"/>
      <c r="J75" s="15"/>
      <c r="K75" s="15"/>
      <c r="L75" s="15"/>
      <c r="M75" s="15"/>
      <c r="N75" s="15"/>
      <c r="O75" s="16" t="s">
        <v>84</v>
      </c>
      <c r="P75" s="6"/>
      <c r="Q75" s="6" t="s">
        <v>104</v>
      </c>
      <c r="R75" s="6" t="s">
        <v>413</v>
      </c>
      <c r="S75" s="6" t="s">
        <v>142</v>
      </c>
      <c r="T75" s="15" t="s">
        <v>70</v>
      </c>
      <c r="U75" s="6"/>
      <c r="V75" s="6" t="s">
        <v>3680</v>
      </c>
      <c r="W75" s="6" t="s">
        <v>2258</v>
      </c>
      <c r="X75" s="6" t="s">
        <v>415</v>
      </c>
      <c r="Y75" s="6" t="s">
        <v>73</v>
      </c>
      <c r="Z75" s="6" t="s">
        <v>70</v>
      </c>
      <c r="AA75" s="15">
        <v>0</v>
      </c>
      <c r="AB75" s="15"/>
      <c r="AC75" s="15">
        <v>250</v>
      </c>
      <c r="AD75" s="15">
        <v>0</v>
      </c>
      <c r="AE75" s="16">
        <v>228</v>
      </c>
      <c r="AF75" s="16">
        <v>148</v>
      </c>
      <c r="AG75" s="16">
        <v>158</v>
      </c>
      <c r="AH75" s="16">
        <v>5</v>
      </c>
      <c r="AI75" s="16">
        <v>10</v>
      </c>
      <c r="AJ75" s="16">
        <v>173</v>
      </c>
      <c r="AK75" s="16">
        <v>19</v>
      </c>
      <c r="AL75" s="16"/>
      <c r="AM75" s="16"/>
      <c r="AN75" s="15"/>
      <c r="AO75" s="6" t="s">
        <v>385</v>
      </c>
      <c r="AP75" s="6" t="s">
        <v>416</v>
      </c>
      <c r="AQ75" s="15">
        <v>18</v>
      </c>
      <c r="AR75" s="16" t="s">
        <v>160</v>
      </c>
      <c r="AS75" s="16" t="s">
        <v>193</v>
      </c>
      <c r="AT75" s="6"/>
      <c r="AU75" s="6"/>
      <c r="AV75" s="6"/>
      <c r="AW75" s="6"/>
      <c r="AX75" s="12" t="str">
        <f t="shared" si="6"/>
        <v/>
      </c>
      <c r="AY75" s="12" t="str">
        <f t="shared" si="7"/>
        <v/>
      </c>
      <c r="AZ75" s="18"/>
      <c r="BA75" s="19"/>
      <c r="BB75" s="19"/>
      <c r="BC75" s="19"/>
      <c r="BD75" s="19"/>
      <c r="BE75" s="19"/>
      <c r="BF75" s="19"/>
      <c r="BG75" s="19"/>
      <c r="BH75" s="19"/>
      <c r="BI75" s="19"/>
      <c r="BJ75" s="19"/>
      <c r="BK75" s="19"/>
    </row>
    <row r="76" spans="1:63" s="21" customFormat="1" ht="20.100000000000001" hidden="1" customHeight="1" x14ac:dyDescent="0.2">
      <c r="A76" s="13">
        <v>70</v>
      </c>
      <c r="B76" s="16" t="s">
        <v>377</v>
      </c>
      <c r="C76" s="16" t="s">
        <v>288</v>
      </c>
      <c r="D76" s="6" t="s">
        <v>379</v>
      </c>
      <c r="E76" s="6" t="s">
        <v>6</v>
      </c>
      <c r="F76" s="6" t="s">
        <v>185</v>
      </c>
      <c r="G76" s="6"/>
      <c r="H76" s="15" t="s">
        <v>83</v>
      </c>
      <c r="I76" s="15"/>
      <c r="J76" s="15"/>
      <c r="K76" s="15"/>
      <c r="L76" s="15"/>
      <c r="M76" s="15"/>
      <c r="N76" s="15"/>
      <c r="O76" s="16" t="s">
        <v>84</v>
      </c>
      <c r="P76" s="6"/>
      <c r="Q76" s="6" t="s">
        <v>155</v>
      </c>
      <c r="R76" s="6" t="s">
        <v>393</v>
      </c>
      <c r="S76" s="6" t="s">
        <v>69</v>
      </c>
      <c r="T76" s="15" t="s">
        <v>70</v>
      </c>
      <c r="U76" s="6"/>
      <c r="V76" s="6" t="s">
        <v>3679</v>
      </c>
      <c r="W76" s="6" t="s">
        <v>718</v>
      </c>
      <c r="X76" s="6" t="s">
        <v>394</v>
      </c>
      <c r="Y76" s="6" t="s">
        <v>69</v>
      </c>
      <c r="Z76" s="6" t="s">
        <v>70</v>
      </c>
      <c r="AA76" s="15" t="s">
        <v>395</v>
      </c>
      <c r="AB76" s="15"/>
      <c r="AC76" s="15"/>
      <c r="AD76" s="15">
        <v>190</v>
      </c>
      <c r="AE76" s="16"/>
      <c r="AF76" s="16"/>
      <c r="AG76" s="16"/>
      <c r="AH76" s="16"/>
      <c r="AI76" s="16"/>
      <c r="AJ76" s="16"/>
      <c r="AK76" s="16"/>
      <c r="AL76" s="16"/>
      <c r="AM76" s="16"/>
      <c r="AN76" s="17"/>
      <c r="AO76" s="6"/>
      <c r="AP76" s="25"/>
      <c r="AQ76" s="15"/>
      <c r="AR76" s="16"/>
      <c r="AS76" s="16"/>
      <c r="AT76" s="6" t="s">
        <v>113</v>
      </c>
      <c r="AU76" s="6" t="s">
        <v>296</v>
      </c>
      <c r="AV76" s="6" t="s">
        <v>396</v>
      </c>
      <c r="AW76" s="6" t="s">
        <v>235</v>
      </c>
      <c r="AX76" s="12">
        <f t="shared" si="6"/>
        <v>107</v>
      </c>
      <c r="AY76" s="12" t="str">
        <f t="shared" si="7"/>
        <v/>
      </c>
      <c r="AZ76" s="18"/>
      <c r="BA76" s="19"/>
      <c r="BB76" s="19"/>
      <c r="BC76" s="19"/>
      <c r="BD76" s="19"/>
      <c r="BE76" s="19"/>
      <c r="BF76" s="19"/>
      <c r="BG76" s="19"/>
      <c r="BH76" s="19"/>
      <c r="BI76" s="19"/>
      <c r="BJ76" s="19"/>
      <c r="BK76" s="19"/>
    </row>
    <row r="77" spans="1:63" s="21" customFormat="1" ht="20.100000000000001" hidden="1" customHeight="1" x14ac:dyDescent="0.2">
      <c r="A77" s="13">
        <v>71</v>
      </c>
      <c r="B77" s="16" t="s">
        <v>3266</v>
      </c>
      <c r="C77" s="16" t="s">
        <v>288</v>
      </c>
      <c r="D77" s="6" t="s">
        <v>406</v>
      </c>
      <c r="E77" s="6" t="s">
        <v>66</v>
      </c>
      <c r="F77" s="6" t="s">
        <v>192</v>
      </c>
      <c r="G77" s="6"/>
      <c r="H77" s="15" t="s">
        <v>7</v>
      </c>
      <c r="I77" s="15"/>
      <c r="J77" s="15"/>
      <c r="K77" s="15"/>
      <c r="L77" s="15"/>
      <c r="M77" s="15"/>
      <c r="N77" s="15"/>
      <c r="O77" s="16" t="s">
        <v>92</v>
      </c>
      <c r="P77" s="6"/>
      <c r="Q77" s="6" t="s">
        <v>68</v>
      </c>
      <c r="R77" s="6" t="s">
        <v>407</v>
      </c>
      <c r="S77" s="6" t="s">
        <v>69</v>
      </c>
      <c r="T77" s="15" t="s">
        <v>70</v>
      </c>
      <c r="U77" s="6"/>
      <c r="V77" s="6" t="s">
        <v>1510</v>
      </c>
      <c r="W77" s="6" t="s">
        <v>1581</v>
      </c>
      <c r="X77" s="6" t="s">
        <v>408</v>
      </c>
      <c r="Y77" s="6" t="s">
        <v>73</v>
      </c>
      <c r="Z77" s="6" t="s">
        <v>70</v>
      </c>
      <c r="AA77" s="15">
        <v>0</v>
      </c>
      <c r="AB77" s="15"/>
      <c r="AC77" s="15">
        <v>229</v>
      </c>
      <c r="AD77" s="15">
        <v>0</v>
      </c>
      <c r="AE77" s="16">
        <v>214</v>
      </c>
      <c r="AF77" s="16">
        <v>137</v>
      </c>
      <c r="AG77" s="16">
        <v>153</v>
      </c>
      <c r="AH77" s="16">
        <v>3</v>
      </c>
      <c r="AI77" s="16">
        <v>86</v>
      </c>
      <c r="AJ77" s="16">
        <v>242</v>
      </c>
      <c r="AK77" s="16">
        <v>15</v>
      </c>
      <c r="AL77" s="16"/>
      <c r="AM77" s="16"/>
      <c r="AN77" s="17"/>
      <c r="AO77" s="6" t="s">
        <v>405</v>
      </c>
      <c r="AP77" s="25">
        <v>242</v>
      </c>
      <c r="AQ77" s="15">
        <v>14</v>
      </c>
      <c r="AR77" s="16" t="s">
        <v>160</v>
      </c>
      <c r="AS77" s="16" t="s">
        <v>193</v>
      </c>
      <c r="AT77" s="6"/>
      <c r="AU77" s="6"/>
      <c r="AV77" s="6"/>
      <c r="AW77" s="6"/>
      <c r="AX77" s="12" t="str">
        <f t="shared" si="6"/>
        <v/>
      </c>
      <c r="AY77" s="12" t="str">
        <f t="shared" si="7"/>
        <v/>
      </c>
      <c r="AZ77" s="18"/>
      <c r="BA77" s="19"/>
      <c r="BB77" s="19"/>
      <c r="BC77" s="19"/>
      <c r="BD77" s="19"/>
      <c r="BE77" s="19"/>
      <c r="BF77" s="19"/>
      <c r="BG77" s="19"/>
      <c r="BH77" s="19"/>
      <c r="BI77" s="19"/>
      <c r="BJ77" s="19"/>
      <c r="BK77" s="19"/>
    </row>
    <row r="78" spans="1:63" ht="20.100000000000001" hidden="1" customHeight="1" x14ac:dyDescent="0.2">
      <c r="A78" s="13">
        <v>72</v>
      </c>
      <c r="B78" s="16" t="s">
        <v>382</v>
      </c>
      <c r="C78" s="16" t="s">
        <v>288</v>
      </c>
      <c r="D78" s="6" t="s">
        <v>384</v>
      </c>
      <c r="E78" s="6" t="s">
        <v>19</v>
      </c>
      <c r="F78" s="6" t="s">
        <v>186</v>
      </c>
      <c r="G78" s="6"/>
      <c r="H78" s="15" t="s">
        <v>83</v>
      </c>
      <c r="I78" s="15"/>
      <c r="J78" s="15"/>
      <c r="K78" s="15"/>
      <c r="L78" s="15"/>
      <c r="M78" s="15"/>
      <c r="N78" s="15"/>
      <c r="O78" s="16" t="s">
        <v>92</v>
      </c>
      <c r="P78" s="6"/>
      <c r="Q78" s="6" t="s">
        <v>140</v>
      </c>
      <c r="R78" s="6" t="s">
        <v>397</v>
      </c>
      <c r="S78" s="6" t="s">
        <v>369</v>
      </c>
      <c r="T78" s="15" t="s">
        <v>369</v>
      </c>
      <c r="U78" s="6"/>
      <c r="V78" s="6" t="s">
        <v>3677</v>
      </c>
      <c r="W78" s="6" t="s">
        <v>506</v>
      </c>
      <c r="X78" s="6" t="s">
        <v>398</v>
      </c>
      <c r="Y78" s="6" t="s">
        <v>369</v>
      </c>
      <c r="Z78" s="6" t="s">
        <v>369</v>
      </c>
      <c r="AA78" s="15" t="s">
        <v>399</v>
      </c>
      <c r="AB78" s="15"/>
      <c r="AC78" s="15"/>
      <c r="AD78" s="15">
        <v>105</v>
      </c>
      <c r="AE78" s="16"/>
      <c r="AF78" s="16"/>
      <c r="AG78" s="16"/>
      <c r="AH78" s="16"/>
      <c r="AI78" s="16"/>
      <c r="AJ78" s="16"/>
      <c r="AK78" s="16"/>
      <c r="AL78" s="16"/>
      <c r="AM78" s="16"/>
      <c r="AN78" s="17"/>
      <c r="AO78" s="6"/>
      <c r="AP78" s="6"/>
      <c r="AQ78" s="15"/>
      <c r="AR78" s="16"/>
      <c r="AS78" s="16"/>
      <c r="AT78" s="6" t="s">
        <v>113</v>
      </c>
      <c r="AU78" s="6" t="s">
        <v>296</v>
      </c>
      <c r="AV78" s="6" t="s">
        <v>400</v>
      </c>
      <c r="AW78" s="6" t="s">
        <v>116</v>
      </c>
      <c r="AX78" s="12">
        <f t="shared" si="6"/>
        <v>75</v>
      </c>
      <c r="AY78" s="12" t="str">
        <f t="shared" si="7"/>
        <v/>
      </c>
      <c r="AZ78" s="18"/>
      <c r="BA78" s="19"/>
      <c r="BB78" s="19"/>
      <c r="BC78" s="19"/>
      <c r="BD78" s="19"/>
      <c r="BE78" s="19"/>
      <c r="BF78" s="19"/>
      <c r="BG78" s="19"/>
      <c r="BH78" s="19"/>
      <c r="BI78" s="19"/>
      <c r="BJ78" s="19"/>
      <c r="BK78" s="19"/>
    </row>
    <row r="79" spans="1:63" ht="20.100000000000001" hidden="1" customHeight="1" x14ac:dyDescent="0.2">
      <c r="A79" s="13">
        <v>73</v>
      </c>
      <c r="B79" s="16" t="s">
        <v>3267</v>
      </c>
      <c r="C79" s="16" t="s">
        <v>288</v>
      </c>
      <c r="D79" s="6" t="s">
        <v>1739</v>
      </c>
      <c r="E79" s="6" t="s">
        <v>20</v>
      </c>
      <c r="F79" s="6"/>
      <c r="G79" s="6"/>
      <c r="H79" s="15" t="s">
        <v>7</v>
      </c>
      <c r="I79" s="15"/>
      <c r="J79" s="15"/>
      <c r="K79" s="15"/>
      <c r="L79" s="15"/>
      <c r="M79" s="15"/>
      <c r="N79" s="15"/>
      <c r="O79" s="16" t="s">
        <v>84</v>
      </c>
      <c r="P79" s="35" t="s">
        <v>68</v>
      </c>
      <c r="Q79" s="35" t="s">
        <v>104</v>
      </c>
      <c r="R79" s="6" t="s">
        <v>3289</v>
      </c>
      <c r="S79" s="6" t="s">
        <v>142</v>
      </c>
      <c r="T79" s="15" t="s">
        <v>70</v>
      </c>
      <c r="U79" s="35" t="s">
        <v>332</v>
      </c>
      <c r="V79" s="35" t="s">
        <v>2245</v>
      </c>
      <c r="W79" s="35" t="s">
        <v>2348</v>
      </c>
      <c r="X79" s="6" t="s">
        <v>3290</v>
      </c>
      <c r="Y79" s="6" t="s">
        <v>69</v>
      </c>
      <c r="Z79" s="6" t="s">
        <v>70</v>
      </c>
      <c r="AA79" s="15">
        <v>0</v>
      </c>
      <c r="AB79" s="15"/>
      <c r="AC79" s="15">
        <v>204</v>
      </c>
      <c r="AD79" s="15">
        <v>192</v>
      </c>
      <c r="AE79" s="16">
        <v>192</v>
      </c>
      <c r="AF79" s="16"/>
      <c r="AG79" s="16">
        <v>170</v>
      </c>
      <c r="AH79" s="16">
        <v>10</v>
      </c>
      <c r="AI79" s="16">
        <v>31</v>
      </c>
      <c r="AJ79" s="16">
        <v>211</v>
      </c>
      <c r="AK79" s="16">
        <v>16</v>
      </c>
      <c r="AL79" s="16"/>
      <c r="AM79" s="16"/>
      <c r="AN79" s="6"/>
      <c r="AO79" s="6" t="s">
        <v>3266</v>
      </c>
      <c r="AP79" s="6" t="s">
        <v>1771</v>
      </c>
      <c r="AQ79" s="15">
        <v>16</v>
      </c>
      <c r="AR79" s="16" t="s">
        <v>160</v>
      </c>
      <c r="AS79" s="16" t="s">
        <v>193</v>
      </c>
      <c r="AT79" s="6"/>
      <c r="AU79" s="6"/>
      <c r="AV79" s="6"/>
      <c r="AW79" s="6"/>
      <c r="AX79" s="12" t="str">
        <f t="shared" si="6"/>
        <v/>
      </c>
      <c r="AY79" s="12" t="str">
        <f t="shared" si="7"/>
        <v/>
      </c>
      <c r="AZ79" s="18"/>
      <c r="BA79" s="19"/>
      <c r="BB79" s="19"/>
      <c r="BC79" s="19"/>
      <c r="BD79" s="19"/>
      <c r="BE79" s="19"/>
      <c r="BF79" s="19"/>
      <c r="BG79" s="19"/>
      <c r="BH79" s="19"/>
      <c r="BI79" s="19"/>
      <c r="BJ79" s="19"/>
      <c r="BK79" s="19"/>
    </row>
    <row r="80" spans="1:63" s="21" customFormat="1" ht="20.100000000000001" hidden="1" customHeight="1" x14ac:dyDescent="0.2">
      <c r="A80" s="13">
        <v>74</v>
      </c>
      <c r="B80" s="16" t="s">
        <v>3266</v>
      </c>
      <c r="C80" s="16" t="s">
        <v>288</v>
      </c>
      <c r="D80" s="6" t="s">
        <v>695</v>
      </c>
      <c r="E80" s="6" t="s">
        <v>19</v>
      </c>
      <c r="F80" s="6" t="s">
        <v>172</v>
      </c>
      <c r="G80" s="6"/>
      <c r="H80" s="15" t="s">
        <v>83</v>
      </c>
      <c r="I80" s="15"/>
      <c r="J80" s="15"/>
      <c r="K80" s="15"/>
      <c r="L80" s="15"/>
      <c r="M80" s="15"/>
      <c r="N80" s="15"/>
      <c r="O80" s="16" t="s">
        <v>84</v>
      </c>
      <c r="P80" s="6"/>
      <c r="Q80" s="6" t="s">
        <v>140</v>
      </c>
      <c r="R80" s="6" t="s">
        <v>696</v>
      </c>
      <c r="S80" s="6" t="s">
        <v>106</v>
      </c>
      <c r="T80" s="15" t="s">
        <v>107</v>
      </c>
      <c r="U80" s="6"/>
      <c r="V80" s="6" t="s">
        <v>2245</v>
      </c>
      <c r="W80" s="6" t="s">
        <v>116</v>
      </c>
      <c r="X80" s="6" t="s">
        <v>697</v>
      </c>
      <c r="Y80" s="6" t="s">
        <v>69</v>
      </c>
      <c r="Z80" s="6" t="s">
        <v>70</v>
      </c>
      <c r="AA80" s="15" t="s">
        <v>3274</v>
      </c>
      <c r="AB80" s="15"/>
      <c r="AC80" s="15"/>
      <c r="AD80" s="15">
        <v>216</v>
      </c>
      <c r="AE80" s="16"/>
      <c r="AF80" s="16"/>
      <c r="AG80" s="16"/>
      <c r="AH80" s="16"/>
      <c r="AI80" s="16"/>
      <c r="AJ80" s="16"/>
      <c r="AK80" s="16"/>
      <c r="AL80" s="16"/>
      <c r="AM80" s="16"/>
      <c r="AN80" s="17"/>
      <c r="AO80" s="6"/>
      <c r="AP80" s="6"/>
      <c r="AQ80" s="15"/>
      <c r="AR80" s="16"/>
      <c r="AS80" s="16"/>
      <c r="AT80" s="6" t="s">
        <v>113</v>
      </c>
      <c r="AU80" s="6" t="s">
        <v>296</v>
      </c>
      <c r="AV80" s="6" t="s">
        <v>115</v>
      </c>
      <c r="AW80" s="6" t="s">
        <v>235</v>
      </c>
      <c r="AX80" s="12">
        <f t="shared" si="6"/>
        <v>11</v>
      </c>
      <c r="AY80" s="12">
        <f t="shared" si="7"/>
        <v>11</v>
      </c>
      <c r="AZ80" s="18"/>
      <c r="BA80" s="19"/>
      <c r="BB80" s="19"/>
      <c r="BC80" s="19"/>
      <c r="BD80" s="19"/>
      <c r="BE80" s="19"/>
      <c r="BF80" s="19"/>
      <c r="BG80" s="19"/>
      <c r="BH80" s="19"/>
      <c r="BI80" s="19"/>
      <c r="BJ80" s="19"/>
      <c r="BK80" s="19"/>
    </row>
    <row r="81" spans="1:63" ht="20.100000000000001" hidden="1" customHeight="1" x14ac:dyDescent="0.2">
      <c r="A81" s="13">
        <v>75</v>
      </c>
      <c r="B81" s="16" t="s">
        <v>3268</v>
      </c>
      <c r="C81" s="16" t="s">
        <v>288</v>
      </c>
      <c r="D81" s="6" t="s">
        <v>3269</v>
      </c>
      <c r="E81" s="6" t="s">
        <v>20</v>
      </c>
      <c r="F81" s="6" t="s">
        <v>185</v>
      </c>
      <c r="G81" s="6"/>
      <c r="H81" s="15" t="s">
        <v>83</v>
      </c>
      <c r="I81" s="15"/>
      <c r="J81" s="15"/>
      <c r="K81" s="15"/>
      <c r="L81" s="15"/>
      <c r="M81" s="15"/>
      <c r="N81" s="15"/>
      <c r="O81" s="16" t="s">
        <v>84</v>
      </c>
      <c r="P81" s="6"/>
      <c r="Q81" s="6" t="s">
        <v>104</v>
      </c>
      <c r="R81" s="6" t="s">
        <v>3275</v>
      </c>
      <c r="S81" s="6" t="s">
        <v>369</v>
      </c>
      <c r="T81" s="15" t="s">
        <v>369</v>
      </c>
      <c r="U81" s="6"/>
      <c r="V81" s="6" t="s">
        <v>2961</v>
      </c>
      <c r="W81" s="6" t="s">
        <v>493</v>
      </c>
      <c r="X81" s="6" t="s">
        <v>3276</v>
      </c>
      <c r="Y81" s="6" t="s">
        <v>369</v>
      </c>
      <c r="Z81" s="6" t="s">
        <v>369</v>
      </c>
      <c r="AA81" s="15" t="s">
        <v>3277</v>
      </c>
      <c r="AB81" s="15"/>
      <c r="AC81" s="15"/>
      <c r="AD81" s="15">
        <v>222</v>
      </c>
      <c r="AE81" s="16"/>
      <c r="AF81" s="16"/>
      <c r="AG81" s="16"/>
      <c r="AH81" s="16"/>
      <c r="AI81" s="16"/>
      <c r="AJ81" s="16"/>
      <c r="AK81" s="16"/>
      <c r="AL81" s="16"/>
      <c r="AM81" s="16"/>
      <c r="AN81" s="15"/>
      <c r="AO81" s="6"/>
      <c r="AP81" s="25"/>
      <c r="AQ81" s="15"/>
      <c r="AR81" s="16"/>
      <c r="AS81" s="16"/>
      <c r="AT81" s="6" t="s">
        <v>113</v>
      </c>
      <c r="AU81" s="6" t="s">
        <v>296</v>
      </c>
      <c r="AV81" s="6" t="s">
        <v>136</v>
      </c>
      <c r="AW81" s="6" t="s">
        <v>441</v>
      </c>
      <c r="AX81" s="12">
        <f t="shared" si="6"/>
        <v>16</v>
      </c>
      <c r="AY81" s="12" t="str">
        <f t="shared" si="7"/>
        <v/>
      </c>
      <c r="AZ81" s="18"/>
      <c r="BA81" s="19"/>
      <c r="BB81" s="19"/>
      <c r="BC81" s="19"/>
      <c r="BD81" s="19"/>
      <c r="BE81" s="19"/>
      <c r="BF81" s="19"/>
      <c r="BG81" s="19"/>
      <c r="BH81" s="19"/>
      <c r="BI81" s="19"/>
      <c r="BJ81" s="19"/>
      <c r="BK81" s="19"/>
    </row>
    <row r="82" spans="1:63" s="21" customFormat="1" ht="20.100000000000001" hidden="1" customHeight="1" x14ac:dyDescent="0.2">
      <c r="A82" s="13">
        <v>76</v>
      </c>
      <c r="B82" s="16" t="s">
        <v>3270</v>
      </c>
      <c r="C82" s="16" t="s">
        <v>288</v>
      </c>
      <c r="D82" s="6" t="s">
        <v>3272</v>
      </c>
      <c r="E82" s="6" t="s">
        <v>19</v>
      </c>
      <c r="F82" s="6" t="s">
        <v>172</v>
      </c>
      <c r="G82" s="6"/>
      <c r="H82" s="15" t="s">
        <v>83</v>
      </c>
      <c r="I82" s="15"/>
      <c r="J82" s="15"/>
      <c r="K82" s="15"/>
      <c r="L82" s="15"/>
      <c r="M82" s="15"/>
      <c r="N82" s="15"/>
      <c r="O82" s="16" t="s">
        <v>84</v>
      </c>
      <c r="P82" s="6"/>
      <c r="Q82" s="6" t="s">
        <v>117</v>
      </c>
      <c r="R82" s="6" t="s">
        <v>3589</v>
      </c>
      <c r="S82" s="6" t="s">
        <v>69</v>
      </c>
      <c r="T82" s="15" t="s">
        <v>70</v>
      </c>
      <c r="U82" s="6"/>
      <c r="V82" s="6" t="s">
        <v>3679</v>
      </c>
      <c r="W82" s="6" t="s">
        <v>465</v>
      </c>
      <c r="X82" s="6" t="s">
        <v>3590</v>
      </c>
      <c r="Y82" s="6" t="s">
        <v>206</v>
      </c>
      <c r="Z82" s="6" t="s">
        <v>107</v>
      </c>
      <c r="AA82" s="15" t="s">
        <v>3591</v>
      </c>
      <c r="AB82" s="15"/>
      <c r="AC82" s="15"/>
      <c r="AD82" s="15">
        <v>156</v>
      </c>
      <c r="AE82" s="16"/>
      <c r="AF82" s="16"/>
      <c r="AG82" s="16"/>
      <c r="AH82" s="16"/>
      <c r="AI82" s="16"/>
      <c r="AJ82" s="16"/>
      <c r="AK82" s="16"/>
      <c r="AL82" s="16"/>
      <c r="AM82" s="16"/>
      <c r="AN82" s="15"/>
      <c r="AO82" s="6"/>
      <c r="AP82" s="25"/>
      <c r="AQ82" s="15"/>
      <c r="AR82" s="16"/>
      <c r="AS82" s="16"/>
      <c r="AT82" s="6" t="s">
        <v>113</v>
      </c>
      <c r="AU82" s="6" t="s">
        <v>296</v>
      </c>
      <c r="AV82" s="6" t="s">
        <v>400</v>
      </c>
      <c r="AW82" s="6" t="s">
        <v>266</v>
      </c>
      <c r="AX82" s="12">
        <f t="shared" si="6"/>
        <v>77</v>
      </c>
      <c r="AY82" s="12" t="str">
        <f t="shared" si="7"/>
        <v/>
      </c>
      <c r="AZ82" s="18"/>
      <c r="BA82" s="19"/>
      <c r="BB82" s="19"/>
      <c r="BC82" s="19"/>
      <c r="BD82" s="19"/>
      <c r="BE82" s="19"/>
      <c r="BF82" s="19"/>
      <c r="BG82" s="19"/>
      <c r="BH82" s="19"/>
      <c r="BI82" s="19"/>
      <c r="BJ82" s="19"/>
      <c r="BK82" s="19"/>
    </row>
    <row r="83" spans="1:63" ht="20.100000000000001" hidden="1" customHeight="1" x14ac:dyDescent="0.2">
      <c r="A83" s="13">
        <v>77</v>
      </c>
      <c r="B83" s="16" t="s">
        <v>3271</v>
      </c>
      <c r="C83" s="16" t="s">
        <v>288</v>
      </c>
      <c r="D83" s="6" t="s">
        <v>3273</v>
      </c>
      <c r="E83" s="6" t="s">
        <v>19</v>
      </c>
      <c r="F83" s="6" t="s">
        <v>192</v>
      </c>
      <c r="G83" s="6"/>
      <c r="H83" s="15" t="s">
        <v>7</v>
      </c>
      <c r="I83" s="15"/>
      <c r="J83" s="15"/>
      <c r="K83" s="15"/>
      <c r="L83" s="15"/>
      <c r="M83" s="15"/>
      <c r="N83" s="15"/>
      <c r="O83" s="16" t="s">
        <v>84</v>
      </c>
      <c r="P83" s="6"/>
      <c r="Q83" s="6" t="s">
        <v>218</v>
      </c>
      <c r="R83" s="6" t="s">
        <v>3298</v>
      </c>
      <c r="S83" s="6" t="s">
        <v>69</v>
      </c>
      <c r="T83" s="15" t="s">
        <v>70</v>
      </c>
      <c r="U83" s="6"/>
      <c r="V83" s="6" t="s">
        <v>3679</v>
      </c>
      <c r="W83" s="6" t="s">
        <v>116</v>
      </c>
      <c r="X83" s="6" t="s">
        <v>3299</v>
      </c>
      <c r="Y83" s="6" t="s">
        <v>262</v>
      </c>
      <c r="Z83" s="6" t="s">
        <v>70</v>
      </c>
      <c r="AA83" s="15">
        <v>0</v>
      </c>
      <c r="AB83" s="15"/>
      <c r="AC83" s="15">
        <v>236</v>
      </c>
      <c r="AD83" s="15"/>
      <c r="AE83" s="16">
        <v>222</v>
      </c>
      <c r="AF83" s="16">
        <v>74</v>
      </c>
      <c r="AG83" s="16">
        <v>149</v>
      </c>
      <c r="AH83" s="16">
        <v>11</v>
      </c>
      <c r="AI83" s="16">
        <v>40</v>
      </c>
      <c r="AJ83" s="16">
        <v>200</v>
      </c>
      <c r="AK83" s="16">
        <v>26</v>
      </c>
      <c r="AL83" s="16"/>
      <c r="AM83" s="16"/>
      <c r="AN83" s="17"/>
      <c r="AO83" s="6" t="s">
        <v>3267</v>
      </c>
      <c r="AP83" s="25">
        <v>200</v>
      </c>
      <c r="AQ83" s="15">
        <v>26</v>
      </c>
      <c r="AR83" s="16" t="s">
        <v>160</v>
      </c>
      <c r="AS83" s="16" t="s">
        <v>165</v>
      </c>
      <c r="AT83" s="6"/>
      <c r="AU83" s="6"/>
      <c r="AV83" s="6"/>
      <c r="AW83" s="6"/>
      <c r="AX83" s="12" t="str">
        <f t="shared" ref="AX83:AX133" si="8">IF(AT83*AV83&gt;0,(AT83-AV83)*12+(AU83-AW83),"")</f>
        <v/>
      </c>
      <c r="AY83" s="12" t="str">
        <f t="shared" ref="AY83:AY133" si="9">IF(AX83&lt;13,AX83,"")</f>
        <v/>
      </c>
      <c r="AZ83" s="18"/>
      <c r="BA83" s="19"/>
      <c r="BB83" s="19"/>
      <c r="BC83" s="19"/>
      <c r="BD83" s="19"/>
      <c r="BE83" s="19"/>
      <c r="BF83" s="19"/>
      <c r="BG83" s="19"/>
      <c r="BH83" s="19"/>
      <c r="BI83" s="19"/>
      <c r="BJ83" s="19"/>
      <c r="BK83" s="19"/>
    </row>
    <row r="84" spans="1:63" ht="20.100000000000001" hidden="1" customHeight="1" x14ac:dyDescent="0.2">
      <c r="A84" s="13">
        <v>78</v>
      </c>
      <c r="B84" s="16" t="s">
        <v>3279</v>
      </c>
      <c r="C84" s="16" t="s">
        <v>288</v>
      </c>
      <c r="D84" s="6" t="s">
        <v>739</v>
      </c>
      <c r="E84" s="6" t="s">
        <v>10</v>
      </c>
      <c r="F84" s="6"/>
      <c r="G84" s="6"/>
      <c r="H84" s="15" t="s">
        <v>7</v>
      </c>
      <c r="I84" s="15"/>
      <c r="J84" s="15"/>
      <c r="K84" s="15"/>
      <c r="L84" s="15"/>
      <c r="M84" s="15"/>
      <c r="N84" s="15"/>
      <c r="O84" s="16" t="s">
        <v>92</v>
      </c>
      <c r="P84" s="6" t="s">
        <v>104</v>
      </c>
      <c r="Q84" s="6" t="s">
        <v>104</v>
      </c>
      <c r="R84" s="6" t="s">
        <v>2095</v>
      </c>
      <c r="S84" s="6" t="s">
        <v>369</v>
      </c>
      <c r="T84" s="15" t="s">
        <v>369</v>
      </c>
      <c r="U84" s="6" t="s">
        <v>1727</v>
      </c>
      <c r="V84" s="6" t="s">
        <v>2245</v>
      </c>
      <c r="W84" s="6" t="s">
        <v>769</v>
      </c>
      <c r="X84" s="6" t="s">
        <v>2096</v>
      </c>
      <c r="Y84" s="6" t="s">
        <v>369</v>
      </c>
      <c r="Z84" s="6" t="s">
        <v>369</v>
      </c>
      <c r="AA84" s="15">
        <v>0</v>
      </c>
      <c r="AB84" s="15"/>
      <c r="AC84" s="15">
        <v>200</v>
      </c>
      <c r="AD84" s="15">
        <v>186</v>
      </c>
      <c r="AE84" s="16">
        <v>186</v>
      </c>
      <c r="AF84" s="16">
        <v>150</v>
      </c>
      <c r="AG84" s="16">
        <v>173</v>
      </c>
      <c r="AH84" s="16">
        <v>4</v>
      </c>
      <c r="AI84" s="15">
        <v>20</v>
      </c>
      <c r="AJ84" s="16">
        <v>197</v>
      </c>
      <c r="AK84" s="16">
        <v>15</v>
      </c>
      <c r="AL84" s="16"/>
      <c r="AM84" s="16"/>
      <c r="AN84" s="15"/>
      <c r="AO84" s="6" t="s">
        <v>3270</v>
      </c>
      <c r="AP84" s="6" t="s">
        <v>2098</v>
      </c>
      <c r="AQ84" s="15">
        <v>15</v>
      </c>
      <c r="AR84" s="16" t="s">
        <v>160</v>
      </c>
      <c r="AS84" s="16" t="s">
        <v>165</v>
      </c>
      <c r="AT84" s="6"/>
      <c r="AU84" s="6"/>
      <c r="AV84" s="6"/>
      <c r="AW84" s="6"/>
      <c r="AX84" s="12" t="str">
        <f t="shared" si="8"/>
        <v/>
      </c>
      <c r="AY84" s="12" t="str">
        <f t="shared" si="9"/>
        <v/>
      </c>
      <c r="AZ84" s="18"/>
      <c r="BA84" s="19"/>
      <c r="BB84" s="19"/>
      <c r="BC84" s="19"/>
      <c r="BD84" s="19"/>
      <c r="BE84" s="19"/>
      <c r="BF84" s="19"/>
      <c r="BG84" s="19"/>
      <c r="BH84" s="19"/>
      <c r="BI84" s="19"/>
      <c r="BJ84" s="19"/>
      <c r="BK84" s="19"/>
    </row>
    <row r="85" spans="1:63" ht="20.100000000000001" hidden="1" customHeight="1" x14ac:dyDescent="0.2">
      <c r="A85" s="13">
        <v>79</v>
      </c>
      <c r="B85" s="16" t="s">
        <v>3291</v>
      </c>
      <c r="C85" s="16" t="s">
        <v>288</v>
      </c>
      <c r="D85" s="6" t="s">
        <v>3269</v>
      </c>
      <c r="E85" s="6" t="s">
        <v>20</v>
      </c>
      <c r="F85" s="6"/>
      <c r="G85" s="6"/>
      <c r="H85" s="15" t="s">
        <v>7</v>
      </c>
      <c r="I85" s="15"/>
      <c r="J85" s="15"/>
      <c r="K85" s="15"/>
      <c r="L85" s="15"/>
      <c r="M85" s="15"/>
      <c r="N85" s="15"/>
      <c r="O85" s="16" t="s">
        <v>84</v>
      </c>
      <c r="P85" s="6" t="s">
        <v>104</v>
      </c>
      <c r="Q85" s="6" t="s">
        <v>68</v>
      </c>
      <c r="R85" s="6" t="s">
        <v>301</v>
      </c>
      <c r="S85" s="6" t="s">
        <v>106</v>
      </c>
      <c r="T85" s="15" t="s">
        <v>107</v>
      </c>
      <c r="U85" s="6" t="s">
        <v>3300</v>
      </c>
      <c r="V85" s="6" t="s">
        <v>2961</v>
      </c>
      <c r="W85" s="6" t="s">
        <v>493</v>
      </c>
      <c r="X85" s="6" t="s">
        <v>3301</v>
      </c>
      <c r="Y85" s="6" t="s">
        <v>106</v>
      </c>
      <c r="Z85" s="6" t="s">
        <v>107</v>
      </c>
      <c r="AA85" s="15">
        <v>0</v>
      </c>
      <c r="AB85" s="15"/>
      <c r="AC85" s="15">
        <v>240</v>
      </c>
      <c r="AD85" s="15">
        <v>222</v>
      </c>
      <c r="AE85" s="16">
        <v>222</v>
      </c>
      <c r="AF85" s="16"/>
      <c r="AG85" s="16">
        <v>201</v>
      </c>
      <c r="AH85" s="16">
        <v>12</v>
      </c>
      <c r="AI85" s="16">
        <v>70</v>
      </c>
      <c r="AJ85" s="16">
        <v>283</v>
      </c>
      <c r="AK85" s="16">
        <v>8</v>
      </c>
      <c r="AL85" s="16"/>
      <c r="AM85" s="16"/>
      <c r="AN85" s="17"/>
      <c r="AO85" s="6" t="s">
        <v>3271</v>
      </c>
      <c r="AP85" s="25">
        <v>283</v>
      </c>
      <c r="AQ85" s="15">
        <v>9</v>
      </c>
      <c r="AR85" s="16" t="s">
        <v>160</v>
      </c>
      <c r="AS85" s="16" t="s">
        <v>193</v>
      </c>
      <c r="AT85" s="6"/>
      <c r="AU85" s="6"/>
      <c r="AV85" s="6"/>
      <c r="AW85" s="6"/>
      <c r="AX85" s="12" t="str">
        <f t="shared" si="8"/>
        <v/>
      </c>
      <c r="AY85" s="12" t="str">
        <f t="shared" si="9"/>
        <v/>
      </c>
      <c r="AZ85" s="18"/>
      <c r="BA85" s="19"/>
      <c r="BB85" s="19"/>
      <c r="BC85" s="19"/>
      <c r="BD85" s="19"/>
      <c r="BE85" s="19"/>
      <c r="BF85" s="19"/>
      <c r="BG85" s="19"/>
      <c r="BH85" s="19"/>
      <c r="BI85" s="19"/>
      <c r="BJ85" s="19"/>
      <c r="BK85" s="19"/>
    </row>
    <row r="86" spans="1:63" ht="20.100000000000001" hidden="1" customHeight="1" x14ac:dyDescent="0.2">
      <c r="A86" s="13">
        <v>80</v>
      </c>
      <c r="B86" s="16" t="s">
        <v>3291</v>
      </c>
      <c r="C86" s="16" t="s">
        <v>288</v>
      </c>
      <c r="D86" s="6" t="s">
        <v>3280</v>
      </c>
      <c r="E86" s="6" t="s">
        <v>6</v>
      </c>
      <c r="F86" s="6" t="s">
        <v>192</v>
      </c>
      <c r="G86" s="6"/>
      <c r="H86" s="15" t="s">
        <v>7</v>
      </c>
      <c r="I86" s="15"/>
      <c r="J86" s="15"/>
      <c r="K86" s="15"/>
      <c r="L86" s="15"/>
      <c r="M86" s="15"/>
      <c r="N86" s="15"/>
      <c r="O86" s="16" t="s">
        <v>92</v>
      </c>
      <c r="P86" s="6"/>
      <c r="Q86" s="6" t="s">
        <v>155</v>
      </c>
      <c r="R86" s="6" t="s">
        <v>3295</v>
      </c>
      <c r="S86" s="6" t="s">
        <v>106</v>
      </c>
      <c r="T86" s="15" t="s">
        <v>107</v>
      </c>
      <c r="U86" s="6"/>
      <c r="V86" s="6" t="s">
        <v>3677</v>
      </c>
      <c r="W86" s="6" t="s">
        <v>718</v>
      </c>
      <c r="X86" s="6" t="s">
        <v>3296</v>
      </c>
      <c r="Y86" s="6" t="s">
        <v>106</v>
      </c>
      <c r="Z86" s="6" t="s">
        <v>107</v>
      </c>
      <c r="AA86" s="15">
        <v>0</v>
      </c>
      <c r="AB86" s="15"/>
      <c r="AC86" s="15">
        <v>230</v>
      </c>
      <c r="AD86" s="15"/>
      <c r="AE86" s="16">
        <v>216</v>
      </c>
      <c r="AF86" s="16">
        <v>101</v>
      </c>
      <c r="AG86" s="16">
        <v>139</v>
      </c>
      <c r="AH86" s="16">
        <v>10</v>
      </c>
      <c r="AI86" s="16">
        <v>50</v>
      </c>
      <c r="AJ86" s="16">
        <v>199</v>
      </c>
      <c r="AK86" s="16">
        <v>22</v>
      </c>
      <c r="AL86" s="16"/>
      <c r="AM86" s="16"/>
      <c r="AN86" s="17"/>
      <c r="AO86" s="6" t="s">
        <v>3271</v>
      </c>
      <c r="AP86" s="6" t="s">
        <v>3297</v>
      </c>
      <c r="AQ86" s="15">
        <v>22</v>
      </c>
      <c r="AR86" s="16" t="s">
        <v>160</v>
      </c>
      <c r="AS86" s="16" t="s">
        <v>165</v>
      </c>
      <c r="AT86" s="6"/>
      <c r="AU86" s="6"/>
      <c r="AV86" s="6"/>
      <c r="AW86" s="6"/>
      <c r="AX86" s="12" t="str">
        <f t="shared" si="8"/>
        <v/>
      </c>
      <c r="AY86" s="12" t="str">
        <f t="shared" si="9"/>
        <v/>
      </c>
      <c r="AZ86" s="18"/>
      <c r="BA86" s="19"/>
      <c r="BB86" s="19"/>
      <c r="BC86" s="19"/>
      <c r="BD86" s="19"/>
      <c r="BE86" s="19"/>
      <c r="BF86" s="19"/>
      <c r="BG86" s="19"/>
      <c r="BH86" s="19"/>
      <c r="BI86" s="19"/>
      <c r="BJ86" s="19"/>
      <c r="BK86" s="19"/>
    </row>
    <row r="87" spans="1:63" ht="20.100000000000001" hidden="1" customHeight="1" x14ac:dyDescent="0.2">
      <c r="A87" s="13">
        <v>81</v>
      </c>
      <c r="B87" s="16" t="s">
        <v>3292</v>
      </c>
      <c r="C87" s="16" t="s">
        <v>288</v>
      </c>
      <c r="D87" s="6" t="s">
        <v>320</v>
      </c>
      <c r="E87" s="6" t="s">
        <v>9</v>
      </c>
      <c r="F87" s="6" t="s">
        <v>192</v>
      </c>
      <c r="G87" s="6"/>
      <c r="H87" s="15" t="s">
        <v>7</v>
      </c>
      <c r="I87" s="15"/>
      <c r="J87" s="15"/>
      <c r="K87" s="15"/>
      <c r="L87" s="15"/>
      <c r="M87" s="15"/>
      <c r="N87" s="15"/>
      <c r="O87" s="16" t="s">
        <v>84</v>
      </c>
      <c r="P87" s="6"/>
      <c r="Q87" s="6" t="s">
        <v>155</v>
      </c>
      <c r="R87" s="6" t="s">
        <v>3302</v>
      </c>
      <c r="S87" s="6" t="s">
        <v>142</v>
      </c>
      <c r="T87" s="15" t="s">
        <v>70</v>
      </c>
      <c r="U87" s="6"/>
      <c r="V87" s="6" t="s">
        <v>3677</v>
      </c>
      <c r="W87" s="6" t="s">
        <v>718</v>
      </c>
      <c r="X87" s="6" t="s">
        <v>3303</v>
      </c>
      <c r="Y87" s="6" t="s">
        <v>106</v>
      </c>
      <c r="Z87" s="6" t="s">
        <v>107</v>
      </c>
      <c r="AA87" s="15">
        <v>0</v>
      </c>
      <c r="AB87" s="15"/>
      <c r="AC87" s="15">
        <v>206</v>
      </c>
      <c r="AD87" s="15"/>
      <c r="AE87" s="16">
        <v>192</v>
      </c>
      <c r="AF87" s="16">
        <v>136</v>
      </c>
      <c r="AG87" s="16">
        <v>153</v>
      </c>
      <c r="AH87" s="16">
        <v>10</v>
      </c>
      <c r="AI87" s="16">
        <v>35</v>
      </c>
      <c r="AJ87" s="16">
        <v>198</v>
      </c>
      <c r="AK87" s="16">
        <v>22</v>
      </c>
      <c r="AL87" s="16"/>
      <c r="AM87" s="16"/>
      <c r="AN87" s="17"/>
      <c r="AO87" s="6" t="s">
        <v>3279</v>
      </c>
      <c r="AP87" s="25">
        <v>198</v>
      </c>
      <c r="AQ87" s="15">
        <v>22</v>
      </c>
      <c r="AR87" s="16" t="s">
        <v>160</v>
      </c>
      <c r="AS87" s="16" t="s">
        <v>193</v>
      </c>
      <c r="AT87" s="6"/>
      <c r="AU87" s="6"/>
      <c r="AV87" s="6"/>
      <c r="AW87" s="6"/>
      <c r="AX87" s="12" t="str">
        <f t="shared" si="8"/>
        <v/>
      </c>
      <c r="AY87" s="12" t="str">
        <f t="shared" si="9"/>
        <v/>
      </c>
      <c r="AZ87" s="18"/>
      <c r="BA87" s="19"/>
      <c r="BB87" s="19"/>
      <c r="BC87" s="19"/>
      <c r="BD87" s="19"/>
      <c r="BE87" s="19"/>
      <c r="BF87" s="19"/>
      <c r="BG87" s="19"/>
      <c r="BH87" s="19"/>
      <c r="BI87" s="19"/>
      <c r="BJ87" s="19"/>
      <c r="BK87" s="19"/>
    </row>
    <row r="88" spans="1:63" ht="20.100000000000001" hidden="1" customHeight="1" x14ac:dyDescent="0.2">
      <c r="A88" s="13">
        <v>82</v>
      </c>
      <c r="B88" s="16" t="s">
        <v>3293</v>
      </c>
      <c r="C88" s="16" t="s">
        <v>288</v>
      </c>
      <c r="D88" s="6" t="s">
        <v>3294</v>
      </c>
      <c r="E88" s="6" t="s">
        <v>66</v>
      </c>
      <c r="F88" s="6" t="s">
        <v>192</v>
      </c>
      <c r="G88" s="6"/>
      <c r="H88" s="15" t="s">
        <v>7</v>
      </c>
      <c r="I88" s="15"/>
      <c r="J88" s="15"/>
      <c r="K88" s="15"/>
      <c r="L88" s="15"/>
      <c r="M88" s="15"/>
      <c r="N88" s="15"/>
      <c r="O88" s="16" t="s">
        <v>84</v>
      </c>
      <c r="P88" s="6"/>
      <c r="Q88" s="6" t="s">
        <v>223</v>
      </c>
      <c r="R88" s="6" t="s">
        <v>3304</v>
      </c>
      <c r="S88" s="6" t="s">
        <v>69</v>
      </c>
      <c r="T88" s="15" t="s">
        <v>70</v>
      </c>
      <c r="U88" s="6"/>
      <c r="V88" s="6" t="s">
        <v>2961</v>
      </c>
      <c r="W88" s="6" t="s">
        <v>441</v>
      </c>
      <c r="X88" s="6" t="s">
        <v>3305</v>
      </c>
      <c r="Y88" s="6" t="s">
        <v>73</v>
      </c>
      <c r="Z88" s="6" t="s">
        <v>70</v>
      </c>
      <c r="AA88" s="15">
        <v>0</v>
      </c>
      <c r="AB88" s="15"/>
      <c r="AC88" s="15">
        <v>108</v>
      </c>
      <c r="AD88" s="15"/>
      <c r="AE88" s="16">
        <v>99</v>
      </c>
      <c r="AF88" s="16">
        <v>39</v>
      </c>
      <c r="AG88" s="16">
        <v>80</v>
      </c>
      <c r="AH88" s="16">
        <v>12</v>
      </c>
      <c r="AI88" s="16">
        <v>5</v>
      </c>
      <c r="AJ88" s="16">
        <v>97</v>
      </c>
      <c r="AK88" s="16">
        <v>12</v>
      </c>
      <c r="AL88" s="16"/>
      <c r="AM88" s="16"/>
      <c r="AN88" s="17"/>
      <c r="AO88" s="6" t="s">
        <v>3292</v>
      </c>
      <c r="AP88" s="6" t="s">
        <v>3306</v>
      </c>
      <c r="AQ88" s="15">
        <v>12</v>
      </c>
      <c r="AR88" s="16" t="s">
        <v>111</v>
      </c>
      <c r="AS88" s="16" t="s">
        <v>330</v>
      </c>
      <c r="AT88" s="6"/>
      <c r="AU88" s="6"/>
      <c r="AV88" s="6"/>
      <c r="AW88" s="6"/>
      <c r="AX88" s="12" t="str">
        <f t="shared" si="8"/>
        <v/>
      </c>
      <c r="AY88" s="12" t="str">
        <f t="shared" si="9"/>
        <v/>
      </c>
      <c r="AZ88" s="18"/>
      <c r="BA88" s="19"/>
      <c r="BB88" s="19"/>
      <c r="BC88" s="19"/>
      <c r="BD88" s="19"/>
      <c r="BE88" s="19"/>
      <c r="BF88" s="19"/>
      <c r="BG88" s="19"/>
      <c r="BH88" s="19"/>
      <c r="BI88" s="19"/>
      <c r="BJ88" s="19"/>
      <c r="BK88" s="19"/>
    </row>
    <row r="89" spans="1:63" s="21" customFormat="1" ht="41.25" hidden="1" customHeight="1" x14ac:dyDescent="0.2">
      <c r="A89" s="13">
        <v>83</v>
      </c>
      <c r="B89" s="29" t="s">
        <v>3308</v>
      </c>
      <c r="C89" s="29" t="s">
        <v>288</v>
      </c>
      <c r="D89" s="30" t="s">
        <v>3309</v>
      </c>
      <c r="E89" s="30" t="s">
        <v>8</v>
      </c>
      <c r="F89" s="30" t="s">
        <v>186</v>
      </c>
      <c r="G89" s="86" t="s">
        <v>3311</v>
      </c>
      <c r="H89" s="20" t="s">
        <v>83</v>
      </c>
      <c r="I89" s="20"/>
      <c r="J89" s="20"/>
      <c r="K89" s="20"/>
      <c r="L89" s="20"/>
      <c r="M89" s="20"/>
      <c r="N89" s="20"/>
      <c r="O89" s="29" t="s">
        <v>84</v>
      </c>
      <c r="P89" s="30"/>
      <c r="Q89" s="30" t="s">
        <v>68</v>
      </c>
      <c r="R89" s="30" t="s">
        <v>882</v>
      </c>
      <c r="S89" s="30" t="s">
        <v>106</v>
      </c>
      <c r="T89" s="20" t="s">
        <v>107</v>
      </c>
      <c r="U89" s="30"/>
      <c r="V89" s="30" t="s">
        <v>3679</v>
      </c>
      <c r="W89" s="30" t="s">
        <v>485</v>
      </c>
      <c r="X89" s="30" t="s">
        <v>1267</v>
      </c>
      <c r="Y89" s="30" t="s">
        <v>69</v>
      </c>
      <c r="Z89" s="30" t="s">
        <v>70</v>
      </c>
      <c r="AA89" s="20" t="s">
        <v>3310</v>
      </c>
      <c r="AB89" s="20"/>
      <c r="AC89" s="20"/>
      <c r="AD89" s="20">
        <v>156</v>
      </c>
      <c r="AE89" s="29"/>
      <c r="AF89" s="29"/>
      <c r="AG89" s="29"/>
      <c r="AH89" s="29"/>
      <c r="AI89" s="29"/>
      <c r="AJ89" s="29"/>
      <c r="AK89" s="29"/>
      <c r="AL89" s="29"/>
      <c r="AM89" s="29"/>
      <c r="AN89" s="39"/>
      <c r="AO89" s="30"/>
      <c r="AP89" s="36"/>
      <c r="AQ89" s="20"/>
      <c r="AR89" s="29"/>
      <c r="AS89" s="29"/>
      <c r="AT89" s="30" t="s">
        <v>113</v>
      </c>
      <c r="AU89" s="30" t="s">
        <v>496</v>
      </c>
      <c r="AV89" s="30" t="s">
        <v>115</v>
      </c>
      <c r="AW89" s="30" t="s">
        <v>555</v>
      </c>
      <c r="AX89" s="31">
        <f t="shared" si="8"/>
        <v>7</v>
      </c>
      <c r="AY89" s="31">
        <f t="shared" si="9"/>
        <v>7</v>
      </c>
      <c r="AZ89" s="89" t="s">
        <v>3316</v>
      </c>
    </row>
    <row r="90" spans="1:63" ht="20.100000000000001" hidden="1" customHeight="1" x14ac:dyDescent="0.2">
      <c r="A90" s="13">
        <v>84</v>
      </c>
      <c r="B90" s="16" t="s">
        <v>3308</v>
      </c>
      <c r="C90" s="16" t="s">
        <v>288</v>
      </c>
      <c r="D90" s="6" t="s">
        <v>1275</v>
      </c>
      <c r="E90" s="6" t="s">
        <v>10</v>
      </c>
      <c r="F90" s="6"/>
      <c r="G90" s="86" t="s">
        <v>3311</v>
      </c>
      <c r="H90" s="15" t="s">
        <v>7</v>
      </c>
      <c r="I90" s="15"/>
      <c r="J90" s="15"/>
      <c r="K90" s="15"/>
      <c r="L90" s="15"/>
      <c r="M90" s="15"/>
      <c r="N90" s="15"/>
      <c r="O90" s="16" t="s">
        <v>93</v>
      </c>
      <c r="P90" s="35" t="s">
        <v>117</v>
      </c>
      <c r="Q90" s="35" t="s">
        <v>141</v>
      </c>
      <c r="R90" s="6" t="s">
        <v>3312</v>
      </c>
      <c r="S90" s="6" t="s">
        <v>69</v>
      </c>
      <c r="T90" s="15" t="s">
        <v>70</v>
      </c>
      <c r="U90" s="6" t="s">
        <v>204</v>
      </c>
      <c r="V90" s="6" t="s">
        <v>1809</v>
      </c>
      <c r="W90" s="6" t="s">
        <v>1581</v>
      </c>
      <c r="X90" s="6" t="s">
        <v>3313</v>
      </c>
      <c r="Y90" s="6" t="s">
        <v>69</v>
      </c>
      <c r="Z90" s="6" t="s">
        <v>70</v>
      </c>
      <c r="AA90" s="15">
        <v>0</v>
      </c>
      <c r="AB90" s="15"/>
      <c r="AC90" s="15">
        <v>217</v>
      </c>
      <c r="AD90" s="33">
        <v>174</v>
      </c>
      <c r="AE90" s="34">
        <v>207</v>
      </c>
      <c r="AF90" s="87">
        <v>137</v>
      </c>
      <c r="AG90" s="87">
        <v>204</v>
      </c>
      <c r="AH90" s="16">
        <v>2</v>
      </c>
      <c r="AI90" s="16">
        <v>35</v>
      </c>
      <c r="AJ90" s="16">
        <v>241</v>
      </c>
      <c r="AK90" s="16">
        <v>7</v>
      </c>
      <c r="AL90" s="16"/>
      <c r="AM90" s="16"/>
      <c r="AN90" s="33" t="s">
        <v>158</v>
      </c>
      <c r="AO90" s="6" t="s">
        <v>3314</v>
      </c>
      <c r="AP90" s="25">
        <v>241</v>
      </c>
      <c r="AQ90" s="15">
        <v>7</v>
      </c>
      <c r="AR90" s="16" t="s">
        <v>111</v>
      </c>
      <c r="AS90" s="16" t="s">
        <v>231</v>
      </c>
      <c r="AT90" s="6"/>
      <c r="AU90" s="6"/>
      <c r="AV90" s="6"/>
      <c r="AW90" s="6"/>
      <c r="AX90" s="12"/>
      <c r="AY90" s="12">
        <f t="shared" si="9"/>
        <v>0</v>
      </c>
      <c r="AZ90" s="18"/>
      <c r="BA90" s="19"/>
      <c r="BB90" s="19"/>
      <c r="BC90" s="19"/>
      <c r="BD90" s="19"/>
      <c r="BE90" s="19"/>
      <c r="BF90" s="19"/>
      <c r="BG90" s="19"/>
      <c r="BH90" s="19"/>
      <c r="BI90" s="19"/>
      <c r="BJ90" s="19"/>
      <c r="BK90" s="19"/>
    </row>
    <row r="91" spans="1:63" s="19" customFormat="1" ht="20.100000000000001" hidden="1" customHeight="1" x14ac:dyDescent="0.2">
      <c r="A91" s="13">
        <v>85</v>
      </c>
      <c r="B91" s="16" t="s">
        <v>3320</v>
      </c>
      <c r="C91" s="16" t="s">
        <v>625</v>
      </c>
      <c r="D91" s="16" t="s">
        <v>439</v>
      </c>
      <c r="E91" s="6" t="s">
        <v>9</v>
      </c>
      <c r="F91" s="6" t="s">
        <v>186</v>
      </c>
      <c r="G91" s="6"/>
      <c r="H91" s="15" t="s">
        <v>83</v>
      </c>
      <c r="I91" s="15"/>
      <c r="J91" s="15"/>
      <c r="K91" s="15"/>
      <c r="L91" s="15"/>
      <c r="M91" s="15"/>
      <c r="N91" s="15"/>
      <c r="O91" s="16" t="s">
        <v>92</v>
      </c>
      <c r="P91" s="6"/>
      <c r="Q91" s="6" t="s">
        <v>68</v>
      </c>
      <c r="R91" s="6" t="s">
        <v>447</v>
      </c>
      <c r="S91" s="6" t="s">
        <v>106</v>
      </c>
      <c r="T91" s="15" t="s">
        <v>107</v>
      </c>
      <c r="U91" s="6"/>
      <c r="V91" s="6" t="s">
        <v>2245</v>
      </c>
      <c r="W91" s="6" t="s">
        <v>260</v>
      </c>
      <c r="X91" s="6" t="s">
        <v>3321</v>
      </c>
      <c r="Y91" s="6" t="s">
        <v>106</v>
      </c>
      <c r="Z91" s="6" t="s">
        <v>107</v>
      </c>
      <c r="AA91" s="15" t="s">
        <v>3322</v>
      </c>
      <c r="AB91" s="15"/>
      <c r="AC91" s="15"/>
      <c r="AD91" s="15">
        <v>199</v>
      </c>
      <c r="AE91" s="16"/>
      <c r="AF91" s="16"/>
      <c r="AG91" s="16"/>
      <c r="AH91" s="16"/>
      <c r="AI91" s="16"/>
      <c r="AJ91" s="16"/>
      <c r="AK91" s="16"/>
      <c r="AL91" s="16"/>
      <c r="AM91" s="16"/>
      <c r="AN91" s="17"/>
      <c r="AO91" s="6"/>
      <c r="AP91" s="25"/>
      <c r="AQ91" s="15"/>
      <c r="AR91" s="16" t="s">
        <v>111</v>
      </c>
      <c r="AS91" s="16"/>
      <c r="AT91" s="6" t="s">
        <v>113</v>
      </c>
      <c r="AU91" s="6" t="s">
        <v>525</v>
      </c>
      <c r="AV91" s="6" t="s">
        <v>115</v>
      </c>
      <c r="AW91" s="6" t="s">
        <v>435</v>
      </c>
      <c r="AX91" s="12">
        <f t="shared" si="8"/>
        <v>14</v>
      </c>
      <c r="AY91" s="12" t="str">
        <f t="shared" si="9"/>
        <v/>
      </c>
      <c r="AZ91" s="18" t="s">
        <v>3332</v>
      </c>
    </row>
    <row r="92" spans="1:63" ht="20.100000000000001" hidden="1" customHeight="1" x14ac:dyDescent="0.2">
      <c r="A92" s="13">
        <v>86</v>
      </c>
      <c r="B92" s="16" t="s">
        <v>3330</v>
      </c>
      <c r="C92" s="16" t="s">
        <v>625</v>
      </c>
      <c r="D92" s="6" t="s">
        <v>2528</v>
      </c>
      <c r="E92" s="6" t="s">
        <v>10</v>
      </c>
      <c r="F92" s="6"/>
      <c r="G92" s="6"/>
      <c r="H92" s="15" t="s">
        <v>7</v>
      </c>
      <c r="I92" s="15"/>
      <c r="J92" s="15"/>
      <c r="K92" s="15"/>
      <c r="L92" s="15"/>
      <c r="M92" s="15"/>
      <c r="N92" s="15"/>
      <c r="O92" s="16" t="s">
        <v>84</v>
      </c>
      <c r="P92" s="35" t="s">
        <v>68</v>
      </c>
      <c r="Q92" s="35" t="s">
        <v>769</v>
      </c>
      <c r="R92" s="6" t="s">
        <v>3331</v>
      </c>
      <c r="S92" s="6" t="s">
        <v>106</v>
      </c>
      <c r="T92" s="15" t="s">
        <v>107</v>
      </c>
      <c r="U92" s="35" t="s">
        <v>263</v>
      </c>
      <c r="V92" s="35" t="s">
        <v>2325</v>
      </c>
      <c r="W92" s="35" t="s">
        <v>260</v>
      </c>
      <c r="X92" s="6" t="s">
        <v>3394</v>
      </c>
      <c r="Y92" s="6" t="s">
        <v>69</v>
      </c>
      <c r="Z92" s="6" t="s">
        <v>70</v>
      </c>
      <c r="AA92" s="15">
        <v>0</v>
      </c>
      <c r="AB92" s="15"/>
      <c r="AC92" s="15">
        <v>157</v>
      </c>
      <c r="AD92" s="33">
        <v>156</v>
      </c>
      <c r="AE92" s="34">
        <v>144</v>
      </c>
      <c r="AF92" s="16"/>
      <c r="AG92" s="16">
        <v>125</v>
      </c>
      <c r="AH92" s="16">
        <v>4</v>
      </c>
      <c r="AI92" s="16">
        <v>40</v>
      </c>
      <c r="AJ92" s="16">
        <v>169</v>
      </c>
      <c r="AK92" s="16">
        <v>4.5</v>
      </c>
      <c r="AL92" s="16"/>
      <c r="AM92" s="16"/>
      <c r="AN92" s="33" t="s">
        <v>158</v>
      </c>
      <c r="AO92" s="6" t="s">
        <v>3320</v>
      </c>
      <c r="AP92" s="25">
        <v>169</v>
      </c>
      <c r="AQ92" s="15">
        <v>4.5</v>
      </c>
      <c r="AR92" s="16" t="s">
        <v>111</v>
      </c>
      <c r="AS92" s="16" t="s">
        <v>231</v>
      </c>
      <c r="AT92" s="6"/>
      <c r="AU92" s="6"/>
      <c r="AV92" s="6"/>
      <c r="AW92" s="6"/>
      <c r="AX92" s="12" t="str">
        <f t="shared" si="8"/>
        <v/>
      </c>
      <c r="AY92" s="12" t="str">
        <f t="shared" si="9"/>
        <v/>
      </c>
      <c r="AZ92" s="18"/>
      <c r="BA92" s="19"/>
      <c r="BB92" s="19"/>
      <c r="BC92" s="19"/>
      <c r="BD92" s="19"/>
      <c r="BE92" s="19"/>
      <c r="BF92" s="19"/>
      <c r="BG92" s="19"/>
      <c r="BH92" s="19"/>
      <c r="BI92" s="19"/>
      <c r="BJ92" s="19"/>
      <c r="BK92" s="19"/>
    </row>
    <row r="93" spans="1:63" ht="20.100000000000001" hidden="1" customHeight="1" x14ac:dyDescent="0.2">
      <c r="A93" s="13">
        <v>87</v>
      </c>
      <c r="B93" s="16" t="s">
        <v>3334</v>
      </c>
      <c r="C93" s="16" t="s">
        <v>625</v>
      </c>
      <c r="D93" s="6" t="s">
        <v>2350</v>
      </c>
      <c r="E93" s="6" t="s">
        <v>9</v>
      </c>
      <c r="F93" s="6" t="s">
        <v>192</v>
      </c>
      <c r="G93" s="6"/>
      <c r="H93" s="15" t="s">
        <v>7</v>
      </c>
      <c r="I93" s="15"/>
      <c r="J93" s="15"/>
      <c r="K93" s="15"/>
      <c r="L93" s="15"/>
      <c r="M93" s="15"/>
      <c r="N93" s="15"/>
      <c r="O93" s="16" t="s">
        <v>84</v>
      </c>
      <c r="P93" s="6" t="s">
        <v>429</v>
      </c>
      <c r="Q93" s="202" t="s">
        <v>223</v>
      </c>
      <c r="R93" s="6" t="s">
        <v>3337</v>
      </c>
      <c r="S93" s="6" t="s">
        <v>69</v>
      </c>
      <c r="T93" s="15" t="s">
        <v>70</v>
      </c>
      <c r="U93" s="6" t="s">
        <v>429</v>
      </c>
      <c r="V93" s="6" t="s">
        <v>1809</v>
      </c>
      <c r="W93" s="6" t="s">
        <v>260</v>
      </c>
      <c r="X93" s="6" t="s">
        <v>3338</v>
      </c>
      <c r="Y93" s="6" t="s">
        <v>106</v>
      </c>
      <c r="Z93" s="6" t="s">
        <v>107</v>
      </c>
      <c r="AA93" s="15">
        <v>0</v>
      </c>
      <c r="AB93" s="15"/>
      <c r="AC93" s="15">
        <v>180</v>
      </c>
      <c r="AD93" s="15">
        <v>0</v>
      </c>
      <c r="AE93" s="16">
        <v>171</v>
      </c>
      <c r="AF93" s="16">
        <v>117</v>
      </c>
      <c r="AG93" s="16">
        <v>121</v>
      </c>
      <c r="AH93" s="16">
        <v>7</v>
      </c>
      <c r="AI93" s="16">
        <v>18</v>
      </c>
      <c r="AJ93" s="16">
        <v>146</v>
      </c>
      <c r="AK93" s="16">
        <v>7</v>
      </c>
      <c r="AL93" s="16"/>
      <c r="AM93" s="16"/>
      <c r="AN93" s="17"/>
      <c r="AO93" s="6" t="s">
        <v>3330</v>
      </c>
      <c r="AP93" s="25">
        <v>146</v>
      </c>
      <c r="AQ93" s="15">
        <v>7.2</v>
      </c>
      <c r="AR93" s="16" t="s">
        <v>160</v>
      </c>
      <c r="AS93" s="16" t="s">
        <v>231</v>
      </c>
      <c r="AT93" s="6"/>
      <c r="AU93" s="6"/>
      <c r="AV93" s="6"/>
      <c r="AW93" s="6"/>
      <c r="AX93" s="12" t="str">
        <f t="shared" si="8"/>
        <v/>
      </c>
      <c r="AY93" s="12" t="str">
        <f t="shared" si="9"/>
        <v/>
      </c>
      <c r="AZ93" s="18"/>
      <c r="BA93" s="19"/>
      <c r="BB93" s="19"/>
      <c r="BC93" s="19"/>
      <c r="BD93" s="19"/>
      <c r="BE93" s="19"/>
      <c r="BF93" s="19"/>
      <c r="BG93" s="19"/>
      <c r="BH93" s="19"/>
      <c r="BI93" s="19"/>
      <c r="BJ93" s="19"/>
      <c r="BK93" s="19"/>
    </row>
    <row r="94" spans="1:63" ht="20.100000000000001" hidden="1" customHeight="1" x14ac:dyDescent="0.2">
      <c r="A94" s="13">
        <v>88</v>
      </c>
      <c r="B94" s="16" t="s">
        <v>3335</v>
      </c>
      <c r="C94" s="16" t="s">
        <v>625</v>
      </c>
      <c r="D94" s="6" t="s">
        <v>3336</v>
      </c>
      <c r="E94" s="6" t="s">
        <v>10</v>
      </c>
      <c r="F94" s="6" t="s">
        <v>94</v>
      </c>
      <c r="G94" s="6"/>
      <c r="H94" s="15" t="s">
        <v>83</v>
      </c>
      <c r="I94" s="15"/>
      <c r="J94" s="15"/>
      <c r="K94" s="15"/>
      <c r="L94" s="15"/>
      <c r="M94" s="15"/>
      <c r="N94" s="15"/>
      <c r="O94" s="16" t="s">
        <v>84</v>
      </c>
      <c r="P94" s="6" t="s">
        <v>429</v>
      </c>
      <c r="Q94" s="6" t="s">
        <v>104</v>
      </c>
      <c r="R94" s="6" t="s">
        <v>3339</v>
      </c>
      <c r="S94" s="6" t="s">
        <v>262</v>
      </c>
      <c r="T94" s="15" t="s">
        <v>70</v>
      </c>
      <c r="U94" s="6" t="s">
        <v>429</v>
      </c>
      <c r="V94" s="6" t="s">
        <v>3677</v>
      </c>
      <c r="W94" s="6" t="s">
        <v>555</v>
      </c>
      <c r="X94" s="6" t="s">
        <v>3340</v>
      </c>
      <c r="Y94" s="6" t="s">
        <v>119</v>
      </c>
      <c r="Z94" s="6" t="s">
        <v>107</v>
      </c>
      <c r="AA94" s="15" t="s">
        <v>3341</v>
      </c>
      <c r="AB94" s="15"/>
      <c r="AC94" s="15"/>
      <c r="AD94" s="15">
        <v>174</v>
      </c>
      <c r="AE94" s="16"/>
      <c r="AF94" s="16"/>
      <c r="AG94" s="16"/>
      <c r="AH94" s="16"/>
      <c r="AI94" s="16"/>
      <c r="AJ94" s="16"/>
      <c r="AK94" s="16"/>
      <c r="AL94" s="16"/>
      <c r="AM94" s="16"/>
      <c r="AN94" s="17"/>
      <c r="AO94" s="6"/>
      <c r="AP94" s="25"/>
      <c r="AQ94" s="15"/>
      <c r="AR94" s="16"/>
      <c r="AS94" s="16"/>
      <c r="AT94" s="6" t="s">
        <v>113</v>
      </c>
      <c r="AU94" s="6" t="s">
        <v>235</v>
      </c>
      <c r="AV94" s="6" t="s">
        <v>547</v>
      </c>
      <c r="AW94" s="6" t="s">
        <v>260</v>
      </c>
      <c r="AX94" s="12">
        <f t="shared" si="8"/>
        <v>63</v>
      </c>
      <c r="AY94" s="12" t="str">
        <f t="shared" si="9"/>
        <v/>
      </c>
      <c r="AZ94" s="18"/>
      <c r="BA94" s="19"/>
      <c r="BB94" s="19"/>
      <c r="BC94" s="19"/>
      <c r="BD94" s="19"/>
      <c r="BE94" s="19"/>
      <c r="BF94" s="19"/>
      <c r="BG94" s="19"/>
      <c r="BH94" s="19"/>
      <c r="BI94" s="19"/>
      <c r="BJ94" s="19"/>
      <c r="BK94" s="19"/>
    </row>
    <row r="95" spans="1:63" ht="19.5" hidden="1" customHeight="1" x14ac:dyDescent="0.2">
      <c r="A95" s="13">
        <v>89</v>
      </c>
      <c r="B95" s="16" t="s">
        <v>3342</v>
      </c>
      <c r="C95" s="16" t="s">
        <v>625</v>
      </c>
      <c r="D95" s="6" t="s">
        <v>2293</v>
      </c>
      <c r="E95" s="6" t="s">
        <v>8</v>
      </c>
      <c r="F95" s="6" t="s">
        <v>4038</v>
      </c>
      <c r="G95" s="6"/>
      <c r="H95" s="15" t="s">
        <v>83</v>
      </c>
      <c r="I95" s="15"/>
      <c r="J95" s="15"/>
      <c r="K95" s="15"/>
      <c r="L95" s="15"/>
      <c r="M95" s="15"/>
      <c r="N95" s="15"/>
      <c r="O95" s="16" t="s">
        <v>93</v>
      </c>
      <c r="P95" s="6"/>
      <c r="Q95" s="6" t="s">
        <v>104</v>
      </c>
      <c r="R95" s="6"/>
      <c r="S95" s="6"/>
      <c r="T95" s="15"/>
      <c r="U95" s="6"/>
      <c r="V95" s="6" t="s">
        <v>3678</v>
      </c>
      <c r="W95" s="6" t="s">
        <v>506</v>
      </c>
      <c r="X95" s="6"/>
      <c r="Y95" s="6"/>
      <c r="Z95" s="6"/>
      <c r="AA95" s="15"/>
      <c r="AB95" s="15"/>
      <c r="AC95" s="15"/>
      <c r="AD95" s="15">
        <v>125</v>
      </c>
      <c r="AE95" s="16"/>
      <c r="AF95" s="16"/>
      <c r="AG95" s="16"/>
      <c r="AH95" s="16"/>
      <c r="AI95" s="16"/>
      <c r="AJ95" s="16"/>
      <c r="AK95" s="16"/>
      <c r="AL95" s="16"/>
      <c r="AM95" s="16"/>
      <c r="AN95" s="17"/>
      <c r="AO95" s="6"/>
      <c r="AP95" s="25"/>
      <c r="AQ95" s="15"/>
      <c r="AR95" s="16"/>
      <c r="AS95" s="16"/>
      <c r="AT95" s="6" t="s">
        <v>113</v>
      </c>
      <c r="AU95" s="6" t="s">
        <v>235</v>
      </c>
      <c r="AV95" s="6" t="s">
        <v>3351</v>
      </c>
      <c r="AW95" s="6" t="s">
        <v>3351</v>
      </c>
      <c r="AX95" s="12" t="e">
        <f t="shared" si="8"/>
        <v>#VALUE!</v>
      </c>
      <c r="AY95" s="12" t="e">
        <f t="shared" si="9"/>
        <v>#VALUE!</v>
      </c>
      <c r="AZ95" s="18"/>
      <c r="BA95" s="19"/>
      <c r="BB95" s="19"/>
      <c r="BC95" s="19"/>
      <c r="BD95" s="19"/>
      <c r="BE95" s="19"/>
      <c r="BF95" s="19"/>
      <c r="BG95" s="19"/>
      <c r="BH95" s="19"/>
      <c r="BI95" s="19"/>
      <c r="BJ95" s="19"/>
      <c r="BK95" s="19"/>
    </row>
    <row r="96" spans="1:63" ht="19.5" hidden="1" customHeight="1" x14ac:dyDescent="0.2">
      <c r="A96" s="13">
        <v>90</v>
      </c>
      <c r="B96" s="16" t="s">
        <v>3342</v>
      </c>
      <c r="C96" s="16" t="s">
        <v>625</v>
      </c>
      <c r="D96" s="6" t="s">
        <v>2293</v>
      </c>
      <c r="E96" s="6" t="s">
        <v>8</v>
      </c>
      <c r="F96" s="6"/>
      <c r="G96" s="6"/>
      <c r="H96" s="15" t="s">
        <v>7</v>
      </c>
      <c r="I96" s="15"/>
      <c r="J96" s="15"/>
      <c r="K96" s="15"/>
      <c r="L96" s="15"/>
      <c r="M96" s="15"/>
      <c r="N96" s="15"/>
      <c r="O96" s="16" t="s">
        <v>93</v>
      </c>
      <c r="P96" s="35" t="s">
        <v>104</v>
      </c>
      <c r="Q96" s="35" t="s">
        <v>117</v>
      </c>
      <c r="R96" s="6" t="s">
        <v>3343</v>
      </c>
      <c r="S96" s="6" t="s">
        <v>106</v>
      </c>
      <c r="T96" s="15" t="s">
        <v>107</v>
      </c>
      <c r="U96" s="35" t="s">
        <v>256</v>
      </c>
      <c r="V96" s="35" t="s">
        <v>3679</v>
      </c>
      <c r="W96" s="35" t="s">
        <v>465</v>
      </c>
      <c r="X96" s="6" t="s">
        <v>3344</v>
      </c>
      <c r="Y96" s="6" t="s">
        <v>142</v>
      </c>
      <c r="Z96" s="6" t="s">
        <v>70</v>
      </c>
      <c r="AA96" s="15">
        <v>0</v>
      </c>
      <c r="AB96" s="15"/>
      <c r="AC96" s="15">
        <v>130</v>
      </c>
      <c r="AD96" s="15">
        <v>125</v>
      </c>
      <c r="AE96" s="16">
        <v>125</v>
      </c>
      <c r="AF96" s="16"/>
      <c r="AG96" s="16">
        <v>90</v>
      </c>
      <c r="AH96" s="16">
        <v>7</v>
      </c>
      <c r="AI96" s="16">
        <v>22</v>
      </c>
      <c r="AJ96" s="16">
        <v>119</v>
      </c>
      <c r="AK96" s="16">
        <v>25</v>
      </c>
      <c r="AL96" s="16"/>
      <c r="AM96" s="16"/>
      <c r="AN96" s="33" t="s">
        <v>158</v>
      </c>
      <c r="AO96" s="6" t="s">
        <v>3347</v>
      </c>
      <c r="AP96" s="25">
        <v>119</v>
      </c>
      <c r="AQ96" s="15">
        <v>26</v>
      </c>
      <c r="AR96" s="16" t="s">
        <v>111</v>
      </c>
      <c r="AS96" s="16" t="s">
        <v>231</v>
      </c>
      <c r="AT96" s="6"/>
      <c r="AU96" s="6"/>
      <c r="AV96" s="6"/>
      <c r="AW96" s="6"/>
      <c r="AX96" s="12" t="str">
        <f t="shared" si="8"/>
        <v/>
      </c>
      <c r="AY96" s="12" t="str">
        <f t="shared" si="9"/>
        <v/>
      </c>
      <c r="AZ96" s="18"/>
      <c r="BA96" s="19"/>
      <c r="BB96" s="19"/>
      <c r="BC96" s="19"/>
      <c r="BD96" s="19"/>
      <c r="BE96" s="19"/>
      <c r="BF96" s="19"/>
      <c r="BG96" s="19"/>
      <c r="BH96" s="19"/>
      <c r="BI96" s="19"/>
      <c r="BJ96" s="19"/>
      <c r="BK96" s="19"/>
    </row>
    <row r="97" spans="1:63" ht="19.5" hidden="1" customHeight="1" x14ac:dyDescent="0.2">
      <c r="A97" s="13">
        <v>91</v>
      </c>
      <c r="B97" s="16" t="s">
        <v>3342</v>
      </c>
      <c r="C97" s="16" t="s">
        <v>625</v>
      </c>
      <c r="D97" s="6" t="s">
        <v>3336</v>
      </c>
      <c r="E97" s="6" t="s">
        <v>10</v>
      </c>
      <c r="F97" s="6"/>
      <c r="G97" s="6"/>
      <c r="H97" s="15" t="s">
        <v>7</v>
      </c>
      <c r="I97" s="15"/>
      <c r="J97" s="15"/>
      <c r="K97" s="15"/>
      <c r="L97" s="15"/>
      <c r="M97" s="15"/>
      <c r="N97" s="15"/>
      <c r="O97" s="16" t="s">
        <v>84</v>
      </c>
      <c r="P97" s="35" t="s">
        <v>104</v>
      </c>
      <c r="Q97" s="35" t="s">
        <v>140</v>
      </c>
      <c r="R97" s="6" t="s">
        <v>3345</v>
      </c>
      <c r="S97" s="6" t="s">
        <v>106</v>
      </c>
      <c r="T97" s="15" t="s">
        <v>107</v>
      </c>
      <c r="U97" s="35" t="s">
        <v>361</v>
      </c>
      <c r="V97" s="35" t="s">
        <v>2245</v>
      </c>
      <c r="W97" s="35" t="s">
        <v>116</v>
      </c>
      <c r="X97" s="6" t="s">
        <v>3346</v>
      </c>
      <c r="Y97" s="6" t="s">
        <v>106</v>
      </c>
      <c r="Z97" s="6" t="s">
        <v>107</v>
      </c>
      <c r="AA97" s="15">
        <v>0</v>
      </c>
      <c r="AB97" s="15"/>
      <c r="AC97" s="15">
        <v>216</v>
      </c>
      <c r="AD97" s="33">
        <v>174</v>
      </c>
      <c r="AE97" s="34">
        <v>180</v>
      </c>
      <c r="AF97" s="16">
        <v>152</v>
      </c>
      <c r="AG97" s="16">
        <v>168</v>
      </c>
      <c r="AH97" s="16">
        <v>5</v>
      </c>
      <c r="AI97" s="16">
        <v>18</v>
      </c>
      <c r="AJ97" s="16">
        <v>191</v>
      </c>
      <c r="AK97" s="16">
        <v>13</v>
      </c>
      <c r="AL97" s="16"/>
      <c r="AM97" s="16"/>
      <c r="AN97" s="33" t="s">
        <v>158</v>
      </c>
      <c r="AO97" s="6" t="s">
        <v>3347</v>
      </c>
      <c r="AP97" s="25">
        <v>191</v>
      </c>
      <c r="AQ97" s="15">
        <v>12.5</v>
      </c>
      <c r="AR97" s="16" t="s">
        <v>111</v>
      </c>
      <c r="AS97" s="16" t="s">
        <v>161</v>
      </c>
      <c r="AT97" s="6"/>
      <c r="AU97" s="6"/>
      <c r="AV97" s="6"/>
      <c r="AW97" s="6"/>
      <c r="AX97" s="12" t="str">
        <f t="shared" si="8"/>
        <v/>
      </c>
      <c r="AY97" s="12" t="str">
        <f t="shared" si="9"/>
        <v/>
      </c>
      <c r="AZ97" s="18"/>
      <c r="BA97" s="19"/>
      <c r="BB97" s="19"/>
      <c r="BC97" s="19"/>
      <c r="BD97" s="19"/>
      <c r="BE97" s="19"/>
      <c r="BF97" s="19"/>
      <c r="BG97" s="19"/>
      <c r="BH97" s="19"/>
      <c r="BI97" s="19"/>
      <c r="BJ97" s="19"/>
      <c r="BK97" s="19"/>
    </row>
    <row r="98" spans="1:63" ht="19.5" hidden="1" customHeight="1" x14ac:dyDescent="0.2">
      <c r="A98" s="13">
        <v>92</v>
      </c>
      <c r="B98" s="16" t="s">
        <v>3342</v>
      </c>
      <c r="C98" s="16" t="s">
        <v>625</v>
      </c>
      <c r="D98" s="6" t="s">
        <v>2558</v>
      </c>
      <c r="E98" s="6" t="s">
        <v>20</v>
      </c>
      <c r="F98" s="6" t="s">
        <v>185</v>
      </c>
      <c r="G98" s="6"/>
      <c r="H98" s="15" t="s">
        <v>83</v>
      </c>
      <c r="I98" s="15"/>
      <c r="J98" s="15"/>
      <c r="K98" s="15"/>
      <c r="L98" s="15"/>
      <c r="M98" s="15"/>
      <c r="N98" s="15"/>
      <c r="O98" s="16" t="s">
        <v>84</v>
      </c>
      <c r="P98" s="6"/>
      <c r="Q98" s="6" t="s">
        <v>117</v>
      </c>
      <c r="R98" s="6" t="s">
        <v>3348</v>
      </c>
      <c r="S98" s="6" t="s">
        <v>119</v>
      </c>
      <c r="T98" s="15" t="s">
        <v>107</v>
      </c>
      <c r="U98" s="6"/>
      <c r="V98" s="6" t="s">
        <v>3677</v>
      </c>
      <c r="W98" s="6" t="s">
        <v>465</v>
      </c>
      <c r="X98" s="6" t="s">
        <v>3349</v>
      </c>
      <c r="Y98" s="6" t="s">
        <v>119</v>
      </c>
      <c r="Z98" s="6" t="s">
        <v>107</v>
      </c>
      <c r="AA98" s="15" t="s">
        <v>3350</v>
      </c>
      <c r="AB98" s="15"/>
      <c r="AC98" s="15"/>
      <c r="AD98" s="15">
        <v>162</v>
      </c>
      <c r="AE98" s="16"/>
      <c r="AF98" s="16"/>
      <c r="AG98" s="16"/>
      <c r="AH98" s="16"/>
      <c r="AI98" s="16"/>
      <c r="AJ98" s="16"/>
      <c r="AK98" s="16"/>
      <c r="AL98" s="16"/>
      <c r="AM98" s="16"/>
      <c r="AN98" s="15"/>
      <c r="AO98" s="6"/>
      <c r="AP98" s="6"/>
      <c r="AQ98" s="15"/>
      <c r="AR98" s="16"/>
      <c r="AS98" s="16"/>
      <c r="AT98" s="6" t="s">
        <v>113</v>
      </c>
      <c r="AU98" s="6" t="s">
        <v>235</v>
      </c>
      <c r="AV98" s="6" t="s">
        <v>136</v>
      </c>
      <c r="AW98" s="6" t="s">
        <v>266</v>
      </c>
      <c r="AX98" s="12">
        <f t="shared" si="8"/>
        <v>18</v>
      </c>
      <c r="AY98" s="12" t="str">
        <f t="shared" si="9"/>
        <v/>
      </c>
      <c r="AZ98" s="18"/>
      <c r="BA98" s="19"/>
      <c r="BB98" s="19"/>
      <c r="BC98" s="19"/>
      <c r="BD98" s="19"/>
      <c r="BE98" s="19"/>
      <c r="BF98" s="19"/>
      <c r="BG98" s="19"/>
      <c r="BH98" s="19"/>
      <c r="BI98" s="19"/>
      <c r="BJ98" s="19"/>
      <c r="BK98" s="19"/>
    </row>
    <row r="99" spans="1:63" ht="20.100000000000001" hidden="1" customHeight="1" x14ac:dyDescent="0.2">
      <c r="A99" s="13">
        <v>93</v>
      </c>
      <c r="B99" s="16" t="s">
        <v>3352</v>
      </c>
      <c r="C99" s="16" t="s">
        <v>625</v>
      </c>
      <c r="D99" s="6" t="s">
        <v>3354</v>
      </c>
      <c r="E99" s="6" t="s">
        <v>243</v>
      </c>
      <c r="F99" s="6" t="s">
        <v>185</v>
      </c>
      <c r="G99" s="6"/>
      <c r="H99" s="15" t="s">
        <v>83</v>
      </c>
      <c r="I99" s="15"/>
      <c r="J99" s="15"/>
      <c r="K99" s="15"/>
      <c r="L99" s="15"/>
      <c r="M99" s="15"/>
      <c r="N99" s="15"/>
      <c r="O99" s="16" t="s">
        <v>93</v>
      </c>
      <c r="P99" s="6"/>
      <c r="Q99" s="6" t="s">
        <v>117</v>
      </c>
      <c r="R99" s="6" t="s">
        <v>3355</v>
      </c>
      <c r="S99" s="6" t="s">
        <v>262</v>
      </c>
      <c r="T99" s="15" t="s">
        <v>70</v>
      </c>
      <c r="U99" s="6"/>
      <c r="V99" s="6" t="s">
        <v>3679</v>
      </c>
      <c r="W99" s="6" t="s">
        <v>465</v>
      </c>
      <c r="X99" s="6" t="s">
        <v>3356</v>
      </c>
      <c r="Y99" s="6" t="s">
        <v>262</v>
      </c>
      <c r="Z99" s="6" t="s">
        <v>70</v>
      </c>
      <c r="AA99" s="15" t="s">
        <v>3357</v>
      </c>
      <c r="AB99" s="15"/>
      <c r="AC99" s="15"/>
      <c r="AD99" s="15">
        <v>165</v>
      </c>
      <c r="AE99" s="16"/>
      <c r="AF99" s="16"/>
      <c r="AG99" s="16"/>
      <c r="AH99" s="16"/>
      <c r="AI99" s="16"/>
      <c r="AJ99" s="16"/>
      <c r="AK99" s="16"/>
      <c r="AL99" s="16"/>
      <c r="AM99" s="16"/>
      <c r="AN99" s="6"/>
      <c r="AO99" s="6"/>
      <c r="AP99" s="6"/>
      <c r="AQ99" s="15"/>
      <c r="AR99" s="16"/>
      <c r="AS99" s="16"/>
      <c r="AT99" s="6" t="s">
        <v>113</v>
      </c>
      <c r="AU99" s="6" t="s">
        <v>235</v>
      </c>
      <c r="AV99" s="6" t="s">
        <v>547</v>
      </c>
      <c r="AW99" s="6" t="s">
        <v>260</v>
      </c>
      <c r="AX99" s="12">
        <f t="shared" si="8"/>
        <v>63</v>
      </c>
      <c r="AY99" s="12" t="str">
        <f t="shared" si="9"/>
        <v/>
      </c>
      <c r="AZ99" s="18"/>
      <c r="BA99" s="19"/>
      <c r="BB99" s="19"/>
      <c r="BC99" s="19"/>
      <c r="BD99" s="19"/>
      <c r="BE99" s="19"/>
      <c r="BF99" s="19"/>
      <c r="BG99" s="19"/>
      <c r="BH99" s="19"/>
      <c r="BI99" s="19"/>
      <c r="BJ99" s="19"/>
      <c r="BK99" s="19"/>
    </row>
    <row r="100" spans="1:63" s="21" customFormat="1" ht="20.100000000000001" hidden="1" customHeight="1" x14ac:dyDescent="0.2">
      <c r="A100" s="13">
        <v>94</v>
      </c>
      <c r="B100" s="29" t="s">
        <v>3353</v>
      </c>
      <c r="C100" s="29" t="s">
        <v>625</v>
      </c>
      <c r="D100" s="30" t="s">
        <v>835</v>
      </c>
      <c r="E100" s="30" t="s">
        <v>20</v>
      </c>
      <c r="F100" s="30" t="s">
        <v>186</v>
      </c>
      <c r="G100" s="30"/>
      <c r="H100" s="20" t="s">
        <v>83</v>
      </c>
      <c r="I100" s="20"/>
      <c r="J100" s="20"/>
      <c r="K100" s="20"/>
      <c r="L100" s="20"/>
      <c r="M100" s="20"/>
      <c r="N100" s="20"/>
      <c r="O100" s="29" t="s">
        <v>84</v>
      </c>
      <c r="P100" s="30"/>
      <c r="Q100" s="30" t="s">
        <v>218</v>
      </c>
      <c r="R100" s="30" t="s">
        <v>836</v>
      </c>
      <c r="S100" s="30" t="s">
        <v>106</v>
      </c>
      <c r="T100" s="20" t="s">
        <v>107</v>
      </c>
      <c r="U100" s="30"/>
      <c r="V100" s="30" t="s">
        <v>3677</v>
      </c>
      <c r="W100" s="30" t="s">
        <v>260</v>
      </c>
      <c r="X100" s="30" t="s">
        <v>837</v>
      </c>
      <c r="Y100" s="30" t="s">
        <v>69</v>
      </c>
      <c r="Z100" s="30" t="s">
        <v>70</v>
      </c>
      <c r="AA100" s="20" t="s">
        <v>3358</v>
      </c>
      <c r="AB100" s="20"/>
      <c r="AC100" s="20"/>
      <c r="AD100" s="20">
        <v>237</v>
      </c>
      <c r="AE100" s="29"/>
      <c r="AF100" s="29"/>
      <c r="AG100" s="29"/>
      <c r="AH100" s="29"/>
      <c r="AI100" s="29"/>
      <c r="AJ100" s="29"/>
      <c r="AK100" s="29"/>
      <c r="AL100" s="29"/>
      <c r="AM100" s="29"/>
      <c r="AN100" s="20"/>
      <c r="AO100" s="30"/>
      <c r="AP100" s="30"/>
      <c r="AQ100" s="20"/>
      <c r="AR100" s="29"/>
      <c r="AS100" s="29"/>
      <c r="AT100" s="30" t="s">
        <v>113</v>
      </c>
      <c r="AU100" s="30" t="s">
        <v>235</v>
      </c>
      <c r="AV100" s="30" t="s">
        <v>115</v>
      </c>
      <c r="AW100" s="30" t="s">
        <v>124</v>
      </c>
      <c r="AX100" s="31">
        <f t="shared" si="8"/>
        <v>11</v>
      </c>
      <c r="AY100" s="31">
        <f t="shared" si="9"/>
        <v>11</v>
      </c>
      <c r="AZ100" s="32"/>
    </row>
    <row r="101" spans="1:63" ht="20.100000000000001" hidden="1" customHeight="1" x14ac:dyDescent="0.2">
      <c r="A101" s="13">
        <v>95</v>
      </c>
      <c r="B101" s="16" t="s">
        <v>3362</v>
      </c>
      <c r="C101" s="16" t="s">
        <v>625</v>
      </c>
      <c r="D101" s="6" t="s">
        <v>3074</v>
      </c>
      <c r="E101" s="6" t="s">
        <v>19</v>
      </c>
      <c r="F101" s="6" t="s">
        <v>185</v>
      </c>
      <c r="G101" s="6"/>
      <c r="H101" s="15" t="s">
        <v>83</v>
      </c>
      <c r="I101" s="15"/>
      <c r="J101" s="15"/>
      <c r="K101" s="15"/>
      <c r="L101" s="15"/>
      <c r="M101" s="15"/>
      <c r="N101" s="15"/>
      <c r="O101" s="16" t="s">
        <v>93</v>
      </c>
      <c r="P101" s="6"/>
      <c r="Q101" s="6" t="s">
        <v>117</v>
      </c>
      <c r="R101" s="6" t="s">
        <v>3359</v>
      </c>
      <c r="S101" s="6" t="s">
        <v>369</v>
      </c>
      <c r="T101" s="15" t="s">
        <v>369</v>
      </c>
      <c r="U101" s="6"/>
      <c r="V101" s="6" t="s">
        <v>3677</v>
      </c>
      <c r="W101" s="6" t="s">
        <v>465</v>
      </c>
      <c r="X101" s="6" t="s">
        <v>3360</v>
      </c>
      <c r="Y101" s="6" t="s">
        <v>206</v>
      </c>
      <c r="Z101" s="6" t="s">
        <v>107</v>
      </c>
      <c r="AA101" s="15" t="s">
        <v>3361</v>
      </c>
      <c r="AB101" s="15"/>
      <c r="AC101" s="15"/>
      <c r="AD101" s="15">
        <v>174</v>
      </c>
      <c r="AE101" s="16"/>
      <c r="AF101" s="16"/>
      <c r="AG101" s="16"/>
      <c r="AH101" s="16"/>
      <c r="AI101" s="16"/>
      <c r="AJ101" s="16"/>
      <c r="AK101" s="16"/>
      <c r="AL101" s="16"/>
      <c r="AM101" s="16"/>
      <c r="AN101" s="6"/>
      <c r="AO101" s="6"/>
      <c r="AP101" s="6"/>
      <c r="AQ101" s="15"/>
      <c r="AR101" s="16"/>
      <c r="AS101" s="16"/>
      <c r="AT101" s="6" t="s">
        <v>113</v>
      </c>
      <c r="AU101" s="6" t="s">
        <v>235</v>
      </c>
      <c r="AV101" s="6" t="s">
        <v>348</v>
      </c>
      <c r="AW101" s="6" t="s">
        <v>124</v>
      </c>
      <c r="AX101" s="12">
        <f t="shared" si="8"/>
        <v>47</v>
      </c>
      <c r="AY101" s="12" t="str">
        <f t="shared" si="9"/>
        <v/>
      </c>
      <c r="AZ101" s="18"/>
      <c r="BA101" s="19"/>
      <c r="BB101" s="19"/>
      <c r="BC101" s="19"/>
      <c r="BD101" s="19"/>
      <c r="BE101" s="19"/>
      <c r="BF101" s="19"/>
      <c r="BG101" s="19"/>
      <c r="BH101" s="19"/>
      <c r="BI101" s="19"/>
      <c r="BJ101" s="19"/>
      <c r="BK101" s="19"/>
    </row>
    <row r="102" spans="1:63" ht="20.100000000000001" hidden="1" customHeight="1" x14ac:dyDescent="0.2">
      <c r="A102" s="13">
        <v>96</v>
      </c>
      <c r="B102" s="16" t="s">
        <v>3362</v>
      </c>
      <c r="C102" s="16" t="s">
        <v>625</v>
      </c>
      <c r="D102" s="6" t="s">
        <v>3363</v>
      </c>
      <c r="E102" s="6" t="s">
        <v>19</v>
      </c>
      <c r="F102" s="6" t="s">
        <v>192</v>
      </c>
      <c r="G102" s="6"/>
      <c r="H102" s="15" t="s">
        <v>7</v>
      </c>
      <c r="I102" s="15"/>
      <c r="J102" s="15"/>
      <c r="K102" s="15"/>
      <c r="L102" s="15"/>
      <c r="M102" s="15"/>
      <c r="N102" s="15"/>
      <c r="O102" s="16" t="s">
        <v>93</v>
      </c>
      <c r="P102" s="6" t="s">
        <v>429</v>
      </c>
      <c r="Q102" s="6" t="s">
        <v>68</v>
      </c>
      <c r="R102" s="6" t="s">
        <v>293</v>
      </c>
      <c r="S102" s="6" t="s">
        <v>106</v>
      </c>
      <c r="T102" s="15" t="s">
        <v>107</v>
      </c>
      <c r="U102" s="6" t="s">
        <v>429</v>
      </c>
      <c r="V102" s="6" t="s">
        <v>1510</v>
      </c>
      <c r="W102" s="6" t="s">
        <v>1581</v>
      </c>
      <c r="X102" s="6" t="s">
        <v>3364</v>
      </c>
      <c r="Y102" s="6" t="s">
        <v>73</v>
      </c>
      <c r="Z102" s="6" t="s">
        <v>70</v>
      </c>
      <c r="AA102" s="15">
        <v>0</v>
      </c>
      <c r="AB102" s="15" t="s">
        <v>163</v>
      </c>
      <c r="AC102" s="15">
        <v>230</v>
      </c>
      <c r="AD102" s="15">
        <v>0</v>
      </c>
      <c r="AE102" s="16">
        <v>210</v>
      </c>
      <c r="AF102" s="16">
        <v>78</v>
      </c>
      <c r="AG102" s="16">
        <v>172</v>
      </c>
      <c r="AH102" s="16">
        <v>20</v>
      </c>
      <c r="AI102" s="16">
        <v>47</v>
      </c>
      <c r="AJ102" s="16">
        <v>239</v>
      </c>
      <c r="AK102" s="16">
        <v>14</v>
      </c>
      <c r="AL102" s="16"/>
      <c r="AM102" s="16"/>
      <c r="AN102" s="15"/>
      <c r="AO102" s="6" t="s">
        <v>3352</v>
      </c>
      <c r="AP102" s="6" t="s">
        <v>3365</v>
      </c>
      <c r="AQ102" s="15">
        <v>14.5</v>
      </c>
      <c r="AR102" s="16" t="s">
        <v>160</v>
      </c>
      <c r="AS102" s="16" t="s">
        <v>193</v>
      </c>
      <c r="AT102" s="6"/>
      <c r="AU102" s="6"/>
      <c r="AV102" s="6"/>
      <c r="AW102" s="6"/>
      <c r="AX102" s="12" t="str">
        <f t="shared" si="8"/>
        <v/>
      </c>
      <c r="AY102" s="12" t="str">
        <f t="shared" si="9"/>
        <v/>
      </c>
      <c r="AZ102" s="18"/>
      <c r="BA102" s="19"/>
      <c r="BB102" s="19"/>
      <c r="BC102" s="19"/>
      <c r="BD102" s="19"/>
      <c r="BE102" s="19"/>
      <c r="BF102" s="19"/>
      <c r="BG102" s="19"/>
      <c r="BH102" s="19"/>
      <c r="BI102" s="19"/>
      <c r="BJ102" s="19"/>
      <c r="BK102" s="19"/>
    </row>
    <row r="103" spans="1:63" ht="20.100000000000001" hidden="1" customHeight="1" x14ac:dyDescent="0.2">
      <c r="A103" s="13">
        <v>97</v>
      </c>
      <c r="B103" s="16" t="s">
        <v>3366</v>
      </c>
      <c r="C103" s="16" t="s">
        <v>625</v>
      </c>
      <c r="D103" s="6" t="s">
        <v>3367</v>
      </c>
      <c r="E103" s="6" t="s">
        <v>8</v>
      </c>
      <c r="F103" s="6" t="s">
        <v>186</v>
      </c>
      <c r="G103" s="6"/>
      <c r="H103" s="15" t="s">
        <v>83</v>
      </c>
      <c r="I103" s="15"/>
      <c r="J103" s="15"/>
      <c r="K103" s="15"/>
      <c r="L103" s="15"/>
      <c r="M103" s="15"/>
      <c r="N103" s="15"/>
      <c r="O103" s="16" t="s">
        <v>93</v>
      </c>
      <c r="P103" s="6"/>
      <c r="Q103" s="6" t="s">
        <v>155</v>
      </c>
      <c r="R103" s="6" t="s">
        <v>3368</v>
      </c>
      <c r="S103" s="6" t="s">
        <v>142</v>
      </c>
      <c r="T103" s="15" t="s">
        <v>70</v>
      </c>
      <c r="U103" s="6"/>
      <c r="V103" s="6" t="s">
        <v>3679</v>
      </c>
      <c r="W103" s="6" t="s">
        <v>441</v>
      </c>
      <c r="X103" s="6" t="s">
        <v>3369</v>
      </c>
      <c r="Y103" s="6" t="s">
        <v>142</v>
      </c>
      <c r="Z103" s="6" t="s">
        <v>70</v>
      </c>
      <c r="AA103" s="15" t="s">
        <v>3370</v>
      </c>
      <c r="AB103" s="15"/>
      <c r="AC103" s="15"/>
      <c r="AD103" s="15">
        <v>198</v>
      </c>
      <c r="AE103" s="16"/>
      <c r="AF103" s="16"/>
      <c r="AG103" s="16"/>
      <c r="AH103" s="16"/>
      <c r="AI103" s="16"/>
      <c r="AJ103" s="16"/>
      <c r="AK103" s="16"/>
      <c r="AL103" s="16"/>
      <c r="AM103" s="16"/>
      <c r="AN103" s="17"/>
      <c r="AO103" s="6"/>
      <c r="AP103" s="6"/>
      <c r="AQ103" s="15"/>
      <c r="AR103" s="16"/>
      <c r="AS103" s="16"/>
      <c r="AT103" s="6" t="s">
        <v>113</v>
      </c>
      <c r="AU103" s="6" t="s">
        <v>235</v>
      </c>
      <c r="AV103" s="6" t="s">
        <v>348</v>
      </c>
      <c r="AW103" s="6" t="s">
        <v>266</v>
      </c>
      <c r="AX103" s="12">
        <f t="shared" si="8"/>
        <v>42</v>
      </c>
      <c r="AY103" s="12" t="str">
        <f t="shared" si="9"/>
        <v/>
      </c>
      <c r="AZ103" s="18"/>
      <c r="BA103" s="19"/>
      <c r="BB103" s="19"/>
      <c r="BC103" s="19"/>
      <c r="BD103" s="19"/>
      <c r="BE103" s="19"/>
      <c r="BF103" s="19"/>
      <c r="BG103" s="19"/>
      <c r="BH103" s="19"/>
      <c r="BI103" s="19"/>
      <c r="BJ103" s="19"/>
      <c r="BK103" s="19"/>
    </row>
    <row r="104" spans="1:63" ht="20.100000000000001" hidden="1" customHeight="1" x14ac:dyDescent="0.2">
      <c r="A104" s="13">
        <v>98</v>
      </c>
      <c r="B104" s="16" t="s">
        <v>3376</v>
      </c>
      <c r="C104" s="16" t="s">
        <v>625</v>
      </c>
      <c r="D104" s="6" t="s">
        <v>2467</v>
      </c>
      <c r="E104" s="6" t="s">
        <v>243</v>
      </c>
      <c r="F104" s="6"/>
      <c r="G104" s="6"/>
      <c r="H104" s="15" t="s">
        <v>7</v>
      </c>
      <c r="I104" s="15"/>
      <c r="J104" s="15"/>
      <c r="K104" s="15"/>
      <c r="L104" s="15"/>
      <c r="M104" s="15"/>
      <c r="N104" s="15"/>
      <c r="O104" s="16" t="s">
        <v>93</v>
      </c>
      <c r="P104" s="35" t="s">
        <v>68</v>
      </c>
      <c r="Q104" s="35" t="s">
        <v>155</v>
      </c>
      <c r="R104" s="6" t="s">
        <v>3379</v>
      </c>
      <c r="S104" s="6" t="s">
        <v>106</v>
      </c>
      <c r="T104" s="15" t="s">
        <v>107</v>
      </c>
      <c r="U104" s="6" t="s">
        <v>804</v>
      </c>
      <c r="V104" s="6" t="s">
        <v>3678</v>
      </c>
      <c r="W104" s="6" t="s">
        <v>465</v>
      </c>
      <c r="X104" s="6" t="s">
        <v>3380</v>
      </c>
      <c r="Y104" s="6" t="s">
        <v>106</v>
      </c>
      <c r="Z104" s="6" t="s">
        <v>107</v>
      </c>
      <c r="AA104" s="15">
        <v>0</v>
      </c>
      <c r="AB104" s="15"/>
      <c r="AC104" s="15">
        <v>130</v>
      </c>
      <c r="AD104" s="33">
        <v>96</v>
      </c>
      <c r="AE104" s="34">
        <v>114</v>
      </c>
      <c r="AF104" s="16">
        <v>37</v>
      </c>
      <c r="AG104" s="16">
        <v>60</v>
      </c>
      <c r="AH104" s="16">
        <v>9</v>
      </c>
      <c r="AI104" s="16">
        <v>40</v>
      </c>
      <c r="AJ104" s="16">
        <v>109</v>
      </c>
      <c r="AK104" s="16">
        <v>33</v>
      </c>
      <c r="AL104" s="16"/>
      <c r="AM104" s="16"/>
      <c r="AN104" s="33" t="s">
        <v>158</v>
      </c>
      <c r="AO104" s="6" t="s">
        <v>3381</v>
      </c>
      <c r="AP104" s="6" t="s">
        <v>1931</v>
      </c>
      <c r="AQ104" s="15">
        <v>33.5</v>
      </c>
      <c r="AR104" s="16" t="s">
        <v>111</v>
      </c>
      <c r="AS104" s="16" t="s">
        <v>161</v>
      </c>
      <c r="AT104" s="6"/>
      <c r="AU104" s="6"/>
      <c r="AV104" s="6"/>
      <c r="AW104" s="6"/>
      <c r="AX104" s="12" t="str">
        <f t="shared" si="8"/>
        <v/>
      </c>
      <c r="AY104" s="12" t="str">
        <f t="shared" si="9"/>
        <v/>
      </c>
      <c r="AZ104" s="18"/>
      <c r="BA104" s="19"/>
      <c r="BB104" s="19"/>
      <c r="BC104" s="19"/>
      <c r="BD104" s="19"/>
      <c r="BE104" s="19"/>
      <c r="BF104" s="19"/>
      <c r="BG104" s="19"/>
      <c r="BH104" s="19"/>
      <c r="BI104" s="19"/>
      <c r="BJ104" s="19"/>
      <c r="BK104" s="19"/>
    </row>
    <row r="105" spans="1:63" s="21" customFormat="1" ht="20.100000000000001" hidden="1" customHeight="1" x14ac:dyDescent="0.2">
      <c r="A105" s="13">
        <v>99</v>
      </c>
      <c r="B105" s="29" t="s">
        <v>3377</v>
      </c>
      <c r="C105" s="29" t="s">
        <v>625</v>
      </c>
      <c r="D105" s="30" t="s">
        <v>3378</v>
      </c>
      <c r="E105" s="30" t="s">
        <v>10</v>
      </c>
      <c r="F105" s="30" t="s">
        <v>172</v>
      </c>
      <c r="G105" s="30"/>
      <c r="H105" s="20" t="s">
        <v>83</v>
      </c>
      <c r="I105" s="20"/>
      <c r="J105" s="20"/>
      <c r="K105" s="20"/>
      <c r="L105" s="20"/>
      <c r="M105" s="20"/>
      <c r="N105" s="20"/>
      <c r="O105" s="29" t="s">
        <v>93</v>
      </c>
      <c r="P105" s="30" t="s">
        <v>429</v>
      </c>
      <c r="Q105" s="30" t="s">
        <v>155</v>
      </c>
      <c r="R105" s="30" t="s">
        <v>3387</v>
      </c>
      <c r="S105" s="30" t="s">
        <v>106</v>
      </c>
      <c r="T105" s="20" t="s">
        <v>107</v>
      </c>
      <c r="U105" s="30" t="s">
        <v>429</v>
      </c>
      <c r="V105" s="30" t="s">
        <v>3678</v>
      </c>
      <c r="W105" s="30" t="s">
        <v>555</v>
      </c>
      <c r="X105" s="30" t="s">
        <v>3386</v>
      </c>
      <c r="Y105" s="30" t="s">
        <v>106</v>
      </c>
      <c r="Z105" s="30" t="s">
        <v>107</v>
      </c>
      <c r="AA105" s="20"/>
      <c r="AB105" s="20"/>
      <c r="AC105" s="20"/>
      <c r="AD105" s="20">
        <v>231</v>
      </c>
      <c r="AE105" s="29"/>
      <c r="AF105" s="29"/>
      <c r="AG105" s="29"/>
      <c r="AH105" s="29"/>
      <c r="AI105" s="29"/>
      <c r="AJ105" s="29"/>
      <c r="AK105" s="29"/>
      <c r="AL105" s="29"/>
      <c r="AM105" s="29"/>
      <c r="AN105" s="39"/>
      <c r="AO105" s="30"/>
      <c r="AP105" s="36"/>
      <c r="AQ105" s="20"/>
      <c r="AR105" s="29"/>
      <c r="AS105" s="29"/>
      <c r="AT105" s="30" t="s">
        <v>113</v>
      </c>
      <c r="AU105" s="30" t="s">
        <v>235</v>
      </c>
      <c r="AV105" s="30" t="s">
        <v>115</v>
      </c>
      <c r="AW105" s="30" t="s">
        <v>1247</v>
      </c>
      <c r="AX105" s="31">
        <f t="shared" si="8"/>
        <v>10</v>
      </c>
      <c r="AY105" s="31">
        <f t="shared" si="9"/>
        <v>10</v>
      </c>
      <c r="AZ105" s="32"/>
    </row>
    <row r="106" spans="1:63" s="21" customFormat="1" ht="31.5" hidden="1" x14ac:dyDescent="0.2">
      <c r="A106" s="13">
        <v>100</v>
      </c>
      <c r="B106" s="29" t="s">
        <v>3371</v>
      </c>
      <c r="C106" s="29" t="s">
        <v>625</v>
      </c>
      <c r="D106" s="30" t="s">
        <v>179</v>
      </c>
      <c r="E106" s="30" t="s">
        <v>19</v>
      </c>
      <c r="F106" s="30" t="s">
        <v>4038</v>
      </c>
      <c r="G106" s="30"/>
      <c r="H106" s="20" t="s">
        <v>83</v>
      </c>
      <c r="I106" s="20"/>
      <c r="J106" s="20"/>
      <c r="K106" s="20"/>
      <c r="L106" s="20"/>
      <c r="M106" s="20"/>
      <c r="N106" s="20"/>
      <c r="O106" s="29" t="s">
        <v>92</v>
      </c>
      <c r="P106" s="30" t="s">
        <v>429</v>
      </c>
      <c r="Q106" s="30" t="s">
        <v>104</v>
      </c>
      <c r="R106" s="30" t="s">
        <v>217</v>
      </c>
      <c r="S106" s="30" t="s">
        <v>106</v>
      </c>
      <c r="T106" s="20" t="s">
        <v>107</v>
      </c>
      <c r="U106" s="30" t="s">
        <v>429</v>
      </c>
      <c r="V106" s="30" t="s">
        <v>1510</v>
      </c>
      <c r="W106" s="30" t="s">
        <v>2348</v>
      </c>
      <c r="X106" s="30" t="s">
        <v>191</v>
      </c>
      <c r="Y106" s="30" t="s">
        <v>73</v>
      </c>
      <c r="Z106" s="30" t="s">
        <v>70</v>
      </c>
      <c r="AA106" s="20">
        <v>0</v>
      </c>
      <c r="AB106" s="20"/>
      <c r="AC106" s="20"/>
      <c r="AD106" s="20">
        <v>234</v>
      </c>
      <c r="AE106" s="29"/>
      <c r="AF106" s="29"/>
      <c r="AG106" s="29"/>
      <c r="AH106" s="29"/>
      <c r="AI106" s="29"/>
      <c r="AJ106" s="29"/>
      <c r="AK106" s="29"/>
      <c r="AL106" s="29"/>
      <c r="AM106" s="29"/>
      <c r="AN106" s="39"/>
      <c r="AO106" s="30"/>
      <c r="AP106" s="36"/>
      <c r="AQ106" s="20"/>
      <c r="AR106" s="29"/>
      <c r="AS106" s="29"/>
      <c r="AT106" s="30" t="s">
        <v>113</v>
      </c>
      <c r="AU106" s="30" t="s">
        <v>235</v>
      </c>
      <c r="AV106" s="30" t="s">
        <v>113</v>
      </c>
      <c r="AW106" s="30" t="s">
        <v>114</v>
      </c>
      <c r="AX106" s="31">
        <f t="shared" si="8"/>
        <v>2</v>
      </c>
      <c r="AY106" s="31">
        <f t="shared" si="9"/>
        <v>2</v>
      </c>
      <c r="AZ106" s="32" t="s">
        <v>3374</v>
      </c>
    </row>
    <row r="107" spans="1:63" s="21" customFormat="1" ht="20.100000000000001" hidden="1" customHeight="1" x14ac:dyDescent="0.2">
      <c r="A107" s="13">
        <v>101</v>
      </c>
      <c r="B107" s="29" t="s">
        <v>3371</v>
      </c>
      <c r="C107" s="29" t="s">
        <v>625</v>
      </c>
      <c r="D107" s="30" t="s">
        <v>1038</v>
      </c>
      <c r="E107" s="30" t="s">
        <v>243</v>
      </c>
      <c r="F107" s="30" t="s">
        <v>185</v>
      </c>
      <c r="G107" s="30"/>
      <c r="H107" s="20" t="s">
        <v>83</v>
      </c>
      <c r="I107" s="20"/>
      <c r="J107" s="20"/>
      <c r="K107" s="20"/>
      <c r="L107" s="20"/>
      <c r="M107" s="20"/>
      <c r="N107" s="20"/>
      <c r="O107" s="29" t="s">
        <v>93</v>
      </c>
      <c r="P107" s="30" t="s">
        <v>429</v>
      </c>
      <c r="Q107" s="30" t="s">
        <v>117</v>
      </c>
      <c r="R107" s="30" t="s">
        <v>1044</v>
      </c>
      <c r="S107" s="30" t="s">
        <v>106</v>
      </c>
      <c r="T107" s="20" t="s">
        <v>107</v>
      </c>
      <c r="U107" s="30" t="s">
        <v>429</v>
      </c>
      <c r="V107" s="30" t="s">
        <v>3679</v>
      </c>
      <c r="W107" s="30" t="s">
        <v>465</v>
      </c>
      <c r="X107" s="30" t="s">
        <v>1045</v>
      </c>
      <c r="Y107" s="30" t="s">
        <v>262</v>
      </c>
      <c r="Z107" s="30" t="s">
        <v>70</v>
      </c>
      <c r="AA107" s="20">
        <v>0</v>
      </c>
      <c r="AB107" s="20"/>
      <c r="AC107" s="20"/>
      <c r="AD107" s="20">
        <v>90</v>
      </c>
      <c r="AE107" s="29"/>
      <c r="AF107" s="29"/>
      <c r="AG107" s="29"/>
      <c r="AH107" s="29"/>
      <c r="AI107" s="29"/>
      <c r="AJ107" s="29"/>
      <c r="AK107" s="29"/>
      <c r="AL107" s="29"/>
      <c r="AM107" s="29"/>
      <c r="AN107" s="39"/>
      <c r="AO107" s="30"/>
      <c r="AP107" s="36"/>
      <c r="AQ107" s="20"/>
      <c r="AR107" s="29"/>
      <c r="AS107" s="29"/>
      <c r="AT107" s="30" t="s">
        <v>113</v>
      </c>
      <c r="AU107" s="30" t="s">
        <v>235</v>
      </c>
      <c r="AV107" s="30" t="s">
        <v>115</v>
      </c>
      <c r="AW107" s="30" t="s">
        <v>1247</v>
      </c>
      <c r="AX107" s="31">
        <f t="shared" si="8"/>
        <v>10</v>
      </c>
      <c r="AY107" s="31">
        <f t="shared" si="9"/>
        <v>10</v>
      </c>
      <c r="AZ107" s="32"/>
    </row>
    <row r="108" spans="1:63" s="21" customFormat="1" ht="20.100000000000001" hidden="1" customHeight="1" x14ac:dyDescent="0.2">
      <c r="A108" s="13">
        <v>102</v>
      </c>
      <c r="B108" s="16" t="s">
        <v>3371</v>
      </c>
      <c r="C108" s="16" t="s">
        <v>625</v>
      </c>
      <c r="D108" s="6" t="s">
        <v>1038</v>
      </c>
      <c r="E108" s="6" t="s">
        <v>243</v>
      </c>
      <c r="F108" s="6"/>
      <c r="G108" s="6"/>
      <c r="H108" s="15" t="s">
        <v>7</v>
      </c>
      <c r="I108" s="15"/>
      <c r="J108" s="15"/>
      <c r="K108" s="15"/>
      <c r="L108" s="15"/>
      <c r="M108" s="15"/>
      <c r="N108" s="15"/>
      <c r="O108" s="16" t="s">
        <v>93</v>
      </c>
      <c r="P108" s="35" t="s">
        <v>117</v>
      </c>
      <c r="Q108" s="35" t="s">
        <v>68</v>
      </c>
      <c r="R108" s="6" t="s">
        <v>349</v>
      </c>
      <c r="S108" s="6" t="s">
        <v>106</v>
      </c>
      <c r="T108" s="15" t="s">
        <v>107</v>
      </c>
      <c r="U108" s="35" t="s">
        <v>470</v>
      </c>
      <c r="V108" s="35" t="s">
        <v>3679</v>
      </c>
      <c r="W108" s="35" t="s">
        <v>485</v>
      </c>
      <c r="X108" s="6" t="s">
        <v>3384</v>
      </c>
      <c r="Y108" s="6" t="s">
        <v>106</v>
      </c>
      <c r="Z108" s="6" t="s">
        <v>107</v>
      </c>
      <c r="AA108" s="15">
        <v>0</v>
      </c>
      <c r="AB108" s="15"/>
      <c r="AC108" s="15">
        <v>120</v>
      </c>
      <c r="AD108" s="15">
        <v>90</v>
      </c>
      <c r="AE108" s="16">
        <v>90</v>
      </c>
      <c r="AF108" s="16">
        <v>52</v>
      </c>
      <c r="AG108" s="16">
        <v>65</v>
      </c>
      <c r="AH108" s="16">
        <v>7</v>
      </c>
      <c r="AI108" s="16">
        <v>62</v>
      </c>
      <c r="AJ108" s="16">
        <v>135</v>
      </c>
      <c r="AK108" s="16">
        <v>29</v>
      </c>
      <c r="AL108" s="16"/>
      <c r="AM108" s="16"/>
      <c r="AN108" s="33" t="s">
        <v>158</v>
      </c>
      <c r="AO108" s="6" t="s">
        <v>3377</v>
      </c>
      <c r="AP108" s="25">
        <v>135</v>
      </c>
      <c r="AQ108" s="15">
        <v>29</v>
      </c>
      <c r="AR108" s="16" t="s">
        <v>111</v>
      </c>
      <c r="AS108" s="16" t="s">
        <v>112</v>
      </c>
      <c r="AT108" s="6"/>
      <c r="AU108" s="6"/>
      <c r="AV108" s="6"/>
      <c r="AW108" s="6"/>
      <c r="AX108" s="12" t="str">
        <f t="shared" si="8"/>
        <v/>
      </c>
      <c r="AY108" s="12" t="str">
        <f t="shared" si="9"/>
        <v/>
      </c>
      <c r="AZ108" s="18"/>
      <c r="BA108" s="19"/>
      <c r="BB108" s="19"/>
      <c r="BC108" s="19"/>
      <c r="BD108" s="19"/>
      <c r="BE108" s="19"/>
      <c r="BF108" s="19"/>
      <c r="BG108" s="19"/>
      <c r="BH108" s="19"/>
      <c r="BI108" s="19"/>
      <c r="BJ108" s="19"/>
      <c r="BK108" s="19"/>
    </row>
    <row r="109" spans="1:63" ht="20.100000000000001" hidden="1" customHeight="1" x14ac:dyDescent="0.2">
      <c r="A109" s="13">
        <v>103</v>
      </c>
      <c r="B109" s="16" t="s">
        <v>3371</v>
      </c>
      <c r="C109" s="16" t="s">
        <v>625</v>
      </c>
      <c r="D109" s="6" t="s">
        <v>281</v>
      </c>
      <c r="E109" s="6" t="s">
        <v>8</v>
      </c>
      <c r="F109" s="6"/>
      <c r="G109" s="6"/>
      <c r="H109" s="15" t="s">
        <v>7</v>
      </c>
      <c r="I109" s="15"/>
      <c r="J109" s="15"/>
      <c r="K109" s="15"/>
      <c r="L109" s="15"/>
      <c r="M109" s="15"/>
      <c r="N109" s="15"/>
      <c r="O109" s="16" t="s">
        <v>93</v>
      </c>
      <c r="P109" s="35" t="s">
        <v>68</v>
      </c>
      <c r="Q109" s="35" t="s">
        <v>104</v>
      </c>
      <c r="R109" s="6" t="s">
        <v>360</v>
      </c>
      <c r="S109" s="6" t="s">
        <v>106</v>
      </c>
      <c r="T109" s="15" t="s">
        <v>107</v>
      </c>
      <c r="U109" s="35" t="s">
        <v>263</v>
      </c>
      <c r="V109" s="35" t="s">
        <v>2245</v>
      </c>
      <c r="W109" s="35" t="s">
        <v>2258</v>
      </c>
      <c r="X109" s="6" t="s">
        <v>3382</v>
      </c>
      <c r="Y109" s="6" t="s">
        <v>106</v>
      </c>
      <c r="Z109" s="6" t="s">
        <v>107</v>
      </c>
      <c r="AA109" s="15">
        <v>0</v>
      </c>
      <c r="AB109" s="15"/>
      <c r="AC109" s="15">
        <v>204</v>
      </c>
      <c r="AD109" s="15">
        <v>186</v>
      </c>
      <c r="AE109" s="16">
        <v>186</v>
      </c>
      <c r="AF109" s="16">
        <v>110</v>
      </c>
      <c r="AG109" s="16">
        <v>135</v>
      </c>
      <c r="AH109" s="16">
        <v>5</v>
      </c>
      <c r="AI109" s="16">
        <v>68</v>
      </c>
      <c r="AJ109" s="16">
        <v>208</v>
      </c>
      <c r="AK109" s="16">
        <v>12</v>
      </c>
      <c r="AL109" s="16"/>
      <c r="AM109" s="16"/>
      <c r="AN109" s="33" t="s">
        <v>158</v>
      </c>
      <c r="AO109" s="6" t="s">
        <v>3383</v>
      </c>
      <c r="AP109" s="25">
        <v>208</v>
      </c>
      <c r="AQ109" s="15">
        <v>13</v>
      </c>
      <c r="AR109" s="16" t="s">
        <v>111</v>
      </c>
      <c r="AS109" s="16" t="s">
        <v>161</v>
      </c>
      <c r="AT109" s="6"/>
      <c r="AU109" s="6"/>
      <c r="AV109" s="6"/>
      <c r="AW109" s="6"/>
      <c r="AX109" s="12" t="str">
        <f t="shared" si="8"/>
        <v/>
      </c>
      <c r="AY109" s="12" t="str">
        <f t="shared" si="9"/>
        <v/>
      </c>
      <c r="AZ109" s="18"/>
      <c r="BA109" s="19"/>
      <c r="BB109" s="19"/>
      <c r="BC109" s="19"/>
      <c r="BD109" s="19"/>
      <c r="BE109" s="19"/>
      <c r="BF109" s="19"/>
      <c r="BG109" s="19"/>
      <c r="BH109" s="19"/>
      <c r="BI109" s="19"/>
      <c r="BJ109" s="19"/>
      <c r="BK109" s="19"/>
    </row>
    <row r="110" spans="1:63" ht="20.100000000000001" hidden="1" customHeight="1" x14ac:dyDescent="0.2">
      <c r="A110" s="13">
        <v>104</v>
      </c>
      <c r="B110" s="16" t="s">
        <v>3372</v>
      </c>
      <c r="C110" s="16" t="s">
        <v>625</v>
      </c>
      <c r="D110" s="6" t="s">
        <v>179</v>
      </c>
      <c r="E110" s="6" t="s">
        <v>19</v>
      </c>
      <c r="F110" s="6"/>
      <c r="G110" s="6"/>
      <c r="H110" s="15" t="s">
        <v>7</v>
      </c>
      <c r="I110" s="15"/>
      <c r="J110" s="15"/>
      <c r="K110" s="15"/>
      <c r="L110" s="15"/>
      <c r="M110" s="15"/>
      <c r="N110" s="15"/>
      <c r="O110" s="16" t="s">
        <v>92</v>
      </c>
      <c r="P110" s="6" t="s">
        <v>104</v>
      </c>
      <c r="Q110" s="6" t="s">
        <v>104</v>
      </c>
      <c r="R110" s="6" t="s">
        <v>3275</v>
      </c>
      <c r="S110" s="6" t="s">
        <v>106</v>
      </c>
      <c r="T110" s="15" t="s">
        <v>107</v>
      </c>
      <c r="U110" s="6" t="s">
        <v>190</v>
      </c>
      <c r="V110" s="6" t="s">
        <v>1510</v>
      </c>
      <c r="W110" s="6" t="s">
        <v>2348</v>
      </c>
      <c r="X110" s="6" t="s">
        <v>191</v>
      </c>
      <c r="Y110" s="6" t="s">
        <v>106</v>
      </c>
      <c r="Z110" s="6" t="s">
        <v>107</v>
      </c>
      <c r="AA110" s="15">
        <v>0</v>
      </c>
      <c r="AB110" s="15"/>
      <c r="AC110" s="15">
        <v>250</v>
      </c>
      <c r="AD110" s="15">
        <v>234</v>
      </c>
      <c r="AE110" s="16">
        <v>234</v>
      </c>
      <c r="AF110" s="16">
        <v>53</v>
      </c>
      <c r="AG110" s="16">
        <v>162</v>
      </c>
      <c r="AH110" s="16">
        <v>5</v>
      </c>
      <c r="AI110" s="16">
        <v>20</v>
      </c>
      <c r="AJ110" s="16">
        <v>175</v>
      </c>
      <c r="AK110" s="16">
        <v>18</v>
      </c>
      <c r="AL110" s="16"/>
      <c r="AM110" s="16"/>
      <c r="AN110" s="15"/>
      <c r="AO110" s="6" t="s">
        <v>3371</v>
      </c>
      <c r="AP110" s="6" t="s">
        <v>214</v>
      </c>
      <c r="AQ110" s="15">
        <v>20</v>
      </c>
      <c r="AR110" s="16" t="s">
        <v>160</v>
      </c>
      <c r="AS110" s="16" t="s">
        <v>193</v>
      </c>
      <c r="AT110" s="6"/>
      <c r="AU110" s="6"/>
      <c r="AV110" s="6"/>
      <c r="AW110" s="6"/>
      <c r="AX110" s="12" t="str">
        <f t="shared" si="8"/>
        <v/>
      </c>
      <c r="AY110" s="12" t="str">
        <f t="shared" si="9"/>
        <v/>
      </c>
      <c r="AZ110" s="18"/>
      <c r="BA110" s="19"/>
      <c r="BB110" s="19"/>
      <c r="BC110" s="19"/>
      <c r="BD110" s="19"/>
      <c r="BE110" s="19"/>
      <c r="BF110" s="19"/>
      <c r="BG110" s="19"/>
      <c r="BH110" s="19"/>
      <c r="BI110" s="19"/>
      <c r="BJ110" s="19"/>
      <c r="BK110" s="19"/>
    </row>
    <row r="111" spans="1:63" ht="20.100000000000001" hidden="1" customHeight="1" x14ac:dyDescent="0.2">
      <c r="A111" s="13">
        <v>105</v>
      </c>
      <c r="B111" s="16" t="s">
        <v>3372</v>
      </c>
      <c r="C111" s="16" t="s">
        <v>625</v>
      </c>
      <c r="D111" s="6" t="s">
        <v>3378</v>
      </c>
      <c r="E111" s="6" t="s">
        <v>10</v>
      </c>
      <c r="F111" s="6"/>
      <c r="G111" s="6"/>
      <c r="H111" s="15" t="s">
        <v>7</v>
      </c>
      <c r="I111" s="28"/>
      <c r="J111" s="28"/>
      <c r="K111" s="28"/>
      <c r="L111" s="28"/>
      <c r="M111" s="28"/>
      <c r="N111" s="28"/>
      <c r="O111" s="16" t="s">
        <v>93</v>
      </c>
      <c r="P111" s="35" t="s">
        <v>155</v>
      </c>
      <c r="Q111" s="35" t="s">
        <v>104</v>
      </c>
      <c r="R111" s="6" t="s">
        <v>3385</v>
      </c>
      <c r="S111" s="6" t="s">
        <v>106</v>
      </c>
      <c r="T111" s="15" t="s">
        <v>107</v>
      </c>
      <c r="U111" s="6" t="s">
        <v>899</v>
      </c>
      <c r="V111" s="6" t="s">
        <v>3677</v>
      </c>
      <c r="W111" s="6" t="s">
        <v>555</v>
      </c>
      <c r="X111" s="6" t="s">
        <v>3386</v>
      </c>
      <c r="Y111" s="6" t="s">
        <v>106</v>
      </c>
      <c r="Z111" s="6" t="s">
        <v>107</v>
      </c>
      <c r="AA111" s="15">
        <v>0</v>
      </c>
      <c r="AB111" s="15"/>
      <c r="AC111" s="15">
        <v>248</v>
      </c>
      <c r="AD111" s="15">
        <v>231</v>
      </c>
      <c r="AE111" s="16">
        <v>231</v>
      </c>
      <c r="AF111" s="16">
        <v>99</v>
      </c>
      <c r="AG111" s="16">
        <v>131</v>
      </c>
      <c r="AH111" s="16">
        <v>6</v>
      </c>
      <c r="AI111" s="16">
        <v>60</v>
      </c>
      <c r="AJ111" s="16">
        <v>197</v>
      </c>
      <c r="AK111" s="16">
        <v>16</v>
      </c>
      <c r="AL111" s="16"/>
      <c r="AM111" s="16"/>
      <c r="AN111" s="33" t="s">
        <v>158</v>
      </c>
      <c r="AO111" s="6" t="s">
        <v>3371</v>
      </c>
      <c r="AP111" s="25">
        <v>197</v>
      </c>
      <c r="AQ111" s="15">
        <v>17</v>
      </c>
      <c r="AR111" s="16" t="s">
        <v>160</v>
      </c>
      <c r="AS111" s="16" t="s">
        <v>165</v>
      </c>
      <c r="AT111" s="6"/>
      <c r="AU111" s="6"/>
      <c r="AV111" s="6"/>
      <c r="AW111" s="6"/>
      <c r="AX111" s="12" t="str">
        <f t="shared" si="8"/>
        <v/>
      </c>
      <c r="AY111" s="12" t="str">
        <f t="shared" si="9"/>
        <v/>
      </c>
      <c r="AZ111" s="18"/>
      <c r="BA111" s="19"/>
      <c r="BB111" s="19"/>
      <c r="BC111" s="19"/>
      <c r="BD111" s="19"/>
      <c r="BE111" s="19"/>
      <c r="BF111" s="19"/>
      <c r="BG111" s="19"/>
      <c r="BH111" s="19"/>
      <c r="BI111" s="19"/>
      <c r="BJ111" s="19"/>
      <c r="BK111" s="19"/>
    </row>
    <row r="112" spans="1:63" s="21" customFormat="1" ht="20.100000000000001" hidden="1" customHeight="1" x14ac:dyDescent="0.2">
      <c r="A112" s="13">
        <v>106</v>
      </c>
      <c r="B112" s="29" t="s">
        <v>3388</v>
      </c>
      <c r="C112" s="29" t="s">
        <v>625</v>
      </c>
      <c r="D112" s="30" t="s">
        <v>3280</v>
      </c>
      <c r="E112" s="30" t="s">
        <v>6</v>
      </c>
      <c r="F112" s="30" t="s">
        <v>202</v>
      </c>
      <c r="G112" s="37" t="s">
        <v>197</v>
      </c>
      <c r="H112" s="20" t="s">
        <v>83</v>
      </c>
      <c r="I112" s="20"/>
      <c r="J112" s="20"/>
      <c r="K112" s="20"/>
      <c r="L112" s="20"/>
      <c r="M112" s="20"/>
      <c r="N112" s="20"/>
      <c r="O112" s="29" t="s">
        <v>93</v>
      </c>
      <c r="P112" s="30"/>
      <c r="Q112" s="30" t="s">
        <v>155</v>
      </c>
      <c r="R112" s="30" t="s">
        <v>3295</v>
      </c>
      <c r="S112" s="30" t="s">
        <v>106</v>
      </c>
      <c r="T112" s="20" t="s">
        <v>107</v>
      </c>
      <c r="U112" s="30"/>
      <c r="V112" s="30" t="s">
        <v>3677</v>
      </c>
      <c r="W112" s="30" t="s">
        <v>718</v>
      </c>
      <c r="X112" s="30" t="s">
        <v>3296</v>
      </c>
      <c r="Y112" s="30" t="s">
        <v>106</v>
      </c>
      <c r="Z112" s="30" t="s">
        <v>107</v>
      </c>
      <c r="AA112" s="20">
        <v>0</v>
      </c>
      <c r="AB112" s="20"/>
      <c r="AC112" s="20"/>
      <c r="AD112" s="20"/>
      <c r="AE112" s="29">
        <v>216</v>
      </c>
      <c r="AF112" s="29"/>
      <c r="AG112" s="29"/>
      <c r="AH112" s="29"/>
      <c r="AI112" s="29"/>
      <c r="AJ112" s="29"/>
      <c r="AK112" s="29"/>
      <c r="AL112" s="29"/>
      <c r="AM112" s="29"/>
      <c r="AN112" s="39"/>
      <c r="AO112" s="30"/>
      <c r="AP112" s="36"/>
      <c r="AQ112" s="20"/>
      <c r="AR112" s="29"/>
      <c r="AS112" s="29"/>
      <c r="AT112" s="30" t="s">
        <v>113</v>
      </c>
      <c r="AU112" s="30" t="s">
        <v>235</v>
      </c>
      <c r="AV112" s="30" t="s">
        <v>113</v>
      </c>
      <c r="AW112" s="30" t="s">
        <v>296</v>
      </c>
      <c r="AX112" s="31">
        <f t="shared" si="8"/>
        <v>1</v>
      </c>
      <c r="AY112" s="31">
        <f t="shared" si="9"/>
        <v>1</v>
      </c>
      <c r="AZ112" s="32" t="s">
        <v>3389</v>
      </c>
    </row>
    <row r="113" spans="1:63" s="21" customFormat="1" ht="20.100000000000001" hidden="1" customHeight="1" x14ac:dyDescent="0.2">
      <c r="A113" s="13">
        <v>107</v>
      </c>
      <c r="B113" s="29" t="s">
        <v>3391</v>
      </c>
      <c r="C113" s="29" t="s">
        <v>625</v>
      </c>
      <c r="D113" s="30" t="s">
        <v>2528</v>
      </c>
      <c r="E113" s="30" t="s">
        <v>10</v>
      </c>
      <c r="F113" s="30" t="s">
        <v>185</v>
      </c>
      <c r="G113" s="37" t="s">
        <v>197</v>
      </c>
      <c r="H113" s="20" t="s">
        <v>83</v>
      </c>
      <c r="I113" s="15"/>
      <c r="J113" s="15"/>
      <c r="K113" s="15"/>
      <c r="L113" s="15"/>
      <c r="M113" s="15"/>
      <c r="N113" s="15"/>
      <c r="O113" s="29" t="s">
        <v>93</v>
      </c>
      <c r="P113" s="30"/>
      <c r="Q113" s="30" t="s">
        <v>769</v>
      </c>
      <c r="R113" s="30" t="s">
        <v>3331</v>
      </c>
      <c r="S113" s="30" t="s">
        <v>106</v>
      </c>
      <c r="T113" s="20" t="s">
        <v>107</v>
      </c>
      <c r="U113" s="30"/>
      <c r="V113" s="30" t="s">
        <v>2325</v>
      </c>
      <c r="W113" s="30" t="s">
        <v>260</v>
      </c>
      <c r="X113" s="30" t="s">
        <v>3394</v>
      </c>
      <c r="Y113" s="30" t="s">
        <v>69</v>
      </c>
      <c r="Z113" s="30" t="s">
        <v>70</v>
      </c>
      <c r="AA113" s="20" t="s">
        <v>3330</v>
      </c>
      <c r="AB113" s="20"/>
      <c r="AC113" s="20"/>
      <c r="AD113" s="20">
        <v>144</v>
      </c>
      <c r="AE113" s="29"/>
      <c r="AF113" s="29"/>
      <c r="AG113" s="29"/>
      <c r="AH113" s="29"/>
      <c r="AI113" s="29"/>
      <c r="AJ113" s="29"/>
      <c r="AK113" s="29"/>
      <c r="AL113" s="29"/>
      <c r="AM113" s="29"/>
      <c r="AN113" s="20"/>
      <c r="AO113" s="30"/>
      <c r="AP113" s="36"/>
      <c r="AQ113" s="20"/>
      <c r="AR113" s="29" t="s">
        <v>111</v>
      </c>
      <c r="AS113" s="29" t="s">
        <v>231</v>
      </c>
      <c r="AT113" s="30" t="s">
        <v>113</v>
      </c>
      <c r="AU113" s="30" t="s">
        <v>235</v>
      </c>
      <c r="AV113" s="30" t="s">
        <v>113</v>
      </c>
      <c r="AW113" s="30" t="s">
        <v>235</v>
      </c>
      <c r="AX113" s="31">
        <f t="shared" si="8"/>
        <v>0</v>
      </c>
      <c r="AY113" s="31">
        <f t="shared" si="9"/>
        <v>0</v>
      </c>
      <c r="AZ113" s="32"/>
    </row>
    <row r="114" spans="1:63" ht="20.100000000000001" hidden="1" customHeight="1" x14ac:dyDescent="0.2">
      <c r="A114" s="13">
        <v>108</v>
      </c>
      <c r="B114" s="16" t="s">
        <v>3391</v>
      </c>
      <c r="C114" s="16" t="s">
        <v>625</v>
      </c>
      <c r="D114" s="6" t="s">
        <v>3392</v>
      </c>
      <c r="E114" s="6" t="s">
        <v>10</v>
      </c>
      <c r="F114" s="6"/>
      <c r="G114" s="6"/>
      <c r="H114" s="15" t="s">
        <v>7</v>
      </c>
      <c r="I114" s="15"/>
      <c r="J114" s="15"/>
      <c r="K114" s="15"/>
      <c r="L114" s="15"/>
      <c r="M114" s="15"/>
      <c r="N114" s="15"/>
      <c r="O114" s="16" t="s">
        <v>93</v>
      </c>
      <c r="P114" s="35" t="s">
        <v>155</v>
      </c>
      <c r="Q114" s="35" t="s">
        <v>68</v>
      </c>
      <c r="R114" s="6" t="s">
        <v>3395</v>
      </c>
      <c r="S114" s="6" t="s">
        <v>106</v>
      </c>
      <c r="T114" s="15" t="s">
        <v>107</v>
      </c>
      <c r="U114" s="35" t="s">
        <v>324</v>
      </c>
      <c r="V114" s="35" t="s">
        <v>3677</v>
      </c>
      <c r="W114" s="35" t="s">
        <v>485</v>
      </c>
      <c r="X114" s="6" t="s">
        <v>3396</v>
      </c>
      <c r="Y114" s="6" t="s">
        <v>106</v>
      </c>
      <c r="Z114" s="6" t="s">
        <v>107</v>
      </c>
      <c r="AA114" s="15">
        <v>0</v>
      </c>
      <c r="AB114" s="15"/>
      <c r="AC114" s="15">
        <v>200</v>
      </c>
      <c r="AD114" s="15">
        <v>186</v>
      </c>
      <c r="AE114" s="16">
        <v>186</v>
      </c>
      <c r="AF114" s="16">
        <v>156</v>
      </c>
      <c r="AG114" s="16">
        <v>174</v>
      </c>
      <c r="AH114" s="16">
        <v>5</v>
      </c>
      <c r="AI114" s="16">
        <v>15</v>
      </c>
      <c r="AJ114" s="16">
        <v>194</v>
      </c>
      <c r="AK114" s="16">
        <v>18</v>
      </c>
      <c r="AL114" s="16"/>
      <c r="AM114" s="16"/>
      <c r="AN114" s="33" t="s">
        <v>158</v>
      </c>
      <c r="AO114" s="6" t="s">
        <v>3388</v>
      </c>
      <c r="AP114" s="6" t="s">
        <v>3397</v>
      </c>
      <c r="AQ114" s="15">
        <v>18</v>
      </c>
      <c r="AR114" s="16"/>
      <c r="AS114" s="16"/>
      <c r="AT114" s="6"/>
      <c r="AU114" s="6"/>
      <c r="AV114" s="6"/>
      <c r="AW114" s="6"/>
      <c r="AX114" s="12" t="str">
        <f t="shared" si="8"/>
        <v/>
      </c>
      <c r="AY114" s="12" t="str">
        <f t="shared" si="9"/>
        <v/>
      </c>
      <c r="AZ114" s="18"/>
      <c r="BA114" s="19"/>
      <c r="BB114" s="19"/>
      <c r="BC114" s="19"/>
      <c r="BD114" s="19"/>
      <c r="BE114" s="19"/>
      <c r="BF114" s="19"/>
      <c r="BG114" s="19"/>
      <c r="BH114" s="19"/>
      <c r="BI114" s="19"/>
      <c r="BJ114" s="19"/>
      <c r="BK114" s="19"/>
    </row>
    <row r="115" spans="1:63" ht="20.100000000000001" hidden="1" customHeight="1" x14ac:dyDescent="0.2">
      <c r="A115" s="13">
        <v>109</v>
      </c>
      <c r="B115" s="16" t="s">
        <v>3393</v>
      </c>
      <c r="C115" s="16" t="s">
        <v>625</v>
      </c>
      <c r="D115" s="6" t="s">
        <v>2528</v>
      </c>
      <c r="E115" s="6" t="s">
        <v>10</v>
      </c>
      <c r="F115" s="6"/>
      <c r="G115" s="6"/>
      <c r="H115" s="15" t="s">
        <v>7</v>
      </c>
      <c r="I115" s="15"/>
      <c r="J115" s="15"/>
      <c r="K115" s="15"/>
      <c r="L115" s="15"/>
      <c r="M115" s="15"/>
      <c r="N115" s="15"/>
      <c r="O115" s="16" t="s">
        <v>93</v>
      </c>
      <c r="P115" s="35" t="s">
        <v>769</v>
      </c>
      <c r="Q115" s="35" t="s">
        <v>226</v>
      </c>
      <c r="R115" s="6" t="s">
        <v>1953</v>
      </c>
      <c r="S115" s="6" t="s">
        <v>106</v>
      </c>
      <c r="T115" s="15" t="s">
        <v>107</v>
      </c>
      <c r="U115" s="6" t="s">
        <v>979</v>
      </c>
      <c r="V115" s="6" t="s">
        <v>2325</v>
      </c>
      <c r="W115" s="6" t="s">
        <v>260</v>
      </c>
      <c r="X115" s="6" t="s">
        <v>3394</v>
      </c>
      <c r="Y115" s="6" t="s">
        <v>369</v>
      </c>
      <c r="Z115" s="6" t="s">
        <v>369</v>
      </c>
      <c r="AA115" s="15">
        <v>0</v>
      </c>
      <c r="AB115" s="15"/>
      <c r="AC115" s="15">
        <v>157</v>
      </c>
      <c r="AD115" s="15">
        <v>144</v>
      </c>
      <c r="AE115" s="16">
        <v>144</v>
      </c>
      <c r="AF115" s="16"/>
      <c r="AG115" s="16">
        <v>125</v>
      </c>
      <c r="AH115" s="16">
        <v>4</v>
      </c>
      <c r="AI115" s="16">
        <v>40</v>
      </c>
      <c r="AJ115" s="16">
        <v>169</v>
      </c>
      <c r="AK115" s="16">
        <v>5</v>
      </c>
      <c r="AL115" s="16"/>
      <c r="AM115" s="16"/>
      <c r="AN115" s="33" t="s">
        <v>158</v>
      </c>
      <c r="AO115" s="6" t="s">
        <v>3391</v>
      </c>
      <c r="AP115" s="25">
        <v>169</v>
      </c>
      <c r="AQ115" s="15">
        <v>4.3</v>
      </c>
      <c r="AR115" s="16" t="s">
        <v>111</v>
      </c>
      <c r="AS115" s="16" t="s">
        <v>231</v>
      </c>
      <c r="AT115" s="6"/>
      <c r="AU115" s="6"/>
      <c r="AV115" s="6"/>
      <c r="AW115" s="6"/>
      <c r="AX115" s="12" t="str">
        <f t="shared" si="8"/>
        <v/>
      </c>
      <c r="AY115" s="12" t="str">
        <f t="shared" si="9"/>
        <v/>
      </c>
      <c r="AZ115" s="18"/>
      <c r="BA115" s="19"/>
      <c r="BB115" s="19"/>
      <c r="BC115" s="19"/>
      <c r="BD115" s="19"/>
      <c r="BE115" s="19"/>
      <c r="BF115" s="19"/>
      <c r="BG115" s="19"/>
      <c r="BH115" s="19"/>
      <c r="BI115" s="19"/>
      <c r="BJ115" s="19"/>
      <c r="BK115" s="19"/>
    </row>
    <row r="116" spans="1:63" ht="20.100000000000001" hidden="1" customHeight="1" x14ac:dyDescent="0.2">
      <c r="A116" s="13">
        <v>110</v>
      </c>
      <c r="B116" s="16" t="s">
        <v>3393</v>
      </c>
      <c r="C116" s="16" t="s">
        <v>625</v>
      </c>
      <c r="D116" s="6" t="s">
        <v>667</v>
      </c>
      <c r="E116" s="6" t="s">
        <v>20</v>
      </c>
      <c r="F116" s="6" t="s">
        <v>94</v>
      </c>
      <c r="G116" s="6"/>
      <c r="H116" s="15" t="s">
        <v>83</v>
      </c>
      <c r="I116" s="15"/>
      <c r="J116" s="15"/>
      <c r="K116" s="15"/>
      <c r="L116" s="15"/>
      <c r="M116" s="15"/>
      <c r="N116" s="15"/>
      <c r="O116" s="16" t="s">
        <v>93</v>
      </c>
      <c r="P116" s="6" t="s">
        <v>429</v>
      </c>
      <c r="Q116" s="6" t="s">
        <v>68</v>
      </c>
      <c r="R116" s="6" t="s">
        <v>682</v>
      </c>
      <c r="S116" s="6" t="s">
        <v>106</v>
      </c>
      <c r="T116" s="15" t="s">
        <v>107</v>
      </c>
      <c r="U116" s="6" t="s">
        <v>429</v>
      </c>
      <c r="V116" s="6" t="s">
        <v>3679</v>
      </c>
      <c r="W116" s="6" t="s">
        <v>485</v>
      </c>
      <c r="X116" s="6" t="s">
        <v>683</v>
      </c>
      <c r="Y116" s="6" t="s">
        <v>106</v>
      </c>
      <c r="Z116" s="6" t="s">
        <v>107</v>
      </c>
      <c r="AA116" s="15" t="s">
        <v>3403</v>
      </c>
      <c r="AB116" s="15"/>
      <c r="AC116" s="15"/>
      <c r="AD116" s="15">
        <v>174</v>
      </c>
      <c r="AE116" s="16"/>
      <c r="AF116" s="16"/>
      <c r="AG116" s="16"/>
      <c r="AH116" s="16"/>
      <c r="AI116" s="16"/>
      <c r="AJ116" s="16"/>
      <c r="AK116" s="16"/>
      <c r="AL116" s="16"/>
      <c r="AM116" s="16"/>
      <c r="AN116" s="17"/>
      <c r="AO116" s="6"/>
      <c r="AP116" s="25"/>
      <c r="AQ116" s="15"/>
      <c r="AR116" s="16"/>
      <c r="AS116" s="16"/>
      <c r="AT116" s="6" t="s">
        <v>113</v>
      </c>
      <c r="AU116" s="6" t="s">
        <v>235</v>
      </c>
      <c r="AV116" s="6" t="s">
        <v>115</v>
      </c>
      <c r="AW116" s="6" t="s">
        <v>235</v>
      </c>
      <c r="AX116" s="12">
        <f t="shared" si="8"/>
        <v>12</v>
      </c>
      <c r="AY116" s="12">
        <f t="shared" si="9"/>
        <v>12</v>
      </c>
      <c r="AZ116" s="18"/>
      <c r="BA116" s="19"/>
      <c r="BB116" s="19"/>
      <c r="BC116" s="19"/>
      <c r="BD116" s="19"/>
      <c r="BE116" s="19"/>
      <c r="BF116" s="19"/>
      <c r="BG116" s="19"/>
      <c r="BH116" s="19"/>
      <c r="BI116" s="19"/>
      <c r="BJ116" s="19"/>
      <c r="BK116" s="19"/>
    </row>
    <row r="117" spans="1:63" ht="20.100000000000001" hidden="1" customHeight="1" x14ac:dyDescent="0.2">
      <c r="A117" s="13">
        <v>111</v>
      </c>
      <c r="B117" s="16" t="s">
        <v>3398</v>
      </c>
      <c r="C117" s="16" t="s">
        <v>625</v>
      </c>
      <c r="D117" s="6" t="s">
        <v>3401</v>
      </c>
      <c r="E117" s="6" t="s">
        <v>19</v>
      </c>
      <c r="F117" s="6" t="s">
        <v>192</v>
      </c>
      <c r="G117" s="6"/>
      <c r="H117" s="15" t="s">
        <v>7</v>
      </c>
      <c r="I117" s="15"/>
      <c r="J117" s="15"/>
      <c r="K117" s="15"/>
      <c r="L117" s="15"/>
      <c r="M117" s="15"/>
      <c r="N117" s="15"/>
      <c r="O117" s="16" t="s">
        <v>93</v>
      </c>
      <c r="P117" s="6" t="s">
        <v>155</v>
      </c>
      <c r="Q117" s="6" t="s">
        <v>117</v>
      </c>
      <c r="R117" s="6" t="s">
        <v>3411</v>
      </c>
      <c r="S117" s="6" t="s">
        <v>106</v>
      </c>
      <c r="T117" s="15" t="s">
        <v>107</v>
      </c>
      <c r="U117" s="6" t="s">
        <v>167</v>
      </c>
      <c r="V117" s="6" t="s">
        <v>3679</v>
      </c>
      <c r="W117" s="6" t="s">
        <v>506</v>
      </c>
      <c r="X117" s="6" t="s">
        <v>3412</v>
      </c>
      <c r="Y117" s="6" t="s">
        <v>106</v>
      </c>
      <c r="Z117" s="6" t="s">
        <v>107</v>
      </c>
      <c r="AA117" s="15">
        <v>0</v>
      </c>
      <c r="AB117" s="15"/>
      <c r="AC117" s="15">
        <v>108</v>
      </c>
      <c r="AD117" s="15">
        <v>72</v>
      </c>
      <c r="AE117" s="16">
        <v>96</v>
      </c>
      <c r="AF117" s="16">
        <v>52</v>
      </c>
      <c r="AG117" s="16">
        <v>70</v>
      </c>
      <c r="AH117" s="16">
        <v>7</v>
      </c>
      <c r="AI117" s="16">
        <v>24</v>
      </c>
      <c r="AJ117" s="16">
        <v>101</v>
      </c>
      <c r="AK117" s="16">
        <v>25</v>
      </c>
      <c r="AL117" s="16"/>
      <c r="AM117" s="16"/>
      <c r="AN117" s="33" t="s">
        <v>158</v>
      </c>
      <c r="AO117" s="6" t="s">
        <v>3399</v>
      </c>
      <c r="AP117" s="25">
        <v>101</v>
      </c>
      <c r="AQ117" s="15">
        <v>26</v>
      </c>
      <c r="AR117" s="16" t="s">
        <v>160</v>
      </c>
      <c r="AS117" s="16" t="s">
        <v>231</v>
      </c>
      <c r="AT117" s="6"/>
      <c r="AU117" s="6"/>
      <c r="AV117" s="6"/>
      <c r="AW117" s="6"/>
      <c r="AX117" s="12" t="str">
        <f t="shared" si="8"/>
        <v/>
      </c>
      <c r="AY117" s="12" t="str">
        <f t="shared" si="9"/>
        <v/>
      </c>
      <c r="AZ117" s="18"/>
      <c r="BA117" s="19"/>
      <c r="BB117" s="19"/>
      <c r="BC117" s="19"/>
      <c r="BD117" s="19"/>
      <c r="BE117" s="19"/>
      <c r="BF117" s="19"/>
      <c r="BG117" s="19"/>
      <c r="BH117" s="19"/>
      <c r="BI117" s="19"/>
      <c r="BJ117" s="19"/>
      <c r="BK117" s="19"/>
    </row>
    <row r="118" spans="1:63" ht="20.100000000000001" hidden="1" customHeight="1" x14ac:dyDescent="0.2">
      <c r="A118" s="13">
        <v>112</v>
      </c>
      <c r="B118" s="16" t="s">
        <v>3398</v>
      </c>
      <c r="C118" s="16" t="s">
        <v>625</v>
      </c>
      <c r="D118" s="6" t="s">
        <v>3402</v>
      </c>
      <c r="E118" s="6" t="s">
        <v>243</v>
      </c>
      <c r="F118" s="6" t="s">
        <v>185</v>
      </c>
      <c r="G118" s="6"/>
      <c r="H118" s="15" t="s">
        <v>83</v>
      </c>
      <c r="I118" s="15"/>
      <c r="J118" s="15"/>
      <c r="K118" s="15"/>
      <c r="L118" s="15"/>
      <c r="M118" s="15"/>
      <c r="N118" s="15"/>
      <c r="O118" s="16" t="s">
        <v>93</v>
      </c>
      <c r="P118" s="6" t="s">
        <v>429</v>
      </c>
      <c r="Q118" s="6" t="s">
        <v>141</v>
      </c>
      <c r="R118" s="6" t="s">
        <v>2216</v>
      </c>
      <c r="S118" s="6" t="s">
        <v>142</v>
      </c>
      <c r="T118" s="15" t="s">
        <v>70</v>
      </c>
      <c r="U118" s="6" t="s">
        <v>429</v>
      </c>
      <c r="V118" s="6" t="s">
        <v>2245</v>
      </c>
      <c r="W118" s="6" t="s">
        <v>485</v>
      </c>
      <c r="X118" s="6" t="s">
        <v>116</v>
      </c>
      <c r="Y118" s="6" t="s">
        <v>2788</v>
      </c>
      <c r="Z118" s="6" t="s">
        <v>70</v>
      </c>
      <c r="AA118" s="15" t="s">
        <v>3406</v>
      </c>
      <c r="AB118" s="15"/>
      <c r="AC118" s="15"/>
      <c r="AD118" s="15">
        <v>123</v>
      </c>
      <c r="AE118" s="16"/>
      <c r="AF118" s="16"/>
      <c r="AG118" s="16"/>
      <c r="AH118" s="16"/>
      <c r="AI118" s="16"/>
      <c r="AJ118" s="16"/>
      <c r="AK118" s="16"/>
      <c r="AL118" s="16"/>
      <c r="AM118" s="16"/>
      <c r="AN118" s="17"/>
      <c r="AO118" s="6"/>
      <c r="AP118" s="25"/>
      <c r="AQ118" s="15"/>
      <c r="AR118" s="16"/>
      <c r="AS118" s="16"/>
      <c r="AT118" s="6" t="s">
        <v>113</v>
      </c>
      <c r="AU118" s="6" t="s">
        <v>235</v>
      </c>
      <c r="AV118" s="6" t="s">
        <v>3407</v>
      </c>
      <c r="AW118" s="6" t="s">
        <v>266</v>
      </c>
      <c r="AX118" s="12">
        <f t="shared" si="8"/>
        <v>186</v>
      </c>
      <c r="AY118" s="12" t="str">
        <f t="shared" si="9"/>
        <v/>
      </c>
      <c r="AZ118" s="18"/>
      <c r="BA118" s="19"/>
      <c r="BB118" s="19"/>
      <c r="BC118" s="19"/>
      <c r="BD118" s="19"/>
      <c r="BE118" s="19"/>
      <c r="BF118" s="19"/>
      <c r="BG118" s="19"/>
      <c r="BH118" s="19"/>
      <c r="BI118" s="19"/>
      <c r="BJ118" s="19"/>
      <c r="BK118" s="19"/>
    </row>
    <row r="119" spans="1:63" ht="20.100000000000001" hidden="1" customHeight="1" x14ac:dyDescent="0.2">
      <c r="A119" s="13">
        <v>113</v>
      </c>
      <c r="B119" s="16" t="s">
        <v>3399</v>
      </c>
      <c r="C119" s="16" t="s">
        <v>625</v>
      </c>
      <c r="D119" s="6" t="s">
        <v>2356</v>
      </c>
      <c r="E119" s="6" t="s">
        <v>10</v>
      </c>
      <c r="F119" s="6" t="s">
        <v>186</v>
      </c>
      <c r="G119" s="6"/>
      <c r="H119" s="15" t="s">
        <v>83</v>
      </c>
      <c r="I119" s="15"/>
      <c r="J119" s="15"/>
      <c r="K119" s="15"/>
      <c r="L119" s="15"/>
      <c r="M119" s="15"/>
      <c r="N119" s="15"/>
      <c r="O119" s="16" t="s">
        <v>93</v>
      </c>
      <c r="P119" s="6" t="s">
        <v>429</v>
      </c>
      <c r="Q119" s="6" t="s">
        <v>140</v>
      </c>
      <c r="R119" s="6" t="s">
        <v>429</v>
      </c>
      <c r="S119" s="6" t="s">
        <v>69</v>
      </c>
      <c r="T119" s="15" t="s">
        <v>70</v>
      </c>
      <c r="U119" s="6" t="s">
        <v>429</v>
      </c>
      <c r="V119" s="6" t="s">
        <v>1510</v>
      </c>
      <c r="W119" s="6" t="s">
        <v>441</v>
      </c>
      <c r="X119" s="6" t="s">
        <v>429</v>
      </c>
      <c r="Y119" s="6" t="s">
        <v>73</v>
      </c>
      <c r="Z119" s="6" t="s">
        <v>70</v>
      </c>
      <c r="AA119" s="15" t="s">
        <v>3408</v>
      </c>
      <c r="AB119" s="15"/>
      <c r="AC119" s="15"/>
      <c r="AD119" s="15">
        <v>126</v>
      </c>
      <c r="AE119" s="16"/>
      <c r="AF119" s="16"/>
      <c r="AG119" s="16"/>
      <c r="AH119" s="16"/>
      <c r="AI119" s="16"/>
      <c r="AJ119" s="16"/>
      <c r="AK119" s="16"/>
      <c r="AL119" s="16"/>
      <c r="AM119" s="16"/>
      <c r="AN119" s="15"/>
      <c r="AO119" s="6"/>
      <c r="AP119" s="25"/>
      <c r="AQ119" s="15"/>
      <c r="AR119" s="16"/>
      <c r="AS119" s="16"/>
      <c r="AT119" s="6" t="s">
        <v>113</v>
      </c>
      <c r="AU119" s="6" t="s">
        <v>235</v>
      </c>
      <c r="AV119" s="6" t="s">
        <v>136</v>
      </c>
      <c r="AW119" s="6" t="s">
        <v>148</v>
      </c>
      <c r="AX119" s="12">
        <f t="shared" si="8"/>
        <v>19</v>
      </c>
      <c r="AY119" s="12" t="str">
        <f t="shared" si="9"/>
        <v/>
      </c>
      <c r="AZ119" s="18"/>
      <c r="BA119" s="19"/>
      <c r="BB119" s="19"/>
      <c r="BC119" s="19"/>
      <c r="BD119" s="19"/>
      <c r="BE119" s="19"/>
      <c r="BF119" s="19"/>
      <c r="BG119" s="19"/>
      <c r="BH119" s="19"/>
      <c r="BI119" s="19"/>
      <c r="BJ119" s="19"/>
      <c r="BK119" s="19"/>
    </row>
    <row r="120" spans="1:63" s="21" customFormat="1" ht="20.100000000000001" hidden="1" customHeight="1" x14ac:dyDescent="0.2">
      <c r="A120" s="13">
        <v>114</v>
      </c>
      <c r="B120" s="29" t="s">
        <v>3399</v>
      </c>
      <c r="C120" s="29" t="s">
        <v>625</v>
      </c>
      <c r="D120" s="30" t="s">
        <v>1053</v>
      </c>
      <c r="E120" s="30" t="s">
        <v>6</v>
      </c>
      <c r="F120" s="30" t="s">
        <v>96</v>
      </c>
      <c r="G120" s="37" t="s">
        <v>197</v>
      </c>
      <c r="H120" s="20" t="s">
        <v>83</v>
      </c>
      <c r="I120" s="20"/>
      <c r="J120" s="20"/>
      <c r="K120" s="20"/>
      <c r="L120" s="20"/>
      <c r="M120" s="20"/>
      <c r="N120" s="20"/>
      <c r="O120" s="29" t="s">
        <v>93</v>
      </c>
      <c r="P120" s="30" t="s">
        <v>429</v>
      </c>
      <c r="Q120" s="30" t="s">
        <v>68</v>
      </c>
      <c r="R120" s="30" t="s">
        <v>691</v>
      </c>
      <c r="S120" s="30" t="s">
        <v>106</v>
      </c>
      <c r="T120" s="20" t="s">
        <v>107</v>
      </c>
      <c r="U120" s="30" t="s">
        <v>429</v>
      </c>
      <c r="V120" s="30" t="s">
        <v>3677</v>
      </c>
      <c r="W120" s="30" t="s">
        <v>555</v>
      </c>
      <c r="X120" s="30" t="s">
        <v>1371</v>
      </c>
      <c r="Y120" s="30" t="s">
        <v>106</v>
      </c>
      <c r="Z120" s="30" t="s">
        <v>107</v>
      </c>
      <c r="AA120" s="20" t="s">
        <v>3409</v>
      </c>
      <c r="AB120" s="20"/>
      <c r="AC120" s="20"/>
      <c r="AD120" s="20">
        <v>192</v>
      </c>
      <c r="AE120" s="29"/>
      <c r="AF120" s="29"/>
      <c r="AG120" s="29"/>
      <c r="AH120" s="29"/>
      <c r="AI120" s="29"/>
      <c r="AJ120" s="29"/>
      <c r="AK120" s="29"/>
      <c r="AL120" s="29"/>
      <c r="AM120" s="29"/>
      <c r="AN120" s="39"/>
      <c r="AO120" s="30"/>
      <c r="AP120" s="36"/>
      <c r="AQ120" s="20"/>
      <c r="AR120" s="29"/>
      <c r="AS120" s="29"/>
      <c r="AT120" s="30" t="s">
        <v>113</v>
      </c>
      <c r="AU120" s="30" t="s">
        <v>235</v>
      </c>
      <c r="AV120" s="30" t="s">
        <v>115</v>
      </c>
      <c r="AW120" s="30" t="s">
        <v>148</v>
      </c>
      <c r="AX120" s="31">
        <f t="shared" si="8"/>
        <v>7</v>
      </c>
      <c r="AY120" s="31">
        <f t="shared" si="9"/>
        <v>7</v>
      </c>
      <c r="AZ120" s="32" t="s">
        <v>3410</v>
      </c>
    </row>
    <row r="121" spans="1:63" ht="20.100000000000001" hidden="1" customHeight="1" x14ac:dyDescent="0.2">
      <c r="A121" s="13">
        <v>115</v>
      </c>
      <c r="B121" s="16" t="s">
        <v>3400</v>
      </c>
      <c r="C121" s="16" t="s">
        <v>625</v>
      </c>
      <c r="D121" s="6" t="s">
        <v>2302</v>
      </c>
      <c r="E121" s="6" t="s">
        <v>8</v>
      </c>
      <c r="F121" s="6" t="s">
        <v>185</v>
      </c>
      <c r="G121" s="6"/>
      <c r="H121" s="15" t="s">
        <v>83</v>
      </c>
      <c r="I121" s="15"/>
      <c r="J121" s="15"/>
      <c r="K121" s="15"/>
      <c r="L121" s="15"/>
      <c r="M121" s="15"/>
      <c r="N121" s="15"/>
      <c r="O121" s="16" t="s">
        <v>93</v>
      </c>
      <c r="P121" s="6" t="s">
        <v>429</v>
      </c>
      <c r="Q121" s="6" t="s">
        <v>141</v>
      </c>
      <c r="R121" s="6" t="s">
        <v>3404</v>
      </c>
      <c r="S121" s="6" t="s">
        <v>262</v>
      </c>
      <c r="T121" s="15" t="s">
        <v>70</v>
      </c>
      <c r="U121" s="6" t="s">
        <v>429</v>
      </c>
      <c r="V121" s="6" t="s">
        <v>3677</v>
      </c>
      <c r="W121" s="6" t="s">
        <v>458</v>
      </c>
      <c r="X121" s="6" t="s">
        <v>116</v>
      </c>
      <c r="Y121" s="6" t="s">
        <v>119</v>
      </c>
      <c r="Z121" s="6" t="s">
        <v>107</v>
      </c>
      <c r="AA121" s="15" t="s">
        <v>3405</v>
      </c>
      <c r="AB121" s="15"/>
      <c r="AC121" s="15"/>
      <c r="AD121" s="15">
        <v>114</v>
      </c>
      <c r="AE121" s="16"/>
      <c r="AF121" s="16"/>
      <c r="AG121" s="16"/>
      <c r="AH121" s="16"/>
      <c r="AI121" s="16"/>
      <c r="AJ121" s="16"/>
      <c r="AK121" s="16"/>
      <c r="AL121" s="16"/>
      <c r="AM121" s="16"/>
      <c r="AN121" s="17"/>
      <c r="AO121" s="6"/>
      <c r="AP121" s="25"/>
      <c r="AQ121" s="15"/>
      <c r="AR121" s="16"/>
      <c r="AS121" s="16"/>
      <c r="AT121" s="6" t="s">
        <v>113</v>
      </c>
      <c r="AU121" s="6" t="s">
        <v>235</v>
      </c>
      <c r="AV121" s="6" t="s">
        <v>136</v>
      </c>
      <c r="AW121" s="6" t="s">
        <v>124</v>
      </c>
      <c r="AX121" s="12">
        <f t="shared" si="8"/>
        <v>23</v>
      </c>
      <c r="AY121" s="12" t="str">
        <f t="shared" si="9"/>
        <v/>
      </c>
      <c r="AZ121" s="18"/>
      <c r="BA121" s="19"/>
      <c r="BB121" s="19"/>
      <c r="BC121" s="19"/>
      <c r="BD121" s="19"/>
      <c r="BE121" s="19"/>
      <c r="BF121" s="19"/>
      <c r="BG121" s="19"/>
      <c r="BH121" s="19"/>
      <c r="BI121" s="19"/>
      <c r="BJ121" s="19"/>
      <c r="BK121" s="19"/>
    </row>
    <row r="122" spans="1:63" ht="20.100000000000001" hidden="1" customHeight="1" x14ac:dyDescent="0.2">
      <c r="A122" s="13">
        <v>116</v>
      </c>
      <c r="B122" s="16" t="s">
        <v>3413</v>
      </c>
      <c r="C122" s="16" t="s">
        <v>625</v>
      </c>
      <c r="D122" s="6" t="s">
        <v>2302</v>
      </c>
      <c r="E122" s="6" t="s">
        <v>8</v>
      </c>
      <c r="F122" s="6"/>
      <c r="G122" s="6"/>
      <c r="H122" s="15" t="s">
        <v>7</v>
      </c>
      <c r="I122" s="15"/>
      <c r="J122" s="15"/>
      <c r="K122" s="15"/>
      <c r="L122" s="15"/>
      <c r="M122" s="15"/>
      <c r="N122" s="15"/>
      <c r="O122" s="16" t="s">
        <v>93</v>
      </c>
      <c r="P122" s="35" t="s">
        <v>141</v>
      </c>
      <c r="Q122" s="35" t="s">
        <v>117</v>
      </c>
      <c r="R122" s="6" t="s">
        <v>3359</v>
      </c>
      <c r="S122" s="6" t="s">
        <v>106</v>
      </c>
      <c r="T122" s="15" t="s">
        <v>107</v>
      </c>
      <c r="U122" s="35" t="s">
        <v>492</v>
      </c>
      <c r="V122" s="35" t="s">
        <v>3679</v>
      </c>
      <c r="W122" s="35" t="s">
        <v>506</v>
      </c>
      <c r="X122" s="6" t="s">
        <v>3416</v>
      </c>
      <c r="Y122" s="6" t="s">
        <v>106</v>
      </c>
      <c r="Z122" s="6" t="s">
        <v>107</v>
      </c>
      <c r="AA122" s="15">
        <v>0</v>
      </c>
      <c r="AB122" s="15"/>
      <c r="AC122" s="15">
        <v>204</v>
      </c>
      <c r="AD122" s="15">
        <v>114</v>
      </c>
      <c r="AE122" s="16">
        <v>114</v>
      </c>
      <c r="AF122" s="16">
        <v>40</v>
      </c>
      <c r="AG122" s="16">
        <v>63</v>
      </c>
      <c r="AH122" s="16">
        <v>8</v>
      </c>
      <c r="AI122" s="16">
        <v>20</v>
      </c>
      <c r="AJ122" s="16">
        <v>98</v>
      </c>
      <c r="AK122" s="16">
        <v>25</v>
      </c>
      <c r="AL122" s="16"/>
      <c r="AM122" s="16"/>
      <c r="AN122" s="33" t="s">
        <v>158</v>
      </c>
      <c r="AO122" s="6" t="s">
        <v>3400</v>
      </c>
      <c r="AP122" s="25">
        <v>98</v>
      </c>
      <c r="AQ122" s="15">
        <v>27</v>
      </c>
      <c r="AR122" s="16" t="s">
        <v>111</v>
      </c>
      <c r="AS122" s="16" t="s">
        <v>231</v>
      </c>
      <c r="AT122" s="6"/>
      <c r="AU122" s="6"/>
      <c r="AV122" s="6"/>
      <c r="AW122" s="6"/>
      <c r="AX122" s="12" t="str">
        <f t="shared" si="8"/>
        <v/>
      </c>
      <c r="AY122" s="12" t="str">
        <f t="shared" si="9"/>
        <v/>
      </c>
      <c r="AZ122" s="18"/>
      <c r="BA122" s="19"/>
      <c r="BB122" s="19"/>
      <c r="BC122" s="19"/>
      <c r="BD122" s="19"/>
      <c r="BE122" s="19"/>
      <c r="BF122" s="19"/>
      <c r="BG122" s="19"/>
      <c r="BH122" s="19"/>
      <c r="BI122" s="19"/>
      <c r="BJ122" s="19"/>
      <c r="BK122" s="19"/>
    </row>
    <row r="123" spans="1:63" ht="20.100000000000001" hidden="1" customHeight="1" x14ac:dyDescent="0.2">
      <c r="A123" s="13">
        <v>117</v>
      </c>
      <c r="B123" s="16" t="s">
        <v>3413</v>
      </c>
      <c r="C123" s="16" t="s">
        <v>625</v>
      </c>
      <c r="D123" s="6" t="s">
        <v>667</v>
      </c>
      <c r="E123" s="6" t="s">
        <v>20</v>
      </c>
      <c r="F123" s="6"/>
      <c r="G123" s="6"/>
      <c r="H123" s="15" t="s">
        <v>7</v>
      </c>
      <c r="I123" s="15"/>
      <c r="J123" s="15"/>
      <c r="K123" s="15"/>
      <c r="L123" s="15"/>
      <c r="M123" s="15"/>
      <c r="N123" s="15"/>
      <c r="O123" s="16" t="s">
        <v>93</v>
      </c>
      <c r="P123" s="35" t="s">
        <v>68</v>
      </c>
      <c r="Q123" s="35" t="s">
        <v>155</v>
      </c>
      <c r="R123" s="6" t="s">
        <v>3414</v>
      </c>
      <c r="S123" s="6" t="s">
        <v>106</v>
      </c>
      <c r="T123" s="15" t="s">
        <v>107</v>
      </c>
      <c r="U123" s="35" t="s">
        <v>332</v>
      </c>
      <c r="V123" s="35" t="s">
        <v>3679</v>
      </c>
      <c r="W123" s="35" t="s">
        <v>718</v>
      </c>
      <c r="X123" s="6" t="s">
        <v>3415</v>
      </c>
      <c r="Y123" s="6" t="s">
        <v>106</v>
      </c>
      <c r="Z123" s="6" t="s">
        <v>107</v>
      </c>
      <c r="AA123" s="15">
        <v>0</v>
      </c>
      <c r="AB123" s="15"/>
      <c r="AC123" s="15">
        <v>204</v>
      </c>
      <c r="AD123" s="15">
        <v>174</v>
      </c>
      <c r="AE123" s="16">
        <v>174</v>
      </c>
      <c r="AF123" s="16">
        <v>108</v>
      </c>
      <c r="AG123" s="16">
        <v>136</v>
      </c>
      <c r="AH123" s="16"/>
      <c r="AI123" s="16"/>
      <c r="AJ123" s="16"/>
      <c r="AK123" s="16"/>
      <c r="AL123" s="16"/>
      <c r="AM123" s="16"/>
      <c r="AN123" s="33" t="s">
        <v>158</v>
      </c>
      <c r="AO123" s="6" t="s">
        <v>3400</v>
      </c>
      <c r="AP123" s="25"/>
      <c r="AQ123" s="15"/>
      <c r="AR123" s="16" t="s">
        <v>111</v>
      </c>
      <c r="AS123" s="16" t="s">
        <v>161</v>
      </c>
      <c r="AT123" s="6"/>
      <c r="AU123" s="6"/>
      <c r="AV123" s="6"/>
      <c r="AW123" s="6"/>
      <c r="AX123" s="12" t="str">
        <f t="shared" si="8"/>
        <v/>
      </c>
      <c r="AY123" s="12" t="str">
        <f t="shared" si="9"/>
        <v/>
      </c>
      <c r="AZ123" s="18"/>
      <c r="BA123" s="19"/>
      <c r="BB123" s="19"/>
      <c r="BC123" s="19"/>
      <c r="BD123" s="19"/>
      <c r="BE123" s="19"/>
      <c r="BF123" s="19"/>
      <c r="BG123" s="19"/>
      <c r="BH123" s="19"/>
      <c r="BI123" s="19"/>
      <c r="BJ123" s="19"/>
      <c r="BK123" s="19"/>
    </row>
    <row r="124" spans="1:63" ht="20.100000000000001" hidden="1" customHeight="1" x14ac:dyDescent="0.2">
      <c r="A124" s="13">
        <v>118</v>
      </c>
      <c r="B124" s="16" t="s">
        <v>3413</v>
      </c>
      <c r="C124" s="16" t="s">
        <v>625</v>
      </c>
      <c r="D124" s="6" t="s">
        <v>1302</v>
      </c>
      <c r="E124" s="6" t="s">
        <v>6</v>
      </c>
      <c r="F124" s="6" t="s">
        <v>192</v>
      </c>
      <c r="G124" s="6"/>
      <c r="H124" s="15" t="s">
        <v>7</v>
      </c>
      <c r="I124" s="15"/>
      <c r="J124" s="15"/>
      <c r="K124" s="15"/>
      <c r="L124" s="15"/>
      <c r="M124" s="15"/>
      <c r="N124" s="15"/>
      <c r="O124" s="16" t="s">
        <v>92</v>
      </c>
      <c r="P124" s="6" t="s">
        <v>429</v>
      </c>
      <c r="Q124" s="6" t="s">
        <v>218</v>
      </c>
      <c r="R124" s="6" t="s">
        <v>3417</v>
      </c>
      <c r="S124" s="6" t="s">
        <v>69</v>
      </c>
      <c r="T124" s="15" t="s">
        <v>70</v>
      </c>
      <c r="U124" s="6" t="s">
        <v>429</v>
      </c>
      <c r="V124" s="6" t="s">
        <v>3679</v>
      </c>
      <c r="W124" s="6" t="s">
        <v>260</v>
      </c>
      <c r="X124" s="6" t="s">
        <v>3418</v>
      </c>
      <c r="Y124" s="6" t="s">
        <v>142</v>
      </c>
      <c r="Z124" s="6" t="s">
        <v>70</v>
      </c>
      <c r="AA124" s="15">
        <v>0</v>
      </c>
      <c r="AB124" s="15"/>
      <c r="AC124" s="15">
        <v>250</v>
      </c>
      <c r="AD124" s="15">
        <v>0</v>
      </c>
      <c r="AE124" s="16">
        <v>234</v>
      </c>
      <c r="AF124" s="16">
        <v>140</v>
      </c>
      <c r="AG124" s="16">
        <v>170</v>
      </c>
      <c r="AH124" s="16">
        <v>12</v>
      </c>
      <c r="AI124" s="16">
        <v>55</v>
      </c>
      <c r="AJ124" s="16">
        <v>237</v>
      </c>
      <c r="AK124" s="16">
        <v>25</v>
      </c>
      <c r="AL124" s="16">
        <v>6</v>
      </c>
      <c r="AM124" s="16"/>
      <c r="AN124" s="15"/>
      <c r="AO124" s="6" t="s">
        <v>3400</v>
      </c>
      <c r="AP124" s="25">
        <v>237</v>
      </c>
      <c r="AQ124" s="15">
        <v>25.5</v>
      </c>
      <c r="AR124" s="16" t="s">
        <v>160</v>
      </c>
      <c r="AS124" s="16" t="s">
        <v>165</v>
      </c>
      <c r="AT124" s="6"/>
      <c r="AU124" s="6"/>
      <c r="AV124" s="6"/>
      <c r="AW124" s="6"/>
      <c r="AX124" s="12" t="str">
        <f t="shared" si="8"/>
        <v/>
      </c>
      <c r="AY124" s="12" t="str">
        <f t="shared" si="9"/>
        <v/>
      </c>
      <c r="AZ124" s="18"/>
      <c r="BA124" s="19"/>
      <c r="BB124" s="19"/>
      <c r="BC124" s="19"/>
      <c r="BD124" s="19"/>
      <c r="BE124" s="19"/>
      <c r="BF124" s="19"/>
      <c r="BG124" s="19"/>
      <c r="BH124" s="19"/>
      <c r="BI124" s="19"/>
      <c r="BJ124" s="19"/>
      <c r="BK124" s="19"/>
    </row>
    <row r="125" spans="1:63" ht="20.100000000000001" hidden="1" customHeight="1" x14ac:dyDescent="0.2">
      <c r="A125" s="13">
        <v>119</v>
      </c>
      <c r="B125" s="16" t="s">
        <v>3419</v>
      </c>
      <c r="C125" s="16" t="s">
        <v>625</v>
      </c>
      <c r="D125" s="6" t="s">
        <v>3420</v>
      </c>
      <c r="E125" s="6" t="s">
        <v>10</v>
      </c>
      <c r="F125" s="6" t="s">
        <v>192</v>
      </c>
      <c r="G125" s="6"/>
      <c r="H125" s="15" t="s">
        <v>7</v>
      </c>
      <c r="I125" s="15"/>
      <c r="J125" s="15"/>
      <c r="K125" s="15"/>
      <c r="L125" s="15"/>
      <c r="M125" s="15"/>
      <c r="N125" s="15"/>
      <c r="O125" s="16" t="s">
        <v>92</v>
      </c>
      <c r="P125" s="6"/>
      <c r="Q125" s="6" t="s">
        <v>68</v>
      </c>
      <c r="R125" s="6" t="s">
        <v>345</v>
      </c>
      <c r="S125" s="6" t="s">
        <v>106</v>
      </c>
      <c r="T125" s="15" t="s">
        <v>107</v>
      </c>
      <c r="U125" s="6" t="s">
        <v>429</v>
      </c>
      <c r="V125" s="6" t="s">
        <v>3677</v>
      </c>
      <c r="W125" s="6" t="s">
        <v>485</v>
      </c>
      <c r="X125" s="6" t="s">
        <v>3431</v>
      </c>
      <c r="Y125" s="6" t="s">
        <v>106</v>
      </c>
      <c r="Z125" s="6" t="s">
        <v>107</v>
      </c>
      <c r="AA125" s="15">
        <v>0</v>
      </c>
      <c r="AB125" s="15"/>
      <c r="AC125" s="15">
        <v>249</v>
      </c>
      <c r="AD125" s="15">
        <v>0</v>
      </c>
      <c r="AE125" s="16">
        <v>234</v>
      </c>
      <c r="AF125" s="16">
        <v>99</v>
      </c>
      <c r="AG125" s="16">
        <v>120</v>
      </c>
      <c r="AH125" s="16">
        <v>10</v>
      </c>
      <c r="AI125" s="16">
        <v>60</v>
      </c>
      <c r="AJ125" s="16">
        <v>190</v>
      </c>
      <c r="AK125" s="16">
        <v>17</v>
      </c>
      <c r="AL125" s="16"/>
      <c r="AM125" s="16"/>
      <c r="AN125" s="15"/>
      <c r="AO125" s="6" t="s">
        <v>3413</v>
      </c>
      <c r="AP125" s="25">
        <v>190</v>
      </c>
      <c r="AQ125" s="15">
        <v>18</v>
      </c>
      <c r="AR125" s="16" t="s">
        <v>160</v>
      </c>
      <c r="AS125" s="16" t="s">
        <v>193</v>
      </c>
      <c r="AT125" s="6"/>
      <c r="AU125" s="6"/>
      <c r="AV125" s="6"/>
      <c r="AW125" s="6"/>
      <c r="AX125" s="12" t="str">
        <f t="shared" si="8"/>
        <v/>
      </c>
      <c r="AY125" s="12" t="str">
        <f t="shared" si="9"/>
        <v/>
      </c>
      <c r="AZ125" s="18"/>
      <c r="BA125" s="19"/>
      <c r="BB125" s="19"/>
      <c r="BC125" s="19"/>
      <c r="BD125" s="19"/>
      <c r="BE125" s="19"/>
      <c r="BF125" s="19"/>
      <c r="BG125" s="19"/>
      <c r="BH125" s="19"/>
      <c r="BI125" s="19"/>
      <c r="BJ125" s="19"/>
      <c r="BK125" s="19"/>
    </row>
    <row r="126" spans="1:63" ht="20.100000000000001" hidden="1" customHeight="1" x14ac:dyDescent="0.2">
      <c r="A126" s="13">
        <v>120</v>
      </c>
      <c r="B126" s="16" t="s">
        <v>3419</v>
      </c>
      <c r="C126" s="16" t="s">
        <v>625</v>
      </c>
      <c r="D126" s="6" t="s">
        <v>1207</v>
      </c>
      <c r="E126" s="6" t="s">
        <v>8</v>
      </c>
      <c r="F126" s="6"/>
      <c r="G126" s="6"/>
      <c r="H126" s="15" t="s">
        <v>7</v>
      </c>
      <c r="I126" s="15"/>
      <c r="J126" s="15"/>
      <c r="K126" s="15"/>
      <c r="L126" s="15"/>
      <c r="M126" s="15"/>
      <c r="N126" s="15"/>
      <c r="O126" s="16" t="s">
        <v>93</v>
      </c>
      <c r="P126" s="35" t="s">
        <v>68</v>
      </c>
      <c r="Q126" s="35" t="s">
        <v>104</v>
      </c>
      <c r="R126" s="6" t="s">
        <v>3429</v>
      </c>
      <c r="S126" s="6" t="s">
        <v>106</v>
      </c>
      <c r="T126" s="15" t="s">
        <v>107</v>
      </c>
      <c r="U126" s="35" t="s">
        <v>332</v>
      </c>
      <c r="V126" s="35" t="s">
        <v>3677</v>
      </c>
      <c r="W126" s="35" t="s">
        <v>555</v>
      </c>
      <c r="X126" s="6" t="s">
        <v>3424</v>
      </c>
      <c r="Y126" s="6" t="s">
        <v>69</v>
      </c>
      <c r="Z126" s="6" t="s">
        <v>70</v>
      </c>
      <c r="AA126" s="15">
        <v>0</v>
      </c>
      <c r="AB126" s="15"/>
      <c r="AC126" s="15">
        <v>183</v>
      </c>
      <c r="AD126" s="15">
        <v>156</v>
      </c>
      <c r="AE126" s="16">
        <v>156</v>
      </c>
      <c r="AF126" s="16">
        <v>60</v>
      </c>
      <c r="AG126" s="16">
        <v>98</v>
      </c>
      <c r="AH126" s="16">
        <v>9</v>
      </c>
      <c r="AI126" s="16">
        <v>65</v>
      </c>
      <c r="AJ126" s="16">
        <v>172</v>
      </c>
      <c r="AK126" s="16">
        <v>21</v>
      </c>
      <c r="AL126" s="16"/>
      <c r="AM126" s="16"/>
      <c r="AN126" s="33" t="s">
        <v>158</v>
      </c>
      <c r="AO126" s="6" t="s">
        <v>3413</v>
      </c>
      <c r="AP126" s="25">
        <v>172</v>
      </c>
      <c r="AQ126" s="15">
        <v>21</v>
      </c>
      <c r="AR126" s="16" t="s">
        <v>111</v>
      </c>
      <c r="AS126" s="16" t="s">
        <v>161</v>
      </c>
      <c r="AT126" s="6"/>
      <c r="AU126" s="6"/>
      <c r="AV126" s="6"/>
      <c r="AW126" s="6"/>
      <c r="AX126" s="12" t="str">
        <f t="shared" si="8"/>
        <v/>
      </c>
      <c r="AY126" s="12" t="str">
        <f t="shared" si="9"/>
        <v/>
      </c>
      <c r="AZ126" s="18"/>
      <c r="BA126" s="19"/>
      <c r="BB126" s="19"/>
      <c r="BC126" s="19"/>
      <c r="BD126" s="19"/>
      <c r="BE126" s="19"/>
      <c r="BF126" s="19"/>
      <c r="BG126" s="19"/>
      <c r="BH126" s="19"/>
      <c r="BI126" s="19"/>
      <c r="BJ126" s="19"/>
      <c r="BK126" s="19"/>
    </row>
    <row r="127" spans="1:63" ht="20.100000000000001" hidden="1" customHeight="1" x14ac:dyDescent="0.2">
      <c r="A127" s="13">
        <v>121</v>
      </c>
      <c r="B127" s="16" t="s">
        <v>3421</v>
      </c>
      <c r="C127" s="16" t="s">
        <v>625</v>
      </c>
      <c r="D127" s="6" t="s">
        <v>2045</v>
      </c>
      <c r="E127" s="6" t="s">
        <v>6</v>
      </c>
      <c r="F127" s="6"/>
      <c r="G127" s="6"/>
      <c r="H127" s="15" t="s">
        <v>7</v>
      </c>
      <c r="I127" s="15"/>
      <c r="J127" s="15"/>
      <c r="K127" s="15"/>
      <c r="L127" s="15"/>
      <c r="M127" s="15"/>
      <c r="N127" s="15"/>
      <c r="O127" s="16" t="s">
        <v>93</v>
      </c>
      <c r="P127" s="6" t="s">
        <v>155</v>
      </c>
      <c r="Q127" s="6" t="s">
        <v>155</v>
      </c>
      <c r="R127" s="6" t="s">
        <v>3470</v>
      </c>
      <c r="S127" s="6" t="s">
        <v>106</v>
      </c>
      <c r="T127" s="15" t="s">
        <v>107</v>
      </c>
      <c r="U127" s="35" t="s">
        <v>170</v>
      </c>
      <c r="V127" s="35" t="s">
        <v>1510</v>
      </c>
      <c r="W127" s="35" t="s">
        <v>2186</v>
      </c>
      <c r="X127" s="6" t="s">
        <v>3471</v>
      </c>
      <c r="Y127" s="6" t="s">
        <v>106</v>
      </c>
      <c r="Z127" s="6" t="s">
        <v>107</v>
      </c>
      <c r="AA127" s="15"/>
      <c r="AB127" s="15"/>
      <c r="AC127" s="15">
        <v>233</v>
      </c>
      <c r="AD127" s="15">
        <v>210</v>
      </c>
      <c r="AE127" s="16"/>
      <c r="AF127" s="16">
        <v>135</v>
      </c>
      <c r="AG127" s="16">
        <v>187</v>
      </c>
      <c r="AH127" s="16">
        <v>4</v>
      </c>
      <c r="AI127" s="16">
        <v>75</v>
      </c>
      <c r="AJ127" s="16">
        <v>266</v>
      </c>
      <c r="AK127" s="16">
        <v>16</v>
      </c>
      <c r="AL127" s="16"/>
      <c r="AM127" s="16"/>
      <c r="AN127" s="33" t="s">
        <v>158</v>
      </c>
      <c r="AO127" s="6" t="s">
        <v>3419</v>
      </c>
      <c r="AP127" s="25">
        <v>266</v>
      </c>
      <c r="AQ127" s="15">
        <v>15</v>
      </c>
      <c r="AR127" s="16" t="s">
        <v>160</v>
      </c>
      <c r="AS127" s="16" t="s">
        <v>165</v>
      </c>
      <c r="AT127" s="6"/>
      <c r="AU127" s="6"/>
      <c r="AV127" s="6"/>
      <c r="AW127" s="6"/>
      <c r="AX127" s="12" t="str">
        <f t="shared" si="8"/>
        <v/>
      </c>
      <c r="AY127" s="12" t="str">
        <f t="shared" si="9"/>
        <v/>
      </c>
      <c r="AZ127" s="18"/>
      <c r="BA127" s="19"/>
      <c r="BB127" s="19"/>
      <c r="BC127" s="19"/>
      <c r="BD127" s="19"/>
      <c r="BE127" s="19"/>
      <c r="BF127" s="19"/>
      <c r="BG127" s="19"/>
      <c r="BH127" s="19"/>
      <c r="BI127" s="19"/>
      <c r="BJ127" s="19"/>
      <c r="BK127" s="19"/>
    </row>
    <row r="128" spans="1:63" ht="20.100000000000001" hidden="1" customHeight="1" x14ac:dyDescent="0.2">
      <c r="A128" s="13">
        <v>122</v>
      </c>
      <c r="B128" s="16" t="s">
        <v>3421</v>
      </c>
      <c r="C128" s="16" t="s">
        <v>625</v>
      </c>
      <c r="D128" s="6" t="s">
        <v>379</v>
      </c>
      <c r="E128" s="6" t="s">
        <v>6</v>
      </c>
      <c r="F128" s="6"/>
      <c r="G128" s="6"/>
      <c r="H128" s="15" t="s">
        <v>7</v>
      </c>
      <c r="I128" s="15"/>
      <c r="J128" s="15"/>
      <c r="K128" s="15"/>
      <c r="L128" s="15"/>
      <c r="M128" s="15"/>
      <c r="N128" s="15"/>
      <c r="O128" s="16" t="s">
        <v>93</v>
      </c>
      <c r="P128" s="35" t="s">
        <v>155</v>
      </c>
      <c r="Q128" s="35" t="s">
        <v>140</v>
      </c>
      <c r="R128" s="6" t="s">
        <v>3468</v>
      </c>
      <c r="S128" s="6" t="s">
        <v>106</v>
      </c>
      <c r="T128" s="15" t="s">
        <v>107</v>
      </c>
      <c r="U128" s="35" t="s">
        <v>324</v>
      </c>
      <c r="V128" s="35" t="s">
        <v>2245</v>
      </c>
      <c r="W128" s="35" t="s">
        <v>116</v>
      </c>
      <c r="X128" s="6" t="s">
        <v>3469</v>
      </c>
      <c r="Y128" s="6" t="s">
        <v>106</v>
      </c>
      <c r="Z128" s="6" t="s">
        <v>107</v>
      </c>
      <c r="AA128" s="15">
        <v>0</v>
      </c>
      <c r="AB128" s="15"/>
      <c r="AC128" s="15">
        <v>200</v>
      </c>
      <c r="AD128" s="15">
        <v>186</v>
      </c>
      <c r="AE128" s="16">
        <v>189</v>
      </c>
      <c r="AF128" s="16">
        <v>160</v>
      </c>
      <c r="AG128" s="16">
        <v>178</v>
      </c>
      <c r="AH128" s="16">
        <v>4</v>
      </c>
      <c r="AI128" s="16">
        <v>5</v>
      </c>
      <c r="AJ128" s="16">
        <v>187</v>
      </c>
      <c r="AK128" s="16">
        <v>12</v>
      </c>
      <c r="AL128" s="16"/>
      <c r="AM128" s="16"/>
      <c r="AN128" s="33" t="s">
        <v>158</v>
      </c>
      <c r="AO128" s="6"/>
      <c r="AP128" s="6"/>
      <c r="AQ128" s="15"/>
      <c r="AR128" s="16" t="s">
        <v>160</v>
      </c>
      <c r="AS128" s="16" t="s">
        <v>193</v>
      </c>
      <c r="AT128" s="6"/>
      <c r="AU128" s="6"/>
      <c r="AV128" s="6"/>
      <c r="AW128" s="6"/>
      <c r="AX128" s="12" t="str">
        <f t="shared" si="8"/>
        <v/>
      </c>
      <c r="AY128" s="12" t="str">
        <f t="shared" si="9"/>
        <v/>
      </c>
      <c r="AZ128" s="18"/>
      <c r="BA128" s="19"/>
      <c r="BB128" s="19"/>
      <c r="BC128" s="19"/>
      <c r="BD128" s="19"/>
      <c r="BE128" s="19"/>
      <c r="BF128" s="19"/>
      <c r="BG128" s="19"/>
      <c r="BH128" s="19"/>
      <c r="BI128" s="19"/>
      <c r="BJ128" s="19"/>
      <c r="BK128" s="19"/>
    </row>
    <row r="129" spans="1:63" s="21" customFormat="1" ht="20.100000000000001" hidden="1" customHeight="1" x14ac:dyDescent="0.2">
      <c r="A129" s="13">
        <v>123</v>
      </c>
      <c r="B129" s="16" t="s">
        <v>3422</v>
      </c>
      <c r="C129" s="16" t="s">
        <v>625</v>
      </c>
      <c r="D129" s="6" t="s">
        <v>3280</v>
      </c>
      <c r="E129" s="6" t="s">
        <v>6</v>
      </c>
      <c r="F129" s="6"/>
      <c r="G129" s="6"/>
      <c r="H129" s="15" t="s">
        <v>7</v>
      </c>
      <c r="I129" s="15"/>
      <c r="J129" s="15"/>
      <c r="K129" s="15"/>
      <c r="L129" s="15"/>
      <c r="M129" s="15"/>
      <c r="N129" s="15"/>
      <c r="O129" s="16" t="s">
        <v>93</v>
      </c>
      <c r="P129" s="35" t="s">
        <v>155</v>
      </c>
      <c r="Q129" s="35" t="s">
        <v>104</v>
      </c>
      <c r="R129" s="6" t="s">
        <v>3430</v>
      </c>
      <c r="S129" s="6" t="s">
        <v>106</v>
      </c>
      <c r="T129" s="15" t="s">
        <v>107</v>
      </c>
      <c r="U129" s="35" t="s">
        <v>156</v>
      </c>
      <c r="V129" s="35" t="s">
        <v>1510</v>
      </c>
      <c r="W129" s="35" t="s">
        <v>769</v>
      </c>
      <c r="X129" s="6" t="s">
        <v>3425</v>
      </c>
      <c r="Y129" s="6" t="s">
        <v>73</v>
      </c>
      <c r="Z129" s="6" t="s">
        <v>70</v>
      </c>
      <c r="AA129" s="15">
        <v>0</v>
      </c>
      <c r="AB129" s="15"/>
      <c r="AC129" s="15">
        <v>218</v>
      </c>
      <c r="AD129" s="33">
        <v>216</v>
      </c>
      <c r="AE129" s="34">
        <v>207</v>
      </c>
      <c r="AF129" s="16">
        <v>102</v>
      </c>
      <c r="AG129" s="16">
        <v>130</v>
      </c>
      <c r="AH129" s="16">
        <v>4</v>
      </c>
      <c r="AI129" s="16">
        <v>50</v>
      </c>
      <c r="AJ129" s="16">
        <v>184</v>
      </c>
      <c r="AK129" s="16">
        <v>16</v>
      </c>
      <c r="AL129" s="16"/>
      <c r="AM129" s="16"/>
      <c r="AN129" s="33" t="s">
        <v>158</v>
      </c>
      <c r="AO129" s="6" t="s">
        <v>3421</v>
      </c>
      <c r="AP129" s="6" t="s">
        <v>2694</v>
      </c>
      <c r="AQ129" s="15">
        <v>16</v>
      </c>
      <c r="AR129" s="16" t="s">
        <v>111</v>
      </c>
      <c r="AS129" s="16" t="s">
        <v>112</v>
      </c>
      <c r="AT129" s="6"/>
      <c r="AU129" s="6"/>
      <c r="AV129" s="6"/>
      <c r="AW129" s="6"/>
      <c r="AX129" s="12" t="str">
        <f t="shared" si="8"/>
        <v/>
      </c>
      <c r="AY129" s="12" t="str">
        <f t="shared" si="9"/>
        <v/>
      </c>
      <c r="AZ129" s="18"/>
      <c r="BA129" s="19"/>
      <c r="BB129" s="19"/>
      <c r="BC129" s="19"/>
      <c r="BD129" s="19"/>
      <c r="BE129" s="19"/>
      <c r="BF129" s="19"/>
      <c r="BG129" s="19"/>
      <c r="BH129" s="19"/>
      <c r="BI129" s="19"/>
      <c r="BJ129" s="19"/>
      <c r="BK129" s="19"/>
    </row>
    <row r="130" spans="1:63" ht="20.100000000000001" hidden="1" customHeight="1" x14ac:dyDescent="0.2">
      <c r="A130" s="13">
        <v>124</v>
      </c>
      <c r="B130" s="16" t="s">
        <v>3422</v>
      </c>
      <c r="C130" s="16" t="s">
        <v>625</v>
      </c>
      <c r="D130" s="6" t="s">
        <v>3272</v>
      </c>
      <c r="E130" s="6" t="s">
        <v>19</v>
      </c>
      <c r="F130" s="6"/>
      <c r="G130" s="6"/>
      <c r="H130" s="15" t="s">
        <v>7</v>
      </c>
      <c r="I130" s="15"/>
      <c r="J130" s="15"/>
      <c r="K130" s="15"/>
      <c r="L130" s="15"/>
      <c r="M130" s="15"/>
      <c r="N130" s="15"/>
      <c r="O130" s="16" t="s">
        <v>92</v>
      </c>
      <c r="P130" s="35" t="s">
        <v>117</v>
      </c>
      <c r="Q130" s="35" t="s">
        <v>68</v>
      </c>
      <c r="R130" s="6" t="s">
        <v>3426</v>
      </c>
      <c r="S130" s="6" t="s">
        <v>106</v>
      </c>
      <c r="T130" s="15" t="s">
        <v>107</v>
      </c>
      <c r="U130" s="35" t="s">
        <v>470</v>
      </c>
      <c r="V130" s="35" t="s">
        <v>3677</v>
      </c>
      <c r="W130" s="35" t="s">
        <v>485</v>
      </c>
      <c r="X130" s="6" t="s">
        <v>3427</v>
      </c>
      <c r="Y130" s="6" t="s">
        <v>106</v>
      </c>
      <c r="Z130" s="6" t="s">
        <v>107</v>
      </c>
      <c r="AA130" s="15">
        <v>0</v>
      </c>
      <c r="AB130" s="15"/>
      <c r="AC130" s="15">
        <v>180</v>
      </c>
      <c r="AD130" s="15">
        <v>156</v>
      </c>
      <c r="AE130" s="16">
        <v>156</v>
      </c>
      <c r="AF130" s="16">
        <v>52</v>
      </c>
      <c r="AG130" s="16">
        <v>132</v>
      </c>
      <c r="AH130" s="16">
        <v>8</v>
      </c>
      <c r="AI130" s="16">
        <v>50</v>
      </c>
      <c r="AJ130" s="16">
        <v>190</v>
      </c>
      <c r="AK130" s="16">
        <v>22</v>
      </c>
      <c r="AL130" s="16"/>
      <c r="AM130" s="16"/>
      <c r="AN130" s="33" t="s">
        <v>158</v>
      </c>
      <c r="AO130" s="6" t="s">
        <v>3421</v>
      </c>
      <c r="AP130" s="25">
        <v>190</v>
      </c>
      <c r="AQ130" s="15">
        <v>22</v>
      </c>
      <c r="AR130" s="16" t="s">
        <v>111</v>
      </c>
      <c r="AS130" s="16" t="s">
        <v>112</v>
      </c>
      <c r="AT130" s="6"/>
      <c r="AU130" s="6"/>
      <c r="AV130" s="6"/>
      <c r="AW130" s="6"/>
      <c r="AX130" s="12" t="str">
        <f t="shared" si="8"/>
        <v/>
      </c>
      <c r="AY130" s="12" t="str">
        <f t="shared" si="9"/>
        <v/>
      </c>
      <c r="AZ130" s="18"/>
      <c r="BA130" s="19"/>
      <c r="BB130" s="19"/>
      <c r="BC130" s="19"/>
      <c r="BD130" s="19"/>
      <c r="BE130" s="19"/>
      <c r="BF130" s="19"/>
      <c r="BG130" s="19"/>
      <c r="BH130" s="19"/>
      <c r="BI130" s="19"/>
      <c r="BJ130" s="19"/>
      <c r="BK130" s="19"/>
    </row>
    <row r="131" spans="1:63" ht="20.100000000000001" hidden="1" customHeight="1" x14ac:dyDescent="0.2">
      <c r="A131" s="13">
        <v>125</v>
      </c>
      <c r="B131" s="16" t="s">
        <v>3423</v>
      </c>
      <c r="C131" s="16" t="s">
        <v>625</v>
      </c>
      <c r="D131" s="6" t="s">
        <v>3354</v>
      </c>
      <c r="E131" s="6" t="s">
        <v>243</v>
      </c>
      <c r="F131" s="6"/>
      <c r="G131" s="6"/>
      <c r="H131" s="15" t="s">
        <v>7</v>
      </c>
      <c r="I131" s="15"/>
      <c r="J131" s="15"/>
      <c r="K131" s="15"/>
      <c r="L131" s="15"/>
      <c r="M131" s="15"/>
      <c r="N131" s="15"/>
      <c r="O131" s="16" t="s">
        <v>93</v>
      </c>
      <c r="P131" s="6" t="s">
        <v>117</v>
      </c>
      <c r="Q131" s="6" t="s">
        <v>117</v>
      </c>
      <c r="R131" s="6" t="s">
        <v>3428</v>
      </c>
      <c r="S131" s="6" t="s">
        <v>106</v>
      </c>
      <c r="T131" s="15" t="s">
        <v>107</v>
      </c>
      <c r="U131" s="6" t="s">
        <v>120</v>
      </c>
      <c r="V131" s="6" t="s">
        <v>3677</v>
      </c>
      <c r="W131" s="6" t="s">
        <v>465</v>
      </c>
      <c r="X131" s="6" t="s">
        <v>3432</v>
      </c>
      <c r="Y131" s="6" t="s">
        <v>106</v>
      </c>
      <c r="Z131" s="6" t="s">
        <v>107</v>
      </c>
      <c r="AA131" s="15">
        <v>0</v>
      </c>
      <c r="AB131" s="15"/>
      <c r="AC131" s="15">
        <v>211</v>
      </c>
      <c r="AD131" s="15">
        <v>165</v>
      </c>
      <c r="AE131" s="16">
        <v>165</v>
      </c>
      <c r="AF131" s="16">
        <v>43</v>
      </c>
      <c r="AG131" s="16">
        <v>130</v>
      </c>
      <c r="AH131" s="16">
        <v>9</v>
      </c>
      <c r="AI131" s="16">
        <v>10</v>
      </c>
      <c r="AJ131" s="16">
        <v>149</v>
      </c>
      <c r="AK131" s="16">
        <v>22</v>
      </c>
      <c r="AL131" s="16"/>
      <c r="AM131" s="16"/>
      <c r="AN131" s="15"/>
      <c r="AO131" s="6" t="s">
        <v>3421</v>
      </c>
      <c r="AP131" s="25">
        <v>149</v>
      </c>
      <c r="AQ131" s="15">
        <v>22</v>
      </c>
      <c r="AR131" s="16" t="s">
        <v>160</v>
      </c>
      <c r="AS131" s="16" t="s">
        <v>161</v>
      </c>
      <c r="AT131" s="6"/>
      <c r="AU131" s="6"/>
      <c r="AV131" s="6"/>
      <c r="AW131" s="6"/>
      <c r="AX131" s="12" t="str">
        <f t="shared" si="8"/>
        <v/>
      </c>
      <c r="AY131" s="12" t="str">
        <f t="shared" si="9"/>
        <v/>
      </c>
      <c r="AZ131" s="18"/>
      <c r="BA131" s="19"/>
      <c r="BB131" s="19"/>
      <c r="BC131" s="19"/>
      <c r="BD131" s="19"/>
      <c r="BE131" s="19"/>
      <c r="BF131" s="19"/>
      <c r="BG131" s="19"/>
      <c r="BH131" s="19"/>
      <c r="BI131" s="19"/>
      <c r="BJ131" s="19"/>
      <c r="BK131" s="19"/>
    </row>
    <row r="132" spans="1:63" ht="20.100000000000001" hidden="1" customHeight="1" x14ac:dyDescent="0.2">
      <c r="A132" s="13">
        <v>126</v>
      </c>
      <c r="B132" s="16" t="s">
        <v>3433</v>
      </c>
      <c r="C132" s="16" t="s">
        <v>625</v>
      </c>
      <c r="D132" s="6" t="s">
        <v>892</v>
      </c>
      <c r="E132" s="6" t="s">
        <v>20</v>
      </c>
      <c r="F132" s="6" t="s">
        <v>1587</v>
      </c>
      <c r="G132" s="6"/>
      <c r="H132" s="15" t="s">
        <v>83</v>
      </c>
      <c r="I132" s="15"/>
      <c r="J132" s="15"/>
      <c r="K132" s="15"/>
      <c r="L132" s="15"/>
      <c r="M132" s="15"/>
      <c r="N132" s="15"/>
      <c r="O132" s="16" t="s">
        <v>92</v>
      </c>
      <c r="P132" s="6"/>
      <c r="Q132" s="6" t="s">
        <v>155</v>
      </c>
      <c r="R132" s="6" t="s">
        <v>893</v>
      </c>
      <c r="S132" s="6" t="s">
        <v>69</v>
      </c>
      <c r="T132" s="15" t="s">
        <v>70</v>
      </c>
      <c r="U132" s="6"/>
      <c r="V132" s="6" t="s">
        <v>3679</v>
      </c>
      <c r="W132" s="6" t="s">
        <v>441</v>
      </c>
      <c r="X132" s="6" t="s">
        <v>894</v>
      </c>
      <c r="Y132" s="6" t="s">
        <v>69</v>
      </c>
      <c r="Z132" s="6" t="s">
        <v>70</v>
      </c>
      <c r="AA132" s="15" t="s">
        <v>3445</v>
      </c>
      <c r="AB132" s="15"/>
      <c r="AC132" s="15"/>
      <c r="AD132" s="15">
        <v>150</v>
      </c>
      <c r="AE132" s="16"/>
      <c r="AF132" s="16"/>
      <c r="AG132" s="16"/>
      <c r="AH132" s="16"/>
      <c r="AI132" s="16"/>
      <c r="AJ132" s="16"/>
      <c r="AK132" s="16"/>
      <c r="AL132" s="16"/>
      <c r="AM132" s="16"/>
      <c r="AN132" s="17"/>
      <c r="AO132" s="6"/>
      <c r="AP132" s="6"/>
      <c r="AQ132" s="15"/>
      <c r="AR132" s="16"/>
      <c r="AS132" s="16"/>
      <c r="AT132" s="6" t="s">
        <v>113</v>
      </c>
      <c r="AU132" s="6" t="s">
        <v>235</v>
      </c>
      <c r="AV132" s="6" t="s">
        <v>208</v>
      </c>
      <c r="AW132" s="6" t="s">
        <v>1247</v>
      </c>
      <c r="AX132" s="12">
        <f t="shared" si="8"/>
        <v>34</v>
      </c>
      <c r="AY132" s="12" t="str">
        <f t="shared" si="9"/>
        <v/>
      </c>
      <c r="AZ132" s="18"/>
      <c r="BA132" s="19"/>
      <c r="BB132" s="19"/>
      <c r="BC132" s="19"/>
      <c r="BD132" s="19"/>
      <c r="BE132" s="19"/>
      <c r="BF132" s="19"/>
      <c r="BG132" s="19"/>
      <c r="BH132" s="19"/>
      <c r="BI132" s="19"/>
      <c r="BJ132" s="19"/>
      <c r="BK132" s="19"/>
    </row>
    <row r="133" spans="1:63" ht="20.100000000000001" hidden="1" customHeight="1" x14ac:dyDescent="0.2">
      <c r="A133" s="13">
        <v>127</v>
      </c>
      <c r="B133" s="16" t="s">
        <v>3433</v>
      </c>
      <c r="C133" s="16" t="s">
        <v>625</v>
      </c>
      <c r="D133" s="6" t="s">
        <v>2558</v>
      </c>
      <c r="E133" s="6" t="s">
        <v>20</v>
      </c>
      <c r="F133" s="6"/>
      <c r="G133" s="6"/>
      <c r="H133" s="15" t="s">
        <v>7</v>
      </c>
      <c r="I133" s="15"/>
      <c r="J133" s="15"/>
      <c r="K133" s="15"/>
      <c r="L133" s="15"/>
      <c r="M133" s="15"/>
      <c r="N133" s="15"/>
      <c r="O133" s="16" t="s">
        <v>92</v>
      </c>
      <c r="P133" s="6"/>
      <c r="Q133" s="6" t="s">
        <v>68</v>
      </c>
      <c r="R133" s="6" t="s">
        <v>3457</v>
      </c>
      <c r="S133" s="6" t="s">
        <v>106</v>
      </c>
      <c r="T133" s="15" t="s">
        <v>107</v>
      </c>
      <c r="U133" s="6"/>
      <c r="V133" s="6" t="s">
        <v>3677</v>
      </c>
      <c r="W133" s="6" t="s">
        <v>485</v>
      </c>
      <c r="X133" s="6" t="s">
        <v>3458</v>
      </c>
      <c r="Y133" s="6" t="s">
        <v>106</v>
      </c>
      <c r="Z133" s="6" t="s">
        <v>107</v>
      </c>
      <c r="AA133" s="15"/>
      <c r="AB133" s="15"/>
      <c r="AC133" s="15"/>
      <c r="AD133" s="15"/>
      <c r="AE133" s="16"/>
      <c r="AF133" s="16"/>
      <c r="AG133" s="16"/>
      <c r="AH133" s="16"/>
      <c r="AI133" s="16"/>
      <c r="AJ133" s="16"/>
      <c r="AK133" s="16"/>
      <c r="AL133" s="16"/>
      <c r="AM133" s="16"/>
      <c r="AN133" s="15"/>
      <c r="AO133" s="6"/>
      <c r="AP133" s="25"/>
      <c r="AQ133" s="15"/>
      <c r="AR133" s="16"/>
      <c r="AS133" s="16"/>
      <c r="AT133" s="6"/>
      <c r="AU133" s="6"/>
      <c r="AV133" s="6"/>
      <c r="AW133" s="6"/>
      <c r="AX133" s="12" t="str">
        <f t="shared" si="8"/>
        <v/>
      </c>
      <c r="AY133" s="12" t="str">
        <f t="shared" si="9"/>
        <v/>
      </c>
      <c r="AZ133" s="18"/>
      <c r="BA133" s="19"/>
      <c r="BB133" s="19"/>
      <c r="BC133" s="19"/>
      <c r="BD133" s="19"/>
      <c r="BE133" s="19"/>
      <c r="BF133" s="19"/>
      <c r="BG133" s="19"/>
      <c r="BH133" s="19"/>
      <c r="BI133" s="19"/>
      <c r="BJ133" s="19"/>
      <c r="BK133" s="19"/>
    </row>
    <row r="134" spans="1:63" ht="20.100000000000001" hidden="1" customHeight="1" x14ac:dyDescent="0.2">
      <c r="A134" s="13">
        <v>128</v>
      </c>
      <c r="B134" s="16" t="s">
        <v>3433</v>
      </c>
      <c r="C134" s="16" t="s">
        <v>625</v>
      </c>
      <c r="D134" s="6" t="s">
        <v>3367</v>
      </c>
      <c r="E134" s="6" t="s">
        <v>8</v>
      </c>
      <c r="F134" s="6"/>
      <c r="G134" s="6"/>
      <c r="H134" s="15" t="s">
        <v>7</v>
      </c>
      <c r="I134" s="15"/>
      <c r="J134" s="15"/>
      <c r="K134" s="15"/>
      <c r="L134" s="15"/>
      <c r="M134" s="15"/>
      <c r="N134" s="15"/>
      <c r="O134" s="16" t="s">
        <v>93</v>
      </c>
      <c r="P134" s="6" t="s">
        <v>155</v>
      </c>
      <c r="Q134" s="6" t="s">
        <v>155</v>
      </c>
      <c r="R134" s="6" t="s">
        <v>3451</v>
      </c>
      <c r="S134" s="6" t="s">
        <v>69</v>
      </c>
      <c r="T134" s="15" t="s">
        <v>70</v>
      </c>
      <c r="U134" s="6" t="s">
        <v>167</v>
      </c>
      <c r="V134" s="6" t="s">
        <v>3679</v>
      </c>
      <c r="W134" s="6" t="s">
        <v>441</v>
      </c>
      <c r="X134" s="6" t="s">
        <v>3452</v>
      </c>
      <c r="Y134" s="6" t="s">
        <v>142</v>
      </c>
      <c r="Z134" s="6" t="s">
        <v>70</v>
      </c>
      <c r="AA134" s="15"/>
      <c r="AB134" s="15"/>
      <c r="AC134" s="15">
        <v>250</v>
      </c>
      <c r="AD134" s="15">
        <v>201</v>
      </c>
      <c r="AE134" s="16">
        <v>201</v>
      </c>
      <c r="AF134" s="16">
        <v>103</v>
      </c>
      <c r="AG134" s="16">
        <v>127</v>
      </c>
      <c r="AH134" s="16">
        <v>10</v>
      </c>
      <c r="AI134" s="16">
        <v>76</v>
      </c>
      <c r="AJ134" s="16">
        <v>214</v>
      </c>
      <c r="AK134" s="16">
        <v>28</v>
      </c>
      <c r="AL134" s="16"/>
      <c r="AM134" s="16"/>
      <c r="AN134" s="15"/>
      <c r="AO134" s="6"/>
      <c r="AP134" s="25"/>
      <c r="AQ134" s="15"/>
      <c r="AR134" s="16" t="s">
        <v>160</v>
      </c>
      <c r="AS134" s="16" t="s">
        <v>165</v>
      </c>
      <c r="AT134" s="6"/>
      <c r="AU134" s="6"/>
      <c r="AV134" s="6"/>
      <c r="AW134" s="6"/>
      <c r="AX134" s="12" t="str">
        <f t="shared" ref="AX134:AX175" si="10">IF(AT134*AV134&gt;0,(AT134-AV134)*12+(AU134-AW134),"")</f>
        <v/>
      </c>
      <c r="AY134" s="12" t="str">
        <f t="shared" ref="AY134:AY175" si="11">IF(AX134&lt;13,AX134,"")</f>
        <v/>
      </c>
      <c r="AZ134" s="18"/>
      <c r="BA134" s="19"/>
      <c r="BB134" s="19"/>
      <c r="BC134" s="19"/>
      <c r="BD134" s="19"/>
      <c r="BE134" s="19"/>
      <c r="BF134" s="19"/>
      <c r="BG134" s="19"/>
      <c r="BH134" s="19"/>
      <c r="BI134" s="19"/>
      <c r="BJ134" s="19"/>
      <c r="BK134" s="19"/>
    </row>
    <row r="135" spans="1:63" ht="20.100000000000001" hidden="1" customHeight="1" x14ac:dyDescent="0.2">
      <c r="A135" s="13">
        <v>129</v>
      </c>
      <c r="B135" s="16" t="s">
        <v>3433</v>
      </c>
      <c r="C135" s="16" t="s">
        <v>625</v>
      </c>
      <c r="D135" s="6" t="s">
        <v>1684</v>
      </c>
      <c r="E135" s="6" t="s">
        <v>20</v>
      </c>
      <c r="F135" s="6"/>
      <c r="G135" s="6"/>
      <c r="H135" s="15" t="s">
        <v>7</v>
      </c>
      <c r="I135" s="15"/>
      <c r="J135" s="15"/>
      <c r="K135" s="15"/>
      <c r="L135" s="15"/>
      <c r="M135" s="15"/>
      <c r="N135" s="15"/>
      <c r="O135" s="16" t="s">
        <v>93</v>
      </c>
      <c r="P135" s="35" t="s">
        <v>104</v>
      </c>
      <c r="Q135" s="35" t="s">
        <v>117</v>
      </c>
      <c r="R135" s="6" t="s">
        <v>3449</v>
      </c>
      <c r="S135" s="6" t="s">
        <v>106</v>
      </c>
      <c r="T135" s="15" t="s">
        <v>107</v>
      </c>
      <c r="U135" s="35" t="s">
        <v>1686</v>
      </c>
      <c r="V135" s="35" t="s">
        <v>2961</v>
      </c>
      <c r="W135" s="35" t="s">
        <v>144</v>
      </c>
      <c r="X135" s="6" t="s">
        <v>3450</v>
      </c>
      <c r="Y135" s="6" t="s">
        <v>106</v>
      </c>
      <c r="Z135" s="6" t="s">
        <v>107</v>
      </c>
      <c r="AA135" s="15"/>
      <c r="AB135" s="15"/>
      <c r="AC135" s="15">
        <v>228</v>
      </c>
      <c r="AD135" s="15">
        <v>222</v>
      </c>
      <c r="AE135" s="16">
        <v>222</v>
      </c>
      <c r="AF135" s="16">
        <v>64</v>
      </c>
      <c r="AG135" s="16">
        <v>222</v>
      </c>
      <c r="AH135" s="16">
        <v>8</v>
      </c>
      <c r="AI135" s="16">
        <v>83</v>
      </c>
      <c r="AJ135" s="16">
        <v>302</v>
      </c>
      <c r="AK135" s="16">
        <v>4</v>
      </c>
      <c r="AL135" s="16"/>
      <c r="AM135" s="16"/>
      <c r="AN135" s="33" t="s">
        <v>158</v>
      </c>
      <c r="AO135" s="6"/>
      <c r="AP135" s="25"/>
      <c r="AQ135" s="15"/>
      <c r="AR135" s="16" t="s">
        <v>160</v>
      </c>
      <c r="AS135" s="16" t="s">
        <v>193</v>
      </c>
      <c r="AT135" s="6"/>
      <c r="AU135" s="6"/>
      <c r="AV135" s="6"/>
      <c r="AW135" s="6"/>
      <c r="AX135" s="12" t="str">
        <f t="shared" si="10"/>
        <v/>
      </c>
      <c r="AY135" s="12" t="str">
        <f t="shared" si="11"/>
        <v/>
      </c>
      <c r="AZ135" s="18"/>
      <c r="BA135" s="19"/>
      <c r="BB135" s="19"/>
      <c r="BC135" s="19"/>
      <c r="BD135" s="19"/>
      <c r="BE135" s="19"/>
      <c r="BF135" s="19"/>
      <c r="BG135" s="19"/>
      <c r="BH135" s="19"/>
      <c r="BI135" s="19"/>
      <c r="BJ135" s="19"/>
      <c r="BK135" s="19"/>
    </row>
    <row r="136" spans="1:63" ht="20.100000000000001" hidden="1" customHeight="1" x14ac:dyDescent="0.2">
      <c r="A136" s="13">
        <v>130</v>
      </c>
      <c r="B136" s="16" t="s">
        <v>3434</v>
      </c>
      <c r="C136" s="16" t="s">
        <v>625</v>
      </c>
      <c r="D136" s="6" t="s">
        <v>1053</v>
      </c>
      <c r="E136" s="6" t="s">
        <v>6</v>
      </c>
      <c r="F136" s="6"/>
      <c r="G136" s="6"/>
      <c r="H136" s="15" t="s">
        <v>7</v>
      </c>
      <c r="I136" s="15"/>
      <c r="J136" s="15"/>
      <c r="K136" s="15"/>
      <c r="L136" s="15"/>
      <c r="M136" s="15"/>
      <c r="N136" s="15"/>
      <c r="O136" s="16" t="s">
        <v>92</v>
      </c>
      <c r="P136" s="6" t="s">
        <v>68</v>
      </c>
      <c r="Q136" s="6" t="s">
        <v>68</v>
      </c>
      <c r="R136" s="6" t="s">
        <v>3453</v>
      </c>
      <c r="S136" s="6" t="s">
        <v>106</v>
      </c>
      <c r="T136" s="15" t="s">
        <v>107</v>
      </c>
      <c r="U136" s="6" t="s">
        <v>361</v>
      </c>
      <c r="V136" s="6" t="s">
        <v>3677</v>
      </c>
      <c r="W136" s="6" t="s">
        <v>555</v>
      </c>
      <c r="X136" s="6" t="s">
        <v>3454</v>
      </c>
      <c r="Y136" s="6" t="s">
        <v>106</v>
      </c>
      <c r="Z136" s="15" t="s">
        <v>107</v>
      </c>
      <c r="AA136" s="15"/>
      <c r="AB136" s="15"/>
      <c r="AC136" s="15">
        <v>200</v>
      </c>
      <c r="AD136" s="15">
        <v>192</v>
      </c>
      <c r="AE136" s="16">
        <v>192</v>
      </c>
      <c r="AF136" s="16">
        <v>93</v>
      </c>
      <c r="AG136" s="16">
        <v>143</v>
      </c>
      <c r="AH136" s="16">
        <v>8</v>
      </c>
      <c r="AI136" s="16">
        <v>5</v>
      </c>
      <c r="AJ136" s="16">
        <v>156</v>
      </c>
      <c r="AK136" s="16">
        <v>23</v>
      </c>
      <c r="AL136" s="16"/>
      <c r="AM136" s="16"/>
      <c r="AN136" s="15"/>
      <c r="AO136" s="6"/>
      <c r="AP136" s="25"/>
      <c r="AQ136" s="15"/>
      <c r="AR136" s="16" t="s">
        <v>111</v>
      </c>
      <c r="AS136" s="16" t="s">
        <v>161</v>
      </c>
      <c r="AT136" s="6"/>
      <c r="AU136" s="6"/>
      <c r="AV136" s="6"/>
      <c r="AW136" s="6"/>
      <c r="AX136" s="12" t="str">
        <f t="shared" si="10"/>
        <v/>
      </c>
      <c r="AY136" s="12" t="str">
        <f t="shared" si="11"/>
        <v/>
      </c>
      <c r="AZ136" s="18"/>
      <c r="BA136" s="19"/>
      <c r="BB136" s="19"/>
      <c r="BC136" s="19"/>
      <c r="BD136" s="19"/>
      <c r="BE136" s="19"/>
      <c r="BF136" s="19"/>
      <c r="BG136" s="19"/>
      <c r="BH136" s="19"/>
      <c r="BI136" s="19"/>
      <c r="BJ136" s="19"/>
      <c r="BK136" s="19"/>
    </row>
    <row r="137" spans="1:63" s="21" customFormat="1" ht="20.100000000000001" hidden="1" customHeight="1" x14ac:dyDescent="0.2">
      <c r="A137" s="13">
        <v>131</v>
      </c>
      <c r="B137" s="29" t="s">
        <v>3434</v>
      </c>
      <c r="C137" s="29" t="s">
        <v>625</v>
      </c>
      <c r="D137" s="30" t="s">
        <v>591</v>
      </c>
      <c r="E137" s="30" t="s">
        <v>9</v>
      </c>
      <c r="F137" s="30"/>
      <c r="G137" s="30"/>
      <c r="H137" s="20" t="s">
        <v>222</v>
      </c>
      <c r="I137" s="20"/>
      <c r="J137" s="20"/>
      <c r="K137" s="20"/>
      <c r="L137" s="20"/>
      <c r="M137" s="20"/>
      <c r="N137" s="20"/>
      <c r="O137" s="29" t="s">
        <v>92</v>
      </c>
      <c r="P137" s="30"/>
      <c r="Q137" s="30" t="s">
        <v>104</v>
      </c>
      <c r="R137" s="30" t="s">
        <v>1006</v>
      </c>
      <c r="S137" s="30" t="s">
        <v>106</v>
      </c>
      <c r="T137" s="20" t="s">
        <v>107</v>
      </c>
      <c r="U137" s="30" t="s">
        <v>429</v>
      </c>
      <c r="V137" s="30" t="s">
        <v>402</v>
      </c>
      <c r="W137" s="30"/>
      <c r="X137" s="30" t="s">
        <v>1554</v>
      </c>
      <c r="Y137" s="30" t="s">
        <v>106</v>
      </c>
      <c r="Z137" s="30" t="s">
        <v>107</v>
      </c>
      <c r="AA137" s="20" t="s">
        <v>3446</v>
      </c>
      <c r="AB137" s="20"/>
      <c r="AC137" s="20"/>
      <c r="AD137" s="20">
        <v>192</v>
      </c>
      <c r="AE137" s="29"/>
      <c r="AF137" s="29"/>
      <c r="AG137" s="29"/>
      <c r="AH137" s="29"/>
      <c r="AI137" s="29"/>
      <c r="AJ137" s="29"/>
      <c r="AK137" s="29"/>
      <c r="AL137" s="29"/>
      <c r="AM137" s="29"/>
      <c r="AN137" s="20"/>
      <c r="AO137" s="30"/>
      <c r="AP137" s="36"/>
      <c r="AQ137" s="20"/>
      <c r="AR137" s="29"/>
      <c r="AS137" s="29"/>
      <c r="AT137" s="30" t="s">
        <v>113</v>
      </c>
      <c r="AU137" s="30" t="s">
        <v>235</v>
      </c>
      <c r="AV137" s="30" t="s">
        <v>115</v>
      </c>
      <c r="AW137" s="30" t="s">
        <v>266</v>
      </c>
      <c r="AX137" s="31">
        <f t="shared" si="10"/>
        <v>6</v>
      </c>
      <c r="AY137" s="31">
        <f t="shared" si="11"/>
        <v>6</v>
      </c>
      <c r="AZ137" s="32"/>
    </row>
    <row r="138" spans="1:63" ht="20.100000000000001" hidden="1" customHeight="1" x14ac:dyDescent="0.2">
      <c r="A138" s="13">
        <v>132</v>
      </c>
      <c r="B138" s="16" t="s">
        <v>3434</v>
      </c>
      <c r="C138" s="16" t="s">
        <v>625</v>
      </c>
      <c r="D138" s="6" t="s">
        <v>3435</v>
      </c>
      <c r="E138" s="6" t="s">
        <v>19</v>
      </c>
      <c r="F138" s="6" t="s">
        <v>192</v>
      </c>
      <c r="G138" s="6"/>
      <c r="H138" s="15" t="s">
        <v>7</v>
      </c>
      <c r="I138" s="15"/>
      <c r="J138" s="15"/>
      <c r="K138" s="15"/>
      <c r="L138" s="15"/>
      <c r="M138" s="15"/>
      <c r="N138" s="15"/>
      <c r="O138" s="16" t="s">
        <v>93</v>
      </c>
      <c r="P138" s="6" t="s">
        <v>429</v>
      </c>
      <c r="Q138" s="6" t="s">
        <v>68</v>
      </c>
      <c r="R138" s="6" t="s">
        <v>3455</v>
      </c>
      <c r="S138" s="6" t="s">
        <v>142</v>
      </c>
      <c r="T138" s="15" t="s">
        <v>70</v>
      </c>
      <c r="U138" s="6" t="s">
        <v>429</v>
      </c>
      <c r="V138" s="6" t="s">
        <v>3679</v>
      </c>
      <c r="W138" s="6" t="s">
        <v>485</v>
      </c>
      <c r="X138" s="6" t="s">
        <v>3456</v>
      </c>
      <c r="Y138" s="6" t="s">
        <v>106</v>
      </c>
      <c r="Z138" s="6" t="s">
        <v>107</v>
      </c>
      <c r="AA138" s="15"/>
      <c r="AB138" s="15"/>
      <c r="AC138" s="15">
        <v>250</v>
      </c>
      <c r="AD138" s="15">
        <v>0</v>
      </c>
      <c r="AE138" s="16">
        <v>234</v>
      </c>
      <c r="AF138" s="16">
        <v>85</v>
      </c>
      <c r="AG138" s="16">
        <v>120</v>
      </c>
      <c r="AH138" s="16">
        <v>13</v>
      </c>
      <c r="AI138" s="16">
        <v>25</v>
      </c>
      <c r="AJ138" s="16">
        <v>158</v>
      </c>
      <c r="AK138" s="16">
        <v>28</v>
      </c>
      <c r="AL138" s="16"/>
      <c r="AM138" s="16"/>
      <c r="AN138" s="15"/>
      <c r="AO138" s="6"/>
      <c r="AP138" s="25"/>
      <c r="AQ138" s="15"/>
      <c r="AR138" s="16" t="s">
        <v>160</v>
      </c>
      <c r="AS138" s="16" t="s">
        <v>165</v>
      </c>
      <c r="AT138" s="6"/>
      <c r="AU138" s="6"/>
      <c r="AV138" s="6"/>
      <c r="AW138" s="6"/>
      <c r="AX138" s="12" t="str">
        <f t="shared" si="10"/>
        <v/>
      </c>
      <c r="AY138" s="12" t="str">
        <f t="shared" si="11"/>
        <v/>
      </c>
      <c r="AZ138" s="18"/>
      <c r="BA138" s="19"/>
      <c r="BB138" s="19"/>
      <c r="BC138" s="19"/>
      <c r="BD138" s="19"/>
      <c r="BE138" s="19"/>
      <c r="BF138" s="19"/>
      <c r="BG138" s="19"/>
      <c r="BH138" s="19"/>
      <c r="BI138" s="19"/>
      <c r="BJ138" s="19"/>
      <c r="BK138" s="19"/>
    </row>
    <row r="139" spans="1:63" ht="20.100000000000001" hidden="1" customHeight="1" x14ac:dyDescent="0.2">
      <c r="A139" s="13">
        <v>133</v>
      </c>
      <c r="B139" s="16" t="s">
        <v>3436</v>
      </c>
      <c r="C139" s="16" t="s">
        <v>625</v>
      </c>
      <c r="D139" s="6" t="s">
        <v>2350</v>
      </c>
      <c r="E139" s="6" t="s">
        <v>9</v>
      </c>
      <c r="F139" s="6" t="s">
        <v>185</v>
      </c>
      <c r="G139" s="6"/>
      <c r="H139" s="15" t="s">
        <v>83</v>
      </c>
      <c r="I139" s="15"/>
      <c r="J139" s="15"/>
      <c r="K139" s="15"/>
      <c r="L139" s="15"/>
      <c r="M139" s="15"/>
      <c r="N139" s="15"/>
      <c r="O139" s="16" t="s">
        <v>92</v>
      </c>
      <c r="P139" s="6" t="s">
        <v>429</v>
      </c>
      <c r="Q139" s="6" t="s">
        <v>116</v>
      </c>
      <c r="R139" s="6" t="s">
        <v>3442</v>
      </c>
      <c r="S139" s="6" t="s">
        <v>69</v>
      </c>
      <c r="T139" s="15" t="s">
        <v>70</v>
      </c>
      <c r="U139" s="6" t="s">
        <v>429</v>
      </c>
      <c r="V139" s="6" t="s">
        <v>2325</v>
      </c>
      <c r="W139" s="6" t="s">
        <v>441</v>
      </c>
      <c r="X139" s="6" t="s">
        <v>3443</v>
      </c>
      <c r="Y139" s="6" t="s">
        <v>119</v>
      </c>
      <c r="Z139" s="6" t="s">
        <v>107</v>
      </c>
      <c r="AA139" s="15" t="s">
        <v>2369</v>
      </c>
      <c r="AB139" s="15"/>
      <c r="AC139" s="15"/>
      <c r="AD139" s="15">
        <v>142</v>
      </c>
      <c r="AE139" s="16"/>
      <c r="AF139" s="16"/>
      <c r="AG139" s="16"/>
      <c r="AH139" s="16"/>
      <c r="AI139" s="16"/>
      <c r="AJ139" s="16"/>
      <c r="AK139" s="16"/>
      <c r="AL139" s="16"/>
      <c r="AM139" s="16"/>
      <c r="AN139" s="15"/>
      <c r="AO139" s="6"/>
      <c r="AP139" s="25"/>
      <c r="AQ139" s="15"/>
      <c r="AR139" s="16"/>
      <c r="AS139" s="16"/>
      <c r="AT139" s="6" t="s">
        <v>113</v>
      </c>
      <c r="AU139" s="6" t="s">
        <v>235</v>
      </c>
      <c r="AV139" s="6" t="s">
        <v>136</v>
      </c>
      <c r="AW139" s="6" t="s">
        <v>1247</v>
      </c>
      <c r="AX139" s="12">
        <f t="shared" si="10"/>
        <v>22</v>
      </c>
      <c r="AY139" s="12" t="str">
        <f t="shared" si="11"/>
        <v/>
      </c>
      <c r="AZ139" s="18"/>
      <c r="BA139" s="19"/>
      <c r="BB139" s="19"/>
      <c r="BC139" s="19"/>
      <c r="BD139" s="19"/>
      <c r="BE139" s="19"/>
      <c r="BF139" s="19"/>
      <c r="BG139" s="19"/>
      <c r="BH139" s="19"/>
      <c r="BI139" s="19"/>
      <c r="BJ139" s="19"/>
      <c r="BK139" s="19"/>
    </row>
    <row r="140" spans="1:63" ht="20.100000000000001" hidden="1" customHeight="1" x14ac:dyDescent="0.2">
      <c r="A140" s="13">
        <v>134</v>
      </c>
      <c r="B140" s="16" t="s">
        <v>3436</v>
      </c>
      <c r="C140" s="16" t="s">
        <v>625</v>
      </c>
      <c r="D140" s="6" t="s">
        <v>3437</v>
      </c>
      <c r="E140" s="6" t="s">
        <v>20</v>
      </c>
      <c r="F140" s="6"/>
      <c r="G140" s="6"/>
      <c r="H140" s="15" t="s">
        <v>222</v>
      </c>
      <c r="I140" s="15"/>
      <c r="J140" s="15"/>
      <c r="K140" s="15"/>
      <c r="L140" s="15"/>
      <c r="M140" s="15"/>
      <c r="N140" s="15"/>
      <c r="O140" s="16" t="s">
        <v>3439</v>
      </c>
      <c r="P140" s="6"/>
      <c r="Q140" s="6" t="s">
        <v>117</v>
      </c>
      <c r="R140" s="6" t="s">
        <v>3441</v>
      </c>
      <c r="S140" s="6" t="s">
        <v>106</v>
      </c>
      <c r="T140" s="15" t="s">
        <v>107</v>
      </c>
      <c r="U140" s="6"/>
      <c r="V140" s="6" t="s">
        <v>120</v>
      </c>
      <c r="W140" s="6"/>
      <c r="X140" s="6"/>
      <c r="Y140" s="6" t="s">
        <v>106</v>
      </c>
      <c r="Z140" s="15" t="s">
        <v>107</v>
      </c>
      <c r="AA140" s="15" t="s">
        <v>3444</v>
      </c>
      <c r="AB140" s="15"/>
      <c r="AC140" s="15"/>
      <c r="AD140" s="15">
        <v>162</v>
      </c>
      <c r="AE140" s="16"/>
      <c r="AF140" s="16"/>
      <c r="AG140" s="16"/>
      <c r="AH140" s="16"/>
      <c r="AI140" s="16"/>
      <c r="AJ140" s="16"/>
      <c r="AK140" s="16"/>
      <c r="AL140" s="16"/>
      <c r="AM140" s="16"/>
      <c r="AN140" s="15"/>
      <c r="AO140" s="6"/>
      <c r="AP140" s="25"/>
      <c r="AQ140" s="15"/>
      <c r="AR140" s="16"/>
      <c r="AS140" s="16"/>
      <c r="AT140" s="6" t="s">
        <v>113</v>
      </c>
      <c r="AU140" s="6" t="s">
        <v>235</v>
      </c>
      <c r="AV140" s="6" t="s">
        <v>136</v>
      </c>
      <c r="AW140" s="6" t="s">
        <v>124</v>
      </c>
      <c r="AX140" s="12">
        <f t="shared" si="10"/>
        <v>23</v>
      </c>
      <c r="AY140" s="12" t="str">
        <f t="shared" si="11"/>
        <v/>
      </c>
      <c r="AZ140" s="18"/>
      <c r="BA140" s="19"/>
      <c r="BB140" s="19"/>
      <c r="BC140" s="19"/>
      <c r="BD140" s="19"/>
      <c r="BE140" s="19"/>
      <c r="BF140" s="19"/>
      <c r="BG140" s="19"/>
      <c r="BH140" s="19"/>
      <c r="BI140" s="19"/>
      <c r="BJ140" s="19"/>
      <c r="BK140" s="19"/>
    </row>
    <row r="141" spans="1:63" ht="20.100000000000001" hidden="1" customHeight="1" x14ac:dyDescent="0.2">
      <c r="A141" s="13">
        <v>135</v>
      </c>
      <c r="B141" s="16" t="s">
        <v>3438</v>
      </c>
      <c r="C141" s="16" t="s">
        <v>625</v>
      </c>
      <c r="D141" s="6" t="s">
        <v>3074</v>
      </c>
      <c r="E141" s="6" t="s">
        <v>19</v>
      </c>
      <c r="F141" s="6"/>
      <c r="G141" s="6"/>
      <c r="H141" s="15" t="s">
        <v>7</v>
      </c>
      <c r="I141" s="15"/>
      <c r="J141" s="15"/>
      <c r="K141" s="15"/>
      <c r="L141" s="15"/>
      <c r="M141" s="15"/>
      <c r="N141" s="15"/>
      <c r="O141" s="16" t="s">
        <v>92</v>
      </c>
      <c r="P141" s="6"/>
      <c r="Q141" s="6" t="s">
        <v>117</v>
      </c>
      <c r="R141" s="6" t="s">
        <v>3447</v>
      </c>
      <c r="S141" s="6" t="s">
        <v>142</v>
      </c>
      <c r="T141" s="15" t="s">
        <v>70</v>
      </c>
      <c r="U141" s="6"/>
      <c r="V141" s="6" t="s">
        <v>2961</v>
      </c>
      <c r="W141" s="6" t="s">
        <v>226</v>
      </c>
      <c r="X141" s="6" t="s">
        <v>3448</v>
      </c>
      <c r="Y141" s="6" t="s">
        <v>73</v>
      </c>
      <c r="Z141" s="6" t="s">
        <v>70</v>
      </c>
      <c r="AA141" s="15"/>
      <c r="AB141" s="15"/>
      <c r="AC141" s="15">
        <v>205</v>
      </c>
      <c r="AD141" s="33">
        <v>174</v>
      </c>
      <c r="AE141" s="34">
        <v>186</v>
      </c>
      <c r="AF141" s="16">
        <v>49</v>
      </c>
      <c r="AG141" s="16">
        <v>170</v>
      </c>
      <c r="AH141" s="16">
        <v>4</v>
      </c>
      <c r="AI141" s="16">
        <v>26</v>
      </c>
      <c r="AJ141" s="16">
        <v>200</v>
      </c>
      <c r="AK141" s="16">
        <v>11</v>
      </c>
      <c r="AL141" s="16"/>
      <c r="AM141" s="16"/>
      <c r="AN141" s="15"/>
      <c r="AO141" s="6"/>
      <c r="AP141" s="25"/>
      <c r="AQ141" s="15"/>
      <c r="AR141" s="16" t="s">
        <v>111</v>
      </c>
      <c r="AS141" s="16" t="s">
        <v>161</v>
      </c>
      <c r="AT141" s="6"/>
      <c r="AU141" s="6"/>
      <c r="AV141" s="6"/>
      <c r="AW141" s="6"/>
      <c r="AX141" s="12" t="str">
        <f t="shared" si="10"/>
        <v/>
      </c>
      <c r="AY141" s="12" t="str">
        <f t="shared" si="11"/>
        <v/>
      </c>
      <c r="AZ141" s="18"/>
      <c r="BA141" s="19"/>
      <c r="BB141" s="19"/>
      <c r="BC141" s="19"/>
      <c r="BD141" s="19"/>
      <c r="BE141" s="19"/>
      <c r="BF141" s="19"/>
      <c r="BG141" s="19"/>
      <c r="BH141" s="19"/>
      <c r="BI141" s="19"/>
      <c r="BJ141" s="19"/>
      <c r="BK141" s="19"/>
    </row>
    <row r="142" spans="1:63" s="21" customFormat="1" ht="20.100000000000001" hidden="1" customHeight="1" x14ac:dyDescent="0.2">
      <c r="A142" s="13">
        <v>136</v>
      </c>
      <c r="B142" s="29" t="s">
        <v>3438</v>
      </c>
      <c r="C142" s="29" t="s">
        <v>625</v>
      </c>
      <c r="D142" s="30" t="s">
        <v>1067</v>
      </c>
      <c r="E142" s="30" t="s">
        <v>9</v>
      </c>
      <c r="F142" s="30" t="s">
        <v>4793</v>
      </c>
      <c r="G142" s="30"/>
      <c r="H142" s="20" t="s">
        <v>83</v>
      </c>
      <c r="I142" s="20"/>
      <c r="J142" s="20"/>
      <c r="K142" s="20"/>
      <c r="L142" s="20"/>
      <c r="M142" s="20"/>
      <c r="N142" s="20"/>
      <c r="O142" s="29" t="s">
        <v>93</v>
      </c>
      <c r="P142" s="30" t="s">
        <v>429</v>
      </c>
      <c r="Q142" s="30" t="s">
        <v>104</v>
      </c>
      <c r="R142" s="30" t="s">
        <v>1068</v>
      </c>
      <c r="S142" s="30" t="s">
        <v>262</v>
      </c>
      <c r="T142" s="20" t="s">
        <v>70</v>
      </c>
      <c r="U142" s="30" t="s">
        <v>429</v>
      </c>
      <c r="V142" s="30" t="s">
        <v>3677</v>
      </c>
      <c r="W142" s="30" t="s">
        <v>555</v>
      </c>
      <c r="X142" s="30" t="s">
        <v>1007</v>
      </c>
      <c r="Y142" s="30" t="s">
        <v>106</v>
      </c>
      <c r="Z142" s="30" t="s">
        <v>107</v>
      </c>
      <c r="AA142" s="20" t="s">
        <v>3440</v>
      </c>
      <c r="AB142" s="20"/>
      <c r="AC142" s="20"/>
      <c r="AD142" s="20">
        <v>213</v>
      </c>
      <c r="AE142" s="29"/>
      <c r="AF142" s="29"/>
      <c r="AG142" s="29"/>
      <c r="AH142" s="29"/>
      <c r="AI142" s="29"/>
      <c r="AJ142" s="29"/>
      <c r="AK142" s="29"/>
      <c r="AL142" s="29">
        <v>6</v>
      </c>
      <c r="AM142" s="29"/>
      <c r="AN142" s="20"/>
      <c r="AO142" s="30"/>
      <c r="AP142" s="36"/>
      <c r="AQ142" s="20"/>
      <c r="AR142" s="29"/>
      <c r="AS142" s="29"/>
      <c r="AT142" s="30" t="s">
        <v>113</v>
      </c>
      <c r="AU142" s="30" t="s">
        <v>235</v>
      </c>
      <c r="AV142" s="30" t="s">
        <v>115</v>
      </c>
      <c r="AW142" s="30" t="s">
        <v>137</v>
      </c>
      <c r="AX142" s="31">
        <f t="shared" si="10"/>
        <v>9</v>
      </c>
      <c r="AY142" s="31">
        <f t="shared" si="11"/>
        <v>9</v>
      </c>
      <c r="AZ142" s="32"/>
    </row>
    <row r="143" spans="1:63" ht="20.100000000000001" hidden="1" customHeight="1" x14ac:dyDescent="0.2">
      <c r="A143" s="13">
        <v>137</v>
      </c>
      <c r="B143" s="16" t="s">
        <v>3459</v>
      </c>
      <c r="C143" s="16" t="s">
        <v>625</v>
      </c>
      <c r="D143" s="6" t="s">
        <v>2555</v>
      </c>
      <c r="E143" s="6" t="s">
        <v>19</v>
      </c>
      <c r="F143" s="6" t="s">
        <v>185</v>
      </c>
      <c r="G143" s="6"/>
      <c r="H143" s="15" t="s">
        <v>83</v>
      </c>
      <c r="I143" s="15"/>
      <c r="J143" s="15"/>
      <c r="K143" s="15"/>
      <c r="L143" s="15"/>
      <c r="M143" s="15"/>
      <c r="N143" s="15"/>
      <c r="O143" s="16" t="s">
        <v>93</v>
      </c>
      <c r="P143" s="6" t="s">
        <v>429</v>
      </c>
      <c r="Q143" s="6" t="s">
        <v>68</v>
      </c>
      <c r="R143" s="6" t="s">
        <v>3460</v>
      </c>
      <c r="S143" s="6" t="s">
        <v>69</v>
      </c>
      <c r="T143" s="15" t="s">
        <v>70</v>
      </c>
      <c r="U143" s="6" t="s">
        <v>429</v>
      </c>
      <c r="V143" s="6" t="s">
        <v>3679</v>
      </c>
      <c r="W143" s="6" t="s">
        <v>485</v>
      </c>
      <c r="X143" s="6" t="s">
        <v>3461</v>
      </c>
      <c r="Y143" s="6" t="s">
        <v>106</v>
      </c>
      <c r="Z143" s="6" t="s">
        <v>107</v>
      </c>
      <c r="AA143" s="15" t="s">
        <v>3462</v>
      </c>
      <c r="AB143" s="15"/>
      <c r="AC143" s="15"/>
      <c r="AD143" s="15">
        <v>210</v>
      </c>
      <c r="AE143" s="16"/>
      <c r="AF143" s="16"/>
      <c r="AG143" s="16"/>
      <c r="AH143" s="16"/>
      <c r="AI143" s="16"/>
      <c r="AJ143" s="16"/>
      <c r="AK143" s="16"/>
      <c r="AL143" s="16"/>
      <c r="AM143" s="16"/>
      <c r="AN143" s="15"/>
      <c r="AO143" s="6"/>
      <c r="AP143" s="25"/>
      <c r="AQ143" s="15"/>
      <c r="AR143" s="16"/>
      <c r="AS143" s="16"/>
      <c r="AT143" s="6" t="s">
        <v>113</v>
      </c>
      <c r="AU143" s="6" t="s">
        <v>235</v>
      </c>
      <c r="AV143" s="6" t="s">
        <v>136</v>
      </c>
      <c r="AW143" s="6" t="s">
        <v>116</v>
      </c>
      <c r="AX143" s="12">
        <f t="shared" si="10"/>
        <v>16</v>
      </c>
      <c r="AY143" s="12" t="str">
        <f t="shared" si="11"/>
        <v/>
      </c>
      <c r="AZ143" s="18"/>
      <c r="BA143" s="19"/>
      <c r="BB143" s="19"/>
      <c r="BC143" s="19"/>
      <c r="BD143" s="19"/>
      <c r="BE143" s="19"/>
      <c r="BF143" s="19"/>
      <c r="BG143" s="19"/>
      <c r="BH143" s="19"/>
      <c r="BI143" s="19"/>
      <c r="BJ143" s="19"/>
      <c r="BK143" s="19"/>
    </row>
    <row r="144" spans="1:63" ht="20.100000000000001" hidden="1" customHeight="1" x14ac:dyDescent="0.2">
      <c r="A144" s="13">
        <v>138</v>
      </c>
      <c r="B144" s="16" t="s">
        <v>3459</v>
      </c>
      <c r="C144" s="16" t="s">
        <v>625</v>
      </c>
      <c r="D144" s="202" t="s">
        <v>785</v>
      </c>
      <c r="E144" s="6" t="s">
        <v>6</v>
      </c>
      <c r="F144" s="6" t="s">
        <v>192</v>
      </c>
      <c r="G144" s="6"/>
      <c r="H144" s="15" t="s">
        <v>7</v>
      </c>
      <c r="I144" s="15"/>
      <c r="J144" s="15"/>
      <c r="K144" s="15"/>
      <c r="L144" s="15"/>
      <c r="M144" s="15"/>
      <c r="N144" s="15"/>
      <c r="O144" s="16" t="s">
        <v>3576</v>
      </c>
      <c r="P144" s="6"/>
      <c r="Q144" s="6" t="s">
        <v>218</v>
      </c>
      <c r="R144" s="6" t="s">
        <v>3531</v>
      </c>
      <c r="S144" s="6" t="s">
        <v>69</v>
      </c>
      <c r="T144" s="15" t="s">
        <v>70</v>
      </c>
      <c r="U144" s="6"/>
      <c r="V144" s="6" t="s">
        <v>3679</v>
      </c>
      <c r="W144" s="6" t="s">
        <v>116</v>
      </c>
      <c r="X144" s="6" t="s">
        <v>3498</v>
      </c>
      <c r="Y144" s="202" t="s">
        <v>142</v>
      </c>
      <c r="Z144" s="202" t="s">
        <v>70</v>
      </c>
      <c r="AA144" s="15"/>
      <c r="AB144" s="15"/>
      <c r="AC144" s="15">
        <v>250</v>
      </c>
      <c r="AD144" s="15">
        <v>0</v>
      </c>
      <c r="AE144" s="16">
        <v>234</v>
      </c>
      <c r="AF144" s="16">
        <v>144</v>
      </c>
      <c r="AG144" s="16">
        <v>154</v>
      </c>
      <c r="AH144" s="16">
        <v>12</v>
      </c>
      <c r="AI144" s="16">
        <v>60</v>
      </c>
      <c r="AJ144" s="16">
        <v>226</v>
      </c>
      <c r="AK144" s="16">
        <v>23</v>
      </c>
      <c r="AL144" s="16"/>
      <c r="AM144" s="16"/>
      <c r="AN144" s="15"/>
      <c r="AO144" s="6"/>
      <c r="AP144" s="25"/>
      <c r="AQ144" s="15"/>
      <c r="AR144" s="16" t="s">
        <v>160</v>
      </c>
      <c r="AS144" s="16" t="s">
        <v>165</v>
      </c>
      <c r="AT144" s="6"/>
      <c r="AU144" s="6"/>
      <c r="AV144" s="6"/>
      <c r="AW144" s="6"/>
      <c r="AX144" s="12" t="str">
        <f t="shared" si="10"/>
        <v/>
      </c>
      <c r="AY144" s="12" t="str">
        <f t="shared" si="11"/>
        <v/>
      </c>
      <c r="AZ144" s="18"/>
      <c r="BA144" s="19"/>
      <c r="BB144" s="19"/>
      <c r="BC144" s="19"/>
      <c r="BD144" s="19"/>
      <c r="BE144" s="19"/>
      <c r="BF144" s="19"/>
      <c r="BG144" s="19"/>
      <c r="BH144" s="19"/>
      <c r="BI144" s="19"/>
      <c r="BJ144" s="19"/>
      <c r="BK144" s="19"/>
    </row>
    <row r="145" spans="1:63" ht="20.100000000000001" hidden="1" customHeight="1" x14ac:dyDescent="0.2">
      <c r="A145" s="13">
        <v>139</v>
      </c>
      <c r="B145" s="16" t="s">
        <v>3463</v>
      </c>
      <c r="C145" s="16" t="s">
        <v>766</v>
      </c>
      <c r="D145" s="6" t="s">
        <v>384</v>
      </c>
      <c r="E145" s="6" t="s">
        <v>19</v>
      </c>
      <c r="F145" s="6"/>
      <c r="G145" s="6"/>
      <c r="H145" s="15" t="s">
        <v>7</v>
      </c>
      <c r="I145" s="15"/>
      <c r="J145" s="15"/>
      <c r="K145" s="15"/>
      <c r="L145" s="15"/>
      <c r="M145" s="15"/>
      <c r="N145" s="15"/>
      <c r="O145" s="16" t="s">
        <v>92</v>
      </c>
      <c r="P145" s="6"/>
      <c r="Q145" s="6" t="s">
        <v>223</v>
      </c>
      <c r="R145" s="6" t="s">
        <v>3472</v>
      </c>
      <c r="S145" s="6" t="s">
        <v>106</v>
      </c>
      <c r="T145" s="15" t="s">
        <v>107</v>
      </c>
      <c r="U145" s="6"/>
      <c r="V145" s="6" t="s">
        <v>2961</v>
      </c>
      <c r="W145" s="6" t="s">
        <v>441</v>
      </c>
      <c r="X145" s="6" t="s">
        <v>3473</v>
      </c>
      <c r="Y145" s="6" t="s">
        <v>73</v>
      </c>
      <c r="Z145" s="6" t="s">
        <v>70</v>
      </c>
      <c r="AA145" s="15"/>
      <c r="AB145" s="15"/>
      <c r="AC145" s="15">
        <v>105</v>
      </c>
      <c r="AD145" s="33">
        <v>110</v>
      </c>
      <c r="AE145" s="34">
        <v>96</v>
      </c>
      <c r="AF145" s="16"/>
      <c r="AG145" s="16">
        <v>87</v>
      </c>
      <c r="AH145" s="16">
        <v>3</v>
      </c>
      <c r="AI145" s="16">
        <v>20</v>
      </c>
      <c r="AJ145" s="16">
        <v>110</v>
      </c>
      <c r="AK145" s="16">
        <v>10</v>
      </c>
      <c r="AL145" s="16"/>
      <c r="AM145" s="16"/>
      <c r="AN145" s="15"/>
      <c r="AO145" s="6"/>
      <c r="AP145" s="25"/>
      <c r="AQ145" s="15"/>
      <c r="AR145" s="16"/>
      <c r="AS145" s="16"/>
      <c r="AT145" s="6"/>
      <c r="AU145" s="6"/>
      <c r="AV145" s="6"/>
      <c r="AW145" s="6"/>
      <c r="AX145" s="12" t="str">
        <f t="shared" si="10"/>
        <v/>
      </c>
      <c r="AY145" s="12" t="str">
        <f t="shared" si="11"/>
        <v/>
      </c>
      <c r="AZ145" s="18"/>
      <c r="BA145" s="19"/>
      <c r="BB145" s="19"/>
      <c r="BC145" s="19"/>
      <c r="BD145" s="19"/>
      <c r="BE145" s="19"/>
      <c r="BF145" s="19"/>
      <c r="BG145" s="19"/>
      <c r="BH145" s="19"/>
      <c r="BI145" s="19"/>
      <c r="BJ145" s="19"/>
      <c r="BK145" s="19"/>
    </row>
    <row r="146" spans="1:63" ht="20.100000000000001" hidden="1" customHeight="1" x14ac:dyDescent="0.2">
      <c r="A146" s="13">
        <v>140</v>
      </c>
      <c r="B146" s="16" t="s">
        <v>3463</v>
      </c>
      <c r="C146" s="16" t="s">
        <v>766</v>
      </c>
      <c r="D146" s="6" t="s">
        <v>1641</v>
      </c>
      <c r="E146" s="6" t="s">
        <v>20</v>
      </c>
      <c r="F146" s="6"/>
      <c r="G146" s="6"/>
      <c r="H146" s="15" t="s">
        <v>7</v>
      </c>
      <c r="I146" s="15"/>
      <c r="J146" s="15"/>
      <c r="K146" s="15"/>
      <c r="L146" s="15"/>
      <c r="M146" s="15"/>
      <c r="N146" s="15"/>
      <c r="O146" s="16" t="s">
        <v>93</v>
      </c>
      <c r="P146" s="35" t="s">
        <v>140</v>
      </c>
      <c r="Q146" s="202" t="s">
        <v>141</v>
      </c>
      <c r="R146" s="6" t="s">
        <v>3466</v>
      </c>
      <c r="S146" s="6" t="s">
        <v>69</v>
      </c>
      <c r="T146" s="15" t="s">
        <v>70</v>
      </c>
      <c r="U146" s="35" t="s">
        <v>957</v>
      </c>
      <c r="V146" s="35" t="s">
        <v>2961</v>
      </c>
      <c r="W146" s="35" t="s">
        <v>2348</v>
      </c>
      <c r="X146" s="6" t="s">
        <v>3467</v>
      </c>
      <c r="Y146" s="6" t="s">
        <v>73</v>
      </c>
      <c r="Z146" s="6" t="s">
        <v>70</v>
      </c>
      <c r="AA146" s="15"/>
      <c r="AB146" s="15"/>
      <c r="AC146" s="15"/>
      <c r="AD146" s="33">
        <v>126</v>
      </c>
      <c r="AE146" s="34">
        <v>144</v>
      </c>
      <c r="AF146" s="16">
        <v>66</v>
      </c>
      <c r="AG146" s="16">
        <v>133</v>
      </c>
      <c r="AH146" s="16">
        <v>10</v>
      </c>
      <c r="AI146" s="16">
        <v>21</v>
      </c>
      <c r="AJ146" s="16">
        <v>164</v>
      </c>
      <c r="AK146" s="16">
        <v>10</v>
      </c>
      <c r="AL146" s="16"/>
      <c r="AM146" s="16"/>
      <c r="AN146" s="33" t="s">
        <v>158</v>
      </c>
      <c r="AO146" s="6"/>
      <c r="AP146" s="25"/>
      <c r="AQ146" s="15"/>
      <c r="AR146" s="16"/>
      <c r="AS146" s="16"/>
      <c r="AT146" s="6"/>
      <c r="AU146" s="6"/>
      <c r="AV146" s="6"/>
      <c r="AW146" s="6"/>
      <c r="AX146" s="12" t="str">
        <f t="shared" si="10"/>
        <v/>
      </c>
      <c r="AY146" s="12" t="str">
        <f t="shared" si="11"/>
        <v/>
      </c>
      <c r="AZ146" s="18"/>
      <c r="BA146" s="19"/>
      <c r="BB146" s="19"/>
      <c r="BC146" s="19"/>
      <c r="BD146" s="19"/>
      <c r="BE146" s="19"/>
      <c r="BF146" s="19"/>
      <c r="BG146" s="19"/>
      <c r="BH146" s="19"/>
      <c r="BI146" s="19"/>
      <c r="BJ146" s="19"/>
      <c r="BK146" s="19"/>
    </row>
    <row r="147" spans="1:63" ht="20.100000000000001" hidden="1" customHeight="1" x14ac:dyDescent="0.2">
      <c r="A147" s="13">
        <v>141</v>
      </c>
      <c r="B147" s="16" t="s">
        <v>3464</v>
      </c>
      <c r="C147" s="16" t="s">
        <v>766</v>
      </c>
      <c r="D147" s="6" t="s">
        <v>3465</v>
      </c>
      <c r="E147" s="6" t="s">
        <v>3477</v>
      </c>
      <c r="F147" s="6" t="s">
        <v>3474</v>
      </c>
      <c r="G147" s="6"/>
      <c r="H147" s="15" t="s">
        <v>222</v>
      </c>
      <c r="I147" s="15"/>
      <c r="J147" s="15"/>
      <c r="K147" s="15"/>
      <c r="L147" s="15"/>
      <c r="M147" s="15"/>
      <c r="N147" s="15"/>
      <c r="O147" s="16" t="s">
        <v>92</v>
      </c>
      <c r="P147" s="6"/>
      <c r="Q147" s="6"/>
      <c r="R147" s="6"/>
      <c r="S147" s="6"/>
      <c r="T147" s="15"/>
      <c r="U147" s="6"/>
      <c r="V147" s="6"/>
      <c r="W147" s="6"/>
      <c r="X147" s="6"/>
      <c r="Y147" s="6"/>
      <c r="Z147" s="6"/>
      <c r="AA147" s="15"/>
      <c r="AB147" s="15"/>
      <c r="AC147" s="15"/>
      <c r="AD147" s="15">
        <v>129</v>
      </c>
      <c r="AE147" s="16"/>
      <c r="AF147" s="16"/>
      <c r="AG147" s="16"/>
      <c r="AH147" s="16"/>
      <c r="AI147" s="16"/>
      <c r="AJ147" s="16"/>
      <c r="AK147" s="16"/>
      <c r="AL147" s="16"/>
      <c r="AM147" s="16"/>
      <c r="AN147" s="15"/>
      <c r="AO147" s="6"/>
      <c r="AP147" s="25"/>
      <c r="AQ147" s="15"/>
      <c r="AR147" s="16"/>
      <c r="AS147" s="16"/>
      <c r="AT147" s="6"/>
      <c r="AU147" s="6"/>
      <c r="AV147" s="6"/>
      <c r="AW147" s="6"/>
      <c r="AX147" s="12" t="str">
        <f t="shared" si="10"/>
        <v/>
      </c>
      <c r="AY147" s="12" t="str">
        <f t="shared" si="11"/>
        <v/>
      </c>
      <c r="AZ147" s="18"/>
      <c r="BA147" s="19"/>
      <c r="BB147" s="19"/>
      <c r="BC147" s="19"/>
      <c r="BD147" s="19"/>
      <c r="BE147" s="19"/>
      <c r="BF147" s="19"/>
      <c r="BG147" s="19"/>
      <c r="BH147" s="19"/>
      <c r="BI147" s="19"/>
      <c r="BJ147" s="19"/>
      <c r="BK147" s="19"/>
    </row>
    <row r="148" spans="1:63" ht="20.100000000000001" hidden="1" customHeight="1" x14ac:dyDescent="0.2">
      <c r="A148" s="13">
        <v>142</v>
      </c>
      <c r="B148" s="16" t="s">
        <v>3475</v>
      </c>
      <c r="C148" s="16" t="s">
        <v>766</v>
      </c>
      <c r="D148" s="6" t="s">
        <v>242</v>
      </c>
      <c r="E148" s="6" t="s">
        <v>243</v>
      </c>
      <c r="F148" s="6"/>
      <c r="G148" s="6"/>
      <c r="H148" s="15" t="s">
        <v>7</v>
      </c>
      <c r="I148" s="15"/>
      <c r="J148" s="15"/>
      <c r="K148" s="15"/>
      <c r="L148" s="15"/>
      <c r="M148" s="15"/>
      <c r="N148" s="15"/>
      <c r="O148" s="16" t="s">
        <v>84</v>
      </c>
      <c r="P148" s="6" t="s">
        <v>117</v>
      </c>
      <c r="Q148" s="202" t="s">
        <v>117</v>
      </c>
      <c r="R148" s="6" t="s">
        <v>3495</v>
      </c>
      <c r="S148" s="6" t="s">
        <v>69</v>
      </c>
      <c r="T148" s="15" t="s">
        <v>70</v>
      </c>
      <c r="U148" s="35" t="s">
        <v>256</v>
      </c>
      <c r="V148" s="35" t="s">
        <v>3680</v>
      </c>
      <c r="W148" s="35" t="s">
        <v>116</v>
      </c>
      <c r="X148" s="6" t="s">
        <v>3496</v>
      </c>
      <c r="Y148" s="6" t="s">
        <v>73</v>
      </c>
      <c r="Z148" s="6" t="s">
        <v>70</v>
      </c>
      <c r="AA148" s="15"/>
      <c r="AB148" s="15"/>
      <c r="AC148" s="15">
        <v>138</v>
      </c>
      <c r="AD148" s="33">
        <v>84</v>
      </c>
      <c r="AE148" s="34">
        <v>114</v>
      </c>
      <c r="AF148" s="16">
        <v>38</v>
      </c>
      <c r="AG148" s="16">
        <v>95</v>
      </c>
      <c r="AH148" s="16">
        <v>5</v>
      </c>
      <c r="AI148" s="16">
        <v>46</v>
      </c>
      <c r="AJ148" s="16">
        <v>146</v>
      </c>
      <c r="AK148" s="16">
        <v>21</v>
      </c>
      <c r="AL148" s="16"/>
      <c r="AM148" s="16"/>
      <c r="AN148" s="33" t="s">
        <v>158</v>
      </c>
      <c r="AO148" s="6"/>
      <c r="AP148" s="25"/>
      <c r="AQ148" s="15"/>
      <c r="AR148" s="16" t="s">
        <v>111</v>
      </c>
      <c r="AS148" s="16" t="s">
        <v>231</v>
      </c>
      <c r="AT148" s="6"/>
      <c r="AU148" s="6"/>
      <c r="AV148" s="6"/>
      <c r="AW148" s="6"/>
      <c r="AX148" s="12" t="str">
        <f t="shared" si="10"/>
        <v/>
      </c>
      <c r="AY148" s="12" t="str">
        <f t="shared" si="11"/>
        <v/>
      </c>
      <c r="AZ148" s="18"/>
      <c r="BA148" s="19"/>
      <c r="BB148" s="19"/>
      <c r="BC148" s="19"/>
      <c r="BD148" s="19"/>
      <c r="BE148" s="19"/>
      <c r="BF148" s="19"/>
      <c r="BG148" s="19"/>
      <c r="BH148" s="19"/>
      <c r="BI148" s="19"/>
      <c r="BJ148" s="19"/>
      <c r="BK148" s="19"/>
    </row>
    <row r="149" spans="1:63" ht="20.100000000000001" hidden="1" customHeight="1" x14ac:dyDescent="0.2">
      <c r="A149" s="13">
        <v>143</v>
      </c>
      <c r="B149" s="16" t="s">
        <v>3475</v>
      </c>
      <c r="C149" s="16" t="s">
        <v>766</v>
      </c>
      <c r="D149" s="202" t="s">
        <v>3465</v>
      </c>
      <c r="E149" s="6" t="s">
        <v>3477</v>
      </c>
      <c r="F149" s="6"/>
      <c r="G149" s="6"/>
      <c r="H149" s="15" t="s">
        <v>7</v>
      </c>
      <c r="I149" s="15"/>
      <c r="J149" s="15"/>
      <c r="K149" s="15"/>
      <c r="L149" s="15"/>
      <c r="M149" s="15"/>
      <c r="N149" s="15"/>
      <c r="O149" s="16" t="s">
        <v>92</v>
      </c>
      <c r="P149" s="6" t="s">
        <v>104</v>
      </c>
      <c r="Q149" s="6" t="s">
        <v>104</v>
      </c>
      <c r="R149" s="6" t="s">
        <v>3480</v>
      </c>
      <c r="S149" s="6" t="s">
        <v>142</v>
      </c>
      <c r="T149" s="15" t="s">
        <v>70</v>
      </c>
      <c r="U149" s="35" t="s">
        <v>256</v>
      </c>
      <c r="V149" s="35" t="s">
        <v>3679</v>
      </c>
      <c r="W149" s="35" t="s">
        <v>555</v>
      </c>
      <c r="X149" s="6" t="s">
        <v>3481</v>
      </c>
      <c r="Y149" s="6" t="s">
        <v>106</v>
      </c>
      <c r="Z149" s="6" t="s">
        <v>107</v>
      </c>
      <c r="AA149" s="15">
        <v>0</v>
      </c>
      <c r="AB149" s="15"/>
      <c r="AC149" s="15">
        <v>130</v>
      </c>
      <c r="AD149" s="15">
        <v>127</v>
      </c>
      <c r="AE149" s="16">
        <v>127</v>
      </c>
      <c r="AF149" s="16">
        <v>68</v>
      </c>
      <c r="AG149" s="16">
        <v>86</v>
      </c>
      <c r="AH149" s="16">
        <v>5</v>
      </c>
      <c r="AI149" s="16">
        <v>40</v>
      </c>
      <c r="AJ149" s="16"/>
      <c r="AK149" s="16">
        <v>23</v>
      </c>
      <c r="AL149" s="16"/>
      <c r="AM149" s="16"/>
      <c r="AN149" s="33" t="s">
        <v>158</v>
      </c>
      <c r="AO149" s="6"/>
      <c r="AP149" s="25"/>
      <c r="AQ149" s="15"/>
      <c r="AR149" s="16" t="s">
        <v>111</v>
      </c>
      <c r="AS149" s="16" t="s">
        <v>231</v>
      </c>
      <c r="AT149" s="6"/>
      <c r="AU149" s="6"/>
      <c r="AV149" s="6"/>
      <c r="AW149" s="6"/>
      <c r="AX149" s="12" t="str">
        <f t="shared" si="10"/>
        <v/>
      </c>
      <c r="AY149" s="12" t="str">
        <f t="shared" si="11"/>
        <v/>
      </c>
      <c r="AZ149" s="18" t="s">
        <v>3482</v>
      </c>
      <c r="BA149" s="19"/>
      <c r="BB149" s="19"/>
      <c r="BC149" s="19"/>
      <c r="BD149" s="19"/>
      <c r="BE149" s="19"/>
      <c r="BF149" s="19"/>
      <c r="BG149" s="19"/>
      <c r="BH149" s="19"/>
      <c r="BI149" s="19"/>
      <c r="BJ149" s="19"/>
      <c r="BK149" s="19"/>
    </row>
    <row r="150" spans="1:63" ht="20.100000000000001" hidden="1" customHeight="1" x14ac:dyDescent="0.2">
      <c r="A150" s="13">
        <v>144</v>
      </c>
      <c r="B150" s="16" t="s">
        <v>3475</v>
      </c>
      <c r="C150" s="16" t="s">
        <v>766</v>
      </c>
      <c r="D150" s="6" t="s">
        <v>3476</v>
      </c>
      <c r="E150" s="6" t="s">
        <v>6</v>
      </c>
      <c r="F150" s="6" t="s">
        <v>94</v>
      </c>
      <c r="G150" s="6"/>
      <c r="H150" s="15" t="s">
        <v>83</v>
      </c>
      <c r="I150" s="15"/>
      <c r="J150" s="15"/>
      <c r="K150" s="15"/>
      <c r="L150" s="15"/>
      <c r="M150" s="15"/>
      <c r="N150" s="15"/>
      <c r="O150" s="16" t="s">
        <v>93</v>
      </c>
      <c r="P150" s="6" t="s">
        <v>429</v>
      </c>
      <c r="Q150" s="6" t="s">
        <v>155</v>
      </c>
      <c r="R150" s="6" t="s">
        <v>3483</v>
      </c>
      <c r="S150" s="6" t="s">
        <v>142</v>
      </c>
      <c r="T150" s="15" t="s">
        <v>70</v>
      </c>
      <c r="U150" s="6" t="s">
        <v>429</v>
      </c>
      <c r="V150" s="6" t="s">
        <v>3679</v>
      </c>
      <c r="W150" s="6" t="s">
        <v>718</v>
      </c>
      <c r="X150" s="6" t="s">
        <v>3484</v>
      </c>
      <c r="Y150" s="6" t="s">
        <v>142</v>
      </c>
      <c r="Z150" s="6" t="s">
        <v>70</v>
      </c>
      <c r="AA150" s="15" t="s">
        <v>3485</v>
      </c>
      <c r="AB150" s="15"/>
      <c r="AC150" s="15"/>
      <c r="AD150" s="15"/>
      <c r="AE150" s="16">
        <v>192</v>
      </c>
      <c r="AF150" s="16"/>
      <c r="AG150" s="16"/>
      <c r="AH150" s="16"/>
      <c r="AI150" s="16"/>
      <c r="AJ150" s="16"/>
      <c r="AK150" s="16"/>
      <c r="AL150" s="16"/>
      <c r="AM150" s="16"/>
      <c r="AN150" s="15"/>
      <c r="AO150" s="6"/>
      <c r="AP150" s="25"/>
      <c r="AQ150" s="15"/>
      <c r="AR150" s="16"/>
      <c r="AS150" s="16"/>
      <c r="AT150" s="6" t="s">
        <v>113</v>
      </c>
      <c r="AU150" s="6" t="s">
        <v>124</v>
      </c>
      <c r="AV150" s="6" t="s">
        <v>396</v>
      </c>
      <c r="AW150" s="6" t="s">
        <v>266</v>
      </c>
      <c r="AX150" s="12">
        <f t="shared" si="10"/>
        <v>103</v>
      </c>
      <c r="AY150" s="12" t="str">
        <f t="shared" si="11"/>
        <v/>
      </c>
      <c r="AZ150" s="18"/>
      <c r="BA150" s="19"/>
      <c r="BB150" s="19"/>
      <c r="BC150" s="19"/>
      <c r="BD150" s="19"/>
      <c r="BE150" s="19"/>
      <c r="BF150" s="19"/>
      <c r="BG150" s="19"/>
      <c r="BH150" s="19"/>
      <c r="BI150" s="19"/>
      <c r="BJ150" s="19"/>
      <c r="BK150" s="19"/>
    </row>
    <row r="151" spans="1:63" ht="20.100000000000001" hidden="1" customHeight="1" x14ac:dyDescent="0.2">
      <c r="A151" s="13">
        <v>145</v>
      </c>
      <c r="B151" s="16" t="s">
        <v>3475</v>
      </c>
      <c r="C151" s="16" t="s">
        <v>766</v>
      </c>
      <c r="D151" s="6" t="s">
        <v>1067</v>
      </c>
      <c r="E151" s="6" t="s">
        <v>9</v>
      </c>
      <c r="F151" s="6"/>
      <c r="G151" s="6"/>
      <c r="H151" s="15" t="s">
        <v>7</v>
      </c>
      <c r="I151" s="15"/>
      <c r="J151" s="15"/>
      <c r="K151" s="15"/>
      <c r="L151" s="15"/>
      <c r="M151" s="15"/>
      <c r="N151" s="15"/>
      <c r="O151" s="16" t="s">
        <v>93</v>
      </c>
      <c r="P151" s="35" t="s">
        <v>104</v>
      </c>
      <c r="Q151" s="35" t="s">
        <v>155</v>
      </c>
      <c r="R151" s="6" t="s">
        <v>3478</v>
      </c>
      <c r="S151" s="6" t="s">
        <v>106</v>
      </c>
      <c r="T151" s="15" t="s">
        <v>107</v>
      </c>
      <c r="U151" s="35" t="s">
        <v>361</v>
      </c>
      <c r="V151" s="35" t="s">
        <v>3677</v>
      </c>
      <c r="W151" s="35" t="s">
        <v>718</v>
      </c>
      <c r="X151" s="6" t="s">
        <v>3479</v>
      </c>
      <c r="Y151" s="6" t="s">
        <v>106</v>
      </c>
      <c r="Z151" s="6" t="s">
        <v>107</v>
      </c>
      <c r="AA151" s="15">
        <v>0</v>
      </c>
      <c r="AB151" s="15"/>
      <c r="AC151" s="15"/>
      <c r="AD151" s="15">
        <v>210</v>
      </c>
      <c r="AE151" s="16">
        <v>210</v>
      </c>
      <c r="AF151" s="16">
        <v>144</v>
      </c>
      <c r="AG151" s="16">
        <v>155</v>
      </c>
      <c r="AH151" s="16">
        <v>10</v>
      </c>
      <c r="AI151" s="16">
        <v>40</v>
      </c>
      <c r="AJ151" s="16">
        <v>205</v>
      </c>
      <c r="AK151" s="16">
        <v>22</v>
      </c>
      <c r="AL151" s="16">
        <v>6</v>
      </c>
      <c r="AM151" s="16"/>
      <c r="AN151" s="33" t="s">
        <v>158</v>
      </c>
      <c r="AO151" s="6"/>
      <c r="AP151" s="25"/>
      <c r="AQ151" s="15"/>
      <c r="AR151" s="16"/>
      <c r="AS151" s="16"/>
      <c r="AT151" s="6"/>
      <c r="AU151" s="6"/>
      <c r="AV151" s="6"/>
      <c r="AW151" s="6"/>
      <c r="AX151" s="12" t="str">
        <f t="shared" si="10"/>
        <v/>
      </c>
      <c r="AY151" s="12" t="str">
        <f t="shared" si="11"/>
        <v/>
      </c>
      <c r="AZ151" s="18"/>
      <c r="BA151" s="19"/>
      <c r="BB151" s="19"/>
      <c r="BC151" s="19"/>
      <c r="BD151" s="19"/>
      <c r="BE151" s="19"/>
      <c r="BF151" s="19"/>
      <c r="BG151" s="19"/>
      <c r="BH151" s="19"/>
      <c r="BI151" s="19"/>
      <c r="BJ151" s="19"/>
      <c r="BK151" s="19"/>
    </row>
    <row r="152" spans="1:63" ht="20.100000000000001" hidden="1" customHeight="1" x14ac:dyDescent="0.2">
      <c r="A152" s="13">
        <v>146</v>
      </c>
      <c r="B152" s="16" t="s">
        <v>3486</v>
      </c>
      <c r="C152" s="16" t="s">
        <v>766</v>
      </c>
      <c r="D152" s="6" t="s">
        <v>672</v>
      </c>
      <c r="E152" s="6" t="s">
        <v>9</v>
      </c>
      <c r="F152" s="6" t="s">
        <v>4038</v>
      </c>
      <c r="G152" s="6"/>
      <c r="H152" s="15" t="s">
        <v>83</v>
      </c>
      <c r="I152" s="15"/>
      <c r="J152" s="15"/>
      <c r="K152" s="15"/>
      <c r="L152" s="15"/>
      <c r="M152" s="15"/>
      <c r="N152" s="15"/>
      <c r="O152" s="16" t="s">
        <v>93</v>
      </c>
      <c r="P152" s="6"/>
      <c r="Q152" s="6" t="s">
        <v>104</v>
      </c>
      <c r="R152" s="6" t="s">
        <v>592</v>
      </c>
      <c r="S152" s="6" t="s">
        <v>106</v>
      </c>
      <c r="T152" s="15" t="s">
        <v>107</v>
      </c>
      <c r="U152" s="6"/>
      <c r="V152" s="6" t="s">
        <v>1510</v>
      </c>
      <c r="W152" s="6" t="s">
        <v>769</v>
      </c>
      <c r="X152" s="6" t="s">
        <v>703</v>
      </c>
      <c r="Y152" s="6" t="s">
        <v>142</v>
      </c>
      <c r="Z152" s="6" t="s">
        <v>70</v>
      </c>
      <c r="AA152" s="15" t="s">
        <v>3499</v>
      </c>
      <c r="AB152" s="15"/>
      <c r="AC152" s="15">
        <v>233</v>
      </c>
      <c r="AD152" s="15">
        <v>216</v>
      </c>
      <c r="AE152" s="16">
        <v>216</v>
      </c>
      <c r="AF152" s="16">
        <v>117</v>
      </c>
      <c r="AG152" s="16">
        <v>185</v>
      </c>
      <c r="AH152" s="16">
        <v>4</v>
      </c>
      <c r="AI152" s="16">
        <v>50</v>
      </c>
      <c r="AJ152" s="16">
        <v>239</v>
      </c>
      <c r="AK152" s="16">
        <v>11</v>
      </c>
      <c r="AL152" s="16"/>
      <c r="AM152" s="16"/>
      <c r="AN152" s="15"/>
      <c r="AO152" s="6"/>
      <c r="AP152" s="25"/>
      <c r="AQ152" s="15"/>
      <c r="AR152" s="16"/>
      <c r="AS152" s="16"/>
      <c r="AT152" s="6" t="s">
        <v>113</v>
      </c>
      <c r="AU152" s="6" t="s">
        <v>124</v>
      </c>
      <c r="AV152" s="6" t="s">
        <v>115</v>
      </c>
      <c r="AW152" s="6" t="s">
        <v>235</v>
      </c>
      <c r="AX152" s="12">
        <f t="shared" si="10"/>
        <v>13</v>
      </c>
      <c r="AY152" s="12" t="str">
        <f t="shared" si="11"/>
        <v/>
      </c>
      <c r="AZ152" s="18"/>
      <c r="BA152" s="19"/>
      <c r="BB152" s="19"/>
      <c r="BC152" s="19"/>
      <c r="BD152" s="19"/>
      <c r="BE152" s="19"/>
      <c r="BF152" s="19"/>
      <c r="BG152" s="19"/>
      <c r="BH152" s="19"/>
      <c r="BI152" s="19"/>
      <c r="BJ152" s="19"/>
      <c r="BK152" s="19"/>
    </row>
    <row r="153" spans="1:63" ht="20.100000000000001" hidden="1" customHeight="1" x14ac:dyDescent="0.2">
      <c r="A153" s="13">
        <v>147</v>
      </c>
      <c r="B153" s="16" t="s">
        <v>3486</v>
      </c>
      <c r="C153" s="16" t="s">
        <v>766</v>
      </c>
      <c r="D153" s="202" t="s">
        <v>695</v>
      </c>
      <c r="E153" s="6"/>
      <c r="F153" s="6"/>
      <c r="G153" s="6"/>
      <c r="H153" s="15" t="s">
        <v>7</v>
      </c>
      <c r="I153" s="15"/>
      <c r="J153" s="15"/>
      <c r="K153" s="15"/>
      <c r="L153" s="15"/>
      <c r="M153" s="15"/>
      <c r="N153" s="15"/>
      <c r="O153" s="16" t="s">
        <v>93</v>
      </c>
      <c r="P153" s="35" t="s">
        <v>140</v>
      </c>
      <c r="Q153" s="35" t="s">
        <v>104</v>
      </c>
      <c r="R153" s="6" t="s">
        <v>3493</v>
      </c>
      <c r="S153" s="6" t="s">
        <v>142</v>
      </c>
      <c r="T153" s="15" t="s">
        <v>70</v>
      </c>
      <c r="U153" s="35" t="s">
        <v>338</v>
      </c>
      <c r="V153" s="35" t="s">
        <v>1510</v>
      </c>
      <c r="W153" s="35" t="s">
        <v>2348</v>
      </c>
      <c r="X153" s="6" t="s">
        <v>3494</v>
      </c>
      <c r="Y153" s="6" t="s">
        <v>73</v>
      </c>
      <c r="Z153" s="6" t="s">
        <v>70</v>
      </c>
      <c r="AA153" s="15"/>
      <c r="AB153" s="15"/>
      <c r="AC153" s="15"/>
      <c r="AD153" s="33">
        <v>216</v>
      </c>
      <c r="AE153" s="34">
        <v>180</v>
      </c>
      <c r="AF153" s="16"/>
      <c r="AG153" s="16">
        <v>110</v>
      </c>
      <c r="AH153" s="16">
        <v>22</v>
      </c>
      <c r="AI153" s="16">
        <v>40</v>
      </c>
      <c r="AJ153" s="16">
        <v>172</v>
      </c>
      <c r="AK153" s="16">
        <v>16</v>
      </c>
      <c r="AL153" s="16"/>
      <c r="AM153" s="16"/>
      <c r="AN153" s="33" t="s">
        <v>158</v>
      </c>
      <c r="AO153" s="6"/>
      <c r="AP153" s="25"/>
      <c r="AQ153" s="15"/>
      <c r="AR153" s="16" t="s">
        <v>160</v>
      </c>
      <c r="AS153" s="16" t="s">
        <v>193</v>
      </c>
      <c r="AT153" s="6"/>
      <c r="AU153" s="6"/>
      <c r="AV153" s="6"/>
      <c r="AW153" s="6"/>
      <c r="AX153" s="12" t="str">
        <f t="shared" si="10"/>
        <v/>
      </c>
      <c r="AY153" s="12" t="str">
        <f t="shared" si="11"/>
        <v/>
      </c>
      <c r="AZ153" s="18"/>
      <c r="BA153" s="19"/>
      <c r="BB153" s="19"/>
      <c r="BC153" s="19"/>
      <c r="BD153" s="19"/>
      <c r="BE153" s="19"/>
      <c r="BF153" s="19"/>
      <c r="BG153" s="19"/>
      <c r="BH153" s="19"/>
      <c r="BI153" s="19"/>
      <c r="BJ153" s="19"/>
      <c r="BK153" s="19"/>
    </row>
    <row r="154" spans="1:63" ht="20.100000000000001" hidden="1" customHeight="1" x14ac:dyDescent="0.2">
      <c r="A154" s="13">
        <v>148</v>
      </c>
      <c r="B154" s="16" t="s">
        <v>3486</v>
      </c>
      <c r="C154" s="16" t="s">
        <v>766</v>
      </c>
      <c r="D154" s="202" t="s">
        <v>2555</v>
      </c>
      <c r="E154" s="6" t="s">
        <v>19</v>
      </c>
      <c r="F154" s="6"/>
      <c r="G154" s="6"/>
      <c r="H154" s="15" t="s">
        <v>7</v>
      </c>
      <c r="I154" s="15"/>
      <c r="J154" s="15"/>
      <c r="K154" s="15"/>
      <c r="L154" s="15"/>
      <c r="M154" s="15"/>
      <c r="N154" s="15"/>
      <c r="O154" s="16" t="s">
        <v>84</v>
      </c>
      <c r="P154" s="6" t="s">
        <v>68</v>
      </c>
      <c r="Q154" s="6" t="s">
        <v>68</v>
      </c>
      <c r="R154" s="6" t="s">
        <v>3491</v>
      </c>
      <c r="S154" s="6" t="s">
        <v>69</v>
      </c>
      <c r="T154" s="15" t="s">
        <v>70</v>
      </c>
      <c r="U154" s="6" t="s">
        <v>332</v>
      </c>
      <c r="V154" s="6" t="s">
        <v>3679</v>
      </c>
      <c r="W154" s="6" t="s">
        <v>485</v>
      </c>
      <c r="X154" s="6" t="s">
        <v>3492</v>
      </c>
      <c r="Y154" s="6" t="s">
        <v>106</v>
      </c>
      <c r="Z154" s="6" t="s">
        <v>107</v>
      </c>
      <c r="AA154" s="15"/>
      <c r="AB154" s="15"/>
      <c r="AC154" s="15">
        <v>237</v>
      </c>
      <c r="AD154" s="15">
        <v>210</v>
      </c>
      <c r="AE154" s="16">
        <v>210</v>
      </c>
      <c r="AF154" s="16"/>
      <c r="AG154" s="16">
        <v>102</v>
      </c>
      <c r="AH154" s="16">
        <v>14</v>
      </c>
      <c r="AI154" s="16">
        <v>32</v>
      </c>
      <c r="AJ154" s="16">
        <v>148</v>
      </c>
      <c r="AK154" s="16">
        <v>27</v>
      </c>
      <c r="AL154" s="16"/>
      <c r="AM154" s="16"/>
      <c r="AN154" s="15"/>
      <c r="AO154" s="6"/>
      <c r="AP154" s="25"/>
      <c r="AQ154" s="15"/>
      <c r="AR154" s="16" t="s">
        <v>111</v>
      </c>
      <c r="AS154" s="16" t="s">
        <v>193</v>
      </c>
      <c r="AT154" s="6"/>
      <c r="AU154" s="6"/>
      <c r="AV154" s="6"/>
      <c r="AW154" s="6"/>
      <c r="AX154" s="12" t="str">
        <f t="shared" si="10"/>
        <v/>
      </c>
      <c r="AY154" s="12" t="str">
        <f t="shared" si="11"/>
        <v/>
      </c>
      <c r="AZ154" s="18"/>
      <c r="BA154" s="19"/>
      <c r="BB154" s="19"/>
      <c r="BC154" s="19"/>
      <c r="BD154" s="19"/>
      <c r="BE154" s="19"/>
      <c r="BF154" s="19"/>
      <c r="BG154" s="19"/>
      <c r="BH154" s="19"/>
      <c r="BI154" s="19"/>
      <c r="BJ154" s="19"/>
      <c r="BK154" s="19"/>
    </row>
    <row r="155" spans="1:63" ht="20.100000000000001" hidden="1" customHeight="1" x14ac:dyDescent="0.2">
      <c r="A155" s="13">
        <v>149</v>
      </c>
      <c r="B155" s="16" t="s">
        <v>3487</v>
      </c>
      <c r="C155" s="16" t="s">
        <v>766</v>
      </c>
      <c r="D155" s="6" t="s">
        <v>3488</v>
      </c>
      <c r="E155" s="6" t="s">
        <v>243</v>
      </c>
      <c r="F155" s="6"/>
      <c r="G155" s="6"/>
      <c r="H155" s="15" t="s">
        <v>7</v>
      </c>
      <c r="I155" s="15"/>
      <c r="J155" s="15"/>
      <c r="K155" s="15"/>
      <c r="L155" s="15"/>
      <c r="M155" s="15"/>
      <c r="N155" s="15"/>
      <c r="O155" s="16" t="s">
        <v>84</v>
      </c>
      <c r="P155" s="35" t="s">
        <v>117</v>
      </c>
      <c r="Q155" s="35" t="s">
        <v>104</v>
      </c>
      <c r="R155" s="6" t="s">
        <v>3489</v>
      </c>
      <c r="S155" s="6" t="s">
        <v>69</v>
      </c>
      <c r="T155" s="15" t="s">
        <v>70</v>
      </c>
      <c r="U155" s="35" t="s">
        <v>470</v>
      </c>
      <c r="V155" s="35" t="s">
        <v>3679</v>
      </c>
      <c r="W155" s="35" t="s">
        <v>555</v>
      </c>
      <c r="X155" s="6" t="s">
        <v>3490</v>
      </c>
      <c r="Y155" s="6" t="s">
        <v>106</v>
      </c>
      <c r="Z155" s="6" t="s">
        <v>107</v>
      </c>
      <c r="AA155" s="15"/>
      <c r="AB155" s="15"/>
      <c r="AC155" s="15">
        <v>200</v>
      </c>
      <c r="AD155" s="15">
        <v>144</v>
      </c>
      <c r="AE155" s="16">
        <v>144</v>
      </c>
      <c r="AF155" s="16">
        <v>45</v>
      </c>
      <c r="AG155" s="16">
        <v>49</v>
      </c>
      <c r="AH155" s="16">
        <v>10</v>
      </c>
      <c r="AI155" s="16">
        <v>68</v>
      </c>
      <c r="AJ155" s="16">
        <v>127</v>
      </c>
      <c r="AK155" s="16">
        <v>29</v>
      </c>
      <c r="AL155" s="16"/>
      <c r="AM155" s="16"/>
      <c r="AN155" s="33" t="s">
        <v>158</v>
      </c>
      <c r="AO155" s="6"/>
      <c r="AP155" s="25"/>
      <c r="AQ155" s="15"/>
      <c r="AR155" s="16" t="s">
        <v>111</v>
      </c>
      <c r="AS155" s="16" t="s">
        <v>112</v>
      </c>
      <c r="AT155" s="6"/>
      <c r="AU155" s="6"/>
      <c r="AV155" s="6"/>
      <c r="AW155" s="6"/>
      <c r="AX155" s="12" t="str">
        <f t="shared" si="10"/>
        <v/>
      </c>
      <c r="AY155" s="12" t="str">
        <f t="shared" si="11"/>
        <v/>
      </c>
      <c r="AZ155" s="18"/>
      <c r="BA155" s="19"/>
      <c r="BB155" s="19"/>
      <c r="BC155" s="19"/>
      <c r="BD155" s="19"/>
      <c r="BE155" s="19"/>
      <c r="BF155" s="19"/>
      <c r="BG155" s="19"/>
      <c r="BH155" s="19"/>
      <c r="BI155" s="19"/>
      <c r="BJ155" s="19"/>
      <c r="BK155" s="19"/>
    </row>
    <row r="156" spans="1:63" ht="20.100000000000001" hidden="1" customHeight="1" x14ac:dyDescent="0.2">
      <c r="A156" s="13">
        <v>150</v>
      </c>
      <c r="B156" s="16" t="s">
        <v>3500</v>
      </c>
      <c r="C156" s="16" t="s">
        <v>766</v>
      </c>
      <c r="D156" s="6" t="s">
        <v>1092</v>
      </c>
      <c r="E156" s="6" t="s">
        <v>6</v>
      </c>
      <c r="F156" s="6" t="s">
        <v>192</v>
      </c>
      <c r="G156" s="6"/>
      <c r="H156" s="15" t="s">
        <v>7</v>
      </c>
      <c r="I156" s="15"/>
      <c r="J156" s="15"/>
      <c r="K156" s="15"/>
      <c r="L156" s="15"/>
      <c r="M156" s="15"/>
      <c r="N156" s="15"/>
      <c r="O156" s="16" t="s">
        <v>92</v>
      </c>
      <c r="P156" s="6"/>
      <c r="Q156" s="6" t="s">
        <v>104</v>
      </c>
      <c r="R156" s="6" t="s">
        <v>3501</v>
      </c>
      <c r="S156" s="6" t="s">
        <v>142</v>
      </c>
      <c r="T156" s="15" t="s">
        <v>70</v>
      </c>
      <c r="U156" s="6"/>
      <c r="V156" s="6" t="s">
        <v>3680</v>
      </c>
      <c r="W156" s="6" t="s">
        <v>2258</v>
      </c>
      <c r="X156" s="6" t="s">
        <v>3502</v>
      </c>
      <c r="Y156" s="6" t="s">
        <v>73</v>
      </c>
      <c r="Z156" s="6" t="s">
        <v>70</v>
      </c>
      <c r="AA156" s="15">
        <v>0</v>
      </c>
      <c r="AB156" s="15"/>
      <c r="AC156" s="15">
        <v>225</v>
      </c>
      <c r="AD156" s="15">
        <v>0</v>
      </c>
      <c r="AE156" s="16">
        <v>210</v>
      </c>
      <c r="AF156" s="16">
        <v>120</v>
      </c>
      <c r="AG156" s="16">
        <v>130</v>
      </c>
      <c r="AH156" s="16">
        <v>6</v>
      </c>
      <c r="AI156" s="16">
        <v>42</v>
      </c>
      <c r="AJ156" s="16">
        <v>178</v>
      </c>
      <c r="AK156" s="16">
        <v>19</v>
      </c>
      <c r="AL156" s="16"/>
      <c r="AM156" s="16"/>
      <c r="AN156" s="15"/>
      <c r="AO156" s="6"/>
      <c r="AP156" s="25"/>
      <c r="AQ156" s="15"/>
      <c r="AR156" s="16" t="s">
        <v>160</v>
      </c>
      <c r="AS156" s="16" t="s">
        <v>193</v>
      </c>
      <c r="AT156" s="6"/>
      <c r="AU156" s="6"/>
      <c r="AV156" s="6"/>
      <c r="AW156" s="6"/>
      <c r="AX156" s="12" t="str">
        <f t="shared" si="10"/>
        <v/>
      </c>
      <c r="AY156" s="12" t="str">
        <f t="shared" si="11"/>
        <v/>
      </c>
      <c r="AZ156" s="18"/>
      <c r="BA156" s="19"/>
      <c r="BB156" s="19"/>
      <c r="BC156" s="19"/>
      <c r="BD156" s="19"/>
      <c r="BE156" s="19"/>
      <c r="BF156" s="19"/>
      <c r="BG156" s="19"/>
      <c r="BH156" s="19"/>
      <c r="BI156" s="19"/>
      <c r="BJ156" s="19"/>
      <c r="BK156" s="19"/>
    </row>
    <row r="157" spans="1:63" ht="20.100000000000001" hidden="1" customHeight="1" x14ac:dyDescent="0.2">
      <c r="A157" s="13">
        <v>151</v>
      </c>
      <c r="B157" s="16" t="s">
        <v>3500</v>
      </c>
      <c r="C157" s="16" t="s">
        <v>766</v>
      </c>
      <c r="D157" s="6" t="s">
        <v>3476</v>
      </c>
      <c r="E157" s="6" t="s">
        <v>6</v>
      </c>
      <c r="F157" s="6"/>
      <c r="G157" s="6"/>
      <c r="H157" s="15" t="s">
        <v>7</v>
      </c>
      <c r="I157" s="15"/>
      <c r="J157" s="15"/>
      <c r="K157" s="15"/>
      <c r="L157" s="15"/>
      <c r="M157" s="15"/>
      <c r="N157" s="15"/>
      <c r="O157" s="16" t="s">
        <v>84</v>
      </c>
      <c r="P157" s="6" t="s">
        <v>155</v>
      </c>
      <c r="Q157" s="6" t="s">
        <v>155</v>
      </c>
      <c r="R157" s="6" t="s">
        <v>3527</v>
      </c>
      <c r="S157" s="6" t="s">
        <v>106</v>
      </c>
      <c r="T157" s="15" t="s">
        <v>107</v>
      </c>
      <c r="U157" s="6" t="s">
        <v>324</v>
      </c>
      <c r="V157" s="6" t="s">
        <v>3679</v>
      </c>
      <c r="W157" s="6" t="s">
        <v>718</v>
      </c>
      <c r="X157" s="6" t="s">
        <v>3528</v>
      </c>
      <c r="Y157" s="6" t="s">
        <v>106</v>
      </c>
      <c r="Z157" s="6" t="s">
        <v>107</v>
      </c>
      <c r="AA157" s="15">
        <v>0</v>
      </c>
      <c r="AB157" s="15"/>
      <c r="AC157" s="15">
        <v>206</v>
      </c>
      <c r="AD157" s="15">
        <v>192</v>
      </c>
      <c r="AE157" s="16">
        <v>192</v>
      </c>
      <c r="AF157" s="16">
        <v>104</v>
      </c>
      <c r="AG157" s="16">
        <v>121</v>
      </c>
      <c r="AH157" s="16">
        <v>10</v>
      </c>
      <c r="AI157" s="16">
        <v>35</v>
      </c>
      <c r="AJ157" s="16">
        <v>167</v>
      </c>
      <c r="AK157" s="16">
        <v>26</v>
      </c>
      <c r="AL157" s="16"/>
      <c r="AM157" s="16"/>
      <c r="AN157" s="15"/>
      <c r="AO157" s="6"/>
      <c r="AP157" s="25"/>
      <c r="AQ157" s="15"/>
      <c r="AR157" s="16" t="s">
        <v>160</v>
      </c>
      <c r="AS157" s="16" t="s">
        <v>193</v>
      </c>
      <c r="AT157" s="6"/>
      <c r="AU157" s="6"/>
      <c r="AV157" s="6"/>
      <c r="AW157" s="6"/>
      <c r="AX157" s="12" t="str">
        <f t="shared" si="10"/>
        <v/>
      </c>
      <c r="AY157" s="12" t="str">
        <f t="shared" si="11"/>
        <v/>
      </c>
      <c r="AZ157" s="18"/>
      <c r="BA157" s="19"/>
      <c r="BB157" s="19"/>
      <c r="BC157" s="19"/>
      <c r="BD157" s="19"/>
      <c r="BE157" s="19"/>
      <c r="BF157" s="19"/>
      <c r="BG157" s="19"/>
      <c r="BH157" s="19"/>
      <c r="BI157" s="19"/>
      <c r="BJ157" s="19"/>
      <c r="BK157" s="19"/>
    </row>
    <row r="158" spans="1:63" s="21" customFormat="1" ht="20.100000000000001" hidden="1" customHeight="1" x14ac:dyDescent="0.2">
      <c r="A158" s="13">
        <v>152</v>
      </c>
      <c r="B158" s="29" t="s">
        <v>3500</v>
      </c>
      <c r="C158" s="29" t="s">
        <v>766</v>
      </c>
      <c r="D158" s="30" t="s">
        <v>1712</v>
      </c>
      <c r="E158" s="30" t="s">
        <v>9</v>
      </c>
      <c r="F158" s="30" t="s">
        <v>202</v>
      </c>
      <c r="G158" s="30"/>
      <c r="H158" s="20" t="s">
        <v>83</v>
      </c>
      <c r="I158" s="20"/>
      <c r="J158" s="20"/>
      <c r="K158" s="20"/>
      <c r="L158" s="20"/>
      <c r="M158" s="20"/>
      <c r="N158" s="20"/>
      <c r="O158" s="29" t="s">
        <v>93</v>
      </c>
      <c r="P158" s="30"/>
      <c r="Q158" s="30" t="s">
        <v>104</v>
      </c>
      <c r="R158" s="30" t="s">
        <v>1666</v>
      </c>
      <c r="S158" s="30" t="s">
        <v>369</v>
      </c>
      <c r="T158" s="20" t="s">
        <v>369</v>
      </c>
      <c r="U158" s="30"/>
      <c r="V158" s="30" t="s">
        <v>3677</v>
      </c>
      <c r="W158" s="30" t="s">
        <v>555</v>
      </c>
      <c r="X158" s="30" t="s">
        <v>1132</v>
      </c>
      <c r="Y158" s="30" t="s">
        <v>106</v>
      </c>
      <c r="Z158" s="30" t="s">
        <v>107</v>
      </c>
      <c r="AA158" s="20" t="s">
        <v>1838</v>
      </c>
      <c r="AB158" s="20"/>
      <c r="AC158" s="20"/>
      <c r="AD158" s="20">
        <v>186</v>
      </c>
      <c r="AE158" s="29"/>
      <c r="AF158" s="29"/>
      <c r="AG158" s="29"/>
      <c r="AH158" s="29"/>
      <c r="AI158" s="29"/>
      <c r="AJ158" s="29"/>
      <c r="AK158" s="29"/>
      <c r="AL158" s="29"/>
      <c r="AM158" s="29"/>
      <c r="AN158" s="20"/>
      <c r="AO158" s="30"/>
      <c r="AP158" s="36"/>
      <c r="AQ158" s="20"/>
      <c r="AR158" s="29"/>
      <c r="AS158" s="29"/>
      <c r="AT158" s="30" t="s">
        <v>113</v>
      </c>
      <c r="AU158" s="30" t="s">
        <v>124</v>
      </c>
      <c r="AV158" s="30" t="s">
        <v>115</v>
      </c>
      <c r="AW158" s="30" t="s">
        <v>441</v>
      </c>
      <c r="AX158" s="31">
        <f t="shared" si="10"/>
        <v>6</v>
      </c>
      <c r="AY158" s="31">
        <f t="shared" si="11"/>
        <v>6</v>
      </c>
      <c r="AZ158" s="32"/>
    </row>
    <row r="159" spans="1:63" ht="20.100000000000001" hidden="1" customHeight="1" x14ac:dyDescent="0.2">
      <c r="A159" s="13">
        <v>153</v>
      </c>
      <c r="B159" s="16" t="s">
        <v>3500</v>
      </c>
      <c r="C159" s="16" t="s">
        <v>766</v>
      </c>
      <c r="D159" s="6" t="s">
        <v>626</v>
      </c>
      <c r="E159" s="6" t="s">
        <v>9</v>
      </c>
      <c r="F159" s="6" t="s">
        <v>186</v>
      </c>
      <c r="G159" s="6"/>
      <c r="H159" s="15" t="s">
        <v>83</v>
      </c>
      <c r="I159" s="15"/>
      <c r="J159" s="15"/>
      <c r="K159" s="15"/>
      <c r="L159" s="15"/>
      <c r="M159" s="15"/>
      <c r="N159" s="15"/>
      <c r="O159" s="16" t="s">
        <v>93</v>
      </c>
      <c r="P159" s="6"/>
      <c r="Q159" s="6" t="s">
        <v>155</v>
      </c>
      <c r="R159" s="6" t="s">
        <v>628</v>
      </c>
      <c r="S159" s="6" t="s">
        <v>106</v>
      </c>
      <c r="T159" s="15" t="s">
        <v>107</v>
      </c>
      <c r="U159" s="6"/>
      <c r="V159" s="6" t="s">
        <v>3679</v>
      </c>
      <c r="W159" s="6" t="s">
        <v>718</v>
      </c>
      <c r="X159" s="6" t="s">
        <v>629</v>
      </c>
      <c r="Y159" s="6" t="s">
        <v>106</v>
      </c>
      <c r="Z159" s="6" t="s">
        <v>107</v>
      </c>
      <c r="AA159" s="15" t="s">
        <v>3503</v>
      </c>
      <c r="AB159" s="15"/>
      <c r="AC159" s="15"/>
      <c r="AD159" s="15">
        <v>210</v>
      </c>
      <c r="AE159" s="16"/>
      <c r="AF159" s="16"/>
      <c r="AG159" s="16"/>
      <c r="AH159" s="16"/>
      <c r="AI159" s="16"/>
      <c r="AJ159" s="16"/>
      <c r="AK159" s="16"/>
      <c r="AL159" s="16"/>
      <c r="AM159" s="16"/>
      <c r="AN159" s="15"/>
      <c r="AO159" s="6"/>
      <c r="AP159" s="25"/>
      <c r="AQ159" s="15"/>
      <c r="AR159" s="16"/>
      <c r="AS159" s="16"/>
      <c r="AT159" s="6" t="s">
        <v>113</v>
      </c>
      <c r="AU159" s="6" t="s">
        <v>124</v>
      </c>
      <c r="AV159" s="6" t="s">
        <v>115</v>
      </c>
      <c r="AW159" s="6" t="s">
        <v>235</v>
      </c>
      <c r="AX159" s="12">
        <f t="shared" si="10"/>
        <v>13</v>
      </c>
      <c r="AY159" s="12" t="str">
        <f t="shared" si="11"/>
        <v/>
      </c>
      <c r="AZ159" s="18"/>
      <c r="BA159" s="19"/>
      <c r="BB159" s="19"/>
      <c r="BC159" s="19"/>
      <c r="BD159" s="19"/>
      <c r="BE159" s="19"/>
      <c r="BF159" s="19"/>
      <c r="BG159" s="19"/>
      <c r="BH159" s="19"/>
      <c r="BI159" s="19"/>
      <c r="BJ159" s="19"/>
      <c r="BK159" s="19"/>
    </row>
    <row r="160" spans="1:63" ht="20.100000000000001" hidden="1" customHeight="1" x14ac:dyDescent="0.2">
      <c r="A160" s="13">
        <v>154</v>
      </c>
      <c r="B160" s="16" t="s">
        <v>3504</v>
      </c>
      <c r="C160" s="16" t="s">
        <v>766</v>
      </c>
      <c r="D160" s="6" t="s">
        <v>672</v>
      </c>
      <c r="E160" s="6" t="s">
        <v>9</v>
      </c>
      <c r="F160" s="6"/>
      <c r="G160" s="6"/>
      <c r="H160" s="15" t="s">
        <v>7</v>
      </c>
      <c r="I160" s="15"/>
      <c r="J160" s="15"/>
      <c r="K160" s="15"/>
      <c r="L160" s="15"/>
      <c r="M160" s="15"/>
      <c r="N160" s="15"/>
      <c r="O160" s="16" t="s">
        <v>92</v>
      </c>
      <c r="P160" s="6" t="s">
        <v>104</v>
      </c>
      <c r="Q160" s="6" t="s">
        <v>104</v>
      </c>
      <c r="R160" s="6" t="s">
        <v>3532</v>
      </c>
      <c r="S160" s="6" t="s">
        <v>106</v>
      </c>
      <c r="T160" s="15" t="s">
        <v>107</v>
      </c>
      <c r="U160" s="6" t="s">
        <v>131</v>
      </c>
      <c r="V160" s="6" t="s">
        <v>1510</v>
      </c>
      <c r="W160" s="6" t="s">
        <v>769</v>
      </c>
      <c r="X160" s="6" t="s">
        <v>3533</v>
      </c>
      <c r="Y160" s="6" t="s">
        <v>73</v>
      </c>
      <c r="Z160" s="6" t="s">
        <v>70</v>
      </c>
      <c r="AA160" s="15"/>
      <c r="AB160" s="15"/>
      <c r="AC160" s="15">
        <v>233</v>
      </c>
      <c r="AD160" s="15">
        <v>216</v>
      </c>
      <c r="AE160" s="16">
        <v>216</v>
      </c>
      <c r="AF160" s="16">
        <v>117</v>
      </c>
      <c r="AG160" s="16">
        <v>185</v>
      </c>
      <c r="AH160" s="16">
        <v>4</v>
      </c>
      <c r="AI160" s="16">
        <v>50</v>
      </c>
      <c r="AJ160" s="16">
        <v>239</v>
      </c>
      <c r="AK160" s="16">
        <v>11.5</v>
      </c>
      <c r="AL160" s="16"/>
      <c r="AM160" s="16"/>
      <c r="AN160" s="15"/>
      <c r="AO160" s="6"/>
      <c r="AP160" s="25"/>
      <c r="AQ160" s="15"/>
      <c r="AR160" s="16" t="s">
        <v>111</v>
      </c>
      <c r="AS160" s="16" t="s">
        <v>161</v>
      </c>
      <c r="AT160" s="6"/>
      <c r="AU160" s="6"/>
      <c r="AV160" s="6"/>
      <c r="AW160" s="6"/>
      <c r="AX160" s="12" t="str">
        <f t="shared" si="10"/>
        <v/>
      </c>
      <c r="AY160" s="12" t="str">
        <f t="shared" si="11"/>
        <v/>
      </c>
      <c r="AZ160" s="18"/>
      <c r="BA160" s="19"/>
      <c r="BB160" s="19"/>
      <c r="BC160" s="19"/>
      <c r="BD160" s="19"/>
      <c r="BE160" s="19"/>
      <c r="BF160" s="19"/>
      <c r="BG160" s="19"/>
      <c r="BH160" s="19"/>
      <c r="BI160" s="19"/>
      <c r="BJ160" s="19"/>
      <c r="BK160" s="19"/>
    </row>
    <row r="161" spans="1:63" ht="20.100000000000001" hidden="1" customHeight="1" x14ac:dyDescent="0.2">
      <c r="A161" s="13">
        <v>155</v>
      </c>
      <c r="B161" s="16" t="s">
        <v>3505</v>
      </c>
      <c r="C161" s="16" t="s">
        <v>766</v>
      </c>
      <c r="D161" s="6" t="s">
        <v>1076</v>
      </c>
      <c r="E161" s="6" t="s">
        <v>6</v>
      </c>
      <c r="F161" s="6" t="s">
        <v>192</v>
      </c>
      <c r="G161" s="6"/>
      <c r="H161" s="15" t="s">
        <v>7</v>
      </c>
      <c r="I161" s="15"/>
      <c r="J161" s="15"/>
      <c r="K161" s="15"/>
      <c r="L161" s="15"/>
      <c r="M161" s="15"/>
      <c r="N161" s="15"/>
      <c r="O161" s="16" t="s">
        <v>93</v>
      </c>
      <c r="P161" s="6"/>
      <c r="Q161" s="6" t="s">
        <v>155</v>
      </c>
      <c r="R161" s="6" t="s">
        <v>3510</v>
      </c>
      <c r="S161" s="6" t="s">
        <v>69</v>
      </c>
      <c r="T161" s="15" t="s">
        <v>70</v>
      </c>
      <c r="U161" s="6"/>
      <c r="V161" s="6" t="s">
        <v>3680</v>
      </c>
      <c r="W161" s="6" t="s">
        <v>769</v>
      </c>
      <c r="X161" s="6" t="s">
        <v>3511</v>
      </c>
      <c r="Y161" s="6" t="s">
        <v>73</v>
      </c>
      <c r="Z161" s="6" t="s">
        <v>70</v>
      </c>
      <c r="AA161" s="15"/>
      <c r="AB161" s="15"/>
      <c r="AC161" s="15">
        <v>248</v>
      </c>
      <c r="AD161" s="15">
        <v>0</v>
      </c>
      <c r="AE161" s="16">
        <v>231</v>
      </c>
      <c r="AF161" s="16">
        <v>86</v>
      </c>
      <c r="AG161" s="16">
        <v>165</v>
      </c>
      <c r="AH161" s="16">
        <v>6</v>
      </c>
      <c r="AI161" s="16">
        <v>35</v>
      </c>
      <c r="AJ161" s="16">
        <v>206</v>
      </c>
      <c r="AK161" s="16">
        <v>19</v>
      </c>
      <c r="AL161" s="16"/>
      <c r="AM161" s="16"/>
      <c r="AN161" s="15"/>
      <c r="AO161" s="6"/>
      <c r="AP161" s="25"/>
      <c r="AQ161" s="15"/>
      <c r="AR161" s="16" t="s">
        <v>160</v>
      </c>
      <c r="AS161" s="16" t="s">
        <v>165</v>
      </c>
      <c r="AT161" s="6"/>
      <c r="AU161" s="6"/>
      <c r="AV161" s="6"/>
      <c r="AW161" s="6"/>
      <c r="AX161" s="12" t="str">
        <f t="shared" si="10"/>
        <v/>
      </c>
      <c r="AY161" s="12" t="str">
        <f t="shared" si="11"/>
        <v/>
      </c>
      <c r="AZ161" s="18"/>
      <c r="BA161" s="19"/>
      <c r="BB161" s="19"/>
      <c r="BC161" s="19"/>
      <c r="BD161" s="19"/>
      <c r="BE161" s="19"/>
      <c r="BF161" s="19"/>
      <c r="BG161" s="19"/>
      <c r="BH161" s="19"/>
      <c r="BI161" s="19"/>
      <c r="BJ161" s="19"/>
      <c r="BK161" s="19"/>
    </row>
    <row r="162" spans="1:63" ht="20.100000000000001" hidden="1" customHeight="1" x14ac:dyDescent="0.2">
      <c r="A162" s="13">
        <v>156</v>
      </c>
      <c r="B162" s="16" t="s">
        <v>3506</v>
      </c>
      <c r="C162" s="16" t="s">
        <v>766</v>
      </c>
      <c r="D162" s="6" t="s">
        <v>626</v>
      </c>
      <c r="E162" s="6" t="s">
        <v>9</v>
      </c>
      <c r="F162" s="6"/>
      <c r="G162" s="6"/>
      <c r="H162" s="15" t="s">
        <v>7</v>
      </c>
      <c r="I162" s="15"/>
      <c r="J162" s="15"/>
      <c r="K162" s="15"/>
      <c r="L162" s="15"/>
      <c r="M162" s="15"/>
      <c r="N162" s="15"/>
      <c r="O162" s="16" t="s">
        <v>93</v>
      </c>
      <c r="P162" s="6" t="s">
        <v>155</v>
      </c>
      <c r="Q162" s="6" t="s">
        <v>155</v>
      </c>
      <c r="R162" s="6" t="s">
        <v>3497</v>
      </c>
      <c r="S162" s="6" t="s">
        <v>106</v>
      </c>
      <c r="T162" s="15" t="s">
        <v>107</v>
      </c>
      <c r="U162" s="35" t="s">
        <v>324</v>
      </c>
      <c r="V162" s="35" t="s">
        <v>3677</v>
      </c>
      <c r="W162" s="35" t="s">
        <v>718</v>
      </c>
      <c r="X162" s="6" t="s">
        <v>3525</v>
      </c>
      <c r="Y162" s="6" t="s">
        <v>106</v>
      </c>
      <c r="Z162" s="6" t="s">
        <v>107</v>
      </c>
      <c r="AA162" s="15"/>
      <c r="AB162" s="15"/>
      <c r="AC162" s="15"/>
      <c r="AD162" s="15">
        <v>210</v>
      </c>
      <c r="AE162" s="16">
        <v>210</v>
      </c>
      <c r="AF162" s="16">
        <v>157</v>
      </c>
      <c r="AG162" s="16">
        <v>170</v>
      </c>
      <c r="AH162" s="16">
        <v>10</v>
      </c>
      <c r="AI162" s="16">
        <v>25</v>
      </c>
      <c r="AJ162" s="16">
        <v>205</v>
      </c>
      <c r="AK162" s="16">
        <v>21</v>
      </c>
      <c r="AL162" s="16"/>
      <c r="AM162" s="16"/>
      <c r="AN162" s="33" t="s">
        <v>158</v>
      </c>
      <c r="AO162" s="6"/>
      <c r="AP162" s="25"/>
      <c r="AQ162" s="15"/>
      <c r="AR162" s="16"/>
      <c r="AS162" s="16"/>
      <c r="AT162" s="6"/>
      <c r="AU162" s="6"/>
      <c r="AV162" s="6"/>
      <c r="AW162" s="6"/>
      <c r="AX162" s="12" t="str">
        <f t="shared" si="10"/>
        <v/>
      </c>
      <c r="AY162" s="12" t="str">
        <f t="shared" si="11"/>
        <v/>
      </c>
      <c r="AZ162" s="18"/>
      <c r="BA162" s="19"/>
      <c r="BB162" s="19"/>
      <c r="BC162" s="19"/>
      <c r="BD162" s="19"/>
      <c r="BE162" s="19"/>
      <c r="BF162" s="19"/>
      <c r="BG162" s="19"/>
      <c r="BH162" s="19"/>
      <c r="BI162" s="19"/>
      <c r="BJ162" s="19"/>
      <c r="BK162" s="19"/>
    </row>
    <row r="163" spans="1:63" ht="20.100000000000001" hidden="1" customHeight="1" x14ac:dyDescent="0.2">
      <c r="A163" s="13">
        <v>157</v>
      </c>
      <c r="B163" s="16" t="s">
        <v>3506</v>
      </c>
      <c r="C163" s="16" t="s">
        <v>766</v>
      </c>
      <c r="D163" s="6" t="s">
        <v>3508</v>
      </c>
      <c r="E163" s="6" t="s">
        <v>243</v>
      </c>
      <c r="F163" s="6" t="s">
        <v>192</v>
      </c>
      <c r="G163" s="6"/>
      <c r="H163" s="15" t="s">
        <v>7</v>
      </c>
      <c r="I163" s="15"/>
      <c r="J163" s="15"/>
      <c r="K163" s="15"/>
      <c r="L163" s="15"/>
      <c r="M163" s="15"/>
      <c r="N163" s="15"/>
      <c r="O163" s="16" t="s">
        <v>67</v>
      </c>
      <c r="P163" s="6"/>
      <c r="Q163" s="6" t="s">
        <v>104</v>
      </c>
      <c r="R163" s="6" t="s">
        <v>3516</v>
      </c>
      <c r="S163" s="6" t="s">
        <v>142</v>
      </c>
      <c r="T163" s="15" t="s">
        <v>70</v>
      </c>
      <c r="U163" s="6"/>
      <c r="V163" s="6" t="s">
        <v>3679</v>
      </c>
      <c r="W163" s="6" t="s">
        <v>555</v>
      </c>
      <c r="X163" s="6" t="s">
        <v>3517</v>
      </c>
      <c r="Y163" s="6" t="s">
        <v>69</v>
      </c>
      <c r="Z163" s="6" t="s">
        <v>70</v>
      </c>
      <c r="AA163" s="15"/>
      <c r="AB163" s="15"/>
      <c r="AC163" s="15">
        <v>215</v>
      </c>
      <c r="AD163" s="15">
        <v>0</v>
      </c>
      <c r="AE163" s="16">
        <v>198</v>
      </c>
      <c r="AF163" s="16">
        <v>49</v>
      </c>
      <c r="AG163" s="16">
        <v>70</v>
      </c>
      <c r="AH163" s="16">
        <v>10</v>
      </c>
      <c r="AI163" s="16">
        <v>57</v>
      </c>
      <c r="AJ163" s="16">
        <v>137</v>
      </c>
      <c r="AK163" s="16">
        <v>23</v>
      </c>
      <c r="AL163" s="16"/>
      <c r="AM163" s="16"/>
      <c r="AN163" s="15"/>
      <c r="AO163" s="6"/>
      <c r="AP163" s="25"/>
      <c r="AQ163" s="15"/>
      <c r="AR163" s="16" t="s">
        <v>160</v>
      </c>
      <c r="AS163" s="16" t="s">
        <v>193</v>
      </c>
      <c r="AT163" s="6"/>
      <c r="AU163" s="6"/>
      <c r="AV163" s="6"/>
      <c r="AW163" s="6"/>
      <c r="AX163" s="12" t="str">
        <f t="shared" si="10"/>
        <v/>
      </c>
      <c r="AY163" s="12" t="str">
        <f t="shared" si="11"/>
        <v/>
      </c>
      <c r="AZ163" s="18"/>
      <c r="BA163" s="19"/>
      <c r="BB163" s="19"/>
      <c r="BC163" s="19"/>
      <c r="BD163" s="19"/>
      <c r="BE163" s="19"/>
      <c r="BF163" s="19"/>
      <c r="BG163" s="19"/>
      <c r="BH163" s="19"/>
      <c r="BI163" s="19"/>
      <c r="BJ163" s="19"/>
      <c r="BK163" s="19"/>
    </row>
    <row r="164" spans="1:63" s="21" customFormat="1" ht="20.100000000000001" hidden="1" customHeight="1" x14ac:dyDescent="0.2">
      <c r="A164" s="13">
        <v>158</v>
      </c>
      <c r="B164" s="29" t="s">
        <v>3506</v>
      </c>
      <c r="C164" s="29" t="s">
        <v>766</v>
      </c>
      <c r="D164" s="30" t="s">
        <v>3272</v>
      </c>
      <c r="E164" s="30" t="s">
        <v>19</v>
      </c>
      <c r="F164" s="30" t="s">
        <v>202</v>
      </c>
      <c r="G164" s="30"/>
      <c r="H164" s="20" t="s">
        <v>83</v>
      </c>
      <c r="I164" s="20"/>
      <c r="J164" s="20"/>
      <c r="K164" s="20"/>
      <c r="L164" s="20"/>
      <c r="M164" s="20"/>
      <c r="N164" s="20"/>
      <c r="O164" s="29" t="s">
        <v>84</v>
      </c>
      <c r="P164" s="30"/>
      <c r="Q164" s="30" t="s">
        <v>68</v>
      </c>
      <c r="R164" s="30" t="s">
        <v>3426</v>
      </c>
      <c r="S164" s="30" t="s">
        <v>106</v>
      </c>
      <c r="T164" s="20" t="s">
        <v>107</v>
      </c>
      <c r="U164" s="30"/>
      <c r="V164" s="30" t="s">
        <v>3677</v>
      </c>
      <c r="W164" s="30" t="s">
        <v>485</v>
      </c>
      <c r="X164" s="30" t="s">
        <v>3427</v>
      </c>
      <c r="Y164" s="30" t="s">
        <v>106</v>
      </c>
      <c r="Z164" s="30" t="s">
        <v>107</v>
      </c>
      <c r="AA164" s="20" t="s">
        <v>3422</v>
      </c>
      <c r="AB164" s="20"/>
      <c r="AC164" s="20"/>
      <c r="AD164" s="20">
        <v>156</v>
      </c>
      <c r="AE164" s="29"/>
      <c r="AF164" s="29"/>
      <c r="AG164" s="29"/>
      <c r="AH164" s="29"/>
      <c r="AI164" s="29"/>
      <c r="AJ164" s="29"/>
      <c r="AK164" s="29"/>
      <c r="AL164" s="29"/>
      <c r="AM164" s="29"/>
      <c r="AN164" s="20"/>
      <c r="AO164" s="30"/>
      <c r="AP164" s="36"/>
      <c r="AQ164" s="20"/>
      <c r="AR164" s="29"/>
      <c r="AS164" s="29"/>
      <c r="AT164" s="30" t="s">
        <v>113</v>
      </c>
      <c r="AU164" s="30" t="s">
        <v>124</v>
      </c>
      <c r="AV164" s="30" t="s">
        <v>113</v>
      </c>
      <c r="AW164" s="30" t="s">
        <v>235</v>
      </c>
      <c r="AX164" s="31">
        <f t="shared" si="10"/>
        <v>1</v>
      </c>
      <c r="AY164" s="31">
        <f t="shared" si="11"/>
        <v>1</v>
      </c>
      <c r="AZ164" s="32"/>
    </row>
    <row r="165" spans="1:63" ht="20.100000000000001" hidden="1" customHeight="1" x14ac:dyDescent="0.2">
      <c r="A165" s="13">
        <v>159</v>
      </c>
      <c r="B165" s="16" t="s">
        <v>3507</v>
      </c>
      <c r="C165" s="16" t="s">
        <v>766</v>
      </c>
      <c r="D165" s="6" t="s">
        <v>3509</v>
      </c>
      <c r="E165" s="6" t="s">
        <v>243</v>
      </c>
      <c r="F165" s="6" t="s">
        <v>172</v>
      </c>
      <c r="G165" s="6"/>
      <c r="H165" s="15" t="s">
        <v>83</v>
      </c>
      <c r="I165" s="15"/>
      <c r="J165" s="15"/>
      <c r="K165" s="15"/>
      <c r="L165" s="15"/>
      <c r="M165" s="15"/>
      <c r="N165" s="15"/>
      <c r="O165" s="16" t="s">
        <v>93</v>
      </c>
      <c r="P165" s="6"/>
      <c r="Q165" s="6" t="s">
        <v>141</v>
      </c>
      <c r="R165" s="6" t="s">
        <v>3512</v>
      </c>
      <c r="S165" s="6" t="s">
        <v>119</v>
      </c>
      <c r="T165" s="15" t="s">
        <v>107</v>
      </c>
      <c r="U165" s="6"/>
      <c r="V165" s="6" t="s">
        <v>3677</v>
      </c>
      <c r="W165" s="6" t="s">
        <v>458</v>
      </c>
      <c r="X165" s="6" t="s">
        <v>3514</v>
      </c>
      <c r="Y165" s="6" t="s">
        <v>119</v>
      </c>
      <c r="Z165" s="6" t="s">
        <v>107</v>
      </c>
      <c r="AA165" s="15" t="s">
        <v>3513</v>
      </c>
      <c r="AB165" s="15"/>
      <c r="AC165" s="15"/>
      <c r="AD165" s="15">
        <v>90</v>
      </c>
      <c r="AE165" s="16"/>
      <c r="AF165" s="16"/>
      <c r="AG165" s="16"/>
      <c r="AH165" s="16"/>
      <c r="AI165" s="16"/>
      <c r="AJ165" s="16"/>
      <c r="AK165" s="16"/>
      <c r="AL165" s="16"/>
      <c r="AM165" s="16"/>
      <c r="AN165" s="15"/>
      <c r="AO165" s="6"/>
      <c r="AP165" s="25"/>
      <c r="AQ165" s="15"/>
      <c r="AR165" s="16"/>
      <c r="AS165" s="16"/>
      <c r="AT165" s="6" t="s">
        <v>113</v>
      </c>
      <c r="AU165" s="6" t="s">
        <v>124</v>
      </c>
      <c r="AV165" s="6" t="s">
        <v>547</v>
      </c>
      <c r="AW165" s="6" t="s">
        <v>344</v>
      </c>
      <c r="AX165" s="12">
        <f t="shared" si="10"/>
        <v>69</v>
      </c>
      <c r="AY165" s="12" t="str">
        <f t="shared" si="11"/>
        <v/>
      </c>
      <c r="AZ165" s="18"/>
      <c r="BA165" s="19"/>
      <c r="BB165" s="19"/>
      <c r="BC165" s="19"/>
      <c r="BD165" s="19"/>
      <c r="BE165" s="19"/>
      <c r="BF165" s="19"/>
      <c r="BG165" s="19"/>
      <c r="BH165" s="19"/>
      <c r="BI165" s="19"/>
      <c r="BJ165" s="19"/>
      <c r="BK165" s="19"/>
    </row>
    <row r="166" spans="1:63" ht="20.100000000000001" hidden="1" customHeight="1" x14ac:dyDescent="0.2">
      <c r="A166" s="13">
        <v>160</v>
      </c>
      <c r="B166" s="16" t="s">
        <v>3507</v>
      </c>
      <c r="C166" s="16" t="s">
        <v>766</v>
      </c>
      <c r="D166" s="6" t="s">
        <v>182</v>
      </c>
      <c r="E166" s="6" t="s">
        <v>6</v>
      </c>
      <c r="F166" s="6"/>
      <c r="G166" s="6"/>
      <c r="H166" s="15" t="s">
        <v>7</v>
      </c>
      <c r="I166" s="15"/>
      <c r="J166" s="15"/>
      <c r="K166" s="15"/>
      <c r="L166" s="15"/>
      <c r="M166" s="15"/>
      <c r="N166" s="15"/>
      <c r="O166" s="16" t="s">
        <v>93</v>
      </c>
      <c r="P166" s="6" t="s">
        <v>117</v>
      </c>
      <c r="Q166" s="202" t="s">
        <v>117</v>
      </c>
      <c r="R166" s="6" t="s">
        <v>3518</v>
      </c>
      <c r="S166" s="6" t="s">
        <v>69</v>
      </c>
      <c r="T166" s="15" t="s">
        <v>70</v>
      </c>
      <c r="U166" s="35" t="s">
        <v>204</v>
      </c>
      <c r="V166" s="35" t="s">
        <v>1510</v>
      </c>
      <c r="W166" s="35" t="s">
        <v>2258</v>
      </c>
      <c r="X166" s="6" t="s">
        <v>3519</v>
      </c>
      <c r="Y166" s="6" t="s">
        <v>73</v>
      </c>
      <c r="Z166" s="6" t="s">
        <v>70</v>
      </c>
      <c r="AA166" s="15">
        <v>0</v>
      </c>
      <c r="AB166" s="15"/>
      <c r="AC166" s="15">
        <v>198</v>
      </c>
      <c r="AD166" s="15">
        <v>186</v>
      </c>
      <c r="AE166" s="16">
        <v>186</v>
      </c>
      <c r="AF166" s="16">
        <v>133</v>
      </c>
      <c r="AG166" s="16">
        <v>166</v>
      </c>
      <c r="AH166" s="16">
        <v>4</v>
      </c>
      <c r="AI166" s="16">
        <v>5</v>
      </c>
      <c r="AJ166" s="16">
        <v>175</v>
      </c>
      <c r="AK166" s="16">
        <v>15.6</v>
      </c>
      <c r="AL166" s="16"/>
      <c r="AM166" s="16"/>
      <c r="AN166" s="33" t="s">
        <v>158</v>
      </c>
      <c r="AO166" s="6"/>
      <c r="AP166" s="25"/>
      <c r="AQ166" s="15"/>
      <c r="AR166" s="16" t="s">
        <v>160</v>
      </c>
      <c r="AS166" s="16" t="s">
        <v>161</v>
      </c>
      <c r="AT166" s="6"/>
      <c r="AU166" s="6"/>
      <c r="AV166" s="6"/>
      <c r="AW166" s="6"/>
      <c r="AX166" s="12"/>
      <c r="AY166" s="12"/>
      <c r="AZ166" s="18"/>
      <c r="BA166" s="19"/>
      <c r="BB166" s="19"/>
      <c r="BC166" s="19"/>
      <c r="BD166" s="19"/>
      <c r="BE166" s="19"/>
      <c r="BF166" s="19"/>
      <c r="BG166" s="19"/>
      <c r="BH166" s="19"/>
      <c r="BI166" s="19"/>
      <c r="BJ166" s="19"/>
      <c r="BK166" s="19"/>
    </row>
    <row r="167" spans="1:63" s="21" customFormat="1" ht="20.100000000000001" hidden="1" customHeight="1" x14ac:dyDescent="0.2">
      <c r="A167" s="13">
        <v>161</v>
      </c>
      <c r="B167" s="29" t="s">
        <v>3507</v>
      </c>
      <c r="C167" s="29" t="s">
        <v>766</v>
      </c>
      <c r="D167" s="30" t="s">
        <v>844</v>
      </c>
      <c r="E167" s="30" t="s">
        <v>20</v>
      </c>
      <c r="F167" s="30" t="s">
        <v>4038</v>
      </c>
      <c r="G167" s="30"/>
      <c r="H167" s="20" t="s">
        <v>83</v>
      </c>
      <c r="I167" s="20"/>
      <c r="J167" s="20"/>
      <c r="K167" s="20"/>
      <c r="L167" s="20"/>
      <c r="M167" s="20"/>
      <c r="N167" s="20"/>
      <c r="O167" s="29" t="s">
        <v>92</v>
      </c>
      <c r="P167" s="30"/>
      <c r="Q167" s="30" t="s">
        <v>116</v>
      </c>
      <c r="R167" s="30" t="s">
        <v>2014</v>
      </c>
      <c r="S167" s="30" t="s">
        <v>106</v>
      </c>
      <c r="T167" s="20" t="s">
        <v>107</v>
      </c>
      <c r="U167" s="30"/>
      <c r="V167" s="30" t="s">
        <v>2325</v>
      </c>
      <c r="W167" s="30" t="s">
        <v>718</v>
      </c>
      <c r="X167" s="30" t="s">
        <v>2015</v>
      </c>
      <c r="Y167" s="30" t="s">
        <v>69</v>
      </c>
      <c r="Z167" s="30" t="s">
        <v>70</v>
      </c>
      <c r="AA167" s="20" t="s">
        <v>3515</v>
      </c>
      <c r="AB167" s="20"/>
      <c r="AC167" s="20"/>
      <c r="AD167" s="20">
        <v>135</v>
      </c>
      <c r="AE167" s="29"/>
      <c r="AF167" s="29"/>
      <c r="AG167" s="29"/>
      <c r="AH167" s="29"/>
      <c r="AI167" s="29"/>
      <c r="AJ167" s="29"/>
      <c r="AK167" s="29"/>
      <c r="AL167" s="29"/>
      <c r="AM167" s="29"/>
      <c r="AN167" s="20"/>
      <c r="AO167" s="30"/>
      <c r="AP167" s="36"/>
      <c r="AQ167" s="20"/>
      <c r="AR167" s="29"/>
      <c r="AS167" s="29"/>
      <c r="AT167" s="30" t="s">
        <v>113</v>
      </c>
      <c r="AU167" s="30" t="s">
        <v>124</v>
      </c>
      <c r="AV167" s="30" t="s">
        <v>115</v>
      </c>
      <c r="AW167" s="30" t="s">
        <v>260</v>
      </c>
      <c r="AX167" s="31">
        <f t="shared" si="10"/>
        <v>4</v>
      </c>
      <c r="AY167" s="31">
        <f t="shared" si="11"/>
        <v>4</v>
      </c>
      <c r="AZ167" s="32"/>
    </row>
    <row r="168" spans="1:63" ht="20.100000000000001" hidden="1" customHeight="1" x14ac:dyDescent="0.2">
      <c r="A168" s="13">
        <v>162</v>
      </c>
      <c r="B168" s="16" t="s">
        <v>3507</v>
      </c>
      <c r="C168" s="16" t="s">
        <v>766</v>
      </c>
      <c r="D168" s="6" t="s">
        <v>30</v>
      </c>
      <c r="E168" s="6" t="s">
        <v>9</v>
      </c>
      <c r="F168" s="6" t="s">
        <v>4793</v>
      </c>
      <c r="G168" s="6"/>
      <c r="H168" s="15" t="s">
        <v>83</v>
      </c>
      <c r="I168" s="15"/>
      <c r="J168" s="15"/>
      <c r="K168" s="15"/>
      <c r="L168" s="15"/>
      <c r="M168" s="15"/>
      <c r="N168" s="15"/>
      <c r="O168" s="16" t="s">
        <v>84</v>
      </c>
      <c r="P168" s="6"/>
      <c r="Q168" s="6" t="s">
        <v>141</v>
      </c>
      <c r="R168" s="6" t="s">
        <v>3522</v>
      </c>
      <c r="S168" s="6" t="s">
        <v>106</v>
      </c>
      <c r="T168" s="15" t="s">
        <v>107</v>
      </c>
      <c r="U168" s="6"/>
      <c r="V168" s="6" t="s">
        <v>2961</v>
      </c>
      <c r="W168" s="6" t="s">
        <v>2258</v>
      </c>
      <c r="X168" s="6" t="s">
        <v>3523</v>
      </c>
      <c r="Y168" s="6" t="s">
        <v>73</v>
      </c>
      <c r="Z168" s="6" t="s">
        <v>70</v>
      </c>
      <c r="AA168" s="15" t="s">
        <v>3524</v>
      </c>
      <c r="AB168" s="15"/>
      <c r="AC168" s="15"/>
      <c r="AD168" s="15">
        <v>192</v>
      </c>
      <c r="AE168" s="16"/>
      <c r="AF168" s="16"/>
      <c r="AG168" s="16"/>
      <c r="AH168" s="16"/>
      <c r="AI168" s="16"/>
      <c r="AJ168" s="16"/>
      <c r="AK168" s="16"/>
      <c r="AL168" s="16"/>
      <c r="AM168" s="16"/>
      <c r="AN168" s="15"/>
      <c r="AO168" s="6"/>
      <c r="AP168" s="25"/>
      <c r="AQ168" s="15"/>
      <c r="AR168" s="16"/>
      <c r="AS168" s="16"/>
      <c r="AT168" s="6" t="s">
        <v>113</v>
      </c>
      <c r="AU168" s="6" t="s">
        <v>124</v>
      </c>
      <c r="AV168" s="6" t="s">
        <v>136</v>
      </c>
      <c r="AW168" s="6" t="s">
        <v>296</v>
      </c>
      <c r="AX168" s="12">
        <f t="shared" si="10"/>
        <v>26</v>
      </c>
      <c r="AY168" s="12" t="str">
        <f t="shared" si="11"/>
        <v/>
      </c>
      <c r="AZ168" s="18"/>
      <c r="BA168" s="19"/>
      <c r="BB168" s="19"/>
      <c r="BC168" s="19"/>
      <c r="BD168" s="19"/>
      <c r="BE168" s="19"/>
      <c r="BF168" s="19"/>
      <c r="BG168" s="19"/>
      <c r="BH168" s="19"/>
      <c r="BI168" s="19"/>
      <c r="BJ168" s="19"/>
      <c r="BK168" s="19"/>
    </row>
    <row r="169" spans="1:63" ht="20.100000000000001" hidden="1" customHeight="1" x14ac:dyDescent="0.2">
      <c r="A169" s="13">
        <v>163</v>
      </c>
      <c r="B169" s="16" t="s">
        <v>3507</v>
      </c>
      <c r="C169" s="16" t="s">
        <v>766</v>
      </c>
      <c r="D169" s="6" t="s">
        <v>30</v>
      </c>
      <c r="E169" s="6" t="s">
        <v>9</v>
      </c>
      <c r="F169" s="6"/>
      <c r="G169" s="6"/>
      <c r="H169" s="15" t="s">
        <v>7</v>
      </c>
      <c r="I169" s="15"/>
      <c r="J169" s="15"/>
      <c r="K169" s="15"/>
      <c r="L169" s="15"/>
      <c r="M169" s="15"/>
      <c r="N169" s="15"/>
      <c r="O169" s="16" t="s">
        <v>84</v>
      </c>
      <c r="P169" s="6" t="s">
        <v>141</v>
      </c>
      <c r="Q169" s="202" t="s">
        <v>141</v>
      </c>
      <c r="R169" s="6" t="s">
        <v>3520</v>
      </c>
      <c r="S169" s="6" t="s">
        <v>142</v>
      </c>
      <c r="T169" s="15" t="s">
        <v>70</v>
      </c>
      <c r="U169" s="35" t="s">
        <v>1051</v>
      </c>
      <c r="V169" s="35" t="s">
        <v>2245</v>
      </c>
      <c r="W169" s="35" t="s">
        <v>718</v>
      </c>
      <c r="X169" s="6" t="s">
        <v>3521</v>
      </c>
      <c r="Y169" s="6" t="s">
        <v>69</v>
      </c>
      <c r="Z169" s="6" t="s">
        <v>70</v>
      </c>
      <c r="AA169" s="15"/>
      <c r="AB169" s="15"/>
      <c r="AC169" s="15"/>
      <c r="AD169" s="15">
        <v>192</v>
      </c>
      <c r="AE169" s="16">
        <v>192</v>
      </c>
      <c r="AF169" s="16"/>
      <c r="AG169" s="16">
        <v>130</v>
      </c>
      <c r="AH169" s="16">
        <v>20</v>
      </c>
      <c r="AI169" s="16">
        <v>6</v>
      </c>
      <c r="AJ169" s="16">
        <v>156</v>
      </c>
      <c r="AK169" s="16">
        <v>12</v>
      </c>
      <c r="AL169" s="16"/>
      <c r="AM169" s="16"/>
      <c r="AN169" s="33" t="s">
        <v>158</v>
      </c>
      <c r="AO169" s="6"/>
      <c r="AP169" s="25"/>
      <c r="AQ169" s="15"/>
      <c r="AR169" s="16"/>
      <c r="AS169" s="16"/>
      <c r="AT169" s="6"/>
      <c r="AU169" s="6"/>
      <c r="AV169" s="6"/>
      <c r="AW169" s="6"/>
      <c r="AX169" s="12" t="str">
        <f t="shared" si="10"/>
        <v/>
      </c>
      <c r="AY169" s="12" t="str">
        <f t="shared" si="11"/>
        <v/>
      </c>
      <c r="AZ169" s="18"/>
      <c r="BA169" s="19"/>
      <c r="BB169" s="19"/>
      <c r="BC169" s="19"/>
      <c r="BD169" s="19"/>
      <c r="BE169" s="19"/>
      <c r="BF169" s="19"/>
      <c r="BG169" s="19"/>
      <c r="BH169" s="19"/>
      <c r="BI169" s="19"/>
      <c r="BJ169" s="19"/>
      <c r="BK169" s="19"/>
    </row>
    <row r="170" spans="1:63" ht="20.100000000000001" hidden="1" customHeight="1" x14ac:dyDescent="0.2">
      <c r="A170" s="13">
        <v>164</v>
      </c>
      <c r="B170" s="16" t="s">
        <v>3526</v>
      </c>
      <c r="C170" s="16" t="s">
        <v>766</v>
      </c>
      <c r="D170" s="6" t="s">
        <v>844</v>
      </c>
      <c r="E170" s="6" t="s">
        <v>20</v>
      </c>
      <c r="F170" s="6"/>
      <c r="G170" s="6"/>
      <c r="H170" s="15" t="s">
        <v>7</v>
      </c>
      <c r="I170" s="15"/>
      <c r="J170" s="15"/>
      <c r="K170" s="15"/>
      <c r="L170" s="15"/>
      <c r="M170" s="15"/>
      <c r="N170" s="15"/>
      <c r="O170" s="16" t="s">
        <v>84</v>
      </c>
      <c r="P170" s="6" t="s">
        <v>116</v>
      </c>
      <c r="Q170" s="6" t="s">
        <v>116</v>
      </c>
      <c r="R170" s="6" t="s">
        <v>2014</v>
      </c>
      <c r="S170" s="6" t="s">
        <v>106</v>
      </c>
      <c r="T170" s="15" t="s">
        <v>107</v>
      </c>
      <c r="U170" s="6" t="s">
        <v>1498</v>
      </c>
      <c r="V170" s="6" t="s">
        <v>2325</v>
      </c>
      <c r="W170" s="6" t="s">
        <v>718</v>
      </c>
      <c r="X170" s="6" t="s">
        <v>2015</v>
      </c>
      <c r="Y170" s="6" t="s">
        <v>106</v>
      </c>
      <c r="Z170" s="6" t="s">
        <v>107</v>
      </c>
      <c r="AA170" s="15">
        <v>0</v>
      </c>
      <c r="AB170" s="15"/>
      <c r="AC170" s="15">
        <v>142</v>
      </c>
      <c r="AD170" s="15">
        <v>135</v>
      </c>
      <c r="AE170" s="16">
        <v>135</v>
      </c>
      <c r="AF170" s="16">
        <v>79</v>
      </c>
      <c r="AG170" s="16">
        <v>98</v>
      </c>
      <c r="AH170" s="16">
        <v>3</v>
      </c>
      <c r="AI170" s="16">
        <v>37</v>
      </c>
      <c r="AJ170" s="16">
        <v>128</v>
      </c>
      <c r="AK170" s="16">
        <v>4</v>
      </c>
      <c r="AL170" s="16"/>
      <c r="AM170" s="16"/>
      <c r="AN170" s="15"/>
      <c r="AO170" s="6" t="s">
        <v>3530</v>
      </c>
      <c r="AP170" s="25">
        <v>128</v>
      </c>
      <c r="AQ170" s="15"/>
      <c r="AR170" s="16"/>
      <c r="AS170" s="16"/>
      <c r="AT170" s="6"/>
      <c r="AU170" s="6"/>
      <c r="AV170" s="6"/>
      <c r="AW170" s="6"/>
      <c r="AX170" s="12" t="str">
        <f t="shared" si="10"/>
        <v/>
      </c>
      <c r="AY170" s="12" t="str">
        <f t="shared" si="11"/>
        <v/>
      </c>
      <c r="AZ170" s="18"/>
      <c r="BA170" s="19"/>
      <c r="BB170" s="19"/>
      <c r="BC170" s="19"/>
      <c r="BD170" s="19"/>
      <c r="BE170" s="19"/>
      <c r="BF170" s="19"/>
      <c r="BG170" s="19"/>
      <c r="BH170" s="19"/>
      <c r="BI170" s="19"/>
      <c r="BJ170" s="19"/>
      <c r="BK170" s="19"/>
    </row>
    <row r="171" spans="1:63" ht="20.100000000000001" hidden="1" customHeight="1" x14ac:dyDescent="0.2">
      <c r="A171" s="13">
        <v>165</v>
      </c>
      <c r="B171" s="16" t="s">
        <v>3526</v>
      </c>
      <c r="C171" s="16" t="s">
        <v>766</v>
      </c>
      <c r="D171" s="6" t="s">
        <v>1712</v>
      </c>
      <c r="E171" s="6" t="s">
        <v>9</v>
      </c>
      <c r="F171" s="6"/>
      <c r="G171" s="6"/>
      <c r="H171" s="15" t="s">
        <v>7</v>
      </c>
      <c r="I171" s="15"/>
      <c r="J171" s="15"/>
      <c r="K171" s="15"/>
      <c r="L171" s="15"/>
      <c r="M171" s="15"/>
      <c r="N171" s="15"/>
      <c r="O171" s="16" t="s">
        <v>93</v>
      </c>
      <c r="P171" s="35" t="s">
        <v>104</v>
      </c>
      <c r="Q171" s="35" t="s">
        <v>334</v>
      </c>
      <c r="R171" s="6" t="s">
        <v>3510</v>
      </c>
      <c r="S171" s="6" t="s">
        <v>69</v>
      </c>
      <c r="T171" s="15" t="s">
        <v>70</v>
      </c>
      <c r="U171" s="35" t="s">
        <v>361</v>
      </c>
      <c r="V171" s="35" t="s">
        <v>1809</v>
      </c>
      <c r="W171" s="35" t="s">
        <v>2348</v>
      </c>
      <c r="X171" s="6" t="s">
        <v>3529</v>
      </c>
      <c r="Y171" s="6" t="s">
        <v>69</v>
      </c>
      <c r="Z171" s="6" t="s">
        <v>70</v>
      </c>
      <c r="AA171" s="15">
        <v>0</v>
      </c>
      <c r="AB171" s="15"/>
      <c r="AC171" s="15"/>
      <c r="AD171" s="33">
        <v>186</v>
      </c>
      <c r="AE171" s="34">
        <v>168</v>
      </c>
      <c r="AF171" s="16"/>
      <c r="AG171" s="16">
        <v>138</v>
      </c>
      <c r="AH171" s="16">
        <v>7</v>
      </c>
      <c r="AI171" s="16">
        <v>5</v>
      </c>
      <c r="AJ171" s="16">
        <v>154</v>
      </c>
      <c r="AK171" s="16">
        <v>8</v>
      </c>
      <c r="AL171" s="16"/>
      <c r="AM171" s="16"/>
      <c r="AN171" s="33" t="s">
        <v>158</v>
      </c>
      <c r="AO171" s="6" t="s">
        <v>3507</v>
      </c>
      <c r="AP171" s="25">
        <v>154</v>
      </c>
      <c r="AQ171" s="15">
        <v>8</v>
      </c>
      <c r="AR171" s="16" t="s">
        <v>111</v>
      </c>
      <c r="AS171" s="16" t="s">
        <v>161</v>
      </c>
      <c r="AT171" s="6"/>
      <c r="AU171" s="6"/>
      <c r="AV171" s="6"/>
      <c r="AW171" s="6"/>
      <c r="AX171" s="12" t="str">
        <f t="shared" si="10"/>
        <v/>
      </c>
      <c r="AY171" s="12" t="str">
        <f t="shared" si="11"/>
        <v/>
      </c>
      <c r="AZ171" s="18"/>
      <c r="BA171" s="19"/>
      <c r="BB171" s="19"/>
      <c r="BC171" s="19"/>
      <c r="BD171" s="19"/>
      <c r="BE171" s="19"/>
      <c r="BF171" s="19"/>
      <c r="BG171" s="19"/>
      <c r="BH171" s="19"/>
      <c r="BI171" s="19"/>
      <c r="BJ171" s="19"/>
      <c r="BK171" s="19"/>
    </row>
    <row r="172" spans="1:63" s="21" customFormat="1" ht="20.100000000000001" hidden="1" customHeight="1" x14ac:dyDescent="0.2">
      <c r="A172" s="13">
        <v>166</v>
      </c>
      <c r="B172" s="29" t="s">
        <v>3534</v>
      </c>
      <c r="C172" s="29" t="s">
        <v>766</v>
      </c>
      <c r="D172" s="30" t="s">
        <v>3536</v>
      </c>
      <c r="E172" s="30" t="s">
        <v>19</v>
      </c>
      <c r="F172" s="30" t="s">
        <v>186</v>
      </c>
      <c r="G172" s="30"/>
      <c r="H172" s="20" t="s">
        <v>83</v>
      </c>
      <c r="I172" s="20"/>
      <c r="J172" s="20"/>
      <c r="K172" s="20"/>
      <c r="L172" s="20"/>
      <c r="M172" s="20"/>
      <c r="N172" s="20"/>
      <c r="O172" s="29" t="s">
        <v>84</v>
      </c>
      <c r="P172" s="30" t="s">
        <v>429</v>
      </c>
      <c r="Q172" s="30" t="s">
        <v>68</v>
      </c>
      <c r="R172" s="30" t="s">
        <v>882</v>
      </c>
      <c r="S172" s="30" t="s">
        <v>106</v>
      </c>
      <c r="T172" s="20" t="s">
        <v>107</v>
      </c>
      <c r="U172" s="30" t="s">
        <v>429</v>
      </c>
      <c r="V172" s="30" t="s">
        <v>3679</v>
      </c>
      <c r="W172" s="30" t="s">
        <v>485</v>
      </c>
      <c r="X172" s="30" t="s">
        <v>1309</v>
      </c>
      <c r="Y172" s="30" t="s">
        <v>142</v>
      </c>
      <c r="Z172" s="30" t="s">
        <v>70</v>
      </c>
      <c r="AA172" s="20" t="s">
        <v>3538</v>
      </c>
      <c r="AB172" s="20"/>
      <c r="AC172" s="20"/>
      <c r="AD172" s="20"/>
      <c r="AE172" s="29">
        <v>174</v>
      </c>
      <c r="AF172" s="29"/>
      <c r="AG172" s="29"/>
      <c r="AH172" s="29"/>
      <c r="AI172" s="29"/>
      <c r="AJ172" s="29"/>
      <c r="AK172" s="29"/>
      <c r="AL172" s="29"/>
      <c r="AM172" s="29"/>
      <c r="AN172" s="20"/>
      <c r="AO172" s="30"/>
      <c r="AP172" s="36"/>
      <c r="AQ172" s="20"/>
      <c r="AR172" s="29"/>
      <c r="AS172" s="29"/>
      <c r="AT172" s="30" t="s">
        <v>113</v>
      </c>
      <c r="AU172" s="30" t="s">
        <v>124</v>
      </c>
      <c r="AV172" s="30" t="s">
        <v>115</v>
      </c>
      <c r="AW172" s="30" t="s">
        <v>344</v>
      </c>
      <c r="AX172" s="31">
        <f t="shared" si="10"/>
        <v>9</v>
      </c>
      <c r="AY172" s="31">
        <f t="shared" si="11"/>
        <v>9</v>
      </c>
      <c r="AZ172" s="32"/>
    </row>
    <row r="173" spans="1:63" ht="20.100000000000001" hidden="1" customHeight="1" x14ac:dyDescent="0.2">
      <c r="A173" s="13">
        <v>167</v>
      </c>
      <c r="B173" s="16" t="s">
        <v>3534</v>
      </c>
      <c r="C173" s="16" t="s">
        <v>766</v>
      </c>
      <c r="D173" s="6" t="s">
        <v>364</v>
      </c>
      <c r="E173" s="6" t="s">
        <v>19</v>
      </c>
      <c r="F173" s="6"/>
      <c r="G173" s="6"/>
      <c r="H173" s="15" t="s">
        <v>7</v>
      </c>
      <c r="I173" s="15"/>
      <c r="J173" s="15"/>
      <c r="K173" s="15"/>
      <c r="L173" s="15"/>
      <c r="M173" s="15"/>
      <c r="N173" s="15"/>
      <c r="O173" s="16" t="s">
        <v>93</v>
      </c>
      <c r="P173" s="35" t="s">
        <v>223</v>
      </c>
      <c r="Q173" s="35" t="s">
        <v>140</v>
      </c>
      <c r="R173" s="6" t="s">
        <v>3544</v>
      </c>
      <c r="S173" s="6" t="s">
        <v>106</v>
      </c>
      <c r="T173" s="15" t="s">
        <v>107</v>
      </c>
      <c r="U173" s="35" t="s">
        <v>370</v>
      </c>
      <c r="V173" s="35" t="s">
        <v>3680</v>
      </c>
      <c r="W173" s="35" t="s">
        <v>485</v>
      </c>
      <c r="X173" s="6" t="s">
        <v>3545</v>
      </c>
      <c r="Y173" s="6" t="s">
        <v>73</v>
      </c>
      <c r="Z173" s="6" t="s">
        <v>70</v>
      </c>
      <c r="AA173" s="15">
        <v>0</v>
      </c>
      <c r="AB173" s="15"/>
      <c r="AC173" s="15">
        <v>127</v>
      </c>
      <c r="AD173" s="33">
        <v>69</v>
      </c>
      <c r="AE173" s="34">
        <v>105</v>
      </c>
      <c r="AF173" s="16">
        <v>43</v>
      </c>
      <c r="AG173" s="16">
        <v>72</v>
      </c>
      <c r="AH173" s="16">
        <v>20</v>
      </c>
      <c r="AI173" s="16">
        <v>12</v>
      </c>
      <c r="AJ173" s="16">
        <v>104</v>
      </c>
      <c r="AK173" s="16">
        <v>20</v>
      </c>
      <c r="AL173" s="16"/>
      <c r="AM173" s="16"/>
      <c r="AN173" s="33" t="s">
        <v>158</v>
      </c>
      <c r="AO173" s="6"/>
      <c r="AP173" s="25"/>
      <c r="AQ173" s="15"/>
      <c r="AR173" s="16" t="s">
        <v>111</v>
      </c>
      <c r="AS173" s="16" t="s">
        <v>231</v>
      </c>
      <c r="AT173" s="6"/>
      <c r="AU173" s="6"/>
      <c r="AV173" s="6"/>
      <c r="AW173" s="6"/>
      <c r="AX173" s="12" t="str">
        <f t="shared" si="10"/>
        <v/>
      </c>
      <c r="AY173" s="12" t="str">
        <f t="shared" si="11"/>
        <v/>
      </c>
      <c r="AZ173" s="18"/>
      <c r="BA173" s="19"/>
      <c r="BB173" s="19"/>
      <c r="BC173" s="19"/>
      <c r="BD173" s="19"/>
      <c r="BE173" s="19"/>
      <c r="BF173" s="19"/>
      <c r="BG173" s="19"/>
      <c r="BH173" s="19"/>
      <c r="BI173" s="19"/>
      <c r="BJ173" s="19"/>
      <c r="BK173" s="19"/>
    </row>
    <row r="174" spans="1:63" s="21" customFormat="1" ht="20.100000000000001" hidden="1" customHeight="1" x14ac:dyDescent="0.2">
      <c r="A174" s="13">
        <v>168</v>
      </c>
      <c r="B174" s="29" t="s">
        <v>3535</v>
      </c>
      <c r="C174" s="29" t="s">
        <v>766</v>
      </c>
      <c r="D174" s="30" t="s">
        <v>2558</v>
      </c>
      <c r="E174" s="30" t="s">
        <v>20</v>
      </c>
      <c r="F174" s="30" t="s">
        <v>96</v>
      </c>
      <c r="G174" s="30"/>
      <c r="H174" s="20" t="s">
        <v>83</v>
      </c>
      <c r="I174" s="20"/>
      <c r="J174" s="20"/>
      <c r="K174" s="20"/>
      <c r="L174" s="20"/>
      <c r="M174" s="20"/>
      <c r="N174" s="20"/>
      <c r="O174" s="29" t="s">
        <v>84</v>
      </c>
      <c r="P174" s="30"/>
      <c r="Q174" s="30" t="s">
        <v>68</v>
      </c>
      <c r="R174" s="30" t="s">
        <v>3457</v>
      </c>
      <c r="S174" s="30" t="s">
        <v>106</v>
      </c>
      <c r="T174" s="20" t="s">
        <v>107</v>
      </c>
      <c r="U174" s="30"/>
      <c r="V174" s="30" t="s">
        <v>3677</v>
      </c>
      <c r="W174" s="30" t="s">
        <v>485</v>
      </c>
      <c r="X174" s="30" t="s">
        <v>3458</v>
      </c>
      <c r="Y174" s="30" t="s">
        <v>106</v>
      </c>
      <c r="Z174" s="30" t="s">
        <v>107</v>
      </c>
      <c r="AA174" s="20" t="s">
        <v>3433</v>
      </c>
      <c r="AB174" s="20"/>
      <c r="AC174" s="20"/>
      <c r="AD174" s="20"/>
      <c r="AE174" s="29">
        <v>162</v>
      </c>
      <c r="AF174" s="29"/>
      <c r="AG174" s="29"/>
      <c r="AH174" s="29"/>
      <c r="AI174" s="29"/>
      <c r="AJ174" s="29"/>
      <c r="AK174" s="29"/>
      <c r="AL174" s="29"/>
      <c r="AM174" s="29"/>
      <c r="AN174" s="20"/>
      <c r="AO174" s="30"/>
      <c r="AP174" s="36"/>
      <c r="AQ174" s="20"/>
      <c r="AR174" s="29"/>
      <c r="AS174" s="29"/>
      <c r="AT174" s="30" t="s">
        <v>113</v>
      </c>
      <c r="AU174" s="30" t="s">
        <v>124</v>
      </c>
      <c r="AV174" s="30" t="s">
        <v>113</v>
      </c>
      <c r="AW174" s="30" t="s">
        <v>235</v>
      </c>
      <c r="AX174" s="31">
        <f t="shared" si="10"/>
        <v>1</v>
      </c>
      <c r="AY174" s="31">
        <f t="shared" si="11"/>
        <v>1</v>
      </c>
      <c r="AZ174" s="32"/>
    </row>
    <row r="175" spans="1:63" ht="20.100000000000001" hidden="1" customHeight="1" x14ac:dyDescent="0.2">
      <c r="A175" s="13">
        <v>169</v>
      </c>
      <c r="B175" s="16" t="s">
        <v>3539</v>
      </c>
      <c r="C175" s="16" t="s">
        <v>766</v>
      </c>
      <c r="D175" s="6" t="s">
        <v>3541</v>
      </c>
      <c r="E175" s="6" t="s">
        <v>243</v>
      </c>
      <c r="F175" s="6" t="s">
        <v>192</v>
      </c>
      <c r="G175" s="6"/>
      <c r="H175" s="15" t="s">
        <v>7</v>
      </c>
      <c r="I175" s="15"/>
      <c r="J175" s="15"/>
      <c r="K175" s="15"/>
      <c r="L175" s="15"/>
      <c r="M175" s="15"/>
      <c r="N175" s="15"/>
      <c r="O175" s="16" t="s">
        <v>92</v>
      </c>
      <c r="P175" s="6" t="s">
        <v>429</v>
      </c>
      <c r="Q175" s="6" t="s">
        <v>334</v>
      </c>
      <c r="R175" s="6" t="s">
        <v>3546</v>
      </c>
      <c r="S175" s="6" t="s">
        <v>69</v>
      </c>
      <c r="T175" s="15" t="s">
        <v>70</v>
      </c>
      <c r="U175" s="6" t="s">
        <v>429</v>
      </c>
      <c r="V175" s="6" t="s">
        <v>1510</v>
      </c>
      <c r="W175" s="6" t="s">
        <v>555</v>
      </c>
      <c r="X175" s="6" t="s">
        <v>3547</v>
      </c>
      <c r="Y175" s="6" t="s">
        <v>73</v>
      </c>
      <c r="Z175" s="6" t="s">
        <v>70</v>
      </c>
      <c r="AA175" s="15">
        <v>0</v>
      </c>
      <c r="AB175" s="15"/>
      <c r="AC175" s="15">
        <v>102</v>
      </c>
      <c r="AD175" s="15">
        <v>0</v>
      </c>
      <c r="AE175" s="16">
        <v>90</v>
      </c>
      <c r="AF175" s="16">
        <v>42</v>
      </c>
      <c r="AG175" s="16">
        <v>54</v>
      </c>
      <c r="AH175" s="16">
        <v>14</v>
      </c>
      <c r="AI175" s="16">
        <v>20</v>
      </c>
      <c r="AJ175" s="16">
        <v>88</v>
      </c>
      <c r="AK175" s="16">
        <v>16</v>
      </c>
      <c r="AL175" s="16"/>
      <c r="AM175" s="16"/>
      <c r="AN175" s="15"/>
      <c r="AO175" s="6"/>
      <c r="AP175" s="25"/>
      <c r="AQ175" s="15"/>
      <c r="AR175" s="16" t="s">
        <v>160</v>
      </c>
      <c r="AS175" s="16" t="s">
        <v>330</v>
      </c>
      <c r="AT175" s="6"/>
      <c r="AU175" s="6"/>
      <c r="AV175" s="6"/>
      <c r="AW175" s="6"/>
      <c r="AX175" s="12" t="str">
        <f t="shared" si="10"/>
        <v/>
      </c>
      <c r="AY175" s="12" t="str">
        <f t="shared" si="11"/>
        <v/>
      </c>
      <c r="AZ175" s="18"/>
      <c r="BA175" s="19"/>
      <c r="BB175" s="19"/>
      <c r="BC175" s="19"/>
      <c r="BD175" s="19"/>
      <c r="BE175" s="19"/>
      <c r="BF175" s="19"/>
      <c r="BG175" s="19"/>
      <c r="BH175" s="19"/>
      <c r="BI175" s="19"/>
      <c r="BJ175" s="19"/>
      <c r="BK175" s="19"/>
    </row>
    <row r="176" spans="1:63" ht="20.100000000000001" hidden="1" customHeight="1" x14ac:dyDescent="0.2">
      <c r="A176" s="13">
        <v>170</v>
      </c>
      <c r="B176" s="16" t="s">
        <v>3701</v>
      </c>
      <c r="C176" s="16" t="s">
        <v>935</v>
      </c>
      <c r="D176" s="6" t="s">
        <v>3702</v>
      </c>
      <c r="E176" s="6" t="s">
        <v>243</v>
      </c>
      <c r="F176" s="6"/>
      <c r="G176" s="6"/>
      <c r="H176" s="15" t="s">
        <v>7</v>
      </c>
      <c r="I176" s="15"/>
      <c r="J176" s="15"/>
      <c r="K176" s="15"/>
      <c r="L176" s="15"/>
      <c r="M176" s="15"/>
      <c r="N176" s="15"/>
      <c r="O176" s="16" t="s">
        <v>92</v>
      </c>
      <c r="P176" s="6"/>
      <c r="Q176" s="6" t="s">
        <v>334</v>
      </c>
      <c r="R176" s="6" t="s">
        <v>3724</v>
      </c>
      <c r="S176" s="6" t="s">
        <v>69</v>
      </c>
      <c r="T176" s="15" t="s">
        <v>70</v>
      </c>
      <c r="U176" s="6" t="s">
        <v>429</v>
      </c>
      <c r="V176" s="6" t="s">
        <v>2961</v>
      </c>
      <c r="W176" s="6" t="s">
        <v>116</v>
      </c>
      <c r="X176" s="6" t="s">
        <v>3725</v>
      </c>
      <c r="Y176" s="6" t="s">
        <v>73</v>
      </c>
      <c r="Z176" s="6" t="s">
        <v>70</v>
      </c>
      <c r="AA176" s="15">
        <v>0</v>
      </c>
      <c r="AB176" s="15"/>
      <c r="AC176" s="15">
        <v>219</v>
      </c>
      <c r="AD176" s="15"/>
      <c r="AE176" s="16">
        <v>126</v>
      </c>
      <c r="AF176" s="16">
        <v>43</v>
      </c>
      <c r="AG176" s="16">
        <v>60</v>
      </c>
      <c r="AH176" s="16">
        <v>6</v>
      </c>
      <c r="AI176" s="16">
        <v>63</v>
      </c>
      <c r="AJ176" s="16">
        <v>129</v>
      </c>
      <c r="AK176" s="16">
        <v>10</v>
      </c>
      <c r="AL176" s="16"/>
      <c r="AM176" s="16"/>
      <c r="AN176" s="15"/>
      <c r="AO176" s="6"/>
      <c r="AP176" s="25"/>
      <c r="AQ176" s="15"/>
      <c r="AR176" s="16" t="s">
        <v>160</v>
      </c>
      <c r="AS176" s="16" t="s">
        <v>330</v>
      </c>
      <c r="AT176" s="6"/>
      <c r="AU176" s="6"/>
      <c r="AV176" s="6"/>
      <c r="AW176" s="6"/>
      <c r="AX176" s="12" t="str">
        <f t="shared" ref="AX176:AX207" si="12">IF(AT176*AV176&gt;0,(AT176-AV176)*12+(AU176-AW176),"")</f>
        <v/>
      </c>
      <c r="AY176" s="12" t="str">
        <f t="shared" ref="AY176:AY207" si="13">IF(AX176&lt;13,AX176,"")</f>
        <v/>
      </c>
      <c r="AZ176" s="18"/>
      <c r="BA176" s="19"/>
      <c r="BB176" s="19"/>
      <c r="BC176" s="19"/>
      <c r="BD176" s="19"/>
      <c r="BE176" s="19"/>
      <c r="BF176" s="19"/>
      <c r="BG176" s="19"/>
      <c r="BH176" s="19"/>
      <c r="BI176" s="19"/>
      <c r="BJ176" s="19"/>
      <c r="BK176" s="19"/>
    </row>
    <row r="177" spans="1:63" ht="20.100000000000001" hidden="1" customHeight="1" x14ac:dyDescent="0.2">
      <c r="A177" s="13">
        <v>171</v>
      </c>
      <c r="B177" s="16" t="s">
        <v>3543</v>
      </c>
      <c r="C177" s="16" t="s">
        <v>766</v>
      </c>
      <c r="D177" s="6" t="s">
        <v>1297</v>
      </c>
      <c r="E177" s="6" t="s">
        <v>6</v>
      </c>
      <c r="F177" s="6" t="s">
        <v>192</v>
      </c>
      <c r="G177" s="6"/>
      <c r="H177" s="15" t="s">
        <v>7</v>
      </c>
      <c r="I177" s="15"/>
      <c r="J177" s="15"/>
      <c r="K177" s="15"/>
      <c r="L177" s="15"/>
      <c r="M177" s="15"/>
      <c r="N177" s="15"/>
      <c r="O177" s="16" t="s">
        <v>93</v>
      </c>
      <c r="P177" s="6" t="s">
        <v>429</v>
      </c>
      <c r="Q177" s="6" t="s">
        <v>155</v>
      </c>
      <c r="R177" s="6" t="s">
        <v>3552</v>
      </c>
      <c r="S177" s="6" t="s">
        <v>106</v>
      </c>
      <c r="T177" s="15" t="s">
        <v>107</v>
      </c>
      <c r="U177" s="6" t="s">
        <v>429</v>
      </c>
      <c r="V177" s="6" t="s">
        <v>3677</v>
      </c>
      <c r="W177" s="6" t="s">
        <v>718</v>
      </c>
      <c r="X177" s="6" t="s">
        <v>3553</v>
      </c>
      <c r="Y177" s="6" t="s">
        <v>106</v>
      </c>
      <c r="Z177" s="6" t="s">
        <v>107</v>
      </c>
      <c r="AA177" s="15">
        <v>0</v>
      </c>
      <c r="AB177" s="15"/>
      <c r="AC177" s="15">
        <v>248</v>
      </c>
      <c r="AD177" s="15">
        <v>0</v>
      </c>
      <c r="AE177" s="16">
        <v>234</v>
      </c>
      <c r="AF177" s="16">
        <v>141</v>
      </c>
      <c r="AG177" s="16">
        <v>154</v>
      </c>
      <c r="AH177" s="16">
        <v>10</v>
      </c>
      <c r="AI177" s="16">
        <v>40</v>
      </c>
      <c r="AJ177" s="16">
        <v>204</v>
      </c>
      <c r="AK177" s="16">
        <v>20</v>
      </c>
      <c r="AL177" s="16"/>
      <c r="AM177" s="16"/>
      <c r="AN177" s="15"/>
      <c r="AO177" s="6"/>
      <c r="AP177" s="25"/>
      <c r="AQ177" s="15"/>
      <c r="AR177" s="16" t="s">
        <v>160</v>
      </c>
      <c r="AS177" s="16" t="s">
        <v>165</v>
      </c>
      <c r="AT177" s="6"/>
      <c r="AU177" s="6"/>
      <c r="AV177" s="6"/>
      <c r="AW177" s="6"/>
      <c r="AX177" s="12" t="str">
        <f t="shared" si="12"/>
        <v/>
      </c>
      <c r="AY177" s="12" t="str">
        <f t="shared" si="13"/>
        <v/>
      </c>
      <c r="AZ177" s="18"/>
      <c r="BA177" s="19"/>
      <c r="BB177" s="19"/>
      <c r="BC177" s="19"/>
      <c r="BD177" s="19"/>
      <c r="BE177" s="19"/>
      <c r="BF177" s="19"/>
      <c r="BG177" s="19"/>
      <c r="BH177" s="19"/>
      <c r="BI177" s="19"/>
      <c r="BJ177" s="19"/>
      <c r="BK177" s="19"/>
    </row>
    <row r="178" spans="1:63" ht="20.100000000000001" hidden="1" customHeight="1" x14ac:dyDescent="0.2">
      <c r="A178" s="13">
        <v>172</v>
      </c>
      <c r="B178" s="16" t="s">
        <v>3543</v>
      </c>
      <c r="C178" s="16" t="s">
        <v>766</v>
      </c>
      <c r="D178" s="6" t="s">
        <v>3536</v>
      </c>
      <c r="E178" s="6" t="s">
        <v>19</v>
      </c>
      <c r="F178" s="6"/>
      <c r="G178" s="6"/>
      <c r="H178" s="15" t="s">
        <v>7</v>
      </c>
      <c r="I178" s="15"/>
      <c r="J178" s="15"/>
      <c r="K178" s="15"/>
      <c r="L178" s="15"/>
      <c r="M178" s="15"/>
      <c r="N178" s="15"/>
      <c r="O178" s="16" t="s">
        <v>84</v>
      </c>
      <c r="P178" s="6" t="s">
        <v>68</v>
      </c>
      <c r="Q178" s="6" t="s">
        <v>68</v>
      </c>
      <c r="R178" s="6" t="s">
        <v>3550</v>
      </c>
      <c r="S178" s="6" t="s">
        <v>106</v>
      </c>
      <c r="T178" s="15" t="s">
        <v>107</v>
      </c>
      <c r="U178" s="6" t="s">
        <v>332</v>
      </c>
      <c r="V178" s="6" t="s">
        <v>3679</v>
      </c>
      <c r="W178" s="6" t="s">
        <v>485</v>
      </c>
      <c r="X178" s="6" t="s">
        <v>3551</v>
      </c>
      <c r="Y178" s="6" t="s">
        <v>106</v>
      </c>
      <c r="Z178" s="6" t="s">
        <v>107</v>
      </c>
      <c r="AA178" s="15">
        <v>0</v>
      </c>
      <c r="AB178" s="15"/>
      <c r="AC178" s="15">
        <v>182</v>
      </c>
      <c r="AD178" s="15">
        <v>174</v>
      </c>
      <c r="AE178" s="16">
        <v>174</v>
      </c>
      <c r="AF178" s="16">
        <v>57</v>
      </c>
      <c r="AG178" s="16">
        <v>83</v>
      </c>
      <c r="AH178" s="16">
        <v>10</v>
      </c>
      <c r="AI178" s="16">
        <v>68</v>
      </c>
      <c r="AJ178" s="16">
        <v>161</v>
      </c>
      <c r="AK178" s="16">
        <v>25</v>
      </c>
      <c r="AL178" s="16"/>
      <c r="AM178" s="16"/>
      <c r="AN178" s="15"/>
      <c r="AO178" s="6"/>
      <c r="AP178" s="25"/>
      <c r="AQ178" s="15"/>
      <c r="AR178" s="16" t="s">
        <v>111</v>
      </c>
      <c r="AS178" s="16" t="s">
        <v>112</v>
      </c>
      <c r="AT178" s="6"/>
      <c r="AU178" s="6"/>
      <c r="AV178" s="6"/>
      <c r="AW178" s="6"/>
      <c r="AX178" s="12" t="str">
        <f t="shared" si="12"/>
        <v/>
      </c>
      <c r="AY178" s="12" t="str">
        <f t="shared" si="13"/>
        <v/>
      </c>
      <c r="AZ178" s="18"/>
      <c r="BA178" s="19"/>
      <c r="BB178" s="19"/>
      <c r="BC178" s="19"/>
      <c r="BD178" s="19"/>
      <c r="BE178" s="19"/>
      <c r="BF178" s="19"/>
      <c r="BG178" s="19"/>
      <c r="BH178" s="19"/>
      <c r="BI178" s="19"/>
      <c r="BJ178" s="19"/>
      <c r="BK178" s="19"/>
    </row>
    <row r="179" spans="1:63" ht="20.100000000000001" hidden="1" customHeight="1" x14ac:dyDescent="0.2">
      <c r="A179" s="13">
        <v>173</v>
      </c>
      <c r="B179" s="16" t="s">
        <v>3554</v>
      </c>
      <c r="C179" s="16" t="s">
        <v>766</v>
      </c>
      <c r="D179" s="6" t="s">
        <v>3558</v>
      </c>
      <c r="E179" s="6" t="s">
        <v>20</v>
      </c>
      <c r="F179" s="6" t="s">
        <v>192</v>
      </c>
      <c r="G179" s="6"/>
      <c r="H179" s="15" t="s">
        <v>7</v>
      </c>
      <c r="I179" s="15"/>
      <c r="J179" s="15"/>
      <c r="K179" s="15"/>
      <c r="L179" s="15"/>
      <c r="M179" s="15"/>
      <c r="N179" s="15"/>
      <c r="O179" s="16" t="s">
        <v>3576</v>
      </c>
      <c r="P179" s="6"/>
      <c r="Q179" s="6" t="s">
        <v>68</v>
      </c>
      <c r="R179" s="6"/>
      <c r="S179" s="6" t="s">
        <v>106</v>
      </c>
      <c r="T179" s="15" t="s">
        <v>107</v>
      </c>
      <c r="U179" s="6"/>
      <c r="V179" s="6" t="s">
        <v>3679</v>
      </c>
      <c r="W179" s="6" t="s">
        <v>485</v>
      </c>
      <c r="X179" s="6"/>
      <c r="Y179" s="6" t="s">
        <v>106</v>
      </c>
      <c r="Z179" s="6" t="s">
        <v>107</v>
      </c>
      <c r="AA179" s="15"/>
      <c r="AB179" s="15"/>
      <c r="AC179" s="15">
        <v>244</v>
      </c>
      <c r="AD179" s="15">
        <v>0</v>
      </c>
      <c r="AE179" s="16">
        <v>228</v>
      </c>
      <c r="AF179" s="16">
        <v>93</v>
      </c>
      <c r="AG179" s="16">
        <v>120</v>
      </c>
      <c r="AH179" s="16">
        <v>13</v>
      </c>
      <c r="AI179" s="16">
        <v>5</v>
      </c>
      <c r="AJ179" s="16">
        <v>138</v>
      </c>
      <c r="AK179" s="16">
        <v>28</v>
      </c>
      <c r="AL179" s="16"/>
      <c r="AM179" s="16"/>
      <c r="AN179" s="15"/>
      <c r="AO179" s="6"/>
      <c r="AP179" s="25"/>
      <c r="AQ179" s="15"/>
      <c r="AR179" s="16" t="s">
        <v>160</v>
      </c>
      <c r="AS179" s="16" t="s">
        <v>193</v>
      </c>
      <c r="AT179" s="6"/>
      <c r="AU179" s="6"/>
      <c r="AV179" s="6"/>
      <c r="AW179" s="6"/>
      <c r="AX179" s="12" t="str">
        <f t="shared" si="12"/>
        <v/>
      </c>
      <c r="AY179" s="12" t="str">
        <f t="shared" si="13"/>
        <v/>
      </c>
      <c r="AZ179" s="18"/>
      <c r="BA179" s="19"/>
      <c r="BB179" s="19"/>
      <c r="BC179" s="19"/>
      <c r="BD179" s="19"/>
      <c r="BE179" s="19"/>
      <c r="BF179" s="19"/>
      <c r="BG179" s="19"/>
      <c r="BH179" s="19"/>
      <c r="BI179" s="19"/>
      <c r="BJ179" s="19"/>
      <c r="BK179" s="19"/>
    </row>
    <row r="180" spans="1:63" ht="20.100000000000001" hidden="1" customHeight="1" x14ac:dyDescent="0.2">
      <c r="A180" s="13">
        <v>174</v>
      </c>
      <c r="B180" s="16" t="s">
        <v>3555</v>
      </c>
      <c r="C180" s="16" t="s">
        <v>766</v>
      </c>
      <c r="D180" s="6" t="s">
        <v>3559</v>
      </c>
      <c r="E180" s="6" t="s">
        <v>6</v>
      </c>
      <c r="F180" s="6" t="s">
        <v>922</v>
      </c>
      <c r="G180" s="6"/>
      <c r="H180" s="15" t="s">
        <v>83</v>
      </c>
      <c r="I180" s="15"/>
      <c r="J180" s="15"/>
      <c r="K180" s="15"/>
      <c r="L180" s="15"/>
      <c r="M180" s="15"/>
      <c r="N180" s="15"/>
      <c r="O180" s="16" t="s">
        <v>93</v>
      </c>
      <c r="P180" s="6"/>
      <c r="Q180" s="6" t="s">
        <v>155</v>
      </c>
      <c r="R180" s="6"/>
      <c r="S180" s="6" t="s">
        <v>142</v>
      </c>
      <c r="T180" s="15" t="s">
        <v>70</v>
      </c>
      <c r="U180" s="6"/>
      <c r="V180" s="6" t="s">
        <v>3679</v>
      </c>
      <c r="W180" s="6" t="s">
        <v>718</v>
      </c>
      <c r="X180" s="6"/>
      <c r="Y180" s="6" t="s">
        <v>142</v>
      </c>
      <c r="Z180" s="6" t="s">
        <v>70</v>
      </c>
      <c r="AA180" s="15" t="s">
        <v>3569</v>
      </c>
      <c r="AB180" s="15"/>
      <c r="AC180" s="15"/>
      <c r="AD180" s="15">
        <v>198</v>
      </c>
      <c r="AE180" s="16"/>
      <c r="AF180" s="16"/>
      <c r="AG180" s="16"/>
      <c r="AH180" s="16"/>
      <c r="AI180" s="16"/>
      <c r="AJ180" s="16"/>
      <c r="AK180" s="16"/>
      <c r="AL180" s="16">
        <v>6</v>
      </c>
      <c r="AM180" s="16"/>
      <c r="AN180" s="15"/>
      <c r="AO180" s="6"/>
      <c r="AP180" s="25"/>
      <c r="AQ180" s="15"/>
      <c r="AR180" s="16" t="s">
        <v>160</v>
      </c>
      <c r="AS180" s="16" t="s">
        <v>193</v>
      </c>
      <c r="AT180" s="6" t="s">
        <v>113</v>
      </c>
      <c r="AU180" s="6" t="s">
        <v>124</v>
      </c>
      <c r="AV180" s="6" t="s">
        <v>547</v>
      </c>
      <c r="AW180" s="6" t="s">
        <v>344</v>
      </c>
      <c r="AX180" s="12">
        <f t="shared" si="12"/>
        <v>69</v>
      </c>
      <c r="AY180" s="12" t="str">
        <f t="shared" si="13"/>
        <v/>
      </c>
      <c r="AZ180" s="18"/>
      <c r="BA180" s="19"/>
      <c r="BB180" s="19"/>
      <c r="BC180" s="19"/>
      <c r="BD180" s="19"/>
      <c r="BE180" s="19"/>
      <c r="BF180" s="19"/>
      <c r="BG180" s="19"/>
      <c r="BH180" s="19"/>
      <c r="BI180" s="19"/>
      <c r="BJ180" s="19"/>
      <c r="BK180" s="19"/>
    </row>
    <row r="181" spans="1:63" ht="20.100000000000001" hidden="1" customHeight="1" x14ac:dyDescent="0.2">
      <c r="A181" s="13">
        <v>175</v>
      </c>
      <c r="B181" s="16" t="s">
        <v>3555</v>
      </c>
      <c r="C181" s="16" t="s">
        <v>766</v>
      </c>
      <c r="D181" s="6" t="s">
        <v>2558</v>
      </c>
      <c r="E181" s="6" t="s">
        <v>20</v>
      </c>
      <c r="F181" s="6"/>
      <c r="G181" s="6"/>
      <c r="H181" s="15" t="s">
        <v>7</v>
      </c>
      <c r="I181" s="15"/>
      <c r="J181" s="15"/>
      <c r="K181" s="15"/>
      <c r="L181" s="15"/>
      <c r="M181" s="15"/>
      <c r="N181" s="15"/>
      <c r="O181" s="16" t="s">
        <v>84</v>
      </c>
      <c r="P181" s="6" t="s">
        <v>68</v>
      </c>
      <c r="Q181" s="6" t="s">
        <v>68</v>
      </c>
      <c r="R181" s="6"/>
      <c r="S181" s="6" t="s">
        <v>106</v>
      </c>
      <c r="T181" s="15" t="s">
        <v>107</v>
      </c>
      <c r="U181" s="6" t="s">
        <v>263</v>
      </c>
      <c r="V181" s="6" t="s">
        <v>3677</v>
      </c>
      <c r="W181" s="6" t="s">
        <v>485</v>
      </c>
      <c r="X181" s="6"/>
      <c r="Y181" s="6" t="s">
        <v>369</v>
      </c>
      <c r="Z181" s="6" t="s">
        <v>369</v>
      </c>
      <c r="AA181" s="15"/>
      <c r="AB181" s="15"/>
      <c r="AC181" s="15"/>
      <c r="AD181" s="15"/>
      <c r="AE181" s="16"/>
      <c r="AF181" s="16"/>
      <c r="AG181" s="16"/>
      <c r="AH181" s="16"/>
      <c r="AI181" s="16"/>
      <c r="AJ181" s="16"/>
      <c r="AK181" s="16"/>
      <c r="AL181" s="16">
        <v>6</v>
      </c>
      <c r="AM181" s="16"/>
      <c r="AN181" s="15"/>
      <c r="AO181" s="6"/>
      <c r="AP181" s="25"/>
      <c r="AQ181" s="15"/>
      <c r="AR181" s="16" t="s">
        <v>160</v>
      </c>
      <c r="AS181" s="16" t="s">
        <v>161</v>
      </c>
      <c r="AT181" s="6"/>
      <c r="AU181" s="6"/>
      <c r="AV181" s="6"/>
      <c r="AW181" s="6"/>
      <c r="AX181" s="12" t="str">
        <f t="shared" si="12"/>
        <v/>
      </c>
      <c r="AY181" s="12" t="str">
        <f t="shared" si="13"/>
        <v/>
      </c>
      <c r="AZ181" s="18"/>
      <c r="BA181" s="19"/>
      <c r="BB181" s="19"/>
      <c r="BC181" s="19"/>
      <c r="BD181" s="19"/>
      <c r="BE181" s="19"/>
      <c r="BF181" s="19"/>
      <c r="BG181" s="19"/>
      <c r="BH181" s="19"/>
      <c r="BI181" s="19"/>
      <c r="BJ181" s="19"/>
      <c r="BK181" s="19"/>
    </row>
    <row r="182" spans="1:63" ht="20.100000000000001" hidden="1" customHeight="1" x14ac:dyDescent="0.2">
      <c r="A182" s="13">
        <v>176</v>
      </c>
      <c r="B182" s="16" t="s">
        <v>3556</v>
      </c>
      <c r="C182" s="16" t="s">
        <v>766</v>
      </c>
      <c r="D182" s="6" t="s">
        <v>3402</v>
      </c>
      <c r="E182" s="6" t="s">
        <v>243</v>
      </c>
      <c r="F182" s="6"/>
      <c r="G182" s="6"/>
      <c r="H182" s="15" t="s">
        <v>7</v>
      </c>
      <c r="I182" s="15"/>
      <c r="J182" s="15"/>
      <c r="K182" s="15"/>
      <c r="L182" s="15"/>
      <c r="M182" s="15"/>
      <c r="N182" s="15"/>
      <c r="O182" s="16" t="s">
        <v>93</v>
      </c>
      <c r="P182" s="35" t="s">
        <v>141</v>
      </c>
      <c r="Q182" s="35" t="s">
        <v>334</v>
      </c>
      <c r="R182" s="6" t="s">
        <v>3578</v>
      </c>
      <c r="S182" s="6" t="s">
        <v>106</v>
      </c>
      <c r="T182" s="15" t="s">
        <v>107</v>
      </c>
      <c r="U182" s="35" t="s">
        <v>1704</v>
      </c>
      <c r="V182" s="35" t="s">
        <v>2961</v>
      </c>
      <c r="W182" s="35" t="s">
        <v>116</v>
      </c>
      <c r="X182" s="6" t="s">
        <v>3579</v>
      </c>
      <c r="Y182" s="6" t="s">
        <v>106</v>
      </c>
      <c r="Z182" s="6" t="s">
        <v>107</v>
      </c>
      <c r="AA182" s="15">
        <v>0</v>
      </c>
      <c r="AB182" s="15"/>
      <c r="AC182" s="15">
        <v>124</v>
      </c>
      <c r="AD182" s="33">
        <v>123</v>
      </c>
      <c r="AE182" s="34">
        <v>117</v>
      </c>
      <c r="AF182" s="16">
        <v>67</v>
      </c>
      <c r="AG182" s="16">
        <v>90</v>
      </c>
      <c r="AH182" s="16">
        <v>5</v>
      </c>
      <c r="AI182" s="16">
        <v>25</v>
      </c>
      <c r="AJ182" s="16">
        <v>120</v>
      </c>
      <c r="AK182" s="16">
        <v>11</v>
      </c>
      <c r="AL182" s="16"/>
      <c r="AM182" s="16"/>
      <c r="AN182" s="33" t="s">
        <v>158</v>
      </c>
      <c r="AO182" s="6"/>
      <c r="AP182" s="25"/>
      <c r="AQ182" s="15"/>
      <c r="AR182" s="16" t="s">
        <v>111</v>
      </c>
      <c r="AS182" s="16" t="s">
        <v>231</v>
      </c>
      <c r="AT182" s="6"/>
      <c r="AU182" s="6"/>
      <c r="AV182" s="6"/>
      <c r="AW182" s="6"/>
      <c r="AX182" s="12" t="str">
        <f t="shared" si="12"/>
        <v/>
      </c>
      <c r="AY182" s="12" t="str">
        <f t="shared" si="13"/>
        <v/>
      </c>
      <c r="AZ182" s="18"/>
      <c r="BA182" s="19"/>
      <c r="BB182" s="19"/>
      <c r="BC182" s="19"/>
      <c r="BD182" s="19"/>
      <c r="BE182" s="19"/>
      <c r="BF182" s="19"/>
      <c r="BG182" s="19"/>
      <c r="BH182" s="19"/>
      <c r="BI182" s="19"/>
      <c r="BJ182" s="19"/>
      <c r="BK182" s="19"/>
    </row>
    <row r="183" spans="1:63" s="21" customFormat="1" ht="20.100000000000001" hidden="1" customHeight="1" x14ac:dyDescent="0.2">
      <c r="A183" s="13">
        <v>177</v>
      </c>
      <c r="B183" s="29" t="s">
        <v>3556</v>
      </c>
      <c r="C183" s="29" t="s">
        <v>766</v>
      </c>
      <c r="D183" s="30" t="s">
        <v>30</v>
      </c>
      <c r="E183" s="30" t="s">
        <v>19</v>
      </c>
      <c r="F183" s="30" t="s">
        <v>94</v>
      </c>
      <c r="G183" s="37"/>
      <c r="H183" s="20" t="s">
        <v>83</v>
      </c>
      <c r="I183" s="20"/>
      <c r="J183" s="20"/>
      <c r="K183" s="20"/>
      <c r="L183" s="20"/>
      <c r="M183" s="20"/>
      <c r="N183" s="20"/>
      <c r="O183" s="29" t="s">
        <v>84</v>
      </c>
      <c r="P183" s="30"/>
      <c r="Q183" s="30" t="s">
        <v>223</v>
      </c>
      <c r="R183" s="30" t="s">
        <v>327</v>
      </c>
      <c r="S183" s="30" t="s">
        <v>142</v>
      </c>
      <c r="T183" s="20" t="s">
        <v>70</v>
      </c>
      <c r="U183" s="30"/>
      <c r="V183" s="30" t="s">
        <v>1809</v>
      </c>
      <c r="W183" s="30" t="s">
        <v>260</v>
      </c>
      <c r="X183" s="30" t="s">
        <v>329</v>
      </c>
      <c r="Y183" s="30" t="s">
        <v>106</v>
      </c>
      <c r="Z183" s="30" t="s">
        <v>107</v>
      </c>
      <c r="AA183" s="20" t="s">
        <v>314</v>
      </c>
      <c r="AB183" s="20"/>
      <c r="AC183" s="20"/>
      <c r="AD183" s="20">
        <v>150</v>
      </c>
      <c r="AE183" s="29"/>
      <c r="AF183" s="29"/>
      <c r="AG183" s="29"/>
      <c r="AH183" s="29"/>
      <c r="AI183" s="29"/>
      <c r="AJ183" s="29"/>
      <c r="AK183" s="29"/>
      <c r="AL183" s="29"/>
      <c r="AM183" s="29"/>
      <c r="AN183" s="20"/>
      <c r="AO183" s="30"/>
      <c r="AP183" s="36"/>
      <c r="AQ183" s="20"/>
      <c r="AR183" s="29"/>
      <c r="AS183" s="29"/>
      <c r="AT183" s="30" t="s">
        <v>113</v>
      </c>
      <c r="AU183" s="30" t="s">
        <v>124</v>
      </c>
      <c r="AV183" s="30" t="s">
        <v>113</v>
      </c>
      <c r="AW183" s="30" t="s">
        <v>296</v>
      </c>
      <c r="AX183" s="31">
        <f t="shared" si="12"/>
        <v>2</v>
      </c>
      <c r="AY183" s="31">
        <f t="shared" si="13"/>
        <v>2</v>
      </c>
      <c r="AZ183" s="32" t="s">
        <v>3568</v>
      </c>
    </row>
    <row r="184" spans="1:63" ht="20.100000000000001" hidden="1" customHeight="1" x14ac:dyDescent="0.2">
      <c r="A184" s="13">
        <v>178</v>
      </c>
      <c r="B184" s="16" t="s">
        <v>3557</v>
      </c>
      <c r="C184" s="16" t="s">
        <v>766</v>
      </c>
      <c r="D184" s="6" t="s">
        <v>3560</v>
      </c>
      <c r="E184" s="6" t="s">
        <v>66</v>
      </c>
      <c r="F184" s="249" t="s">
        <v>4038</v>
      </c>
      <c r="G184" s="6"/>
      <c r="H184" s="15" t="s">
        <v>83</v>
      </c>
      <c r="I184" s="15"/>
      <c r="J184" s="15"/>
      <c r="K184" s="15"/>
      <c r="L184" s="15"/>
      <c r="M184" s="15"/>
      <c r="N184" s="15"/>
      <c r="O184" s="16" t="s">
        <v>3561</v>
      </c>
      <c r="P184" s="6"/>
      <c r="Q184" s="6"/>
      <c r="R184" s="6"/>
      <c r="S184" s="6"/>
      <c r="T184" s="15"/>
      <c r="U184" s="6"/>
      <c r="V184" s="6"/>
      <c r="W184" s="6"/>
      <c r="X184" s="6"/>
      <c r="Y184" s="6"/>
      <c r="Z184" s="6"/>
      <c r="AA184" s="15"/>
      <c r="AB184" s="15"/>
      <c r="AC184" s="15"/>
      <c r="AD184" s="15"/>
      <c r="AE184" s="16"/>
      <c r="AF184" s="16"/>
      <c r="AG184" s="16"/>
      <c r="AH184" s="16"/>
      <c r="AI184" s="16"/>
      <c r="AJ184" s="16"/>
      <c r="AK184" s="16"/>
      <c r="AL184" s="16"/>
      <c r="AM184" s="16"/>
      <c r="AN184" s="15"/>
      <c r="AO184" s="6"/>
      <c r="AP184" s="25"/>
      <c r="AQ184" s="15"/>
      <c r="AR184" s="16"/>
      <c r="AS184" s="16"/>
      <c r="AT184" s="6"/>
      <c r="AU184" s="6"/>
      <c r="AV184" s="6"/>
      <c r="AW184" s="6"/>
      <c r="AX184" s="12" t="str">
        <f t="shared" si="12"/>
        <v/>
      </c>
      <c r="AY184" s="12" t="str">
        <f t="shared" si="13"/>
        <v/>
      </c>
      <c r="AZ184" s="18"/>
      <c r="BA184" s="19"/>
      <c r="BB184" s="19"/>
      <c r="BC184" s="19"/>
      <c r="BD184" s="19"/>
      <c r="BE184" s="19"/>
      <c r="BF184" s="19"/>
      <c r="BG184" s="19"/>
      <c r="BH184" s="19"/>
      <c r="BI184" s="19"/>
      <c r="BJ184" s="19"/>
      <c r="BK184" s="19"/>
    </row>
    <row r="185" spans="1:63" ht="20.100000000000001" hidden="1" customHeight="1" x14ac:dyDescent="0.2">
      <c r="A185" s="13">
        <v>179</v>
      </c>
      <c r="B185" s="16" t="s">
        <v>3562</v>
      </c>
      <c r="C185" s="16" t="s">
        <v>766</v>
      </c>
      <c r="D185" s="6" t="s">
        <v>967</v>
      </c>
      <c r="E185" s="6" t="s">
        <v>10</v>
      </c>
      <c r="F185" s="6" t="s">
        <v>185</v>
      </c>
      <c r="G185" s="6"/>
      <c r="H185" s="15" t="s">
        <v>83</v>
      </c>
      <c r="I185" s="15"/>
      <c r="J185" s="15"/>
      <c r="K185" s="15"/>
      <c r="L185" s="15"/>
      <c r="M185" s="15"/>
      <c r="N185" s="15"/>
      <c r="O185" s="16" t="s">
        <v>93</v>
      </c>
      <c r="P185" s="6"/>
      <c r="Q185" s="6" t="s">
        <v>104</v>
      </c>
      <c r="R185" s="6" t="s">
        <v>1047</v>
      </c>
      <c r="S185" s="6" t="s">
        <v>69</v>
      </c>
      <c r="T185" s="15" t="s">
        <v>70</v>
      </c>
      <c r="U185" s="6"/>
      <c r="V185" s="6" t="s">
        <v>2245</v>
      </c>
      <c r="W185" s="6" t="s">
        <v>260</v>
      </c>
      <c r="X185" s="6" t="s">
        <v>3563</v>
      </c>
      <c r="Y185" s="6" t="s">
        <v>69</v>
      </c>
      <c r="Z185" s="6" t="s">
        <v>70</v>
      </c>
      <c r="AA185" s="15" t="s">
        <v>3564</v>
      </c>
      <c r="AB185" s="15"/>
      <c r="AC185" s="15"/>
      <c r="AD185" s="15">
        <v>195</v>
      </c>
      <c r="AE185" s="16"/>
      <c r="AF185" s="16"/>
      <c r="AG185" s="16"/>
      <c r="AH185" s="16"/>
      <c r="AI185" s="16"/>
      <c r="AJ185" s="16"/>
      <c r="AK185" s="16"/>
      <c r="AL185" s="16"/>
      <c r="AM185" s="16"/>
      <c r="AN185" s="15"/>
      <c r="AO185" s="6"/>
      <c r="AP185" s="25"/>
      <c r="AQ185" s="15"/>
      <c r="AR185" s="16" t="s">
        <v>111</v>
      </c>
      <c r="AS185" s="16" t="s">
        <v>193</v>
      </c>
      <c r="AT185" s="6" t="s">
        <v>113</v>
      </c>
      <c r="AU185" s="6" t="s">
        <v>124</v>
      </c>
      <c r="AV185" s="6" t="s">
        <v>115</v>
      </c>
      <c r="AW185" s="6" t="s">
        <v>1247</v>
      </c>
      <c r="AX185" s="12">
        <f t="shared" si="12"/>
        <v>11</v>
      </c>
      <c r="AY185" s="12">
        <f t="shared" si="13"/>
        <v>11</v>
      </c>
      <c r="AZ185" s="18"/>
      <c r="BA185" s="19"/>
      <c r="BB185" s="19"/>
      <c r="BC185" s="19"/>
      <c r="BD185" s="19"/>
      <c r="BE185" s="19"/>
      <c r="BF185" s="19"/>
      <c r="BG185" s="19"/>
      <c r="BH185" s="19"/>
      <c r="BI185" s="19"/>
      <c r="BJ185" s="19"/>
      <c r="BK185" s="19"/>
    </row>
    <row r="186" spans="1:63" ht="20.100000000000001" hidden="1" customHeight="1" x14ac:dyDescent="0.2">
      <c r="A186" s="13">
        <v>180</v>
      </c>
      <c r="B186" s="16" t="s">
        <v>3562</v>
      </c>
      <c r="C186" s="16" t="s">
        <v>766</v>
      </c>
      <c r="D186" s="6" t="s">
        <v>2317</v>
      </c>
      <c r="E186" s="6" t="s">
        <v>243</v>
      </c>
      <c r="F186" s="6" t="s">
        <v>185</v>
      </c>
      <c r="G186" s="6"/>
      <c r="H186" s="15" t="s">
        <v>83</v>
      </c>
      <c r="I186" s="15"/>
      <c r="J186" s="15"/>
      <c r="K186" s="15"/>
      <c r="L186" s="15"/>
      <c r="M186" s="15"/>
      <c r="N186" s="15"/>
      <c r="O186" s="16" t="s">
        <v>84</v>
      </c>
      <c r="P186" s="6"/>
      <c r="Q186" s="6" t="s">
        <v>104</v>
      </c>
      <c r="R186" s="6" t="s">
        <v>3565</v>
      </c>
      <c r="S186" s="6" t="s">
        <v>119</v>
      </c>
      <c r="T186" s="15" t="s">
        <v>107</v>
      </c>
      <c r="U186" s="6"/>
      <c r="V186" s="6" t="s">
        <v>3677</v>
      </c>
      <c r="W186" s="6" t="s">
        <v>555</v>
      </c>
      <c r="X186" s="6" t="s">
        <v>3566</v>
      </c>
      <c r="Y186" s="6" t="s">
        <v>119</v>
      </c>
      <c r="Z186" s="6" t="s">
        <v>107</v>
      </c>
      <c r="AA186" s="15" t="s">
        <v>3567</v>
      </c>
      <c r="AB186" s="15"/>
      <c r="AC186" s="15"/>
      <c r="AD186" s="15">
        <v>204</v>
      </c>
      <c r="AE186" s="16"/>
      <c r="AF186" s="16"/>
      <c r="AG186" s="16"/>
      <c r="AH186" s="16"/>
      <c r="AI186" s="16"/>
      <c r="AJ186" s="16"/>
      <c r="AK186" s="16"/>
      <c r="AL186" s="16"/>
      <c r="AM186" s="16"/>
      <c r="AN186" s="15"/>
      <c r="AO186" s="6"/>
      <c r="AP186" s="25"/>
      <c r="AQ186" s="15"/>
      <c r="AR186" s="16" t="s">
        <v>160</v>
      </c>
      <c r="AS186" s="16" t="s">
        <v>193</v>
      </c>
      <c r="AT186" s="6" t="s">
        <v>113</v>
      </c>
      <c r="AU186" s="6" t="s">
        <v>124</v>
      </c>
      <c r="AV186" s="6" t="s">
        <v>136</v>
      </c>
      <c r="AW186" s="6" t="s">
        <v>124</v>
      </c>
      <c r="AX186" s="12">
        <f t="shared" si="12"/>
        <v>24</v>
      </c>
      <c r="AY186" s="12" t="str">
        <f t="shared" si="13"/>
        <v/>
      </c>
      <c r="AZ186" s="18"/>
      <c r="BA186" s="19"/>
      <c r="BB186" s="19"/>
      <c r="BC186" s="19"/>
      <c r="BD186" s="19"/>
      <c r="BE186" s="19"/>
      <c r="BF186" s="19"/>
      <c r="BG186" s="19"/>
      <c r="BH186" s="19"/>
      <c r="BI186" s="19"/>
      <c r="BJ186" s="19"/>
      <c r="BK186" s="19"/>
    </row>
    <row r="187" spans="1:63" s="21" customFormat="1" ht="20.100000000000001" hidden="1" customHeight="1" x14ac:dyDescent="0.2">
      <c r="A187" s="20">
        <v>181</v>
      </c>
      <c r="B187" s="29" t="s">
        <v>3562</v>
      </c>
      <c r="C187" s="16" t="s">
        <v>766</v>
      </c>
      <c r="D187" s="30" t="s">
        <v>1739</v>
      </c>
      <c r="E187" s="30" t="s">
        <v>9</v>
      </c>
      <c r="F187" s="30" t="s">
        <v>922</v>
      </c>
      <c r="G187" s="6"/>
      <c r="H187" s="20" t="s">
        <v>83</v>
      </c>
      <c r="I187" s="15"/>
      <c r="J187" s="15"/>
      <c r="K187" s="15"/>
      <c r="L187" s="15"/>
      <c r="M187" s="15"/>
      <c r="N187" s="15"/>
      <c r="O187" s="29" t="s">
        <v>93</v>
      </c>
      <c r="P187" s="30"/>
      <c r="Q187" s="30" t="s">
        <v>226</v>
      </c>
      <c r="R187" s="30" t="s">
        <v>3597</v>
      </c>
      <c r="S187" s="30" t="s">
        <v>119</v>
      </c>
      <c r="T187" s="20" t="s">
        <v>107</v>
      </c>
      <c r="U187" s="30"/>
      <c r="V187" s="30" t="s">
        <v>1809</v>
      </c>
      <c r="W187" s="30" t="s">
        <v>718</v>
      </c>
      <c r="X187" s="30" t="s">
        <v>3598</v>
      </c>
      <c r="Y187" s="30" t="s">
        <v>262</v>
      </c>
      <c r="Z187" s="30" t="s">
        <v>70</v>
      </c>
      <c r="AA187" s="20" t="s">
        <v>3599</v>
      </c>
      <c r="AB187" s="20"/>
      <c r="AC187" s="20"/>
      <c r="AD187" s="20">
        <v>97</v>
      </c>
      <c r="AE187" s="29"/>
      <c r="AF187" s="29"/>
      <c r="AG187" s="29"/>
      <c r="AH187" s="29"/>
      <c r="AI187" s="29"/>
      <c r="AJ187" s="29"/>
      <c r="AK187" s="29"/>
      <c r="AL187" s="29"/>
      <c r="AM187" s="29"/>
      <c r="AN187" s="20"/>
      <c r="AO187" s="30"/>
      <c r="AP187" s="36"/>
      <c r="AQ187" s="20"/>
      <c r="AR187" s="29"/>
      <c r="AS187" s="29"/>
      <c r="AT187" s="30" t="s">
        <v>113</v>
      </c>
      <c r="AU187" s="30" t="s">
        <v>124</v>
      </c>
      <c r="AV187" s="30" t="s">
        <v>348</v>
      </c>
      <c r="AW187" s="30" t="s">
        <v>116</v>
      </c>
      <c r="AX187" s="31">
        <f t="shared" si="12"/>
        <v>41</v>
      </c>
      <c r="AY187" s="31" t="str">
        <f t="shared" si="13"/>
        <v/>
      </c>
      <c r="AZ187" s="32"/>
    </row>
    <row r="188" spans="1:63" ht="20.100000000000001" hidden="1" customHeight="1" x14ac:dyDescent="0.2">
      <c r="A188" s="13">
        <v>182</v>
      </c>
      <c r="B188" s="16" t="s">
        <v>3570</v>
      </c>
      <c r="C188" s="16" t="s">
        <v>766</v>
      </c>
      <c r="D188" s="6" t="s">
        <v>3509</v>
      </c>
      <c r="E188" s="6" t="s">
        <v>243</v>
      </c>
      <c r="F188" s="6" t="s">
        <v>192</v>
      </c>
      <c r="G188" s="6"/>
      <c r="H188" s="15" t="s">
        <v>7</v>
      </c>
      <c r="I188" s="15"/>
      <c r="J188" s="15"/>
      <c r="K188" s="15"/>
      <c r="L188" s="15"/>
      <c r="M188" s="15"/>
      <c r="N188" s="15"/>
      <c r="O188" s="16" t="s">
        <v>93</v>
      </c>
      <c r="P188" s="6"/>
      <c r="Q188" s="6" t="s">
        <v>104</v>
      </c>
      <c r="R188" s="6" t="s">
        <v>1006</v>
      </c>
      <c r="S188" s="6" t="s">
        <v>106</v>
      </c>
      <c r="T188" s="15" t="s">
        <v>107</v>
      </c>
      <c r="U188" s="6"/>
      <c r="V188" s="6" t="s">
        <v>3679</v>
      </c>
      <c r="W188" s="6" t="s">
        <v>555</v>
      </c>
      <c r="X188" s="6" t="s">
        <v>3584</v>
      </c>
      <c r="Y188" s="6" t="s">
        <v>106</v>
      </c>
      <c r="Z188" s="6" t="s">
        <v>107</v>
      </c>
      <c r="AA188" s="15">
        <v>0</v>
      </c>
      <c r="AB188" s="15"/>
      <c r="AC188" s="15">
        <v>103</v>
      </c>
      <c r="AD188" s="15">
        <v>0</v>
      </c>
      <c r="AE188" s="16">
        <v>90</v>
      </c>
      <c r="AF188" s="16">
        <v>54</v>
      </c>
      <c r="AG188" s="16">
        <v>90</v>
      </c>
      <c r="AH188" s="16">
        <v>6</v>
      </c>
      <c r="AI188" s="16">
        <v>45</v>
      </c>
      <c r="AJ188" s="16">
        <v>141</v>
      </c>
      <c r="AK188" s="16">
        <v>25</v>
      </c>
      <c r="AL188" s="16"/>
      <c r="AM188" s="16"/>
      <c r="AN188" s="15"/>
      <c r="AO188" s="6"/>
      <c r="AP188" s="25"/>
      <c r="AQ188" s="15"/>
      <c r="AR188" s="16" t="s">
        <v>111</v>
      </c>
      <c r="AS188" s="16" t="s">
        <v>231</v>
      </c>
      <c r="AT188" s="6"/>
      <c r="AU188" s="6"/>
      <c r="AV188" s="6"/>
      <c r="AW188" s="6"/>
      <c r="AX188" s="12" t="str">
        <f t="shared" si="12"/>
        <v/>
      </c>
      <c r="AY188" s="12" t="str">
        <f t="shared" si="13"/>
        <v/>
      </c>
      <c r="AZ188" s="18"/>
      <c r="BA188" s="19"/>
      <c r="BB188" s="19"/>
      <c r="BC188" s="19"/>
      <c r="BD188" s="19"/>
      <c r="BE188" s="19"/>
      <c r="BF188" s="19"/>
      <c r="BG188" s="19"/>
      <c r="BH188" s="19"/>
      <c r="BI188" s="19"/>
      <c r="BJ188" s="19"/>
      <c r="BK188" s="19"/>
    </row>
    <row r="189" spans="1:63" ht="20.100000000000001" hidden="1" customHeight="1" x14ac:dyDescent="0.2">
      <c r="A189" s="13">
        <v>183</v>
      </c>
      <c r="B189" s="16" t="s">
        <v>3570</v>
      </c>
      <c r="C189" s="16" t="s">
        <v>766</v>
      </c>
      <c r="D189" s="202" t="s">
        <v>3574</v>
      </c>
      <c r="E189" s="6"/>
      <c r="F189" s="6" t="s">
        <v>192</v>
      </c>
      <c r="G189" s="6"/>
      <c r="H189" s="15" t="s">
        <v>7</v>
      </c>
      <c r="I189" s="15"/>
      <c r="J189" s="15"/>
      <c r="K189" s="15"/>
      <c r="L189" s="15"/>
      <c r="M189" s="15"/>
      <c r="N189" s="15"/>
      <c r="O189" s="16" t="s">
        <v>3576</v>
      </c>
      <c r="P189" s="6"/>
      <c r="Q189" s="6" t="s">
        <v>68</v>
      </c>
      <c r="R189" s="6" t="s">
        <v>3585</v>
      </c>
      <c r="S189" s="6" t="s">
        <v>142</v>
      </c>
      <c r="T189" s="15" t="s">
        <v>70</v>
      </c>
      <c r="U189" s="6"/>
      <c r="V189" s="6" t="s">
        <v>3679</v>
      </c>
      <c r="W189" s="6" t="s">
        <v>485</v>
      </c>
      <c r="X189" s="6" t="s">
        <v>3586</v>
      </c>
      <c r="Y189" s="6" t="s">
        <v>106</v>
      </c>
      <c r="Z189" s="6" t="s">
        <v>107</v>
      </c>
      <c r="AA189" s="15">
        <v>0</v>
      </c>
      <c r="AB189" s="15"/>
      <c r="AC189" s="15">
        <v>215</v>
      </c>
      <c r="AD189" s="15">
        <v>0</v>
      </c>
      <c r="AE189" s="16">
        <v>204</v>
      </c>
      <c r="AF189" s="16">
        <v>45</v>
      </c>
      <c r="AG189" s="16">
        <v>54</v>
      </c>
      <c r="AH189" s="16">
        <v>13</v>
      </c>
      <c r="AI189" s="16">
        <v>66</v>
      </c>
      <c r="AJ189" s="16">
        <v>133</v>
      </c>
      <c r="AK189" s="16">
        <v>30</v>
      </c>
      <c r="AL189" s="16"/>
      <c r="AM189" s="16"/>
      <c r="AN189" s="15"/>
      <c r="AO189" s="6"/>
      <c r="AP189" s="25"/>
      <c r="AQ189" s="15"/>
      <c r="AR189" s="16" t="s">
        <v>160</v>
      </c>
      <c r="AS189" s="16" t="s">
        <v>193</v>
      </c>
      <c r="AT189" s="6"/>
      <c r="AU189" s="6"/>
      <c r="AV189" s="6"/>
      <c r="AW189" s="6"/>
      <c r="AX189" s="12" t="str">
        <f t="shared" si="12"/>
        <v/>
      </c>
      <c r="AY189" s="12" t="str">
        <f t="shared" si="13"/>
        <v/>
      </c>
      <c r="AZ189" s="18"/>
      <c r="BA189" s="19"/>
      <c r="BB189" s="19"/>
      <c r="BC189" s="19"/>
      <c r="BD189" s="19"/>
      <c r="BE189" s="19"/>
      <c r="BF189" s="19"/>
      <c r="BG189" s="19"/>
      <c r="BH189" s="19"/>
      <c r="BI189" s="19"/>
      <c r="BJ189" s="19"/>
      <c r="BK189" s="19"/>
    </row>
    <row r="190" spans="1:63" ht="20.100000000000001" hidden="1" customHeight="1" x14ac:dyDescent="0.2">
      <c r="A190" s="13">
        <v>184</v>
      </c>
      <c r="B190" s="16" t="s">
        <v>3571</v>
      </c>
      <c r="C190" s="16" t="s">
        <v>766</v>
      </c>
      <c r="D190" s="6" t="s">
        <v>30</v>
      </c>
      <c r="E190" s="6" t="s">
        <v>19</v>
      </c>
      <c r="F190" s="6"/>
      <c r="G190" s="6"/>
      <c r="H190" s="15" t="s">
        <v>7</v>
      </c>
      <c r="I190" s="15"/>
      <c r="J190" s="15"/>
      <c r="K190" s="15"/>
      <c r="L190" s="15"/>
      <c r="M190" s="15"/>
      <c r="N190" s="15"/>
      <c r="O190" s="16" t="s">
        <v>84</v>
      </c>
      <c r="P190" s="6" t="s">
        <v>223</v>
      </c>
      <c r="Q190" s="6" t="s">
        <v>223</v>
      </c>
      <c r="R190" s="6" t="s">
        <v>3587</v>
      </c>
      <c r="S190" s="6" t="s">
        <v>69</v>
      </c>
      <c r="T190" s="15" t="s">
        <v>70</v>
      </c>
      <c r="U190" s="6" t="s">
        <v>224</v>
      </c>
      <c r="V190" s="6" t="s">
        <v>1809</v>
      </c>
      <c r="W190" s="6" t="s">
        <v>260</v>
      </c>
      <c r="X190" s="6" t="s">
        <v>3588</v>
      </c>
      <c r="Y190" s="6" t="s">
        <v>106</v>
      </c>
      <c r="Z190" s="6" t="s">
        <v>107</v>
      </c>
      <c r="AA190" s="15">
        <v>0</v>
      </c>
      <c r="AB190" s="15"/>
      <c r="AC190" s="15">
        <v>160</v>
      </c>
      <c r="AD190" s="15">
        <v>147</v>
      </c>
      <c r="AE190" s="16">
        <v>147</v>
      </c>
      <c r="AF190" s="16"/>
      <c r="AG190" s="16">
        <v>96</v>
      </c>
      <c r="AH190" s="16">
        <v>5</v>
      </c>
      <c r="AI190" s="16">
        <v>30</v>
      </c>
      <c r="AJ190" s="16">
        <v>131</v>
      </c>
      <c r="AK190" s="16">
        <v>8</v>
      </c>
      <c r="AL190" s="16"/>
      <c r="AM190" s="16"/>
      <c r="AN190" s="15"/>
      <c r="AO190" s="6"/>
      <c r="AP190" s="25"/>
      <c r="AQ190" s="15"/>
      <c r="AR190" s="16" t="s">
        <v>111</v>
      </c>
      <c r="AS190" s="16" t="s">
        <v>231</v>
      </c>
      <c r="AT190" s="6"/>
      <c r="AU190" s="6"/>
      <c r="AV190" s="6"/>
      <c r="AW190" s="6"/>
      <c r="AX190" s="12" t="str">
        <f t="shared" si="12"/>
        <v/>
      </c>
      <c r="AY190" s="12" t="str">
        <f t="shared" si="13"/>
        <v/>
      </c>
      <c r="AZ190" s="18"/>
      <c r="BA190" s="19"/>
      <c r="BB190" s="19"/>
      <c r="BC190" s="19"/>
      <c r="BD190" s="19"/>
      <c r="BE190" s="19"/>
      <c r="BF190" s="19"/>
      <c r="BG190" s="19"/>
      <c r="BH190" s="19"/>
      <c r="BI190" s="19"/>
      <c r="BJ190" s="19"/>
      <c r="BK190" s="19"/>
    </row>
    <row r="191" spans="1:63" ht="20.100000000000001" hidden="1" customHeight="1" x14ac:dyDescent="0.2">
      <c r="A191" s="13">
        <v>185</v>
      </c>
      <c r="B191" s="16" t="s">
        <v>3571</v>
      </c>
      <c r="C191" s="16" t="s">
        <v>766</v>
      </c>
      <c r="D191" s="6" t="s">
        <v>2356</v>
      </c>
      <c r="E191" s="6" t="s">
        <v>10</v>
      </c>
      <c r="F191" s="6"/>
      <c r="G191" s="6"/>
      <c r="H191" s="15" t="s">
        <v>7</v>
      </c>
      <c r="I191" s="15"/>
      <c r="J191" s="15"/>
      <c r="K191" s="15"/>
      <c r="L191" s="15"/>
      <c r="M191" s="15"/>
      <c r="N191" s="15"/>
      <c r="O191" s="16" t="s">
        <v>92</v>
      </c>
      <c r="P191" s="35" t="s">
        <v>140</v>
      </c>
      <c r="Q191" s="35" t="s">
        <v>334</v>
      </c>
      <c r="R191" s="6" t="s">
        <v>3580</v>
      </c>
      <c r="S191" s="6" t="s">
        <v>69</v>
      </c>
      <c r="T191" s="15" t="s">
        <v>70</v>
      </c>
      <c r="U191" s="35" t="s">
        <v>230</v>
      </c>
      <c r="V191" s="35" t="s">
        <v>1809</v>
      </c>
      <c r="W191" s="35" t="s">
        <v>2258</v>
      </c>
      <c r="X191" s="6" t="s">
        <v>3581</v>
      </c>
      <c r="Y191" s="6" t="s">
        <v>142</v>
      </c>
      <c r="Z191" s="6" t="s">
        <v>70</v>
      </c>
      <c r="AA191" s="15">
        <v>0</v>
      </c>
      <c r="AB191" s="15"/>
      <c r="AC191" s="15">
        <v>168</v>
      </c>
      <c r="AD191" s="33">
        <v>126</v>
      </c>
      <c r="AE191" s="34">
        <v>156</v>
      </c>
      <c r="AF191" s="16">
        <v>102</v>
      </c>
      <c r="AG191" s="16">
        <v>156</v>
      </c>
      <c r="AH191" s="16">
        <v>5</v>
      </c>
      <c r="AI191" s="16">
        <v>30</v>
      </c>
      <c r="AJ191" s="16">
        <v>191</v>
      </c>
      <c r="AK191" s="16">
        <v>5.5</v>
      </c>
      <c r="AL191" s="16"/>
      <c r="AM191" s="16"/>
      <c r="AN191" s="33" t="s">
        <v>158</v>
      </c>
      <c r="AO191" s="6"/>
      <c r="AP191" s="25"/>
      <c r="AQ191" s="15"/>
      <c r="AR191" s="16" t="s">
        <v>111</v>
      </c>
      <c r="AS191" s="16" t="s">
        <v>231</v>
      </c>
      <c r="AT191" s="6"/>
      <c r="AU191" s="6"/>
      <c r="AV191" s="6"/>
      <c r="AW191" s="6"/>
      <c r="AX191" s="12" t="str">
        <f t="shared" si="12"/>
        <v/>
      </c>
      <c r="AY191" s="12" t="str">
        <f t="shared" si="13"/>
        <v/>
      </c>
      <c r="AZ191" s="18"/>
      <c r="BA191" s="19"/>
      <c r="BB191" s="19"/>
      <c r="BC191" s="19"/>
      <c r="BD191" s="19"/>
      <c r="BE191" s="19"/>
      <c r="BF191" s="19"/>
      <c r="BG191" s="19"/>
      <c r="BH191" s="19"/>
      <c r="BI191" s="19"/>
      <c r="BJ191" s="19"/>
      <c r="BK191" s="19"/>
    </row>
    <row r="192" spans="1:63" ht="20.100000000000001" hidden="1" customHeight="1" x14ac:dyDescent="0.2">
      <c r="A192" s="13">
        <v>186</v>
      </c>
      <c r="B192" s="16" t="s">
        <v>3572</v>
      </c>
      <c r="C192" s="16" t="s">
        <v>766</v>
      </c>
      <c r="D192" s="6" t="s">
        <v>3575</v>
      </c>
      <c r="E192" s="6"/>
      <c r="F192" s="6" t="s">
        <v>185</v>
      </c>
      <c r="G192" s="6"/>
      <c r="H192" s="15" t="s">
        <v>83</v>
      </c>
      <c r="I192" s="15"/>
      <c r="J192" s="15"/>
      <c r="K192" s="15"/>
      <c r="L192" s="15"/>
      <c r="M192" s="15"/>
      <c r="N192" s="15"/>
      <c r="O192" s="16" t="s">
        <v>93</v>
      </c>
      <c r="P192" s="6"/>
      <c r="Q192" s="6" t="s">
        <v>334</v>
      </c>
      <c r="R192" s="6" t="s">
        <v>3592</v>
      </c>
      <c r="S192" s="6" t="s">
        <v>206</v>
      </c>
      <c r="T192" s="15" t="s">
        <v>107</v>
      </c>
      <c r="U192" s="6"/>
      <c r="V192" s="6" t="s">
        <v>3679</v>
      </c>
      <c r="W192" s="6" t="s">
        <v>525</v>
      </c>
      <c r="X192" s="6" t="s">
        <v>3593</v>
      </c>
      <c r="Y192" s="6" t="s">
        <v>119</v>
      </c>
      <c r="Z192" s="6" t="s">
        <v>107</v>
      </c>
      <c r="AA192" s="15" t="s">
        <v>3594</v>
      </c>
      <c r="AB192" s="15"/>
      <c r="AC192" s="15"/>
      <c r="AD192" s="15">
        <v>114</v>
      </c>
      <c r="AE192" s="16"/>
      <c r="AF192" s="16"/>
      <c r="AG192" s="16"/>
      <c r="AH192" s="16"/>
      <c r="AI192" s="16"/>
      <c r="AJ192" s="16"/>
      <c r="AK192" s="16"/>
      <c r="AL192" s="16"/>
      <c r="AM192" s="16"/>
      <c r="AN192" s="15"/>
      <c r="AO192" s="6"/>
      <c r="AP192" s="25"/>
      <c r="AQ192" s="15"/>
      <c r="AR192" s="16"/>
      <c r="AS192" s="16"/>
      <c r="AT192" s="6" t="s">
        <v>113</v>
      </c>
      <c r="AU192" s="6" t="s">
        <v>124</v>
      </c>
      <c r="AV192" s="6" t="s">
        <v>208</v>
      </c>
      <c r="AW192" s="6" t="s">
        <v>124</v>
      </c>
      <c r="AX192" s="12">
        <f t="shared" si="12"/>
        <v>36</v>
      </c>
      <c r="AY192" s="12" t="str">
        <f t="shared" si="13"/>
        <v/>
      </c>
      <c r="AZ192" s="18"/>
      <c r="BA192" s="19"/>
      <c r="BB192" s="19"/>
      <c r="BC192" s="19"/>
      <c r="BD192" s="19"/>
      <c r="BE192" s="19"/>
      <c r="BF192" s="19"/>
      <c r="BG192" s="19"/>
      <c r="BH192" s="19"/>
      <c r="BI192" s="19"/>
      <c r="BJ192" s="19"/>
      <c r="BK192" s="19"/>
    </row>
    <row r="193" spans="1:63" ht="20.100000000000001" hidden="1" customHeight="1" x14ac:dyDescent="0.2">
      <c r="A193" s="13">
        <v>187</v>
      </c>
      <c r="B193" s="16" t="s">
        <v>3572</v>
      </c>
      <c r="C193" s="16" t="s">
        <v>766</v>
      </c>
      <c r="D193" s="6" t="s">
        <v>3577</v>
      </c>
      <c r="E193" s="6" t="s">
        <v>243</v>
      </c>
      <c r="F193" s="6" t="s">
        <v>185</v>
      </c>
      <c r="G193" s="6"/>
      <c r="H193" s="15" t="s">
        <v>83</v>
      </c>
      <c r="I193" s="15"/>
      <c r="J193" s="15"/>
      <c r="K193" s="15"/>
      <c r="L193" s="15"/>
      <c r="M193" s="15"/>
      <c r="N193" s="15"/>
      <c r="O193" s="16" t="s">
        <v>92</v>
      </c>
      <c r="P193" s="6"/>
      <c r="Q193" s="6" t="s">
        <v>117</v>
      </c>
      <c r="R193" s="6" t="s">
        <v>2637</v>
      </c>
      <c r="S193" s="6" t="s">
        <v>69</v>
      </c>
      <c r="T193" s="15" t="s">
        <v>70</v>
      </c>
      <c r="U193" s="6"/>
      <c r="V193" s="6" t="s">
        <v>3679</v>
      </c>
      <c r="W193" s="6" t="s">
        <v>465</v>
      </c>
      <c r="X193" s="6" t="s">
        <v>3595</v>
      </c>
      <c r="Y193" s="6" t="s">
        <v>2788</v>
      </c>
      <c r="Z193" s="6" t="s">
        <v>70</v>
      </c>
      <c r="AA193" s="15" t="s">
        <v>3596</v>
      </c>
      <c r="AB193" s="15"/>
      <c r="AC193" s="15"/>
      <c r="AD193" s="15">
        <v>84</v>
      </c>
      <c r="AE193" s="16"/>
      <c r="AF193" s="16"/>
      <c r="AG193" s="16"/>
      <c r="AH193" s="16"/>
      <c r="AI193" s="16"/>
      <c r="AJ193" s="16"/>
      <c r="AK193" s="16"/>
      <c r="AL193" s="16"/>
      <c r="AM193" s="16"/>
      <c r="AN193" s="15"/>
      <c r="AO193" s="6"/>
      <c r="AP193" s="25"/>
      <c r="AQ193" s="15"/>
      <c r="AR193" s="16"/>
      <c r="AS193" s="16"/>
      <c r="AT193" s="6" t="s">
        <v>113</v>
      </c>
      <c r="AU193" s="6" t="s">
        <v>124</v>
      </c>
      <c r="AV193" s="6" t="s">
        <v>867</v>
      </c>
      <c r="AW193" s="6" t="s">
        <v>116</v>
      </c>
      <c r="AX193" s="12">
        <f t="shared" si="12"/>
        <v>137</v>
      </c>
      <c r="AY193" s="12" t="str">
        <f t="shared" si="13"/>
        <v/>
      </c>
      <c r="AZ193" s="18"/>
      <c r="BA193" s="19"/>
      <c r="BB193" s="19"/>
      <c r="BC193" s="19"/>
      <c r="BD193" s="19"/>
      <c r="BE193" s="19"/>
      <c r="BF193" s="19"/>
      <c r="BG193" s="19"/>
      <c r="BH193" s="19"/>
      <c r="BI193" s="19"/>
      <c r="BJ193" s="19"/>
      <c r="BK193" s="19"/>
    </row>
    <row r="194" spans="1:63" s="21" customFormat="1" ht="20.100000000000001" hidden="1" customHeight="1" x14ac:dyDescent="0.2">
      <c r="A194" s="13">
        <v>188</v>
      </c>
      <c r="B194" s="29" t="s">
        <v>3572</v>
      </c>
      <c r="C194" s="29" t="s">
        <v>766</v>
      </c>
      <c r="D194" s="30" t="s">
        <v>963</v>
      </c>
      <c r="E194" s="30" t="s">
        <v>9</v>
      </c>
      <c r="F194" s="30" t="s">
        <v>222</v>
      </c>
      <c r="G194" s="30"/>
      <c r="H194" s="20" t="s">
        <v>222</v>
      </c>
      <c r="I194" s="20"/>
      <c r="J194" s="20"/>
      <c r="K194" s="20"/>
      <c r="L194" s="20"/>
      <c r="M194" s="20"/>
      <c r="N194" s="20"/>
      <c r="O194" s="29" t="s">
        <v>84</v>
      </c>
      <c r="P194" s="30"/>
      <c r="Q194" s="30" t="s">
        <v>116</v>
      </c>
      <c r="R194" s="30" t="s">
        <v>1950</v>
      </c>
      <c r="S194" s="30" t="s">
        <v>142</v>
      </c>
      <c r="T194" s="20" t="s">
        <v>70</v>
      </c>
      <c r="U194" s="30"/>
      <c r="V194" s="30" t="s">
        <v>1498</v>
      </c>
      <c r="W194" s="30"/>
      <c r="X194" s="30" t="s">
        <v>1951</v>
      </c>
      <c r="Y194" s="30" t="s">
        <v>142</v>
      </c>
      <c r="Z194" s="30" t="s">
        <v>70</v>
      </c>
      <c r="AA194" s="20" t="s">
        <v>3600</v>
      </c>
      <c r="AB194" s="20"/>
      <c r="AC194" s="20"/>
      <c r="AD194" s="20">
        <v>111</v>
      </c>
      <c r="AE194" s="29"/>
      <c r="AF194" s="29"/>
      <c r="AG194" s="29"/>
      <c r="AH194" s="29"/>
      <c r="AI194" s="29"/>
      <c r="AJ194" s="29"/>
      <c r="AK194" s="29"/>
      <c r="AL194" s="29"/>
      <c r="AM194" s="29"/>
      <c r="AN194" s="20"/>
      <c r="AO194" s="30"/>
      <c r="AP194" s="36"/>
      <c r="AQ194" s="20"/>
      <c r="AR194" s="29"/>
      <c r="AS194" s="29"/>
      <c r="AT194" s="30" t="s">
        <v>113</v>
      </c>
      <c r="AU194" s="30" t="s">
        <v>124</v>
      </c>
      <c r="AV194" s="30" t="s">
        <v>115</v>
      </c>
      <c r="AW194" s="30" t="s">
        <v>116</v>
      </c>
      <c r="AX194" s="31">
        <f t="shared" si="12"/>
        <v>5</v>
      </c>
      <c r="AY194" s="31">
        <f t="shared" si="13"/>
        <v>5</v>
      </c>
      <c r="AZ194" s="32"/>
    </row>
    <row r="195" spans="1:63" ht="20.100000000000001" hidden="1" customHeight="1" x14ac:dyDescent="0.2">
      <c r="A195" s="13">
        <v>189</v>
      </c>
      <c r="B195" s="16" t="s">
        <v>3573</v>
      </c>
      <c r="C195" s="16" t="s">
        <v>766</v>
      </c>
      <c r="D195" s="6" t="s">
        <v>3559</v>
      </c>
      <c r="E195" s="6" t="s">
        <v>6</v>
      </c>
      <c r="F195" s="6"/>
      <c r="G195" s="6"/>
      <c r="H195" s="15" t="s">
        <v>7</v>
      </c>
      <c r="I195" s="15"/>
      <c r="J195" s="15"/>
      <c r="K195" s="15"/>
      <c r="L195" s="15"/>
      <c r="M195" s="15"/>
      <c r="N195" s="15"/>
      <c r="O195" s="16" t="s">
        <v>93</v>
      </c>
      <c r="P195" s="6" t="s">
        <v>155</v>
      </c>
      <c r="Q195" s="6" t="s">
        <v>155</v>
      </c>
      <c r="R195" s="6" t="s">
        <v>3582</v>
      </c>
      <c r="S195" s="6" t="s">
        <v>142</v>
      </c>
      <c r="T195" s="15" t="s">
        <v>70</v>
      </c>
      <c r="U195" s="35" t="s">
        <v>324</v>
      </c>
      <c r="V195" s="35" t="s">
        <v>3677</v>
      </c>
      <c r="W195" s="35" t="s">
        <v>441</v>
      </c>
      <c r="X195" s="6" t="s">
        <v>3583</v>
      </c>
      <c r="Y195" s="6" t="s">
        <v>69</v>
      </c>
      <c r="Z195" s="6" t="s">
        <v>70</v>
      </c>
      <c r="AA195" s="15">
        <v>0</v>
      </c>
      <c r="AB195" s="15"/>
      <c r="AC195" s="15">
        <v>207</v>
      </c>
      <c r="AD195" s="15">
        <v>198</v>
      </c>
      <c r="AE195" s="16">
        <v>198</v>
      </c>
      <c r="AF195" s="16">
        <v>119</v>
      </c>
      <c r="AG195" s="16">
        <v>157</v>
      </c>
      <c r="AH195" s="16">
        <v>10</v>
      </c>
      <c r="AI195" s="16">
        <v>43</v>
      </c>
      <c r="AJ195" s="16">
        <v>210</v>
      </c>
      <c r="AK195" s="16">
        <v>21</v>
      </c>
      <c r="AL195" s="16">
        <v>6</v>
      </c>
      <c r="AM195" s="16"/>
      <c r="AN195" s="33" t="s">
        <v>158</v>
      </c>
      <c r="AO195" s="6"/>
      <c r="AP195" s="25"/>
      <c r="AQ195" s="15"/>
      <c r="AR195" s="16" t="s">
        <v>160</v>
      </c>
      <c r="AS195" s="16" t="s">
        <v>193</v>
      </c>
      <c r="AT195" s="6"/>
      <c r="AU195" s="6"/>
      <c r="AV195" s="6"/>
      <c r="AW195" s="6"/>
      <c r="AX195" s="12" t="str">
        <f t="shared" si="12"/>
        <v/>
      </c>
      <c r="AY195" s="12" t="str">
        <f t="shared" si="13"/>
        <v/>
      </c>
      <c r="AZ195" s="18"/>
      <c r="BA195" s="19"/>
      <c r="BB195" s="19"/>
      <c r="BC195" s="19"/>
      <c r="BD195" s="19"/>
      <c r="BE195" s="19"/>
      <c r="BF195" s="19"/>
      <c r="BG195" s="19"/>
      <c r="BH195" s="19"/>
      <c r="BI195" s="19"/>
      <c r="BJ195" s="19"/>
      <c r="BK195" s="19"/>
    </row>
    <row r="196" spans="1:63" s="21" customFormat="1" ht="20.100000000000001" hidden="1" customHeight="1" x14ac:dyDescent="0.2">
      <c r="A196" s="13">
        <v>190</v>
      </c>
      <c r="B196" s="29" t="s">
        <v>3573</v>
      </c>
      <c r="C196" s="29" t="s">
        <v>766</v>
      </c>
      <c r="D196" s="30" t="s">
        <v>3309</v>
      </c>
      <c r="E196" s="30" t="s">
        <v>8</v>
      </c>
      <c r="F196" s="30" t="s">
        <v>185</v>
      </c>
      <c r="G196" s="30"/>
      <c r="H196" s="20" t="s">
        <v>83</v>
      </c>
      <c r="I196" s="15"/>
      <c r="J196" s="15"/>
      <c r="K196" s="15"/>
      <c r="L196" s="15"/>
      <c r="M196" s="15"/>
      <c r="N196" s="15"/>
      <c r="O196" s="29" t="s">
        <v>84</v>
      </c>
      <c r="P196" s="30"/>
      <c r="Q196" s="30" t="s">
        <v>68</v>
      </c>
      <c r="R196" s="30" t="s">
        <v>882</v>
      </c>
      <c r="S196" s="30" t="s">
        <v>106</v>
      </c>
      <c r="T196" s="20" t="s">
        <v>107</v>
      </c>
      <c r="U196" s="30"/>
      <c r="V196" s="30" t="s">
        <v>3679</v>
      </c>
      <c r="W196" s="30" t="s">
        <v>485</v>
      </c>
      <c r="X196" s="30" t="s">
        <v>1267</v>
      </c>
      <c r="Y196" s="30" t="s">
        <v>69</v>
      </c>
      <c r="Z196" s="30" t="s">
        <v>70</v>
      </c>
      <c r="AA196" s="20" t="s">
        <v>3310</v>
      </c>
      <c r="AB196" s="20"/>
      <c r="AC196" s="20"/>
      <c r="AD196" s="20">
        <v>156</v>
      </c>
      <c r="AE196" s="29"/>
      <c r="AF196" s="29"/>
      <c r="AG196" s="29"/>
      <c r="AH196" s="29"/>
      <c r="AI196" s="29"/>
      <c r="AJ196" s="29"/>
      <c r="AK196" s="29"/>
      <c r="AL196" s="29"/>
      <c r="AM196" s="29"/>
      <c r="AN196" s="20"/>
      <c r="AO196" s="30"/>
      <c r="AP196" s="36"/>
      <c r="AQ196" s="20"/>
      <c r="AR196" s="29"/>
      <c r="AS196" s="29"/>
      <c r="AT196" s="30" t="s">
        <v>113</v>
      </c>
      <c r="AU196" s="30" t="s">
        <v>124</v>
      </c>
      <c r="AV196" s="30" t="s">
        <v>115</v>
      </c>
      <c r="AW196" s="30" t="s">
        <v>344</v>
      </c>
      <c r="AX196" s="31">
        <f t="shared" si="12"/>
        <v>9</v>
      </c>
      <c r="AY196" s="31">
        <f t="shared" si="13"/>
        <v>9</v>
      </c>
      <c r="AZ196" s="32"/>
    </row>
    <row r="197" spans="1:63" ht="20.100000000000001" hidden="1" customHeight="1" x14ac:dyDescent="0.2">
      <c r="A197" s="13">
        <v>191</v>
      </c>
      <c r="B197" s="16" t="s">
        <v>3601</v>
      </c>
      <c r="C197" s="16" t="s">
        <v>766</v>
      </c>
      <c r="D197" s="6" t="s">
        <v>3577</v>
      </c>
      <c r="E197" s="6" t="s">
        <v>243</v>
      </c>
      <c r="F197" s="6"/>
      <c r="G197" s="6"/>
      <c r="H197" s="15" t="s">
        <v>7</v>
      </c>
      <c r="I197" s="15"/>
      <c r="J197" s="15"/>
      <c r="K197" s="15"/>
      <c r="L197" s="15"/>
      <c r="M197" s="15"/>
      <c r="N197" s="15"/>
      <c r="O197" s="16" t="s">
        <v>92</v>
      </c>
      <c r="P197" s="6" t="s">
        <v>117</v>
      </c>
      <c r="Q197" s="6" t="s">
        <v>117</v>
      </c>
      <c r="R197" s="6" t="s">
        <v>3620</v>
      </c>
      <c r="S197" s="6" t="s">
        <v>69</v>
      </c>
      <c r="T197" s="15" t="s">
        <v>70</v>
      </c>
      <c r="U197" s="6" t="s">
        <v>470</v>
      </c>
      <c r="V197" s="6" t="s">
        <v>3679</v>
      </c>
      <c r="W197" s="6" t="s">
        <v>465</v>
      </c>
      <c r="X197" s="6" t="s">
        <v>3621</v>
      </c>
      <c r="Y197" s="6" t="s">
        <v>106</v>
      </c>
      <c r="Z197" s="6" t="s">
        <v>107</v>
      </c>
      <c r="AA197" s="15">
        <v>0</v>
      </c>
      <c r="AB197" s="15"/>
      <c r="AC197" s="15"/>
      <c r="AD197" s="15"/>
      <c r="AE197" s="16"/>
      <c r="AF197" s="16">
        <v>38</v>
      </c>
      <c r="AG197" s="16">
        <v>70</v>
      </c>
      <c r="AH197" s="16">
        <v>5</v>
      </c>
      <c r="AI197" s="16">
        <v>38</v>
      </c>
      <c r="AJ197" s="16">
        <v>113</v>
      </c>
      <c r="AK197" s="16">
        <v>20</v>
      </c>
      <c r="AL197" s="16"/>
      <c r="AM197" s="16"/>
      <c r="AN197" s="15"/>
      <c r="AO197" s="6"/>
      <c r="AP197" s="25"/>
      <c r="AQ197" s="15"/>
      <c r="AR197" s="16"/>
      <c r="AS197" s="16"/>
      <c r="AT197" s="6"/>
      <c r="AU197" s="6"/>
      <c r="AV197" s="6"/>
      <c r="AW197" s="6"/>
      <c r="AX197" s="12" t="str">
        <f t="shared" si="12"/>
        <v/>
      </c>
      <c r="AY197" s="12" t="str">
        <f t="shared" si="13"/>
        <v/>
      </c>
      <c r="AZ197" s="18"/>
      <c r="BA197" s="19"/>
      <c r="BB197" s="19"/>
      <c r="BC197" s="19"/>
      <c r="BD197" s="19"/>
      <c r="BE197" s="19"/>
      <c r="BF197" s="19"/>
      <c r="BG197" s="19"/>
      <c r="BH197" s="19"/>
      <c r="BI197" s="19"/>
      <c r="BJ197" s="19"/>
      <c r="BK197" s="19"/>
    </row>
    <row r="198" spans="1:63" ht="20.100000000000001" hidden="1" customHeight="1" x14ac:dyDescent="0.2">
      <c r="A198" s="13">
        <v>192</v>
      </c>
      <c r="B198" s="16" t="s">
        <v>3602</v>
      </c>
      <c r="C198" s="16" t="s">
        <v>766</v>
      </c>
      <c r="D198" s="6" t="s">
        <v>892</v>
      </c>
      <c r="E198" s="6" t="s">
        <v>20</v>
      </c>
      <c r="F198" s="6"/>
      <c r="G198" s="6"/>
      <c r="H198" s="15" t="s">
        <v>7</v>
      </c>
      <c r="I198" s="15"/>
      <c r="J198" s="15"/>
      <c r="K198" s="15"/>
      <c r="L198" s="15"/>
      <c r="M198" s="15"/>
      <c r="N198" s="15"/>
      <c r="O198" s="16" t="s">
        <v>93</v>
      </c>
      <c r="P198" s="6"/>
      <c r="Q198" s="6" t="s">
        <v>68</v>
      </c>
      <c r="R198" s="6"/>
      <c r="S198" s="6" t="s">
        <v>69</v>
      </c>
      <c r="T198" s="15" t="s">
        <v>70</v>
      </c>
      <c r="U198" s="6"/>
      <c r="V198" s="6" t="s">
        <v>1510</v>
      </c>
      <c r="W198" s="6" t="s">
        <v>226</v>
      </c>
      <c r="X198" s="6"/>
      <c r="Y198" s="6" t="s">
        <v>73</v>
      </c>
      <c r="Z198" s="6" t="s">
        <v>70</v>
      </c>
      <c r="AA198" s="15"/>
      <c r="AB198" s="15"/>
      <c r="AC198" s="15"/>
      <c r="AD198" s="15"/>
      <c r="AE198" s="16"/>
      <c r="AF198" s="16"/>
      <c r="AG198" s="16"/>
      <c r="AH198" s="16"/>
      <c r="AI198" s="16"/>
      <c r="AJ198" s="16"/>
      <c r="AK198" s="16"/>
      <c r="AL198" s="16">
        <v>6</v>
      </c>
      <c r="AM198" s="16"/>
      <c r="AN198" s="15"/>
      <c r="AO198" s="6"/>
      <c r="AP198" s="25"/>
      <c r="AQ198" s="15"/>
      <c r="AR198" s="16" t="s">
        <v>160</v>
      </c>
      <c r="AS198" s="16" t="s">
        <v>165</v>
      </c>
      <c r="AT198" s="6"/>
      <c r="AU198" s="6"/>
      <c r="AV198" s="6"/>
      <c r="AW198" s="6"/>
      <c r="AX198" s="12" t="str">
        <f t="shared" si="12"/>
        <v/>
      </c>
      <c r="AY198" s="12" t="str">
        <f t="shared" si="13"/>
        <v/>
      </c>
      <c r="AZ198" s="18"/>
      <c r="BA198" s="19"/>
      <c r="BB198" s="19"/>
      <c r="BC198" s="19"/>
      <c r="BD198" s="19"/>
      <c r="BE198" s="19"/>
      <c r="BF198" s="19"/>
      <c r="BG198" s="19"/>
      <c r="BH198" s="19"/>
      <c r="BI198" s="19"/>
      <c r="BJ198" s="19"/>
      <c r="BK198" s="19"/>
    </row>
    <row r="199" spans="1:63" ht="20.100000000000001" hidden="1" customHeight="1" x14ac:dyDescent="0.2">
      <c r="A199" s="13">
        <v>193</v>
      </c>
      <c r="B199" s="16" t="s">
        <v>3602</v>
      </c>
      <c r="C199" s="16" t="s">
        <v>766</v>
      </c>
      <c r="D199" s="6" t="s">
        <v>3603</v>
      </c>
      <c r="E199" s="6" t="s">
        <v>6</v>
      </c>
      <c r="F199" s="6" t="s">
        <v>192</v>
      </c>
      <c r="G199" s="6"/>
      <c r="H199" s="15" t="s">
        <v>7</v>
      </c>
      <c r="I199" s="15"/>
      <c r="J199" s="15"/>
      <c r="K199" s="15"/>
      <c r="L199" s="15"/>
      <c r="M199" s="15"/>
      <c r="N199" s="15"/>
      <c r="O199" s="16" t="s">
        <v>3576</v>
      </c>
      <c r="P199" s="6" t="s">
        <v>429</v>
      </c>
      <c r="Q199" s="6" t="s">
        <v>155</v>
      </c>
      <c r="R199" s="6" t="s">
        <v>3637</v>
      </c>
      <c r="S199" s="6" t="s">
        <v>142</v>
      </c>
      <c r="T199" s="15" t="s">
        <v>70</v>
      </c>
      <c r="U199" s="6" t="s">
        <v>429</v>
      </c>
      <c r="V199" s="6" t="s">
        <v>3677</v>
      </c>
      <c r="W199" s="6" t="s">
        <v>441</v>
      </c>
      <c r="X199" s="6" t="s">
        <v>3638</v>
      </c>
      <c r="Y199" s="6" t="s">
        <v>106</v>
      </c>
      <c r="Z199" s="6" t="s">
        <v>107</v>
      </c>
      <c r="AA199" s="15">
        <v>0</v>
      </c>
      <c r="AB199" s="15"/>
      <c r="AC199" s="15">
        <v>248</v>
      </c>
      <c r="AD199" s="15">
        <v>0</v>
      </c>
      <c r="AE199" s="16">
        <v>234</v>
      </c>
      <c r="AF199" s="16">
        <v>143</v>
      </c>
      <c r="AG199" s="16">
        <v>163</v>
      </c>
      <c r="AH199" s="16">
        <v>10</v>
      </c>
      <c r="AI199" s="16">
        <v>55</v>
      </c>
      <c r="AJ199" s="16">
        <v>228</v>
      </c>
      <c r="AK199" s="16">
        <v>22</v>
      </c>
      <c r="AL199" s="16"/>
      <c r="AM199" s="16"/>
      <c r="AN199" s="15"/>
      <c r="AO199" s="6"/>
      <c r="AP199" s="25"/>
      <c r="AQ199" s="15"/>
      <c r="AR199" s="16" t="s">
        <v>160</v>
      </c>
      <c r="AS199" s="16" t="s">
        <v>165</v>
      </c>
      <c r="AT199" s="6"/>
      <c r="AU199" s="6"/>
      <c r="AV199" s="6"/>
      <c r="AW199" s="6"/>
      <c r="AX199" s="12" t="str">
        <f t="shared" si="12"/>
        <v/>
      </c>
      <c r="AY199" s="12" t="str">
        <f t="shared" si="13"/>
        <v/>
      </c>
      <c r="AZ199" s="18"/>
      <c r="BA199" s="19"/>
      <c r="BB199" s="19"/>
      <c r="BC199" s="19"/>
      <c r="BD199" s="19"/>
      <c r="BE199" s="19"/>
      <c r="BF199" s="19"/>
      <c r="BG199" s="19"/>
      <c r="BH199" s="19"/>
      <c r="BI199" s="19"/>
      <c r="BJ199" s="19"/>
      <c r="BK199" s="19"/>
    </row>
    <row r="200" spans="1:63" s="21" customFormat="1" ht="20.100000000000001" hidden="1" customHeight="1" x14ac:dyDescent="0.2">
      <c r="A200" s="13">
        <v>194</v>
      </c>
      <c r="B200" s="29" t="s">
        <v>3602</v>
      </c>
      <c r="C200" s="29" t="s">
        <v>766</v>
      </c>
      <c r="D200" s="30" t="s">
        <v>1537</v>
      </c>
      <c r="E200" s="30" t="s">
        <v>10</v>
      </c>
      <c r="F200" s="30" t="s">
        <v>922</v>
      </c>
      <c r="G200" s="30"/>
      <c r="H200" s="20" t="s">
        <v>83</v>
      </c>
      <c r="I200" s="20"/>
      <c r="J200" s="20"/>
      <c r="K200" s="20"/>
      <c r="L200" s="20"/>
      <c r="M200" s="20"/>
      <c r="N200" s="20"/>
      <c r="O200" s="29" t="s">
        <v>93</v>
      </c>
      <c r="P200" s="30"/>
      <c r="Q200" s="30" t="s">
        <v>141</v>
      </c>
      <c r="R200" s="30" t="s">
        <v>1538</v>
      </c>
      <c r="S200" s="30" t="s">
        <v>69</v>
      </c>
      <c r="T200" s="20" t="s">
        <v>70</v>
      </c>
      <c r="U200" s="30"/>
      <c r="V200" s="30" t="s">
        <v>2961</v>
      </c>
      <c r="W200" s="30" t="s">
        <v>2348</v>
      </c>
      <c r="X200" s="30" t="s">
        <v>1539</v>
      </c>
      <c r="Y200" s="30" t="s">
        <v>106</v>
      </c>
      <c r="Z200" s="30" t="s">
        <v>107</v>
      </c>
      <c r="AA200" s="20">
        <v>0</v>
      </c>
      <c r="AB200" s="20"/>
      <c r="AC200" s="20"/>
      <c r="AD200" s="20">
        <v>189</v>
      </c>
      <c r="AE200" s="29"/>
      <c r="AF200" s="29"/>
      <c r="AG200" s="29"/>
      <c r="AH200" s="29"/>
      <c r="AI200" s="29"/>
      <c r="AJ200" s="29"/>
      <c r="AK200" s="29"/>
      <c r="AL200" s="29"/>
      <c r="AM200" s="29"/>
      <c r="AN200" s="20"/>
      <c r="AO200" s="30"/>
      <c r="AP200" s="36"/>
      <c r="AQ200" s="20"/>
      <c r="AR200" s="29" t="s">
        <v>111</v>
      </c>
      <c r="AS200" s="29"/>
      <c r="AT200" s="30" t="s">
        <v>113</v>
      </c>
      <c r="AU200" s="30" t="s">
        <v>124</v>
      </c>
      <c r="AV200" s="30" t="s">
        <v>115</v>
      </c>
      <c r="AW200" s="30" t="s">
        <v>148</v>
      </c>
      <c r="AX200" s="31">
        <f t="shared" si="12"/>
        <v>8</v>
      </c>
      <c r="AY200" s="31">
        <f t="shared" si="13"/>
        <v>8</v>
      </c>
      <c r="AZ200" s="32"/>
    </row>
    <row r="201" spans="1:63" ht="20.100000000000001" hidden="1" customHeight="1" x14ac:dyDescent="0.2">
      <c r="A201" s="13">
        <v>195</v>
      </c>
      <c r="B201" s="16" t="s">
        <v>3604</v>
      </c>
      <c r="C201" s="16" t="s">
        <v>935</v>
      </c>
      <c r="D201" s="6" t="s">
        <v>3608</v>
      </c>
      <c r="E201" s="6" t="s">
        <v>6</v>
      </c>
      <c r="F201" s="6" t="s">
        <v>192</v>
      </c>
      <c r="G201" s="6"/>
      <c r="H201" s="15" t="s">
        <v>7</v>
      </c>
      <c r="I201" s="15"/>
      <c r="J201" s="15"/>
      <c r="K201" s="15"/>
      <c r="L201" s="15"/>
      <c r="M201" s="15"/>
      <c r="N201" s="15"/>
      <c r="O201" s="16" t="s">
        <v>92</v>
      </c>
      <c r="P201" s="6" t="s">
        <v>429</v>
      </c>
      <c r="Q201" s="6" t="s">
        <v>68</v>
      </c>
      <c r="R201" s="6" t="s">
        <v>3640</v>
      </c>
      <c r="S201" s="6" t="s">
        <v>106</v>
      </c>
      <c r="T201" s="15" t="s">
        <v>107</v>
      </c>
      <c r="U201" s="6" t="s">
        <v>429</v>
      </c>
      <c r="V201" s="6" t="s">
        <v>3679</v>
      </c>
      <c r="W201" s="6" t="s">
        <v>485</v>
      </c>
      <c r="X201" s="6" t="s">
        <v>3641</v>
      </c>
      <c r="Y201" s="6" t="s">
        <v>106</v>
      </c>
      <c r="Z201" s="6" t="s">
        <v>107</v>
      </c>
      <c r="AA201" s="15">
        <v>0</v>
      </c>
      <c r="AB201" s="15"/>
      <c r="AC201" s="15">
        <v>218</v>
      </c>
      <c r="AD201" s="15">
        <v>0</v>
      </c>
      <c r="AE201" s="16">
        <v>198</v>
      </c>
      <c r="AF201" s="16">
        <v>71</v>
      </c>
      <c r="AG201" s="16">
        <v>90</v>
      </c>
      <c r="AH201" s="16">
        <v>12</v>
      </c>
      <c r="AI201" s="16">
        <v>38</v>
      </c>
      <c r="AJ201" s="16">
        <v>140</v>
      </c>
      <c r="AK201" s="16">
        <v>30</v>
      </c>
      <c r="AL201" s="16"/>
      <c r="AM201" s="16"/>
      <c r="AN201" s="15"/>
      <c r="AO201" s="6"/>
      <c r="AP201" s="25"/>
      <c r="AQ201" s="15"/>
      <c r="AR201" s="16" t="s">
        <v>160</v>
      </c>
      <c r="AS201" s="16" t="s">
        <v>193</v>
      </c>
      <c r="AT201" s="6"/>
      <c r="AU201" s="6"/>
      <c r="AV201" s="6"/>
      <c r="AW201" s="6"/>
      <c r="AX201" s="12" t="str">
        <f t="shared" si="12"/>
        <v/>
      </c>
      <c r="AY201" s="12" t="str">
        <f t="shared" si="13"/>
        <v/>
      </c>
      <c r="AZ201" s="18"/>
      <c r="BA201" s="19"/>
      <c r="BB201" s="19"/>
      <c r="BC201" s="19"/>
      <c r="BD201" s="19"/>
      <c r="BE201" s="19"/>
      <c r="BF201" s="19"/>
      <c r="BG201" s="19"/>
      <c r="BH201" s="19"/>
      <c r="BI201" s="19"/>
      <c r="BJ201" s="19"/>
      <c r="BK201" s="19"/>
    </row>
    <row r="202" spans="1:63" ht="20.100000000000001" hidden="1" customHeight="1" x14ac:dyDescent="0.2">
      <c r="A202" s="13">
        <v>196</v>
      </c>
      <c r="B202" s="16" t="s">
        <v>3604</v>
      </c>
      <c r="C202" s="16" t="s">
        <v>935</v>
      </c>
      <c r="D202" s="6" t="s">
        <v>3575</v>
      </c>
      <c r="E202" s="6" t="s">
        <v>243</v>
      </c>
      <c r="F202" s="6"/>
      <c r="G202" s="6"/>
      <c r="H202" s="15" t="s">
        <v>7</v>
      </c>
      <c r="I202" s="15"/>
      <c r="J202" s="15"/>
      <c r="K202" s="15"/>
      <c r="L202" s="15"/>
      <c r="M202" s="15"/>
      <c r="N202" s="15"/>
      <c r="O202" s="16" t="s">
        <v>93</v>
      </c>
      <c r="P202" s="35" t="s">
        <v>334</v>
      </c>
      <c r="Q202" s="35" t="s">
        <v>117</v>
      </c>
      <c r="R202" s="6" t="s">
        <v>3633</v>
      </c>
      <c r="S202" s="6" t="s">
        <v>69</v>
      </c>
      <c r="T202" s="15" t="s">
        <v>70</v>
      </c>
      <c r="U202" s="35" t="s">
        <v>2778</v>
      </c>
      <c r="V202" s="35" t="s">
        <v>3679</v>
      </c>
      <c r="W202" s="35" t="s">
        <v>465</v>
      </c>
      <c r="X202" s="6" t="s">
        <v>3634</v>
      </c>
      <c r="Y202" s="6" t="s">
        <v>106</v>
      </c>
      <c r="Z202" s="6" t="s">
        <v>107</v>
      </c>
      <c r="AA202" s="15">
        <v>0</v>
      </c>
      <c r="AB202" s="15"/>
      <c r="AC202" s="15"/>
      <c r="AD202" s="15">
        <v>114</v>
      </c>
      <c r="AE202" s="16">
        <v>114</v>
      </c>
      <c r="AF202" s="16"/>
      <c r="AG202" s="16">
        <v>57</v>
      </c>
      <c r="AH202" s="16">
        <v>5</v>
      </c>
      <c r="AI202" s="16">
        <v>60</v>
      </c>
      <c r="AJ202" s="16">
        <v>122</v>
      </c>
      <c r="AK202" s="16">
        <v>25</v>
      </c>
      <c r="AL202" s="16"/>
      <c r="AM202" s="16"/>
      <c r="AN202" s="33" t="s">
        <v>158</v>
      </c>
      <c r="AO202" s="6"/>
      <c r="AP202" s="25"/>
      <c r="AQ202" s="15"/>
      <c r="AR202" s="16" t="s">
        <v>111</v>
      </c>
      <c r="AS202" s="16" t="s">
        <v>112</v>
      </c>
      <c r="AT202" s="6"/>
      <c r="AU202" s="6"/>
      <c r="AV202" s="6"/>
      <c r="AW202" s="6"/>
      <c r="AX202" s="12" t="str">
        <f t="shared" si="12"/>
        <v/>
      </c>
      <c r="AY202" s="12" t="str">
        <f t="shared" si="13"/>
        <v/>
      </c>
      <c r="AZ202" s="18"/>
      <c r="BA202" s="19"/>
      <c r="BB202" s="19"/>
      <c r="BC202" s="19"/>
      <c r="BD202" s="19"/>
      <c r="BE202" s="19"/>
      <c r="BF202" s="19"/>
      <c r="BG202" s="19"/>
      <c r="BH202" s="19"/>
      <c r="BI202" s="19"/>
      <c r="BJ202" s="19"/>
      <c r="BK202" s="19"/>
    </row>
    <row r="203" spans="1:63" ht="20.100000000000001" hidden="1" customHeight="1" x14ac:dyDescent="0.2">
      <c r="A203" s="13">
        <v>197</v>
      </c>
      <c r="B203" s="16" t="s">
        <v>3604</v>
      </c>
      <c r="C203" s="16" t="s">
        <v>935</v>
      </c>
      <c r="D203" s="6" t="s">
        <v>2317</v>
      </c>
      <c r="E203" s="6" t="s">
        <v>243</v>
      </c>
      <c r="F203" s="6"/>
      <c r="G203" s="6"/>
      <c r="H203" s="15" t="s">
        <v>7</v>
      </c>
      <c r="I203" s="15"/>
      <c r="J203" s="15"/>
      <c r="K203" s="15"/>
      <c r="L203" s="15"/>
      <c r="M203" s="15"/>
      <c r="N203" s="15"/>
      <c r="O203" s="16" t="s">
        <v>93</v>
      </c>
      <c r="P203" s="6" t="s">
        <v>104</v>
      </c>
      <c r="Q203" s="6" t="s">
        <v>104</v>
      </c>
      <c r="R203" s="6" t="s">
        <v>3622</v>
      </c>
      <c r="S203" s="6" t="s">
        <v>106</v>
      </c>
      <c r="T203" s="15" t="s">
        <v>107</v>
      </c>
      <c r="U203" s="35" t="s">
        <v>361</v>
      </c>
      <c r="V203" s="35" t="s">
        <v>1510</v>
      </c>
      <c r="W203" s="35" t="s">
        <v>2258</v>
      </c>
      <c r="X203" s="6" t="s">
        <v>3623</v>
      </c>
      <c r="Y203" s="6" t="s">
        <v>73</v>
      </c>
      <c r="Z203" s="6" t="s">
        <v>70</v>
      </c>
      <c r="AA203" s="15">
        <v>0</v>
      </c>
      <c r="AB203" s="15"/>
      <c r="AC203" s="15">
        <v>231</v>
      </c>
      <c r="AD203" s="33">
        <v>204</v>
      </c>
      <c r="AE203" s="34">
        <v>210</v>
      </c>
      <c r="AF203" s="16">
        <v>56</v>
      </c>
      <c r="AG203" s="16">
        <v>158</v>
      </c>
      <c r="AH203" s="16">
        <v>5</v>
      </c>
      <c r="AI203" s="16">
        <v>33</v>
      </c>
      <c r="AJ203" s="16">
        <v>196</v>
      </c>
      <c r="AK203" s="16">
        <v>14</v>
      </c>
      <c r="AL203" s="16"/>
      <c r="AM203" s="16"/>
      <c r="AN203" s="33" t="s">
        <v>158</v>
      </c>
      <c r="AO203" s="6"/>
      <c r="AP203" s="25"/>
      <c r="AQ203" s="15"/>
      <c r="AR203" s="16" t="s">
        <v>160</v>
      </c>
      <c r="AS203" s="16" t="s">
        <v>193</v>
      </c>
      <c r="AT203" s="6"/>
      <c r="AU203" s="6"/>
      <c r="AV203" s="6"/>
      <c r="AW203" s="6"/>
      <c r="AX203" s="12" t="str">
        <f t="shared" si="12"/>
        <v/>
      </c>
      <c r="AY203" s="12" t="str">
        <f t="shared" si="13"/>
        <v/>
      </c>
      <c r="AZ203" s="18"/>
      <c r="BA203" s="19"/>
      <c r="BB203" s="19"/>
      <c r="BC203" s="19"/>
      <c r="BD203" s="19"/>
      <c r="BE203" s="19"/>
      <c r="BF203" s="19"/>
      <c r="BG203" s="19"/>
      <c r="BH203" s="19"/>
      <c r="BI203" s="19"/>
      <c r="BJ203" s="19"/>
      <c r="BK203" s="19"/>
    </row>
    <row r="204" spans="1:63" ht="20.100000000000001" hidden="1" customHeight="1" x14ac:dyDescent="0.2">
      <c r="A204" s="13">
        <v>198</v>
      </c>
      <c r="B204" s="16" t="s">
        <v>3605</v>
      </c>
      <c r="C204" s="16" t="s">
        <v>935</v>
      </c>
      <c r="D204" s="6" t="s">
        <v>3609</v>
      </c>
      <c r="E204" s="6" t="s">
        <v>66</v>
      </c>
      <c r="F204" s="249" t="s">
        <v>4038</v>
      </c>
      <c r="G204" s="6"/>
      <c r="H204" s="15" t="s">
        <v>83</v>
      </c>
      <c r="I204" s="15"/>
      <c r="J204" s="15"/>
      <c r="K204" s="15"/>
      <c r="L204" s="15"/>
      <c r="M204" s="15"/>
      <c r="N204" s="15"/>
      <c r="O204" s="16" t="s">
        <v>93</v>
      </c>
      <c r="P204" s="6"/>
      <c r="Q204" s="6"/>
      <c r="R204" s="6"/>
      <c r="S204" s="6"/>
      <c r="T204" s="15"/>
      <c r="U204" s="6"/>
      <c r="V204" s="6"/>
      <c r="W204" s="6"/>
      <c r="X204" s="6"/>
      <c r="Y204" s="6"/>
      <c r="Z204" s="6"/>
      <c r="AA204" s="15"/>
      <c r="AB204" s="15"/>
      <c r="AC204" s="15"/>
      <c r="AD204" s="15"/>
      <c r="AE204" s="16"/>
      <c r="AF204" s="16"/>
      <c r="AG204" s="16"/>
      <c r="AH204" s="16"/>
      <c r="AI204" s="16"/>
      <c r="AJ204" s="16"/>
      <c r="AK204" s="16"/>
      <c r="AL204" s="16"/>
      <c r="AM204" s="16"/>
      <c r="AN204" s="15"/>
      <c r="AO204" s="6"/>
      <c r="AP204" s="25"/>
      <c r="AQ204" s="15"/>
      <c r="AR204" s="16"/>
      <c r="AS204" s="16"/>
      <c r="AT204" s="6"/>
      <c r="AU204" s="6"/>
      <c r="AV204" s="6"/>
      <c r="AW204" s="6"/>
      <c r="AX204" s="12" t="str">
        <f t="shared" si="12"/>
        <v/>
      </c>
      <c r="AY204" s="12" t="str">
        <f t="shared" si="13"/>
        <v/>
      </c>
      <c r="AZ204" s="18"/>
      <c r="BA204" s="19"/>
      <c r="BB204" s="19"/>
      <c r="BC204" s="19"/>
      <c r="BD204" s="19"/>
      <c r="BE204" s="19"/>
      <c r="BF204" s="19"/>
      <c r="BG204" s="19"/>
      <c r="BH204" s="19"/>
      <c r="BI204" s="19"/>
      <c r="BJ204" s="19"/>
      <c r="BK204" s="19"/>
    </row>
    <row r="205" spans="1:63" ht="20.100000000000001" hidden="1" customHeight="1" x14ac:dyDescent="0.2">
      <c r="A205" s="13">
        <v>199</v>
      </c>
      <c r="B205" s="16" t="s">
        <v>3605</v>
      </c>
      <c r="C205" s="16" t="s">
        <v>935</v>
      </c>
      <c r="D205" s="6" t="s">
        <v>3610</v>
      </c>
      <c r="E205" s="6" t="s">
        <v>6</v>
      </c>
      <c r="F205" s="6" t="s">
        <v>192</v>
      </c>
      <c r="G205" s="6"/>
      <c r="H205" s="15" t="s">
        <v>7</v>
      </c>
      <c r="I205" s="15"/>
      <c r="J205" s="15"/>
      <c r="K205" s="15"/>
      <c r="L205" s="15"/>
      <c r="M205" s="15"/>
      <c r="N205" s="15"/>
      <c r="O205" s="16" t="s">
        <v>3576</v>
      </c>
      <c r="P205" s="6" t="s">
        <v>429</v>
      </c>
      <c r="Q205" s="6" t="s">
        <v>218</v>
      </c>
      <c r="R205" s="6" t="s">
        <v>1960</v>
      </c>
      <c r="S205" s="6" t="s">
        <v>106</v>
      </c>
      <c r="T205" s="15" t="s">
        <v>107</v>
      </c>
      <c r="U205" s="6" t="s">
        <v>429</v>
      </c>
      <c r="V205" s="6" t="s">
        <v>3677</v>
      </c>
      <c r="W205" s="6" t="s">
        <v>116</v>
      </c>
      <c r="X205" s="6" t="s">
        <v>3639</v>
      </c>
      <c r="Y205" s="6" t="s">
        <v>73</v>
      </c>
      <c r="Z205" s="6" t="s">
        <v>70</v>
      </c>
      <c r="AA205" s="15">
        <v>0</v>
      </c>
      <c r="AB205" s="15"/>
      <c r="AC205" s="15">
        <v>241</v>
      </c>
      <c r="AD205" s="15">
        <v>0</v>
      </c>
      <c r="AE205" s="16" t="s">
        <v>3732</v>
      </c>
      <c r="AF205" s="16">
        <v>140</v>
      </c>
      <c r="AG205" s="16">
        <v>160</v>
      </c>
      <c r="AH205" s="16">
        <v>10</v>
      </c>
      <c r="AI205" s="16">
        <v>80</v>
      </c>
      <c r="AJ205" s="16">
        <v>250</v>
      </c>
      <c r="AK205" s="16">
        <v>22</v>
      </c>
      <c r="AL205" s="16"/>
      <c r="AM205" s="16"/>
      <c r="AN205" s="15"/>
      <c r="AO205" s="6"/>
      <c r="AP205" s="25"/>
      <c r="AQ205" s="15"/>
      <c r="AR205" s="16" t="s">
        <v>160</v>
      </c>
      <c r="AS205" s="16" t="s">
        <v>165</v>
      </c>
      <c r="AT205" s="6"/>
      <c r="AU205" s="6"/>
      <c r="AV205" s="6"/>
      <c r="AW205" s="6"/>
      <c r="AX205" s="12" t="str">
        <f t="shared" si="12"/>
        <v/>
      </c>
      <c r="AY205" s="12" t="str">
        <f t="shared" si="13"/>
        <v/>
      </c>
      <c r="AZ205" s="18"/>
      <c r="BA205" s="19"/>
      <c r="BB205" s="19"/>
      <c r="BC205" s="19"/>
      <c r="BD205" s="19"/>
      <c r="BE205" s="19"/>
      <c r="BF205" s="19"/>
      <c r="BG205" s="19"/>
      <c r="BH205" s="19"/>
      <c r="BI205" s="19"/>
      <c r="BJ205" s="19"/>
      <c r="BK205" s="19"/>
    </row>
    <row r="206" spans="1:63" ht="20.100000000000001" hidden="1" customHeight="1" x14ac:dyDescent="0.2">
      <c r="A206" s="13">
        <v>200</v>
      </c>
      <c r="B206" s="16" t="s">
        <v>3606</v>
      </c>
      <c r="C206" s="16" t="s">
        <v>935</v>
      </c>
      <c r="D206" s="6" t="s">
        <v>1537</v>
      </c>
      <c r="E206" s="6" t="s">
        <v>10</v>
      </c>
      <c r="F206" s="6"/>
      <c r="G206" s="6"/>
      <c r="H206" s="15" t="s">
        <v>7</v>
      </c>
      <c r="I206" s="15"/>
      <c r="J206" s="15"/>
      <c r="K206" s="15"/>
      <c r="L206" s="15"/>
      <c r="M206" s="15"/>
      <c r="N206" s="15"/>
      <c r="O206" s="16" t="s">
        <v>93</v>
      </c>
      <c r="P206" s="6" t="s">
        <v>141</v>
      </c>
      <c r="Q206" s="6" t="s">
        <v>141</v>
      </c>
      <c r="R206" s="6" t="s">
        <v>3635</v>
      </c>
      <c r="S206" s="6" t="s">
        <v>142</v>
      </c>
      <c r="T206" s="15" t="s">
        <v>70</v>
      </c>
      <c r="U206" s="6" t="s">
        <v>1478</v>
      </c>
      <c r="V206" s="6" t="s">
        <v>2961</v>
      </c>
      <c r="W206" s="6" t="s">
        <v>2348</v>
      </c>
      <c r="X206" s="6" t="s">
        <v>3636</v>
      </c>
      <c r="Y206" s="6" t="s">
        <v>73</v>
      </c>
      <c r="Z206" s="6" t="s">
        <v>70</v>
      </c>
      <c r="AA206" s="15">
        <v>0</v>
      </c>
      <c r="AB206" s="15"/>
      <c r="AC206" s="15">
        <v>196</v>
      </c>
      <c r="AD206" s="33">
        <v>189</v>
      </c>
      <c r="AE206" s="34">
        <v>186</v>
      </c>
      <c r="AF206" s="16">
        <v>115</v>
      </c>
      <c r="AG206" s="16">
        <v>156</v>
      </c>
      <c r="AH206" s="16">
        <v>12</v>
      </c>
      <c r="AI206" s="16">
        <v>14</v>
      </c>
      <c r="AJ206" s="16">
        <v>182</v>
      </c>
      <c r="AK206" s="16">
        <v>10</v>
      </c>
      <c r="AL206" s="16"/>
      <c r="AM206" s="16"/>
      <c r="AN206" s="15"/>
      <c r="AO206" s="6"/>
      <c r="AP206" s="25"/>
      <c r="AQ206" s="15"/>
      <c r="AR206" s="16" t="s">
        <v>111</v>
      </c>
      <c r="AS206" s="16" t="s">
        <v>231</v>
      </c>
      <c r="AT206" s="6"/>
      <c r="AU206" s="6"/>
      <c r="AV206" s="6"/>
      <c r="AW206" s="6"/>
      <c r="AX206" s="12" t="str">
        <f t="shared" si="12"/>
        <v/>
      </c>
      <c r="AY206" s="12" t="str">
        <f t="shared" si="13"/>
        <v/>
      </c>
      <c r="AZ206" s="18"/>
      <c r="BA206" s="19"/>
      <c r="BB206" s="19"/>
      <c r="BC206" s="19"/>
      <c r="BD206" s="19"/>
      <c r="BE206" s="19"/>
      <c r="BF206" s="19"/>
      <c r="BG206" s="19"/>
      <c r="BH206" s="19"/>
      <c r="BI206" s="19"/>
      <c r="BJ206" s="19"/>
      <c r="BK206" s="19"/>
    </row>
    <row r="207" spans="1:63" ht="20.100000000000001" hidden="1" customHeight="1" x14ac:dyDescent="0.2">
      <c r="A207" s="13">
        <v>201</v>
      </c>
      <c r="B207" s="16" t="s">
        <v>3606</v>
      </c>
      <c r="C207" s="16" t="s">
        <v>935</v>
      </c>
      <c r="D207" s="6" t="s">
        <v>3611</v>
      </c>
      <c r="E207" s="6" t="s">
        <v>10</v>
      </c>
      <c r="F207" s="6" t="s">
        <v>192</v>
      </c>
      <c r="G207" s="6"/>
      <c r="H207" s="15" t="s">
        <v>7</v>
      </c>
      <c r="I207" s="15"/>
      <c r="J207" s="15"/>
      <c r="K207" s="15"/>
      <c r="L207" s="15"/>
      <c r="M207" s="15"/>
      <c r="N207" s="15"/>
      <c r="O207" s="16" t="s">
        <v>92</v>
      </c>
      <c r="P207" s="6"/>
      <c r="Q207" s="6" t="s">
        <v>155</v>
      </c>
      <c r="R207" s="6" t="s">
        <v>3624</v>
      </c>
      <c r="S207" s="6" t="s">
        <v>69</v>
      </c>
      <c r="T207" s="15" t="s">
        <v>70</v>
      </c>
      <c r="U207" s="6"/>
      <c r="V207" s="6" t="s">
        <v>3677</v>
      </c>
      <c r="W207" s="6" t="s">
        <v>718</v>
      </c>
      <c r="X207" s="6" t="s">
        <v>3625</v>
      </c>
      <c r="Y207" s="6" t="s">
        <v>106</v>
      </c>
      <c r="Z207" s="6" t="s">
        <v>107</v>
      </c>
      <c r="AA207" s="15">
        <v>0</v>
      </c>
      <c r="AB207" s="15"/>
      <c r="AC207" s="15">
        <v>247</v>
      </c>
      <c r="AD207" s="15">
        <v>0</v>
      </c>
      <c r="AE207" s="16">
        <v>234</v>
      </c>
      <c r="AF207" s="16">
        <v>136</v>
      </c>
      <c r="AG207" s="16">
        <v>150</v>
      </c>
      <c r="AH207" s="16">
        <v>10</v>
      </c>
      <c r="AI207" s="16">
        <v>40</v>
      </c>
      <c r="AJ207" s="16">
        <v>200</v>
      </c>
      <c r="AK207" s="16">
        <v>22</v>
      </c>
      <c r="AL207" s="16"/>
      <c r="AM207" s="16"/>
      <c r="AN207" s="15"/>
      <c r="AO207" s="6"/>
      <c r="AP207" s="25"/>
      <c r="AQ207" s="15"/>
      <c r="AR207" s="16" t="s">
        <v>160</v>
      </c>
      <c r="AS207" s="16" t="s">
        <v>165</v>
      </c>
      <c r="AT207" s="6"/>
      <c r="AU207" s="6"/>
      <c r="AV207" s="6"/>
      <c r="AW207" s="6"/>
      <c r="AX207" s="12" t="str">
        <f t="shared" si="12"/>
        <v/>
      </c>
      <c r="AY207" s="12" t="str">
        <f t="shared" si="13"/>
        <v/>
      </c>
      <c r="AZ207" s="18"/>
      <c r="BA207" s="19"/>
      <c r="BB207" s="19"/>
      <c r="BC207" s="19"/>
      <c r="BD207" s="19"/>
      <c r="BE207" s="19"/>
      <c r="BF207" s="19"/>
      <c r="BG207" s="19"/>
      <c r="BH207" s="19"/>
      <c r="BI207" s="19"/>
      <c r="BJ207" s="19"/>
      <c r="BK207" s="19"/>
    </row>
    <row r="208" spans="1:63" ht="20.100000000000001" hidden="1" customHeight="1" x14ac:dyDescent="0.2">
      <c r="A208" s="13">
        <v>202</v>
      </c>
      <c r="B208" s="16" t="s">
        <v>3607</v>
      </c>
      <c r="C208" s="16" t="s">
        <v>935</v>
      </c>
      <c r="D208" s="6" t="s">
        <v>3612</v>
      </c>
      <c r="E208" s="6" t="s">
        <v>6</v>
      </c>
      <c r="F208" s="6" t="s">
        <v>192</v>
      </c>
      <c r="G208" s="6"/>
      <c r="H208" s="15" t="s">
        <v>7</v>
      </c>
      <c r="I208" s="15"/>
      <c r="J208" s="15"/>
      <c r="K208" s="15"/>
      <c r="L208" s="15"/>
      <c r="M208" s="15"/>
      <c r="N208" s="15"/>
      <c r="O208" s="16" t="s">
        <v>92</v>
      </c>
      <c r="P208" s="6"/>
      <c r="Q208" s="6" t="s">
        <v>155</v>
      </c>
      <c r="R208" s="6" t="s">
        <v>1791</v>
      </c>
      <c r="S208" s="6" t="s">
        <v>106</v>
      </c>
      <c r="T208" s="15" t="s">
        <v>107</v>
      </c>
      <c r="U208" s="6"/>
      <c r="V208" s="6" t="s">
        <v>3679</v>
      </c>
      <c r="W208" s="6" t="s">
        <v>718</v>
      </c>
      <c r="X208" s="6" t="s">
        <v>3632</v>
      </c>
      <c r="Y208" s="6" t="s">
        <v>106</v>
      </c>
      <c r="Z208" s="6" t="s">
        <v>107</v>
      </c>
      <c r="AA208" s="15">
        <v>0</v>
      </c>
      <c r="AB208" s="15"/>
      <c r="AC208" s="15">
        <v>200</v>
      </c>
      <c r="AD208" s="15">
        <v>0</v>
      </c>
      <c r="AE208" s="16">
        <v>189</v>
      </c>
      <c r="AF208" s="16">
        <v>51</v>
      </c>
      <c r="AG208" s="16">
        <v>120</v>
      </c>
      <c r="AH208" s="16">
        <v>12</v>
      </c>
      <c r="AI208" s="16">
        <v>33</v>
      </c>
      <c r="AJ208" s="16">
        <v>165</v>
      </c>
      <c r="AK208" s="16">
        <v>27</v>
      </c>
      <c r="AL208" s="16"/>
      <c r="AM208" s="16"/>
      <c r="AN208" s="15"/>
      <c r="AO208" s="6"/>
      <c r="AP208" s="25"/>
      <c r="AQ208" s="15"/>
      <c r="AR208" s="16" t="s">
        <v>160</v>
      </c>
      <c r="AS208" s="16" t="s">
        <v>193</v>
      </c>
      <c r="AT208" s="6"/>
      <c r="AU208" s="6"/>
      <c r="AV208" s="6"/>
      <c r="AW208" s="6"/>
      <c r="AX208" s="12" t="str">
        <f t="shared" ref="AX208:AX239" si="14">IF(AT208*AV208&gt;0,(AT208-AV208)*12+(AU208-AW208),"")</f>
        <v/>
      </c>
      <c r="AY208" s="12" t="str">
        <f t="shared" ref="AY208:AY239" si="15">IF(AX208&lt;13,AX208,"")</f>
        <v/>
      </c>
      <c r="AZ208" s="18"/>
      <c r="BA208" s="19"/>
      <c r="BB208" s="19"/>
      <c r="BC208" s="19"/>
      <c r="BD208" s="19"/>
      <c r="BE208" s="19"/>
      <c r="BF208" s="19"/>
      <c r="BG208" s="19"/>
      <c r="BH208" s="19"/>
      <c r="BI208" s="19"/>
      <c r="BJ208" s="19"/>
      <c r="BK208" s="19"/>
    </row>
    <row r="209" spans="1:63" ht="20.100000000000001" hidden="1" customHeight="1" x14ac:dyDescent="0.2">
      <c r="A209" s="13">
        <v>203</v>
      </c>
      <c r="B209" s="16" t="s">
        <v>3607</v>
      </c>
      <c r="C209" s="16" t="s">
        <v>935</v>
      </c>
      <c r="D209" s="6" t="s">
        <v>967</v>
      </c>
      <c r="E209" s="6" t="s">
        <v>10</v>
      </c>
      <c r="F209" s="6"/>
      <c r="G209" s="6"/>
      <c r="H209" s="15" t="s">
        <v>7</v>
      </c>
      <c r="I209" s="15"/>
      <c r="J209" s="15"/>
      <c r="K209" s="15"/>
      <c r="L209" s="15"/>
      <c r="M209" s="15"/>
      <c r="N209" s="15"/>
      <c r="O209" s="16" t="s">
        <v>93</v>
      </c>
      <c r="P209" s="6" t="s">
        <v>104</v>
      </c>
      <c r="Q209" s="6" t="s">
        <v>104</v>
      </c>
      <c r="R209" s="6" t="s">
        <v>3630</v>
      </c>
      <c r="S209" s="6" t="s">
        <v>142</v>
      </c>
      <c r="T209" s="15" t="s">
        <v>70</v>
      </c>
      <c r="U209" s="35" t="s">
        <v>204</v>
      </c>
      <c r="V209" s="35" t="s">
        <v>2961</v>
      </c>
      <c r="W209" s="35" t="s">
        <v>493</v>
      </c>
      <c r="X209" s="6" t="s">
        <v>3631</v>
      </c>
      <c r="Y209" s="6" t="s">
        <v>106</v>
      </c>
      <c r="Z209" s="6" t="s">
        <v>107</v>
      </c>
      <c r="AA209" s="15">
        <v>0</v>
      </c>
      <c r="AB209" s="15"/>
      <c r="AC209" s="15">
        <v>202</v>
      </c>
      <c r="AD209" s="33">
        <v>195</v>
      </c>
      <c r="AE209" s="34">
        <v>189</v>
      </c>
      <c r="AF209" s="16">
        <v>113</v>
      </c>
      <c r="AG209" s="16">
        <v>154</v>
      </c>
      <c r="AH209" s="16">
        <v>3</v>
      </c>
      <c r="AI209" s="16">
        <v>60</v>
      </c>
      <c r="AJ209" s="16">
        <v>217</v>
      </c>
      <c r="AK209" s="16">
        <v>12</v>
      </c>
      <c r="AL209" s="16"/>
      <c r="AM209" s="16"/>
      <c r="AN209" s="33" t="s">
        <v>158</v>
      </c>
      <c r="AO209" s="6"/>
      <c r="AP209" s="25"/>
      <c r="AQ209" s="15"/>
      <c r="AR209" s="16" t="s">
        <v>111</v>
      </c>
      <c r="AS209" s="16" t="s">
        <v>193</v>
      </c>
      <c r="AT209" s="6"/>
      <c r="AU209" s="6"/>
      <c r="AV209" s="6"/>
      <c r="AW209" s="6"/>
      <c r="AX209" s="12" t="str">
        <f t="shared" si="14"/>
        <v/>
      </c>
      <c r="AY209" s="12" t="str">
        <f t="shared" si="15"/>
        <v/>
      </c>
      <c r="AZ209" s="18"/>
      <c r="BA209" s="19"/>
      <c r="BB209" s="19"/>
      <c r="BC209" s="19"/>
      <c r="BD209" s="19"/>
      <c r="BE209" s="19"/>
      <c r="BF209" s="19"/>
      <c r="BG209" s="19"/>
      <c r="BH209" s="19"/>
      <c r="BI209" s="19"/>
      <c r="BJ209" s="19"/>
      <c r="BK209" s="19"/>
    </row>
    <row r="210" spans="1:63" ht="20.100000000000001" hidden="1" customHeight="1" x14ac:dyDescent="0.2">
      <c r="A210" s="13">
        <v>204</v>
      </c>
      <c r="B210" s="16" t="s">
        <v>3607</v>
      </c>
      <c r="C210" s="16" t="s">
        <v>935</v>
      </c>
      <c r="D210" s="6" t="s">
        <v>3616</v>
      </c>
      <c r="E210" s="6" t="s">
        <v>9</v>
      </c>
      <c r="F210" s="6" t="s">
        <v>4793</v>
      </c>
      <c r="G210" s="6"/>
      <c r="H210" s="15" t="s">
        <v>83</v>
      </c>
      <c r="I210" s="15"/>
      <c r="J210" s="15"/>
      <c r="K210" s="15"/>
      <c r="L210" s="15"/>
      <c r="M210" s="15"/>
      <c r="N210" s="15"/>
      <c r="O210" s="16" t="s">
        <v>84</v>
      </c>
      <c r="P210" s="6" t="s">
        <v>429</v>
      </c>
      <c r="Q210" s="6" t="s">
        <v>155</v>
      </c>
      <c r="R210" s="6" t="s">
        <v>3655</v>
      </c>
      <c r="S210" s="6" t="s">
        <v>262</v>
      </c>
      <c r="T210" s="15" t="s">
        <v>70</v>
      </c>
      <c r="U210" s="6" t="s">
        <v>429</v>
      </c>
      <c r="V210" s="6" t="s">
        <v>3679</v>
      </c>
      <c r="W210" s="6" t="s">
        <v>718</v>
      </c>
      <c r="X210" s="6" t="s">
        <v>3656</v>
      </c>
      <c r="Y210" s="6" t="s">
        <v>119</v>
      </c>
      <c r="Z210" s="6" t="s">
        <v>107</v>
      </c>
      <c r="AA210" s="15">
        <v>0</v>
      </c>
      <c r="AB210" s="15"/>
      <c r="AC210" s="15"/>
      <c r="AD210" s="15"/>
      <c r="AE210" s="16">
        <v>210</v>
      </c>
      <c r="AF210" s="16"/>
      <c r="AG210" s="16"/>
      <c r="AH210" s="16"/>
      <c r="AI210" s="16"/>
      <c r="AJ210" s="16"/>
      <c r="AK210" s="16"/>
      <c r="AL210" s="16"/>
      <c r="AM210" s="16"/>
      <c r="AN210" s="15"/>
      <c r="AO210" s="6"/>
      <c r="AP210" s="25"/>
      <c r="AQ210" s="15"/>
      <c r="AR210" s="16"/>
      <c r="AS210" s="16"/>
      <c r="AT210" s="6" t="s">
        <v>113</v>
      </c>
      <c r="AU210" s="6" t="s">
        <v>124</v>
      </c>
      <c r="AV210" s="6" t="s">
        <v>400</v>
      </c>
      <c r="AW210" s="6" t="s">
        <v>1247</v>
      </c>
      <c r="AX210" s="12">
        <f t="shared" si="14"/>
        <v>83</v>
      </c>
      <c r="AY210" s="12" t="str">
        <f t="shared" si="15"/>
        <v/>
      </c>
      <c r="AZ210" s="18"/>
      <c r="BA210" s="19"/>
      <c r="BB210" s="19"/>
      <c r="BC210" s="19"/>
      <c r="BD210" s="19"/>
      <c r="BE210" s="19"/>
      <c r="BF210" s="19"/>
      <c r="BG210" s="19"/>
      <c r="BH210" s="19"/>
      <c r="BI210" s="19"/>
      <c r="BJ210" s="19"/>
      <c r="BK210" s="19"/>
    </row>
    <row r="211" spans="1:63" s="21" customFormat="1" ht="20.100000000000001" hidden="1" customHeight="1" x14ac:dyDescent="0.2">
      <c r="A211" s="13">
        <v>205</v>
      </c>
      <c r="B211" s="29" t="s">
        <v>3607</v>
      </c>
      <c r="C211" s="29" t="s">
        <v>935</v>
      </c>
      <c r="D211" s="30" t="s">
        <v>364</v>
      </c>
      <c r="E211" s="30" t="s">
        <v>19</v>
      </c>
      <c r="F211" s="30" t="s">
        <v>174</v>
      </c>
      <c r="G211" s="30"/>
      <c r="H211" s="20" t="s">
        <v>83</v>
      </c>
      <c r="I211" s="15"/>
      <c r="J211" s="15"/>
      <c r="K211" s="15"/>
      <c r="L211" s="15"/>
      <c r="M211" s="15"/>
      <c r="N211" s="15"/>
      <c r="O211" s="29" t="s">
        <v>93</v>
      </c>
      <c r="P211" s="30"/>
      <c r="Q211" s="30" t="s">
        <v>140</v>
      </c>
      <c r="R211" s="30" t="s">
        <v>3544</v>
      </c>
      <c r="S211" s="30" t="s">
        <v>106</v>
      </c>
      <c r="T211" s="20" t="s">
        <v>107</v>
      </c>
      <c r="U211" s="30"/>
      <c r="V211" s="30" t="s">
        <v>3680</v>
      </c>
      <c r="W211" s="30" t="s">
        <v>485</v>
      </c>
      <c r="X211" s="30" t="s">
        <v>3545</v>
      </c>
      <c r="Y211" s="30" t="s">
        <v>73</v>
      </c>
      <c r="Z211" s="30" t="s">
        <v>70</v>
      </c>
      <c r="AA211" s="20" t="s">
        <v>3534</v>
      </c>
      <c r="AB211" s="20"/>
      <c r="AC211" s="20"/>
      <c r="AD211" s="20">
        <v>105</v>
      </c>
      <c r="AE211" s="29"/>
      <c r="AF211" s="29"/>
      <c r="AG211" s="29"/>
      <c r="AH211" s="29"/>
      <c r="AI211" s="29"/>
      <c r="AJ211" s="29"/>
      <c r="AK211" s="29"/>
      <c r="AL211" s="29"/>
      <c r="AM211" s="29"/>
      <c r="AN211" s="20"/>
      <c r="AO211" s="30"/>
      <c r="AP211" s="36"/>
      <c r="AQ211" s="20"/>
      <c r="AR211" s="29" t="s">
        <v>111</v>
      </c>
      <c r="AS211" s="29" t="s">
        <v>231</v>
      </c>
      <c r="AT211" s="30" t="s">
        <v>113</v>
      </c>
      <c r="AU211" s="30" t="s">
        <v>1247</v>
      </c>
      <c r="AV211" s="30" t="s">
        <v>113</v>
      </c>
      <c r="AW211" s="30" t="s">
        <v>124</v>
      </c>
      <c r="AX211" s="31">
        <f t="shared" si="14"/>
        <v>1</v>
      </c>
      <c r="AY211" s="31">
        <f t="shared" si="15"/>
        <v>1</v>
      </c>
      <c r="AZ211" s="32"/>
    </row>
    <row r="212" spans="1:63" ht="20.100000000000001" hidden="1" customHeight="1" x14ac:dyDescent="0.2">
      <c r="A212" s="13">
        <v>206</v>
      </c>
      <c r="B212" s="16" t="s">
        <v>3613</v>
      </c>
      <c r="C212" s="16" t="s">
        <v>935</v>
      </c>
      <c r="D212" s="6" t="s">
        <v>220</v>
      </c>
      <c r="E212" s="6" t="s">
        <v>6</v>
      </c>
      <c r="F212" s="6" t="s">
        <v>172</v>
      </c>
      <c r="G212" s="6"/>
      <c r="H212" s="15" t="s">
        <v>7</v>
      </c>
      <c r="I212" s="15"/>
      <c r="J212" s="15"/>
      <c r="K212" s="15"/>
      <c r="L212" s="15"/>
      <c r="M212" s="15"/>
      <c r="N212" s="15"/>
      <c r="O212" s="16" t="s">
        <v>93</v>
      </c>
      <c r="P212" s="6" t="s">
        <v>155</v>
      </c>
      <c r="Q212" s="6" t="s">
        <v>140</v>
      </c>
      <c r="R212" s="6" t="s">
        <v>3626</v>
      </c>
      <c r="S212" s="6" t="s">
        <v>142</v>
      </c>
      <c r="T212" s="15" t="s">
        <v>70</v>
      </c>
      <c r="U212" s="6" t="s">
        <v>167</v>
      </c>
      <c r="V212" s="6" t="s">
        <v>2961</v>
      </c>
      <c r="W212" s="6" t="s">
        <v>226</v>
      </c>
      <c r="X212" s="6" t="s">
        <v>3627</v>
      </c>
      <c r="Y212" s="6" t="s">
        <v>73</v>
      </c>
      <c r="Z212" s="6" t="s">
        <v>70</v>
      </c>
      <c r="AA212" s="15">
        <v>0</v>
      </c>
      <c r="AB212" s="15"/>
      <c r="AC212" s="15">
        <v>182</v>
      </c>
      <c r="AD212" s="15">
        <v>171</v>
      </c>
      <c r="AE212" s="16">
        <v>171</v>
      </c>
      <c r="AF212" s="16">
        <v>142</v>
      </c>
      <c r="AG212" s="16">
        <v>155</v>
      </c>
      <c r="AH212" s="16">
        <v>10</v>
      </c>
      <c r="AI212" s="16">
        <v>25</v>
      </c>
      <c r="AJ212" s="16">
        <v>190</v>
      </c>
      <c r="AK212" s="16">
        <v>10</v>
      </c>
      <c r="AL212" s="16"/>
      <c r="AM212" s="16"/>
      <c r="AN212" s="33" t="s">
        <v>158</v>
      </c>
      <c r="AO212" s="6"/>
      <c r="AP212" s="25"/>
      <c r="AQ212" s="15"/>
      <c r="AR212" s="16" t="s">
        <v>160</v>
      </c>
      <c r="AS212" s="16" t="s">
        <v>161</v>
      </c>
      <c r="AT212" s="6"/>
      <c r="AU212" s="6"/>
      <c r="AV212" s="6"/>
      <c r="AW212" s="6"/>
      <c r="AX212" s="12" t="str">
        <f t="shared" si="14"/>
        <v/>
      </c>
      <c r="AY212" s="12" t="str">
        <f t="shared" si="15"/>
        <v/>
      </c>
      <c r="AZ212" s="18"/>
      <c r="BA212" s="19"/>
      <c r="BB212" s="19"/>
      <c r="BC212" s="19"/>
      <c r="BD212" s="19"/>
      <c r="BE212" s="19"/>
      <c r="BF212" s="19"/>
      <c r="BG212" s="19"/>
      <c r="BH212" s="19"/>
      <c r="BI212" s="19"/>
      <c r="BJ212" s="19"/>
      <c r="BK212" s="19"/>
    </row>
    <row r="213" spans="1:63" ht="20.100000000000001" hidden="1" customHeight="1" x14ac:dyDescent="0.2">
      <c r="A213" s="13">
        <v>207</v>
      </c>
      <c r="B213" s="16" t="s">
        <v>3613</v>
      </c>
      <c r="C213" s="16" t="s">
        <v>935</v>
      </c>
      <c r="D213" s="6" t="s">
        <v>1207</v>
      </c>
      <c r="E213" s="6" t="s">
        <v>8</v>
      </c>
      <c r="F213" s="6"/>
      <c r="G213" s="6"/>
      <c r="H213" s="15" t="s">
        <v>7</v>
      </c>
      <c r="I213" s="15"/>
      <c r="J213" s="15"/>
      <c r="K213" s="15"/>
      <c r="L213" s="15"/>
      <c r="M213" s="15"/>
      <c r="N213" s="15"/>
      <c r="O213" s="16" t="s">
        <v>84</v>
      </c>
      <c r="P213" s="6" t="s">
        <v>104</v>
      </c>
      <c r="Q213" s="6" t="s">
        <v>104</v>
      </c>
      <c r="R213" s="6" t="s">
        <v>127</v>
      </c>
      <c r="S213" s="6" t="s">
        <v>142</v>
      </c>
      <c r="T213" s="15" t="s">
        <v>70</v>
      </c>
      <c r="U213" s="6" t="s">
        <v>361</v>
      </c>
      <c r="V213" s="6" t="s">
        <v>3677</v>
      </c>
      <c r="W213" s="6" t="s">
        <v>555</v>
      </c>
      <c r="X213" s="6" t="s">
        <v>3629</v>
      </c>
      <c r="Y213" s="6" t="s">
        <v>106</v>
      </c>
      <c r="Z213" s="6" t="s">
        <v>107</v>
      </c>
      <c r="AA213" s="15">
        <v>0</v>
      </c>
      <c r="AB213" s="15"/>
      <c r="AC213" s="15">
        <v>183</v>
      </c>
      <c r="AD213" s="15">
        <v>156</v>
      </c>
      <c r="AE213" s="16">
        <v>156</v>
      </c>
      <c r="AF213" s="16">
        <v>60</v>
      </c>
      <c r="AG213" s="16">
        <v>98</v>
      </c>
      <c r="AH213" s="16">
        <v>9</v>
      </c>
      <c r="AI213" s="16">
        <v>65</v>
      </c>
      <c r="AJ213" s="16">
        <v>172</v>
      </c>
      <c r="AK213" s="16">
        <v>21</v>
      </c>
      <c r="AL213" s="16"/>
      <c r="AM213" s="16"/>
      <c r="AN213" s="15"/>
      <c r="AO213" s="6"/>
      <c r="AP213" s="25"/>
      <c r="AQ213" s="15"/>
      <c r="AR213" s="16" t="s">
        <v>111</v>
      </c>
      <c r="AS213" s="16" t="s">
        <v>161</v>
      </c>
      <c r="AT213" s="6"/>
      <c r="AU213" s="6"/>
      <c r="AV213" s="6"/>
      <c r="AW213" s="6"/>
      <c r="AX213" s="12" t="str">
        <f t="shared" si="14"/>
        <v/>
      </c>
      <c r="AY213" s="12" t="str">
        <f t="shared" si="15"/>
        <v/>
      </c>
      <c r="AZ213" s="18"/>
      <c r="BA213" s="19"/>
      <c r="BB213" s="19"/>
      <c r="BC213" s="19"/>
      <c r="BD213" s="19"/>
      <c r="BE213" s="19"/>
      <c r="BF213" s="19"/>
      <c r="BG213" s="19"/>
      <c r="BH213" s="19"/>
      <c r="BI213" s="19"/>
      <c r="BJ213" s="19"/>
      <c r="BK213" s="19"/>
    </row>
    <row r="214" spans="1:63" ht="20.100000000000001" hidden="1" customHeight="1" x14ac:dyDescent="0.2">
      <c r="A214" s="13">
        <v>208</v>
      </c>
      <c r="B214" s="16" t="s">
        <v>3613</v>
      </c>
      <c r="C214" s="16" t="s">
        <v>935</v>
      </c>
      <c r="D214" s="6" t="s">
        <v>3657</v>
      </c>
      <c r="E214" s="6" t="s">
        <v>20</v>
      </c>
      <c r="F214" s="249" t="s">
        <v>94</v>
      </c>
      <c r="G214" s="6"/>
      <c r="H214" s="15" t="s">
        <v>83</v>
      </c>
      <c r="I214" s="15"/>
      <c r="J214" s="15"/>
      <c r="K214" s="15"/>
      <c r="L214" s="15"/>
      <c r="M214" s="15"/>
      <c r="N214" s="15"/>
      <c r="O214" s="16" t="s">
        <v>92</v>
      </c>
      <c r="P214" s="6"/>
      <c r="Q214" s="6" t="s">
        <v>104</v>
      </c>
      <c r="R214" s="6" t="s">
        <v>3441</v>
      </c>
      <c r="S214" s="6" t="s">
        <v>142</v>
      </c>
      <c r="T214" s="15" t="s">
        <v>70</v>
      </c>
      <c r="U214" s="6"/>
      <c r="V214" s="6" t="s">
        <v>3679</v>
      </c>
      <c r="W214" s="6" t="s">
        <v>555</v>
      </c>
      <c r="X214" s="6" t="s">
        <v>3658</v>
      </c>
      <c r="Y214" s="6" t="s">
        <v>142</v>
      </c>
      <c r="Z214" s="6" t="s">
        <v>70</v>
      </c>
      <c r="AA214" s="15" t="s">
        <v>3659</v>
      </c>
      <c r="AB214" s="15"/>
      <c r="AC214" s="15"/>
      <c r="AD214" s="15">
        <v>213</v>
      </c>
      <c r="AE214" s="16"/>
      <c r="AF214" s="16"/>
      <c r="AG214" s="16"/>
      <c r="AH214" s="16"/>
      <c r="AI214" s="16"/>
      <c r="AJ214" s="16"/>
      <c r="AK214" s="16"/>
      <c r="AL214" s="16"/>
      <c r="AM214" s="16"/>
      <c r="AN214" s="15"/>
      <c r="AO214" s="6"/>
      <c r="AP214" s="25"/>
      <c r="AQ214" s="15"/>
      <c r="AR214" s="16"/>
      <c r="AS214" s="16"/>
      <c r="AT214" s="6" t="s">
        <v>113</v>
      </c>
      <c r="AU214" s="6" t="s">
        <v>1247</v>
      </c>
      <c r="AV214" s="6" t="s">
        <v>547</v>
      </c>
      <c r="AW214" s="6" t="s">
        <v>260</v>
      </c>
      <c r="AX214" s="12">
        <f t="shared" si="14"/>
        <v>65</v>
      </c>
      <c r="AY214" s="12" t="str">
        <f t="shared" si="15"/>
        <v/>
      </c>
      <c r="AZ214" s="18"/>
      <c r="BA214" s="19"/>
      <c r="BB214" s="19"/>
      <c r="BC214" s="19"/>
      <c r="BD214" s="19"/>
      <c r="BE214" s="19"/>
      <c r="BF214" s="19"/>
      <c r="BG214" s="19"/>
      <c r="BH214" s="19"/>
      <c r="BI214" s="19"/>
      <c r="BJ214" s="19"/>
      <c r="BK214" s="19"/>
    </row>
    <row r="215" spans="1:63" ht="20.100000000000001" hidden="1" customHeight="1" x14ac:dyDescent="0.2">
      <c r="A215" s="13">
        <v>209</v>
      </c>
      <c r="B215" s="16" t="s">
        <v>3614</v>
      </c>
      <c r="C215" s="16" t="s">
        <v>935</v>
      </c>
      <c r="D215" s="6" t="s">
        <v>364</v>
      </c>
      <c r="E215" s="6" t="s">
        <v>19</v>
      </c>
      <c r="F215" s="6"/>
      <c r="G215" s="6"/>
      <c r="H215" s="15" t="s">
        <v>7</v>
      </c>
      <c r="I215" s="15"/>
      <c r="J215" s="15"/>
      <c r="K215" s="15"/>
      <c r="L215" s="15"/>
      <c r="M215" s="15"/>
      <c r="N215" s="15"/>
      <c r="O215" s="16" t="s">
        <v>93</v>
      </c>
      <c r="P215" s="6" t="s">
        <v>140</v>
      </c>
      <c r="Q215" s="6" t="s">
        <v>140</v>
      </c>
      <c r="R215" s="6" t="s">
        <v>1436</v>
      </c>
      <c r="S215" s="6" t="s">
        <v>106</v>
      </c>
      <c r="T215" s="15" t="s">
        <v>107</v>
      </c>
      <c r="U215" s="35" t="s">
        <v>3537</v>
      </c>
      <c r="V215" s="35" t="s">
        <v>1510</v>
      </c>
      <c r="W215" s="35" t="s">
        <v>441</v>
      </c>
      <c r="X215" s="6" t="s">
        <v>3628</v>
      </c>
      <c r="Y215" s="6" t="s">
        <v>73</v>
      </c>
      <c r="Z215" s="6" t="s">
        <v>70</v>
      </c>
      <c r="AA215" s="15">
        <v>0</v>
      </c>
      <c r="AB215" s="15"/>
      <c r="AC215" s="15">
        <v>127</v>
      </c>
      <c r="AD215" s="15">
        <v>105</v>
      </c>
      <c r="AE215" s="16">
        <v>105</v>
      </c>
      <c r="AF215" s="16">
        <v>42</v>
      </c>
      <c r="AG215" s="16">
        <v>85</v>
      </c>
      <c r="AH215" s="16">
        <v>20</v>
      </c>
      <c r="AI215" s="16">
        <v>17</v>
      </c>
      <c r="AJ215" s="16">
        <v>122</v>
      </c>
      <c r="AK215" s="16">
        <v>16</v>
      </c>
      <c r="AL215" s="16"/>
      <c r="AM215" s="16"/>
      <c r="AN215" s="33" t="s">
        <v>158</v>
      </c>
      <c r="AO215" s="6"/>
      <c r="AP215" s="25"/>
      <c r="AQ215" s="15"/>
      <c r="AR215" s="16" t="s">
        <v>111</v>
      </c>
      <c r="AS215" s="16" t="s">
        <v>231</v>
      </c>
      <c r="AT215" s="6"/>
      <c r="AU215" s="6"/>
      <c r="AV215" s="6"/>
      <c r="AW215" s="6"/>
      <c r="AX215" s="12" t="str">
        <f t="shared" si="14"/>
        <v/>
      </c>
      <c r="AY215" s="12" t="str">
        <f t="shared" si="15"/>
        <v/>
      </c>
      <c r="AZ215" s="18"/>
      <c r="BA215" s="19"/>
      <c r="BB215" s="19"/>
      <c r="BC215" s="19"/>
      <c r="BD215" s="19"/>
      <c r="BE215" s="19"/>
      <c r="BF215" s="19"/>
      <c r="BG215" s="19"/>
      <c r="BH215" s="19"/>
      <c r="BI215" s="19"/>
      <c r="BJ215" s="19"/>
      <c r="BK215" s="19"/>
    </row>
    <row r="216" spans="1:63" ht="20.100000000000001" hidden="1" customHeight="1" x14ac:dyDescent="0.2">
      <c r="A216" s="13">
        <v>210</v>
      </c>
      <c r="B216" s="16" t="s">
        <v>3615</v>
      </c>
      <c r="C216" s="16" t="s">
        <v>935</v>
      </c>
      <c r="D216" s="6" t="s">
        <v>3617</v>
      </c>
      <c r="E216" s="6" t="s">
        <v>66</v>
      </c>
      <c r="F216" s="6"/>
      <c r="G216" s="6"/>
      <c r="H216" s="15" t="s">
        <v>222</v>
      </c>
      <c r="I216" s="15"/>
      <c r="J216" s="15"/>
      <c r="K216" s="15"/>
      <c r="L216" s="15"/>
      <c r="M216" s="15"/>
      <c r="N216" s="15"/>
      <c r="O216" s="16" t="s">
        <v>93</v>
      </c>
      <c r="P216" s="6"/>
      <c r="Q216" s="6"/>
      <c r="R216" s="6"/>
      <c r="S216" s="6"/>
      <c r="T216" s="15"/>
      <c r="U216" s="6"/>
      <c r="V216" s="6"/>
      <c r="W216" s="6"/>
      <c r="X216" s="6"/>
      <c r="Y216" s="6"/>
      <c r="Z216" s="6"/>
      <c r="AA216" s="15"/>
      <c r="AB216" s="15"/>
      <c r="AC216" s="15"/>
      <c r="AD216" s="15"/>
      <c r="AE216" s="16"/>
      <c r="AF216" s="16"/>
      <c r="AG216" s="16"/>
      <c r="AH216" s="16"/>
      <c r="AI216" s="16"/>
      <c r="AJ216" s="16"/>
      <c r="AK216" s="16"/>
      <c r="AL216" s="16"/>
      <c r="AM216" s="16"/>
      <c r="AN216" s="15"/>
      <c r="AO216" s="6"/>
      <c r="AP216" s="25"/>
      <c r="AQ216" s="15"/>
      <c r="AR216" s="16"/>
      <c r="AS216" s="16"/>
      <c r="AT216" s="6"/>
      <c r="AU216" s="6"/>
      <c r="AV216" s="6"/>
      <c r="AW216" s="6"/>
      <c r="AX216" s="12" t="str">
        <f t="shared" si="14"/>
        <v/>
      </c>
      <c r="AY216" s="12" t="str">
        <f t="shared" si="15"/>
        <v/>
      </c>
      <c r="AZ216" s="18"/>
      <c r="BA216" s="19"/>
      <c r="BB216" s="19"/>
      <c r="BC216" s="19"/>
      <c r="BD216" s="19"/>
      <c r="BE216" s="19"/>
      <c r="BF216" s="19"/>
      <c r="BG216" s="19"/>
      <c r="BH216" s="19"/>
      <c r="BI216" s="19"/>
      <c r="BJ216" s="19"/>
      <c r="BK216" s="19"/>
    </row>
    <row r="217" spans="1:63" ht="20.100000000000001" hidden="1" customHeight="1" x14ac:dyDescent="0.2">
      <c r="A217" s="13">
        <v>211</v>
      </c>
      <c r="B217" s="16" t="s">
        <v>3615</v>
      </c>
      <c r="C217" s="16" t="s">
        <v>935</v>
      </c>
      <c r="D217" s="6" t="s">
        <v>3618</v>
      </c>
      <c r="E217" s="6" t="s">
        <v>66</v>
      </c>
      <c r="F217" s="6" t="s">
        <v>3661</v>
      </c>
      <c r="G217" s="6"/>
      <c r="H217" s="15" t="s">
        <v>83</v>
      </c>
      <c r="I217" s="15"/>
      <c r="J217" s="15"/>
      <c r="K217" s="15"/>
      <c r="L217" s="15"/>
      <c r="M217" s="15"/>
      <c r="N217" s="15"/>
      <c r="O217" s="16" t="s">
        <v>814</v>
      </c>
      <c r="P217" s="6"/>
      <c r="Q217" s="6" t="s">
        <v>226</v>
      </c>
      <c r="R217" s="6" t="s">
        <v>929</v>
      </c>
      <c r="S217" s="6" t="s">
        <v>106</v>
      </c>
      <c r="T217" s="15" t="s">
        <v>107</v>
      </c>
      <c r="U217" s="6"/>
      <c r="V217" s="6" t="s">
        <v>1809</v>
      </c>
      <c r="W217" s="6" t="s">
        <v>441</v>
      </c>
      <c r="X217" s="6" t="s">
        <v>929</v>
      </c>
      <c r="Y217" s="6" t="s">
        <v>69</v>
      </c>
      <c r="Z217" s="6" t="s">
        <v>70</v>
      </c>
      <c r="AA217" s="15" t="s">
        <v>3660</v>
      </c>
      <c r="AB217" s="15"/>
      <c r="AC217" s="15"/>
      <c r="AD217" s="15">
        <v>135</v>
      </c>
      <c r="AE217" s="16"/>
      <c r="AF217" s="16"/>
      <c r="AG217" s="16"/>
      <c r="AH217" s="16"/>
      <c r="AI217" s="16"/>
      <c r="AJ217" s="16"/>
      <c r="AK217" s="16"/>
      <c r="AL217" s="16"/>
      <c r="AM217" s="16"/>
      <c r="AN217" s="15"/>
      <c r="AO217" s="6"/>
      <c r="AP217" s="25"/>
      <c r="AQ217" s="15"/>
      <c r="AR217" s="16"/>
      <c r="AS217" s="16"/>
      <c r="AT217" s="6" t="s">
        <v>113</v>
      </c>
      <c r="AU217" s="6" t="s">
        <v>1247</v>
      </c>
      <c r="AV217" s="6" t="s">
        <v>115</v>
      </c>
      <c r="AW217" s="6" t="s">
        <v>124</v>
      </c>
      <c r="AX217" s="12">
        <f t="shared" si="14"/>
        <v>13</v>
      </c>
      <c r="AY217" s="12" t="str">
        <f t="shared" si="15"/>
        <v/>
      </c>
      <c r="AZ217" s="18"/>
      <c r="BA217" s="19"/>
      <c r="BB217" s="19"/>
      <c r="BC217" s="19"/>
      <c r="BD217" s="19"/>
      <c r="BE217" s="19"/>
      <c r="BF217" s="19"/>
      <c r="BG217" s="19"/>
      <c r="BH217" s="19"/>
      <c r="BI217" s="19"/>
      <c r="BJ217" s="19"/>
      <c r="BK217" s="19"/>
    </row>
    <row r="218" spans="1:63" ht="20.100000000000001" hidden="1" customHeight="1" x14ac:dyDescent="0.2">
      <c r="A218" s="13">
        <v>212</v>
      </c>
      <c r="B218" s="16" t="s">
        <v>3615</v>
      </c>
      <c r="C218" s="16" t="s">
        <v>935</v>
      </c>
      <c r="D218" s="6" t="s">
        <v>3618</v>
      </c>
      <c r="E218" s="6" t="s">
        <v>66</v>
      </c>
      <c r="F218" s="6"/>
      <c r="G218" s="6"/>
      <c r="H218" s="15" t="s">
        <v>7</v>
      </c>
      <c r="I218" s="15"/>
      <c r="J218" s="15"/>
      <c r="K218" s="15"/>
      <c r="L218" s="15"/>
      <c r="M218" s="15"/>
      <c r="N218" s="15"/>
      <c r="O218" s="16" t="s">
        <v>814</v>
      </c>
      <c r="P218" s="35" t="s">
        <v>226</v>
      </c>
      <c r="Q218" s="35" t="s">
        <v>140</v>
      </c>
      <c r="R218" s="6"/>
      <c r="S218" s="6" t="s">
        <v>69</v>
      </c>
      <c r="T218" s="15" t="s">
        <v>70</v>
      </c>
      <c r="U218" s="35" t="s">
        <v>425</v>
      </c>
      <c r="V218" s="35" t="s">
        <v>2245</v>
      </c>
      <c r="W218" s="35" t="s">
        <v>116</v>
      </c>
      <c r="X218" s="6"/>
      <c r="Y218" s="6" t="s">
        <v>69</v>
      </c>
      <c r="Z218" s="6" t="s">
        <v>70</v>
      </c>
      <c r="AA218" s="15">
        <v>0</v>
      </c>
      <c r="AB218" s="15"/>
      <c r="AC218" s="15">
        <v>152</v>
      </c>
      <c r="AD218" s="15">
        <v>137</v>
      </c>
      <c r="AE218" s="16">
        <v>137</v>
      </c>
      <c r="AF218" s="16">
        <v>20</v>
      </c>
      <c r="AG218" s="16">
        <v>35</v>
      </c>
      <c r="AH218" s="16">
        <v>13</v>
      </c>
      <c r="AI218" s="16">
        <v>120</v>
      </c>
      <c r="AJ218" s="16">
        <v>168</v>
      </c>
      <c r="AK218" s="16">
        <v>15</v>
      </c>
      <c r="AL218" s="16"/>
      <c r="AM218" s="16"/>
      <c r="AN218" s="33" t="s">
        <v>158</v>
      </c>
      <c r="AO218" s="6"/>
      <c r="AP218" s="25"/>
      <c r="AQ218" s="15"/>
      <c r="AR218" s="16" t="s">
        <v>111</v>
      </c>
      <c r="AS218" s="16" t="s">
        <v>231</v>
      </c>
      <c r="AT218" s="6"/>
      <c r="AU218" s="6"/>
      <c r="AV218" s="6"/>
      <c r="AW218" s="6"/>
      <c r="AX218" s="12" t="str">
        <f t="shared" si="14"/>
        <v/>
      </c>
      <c r="AY218" s="12" t="str">
        <f t="shared" si="15"/>
        <v/>
      </c>
      <c r="AZ218" s="18"/>
      <c r="BA218" s="19"/>
      <c r="BB218" s="19"/>
      <c r="BC218" s="19"/>
      <c r="BD218" s="19"/>
      <c r="BE218" s="19"/>
      <c r="BF218" s="19"/>
      <c r="BG218" s="19"/>
      <c r="BH218" s="19"/>
      <c r="BI218" s="19"/>
      <c r="BJ218" s="19"/>
      <c r="BK218" s="19"/>
    </row>
    <row r="219" spans="1:63" ht="20.100000000000001" hidden="1" customHeight="1" x14ac:dyDescent="0.2">
      <c r="A219" s="13">
        <v>213</v>
      </c>
      <c r="B219" s="16" t="s">
        <v>3615</v>
      </c>
      <c r="C219" s="16" t="s">
        <v>935</v>
      </c>
      <c r="D219" s="6" t="s">
        <v>3619</v>
      </c>
      <c r="E219" s="6" t="s">
        <v>243</v>
      </c>
      <c r="F219" s="6" t="s">
        <v>185</v>
      </c>
      <c r="G219" s="6"/>
      <c r="H219" s="15" t="s">
        <v>83</v>
      </c>
      <c r="I219" s="15"/>
      <c r="J219" s="15"/>
      <c r="K219" s="15"/>
      <c r="L219" s="15"/>
      <c r="M219" s="15"/>
      <c r="N219" s="15"/>
      <c r="O219" s="16" t="s">
        <v>84</v>
      </c>
      <c r="P219" s="6"/>
      <c r="Q219" s="6" t="s">
        <v>141</v>
      </c>
      <c r="R219" s="6" t="s">
        <v>3662</v>
      </c>
      <c r="S219" s="6" t="s">
        <v>206</v>
      </c>
      <c r="T219" s="15" t="s">
        <v>107</v>
      </c>
      <c r="U219" s="6"/>
      <c r="V219" s="6" t="s">
        <v>3677</v>
      </c>
      <c r="W219" s="6" t="s">
        <v>458</v>
      </c>
      <c r="X219" s="6" t="s">
        <v>3663</v>
      </c>
      <c r="Y219" s="6" t="s">
        <v>206</v>
      </c>
      <c r="Z219" s="6" t="s">
        <v>107</v>
      </c>
      <c r="AA219" s="15" t="s">
        <v>3664</v>
      </c>
      <c r="AB219" s="15"/>
      <c r="AC219" s="15"/>
      <c r="AD219" s="15">
        <v>84</v>
      </c>
      <c r="AE219" s="16"/>
      <c r="AF219" s="16"/>
      <c r="AG219" s="16"/>
      <c r="AH219" s="16"/>
      <c r="AI219" s="16"/>
      <c r="AJ219" s="16"/>
      <c r="AK219" s="16"/>
      <c r="AL219" s="16"/>
      <c r="AM219" s="16"/>
      <c r="AN219" s="15"/>
      <c r="AO219" s="6"/>
      <c r="AP219" s="25"/>
      <c r="AQ219" s="15"/>
      <c r="AR219" s="16"/>
      <c r="AS219" s="16"/>
      <c r="AT219" s="6" t="s">
        <v>113</v>
      </c>
      <c r="AU219" s="6" t="s">
        <v>1247</v>
      </c>
      <c r="AV219" s="6" t="s">
        <v>348</v>
      </c>
      <c r="AW219" s="6" t="s">
        <v>1247</v>
      </c>
      <c r="AX219" s="12">
        <f t="shared" si="14"/>
        <v>48</v>
      </c>
      <c r="AY219" s="12" t="str">
        <f t="shared" si="15"/>
        <v/>
      </c>
      <c r="AZ219" s="18"/>
      <c r="BA219" s="19"/>
      <c r="BB219" s="19"/>
      <c r="BC219" s="19"/>
      <c r="BD219" s="19"/>
      <c r="BE219" s="19"/>
      <c r="BF219" s="19"/>
      <c r="BG219" s="19"/>
      <c r="BH219" s="19"/>
      <c r="BI219" s="19"/>
      <c r="BJ219" s="19"/>
      <c r="BK219" s="19"/>
    </row>
    <row r="220" spans="1:63" ht="20.100000000000001" hidden="1" customHeight="1" x14ac:dyDescent="0.2">
      <c r="A220" s="13">
        <v>214</v>
      </c>
      <c r="B220" s="16" t="s">
        <v>3642</v>
      </c>
      <c r="C220" s="16" t="s">
        <v>935</v>
      </c>
      <c r="D220" s="6" t="s">
        <v>3645</v>
      </c>
      <c r="E220" s="6"/>
      <c r="F220" s="6" t="s">
        <v>192</v>
      </c>
      <c r="G220" s="6"/>
      <c r="H220" s="15" t="s">
        <v>7</v>
      </c>
      <c r="I220" s="15"/>
      <c r="J220" s="15"/>
      <c r="K220" s="15"/>
      <c r="L220" s="15"/>
      <c r="M220" s="15"/>
      <c r="N220" s="15"/>
      <c r="O220" s="16" t="s">
        <v>3576</v>
      </c>
      <c r="P220" s="6" t="s">
        <v>429</v>
      </c>
      <c r="Q220" s="6" t="s">
        <v>141</v>
      </c>
      <c r="R220" s="6" t="s">
        <v>4459</v>
      </c>
      <c r="S220" s="6" t="s">
        <v>106</v>
      </c>
      <c r="T220" s="15" t="s">
        <v>107</v>
      </c>
      <c r="U220" s="6" t="s">
        <v>429</v>
      </c>
      <c r="V220" s="6" t="s">
        <v>2961</v>
      </c>
      <c r="W220" s="6" t="s">
        <v>2258</v>
      </c>
      <c r="X220" s="6" t="s">
        <v>4460</v>
      </c>
      <c r="Y220" s="6" t="s">
        <v>106</v>
      </c>
      <c r="Z220" s="6" t="s">
        <v>107</v>
      </c>
      <c r="AA220" s="15">
        <v>0</v>
      </c>
      <c r="AB220" s="15"/>
      <c r="AC220" s="15">
        <v>235</v>
      </c>
      <c r="AD220" s="15">
        <v>0</v>
      </c>
      <c r="AE220" s="16">
        <v>219</v>
      </c>
      <c r="AF220" s="16">
        <v>111</v>
      </c>
      <c r="AG220" s="16">
        <v>145</v>
      </c>
      <c r="AH220" s="16">
        <v>15</v>
      </c>
      <c r="AI220" s="16">
        <v>5</v>
      </c>
      <c r="AJ220" s="16">
        <v>165</v>
      </c>
      <c r="AK220" s="16">
        <v>9</v>
      </c>
      <c r="AL220" s="16"/>
      <c r="AM220" s="16"/>
      <c r="AN220" s="15"/>
      <c r="AO220" s="6"/>
      <c r="AP220" s="25"/>
      <c r="AQ220" s="15"/>
      <c r="AR220" s="16" t="s">
        <v>111</v>
      </c>
      <c r="AS220" s="16" t="s">
        <v>112</v>
      </c>
      <c r="AT220" s="6"/>
      <c r="AU220" s="6"/>
      <c r="AV220" s="6"/>
      <c r="AW220" s="6"/>
      <c r="AX220" s="12" t="str">
        <f t="shared" si="14"/>
        <v/>
      </c>
      <c r="AY220" s="12" t="str">
        <f t="shared" si="15"/>
        <v/>
      </c>
      <c r="AZ220" s="18"/>
      <c r="BA220" s="19"/>
      <c r="BB220" s="19"/>
      <c r="BC220" s="19"/>
      <c r="BD220" s="19"/>
      <c r="BE220" s="19"/>
      <c r="BF220" s="19"/>
      <c r="BG220" s="19"/>
      <c r="BH220" s="19"/>
      <c r="BI220" s="19"/>
      <c r="BJ220" s="19"/>
      <c r="BK220" s="19"/>
    </row>
    <row r="221" spans="1:63" s="21" customFormat="1" ht="20.100000000000001" hidden="1" customHeight="1" x14ac:dyDescent="0.2">
      <c r="A221" s="13">
        <v>215</v>
      </c>
      <c r="B221" s="29" t="s">
        <v>3642</v>
      </c>
      <c r="C221" s="29" t="s">
        <v>935</v>
      </c>
      <c r="D221" s="30" t="s">
        <v>30</v>
      </c>
      <c r="E221" s="30" t="s">
        <v>19</v>
      </c>
      <c r="F221" s="30" t="s">
        <v>186</v>
      </c>
      <c r="G221" s="30"/>
      <c r="H221" s="20" t="s">
        <v>83</v>
      </c>
      <c r="I221" s="15"/>
      <c r="J221" s="15"/>
      <c r="K221" s="15"/>
      <c r="L221" s="15"/>
      <c r="M221" s="15"/>
      <c r="N221" s="15"/>
      <c r="O221" s="29" t="s">
        <v>84</v>
      </c>
      <c r="P221" s="30"/>
      <c r="Q221" s="30" t="s">
        <v>223</v>
      </c>
      <c r="R221" s="30" t="s">
        <v>3587</v>
      </c>
      <c r="S221" s="30" t="s">
        <v>69</v>
      </c>
      <c r="T221" s="20" t="s">
        <v>70</v>
      </c>
      <c r="U221" s="30"/>
      <c r="V221" s="30" t="s">
        <v>1809</v>
      </c>
      <c r="W221" s="30" t="s">
        <v>260</v>
      </c>
      <c r="X221" s="30" t="s">
        <v>3588</v>
      </c>
      <c r="Y221" s="30" t="s">
        <v>106</v>
      </c>
      <c r="Z221" s="30" t="s">
        <v>107</v>
      </c>
      <c r="AA221" s="20" t="s">
        <v>3571</v>
      </c>
      <c r="AB221" s="20"/>
      <c r="AC221" s="20"/>
      <c r="AD221" s="20">
        <v>147</v>
      </c>
      <c r="AE221" s="29"/>
      <c r="AF221" s="29"/>
      <c r="AG221" s="29"/>
      <c r="AH221" s="29"/>
      <c r="AI221" s="29"/>
      <c r="AJ221" s="29"/>
      <c r="AK221" s="29"/>
      <c r="AL221" s="29"/>
      <c r="AM221" s="29"/>
      <c r="AN221" s="20"/>
      <c r="AO221" s="30"/>
      <c r="AP221" s="36"/>
      <c r="AQ221" s="20"/>
      <c r="AR221" s="29"/>
      <c r="AS221" s="29"/>
      <c r="AT221" s="30" t="s">
        <v>113</v>
      </c>
      <c r="AU221" s="30" t="s">
        <v>1247</v>
      </c>
      <c r="AV221" s="30" t="s">
        <v>113</v>
      </c>
      <c r="AW221" s="30" t="s">
        <v>124</v>
      </c>
      <c r="AX221" s="31">
        <f t="shared" si="14"/>
        <v>1</v>
      </c>
      <c r="AY221" s="31">
        <f t="shared" si="15"/>
        <v>1</v>
      </c>
      <c r="AZ221" s="32"/>
    </row>
    <row r="222" spans="1:63" ht="20.100000000000001" hidden="1" customHeight="1" x14ac:dyDescent="0.2">
      <c r="A222" s="13">
        <v>216</v>
      </c>
      <c r="B222" s="16" t="s">
        <v>3643</v>
      </c>
      <c r="C222" s="16" t="s">
        <v>935</v>
      </c>
      <c r="D222" s="6" t="s">
        <v>3646</v>
      </c>
      <c r="E222" s="6" t="s">
        <v>6</v>
      </c>
      <c r="F222" s="6" t="s">
        <v>192</v>
      </c>
      <c r="G222" s="6"/>
      <c r="H222" s="15" t="s">
        <v>7</v>
      </c>
      <c r="I222" s="15"/>
      <c r="J222" s="15"/>
      <c r="K222" s="15"/>
      <c r="L222" s="15"/>
      <c r="M222" s="15"/>
      <c r="N222" s="15"/>
      <c r="O222" s="16" t="s">
        <v>3576</v>
      </c>
      <c r="P222" s="6" t="s">
        <v>429</v>
      </c>
      <c r="Q222" s="6" t="s">
        <v>155</v>
      </c>
      <c r="R222" s="6" t="s">
        <v>1457</v>
      </c>
      <c r="S222" s="6" t="s">
        <v>106</v>
      </c>
      <c r="T222" s="15" t="s">
        <v>107</v>
      </c>
      <c r="U222" s="6" t="s">
        <v>429</v>
      </c>
      <c r="V222" s="6" t="s">
        <v>3679</v>
      </c>
      <c r="W222" s="6" t="s">
        <v>718</v>
      </c>
      <c r="X222" s="6" t="s">
        <v>4094</v>
      </c>
      <c r="Y222" s="6" t="s">
        <v>106</v>
      </c>
      <c r="Z222" s="6" t="s">
        <v>107</v>
      </c>
      <c r="AA222" s="15">
        <v>0</v>
      </c>
      <c r="AB222" s="15"/>
      <c r="AC222" s="15">
        <v>247</v>
      </c>
      <c r="AD222" s="15">
        <v>0</v>
      </c>
      <c r="AE222" s="16">
        <v>231</v>
      </c>
      <c r="AF222" s="16">
        <v>100</v>
      </c>
      <c r="AG222" s="16">
        <v>112</v>
      </c>
      <c r="AH222" s="16">
        <v>10</v>
      </c>
      <c r="AI222" s="16">
        <v>48</v>
      </c>
      <c r="AJ222" s="16">
        <v>170</v>
      </c>
      <c r="AK222" s="16">
        <v>23</v>
      </c>
      <c r="AL222" s="16">
        <v>6</v>
      </c>
      <c r="AM222" s="16"/>
      <c r="AN222" s="15"/>
      <c r="AO222" s="6"/>
      <c r="AP222" s="25"/>
      <c r="AQ222" s="15"/>
      <c r="AR222" s="16" t="s">
        <v>160</v>
      </c>
      <c r="AS222" s="16" t="s">
        <v>165</v>
      </c>
      <c r="AT222" s="6"/>
      <c r="AU222" s="6"/>
      <c r="AV222" s="6"/>
      <c r="AW222" s="6"/>
      <c r="AX222" s="12" t="str">
        <f t="shared" si="14"/>
        <v/>
      </c>
      <c r="AY222" s="12" t="str">
        <f t="shared" si="15"/>
        <v/>
      </c>
      <c r="AZ222" s="18"/>
      <c r="BA222" s="19"/>
      <c r="BB222" s="19"/>
      <c r="BC222" s="19"/>
      <c r="BD222" s="19"/>
      <c r="BE222" s="19"/>
      <c r="BF222" s="19"/>
      <c r="BG222" s="19"/>
      <c r="BH222" s="19"/>
      <c r="BI222" s="19"/>
      <c r="BJ222" s="19"/>
      <c r="BK222" s="19"/>
    </row>
    <row r="223" spans="1:63" s="21" customFormat="1" ht="20.100000000000001" hidden="1" customHeight="1" x14ac:dyDescent="0.2">
      <c r="A223" s="13">
        <v>217</v>
      </c>
      <c r="B223" s="29" t="s">
        <v>3643</v>
      </c>
      <c r="C223" s="29" t="s">
        <v>935</v>
      </c>
      <c r="D223" s="30" t="s">
        <v>283</v>
      </c>
      <c r="E223" s="30" t="s">
        <v>19</v>
      </c>
      <c r="F223" s="30" t="s">
        <v>922</v>
      </c>
      <c r="G223" s="30"/>
      <c r="H223" s="20" t="s">
        <v>83</v>
      </c>
      <c r="I223" s="15"/>
      <c r="J223" s="15"/>
      <c r="K223" s="15"/>
      <c r="L223" s="15"/>
      <c r="M223" s="15"/>
      <c r="N223" s="15"/>
      <c r="O223" s="29" t="s">
        <v>84</v>
      </c>
      <c r="P223" s="30"/>
      <c r="Q223" s="30" t="s">
        <v>104</v>
      </c>
      <c r="R223" s="30" t="s">
        <v>3283</v>
      </c>
      <c r="S223" s="30" t="s">
        <v>106</v>
      </c>
      <c r="T223" s="20" t="s">
        <v>107</v>
      </c>
      <c r="U223" s="30"/>
      <c r="V223" s="30" t="s">
        <v>3677</v>
      </c>
      <c r="W223" s="30" t="s">
        <v>555</v>
      </c>
      <c r="X223" s="30" t="s">
        <v>3284</v>
      </c>
      <c r="Y223" s="30" t="s">
        <v>106</v>
      </c>
      <c r="Z223" s="30" t="s">
        <v>107</v>
      </c>
      <c r="AA223" s="20" t="s">
        <v>282</v>
      </c>
      <c r="AB223" s="20"/>
      <c r="AC223" s="20"/>
      <c r="AD223" s="20">
        <v>222</v>
      </c>
      <c r="AE223" s="29"/>
      <c r="AF223" s="29"/>
      <c r="AG223" s="29"/>
      <c r="AH223" s="29"/>
      <c r="AI223" s="29"/>
      <c r="AJ223" s="29"/>
      <c r="AK223" s="29"/>
      <c r="AL223" s="29"/>
      <c r="AM223" s="29"/>
      <c r="AN223" s="20"/>
      <c r="AO223" s="30"/>
      <c r="AP223" s="36"/>
      <c r="AQ223" s="20"/>
      <c r="AR223" s="29"/>
      <c r="AS223" s="29"/>
      <c r="AT223" s="30" t="s">
        <v>113</v>
      </c>
      <c r="AU223" s="30" t="s">
        <v>1247</v>
      </c>
      <c r="AV223" s="30" t="s">
        <v>113</v>
      </c>
      <c r="AW223" s="30" t="s">
        <v>114</v>
      </c>
      <c r="AX223" s="31">
        <f t="shared" si="14"/>
        <v>4</v>
      </c>
      <c r="AY223" s="31">
        <f t="shared" si="15"/>
        <v>4</v>
      </c>
      <c r="AZ223" s="32"/>
    </row>
    <row r="224" spans="1:63" ht="20.100000000000001" hidden="1" customHeight="1" x14ac:dyDescent="0.2">
      <c r="A224" s="13">
        <v>218</v>
      </c>
      <c r="B224" s="16" t="s">
        <v>3644</v>
      </c>
      <c r="C224" s="16" t="s">
        <v>935</v>
      </c>
      <c r="D224" s="6" t="s">
        <v>3123</v>
      </c>
      <c r="E224" s="6" t="s">
        <v>243</v>
      </c>
      <c r="F224" s="6" t="s">
        <v>172</v>
      </c>
      <c r="G224" s="6"/>
      <c r="H224" s="15" t="s">
        <v>83</v>
      </c>
      <c r="I224" s="15"/>
      <c r="J224" s="15"/>
      <c r="K224" s="15"/>
      <c r="L224" s="15"/>
      <c r="M224" s="15"/>
      <c r="N224" s="15"/>
      <c r="O224" s="16" t="s">
        <v>93</v>
      </c>
      <c r="P224" s="6"/>
      <c r="Q224" s="6" t="s">
        <v>68</v>
      </c>
      <c r="R224" s="6" t="s">
        <v>3665</v>
      </c>
      <c r="S224" s="6" t="s">
        <v>142</v>
      </c>
      <c r="T224" s="15" t="s">
        <v>70</v>
      </c>
      <c r="U224" s="6"/>
      <c r="V224" s="6" t="s">
        <v>3677</v>
      </c>
      <c r="W224" s="6" t="s">
        <v>485</v>
      </c>
      <c r="X224" s="6" t="s">
        <v>1585</v>
      </c>
      <c r="Y224" s="6" t="s">
        <v>106</v>
      </c>
      <c r="Z224" s="6" t="s">
        <v>107</v>
      </c>
      <c r="AA224" s="15" t="s">
        <v>3666</v>
      </c>
      <c r="AB224" s="15"/>
      <c r="AC224" s="15"/>
      <c r="AD224" s="15">
        <v>204</v>
      </c>
      <c r="AE224" s="16"/>
      <c r="AF224" s="16"/>
      <c r="AG224" s="16"/>
      <c r="AH224" s="16"/>
      <c r="AI224" s="16"/>
      <c r="AJ224" s="16"/>
      <c r="AK224" s="16"/>
      <c r="AL224" s="16"/>
      <c r="AM224" s="16"/>
      <c r="AN224" s="15"/>
      <c r="AO224" s="6"/>
      <c r="AP224" s="25"/>
      <c r="AQ224" s="15"/>
      <c r="AR224" s="16"/>
      <c r="AS224" s="16"/>
      <c r="AT224" s="6" t="s">
        <v>113</v>
      </c>
      <c r="AU224" s="6" t="s">
        <v>1247</v>
      </c>
      <c r="AV224" s="6" t="s">
        <v>348</v>
      </c>
      <c r="AW224" s="6" t="s">
        <v>137</v>
      </c>
      <c r="AX224" s="12">
        <f t="shared" si="14"/>
        <v>47</v>
      </c>
      <c r="AY224" s="12" t="str">
        <f t="shared" si="15"/>
        <v/>
      </c>
      <c r="AZ224" s="18"/>
      <c r="BA224" s="19"/>
      <c r="BB224" s="19"/>
      <c r="BC224" s="19"/>
      <c r="BD224" s="19"/>
      <c r="BE224" s="19"/>
      <c r="BF224" s="19"/>
      <c r="BG224" s="19"/>
      <c r="BH224" s="19"/>
      <c r="BI224" s="19"/>
      <c r="BJ224" s="19"/>
      <c r="BK224" s="19"/>
    </row>
    <row r="225" spans="1:63" ht="20.100000000000001" hidden="1" customHeight="1" x14ac:dyDescent="0.2">
      <c r="A225" s="13">
        <v>219</v>
      </c>
      <c r="B225" s="16" t="s">
        <v>3647</v>
      </c>
      <c r="C225" s="16" t="s">
        <v>935</v>
      </c>
      <c r="D225" s="6" t="s">
        <v>439</v>
      </c>
      <c r="E225" s="6" t="s">
        <v>9</v>
      </c>
      <c r="F225" s="6"/>
      <c r="G225" s="6"/>
      <c r="H225" s="15" t="s">
        <v>7</v>
      </c>
      <c r="I225" s="15"/>
      <c r="J225" s="15"/>
      <c r="K225" s="15"/>
      <c r="L225" s="15"/>
      <c r="M225" s="15"/>
      <c r="N225" s="15"/>
      <c r="O225" s="16" t="s">
        <v>93</v>
      </c>
      <c r="P225" s="6" t="s">
        <v>68</v>
      </c>
      <c r="Q225" s="6" t="s">
        <v>68</v>
      </c>
      <c r="R225" s="6" t="s">
        <v>3681</v>
      </c>
      <c r="S225" s="6" t="s">
        <v>106</v>
      </c>
      <c r="T225" s="15" t="s">
        <v>107</v>
      </c>
      <c r="U225" s="35" t="s">
        <v>402</v>
      </c>
      <c r="V225" s="35" t="s">
        <v>3680</v>
      </c>
      <c r="W225" s="35" t="s">
        <v>2348</v>
      </c>
      <c r="X225" s="6" t="s">
        <v>3682</v>
      </c>
      <c r="Y225" s="6" t="s">
        <v>73</v>
      </c>
      <c r="Z225" s="6" t="s">
        <v>70</v>
      </c>
      <c r="AA225" s="15">
        <v>0</v>
      </c>
      <c r="AB225" s="15"/>
      <c r="AC225" s="15">
        <v>229</v>
      </c>
      <c r="AD225" s="15">
        <v>198</v>
      </c>
      <c r="AE225" s="16">
        <v>198</v>
      </c>
      <c r="AF225" s="16">
        <v>158</v>
      </c>
      <c r="AG225" s="16">
        <v>170</v>
      </c>
      <c r="AH225" s="16">
        <v>5</v>
      </c>
      <c r="AI225" s="16">
        <v>20</v>
      </c>
      <c r="AJ225" s="16">
        <v>195</v>
      </c>
      <c r="AK225" s="16">
        <v>18</v>
      </c>
      <c r="AL225" s="16"/>
      <c r="AM225" s="16"/>
      <c r="AN225" s="33" t="s">
        <v>158</v>
      </c>
      <c r="AO225" s="6"/>
      <c r="AP225" s="25"/>
      <c r="AQ225" s="15"/>
      <c r="AR225" s="16"/>
      <c r="AS225" s="16"/>
      <c r="AT225" s="6"/>
      <c r="AU225" s="6"/>
      <c r="AV225" s="6"/>
      <c r="AW225" s="6"/>
      <c r="AX225" s="12" t="str">
        <f t="shared" si="14"/>
        <v/>
      </c>
      <c r="AY225" s="12" t="str">
        <f t="shared" si="15"/>
        <v/>
      </c>
      <c r="AZ225" s="18"/>
      <c r="BA225" s="19"/>
      <c r="BB225" s="19"/>
      <c r="BC225" s="19"/>
      <c r="BD225" s="19"/>
      <c r="BE225" s="19"/>
      <c r="BF225" s="19"/>
      <c r="BG225" s="19"/>
      <c r="BH225" s="19"/>
      <c r="BI225" s="19"/>
      <c r="BJ225" s="19"/>
      <c r="BK225" s="19"/>
    </row>
    <row r="226" spans="1:63" ht="20.100000000000001" hidden="1" customHeight="1" x14ac:dyDescent="0.2">
      <c r="A226" s="13">
        <v>220</v>
      </c>
      <c r="B226" s="16" t="s">
        <v>3647</v>
      </c>
      <c r="C226" s="16" t="s">
        <v>935</v>
      </c>
      <c r="D226" s="6" t="s">
        <v>3617</v>
      </c>
      <c r="E226" s="6" t="s">
        <v>66</v>
      </c>
      <c r="F226" s="6"/>
      <c r="G226" s="6"/>
      <c r="H226" s="15" t="s">
        <v>7</v>
      </c>
      <c r="I226" s="15"/>
      <c r="J226" s="15"/>
      <c r="K226" s="15"/>
      <c r="L226" s="15"/>
      <c r="M226" s="15"/>
      <c r="N226" s="15"/>
      <c r="O226" s="16" t="s">
        <v>67</v>
      </c>
      <c r="P226" s="6" t="s">
        <v>155</v>
      </c>
      <c r="Q226" s="6" t="s">
        <v>155</v>
      </c>
      <c r="R226" s="6"/>
      <c r="S226" s="6" t="s">
        <v>142</v>
      </c>
      <c r="T226" s="15" t="s">
        <v>70</v>
      </c>
      <c r="U226" s="6" t="s">
        <v>3683</v>
      </c>
      <c r="V226" s="6" t="s">
        <v>3684</v>
      </c>
      <c r="W226" s="6" t="s">
        <v>496</v>
      </c>
      <c r="X226" s="6" t="s">
        <v>3685</v>
      </c>
      <c r="Y226" s="6" t="s">
        <v>69</v>
      </c>
      <c r="Z226" s="6" t="s">
        <v>70</v>
      </c>
      <c r="AA226" s="15">
        <v>0</v>
      </c>
      <c r="AB226" s="15"/>
      <c r="AC226" s="15"/>
      <c r="AD226" s="15">
        <v>72</v>
      </c>
      <c r="AE226" s="16">
        <v>72</v>
      </c>
      <c r="AF226" s="16">
        <v>27</v>
      </c>
      <c r="AG226" s="16">
        <v>30</v>
      </c>
      <c r="AH226" s="16">
        <v>5</v>
      </c>
      <c r="AI226" s="16">
        <v>10</v>
      </c>
      <c r="AJ226" s="16">
        <v>45</v>
      </c>
      <c r="AK226" s="16">
        <v>83</v>
      </c>
      <c r="AL226" s="16"/>
      <c r="AM226" s="16"/>
      <c r="AN226" s="15"/>
      <c r="AO226" s="6"/>
      <c r="AP226" s="25"/>
      <c r="AQ226" s="15"/>
      <c r="AR226" s="16" t="s">
        <v>111</v>
      </c>
      <c r="AS226" s="16" t="s">
        <v>112</v>
      </c>
      <c r="AT226" s="6"/>
      <c r="AU226" s="6"/>
      <c r="AV226" s="6"/>
      <c r="AW226" s="6"/>
      <c r="AX226" s="12" t="str">
        <f t="shared" si="14"/>
        <v/>
      </c>
      <c r="AY226" s="12" t="str">
        <f t="shared" si="15"/>
        <v/>
      </c>
      <c r="AZ226" s="18"/>
      <c r="BA226" s="19"/>
      <c r="BB226" s="19"/>
      <c r="BC226" s="19"/>
      <c r="BD226" s="19"/>
      <c r="BE226" s="19"/>
      <c r="BF226" s="19"/>
      <c r="BG226" s="19"/>
      <c r="BH226" s="19"/>
      <c r="BI226" s="19"/>
      <c r="BJ226" s="19"/>
      <c r="BK226" s="19"/>
    </row>
    <row r="227" spans="1:63" s="21" customFormat="1" ht="20.100000000000001" hidden="1" customHeight="1" x14ac:dyDescent="0.2">
      <c r="A227" s="13">
        <v>221</v>
      </c>
      <c r="B227" s="29" t="s">
        <v>3648</v>
      </c>
      <c r="C227" s="29" t="s">
        <v>935</v>
      </c>
      <c r="D227" s="30" t="s">
        <v>2558</v>
      </c>
      <c r="E227" s="30" t="s">
        <v>20</v>
      </c>
      <c r="F227" s="30" t="s">
        <v>922</v>
      </c>
      <c r="G227" s="30"/>
      <c r="H227" s="20" t="s">
        <v>83</v>
      </c>
      <c r="I227" s="15"/>
      <c r="J227" s="15"/>
      <c r="K227" s="15"/>
      <c r="L227" s="15"/>
      <c r="M227" s="15"/>
      <c r="N227" s="15"/>
      <c r="O227" s="29" t="s">
        <v>84</v>
      </c>
      <c r="P227" s="30"/>
      <c r="Q227" s="30" t="s">
        <v>68</v>
      </c>
      <c r="R227" s="30" t="s">
        <v>3457</v>
      </c>
      <c r="S227" s="30" t="s">
        <v>369</v>
      </c>
      <c r="T227" s="20" t="s">
        <v>369</v>
      </c>
      <c r="U227" s="30"/>
      <c r="V227" s="30" t="s">
        <v>3677</v>
      </c>
      <c r="W227" s="30" t="s">
        <v>485</v>
      </c>
      <c r="X227" s="30" t="s">
        <v>3458</v>
      </c>
      <c r="Y227" s="30" t="s">
        <v>369</v>
      </c>
      <c r="Z227" s="30" t="s">
        <v>369</v>
      </c>
      <c r="AA227" s="20" t="s">
        <v>3555</v>
      </c>
      <c r="AB227" s="20"/>
      <c r="AC227" s="20"/>
      <c r="AD227" s="20">
        <v>162</v>
      </c>
      <c r="AE227" s="29"/>
      <c r="AF227" s="29"/>
      <c r="AG227" s="29"/>
      <c r="AH227" s="29"/>
      <c r="AI227" s="29"/>
      <c r="AJ227" s="29"/>
      <c r="AK227" s="29"/>
      <c r="AL227" s="29"/>
      <c r="AM227" s="29"/>
      <c r="AN227" s="20"/>
      <c r="AO227" s="30"/>
      <c r="AP227" s="36"/>
      <c r="AQ227" s="20"/>
      <c r="AR227" s="29"/>
      <c r="AS227" s="29"/>
      <c r="AT227" s="30" t="s">
        <v>113</v>
      </c>
      <c r="AU227" s="30" t="s">
        <v>1247</v>
      </c>
      <c r="AV227" s="30" t="s">
        <v>113</v>
      </c>
      <c r="AW227" s="30" t="s">
        <v>124</v>
      </c>
      <c r="AX227" s="31">
        <f t="shared" si="14"/>
        <v>1</v>
      </c>
      <c r="AY227" s="31">
        <f t="shared" si="15"/>
        <v>1</v>
      </c>
      <c r="AZ227" s="32"/>
    </row>
    <row r="228" spans="1:63" ht="20.100000000000001" hidden="1" customHeight="1" x14ac:dyDescent="0.2">
      <c r="A228" s="13">
        <v>222</v>
      </c>
      <c r="B228" s="16" t="s">
        <v>3648</v>
      </c>
      <c r="C228" s="16" t="s">
        <v>935</v>
      </c>
      <c r="D228" s="6" t="s">
        <v>754</v>
      </c>
      <c r="E228" s="6" t="s">
        <v>8</v>
      </c>
      <c r="F228" s="6" t="s">
        <v>4038</v>
      </c>
      <c r="G228" s="6"/>
      <c r="H228" s="15" t="s">
        <v>83</v>
      </c>
      <c r="I228" s="15"/>
      <c r="J228" s="15"/>
      <c r="K228" s="15"/>
      <c r="L228" s="15"/>
      <c r="M228" s="15"/>
      <c r="N228" s="15"/>
      <c r="O228" s="16" t="s">
        <v>84</v>
      </c>
      <c r="P228" s="6"/>
      <c r="Q228" s="6" t="s">
        <v>769</v>
      </c>
      <c r="R228" s="6" t="s">
        <v>1204</v>
      </c>
      <c r="S228" s="6" t="s">
        <v>106</v>
      </c>
      <c r="T228" s="15" t="s">
        <v>107</v>
      </c>
      <c r="U228" s="6"/>
      <c r="V228" s="6" t="s">
        <v>1809</v>
      </c>
      <c r="W228" s="6" t="s">
        <v>485</v>
      </c>
      <c r="X228" s="6" t="s">
        <v>1205</v>
      </c>
      <c r="Y228" s="6" t="s">
        <v>106</v>
      </c>
      <c r="Z228" s="6" t="s">
        <v>107</v>
      </c>
      <c r="AA228" s="15" t="s">
        <v>3667</v>
      </c>
      <c r="AB228" s="15"/>
      <c r="AC228" s="15"/>
      <c r="AD228" s="15">
        <v>74</v>
      </c>
      <c r="AE228" s="16"/>
      <c r="AF228" s="16"/>
      <c r="AG228" s="16"/>
      <c r="AH228" s="16"/>
      <c r="AI228" s="16"/>
      <c r="AJ228" s="16"/>
      <c r="AK228" s="16"/>
      <c r="AL228" s="16"/>
      <c r="AM228" s="16"/>
      <c r="AN228" s="15"/>
      <c r="AO228" s="6"/>
      <c r="AP228" s="25"/>
      <c r="AQ228" s="15"/>
      <c r="AR228" s="16"/>
      <c r="AS228" s="16"/>
      <c r="AT228" s="6" t="s">
        <v>113</v>
      </c>
      <c r="AU228" s="6" t="s">
        <v>1247</v>
      </c>
      <c r="AV228" s="6" t="s">
        <v>115</v>
      </c>
      <c r="AW228" s="6" t="s">
        <v>137</v>
      </c>
      <c r="AX228" s="12">
        <f t="shared" si="14"/>
        <v>11</v>
      </c>
      <c r="AY228" s="12">
        <f t="shared" si="15"/>
        <v>11</v>
      </c>
      <c r="AZ228" s="18"/>
      <c r="BA228" s="19"/>
      <c r="BB228" s="19"/>
      <c r="BC228" s="19"/>
      <c r="BD228" s="19"/>
      <c r="BE228" s="19"/>
      <c r="BF228" s="19"/>
      <c r="BG228" s="19"/>
      <c r="BH228" s="19"/>
      <c r="BI228" s="19"/>
      <c r="BJ228" s="19"/>
      <c r="BK228" s="19"/>
    </row>
    <row r="229" spans="1:63" ht="20.100000000000001" hidden="1" customHeight="1" x14ac:dyDescent="0.2">
      <c r="A229" s="13">
        <v>223</v>
      </c>
      <c r="B229" s="16" t="s">
        <v>3651</v>
      </c>
      <c r="C229" s="16" t="s">
        <v>935</v>
      </c>
      <c r="D229" s="6" t="s">
        <v>3649</v>
      </c>
      <c r="E229" s="6" t="s">
        <v>19</v>
      </c>
      <c r="F229" s="6" t="s">
        <v>185</v>
      </c>
      <c r="G229" s="6"/>
      <c r="H229" s="15" t="s">
        <v>83</v>
      </c>
      <c r="I229" s="15"/>
      <c r="J229" s="15"/>
      <c r="K229" s="15"/>
      <c r="L229" s="15"/>
      <c r="M229" s="15"/>
      <c r="N229" s="15"/>
      <c r="O229" s="16" t="s">
        <v>93</v>
      </c>
      <c r="P229" s="6"/>
      <c r="Q229" s="6" t="s">
        <v>141</v>
      </c>
      <c r="R229" s="6" t="s">
        <v>3668</v>
      </c>
      <c r="S229" s="6" t="s">
        <v>119</v>
      </c>
      <c r="T229" s="15" t="s">
        <v>107</v>
      </c>
      <c r="U229" s="6"/>
      <c r="V229" s="6" t="s">
        <v>3677</v>
      </c>
      <c r="W229" s="6" t="s">
        <v>458</v>
      </c>
      <c r="X229" s="6" t="s">
        <v>3669</v>
      </c>
      <c r="Y229" s="6" t="s">
        <v>262</v>
      </c>
      <c r="Z229" s="6" t="s">
        <v>70</v>
      </c>
      <c r="AA229" s="15" t="s">
        <v>3670</v>
      </c>
      <c r="AB229" s="15"/>
      <c r="AC229" s="15"/>
      <c r="AD229" s="15">
        <v>84</v>
      </c>
      <c r="AE229" s="16"/>
      <c r="AF229" s="16"/>
      <c r="AG229" s="16"/>
      <c r="AH229" s="16"/>
      <c r="AI229" s="16"/>
      <c r="AJ229" s="16"/>
      <c r="AK229" s="16"/>
      <c r="AL229" s="16"/>
      <c r="AM229" s="16"/>
      <c r="AN229" s="15"/>
      <c r="AO229" s="6"/>
      <c r="AP229" s="25"/>
      <c r="AQ229" s="15"/>
      <c r="AR229" s="16"/>
      <c r="AS229" s="16"/>
      <c r="AT229" s="6" t="s">
        <v>113</v>
      </c>
      <c r="AU229" s="6" t="s">
        <v>1247</v>
      </c>
      <c r="AV229" s="6" t="s">
        <v>123</v>
      </c>
      <c r="AW229" s="6" t="s">
        <v>124</v>
      </c>
      <c r="AX229" s="12">
        <f t="shared" si="14"/>
        <v>61</v>
      </c>
      <c r="AY229" s="12" t="str">
        <f t="shared" si="15"/>
        <v/>
      </c>
      <c r="AZ229" s="18"/>
      <c r="BA229" s="19"/>
      <c r="BB229" s="19"/>
      <c r="BC229" s="19"/>
      <c r="BD229" s="19"/>
      <c r="BE229" s="19"/>
      <c r="BF229" s="19"/>
      <c r="BG229" s="19"/>
      <c r="BH229" s="19"/>
      <c r="BI229" s="19"/>
      <c r="BJ229" s="19"/>
      <c r="BK229" s="19"/>
    </row>
    <row r="230" spans="1:63" ht="20.100000000000001" hidden="1" customHeight="1" x14ac:dyDescent="0.2">
      <c r="A230" s="13">
        <v>224</v>
      </c>
      <c r="B230" s="16" t="s">
        <v>3651</v>
      </c>
      <c r="C230" s="16" t="s">
        <v>935</v>
      </c>
      <c r="D230" s="6" t="s">
        <v>2293</v>
      </c>
      <c r="E230" s="6" t="s">
        <v>66</v>
      </c>
      <c r="F230" s="249" t="s">
        <v>4038</v>
      </c>
      <c r="G230" s="6"/>
      <c r="H230" s="15" t="s">
        <v>83</v>
      </c>
      <c r="I230" s="15"/>
      <c r="J230" s="15"/>
      <c r="K230" s="15"/>
      <c r="L230" s="15"/>
      <c r="M230" s="15"/>
      <c r="N230" s="15"/>
      <c r="O230" s="16" t="s">
        <v>93</v>
      </c>
      <c r="P230" s="6"/>
      <c r="Q230" s="6"/>
      <c r="R230" s="6"/>
      <c r="S230" s="6"/>
      <c r="T230" s="15"/>
      <c r="U230" s="6"/>
      <c r="V230" s="6"/>
      <c r="W230" s="6"/>
      <c r="X230" s="6"/>
      <c r="Y230" s="6"/>
      <c r="Z230" s="6"/>
      <c r="AA230" s="15"/>
      <c r="AB230" s="15"/>
      <c r="AC230" s="15"/>
      <c r="AD230" s="15"/>
      <c r="AE230" s="16"/>
      <c r="AF230" s="16"/>
      <c r="AG230" s="16"/>
      <c r="AH230" s="16"/>
      <c r="AI230" s="16"/>
      <c r="AJ230" s="16"/>
      <c r="AK230" s="16"/>
      <c r="AL230" s="16"/>
      <c r="AM230" s="16"/>
      <c r="AN230" s="15"/>
      <c r="AO230" s="6"/>
      <c r="AP230" s="25"/>
      <c r="AQ230" s="15"/>
      <c r="AR230" s="16"/>
      <c r="AS230" s="16"/>
      <c r="AT230" s="6" t="s">
        <v>113</v>
      </c>
      <c r="AU230" s="6" t="s">
        <v>1247</v>
      </c>
      <c r="AV230" s="6" t="s">
        <v>113</v>
      </c>
      <c r="AW230" s="6" t="s">
        <v>235</v>
      </c>
      <c r="AX230" s="12">
        <f t="shared" si="14"/>
        <v>2</v>
      </c>
      <c r="AY230" s="12">
        <f t="shared" si="15"/>
        <v>2</v>
      </c>
      <c r="AZ230" s="18"/>
      <c r="BA230" s="19"/>
      <c r="BB230" s="19"/>
      <c r="BC230" s="19"/>
      <c r="BD230" s="19"/>
      <c r="BE230" s="19"/>
      <c r="BF230" s="19"/>
      <c r="BG230" s="19"/>
      <c r="BH230" s="19"/>
      <c r="BI230" s="19"/>
      <c r="BJ230" s="19"/>
      <c r="BK230" s="19"/>
    </row>
    <row r="231" spans="1:63" ht="20.100000000000001" hidden="1" customHeight="1" x14ac:dyDescent="0.2">
      <c r="A231" s="13">
        <v>225</v>
      </c>
      <c r="B231" s="16" t="s">
        <v>3651</v>
      </c>
      <c r="C231" s="16" t="s">
        <v>935</v>
      </c>
      <c r="D231" s="6" t="s">
        <v>597</v>
      </c>
      <c r="E231" s="6" t="s">
        <v>9</v>
      </c>
      <c r="F231" s="6" t="s">
        <v>185</v>
      </c>
      <c r="G231" s="6"/>
      <c r="H231" s="15" t="s">
        <v>83</v>
      </c>
      <c r="I231" s="15"/>
      <c r="J231" s="15"/>
      <c r="K231" s="15"/>
      <c r="L231" s="15"/>
      <c r="M231" s="15"/>
      <c r="N231" s="15"/>
      <c r="O231" s="16" t="s">
        <v>93</v>
      </c>
      <c r="P231" s="6"/>
      <c r="Q231" s="6" t="s">
        <v>155</v>
      </c>
      <c r="R231" s="6" t="s">
        <v>1970</v>
      </c>
      <c r="S231" s="6"/>
      <c r="T231" s="15"/>
      <c r="U231" s="6"/>
      <c r="V231" s="6" t="s">
        <v>3679</v>
      </c>
      <c r="W231" s="6" t="s">
        <v>441</v>
      </c>
      <c r="X231" s="6"/>
      <c r="Y231" s="6"/>
      <c r="Z231" s="6"/>
      <c r="AA231" s="15" t="s">
        <v>3672</v>
      </c>
      <c r="AB231" s="15"/>
      <c r="AC231" s="15"/>
      <c r="AD231" s="15">
        <v>222</v>
      </c>
      <c r="AE231" s="16"/>
      <c r="AF231" s="16"/>
      <c r="AG231" s="16"/>
      <c r="AH231" s="16"/>
      <c r="AI231" s="16"/>
      <c r="AJ231" s="16"/>
      <c r="AK231" s="16"/>
      <c r="AL231" s="16"/>
      <c r="AM231" s="16"/>
      <c r="AN231" s="15"/>
      <c r="AO231" s="6"/>
      <c r="AP231" s="25"/>
      <c r="AQ231" s="15"/>
      <c r="AR231" s="16"/>
      <c r="AS231" s="16"/>
      <c r="AT231" s="6" t="s">
        <v>113</v>
      </c>
      <c r="AU231" s="6" t="s">
        <v>1247</v>
      </c>
      <c r="AV231" s="6" t="s">
        <v>115</v>
      </c>
      <c r="AW231" s="6" t="s">
        <v>296</v>
      </c>
      <c r="AX231" s="12">
        <f t="shared" si="14"/>
        <v>15</v>
      </c>
      <c r="AY231" s="12" t="str">
        <f t="shared" si="15"/>
        <v/>
      </c>
      <c r="AZ231" s="18"/>
      <c r="BA231" s="19"/>
      <c r="BB231" s="19"/>
      <c r="BC231" s="19"/>
      <c r="BD231" s="19"/>
      <c r="BE231" s="19"/>
      <c r="BF231" s="19"/>
      <c r="BG231" s="19"/>
      <c r="BH231" s="19"/>
      <c r="BI231" s="19"/>
      <c r="BJ231" s="19"/>
      <c r="BK231" s="19"/>
    </row>
    <row r="232" spans="1:63" ht="20.100000000000001" hidden="1" customHeight="1" x14ac:dyDescent="0.2">
      <c r="A232" s="13">
        <v>226</v>
      </c>
      <c r="B232" s="16" t="s">
        <v>3651</v>
      </c>
      <c r="C232" s="16" t="s">
        <v>935</v>
      </c>
      <c r="D232" s="6" t="s">
        <v>3650</v>
      </c>
      <c r="E232" s="6" t="s">
        <v>6</v>
      </c>
      <c r="F232" s="6" t="s">
        <v>185</v>
      </c>
      <c r="G232" s="6"/>
      <c r="H232" s="15" t="s">
        <v>83</v>
      </c>
      <c r="I232" s="15"/>
      <c r="J232" s="15"/>
      <c r="K232" s="15"/>
      <c r="L232" s="15"/>
      <c r="M232" s="15"/>
      <c r="N232" s="15"/>
      <c r="O232" s="16" t="s">
        <v>93</v>
      </c>
      <c r="P232" s="6"/>
      <c r="Q232" s="6" t="s">
        <v>155</v>
      </c>
      <c r="R232" s="6" t="s">
        <v>3673</v>
      </c>
      <c r="S232" s="6" t="s">
        <v>142</v>
      </c>
      <c r="T232" s="15" t="s">
        <v>70</v>
      </c>
      <c r="U232" s="6"/>
      <c r="V232" s="6" t="s">
        <v>3679</v>
      </c>
      <c r="W232" s="6" t="s">
        <v>718</v>
      </c>
      <c r="X232" s="6" t="s">
        <v>3674</v>
      </c>
      <c r="Y232" s="6" t="s">
        <v>142</v>
      </c>
      <c r="Z232" s="6" t="s">
        <v>70</v>
      </c>
      <c r="AA232" s="15" t="s">
        <v>3675</v>
      </c>
      <c r="AB232" s="15"/>
      <c r="AC232" s="15"/>
      <c r="AD232" s="15">
        <v>220</v>
      </c>
      <c r="AE232" s="16"/>
      <c r="AF232" s="16"/>
      <c r="AG232" s="16"/>
      <c r="AH232" s="16"/>
      <c r="AI232" s="16"/>
      <c r="AJ232" s="16"/>
      <c r="AK232" s="16"/>
      <c r="AL232" s="16"/>
      <c r="AM232" s="16"/>
      <c r="AN232" s="15"/>
      <c r="AO232" s="6"/>
      <c r="AP232" s="25"/>
      <c r="AQ232" s="15"/>
      <c r="AR232" s="16"/>
      <c r="AS232" s="16"/>
      <c r="AT232" s="6" t="s">
        <v>113</v>
      </c>
      <c r="AU232" s="6" t="s">
        <v>1247</v>
      </c>
      <c r="AV232" s="6" t="s">
        <v>396</v>
      </c>
      <c r="AW232" s="6" t="s">
        <v>260</v>
      </c>
      <c r="AX232" s="12">
        <f t="shared" si="14"/>
        <v>101</v>
      </c>
      <c r="AY232" s="12" t="str">
        <f t="shared" si="15"/>
        <v/>
      </c>
      <c r="AZ232" s="18"/>
      <c r="BA232" s="19"/>
      <c r="BB232" s="19"/>
      <c r="BC232" s="19"/>
      <c r="BD232" s="19"/>
      <c r="BE232" s="19"/>
      <c r="BF232" s="19"/>
      <c r="BG232" s="19"/>
      <c r="BH232" s="19"/>
      <c r="BI232" s="19"/>
      <c r="BJ232" s="19"/>
      <c r="BK232" s="19"/>
    </row>
    <row r="233" spans="1:63" ht="20.100000000000001" hidden="1" customHeight="1" x14ac:dyDescent="0.2">
      <c r="A233" s="13">
        <v>227</v>
      </c>
      <c r="B233" s="16" t="s">
        <v>3652</v>
      </c>
      <c r="C233" s="16" t="s">
        <v>935</v>
      </c>
      <c r="D233" s="6" t="s">
        <v>2558</v>
      </c>
      <c r="E233" s="6" t="s">
        <v>20</v>
      </c>
      <c r="F233" s="6"/>
      <c r="G233" s="6"/>
      <c r="H233" s="15" t="s">
        <v>7</v>
      </c>
      <c r="I233" s="15"/>
      <c r="J233" s="15"/>
      <c r="K233" s="15"/>
      <c r="L233" s="15"/>
      <c r="M233" s="15"/>
      <c r="N233" s="15"/>
      <c r="O233" s="16" t="s">
        <v>84</v>
      </c>
      <c r="P233" s="6"/>
      <c r="Q233" s="6" t="s">
        <v>68</v>
      </c>
      <c r="R233" s="6" t="s">
        <v>3686</v>
      </c>
      <c r="S233" s="6" t="s">
        <v>69</v>
      </c>
      <c r="T233" s="15" t="s">
        <v>70</v>
      </c>
      <c r="U233" s="6"/>
      <c r="V233" s="6" t="s">
        <v>3677</v>
      </c>
      <c r="W233" s="6" t="s">
        <v>485</v>
      </c>
      <c r="X233" s="6" t="s">
        <v>3687</v>
      </c>
      <c r="Y233" s="6" t="s">
        <v>142</v>
      </c>
      <c r="Z233" s="6" t="s">
        <v>70</v>
      </c>
      <c r="AA233" s="15">
        <v>0</v>
      </c>
      <c r="AB233" s="15"/>
      <c r="AC233" s="15"/>
      <c r="AD233" s="15">
        <v>162</v>
      </c>
      <c r="AE233" s="16">
        <v>162</v>
      </c>
      <c r="AF233" s="16"/>
      <c r="AG233" s="16"/>
      <c r="AH233" s="16"/>
      <c r="AI233" s="16"/>
      <c r="AJ233" s="16"/>
      <c r="AK233" s="16"/>
      <c r="AL233" s="16"/>
      <c r="AM233" s="16"/>
      <c r="AN233" s="15"/>
      <c r="AO233" s="6"/>
      <c r="AP233" s="25"/>
      <c r="AQ233" s="15"/>
      <c r="AR233" s="16"/>
      <c r="AS233" s="16"/>
      <c r="AT233" s="6"/>
      <c r="AU233" s="6"/>
      <c r="AV233" s="6"/>
      <c r="AW233" s="6"/>
      <c r="AX233" s="12" t="str">
        <f t="shared" si="14"/>
        <v/>
      </c>
      <c r="AY233" s="12" t="str">
        <f t="shared" si="15"/>
        <v/>
      </c>
      <c r="AZ233" s="18"/>
      <c r="BA233" s="19"/>
      <c r="BB233" s="19"/>
      <c r="BC233" s="19"/>
      <c r="BD233" s="19"/>
      <c r="BE233" s="19"/>
      <c r="BF233" s="19"/>
      <c r="BG233" s="19"/>
      <c r="BH233" s="19"/>
      <c r="BI233" s="19"/>
      <c r="BJ233" s="19"/>
      <c r="BK233" s="19"/>
    </row>
    <row r="234" spans="1:63" ht="20.100000000000001" hidden="1" customHeight="1" x14ac:dyDescent="0.2">
      <c r="A234" s="13">
        <v>228</v>
      </c>
      <c r="B234" s="16" t="s">
        <v>3653</v>
      </c>
      <c r="C234" s="16" t="s">
        <v>935</v>
      </c>
      <c r="D234" s="6" t="s">
        <v>859</v>
      </c>
      <c r="E234" s="6" t="s">
        <v>20</v>
      </c>
      <c r="F234" s="6" t="s">
        <v>185</v>
      </c>
      <c r="G234" s="6"/>
      <c r="H234" s="15" t="s">
        <v>83</v>
      </c>
      <c r="I234" s="15"/>
      <c r="J234" s="15"/>
      <c r="K234" s="15"/>
      <c r="L234" s="15"/>
      <c r="M234" s="15"/>
      <c r="N234" s="15"/>
      <c r="O234" s="16" t="s">
        <v>93</v>
      </c>
      <c r="P234" s="6"/>
      <c r="Q234" s="6" t="s">
        <v>140</v>
      </c>
      <c r="R234" s="6" t="s">
        <v>877</v>
      </c>
      <c r="S234" s="6" t="s">
        <v>69</v>
      </c>
      <c r="T234" s="15" t="s">
        <v>70</v>
      </c>
      <c r="U234" s="6"/>
      <c r="V234" s="6" t="s">
        <v>2245</v>
      </c>
      <c r="W234" s="6" t="s">
        <v>260</v>
      </c>
      <c r="X234" s="6" t="s">
        <v>878</v>
      </c>
      <c r="Y234" s="6" t="s">
        <v>142</v>
      </c>
      <c r="Z234" s="6" t="s">
        <v>70</v>
      </c>
      <c r="AA234" s="15" t="s">
        <v>3671</v>
      </c>
      <c r="AB234" s="15"/>
      <c r="AC234" s="15"/>
      <c r="AD234" s="15">
        <v>150</v>
      </c>
      <c r="AE234" s="16"/>
      <c r="AF234" s="16"/>
      <c r="AG234" s="16"/>
      <c r="AH234" s="16"/>
      <c r="AI234" s="16"/>
      <c r="AJ234" s="16"/>
      <c r="AK234" s="16"/>
      <c r="AL234" s="16"/>
      <c r="AM234" s="16"/>
      <c r="AN234" s="15"/>
      <c r="AO234" s="6"/>
      <c r="AP234" s="25"/>
      <c r="AQ234" s="15"/>
      <c r="AR234" s="16"/>
      <c r="AS234" s="16"/>
      <c r="AT234" s="6" t="s">
        <v>113</v>
      </c>
      <c r="AU234" s="6" t="s">
        <v>1247</v>
      </c>
      <c r="AV234" s="6" t="s">
        <v>115</v>
      </c>
      <c r="AW234" s="6" t="s">
        <v>124</v>
      </c>
      <c r="AX234" s="12">
        <f t="shared" si="14"/>
        <v>13</v>
      </c>
      <c r="AY234" s="12" t="str">
        <f t="shared" si="15"/>
        <v/>
      </c>
      <c r="AZ234" s="18"/>
      <c r="BA234" s="19"/>
      <c r="BB234" s="19"/>
      <c r="BC234" s="19"/>
      <c r="BD234" s="19"/>
      <c r="BE234" s="19"/>
      <c r="BF234" s="19"/>
      <c r="BG234" s="19"/>
      <c r="BH234" s="19"/>
      <c r="BI234" s="19"/>
      <c r="BJ234" s="19"/>
      <c r="BK234" s="19"/>
    </row>
    <row r="235" spans="1:63" ht="20.100000000000001" hidden="1" customHeight="1" x14ac:dyDescent="0.2">
      <c r="A235" s="13">
        <v>229</v>
      </c>
      <c r="B235" s="16" t="s">
        <v>3653</v>
      </c>
      <c r="C235" s="16" t="s">
        <v>935</v>
      </c>
      <c r="D235" s="6" t="s">
        <v>754</v>
      </c>
      <c r="E235" s="6" t="s">
        <v>8</v>
      </c>
      <c r="F235" s="6"/>
      <c r="G235" s="6"/>
      <c r="H235" s="15" t="s">
        <v>7</v>
      </c>
      <c r="I235" s="15"/>
      <c r="J235" s="15"/>
      <c r="K235" s="15"/>
      <c r="L235" s="15"/>
      <c r="M235" s="15"/>
      <c r="N235" s="15"/>
      <c r="O235" s="16" t="s">
        <v>84</v>
      </c>
      <c r="P235" s="6" t="s">
        <v>769</v>
      </c>
      <c r="Q235" s="6" t="s">
        <v>769</v>
      </c>
      <c r="R235" s="6" t="s">
        <v>3531</v>
      </c>
      <c r="S235" s="6" t="s">
        <v>69</v>
      </c>
      <c r="T235" s="15" t="s">
        <v>70</v>
      </c>
      <c r="U235" s="6" t="s">
        <v>757</v>
      </c>
      <c r="V235" s="6" t="s">
        <v>1809</v>
      </c>
      <c r="W235" s="6" t="s">
        <v>485</v>
      </c>
      <c r="X235" s="6" t="s">
        <v>3688</v>
      </c>
      <c r="Y235" s="6" t="s">
        <v>142</v>
      </c>
      <c r="Z235" s="6" t="s">
        <v>70</v>
      </c>
      <c r="AA235" s="15">
        <v>0</v>
      </c>
      <c r="AB235" s="15"/>
      <c r="AC235" s="15"/>
      <c r="AD235" s="15">
        <v>74</v>
      </c>
      <c r="AE235" s="16">
        <v>74</v>
      </c>
      <c r="AF235" s="16"/>
      <c r="AG235" s="16"/>
      <c r="AH235" s="16"/>
      <c r="AI235" s="16"/>
      <c r="AJ235" s="16"/>
      <c r="AK235" s="16"/>
      <c r="AL235" s="16"/>
      <c r="AM235" s="16"/>
      <c r="AN235" s="15"/>
      <c r="AO235" s="6"/>
      <c r="AP235" s="25"/>
      <c r="AQ235" s="15"/>
      <c r="AR235" s="16"/>
      <c r="AS235" s="16"/>
      <c r="AT235" s="6"/>
      <c r="AU235" s="6"/>
      <c r="AV235" s="6"/>
      <c r="AW235" s="6"/>
      <c r="AX235" s="12" t="str">
        <f t="shared" si="14"/>
        <v/>
      </c>
      <c r="AY235" s="12" t="str">
        <f t="shared" si="15"/>
        <v/>
      </c>
      <c r="AZ235" s="18"/>
      <c r="BA235" s="19"/>
      <c r="BB235" s="19"/>
      <c r="BC235" s="19"/>
      <c r="BD235" s="19"/>
      <c r="BE235" s="19"/>
      <c r="BF235" s="19"/>
      <c r="BG235" s="19"/>
      <c r="BH235" s="19"/>
      <c r="BI235" s="19"/>
      <c r="BJ235" s="19"/>
      <c r="BK235" s="19"/>
    </row>
    <row r="236" spans="1:63" ht="20.100000000000001" hidden="1" customHeight="1" x14ac:dyDescent="0.2">
      <c r="A236" s="13">
        <v>230</v>
      </c>
      <c r="B236" s="16" t="s">
        <v>3654</v>
      </c>
      <c r="C236" s="16" t="s">
        <v>935</v>
      </c>
      <c r="D236" s="6" t="s">
        <v>835</v>
      </c>
      <c r="E236" s="6" t="s">
        <v>20</v>
      </c>
      <c r="F236" s="6"/>
      <c r="G236" s="6"/>
      <c r="H236" s="15" t="s">
        <v>7</v>
      </c>
      <c r="I236" s="15"/>
      <c r="J236" s="15"/>
      <c r="K236" s="15"/>
      <c r="L236" s="15"/>
      <c r="M236" s="15"/>
      <c r="N236" s="15"/>
      <c r="O236" s="16" t="s">
        <v>93</v>
      </c>
      <c r="P236" s="35" t="s">
        <v>218</v>
      </c>
      <c r="Q236" s="35" t="s">
        <v>140</v>
      </c>
      <c r="R236" s="6" t="s">
        <v>3689</v>
      </c>
      <c r="S236" s="6" t="s">
        <v>69</v>
      </c>
      <c r="T236" s="15" t="s">
        <v>70</v>
      </c>
      <c r="U236" s="35" t="s">
        <v>454</v>
      </c>
      <c r="V236" s="35" t="s">
        <v>2961</v>
      </c>
      <c r="W236" s="35" t="s">
        <v>769</v>
      </c>
      <c r="X236" s="6" t="s">
        <v>3690</v>
      </c>
      <c r="Y236" s="6" t="s">
        <v>106</v>
      </c>
      <c r="Z236" s="6" t="s">
        <v>107</v>
      </c>
      <c r="AA236" s="15">
        <v>0</v>
      </c>
      <c r="AB236" s="15"/>
      <c r="AC236" s="15">
        <v>181</v>
      </c>
      <c r="AD236" s="33">
        <v>237</v>
      </c>
      <c r="AE236" s="34">
        <v>171</v>
      </c>
      <c r="AF236" s="16">
        <v>67</v>
      </c>
      <c r="AG236" s="16">
        <v>163</v>
      </c>
      <c r="AH236" s="16">
        <v>4</v>
      </c>
      <c r="AI236" s="16">
        <v>54</v>
      </c>
      <c r="AJ236" s="16">
        <v>221</v>
      </c>
      <c r="AK236" s="16">
        <v>8</v>
      </c>
      <c r="AL236" s="16"/>
      <c r="AM236" s="16"/>
      <c r="AN236" s="33" t="s">
        <v>158</v>
      </c>
      <c r="AO236" s="6"/>
      <c r="AP236" s="25"/>
      <c r="AQ236" s="15"/>
      <c r="AR236" s="16"/>
      <c r="AS236" s="16"/>
      <c r="AT236" s="6"/>
      <c r="AU236" s="6"/>
      <c r="AV236" s="6"/>
      <c r="AW236" s="6"/>
      <c r="AX236" s="12" t="str">
        <f t="shared" si="14"/>
        <v/>
      </c>
      <c r="AY236" s="12" t="str">
        <f t="shared" si="15"/>
        <v/>
      </c>
      <c r="AZ236" s="18"/>
      <c r="BA236" s="19"/>
      <c r="BB236" s="19"/>
      <c r="BC236" s="19"/>
      <c r="BD236" s="19"/>
      <c r="BE236" s="19"/>
      <c r="BF236" s="19"/>
      <c r="BG236" s="19"/>
      <c r="BH236" s="19"/>
      <c r="BI236" s="19"/>
      <c r="BJ236" s="19"/>
      <c r="BK236" s="19"/>
    </row>
    <row r="237" spans="1:63" s="21" customFormat="1" ht="20.100000000000001" hidden="1" customHeight="1" x14ac:dyDescent="0.2">
      <c r="A237" s="13">
        <v>231</v>
      </c>
      <c r="B237" s="29" t="s">
        <v>3691</v>
      </c>
      <c r="C237" s="29" t="s">
        <v>935</v>
      </c>
      <c r="D237" s="30" t="s">
        <v>2356</v>
      </c>
      <c r="E237" s="30" t="s">
        <v>10</v>
      </c>
      <c r="F237" s="30" t="s">
        <v>94</v>
      </c>
      <c r="G237" s="30"/>
      <c r="H237" s="20" t="s">
        <v>83</v>
      </c>
      <c r="I237" s="15"/>
      <c r="J237" s="15"/>
      <c r="K237" s="15"/>
      <c r="L237" s="15"/>
      <c r="M237" s="15"/>
      <c r="N237" s="15"/>
      <c r="O237" s="29" t="s">
        <v>93</v>
      </c>
      <c r="P237" s="30"/>
      <c r="Q237" s="30" t="s">
        <v>334</v>
      </c>
      <c r="R237" s="30" t="s">
        <v>3580</v>
      </c>
      <c r="S237" s="30" t="s">
        <v>69</v>
      </c>
      <c r="T237" s="20" t="s">
        <v>70</v>
      </c>
      <c r="U237" s="30"/>
      <c r="V237" s="30" t="s">
        <v>1809</v>
      </c>
      <c r="W237" s="30" t="s">
        <v>2258</v>
      </c>
      <c r="X237" s="30" t="s">
        <v>3581</v>
      </c>
      <c r="Y237" s="30" t="s">
        <v>142</v>
      </c>
      <c r="Z237" s="30" t="s">
        <v>70</v>
      </c>
      <c r="AA237" s="20" t="s">
        <v>3571</v>
      </c>
      <c r="AB237" s="20"/>
      <c r="AC237" s="20"/>
      <c r="AD237" s="20">
        <v>156</v>
      </c>
      <c r="AE237" s="29"/>
      <c r="AF237" s="29"/>
      <c r="AG237" s="29"/>
      <c r="AH237" s="29"/>
      <c r="AI237" s="29"/>
      <c r="AJ237" s="29"/>
      <c r="AK237" s="29"/>
      <c r="AL237" s="29">
        <v>4</v>
      </c>
      <c r="AM237" s="29"/>
      <c r="AN237" s="20"/>
      <c r="AO237" s="30"/>
      <c r="AP237" s="36"/>
      <c r="AQ237" s="20"/>
      <c r="AR237" s="29"/>
      <c r="AS237" s="29"/>
      <c r="AT237" s="30" t="s">
        <v>113</v>
      </c>
      <c r="AU237" s="30" t="s">
        <v>1247</v>
      </c>
      <c r="AV237" s="30" t="s">
        <v>113</v>
      </c>
      <c r="AW237" s="30" t="s">
        <v>124</v>
      </c>
      <c r="AX237" s="31">
        <f t="shared" si="14"/>
        <v>1</v>
      </c>
      <c r="AY237" s="31">
        <f t="shared" si="15"/>
        <v>1</v>
      </c>
      <c r="AZ237" s="32"/>
    </row>
    <row r="238" spans="1:63" ht="20.100000000000001" hidden="1" customHeight="1" x14ac:dyDescent="0.2">
      <c r="A238" s="13">
        <v>232</v>
      </c>
      <c r="B238" s="16" t="s">
        <v>3691</v>
      </c>
      <c r="C238" s="16" t="s">
        <v>935</v>
      </c>
      <c r="D238" s="6" t="s">
        <v>3692</v>
      </c>
      <c r="E238" s="6" t="s">
        <v>20</v>
      </c>
      <c r="F238" s="6" t="s">
        <v>192</v>
      </c>
      <c r="G238" s="6"/>
      <c r="H238" s="15" t="s">
        <v>7</v>
      </c>
      <c r="I238" s="15"/>
      <c r="J238" s="15"/>
      <c r="K238" s="15"/>
      <c r="L238" s="15"/>
      <c r="M238" s="15"/>
      <c r="N238" s="15"/>
      <c r="O238" s="16" t="s">
        <v>92</v>
      </c>
      <c r="P238" s="6"/>
      <c r="Q238" s="6" t="s">
        <v>117</v>
      </c>
      <c r="R238" s="6" t="s">
        <v>4001</v>
      </c>
      <c r="S238" s="6" t="s">
        <v>69</v>
      </c>
      <c r="T238" s="15" t="s">
        <v>70</v>
      </c>
      <c r="U238" s="6"/>
      <c r="V238" s="6" t="s">
        <v>2961</v>
      </c>
      <c r="W238" s="6" t="s">
        <v>1581</v>
      </c>
      <c r="X238" s="6" t="s">
        <v>4002</v>
      </c>
      <c r="Y238" s="6" t="s">
        <v>73</v>
      </c>
      <c r="Z238" s="6" t="s">
        <v>70</v>
      </c>
      <c r="AA238" s="15"/>
      <c r="AB238" s="15"/>
      <c r="AC238" s="15"/>
      <c r="AD238" s="15"/>
      <c r="AE238" s="16">
        <v>256</v>
      </c>
      <c r="AF238" s="16"/>
      <c r="AG238" s="16"/>
      <c r="AH238" s="16"/>
      <c r="AI238" s="16"/>
      <c r="AJ238" s="16"/>
      <c r="AK238" s="16"/>
      <c r="AL238" s="16">
        <v>4</v>
      </c>
      <c r="AM238" s="16"/>
      <c r="AN238" s="15"/>
      <c r="AO238" s="6"/>
      <c r="AP238" s="25"/>
      <c r="AQ238" s="15"/>
      <c r="AR238" s="16"/>
      <c r="AS238" s="16"/>
      <c r="AT238" s="6"/>
      <c r="AU238" s="6"/>
      <c r="AV238" s="6"/>
      <c r="AW238" s="6"/>
      <c r="AX238" s="12" t="str">
        <f t="shared" si="14"/>
        <v/>
      </c>
      <c r="AY238" s="12" t="str">
        <f t="shared" si="15"/>
        <v/>
      </c>
      <c r="AZ238" s="18"/>
      <c r="BA238" s="19"/>
      <c r="BB238" s="19"/>
      <c r="BC238" s="19"/>
      <c r="BD238" s="19"/>
      <c r="BE238" s="19"/>
      <c r="BF238" s="19"/>
      <c r="BG238" s="19"/>
      <c r="BH238" s="19"/>
      <c r="BI238" s="19"/>
      <c r="BJ238" s="19"/>
      <c r="BK238" s="19"/>
    </row>
    <row r="239" spans="1:63" ht="20.100000000000001" hidden="1" customHeight="1" x14ac:dyDescent="0.2">
      <c r="A239" s="13">
        <v>233</v>
      </c>
      <c r="B239" s="16" t="s">
        <v>3693</v>
      </c>
      <c r="C239" s="16" t="s">
        <v>935</v>
      </c>
      <c r="D239" s="6" t="s">
        <v>3695</v>
      </c>
      <c r="E239" s="6" t="s">
        <v>20</v>
      </c>
      <c r="F239" s="6"/>
      <c r="G239" s="6"/>
      <c r="H239" s="15" t="s">
        <v>7</v>
      </c>
      <c r="I239" s="15"/>
      <c r="J239" s="15"/>
      <c r="K239" s="15"/>
      <c r="L239" s="15"/>
      <c r="M239" s="15"/>
      <c r="N239" s="15"/>
      <c r="O239" s="16" t="s">
        <v>84</v>
      </c>
      <c r="P239" s="35" t="s">
        <v>117</v>
      </c>
      <c r="Q239" s="35" t="s">
        <v>104</v>
      </c>
      <c r="R239" s="6" t="s">
        <v>3715</v>
      </c>
      <c r="S239" s="6" t="s">
        <v>69</v>
      </c>
      <c r="T239" s="15" t="s">
        <v>70</v>
      </c>
      <c r="U239" s="35" t="s">
        <v>470</v>
      </c>
      <c r="V239" s="35" t="s">
        <v>1510</v>
      </c>
      <c r="W239" s="35" t="s">
        <v>769</v>
      </c>
      <c r="X239" s="6" t="s">
        <v>3716</v>
      </c>
      <c r="Y239" s="6" t="s">
        <v>106</v>
      </c>
      <c r="Z239" s="6" t="s">
        <v>107</v>
      </c>
      <c r="AA239" s="15">
        <v>0</v>
      </c>
      <c r="AB239" s="15"/>
      <c r="AC239" s="15">
        <v>186</v>
      </c>
      <c r="AD239" s="15">
        <v>168</v>
      </c>
      <c r="AE239" s="16">
        <v>168</v>
      </c>
      <c r="AF239" s="16">
        <v>87</v>
      </c>
      <c r="AG239" s="16">
        <v>119</v>
      </c>
      <c r="AH239" s="16">
        <v>4</v>
      </c>
      <c r="AI239" s="16">
        <v>31</v>
      </c>
      <c r="AJ239" s="16">
        <v>154</v>
      </c>
      <c r="AK239" s="16">
        <v>17</v>
      </c>
      <c r="AL239" s="16"/>
      <c r="AM239" s="16"/>
      <c r="AN239" s="33" t="s">
        <v>158</v>
      </c>
      <c r="AO239" s="6"/>
      <c r="AP239" s="25"/>
      <c r="AQ239" s="15"/>
      <c r="AR239" s="16" t="s">
        <v>111</v>
      </c>
      <c r="AS239" s="16" t="s">
        <v>161</v>
      </c>
      <c r="AT239" s="6"/>
      <c r="AU239" s="6"/>
      <c r="AV239" s="6"/>
      <c r="AW239" s="6"/>
      <c r="AX239" s="12" t="str">
        <f t="shared" si="14"/>
        <v/>
      </c>
      <c r="AY239" s="12" t="str">
        <f t="shared" si="15"/>
        <v/>
      </c>
      <c r="AZ239" s="18"/>
      <c r="BA239" s="19"/>
      <c r="BB239" s="19"/>
      <c r="BC239" s="19"/>
      <c r="BD239" s="19"/>
      <c r="BE239" s="19"/>
      <c r="BF239" s="19"/>
      <c r="BG239" s="19"/>
      <c r="BH239" s="19"/>
      <c r="BI239" s="19"/>
      <c r="BJ239" s="19"/>
      <c r="BK239" s="19"/>
    </row>
    <row r="240" spans="1:63" ht="20.100000000000001" hidden="1" customHeight="1" x14ac:dyDescent="0.2">
      <c r="A240" s="13">
        <v>234</v>
      </c>
      <c r="B240" s="16" t="s">
        <v>3694</v>
      </c>
      <c r="C240" s="16" t="s">
        <v>935</v>
      </c>
      <c r="D240" s="6" t="s">
        <v>3696</v>
      </c>
      <c r="E240" s="6" t="s">
        <v>243</v>
      </c>
      <c r="F240" s="6" t="s">
        <v>192</v>
      </c>
      <c r="G240" s="6"/>
      <c r="H240" s="15" t="s">
        <v>7</v>
      </c>
      <c r="I240" s="15"/>
      <c r="J240" s="15"/>
      <c r="K240" s="15"/>
      <c r="L240" s="15"/>
      <c r="M240" s="15"/>
      <c r="N240" s="15"/>
      <c r="O240" s="16" t="s">
        <v>92</v>
      </c>
      <c r="P240" s="6" t="s">
        <v>429</v>
      </c>
      <c r="Q240" s="6" t="s">
        <v>104</v>
      </c>
      <c r="R240" s="6" t="s">
        <v>3826</v>
      </c>
      <c r="S240" s="6" t="s">
        <v>142</v>
      </c>
      <c r="T240" s="15" t="s">
        <v>70</v>
      </c>
      <c r="U240" s="6" t="s">
        <v>429</v>
      </c>
      <c r="V240" s="6" t="s">
        <v>3677</v>
      </c>
      <c r="W240" s="6" t="s">
        <v>555</v>
      </c>
      <c r="X240" s="6" t="s">
        <v>3827</v>
      </c>
      <c r="Y240" s="6" t="s">
        <v>69</v>
      </c>
      <c r="Z240" s="6" t="s">
        <v>70</v>
      </c>
      <c r="AA240" s="15">
        <v>0</v>
      </c>
      <c r="AB240" s="15"/>
      <c r="AC240" s="15">
        <v>228</v>
      </c>
      <c r="AD240" s="15">
        <v>0</v>
      </c>
      <c r="AE240" s="16">
        <v>216</v>
      </c>
      <c r="AF240" s="16">
        <v>58</v>
      </c>
      <c r="AG240" s="16">
        <v>94</v>
      </c>
      <c r="AH240" s="16">
        <v>5</v>
      </c>
      <c r="AI240" s="16">
        <v>50</v>
      </c>
      <c r="AJ240" s="16">
        <v>149</v>
      </c>
      <c r="AK240" s="16">
        <v>20</v>
      </c>
      <c r="AL240" s="16">
        <v>6</v>
      </c>
      <c r="AM240" s="16"/>
      <c r="AN240" s="15"/>
      <c r="AO240" s="6"/>
      <c r="AP240" s="25"/>
      <c r="AQ240" s="15"/>
      <c r="AR240" s="16" t="s">
        <v>160</v>
      </c>
      <c r="AS240" s="16" t="s">
        <v>165</v>
      </c>
      <c r="AT240" s="6"/>
      <c r="AU240" s="6"/>
      <c r="AV240" s="6"/>
      <c r="AW240" s="6"/>
      <c r="AX240" s="12" t="str">
        <f t="shared" ref="AX240:AX305" si="16">IF(AT240*AV240&gt;0,(AT240-AV240)*12+(AU240-AW240),"")</f>
        <v/>
      </c>
      <c r="AY240" s="12" t="str">
        <f t="shared" ref="AY240:AY305" si="17">IF(AX240&lt;13,AX240,"")</f>
        <v/>
      </c>
      <c r="AZ240" s="18"/>
      <c r="BA240" s="19"/>
      <c r="BB240" s="19"/>
      <c r="BC240" s="19"/>
      <c r="BD240" s="19"/>
      <c r="BE240" s="19"/>
      <c r="BF240" s="19"/>
      <c r="BG240" s="19"/>
      <c r="BH240" s="19"/>
      <c r="BI240" s="19"/>
      <c r="BJ240" s="19"/>
      <c r="BK240" s="19"/>
    </row>
    <row r="241" spans="1:63" s="21" customFormat="1" ht="20.100000000000001" hidden="1" customHeight="1" x14ac:dyDescent="0.2">
      <c r="A241" s="13">
        <v>235</v>
      </c>
      <c r="B241" s="29" t="s">
        <v>3697</v>
      </c>
      <c r="C241" s="29" t="s">
        <v>935</v>
      </c>
      <c r="D241" s="30" t="s">
        <v>1576</v>
      </c>
      <c r="E241" s="30" t="s">
        <v>9</v>
      </c>
      <c r="F241" s="30" t="s">
        <v>202</v>
      </c>
      <c r="G241" s="30"/>
      <c r="H241" s="20" t="s">
        <v>83</v>
      </c>
      <c r="I241" s="15"/>
      <c r="J241" s="15"/>
      <c r="K241" s="15"/>
      <c r="L241" s="15"/>
      <c r="M241" s="15"/>
      <c r="N241" s="15"/>
      <c r="O241" s="29" t="s">
        <v>93</v>
      </c>
      <c r="P241" s="30"/>
      <c r="Q241" s="30" t="s">
        <v>104</v>
      </c>
      <c r="R241" s="30" t="s">
        <v>1638</v>
      </c>
      <c r="S241" s="30" t="s">
        <v>106</v>
      </c>
      <c r="T241" s="20" t="s">
        <v>107</v>
      </c>
      <c r="U241" s="30"/>
      <c r="V241" s="30" t="s">
        <v>2245</v>
      </c>
      <c r="W241" s="30" t="s">
        <v>2348</v>
      </c>
      <c r="X241" s="30" t="s">
        <v>1639</v>
      </c>
      <c r="Y241" s="30" t="s">
        <v>106</v>
      </c>
      <c r="Z241" s="30" t="s">
        <v>107</v>
      </c>
      <c r="AA241" s="20" t="s">
        <v>3739</v>
      </c>
      <c r="AB241" s="20"/>
      <c r="AC241" s="20"/>
      <c r="AD241" s="20">
        <v>228</v>
      </c>
      <c r="AE241" s="29"/>
      <c r="AF241" s="29"/>
      <c r="AG241" s="29"/>
      <c r="AH241" s="29"/>
      <c r="AI241" s="29"/>
      <c r="AJ241" s="29"/>
      <c r="AK241" s="29"/>
      <c r="AL241" s="29">
        <v>6</v>
      </c>
      <c r="AM241" s="29"/>
      <c r="AN241" s="20"/>
      <c r="AO241" s="30"/>
      <c r="AP241" s="36"/>
      <c r="AQ241" s="20"/>
      <c r="AR241" s="29"/>
      <c r="AS241" s="29"/>
      <c r="AT241" s="30" t="s">
        <v>113</v>
      </c>
      <c r="AU241" s="30" t="s">
        <v>1247</v>
      </c>
      <c r="AV241" s="30" t="s">
        <v>115</v>
      </c>
      <c r="AW241" s="30" t="s">
        <v>266</v>
      </c>
      <c r="AX241" s="31">
        <f t="shared" si="16"/>
        <v>8</v>
      </c>
      <c r="AY241" s="31">
        <f t="shared" si="17"/>
        <v>8</v>
      </c>
      <c r="AZ241" s="32"/>
    </row>
    <row r="242" spans="1:63" ht="20.100000000000001" hidden="1" customHeight="1" x14ac:dyDescent="0.2">
      <c r="A242" s="13">
        <v>236</v>
      </c>
      <c r="B242" s="16" t="s">
        <v>3697</v>
      </c>
      <c r="C242" s="16" t="s">
        <v>935</v>
      </c>
      <c r="D242" s="6" t="s">
        <v>3272</v>
      </c>
      <c r="E242" s="6" t="s">
        <v>19</v>
      </c>
      <c r="F242" s="6"/>
      <c r="G242" s="6"/>
      <c r="H242" s="15" t="s">
        <v>7</v>
      </c>
      <c r="I242" s="15"/>
      <c r="J242" s="15"/>
      <c r="K242" s="15"/>
      <c r="L242" s="15"/>
      <c r="M242" s="15"/>
      <c r="N242" s="15"/>
      <c r="O242" s="16" t="s">
        <v>84</v>
      </c>
      <c r="P242" s="35" t="s">
        <v>117</v>
      </c>
      <c r="Q242" s="35" t="s">
        <v>334</v>
      </c>
      <c r="R242" s="6" t="s">
        <v>3717</v>
      </c>
      <c r="S242" s="6" t="s">
        <v>106</v>
      </c>
      <c r="T242" s="15" t="s">
        <v>107</v>
      </c>
      <c r="U242" s="35" t="s">
        <v>470</v>
      </c>
      <c r="V242" s="35" t="s">
        <v>2961</v>
      </c>
      <c r="W242" s="35" t="s">
        <v>116</v>
      </c>
      <c r="X242" s="6" t="s">
        <v>3718</v>
      </c>
      <c r="Y242" s="6" t="s">
        <v>106</v>
      </c>
      <c r="Z242" s="6" t="s">
        <v>107</v>
      </c>
      <c r="AA242" s="15">
        <v>0</v>
      </c>
      <c r="AB242" s="15"/>
      <c r="AC242" s="15"/>
      <c r="AD242" s="15">
        <v>156</v>
      </c>
      <c r="AE242" s="16">
        <v>156</v>
      </c>
      <c r="AF242" s="16">
        <v>52</v>
      </c>
      <c r="AG242" s="16">
        <v>65</v>
      </c>
      <c r="AH242" s="16">
        <v>3</v>
      </c>
      <c r="AI242" s="16">
        <v>30</v>
      </c>
      <c r="AJ242" s="16">
        <v>98</v>
      </c>
      <c r="AK242" s="16">
        <v>12</v>
      </c>
      <c r="AL242" s="16"/>
      <c r="AM242" s="16"/>
      <c r="AN242" s="33" t="s">
        <v>158</v>
      </c>
      <c r="AO242" s="6"/>
      <c r="AP242" s="25"/>
      <c r="AQ242" s="15"/>
      <c r="AR242" s="16" t="s">
        <v>111</v>
      </c>
      <c r="AS242" s="16" t="s">
        <v>330</v>
      </c>
      <c r="AT242" s="6"/>
      <c r="AU242" s="6"/>
      <c r="AV242" s="6"/>
      <c r="AW242" s="6"/>
      <c r="AX242" s="12" t="str">
        <f t="shared" si="16"/>
        <v/>
      </c>
      <c r="AY242" s="12" t="str">
        <f t="shared" si="17"/>
        <v/>
      </c>
      <c r="AZ242" s="18"/>
      <c r="BA242" s="19"/>
      <c r="BB242" s="19"/>
      <c r="BC242" s="19"/>
      <c r="BD242" s="19"/>
      <c r="BE242" s="19"/>
      <c r="BF242" s="19"/>
      <c r="BG242" s="19"/>
      <c r="BH242" s="19"/>
      <c r="BI242" s="19"/>
      <c r="BJ242" s="19"/>
      <c r="BK242" s="19"/>
    </row>
    <row r="243" spans="1:63" ht="20.100000000000001" hidden="1" customHeight="1" x14ac:dyDescent="0.2">
      <c r="A243" s="13">
        <v>237</v>
      </c>
      <c r="B243" s="16" t="s">
        <v>3697</v>
      </c>
      <c r="C243" s="16" t="s">
        <v>935</v>
      </c>
      <c r="D243" s="6" t="s">
        <v>3616</v>
      </c>
      <c r="E243" s="6" t="s">
        <v>9</v>
      </c>
      <c r="F243" s="6"/>
      <c r="G243" s="6"/>
      <c r="H243" s="15" t="s">
        <v>7</v>
      </c>
      <c r="I243" s="15"/>
      <c r="J243" s="15"/>
      <c r="K243" s="15"/>
      <c r="L243" s="15"/>
      <c r="M243" s="15"/>
      <c r="N243" s="15"/>
      <c r="O243" s="16" t="s">
        <v>93</v>
      </c>
      <c r="P243" s="6" t="s">
        <v>155</v>
      </c>
      <c r="Q243" s="6" t="s">
        <v>155</v>
      </c>
      <c r="R243" s="6" t="s">
        <v>3719</v>
      </c>
      <c r="S243" s="6" t="s">
        <v>106</v>
      </c>
      <c r="T243" s="15" t="s">
        <v>107</v>
      </c>
      <c r="U243" s="35" t="s">
        <v>324</v>
      </c>
      <c r="V243" s="35" t="s">
        <v>3677</v>
      </c>
      <c r="W243" s="35" t="s">
        <v>441</v>
      </c>
      <c r="X243" s="6" t="s">
        <v>3720</v>
      </c>
      <c r="Y243" s="6" t="s">
        <v>106</v>
      </c>
      <c r="Z243" s="6" t="s">
        <v>107</v>
      </c>
      <c r="AA243" s="15">
        <v>0</v>
      </c>
      <c r="AB243" s="15"/>
      <c r="AC243" s="15">
        <v>221</v>
      </c>
      <c r="AD243" s="15">
        <v>0</v>
      </c>
      <c r="AE243" s="16">
        <v>210</v>
      </c>
      <c r="AF243" s="16">
        <v>151</v>
      </c>
      <c r="AG243" s="16">
        <v>172</v>
      </c>
      <c r="AH243" s="16">
        <v>8</v>
      </c>
      <c r="AI243" s="16">
        <v>40</v>
      </c>
      <c r="AJ243" s="16">
        <v>220</v>
      </c>
      <c r="AK243" s="16">
        <v>22</v>
      </c>
      <c r="AL243" s="16"/>
      <c r="AM243" s="16"/>
      <c r="AN243" s="33" t="s">
        <v>158</v>
      </c>
      <c r="AO243" s="6"/>
      <c r="AP243" s="25"/>
      <c r="AQ243" s="15"/>
      <c r="AR243" s="16" t="s">
        <v>160</v>
      </c>
      <c r="AS243" s="16" t="s">
        <v>193</v>
      </c>
      <c r="AT243" s="6"/>
      <c r="AU243" s="6"/>
      <c r="AV243" s="6"/>
      <c r="AW243" s="6"/>
      <c r="AX243" s="12" t="str">
        <f t="shared" si="16"/>
        <v/>
      </c>
      <c r="AY243" s="12" t="str">
        <f t="shared" si="17"/>
        <v/>
      </c>
      <c r="AZ243" s="18"/>
      <c r="BA243" s="19"/>
      <c r="BB243" s="19"/>
      <c r="BC243" s="19"/>
      <c r="BD243" s="19"/>
      <c r="BE243" s="19"/>
      <c r="BF243" s="19"/>
      <c r="BG243" s="19"/>
      <c r="BH243" s="19"/>
      <c r="BI243" s="19"/>
      <c r="BJ243" s="19"/>
      <c r="BK243" s="19"/>
    </row>
    <row r="244" spans="1:63" s="21" customFormat="1" ht="20.100000000000001" hidden="1" customHeight="1" x14ac:dyDescent="0.2">
      <c r="A244" s="13">
        <v>238</v>
      </c>
      <c r="B244" s="29" t="s">
        <v>3698</v>
      </c>
      <c r="C244" s="29" t="s">
        <v>935</v>
      </c>
      <c r="D244" s="30" t="s">
        <v>173</v>
      </c>
      <c r="E244" s="30" t="s">
        <v>9</v>
      </c>
      <c r="F244" s="30" t="s">
        <v>4793</v>
      </c>
      <c r="G244" s="30"/>
      <c r="H244" s="20" t="s">
        <v>83</v>
      </c>
      <c r="I244" s="15"/>
      <c r="J244" s="15"/>
      <c r="K244" s="15"/>
      <c r="L244" s="15"/>
      <c r="M244" s="15"/>
      <c r="N244" s="15"/>
      <c r="O244" s="29" t="s">
        <v>93</v>
      </c>
      <c r="P244" s="30"/>
      <c r="Q244" s="30" t="s">
        <v>117</v>
      </c>
      <c r="R244" s="30" t="s">
        <v>304</v>
      </c>
      <c r="S244" s="30" t="s">
        <v>106</v>
      </c>
      <c r="T244" s="20" t="s">
        <v>107</v>
      </c>
      <c r="U244" s="30"/>
      <c r="V244" s="30" t="s">
        <v>2961</v>
      </c>
      <c r="W244" s="30" t="s">
        <v>226</v>
      </c>
      <c r="X244" s="30" t="s">
        <v>307</v>
      </c>
      <c r="Y244" s="30" t="s">
        <v>73</v>
      </c>
      <c r="Z244" s="30" t="s">
        <v>70</v>
      </c>
      <c r="AA244" s="20" t="s">
        <v>282</v>
      </c>
      <c r="AB244" s="20"/>
      <c r="AC244" s="20"/>
      <c r="AD244" s="20">
        <v>204</v>
      </c>
      <c r="AE244" s="29"/>
      <c r="AF244" s="29"/>
      <c r="AG244" s="29"/>
      <c r="AH244" s="29"/>
      <c r="AI244" s="29"/>
      <c r="AJ244" s="29"/>
      <c r="AK244" s="29"/>
      <c r="AL244" s="29">
        <v>6</v>
      </c>
      <c r="AM244" s="29"/>
      <c r="AN244" s="20"/>
      <c r="AO244" s="30"/>
      <c r="AP244" s="36"/>
      <c r="AQ244" s="20"/>
      <c r="AR244" s="29"/>
      <c r="AS244" s="29"/>
      <c r="AT244" s="30" t="s">
        <v>113</v>
      </c>
      <c r="AU244" s="30" t="s">
        <v>1247</v>
      </c>
      <c r="AV244" s="30" t="s">
        <v>113</v>
      </c>
      <c r="AW244" s="30" t="s">
        <v>114</v>
      </c>
      <c r="AX244" s="31">
        <f t="shared" si="16"/>
        <v>4</v>
      </c>
      <c r="AY244" s="31">
        <f t="shared" si="17"/>
        <v>4</v>
      </c>
      <c r="AZ244" s="32"/>
    </row>
    <row r="245" spans="1:63" ht="20.100000000000001" hidden="1" customHeight="1" x14ac:dyDescent="0.2">
      <c r="A245" s="13">
        <v>239</v>
      </c>
      <c r="B245" s="16" t="s">
        <v>3698</v>
      </c>
      <c r="C245" s="16" t="s">
        <v>935</v>
      </c>
      <c r="D245" s="6" t="s">
        <v>3699</v>
      </c>
      <c r="E245" s="6" t="s">
        <v>20</v>
      </c>
      <c r="F245" s="6" t="s">
        <v>3661</v>
      </c>
      <c r="G245" s="6"/>
      <c r="H245" s="15" t="s">
        <v>83</v>
      </c>
      <c r="I245" s="15"/>
      <c r="J245" s="15"/>
      <c r="K245" s="15"/>
      <c r="L245" s="15"/>
      <c r="M245" s="15"/>
      <c r="N245" s="15"/>
      <c r="O245" s="16" t="s">
        <v>84</v>
      </c>
      <c r="P245" s="6"/>
      <c r="Q245" s="6" t="s">
        <v>117</v>
      </c>
      <c r="R245" s="6" t="s">
        <v>3741</v>
      </c>
      <c r="S245" s="6" t="s">
        <v>444</v>
      </c>
      <c r="T245" s="15" t="s">
        <v>107</v>
      </c>
      <c r="U245" s="6"/>
      <c r="V245" s="6" t="s">
        <v>3679</v>
      </c>
      <c r="W245" s="6" t="s">
        <v>465</v>
      </c>
      <c r="X245" s="6" t="s">
        <v>3742</v>
      </c>
      <c r="Y245" s="6" t="s">
        <v>444</v>
      </c>
      <c r="Z245" s="6" t="s">
        <v>107</v>
      </c>
      <c r="AA245" s="15" t="s">
        <v>3743</v>
      </c>
      <c r="AB245" s="15"/>
      <c r="AC245" s="15"/>
      <c r="AD245" s="15">
        <v>186</v>
      </c>
      <c r="AE245" s="16"/>
      <c r="AF245" s="16"/>
      <c r="AG245" s="16"/>
      <c r="AH245" s="16"/>
      <c r="AI245" s="16"/>
      <c r="AJ245" s="16"/>
      <c r="AK245" s="16"/>
      <c r="AL245" s="16">
        <v>6</v>
      </c>
      <c r="AM245" s="16"/>
      <c r="AN245" s="15"/>
      <c r="AO245" s="6"/>
      <c r="AP245" s="25"/>
      <c r="AQ245" s="15"/>
      <c r="AR245" s="16"/>
      <c r="AS245" s="16"/>
      <c r="AT245" s="6" t="s">
        <v>113</v>
      </c>
      <c r="AU245" s="6" t="s">
        <v>1247</v>
      </c>
      <c r="AV245" s="6" t="s">
        <v>721</v>
      </c>
      <c r="AW245" s="6" t="s">
        <v>260</v>
      </c>
      <c r="AX245" s="12">
        <f t="shared" si="16"/>
        <v>125</v>
      </c>
      <c r="AY245" s="12" t="str">
        <f t="shared" si="17"/>
        <v/>
      </c>
      <c r="AZ245" s="18"/>
      <c r="BA245" s="19"/>
      <c r="BB245" s="19"/>
      <c r="BC245" s="19"/>
      <c r="BD245" s="19"/>
      <c r="BE245" s="19"/>
      <c r="BF245" s="19"/>
      <c r="BG245" s="19"/>
      <c r="BH245" s="19"/>
      <c r="BI245" s="19"/>
      <c r="BJ245" s="19"/>
      <c r="BK245" s="19"/>
    </row>
    <row r="246" spans="1:63" ht="20.100000000000001" hidden="1" customHeight="1" x14ac:dyDescent="0.2">
      <c r="A246" s="13">
        <v>240</v>
      </c>
      <c r="B246" s="16" t="s">
        <v>3698</v>
      </c>
      <c r="C246" s="16" t="s">
        <v>935</v>
      </c>
      <c r="D246" s="6" t="s">
        <v>3700</v>
      </c>
      <c r="E246" s="6" t="s">
        <v>243</v>
      </c>
      <c r="F246" s="6"/>
      <c r="G246" s="6"/>
      <c r="H246" s="15" t="s">
        <v>7</v>
      </c>
      <c r="I246" s="15"/>
      <c r="J246" s="15"/>
      <c r="K246" s="15"/>
      <c r="L246" s="15"/>
      <c r="M246" s="15"/>
      <c r="N246" s="15"/>
      <c r="O246" s="16" t="s">
        <v>84</v>
      </c>
      <c r="P246" s="35" t="s">
        <v>141</v>
      </c>
      <c r="Q246" s="35" t="s">
        <v>334</v>
      </c>
      <c r="R246" s="6" t="s">
        <v>713</v>
      </c>
      <c r="S246" s="6" t="s">
        <v>106</v>
      </c>
      <c r="T246" s="15" t="s">
        <v>107</v>
      </c>
      <c r="U246" s="35" t="s">
        <v>492</v>
      </c>
      <c r="V246" s="35" t="s">
        <v>2961</v>
      </c>
      <c r="W246" s="35" t="s">
        <v>260</v>
      </c>
      <c r="X246" s="6" t="s">
        <v>3721</v>
      </c>
      <c r="Y246" s="6" t="s">
        <v>106</v>
      </c>
      <c r="Z246" s="6" t="s">
        <v>107</v>
      </c>
      <c r="AA246" s="15">
        <v>0</v>
      </c>
      <c r="AB246" s="15"/>
      <c r="AC246" s="15">
        <v>87</v>
      </c>
      <c r="AD246" s="15">
        <v>84</v>
      </c>
      <c r="AE246" s="16">
        <v>84</v>
      </c>
      <c r="AF246" s="16">
        <v>64</v>
      </c>
      <c r="AG246" s="16">
        <v>77</v>
      </c>
      <c r="AH246" s="16">
        <v>6</v>
      </c>
      <c r="AI246" s="16">
        <v>40</v>
      </c>
      <c r="AJ246" s="16">
        <v>143</v>
      </c>
      <c r="AK246" s="16">
        <v>11</v>
      </c>
      <c r="AL246" s="16"/>
      <c r="AM246" s="16"/>
      <c r="AN246" s="33" t="s">
        <v>158</v>
      </c>
      <c r="AO246" s="6"/>
      <c r="AP246" s="25"/>
      <c r="AQ246" s="15"/>
      <c r="AR246" s="16" t="s">
        <v>111</v>
      </c>
      <c r="AS246" s="16" t="s">
        <v>231</v>
      </c>
      <c r="AT246" s="6"/>
      <c r="AU246" s="6"/>
      <c r="AV246" s="6"/>
      <c r="AW246" s="6"/>
      <c r="AX246" s="12" t="str">
        <f t="shared" si="16"/>
        <v/>
      </c>
      <c r="AY246" s="12" t="str">
        <f t="shared" si="17"/>
        <v/>
      </c>
      <c r="AZ246" s="18"/>
      <c r="BA246" s="19"/>
      <c r="BB246" s="19"/>
      <c r="BC246" s="19"/>
      <c r="BD246" s="19"/>
      <c r="BE246" s="19"/>
      <c r="BF246" s="19"/>
      <c r="BG246" s="19"/>
      <c r="BH246" s="19"/>
      <c r="BI246" s="19"/>
      <c r="BJ246" s="19"/>
      <c r="BK246" s="19"/>
    </row>
    <row r="247" spans="1:63" ht="20.100000000000001" hidden="1" customHeight="1" x14ac:dyDescent="0.2">
      <c r="A247" s="13">
        <v>241</v>
      </c>
      <c r="B247" s="16" t="s">
        <v>3701</v>
      </c>
      <c r="C247" s="16" t="s">
        <v>935</v>
      </c>
      <c r="D247" s="6" t="s">
        <v>3650</v>
      </c>
      <c r="E247" s="6" t="s">
        <v>6</v>
      </c>
      <c r="F247" s="6"/>
      <c r="G247" s="6"/>
      <c r="H247" s="15" t="s">
        <v>7</v>
      </c>
      <c r="I247" s="15"/>
      <c r="J247" s="15"/>
      <c r="K247" s="15"/>
      <c r="L247" s="15"/>
      <c r="M247" s="15"/>
      <c r="N247" s="15"/>
      <c r="O247" s="16" t="s">
        <v>93</v>
      </c>
      <c r="P247" s="6" t="s">
        <v>155</v>
      </c>
      <c r="Q247" s="6" t="s">
        <v>155</v>
      </c>
      <c r="R247" s="6" t="s">
        <v>3722</v>
      </c>
      <c r="S247" s="6" t="s">
        <v>106</v>
      </c>
      <c r="T247" s="15" t="s">
        <v>107</v>
      </c>
      <c r="U247" s="6" t="s">
        <v>324</v>
      </c>
      <c r="V247" s="6" t="s">
        <v>3679</v>
      </c>
      <c r="W247" s="6" t="s">
        <v>718</v>
      </c>
      <c r="X247" s="6" t="s">
        <v>3723</v>
      </c>
      <c r="Y247" s="6" t="s">
        <v>106</v>
      </c>
      <c r="Z247" s="6" t="s">
        <v>107</v>
      </c>
      <c r="AA247" s="15">
        <v>0</v>
      </c>
      <c r="AB247" s="15"/>
      <c r="AC247" s="15">
        <v>228</v>
      </c>
      <c r="AD247" s="15">
        <v>216</v>
      </c>
      <c r="AE247" s="16">
        <v>216</v>
      </c>
      <c r="AF247" s="16">
        <v>130</v>
      </c>
      <c r="AG247" s="16">
        <v>151</v>
      </c>
      <c r="AH247" s="16">
        <v>8</v>
      </c>
      <c r="AI247" s="16">
        <v>25</v>
      </c>
      <c r="AJ247" s="16">
        <v>184</v>
      </c>
      <c r="AK247" s="16">
        <v>23</v>
      </c>
      <c r="AL247" s="16"/>
      <c r="AM247" s="16"/>
      <c r="AN247" s="15"/>
      <c r="AO247" s="6"/>
      <c r="AP247" s="25"/>
      <c r="AQ247" s="15"/>
      <c r="AR247" s="16" t="s">
        <v>160</v>
      </c>
      <c r="AS247" s="16" t="s">
        <v>165</v>
      </c>
      <c r="AT247" s="6"/>
      <c r="AU247" s="6"/>
      <c r="AV247" s="6"/>
      <c r="AW247" s="6"/>
      <c r="AX247" s="12" t="str">
        <f t="shared" si="16"/>
        <v/>
      </c>
      <c r="AY247" s="12" t="str">
        <f t="shared" si="17"/>
        <v/>
      </c>
      <c r="AZ247" s="18"/>
      <c r="BA247" s="19"/>
      <c r="BB247" s="19"/>
      <c r="BC247" s="19"/>
      <c r="BD247" s="19"/>
      <c r="BE247" s="19"/>
      <c r="BF247" s="19"/>
      <c r="BG247" s="19"/>
      <c r="BH247" s="19"/>
      <c r="BI247" s="19"/>
      <c r="BJ247" s="19"/>
      <c r="BK247" s="19"/>
    </row>
    <row r="248" spans="1:63" ht="20.100000000000001" hidden="1" customHeight="1" x14ac:dyDescent="0.2">
      <c r="A248" s="13">
        <v>242</v>
      </c>
      <c r="B248" s="16" t="s">
        <v>3701</v>
      </c>
      <c r="C248" s="16" t="s">
        <v>935</v>
      </c>
      <c r="D248" s="6" t="s">
        <v>3702</v>
      </c>
      <c r="E248" s="6" t="s">
        <v>243</v>
      </c>
      <c r="F248" s="6" t="s">
        <v>192</v>
      </c>
      <c r="G248" s="6"/>
      <c r="H248" s="15" t="s">
        <v>7</v>
      </c>
      <c r="I248" s="15"/>
      <c r="J248" s="15"/>
      <c r="K248" s="15"/>
      <c r="L248" s="15"/>
      <c r="M248" s="15"/>
      <c r="N248" s="15"/>
      <c r="O248" s="16" t="s">
        <v>92</v>
      </c>
      <c r="P248" s="6"/>
      <c r="Q248" s="6" t="s">
        <v>334</v>
      </c>
      <c r="R248" s="6" t="s">
        <v>3724</v>
      </c>
      <c r="S248" s="6" t="s">
        <v>69</v>
      </c>
      <c r="T248" s="15" t="s">
        <v>70</v>
      </c>
      <c r="U248" s="6"/>
      <c r="V248" s="6" t="s">
        <v>2961</v>
      </c>
      <c r="W248" s="6" t="s">
        <v>116</v>
      </c>
      <c r="X248" s="6" t="s">
        <v>3725</v>
      </c>
      <c r="Y248" s="6" t="s">
        <v>73</v>
      </c>
      <c r="Z248" s="6" t="s">
        <v>70</v>
      </c>
      <c r="AA248" s="15"/>
      <c r="AB248" s="15"/>
      <c r="AC248" s="15"/>
      <c r="AD248" s="15"/>
      <c r="AE248" s="16">
        <v>126</v>
      </c>
      <c r="AF248" s="16"/>
      <c r="AG248" s="16"/>
      <c r="AH248" s="16"/>
      <c r="AI248" s="16"/>
      <c r="AJ248" s="16"/>
      <c r="AK248" s="16"/>
      <c r="AL248" s="16">
        <v>6</v>
      </c>
      <c r="AM248" s="16"/>
      <c r="AN248" s="15"/>
      <c r="AO248" s="6"/>
      <c r="AP248" s="25"/>
      <c r="AQ248" s="15"/>
      <c r="AR248" s="16" t="s">
        <v>160</v>
      </c>
      <c r="AS248" s="16" t="s">
        <v>330</v>
      </c>
      <c r="AT248" s="6"/>
      <c r="AU248" s="6"/>
      <c r="AV248" s="6"/>
      <c r="AW248" s="6"/>
      <c r="AX248" s="12"/>
      <c r="AY248" s="12"/>
      <c r="AZ248" s="18"/>
      <c r="BA248" s="19"/>
      <c r="BB248" s="19"/>
      <c r="BC248" s="19"/>
      <c r="BD248" s="19"/>
      <c r="BE248" s="19"/>
      <c r="BF248" s="19"/>
      <c r="BG248" s="19"/>
      <c r="BH248" s="19"/>
      <c r="BI248" s="19"/>
      <c r="BJ248" s="19"/>
      <c r="BK248" s="19"/>
    </row>
    <row r="249" spans="1:63" ht="20.100000000000001" hidden="1" customHeight="1" x14ac:dyDescent="0.2">
      <c r="A249" s="13">
        <v>243</v>
      </c>
      <c r="B249" s="16" t="s">
        <v>3540</v>
      </c>
      <c r="C249" s="16" t="s">
        <v>766</v>
      </c>
      <c r="D249" s="6" t="s">
        <v>3542</v>
      </c>
      <c r="E249" s="6" t="s">
        <v>243</v>
      </c>
      <c r="F249" s="6" t="s">
        <v>192</v>
      </c>
      <c r="G249" s="6"/>
      <c r="H249" s="15" t="s">
        <v>7</v>
      </c>
      <c r="I249" s="15"/>
      <c r="J249" s="15"/>
      <c r="K249" s="15"/>
      <c r="L249" s="15"/>
      <c r="M249" s="15"/>
      <c r="N249" s="15"/>
      <c r="O249" s="16" t="s">
        <v>3576</v>
      </c>
      <c r="P249" s="6" t="s">
        <v>429</v>
      </c>
      <c r="Q249" s="6" t="s">
        <v>68</v>
      </c>
      <c r="R249" s="6" t="s">
        <v>3548</v>
      </c>
      <c r="S249" s="6" t="s">
        <v>142</v>
      </c>
      <c r="T249" s="15" t="s">
        <v>70</v>
      </c>
      <c r="U249" s="6" t="s">
        <v>429</v>
      </c>
      <c r="V249" s="6" t="s">
        <v>3679</v>
      </c>
      <c r="W249" s="6" t="s">
        <v>485</v>
      </c>
      <c r="X249" s="6" t="s">
        <v>3549</v>
      </c>
      <c r="Y249" s="6" t="s">
        <v>106</v>
      </c>
      <c r="Z249" s="6" t="s">
        <v>107</v>
      </c>
      <c r="AA249" s="15">
        <v>0</v>
      </c>
      <c r="AB249" s="15"/>
      <c r="AC249" s="15">
        <v>214</v>
      </c>
      <c r="AD249" s="15">
        <v>0</v>
      </c>
      <c r="AE249" s="16">
        <v>186</v>
      </c>
      <c r="AF249" s="16">
        <v>48</v>
      </c>
      <c r="AG249" s="16">
        <v>60</v>
      </c>
      <c r="AH249" s="16">
        <v>12</v>
      </c>
      <c r="AI249" s="16">
        <v>63</v>
      </c>
      <c r="AJ249" s="16">
        <v>135</v>
      </c>
      <c r="AK249" s="16">
        <v>30</v>
      </c>
      <c r="AL249" s="16"/>
      <c r="AM249" s="16"/>
      <c r="AN249" s="15"/>
      <c r="AO249" s="6"/>
      <c r="AP249" s="25"/>
      <c r="AQ249" s="15"/>
      <c r="AR249" s="16" t="s">
        <v>160</v>
      </c>
      <c r="AS249" s="16" t="s">
        <v>193</v>
      </c>
      <c r="AT249" s="6"/>
      <c r="AU249" s="6"/>
      <c r="AV249" s="6"/>
      <c r="AW249" s="6"/>
      <c r="AX249" s="12" t="str">
        <f t="shared" si="16"/>
        <v/>
      </c>
      <c r="AY249" s="12" t="str">
        <f t="shared" si="17"/>
        <v/>
      </c>
      <c r="AZ249" s="18"/>
      <c r="BA249" s="19"/>
      <c r="BB249" s="19"/>
      <c r="BC249" s="19"/>
      <c r="BD249" s="19"/>
      <c r="BE249" s="19"/>
      <c r="BF249" s="19"/>
      <c r="BG249" s="19"/>
      <c r="BH249" s="19"/>
      <c r="BI249" s="19"/>
      <c r="BJ249" s="19"/>
      <c r="BK249" s="19"/>
    </row>
    <row r="250" spans="1:63" ht="20.100000000000001" hidden="1" customHeight="1" x14ac:dyDescent="0.2">
      <c r="A250" s="13">
        <v>244</v>
      </c>
      <c r="B250" s="16" t="s">
        <v>3703</v>
      </c>
      <c r="C250" s="16" t="s">
        <v>935</v>
      </c>
      <c r="D250" s="6" t="s">
        <v>2356</v>
      </c>
      <c r="E250" s="6" t="s">
        <v>10</v>
      </c>
      <c r="F250" s="6"/>
      <c r="G250" s="6"/>
      <c r="H250" s="15" t="s">
        <v>7</v>
      </c>
      <c r="I250" s="15"/>
      <c r="J250" s="15"/>
      <c r="K250" s="15"/>
      <c r="L250" s="15"/>
      <c r="M250" s="15"/>
      <c r="N250" s="15"/>
      <c r="O250" s="16" t="s">
        <v>93</v>
      </c>
      <c r="P250" s="6" t="s">
        <v>334</v>
      </c>
      <c r="Q250" s="6" t="s">
        <v>334</v>
      </c>
      <c r="R250" s="6" t="s">
        <v>3726</v>
      </c>
      <c r="S250" s="6" t="s">
        <v>69</v>
      </c>
      <c r="T250" s="15" t="s">
        <v>70</v>
      </c>
      <c r="U250" s="6" t="s">
        <v>1013</v>
      </c>
      <c r="V250" s="6" t="s">
        <v>1809</v>
      </c>
      <c r="W250" s="6" t="s">
        <v>2258</v>
      </c>
      <c r="X250" s="6" t="s">
        <v>3727</v>
      </c>
      <c r="Y250" s="6" t="s">
        <v>106</v>
      </c>
      <c r="Z250" s="6" t="s">
        <v>107</v>
      </c>
      <c r="AA250" s="15">
        <v>0</v>
      </c>
      <c r="AB250" s="15"/>
      <c r="AC250" s="15">
        <v>168</v>
      </c>
      <c r="AD250" s="33">
        <v>126</v>
      </c>
      <c r="AE250" s="34">
        <v>156</v>
      </c>
      <c r="AF250" s="16">
        <v>102</v>
      </c>
      <c r="AG250" s="16">
        <v>156</v>
      </c>
      <c r="AH250" s="16">
        <v>5</v>
      </c>
      <c r="AI250" s="16">
        <v>30</v>
      </c>
      <c r="AJ250" s="16">
        <v>191</v>
      </c>
      <c r="AK250" s="16">
        <v>6</v>
      </c>
      <c r="AL250" s="16"/>
      <c r="AM250" s="16"/>
      <c r="AN250" s="15"/>
      <c r="AO250" s="6"/>
      <c r="AP250" s="25"/>
      <c r="AQ250" s="15"/>
      <c r="AR250" s="16" t="s">
        <v>111</v>
      </c>
      <c r="AS250" s="16" t="s">
        <v>112</v>
      </c>
      <c r="AT250" s="6"/>
      <c r="AU250" s="6"/>
      <c r="AV250" s="6"/>
      <c r="AW250" s="6"/>
      <c r="AX250" s="12" t="str">
        <f t="shared" si="16"/>
        <v/>
      </c>
      <c r="AY250" s="12" t="str">
        <f t="shared" si="17"/>
        <v/>
      </c>
      <c r="AZ250" s="18"/>
      <c r="BA250" s="19"/>
      <c r="BB250" s="19"/>
      <c r="BC250" s="19"/>
      <c r="BD250" s="19"/>
      <c r="BE250" s="19"/>
      <c r="BF250" s="19"/>
      <c r="BG250" s="19"/>
      <c r="BH250" s="19"/>
      <c r="BI250" s="19"/>
      <c r="BJ250" s="19"/>
      <c r="BK250" s="19"/>
    </row>
    <row r="251" spans="1:63" ht="20.100000000000001" hidden="1" customHeight="1" x14ac:dyDescent="0.2">
      <c r="A251" s="13">
        <v>245</v>
      </c>
      <c r="B251" s="16" t="s">
        <v>3704</v>
      </c>
      <c r="C251" s="16" t="s">
        <v>935</v>
      </c>
      <c r="D251" s="6" t="s">
        <v>3705</v>
      </c>
      <c r="E251" s="6" t="s">
        <v>19</v>
      </c>
      <c r="F251" s="6" t="s">
        <v>94</v>
      </c>
      <c r="G251" s="6"/>
      <c r="H251" s="15" t="s">
        <v>83</v>
      </c>
      <c r="I251" s="15"/>
      <c r="J251" s="15"/>
      <c r="K251" s="15"/>
      <c r="L251" s="15"/>
      <c r="M251" s="15"/>
      <c r="N251" s="15"/>
      <c r="O251" s="16" t="s">
        <v>93</v>
      </c>
      <c r="P251" s="6"/>
      <c r="Q251" s="6" t="s">
        <v>223</v>
      </c>
      <c r="R251" s="6" t="s">
        <v>3744</v>
      </c>
      <c r="S251" s="6" t="s">
        <v>142</v>
      </c>
      <c r="T251" s="15" t="s">
        <v>70</v>
      </c>
      <c r="U251" s="6"/>
      <c r="V251" s="6" t="s">
        <v>1809</v>
      </c>
      <c r="W251" s="6" t="s">
        <v>260</v>
      </c>
      <c r="X251" s="6" t="s">
        <v>3745</v>
      </c>
      <c r="Y251" s="6" t="s">
        <v>142</v>
      </c>
      <c r="Z251" s="6" t="s">
        <v>70</v>
      </c>
      <c r="AA251" s="15" t="s">
        <v>3746</v>
      </c>
      <c r="AB251" s="15"/>
      <c r="AC251" s="15"/>
      <c r="AD251" s="15">
        <v>144</v>
      </c>
      <c r="AE251" s="16"/>
      <c r="AF251" s="16"/>
      <c r="AG251" s="16"/>
      <c r="AH251" s="16"/>
      <c r="AI251" s="16"/>
      <c r="AJ251" s="16"/>
      <c r="AK251" s="16"/>
      <c r="AL251" s="16">
        <v>3</v>
      </c>
      <c r="AM251" s="16"/>
      <c r="AN251" s="15"/>
      <c r="AO251" s="6"/>
      <c r="AP251" s="25"/>
      <c r="AQ251" s="15"/>
      <c r="AR251" s="16"/>
      <c r="AS251" s="16"/>
      <c r="AT251" s="6" t="s">
        <v>113</v>
      </c>
      <c r="AU251" s="6" t="s">
        <v>1247</v>
      </c>
      <c r="AV251" s="6" t="s">
        <v>400</v>
      </c>
      <c r="AW251" s="6" t="s">
        <v>344</v>
      </c>
      <c r="AX251" s="12">
        <f t="shared" si="16"/>
        <v>82</v>
      </c>
      <c r="AY251" s="12" t="str">
        <f t="shared" si="17"/>
        <v/>
      </c>
      <c r="AZ251" s="18"/>
      <c r="BA251" s="19"/>
      <c r="BB251" s="19"/>
      <c r="BC251" s="19"/>
      <c r="BD251" s="19"/>
      <c r="BE251" s="19"/>
      <c r="BF251" s="19"/>
      <c r="BG251" s="19"/>
      <c r="BH251" s="19"/>
      <c r="BI251" s="19"/>
      <c r="BJ251" s="19"/>
      <c r="BK251" s="19"/>
    </row>
    <row r="252" spans="1:63" ht="20.100000000000001" hidden="1" customHeight="1" x14ac:dyDescent="0.2">
      <c r="A252" s="13">
        <v>246</v>
      </c>
      <c r="B252" s="16" t="s">
        <v>3704</v>
      </c>
      <c r="C252" s="16" t="s">
        <v>935</v>
      </c>
      <c r="D252" s="6" t="s">
        <v>3706</v>
      </c>
      <c r="E252" s="6" t="s">
        <v>9</v>
      </c>
      <c r="F252" s="6" t="s">
        <v>3661</v>
      </c>
      <c r="G252" s="6"/>
      <c r="H252" s="15" t="s">
        <v>83</v>
      </c>
      <c r="I252" s="15"/>
      <c r="J252" s="15"/>
      <c r="K252" s="15"/>
      <c r="L252" s="15"/>
      <c r="M252" s="15"/>
      <c r="N252" s="15"/>
      <c r="O252" s="16" t="s">
        <v>93</v>
      </c>
      <c r="P252" s="6"/>
      <c r="Q252" s="6" t="s">
        <v>218</v>
      </c>
      <c r="R252" s="6" t="s">
        <v>3747</v>
      </c>
      <c r="S252" s="6" t="s">
        <v>142</v>
      </c>
      <c r="T252" s="15" t="s">
        <v>70</v>
      </c>
      <c r="U252" s="6"/>
      <c r="V252" s="6" t="s">
        <v>3678</v>
      </c>
      <c r="W252" s="6" t="s">
        <v>555</v>
      </c>
      <c r="X252" s="6" t="s">
        <v>3748</v>
      </c>
      <c r="Y252" s="6" t="s">
        <v>142</v>
      </c>
      <c r="Z252" s="6" t="s">
        <v>70</v>
      </c>
      <c r="AA252" s="15" t="s">
        <v>3749</v>
      </c>
      <c r="AB252" s="15"/>
      <c r="AC252" s="15"/>
      <c r="AD252" s="15">
        <v>198</v>
      </c>
      <c r="AE252" s="16"/>
      <c r="AF252" s="16"/>
      <c r="AG252" s="16"/>
      <c r="AH252" s="16"/>
      <c r="AI252" s="16"/>
      <c r="AJ252" s="16"/>
      <c r="AK252" s="16"/>
      <c r="AL252" s="16">
        <v>6</v>
      </c>
      <c r="AM252" s="16"/>
      <c r="AN252" s="15"/>
      <c r="AO252" s="6"/>
      <c r="AP252" s="25"/>
      <c r="AQ252" s="15"/>
      <c r="AR252" s="16"/>
      <c r="AS252" s="16"/>
      <c r="AT252" s="6" t="s">
        <v>113</v>
      </c>
      <c r="AU252" s="6" t="s">
        <v>1247</v>
      </c>
      <c r="AV252" s="6" t="s">
        <v>259</v>
      </c>
      <c r="AW252" s="6" t="s">
        <v>137</v>
      </c>
      <c r="AX252" s="12">
        <f t="shared" si="16"/>
        <v>95</v>
      </c>
      <c r="AY252" s="12" t="str">
        <f t="shared" si="17"/>
        <v/>
      </c>
      <c r="AZ252" s="18"/>
      <c r="BA252" s="19"/>
      <c r="BB252" s="19"/>
      <c r="BC252" s="19"/>
      <c r="BD252" s="19"/>
      <c r="BE252" s="19"/>
      <c r="BF252" s="19"/>
      <c r="BG252" s="19"/>
      <c r="BH252" s="19"/>
      <c r="BI252" s="19"/>
      <c r="BJ252" s="19"/>
      <c r="BK252" s="19"/>
    </row>
    <row r="253" spans="1:63" ht="20.100000000000001" hidden="1" customHeight="1" x14ac:dyDescent="0.2">
      <c r="A253" s="13">
        <v>247</v>
      </c>
      <c r="B253" s="16" t="s">
        <v>3704</v>
      </c>
      <c r="C253" s="16" t="s">
        <v>935</v>
      </c>
      <c r="D253" s="6" t="s">
        <v>3212</v>
      </c>
      <c r="E253" s="6" t="s">
        <v>6</v>
      </c>
      <c r="F253" s="6" t="s">
        <v>185</v>
      </c>
      <c r="G253" s="6"/>
      <c r="H253" s="15" t="s">
        <v>83</v>
      </c>
      <c r="I253" s="15"/>
      <c r="J253" s="15"/>
      <c r="K253" s="15"/>
      <c r="L253" s="15"/>
      <c r="M253" s="15"/>
      <c r="N253" s="15"/>
      <c r="O253" s="16" t="s">
        <v>84</v>
      </c>
      <c r="P253" s="6"/>
      <c r="Q253" s="6" t="s">
        <v>68</v>
      </c>
      <c r="R253" s="6" t="s">
        <v>3750</v>
      </c>
      <c r="S253" s="6" t="s">
        <v>206</v>
      </c>
      <c r="T253" s="15" t="s">
        <v>107</v>
      </c>
      <c r="U253" s="6"/>
      <c r="V253" s="6" t="s">
        <v>3677</v>
      </c>
      <c r="W253" s="6" t="s">
        <v>485</v>
      </c>
      <c r="X253" s="6" t="s">
        <v>3751</v>
      </c>
      <c r="Y253" s="6" t="s">
        <v>142</v>
      </c>
      <c r="Z253" s="6" t="s">
        <v>70</v>
      </c>
      <c r="AA253" s="15" t="s">
        <v>3752</v>
      </c>
      <c r="AB253" s="15"/>
      <c r="AC253" s="15"/>
      <c r="AD253" s="15">
        <v>180</v>
      </c>
      <c r="AE253" s="16"/>
      <c r="AF253" s="16"/>
      <c r="AG253" s="16"/>
      <c r="AH253" s="16"/>
      <c r="AI253" s="16"/>
      <c r="AJ253" s="16"/>
      <c r="AK253" s="16"/>
      <c r="AL253" s="16">
        <v>6</v>
      </c>
      <c r="AM253" s="16"/>
      <c r="AN253" s="15"/>
      <c r="AO253" s="6"/>
      <c r="AP253" s="25"/>
      <c r="AQ253" s="15"/>
      <c r="AR253" s="16"/>
      <c r="AS253" s="16"/>
      <c r="AT253" s="6" t="s">
        <v>113</v>
      </c>
      <c r="AU253" s="6" t="s">
        <v>1247</v>
      </c>
      <c r="AV253" s="6" t="s">
        <v>348</v>
      </c>
      <c r="AW253" s="6" t="s">
        <v>116</v>
      </c>
      <c r="AX253" s="12">
        <f t="shared" si="16"/>
        <v>42</v>
      </c>
      <c r="AY253" s="12" t="str">
        <f t="shared" si="17"/>
        <v/>
      </c>
      <c r="AZ253" s="18"/>
      <c r="BA253" s="19"/>
      <c r="BB253" s="19"/>
      <c r="BC253" s="19"/>
      <c r="BD253" s="19"/>
      <c r="BE253" s="19"/>
      <c r="BF253" s="19"/>
      <c r="BG253" s="19"/>
      <c r="BH253" s="19"/>
      <c r="BI253" s="19"/>
      <c r="BJ253" s="19"/>
      <c r="BK253" s="19"/>
    </row>
    <row r="254" spans="1:63" ht="20.100000000000001" hidden="1" customHeight="1" x14ac:dyDescent="0.2">
      <c r="A254" s="13">
        <v>248</v>
      </c>
      <c r="B254" s="16" t="s">
        <v>3707</v>
      </c>
      <c r="C254" s="16" t="s">
        <v>935</v>
      </c>
      <c r="D254" s="6" t="s">
        <v>597</v>
      </c>
      <c r="E254" s="6" t="s">
        <v>9</v>
      </c>
      <c r="F254" s="6"/>
      <c r="G254" s="6"/>
      <c r="H254" s="15" t="s">
        <v>7</v>
      </c>
      <c r="I254" s="15"/>
      <c r="J254" s="15"/>
      <c r="K254" s="15"/>
      <c r="L254" s="15"/>
      <c r="M254" s="15"/>
      <c r="N254" s="15"/>
      <c r="O254" s="16" t="s">
        <v>3714</v>
      </c>
      <c r="P254" s="35" t="s">
        <v>155</v>
      </c>
      <c r="Q254" s="35" t="s">
        <v>218</v>
      </c>
      <c r="R254" s="6" t="s">
        <v>3728</v>
      </c>
      <c r="S254" s="6" t="s">
        <v>106</v>
      </c>
      <c r="T254" s="15" t="s">
        <v>107</v>
      </c>
      <c r="U254" s="6" t="s">
        <v>167</v>
      </c>
      <c r="V254" s="6" t="s">
        <v>3679</v>
      </c>
      <c r="W254" s="6" t="s">
        <v>441</v>
      </c>
      <c r="X254" s="6" t="s">
        <v>3729</v>
      </c>
      <c r="Y254" s="6" t="s">
        <v>106</v>
      </c>
      <c r="Z254" s="6" t="s">
        <v>107</v>
      </c>
      <c r="AA254" s="15">
        <v>0</v>
      </c>
      <c r="AB254" s="15"/>
      <c r="AC254" s="15">
        <v>239</v>
      </c>
      <c r="AD254" s="15">
        <v>222</v>
      </c>
      <c r="AE254" s="16">
        <v>222</v>
      </c>
      <c r="AF254" s="16">
        <v>156</v>
      </c>
      <c r="AG254" s="16">
        <v>172</v>
      </c>
      <c r="AH254" s="16">
        <v>9</v>
      </c>
      <c r="AI254" s="16">
        <v>30</v>
      </c>
      <c r="AJ254" s="16">
        <v>211</v>
      </c>
      <c r="AK254" s="16">
        <v>23</v>
      </c>
      <c r="AL254" s="16"/>
      <c r="AM254" s="16"/>
      <c r="AN254" s="33" t="s">
        <v>158</v>
      </c>
      <c r="AO254" s="6"/>
      <c r="AP254" s="25"/>
      <c r="AQ254" s="15"/>
      <c r="AR254" s="16" t="s">
        <v>160</v>
      </c>
      <c r="AS254" s="16" t="s">
        <v>165</v>
      </c>
      <c r="AT254" s="6"/>
      <c r="AU254" s="6"/>
      <c r="AV254" s="6"/>
      <c r="AW254" s="6"/>
      <c r="AX254" s="12" t="str">
        <f t="shared" si="16"/>
        <v/>
      </c>
      <c r="AY254" s="12" t="str">
        <f t="shared" si="17"/>
        <v/>
      </c>
      <c r="AZ254" s="18"/>
      <c r="BA254" s="19"/>
      <c r="BB254" s="19"/>
      <c r="BC254" s="19"/>
      <c r="BD254" s="19"/>
      <c r="BE254" s="19"/>
      <c r="BF254" s="19"/>
      <c r="BG254" s="19"/>
      <c r="BH254" s="19"/>
      <c r="BI254" s="19"/>
      <c r="BJ254" s="19"/>
      <c r="BK254" s="19"/>
    </row>
    <row r="255" spans="1:63" ht="20.100000000000001" hidden="1" customHeight="1" x14ac:dyDescent="0.2">
      <c r="A255" s="13">
        <v>249</v>
      </c>
      <c r="B255" s="16" t="s">
        <v>3708</v>
      </c>
      <c r="C255" s="16" t="s">
        <v>935</v>
      </c>
      <c r="D255" s="6" t="s">
        <v>173</v>
      </c>
      <c r="E255" s="6" t="s">
        <v>9</v>
      </c>
      <c r="F255" s="6"/>
      <c r="G255" s="6"/>
      <c r="H255" s="15" t="s">
        <v>7</v>
      </c>
      <c r="I255" s="15"/>
      <c r="J255" s="15"/>
      <c r="K255" s="15"/>
      <c r="L255" s="15"/>
      <c r="M255" s="15"/>
      <c r="N255" s="15"/>
      <c r="O255" s="16" t="s">
        <v>93</v>
      </c>
      <c r="P255" s="6" t="s">
        <v>117</v>
      </c>
      <c r="Q255" s="6" t="s">
        <v>117</v>
      </c>
      <c r="R255" s="6"/>
      <c r="S255" s="6" t="s">
        <v>69</v>
      </c>
      <c r="T255" s="15" t="s">
        <v>70</v>
      </c>
      <c r="U255" s="6" t="s">
        <v>306</v>
      </c>
      <c r="V255" s="6" t="s">
        <v>2961</v>
      </c>
      <c r="W255" s="6" t="s">
        <v>226</v>
      </c>
      <c r="X255" s="6" t="s">
        <v>309</v>
      </c>
      <c r="Y255" s="6" t="s">
        <v>106</v>
      </c>
      <c r="Z255" s="6" t="s">
        <v>107</v>
      </c>
      <c r="AA255" s="15">
        <v>0</v>
      </c>
      <c r="AB255" s="15"/>
      <c r="AC255" s="15">
        <v>217</v>
      </c>
      <c r="AD255" s="15">
        <v>204</v>
      </c>
      <c r="AE255" s="16">
        <v>204</v>
      </c>
      <c r="AF255" s="16">
        <v>163</v>
      </c>
      <c r="AG255" s="16">
        <v>181</v>
      </c>
      <c r="AH255" s="16">
        <v>3</v>
      </c>
      <c r="AI255" s="16">
        <v>30</v>
      </c>
      <c r="AJ255" s="16">
        <v>214</v>
      </c>
      <c r="AK255" s="16">
        <v>11</v>
      </c>
      <c r="AL255" s="16">
        <v>6</v>
      </c>
      <c r="AM255" s="16"/>
      <c r="AN255" s="15"/>
      <c r="AO255" s="6"/>
      <c r="AP255" s="25"/>
      <c r="AQ255" s="15"/>
      <c r="AR255" s="16" t="s">
        <v>111</v>
      </c>
      <c r="AS255" s="16" t="s">
        <v>161</v>
      </c>
      <c r="AT255" s="6"/>
      <c r="AU255" s="6"/>
      <c r="AV255" s="6"/>
      <c r="AW255" s="6"/>
      <c r="AX255" s="12" t="str">
        <f t="shared" si="16"/>
        <v/>
      </c>
      <c r="AY255" s="12" t="str">
        <f t="shared" si="17"/>
        <v/>
      </c>
      <c r="AZ255" s="18"/>
      <c r="BA255" s="19"/>
      <c r="BB255" s="19"/>
      <c r="BC255" s="19"/>
      <c r="BD255" s="19"/>
      <c r="BE255" s="19"/>
      <c r="BF255" s="19"/>
      <c r="BG255" s="19"/>
      <c r="BH255" s="19"/>
      <c r="BI255" s="19"/>
      <c r="BJ255" s="19"/>
      <c r="BK255" s="19"/>
    </row>
    <row r="256" spans="1:63" ht="20.100000000000001" hidden="1" customHeight="1" x14ac:dyDescent="0.2">
      <c r="A256" s="13">
        <v>250</v>
      </c>
      <c r="B256" s="16" t="s">
        <v>3708</v>
      </c>
      <c r="C256" s="16" t="s">
        <v>935</v>
      </c>
      <c r="D256" s="6" t="s">
        <v>3709</v>
      </c>
      <c r="E256" s="6" t="s">
        <v>9</v>
      </c>
      <c r="F256" s="6" t="s">
        <v>1587</v>
      </c>
      <c r="G256" s="6"/>
      <c r="H256" s="15" t="s">
        <v>83</v>
      </c>
      <c r="I256" s="15"/>
      <c r="J256" s="15"/>
      <c r="K256" s="15"/>
      <c r="L256" s="15"/>
      <c r="M256" s="15"/>
      <c r="N256" s="15"/>
      <c r="O256" s="16" t="s">
        <v>84</v>
      </c>
      <c r="P256" s="6"/>
      <c r="Q256" s="6" t="s">
        <v>141</v>
      </c>
      <c r="R256" s="6" t="s">
        <v>3753</v>
      </c>
      <c r="S256" s="6" t="s">
        <v>262</v>
      </c>
      <c r="T256" s="15" t="s">
        <v>70</v>
      </c>
      <c r="U256" s="6"/>
      <c r="V256" s="6" t="s">
        <v>2961</v>
      </c>
      <c r="W256" s="6" t="s">
        <v>2258</v>
      </c>
      <c r="X256" s="6" t="s">
        <v>3754</v>
      </c>
      <c r="Y256" s="6" t="s">
        <v>73</v>
      </c>
      <c r="Z256" s="6" t="s">
        <v>70</v>
      </c>
      <c r="AA256" s="15" t="s">
        <v>3755</v>
      </c>
      <c r="AB256" s="15"/>
      <c r="AC256" s="15"/>
      <c r="AD256" s="15">
        <v>126</v>
      </c>
      <c r="AE256" s="16"/>
      <c r="AF256" s="16"/>
      <c r="AG256" s="16"/>
      <c r="AH256" s="16"/>
      <c r="AI256" s="16"/>
      <c r="AJ256" s="16"/>
      <c r="AK256" s="16"/>
      <c r="AL256" s="16">
        <v>4</v>
      </c>
      <c r="AM256" s="16"/>
      <c r="AN256" s="15"/>
      <c r="AO256" s="6"/>
      <c r="AP256" s="25"/>
      <c r="AQ256" s="15"/>
      <c r="AR256" s="16"/>
      <c r="AS256" s="16"/>
      <c r="AT256" s="6" t="s">
        <v>113</v>
      </c>
      <c r="AU256" s="6" t="s">
        <v>1247</v>
      </c>
      <c r="AV256" s="6" t="s">
        <v>136</v>
      </c>
      <c r="AW256" s="6" t="s">
        <v>116</v>
      </c>
      <c r="AX256" s="12">
        <f t="shared" si="16"/>
        <v>18</v>
      </c>
      <c r="AY256" s="12" t="str">
        <f t="shared" si="17"/>
        <v/>
      </c>
      <c r="AZ256" s="18"/>
      <c r="BA256" s="19"/>
      <c r="BB256" s="19"/>
      <c r="BC256" s="19"/>
      <c r="BD256" s="19"/>
      <c r="BE256" s="19"/>
      <c r="BF256" s="19"/>
      <c r="BG256" s="19"/>
      <c r="BH256" s="19"/>
      <c r="BI256" s="19"/>
      <c r="BJ256" s="19"/>
      <c r="BK256" s="19"/>
    </row>
    <row r="257" spans="1:63" ht="20.100000000000001" hidden="1" customHeight="1" x14ac:dyDescent="0.2">
      <c r="A257" s="13">
        <v>251</v>
      </c>
      <c r="B257" s="16" t="s">
        <v>3710</v>
      </c>
      <c r="C257" s="16" t="s">
        <v>1056</v>
      </c>
      <c r="D257" s="6" t="s">
        <v>3699</v>
      </c>
      <c r="E257" s="6" t="s">
        <v>20</v>
      </c>
      <c r="F257" s="6"/>
      <c r="G257" s="6"/>
      <c r="H257" s="15" t="s">
        <v>7</v>
      </c>
      <c r="I257" s="15"/>
      <c r="J257" s="15"/>
      <c r="K257" s="15"/>
      <c r="L257" s="15"/>
      <c r="M257" s="15"/>
      <c r="N257" s="15"/>
      <c r="O257" s="16" t="s">
        <v>84</v>
      </c>
      <c r="P257" s="6" t="s">
        <v>117</v>
      </c>
      <c r="Q257" s="6" t="s">
        <v>117</v>
      </c>
      <c r="R257" s="6" t="s">
        <v>3730</v>
      </c>
      <c r="S257" s="6" t="s">
        <v>106</v>
      </c>
      <c r="T257" s="15" t="s">
        <v>107</v>
      </c>
      <c r="U257" s="35" t="s">
        <v>470</v>
      </c>
      <c r="V257" s="35" t="s">
        <v>1510</v>
      </c>
      <c r="W257" s="35" t="s">
        <v>260</v>
      </c>
      <c r="X257" s="6" t="s">
        <v>3731</v>
      </c>
      <c r="Y257" s="6" t="s">
        <v>106</v>
      </c>
      <c r="Z257" s="6" t="s">
        <v>107</v>
      </c>
      <c r="AA257" s="15">
        <v>0</v>
      </c>
      <c r="AB257" s="15"/>
      <c r="AC257" s="15">
        <v>192</v>
      </c>
      <c r="AD257" s="15">
        <v>186</v>
      </c>
      <c r="AE257" s="16">
        <v>186</v>
      </c>
      <c r="AF257" s="16">
        <v>86</v>
      </c>
      <c r="AG257" s="16">
        <v>122</v>
      </c>
      <c r="AH257" s="16">
        <v>3</v>
      </c>
      <c r="AI257" s="16">
        <v>43</v>
      </c>
      <c r="AJ257" s="16">
        <v>168</v>
      </c>
      <c r="AK257" s="16">
        <v>15</v>
      </c>
      <c r="AL257" s="16"/>
      <c r="AM257" s="16"/>
      <c r="AN257" s="33" t="s">
        <v>158</v>
      </c>
      <c r="AO257" s="6"/>
      <c r="AP257" s="25"/>
      <c r="AQ257" s="15"/>
      <c r="AR257" s="16" t="s">
        <v>111</v>
      </c>
      <c r="AS257" s="16" t="s">
        <v>112</v>
      </c>
      <c r="AT257" s="6"/>
      <c r="AU257" s="6"/>
      <c r="AV257" s="6"/>
      <c r="AW257" s="6"/>
      <c r="AX257" s="12" t="str">
        <f t="shared" si="16"/>
        <v/>
      </c>
      <c r="AY257" s="12" t="str">
        <f t="shared" si="17"/>
        <v/>
      </c>
      <c r="AZ257" s="18"/>
      <c r="BA257" s="19"/>
      <c r="BB257" s="19"/>
      <c r="BC257" s="19"/>
      <c r="BD257" s="19"/>
      <c r="BE257" s="19"/>
      <c r="BF257" s="19"/>
      <c r="BG257" s="19"/>
      <c r="BH257" s="19"/>
      <c r="BI257" s="19"/>
      <c r="BJ257" s="19"/>
      <c r="BK257" s="19"/>
    </row>
    <row r="258" spans="1:63" ht="20.100000000000001" hidden="1" customHeight="1" x14ac:dyDescent="0.2">
      <c r="A258" s="13">
        <v>252</v>
      </c>
      <c r="B258" s="16" t="s">
        <v>3710</v>
      </c>
      <c r="C258" s="16" t="s">
        <v>1056</v>
      </c>
      <c r="D258" s="6" t="s">
        <v>3713</v>
      </c>
      <c r="E258" s="6" t="s">
        <v>243</v>
      </c>
      <c r="F258" s="6" t="s">
        <v>192</v>
      </c>
      <c r="G258" s="6"/>
      <c r="H258" s="15" t="s">
        <v>7</v>
      </c>
      <c r="I258" s="15"/>
      <c r="J258" s="15"/>
      <c r="K258" s="15"/>
      <c r="L258" s="15"/>
      <c r="M258" s="15"/>
      <c r="N258" s="15"/>
      <c r="O258" s="16" t="s">
        <v>92</v>
      </c>
      <c r="P258" s="6"/>
      <c r="Q258" s="6" t="s">
        <v>117</v>
      </c>
      <c r="R258" s="6" t="s">
        <v>3733</v>
      </c>
      <c r="S258" s="6" t="s">
        <v>106</v>
      </c>
      <c r="T258" s="15" t="s">
        <v>107</v>
      </c>
      <c r="U258" s="6" t="s">
        <v>429</v>
      </c>
      <c r="V258" s="6" t="s">
        <v>3680</v>
      </c>
      <c r="W258" s="6" t="s">
        <v>441</v>
      </c>
      <c r="X258" s="6" t="s">
        <v>3734</v>
      </c>
      <c r="Y258" s="6" t="s">
        <v>73</v>
      </c>
      <c r="Z258" s="6" t="s">
        <v>70</v>
      </c>
      <c r="AA258" s="15">
        <v>0</v>
      </c>
      <c r="AB258" s="15"/>
      <c r="AC258" s="15">
        <v>195</v>
      </c>
      <c r="AD258" s="15">
        <v>0</v>
      </c>
      <c r="AE258" s="16">
        <v>177</v>
      </c>
      <c r="AF258" s="16">
        <v>59</v>
      </c>
      <c r="AG258" s="16">
        <v>80</v>
      </c>
      <c r="AH258" s="16">
        <v>5</v>
      </c>
      <c r="AI258" s="16">
        <v>40</v>
      </c>
      <c r="AJ258" s="16">
        <v>125</v>
      </c>
      <c r="AK258" s="16">
        <v>20</v>
      </c>
      <c r="AL258" s="16"/>
      <c r="AM258" s="16"/>
      <c r="AN258" s="15"/>
      <c r="AO258" s="6"/>
      <c r="AP258" s="25"/>
      <c r="AQ258" s="15"/>
      <c r="AR258" s="16" t="s">
        <v>160</v>
      </c>
      <c r="AS258" s="16" t="s">
        <v>161</v>
      </c>
      <c r="AT258" s="6"/>
      <c r="AU258" s="6"/>
      <c r="AV258" s="6"/>
      <c r="AW258" s="6"/>
      <c r="AX258" s="12" t="str">
        <f t="shared" si="16"/>
        <v/>
      </c>
      <c r="AY258" s="12" t="str">
        <f t="shared" si="17"/>
        <v/>
      </c>
      <c r="AZ258" s="18"/>
      <c r="BA258" s="19"/>
      <c r="BB258" s="19"/>
      <c r="BC258" s="19"/>
      <c r="BD258" s="19"/>
      <c r="BE258" s="19"/>
      <c r="BF258" s="19"/>
      <c r="BG258" s="19"/>
      <c r="BH258" s="19"/>
      <c r="BI258" s="19"/>
      <c r="BJ258" s="19"/>
      <c r="BK258" s="19"/>
    </row>
    <row r="259" spans="1:63" ht="20.100000000000001" hidden="1" customHeight="1" x14ac:dyDescent="0.2">
      <c r="A259" s="13">
        <v>253</v>
      </c>
      <c r="B259" s="16" t="s">
        <v>3711</v>
      </c>
      <c r="C259" s="16" t="s">
        <v>1056</v>
      </c>
      <c r="D259" s="6" t="s">
        <v>1739</v>
      </c>
      <c r="E259" s="6" t="s">
        <v>9</v>
      </c>
      <c r="F259" s="6"/>
      <c r="G259" s="6"/>
      <c r="H259" s="15" t="s">
        <v>7</v>
      </c>
      <c r="I259" s="15"/>
      <c r="J259" s="15"/>
      <c r="K259" s="15"/>
      <c r="L259" s="15"/>
      <c r="M259" s="15"/>
      <c r="N259" s="15"/>
      <c r="O259" s="16" t="s">
        <v>84</v>
      </c>
      <c r="P259" s="35" t="s">
        <v>226</v>
      </c>
      <c r="Q259" s="35" t="s">
        <v>223</v>
      </c>
      <c r="R259" s="6" t="s">
        <v>3735</v>
      </c>
      <c r="S259" s="6" t="s">
        <v>106</v>
      </c>
      <c r="T259" s="15" t="s">
        <v>107</v>
      </c>
      <c r="U259" s="35" t="s">
        <v>278</v>
      </c>
      <c r="V259" s="35" t="s">
        <v>1809</v>
      </c>
      <c r="W259" s="35" t="s">
        <v>441</v>
      </c>
      <c r="X259" s="6" t="s">
        <v>3736</v>
      </c>
      <c r="Y259" s="6" t="s">
        <v>69</v>
      </c>
      <c r="Z259" s="6" t="s">
        <v>70</v>
      </c>
      <c r="AA259" s="15">
        <v>0</v>
      </c>
      <c r="AB259" s="15"/>
      <c r="AC259" s="15">
        <v>111</v>
      </c>
      <c r="AD259" s="15">
        <v>97</v>
      </c>
      <c r="AE259" s="16">
        <v>97</v>
      </c>
      <c r="AF259" s="16">
        <v>63</v>
      </c>
      <c r="AG259" s="16">
        <v>98</v>
      </c>
      <c r="AH259" s="16">
        <v>3</v>
      </c>
      <c r="AI259" s="16">
        <v>30</v>
      </c>
      <c r="AJ259" s="16">
        <v>131</v>
      </c>
      <c r="AK259" s="16">
        <v>7</v>
      </c>
      <c r="AL259" s="16">
        <v>4</v>
      </c>
      <c r="AM259" s="16"/>
      <c r="AN259" s="33" t="s">
        <v>158</v>
      </c>
      <c r="AO259" s="6"/>
      <c r="AP259" s="25"/>
      <c r="AQ259" s="15"/>
      <c r="AR259" s="16" t="s">
        <v>111</v>
      </c>
      <c r="AS259" s="16" t="s">
        <v>1956</v>
      </c>
      <c r="AT259" s="6"/>
      <c r="AU259" s="6"/>
      <c r="AV259" s="6"/>
      <c r="AW259" s="6"/>
      <c r="AX259" s="12" t="str">
        <f t="shared" si="16"/>
        <v/>
      </c>
      <c r="AY259" s="12" t="str">
        <f t="shared" si="17"/>
        <v/>
      </c>
      <c r="AZ259" s="18"/>
      <c r="BA259" s="19"/>
      <c r="BB259" s="19"/>
      <c r="BC259" s="19"/>
      <c r="BD259" s="19"/>
      <c r="BE259" s="19"/>
      <c r="BF259" s="19"/>
      <c r="BG259" s="19"/>
      <c r="BH259" s="19"/>
      <c r="BI259" s="19"/>
      <c r="BJ259" s="19"/>
      <c r="BK259" s="19"/>
    </row>
    <row r="260" spans="1:63" ht="20.100000000000001" hidden="1" customHeight="1" x14ac:dyDescent="0.2">
      <c r="A260" s="13">
        <v>254</v>
      </c>
      <c r="B260" s="16" t="s">
        <v>3712</v>
      </c>
      <c r="C260" s="16" t="s">
        <v>1056</v>
      </c>
      <c r="D260" s="6" t="s">
        <v>3706</v>
      </c>
      <c r="E260" s="6" t="s">
        <v>9</v>
      </c>
      <c r="F260" s="6"/>
      <c r="G260" s="6"/>
      <c r="H260" s="15" t="s">
        <v>7</v>
      </c>
      <c r="I260" s="15"/>
      <c r="J260" s="15"/>
      <c r="K260" s="15"/>
      <c r="L260" s="15"/>
      <c r="M260" s="15"/>
      <c r="N260" s="15"/>
      <c r="O260" s="16" t="s">
        <v>93</v>
      </c>
      <c r="P260" s="35" t="s">
        <v>218</v>
      </c>
      <c r="Q260" s="35" t="s">
        <v>155</v>
      </c>
      <c r="R260" s="6" t="s">
        <v>3737</v>
      </c>
      <c r="S260" s="6" t="s">
        <v>262</v>
      </c>
      <c r="T260" s="15" t="s">
        <v>70</v>
      </c>
      <c r="U260" s="35" t="s">
        <v>899</v>
      </c>
      <c r="V260" s="35" t="s">
        <v>3679</v>
      </c>
      <c r="W260" s="35" t="s">
        <v>441</v>
      </c>
      <c r="X260" s="6" t="s">
        <v>3738</v>
      </c>
      <c r="Y260" s="6" t="s">
        <v>106</v>
      </c>
      <c r="Z260" s="6" t="s">
        <v>107</v>
      </c>
      <c r="AA260" s="15">
        <v>0</v>
      </c>
      <c r="AB260" s="15"/>
      <c r="AC260" s="15">
        <v>210</v>
      </c>
      <c r="AD260" s="15">
        <v>198</v>
      </c>
      <c r="AE260" s="16">
        <v>198</v>
      </c>
      <c r="AF260" s="16">
        <v>161</v>
      </c>
      <c r="AG260" s="16">
        <v>170</v>
      </c>
      <c r="AH260" s="16">
        <v>6</v>
      </c>
      <c r="AI260" s="16">
        <v>5</v>
      </c>
      <c r="AJ260" s="16">
        <v>181</v>
      </c>
      <c r="AK260" s="16">
        <v>28</v>
      </c>
      <c r="AL260" s="16">
        <v>6</v>
      </c>
      <c r="AM260" s="16"/>
      <c r="AN260" s="33" t="s">
        <v>158</v>
      </c>
      <c r="AO260" s="6"/>
      <c r="AP260" s="25"/>
      <c r="AQ260" s="15"/>
      <c r="AR260" s="16" t="s">
        <v>160</v>
      </c>
      <c r="AS260" s="16" t="s">
        <v>165</v>
      </c>
      <c r="AT260" s="6"/>
      <c r="AU260" s="6"/>
      <c r="AV260" s="6"/>
      <c r="AW260" s="6"/>
      <c r="AX260" s="12" t="str">
        <f t="shared" si="16"/>
        <v/>
      </c>
      <c r="AY260" s="12" t="str">
        <f t="shared" si="17"/>
        <v/>
      </c>
      <c r="AZ260" s="18"/>
      <c r="BA260" s="19"/>
      <c r="BB260" s="19"/>
      <c r="BC260" s="19"/>
      <c r="BD260" s="19"/>
      <c r="BE260" s="19"/>
      <c r="BF260" s="19"/>
      <c r="BG260" s="19"/>
      <c r="BH260" s="19"/>
      <c r="BI260" s="19"/>
      <c r="BJ260" s="19"/>
      <c r="BK260" s="19"/>
    </row>
    <row r="261" spans="1:63" ht="20.100000000000001" hidden="1" customHeight="1" x14ac:dyDescent="0.2">
      <c r="A261" s="13">
        <v>255</v>
      </c>
      <c r="B261" s="16" t="s">
        <v>3756</v>
      </c>
      <c r="C261" s="16" t="s">
        <v>1056</v>
      </c>
      <c r="D261" s="6" t="s">
        <v>283</v>
      </c>
      <c r="E261" s="6" t="s">
        <v>19</v>
      </c>
      <c r="F261" s="6"/>
      <c r="G261" s="6"/>
      <c r="H261" s="15" t="s">
        <v>7</v>
      </c>
      <c r="I261" s="15"/>
      <c r="J261" s="15"/>
      <c r="K261" s="15"/>
      <c r="L261" s="15"/>
      <c r="M261" s="15"/>
      <c r="N261" s="15"/>
      <c r="O261" s="16" t="s">
        <v>84</v>
      </c>
      <c r="P261" s="35" t="s">
        <v>104</v>
      </c>
      <c r="Q261" s="35" t="s">
        <v>117</v>
      </c>
      <c r="R261" s="6" t="s">
        <v>3758</v>
      </c>
      <c r="S261" s="6" t="s">
        <v>142</v>
      </c>
      <c r="T261" s="15" t="s">
        <v>70</v>
      </c>
      <c r="U261" s="35" t="s">
        <v>361</v>
      </c>
      <c r="V261" s="35" t="s">
        <v>1510</v>
      </c>
      <c r="W261" s="35" t="s">
        <v>2258</v>
      </c>
      <c r="X261" s="6" t="s">
        <v>3759</v>
      </c>
      <c r="Y261" s="6" t="s">
        <v>106</v>
      </c>
      <c r="Z261" s="6" t="s">
        <v>107</v>
      </c>
      <c r="AA261" s="15">
        <v>0</v>
      </c>
      <c r="AB261" s="15"/>
      <c r="AC261" s="15">
        <v>235</v>
      </c>
      <c r="AD261" s="15">
        <v>222</v>
      </c>
      <c r="AE261" s="16">
        <v>222</v>
      </c>
      <c r="AF261" s="16"/>
      <c r="AG261" s="16">
        <v>130</v>
      </c>
      <c r="AH261" s="16">
        <v>12</v>
      </c>
      <c r="AI261" s="16">
        <v>40</v>
      </c>
      <c r="AJ261" s="16">
        <v>182</v>
      </c>
      <c r="AK261" s="16">
        <v>15</v>
      </c>
      <c r="AL261" s="16">
        <v>4</v>
      </c>
      <c r="AM261" s="16"/>
      <c r="AN261" s="33" t="s">
        <v>158</v>
      </c>
      <c r="AO261" s="6"/>
      <c r="AP261" s="25"/>
      <c r="AQ261" s="15"/>
      <c r="AR261" s="16" t="s">
        <v>160</v>
      </c>
      <c r="AS261" s="16" t="s">
        <v>161</v>
      </c>
      <c r="AT261" s="6"/>
      <c r="AU261" s="6"/>
      <c r="AV261" s="6"/>
      <c r="AW261" s="6"/>
      <c r="AX261" s="12" t="str">
        <f t="shared" si="16"/>
        <v/>
      </c>
      <c r="AY261" s="12" t="str">
        <f t="shared" si="17"/>
        <v/>
      </c>
      <c r="AZ261" s="18"/>
      <c r="BA261" s="19"/>
      <c r="BB261" s="19"/>
      <c r="BC261" s="19"/>
      <c r="BD261" s="19"/>
      <c r="BE261" s="19"/>
      <c r="BF261" s="19"/>
      <c r="BG261" s="19"/>
      <c r="BH261" s="19"/>
      <c r="BI261" s="19"/>
      <c r="BJ261" s="19"/>
      <c r="BK261" s="19"/>
    </row>
    <row r="262" spans="1:63" ht="20.100000000000001" hidden="1" customHeight="1" x14ac:dyDescent="0.2">
      <c r="A262" s="13">
        <v>256</v>
      </c>
      <c r="B262" s="16" t="s">
        <v>3756</v>
      </c>
      <c r="C262" s="16" t="s">
        <v>1056</v>
      </c>
      <c r="D262" s="6" t="s">
        <v>3757</v>
      </c>
      <c r="E262" s="6" t="s">
        <v>6</v>
      </c>
      <c r="F262" s="6" t="s">
        <v>192</v>
      </c>
      <c r="G262" s="6"/>
      <c r="H262" s="15" t="s">
        <v>7</v>
      </c>
      <c r="I262" s="15"/>
      <c r="J262" s="15"/>
      <c r="K262" s="15"/>
      <c r="L262" s="15"/>
      <c r="M262" s="15"/>
      <c r="N262" s="15"/>
      <c r="O262" s="16" t="s">
        <v>92</v>
      </c>
      <c r="P262" s="6" t="s">
        <v>429</v>
      </c>
      <c r="Q262" s="6" t="s">
        <v>68</v>
      </c>
      <c r="R262" s="6" t="s">
        <v>3760</v>
      </c>
      <c r="S262" s="6" t="s">
        <v>106</v>
      </c>
      <c r="T262" s="15" t="s">
        <v>107</v>
      </c>
      <c r="U262" s="6" t="s">
        <v>429</v>
      </c>
      <c r="V262" s="6" t="s">
        <v>3679</v>
      </c>
      <c r="W262" s="6" t="s">
        <v>485</v>
      </c>
      <c r="X262" s="6" t="s">
        <v>3761</v>
      </c>
      <c r="Y262" s="6" t="s">
        <v>106</v>
      </c>
      <c r="Z262" s="6" t="s">
        <v>107</v>
      </c>
      <c r="AA262" s="15">
        <v>0</v>
      </c>
      <c r="AB262" s="15"/>
      <c r="AC262" s="15">
        <v>193</v>
      </c>
      <c r="AD262" s="15">
        <v>0</v>
      </c>
      <c r="AE262" s="16">
        <v>180</v>
      </c>
      <c r="AF262" s="16">
        <v>78</v>
      </c>
      <c r="AG262" s="16">
        <v>103</v>
      </c>
      <c r="AH262" s="16">
        <v>10</v>
      </c>
      <c r="AI262" s="16">
        <v>43</v>
      </c>
      <c r="AJ262" s="16">
        <v>156</v>
      </c>
      <c r="AK262" s="16">
        <v>26</v>
      </c>
      <c r="AL262" s="96">
        <v>6</v>
      </c>
      <c r="AM262" s="16"/>
      <c r="AN262" s="15"/>
      <c r="AO262" s="6"/>
      <c r="AP262" s="25"/>
      <c r="AQ262" s="15"/>
      <c r="AR262" s="16" t="s">
        <v>160</v>
      </c>
      <c r="AS262" s="16" t="s">
        <v>193</v>
      </c>
      <c r="AT262" s="6"/>
      <c r="AU262" s="6"/>
      <c r="AV262" s="6"/>
      <c r="AW262" s="6"/>
      <c r="AX262" s="12" t="str">
        <f t="shared" si="16"/>
        <v/>
      </c>
      <c r="AY262" s="12" t="str">
        <f t="shared" si="17"/>
        <v/>
      </c>
      <c r="AZ262" s="18"/>
      <c r="BA262" s="19"/>
      <c r="BB262" s="19"/>
      <c r="BC262" s="19"/>
      <c r="BD262" s="19"/>
      <c r="BE262" s="19"/>
      <c r="BF262" s="19"/>
      <c r="BG262" s="19"/>
      <c r="BH262" s="19"/>
      <c r="BI262" s="19"/>
      <c r="BJ262" s="19"/>
      <c r="BK262" s="19"/>
    </row>
    <row r="263" spans="1:63" ht="20.100000000000001" hidden="1" customHeight="1" x14ac:dyDescent="0.2">
      <c r="A263" s="13">
        <v>257</v>
      </c>
      <c r="B263" s="16" t="s">
        <v>3762</v>
      </c>
      <c r="C263" s="16" t="s">
        <v>1056</v>
      </c>
      <c r="D263" s="6" t="s">
        <v>2918</v>
      </c>
      <c r="E263" s="6" t="s">
        <v>10</v>
      </c>
      <c r="F263" s="6" t="s">
        <v>922</v>
      </c>
      <c r="G263" s="6"/>
      <c r="H263" s="15" t="s">
        <v>83</v>
      </c>
      <c r="I263" s="15"/>
      <c r="J263" s="15"/>
      <c r="K263" s="15"/>
      <c r="L263" s="15"/>
      <c r="M263" s="15"/>
      <c r="N263" s="15"/>
      <c r="O263" s="16" t="s">
        <v>84</v>
      </c>
      <c r="P263" s="6" t="s">
        <v>429</v>
      </c>
      <c r="Q263" s="6" t="s">
        <v>155</v>
      </c>
      <c r="R263" s="6" t="s">
        <v>3767</v>
      </c>
      <c r="S263" s="6" t="s">
        <v>119</v>
      </c>
      <c r="T263" s="15" t="s">
        <v>107</v>
      </c>
      <c r="U263" s="6" t="s">
        <v>429</v>
      </c>
      <c r="V263" s="6" t="s">
        <v>3677</v>
      </c>
      <c r="W263" s="6" t="s">
        <v>718</v>
      </c>
      <c r="X263" s="6" t="s">
        <v>3768</v>
      </c>
      <c r="Y263" s="6" t="s">
        <v>119</v>
      </c>
      <c r="Z263" s="6" t="s">
        <v>107</v>
      </c>
      <c r="AA263" s="15" t="s">
        <v>3769</v>
      </c>
      <c r="AB263" s="15"/>
      <c r="AC263" s="15"/>
      <c r="AD263" s="15">
        <v>204</v>
      </c>
      <c r="AE263" s="16"/>
      <c r="AF263" s="16"/>
      <c r="AG263" s="16"/>
      <c r="AH263" s="16"/>
      <c r="AI263" s="16"/>
      <c r="AJ263" s="16"/>
      <c r="AK263" s="16"/>
      <c r="AL263" s="16">
        <v>6</v>
      </c>
      <c r="AM263" s="16"/>
      <c r="AN263" s="15"/>
      <c r="AO263" s="6"/>
      <c r="AP263" s="25"/>
      <c r="AQ263" s="15"/>
      <c r="AR263" s="16"/>
      <c r="AS263" s="16"/>
      <c r="AT263" s="6" t="s">
        <v>113</v>
      </c>
      <c r="AU263" s="6" t="s">
        <v>137</v>
      </c>
      <c r="AV263" s="6" t="s">
        <v>208</v>
      </c>
      <c r="AW263" s="6" t="s">
        <v>441</v>
      </c>
      <c r="AX263" s="12">
        <f t="shared" si="16"/>
        <v>32</v>
      </c>
      <c r="AY263" s="12" t="str">
        <f t="shared" si="17"/>
        <v/>
      </c>
      <c r="AZ263" s="18"/>
      <c r="BA263" s="19"/>
      <c r="BB263" s="19"/>
      <c r="BC263" s="19"/>
      <c r="BD263" s="19"/>
      <c r="BE263" s="19"/>
      <c r="BF263" s="19"/>
      <c r="BG263" s="19"/>
      <c r="BH263" s="19"/>
      <c r="BI263" s="19"/>
      <c r="BJ263" s="19"/>
      <c r="BK263" s="19"/>
    </row>
    <row r="264" spans="1:63" ht="20.100000000000001" hidden="1" customHeight="1" x14ac:dyDescent="0.2">
      <c r="A264" s="13">
        <v>258</v>
      </c>
      <c r="B264" s="16" t="s">
        <v>3763</v>
      </c>
      <c r="C264" s="16" t="s">
        <v>1056</v>
      </c>
      <c r="D264" s="6" t="s">
        <v>523</v>
      </c>
      <c r="E264" s="6" t="s">
        <v>10</v>
      </c>
      <c r="F264" s="6" t="s">
        <v>185</v>
      </c>
      <c r="G264" s="6"/>
      <c r="H264" s="15" t="s">
        <v>83</v>
      </c>
      <c r="I264" s="15"/>
      <c r="J264" s="15"/>
      <c r="K264" s="15"/>
      <c r="L264" s="15"/>
      <c r="M264" s="15"/>
      <c r="N264" s="15"/>
      <c r="O264" s="16" t="s">
        <v>84</v>
      </c>
      <c r="P264" s="6" t="s">
        <v>429</v>
      </c>
      <c r="Q264" s="6" t="s">
        <v>155</v>
      </c>
      <c r="R264" s="6" t="s">
        <v>530</v>
      </c>
      <c r="S264" s="6" t="s">
        <v>106</v>
      </c>
      <c r="T264" s="15" t="s">
        <v>107</v>
      </c>
      <c r="U264" s="6" t="s">
        <v>429</v>
      </c>
      <c r="V264" s="6" t="s">
        <v>3677</v>
      </c>
      <c r="W264" s="6" t="s">
        <v>718</v>
      </c>
      <c r="X264" s="6" t="s">
        <v>531</v>
      </c>
      <c r="Y264" s="6" t="s">
        <v>119</v>
      </c>
      <c r="Z264" s="6" t="s">
        <v>107</v>
      </c>
      <c r="AA264" s="15" t="s">
        <v>3770</v>
      </c>
      <c r="AB264" s="15"/>
      <c r="AC264" s="15"/>
      <c r="AD264" s="15">
        <v>210</v>
      </c>
      <c r="AE264" s="16"/>
      <c r="AF264" s="16"/>
      <c r="AG264" s="16"/>
      <c r="AH264" s="16"/>
      <c r="AI264" s="16"/>
      <c r="AJ264" s="16"/>
      <c r="AK264" s="16"/>
      <c r="AL264" s="16">
        <v>6</v>
      </c>
      <c r="AM264" s="16"/>
      <c r="AN264" s="15"/>
      <c r="AO264" s="6"/>
      <c r="AP264" s="25"/>
      <c r="AQ264" s="15"/>
      <c r="AR264" s="16"/>
      <c r="AS264" s="16"/>
      <c r="AT264" s="6" t="s">
        <v>113</v>
      </c>
      <c r="AU264" s="6" t="s">
        <v>137</v>
      </c>
      <c r="AV264" s="6" t="s">
        <v>115</v>
      </c>
      <c r="AW264" s="6" t="s">
        <v>296</v>
      </c>
      <c r="AX264" s="12">
        <f t="shared" si="16"/>
        <v>16</v>
      </c>
      <c r="AY264" s="12" t="str">
        <f t="shared" si="17"/>
        <v/>
      </c>
      <c r="AZ264" s="18"/>
      <c r="BA264" s="19"/>
      <c r="BB264" s="19"/>
      <c r="BC264" s="19"/>
      <c r="BD264" s="19"/>
      <c r="BE264" s="19"/>
      <c r="BF264" s="19"/>
      <c r="BG264" s="19"/>
      <c r="BH264" s="19"/>
      <c r="BI264" s="19"/>
      <c r="BJ264" s="19"/>
      <c r="BK264" s="19"/>
    </row>
    <row r="265" spans="1:63" ht="20.100000000000001" hidden="1" customHeight="1" x14ac:dyDescent="0.2">
      <c r="A265" s="13">
        <v>259</v>
      </c>
      <c r="B265" s="16" t="s">
        <v>3763</v>
      </c>
      <c r="C265" s="16" t="s">
        <v>1056</v>
      </c>
      <c r="D265" s="6" t="s">
        <v>3764</v>
      </c>
      <c r="E265" s="6" t="s">
        <v>10</v>
      </c>
      <c r="F265" s="6" t="s">
        <v>185</v>
      </c>
      <c r="G265" s="6"/>
      <c r="H265" s="15" t="s">
        <v>83</v>
      </c>
      <c r="I265" s="15"/>
      <c r="J265" s="15"/>
      <c r="K265" s="15"/>
      <c r="L265" s="15"/>
      <c r="M265" s="15"/>
      <c r="N265" s="15"/>
      <c r="O265" s="16" t="s">
        <v>84</v>
      </c>
      <c r="P265" s="6" t="s">
        <v>429</v>
      </c>
      <c r="Q265" s="6" t="s">
        <v>104</v>
      </c>
      <c r="R265" s="6" t="s">
        <v>3771</v>
      </c>
      <c r="S265" s="6" t="s">
        <v>142</v>
      </c>
      <c r="T265" s="15" t="s">
        <v>70</v>
      </c>
      <c r="U265" s="6" t="s">
        <v>429</v>
      </c>
      <c r="V265" s="6" t="s">
        <v>1510</v>
      </c>
      <c r="W265" s="6" t="s">
        <v>769</v>
      </c>
      <c r="X265" s="6" t="s">
        <v>3772</v>
      </c>
      <c r="Y265" s="6" t="s">
        <v>142</v>
      </c>
      <c r="Z265" s="6" t="s">
        <v>70</v>
      </c>
      <c r="AA265" s="15" t="s">
        <v>3773</v>
      </c>
      <c r="AB265" s="15"/>
      <c r="AC265" s="15"/>
      <c r="AD265" s="15">
        <v>198</v>
      </c>
      <c r="AE265" s="16"/>
      <c r="AF265" s="16"/>
      <c r="AG265" s="16"/>
      <c r="AH265" s="16"/>
      <c r="AI265" s="16"/>
      <c r="AJ265" s="16"/>
      <c r="AK265" s="16"/>
      <c r="AL265" s="16">
        <v>4</v>
      </c>
      <c r="AM265" s="16"/>
      <c r="AN265" s="15"/>
      <c r="AO265" s="6"/>
      <c r="AP265" s="25"/>
      <c r="AQ265" s="15"/>
      <c r="AR265" s="16"/>
      <c r="AS265" s="16"/>
      <c r="AT265" s="6" t="s">
        <v>113</v>
      </c>
      <c r="AU265" s="6" t="s">
        <v>137</v>
      </c>
      <c r="AV265" s="6" t="s">
        <v>123</v>
      </c>
      <c r="AW265" s="6" t="s">
        <v>260</v>
      </c>
      <c r="AX265" s="12">
        <f t="shared" si="16"/>
        <v>54</v>
      </c>
      <c r="AY265" s="12" t="str">
        <f t="shared" si="17"/>
        <v/>
      </c>
      <c r="AZ265" s="18"/>
      <c r="BA265" s="19"/>
      <c r="BB265" s="19"/>
      <c r="BC265" s="19"/>
      <c r="BD265" s="19"/>
      <c r="BE265" s="19"/>
      <c r="BF265" s="19"/>
      <c r="BG265" s="19"/>
      <c r="BH265" s="19"/>
      <c r="BI265" s="19"/>
      <c r="BJ265" s="19"/>
      <c r="BK265" s="19"/>
    </row>
    <row r="266" spans="1:63" ht="20.100000000000001" hidden="1" customHeight="1" x14ac:dyDescent="0.2">
      <c r="A266" s="13">
        <v>260</v>
      </c>
      <c r="B266" s="16" t="s">
        <v>3765</v>
      </c>
      <c r="C266" s="16" t="s">
        <v>1056</v>
      </c>
      <c r="D266" s="6" t="s">
        <v>3766</v>
      </c>
      <c r="E266" s="6" t="s">
        <v>6</v>
      </c>
      <c r="F266" s="6" t="s">
        <v>94</v>
      </c>
      <c r="G266" s="6"/>
      <c r="H266" s="15" t="s">
        <v>83</v>
      </c>
      <c r="I266" s="15"/>
      <c r="J266" s="15"/>
      <c r="K266" s="15"/>
      <c r="L266" s="15"/>
      <c r="M266" s="15"/>
      <c r="N266" s="15"/>
      <c r="O266" s="16" t="s">
        <v>93</v>
      </c>
      <c r="P266" s="6" t="s">
        <v>429</v>
      </c>
      <c r="Q266" s="6" t="s">
        <v>155</v>
      </c>
      <c r="R266" s="6" t="s">
        <v>3774</v>
      </c>
      <c r="S266" s="6" t="s">
        <v>69</v>
      </c>
      <c r="T266" s="15" t="s">
        <v>70</v>
      </c>
      <c r="U266" s="6" t="s">
        <v>429</v>
      </c>
      <c r="V266" s="6" t="s">
        <v>3679</v>
      </c>
      <c r="W266" s="6" t="s">
        <v>718</v>
      </c>
      <c r="X266" s="6" t="s">
        <v>3775</v>
      </c>
      <c r="Y266" s="6" t="s">
        <v>69</v>
      </c>
      <c r="Z266" s="6" t="s">
        <v>70</v>
      </c>
      <c r="AA266" s="15" t="s">
        <v>3776</v>
      </c>
      <c r="AB266" s="15"/>
      <c r="AC266" s="15"/>
      <c r="AD266" s="15">
        <v>190</v>
      </c>
      <c r="AE266" s="16"/>
      <c r="AF266" s="16"/>
      <c r="AG266" s="16"/>
      <c r="AH266" s="16"/>
      <c r="AI266" s="16"/>
      <c r="AJ266" s="16"/>
      <c r="AK266" s="16"/>
      <c r="AL266" s="16">
        <v>6</v>
      </c>
      <c r="AM266" s="16"/>
      <c r="AN266" s="15"/>
      <c r="AO266" s="6"/>
      <c r="AP266" s="25"/>
      <c r="AQ266" s="15"/>
      <c r="AR266" s="16"/>
      <c r="AS266" s="16"/>
      <c r="AT266" s="6" t="s">
        <v>113</v>
      </c>
      <c r="AU266" s="6" t="s">
        <v>137</v>
      </c>
      <c r="AV266" s="6" t="s">
        <v>400</v>
      </c>
      <c r="AW266" s="6" t="s">
        <v>266</v>
      </c>
      <c r="AX266" s="12">
        <f t="shared" si="16"/>
        <v>81</v>
      </c>
      <c r="AY266" s="12" t="str">
        <f t="shared" si="17"/>
        <v/>
      </c>
      <c r="AZ266" s="18"/>
      <c r="BA266" s="19"/>
      <c r="BB266" s="19"/>
      <c r="BC266" s="19"/>
      <c r="BD266" s="19"/>
      <c r="BE266" s="19"/>
      <c r="BF266" s="19"/>
      <c r="BG266" s="19"/>
      <c r="BH266" s="19"/>
      <c r="BI266" s="19"/>
      <c r="BJ266" s="19"/>
      <c r="BK266" s="19"/>
    </row>
    <row r="267" spans="1:63" s="21" customFormat="1" ht="20.100000000000001" hidden="1" customHeight="1" x14ac:dyDescent="0.2">
      <c r="A267" s="13">
        <v>261</v>
      </c>
      <c r="B267" s="29" t="s">
        <v>3765</v>
      </c>
      <c r="C267" s="29" t="s">
        <v>1056</v>
      </c>
      <c r="D267" s="30" t="s">
        <v>1670</v>
      </c>
      <c r="E267" s="30" t="s">
        <v>8</v>
      </c>
      <c r="F267" s="30" t="s">
        <v>186</v>
      </c>
      <c r="G267" s="30"/>
      <c r="H267" s="20" t="s">
        <v>83</v>
      </c>
      <c r="I267" s="20"/>
      <c r="J267" s="20"/>
      <c r="K267" s="20"/>
      <c r="L267" s="20"/>
      <c r="M267" s="20"/>
      <c r="N267" s="20"/>
      <c r="O267" s="29" t="s">
        <v>84</v>
      </c>
      <c r="P267" s="30" t="s">
        <v>429</v>
      </c>
      <c r="Q267" s="30" t="s">
        <v>140</v>
      </c>
      <c r="R267" s="30" t="s">
        <v>888</v>
      </c>
      <c r="S267" s="30" t="s">
        <v>106</v>
      </c>
      <c r="T267" s="20" t="s">
        <v>107</v>
      </c>
      <c r="U267" s="30" t="s">
        <v>429</v>
      </c>
      <c r="V267" s="30" t="s">
        <v>3679</v>
      </c>
      <c r="W267" s="30" t="s">
        <v>506</v>
      </c>
      <c r="X267" s="30" t="s">
        <v>1671</v>
      </c>
      <c r="Y267" s="30" t="s">
        <v>106</v>
      </c>
      <c r="Z267" s="30" t="s">
        <v>107</v>
      </c>
      <c r="AA267" s="20" t="s">
        <v>3777</v>
      </c>
      <c r="AB267" s="20"/>
      <c r="AC267" s="20"/>
      <c r="AD267" s="20">
        <v>156</v>
      </c>
      <c r="AE267" s="29"/>
      <c r="AF267" s="29"/>
      <c r="AG267" s="29"/>
      <c r="AH267" s="29"/>
      <c r="AI267" s="29"/>
      <c r="AJ267" s="29"/>
      <c r="AK267" s="29"/>
      <c r="AL267" s="29">
        <v>6</v>
      </c>
      <c r="AM267" s="29"/>
      <c r="AN267" s="20"/>
      <c r="AO267" s="30"/>
      <c r="AP267" s="36"/>
      <c r="AQ267" s="20"/>
      <c r="AR267" s="29"/>
      <c r="AS267" s="29"/>
      <c r="AT267" s="30" t="s">
        <v>113</v>
      </c>
      <c r="AU267" s="30" t="s">
        <v>137</v>
      </c>
      <c r="AV267" s="30" t="s">
        <v>115</v>
      </c>
      <c r="AW267" s="30" t="s">
        <v>266</v>
      </c>
      <c r="AX267" s="31">
        <f t="shared" si="16"/>
        <v>9</v>
      </c>
      <c r="AY267" s="31">
        <f t="shared" si="17"/>
        <v>9</v>
      </c>
      <c r="AZ267" s="32"/>
    </row>
    <row r="268" spans="1:63" ht="20.100000000000001" hidden="1" customHeight="1" x14ac:dyDescent="0.2">
      <c r="A268" s="13">
        <v>262</v>
      </c>
      <c r="B268" s="16" t="s">
        <v>3778</v>
      </c>
      <c r="C268" s="16" t="s">
        <v>1056</v>
      </c>
      <c r="D268" s="6" t="s">
        <v>3212</v>
      </c>
      <c r="E268" s="6" t="s">
        <v>6</v>
      </c>
      <c r="F268" s="6"/>
      <c r="G268" s="6"/>
      <c r="H268" s="15" t="s">
        <v>7</v>
      </c>
      <c r="I268" s="15"/>
      <c r="J268" s="15"/>
      <c r="K268" s="15"/>
      <c r="L268" s="15"/>
      <c r="M268" s="15"/>
      <c r="N268" s="15"/>
      <c r="O268" s="16" t="s">
        <v>93</v>
      </c>
      <c r="P268" s="35" t="s">
        <v>68</v>
      </c>
      <c r="Q268" s="35" t="s">
        <v>141</v>
      </c>
      <c r="R268" s="6" t="s">
        <v>3802</v>
      </c>
      <c r="S268" s="6" t="s">
        <v>142</v>
      </c>
      <c r="T268" s="15" t="s">
        <v>70</v>
      </c>
      <c r="U268" s="35" t="s">
        <v>263</v>
      </c>
      <c r="V268" s="35" t="s">
        <v>1809</v>
      </c>
      <c r="W268" s="35" t="s">
        <v>1581</v>
      </c>
      <c r="X268" s="6" t="s">
        <v>3803</v>
      </c>
      <c r="Y268" s="6" t="s">
        <v>69</v>
      </c>
      <c r="Z268" s="6" t="s">
        <v>70</v>
      </c>
      <c r="AA268" s="15">
        <v>0</v>
      </c>
      <c r="AB268" s="15"/>
      <c r="AC268" s="15">
        <v>188</v>
      </c>
      <c r="AD268" s="15">
        <v>180</v>
      </c>
      <c r="AE268" s="16">
        <v>183</v>
      </c>
      <c r="AF268" s="16">
        <v>155</v>
      </c>
      <c r="AG268" s="16">
        <v>171</v>
      </c>
      <c r="AH268" s="16">
        <v>9</v>
      </c>
      <c r="AI268" s="16">
        <v>43</v>
      </c>
      <c r="AJ268" s="16">
        <v>223</v>
      </c>
      <c r="AK268" s="16">
        <v>6</v>
      </c>
      <c r="AL268" s="16">
        <v>3</v>
      </c>
      <c r="AM268" s="16"/>
      <c r="AN268" s="15"/>
      <c r="AO268" s="6"/>
      <c r="AP268" s="25"/>
      <c r="AQ268" s="15"/>
      <c r="AR268" s="16" t="s">
        <v>111</v>
      </c>
      <c r="AS268" s="16" t="s">
        <v>231</v>
      </c>
      <c r="AT268" s="6"/>
      <c r="AU268" s="6"/>
      <c r="AV268" s="6"/>
      <c r="AW268" s="6"/>
      <c r="AX268" s="12" t="str">
        <f t="shared" si="16"/>
        <v/>
      </c>
      <c r="AY268" s="12" t="str">
        <f t="shared" si="17"/>
        <v/>
      </c>
      <c r="AZ268" s="18"/>
      <c r="BA268" s="19"/>
      <c r="BB268" s="19"/>
      <c r="BC268" s="19"/>
      <c r="BD268" s="19"/>
      <c r="BE268" s="19"/>
      <c r="BF268" s="19"/>
      <c r="BG268" s="19"/>
      <c r="BH268" s="19"/>
      <c r="BI268" s="19"/>
      <c r="BJ268" s="19"/>
      <c r="BK268" s="19"/>
    </row>
    <row r="269" spans="1:63" ht="20.100000000000001" hidden="1" customHeight="1" x14ac:dyDescent="0.2">
      <c r="A269" s="13">
        <v>263</v>
      </c>
      <c r="B269" s="16" t="s">
        <v>3779</v>
      </c>
      <c r="C269" s="16" t="s">
        <v>1056</v>
      </c>
      <c r="D269" s="6" t="s">
        <v>3783</v>
      </c>
      <c r="E269" s="6" t="s">
        <v>10</v>
      </c>
      <c r="F269" s="6" t="s">
        <v>186</v>
      </c>
      <c r="G269" s="6"/>
      <c r="H269" s="15" t="s">
        <v>83</v>
      </c>
      <c r="I269" s="15"/>
      <c r="J269" s="15"/>
      <c r="K269" s="15"/>
      <c r="L269" s="15"/>
      <c r="M269" s="15"/>
      <c r="N269" s="15"/>
      <c r="O269" s="16" t="s">
        <v>92</v>
      </c>
      <c r="P269" s="6" t="s">
        <v>429</v>
      </c>
      <c r="Q269" s="6" t="s">
        <v>68</v>
      </c>
      <c r="R269" s="6" t="s">
        <v>3786</v>
      </c>
      <c r="S269" s="6" t="s">
        <v>369</v>
      </c>
      <c r="T269" s="15" t="s">
        <v>369</v>
      </c>
      <c r="U269" s="6" t="s">
        <v>429</v>
      </c>
      <c r="V269" s="6" t="s">
        <v>3679</v>
      </c>
      <c r="W269" s="6" t="s">
        <v>485</v>
      </c>
      <c r="X269" s="6" t="s">
        <v>3787</v>
      </c>
      <c r="Y269" s="6" t="s">
        <v>206</v>
      </c>
      <c r="Z269" s="6" t="s">
        <v>107</v>
      </c>
      <c r="AA269" s="15" t="s">
        <v>3788</v>
      </c>
      <c r="AB269" s="15"/>
      <c r="AC269" s="15"/>
      <c r="AD269" s="15">
        <v>183</v>
      </c>
      <c r="AE269" s="16"/>
      <c r="AF269" s="16"/>
      <c r="AG269" s="16"/>
      <c r="AH269" s="16"/>
      <c r="AI269" s="16"/>
      <c r="AJ269" s="16"/>
      <c r="AK269" s="16"/>
      <c r="AL269" s="16">
        <v>6</v>
      </c>
      <c r="AM269" s="16"/>
      <c r="AN269" s="15"/>
      <c r="AO269" s="6"/>
      <c r="AP269" s="25"/>
      <c r="AQ269" s="15"/>
      <c r="AR269" s="16"/>
      <c r="AS269" s="16"/>
      <c r="AT269" s="6" t="s">
        <v>113</v>
      </c>
      <c r="AU269" s="6" t="s">
        <v>137</v>
      </c>
      <c r="AV269" s="6" t="s">
        <v>123</v>
      </c>
      <c r="AW269" s="6" t="s">
        <v>718</v>
      </c>
      <c r="AX269" s="12">
        <f t="shared" si="16"/>
        <v>57</v>
      </c>
      <c r="AY269" s="12" t="str">
        <f t="shared" si="17"/>
        <v/>
      </c>
      <c r="AZ269" s="18"/>
      <c r="BA269" s="19"/>
      <c r="BB269" s="19"/>
      <c r="BC269" s="19"/>
      <c r="BD269" s="19"/>
      <c r="BE269" s="19"/>
      <c r="BF269" s="19"/>
      <c r="BG269" s="19"/>
      <c r="BH269" s="19"/>
      <c r="BI269" s="19"/>
      <c r="BJ269" s="19"/>
      <c r="BK269" s="19"/>
    </row>
    <row r="270" spans="1:63" ht="20.100000000000001" hidden="1" customHeight="1" x14ac:dyDescent="0.2">
      <c r="A270" s="13">
        <v>264</v>
      </c>
      <c r="B270" s="16" t="s">
        <v>3779</v>
      </c>
      <c r="C270" s="16" t="s">
        <v>1056</v>
      </c>
      <c r="D270" s="6" t="s">
        <v>1670</v>
      </c>
      <c r="E270" s="6" t="s">
        <v>8</v>
      </c>
      <c r="F270" s="6"/>
      <c r="G270" s="6"/>
      <c r="H270" s="15" t="s">
        <v>7</v>
      </c>
      <c r="I270" s="15"/>
      <c r="J270" s="15"/>
      <c r="K270" s="15"/>
      <c r="L270" s="15"/>
      <c r="M270" s="15"/>
      <c r="N270" s="15"/>
      <c r="O270" s="16" t="s">
        <v>84</v>
      </c>
      <c r="P270" s="6"/>
      <c r="Q270" s="6" t="s">
        <v>104</v>
      </c>
      <c r="R270" s="6"/>
      <c r="S270" s="6" t="s">
        <v>69</v>
      </c>
      <c r="T270" s="15" t="s">
        <v>70</v>
      </c>
      <c r="U270" s="6"/>
      <c r="V270" s="6" t="s">
        <v>3679</v>
      </c>
      <c r="W270" s="6" t="s">
        <v>555</v>
      </c>
      <c r="X270" s="6" t="s">
        <v>4003</v>
      </c>
      <c r="Y270" s="6" t="s">
        <v>106</v>
      </c>
      <c r="Z270" s="6" t="s">
        <v>107</v>
      </c>
      <c r="AA270" s="15"/>
      <c r="AB270" s="15"/>
      <c r="AC270" s="15"/>
      <c r="AD270" s="15"/>
      <c r="AE270" s="16">
        <v>156</v>
      </c>
      <c r="AF270" s="16"/>
      <c r="AG270" s="16"/>
      <c r="AH270" s="16"/>
      <c r="AI270" s="16"/>
      <c r="AJ270" s="16"/>
      <c r="AK270" s="16"/>
      <c r="AL270" s="16">
        <v>6</v>
      </c>
      <c r="AM270" s="16"/>
      <c r="AN270" s="15"/>
      <c r="AO270" s="6"/>
      <c r="AP270" s="25"/>
      <c r="AQ270" s="15"/>
      <c r="AR270" s="16" t="s">
        <v>111</v>
      </c>
      <c r="AS270" s="16" t="s">
        <v>112</v>
      </c>
      <c r="AT270" s="6"/>
      <c r="AU270" s="6"/>
      <c r="AV270" s="6"/>
      <c r="AW270" s="6"/>
      <c r="AX270" s="12" t="str">
        <f t="shared" si="16"/>
        <v/>
      </c>
      <c r="AY270" s="12" t="str">
        <f t="shared" si="17"/>
        <v/>
      </c>
      <c r="AZ270" s="18"/>
      <c r="BA270" s="19"/>
      <c r="BB270" s="19"/>
      <c r="BC270" s="19"/>
      <c r="BD270" s="19"/>
      <c r="BE270" s="19"/>
      <c r="BF270" s="19"/>
      <c r="BG270" s="19"/>
      <c r="BH270" s="19"/>
      <c r="BI270" s="19"/>
      <c r="BJ270" s="19"/>
      <c r="BK270" s="19"/>
    </row>
    <row r="271" spans="1:63" ht="20.100000000000001" hidden="1" customHeight="1" x14ac:dyDescent="0.2">
      <c r="A271" s="13">
        <v>265</v>
      </c>
      <c r="B271" s="16" t="s">
        <v>3780</v>
      </c>
      <c r="C271" s="16" t="s">
        <v>1056</v>
      </c>
      <c r="D271" s="6" t="s">
        <v>3705</v>
      </c>
      <c r="E271" s="6" t="s">
        <v>8</v>
      </c>
      <c r="F271" s="6"/>
      <c r="G271" s="6"/>
      <c r="H271" s="15" t="s">
        <v>7</v>
      </c>
      <c r="I271" s="15"/>
      <c r="J271" s="15"/>
      <c r="K271" s="15"/>
      <c r="L271" s="15"/>
      <c r="M271" s="15"/>
      <c r="N271" s="15"/>
      <c r="O271" s="16" t="s">
        <v>93</v>
      </c>
      <c r="P271" s="6" t="s">
        <v>223</v>
      </c>
      <c r="Q271" s="6" t="s">
        <v>223</v>
      </c>
      <c r="R271" s="6" t="s">
        <v>3744</v>
      </c>
      <c r="S271" s="6" t="s">
        <v>69</v>
      </c>
      <c r="T271" s="15" t="s">
        <v>70</v>
      </c>
      <c r="U271" s="6" t="s">
        <v>224</v>
      </c>
      <c r="V271" s="6" t="s">
        <v>1809</v>
      </c>
      <c r="W271" s="6" t="s">
        <v>260</v>
      </c>
      <c r="X271" s="6" t="s">
        <v>3745</v>
      </c>
      <c r="Y271" s="6" t="s">
        <v>106</v>
      </c>
      <c r="Z271" s="6" t="s">
        <v>107</v>
      </c>
      <c r="AA271" s="15">
        <v>0</v>
      </c>
      <c r="AB271" s="15"/>
      <c r="AC271" s="15">
        <v>153</v>
      </c>
      <c r="AD271" s="15">
        <v>144</v>
      </c>
      <c r="AE271" s="16">
        <v>144</v>
      </c>
      <c r="AF271" s="16">
        <v>80</v>
      </c>
      <c r="AG271" s="16">
        <v>94</v>
      </c>
      <c r="AH271" s="16">
        <v>10</v>
      </c>
      <c r="AI271" s="16">
        <v>20</v>
      </c>
      <c r="AJ271" s="16">
        <v>124</v>
      </c>
      <c r="AK271" s="16">
        <v>7</v>
      </c>
      <c r="AL271" s="16">
        <v>3</v>
      </c>
      <c r="AM271" s="16"/>
      <c r="AN271" s="15"/>
      <c r="AO271" s="6"/>
      <c r="AP271" s="25"/>
      <c r="AQ271" s="15"/>
      <c r="AR271" s="16" t="s">
        <v>111</v>
      </c>
      <c r="AS271" s="16" t="s">
        <v>231</v>
      </c>
      <c r="AT271" s="6"/>
      <c r="AU271" s="6"/>
      <c r="AV271" s="6"/>
      <c r="AW271" s="6"/>
      <c r="AX271" s="12" t="str">
        <f t="shared" si="16"/>
        <v/>
      </c>
      <c r="AY271" s="12" t="str">
        <f t="shared" si="17"/>
        <v/>
      </c>
      <c r="AZ271" s="18"/>
      <c r="BA271" s="19"/>
      <c r="BB271" s="19"/>
      <c r="BC271" s="19"/>
      <c r="BD271" s="19"/>
      <c r="BE271" s="19"/>
      <c r="BF271" s="19"/>
      <c r="BG271" s="19"/>
      <c r="BH271" s="19"/>
      <c r="BI271" s="19"/>
      <c r="BJ271" s="19"/>
      <c r="BK271" s="19"/>
    </row>
    <row r="272" spans="1:63" ht="20.100000000000001" hidden="1" customHeight="1" x14ac:dyDescent="0.2">
      <c r="A272" s="13">
        <v>266</v>
      </c>
      <c r="B272" s="16" t="s">
        <v>3780</v>
      </c>
      <c r="C272" s="16" t="s">
        <v>1056</v>
      </c>
      <c r="D272" s="6" t="s">
        <v>2881</v>
      </c>
      <c r="E272" s="6" t="s">
        <v>10</v>
      </c>
      <c r="F272" s="6" t="s">
        <v>186</v>
      </c>
      <c r="G272" s="6"/>
      <c r="H272" s="15" t="s">
        <v>83</v>
      </c>
      <c r="I272" s="15"/>
      <c r="J272" s="15"/>
      <c r="K272" s="15"/>
      <c r="L272" s="15"/>
      <c r="M272" s="15"/>
      <c r="N272" s="15"/>
      <c r="O272" s="16" t="s">
        <v>92</v>
      </c>
      <c r="P272" s="6" t="s">
        <v>429</v>
      </c>
      <c r="Q272" s="6" t="s">
        <v>155</v>
      </c>
      <c r="R272" s="6" t="s">
        <v>3789</v>
      </c>
      <c r="S272" s="6" t="s">
        <v>69</v>
      </c>
      <c r="T272" s="15" t="s">
        <v>70</v>
      </c>
      <c r="U272" s="6" t="s">
        <v>429</v>
      </c>
      <c r="V272" s="6" t="s">
        <v>3679</v>
      </c>
      <c r="W272" s="6" t="s">
        <v>441</v>
      </c>
      <c r="X272" s="6" t="s">
        <v>3790</v>
      </c>
      <c r="Y272" s="6" t="s">
        <v>369</v>
      </c>
      <c r="Z272" s="6" t="s">
        <v>369</v>
      </c>
      <c r="AA272" s="15" t="s">
        <v>3791</v>
      </c>
      <c r="AB272" s="15"/>
      <c r="AC272" s="15"/>
      <c r="AD272" s="15">
        <v>222</v>
      </c>
      <c r="AE272" s="16"/>
      <c r="AF272" s="16"/>
      <c r="AG272" s="16"/>
      <c r="AH272" s="16"/>
      <c r="AI272" s="16"/>
      <c r="AJ272" s="16"/>
      <c r="AK272" s="16"/>
      <c r="AL272" s="16">
        <v>6</v>
      </c>
      <c r="AM272" s="16"/>
      <c r="AN272" s="15"/>
      <c r="AO272" s="6"/>
      <c r="AP272" s="25"/>
      <c r="AQ272" s="15"/>
      <c r="AR272" s="16"/>
      <c r="AS272" s="16"/>
      <c r="AT272" s="6" t="s">
        <v>113</v>
      </c>
      <c r="AU272" s="6" t="s">
        <v>137</v>
      </c>
      <c r="AV272" s="6" t="s">
        <v>208</v>
      </c>
      <c r="AW272" s="6" t="s">
        <v>148</v>
      </c>
      <c r="AX272" s="12">
        <f t="shared" si="16"/>
        <v>34</v>
      </c>
      <c r="AY272" s="12" t="str">
        <f t="shared" si="17"/>
        <v/>
      </c>
      <c r="AZ272" s="18"/>
      <c r="BA272" s="19"/>
      <c r="BB272" s="19"/>
      <c r="BC272" s="19"/>
      <c r="BD272" s="19"/>
      <c r="BE272" s="19"/>
      <c r="BF272" s="19"/>
      <c r="BG272" s="19"/>
      <c r="BH272" s="19"/>
      <c r="BI272" s="19"/>
      <c r="BJ272" s="19"/>
      <c r="BK272" s="19"/>
    </row>
    <row r="273" spans="1:63" ht="20.100000000000001" hidden="1" customHeight="1" x14ac:dyDescent="0.2">
      <c r="A273" s="13">
        <v>267</v>
      </c>
      <c r="B273" s="16" t="s">
        <v>3780</v>
      </c>
      <c r="C273" s="16" t="s">
        <v>1056</v>
      </c>
      <c r="D273" s="6" t="s">
        <v>3784</v>
      </c>
      <c r="E273" s="6" t="s">
        <v>10</v>
      </c>
      <c r="F273" s="6" t="s">
        <v>174</v>
      </c>
      <c r="G273" s="6"/>
      <c r="H273" s="15" t="s">
        <v>83</v>
      </c>
      <c r="I273" s="15"/>
      <c r="J273" s="15"/>
      <c r="K273" s="15"/>
      <c r="L273" s="15"/>
      <c r="M273" s="15"/>
      <c r="N273" s="15"/>
      <c r="O273" s="16" t="s">
        <v>84</v>
      </c>
      <c r="P273" s="6" t="s">
        <v>429</v>
      </c>
      <c r="Q273" s="6" t="s">
        <v>155</v>
      </c>
      <c r="R273" s="6" t="s">
        <v>3792</v>
      </c>
      <c r="S273" s="6" t="s">
        <v>69</v>
      </c>
      <c r="T273" s="15" t="s">
        <v>70</v>
      </c>
      <c r="U273" s="6" t="s">
        <v>429</v>
      </c>
      <c r="V273" s="6" t="s">
        <v>3679</v>
      </c>
      <c r="W273" s="6" t="s">
        <v>718</v>
      </c>
      <c r="X273" s="6" t="s">
        <v>3793</v>
      </c>
      <c r="Y273" s="6" t="s">
        <v>206</v>
      </c>
      <c r="Z273" s="6" t="s">
        <v>107</v>
      </c>
      <c r="AA273" s="15" t="s">
        <v>3794</v>
      </c>
      <c r="AB273" s="15"/>
      <c r="AC273" s="15"/>
      <c r="AD273" s="15">
        <v>180</v>
      </c>
      <c r="AE273" s="16"/>
      <c r="AF273" s="16"/>
      <c r="AG273" s="16"/>
      <c r="AH273" s="16"/>
      <c r="AI273" s="16"/>
      <c r="AJ273" s="16"/>
      <c r="AK273" s="16"/>
      <c r="AL273" s="16">
        <v>6</v>
      </c>
      <c r="AM273" s="16"/>
      <c r="AN273" s="15"/>
      <c r="AO273" s="6"/>
      <c r="AP273" s="25"/>
      <c r="AQ273" s="15"/>
      <c r="AR273" s="16"/>
      <c r="AS273" s="16"/>
      <c r="AT273" s="6" t="s">
        <v>113</v>
      </c>
      <c r="AU273" s="6" t="s">
        <v>137</v>
      </c>
      <c r="AV273" s="6" t="s">
        <v>123</v>
      </c>
      <c r="AW273" s="6" t="s">
        <v>148</v>
      </c>
      <c r="AX273" s="12">
        <f t="shared" si="16"/>
        <v>58</v>
      </c>
      <c r="AY273" s="12" t="str">
        <f t="shared" si="17"/>
        <v/>
      </c>
      <c r="AZ273" s="18"/>
      <c r="BA273" s="19"/>
      <c r="BB273" s="19"/>
      <c r="BC273" s="19"/>
      <c r="BD273" s="19"/>
      <c r="BE273" s="19"/>
      <c r="BF273" s="19"/>
      <c r="BG273" s="19"/>
      <c r="BH273" s="19"/>
      <c r="BI273" s="19"/>
      <c r="BJ273" s="19"/>
      <c r="BK273" s="19"/>
    </row>
    <row r="274" spans="1:63" ht="20.100000000000001" hidden="1" customHeight="1" x14ac:dyDescent="0.2">
      <c r="A274" s="13">
        <v>268</v>
      </c>
      <c r="B274" s="16" t="s">
        <v>3781</v>
      </c>
      <c r="C274" s="16" t="s">
        <v>1056</v>
      </c>
      <c r="D274" s="6" t="s">
        <v>1576</v>
      </c>
      <c r="E274" s="6" t="s">
        <v>9</v>
      </c>
      <c r="F274" s="6"/>
      <c r="G274" s="6"/>
      <c r="H274" s="15" t="s">
        <v>7</v>
      </c>
      <c r="I274" s="15"/>
      <c r="J274" s="15"/>
      <c r="K274" s="15"/>
      <c r="L274" s="15"/>
      <c r="M274" s="15"/>
      <c r="N274" s="15"/>
      <c r="O274" s="16" t="s">
        <v>92</v>
      </c>
      <c r="P274" s="35" t="s">
        <v>104</v>
      </c>
      <c r="Q274" s="35" t="s">
        <v>334</v>
      </c>
      <c r="R274" s="6" t="s">
        <v>1847</v>
      </c>
      <c r="S274" s="6" t="s">
        <v>69</v>
      </c>
      <c r="T274" s="15" t="s">
        <v>70</v>
      </c>
      <c r="U274" s="35" t="s">
        <v>305</v>
      </c>
      <c r="V274" s="35" t="s">
        <v>2961</v>
      </c>
      <c r="W274" s="35" t="s">
        <v>260</v>
      </c>
      <c r="X274" s="6" t="s">
        <v>3868</v>
      </c>
      <c r="Y274" s="6" t="s">
        <v>73</v>
      </c>
      <c r="Z274" s="6" t="s">
        <v>70</v>
      </c>
      <c r="AA274" s="15">
        <v>0</v>
      </c>
      <c r="AB274" s="15"/>
      <c r="AC274" s="15"/>
      <c r="AD274" s="33">
        <v>228</v>
      </c>
      <c r="AE274" s="34">
        <v>222</v>
      </c>
      <c r="AF274" s="16">
        <v>130</v>
      </c>
      <c r="AG274" s="16">
        <v>158</v>
      </c>
      <c r="AH274" s="16">
        <v>15</v>
      </c>
      <c r="AI274" s="16">
        <v>5</v>
      </c>
      <c r="AJ274" s="16">
        <v>178</v>
      </c>
      <c r="AK274" s="16">
        <v>8</v>
      </c>
      <c r="AL274" s="16">
        <v>3</v>
      </c>
      <c r="AM274" s="16"/>
      <c r="AN274" s="33" t="s">
        <v>158</v>
      </c>
      <c r="AO274" s="6"/>
      <c r="AP274" s="25"/>
      <c r="AQ274" s="15"/>
      <c r="AR274" s="16" t="s">
        <v>160</v>
      </c>
      <c r="AS274" s="16" t="s">
        <v>231</v>
      </c>
      <c r="AT274" s="6"/>
      <c r="AU274" s="6"/>
      <c r="AV274" s="6"/>
      <c r="AW274" s="6"/>
      <c r="AX274" s="12" t="str">
        <f t="shared" si="16"/>
        <v/>
      </c>
      <c r="AY274" s="12" t="str">
        <f t="shared" si="17"/>
        <v/>
      </c>
      <c r="AZ274" s="18"/>
      <c r="BA274" s="19"/>
      <c r="BB274" s="19"/>
      <c r="BC274" s="19"/>
      <c r="BD274" s="19"/>
      <c r="BE274" s="19"/>
      <c r="BF274" s="19"/>
      <c r="BG274" s="19"/>
      <c r="BH274" s="19"/>
      <c r="BI274" s="19"/>
      <c r="BJ274" s="19"/>
      <c r="BK274" s="19"/>
    </row>
    <row r="275" spans="1:63" s="21" customFormat="1" ht="20.100000000000001" hidden="1" customHeight="1" x14ac:dyDescent="0.2">
      <c r="A275" s="20">
        <v>269</v>
      </c>
      <c r="B275" s="29" t="s">
        <v>3782</v>
      </c>
      <c r="C275" s="16" t="s">
        <v>1056</v>
      </c>
      <c r="D275" s="30" t="s">
        <v>1739</v>
      </c>
      <c r="E275" s="30" t="s">
        <v>9</v>
      </c>
      <c r="F275" s="30" t="s">
        <v>186</v>
      </c>
      <c r="G275" s="6"/>
      <c r="H275" s="20" t="s">
        <v>83</v>
      </c>
      <c r="I275" s="15"/>
      <c r="J275" s="15"/>
      <c r="K275" s="15"/>
      <c r="L275" s="15"/>
      <c r="M275" s="15"/>
      <c r="N275" s="15"/>
      <c r="O275" s="29" t="s">
        <v>92</v>
      </c>
      <c r="P275" s="30" t="s">
        <v>429</v>
      </c>
      <c r="Q275" s="30" t="s">
        <v>223</v>
      </c>
      <c r="R275" s="30" t="s">
        <v>3735</v>
      </c>
      <c r="S275" s="30" t="s">
        <v>106</v>
      </c>
      <c r="T275" s="20" t="s">
        <v>107</v>
      </c>
      <c r="U275" s="30" t="s">
        <v>429</v>
      </c>
      <c r="V275" s="30" t="s">
        <v>1809</v>
      </c>
      <c r="W275" s="30" t="s">
        <v>441</v>
      </c>
      <c r="X275" s="30" t="s">
        <v>3736</v>
      </c>
      <c r="Y275" s="30" t="s">
        <v>69</v>
      </c>
      <c r="Z275" s="30" t="s">
        <v>70</v>
      </c>
      <c r="AA275" s="20" t="s">
        <v>3711</v>
      </c>
      <c r="AB275" s="20"/>
      <c r="AC275" s="20"/>
      <c r="AD275" s="20">
        <v>97</v>
      </c>
      <c r="AE275" s="29"/>
      <c r="AF275" s="29"/>
      <c r="AG275" s="29"/>
      <c r="AH275" s="29"/>
      <c r="AI275" s="29"/>
      <c r="AJ275" s="29"/>
      <c r="AK275" s="29"/>
      <c r="AL275" s="29">
        <v>4</v>
      </c>
      <c r="AM275" s="29"/>
      <c r="AN275" s="20"/>
      <c r="AO275" s="30"/>
      <c r="AP275" s="36"/>
      <c r="AQ275" s="20"/>
      <c r="AR275" s="29"/>
      <c r="AS275" s="29"/>
      <c r="AT275" s="30" t="s">
        <v>113</v>
      </c>
      <c r="AU275" s="30" t="s">
        <v>137</v>
      </c>
      <c r="AV275" s="30" t="s">
        <v>113</v>
      </c>
      <c r="AW275" s="30" t="s">
        <v>137</v>
      </c>
      <c r="AX275" s="31">
        <f t="shared" si="16"/>
        <v>0</v>
      </c>
      <c r="AY275" s="31">
        <f t="shared" si="17"/>
        <v>0</v>
      </c>
      <c r="AZ275" s="32"/>
    </row>
    <row r="276" spans="1:63" ht="20.100000000000001" hidden="1" customHeight="1" x14ac:dyDescent="0.2">
      <c r="A276" s="13">
        <v>270</v>
      </c>
      <c r="B276" s="16" t="s">
        <v>3782</v>
      </c>
      <c r="C276" s="16" t="s">
        <v>1056</v>
      </c>
      <c r="D276" s="6" t="s">
        <v>3764</v>
      </c>
      <c r="E276" s="6" t="s">
        <v>10</v>
      </c>
      <c r="F276" s="6"/>
      <c r="G276" s="6"/>
      <c r="H276" s="15" t="s">
        <v>7</v>
      </c>
      <c r="I276" s="15"/>
      <c r="J276" s="15"/>
      <c r="K276" s="15"/>
      <c r="L276" s="15"/>
      <c r="M276" s="15"/>
      <c r="N276" s="15"/>
      <c r="O276" s="16" t="s">
        <v>84</v>
      </c>
      <c r="P276" s="35" t="s">
        <v>104</v>
      </c>
      <c r="Q276" s="35" t="s">
        <v>141</v>
      </c>
      <c r="R276" s="6" t="s">
        <v>3512</v>
      </c>
      <c r="S276" s="6" t="s">
        <v>142</v>
      </c>
      <c r="T276" s="15" t="s">
        <v>70</v>
      </c>
      <c r="U276" s="35" t="s">
        <v>131</v>
      </c>
      <c r="V276" s="35" t="s">
        <v>1809</v>
      </c>
      <c r="W276" s="35" t="s">
        <v>1581</v>
      </c>
      <c r="X276" s="6" t="s">
        <v>3867</v>
      </c>
      <c r="Y276" s="6" t="s">
        <v>69</v>
      </c>
      <c r="Z276" s="6" t="s">
        <v>70</v>
      </c>
      <c r="AA276" s="15">
        <v>0</v>
      </c>
      <c r="AB276" s="15"/>
      <c r="AC276" s="15">
        <v>232</v>
      </c>
      <c r="AD276" s="15">
        <v>198</v>
      </c>
      <c r="AE276" s="16">
        <v>198</v>
      </c>
      <c r="AF276" s="16">
        <v>150</v>
      </c>
      <c r="AG276" s="16">
        <v>176</v>
      </c>
      <c r="AH276" s="16">
        <v>6</v>
      </c>
      <c r="AI276" s="16">
        <v>50</v>
      </c>
      <c r="AJ276" s="16">
        <v>232</v>
      </c>
      <c r="AK276" s="16">
        <v>7</v>
      </c>
      <c r="AL276" s="16">
        <v>4</v>
      </c>
      <c r="AM276" s="16"/>
      <c r="AN276" s="33" t="s">
        <v>158</v>
      </c>
      <c r="AO276" s="6"/>
      <c r="AP276" s="25"/>
      <c r="AQ276" s="15"/>
      <c r="AR276" s="16" t="s">
        <v>160</v>
      </c>
      <c r="AS276" s="16" t="s">
        <v>193</v>
      </c>
      <c r="AT276" s="6"/>
      <c r="AU276" s="6"/>
      <c r="AV276" s="6"/>
      <c r="AW276" s="6"/>
      <c r="AX276" s="12" t="str">
        <f t="shared" si="16"/>
        <v/>
      </c>
      <c r="AY276" s="12" t="str">
        <f t="shared" si="17"/>
        <v/>
      </c>
      <c r="AZ276" s="18"/>
      <c r="BA276" s="19"/>
      <c r="BB276" s="19"/>
      <c r="BC276" s="19"/>
      <c r="BD276" s="19"/>
      <c r="BE276" s="19"/>
      <c r="BF276" s="19"/>
      <c r="BG276" s="19"/>
      <c r="BH276" s="19"/>
      <c r="BI276" s="19"/>
      <c r="BJ276" s="19"/>
      <c r="BK276" s="19"/>
    </row>
    <row r="277" spans="1:63" ht="20.100000000000001" hidden="1" customHeight="1" x14ac:dyDescent="0.2">
      <c r="A277" s="13">
        <v>271</v>
      </c>
      <c r="B277" s="16" t="s">
        <v>3782</v>
      </c>
      <c r="C277" s="16" t="s">
        <v>1056</v>
      </c>
      <c r="D277" s="6" t="s">
        <v>3785</v>
      </c>
      <c r="E277" s="6" t="s">
        <v>243</v>
      </c>
      <c r="F277" s="6" t="s">
        <v>192</v>
      </c>
      <c r="G277" s="6"/>
      <c r="H277" s="15" t="s">
        <v>7</v>
      </c>
      <c r="I277" s="15"/>
      <c r="J277" s="15"/>
      <c r="K277" s="15"/>
      <c r="L277" s="15"/>
      <c r="M277" s="15"/>
      <c r="N277" s="15"/>
      <c r="O277" s="16" t="s">
        <v>3576</v>
      </c>
      <c r="P277" s="6" t="s">
        <v>429</v>
      </c>
      <c r="Q277" s="6" t="s">
        <v>104</v>
      </c>
      <c r="R277" s="6" t="s">
        <v>2083</v>
      </c>
      <c r="S277" s="6" t="s">
        <v>106</v>
      </c>
      <c r="T277" s="15" t="s">
        <v>107</v>
      </c>
      <c r="U277" s="6" t="s">
        <v>429</v>
      </c>
      <c r="V277" s="6" t="s">
        <v>3679</v>
      </c>
      <c r="W277" s="6" t="s">
        <v>555</v>
      </c>
      <c r="X277" s="6" t="s">
        <v>1059</v>
      </c>
      <c r="Y277" s="6" t="s">
        <v>106</v>
      </c>
      <c r="Z277" s="6" t="s">
        <v>107</v>
      </c>
      <c r="AA277" s="15">
        <v>0</v>
      </c>
      <c r="AB277" s="15"/>
      <c r="AC277" s="15">
        <v>229</v>
      </c>
      <c r="AD277" s="15">
        <v>0</v>
      </c>
      <c r="AE277" s="16">
        <v>216</v>
      </c>
      <c r="AF277" s="16">
        <v>62</v>
      </c>
      <c r="AG277" s="16">
        <v>88</v>
      </c>
      <c r="AH277" s="16">
        <v>9</v>
      </c>
      <c r="AI277" s="16">
        <v>40</v>
      </c>
      <c r="AJ277" s="16">
        <v>137</v>
      </c>
      <c r="AK277" s="16">
        <v>25</v>
      </c>
      <c r="AL277" s="16">
        <v>6</v>
      </c>
      <c r="AM277" s="16"/>
      <c r="AN277" s="15"/>
      <c r="AO277" s="6"/>
      <c r="AP277" s="25"/>
      <c r="AQ277" s="15"/>
      <c r="AR277" s="16" t="s">
        <v>160</v>
      </c>
      <c r="AS277" s="16" t="s">
        <v>193</v>
      </c>
      <c r="AT277" s="6"/>
      <c r="AU277" s="6"/>
      <c r="AV277" s="6"/>
      <c r="AW277" s="6"/>
      <c r="AX277" s="12" t="str">
        <f t="shared" si="16"/>
        <v/>
      </c>
      <c r="AY277" s="12" t="str">
        <f t="shared" si="17"/>
        <v/>
      </c>
      <c r="AZ277" s="18"/>
      <c r="BA277" s="19"/>
      <c r="BB277" s="19"/>
      <c r="BC277" s="19"/>
      <c r="BD277" s="19"/>
      <c r="BE277" s="19"/>
      <c r="BF277" s="19"/>
      <c r="BG277" s="19"/>
      <c r="BH277" s="19"/>
      <c r="BI277" s="19"/>
      <c r="BJ277" s="19"/>
      <c r="BK277" s="19"/>
    </row>
    <row r="278" spans="1:63" ht="20.100000000000001" hidden="1" customHeight="1" x14ac:dyDescent="0.2">
      <c r="A278" s="13">
        <v>272</v>
      </c>
      <c r="B278" s="16" t="s">
        <v>3800</v>
      </c>
      <c r="C278" s="16" t="s">
        <v>1056</v>
      </c>
      <c r="D278" s="6" t="s">
        <v>1739</v>
      </c>
      <c r="E278" s="6" t="s">
        <v>9</v>
      </c>
      <c r="F278" s="6"/>
      <c r="G278" s="6"/>
      <c r="H278" s="15" t="s">
        <v>7</v>
      </c>
      <c r="I278" s="15"/>
      <c r="J278" s="15"/>
      <c r="K278" s="15"/>
      <c r="L278" s="15"/>
      <c r="M278" s="15"/>
      <c r="N278" s="15"/>
      <c r="O278" s="16" t="s">
        <v>92</v>
      </c>
      <c r="P278" s="35" t="s">
        <v>226</v>
      </c>
      <c r="Q278" s="35" t="s">
        <v>718</v>
      </c>
      <c r="R278" s="6" t="s">
        <v>3865</v>
      </c>
      <c r="S278" s="6" t="s">
        <v>106</v>
      </c>
      <c r="T278" s="15" t="s">
        <v>107</v>
      </c>
      <c r="U278" s="35" t="s">
        <v>425</v>
      </c>
      <c r="V278" s="35" t="s">
        <v>2325</v>
      </c>
      <c r="W278" s="35" t="s">
        <v>485</v>
      </c>
      <c r="X278" s="6" t="s">
        <v>3866</v>
      </c>
      <c r="Y278" s="6" t="s">
        <v>69</v>
      </c>
      <c r="Z278" s="6" t="s">
        <v>70</v>
      </c>
      <c r="AA278" s="15">
        <v>0</v>
      </c>
      <c r="AB278" s="15"/>
      <c r="AC278" s="15">
        <v>181</v>
      </c>
      <c r="AD278" s="15">
        <v>97</v>
      </c>
      <c r="AE278" s="16">
        <v>97</v>
      </c>
      <c r="AF278" s="16">
        <v>63</v>
      </c>
      <c r="AG278" s="16">
        <v>90</v>
      </c>
      <c r="AH278" s="16">
        <v>3</v>
      </c>
      <c r="AI278" s="16">
        <v>30</v>
      </c>
      <c r="AJ278" s="16">
        <v>123</v>
      </c>
      <c r="AK278" s="16">
        <v>3</v>
      </c>
      <c r="AL278" s="16">
        <v>4</v>
      </c>
      <c r="AM278" s="16"/>
      <c r="AN278" s="33" t="s">
        <v>158</v>
      </c>
      <c r="AO278" s="6"/>
      <c r="AP278" s="25"/>
      <c r="AQ278" s="15"/>
      <c r="AR278" s="16" t="s">
        <v>111</v>
      </c>
      <c r="AS278" s="16" t="s">
        <v>1956</v>
      </c>
      <c r="AT278" s="6"/>
      <c r="AU278" s="6"/>
      <c r="AV278" s="6"/>
      <c r="AW278" s="6"/>
      <c r="AX278" s="12" t="str">
        <f t="shared" si="16"/>
        <v/>
      </c>
      <c r="AY278" s="12" t="str">
        <f t="shared" si="17"/>
        <v/>
      </c>
      <c r="AZ278" s="18"/>
      <c r="BA278" s="19"/>
      <c r="BB278" s="19"/>
      <c r="BC278" s="19"/>
      <c r="BD278" s="19"/>
      <c r="BE278" s="19"/>
      <c r="BF278" s="19"/>
      <c r="BG278" s="19"/>
      <c r="BH278" s="19"/>
      <c r="BI278" s="19"/>
      <c r="BJ278" s="19"/>
      <c r="BK278" s="19"/>
    </row>
    <row r="279" spans="1:63" s="21" customFormat="1" ht="20.100000000000001" hidden="1" customHeight="1" x14ac:dyDescent="0.2">
      <c r="A279" s="13">
        <v>273</v>
      </c>
      <c r="B279" s="29" t="s">
        <v>3800</v>
      </c>
      <c r="C279" s="29" t="s">
        <v>1056</v>
      </c>
      <c r="D279" s="30" t="s">
        <v>2536</v>
      </c>
      <c r="E279" s="30" t="s">
        <v>10</v>
      </c>
      <c r="F279" s="6" t="s">
        <v>186</v>
      </c>
      <c r="G279" s="6"/>
      <c r="H279" s="20" t="s">
        <v>83</v>
      </c>
      <c r="I279" s="15"/>
      <c r="J279" s="15"/>
      <c r="K279" s="15"/>
      <c r="L279" s="15"/>
      <c r="M279" s="15"/>
      <c r="N279" s="15"/>
      <c r="O279" s="29" t="s">
        <v>84</v>
      </c>
      <c r="P279" s="30"/>
      <c r="Q279" s="30" t="s">
        <v>334</v>
      </c>
      <c r="R279" s="30" t="s">
        <v>1743</v>
      </c>
      <c r="S279" s="30" t="s">
        <v>69</v>
      </c>
      <c r="T279" s="20" t="s">
        <v>70</v>
      </c>
      <c r="U279" s="30" t="s">
        <v>429</v>
      </c>
      <c r="V279" s="30" t="s">
        <v>1809</v>
      </c>
      <c r="W279" s="30" t="s">
        <v>2348</v>
      </c>
      <c r="X279" s="30" t="s">
        <v>1744</v>
      </c>
      <c r="Y279" s="30" t="s">
        <v>69</v>
      </c>
      <c r="Z279" s="30" t="s">
        <v>70</v>
      </c>
      <c r="AA279" s="20" t="s">
        <v>1751</v>
      </c>
      <c r="AB279" s="20"/>
      <c r="AC279" s="20"/>
      <c r="AD279" s="20">
        <v>189</v>
      </c>
      <c r="AE279" s="29"/>
      <c r="AF279" s="29"/>
      <c r="AG279" s="29"/>
      <c r="AH279" s="29"/>
      <c r="AI279" s="29"/>
      <c r="AJ279" s="29"/>
      <c r="AK279" s="29"/>
      <c r="AL279" s="29">
        <v>4</v>
      </c>
      <c r="AM279" s="29"/>
      <c r="AN279" s="20"/>
      <c r="AO279" s="30"/>
      <c r="AP279" s="36"/>
      <c r="AQ279" s="20"/>
      <c r="AR279" s="29"/>
      <c r="AS279" s="29"/>
      <c r="AT279" s="30" t="s">
        <v>113</v>
      </c>
      <c r="AU279" s="30" t="s">
        <v>137</v>
      </c>
      <c r="AV279" s="30" t="s">
        <v>115</v>
      </c>
      <c r="AW279" s="30" t="s">
        <v>441</v>
      </c>
      <c r="AX279" s="31">
        <f t="shared" si="16"/>
        <v>8</v>
      </c>
      <c r="AY279" s="31">
        <f t="shared" si="17"/>
        <v>8</v>
      </c>
      <c r="AZ279" s="32"/>
    </row>
    <row r="280" spans="1:63" s="21" customFormat="1" ht="20.100000000000001" hidden="1" customHeight="1" x14ac:dyDescent="0.2">
      <c r="A280" s="13">
        <v>274</v>
      </c>
      <c r="B280" s="29" t="s">
        <v>3800</v>
      </c>
      <c r="C280" s="29" t="s">
        <v>1056</v>
      </c>
      <c r="D280" s="30" t="s">
        <v>3378</v>
      </c>
      <c r="E280" s="30" t="s">
        <v>10</v>
      </c>
      <c r="F280" s="6" t="s">
        <v>202</v>
      </c>
      <c r="G280" s="6"/>
      <c r="H280" s="20" t="s">
        <v>83</v>
      </c>
      <c r="I280" s="15"/>
      <c r="J280" s="15"/>
      <c r="K280" s="15"/>
      <c r="L280" s="15"/>
      <c r="M280" s="15"/>
      <c r="N280" s="15"/>
      <c r="O280" s="29" t="s">
        <v>93</v>
      </c>
      <c r="P280" s="30" t="s">
        <v>429</v>
      </c>
      <c r="Q280" s="30" t="s">
        <v>104</v>
      </c>
      <c r="R280" s="30" t="s">
        <v>3385</v>
      </c>
      <c r="S280" s="30" t="s">
        <v>106</v>
      </c>
      <c r="T280" s="20" t="s">
        <v>107</v>
      </c>
      <c r="U280" s="30" t="s">
        <v>429</v>
      </c>
      <c r="V280" s="30" t="s">
        <v>3677</v>
      </c>
      <c r="W280" s="30" t="s">
        <v>555</v>
      </c>
      <c r="X280" s="30" t="s">
        <v>3386</v>
      </c>
      <c r="Y280" s="30" t="s">
        <v>106</v>
      </c>
      <c r="Z280" s="30" t="s">
        <v>107</v>
      </c>
      <c r="AA280" s="20" t="s">
        <v>3372</v>
      </c>
      <c r="AB280" s="20"/>
      <c r="AC280" s="20"/>
      <c r="AD280" s="20">
        <v>231</v>
      </c>
      <c r="AE280" s="29"/>
      <c r="AF280" s="29"/>
      <c r="AG280" s="29"/>
      <c r="AH280" s="29"/>
      <c r="AI280" s="29"/>
      <c r="AJ280" s="29"/>
      <c r="AK280" s="29"/>
      <c r="AL280" s="29">
        <v>6</v>
      </c>
      <c r="AM280" s="29"/>
      <c r="AN280" s="20"/>
      <c r="AO280" s="30"/>
      <c r="AP280" s="36"/>
      <c r="AQ280" s="20"/>
      <c r="AR280" s="29"/>
      <c r="AS280" s="29"/>
      <c r="AT280" s="30" t="s">
        <v>113</v>
      </c>
      <c r="AU280" s="30" t="s">
        <v>137</v>
      </c>
      <c r="AV280" s="30" t="s">
        <v>113</v>
      </c>
      <c r="AW280" s="30" t="s">
        <v>235</v>
      </c>
      <c r="AX280" s="31">
        <f t="shared" si="16"/>
        <v>3</v>
      </c>
      <c r="AY280" s="31">
        <f t="shared" si="17"/>
        <v>3</v>
      </c>
      <c r="AZ280" s="32"/>
    </row>
    <row r="281" spans="1:63" ht="20.100000000000001" hidden="1" customHeight="1" x14ac:dyDescent="0.2">
      <c r="A281" s="13">
        <v>275</v>
      </c>
      <c r="B281" s="16" t="s">
        <v>3801</v>
      </c>
      <c r="C281" s="16" t="s">
        <v>1056</v>
      </c>
      <c r="D281" s="6" t="s">
        <v>2536</v>
      </c>
      <c r="E281" s="6" t="s">
        <v>10</v>
      </c>
      <c r="F281" s="6"/>
      <c r="G281" s="6"/>
      <c r="H281" s="15" t="s">
        <v>7</v>
      </c>
      <c r="I281" s="15"/>
      <c r="J281" s="15"/>
      <c r="K281" s="15"/>
      <c r="L281" s="15"/>
      <c r="M281" s="15"/>
      <c r="N281" s="15"/>
      <c r="O281" s="16" t="s">
        <v>84</v>
      </c>
      <c r="P281" s="35" t="s">
        <v>334</v>
      </c>
      <c r="Q281" s="35" t="s">
        <v>140</v>
      </c>
      <c r="R281" s="6" t="s">
        <v>3804</v>
      </c>
      <c r="S281" s="6" t="s">
        <v>69</v>
      </c>
      <c r="T281" s="15" t="s">
        <v>70</v>
      </c>
      <c r="U281" s="35" t="s">
        <v>336</v>
      </c>
      <c r="V281" s="35" t="s">
        <v>2245</v>
      </c>
      <c r="W281" s="35" t="s">
        <v>116</v>
      </c>
      <c r="X281" s="6" t="s">
        <v>3805</v>
      </c>
      <c r="Y281" s="6" t="s">
        <v>69</v>
      </c>
      <c r="Z281" s="6" t="s">
        <v>70</v>
      </c>
      <c r="AA281" s="15">
        <v>0</v>
      </c>
      <c r="AB281" s="15"/>
      <c r="AC281" s="15">
        <v>203</v>
      </c>
      <c r="AD281" s="15">
        <v>189</v>
      </c>
      <c r="AE281" s="16">
        <v>189</v>
      </c>
      <c r="AF281" s="16">
        <v>121</v>
      </c>
      <c r="AG281" s="16">
        <v>143</v>
      </c>
      <c r="AH281" s="16">
        <v>17</v>
      </c>
      <c r="AI281" s="16">
        <v>5</v>
      </c>
      <c r="AJ281" s="16">
        <v>165</v>
      </c>
      <c r="AK281" s="16">
        <v>15</v>
      </c>
      <c r="AL281" s="16">
        <v>4</v>
      </c>
      <c r="AM281" s="16"/>
      <c r="AN281" s="33" t="s">
        <v>158</v>
      </c>
      <c r="AO281" s="6"/>
      <c r="AP281" s="25"/>
      <c r="AQ281" s="15"/>
      <c r="AR281" s="16" t="s">
        <v>111</v>
      </c>
      <c r="AS281" s="16" t="s">
        <v>112</v>
      </c>
      <c r="AT281" s="6"/>
      <c r="AU281" s="6"/>
      <c r="AV281" s="6"/>
      <c r="AW281" s="6"/>
      <c r="AX281" s="12" t="str">
        <f t="shared" si="16"/>
        <v/>
      </c>
      <c r="AY281" s="12" t="str">
        <f t="shared" si="17"/>
        <v/>
      </c>
      <c r="AZ281" s="18"/>
      <c r="BA281" s="19"/>
      <c r="BB281" s="19"/>
      <c r="BC281" s="19"/>
      <c r="BD281" s="19"/>
      <c r="BE281" s="19"/>
      <c r="BF281" s="19"/>
      <c r="BG281" s="19"/>
      <c r="BH281" s="19"/>
      <c r="BI281" s="19"/>
      <c r="BJ281" s="19"/>
      <c r="BK281" s="19"/>
    </row>
    <row r="282" spans="1:63" ht="20.100000000000001" hidden="1" customHeight="1" x14ac:dyDescent="0.2">
      <c r="A282" s="13">
        <v>276</v>
      </c>
      <c r="B282" s="16" t="s">
        <v>3806</v>
      </c>
      <c r="C282" s="16" t="s">
        <v>1056</v>
      </c>
      <c r="D282" s="6" t="s">
        <v>523</v>
      </c>
      <c r="E282" s="6" t="s">
        <v>10</v>
      </c>
      <c r="F282" s="6"/>
      <c r="G282" s="6"/>
      <c r="H282" s="15" t="s">
        <v>7</v>
      </c>
      <c r="I282" s="15"/>
      <c r="J282" s="15"/>
      <c r="K282" s="15"/>
      <c r="L282" s="15"/>
      <c r="M282" s="15"/>
      <c r="N282" s="15"/>
      <c r="O282" s="16" t="s">
        <v>84</v>
      </c>
      <c r="P282" s="6" t="s">
        <v>155</v>
      </c>
      <c r="Q282" s="6" t="s">
        <v>155</v>
      </c>
      <c r="R282" s="6" t="s">
        <v>3810</v>
      </c>
      <c r="S282" s="6" t="s">
        <v>106</v>
      </c>
      <c r="T282" s="15" t="s">
        <v>107</v>
      </c>
      <c r="U282" s="6" t="s">
        <v>156</v>
      </c>
      <c r="V282" s="6" t="s">
        <v>3677</v>
      </c>
      <c r="W282" s="6" t="s">
        <v>718</v>
      </c>
      <c r="X282" s="6" t="s">
        <v>3811</v>
      </c>
      <c r="Y282" s="6" t="s">
        <v>106</v>
      </c>
      <c r="Z282" s="6" t="s">
        <v>107</v>
      </c>
      <c r="AA282" s="15">
        <v>0</v>
      </c>
      <c r="AB282" s="15"/>
      <c r="AC282" s="15">
        <v>219</v>
      </c>
      <c r="AD282" s="15">
        <v>210</v>
      </c>
      <c r="AE282" s="16">
        <v>210</v>
      </c>
      <c r="AF282" s="16">
        <v>177</v>
      </c>
      <c r="AG282" s="16">
        <v>200</v>
      </c>
      <c r="AH282" s="16">
        <v>4</v>
      </c>
      <c r="AI282" s="16">
        <v>38</v>
      </c>
      <c r="AJ282" s="16">
        <v>242</v>
      </c>
      <c r="AK282" s="16">
        <v>16</v>
      </c>
      <c r="AL282" s="16">
        <v>6</v>
      </c>
      <c r="AM282" s="16"/>
      <c r="AN282" s="15"/>
      <c r="AO282" s="6"/>
      <c r="AP282" s="25"/>
      <c r="AQ282" s="15"/>
      <c r="AR282" s="16"/>
      <c r="AS282" s="16"/>
      <c r="AT282" s="6"/>
      <c r="AU282" s="6"/>
      <c r="AV282" s="6"/>
      <c r="AW282" s="6"/>
      <c r="AX282" s="12" t="str">
        <f t="shared" si="16"/>
        <v/>
      </c>
      <c r="AY282" s="12" t="str">
        <f t="shared" si="17"/>
        <v/>
      </c>
      <c r="AZ282" s="18"/>
      <c r="BA282" s="19"/>
      <c r="BB282" s="19"/>
      <c r="BC282" s="19"/>
      <c r="BD282" s="19"/>
      <c r="BE282" s="19"/>
      <c r="BF282" s="19"/>
      <c r="BG282" s="19"/>
      <c r="BH282" s="19"/>
      <c r="BI282" s="19"/>
      <c r="BJ282" s="19"/>
      <c r="BK282" s="19"/>
    </row>
    <row r="283" spans="1:63" ht="20.100000000000001" hidden="1" customHeight="1" x14ac:dyDescent="0.2">
      <c r="A283" s="13">
        <v>277</v>
      </c>
      <c r="B283" s="16" t="s">
        <v>3806</v>
      </c>
      <c r="C283" s="16" t="s">
        <v>1056</v>
      </c>
      <c r="D283" s="6" t="s">
        <v>3807</v>
      </c>
      <c r="E283" s="6"/>
      <c r="F283" s="6" t="s">
        <v>192</v>
      </c>
      <c r="G283" s="6"/>
      <c r="H283" s="15" t="s">
        <v>7</v>
      </c>
      <c r="I283" s="15"/>
      <c r="J283" s="15"/>
      <c r="K283" s="15"/>
      <c r="L283" s="15"/>
      <c r="M283" s="15"/>
      <c r="N283" s="15"/>
      <c r="O283" s="16" t="s">
        <v>93</v>
      </c>
      <c r="P283" s="6" t="s">
        <v>429</v>
      </c>
      <c r="Q283" s="6" t="s">
        <v>68</v>
      </c>
      <c r="R283" s="6"/>
      <c r="S283" s="6" t="s">
        <v>106</v>
      </c>
      <c r="T283" s="15" t="s">
        <v>107</v>
      </c>
      <c r="U283" s="6" t="s">
        <v>429</v>
      </c>
      <c r="V283" s="6" t="s">
        <v>3677</v>
      </c>
      <c r="W283" s="6" t="s">
        <v>485</v>
      </c>
      <c r="X283" s="6"/>
      <c r="Y283" s="6" t="s">
        <v>106</v>
      </c>
      <c r="Z283" s="6" t="s">
        <v>107</v>
      </c>
      <c r="AA283" s="15">
        <v>0</v>
      </c>
      <c r="AB283" s="15"/>
      <c r="AC283" s="15">
        <v>251</v>
      </c>
      <c r="AD283" s="15">
        <v>0</v>
      </c>
      <c r="AE283" s="16">
        <v>210</v>
      </c>
      <c r="AF283" s="16">
        <v>135</v>
      </c>
      <c r="AG283" s="16">
        <v>146</v>
      </c>
      <c r="AH283" s="16">
        <v>5</v>
      </c>
      <c r="AI283" s="16">
        <v>30</v>
      </c>
      <c r="AJ283" s="16">
        <v>181</v>
      </c>
      <c r="AK283" s="16">
        <v>22</v>
      </c>
      <c r="AL283" s="16">
        <v>6</v>
      </c>
      <c r="AM283" s="16"/>
      <c r="AN283" s="15"/>
      <c r="AO283" s="6"/>
      <c r="AP283" s="25"/>
      <c r="AQ283" s="15"/>
      <c r="AR283" s="16"/>
      <c r="AS283" s="16"/>
      <c r="AT283" s="6"/>
      <c r="AU283" s="6"/>
      <c r="AV283" s="6"/>
      <c r="AW283" s="6"/>
      <c r="AX283" s="12" t="str">
        <f t="shared" si="16"/>
        <v/>
      </c>
      <c r="AY283" s="12" t="str">
        <f t="shared" si="17"/>
        <v/>
      </c>
      <c r="AZ283" s="18"/>
      <c r="BA283" s="19"/>
      <c r="BB283" s="19"/>
      <c r="BC283" s="19"/>
      <c r="BD283" s="19"/>
      <c r="BE283" s="19"/>
      <c r="BF283" s="19"/>
      <c r="BG283" s="19"/>
      <c r="BH283" s="19"/>
      <c r="BI283" s="19"/>
      <c r="BJ283" s="19"/>
      <c r="BK283" s="19"/>
    </row>
    <row r="284" spans="1:63" ht="20.100000000000001" hidden="1" customHeight="1" x14ac:dyDescent="0.2">
      <c r="A284" s="13">
        <v>278</v>
      </c>
      <c r="B284" s="16" t="s">
        <v>3806</v>
      </c>
      <c r="C284" s="16" t="s">
        <v>1056</v>
      </c>
      <c r="D284" s="6" t="s">
        <v>2293</v>
      </c>
      <c r="E284" s="6" t="s">
        <v>8</v>
      </c>
      <c r="F284" s="6"/>
      <c r="G284" s="6"/>
      <c r="H284" s="15" t="s">
        <v>7</v>
      </c>
      <c r="I284" s="15"/>
      <c r="J284" s="15"/>
      <c r="K284" s="15"/>
      <c r="L284" s="15"/>
      <c r="M284" s="15"/>
      <c r="N284" s="15"/>
      <c r="O284" s="16" t="s">
        <v>93</v>
      </c>
      <c r="P284" s="35" t="s">
        <v>117</v>
      </c>
      <c r="Q284" s="35" t="s">
        <v>104</v>
      </c>
      <c r="R284" s="6" t="s">
        <v>3812</v>
      </c>
      <c r="S284" s="6" t="s">
        <v>106</v>
      </c>
      <c r="T284" s="15" t="s">
        <v>107</v>
      </c>
      <c r="U284" s="35" t="s">
        <v>470</v>
      </c>
      <c r="V284" s="35" t="s">
        <v>3679</v>
      </c>
      <c r="W284" s="35" t="s">
        <v>555</v>
      </c>
      <c r="X284" s="6" t="s">
        <v>3813</v>
      </c>
      <c r="Y284" s="6" t="s">
        <v>106</v>
      </c>
      <c r="Z284" s="6" t="s">
        <v>107</v>
      </c>
      <c r="AA284" s="15">
        <v>0</v>
      </c>
      <c r="AB284" s="15"/>
      <c r="AC284" s="15"/>
      <c r="AD284" s="15">
        <v>120</v>
      </c>
      <c r="AE284" s="16">
        <v>120</v>
      </c>
      <c r="AF284" s="16">
        <v>61</v>
      </c>
      <c r="AG284" s="16">
        <v>104</v>
      </c>
      <c r="AH284" s="16">
        <v>6</v>
      </c>
      <c r="AI284" s="16">
        <v>22</v>
      </c>
      <c r="AJ284" s="16">
        <v>132</v>
      </c>
      <c r="AK284" s="16">
        <v>27</v>
      </c>
      <c r="AL284" s="16">
        <v>6</v>
      </c>
      <c r="AM284" s="16"/>
      <c r="AN284" s="33" t="s">
        <v>158</v>
      </c>
      <c r="AO284" s="6"/>
      <c r="AP284" s="25"/>
      <c r="AQ284" s="15"/>
      <c r="AR284" s="16" t="s">
        <v>111</v>
      </c>
      <c r="AS284" s="16"/>
      <c r="AT284" s="6"/>
      <c r="AU284" s="6"/>
      <c r="AV284" s="6"/>
      <c r="AW284" s="6"/>
      <c r="AX284" s="12" t="str">
        <f t="shared" si="16"/>
        <v/>
      </c>
      <c r="AY284" s="12" t="str">
        <f t="shared" si="17"/>
        <v/>
      </c>
      <c r="AZ284" s="18"/>
      <c r="BA284" s="19"/>
      <c r="BB284" s="19"/>
      <c r="BC284" s="19"/>
      <c r="BD284" s="19"/>
      <c r="BE284" s="19"/>
      <c r="BF284" s="19"/>
      <c r="BG284" s="19"/>
      <c r="BH284" s="19"/>
      <c r="BI284" s="19"/>
      <c r="BJ284" s="19"/>
      <c r="BK284" s="19"/>
    </row>
    <row r="285" spans="1:63" ht="20.100000000000001" hidden="1" customHeight="1" x14ac:dyDescent="0.2">
      <c r="A285" s="13">
        <v>279</v>
      </c>
      <c r="B285" s="16" t="s">
        <v>3808</v>
      </c>
      <c r="C285" s="16" t="s">
        <v>1056</v>
      </c>
      <c r="D285" s="6" t="s">
        <v>3783</v>
      </c>
      <c r="E285" s="6" t="s">
        <v>10</v>
      </c>
      <c r="F285" s="6"/>
      <c r="G285" s="6"/>
      <c r="H285" s="15" t="s">
        <v>7</v>
      </c>
      <c r="I285" s="15"/>
      <c r="J285" s="15"/>
      <c r="K285" s="15"/>
      <c r="L285" s="15"/>
      <c r="M285" s="15"/>
      <c r="N285" s="15"/>
      <c r="O285" s="16" t="s">
        <v>84</v>
      </c>
      <c r="P285" s="35" t="s">
        <v>68</v>
      </c>
      <c r="Q285" s="35" t="s">
        <v>104</v>
      </c>
      <c r="R285" s="6" t="s">
        <v>3814</v>
      </c>
      <c r="S285" s="6" t="s">
        <v>106</v>
      </c>
      <c r="T285" s="15" t="s">
        <v>107</v>
      </c>
      <c r="U285" s="35" t="s">
        <v>332</v>
      </c>
      <c r="V285" s="35" t="s">
        <v>1510</v>
      </c>
      <c r="W285" s="35" t="s">
        <v>2348</v>
      </c>
      <c r="X285" s="6" t="s">
        <v>3815</v>
      </c>
      <c r="Y285" s="6" t="s">
        <v>106</v>
      </c>
      <c r="Z285" s="6" t="s">
        <v>107</v>
      </c>
      <c r="AA285" s="15"/>
      <c r="AB285" s="15"/>
      <c r="AC285" s="15">
        <v>189</v>
      </c>
      <c r="AD285" s="15">
        <v>183</v>
      </c>
      <c r="AE285" s="16">
        <v>183</v>
      </c>
      <c r="AF285" s="16">
        <v>99</v>
      </c>
      <c r="AG285" s="16">
        <v>110</v>
      </c>
      <c r="AH285" s="16">
        <v>3</v>
      </c>
      <c r="AI285" s="16">
        <v>59</v>
      </c>
      <c r="AJ285" s="16">
        <v>173</v>
      </c>
      <c r="AK285" s="16">
        <v>16</v>
      </c>
      <c r="AL285" s="16">
        <v>6</v>
      </c>
      <c r="AM285" s="16"/>
      <c r="AN285" s="33" t="s">
        <v>158</v>
      </c>
      <c r="AO285" s="6"/>
      <c r="AP285" s="25"/>
      <c r="AQ285" s="15"/>
      <c r="AR285" s="16"/>
      <c r="AS285" s="16"/>
      <c r="AT285" s="6"/>
      <c r="AU285" s="6"/>
      <c r="AV285" s="6"/>
      <c r="AW285" s="6"/>
      <c r="AX285" s="12" t="str">
        <f t="shared" si="16"/>
        <v/>
      </c>
      <c r="AY285" s="12" t="str">
        <f t="shared" si="17"/>
        <v/>
      </c>
      <c r="AZ285" s="18"/>
      <c r="BA285" s="19"/>
      <c r="BB285" s="19"/>
      <c r="BC285" s="19"/>
      <c r="BD285" s="19"/>
      <c r="BE285" s="19"/>
      <c r="BF285" s="19"/>
      <c r="BG285" s="19"/>
      <c r="BH285" s="19"/>
      <c r="BI285" s="19"/>
      <c r="BJ285" s="19"/>
      <c r="BK285" s="19"/>
    </row>
    <row r="286" spans="1:63" s="21" customFormat="1" ht="20.100000000000001" hidden="1" customHeight="1" x14ac:dyDescent="0.2">
      <c r="A286" s="13">
        <v>280</v>
      </c>
      <c r="B286" s="29" t="s">
        <v>3809</v>
      </c>
      <c r="C286" s="29" t="s">
        <v>1056</v>
      </c>
      <c r="D286" s="30" t="s">
        <v>3699</v>
      </c>
      <c r="E286" s="30" t="s">
        <v>20</v>
      </c>
      <c r="F286" s="30" t="s">
        <v>174</v>
      </c>
      <c r="G286" s="30" t="s">
        <v>3822</v>
      </c>
      <c r="H286" s="20" t="s">
        <v>83</v>
      </c>
      <c r="I286" s="20"/>
      <c r="J286" s="20"/>
      <c r="K286" s="20"/>
      <c r="L286" s="20"/>
      <c r="M286" s="20"/>
      <c r="N286" s="20"/>
      <c r="O286" s="29" t="s">
        <v>84</v>
      </c>
      <c r="P286" s="30" t="s">
        <v>429</v>
      </c>
      <c r="Q286" s="30" t="s">
        <v>117</v>
      </c>
      <c r="R286" s="30" t="s">
        <v>3730</v>
      </c>
      <c r="S286" s="30" t="s">
        <v>106</v>
      </c>
      <c r="T286" s="20" t="s">
        <v>107</v>
      </c>
      <c r="U286" s="30" t="s">
        <v>429</v>
      </c>
      <c r="V286" s="30" t="s">
        <v>1510</v>
      </c>
      <c r="W286" s="30" t="s">
        <v>260</v>
      </c>
      <c r="X286" s="30" t="s">
        <v>3731</v>
      </c>
      <c r="Y286" s="30" t="s">
        <v>106</v>
      </c>
      <c r="Z286" s="30" t="s">
        <v>107</v>
      </c>
      <c r="AA286" s="20" t="s">
        <v>3710</v>
      </c>
      <c r="AB286" s="20"/>
      <c r="AC286" s="20"/>
      <c r="AD286" s="20"/>
      <c r="AE286" s="29">
        <v>186</v>
      </c>
      <c r="AF286" s="29"/>
      <c r="AG286" s="29"/>
      <c r="AH286" s="29"/>
      <c r="AI286" s="29"/>
      <c r="AJ286" s="29"/>
      <c r="AK286" s="29"/>
      <c r="AL286" s="29"/>
      <c r="AM286" s="29"/>
      <c r="AN286" s="20"/>
      <c r="AO286" s="30"/>
      <c r="AP286" s="36"/>
      <c r="AQ286" s="20"/>
      <c r="AR286" s="29" t="s">
        <v>111</v>
      </c>
      <c r="AS286" s="29" t="s">
        <v>112</v>
      </c>
      <c r="AT286" s="30" t="s">
        <v>113</v>
      </c>
      <c r="AU286" s="30" t="s">
        <v>137</v>
      </c>
      <c r="AV286" s="30" t="s">
        <v>113</v>
      </c>
      <c r="AW286" s="30" t="s">
        <v>137</v>
      </c>
      <c r="AX286" s="31">
        <f t="shared" si="16"/>
        <v>0</v>
      </c>
      <c r="AY286" s="31">
        <f t="shared" si="17"/>
        <v>0</v>
      </c>
      <c r="AZ286" s="32"/>
    </row>
    <row r="287" spans="1:63" ht="20.100000000000001" hidden="1" customHeight="1" x14ac:dyDescent="0.2">
      <c r="A287" s="13">
        <v>281</v>
      </c>
      <c r="B287" s="16" t="s">
        <v>3809</v>
      </c>
      <c r="C287" s="16" t="s">
        <v>1056</v>
      </c>
      <c r="D287" s="6" t="s">
        <v>2918</v>
      </c>
      <c r="E287" s="6" t="s">
        <v>10</v>
      </c>
      <c r="F287" s="6"/>
      <c r="G287" s="6"/>
      <c r="H287" s="15" t="s">
        <v>7</v>
      </c>
      <c r="I287" s="15"/>
      <c r="J287" s="15"/>
      <c r="K287" s="15"/>
      <c r="L287" s="15"/>
      <c r="M287" s="15"/>
      <c r="N287" s="15"/>
      <c r="O287" s="16" t="s">
        <v>93</v>
      </c>
      <c r="P287" s="35" t="s">
        <v>155</v>
      </c>
      <c r="Q287" s="35" t="s">
        <v>104</v>
      </c>
      <c r="R287" s="6" t="s">
        <v>3816</v>
      </c>
      <c r="S287" s="6" t="s">
        <v>142</v>
      </c>
      <c r="T287" s="15" t="s">
        <v>70</v>
      </c>
      <c r="U287" s="35" t="s">
        <v>156</v>
      </c>
      <c r="V287" s="35" t="s">
        <v>2245</v>
      </c>
      <c r="W287" s="35" t="s">
        <v>769</v>
      </c>
      <c r="X287" s="6" t="s">
        <v>3817</v>
      </c>
      <c r="Y287" s="6" t="s">
        <v>142</v>
      </c>
      <c r="Z287" s="6" t="s">
        <v>70</v>
      </c>
      <c r="AA287" s="15">
        <v>0</v>
      </c>
      <c r="AB287" s="15"/>
      <c r="AC287" s="15">
        <v>222</v>
      </c>
      <c r="AD287" s="15">
        <v>202</v>
      </c>
      <c r="AE287" s="16">
        <v>202</v>
      </c>
      <c r="AF287" s="16">
        <v>167</v>
      </c>
      <c r="AG287" s="16">
        <v>178</v>
      </c>
      <c r="AH287" s="16">
        <v>3</v>
      </c>
      <c r="AI287" s="16">
        <v>42</v>
      </c>
      <c r="AJ287" s="16">
        <v>223</v>
      </c>
      <c r="AK287" s="16">
        <v>15</v>
      </c>
      <c r="AL287" s="16">
        <v>6</v>
      </c>
      <c r="AM287" s="16"/>
      <c r="AN287" s="33" t="s">
        <v>158</v>
      </c>
      <c r="AO287" s="6"/>
      <c r="AP287" s="25"/>
      <c r="AQ287" s="15"/>
      <c r="AR287" s="16"/>
      <c r="AS287" s="16"/>
      <c r="AT287" s="6"/>
      <c r="AU287" s="6"/>
      <c r="AV287" s="6"/>
      <c r="AW287" s="6"/>
      <c r="AX287" s="12" t="str">
        <f t="shared" si="16"/>
        <v/>
      </c>
      <c r="AY287" s="12" t="str">
        <f t="shared" si="17"/>
        <v/>
      </c>
      <c r="AZ287" s="18"/>
      <c r="BA287" s="19"/>
      <c r="BB287" s="19"/>
      <c r="BC287" s="19"/>
      <c r="BD287" s="19"/>
      <c r="BE287" s="19"/>
      <c r="BF287" s="19"/>
      <c r="BG287" s="19"/>
      <c r="BH287" s="19"/>
      <c r="BI287" s="19"/>
      <c r="BJ287" s="19"/>
      <c r="BK287" s="19"/>
    </row>
    <row r="288" spans="1:63" ht="20.100000000000001" hidden="1" customHeight="1" x14ac:dyDescent="0.2">
      <c r="A288" s="13">
        <v>282</v>
      </c>
      <c r="B288" s="16" t="s">
        <v>3818</v>
      </c>
      <c r="C288" s="16" t="s">
        <v>1056</v>
      </c>
      <c r="D288" s="6" t="s">
        <v>3699</v>
      </c>
      <c r="E288" s="6" t="s">
        <v>20</v>
      </c>
      <c r="F288" s="6"/>
      <c r="G288" s="6"/>
      <c r="H288" s="15" t="s">
        <v>7</v>
      </c>
      <c r="I288" s="15"/>
      <c r="J288" s="15"/>
      <c r="K288" s="15"/>
      <c r="L288" s="15"/>
      <c r="M288" s="15"/>
      <c r="N288" s="15"/>
      <c r="O288" s="16" t="s">
        <v>84</v>
      </c>
      <c r="P288" s="35" t="s">
        <v>117</v>
      </c>
      <c r="Q288" s="35" t="s">
        <v>104</v>
      </c>
      <c r="R288" s="6" t="s">
        <v>3821</v>
      </c>
      <c r="S288" s="6" t="s">
        <v>142</v>
      </c>
      <c r="T288" s="15" t="s">
        <v>70</v>
      </c>
      <c r="U288" s="35" t="s">
        <v>125</v>
      </c>
      <c r="V288" s="35" t="s">
        <v>1510</v>
      </c>
      <c r="W288" s="35" t="s">
        <v>769</v>
      </c>
      <c r="X288" s="6" t="s">
        <v>3823</v>
      </c>
      <c r="Y288" s="6" t="s">
        <v>106</v>
      </c>
      <c r="Z288" s="6" t="s">
        <v>107</v>
      </c>
      <c r="AA288" s="15">
        <v>0</v>
      </c>
      <c r="AB288" s="15"/>
      <c r="AC288" s="15">
        <v>192</v>
      </c>
      <c r="AD288" s="15">
        <v>186</v>
      </c>
      <c r="AE288" s="16">
        <v>186</v>
      </c>
      <c r="AF288" s="16">
        <v>86</v>
      </c>
      <c r="AG288" s="16">
        <v>153</v>
      </c>
      <c r="AH288" s="16">
        <v>3</v>
      </c>
      <c r="AI288" s="16">
        <v>43</v>
      </c>
      <c r="AJ288" s="16">
        <v>199</v>
      </c>
      <c r="AK288" s="16">
        <v>15</v>
      </c>
      <c r="AL288" s="16">
        <v>6</v>
      </c>
      <c r="AM288" s="16"/>
      <c r="AN288" s="33" t="s">
        <v>158</v>
      </c>
      <c r="AO288" s="6"/>
      <c r="AP288" s="25"/>
      <c r="AQ288" s="15"/>
      <c r="AR288" s="16" t="s">
        <v>111</v>
      </c>
      <c r="AS288" s="16" t="s">
        <v>112</v>
      </c>
      <c r="AT288" s="6"/>
      <c r="AU288" s="6"/>
      <c r="AV288" s="6"/>
      <c r="AW288" s="6"/>
      <c r="AX288" s="12" t="str">
        <f t="shared" si="16"/>
        <v/>
      </c>
      <c r="AY288" s="12" t="str">
        <f t="shared" si="17"/>
        <v/>
      </c>
      <c r="AZ288" s="18"/>
      <c r="BA288" s="19"/>
      <c r="BB288" s="19"/>
      <c r="BC288" s="19"/>
      <c r="BD288" s="19"/>
      <c r="BE288" s="19"/>
      <c r="BF288" s="19"/>
      <c r="BG288" s="19"/>
      <c r="BH288" s="19"/>
      <c r="BI288" s="19"/>
      <c r="BJ288" s="19"/>
      <c r="BK288" s="19"/>
    </row>
    <row r="289" spans="1:63" ht="20.100000000000001" hidden="1" customHeight="1" x14ac:dyDescent="0.2">
      <c r="A289" s="13">
        <v>283</v>
      </c>
      <c r="B289" s="16" t="s">
        <v>3819</v>
      </c>
      <c r="C289" s="16" t="s">
        <v>1056</v>
      </c>
      <c r="D289" s="6" t="s">
        <v>3657</v>
      </c>
      <c r="E289" s="6" t="s">
        <v>20</v>
      </c>
      <c r="F289" s="6"/>
      <c r="G289" s="6"/>
      <c r="H289" s="15" t="s">
        <v>7</v>
      </c>
      <c r="I289" s="15"/>
      <c r="J289" s="15"/>
      <c r="K289" s="15"/>
      <c r="L289" s="15"/>
      <c r="M289" s="15"/>
      <c r="N289" s="15"/>
      <c r="O289" s="16" t="s">
        <v>92</v>
      </c>
      <c r="P289" s="6" t="s">
        <v>104</v>
      </c>
      <c r="Q289" s="6" t="s">
        <v>104</v>
      </c>
      <c r="R289" s="6" t="s">
        <v>3824</v>
      </c>
      <c r="S289" s="6" t="s">
        <v>69</v>
      </c>
      <c r="T289" s="15" t="s">
        <v>70</v>
      </c>
      <c r="U289" s="35" t="s">
        <v>108</v>
      </c>
      <c r="V289" s="35" t="s">
        <v>3680</v>
      </c>
      <c r="W289" s="35" t="s">
        <v>260</v>
      </c>
      <c r="X289" s="6" t="s">
        <v>3825</v>
      </c>
      <c r="Y289" s="6" t="s">
        <v>73</v>
      </c>
      <c r="Z289" s="6" t="s">
        <v>70</v>
      </c>
      <c r="AA289" s="15">
        <v>0</v>
      </c>
      <c r="AB289" s="15"/>
      <c r="AC289" s="15">
        <v>211</v>
      </c>
      <c r="AD289" s="33">
        <v>213</v>
      </c>
      <c r="AE289" s="34">
        <v>201</v>
      </c>
      <c r="AF289" s="16">
        <v>97</v>
      </c>
      <c r="AG289" s="16">
        <v>106</v>
      </c>
      <c r="AH289" s="16">
        <v>5</v>
      </c>
      <c r="AI289" s="16">
        <v>24</v>
      </c>
      <c r="AJ289" s="16">
        <v>135</v>
      </c>
      <c r="AK289" s="16">
        <v>22</v>
      </c>
      <c r="AL289" s="16">
        <v>6</v>
      </c>
      <c r="AM289" s="16"/>
      <c r="AN289" s="33" t="s">
        <v>158</v>
      </c>
      <c r="AO289" s="6"/>
      <c r="AP289" s="25"/>
      <c r="AQ289" s="15"/>
      <c r="AR289" s="16" t="s">
        <v>160</v>
      </c>
      <c r="AS289" s="16" t="s">
        <v>193</v>
      </c>
      <c r="AT289" s="6"/>
      <c r="AU289" s="6"/>
      <c r="AV289" s="6"/>
      <c r="AW289" s="6"/>
      <c r="AX289" s="12" t="str">
        <f t="shared" si="16"/>
        <v/>
      </c>
      <c r="AY289" s="12" t="str">
        <f t="shared" si="17"/>
        <v/>
      </c>
      <c r="AZ289" s="18"/>
      <c r="BA289" s="19"/>
      <c r="BB289" s="19"/>
      <c r="BC289" s="19"/>
      <c r="BD289" s="19"/>
      <c r="BE289" s="19"/>
      <c r="BF289" s="19"/>
      <c r="BG289" s="19"/>
      <c r="BH289" s="19"/>
      <c r="BI289" s="19"/>
      <c r="BJ289" s="19"/>
      <c r="BK289" s="19"/>
    </row>
    <row r="290" spans="1:63" ht="20.100000000000001" hidden="1" customHeight="1" x14ac:dyDescent="0.2">
      <c r="A290" s="13">
        <v>284</v>
      </c>
      <c r="B290" s="16" t="s">
        <v>3820</v>
      </c>
      <c r="C290" s="16" t="s">
        <v>1056</v>
      </c>
      <c r="D290" s="6" t="s">
        <v>3784</v>
      </c>
      <c r="E290" s="6" t="s">
        <v>10</v>
      </c>
      <c r="F290" s="6"/>
      <c r="G290" s="6"/>
      <c r="H290" s="15" t="s">
        <v>7</v>
      </c>
      <c r="I290" s="15"/>
      <c r="J290" s="15"/>
      <c r="K290" s="15"/>
      <c r="L290" s="15"/>
      <c r="M290" s="15"/>
      <c r="N290" s="15"/>
      <c r="O290" s="16" t="s">
        <v>84</v>
      </c>
      <c r="P290" s="35" t="s">
        <v>155</v>
      </c>
      <c r="Q290" s="35" t="s">
        <v>769</v>
      </c>
      <c r="R290" s="6" t="s">
        <v>4271</v>
      </c>
      <c r="S290" s="6" t="s">
        <v>69</v>
      </c>
      <c r="T290" s="15" t="s">
        <v>70</v>
      </c>
      <c r="U290" s="35" t="s">
        <v>324</v>
      </c>
      <c r="V290" s="35" t="s">
        <v>2325</v>
      </c>
      <c r="W290" s="35" t="s">
        <v>2258</v>
      </c>
      <c r="X290" s="6" t="s">
        <v>5076</v>
      </c>
      <c r="Y290" s="6" t="s">
        <v>69</v>
      </c>
      <c r="Z290" s="6" t="s">
        <v>70</v>
      </c>
      <c r="AA290" s="15">
        <v>0</v>
      </c>
      <c r="AB290" s="15"/>
      <c r="AC290" s="15">
        <v>193</v>
      </c>
      <c r="AD290" s="33">
        <v>180</v>
      </c>
      <c r="AE290" s="34">
        <v>186</v>
      </c>
      <c r="AF290" s="16">
        <v>169</v>
      </c>
      <c r="AG290" s="16">
        <v>180</v>
      </c>
      <c r="AH290" s="16">
        <v>4</v>
      </c>
      <c r="AI290" s="16">
        <v>10</v>
      </c>
      <c r="AJ290" s="16">
        <v>194</v>
      </c>
      <c r="AK290" s="16">
        <v>4</v>
      </c>
      <c r="AL290" s="16">
        <v>3</v>
      </c>
      <c r="AM290" s="16"/>
      <c r="AN290" s="33" t="s">
        <v>158</v>
      </c>
      <c r="AO290" s="6"/>
      <c r="AP290" s="25"/>
      <c r="AQ290" s="15"/>
      <c r="AR290" s="16" t="s">
        <v>111</v>
      </c>
      <c r="AS290" s="16" t="s">
        <v>330</v>
      </c>
      <c r="AT290" s="6"/>
      <c r="AU290" s="6"/>
      <c r="AV290" s="6"/>
      <c r="AW290" s="6"/>
      <c r="AX290" s="12" t="str">
        <f t="shared" si="16"/>
        <v/>
      </c>
      <c r="AY290" s="12" t="str">
        <f t="shared" si="17"/>
        <v/>
      </c>
      <c r="AZ290" s="18"/>
      <c r="BA290" s="19"/>
      <c r="BB290" s="19"/>
      <c r="BC290" s="19"/>
      <c r="BD290" s="19"/>
      <c r="BE290" s="19"/>
      <c r="BF290" s="19"/>
      <c r="BG290" s="19"/>
      <c r="BH290" s="19"/>
      <c r="BI290" s="19"/>
      <c r="BJ290" s="19"/>
      <c r="BK290" s="19"/>
    </row>
    <row r="291" spans="1:63" ht="20.100000000000001" hidden="1" customHeight="1" x14ac:dyDescent="0.2">
      <c r="A291" s="13">
        <v>285</v>
      </c>
      <c r="B291" s="16" t="s">
        <v>3828</v>
      </c>
      <c r="C291" s="16" t="s">
        <v>1056</v>
      </c>
      <c r="D291" s="6" t="s">
        <v>2881</v>
      </c>
      <c r="E291" s="6" t="s">
        <v>10</v>
      </c>
      <c r="F291" s="6"/>
      <c r="G291" s="6"/>
      <c r="H291" s="15" t="s">
        <v>7</v>
      </c>
      <c r="I291" s="15"/>
      <c r="J291" s="15"/>
      <c r="K291" s="15"/>
      <c r="L291" s="15"/>
      <c r="M291" s="15"/>
      <c r="N291" s="15"/>
      <c r="O291" s="16" t="s">
        <v>92</v>
      </c>
      <c r="P291" s="35" t="s">
        <v>155</v>
      </c>
      <c r="Q291" s="35" t="s">
        <v>104</v>
      </c>
      <c r="R291" s="6" t="s">
        <v>3863</v>
      </c>
      <c r="S291" s="6" t="s">
        <v>69</v>
      </c>
      <c r="T291" s="15" t="s">
        <v>70</v>
      </c>
      <c r="U291" s="35" t="s">
        <v>167</v>
      </c>
      <c r="V291" s="35" t="s">
        <v>2245</v>
      </c>
      <c r="W291" s="35" t="s">
        <v>769</v>
      </c>
      <c r="X291" s="6" t="s">
        <v>3864</v>
      </c>
      <c r="Y291" s="6" t="s">
        <v>142</v>
      </c>
      <c r="Z291" s="6" t="s">
        <v>70</v>
      </c>
      <c r="AA291" s="15">
        <v>0</v>
      </c>
      <c r="AB291" s="15"/>
      <c r="AC291" s="15">
        <v>239</v>
      </c>
      <c r="AD291" s="15">
        <v>222</v>
      </c>
      <c r="AE291" s="16">
        <v>222</v>
      </c>
      <c r="AF291" s="16">
        <v>153</v>
      </c>
      <c r="AG291" s="16">
        <v>171</v>
      </c>
      <c r="AH291" s="16">
        <v>2</v>
      </c>
      <c r="AI291" s="16">
        <v>42</v>
      </c>
      <c r="AJ291" s="16">
        <v>215</v>
      </c>
      <c r="AK291" s="16">
        <v>15</v>
      </c>
      <c r="AL291" s="16">
        <v>6</v>
      </c>
      <c r="AM291" s="16"/>
      <c r="AN291" s="33" t="s">
        <v>158</v>
      </c>
      <c r="AO291" s="6"/>
      <c r="AP291" s="25"/>
      <c r="AQ291" s="15"/>
      <c r="AR291" s="16" t="s">
        <v>160</v>
      </c>
      <c r="AS291" s="16" t="s">
        <v>165</v>
      </c>
      <c r="AT291" s="6"/>
      <c r="AU291" s="6"/>
      <c r="AV291" s="6"/>
      <c r="AW291" s="6"/>
      <c r="AX291" s="12" t="str">
        <f t="shared" si="16"/>
        <v/>
      </c>
      <c r="AY291" s="12" t="str">
        <f t="shared" si="17"/>
        <v/>
      </c>
      <c r="AZ291" s="18"/>
      <c r="BA291" s="19"/>
      <c r="BB291" s="19"/>
      <c r="BC291" s="19"/>
      <c r="BD291" s="19"/>
      <c r="BE291" s="19"/>
      <c r="BF291" s="19"/>
      <c r="BG291" s="19"/>
      <c r="BH291" s="19"/>
      <c r="BI291" s="19"/>
      <c r="BJ291" s="19"/>
      <c r="BK291" s="19"/>
    </row>
    <row r="292" spans="1:63" s="21" customFormat="1" ht="20.100000000000001" hidden="1" customHeight="1" x14ac:dyDescent="0.2">
      <c r="A292" s="13">
        <v>286</v>
      </c>
      <c r="B292" s="29" t="s">
        <v>3828</v>
      </c>
      <c r="C292" s="29" t="s">
        <v>1056</v>
      </c>
      <c r="D292" s="30" t="s">
        <v>1401</v>
      </c>
      <c r="E292" s="30" t="s">
        <v>10</v>
      </c>
      <c r="F292" s="30" t="s">
        <v>186</v>
      </c>
      <c r="G292" s="30"/>
      <c r="H292" s="20" t="s">
        <v>83</v>
      </c>
      <c r="I292" s="20"/>
      <c r="J292" s="20"/>
      <c r="K292" s="20"/>
      <c r="L292" s="20"/>
      <c r="M292" s="20"/>
      <c r="N292" s="20"/>
      <c r="O292" s="29" t="s">
        <v>84</v>
      </c>
      <c r="P292" s="30"/>
      <c r="Q292" s="30" t="s">
        <v>68</v>
      </c>
      <c r="R292" s="30" t="s">
        <v>909</v>
      </c>
      <c r="S292" s="30" t="s">
        <v>106</v>
      </c>
      <c r="T292" s="20" t="s">
        <v>107</v>
      </c>
      <c r="U292" s="30"/>
      <c r="V292" s="30" t="s">
        <v>3677</v>
      </c>
      <c r="W292" s="30" t="s">
        <v>485</v>
      </c>
      <c r="X292" s="30" t="s">
        <v>1783</v>
      </c>
      <c r="Y292" s="30" t="s">
        <v>106</v>
      </c>
      <c r="Z292" s="30" t="s">
        <v>107</v>
      </c>
      <c r="AA292" s="20" t="s">
        <v>3831</v>
      </c>
      <c r="AB292" s="20"/>
      <c r="AC292" s="20"/>
      <c r="AD292" s="20">
        <v>216</v>
      </c>
      <c r="AE292" s="29"/>
      <c r="AF292" s="29"/>
      <c r="AG292" s="29"/>
      <c r="AH292" s="29"/>
      <c r="AI292" s="29"/>
      <c r="AJ292" s="29"/>
      <c r="AK292" s="29"/>
      <c r="AL292" s="29">
        <v>6</v>
      </c>
      <c r="AM292" s="29"/>
      <c r="AN292" s="20"/>
      <c r="AO292" s="30"/>
      <c r="AP292" s="36"/>
      <c r="AQ292" s="20"/>
      <c r="AR292" s="29"/>
      <c r="AS292" s="29"/>
      <c r="AT292" s="30" t="s">
        <v>113</v>
      </c>
      <c r="AU292" s="30" t="s">
        <v>137</v>
      </c>
      <c r="AV292" s="30" t="s">
        <v>115</v>
      </c>
      <c r="AW292" s="30" t="s">
        <v>441</v>
      </c>
      <c r="AX292" s="31">
        <f t="shared" si="16"/>
        <v>8</v>
      </c>
      <c r="AY292" s="31">
        <f t="shared" si="17"/>
        <v>8</v>
      </c>
      <c r="AZ292" s="32"/>
    </row>
    <row r="293" spans="1:63" ht="20.100000000000001" hidden="1" customHeight="1" x14ac:dyDescent="0.2">
      <c r="A293" s="13">
        <v>287</v>
      </c>
      <c r="B293" s="16" t="s">
        <v>3828</v>
      </c>
      <c r="C293" s="16" t="s">
        <v>1056</v>
      </c>
      <c r="D293" s="6" t="s">
        <v>579</v>
      </c>
      <c r="E293" s="6" t="s">
        <v>9</v>
      </c>
      <c r="F293" s="6" t="s">
        <v>4793</v>
      </c>
      <c r="G293" s="6"/>
      <c r="H293" s="15" t="s">
        <v>83</v>
      </c>
      <c r="I293" s="15"/>
      <c r="J293" s="15"/>
      <c r="K293" s="15"/>
      <c r="L293" s="15"/>
      <c r="M293" s="15"/>
      <c r="N293" s="15"/>
      <c r="O293" s="16" t="s">
        <v>93</v>
      </c>
      <c r="P293" s="6" t="s">
        <v>429</v>
      </c>
      <c r="Q293" s="6" t="s">
        <v>155</v>
      </c>
      <c r="R293" s="6" t="s">
        <v>704</v>
      </c>
      <c r="S293" s="6" t="s">
        <v>69</v>
      </c>
      <c r="T293" s="15" t="s">
        <v>70</v>
      </c>
      <c r="U293" s="6" t="s">
        <v>429</v>
      </c>
      <c r="V293" s="6" t="s">
        <v>3679</v>
      </c>
      <c r="W293" s="6" t="s">
        <v>718</v>
      </c>
      <c r="X293" s="6" t="s">
        <v>705</v>
      </c>
      <c r="Y293" s="6" t="s">
        <v>69</v>
      </c>
      <c r="Z293" s="6" t="s">
        <v>70</v>
      </c>
      <c r="AA293" s="15" t="s">
        <v>3499</v>
      </c>
      <c r="AB293" s="15"/>
      <c r="AC293" s="15"/>
      <c r="AD293" s="15">
        <v>222</v>
      </c>
      <c r="AE293" s="16"/>
      <c r="AF293" s="16"/>
      <c r="AG293" s="16"/>
      <c r="AH293" s="16"/>
      <c r="AI293" s="16"/>
      <c r="AJ293" s="16"/>
      <c r="AK293" s="16"/>
      <c r="AL293" s="16">
        <v>6</v>
      </c>
      <c r="AM293" s="16"/>
      <c r="AN293" s="15"/>
      <c r="AO293" s="6"/>
      <c r="AP293" s="25"/>
      <c r="AQ293" s="15"/>
      <c r="AR293" s="16"/>
      <c r="AS293" s="16"/>
      <c r="AT293" s="6" t="s">
        <v>113</v>
      </c>
      <c r="AU293" s="6" t="s">
        <v>137</v>
      </c>
      <c r="AV293" s="6" t="s">
        <v>115</v>
      </c>
      <c r="AW293" s="6" t="s">
        <v>235</v>
      </c>
      <c r="AX293" s="12">
        <f t="shared" si="16"/>
        <v>15</v>
      </c>
      <c r="AY293" s="12" t="str">
        <f t="shared" si="17"/>
        <v/>
      </c>
      <c r="AZ293" s="18"/>
      <c r="BA293" s="19"/>
      <c r="BB293" s="19"/>
      <c r="BC293" s="19"/>
      <c r="BD293" s="19"/>
      <c r="BE293" s="19"/>
      <c r="BF293" s="19"/>
      <c r="BG293" s="19"/>
      <c r="BH293" s="19"/>
      <c r="BI293" s="19"/>
      <c r="BJ293" s="19"/>
      <c r="BK293" s="19"/>
    </row>
    <row r="294" spans="1:63" ht="20.100000000000001" hidden="1" customHeight="1" x14ac:dyDescent="0.2">
      <c r="A294" s="13">
        <v>288</v>
      </c>
      <c r="B294" s="16" t="s">
        <v>3829</v>
      </c>
      <c r="C294" s="16" t="s">
        <v>1056</v>
      </c>
      <c r="D294" s="6" t="s">
        <v>1097</v>
      </c>
      <c r="E294" s="6" t="s">
        <v>10</v>
      </c>
      <c r="F294" s="6" t="s">
        <v>922</v>
      </c>
      <c r="G294" s="6"/>
      <c r="H294" s="15" t="s">
        <v>83</v>
      </c>
      <c r="I294" s="15"/>
      <c r="J294" s="15"/>
      <c r="K294" s="15"/>
      <c r="L294" s="15"/>
      <c r="M294" s="15"/>
      <c r="N294" s="15"/>
      <c r="O294" s="16" t="s">
        <v>92</v>
      </c>
      <c r="P294" s="6" t="s">
        <v>429</v>
      </c>
      <c r="Q294" s="6" t="s">
        <v>68</v>
      </c>
      <c r="R294" s="6" t="s">
        <v>682</v>
      </c>
      <c r="S294" s="6" t="s">
        <v>106</v>
      </c>
      <c r="T294" s="15" t="s">
        <v>107</v>
      </c>
      <c r="U294" s="6" t="s">
        <v>429</v>
      </c>
      <c r="V294" s="6" t="s">
        <v>3679</v>
      </c>
      <c r="W294" s="6" t="s">
        <v>485</v>
      </c>
      <c r="X294" s="6" t="s">
        <v>1192</v>
      </c>
      <c r="Y294" s="6" t="s">
        <v>142</v>
      </c>
      <c r="Z294" s="6" t="s">
        <v>70</v>
      </c>
      <c r="AA294" s="15" t="s">
        <v>3832</v>
      </c>
      <c r="AB294" s="15"/>
      <c r="AC294" s="15"/>
      <c r="AD294" s="15">
        <v>174</v>
      </c>
      <c r="AE294" s="16"/>
      <c r="AF294" s="16"/>
      <c r="AG294" s="16"/>
      <c r="AH294" s="16"/>
      <c r="AI294" s="16"/>
      <c r="AJ294" s="16"/>
      <c r="AK294" s="16"/>
      <c r="AL294" s="16">
        <v>6</v>
      </c>
      <c r="AM294" s="16"/>
      <c r="AN294" s="15"/>
      <c r="AO294" s="6"/>
      <c r="AP294" s="25"/>
      <c r="AQ294" s="15"/>
      <c r="AR294" s="16"/>
      <c r="AS294" s="16"/>
      <c r="AT294" s="6" t="s">
        <v>113</v>
      </c>
      <c r="AU294" s="6" t="s">
        <v>137</v>
      </c>
      <c r="AV294" s="6" t="s">
        <v>115</v>
      </c>
      <c r="AW294" s="6" t="s">
        <v>137</v>
      </c>
      <c r="AX294" s="12">
        <f t="shared" si="16"/>
        <v>12</v>
      </c>
      <c r="AY294" s="12">
        <f t="shared" si="17"/>
        <v>12</v>
      </c>
      <c r="AZ294" s="18"/>
      <c r="BA294" s="19"/>
      <c r="BB294" s="19"/>
      <c r="BC294" s="19"/>
      <c r="BD294" s="19"/>
      <c r="BE294" s="19"/>
      <c r="BF294" s="19"/>
      <c r="BG294" s="19"/>
      <c r="BH294" s="19"/>
      <c r="BI294" s="19"/>
      <c r="BJ294" s="19"/>
      <c r="BK294" s="19"/>
    </row>
    <row r="295" spans="1:63" ht="20.100000000000001" hidden="1" customHeight="1" x14ac:dyDescent="0.2">
      <c r="A295" s="13">
        <v>289</v>
      </c>
      <c r="B295" s="16" t="s">
        <v>3829</v>
      </c>
      <c r="C295" s="16" t="s">
        <v>1056</v>
      </c>
      <c r="D295" s="6" t="s">
        <v>2372</v>
      </c>
      <c r="E295" s="6" t="s">
        <v>20</v>
      </c>
      <c r="F295" s="6" t="s">
        <v>3661</v>
      </c>
      <c r="G295" s="6"/>
      <c r="H295" s="15" t="s">
        <v>83</v>
      </c>
      <c r="I295" s="15"/>
      <c r="J295" s="15"/>
      <c r="K295" s="15"/>
      <c r="L295" s="15"/>
      <c r="M295" s="15"/>
      <c r="N295" s="15"/>
      <c r="O295" s="16" t="s">
        <v>84</v>
      </c>
      <c r="P295" s="6" t="s">
        <v>429</v>
      </c>
      <c r="Q295" s="6" t="s">
        <v>104</v>
      </c>
      <c r="R295" s="6" t="s">
        <v>3833</v>
      </c>
      <c r="S295" s="6" t="s">
        <v>106</v>
      </c>
      <c r="T295" s="15" t="s">
        <v>107</v>
      </c>
      <c r="U295" s="6" t="s">
        <v>429</v>
      </c>
      <c r="V295" s="6" t="s">
        <v>3677</v>
      </c>
      <c r="W295" s="6" t="s">
        <v>555</v>
      </c>
      <c r="X295" s="6" t="s">
        <v>3834</v>
      </c>
      <c r="Y295" s="6" t="s">
        <v>106</v>
      </c>
      <c r="Z295" s="6" t="s">
        <v>107</v>
      </c>
      <c r="AA295" s="15" t="s">
        <v>3835</v>
      </c>
      <c r="AB295" s="15"/>
      <c r="AC295" s="15"/>
      <c r="AD295" s="15">
        <v>180</v>
      </c>
      <c r="AE295" s="16"/>
      <c r="AF295" s="16"/>
      <c r="AG295" s="16"/>
      <c r="AH295" s="16"/>
      <c r="AI295" s="16"/>
      <c r="AJ295" s="16"/>
      <c r="AK295" s="16"/>
      <c r="AL295" s="16">
        <v>6</v>
      </c>
      <c r="AM295" s="16"/>
      <c r="AN295" s="15"/>
      <c r="AO295" s="6"/>
      <c r="AP295" s="25"/>
      <c r="AQ295" s="15"/>
      <c r="AR295" s="16"/>
      <c r="AS295" s="16"/>
      <c r="AT295" s="6" t="s">
        <v>113</v>
      </c>
      <c r="AU295" s="6" t="s">
        <v>137</v>
      </c>
      <c r="AV295" s="6" t="s">
        <v>136</v>
      </c>
      <c r="AW295" s="6" t="s">
        <v>1247</v>
      </c>
      <c r="AX295" s="12">
        <f t="shared" si="16"/>
        <v>25</v>
      </c>
      <c r="AY295" s="12" t="str">
        <f t="shared" si="17"/>
        <v/>
      </c>
      <c r="AZ295" s="18"/>
      <c r="BA295" s="19"/>
      <c r="BB295" s="19"/>
      <c r="BC295" s="19"/>
      <c r="BD295" s="19"/>
      <c r="BE295" s="19"/>
      <c r="BF295" s="19"/>
      <c r="BG295" s="19"/>
      <c r="BH295" s="19"/>
      <c r="BI295" s="19"/>
      <c r="BJ295" s="19"/>
      <c r="BK295" s="19"/>
    </row>
    <row r="296" spans="1:63" ht="20.100000000000001" hidden="1" customHeight="1" x14ac:dyDescent="0.2">
      <c r="A296" s="13">
        <v>290</v>
      </c>
      <c r="B296" s="16" t="s">
        <v>3829</v>
      </c>
      <c r="C296" s="16" t="s">
        <v>1056</v>
      </c>
      <c r="D296" s="6" t="s">
        <v>3123</v>
      </c>
      <c r="E296" s="6" t="s">
        <v>243</v>
      </c>
      <c r="F296" s="6"/>
      <c r="G296" s="6"/>
      <c r="H296" s="15" t="s">
        <v>7</v>
      </c>
      <c r="I296" s="15"/>
      <c r="J296" s="15"/>
      <c r="K296" s="15"/>
      <c r="L296" s="15"/>
      <c r="M296" s="15"/>
      <c r="N296" s="15"/>
      <c r="O296" s="16"/>
      <c r="P296" s="35" t="s">
        <v>155</v>
      </c>
      <c r="Q296" s="35" t="s">
        <v>104</v>
      </c>
      <c r="R296" s="6" t="s">
        <v>3861</v>
      </c>
      <c r="S296" s="6" t="s">
        <v>106</v>
      </c>
      <c r="T296" s="15" t="s">
        <v>107</v>
      </c>
      <c r="U296" s="35" t="s">
        <v>167</v>
      </c>
      <c r="V296" s="35" t="s">
        <v>1510</v>
      </c>
      <c r="W296" s="35" t="s">
        <v>2348</v>
      </c>
      <c r="X296" s="6" t="s">
        <v>3862</v>
      </c>
      <c r="Y296" s="6" t="s">
        <v>106</v>
      </c>
      <c r="Z296" s="6" t="s">
        <v>107</v>
      </c>
      <c r="AA296" s="15">
        <v>0</v>
      </c>
      <c r="AB296" s="15"/>
      <c r="AC296" s="15">
        <v>196</v>
      </c>
      <c r="AD296" s="33">
        <v>204</v>
      </c>
      <c r="AE296" s="34">
        <v>186</v>
      </c>
      <c r="AF296" s="16">
        <v>87</v>
      </c>
      <c r="AG296" s="16">
        <v>167</v>
      </c>
      <c r="AH296" s="16">
        <v>3</v>
      </c>
      <c r="AI296" s="16">
        <v>18</v>
      </c>
      <c r="AJ296" s="16">
        <v>188</v>
      </c>
      <c r="AK296" s="16">
        <v>15</v>
      </c>
      <c r="AL296" s="16">
        <v>6</v>
      </c>
      <c r="AM296" s="16"/>
      <c r="AN296" s="33" t="s">
        <v>158</v>
      </c>
      <c r="AO296" s="6"/>
      <c r="AP296" s="25"/>
      <c r="AQ296" s="15"/>
      <c r="AR296" s="16" t="s">
        <v>111</v>
      </c>
      <c r="AS296" s="16" t="s">
        <v>161</v>
      </c>
      <c r="AT296" s="6"/>
      <c r="AU296" s="6"/>
      <c r="AV296" s="6"/>
      <c r="AW296" s="6"/>
      <c r="AX296" s="12"/>
      <c r="AY296" s="12"/>
      <c r="AZ296" s="18"/>
      <c r="BA296" s="19"/>
      <c r="BB296" s="19"/>
      <c r="BC296" s="19"/>
      <c r="BD296" s="19"/>
      <c r="BE296" s="19"/>
      <c r="BF296" s="19"/>
      <c r="BG296" s="19"/>
      <c r="BH296" s="19"/>
      <c r="BI296" s="19"/>
      <c r="BJ296" s="19"/>
      <c r="BK296" s="19"/>
    </row>
    <row r="297" spans="1:63" ht="20.100000000000001" hidden="1" customHeight="1" x14ac:dyDescent="0.2">
      <c r="A297" s="13">
        <v>291</v>
      </c>
      <c r="B297" s="16" t="s">
        <v>3829</v>
      </c>
      <c r="C297" s="16" t="s">
        <v>1056</v>
      </c>
      <c r="D297" s="6" t="s">
        <v>2923</v>
      </c>
      <c r="E297" s="6" t="s">
        <v>6</v>
      </c>
      <c r="F297" s="6" t="s">
        <v>922</v>
      </c>
      <c r="G297" s="6"/>
      <c r="H297" s="15" t="s">
        <v>83</v>
      </c>
      <c r="I297" s="15"/>
      <c r="J297" s="15"/>
      <c r="K297" s="15"/>
      <c r="L297" s="15"/>
      <c r="M297" s="15"/>
      <c r="N297" s="15"/>
      <c r="O297" s="16" t="s">
        <v>93</v>
      </c>
      <c r="P297" s="6" t="s">
        <v>429</v>
      </c>
      <c r="Q297" s="6" t="s">
        <v>68</v>
      </c>
      <c r="R297" s="6" t="s">
        <v>3836</v>
      </c>
      <c r="S297" s="6" t="s">
        <v>119</v>
      </c>
      <c r="T297" s="15" t="s">
        <v>107</v>
      </c>
      <c r="U297" s="6" t="s">
        <v>429</v>
      </c>
      <c r="V297" s="6" t="s">
        <v>3679</v>
      </c>
      <c r="W297" s="6" t="s">
        <v>485</v>
      </c>
      <c r="X297" s="6" t="s">
        <v>3837</v>
      </c>
      <c r="Y297" s="6" t="s">
        <v>119</v>
      </c>
      <c r="Z297" s="6" t="s">
        <v>107</v>
      </c>
      <c r="AA297" s="15" t="s">
        <v>3838</v>
      </c>
      <c r="AB297" s="15"/>
      <c r="AC297" s="15"/>
      <c r="AD297" s="15">
        <v>222</v>
      </c>
      <c r="AE297" s="16"/>
      <c r="AF297" s="16"/>
      <c r="AG297" s="16"/>
      <c r="AH297" s="16"/>
      <c r="AI297" s="16"/>
      <c r="AJ297" s="16"/>
      <c r="AK297" s="16"/>
      <c r="AL297" s="16" t="s">
        <v>3839</v>
      </c>
      <c r="AM297" s="16"/>
      <c r="AN297" s="15"/>
      <c r="AO297" s="6"/>
      <c r="AP297" s="25"/>
      <c r="AQ297" s="15"/>
      <c r="AR297" s="16"/>
      <c r="AS297" s="16"/>
      <c r="AT297" s="6" t="s">
        <v>113</v>
      </c>
      <c r="AU297" s="6" t="s">
        <v>137</v>
      </c>
      <c r="AV297" s="6" t="s">
        <v>208</v>
      </c>
      <c r="AW297" s="6" t="s">
        <v>441</v>
      </c>
      <c r="AX297" s="12">
        <f t="shared" si="16"/>
        <v>32</v>
      </c>
      <c r="AY297" s="12" t="str">
        <f t="shared" si="17"/>
        <v/>
      </c>
      <c r="AZ297" s="18"/>
      <c r="BA297" s="19"/>
      <c r="BB297" s="19"/>
      <c r="BC297" s="19"/>
      <c r="BD297" s="19"/>
      <c r="BE297" s="19"/>
      <c r="BF297" s="19"/>
      <c r="BG297" s="19"/>
      <c r="BH297" s="19"/>
      <c r="BI297" s="19"/>
      <c r="BJ297" s="19"/>
      <c r="BK297" s="19"/>
    </row>
    <row r="298" spans="1:63" ht="20.100000000000001" hidden="1" customHeight="1" x14ac:dyDescent="0.2">
      <c r="A298" s="13">
        <v>292</v>
      </c>
      <c r="B298" s="16" t="s">
        <v>3830</v>
      </c>
      <c r="C298" s="16" t="s">
        <v>1056</v>
      </c>
      <c r="D298" s="6" t="s">
        <v>3766</v>
      </c>
      <c r="E298" s="6" t="s">
        <v>6</v>
      </c>
      <c r="F298" s="6"/>
      <c r="G298" s="6"/>
      <c r="H298" s="15" t="s">
        <v>7</v>
      </c>
      <c r="I298" s="15"/>
      <c r="J298" s="15"/>
      <c r="K298" s="15"/>
      <c r="L298" s="15"/>
      <c r="M298" s="15"/>
      <c r="N298" s="15"/>
      <c r="O298" s="16" t="s">
        <v>93</v>
      </c>
      <c r="P298" s="35" t="s">
        <v>155</v>
      </c>
      <c r="Q298" s="35" t="s">
        <v>104</v>
      </c>
      <c r="R298" s="6"/>
      <c r="S298" s="6" t="s">
        <v>142</v>
      </c>
      <c r="T298" s="15" t="s">
        <v>70</v>
      </c>
      <c r="U298" s="35" t="s">
        <v>324</v>
      </c>
      <c r="V298" s="35" t="s">
        <v>3680</v>
      </c>
      <c r="W298" s="35" t="s">
        <v>2258</v>
      </c>
      <c r="X298" s="6" t="s">
        <v>3844</v>
      </c>
      <c r="Y298" s="6" t="s">
        <v>106</v>
      </c>
      <c r="Z298" s="6" t="s">
        <v>107</v>
      </c>
      <c r="AA298" s="15">
        <v>0</v>
      </c>
      <c r="AB298" s="15"/>
      <c r="AC298" s="15">
        <v>198</v>
      </c>
      <c r="AD298" s="15">
        <v>192</v>
      </c>
      <c r="AE298" s="16">
        <v>192</v>
      </c>
      <c r="AF298" s="16">
        <v>156</v>
      </c>
      <c r="AG298" s="16">
        <v>172</v>
      </c>
      <c r="AH298" s="16">
        <v>3</v>
      </c>
      <c r="AI298" s="16">
        <v>15</v>
      </c>
      <c r="AJ298" s="16">
        <v>190</v>
      </c>
      <c r="AK298" s="16">
        <v>18</v>
      </c>
      <c r="AL298" s="16">
        <v>6</v>
      </c>
      <c r="AM298" s="16"/>
      <c r="AN298" s="33" t="s">
        <v>158</v>
      </c>
      <c r="AO298" s="6"/>
      <c r="AP298" s="25"/>
      <c r="AQ298" s="15"/>
      <c r="AR298" s="16" t="s">
        <v>160</v>
      </c>
      <c r="AS298" s="16" t="s">
        <v>193</v>
      </c>
      <c r="AT298" s="6"/>
      <c r="AU298" s="6"/>
      <c r="AV298" s="6"/>
      <c r="AW298" s="6"/>
      <c r="AX298" s="12" t="str">
        <f t="shared" si="16"/>
        <v/>
      </c>
      <c r="AY298" s="12" t="str">
        <f t="shared" si="17"/>
        <v/>
      </c>
      <c r="AZ298" s="18"/>
      <c r="BA298" s="19"/>
      <c r="BB298" s="19"/>
      <c r="BC298" s="19"/>
      <c r="BD298" s="19"/>
      <c r="BE298" s="19"/>
      <c r="BF298" s="19"/>
      <c r="BG298" s="19"/>
      <c r="BH298" s="19"/>
      <c r="BI298" s="19"/>
      <c r="BJ298" s="19"/>
      <c r="BK298" s="19"/>
    </row>
    <row r="299" spans="1:63" ht="20.100000000000001" hidden="1" customHeight="1" x14ac:dyDescent="0.2">
      <c r="A299" s="13">
        <v>293</v>
      </c>
      <c r="B299" s="16" t="s">
        <v>3830</v>
      </c>
      <c r="C299" s="16" t="s">
        <v>1056</v>
      </c>
      <c r="D299" s="6" t="s">
        <v>1126</v>
      </c>
      <c r="E299" s="6" t="s">
        <v>10</v>
      </c>
      <c r="F299" s="6" t="s">
        <v>185</v>
      </c>
      <c r="G299" s="6"/>
      <c r="H299" s="15" t="s">
        <v>83</v>
      </c>
      <c r="I299" s="15"/>
      <c r="J299" s="15"/>
      <c r="K299" s="15"/>
      <c r="L299" s="15"/>
      <c r="M299" s="15"/>
      <c r="N299" s="15"/>
      <c r="O299" s="16" t="s">
        <v>92</v>
      </c>
      <c r="P299" s="6" t="s">
        <v>429</v>
      </c>
      <c r="Q299" s="6" t="s">
        <v>140</v>
      </c>
      <c r="R299" s="6" t="s">
        <v>1171</v>
      </c>
      <c r="S299" s="6" t="s">
        <v>106</v>
      </c>
      <c r="T299" s="15" t="s">
        <v>107</v>
      </c>
      <c r="U299" s="6" t="s">
        <v>429</v>
      </c>
      <c r="V299" s="6" t="s">
        <v>2245</v>
      </c>
      <c r="W299" s="6" t="s">
        <v>116</v>
      </c>
      <c r="X299" s="6" t="s">
        <v>1172</v>
      </c>
      <c r="Y299" s="6" t="s">
        <v>69</v>
      </c>
      <c r="Z299" s="6" t="s">
        <v>70</v>
      </c>
      <c r="AA299" s="15" t="s">
        <v>3840</v>
      </c>
      <c r="AB299" s="15"/>
      <c r="AC299" s="15"/>
      <c r="AD299" s="15">
        <v>186</v>
      </c>
      <c r="AE299" s="16"/>
      <c r="AF299" s="16"/>
      <c r="AG299" s="16"/>
      <c r="AH299" s="16"/>
      <c r="AI299" s="16"/>
      <c r="AJ299" s="16"/>
      <c r="AK299" s="16"/>
      <c r="AL299" s="16">
        <v>6</v>
      </c>
      <c r="AM299" s="16"/>
      <c r="AN299" s="15"/>
      <c r="AO299" s="6"/>
      <c r="AP299" s="25"/>
      <c r="AQ299" s="15"/>
      <c r="AR299" s="16"/>
      <c r="AS299" s="16"/>
      <c r="AT299" s="6" t="s">
        <v>113</v>
      </c>
      <c r="AU299" s="6" t="s">
        <v>137</v>
      </c>
      <c r="AV299" s="6" t="s">
        <v>115</v>
      </c>
      <c r="AW299" s="6" t="s">
        <v>137</v>
      </c>
      <c r="AX299" s="12">
        <f t="shared" si="16"/>
        <v>12</v>
      </c>
      <c r="AY299" s="12">
        <f t="shared" si="17"/>
        <v>12</v>
      </c>
      <c r="AZ299" s="18"/>
      <c r="BA299" s="19"/>
      <c r="BB299" s="19"/>
      <c r="BC299" s="19"/>
      <c r="BD299" s="19"/>
      <c r="BE299" s="19"/>
      <c r="BF299" s="19"/>
      <c r="BG299" s="19"/>
      <c r="BH299" s="19"/>
      <c r="BI299" s="19"/>
      <c r="BJ299" s="19"/>
      <c r="BK299" s="19"/>
    </row>
    <row r="300" spans="1:63" ht="20.100000000000001" hidden="1" customHeight="1" x14ac:dyDescent="0.2">
      <c r="A300" s="13">
        <v>294</v>
      </c>
      <c r="B300" s="16" t="s">
        <v>3841</v>
      </c>
      <c r="C300" s="16" t="s">
        <v>1056</v>
      </c>
      <c r="D300" s="6" t="s">
        <v>3255</v>
      </c>
      <c r="E300" s="6" t="s">
        <v>8</v>
      </c>
      <c r="F300" s="6" t="s">
        <v>3661</v>
      </c>
      <c r="G300" s="6"/>
      <c r="H300" s="15" t="s">
        <v>83</v>
      </c>
      <c r="I300" s="15"/>
      <c r="J300" s="15"/>
      <c r="K300" s="15"/>
      <c r="L300" s="15"/>
      <c r="M300" s="15"/>
      <c r="N300" s="15"/>
      <c r="O300" s="16" t="s">
        <v>92</v>
      </c>
      <c r="P300" s="6"/>
      <c r="Q300" s="6" t="s">
        <v>140</v>
      </c>
      <c r="R300" s="6" t="s">
        <v>3848</v>
      </c>
      <c r="S300" s="6" t="s">
        <v>262</v>
      </c>
      <c r="T300" s="15" t="s">
        <v>70</v>
      </c>
      <c r="U300" s="6" t="s">
        <v>429</v>
      </c>
      <c r="V300" s="6" t="s">
        <v>3679</v>
      </c>
      <c r="W300" s="6" t="s">
        <v>506</v>
      </c>
      <c r="X300" s="6" t="s">
        <v>3849</v>
      </c>
      <c r="Y300" s="6" t="s">
        <v>3850</v>
      </c>
      <c r="Z300" s="6" t="s">
        <v>70</v>
      </c>
      <c r="AA300" s="15" t="s">
        <v>3851</v>
      </c>
      <c r="AB300" s="15"/>
      <c r="AC300" s="15"/>
      <c r="AD300" s="15">
        <v>150</v>
      </c>
      <c r="AE300" s="16"/>
      <c r="AF300" s="16"/>
      <c r="AG300" s="16"/>
      <c r="AH300" s="16"/>
      <c r="AI300" s="16"/>
      <c r="AJ300" s="16"/>
      <c r="AK300" s="16"/>
      <c r="AL300" s="16">
        <v>6</v>
      </c>
      <c r="AM300" s="16"/>
      <c r="AN300" s="15"/>
      <c r="AO300" s="6"/>
      <c r="AP300" s="25"/>
      <c r="AQ300" s="15"/>
      <c r="AR300" s="16"/>
      <c r="AS300" s="16"/>
      <c r="AT300" s="6" t="s">
        <v>113</v>
      </c>
      <c r="AU300" s="6" t="s">
        <v>137</v>
      </c>
      <c r="AV300" s="6" t="s">
        <v>348</v>
      </c>
      <c r="AW300" s="6" t="s">
        <v>260</v>
      </c>
      <c r="AX300" s="12">
        <f t="shared" si="16"/>
        <v>42</v>
      </c>
      <c r="AY300" s="12" t="str">
        <f t="shared" si="17"/>
        <v/>
      </c>
      <c r="AZ300" s="18"/>
      <c r="BA300" s="19"/>
      <c r="BB300" s="19"/>
      <c r="BC300" s="19"/>
      <c r="BD300" s="19"/>
      <c r="BE300" s="19"/>
      <c r="BF300" s="19"/>
      <c r="BG300" s="19"/>
      <c r="BH300" s="19"/>
      <c r="BI300" s="19"/>
      <c r="BJ300" s="19"/>
      <c r="BK300" s="19"/>
    </row>
    <row r="301" spans="1:63" s="21" customFormat="1" ht="20.100000000000001" hidden="1" customHeight="1" x14ac:dyDescent="0.2">
      <c r="A301" s="13">
        <v>295</v>
      </c>
      <c r="B301" s="29" t="s">
        <v>3842</v>
      </c>
      <c r="C301" s="29" t="s">
        <v>1056</v>
      </c>
      <c r="D301" s="30" t="s">
        <v>179</v>
      </c>
      <c r="E301" s="30" t="s">
        <v>19</v>
      </c>
      <c r="F301" s="30" t="s">
        <v>202</v>
      </c>
      <c r="G301" s="30"/>
      <c r="H301" s="20" t="s">
        <v>83</v>
      </c>
      <c r="I301" s="20"/>
      <c r="J301" s="20"/>
      <c r="K301" s="20"/>
      <c r="L301" s="20"/>
      <c r="M301" s="20"/>
      <c r="N301" s="20"/>
      <c r="O301" s="29" t="s">
        <v>92</v>
      </c>
      <c r="P301" s="30"/>
      <c r="Q301" s="30" t="s">
        <v>104</v>
      </c>
      <c r="R301" s="30" t="s">
        <v>3275</v>
      </c>
      <c r="S301" s="30" t="s">
        <v>106</v>
      </c>
      <c r="T301" s="20" t="s">
        <v>107</v>
      </c>
      <c r="U301" s="30" t="s">
        <v>429</v>
      </c>
      <c r="V301" s="30" t="s">
        <v>1510</v>
      </c>
      <c r="W301" s="30" t="s">
        <v>2348</v>
      </c>
      <c r="X301" s="30" t="s">
        <v>191</v>
      </c>
      <c r="Y301" s="30" t="s">
        <v>106</v>
      </c>
      <c r="Z301" s="30" t="s">
        <v>107</v>
      </c>
      <c r="AA301" s="20" t="s">
        <v>3372</v>
      </c>
      <c r="AB301" s="20"/>
      <c r="AC301" s="20"/>
      <c r="AD301" s="20">
        <v>234</v>
      </c>
      <c r="AE301" s="29"/>
      <c r="AF301" s="29"/>
      <c r="AG301" s="29"/>
      <c r="AH301" s="29"/>
      <c r="AI301" s="29"/>
      <c r="AJ301" s="29"/>
      <c r="AK301" s="29"/>
      <c r="AL301" s="29">
        <v>6</v>
      </c>
      <c r="AM301" s="29"/>
      <c r="AN301" s="20"/>
      <c r="AO301" s="30"/>
      <c r="AP301" s="36"/>
      <c r="AQ301" s="20"/>
      <c r="AR301" s="29" t="s">
        <v>160</v>
      </c>
      <c r="AS301" s="29" t="s">
        <v>193</v>
      </c>
      <c r="AT301" s="30" t="s">
        <v>113</v>
      </c>
      <c r="AU301" s="30" t="s">
        <v>137</v>
      </c>
      <c r="AV301" s="30" t="s">
        <v>113</v>
      </c>
      <c r="AW301" s="30" t="s">
        <v>235</v>
      </c>
      <c r="AX301" s="31">
        <f t="shared" si="16"/>
        <v>3</v>
      </c>
      <c r="AY301" s="31">
        <f t="shared" si="17"/>
        <v>3</v>
      </c>
      <c r="AZ301" s="32"/>
    </row>
    <row r="302" spans="1:63" ht="20.100000000000001" hidden="1" customHeight="1" x14ac:dyDescent="0.2">
      <c r="A302" s="13">
        <v>296</v>
      </c>
      <c r="B302" s="16" t="s">
        <v>3842</v>
      </c>
      <c r="C302" s="16" t="s">
        <v>1056</v>
      </c>
      <c r="D302" s="6" t="s">
        <v>179</v>
      </c>
      <c r="E302" s="6" t="s">
        <v>19</v>
      </c>
      <c r="F302" s="6"/>
      <c r="G302" s="6"/>
      <c r="H302" s="15" t="s">
        <v>7</v>
      </c>
      <c r="I302" s="15"/>
      <c r="J302" s="15"/>
      <c r="K302" s="15"/>
      <c r="L302" s="15"/>
      <c r="M302" s="15"/>
      <c r="N302" s="15"/>
      <c r="O302" s="16" t="s">
        <v>92</v>
      </c>
      <c r="P302" s="6" t="s">
        <v>104</v>
      </c>
      <c r="Q302" s="6" t="s">
        <v>104</v>
      </c>
      <c r="R302" s="6"/>
      <c r="S302" s="6" t="s">
        <v>142</v>
      </c>
      <c r="T302" s="15" t="s">
        <v>70</v>
      </c>
      <c r="U302" s="6" t="s">
        <v>190</v>
      </c>
      <c r="V302" s="6" t="s">
        <v>1510</v>
      </c>
      <c r="W302" s="6" t="s">
        <v>2348</v>
      </c>
      <c r="X302" s="6" t="s">
        <v>3845</v>
      </c>
      <c r="Y302" s="6" t="s">
        <v>106</v>
      </c>
      <c r="Z302" s="6" t="s">
        <v>107</v>
      </c>
      <c r="AA302" s="15">
        <v>0</v>
      </c>
      <c r="AB302" s="15"/>
      <c r="AC302" s="15"/>
      <c r="AD302" s="15">
        <v>234</v>
      </c>
      <c r="AE302" s="16">
        <v>234</v>
      </c>
      <c r="AF302" s="16">
        <v>63</v>
      </c>
      <c r="AG302" s="16">
        <v>149</v>
      </c>
      <c r="AH302" s="16">
        <v>6</v>
      </c>
      <c r="AI302" s="16">
        <v>38</v>
      </c>
      <c r="AJ302" s="16">
        <v>193</v>
      </c>
      <c r="AK302" s="16">
        <v>17</v>
      </c>
      <c r="AL302" s="16">
        <v>6</v>
      </c>
      <c r="AM302" s="16"/>
      <c r="AN302" s="15"/>
      <c r="AO302" s="6"/>
      <c r="AP302" s="25"/>
      <c r="AQ302" s="15"/>
      <c r="AR302" s="16" t="s">
        <v>160</v>
      </c>
      <c r="AS302" s="16" t="s">
        <v>193</v>
      </c>
      <c r="AT302" s="6"/>
      <c r="AU302" s="6"/>
      <c r="AV302" s="6"/>
      <c r="AW302" s="6"/>
      <c r="AX302" s="12" t="str">
        <f t="shared" si="16"/>
        <v/>
      </c>
      <c r="AY302" s="12" t="str">
        <f t="shared" si="17"/>
        <v/>
      </c>
      <c r="AZ302" s="18"/>
      <c r="BA302" s="19"/>
      <c r="BB302" s="19"/>
      <c r="BC302" s="19"/>
      <c r="BD302" s="19"/>
      <c r="BE302" s="19"/>
      <c r="BF302" s="19"/>
      <c r="BG302" s="19"/>
      <c r="BH302" s="19"/>
      <c r="BI302" s="19"/>
      <c r="BJ302" s="19"/>
      <c r="BK302" s="19"/>
    </row>
    <row r="303" spans="1:63" ht="20.100000000000001" hidden="1" customHeight="1" x14ac:dyDescent="0.2">
      <c r="A303" s="13">
        <v>297</v>
      </c>
      <c r="B303" s="16" t="s">
        <v>3842</v>
      </c>
      <c r="C303" s="16" t="s">
        <v>1056</v>
      </c>
      <c r="D303" s="6" t="s">
        <v>859</v>
      </c>
      <c r="E303" s="6" t="s">
        <v>20</v>
      </c>
      <c r="F303" s="6"/>
      <c r="G303" s="6"/>
      <c r="H303" s="15" t="s">
        <v>7</v>
      </c>
      <c r="I303" s="15"/>
      <c r="J303" s="15"/>
      <c r="K303" s="15"/>
      <c r="L303" s="15"/>
      <c r="M303" s="15"/>
      <c r="N303" s="15"/>
      <c r="O303" s="16" t="s">
        <v>84</v>
      </c>
      <c r="P303" s="35" t="s">
        <v>223</v>
      </c>
      <c r="Q303" s="35" t="s">
        <v>116</v>
      </c>
      <c r="R303" s="6"/>
      <c r="S303" s="6" t="s">
        <v>106</v>
      </c>
      <c r="T303" s="15" t="s">
        <v>107</v>
      </c>
      <c r="U303" s="35" t="s">
        <v>224</v>
      </c>
      <c r="V303" s="35" t="s">
        <v>2325</v>
      </c>
      <c r="W303" s="35" t="s">
        <v>441</v>
      </c>
      <c r="X303" s="6" t="s">
        <v>3846</v>
      </c>
      <c r="Y303" s="6" t="s">
        <v>69</v>
      </c>
      <c r="Z303" s="6" t="s">
        <v>70</v>
      </c>
      <c r="AA303" s="15">
        <v>0</v>
      </c>
      <c r="AB303" s="15"/>
      <c r="AC303" s="15"/>
      <c r="AD303" s="15">
        <v>118</v>
      </c>
      <c r="AE303" s="16">
        <v>118</v>
      </c>
      <c r="AF303" s="16">
        <v>87</v>
      </c>
      <c r="AG303" s="16">
        <v>115</v>
      </c>
      <c r="AH303" s="16">
        <v>1</v>
      </c>
      <c r="AI303" s="16">
        <v>29</v>
      </c>
      <c r="AJ303" s="16">
        <v>145</v>
      </c>
      <c r="AK303" s="16">
        <v>4</v>
      </c>
      <c r="AL303" s="16">
        <v>4</v>
      </c>
      <c r="AM303" s="16"/>
      <c r="AN303" s="33" t="s">
        <v>158</v>
      </c>
      <c r="AO303" s="6"/>
      <c r="AP303" s="25"/>
      <c r="AQ303" s="15"/>
      <c r="AR303" s="16" t="s">
        <v>111</v>
      </c>
      <c r="AS303" s="16" t="s">
        <v>1956</v>
      </c>
      <c r="AT303" s="6"/>
      <c r="AU303" s="6"/>
      <c r="AV303" s="6"/>
      <c r="AW303" s="6"/>
      <c r="AX303" s="12" t="str">
        <f t="shared" si="16"/>
        <v/>
      </c>
      <c r="AY303" s="12" t="str">
        <f t="shared" si="17"/>
        <v/>
      </c>
      <c r="AZ303" s="18"/>
      <c r="BA303" s="19"/>
      <c r="BB303" s="19"/>
      <c r="BC303" s="19"/>
      <c r="BD303" s="19"/>
      <c r="BE303" s="19"/>
      <c r="BF303" s="19"/>
      <c r="BG303" s="19"/>
      <c r="BH303" s="19"/>
      <c r="BI303" s="19"/>
      <c r="BJ303" s="19"/>
      <c r="BK303" s="19"/>
    </row>
    <row r="304" spans="1:63" ht="20.100000000000001" hidden="1" customHeight="1" x14ac:dyDescent="0.2">
      <c r="A304" s="13">
        <v>298</v>
      </c>
      <c r="B304" s="16" t="s">
        <v>3843</v>
      </c>
      <c r="C304" s="16" t="s">
        <v>1056</v>
      </c>
      <c r="D304" s="6" t="s">
        <v>2372</v>
      </c>
      <c r="E304" s="6" t="s">
        <v>20</v>
      </c>
      <c r="F304" s="6"/>
      <c r="G304" s="6"/>
      <c r="H304" s="15" t="s">
        <v>7</v>
      </c>
      <c r="I304" s="15"/>
      <c r="J304" s="15"/>
      <c r="K304" s="15"/>
      <c r="L304" s="15"/>
      <c r="M304" s="15"/>
      <c r="N304" s="15"/>
      <c r="O304" s="16" t="s">
        <v>84</v>
      </c>
      <c r="P304" s="35" t="s">
        <v>104</v>
      </c>
      <c r="Q304" s="35" t="s">
        <v>155</v>
      </c>
      <c r="R304" s="6"/>
      <c r="S304" s="6" t="s">
        <v>69</v>
      </c>
      <c r="T304" s="15" t="s">
        <v>70</v>
      </c>
      <c r="U304" s="35" t="s">
        <v>361</v>
      </c>
      <c r="V304" s="35" t="s">
        <v>3677</v>
      </c>
      <c r="W304" s="35" t="s">
        <v>718</v>
      </c>
      <c r="X304" s="6" t="s">
        <v>3847</v>
      </c>
      <c r="Y304" s="6" t="s">
        <v>106</v>
      </c>
      <c r="Z304" s="6" t="s">
        <v>107</v>
      </c>
      <c r="AA304" s="15">
        <v>0</v>
      </c>
      <c r="AB304" s="15"/>
      <c r="AC304" s="15">
        <v>210</v>
      </c>
      <c r="AD304" s="15">
        <v>180</v>
      </c>
      <c r="AE304" s="16">
        <v>180</v>
      </c>
      <c r="AF304" s="16">
        <v>110</v>
      </c>
      <c r="AG304" s="16">
        <v>157</v>
      </c>
      <c r="AH304" s="16">
        <v>4</v>
      </c>
      <c r="AI304" s="16">
        <v>46</v>
      </c>
      <c r="AJ304" s="16">
        <v>207</v>
      </c>
      <c r="AK304" s="16">
        <v>20</v>
      </c>
      <c r="AL304" s="16">
        <v>6</v>
      </c>
      <c r="AM304" s="16"/>
      <c r="AN304" s="33" t="s">
        <v>158</v>
      </c>
      <c r="AO304" s="6"/>
      <c r="AP304" s="25"/>
      <c r="AQ304" s="15"/>
      <c r="AR304" s="16" t="s">
        <v>160</v>
      </c>
      <c r="AS304" s="16" t="s">
        <v>165</v>
      </c>
      <c r="AT304" s="6"/>
      <c r="AU304" s="6"/>
      <c r="AV304" s="6"/>
      <c r="AW304" s="6"/>
      <c r="AX304" s="12" t="str">
        <f t="shared" si="16"/>
        <v/>
      </c>
      <c r="AY304" s="12" t="str">
        <f t="shared" si="17"/>
        <v/>
      </c>
      <c r="AZ304" s="18"/>
      <c r="BA304" s="19"/>
      <c r="BB304" s="19"/>
      <c r="BC304" s="19"/>
      <c r="BD304" s="19"/>
      <c r="BE304" s="19"/>
      <c r="BF304" s="19"/>
      <c r="BG304" s="19"/>
      <c r="BH304" s="19"/>
      <c r="BI304" s="19"/>
      <c r="BJ304" s="19"/>
      <c r="BK304" s="19"/>
    </row>
    <row r="305" spans="1:63" ht="20.100000000000001" hidden="1" customHeight="1" x14ac:dyDescent="0.2">
      <c r="A305" s="13">
        <v>299</v>
      </c>
      <c r="B305" s="16" t="s">
        <v>3852</v>
      </c>
      <c r="C305" s="16" t="s">
        <v>1253</v>
      </c>
      <c r="D305" s="6" t="s">
        <v>1097</v>
      </c>
      <c r="E305" s="6" t="s">
        <v>10</v>
      </c>
      <c r="F305" s="6"/>
      <c r="G305" s="6"/>
      <c r="H305" s="15" t="s">
        <v>7</v>
      </c>
      <c r="I305" s="15"/>
      <c r="J305" s="15"/>
      <c r="K305" s="15"/>
      <c r="L305" s="15"/>
      <c r="M305" s="15"/>
      <c r="N305" s="15"/>
      <c r="O305" s="16" t="s">
        <v>92</v>
      </c>
      <c r="P305" s="35" t="s">
        <v>68</v>
      </c>
      <c r="Q305" s="35" t="s">
        <v>140</v>
      </c>
      <c r="R305" s="6" t="s">
        <v>1326</v>
      </c>
      <c r="S305" s="6" t="s">
        <v>69</v>
      </c>
      <c r="T305" s="15" t="s">
        <v>70</v>
      </c>
      <c r="U305" s="35" t="s">
        <v>332</v>
      </c>
      <c r="V305" s="35" t="s">
        <v>2245</v>
      </c>
      <c r="W305" s="35" t="s">
        <v>441</v>
      </c>
      <c r="X305" s="6" t="s">
        <v>933</v>
      </c>
      <c r="Y305" s="6" t="s">
        <v>142</v>
      </c>
      <c r="Z305" s="6" t="s">
        <v>70</v>
      </c>
      <c r="AA305" s="15">
        <v>0</v>
      </c>
      <c r="AB305" s="15"/>
      <c r="AC305" s="15">
        <v>184</v>
      </c>
      <c r="AD305" s="15">
        <v>174</v>
      </c>
      <c r="AE305" s="16">
        <v>174</v>
      </c>
      <c r="AF305" s="16">
        <v>139</v>
      </c>
      <c r="AG305" s="16">
        <v>160</v>
      </c>
      <c r="AH305" s="16">
        <v>1</v>
      </c>
      <c r="AI305" s="16">
        <v>10</v>
      </c>
      <c r="AJ305" s="16">
        <v>171</v>
      </c>
      <c r="AK305" s="16">
        <v>11</v>
      </c>
      <c r="AL305" s="16"/>
      <c r="AM305" s="16"/>
      <c r="AN305" s="33" t="s">
        <v>158</v>
      </c>
      <c r="AO305" s="6"/>
      <c r="AP305" s="25"/>
      <c r="AQ305" s="15"/>
      <c r="AR305" s="16" t="s">
        <v>111</v>
      </c>
      <c r="AS305" s="16" t="s">
        <v>112</v>
      </c>
      <c r="AT305" s="6"/>
      <c r="AU305" s="6"/>
      <c r="AV305" s="6"/>
      <c r="AW305" s="6"/>
      <c r="AX305" s="12" t="str">
        <f t="shared" si="16"/>
        <v/>
      </c>
      <c r="AY305" s="12" t="str">
        <f t="shared" si="17"/>
        <v/>
      </c>
      <c r="AZ305" s="18"/>
      <c r="BA305" s="19"/>
      <c r="BB305" s="19"/>
      <c r="BC305" s="19"/>
      <c r="BD305" s="19"/>
      <c r="BE305" s="19"/>
      <c r="BF305" s="19"/>
      <c r="BG305" s="19"/>
      <c r="BH305" s="19"/>
      <c r="BI305" s="19"/>
      <c r="BJ305" s="19"/>
      <c r="BK305" s="19"/>
    </row>
    <row r="306" spans="1:63" s="21" customFormat="1" ht="20.100000000000001" hidden="1" customHeight="1" x14ac:dyDescent="0.2">
      <c r="A306" s="13">
        <v>300</v>
      </c>
      <c r="B306" s="29" t="s">
        <v>3852</v>
      </c>
      <c r="C306" s="29" t="s">
        <v>1253</v>
      </c>
      <c r="D306" s="30" t="s">
        <v>3854</v>
      </c>
      <c r="E306" s="30" t="s">
        <v>10</v>
      </c>
      <c r="F306" s="6" t="s">
        <v>185</v>
      </c>
      <c r="G306" s="6"/>
      <c r="H306" s="20" t="s">
        <v>83</v>
      </c>
      <c r="I306" s="15"/>
      <c r="J306" s="15"/>
      <c r="K306" s="15"/>
      <c r="L306" s="15"/>
      <c r="M306" s="15"/>
      <c r="N306" s="15"/>
      <c r="O306" s="29" t="s">
        <v>93</v>
      </c>
      <c r="P306" s="30" t="s">
        <v>429</v>
      </c>
      <c r="Q306" s="30" t="s">
        <v>68</v>
      </c>
      <c r="R306" s="30" t="s">
        <v>345</v>
      </c>
      <c r="S306" s="30" t="s">
        <v>106</v>
      </c>
      <c r="T306" s="20" t="s">
        <v>107</v>
      </c>
      <c r="U306" s="30" t="s">
        <v>429</v>
      </c>
      <c r="V306" s="30" t="s">
        <v>3677</v>
      </c>
      <c r="W306" s="30" t="s">
        <v>485</v>
      </c>
      <c r="X306" s="30" t="s">
        <v>3431</v>
      </c>
      <c r="Y306" s="30" t="s">
        <v>106</v>
      </c>
      <c r="Z306" s="30" t="s">
        <v>107</v>
      </c>
      <c r="AA306" s="20" t="s">
        <v>3698</v>
      </c>
      <c r="AB306" s="20"/>
      <c r="AC306" s="20"/>
      <c r="AD306" s="20">
        <v>234</v>
      </c>
      <c r="AE306" s="29"/>
      <c r="AF306" s="29"/>
      <c r="AG306" s="29"/>
      <c r="AH306" s="29"/>
      <c r="AI306" s="29"/>
      <c r="AJ306" s="29"/>
      <c r="AK306" s="29"/>
      <c r="AL306" s="29">
        <v>6</v>
      </c>
      <c r="AM306" s="29"/>
      <c r="AN306" s="20"/>
      <c r="AO306" s="30"/>
      <c r="AP306" s="36"/>
      <c r="AQ306" s="20"/>
      <c r="AR306" s="29"/>
      <c r="AS306" s="29"/>
      <c r="AT306" s="30" t="s">
        <v>113</v>
      </c>
      <c r="AU306" s="30" t="s">
        <v>344</v>
      </c>
      <c r="AV306" s="30" t="s">
        <v>113</v>
      </c>
      <c r="AW306" s="30" t="s">
        <v>235</v>
      </c>
      <c r="AX306" s="31">
        <f t="shared" ref="AX306:AX368" si="18">IF(AT306*AV306&gt;0,(AT306-AV306)*12+(AU306-AW306),"")</f>
        <v>4</v>
      </c>
      <c r="AY306" s="31">
        <f t="shared" ref="AY306:AY368" si="19">IF(AX306&lt;13,AX306,"")</f>
        <v>4</v>
      </c>
      <c r="AZ306" s="32"/>
    </row>
    <row r="307" spans="1:63" ht="20.100000000000001" hidden="1" customHeight="1" x14ac:dyDescent="0.2">
      <c r="A307" s="13">
        <v>301</v>
      </c>
      <c r="B307" s="16" t="s">
        <v>3852</v>
      </c>
      <c r="C307" s="16" t="s">
        <v>1253</v>
      </c>
      <c r="D307" s="6" t="s">
        <v>2543</v>
      </c>
      <c r="E307" s="6" t="s">
        <v>20</v>
      </c>
      <c r="F307" s="6" t="s">
        <v>945</v>
      </c>
      <c r="G307" s="6"/>
      <c r="H307" s="15" t="s">
        <v>83</v>
      </c>
      <c r="I307" s="15"/>
      <c r="J307" s="15"/>
      <c r="K307" s="15"/>
      <c r="L307" s="15"/>
      <c r="M307" s="15"/>
      <c r="N307" s="15"/>
      <c r="O307" s="16" t="s">
        <v>93</v>
      </c>
      <c r="P307" s="6" t="s">
        <v>429</v>
      </c>
      <c r="Q307" s="6" t="s">
        <v>117</v>
      </c>
      <c r="R307" s="6" t="s">
        <v>3858</v>
      </c>
      <c r="S307" s="6" t="s">
        <v>69</v>
      </c>
      <c r="T307" s="15" t="s">
        <v>70</v>
      </c>
      <c r="U307" s="6" t="s">
        <v>429</v>
      </c>
      <c r="V307" s="6" t="s">
        <v>3677</v>
      </c>
      <c r="W307" s="6" t="s">
        <v>465</v>
      </c>
      <c r="X307" s="6" t="s">
        <v>3859</v>
      </c>
      <c r="Y307" s="6" t="s">
        <v>69</v>
      </c>
      <c r="Z307" s="6" t="s">
        <v>70</v>
      </c>
      <c r="AA307" s="15" t="s">
        <v>3860</v>
      </c>
      <c r="AB307" s="15">
        <v>0</v>
      </c>
      <c r="AC307" s="15"/>
      <c r="AD307" s="15">
        <v>228</v>
      </c>
      <c r="AE307" s="16"/>
      <c r="AF307" s="16"/>
      <c r="AG307" s="16"/>
      <c r="AH307" s="16"/>
      <c r="AI307" s="16"/>
      <c r="AJ307" s="16"/>
      <c r="AK307" s="16"/>
      <c r="AL307" s="16">
        <v>6</v>
      </c>
      <c r="AM307" s="16"/>
      <c r="AN307" s="15"/>
      <c r="AO307" s="6"/>
      <c r="AP307" s="25"/>
      <c r="AQ307" s="15"/>
      <c r="AR307" s="16"/>
      <c r="AS307" s="16"/>
      <c r="AT307" s="6" t="s">
        <v>113</v>
      </c>
      <c r="AU307" s="6" t="s">
        <v>344</v>
      </c>
      <c r="AV307" s="6" t="s">
        <v>136</v>
      </c>
      <c r="AW307" s="6" t="s">
        <v>116</v>
      </c>
      <c r="AX307" s="12">
        <f t="shared" si="18"/>
        <v>20</v>
      </c>
      <c r="AY307" s="12" t="str">
        <f t="shared" si="19"/>
        <v/>
      </c>
      <c r="AZ307" s="18"/>
      <c r="BA307" s="19"/>
      <c r="BB307" s="19"/>
      <c r="BC307" s="19"/>
      <c r="BD307" s="19"/>
      <c r="BE307" s="19"/>
      <c r="BF307" s="19"/>
      <c r="BG307" s="19"/>
      <c r="BH307" s="19"/>
      <c r="BI307" s="19"/>
      <c r="BJ307" s="19"/>
      <c r="BK307" s="19"/>
    </row>
    <row r="308" spans="1:63" ht="20.100000000000001" hidden="1" customHeight="1" x14ac:dyDescent="0.2">
      <c r="A308" s="13">
        <v>302</v>
      </c>
      <c r="B308" s="16" t="s">
        <v>3853</v>
      </c>
      <c r="C308" s="16" t="s">
        <v>1253</v>
      </c>
      <c r="D308" s="6" t="s">
        <v>2543</v>
      </c>
      <c r="E308" s="6" t="s">
        <v>20</v>
      </c>
      <c r="F308" s="6"/>
      <c r="G308" s="6"/>
      <c r="H308" s="15" t="s">
        <v>7</v>
      </c>
      <c r="I308" s="15"/>
      <c r="J308" s="15"/>
      <c r="K308" s="15"/>
      <c r="L308" s="15"/>
      <c r="M308" s="15"/>
      <c r="N308" s="15"/>
      <c r="O308" s="16" t="s">
        <v>84</v>
      </c>
      <c r="P308" s="6" t="s">
        <v>117</v>
      </c>
      <c r="Q308" s="6" t="s">
        <v>155</v>
      </c>
      <c r="R308" s="6" t="s">
        <v>3856</v>
      </c>
      <c r="S308" s="6" t="s">
        <v>262</v>
      </c>
      <c r="T308" s="15" t="s">
        <v>70</v>
      </c>
      <c r="U308" s="6" t="s">
        <v>120</v>
      </c>
      <c r="V308" s="6" t="s">
        <v>3680</v>
      </c>
      <c r="W308" s="6" t="s">
        <v>1581</v>
      </c>
      <c r="X308" s="6" t="s">
        <v>3857</v>
      </c>
      <c r="Y308" s="6" t="s">
        <v>73</v>
      </c>
      <c r="Z308" s="6" t="s">
        <v>70</v>
      </c>
      <c r="AA308" s="15">
        <v>0</v>
      </c>
      <c r="AB308" s="15"/>
      <c r="AC308" s="15">
        <v>255</v>
      </c>
      <c r="AD308" s="33">
        <v>228</v>
      </c>
      <c r="AE308" s="34">
        <v>198</v>
      </c>
      <c r="AF308" s="16">
        <v>91</v>
      </c>
      <c r="AG308" s="16">
        <v>139</v>
      </c>
      <c r="AH308" s="16">
        <v>6</v>
      </c>
      <c r="AI308" s="16">
        <v>55</v>
      </c>
      <c r="AJ308" s="16">
        <v>200</v>
      </c>
      <c r="AK308" s="16">
        <v>20</v>
      </c>
      <c r="AL308" s="16">
        <v>6</v>
      </c>
      <c r="AM308" s="16"/>
      <c r="AN308" s="33" t="s">
        <v>158</v>
      </c>
      <c r="AO308" s="6"/>
      <c r="AP308" s="25"/>
      <c r="AQ308" s="15"/>
      <c r="AR308" s="16" t="s">
        <v>160</v>
      </c>
      <c r="AS308" s="16" t="s">
        <v>165</v>
      </c>
      <c r="AT308" s="6"/>
      <c r="AU308" s="6"/>
      <c r="AV308" s="6"/>
      <c r="AW308" s="6"/>
      <c r="AX308" s="12" t="str">
        <f t="shared" si="18"/>
        <v/>
      </c>
      <c r="AY308" s="12" t="str">
        <f t="shared" si="19"/>
        <v/>
      </c>
      <c r="AZ308" s="18"/>
      <c r="BA308" s="19"/>
      <c r="BB308" s="19"/>
      <c r="BC308" s="19"/>
      <c r="BD308" s="19"/>
      <c r="BE308" s="19"/>
      <c r="BF308" s="19"/>
      <c r="BG308" s="19"/>
      <c r="BH308" s="19"/>
      <c r="BI308" s="19"/>
      <c r="BJ308" s="19"/>
      <c r="BK308" s="19"/>
    </row>
    <row r="309" spans="1:63" ht="20.100000000000001" hidden="1" customHeight="1" x14ac:dyDescent="0.2">
      <c r="A309" s="13">
        <v>303</v>
      </c>
      <c r="B309" s="16" t="s">
        <v>3853</v>
      </c>
      <c r="C309" s="16" t="s">
        <v>1253</v>
      </c>
      <c r="D309" s="6" t="s">
        <v>3855</v>
      </c>
      <c r="E309" s="6" t="s">
        <v>6</v>
      </c>
      <c r="F309" s="6" t="s">
        <v>185</v>
      </c>
      <c r="G309" s="6"/>
      <c r="H309" s="15" t="s">
        <v>83</v>
      </c>
      <c r="I309" s="15"/>
      <c r="J309" s="15"/>
      <c r="K309" s="15"/>
      <c r="L309" s="15"/>
      <c r="M309" s="15"/>
      <c r="N309" s="15"/>
      <c r="O309" s="16" t="s">
        <v>93</v>
      </c>
      <c r="P309" s="6" t="s">
        <v>429</v>
      </c>
      <c r="Q309" s="6" t="s">
        <v>68</v>
      </c>
      <c r="R309" s="6" t="s">
        <v>3882</v>
      </c>
      <c r="S309" s="6" t="s">
        <v>142</v>
      </c>
      <c r="T309" s="15" t="s">
        <v>107</v>
      </c>
      <c r="U309" s="6" t="s">
        <v>429</v>
      </c>
      <c r="V309" s="6" t="s">
        <v>3677</v>
      </c>
      <c r="W309" s="6" t="s">
        <v>485</v>
      </c>
      <c r="X309" s="6" t="s">
        <v>3883</v>
      </c>
      <c r="Y309" s="6" t="s">
        <v>142</v>
      </c>
      <c r="Z309" s="6" t="s">
        <v>70</v>
      </c>
      <c r="AA309" s="15" t="s">
        <v>3884</v>
      </c>
      <c r="AB309" s="15"/>
      <c r="AC309" s="15"/>
      <c r="AD309" s="15">
        <v>157</v>
      </c>
      <c r="AE309" s="16"/>
      <c r="AF309" s="16"/>
      <c r="AG309" s="16"/>
      <c r="AH309" s="16"/>
      <c r="AI309" s="16"/>
      <c r="AJ309" s="16"/>
      <c r="AK309" s="16"/>
      <c r="AL309" s="16" t="s">
        <v>3839</v>
      </c>
      <c r="AM309" s="16"/>
      <c r="AN309" s="15"/>
      <c r="AO309" s="6"/>
      <c r="AP309" s="25"/>
      <c r="AQ309" s="15"/>
      <c r="AR309" s="16"/>
      <c r="AS309" s="16"/>
      <c r="AT309" s="6" t="s">
        <v>113</v>
      </c>
      <c r="AU309" s="6" t="s">
        <v>344</v>
      </c>
      <c r="AV309" s="6" t="s">
        <v>123</v>
      </c>
      <c r="AW309" s="6" t="s">
        <v>116</v>
      </c>
      <c r="AX309" s="12">
        <f t="shared" si="18"/>
        <v>56</v>
      </c>
      <c r="AY309" s="12" t="str">
        <f t="shared" si="19"/>
        <v/>
      </c>
      <c r="AZ309" s="18"/>
      <c r="BA309" s="19"/>
      <c r="BB309" s="19"/>
      <c r="BC309" s="19"/>
      <c r="BD309" s="19"/>
      <c r="BE309" s="19"/>
      <c r="BF309" s="19"/>
      <c r="BG309" s="19"/>
      <c r="BH309" s="19"/>
      <c r="BI309" s="19"/>
      <c r="BJ309" s="19"/>
      <c r="BK309" s="19"/>
    </row>
    <row r="310" spans="1:63" ht="20.100000000000001" hidden="1" customHeight="1" x14ac:dyDescent="0.2">
      <c r="A310" s="13">
        <v>304</v>
      </c>
      <c r="B310" s="16" t="s">
        <v>3853</v>
      </c>
      <c r="C310" s="16" t="s">
        <v>1253</v>
      </c>
      <c r="D310" s="6" t="s">
        <v>2242</v>
      </c>
      <c r="E310" s="6" t="s">
        <v>9</v>
      </c>
      <c r="F310" s="249" t="s">
        <v>4038</v>
      </c>
      <c r="G310" s="6"/>
      <c r="H310" s="15" t="s">
        <v>83</v>
      </c>
      <c r="I310" s="15"/>
      <c r="J310" s="15"/>
      <c r="K310" s="15"/>
      <c r="L310" s="15"/>
      <c r="M310" s="15"/>
      <c r="N310" s="15"/>
      <c r="O310" s="16" t="s">
        <v>92</v>
      </c>
      <c r="P310" s="6" t="s">
        <v>429</v>
      </c>
      <c r="Q310" s="6" t="s">
        <v>223</v>
      </c>
      <c r="R310" s="6" t="s">
        <v>3885</v>
      </c>
      <c r="S310" s="6" t="s">
        <v>142</v>
      </c>
      <c r="T310" s="15" t="s">
        <v>70</v>
      </c>
      <c r="U310" s="6" t="s">
        <v>429</v>
      </c>
      <c r="V310" s="6" t="s">
        <v>2961</v>
      </c>
      <c r="W310" s="6" t="s">
        <v>485</v>
      </c>
      <c r="X310" s="6" t="s">
        <v>3886</v>
      </c>
      <c r="Y310" s="6" t="s">
        <v>73</v>
      </c>
      <c r="Z310" s="6" t="s">
        <v>70</v>
      </c>
      <c r="AA310" s="15" t="s">
        <v>3887</v>
      </c>
      <c r="AB310" s="15"/>
      <c r="AC310" s="15"/>
      <c r="AD310" s="15">
        <v>128</v>
      </c>
      <c r="AE310" s="16"/>
      <c r="AF310" s="16"/>
      <c r="AG310" s="16"/>
      <c r="AH310" s="16"/>
      <c r="AI310" s="16"/>
      <c r="AJ310" s="16"/>
      <c r="AK310" s="16"/>
      <c r="AL310" s="16">
        <v>3</v>
      </c>
      <c r="AM310" s="16"/>
      <c r="AN310" s="15"/>
      <c r="AO310" s="6"/>
      <c r="AP310" s="25"/>
      <c r="AQ310" s="15"/>
      <c r="AR310" s="16"/>
      <c r="AS310" s="16"/>
      <c r="AT310" s="6" t="s">
        <v>113</v>
      </c>
      <c r="AU310" s="6" t="s">
        <v>344</v>
      </c>
      <c r="AV310" s="6" t="s">
        <v>136</v>
      </c>
      <c r="AW310" s="6" t="s">
        <v>124</v>
      </c>
      <c r="AX310" s="12">
        <f t="shared" si="18"/>
        <v>27</v>
      </c>
      <c r="AY310" s="12" t="str">
        <f t="shared" si="19"/>
        <v/>
      </c>
      <c r="AZ310" s="18"/>
      <c r="BA310" s="19"/>
      <c r="BB310" s="19"/>
      <c r="BC310" s="19"/>
      <c r="BD310" s="19"/>
      <c r="BE310" s="19"/>
      <c r="BF310" s="19"/>
      <c r="BG310" s="19"/>
      <c r="BH310" s="19"/>
      <c r="BI310" s="19"/>
      <c r="BJ310" s="19"/>
      <c r="BK310" s="19"/>
    </row>
    <row r="311" spans="1:63" ht="20.100000000000001" hidden="1" customHeight="1" x14ac:dyDescent="0.2">
      <c r="A311" s="13">
        <v>305</v>
      </c>
      <c r="B311" s="16" t="s">
        <v>3869</v>
      </c>
      <c r="C311" s="16" t="s">
        <v>1253</v>
      </c>
      <c r="D311" s="6" t="s">
        <v>2242</v>
      </c>
      <c r="E311" s="6" t="s">
        <v>9</v>
      </c>
      <c r="F311" s="6"/>
      <c r="G311" s="6"/>
      <c r="H311" s="15" t="s">
        <v>7</v>
      </c>
      <c r="I311" s="15"/>
      <c r="J311" s="15"/>
      <c r="K311" s="15"/>
      <c r="L311" s="15"/>
      <c r="M311" s="15"/>
      <c r="N311" s="15"/>
      <c r="O311" s="16" t="s">
        <v>92</v>
      </c>
      <c r="P311" s="6" t="s">
        <v>223</v>
      </c>
      <c r="Q311" s="6" t="s">
        <v>223</v>
      </c>
      <c r="R311" s="6" t="s">
        <v>3892</v>
      </c>
      <c r="S311" s="6" t="s">
        <v>369</v>
      </c>
      <c r="T311" s="15" t="s">
        <v>369</v>
      </c>
      <c r="U311" s="6" t="s">
        <v>965</v>
      </c>
      <c r="V311" s="6" t="s">
        <v>2961</v>
      </c>
      <c r="W311" s="6" t="s">
        <v>718</v>
      </c>
      <c r="X311" s="6" t="s">
        <v>3893</v>
      </c>
      <c r="Y311" s="6" t="s">
        <v>73</v>
      </c>
      <c r="Z311" s="6" t="s">
        <v>70</v>
      </c>
      <c r="AA311" s="15">
        <v>0</v>
      </c>
      <c r="AB311" s="15"/>
      <c r="AC311" s="15"/>
      <c r="AD311" s="15">
        <v>128</v>
      </c>
      <c r="AE311" s="16">
        <v>128</v>
      </c>
      <c r="AF311" s="16"/>
      <c r="AG311" s="16"/>
      <c r="AH311" s="16"/>
      <c r="AI311" s="16"/>
      <c r="AJ311" s="16"/>
      <c r="AK311" s="16"/>
      <c r="AL311" s="16">
        <v>3</v>
      </c>
      <c r="AM311" s="16"/>
      <c r="AN311" s="15"/>
      <c r="AO311" s="6"/>
      <c r="AP311" s="25"/>
      <c r="AQ311" s="15"/>
      <c r="AR311" s="16" t="s">
        <v>111</v>
      </c>
      <c r="AS311" s="16" t="s">
        <v>330</v>
      </c>
      <c r="AT311" s="6"/>
      <c r="AU311" s="6"/>
      <c r="AV311" s="6"/>
      <c r="AW311" s="6"/>
      <c r="AX311" s="12" t="str">
        <f t="shared" si="18"/>
        <v/>
      </c>
      <c r="AY311" s="12" t="str">
        <f t="shared" si="19"/>
        <v/>
      </c>
      <c r="AZ311" s="18"/>
      <c r="BA311" s="19"/>
      <c r="BB311" s="19"/>
      <c r="BC311" s="19"/>
      <c r="BD311" s="19"/>
      <c r="BE311" s="19"/>
      <c r="BF311" s="19"/>
      <c r="BG311" s="19"/>
      <c r="BH311" s="19"/>
      <c r="BI311" s="19"/>
      <c r="BJ311" s="19"/>
      <c r="BK311" s="19"/>
    </row>
    <row r="312" spans="1:63" ht="20.100000000000001" hidden="1" customHeight="1" x14ac:dyDescent="0.2">
      <c r="A312" s="13">
        <v>306</v>
      </c>
      <c r="B312" s="16" t="s">
        <v>3870</v>
      </c>
      <c r="C312" s="16" t="s">
        <v>1253</v>
      </c>
      <c r="D312" s="6" t="s">
        <v>3378</v>
      </c>
      <c r="E312" s="6" t="s">
        <v>10</v>
      </c>
      <c r="F312" s="6"/>
      <c r="G312" s="6"/>
      <c r="H312" s="15" t="s">
        <v>7</v>
      </c>
      <c r="I312" s="15"/>
      <c r="J312" s="15"/>
      <c r="K312" s="15"/>
      <c r="L312" s="15"/>
      <c r="M312" s="15"/>
      <c r="N312" s="15"/>
      <c r="O312" s="16" t="s">
        <v>93</v>
      </c>
      <c r="P312" s="35" t="s">
        <v>104</v>
      </c>
      <c r="Q312" s="35" t="s">
        <v>68</v>
      </c>
      <c r="R312" s="6" t="s">
        <v>3878</v>
      </c>
      <c r="S312" s="6" t="s">
        <v>106</v>
      </c>
      <c r="T312" s="15" t="s">
        <v>107</v>
      </c>
      <c r="U312" s="35" t="s">
        <v>361</v>
      </c>
      <c r="V312" s="35" t="s">
        <v>1510</v>
      </c>
      <c r="W312" s="35" t="s">
        <v>1581</v>
      </c>
      <c r="X312" s="6" t="s">
        <v>3879</v>
      </c>
      <c r="Y312" s="6" t="s">
        <v>106</v>
      </c>
      <c r="Z312" s="6" t="s">
        <v>107</v>
      </c>
      <c r="AA312" s="15">
        <v>0</v>
      </c>
      <c r="AB312" s="15"/>
      <c r="AC312" s="15">
        <v>250</v>
      </c>
      <c r="AD312" s="15">
        <v>231</v>
      </c>
      <c r="AE312" s="16">
        <v>231</v>
      </c>
      <c r="AF312" s="16">
        <v>94</v>
      </c>
      <c r="AG312" s="16">
        <v>142</v>
      </c>
      <c r="AH312" s="16">
        <v>3</v>
      </c>
      <c r="AI312" s="16">
        <v>65</v>
      </c>
      <c r="AJ312" s="16">
        <v>210</v>
      </c>
      <c r="AK312" s="16">
        <v>17</v>
      </c>
      <c r="AL312" s="16">
        <v>6</v>
      </c>
      <c r="AM312" s="16"/>
      <c r="AN312" s="33" t="s">
        <v>158</v>
      </c>
      <c r="AO312" s="6"/>
      <c r="AP312" s="25"/>
      <c r="AQ312" s="15"/>
      <c r="AR312" s="16" t="s">
        <v>160</v>
      </c>
      <c r="AS312" s="16" t="s">
        <v>165</v>
      </c>
      <c r="AT312" s="6"/>
      <c r="AU312" s="6"/>
      <c r="AV312" s="6"/>
      <c r="AW312" s="6"/>
      <c r="AX312" s="12" t="str">
        <f t="shared" si="18"/>
        <v/>
      </c>
      <c r="AY312" s="12" t="str">
        <f t="shared" si="19"/>
        <v/>
      </c>
      <c r="AZ312" s="18"/>
      <c r="BA312" s="19"/>
      <c r="BB312" s="19"/>
      <c r="BC312" s="19"/>
      <c r="BD312" s="19"/>
      <c r="BE312" s="19"/>
      <c r="BF312" s="19"/>
      <c r="BG312" s="19"/>
      <c r="BH312" s="19"/>
      <c r="BI312" s="19"/>
      <c r="BJ312" s="19"/>
      <c r="BK312" s="19"/>
    </row>
    <row r="313" spans="1:63" ht="20.100000000000001" hidden="1" customHeight="1" x14ac:dyDescent="0.2">
      <c r="A313" s="13">
        <v>307</v>
      </c>
      <c r="B313" s="16" t="s">
        <v>3871</v>
      </c>
      <c r="C313" s="16" t="s">
        <v>1253</v>
      </c>
      <c r="D313" s="6" t="s">
        <v>3872</v>
      </c>
      <c r="E313" s="6" t="s">
        <v>6</v>
      </c>
      <c r="F313" s="6" t="s">
        <v>174</v>
      </c>
      <c r="G313" s="6"/>
      <c r="H313" s="15" t="s">
        <v>83</v>
      </c>
      <c r="I313" s="15"/>
      <c r="J313" s="15"/>
      <c r="K313" s="15"/>
      <c r="L313" s="15"/>
      <c r="M313" s="15"/>
      <c r="N313" s="15"/>
      <c r="O313" s="16" t="s">
        <v>93</v>
      </c>
      <c r="P313" s="6" t="s">
        <v>429</v>
      </c>
      <c r="Q313" s="6" t="s">
        <v>68</v>
      </c>
      <c r="R313" s="6" t="s">
        <v>3889</v>
      </c>
      <c r="S313" s="6" t="s">
        <v>119</v>
      </c>
      <c r="T313" s="15" t="s">
        <v>107</v>
      </c>
      <c r="U313" s="6" t="s">
        <v>429</v>
      </c>
      <c r="V313" s="6" t="s">
        <v>3677</v>
      </c>
      <c r="W313" s="6" t="s">
        <v>485</v>
      </c>
      <c r="X313" s="6" t="s">
        <v>3890</v>
      </c>
      <c r="Y313" s="6" t="s">
        <v>142</v>
      </c>
      <c r="Z313" s="6" t="s">
        <v>70</v>
      </c>
      <c r="AA313" s="15" t="s">
        <v>3891</v>
      </c>
      <c r="AB313" s="15"/>
      <c r="AC313" s="15"/>
      <c r="AD313" s="15">
        <v>192</v>
      </c>
      <c r="AE313" s="16"/>
      <c r="AF313" s="16"/>
      <c r="AG313" s="16"/>
      <c r="AH313" s="16"/>
      <c r="AI313" s="16"/>
      <c r="AJ313" s="16"/>
      <c r="AK313" s="16"/>
      <c r="AL313" s="16">
        <v>6</v>
      </c>
      <c r="AM313" s="16"/>
      <c r="AN313" s="15"/>
      <c r="AO313" s="6"/>
      <c r="AP313" s="25"/>
      <c r="AQ313" s="15"/>
      <c r="AR313" s="16"/>
      <c r="AS313" s="16"/>
      <c r="AT313" s="6" t="s">
        <v>113</v>
      </c>
      <c r="AU313" s="6" t="s">
        <v>344</v>
      </c>
      <c r="AV313" s="6" t="s">
        <v>259</v>
      </c>
      <c r="AW313" s="6" t="s">
        <v>116</v>
      </c>
      <c r="AX313" s="12">
        <f t="shared" si="18"/>
        <v>92</v>
      </c>
      <c r="AY313" s="12" t="str">
        <f t="shared" si="19"/>
        <v/>
      </c>
      <c r="AZ313" s="18"/>
      <c r="BA313" s="19"/>
      <c r="BB313" s="19"/>
      <c r="BC313" s="19"/>
      <c r="BD313" s="19"/>
      <c r="BE313" s="19"/>
      <c r="BF313" s="19"/>
      <c r="BG313" s="19"/>
      <c r="BH313" s="19"/>
      <c r="BI313" s="19"/>
      <c r="BJ313" s="19"/>
      <c r="BK313" s="19"/>
    </row>
    <row r="314" spans="1:63" ht="20.100000000000001" hidden="1" customHeight="1" x14ac:dyDescent="0.2">
      <c r="A314" s="13">
        <v>308</v>
      </c>
      <c r="B314" s="16" t="s">
        <v>3871</v>
      </c>
      <c r="C314" s="16" t="s">
        <v>1253</v>
      </c>
      <c r="D314" s="6" t="s">
        <v>2923</v>
      </c>
      <c r="E314" s="6" t="s">
        <v>6</v>
      </c>
      <c r="F314" s="6"/>
      <c r="G314" s="6"/>
      <c r="H314" s="15" t="s">
        <v>7</v>
      </c>
      <c r="I314" s="15"/>
      <c r="J314" s="15"/>
      <c r="K314" s="15"/>
      <c r="L314" s="15"/>
      <c r="M314" s="15"/>
      <c r="N314" s="15"/>
      <c r="O314" s="16" t="s">
        <v>93</v>
      </c>
      <c r="P314" s="35" t="s">
        <v>68</v>
      </c>
      <c r="Q314" s="35" t="s">
        <v>155</v>
      </c>
      <c r="R314" s="6" t="s">
        <v>3876</v>
      </c>
      <c r="S314" s="6" t="s">
        <v>106</v>
      </c>
      <c r="T314" s="15" t="s">
        <v>107</v>
      </c>
      <c r="U314" s="35" t="s">
        <v>332</v>
      </c>
      <c r="V314" s="35" t="s">
        <v>3677</v>
      </c>
      <c r="W314" s="35" t="s">
        <v>718</v>
      </c>
      <c r="X314" s="6" t="s">
        <v>3877</v>
      </c>
      <c r="Y314" s="6" t="s">
        <v>106</v>
      </c>
      <c r="Z314" s="6" t="s">
        <v>107</v>
      </c>
      <c r="AA314" s="15"/>
      <c r="AB314" s="15"/>
      <c r="AC314" s="15">
        <v>235</v>
      </c>
      <c r="AD314" s="15">
        <v>222</v>
      </c>
      <c r="AE314" s="16">
        <v>222</v>
      </c>
      <c r="AF314" s="16">
        <v>85</v>
      </c>
      <c r="AG314" s="16">
        <v>130</v>
      </c>
      <c r="AH314" s="16">
        <v>6</v>
      </c>
      <c r="AI314" s="16">
        <v>58</v>
      </c>
      <c r="AJ314" s="16">
        <v>194</v>
      </c>
      <c r="AK314" s="16">
        <v>22</v>
      </c>
      <c r="AL314" s="16">
        <v>6</v>
      </c>
      <c r="AM314" s="16"/>
      <c r="AN314" s="33" t="s">
        <v>158</v>
      </c>
      <c r="AO314" s="6"/>
      <c r="AP314" s="25"/>
      <c r="AQ314" s="15"/>
      <c r="AR314" s="16" t="s">
        <v>160</v>
      </c>
      <c r="AS314" s="16" t="s">
        <v>193</v>
      </c>
      <c r="AT314" s="6"/>
      <c r="AU314" s="6"/>
      <c r="AV314" s="6"/>
      <c r="AW314" s="6"/>
      <c r="AX314" s="12" t="str">
        <f t="shared" si="18"/>
        <v/>
      </c>
      <c r="AY314" s="12" t="str">
        <f t="shared" si="19"/>
        <v/>
      </c>
      <c r="AZ314" s="18"/>
      <c r="BA314" s="19"/>
      <c r="BB314" s="19"/>
      <c r="BC314" s="19"/>
      <c r="BD314" s="19"/>
      <c r="BE314" s="19"/>
      <c r="BF314" s="19"/>
      <c r="BG314" s="19"/>
      <c r="BH314" s="19"/>
      <c r="BI314" s="19"/>
      <c r="BJ314" s="19"/>
      <c r="BK314" s="19"/>
    </row>
    <row r="315" spans="1:63" ht="20.100000000000001" hidden="1" customHeight="1" x14ac:dyDescent="0.2">
      <c r="A315" s="13">
        <v>309</v>
      </c>
      <c r="B315" s="16" t="s">
        <v>3871</v>
      </c>
      <c r="C315" s="16" t="s">
        <v>1253</v>
      </c>
      <c r="D315" s="6" t="s">
        <v>3873</v>
      </c>
      <c r="E315" s="6" t="s">
        <v>243</v>
      </c>
      <c r="F315" s="6" t="s">
        <v>192</v>
      </c>
      <c r="G315" s="6"/>
      <c r="H315" s="15" t="s">
        <v>7</v>
      </c>
      <c r="I315" s="15"/>
      <c r="J315" s="15"/>
      <c r="K315" s="15"/>
      <c r="L315" s="15"/>
      <c r="M315" s="15"/>
      <c r="N315" s="15"/>
      <c r="O315" s="16" t="s">
        <v>92</v>
      </c>
      <c r="P315" s="6" t="s">
        <v>429</v>
      </c>
      <c r="Q315" s="6" t="s">
        <v>117</v>
      </c>
      <c r="R315" s="6" t="s">
        <v>3878</v>
      </c>
      <c r="S315" s="6" t="s">
        <v>106</v>
      </c>
      <c r="T315" s="15" t="s">
        <v>107</v>
      </c>
      <c r="U315" s="6" t="s">
        <v>429</v>
      </c>
      <c r="V315" s="6" t="s">
        <v>2245</v>
      </c>
      <c r="W315" s="6" t="s">
        <v>260</v>
      </c>
      <c r="X315" s="6" t="s">
        <v>3879</v>
      </c>
      <c r="Y315" s="6" t="s">
        <v>106</v>
      </c>
      <c r="Z315" s="6" t="s">
        <v>107</v>
      </c>
      <c r="AA315" s="15"/>
      <c r="AB315" s="15"/>
      <c r="AC315" s="15">
        <v>189</v>
      </c>
      <c r="AD315" s="15">
        <v>0</v>
      </c>
      <c r="AE315" s="16">
        <v>174</v>
      </c>
      <c r="AF315" s="16">
        <v>60</v>
      </c>
      <c r="AG315" s="16">
        <v>127</v>
      </c>
      <c r="AH315" s="16">
        <v>13</v>
      </c>
      <c r="AI315" s="16">
        <v>34</v>
      </c>
      <c r="AJ315" s="16">
        <v>174</v>
      </c>
      <c r="AK315" s="16">
        <v>15</v>
      </c>
      <c r="AL315" s="16">
        <v>4</v>
      </c>
      <c r="AM315" s="16"/>
      <c r="AN315" s="15"/>
      <c r="AO315" s="6"/>
      <c r="AP315" s="25"/>
      <c r="AQ315" s="15"/>
      <c r="AR315" s="16" t="s">
        <v>160</v>
      </c>
      <c r="AS315" s="16" t="s">
        <v>161</v>
      </c>
      <c r="AT315" s="6"/>
      <c r="AU315" s="6"/>
      <c r="AV315" s="6"/>
      <c r="AW315" s="6"/>
      <c r="AX315" s="12" t="str">
        <f t="shared" si="18"/>
        <v/>
      </c>
      <c r="AY315" s="12" t="str">
        <f t="shared" si="19"/>
        <v/>
      </c>
      <c r="AZ315" s="18"/>
      <c r="BA315" s="19"/>
      <c r="BB315" s="19"/>
      <c r="BC315" s="19"/>
      <c r="BD315" s="19"/>
      <c r="BE315" s="19"/>
      <c r="BF315" s="19"/>
      <c r="BG315" s="19"/>
      <c r="BH315" s="19"/>
      <c r="BI315" s="19"/>
      <c r="BJ315" s="19"/>
      <c r="BK315" s="19"/>
    </row>
    <row r="316" spans="1:63" ht="20.100000000000001" hidden="1" customHeight="1" x14ac:dyDescent="0.2">
      <c r="A316" s="13">
        <v>310</v>
      </c>
      <c r="B316" s="16" t="s">
        <v>3874</v>
      </c>
      <c r="C316" s="16" t="s">
        <v>1253</v>
      </c>
      <c r="D316" s="6" t="s">
        <v>579</v>
      </c>
      <c r="E316" s="6" t="s">
        <v>9</v>
      </c>
      <c r="F316" s="6"/>
      <c r="G316" s="6"/>
      <c r="H316" s="15" t="s">
        <v>7</v>
      </c>
      <c r="I316" s="15"/>
      <c r="J316" s="15"/>
      <c r="K316" s="15"/>
      <c r="L316" s="15"/>
      <c r="M316" s="15"/>
      <c r="N316" s="15"/>
      <c r="O316" s="16" t="s">
        <v>93</v>
      </c>
      <c r="P316" s="35" t="s">
        <v>68</v>
      </c>
      <c r="Q316" s="35" t="s">
        <v>117</v>
      </c>
      <c r="R316" s="6" t="s">
        <v>3880</v>
      </c>
      <c r="S316" s="6" t="s">
        <v>142</v>
      </c>
      <c r="T316" s="15" t="s">
        <v>70</v>
      </c>
      <c r="U316" s="35" t="s">
        <v>332</v>
      </c>
      <c r="V316" s="35" t="s">
        <v>2961</v>
      </c>
      <c r="W316" s="35" t="s">
        <v>226</v>
      </c>
      <c r="X316" s="6" t="s">
        <v>3881</v>
      </c>
      <c r="Y316" s="6" t="s">
        <v>73</v>
      </c>
      <c r="Z316" s="6" t="s">
        <v>70</v>
      </c>
      <c r="AA316" s="15"/>
      <c r="AB316" s="15"/>
      <c r="AC316" s="15">
        <v>237</v>
      </c>
      <c r="AD316" s="15">
        <v>222</v>
      </c>
      <c r="AE316" s="16">
        <v>222</v>
      </c>
      <c r="AF316" s="16">
        <v>132</v>
      </c>
      <c r="AG316" s="16">
        <v>204</v>
      </c>
      <c r="AH316" s="16">
        <v>2</v>
      </c>
      <c r="AI316" s="16">
        <v>20</v>
      </c>
      <c r="AJ316" s="16">
        <v>226</v>
      </c>
      <c r="AK316" s="16">
        <v>10</v>
      </c>
      <c r="AL316" s="16">
        <v>6</v>
      </c>
      <c r="AM316" s="16"/>
      <c r="AN316" s="33" t="s">
        <v>158</v>
      </c>
      <c r="AO316" s="6"/>
      <c r="AP316" s="25"/>
      <c r="AQ316" s="15"/>
      <c r="AR316" s="16" t="s">
        <v>160</v>
      </c>
      <c r="AS316" s="16" t="s">
        <v>161</v>
      </c>
      <c r="AT316" s="6"/>
      <c r="AU316" s="6"/>
      <c r="AV316" s="6"/>
      <c r="AW316" s="6"/>
      <c r="AX316" s="12" t="str">
        <f t="shared" si="18"/>
        <v/>
      </c>
      <c r="AY316" s="12" t="str">
        <f t="shared" si="19"/>
        <v/>
      </c>
      <c r="AZ316" s="18"/>
      <c r="BA316" s="19"/>
      <c r="BB316" s="19"/>
      <c r="BC316" s="19"/>
      <c r="BD316" s="19"/>
      <c r="BE316" s="19"/>
      <c r="BF316" s="19"/>
      <c r="BG316" s="19"/>
      <c r="BH316" s="19"/>
      <c r="BI316" s="19"/>
      <c r="BJ316" s="19"/>
      <c r="BK316" s="19"/>
    </row>
    <row r="317" spans="1:63" ht="20.100000000000001" hidden="1" customHeight="1" x14ac:dyDescent="0.2">
      <c r="A317" s="13">
        <v>311</v>
      </c>
      <c r="B317" s="16" t="s">
        <v>3875</v>
      </c>
      <c r="C317" s="16" t="s">
        <v>1253</v>
      </c>
      <c r="D317" s="6" t="s">
        <v>2400</v>
      </c>
      <c r="E317" s="6" t="s">
        <v>9</v>
      </c>
      <c r="F317" s="6" t="s">
        <v>202</v>
      </c>
      <c r="G317" s="6"/>
      <c r="H317" s="15" t="s">
        <v>83</v>
      </c>
      <c r="I317" s="15"/>
      <c r="J317" s="15"/>
      <c r="K317" s="15"/>
      <c r="L317" s="15"/>
      <c r="M317" s="15"/>
      <c r="N317" s="15"/>
      <c r="O317" s="16" t="s">
        <v>93</v>
      </c>
      <c r="P317" s="6" t="s">
        <v>429</v>
      </c>
      <c r="Q317" s="6" t="s">
        <v>104</v>
      </c>
      <c r="R317" s="6" t="s">
        <v>1503</v>
      </c>
      <c r="S317" s="6" t="s">
        <v>119</v>
      </c>
      <c r="T317" s="15" t="s">
        <v>107</v>
      </c>
      <c r="U317" s="6" t="s">
        <v>429</v>
      </c>
      <c r="V317" s="6" t="s">
        <v>3677</v>
      </c>
      <c r="W317" s="6" t="s">
        <v>555</v>
      </c>
      <c r="X317" s="6" t="s">
        <v>674</v>
      </c>
      <c r="Y317" s="6" t="s">
        <v>119</v>
      </c>
      <c r="Z317" s="6" t="s">
        <v>107</v>
      </c>
      <c r="AA317" s="15" t="s">
        <v>3888</v>
      </c>
      <c r="AB317" s="15"/>
      <c r="AC317" s="15"/>
      <c r="AD317" s="15">
        <v>234</v>
      </c>
      <c r="AE317" s="16"/>
      <c r="AF317" s="16"/>
      <c r="AG317" s="16"/>
      <c r="AH317" s="16"/>
      <c r="AI317" s="16"/>
      <c r="AJ317" s="16"/>
      <c r="AK317" s="16"/>
      <c r="AL317" s="16">
        <v>6</v>
      </c>
      <c r="AM317" s="16"/>
      <c r="AN317" s="15"/>
      <c r="AO317" s="6"/>
      <c r="AP317" s="25"/>
      <c r="AQ317" s="15"/>
      <c r="AR317" s="16"/>
      <c r="AS317" s="16"/>
      <c r="AT317" s="6" t="s">
        <v>113</v>
      </c>
      <c r="AU317" s="6" t="s">
        <v>344</v>
      </c>
      <c r="AV317" s="6" t="s">
        <v>136</v>
      </c>
      <c r="AW317" s="6" t="s">
        <v>137</v>
      </c>
      <c r="AX317" s="12">
        <f t="shared" si="18"/>
        <v>25</v>
      </c>
      <c r="AY317" s="12" t="str">
        <f t="shared" si="19"/>
        <v/>
      </c>
      <c r="AZ317" s="18"/>
      <c r="BA317" s="19"/>
      <c r="BB317" s="19"/>
      <c r="BC317" s="19"/>
      <c r="BD317" s="19"/>
      <c r="BE317" s="19"/>
      <c r="BF317" s="19"/>
      <c r="BG317" s="19"/>
      <c r="BH317" s="19"/>
      <c r="BI317" s="19"/>
      <c r="BJ317" s="19"/>
      <c r="BK317" s="19"/>
    </row>
    <row r="318" spans="1:63" ht="20.100000000000001" hidden="1" customHeight="1" x14ac:dyDescent="0.2">
      <c r="A318" s="13">
        <v>313</v>
      </c>
      <c r="B318" s="16" t="s">
        <v>3894</v>
      </c>
      <c r="C318" s="16" t="s">
        <v>1253</v>
      </c>
      <c r="D318" s="6" t="s">
        <v>3898</v>
      </c>
      <c r="E318" s="6" t="s">
        <v>20</v>
      </c>
      <c r="F318" s="6" t="s">
        <v>3661</v>
      </c>
      <c r="G318" s="6"/>
      <c r="H318" s="15" t="s">
        <v>83</v>
      </c>
      <c r="I318" s="15"/>
      <c r="J318" s="15"/>
      <c r="K318" s="15"/>
      <c r="L318" s="15"/>
      <c r="M318" s="15"/>
      <c r="N318" s="15"/>
      <c r="O318" s="16" t="s">
        <v>93</v>
      </c>
      <c r="P318" s="6" t="s">
        <v>429</v>
      </c>
      <c r="Q318" s="6" t="s">
        <v>68</v>
      </c>
      <c r="R318" s="6" t="s">
        <v>3907</v>
      </c>
      <c r="S318" s="6" t="s">
        <v>142</v>
      </c>
      <c r="T318" s="15" t="s">
        <v>70</v>
      </c>
      <c r="U318" s="6" t="s">
        <v>429</v>
      </c>
      <c r="V318" s="6" t="s">
        <v>3679</v>
      </c>
      <c r="W318" s="6" t="s">
        <v>485</v>
      </c>
      <c r="X318" s="6" t="s">
        <v>3908</v>
      </c>
      <c r="Y318" s="6" t="s">
        <v>142</v>
      </c>
      <c r="Z318" s="6" t="s">
        <v>70</v>
      </c>
      <c r="AA318" s="15" t="s">
        <v>3909</v>
      </c>
      <c r="AB318" s="15"/>
      <c r="AC318" s="15"/>
      <c r="AD318" s="15">
        <v>233</v>
      </c>
      <c r="AE318" s="16"/>
      <c r="AF318" s="16"/>
      <c r="AG318" s="16"/>
      <c r="AH318" s="16"/>
      <c r="AI318" s="16"/>
      <c r="AJ318" s="16"/>
      <c r="AK318" s="16"/>
      <c r="AL318" s="16">
        <v>6</v>
      </c>
      <c r="AM318" s="16"/>
      <c r="AN318" s="15"/>
      <c r="AO318" s="6"/>
      <c r="AP318" s="25"/>
      <c r="AQ318" s="15"/>
      <c r="AR318" s="16"/>
      <c r="AS318" s="16"/>
      <c r="AT318" s="6" t="s">
        <v>113</v>
      </c>
      <c r="AU318" s="6" t="s">
        <v>344</v>
      </c>
      <c r="AV318" s="6" t="s">
        <v>348</v>
      </c>
      <c r="AW318" s="6" t="s">
        <v>296</v>
      </c>
      <c r="AX318" s="12">
        <f t="shared" si="18"/>
        <v>53</v>
      </c>
      <c r="AY318" s="12" t="str">
        <f t="shared" si="19"/>
        <v/>
      </c>
      <c r="AZ318" s="18"/>
      <c r="BA318" s="19"/>
      <c r="BB318" s="19"/>
      <c r="BC318" s="19"/>
      <c r="BD318" s="19"/>
      <c r="BE318" s="19"/>
      <c r="BF318" s="19"/>
      <c r="BG318" s="19"/>
      <c r="BH318" s="19"/>
      <c r="BI318" s="19"/>
      <c r="BJ318" s="19"/>
      <c r="BK318" s="19"/>
    </row>
    <row r="319" spans="1:63" s="21" customFormat="1" ht="20.100000000000001" hidden="1" customHeight="1" x14ac:dyDescent="0.2">
      <c r="A319" s="13">
        <v>314</v>
      </c>
      <c r="B319" s="29" t="s">
        <v>3895</v>
      </c>
      <c r="C319" s="29" t="s">
        <v>1253</v>
      </c>
      <c r="D319" s="30" t="s">
        <v>2242</v>
      </c>
      <c r="E319" s="30" t="s">
        <v>9</v>
      </c>
      <c r="F319" s="30" t="s">
        <v>185</v>
      </c>
      <c r="G319" s="30"/>
      <c r="H319" s="20" t="s">
        <v>83</v>
      </c>
      <c r="I319" s="20"/>
      <c r="J319" s="20"/>
      <c r="K319" s="20"/>
      <c r="L319" s="20"/>
      <c r="M319" s="20"/>
      <c r="N319" s="20"/>
      <c r="O319" s="29" t="s">
        <v>93</v>
      </c>
      <c r="P319" s="30" t="s">
        <v>429</v>
      </c>
      <c r="Q319" s="30" t="s">
        <v>223</v>
      </c>
      <c r="R319" s="30" t="s">
        <v>3892</v>
      </c>
      <c r="S319" s="30" t="s">
        <v>369</v>
      </c>
      <c r="T319" s="20" t="s">
        <v>369</v>
      </c>
      <c r="U319" s="30" t="s">
        <v>429</v>
      </c>
      <c r="V319" s="30" t="s">
        <v>2961</v>
      </c>
      <c r="W319" s="30" t="s">
        <v>718</v>
      </c>
      <c r="X319" s="30" t="s">
        <v>3893</v>
      </c>
      <c r="Y319" s="30" t="s">
        <v>73</v>
      </c>
      <c r="Z319" s="30" t="s">
        <v>70</v>
      </c>
      <c r="AA319" s="20" t="s">
        <v>3869</v>
      </c>
      <c r="AB319" s="20"/>
      <c r="AC319" s="20"/>
      <c r="AD319" s="20">
        <v>128</v>
      </c>
      <c r="AE319" s="29"/>
      <c r="AF319" s="29"/>
      <c r="AG319" s="29"/>
      <c r="AH319" s="29"/>
      <c r="AI319" s="29"/>
      <c r="AJ319" s="29"/>
      <c r="AK319" s="29"/>
      <c r="AL319" s="29">
        <v>3</v>
      </c>
      <c r="AM319" s="29"/>
      <c r="AN319" s="20"/>
      <c r="AO319" s="30"/>
      <c r="AP319" s="36"/>
      <c r="AQ319" s="20"/>
      <c r="AR319" s="29" t="s">
        <v>111</v>
      </c>
      <c r="AS319" s="29" t="s">
        <v>330</v>
      </c>
      <c r="AT319" s="30" t="s">
        <v>113</v>
      </c>
      <c r="AU319" s="30" t="s">
        <v>344</v>
      </c>
      <c r="AV319" s="30" t="s">
        <v>113</v>
      </c>
      <c r="AW319" s="30" t="s">
        <v>344</v>
      </c>
      <c r="AX319" s="12">
        <f t="shared" si="18"/>
        <v>0</v>
      </c>
      <c r="AY319" s="12">
        <f t="shared" si="19"/>
        <v>0</v>
      </c>
      <c r="AZ319" s="32" t="s">
        <v>3921</v>
      </c>
    </row>
    <row r="320" spans="1:63" ht="20.100000000000001" hidden="1" customHeight="1" x14ac:dyDescent="0.2">
      <c r="A320" s="13">
        <v>315</v>
      </c>
      <c r="B320" s="16" t="s">
        <v>3896</v>
      </c>
      <c r="C320" s="16" t="s">
        <v>1253</v>
      </c>
      <c r="D320" s="6" t="s">
        <v>3899</v>
      </c>
      <c r="E320" s="6" t="s">
        <v>6</v>
      </c>
      <c r="F320" s="6" t="s">
        <v>192</v>
      </c>
      <c r="G320" s="6"/>
      <c r="H320" s="15" t="s">
        <v>7</v>
      </c>
      <c r="I320" s="15"/>
      <c r="J320" s="15"/>
      <c r="K320" s="15"/>
      <c r="L320" s="15"/>
      <c r="M320" s="15"/>
      <c r="N320" s="15"/>
      <c r="O320" s="16" t="s">
        <v>92</v>
      </c>
      <c r="P320" s="6" t="s">
        <v>429</v>
      </c>
      <c r="Q320" s="6" t="s">
        <v>155</v>
      </c>
      <c r="R320" s="6" t="s">
        <v>3901</v>
      </c>
      <c r="S320" s="6" t="s">
        <v>106</v>
      </c>
      <c r="T320" s="15" t="s">
        <v>107</v>
      </c>
      <c r="U320" s="6" t="s">
        <v>429</v>
      </c>
      <c r="V320" s="6" t="s">
        <v>3679</v>
      </c>
      <c r="W320" s="6" t="s">
        <v>718</v>
      </c>
      <c r="X320" s="6" t="s">
        <v>3902</v>
      </c>
      <c r="Y320" s="6" t="s">
        <v>106</v>
      </c>
      <c r="Z320" s="6" t="s">
        <v>107</v>
      </c>
      <c r="AA320" s="15">
        <v>0</v>
      </c>
      <c r="AB320" s="15"/>
      <c r="AC320" s="15">
        <v>246</v>
      </c>
      <c r="AD320" s="15">
        <v>0</v>
      </c>
      <c r="AE320" s="16">
        <v>210</v>
      </c>
      <c r="AF320" s="16">
        <v>100</v>
      </c>
      <c r="AG320" s="16">
        <v>110</v>
      </c>
      <c r="AH320" s="16">
        <v>8</v>
      </c>
      <c r="AI320" s="16">
        <v>55</v>
      </c>
      <c r="AJ320" s="16">
        <v>173</v>
      </c>
      <c r="AK320" s="16">
        <v>25</v>
      </c>
      <c r="AL320" s="16">
        <v>6</v>
      </c>
      <c r="AM320" s="16"/>
      <c r="AN320" s="15"/>
      <c r="AO320" s="6"/>
      <c r="AP320" s="25"/>
      <c r="AQ320" s="15"/>
      <c r="AR320" s="16" t="s">
        <v>160</v>
      </c>
      <c r="AS320" s="16" t="s">
        <v>165</v>
      </c>
      <c r="AT320" s="6"/>
      <c r="AU320" s="6"/>
      <c r="AV320" s="6"/>
      <c r="AW320" s="6"/>
      <c r="AX320" s="12" t="str">
        <f t="shared" si="18"/>
        <v/>
      </c>
      <c r="AY320" s="12" t="str">
        <f t="shared" si="19"/>
        <v/>
      </c>
      <c r="AZ320" s="18"/>
      <c r="BA320" s="19"/>
      <c r="BB320" s="19"/>
      <c r="BC320" s="19"/>
      <c r="BD320" s="19"/>
      <c r="BE320" s="19"/>
      <c r="BF320" s="19"/>
      <c r="BG320" s="19"/>
      <c r="BH320" s="19"/>
      <c r="BI320" s="19"/>
      <c r="BJ320" s="19"/>
      <c r="BK320" s="19"/>
    </row>
    <row r="321" spans="1:63" ht="20.100000000000001" hidden="1" customHeight="1" x14ac:dyDescent="0.2">
      <c r="A321" s="13">
        <v>316</v>
      </c>
      <c r="B321" s="16" t="s">
        <v>3897</v>
      </c>
      <c r="C321" s="16" t="s">
        <v>1253</v>
      </c>
      <c r="D321" s="6" t="s">
        <v>3900</v>
      </c>
      <c r="E321" s="6" t="s">
        <v>8</v>
      </c>
      <c r="F321" s="6" t="s">
        <v>3661</v>
      </c>
      <c r="G321" s="6"/>
      <c r="H321" s="15" t="s">
        <v>83</v>
      </c>
      <c r="I321" s="15"/>
      <c r="J321" s="15"/>
      <c r="K321" s="15"/>
      <c r="L321" s="15"/>
      <c r="M321" s="15"/>
      <c r="N321" s="15"/>
      <c r="O321" s="16" t="s">
        <v>84</v>
      </c>
      <c r="P321" s="6" t="s">
        <v>429</v>
      </c>
      <c r="Q321" s="6" t="s">
        <v>117</v>
      </c>
      <c r="R321" s="6" t="s">
        <v>3910</v>
      </c>
      <c r="S321" s="6" t="s">
        <v>262</v>
      </c>
      <c r="T321" s="15" t="s">
        <v>70</v>
      </c>
      <c r="U321" s="6" t="s">
        <v>429</v>
      </c>
      <c r="V321" s="6" t="s">
        <v>3679</v>
      </c>
      <c r="W321" s="6" t="s">
        <v>465</v>
      </c>
      <c r="X321" s="6" t="s">
        <v>3911</v>
      </c>
      <c r="Y321" s="6" t="s">
        <v>2788</v>
      </c>
      <c r="Z321" s="6" t="s">
        <v>70</v>
      </c>
      <c r="AA321" s="15" t="s">
        <v>3912</v>
      </c>
      <c r="AB321" s="15"/>
      <c r="AC321" s="15"/>
      <c r="AD321" s="15">
        <v>120</v>
      </c>
      <c r="AE321" s="16"/>
      <c r="AF321" s="16"/>
      <c r="AG321" s="16"/>
      <c r="AH321" s="16"/>
      <c r="AI321" s="16"/>
      <c r="AJ321" s="16"/>
      <c r="AK321" s="16"/>
      <c r="AL321" s="16">
        <v>6</v>
      </c>
      <c r="AM321" s="16"/>
      <c r="AN321" s="15"/>
      <c r="AO321" s="6"/>
      <c r="AP321" s="25"/>
      <c r="AQ321" s="15"/>
      <c r="AR321" s="16"/>
      <c r="AS321" s="16"/>
      <c r="AT321" s="6" t="s">
        <v>113</v>
      </c>
      <c r="AU321" s="6" t="s">
        <v>344</v>
      </c>
      <c r="AV321" s="6" t="s">
        <v>547</v>
      </c>
      <c r="AW321" s="6" t="s">
        <v>124</v>
      </c>
      <c r="AX321" s="12">
        <f t="shared" si="18"/>
        <v>75</v>
      </c>
      <c r="AY321" s="12" t="str">
        <f t="shared" si="19"/>
        <v/>
      </c>
      <c r="AZ321" s="18"/>
      <c r="BA321" s="19"/>
      <c r="BB321" s="19"/>
      <c r="BC321" s="19"/>
      <c r="BD321" s="19"/>
      <c r="BE321" s="19"/>
      <c r="BF321" s="19"/>
      <c r="BG321" s="19"/>
      <c r="BH321" s="19"/>
      <c r="BI321" s="19"/>
      <c r="BJ321" s="19"/>
      <c r="BK321" s="19"/>
    </row>
    <row r="322" spans="1:63" ht="20.100000000000001" hidden="1" customHeight="1" x14ac:dyDescent="0.2">
      <c r="A322" s="13">
        <v>317</v>
      </c>
      <c r="B322" s="16" t="s">
        <v>3897</v>
      </c>
      <c r="C322" s="16" t="s">
        <v>1253</v>
      </c>
      <c r="D322" s="6" t="s">
        <v>2242</v>
      </c>
      <c r="E322" s="6" t="s">
        <v>9</v>
      </c>
      <c r="F322" s="6"/>
      <c r="G322" s="6"/>
      <c r="H322" s="15" t="s">
        <v>7</v>
      </c>
      <c r="I322" s="15"/>
      <c r="J322" s="15"/>
      <c r="K322" s="15"/>
      <c r="L322" s="15"/>
      <c r="M322" s="15"/>
      <c r="N322" s="15"/>
      <c r="O322" s="16" t="s">
        <v>93</v>
      </c>
      <c r="P322" s="6" t="s">
        <v>223</v>
      </c>
      <c r="Q322" s="6" t="s">
        <v>223</v>
      </c>
      <c r="R322" s="6" t="s">
        <v>3903</v>
      </c>
      <c r="S322" s="6" t="s">
        <v>69</v>
      </c>
      <c r="T322" s="15" t="s">
        <v>70</v>
      </c>
      <c r="U322" s="35" t="s">
        <v>965</v>
      </c>
      <c r="V322" s="35" t="s">
        <v>1809</v>
      </c>
      <c r="W322" s="35" t="s">
        <v>116</v>
      </c>
      <c r="X322" s="6" t="s">
        <v>3904</v>
      </c>
      <c r="Y322" s="6" t="s">
        <v>106</v>
      </c>
      <c r="Z322" s="6" t="s">
        <v>107</v>
      </c>
      <c r="AA322" s="15">
        <v>0</v>
      </c>
      <c r="AB322" s="15"/>
      <c r="AC322" s="15">
        <v>170</v>
      </c>
      <c r="AD322" s="15">
        <v>128</v>
      </c>
      <c r="AE322" s="16">
        <v>128</v>
      </c>
      <c r="AF322" s="16">
        <v>76</v>
      </c>
      <c r="AG322" s="16">
        <v>95</v>
      </c>
      <c r="AH322" s="16">
        <v>10</v>
      </c>
      <c r="AI322" s="16">
        <v>20</v>
      </c>
      <c r="AJ322" s="16">
        <v>125</v>
      </c>
      <c r="AK322" s="16">
        <v>8</v>
      </c>
      <c r="AL322" s="16">
        <v>3</v>
      </c>
      <c r="AM322" s="16"/>
      <c r="AN322" s="33" t="s">
        <v>158</v>
      </c>
      <c r="AO322" s="6"/>
      <c r="AP322" s="25"/>
      <c r="AQ322" s="15"/>
      <c r="AR322" s="16" t="s">
        <v>111</v>
      </c>
      <c r="AS322" s="16" t="s">
        <v>330</v>
      </c>
      <c r="AT322" s="6"/>
      <c r="AU322" s="6"/>
      <c r="AV322" s="6"/>
      <c r="AW322" s="6"/>
      <c r="AX322" s="12" t="str">
        <f t="shared" si="18"/>
        <v/>
      </c>
      <c r="AY322" s="12" t="str">
        <f t="shared" si="19"/>
        <v/>
      </c>
      <c r="AZ322" s="18"/>
      <c r="BA322" s="19"/>
      <c r="BB322" s="19"/>
      <c r="BC322" s="19"/>
      <c r="BD322" s="19"/>
      <c r="BE322" s="19"/>
      <c r="BF322" s="19"/>
      <c r="BG322" s="19"/>
      <c r="BH322" s="19"/>
      <c r="BI322" s="19"/>
      <c r="BJ322" s="19"/>
      <c r="BK322" s="19"/>
    </row>
    <row r="323" spans="1:63" ht="20.100000000000001" hidden="1" customHeight="1" x14ac:dyDescent="0.2">
      <c r="A323" s="13">
        <v>318</v>
      </c>
      <c r="B323" s="16" t="s">
        <v>3897</v>
      </c>
      <c r="C323" s="16" t="s">
        <v>1253</v>
      </c>
      <c r="D323" s="6" t="s">
        <v>3898</v>
      </c>
      <c r="E323" s="6" t="s">
        <v>20</v>
      </c>
      <c r="F323" s="6"/>
      <c r="G323" s="6"/>
      <c r="H323" s="15" t="s">
        <v>7</v>
      </c>
      <c r="I323" s="15"/>
      <c r="J323" s="15"/>
      <c r="K323" s="15"/>
      <c r="L323" s="15"/>
      <c r="M323" s="15"/>
      <c r="N323" s="15"/>
      <c r="O323" s="16" t="s">
        <v>93</v>
      </c>
      <c r="P323" s="35" t="s">
        <v>68</v>
      </c>
      <c r="Q323" s="35" t="s">
        <v>155</v>
      </c>
      <c r="R323" s="6" t="s">
        <v>3905</v>
      </c>
      <c r="S323" s="6" t="s">
        <v>106</v>
      </c>
      <c r="T323" s="15" t="s">
        <v>107</v>
      </c>
      <c r="U323" s="35" t="s">
        <v>332</v>
      </c>
      <c r="V323" s="35" t="s">
        <v>3677</v>
      </c>
      <c r="W323" s="35" t="s">
        <v>718</v>
      </c>
      <c r="X323" s="6" t="s">
        <v>3906</v>
      </c>
      <c r="Y323" s="6" t="s">
        <v>106</v>
      </c>
      <c r="Z323" s="6" t="s">
        <v>107</v>
      </c>
      <c r="AA323" s="15">
        <v>0</v>
      </c>
      <c r="AB323" s="15"/>
      <c r="AC323" s="15">
        <v>251</v>
      </c>
      <c r="AD323" s="15">
        <v>233</v>
      </c>
      <c r="AE323" s="16">
        <v>233</v>
      </c>
      <c r="AF323" s="16">
        <v>117</v>
      </c>
      <c r="AG323" s="16">
        <v>148</v>
      </c>
      <c r="AH323" s="16">
        <v>8</v>
      </c>
      <c r="AI323" s="16">
        <v>33</v>
      </c>
      <c r="AJ323" s="16">
        <v>189</v>
      </c>
      <c r="AK323" s="16">
        <v>23</v>
      </c>
      <c r="AL323" s="16">
        <v>6</v>
      </c>
      <c r="AM323" s="16"/>
      <c r="AN323" s="33" t="s">
        <v>158</v>
      </c>
      <c r="AO323" s="6"/>
      <c r="AP323" s="25"/>
      <c r="AQ323" s="15"/>
      <c r="AR323" s="16"/>
      <c r="AS323" s="16"/>
      <c r="AT323" s="6"/>
      <c r="AU323" s="6"/>
      <c r="AV323" s="6"/>
      <c r="AW323" s="6"/>
      <c r="AX323" s="12" t="str">
        <f t="shared" si="18"/>
        <v/>
      </c>
      <c r="AY323" s="12" t="str">
        <f t="shared" si="19"/>
        <v/>
      </c>
      <c r="AZ323" s="18"/>
      <c r="BA323" s="19"/>
      <c r="BB323" s="19"/>
      <c r="BC323" s="19"/>
      <c r="BD323" s="19"/>
      <c r="BE323" s="19"/>
      <c r="BF323" s="19"/>
      <c r="BG323" s="19"/>
      <c r="BH323" s="19"/>
      <c r="BI323" s="19"/>
      <c r="BJ323" s="19"/>
      <c r="BK323" s="19"/>
    </row>
    <row r="324" spans="1:63" ht="20.100000000000001" hidden="1" customHeight="1" x14ac:dyDescent="0.2">
      <c r="A324" s="13">
        <v>319</v>
      </c>
      <c r="B324" s="16" t="s">
        <v>3913</v>
      </c>
      <c r="C324" s="16" t="s">
        <v>1253</v>
      </c>
      <c r="D324" s="6" t="s">
        <v>2905</v>
      </c>
      <c r="E324" s="6" t="s">
        <v>20</v>
      </c>
      <c r="F324" s="6" t="s">
        <v>202</v>
      </c>
      <c r="G324" s="6"/>
      <c r="H324" s="15" t="s">
        <v>83</v>
      </c>
      <c r="I324" s="15"/>
      <c r="J324" s="15"/>
      <c r="K324" s="15"/>
      <c r="L324" s="15"/>
      <c r="M324" s="15"/>
      <c r="N324" s="15"/>
      <c r="O324" s="16" t="s">
        <v>92</v>
      </c>
      <c r="P324" s="6" t="s">
        <v>429</v>
      </c>
      <c r="Q324" s="6" t="s">
        <v>334</v>
      </c>
      <c r="R324" s="6" t="s">
        <v>3916</v>
      </c>
      <c r="S324" s="6" t="s">
        <v>369</v>
      </c>
      <c r="T324" s="15" t="s">
        <v>369</v>
      </c>
      <c r="U324" s="6" t="s">
        <v>429</v>
      </c>
      <c r="V324" s="6" t="s">
        <v>2245</v>
      </c>
      <c r="W324" s="6" t="s">
        <v>555</v>
      </c>
      <c r="X324" s="6" t="s">
        <v>3917</v>
      </c>
      <c r="Y324" s="6" t="s">
        <v>119</v>
      </c>
      <c r="Z324" s="6" t="s">
        <v>107</v>
      </c>
      <c r="AA324" s="15" t="s">
        <v>3918</v>
      </c>
      <c r="AB324" s="15"/>
      <c r="AC324" s="15"/>
      <c r="AD324" s="15">
        <v>156</v>
      </c>
      <c r="AE324" s="16"/>
      <c r="AF324" s="16"/>
      <c r="AG324" s="16"/>
      <c r="AH324" s="16"/>
      <c r="AI324" s="16"/>
      <c r="AJ324" s="16"/>
      <c r="AK324" s="16"/>
      <c r="AL324" s="16">
        <v>4</v>
      </c>
      <c r="AM324" s="16"/>
      <c r="AN324" s="15"/>
      <c r="AO324" s="6"/>
      <c r="AP324" s="25"/>
      <c r="AQ324" s="15"/>
      <c r="AR324" s="16"/>
      <c r="AS324" s="16"/>
      <c r="AT324" s="6" t="s">
        <v>113</v>
      </c>
      <c r="AU324" s="6" t="s">
        <v>344</v>
      </c>
      <c r="AV324" s="6" t="s">
        <v>208</v>
      </c>
      <c r="AW324" s="6" t="s">
        <v>266</v>
      </c>
      <c r="AX324" s="12">
        <f t="shared" si="18"/>
        <v>34</v>
      </c>
      <c r="AY324" s="12" t="str">
        <f t="shared" si="19"/>
        <v/>
      </c>
      <c r="AZ324" s="18"/>
      <c r="BA324" s="19"/>
      <c r="BB324" s="19"/>
      <c r="BC324" s="19"/>
      <c r="BD324" s="19"/>
      <c r="BE324" s="19"/>
      <c r="BF324" s="19"/>
      <c r="BG324" s="19"/>
      <c r="BH324" s="19"/>
      <c r="BI324" s="19"/>
      <c r="BJ324" s="19"/>
      <c r="BK324" s="19"/>
    </row>
    <row r="325" spans="1:63" ht="20.100000000000001" hidden="1" customHeight="1" x14ac:dyDescent="0.2">
      <c r="A325" s="13">
        <v>320</v>
      </c>
      <c r="B325" s="16" t="s">
        <v>3914</v>
      </c>
      <c r="C325" s="16" t="s">
        <v>1253</v>
      </c>
      <c r="D325" s="6" t="s">
        <v>3915</v>
      </c>
      <c r="E325" s="6" t="s">
        <v>20</v>
      </c>
      <c r="F325" s="6" t="s">
        <v>186</v>
      </c>
      <c r="G325" s="6"/>
      <c r="H325" s="15" t="s">
        <v>83</v>
      </c>
      <c r="I325" s="15"/>
      <c r="J325" s="15"/>
      <c r="K325" s="15"/>
      <c r="L325" s="15"/>
      <c r="M325" s="15"/>
      <c r="N325" s="15"/>
      <c r="O325" s="16" t="s">
        <v>92</v>
      </c>
      <c r="P325" s="6" t="s">
        <v>429</v>
      </c>
      <c r="Q325" s="6" t="s">
        <v>104</v>
      </c>
      <c r="R325" s="6" t="s">
        <v>3919</v>
      </c>
      <c r="S325" s="6" t="s">
        <v>824</v>
      </c>
      <c r="T325" s="15" t="s">
        <v>107</v>
      </c>
      <c r="U325" s="6" t="s">
        <v>429</v>
      </c>
      <c r="V325" s="6" t="s">
        <v>3679</v>
      </c>
      <c r="W325" s="6" t="s">
        <v>555</v>
      </c>
      <c r="X325" s="6" t="s">
        <v>141</v>
      </c>
      <c r="Y325" s="6" t="s">
        <v>824</v>
      </c>
      <c r="Z325" s="6" t="s">
        <v>107</v>
      </c>
      <c r="AA325" s="15" t="s">
        <v>3920</v>
      </c>
      <c r="AB325" s="15"/>
      <c r="AC325" s="15"/>
      <c r="AD325" s="15">
        <v>162</v>
      </c>
      <c r="AE325" s="16"/>
      <c r="AF325" s="16"/>
      <c r="AG325" s="16"/>
      <c r="AH325" s="16"/>
      <c r="AI325" s="16"/>
      <c r="AJ325" s="16"/>
      <c r="AK325" s="16"/>
      <c r="AL325" s="16">
        <v>6</v>
      </c>
      <c r="AM325" s="16"/>
      <c r="AN325" s="15"/>
      <c r="AO325" s="6"/>
      <c r="AP325" s="25"/>
      <c r="AQ325" s="15"/>
      <c r="AR325" s="16"/>
      <c r="AS325" s="16"/>
      <c r="AT325" s="6" t="s">
        <v>113</v>
      </c>
      <c r="AU325" s="6" t="s">
        <v>344</v>
      </c>
      <c r="AV325" s="6" t="s">
        <v>147</v>
      </c>
      <c r="AW325" s="6" t="s">
        <v>266</v>
      </c>
      <c r="AX325" s="12">
        <f t="shared" si="18"/>
        <v>166</v>
      </c>
      <c r="AY325" s="12" t="str">
        <f t="shared" si="19"/>
        <v/>
      </c>
      <c r="AZ325" s="18"/>
      <c r="BA325" s="19"/>
      <c r="BB325" s="19"/>
      <c r="BC325" s="19"/>
      <c r="BD325" s="19"/>
      <c r="BE325" s="19"/>
      <c r="BF325" s="19"/>
      <c r="BG325" s="19"/>
      <c r="BH325" s="19"/>
      <c r="BI325" s="19"/>
      <c r="BJ325" s="19"/>
      <c r="BK325" s="19"/>
    </row>
    <row r="326" spans="1:63" s="21" customFormat="1" ht="20.100000000000001" hidden="1" customHeight="1" x14ac:dyDescent="0.2">
      <c r="A326" s="13">
        <v>321</v>
      </c>
      <c r="B326" s="29" t="s">
        <v>3914</v>
      </c>
      <c r="C326" s="29" t="s">
        <v>1253</v>
      </c>
      <c r="D326" s="30" t="s">
        <v>3536</v>
      </c>
      <c r="E326" s="30" t="s">
        <v>8</v>
      </c>
      <c r="F326" s="30" t="s">
        <v>185</v>
      </c>
      <c r="G326" s="30"/>
      <c r="H326" s="20" t="s">
        <v>83</v>
      </c>
      <c r="I326" s="20"/>
      <c r="J326" s="20"/>
      <c r="K326" s="20"/>
      <c r="L326" s="20"/>
      <c r="M326" s="20"/>
      <c r="N326" s="20"/>
      <c r="O326" s="29" t="s">
        <v>84</v>
      </c>
      <c r="P326" s="30" t="s">
        <v>429</v>
      </c>
      <c r="Q326" s="30" t="s">
        <v>68</v>
      </c>
      <c r="R326" s="30" t="s">
        <v>3550</v>
      </c>
      <c r="S326" s="30" t="s">
        <v>106</v>
      </c>
      <c r="T326" s="20" t="s">
        <v>107</v>
      </c>
      <c r="U326" s="30" t="s">
        <v>429</v>
      </c>
      <c r="V326" s="30" t="s">
        <v>3679</v>
      </c>
      <c r="W326" s="30" t="s">
        <v>485</v>
      </c>
      <c r="X326" s="30" t="s">
        <v>3551</v>
      </c>
      <c r="Y326" s="30" t="s">
        <v>119</v>
      </c>
      <c r="Z326" s="30" t="s">
        <v>107</v>
      </c>
      <c r="AA326" s="20" t="s">
        <v>3543</v>
      </c>
      <c r="AB326" s="20"/>
      <c r="AC326" s="20"/>
      <c r="AD326" s="20">
        <v>174</v>
      </c>
      <c r="AE326" s="29"/>
      <c r="AF326" s="29"/>
      <c r="AG326" s="29"/>
      <c r="AH326" s="29"/>
      <c r="AI326" s="29"/>
      <c r="AJ326" s="29"/>
      <c r="AK326" s="29"/>
      <c r="AL326" s="29">
        <v>6</v>
      </c>
      <c r="AM326" s="29"/>
      <c r="AN326" s="20"/>
      <c r="AO326" s="30"/>
      <c r="AP326" s="36"/>
      <c r="AQ326" s="20"/>
      <c r="AR326" s="29"/>
      <c r="AS326" s="29"/>
      <c r="AT326" s="30" t="s">
        <v>113</v>
      </c>
      <c r="AU326" s="30" t="s">
        <v>344</v>
      </c>
      <c r="AV326" s="30" t="s">
        <v>113</v>
      </c>
      <c r="AW326" s="30" t="s">
        <v>124</v>
      </c>
      <c r="AX326" s="12">
        <f t="shared" si="18"/>
        <v>3</v>
      </c>
      <c r="AY326" s="12">
        <f t="shared" si="19"/>
        <v>3</v>
      </c>
      <c r="AZ326" s="32"/>
    </row>
    <row r="327" spans="1:63" ht="20.100000000000001" hidden="1" customHeight="1" x14ac:dyDescent="0.2">
      <c r="A327" s="13">
        <v>322</v>
      </c>
      <c r="B327" s="16" t="s">
        <v>3927</v>
      </c>
      <c r="C327" s="16" t="s">
        <v>1253</v>
      </c>
      <c r="D327" s="6" t="s">
        <v>3928</v>
      </c>
      <c r="E327" s="6" t="s">
        <v>8</v>
      </c>
      <c r="F327" s="6" t="s">
        <v>4038</v>
      </c>
      <c r="G327" s="6"/>
      <c r="H327" s="15" t="s">
        <v>83</v>
      </c>
      <c r="I327" s="15"/>
      <c r="J327" s="15"/>
      <c r="K327" s="15"/>
      <c r="L327" s="15"/>
      <c r="M327" s="15"/>
      <c r="N327" s="15"/>
      <c r="O327" s="16" t="s">
        <v>92</v>
      </c>
      <c r="P327" s="6" t="s">
        <v>429</v>
      </c>
      <c r="Q327" s="6" t="s">
        <v>117</v>
      </c>
      <c r="R327" s="6" t="s">
        <v>3936</v>
      </c>
      <c r="S327" s="6" t="s">
        <v>69</v>
      </c>
      <c r="T327" s="15" t="s">
        <v>70</v>
      </c>
      <c r="U327" s="6" t="s">
        <v>429</v>
      </c>
      <c r="V327" s="6" t="s">
        <v>3679</v>
      </c>
      <c r="W327" s="6" t="s">
        <v>465</v>
      </c>
      <c r="X327" s="6" t="s">
        <v>2269</v>
      </c>
      <c r="Y327" s="6" t="s">
        <v>824</v>
      </c>
      <c r="Z327" s="6" t="s">
        <v>107</v>
      </c>
      <c r="AA327" s="15" t="s">
        <v>3937</v>
      </c>
      <c r="AB327" s="15"/>
      <c r="AC327" s="15"/>
      <c r="AD327" s="15">
        <v>150</v>
      </c>
      <c r="AE327" s="16"/>
      <c r="AF327" s="16"/>
      <c r="AG327" s="16"/>
      <c r="AH327" s="16"/>
      <c r="AI327" s="16"/>
      <c r="AJ327" s="16"/>
      <c r="AK327" s="16"/>
      <c r="AL327" s="16">
        <v>4</v>
      </c>
      <c r="AM327" s="16"/>
      <c r="AN327" s="15"/>
      <c r="AO327" s="6"/>
      <c r="AP327" s="25"/>
      <c r="AQ327" s="15"/>
      <c r="AR327" s="16"/>
      <c r="AS327" s="16"/>
      <c r="AT327" s="6" t="s">
        <v>113</v>
      </c>
      <c r="AU327" s="6" t="s">
        <v>344</v>
      </c>
      <c r="AV327" s="6" t="s">
        <v>867</v>
      </c>
      <c r="AW327" s="6" t="s">
        <v>116</v>
      </c>
      <c r="AX327" s="12">
        <f t="shared" si="18"/>
        <v>140</v>
      </c>
      <c r="AY327" s="12" t="str">
        <f t="shared" si="19"/>
        <v/>
      </c>
      <c r="AZ327" s="18"/>
      <c r="BA327" s="19"/>
      <c r="BB327" s="19"/>
      <c r="BC327" s="19"/>
      <c r="BD327" s="19"/>
      <c r="BE327" s="19"/>
      <c r="BF327" s="19"/>
      <c r="BG327" s="19"/>
      <c r="BH327" s="19"/>
      <c r="BI327" s="19"/>
      <c r="BJ327" s="19"/>
      <c r="BK327" s="19"/>
    </row>
    <row r="328" spans="1:63" ht="20.100000000000001" hidden="1" customHeight="1" x14ac:dyDescent="0.2">
      <c r="A328" s="13">
        <v>323</v>
      </c>
      <c r="B328" s="16" t="s">
        <v>3927</v>
      </c>
      <c r="C328" s="16" t="s">
        <v>1253</v>
      </c>
      <c r="D328" s="153" t="s">
        <v>3935</v>
      </c>
      <c r="E328" s="153" t="s">
        <v>20</v>
      </c>
      <c r="F328" s="153" t="s">
        <v>3661</v>
      </c>
      <c r="G328" s="153"/>
      <c r="H328" s="154" t="s">
        <v>83</v>
      </c>
      <c r="I328" s="154"/>
      <c r="J328" s="154"/>
      <c r="K328" s="154"/>
      <c r="L328" s="154"/>
      <c r="M328" s="154"/>
      <c r="N328" s="154"/>
      <c r="O328" s="16" t="s">
        <v>84</v>
      </c>
      <c r="P328" s="153" t="s">
        <v>429</v>
      </c>
      <c r="Q328" s="153" t="s">
        <v>68</v>
      </c>
      <c r="R328" s="153" t="s">
        <v>3938</v>
      </c>
      <c r="S328" s="153" t="s">
        <v>69</v>
      </c>
      <c r="T328" s="154" t="s">
        <v>70</v>
      </c>
      <c r="U328" s="153" t="s">
        <v>429</v>
      </c>
      <c r="V328" s="153" t="s">
        <v>3679</v>
      </c>
      <c r="W328" s="153" t="s">
        <v>485</v>
      </c>
      <c r="X328" s="153" t="s">
        <v>3939</v>
      </c>
      <c r="Y328" s="153" t="s">
        <v>142</v>
      </c>
      <c r="Z328" s="153" t="s">
        <v>70</v>
      </c>
      <c r="AA328" s="154" t="s">
        <v>3940</v>
      </c>
      <c r="AB328" s="154"/>
      <c r="AC328" s="154"/>
      <c r="AD328" s="154">
        <v>213</v>
      </c>
      <c r="AE328" s="16"/>
      <c r="AF328" s="16"/>
      <c r="AG328" s="16"/>
      <c r="AH328" s="16"/>
      <c r="AI328" s="16"/>
      <c r="AJ328" s="16"/>
      <c r="AK328" s="16"/>
      <c r="AL328" s="16">
        <v>6</v>
      </c>
      <c r="AM328" s="16"/>
      <c r="AN328" s="154"/>
      <c r="AO328" s="153"/>
      <c r="AP328" s="25"/>
      <c r="AQ328" s="154"/>
      <c r="AR328" s="16"/>
      <c r="AS328" s="16"/>
      <c r="AT328" s="153" t="s">
        <v>113</v>
      </c>
      <c r="AU328" s="153" t="s">
        <v>344</v>
      </c>
      <c r="AV328" s="153" t="s">
        <v>208</v>
      </c>
      <c r="AW328" s="153" t="s">
        <v>260</v>
      </c>
      <c r="AX328" s="12">
        <f t="shared" si="18"/>
        <v>31</v>
      </c>
      <c r="AY328" s="12" t="str">
        <f t="shared" si="19"/>
        <v/>
      </c>
      <c r="AZ328" s="18"/>
      <c r="BA328" s="19"/>
      <c r="BB328" s="19"/>
      <c r="BC328" s="19"/>
      <c r="BD328" s="19"/>
      <c r="BE328" s="19"/>
      <c r="BF328" s="19"/>
      <c r="BG328" s="19"/>
      <c r="BH328" s="19"/>
      <c r="BI328" s="19"/>
      <c r="BJ328" s="19"/>
      <c r="BK328" s="19"/>
    </row>
    <row r="329" spans="1:63" ht="20.100000000000001" hidden="1" customHeight="1" x14ac:dyDescent="0.2">
      <c r="A329" s="13">
        <v>324</v>
      </c>
      <c r="B329" s="16" t="s">
        <v>3927</v>
      </c>
      <c r="C329" s="16" t="s">
        <v>1253</v>
      </c>
      <c r="D329" s="6" t="s">
        <v>3929</v>
      </c>
      <c r="E329" s="6" t="s">
        <v>9</v>
      </c>
      <c r="F329" s="6" t="s">
        <v>192</v>
      </c>
      <c r="G329" s="6"/>
      <c r="H329" s="15" t="s">
        <v>7</v>
      </c>
      <c r="I329" s="15"/>
      <c r="J329" s="15"/>
      <c r="K329" s="15"/>
      <c r="L329" s="15"/>
      <c r="M329" s="15"/>
      <c r="N329" s="15"/>
      <c r="O329" s="16" t="s">
        <v>3576</v>
      </c>
      <c r="P329" s="6" t="s">
        <v>429</v>
      </c>
      <c r="Q329" s="6" t="s">
        <v>155</v>
      </c>
      <c r="R329" s="6" t="s">
        <v>3948</v>
      </c>
      <c r="S329" s="6" t="s">
        <v>262</v>
      </c>
      <c r="T329" s="15" t="s">
        <v>70</v>
      </c>
      <c r="U329" s="6" t="s">
        <v>429</v>
      </c>
      <c r="V329" s="6" t="s">
        <v>3679</v>
      </c>
      <c r="W329" s="6" t="s">
        <v>441</v>
      </c>
      <c r="X329" s="6" t="s">
        <v>3949</v>
      </c>
      <c r="Y329" s="6" t="s">
        <v>106</v>
      </c>
      <c r="Z329" s="6" t="s">
        <v>107</v>
      </c>
      <c r="AA329" s="15">
        <v>0</v>
      </c>
      <c r="AB329" s="15"/>
      <c r="AC329" s="15">
        <v>200</v>
      </c>
      <c r="AD329" s="15">
        <v>0</v>
      </c>
      <c r="AE329" s="16">
        <v>180</v>
      </c>
      <c r="AF329" s="16">
        <v>126</v>
      </c>
      <c r="AG329" s="16">
        <v>135</v>
      </c>
      <c r="AH329" s="16">
        <v>6</v>
      </c>
      <c r="AI329" s="16">
        <v>30</v>
      </c>
      <c r="AJ329" s="16">
        <v>171</v>
      </c>
      <c r="AK329" s="16">
        <v>29</v>
      </c>
      <c r="AL329" s="16">
        <v>6</v>
      </c>
      <c r="AM329" s="16"/>
      <c r="AN329" s="15"/>
      <c r="AO329" s="6"/>
      <c r="AP329" s="25"/>
      <c r="AQ329" s="15"/>
      <c r="AR329" s="16" t="s">
        <v>160</v>
      </c>
      <c r="AS329" s="16" t="s">
        <v>193</v>
      </c>
      <c r="AT329" s="6"/>
      <c r="AU329" s="6"/>
      <c r="AV329" s="6"/>
      <c r="AW329" s="6"/>
      <c r="AX329" s="12" t="str">
        <f t="shared" si="18"/>
        <v/>
      </c>
      <c r="AY329" s="12" t="str">
        <f t="shared" si="19"/>
        <v/>
      </c>
      <c r="AZ329" s="18"/>
      <c r="BA329" s="19"/>
      <c r="BB329" s="19"/>
      <c r="BC329" s="19"/>
      <c r="BD329" s="19"/>
      <c r="BE329" s="19"/>
      <c r="BF329" s="19"/>
      <c r="BG329" s="19"/>
      <c r="BH329" s="19"/>
      <c r="BI329" s="19"/>
      <c r="BJ329" s="19"/>
      <c r="BK329" s="19"/>
    </row>
    <row r="330" spans="1:63" s="21" customFormat="1" ht="20.100000000000001" hidden="1" customHeight="1" x14ac:dyDescent="0.2">
      <c r="A330" s="13">
        <v>325</v>
      </c>
      <c r="B330" s="29" t="s">
        <v>3930</v>
      </c>
      <c r="C330" s="29" t="s">
        <v>1253</v>
      </c>
      <c r="D330" s="30" t="s">
        <v>3766</v>
      </c>
      <c r="E330" s="30" t="s">
        <v>6</v>
      </c>
      <c r="F330" s="30" t="s">
        <v>605</v>
      </c>
      <c r="G330" s="30"/>
      <c r="H330" s="20" t="s">
        <v>83</v>
      </c>
      <c r="I330" s="20"/>
      <c r="J330" s="20"/>
      <c r="K330" s="20"/>
      <c r="L330" s="20"/>
      <c r="M330" s="20"/>
      <c r="N330" s="20"/>
      <c r="O330" s="29" t="s">
        <v>93</v>
      </c>
      <c r="P330" s="30" t="s">
        <v>429</v>
      </c>
      <c r="Q330" s="30" t="s">
        <v>104</v>
      </c>
      <c r="R330" s="30" t="s">
        <v>429</v>
      </c>
      <c r="S330" s="30" t="s">
        <v>142</v>
      </c>
      <c r="T330" s="20" t="s">
        <v>70</v>
      </c>
      <c r="U330" s="30" t="s">
        <v>429</v>
      </c>
      <c r="V330" s="30" t="s">
        <v>3680</v>
      </c>
      <c r="W330" s="30" t="s">
        <v>2258</v>
      </c>
      <c r="X330" s="30" t="s">
        <v>3844</v>
      </c>
      <c r="Y330" s="30" t="s">
        <v>106</v>
      </c>
      <c r="Z330" s="30" t="s">
        <v>107</v>
      </c>
      <c r="AA330" s="20" t="s">
        <v>3830</v>
      </c>
      <c r="AB330" s="20"/>
      <c r="AC330" s="20"/>
      <c r="AD330" s="20">
        <v>192</v>
      </c>
      <c r="AE330" s="29"/>
      <c r="AF330" s="29"/>
      <c r="AG330" s="29"/>
      <c r="AH330" s="29"/>
      <c r="AI330" s="29"/>
      <c r="AJ330" s="29"/>
      <c r="AK330" s="29"/>
      <c r="AL330" s="29">
        <v>6</v>
      </c>
      <c r="AM330" s="29"/>
      <c r="AN330" s="20"/>
      <c r="AO330" s="30"/>
      <c r="AP330" s="36"/>
      <c r="AQ330" s="20"/>
      <c r="AR330" s="29"/>
      <c r="AS330" s="29"/>
      <c r="AT330" s="30" t="s">
        <v>113</v>
      </c>
      <c r="AU330" s="30" t="s">
        <v>344</v>
      </c>
      <c r="AV330" s="30" t="s">
        <v>113</v>
      </c>
      <c r="AW330" s="30" t="s">
        <v>137</v>
      </c>
      <c r="AX330" s="12">
        <f t="shared" si="18"/>
        <v>1</v>
      </c>
      <c r="AY330" s="12">
        <f t="shared" si="19"/>
        <v>1</v>
      </c>
      <c r="AZ330" s="32"/>
    </row>
    <row r="331" spans="1:63" s="21" customFormat="1" ht="20.100000000000001" hidden="1" customHeight="1" x14ac:dyDescent="0.2">
      <c r="A331" s="13">
        <v>326</v>
      </c>
      <c r="B331" s="29" t="s">
        <v>3931</v>
      </c>
      <c r="C331" s="29" t="s">
        <v>1253</v>
      </c>
      <c r="D331" s="30" t="s">
        <v>240</v>
      </c>
      <c r="E331" s="30" t="s">
        <v>9</v>
      </c>
      <c r="F331" s="30" t="s">
        <v>4793</v>
      </c>
      <c r="G331" s="30"/>
      <c r="H331" s="20" t="s">
        <v>83</v>
      </c>
      <c r="I331" s="20"/>
      <c r="J331" s="20"/>
      <c r="K331" s="20"/>
      <c r="L331" s="20"/>
      <c r="M331" s="20"/>
      <c r="N331" s="20"/>
      <c r="O331" s="29" t="s">
        <v>93</v>
      </c>
      <c r="P331" s="30" t="s">
        <v>429</v>
      </c>
      <c r="Q331" s="30" t="s">
        <v>140</v>
      </c>
      <c r="R331" s="30" t="s">
        <v>310</v>
      </c>
      <c r="S331" s="30" t="s">
        <v>69</v>
      </c>
      <c r="T331" s="20" t="s">
        <v>70</v>
      </c>
      <c r="U331" s="30" t="s">
        <v>429</v>
      </c>
      <c r="V331" s="30" t="s">
        <v>2961</v>
      </c>
      <c r="W331" s="30" t="s">
        <v>144</v>
      </c>
      <c r="X331" s="30" t="s">
        <v>311</v>
      </c>
      <c r="Y331" s="30" t="s">
        <v>73</v>
      </c>
      <c r="Z331" s="30" t="s">
        <v>70</v>
      </c>
      <c r="AA331" s="20" t="s">
        <v>287</v>
      </c>
      <c r="AB331" s="20"/>
      <c r="AC331" s="20"/>
      <c r="AD331" s="20">
        <v>180</v>
      </c>
      <c r="AE331" s="29"/>
      <c r="AF331" s="29"/>
      <c r="AG331" s="29"/>
      <c r="AH331" s="29"/>
      <c r="AI331" s="29"/>
      <c r="AJ331" s="29"/>
      <c r="AK331" s="29"/>
      <c r="AL331" s="29">
        <v>6</v>
      </c>
      <c r="AM331" s="29"/>
      <c r="AN331" s="20"/>
      <c r="AO331" s="30"/>
      <c r="AP331" s="36"/>
      <c r="AQ331" s="20"/>
      <c r="AR331" s="29"/>
      <c r="AS331" s="29"/>
      <c r="AT331" s="30" t="s">
        <v>113</v>
      </c>
      <c r="AU331" s="30" t="s">
        <v>344</v>
      </c>
      <c r="AV331" s="30" t="s">
        <v>113</v>
      </c>
      <c r="AW331" s="30" t="s">
        <v>296</v>
      </c>
      <c r="AX331" s="12">
        <f t="shared" si="18"/>
        <v>5</v>
      </c>
      <c r="AY331" s="12">
        <f t="shared" si="19"/>
        <v>5</v>
      </c>
      <c r="AZ331" s="32"/>
    </row>
    <row r="332" spans="1:63" ht="20.100000000000001" hidden="1" customHeight="1" x14ac:dyDescent="0.2">
      <c r="A332" s="13">
        <v>327</v>
      </c>
      <c r="B332" s="16" t="s">
        <v>3931</v>
      </c>
      <c r="C332" s="16" t="s">
        <v>1253</v>
      </c>
      <c r="D332" s="6" t="s">
        <v>3932</v>
      </c>
      <c r="E332" s="6"/>
      <c r="F332" s="6" t="s">
        <v>192</v>
      </c>
      <c r="G332" s="6"/>
      <c r="H332" s="15" t="s">
        <v>7</v>
      </c>
      <c r="I332" s="15"/>
      <c r="J332" s="15"/>
      <c r="K332" s="15"/>
      <c r="L332" s="15"/>
      <c r="M332" s="15"/>
      <c r="N332" s="15"/>
      <c r="O332" s="16" t="s">
        <v>92</v>
      </c>
      <c r="P332" s="6" t="s">
        <v>429</v>
      </c>
      <c r="Q332" s="6" t="s">
        <v>2258</v>
      </c>
      <c r="R332" s="6"/>
      <c r="S332" s="6" t="s">
        <v>69</v>
      </c>
      <c r="T332" s="15" t="s">
        <v>70</v>
      </c>
      <c r="U332" s="6" t="s">
        <v>429</v>
      </c>
      <c r="V332" s="6" t="s">
        <v>2325</v>
      </c>
      <c r="W332" s="6" t="s">
        <v>441</v>
      </c>
      <c r="X332" s="6"/>
      <c r="Y332" s="6" t="s">
        <v>69</v>
      </c>
      <c r="Z332" s="6" t="s">
        <v>70</v>
      </c>
      <c r="AA332" s="15">
        <v>0</v>
      </c>
      <c r="AB332" s="15"/>
      <c r="AC332" s="15">
        <v>183</v>
      </c>
      <c r="AD332" s="15">
        <v>0</v>
      </c>
      <c r="AE332" s="16">
        <v>174</v>
      </c>
      <c r="AF332" s="16">
        <v>65</v>
      </c>
      <c r="AG332" s="16">
        <v>110</v>
      </c>
      <c r="AH332" s="16">
        <v>6</v>
      </c>
      <c r="AI332" s="16">
        <v>15</v>
      </c>
      <c r="AJ332" s="16">
        <v>131</v>
      </c>
      <c r="AK332" s="16">
        <v>4</v>
      </c>
      <c r="AL332" s="16">
        <v>3</v>
      </c>
      <c r="AM332" s="16"/>
      <c r="AN332" s="15"/>
      <c r="AO332" s="6"/>
      <c r="AP332" s="25"/>
      <c r="AQ332" s="15"/>
      <c r="AR332" s="16" t="s">
        <v>160</v>
      </c>
      <c r="AS332" s="16" t="s">
        <v>1956</v>
      </c>
      <c r="AT332" s="6"/>
      <c r="AU332" s="6"/>
      <c r="AV332" s="6"/>
      <c r="AW332" s="6"/>
      <c r="AX332" s="12" t="str">
        <f t="shared" si="18"/>
        <v/>
      </c>
      <c r="AY332" s="12" t="str">
        <f t="shared" si="19"/>
        <v/>
      </c>
      <c r="AZ332" s="18"/>
      <c r="BA332" s="19"/>
      <c r="BB332" s="19"/>
      <c r="BC332" s="19"/>
      <c r="BD332" s="19"/>
      <c r="BE332" s="19"/>
      <c r="BF332" s="19"/>
      <c r="BG332" s="19"/>
      <c r="BH332" s="19"/>
      <c r="BI332" s="19"/>
      <c r="BJ332" s="19"/>
      <c r="BK332" s="19"/>
    </row>
    <row r="333" spans="1:63" ht="20.100000000000001" hidden="1" customHeight="1" x14ac:dyDescent="0.2">
      <c r="A333" s="13">
        <v>328</v>
      </c>
      <c r="B333" s="16" t="s">
        <v>3933</v>
      </c>
      <c r="C333" s="16" t="s">
        <v>1253</v>
      </c>
      <c r="D333" s="6" t="s">
        <v>3941</v>
      </c>
      <c r="E333" s="6" t="s">
        <v>6</v>
      </c>
      <c r="F333" s="6"/>
      <c r="G333" s="6"/>
      <c r="H333" s="15" t="s">
        <v>222</v>
      </c>
      <c r="I333" s="15"/>
      <c r="J333" s="15"/>
      <c r="K333" s="15"/>
      <c r="L333" s="15"/>
      <c r="M333" s="15"/>
      <c r="N333" s="15"/>
      <c r="O333" s="16" t="s">
        <v>92</v>
      </c>
      <c r="P333" s="6" t="s">
        <v>429</v>
      </c>
      <c r="Q333" s="6" t="s">
        <v>117</v>
      </c>
      <c r="R333" s="6" t="s">
        <v>469</v>
      </c>
      <c r="S333" s="6" t="s">
        <v>106</v>
      </c>
      <c r="T333" s="15" t="s">
        <v>107</v>
      </c>
      <c r="U333" s="6" t="s">
        <v>429</v>
      </c>
      <c r="V333" s="6" t="s">
        <v>3679</v>
      </c>
      <c r="W333" s="6" t="s">
        <v>465</v>
      </c>
      <c r="X333" s="6" t="s">
        <v>3942</v>
      </c>
      <c r="Y333" s="6" t="s">
        <v>106</v>
      </c>
      <c r="Z333" s="6" t="s">
        <v>107</v>
      </c>
      <c r="AA333" s="15" t="s">
        <v>3943</v>
      </c>
      <c r="AB333" s="15"/>
      <c r="AC333" s="15"/>
      <c r="AD333" s="15">
        <v>90</v>
      </c>
      <c r="AE333" s="16"/>
      <c r="AF333" s="16"/>
      <c r="AG333" s="16"/>
      <c r="AH333" s="16"/>
      <c r="AI333" s="16"/>
      <c r="AJ333" s="16"/>
      <c r="AK333" s="16"/>
      <c r="AL333" s="16">
        <v>8</v>
      </c>
      <c r="AM333" s="16"/>
      <c r="AN333" s="15"/>
      <c r="AO333" s="6"/>
      <c r="AP333" s="25"/>
      <c r="AQ333" s="15"/>
      <c r="AR333" s="16"/>
      <c r="AS333" s="16"/>
      <c r="AT333" s="6" t="s">
        <v>113</v>
      </c>
      <c r="AU333" s="6" t="s">
        <v>344</v>
      </c>
      <c r="AV333" s="6" t="s">
        <v>115</v>
      </c>
      <c r="AW333" s="6" t="s">
        <v>114</v>
      </c>
      <c r="AX333" s="12">
        <f t="shared" si="18"/>
        <v>18</v>
      </c>
      <c r="AY333" s="12" t="str">
        <f t="shared" si="19"/>
        <v/>
      </c>
      <c r="AZ333" s="18"/>
      <c r="BA333" s="19"/>
      <c r="BB333" s="19"/>
      <c r="BC333" s="19"/>
      <c r="BD333" s="19"/>
      <c r="BE333" s="19"/>
      <c r="BF333" s="19"/>
      <c r="BG333" s="19"/>
      <c r="BH333" s="19"/>
      <c r="BI333" s="19"/>
      <c r="BJ333" s="19"/>
      <c r="BK333" s="19"/>
    </row>
    <row r="334" spans="1:63" ht="20.100000000000001" hidden="1" customHeight="1" x14ac:dyDescent="0.2">
      <c r="A334" s="13">
        <v>329</v>
      </c>
      <c r="B334" s="16" t="s">
        <v>3933</v>
      </c>
      <c r="C334" s="16" t="s">
        <v>1253</v>
      </c>
      <c r="D334" s="6" t="s">
        <v>3766</v>
      </c>
      <c r="E334" s="6" t="s">
        <v>6</v>
      </c>
      <c r="F334" s="6"/>
      <c r="G334" s="6"/>
      <c r="H334" s="15" t="s">
        <v>7</v>
      </c>
      <c r="I334" s="15"/>
      <c r="J334" s="15"/>
      <c r="K334" s="15"/>
      <c r="L334" s="15"/>
      <c r="M334" s="15"/>
      <c r="N334" s="15"/>
      <c r="O334" s="16" t="s">
        <v>93</v>
      </c>
      <c r="P334" s="6"/>
      <c r="Q334" s="6" t="s">
        <v>104</v>
      </c>
      <c r="R334" s="6"/>
      <c r="S334" s="6" t="s">
        <v>369</v>
      </c>
      <c r="T334" s="15" t="s">
        <v>369</v>
      </c>
      <c r="U334" s="6"/>
      <c r="V334" s="6" t="s">
        <v>3680</v>
      </c>
      <c r="W334" s="6" t="s">
        <v>2258</v>
      </c>
      <c r="X334" s="6" t="s">
        <v>4004</v>
      </c>
      <c r="Y334" s="6" t="s">
        <v>73</v>
      </c>
      <c r="Z334" s="6" t="s">
        <v>70</v>
      </c>
      <c r="AA334" s="15"/>
      <c r="AB334" s="15"/>
      <c r="AC334" s="15"/>
      <c r="AD334" s="15"/>
      <c r="AE334" s="16">
        <v>192</v>
      </c>
      <c r="AF334" s="16"/>
      <c r="AG334" s="16"/>
      <c r="AH334" s="16"/>
      <c r="AI334" s="16"/>
      <c r="AJ334" s="16"/>
      <c r="AK334" s="16"/>
      <c r="AL334" s="16">
        <v>6</v>
      </c>
      <c r="AM334" s="16"/>
      <c r="AN334" s="15"/>
      <c r="AO334" s="6"/>
      <c r="AP334" s="25"/>
      <c r="AQ334" s="15"/>
      <c r="AR334" s="16" t="s">
        <v>160</v>
      </c>
      <c r="AS334" s="16" t="s">
        <v>193</v>
      </c>
      <c r="AT334" s="6"/>
      <c r="AU334" s="6"/>
      <c r="AV334" s="6"/>
      <c r="AW334" s="6"/>
      <c r="AX334" s="12" t="str">
        <f t="shared" si="18"/>
        <v/>
      </c>
      <c r="AY334" s="12" t="str">
        <f t="shared" si="19"/>
        <v/>
      </c>
      <c r="AZ334" s="18"/>
      <c r="BA334" s="19"/>
      <c r="BB334" s="19"/>
      <c r="BC334" s="19"/>
      <c r="BD334" s="19"/>
      <c r="BE334" s="19"/>
      <c r="BF334" s="19"/>
      <c r="BG334" s="19"/>
      <c r="BH334" s="19"/>
      <c r="BI334" s="19"/>
      <c r="BJ334" s="19"/>
      <c r="BK334" s="19"/>
    </row>
    <row r="335" spans="1:63" ht="20.100000000000001" hidden="1" customHeight="1" x14ac:dyDescent="0.2">
      <c r="A335" s="13">
        <v>330</v>
      </c>
      <c r="B335" s="16" t="s">
        <v>3933</v>
      </c>
      <c r="C335" s="16" t="s">
        <v>1253</v>
      </c>
      <c r="D335" s="6" t="s">
        <v>3536</v>
      </c>
      <c r="E335" s="6" t="s">
        <v>19</v>
      </c>
      <c r="F335" s="6"/>
      <c r="G335" s="6"/>
      <c r="H335" s="15" t="s">
        <v>7</v>
      </c>
      <c r="I335" s="15"/>
      <c r="J335" s="15"/>
      <c r="K335" s="15"/>
      <c r="L335" s="15"/>
      <c r="M335" s="15"/>
      <c r="N335" s="15"/>
      <c r="O335" s="16" t="s">
        <v>84</v>
      </c>
      <c r="P335" s="6" t="s">
        <v>68</v>
      </c>
      <c r="Q335" s="6" t="s">
        <v>68</v>
      </c>
      <c r="R335" s="6" t="s">
        <v>3950</v>
      </c>
      <c r="S335" s="6" t="s">
        <v>106</v>
      </c>
      <c r="T335" s="15" t="s">
        <v>107</v>
      </c>
      <c r="U335" s="6" t="s">
        <v>332</v>
      </c>
      <c r="V335" s="6" t="s">
        <v>3679</v>
      </c>
      <c r="W335" s="6" t="s">
        <v>485</v>
      </c>
      <c r="X335" s="6" t="s">
        <v>3951</v>
      </c>
      <c r="Y335" s="6" t="s">
        <v>106</v>
      </c>
      <c r="Z335" s="6" t="s">
        <v>107</v>
      </c>
      <c r="AA335" s="15">
        <v>0</v>
      </c>
      <c r="AB335" s="15"/>
      <c r="AC335" s="15">
        <v>185</v>
      </c>
      <c r="AD335" s="15">
        <v>174</v>
      </c>
      <c r="AE335" s="16">
        <v>174</v>
      </c>
      <c r="AF335" s="16">
        <v>60</v>
      </c>
      <c r="AG335" s="16">
        <v>91</v>
      </c>
      <c r="AH335" s="16">
        <v>6</v>
      </c>
      <c r="AI335" s="16">
        <v>70</v>
      </c>
      <c r="AJ335" s="16">
        <v>167</v>
      </c>
      <c r="AK335" s="16">
        <v>25</v>
      </c>
      <c r="AL335" s="16">
        <v>6</v>
      </c>
      <c r="AM335" s="16"/>
      <c r="AN335" s="15"/>
      <c r="AO335" s="6"/>
      <c r="AP335" s="25"/>
      <c r="AQ335" s="15"/>
      <c r="AR335" s="16"/>
      <c r="AS335" s="16"/>
      <c r="AT335" s="6"/>
      <c r="AU335" s="6"/>
      <c r="AV335" s="6"/>
      <c r="AW335" s="6"/>
      <c r="AX335" s="12" t="str">
        <f t="shared" si="18"/>
        <v/>
      </c>
      <c r="AY335" s="12" t="str">
        <f t="shared" si="19"/>
        <v/>
      </c>
      <c r="AZ335" s="18"/>
      <c r="BA335" s="19"/>
      <c r="BB335" s="19"/>
      <c r="BC335" s="19"/>
      <c r="BD335" s="19"/>
      <c r="BE335" s="19"/>
      <c r="BF335" s="19"/>
      <c r="BG335" s="19"/>
      <c r="BH335" s="19"/>
      <c r="BI335" s="19"/>
      <c r="BJ335" s="19"/>
      <c r="BK335" s="19"/>
    </row>
    <row r="336" spans="1:63" ht="20.100000000000001" hidden="1" customHeight="1" x14ac:dyDescent="0.2">
      <c r="A336" s="13">
        <v>331</v>
      </c>
      <c r="B336" s="16" t="s">
        <v>3934</v>
      </c>
      <c r="C336" s="16" t="s">
        <v>1253</v>
      </c>
      <c r="D336" s="6" t="s">
        <v>463</v>
      </c>
      <c r="E336" s="6" t="s">
        <v>6</v>
      </c>
      <c r="F336" s="6" t="s">
        <v>192</v>
      </c>
      <c r="G336" s="6"/>
      <c r="H336" s="15" t="s">
        <v>7</v>
      </c>
      <c r="I336" s="15"/>
      <c r="J336" s="15"/>
      <c r="K336" s="15"/>
      <c r="L336" s="15"/>
      <c r="M336" s="15"/>
      <c r="N336" s="15"/>
      <c r="O336" s="16" t="s">
        <v>93</v>
      </c>
      <c r="P336" s="6" t="s">
        <v>429</v>
      </c>
      <c r="Q336" s="6" t="s">
        <v>104</v>
      </c>
      <c r="R336" s="6" t="s">
        <v>3952</v>
      </c>
      <c r="S336" s="6" t="s">
        <v>106</v>
      </c>
      <c r="T336" s="15" t="s">
        <v>107</v>
      </c>
      <c r="U336" s="6" t="s">
        <v>429</v>
      </c>
      <c r="V336" s="6" t="s">
        <v>3679</v>
      </c>
      <c r="W336" s="6" t="s">
        <v>555</v>
      </c>
      <c r="X336" s="6" t="s">
        <v>3953</v>
      </c>
      <c r="Y336" s="6" t="s">
        <v>69</v>
      </c>
      <c r="Z336" s="6" t="s">
        <v>70</v>
      </c>
      <c r="AA336" s="15">
        <v>0</v>
      </c>
      <c r="AB336" s="15"/>
      <c r="AC336" s="15">
        <v>176</v>
      </c>
      <c r="AD336" s="15">
        <v>0</v>
      </c>
      <c r="AE336" s="16">
        <v>162</v>
      </c>
      <c r="AF336" s="16">
        <v>64</v>
      </c>
      <c r="AG336" s="16">
        <v>91</v>
      </c>
      <c r="AH336" s="16">
        <v>5</v>
      </c>
      <c r="AI336" s="16">
        <v>5</v>
      </c>
      <c r="AJ336" s="16">
        <v>147</v>
      </c>
      <c r="AK336" s="16">
        <v>25</v>
      </c>
      <c r="AL336" s="16">
        <v>6</v>
      </c>
      <c r="AM336" s="16"/>
      <c r="AN336" s="15"/>
      <c r="AO336" s="6"/>
      <c r="AP336" s="25"/>
      <c r="AQ336" s="15"/>
      <c r="AR336" s="16"/>
      <c r="AS336" s="16"/>
      <c r="AT336" s="6"/>
      <c r="AU336" s="6"/>
      <c r="AV336" s="6"/>
      <c r="AW336" s="6"/>
      <c r="AX336" s="12" t="str">
        <f t="shared" si="18"/>
        <v/>
      </c>
      <c r="AY336" s="12" t="str">
        <f t="shared" si="19"/>
        <v/>
      </c>
      <c r="AZ336" s="18"/>
      <c r="BA336" s="19"/>
      <c r="BB336" s="19"/>
      <c r="BC336" s="19"/>
      <c r="BD336" s="19"/>
      <c r="BE336" s="19"/>
      <c r="BF336" s="19"/>
      <c r="BG336" s="19"/>
      <c r="BH336" s="19"/>
      <c r="BI336" s="19"/>
      <c r="BJ336" s="19"/>
      <c r="BK336" s="19"/>
    </row>
    <row r="337" spans="1:63" ht="20.100000000000001" hidden="1" customHeight="1" x14ac:dyDescent="0.2">
      <c r="A337" s="13">
        <v>332</v>
      </c>
      <c r="B337" s="16" t="s">
        <v>3944</v>
      </c>
      <c r="C337" s="16" t="s">
        <v>1360</v>
      </c>
      <c r="D337" s="6" t="s">
        <v>3928</v>
      </c>
      <c r="E337" s="6" t="s">
        <v>8</v>
      </c>
      <c r="F337" s="6"/>
      <c r="G337" s="6"/>
      <c r="H337" s="15" t="s">
        <v>7</v>
      </c>
      <c r="I337" s="15"/>
      <c r="J337" s="15"/>
      <c r="K337" s="15"/>
      <c r="L337" s="15"/>
      <c r="M337" s="15"/>
      <c r="N337" s="15"/>
      <c r="O337" s="16" t="s">
        <v>84</v>
      </c>
      <c r="P337" s="6" t="s">
        <v>117</v>
      </c>
      <c r="Q337" s="6" t="s">
        <v>117</v>
      </c>
      <c r="R337" s="6" t="s">
        <v>3954</v>
      </c>
      <c r="S337" s="6" t="s">
        <v>106</v>
      </c>
      <c r="T337" s="15" t="s">
        <v>107</v>
      </c>
      <c r="U337" s="6" t="s">
        <v>470</v>
      </c>
      <c r="V337" s="6" t="s">
        <v>3679</v>
      </c>
      <c r="W337" s="6" t="s">
        <v>465</v>
      </c>
      <c r="X337" s="6" t="s">
        <v>3955</v>
      </c>
      <c r="Y337" s="6" t="s">
        <v>106</v>
      </c>
      <c r="Z337" s="6" t="s">
        <v>107</v>
      </c>
      <c r="AA337" s="15">
        <v>0</v>
      </c>
      <c r="AB337" s="15"/>
      <c r="AC337" s="15">
        <v>173</v>
      </c>
      <c r="AD337" s="15">
        <v>150</v>
      </c>
      <c r="AE337" s="16">
        <v>150</v>
      </c>
      <c r="AF337" s="16">
        <v>35</v>
      </c>
      <c r="AG337" s="16">
        <v>50</v>
      </c>
      <c r="AH337" s="16">
        <v>40</v>
      </c>
      <c r="AI337" s="16">
        <v>35</v>
      </c>
      <c r="AJ337" s="16">
        <v>125</v>
      </c>
      <c r="AK337" s="16">
        <v>25</v>
      </c>
      <c r="AL337" s="16">
        <v>4</v>
      </c>
      <c r="AM337" s="16"/>
      <c r="AN337" s="15"/>
      <c r="AO337" s="6"/>
      <c r="AP337" s="25"/>
      <c r="AQ337" s="15"/>
      <c r="AR337" s="16"/>
      <c r="AS337" s="16"/>
      <c r="AT337" s="6"/>
      <c r="AU337" s="6"/>
      <c r="AV337" s="6"/>
      <c r="AW337" s="6"/>
      <c r="AX337" s="12" t="str">
        <f t="shared" si="18"/>
        <v/>
      </c>
      <c r="AY337" s="12" t="str">
        <f t="shared" si="19"/>
        <v/>
      </c>
      <c r="AZ337" s="18"/>
      <c r="BA337" s="19"/>
      <c r="BB337" s="19"/>
      <c r="BC337" s="19"/>
      <c r="BD337" s="19"/>
      <c r="BE337" s="19"/>
      <c r="BF337" s="19"/>
      <c r="BG337" s="19"/>
      <c r="BH337" s="19"/>
      <c r="BI337" s="19"/>
      <c r="BJ337" s="19"/>
      <c r="BK337" s="19"/>
    </row>
    <row r="338" spans="1:63" s="21" customFormat="1" ht="20.100000000000001" hidden="1" customHeight="1" x14ac:dyDescent="0.2">
      <c r="A338" s="13">
        <v>333</v>
      </c>
      <c r="B338" s="29" t="s">
        <v>3944</v>
      </c>
      <c r="C338" s="29" t="s">
        <v>1360</v>
      </c>
      <c r="D338" s="30" t="s">
        <v>3650</v>
      </c>
      <c r="E338" s="30" t="s">
        <v>6</v>
      </c>
      <c r="F338" s="6" t="s">
        <v>185</v>
      </c>
      <c r="G338" s="6"/>
      <c r="H338" s="20" t="s">
        <v>83</v>
      </c>
      <c r="I338" s="15"/>
      <c r="J338" s="15"/>
      <c r="K338" s="15"/>
      <c r="L338" s="15"/>
      <c r="M338" s="15"/>
      <c r="N338" s="15"/>
      <c r="O338" s="29" t="s">
        <v>93</v>
      </c>
      <c r="P338" s="30" t="s">
        <v>429</v>
      </c>
      <c r="Q338" s="30" t="s">
        <v>155</v>
      </c>
      <c r="R338" s="30" t="s">
        <v>3722</v>
      </c>
      <c r="S338" s="30" t="s">
        <v>106</v>
      </c>
      <c r="T338" s="20" t="s">
        <v>107</v>
      </c>
      <c r="U338" s="30" t="s">
        <v>429</v>
      </c>
      <c r="V338" s="30" t="s">
        <v>3679</v>
      </c>
      <c r="W338" s="30" t="s">
        <v>718</v>
      </c>
      <c r="X338" s="30" t="s">
        <v>3723</v>
      </c>
      <c r="Y338" s="30" t="s">
        <v>106</v>
      </c>
      <c r="Z338" s="30" t="s">
        <v>107</v>
      </c>
      <c r="AA338" s="20" t="s">
        <v>3698</v>
      </c>
      <c r="AB338" s="20"/>
      <c r="AC338" s="20"/>
      <c r="AD338" s="20">
        <v>216</v>
      </c>
      <c r="AE338" s="29"/>
      <c r="AF338" s="29"/>
      <c r="AG338" s="29"/>
      <c r="AH338" s="29"/>
      <c r="AI338" s="29"/>
      <c r="AJ338" s="29"/>
      <c r="AK338" s="29"/>
      <c r="AL338" s="29">
        <v>6</v>
      </c>
      <c r="AM338" s="29"/>
      <c r="AN338" s="20"/>
      <c r="AO338" s="30"/>
      <c r="AP338" s="36"/>
      <c r="AQ338" s="20"/>
      <c r="AR338" s="29"/>
      <c r="AS338" s="29"/>
      <c r="AT338" s="30" t="s">
        <v>113</v>
      </c>
      <c r="AU338" s="30" t="s">
        <v>148</v>
      </c>
      <c r="AV338" s="30" t="s">
        <v>113</v>
      </c>
      <c r="AW338" s="30" t="s">
        <v>1247</v>
      </c>
      <c r="AX338" s="12">
        <f t="shared" si="18"/>
        <v>3</v>
      </c>
      <c r="AY338" s="12">
        <f t="shared" si="19"/>
        <v>3</v>
      </c>
      <c r="AZ338" s="32"/>
    </row>
    <row r="339" spans="1:63" ht="20.100000000000001" hidden="1" customHeight="1" x14ac:dyDescent="0.2">
      <c r="A339" s="13">
        <v>334</v>
      </c>
      <c r="B339" s="16" t="s">
        <v>3945</v>
      </c>
      <c r="C339" s="16" t="s">
        <v>1360</v>
      </c>
      <c r="D339" s="6" t="s">
        <v>2787</v>
      </c>
      <c r="E339" s="6" t="s">
        <v>8</v>
      </c>
      <c r="F339" s="6" t="s">
        <v>185</v>
      </c>
      <c r="G339" s="6"/>
      <c r="H339" s="15" t="s">
        <v>83</v>
      </c>
      <c r="I339" s="15"/>
      <c r="J339" s="15"/>
      <c r="K339" s="15"/>
      <c r="L339" s="15"/>
      <c r="M339" s="15"/>
      <c r="N339" s="15"/>
      <c r="O339" s="16" t="s">
        <v>84</v>
      </c>
      <c r="P339" s="6" t="s">
        <v>429</v>
      </c>
      <c r="Q339" s="6" t="s">
        <v>155</v>
      </c>
      <c r="R339" s="6" t="s">
        <v>4030</v>
      </c>
      <c r="S339" s="6" t="s">
        <v>119</v>
      </c>
      <c r="T339" s="15" t="s">
        <v>107</v>
      </c>
      <c r="U339" s="6" t="s">
        <v>429</v>
      </c>
      <c r="V339" s="6" t="s">
        <v>3679</v>
      </c>
      <c r="W339" s="6" t="s">
        <v>718</v>
      </c>
      <c r="X339" s="6" t="s">
        <v>4031</v>
      </c>
      <c r="Y339" s="6" t="s">
        <v>119</v>
      </c>
      <c r="Z339" s="6" t="s">
        <v>107</v>
      </c>
      <c r="AA339" s="15" t="s">
        <v>4032</v>
      </c>
      <c r="AB339" s="15"/>
      <c r="AC339" s="15"/>
      <c r="AD339" s="15">
        <v>186</v>
      </c>
      <c r="AE339" s="16"/>
      <c r="AF339" s="16"/>
      <c r="AG339" s="16"/>
      <c r="AH339" s="16"/>
      <c r="AI339" s="16"/>
      <c r="AJ339" s="16"/>
      <c r="AK339" s="16"/>
      <c r="AL339" s="16">
        <v>6</v>
      </c>
      <c r="AM339" s="16"/>
      <c r="AN339" s="15"/>
      <c r="AO339" s="6"/>
      <c r="AP339" s="25"/>
      <c r="AQ339" s="15"/>
      <c r="AR339" s="16"/>
      <c r="AS339" s="16"/>
      <c r="AT339" s="6" t="s">
        <v>113</v>
      </c>
      <c r="AU339" s="6" t="s">
        <v>148</v>
      </c>
      <c r="AV339" s="6" t="s">
        <v>208</v>
      </c>
      <c r="AW339" s="6" t="s">
        <v>124</v>
      </c>
      <c r="AX339" s="12">
        <f t="shared" si="18"/>
        <v>40</v>
      </c>
      <c r="AY339" s="12" t="str">
        <f t="shared" si="19"/>
        <v/>
      </c>
      <c r="AZ339" s="18"/>
      <c r="BA339" s="19"/>
      <c r="BB339" s="19"/>
      <c r="BC339" s="19"/>
      <c r="BD339" s="19"/>
      <c r="BE339" s="19"/>
      <c r="BF339" s="19"/>
      <c r="BG339" s="19"/>
      <c r="BH339" s="19"/>
      <c r="BI339" s="19"/>
      <c r="BJ339" s="19"/>
      <c r="BK339" s="19"/>
    </row>
    <row r="340" spans="1:63" ht="20.100000000000001" hidden="1" customHeight="1" x14ac:dyDescent="0.2">
      <c r="A340" s="13">
        <v>335</v>
      </c>
      <c r="B340" s="16" t="s">
        <v>3946</v>
      </c>
      <c r="C340" s="16" t="s">
        <v>1360</v>
      </c>
      <c r="D340" s="6" t="s">
        <v>3935</v>
      </c>
      <c r="E340" s="6" t="s">
        <v>20</v>
      </c>
      <c r="F340" s="6"/>
      <c r="G340" s="6"/>
      <c r="H340" s="15" t="s">
        <v>7</v>
      </c>
      <c r="I340" s="15"/>
      <c r="J340" s="15"/>
      <c r="K340" s="15"/>
      <c r="L340" s="15"/>
      <c r="M340" s="15"/>
      <c r="N340" s="15"/>
      <c r="O340" s="16" t="s">
        <v>84</v>
      </c>
      <c r="P340" s="35" t="s">
        <v>68</v>
      </c>
      <c r="Q340" s="35" t="s">
        <v>155</v>
      </c>
      <c r="R340" s="6" t="s">
        <v>3956</v>
      </c>
      <c r="S340" s="6" t="s">
        <v>69</v>
      </c>
      <c r="T340" s="15" t="s">
        <v>70</v>
      </c>
      <c r="U340" s="35" t="s">
        <v>332</v>
      </c>
      <c r="V340" s="35" t="s">
        <v>3679</v>
      </c>
      <c r="W340" s="35" t="s">
        <v>441</v>
      </c>
      <c r="X340" s="6" t="s">
        <v>3957</v>
      </c>
      <c r="Y340" s="6" t="s">
        <v>106</v>
      </c>
      <c r="Z340" s="6" t="s">
        <v>107</v>
      </c>
      <c r="AA340" s="15">
        <v>0</v>
      </c>
      <c r="AB340" s="15"/>
      <c r="AC340" s="15">
        <v>231</v>
      </c>
      <c r="AD340" s="15">
        <v>210</v>
      </c>
      <c r="AE340" s="16">
        <v>210</v>
      </c>
      <c r="AF340" s="16">
        <v>113</v>
      </c>
      <c r="AG340" s="16">
        <v>161</v>
      </c>
      <c r="AH340" s="16">
        <v>7</v>
      </c>
      <c r="AI340" s="16">
        <v>41</v>
      </c>
      <c r="AJ340" s="16">
        <v>209</v>
      </c>
      <c r="AK340" s="16">
        <v>25</v>
      </c>
      <c r="AL340" s="16">
        <v>6</v>
      </c>
      <c r="AM340" s="16"/>
      <c r="AN340" s="15"/>
      <c r="AO340" s="6"/>
      <c r="AP340" s="25"/>
      <c r="AQ340" s="15"/>
      <c r="AR340" s="16" t="s">
        <v>160</v>
      </c>
      <c r="AS340" s="16" t="s">
        <v>193</v>
      </c>
      <c r="AT340" s="6"/>
      <c r="AU340" s="6"/>
      <c r="AV340" s="6"/>
      <c r="AW340" s="6"/>
      <c r="AX340" s="12" t="str">
        <f t="shared" si="18"/>
        <v/>
      </c>
      <c r="AY340" s="12" t="str">
        <f t="shared" si="19"/>
        <v/>
      </c>
      <c r="AZ340" s="18"/>
      <c r="BA340" s="19"/>
      <c r="BB340" s="19"/>
      <c r="BC340" s="19"/>
      <c r="BD340" s="19"/>
      <c r="BE340" s="19"/>
      <c r="BF340" s="19"/>
      <c r="BG340" s="19"/>
      <c r="BH340" s="19"/>
      <c r="BI340" s="19"/>
      <c r="BJ340" s="19"/>
      <c r="BK340" s="19"/>
    </row>
    <row r="341" spans="1:63" s="21" customFormat="1" ht="20.100000000000001" hidden="1" customHeight="1" x14ac:dyDescent="0.2">
      <c r="A341" s="13">
        <v>336</v>
      </c>
      <c r="B341" s="29" t="s">
        <v>3947</v>
      </c>
      <c r="C341" s="29" t="s">
        <v>1360</v>
      </c>
      <c r="D341" s="30" t="s">
        <v>88</v>
      </c>
      <c r="E341" s="30" t="s">
        <v>9</v>
      </c>
      <c r="F341" s="30" t="s">
        <v>172</v>
      </c>
      <c r="G341" s="30"/>
      <c r="H341" s="20" t="s">
        <v>83</v>
      </c>
      <c r="I341" s="20"/>
      <c r="J341" s="20"/>
      <c r="K341" s="20"/>
      <c r="L341" s="20"/>
      <c r="M341" s="20"/>
      <c r="N341" s="20"/>
      <c r="O341" s="29" t="s">
        <v>93</v>
      </c>
      <c r="P341" s="30" t="s">
        <v>429</v>
      </c>
      <c r="Q341" s="30" t="s">
        <v>104</v>
      </c>
      <c r="R341" s="30" t="s">
        <v>212</v>
      </c>
      <c r="S341" s="30" t="s">
        <v>106</v>
      </c>
      <c r="T341" s="20" t="s">
        <v>107</v>
      </c>
      <c r="U341" s="30" t="s">
        <v>429</v>
      </c>
      <c r="V341" s="30" t="s">
        <v>1510</v>
      </c>
      <c r="W341" s="30" t="s">
        <v>769</v>
      </c>
      <c r="X341" s="30" t="s">
        <v>132</v>
      </c>
      <c r="Y341" s="30" t="s">
        <v>73</v>
      </c>
      <c r="Z341" s="30" t="s">
        <v>70</v>
      </c>
      <c r="AA341" s="20" t="s">
        <v>3977</v>
      </c>
      <c r="AB341" s="20"/>
      <c r="AC341" s="20"/>
      <c r="AD341" s="20"/>
      <c r="AE341" s="29">
        <v>216</v>
      </c>
      <c r="AF341" s="29"/>
      <c r="AG341" s="29"/>
      <c r="AH341" s="29"/>
      <c r="AI341" s="29"/>
      <c r="AJ341" s="29"/>
      <c r="AK341" s="29"/>
      <c r="AL341" s="29">
        <v>6</v>
      </c>
      <c r="AM341" s="29"/>
      <c r="AN341" s="20"/>
      <c r="AO341" s="30"/>
      <c r="AP341" s="36"/>
      <c r="AQ341" s="20"/>
      <c r="AR341" s="29"/>
      <c r="AS341" s="29"/>
      <c r="AT341" s="30" t="s">
        <v>113</v>
      </c>
      <c r="AU341" s="30" t="s">
        <v>148</v>
      </c>
      <c r="AV341" s="30" t="s">
        <v>113</v>
      </c>
      <c r="AW341" s="30" t="s">
        <v>114</v>
      </c>
      <c r="AX341" s="12">
        <f t="shared" si="18"/>
        <v>7</v>
      </c>
      <c r="AY341" s="12">
        <f t="shared" si="19"/>
        <v>7</v>
      </c>
      <c r="AZ341" s="32"/>
    </row>
    <row r="342" spans="1:63" ht="20.100000000000001" hidden="1" customHeight="1" x14ac:dyDescent="0.2">
      <c r="A342" s="13">
        <v>337</v>
      </c>
      <c r="B342" s="16" t="s">
        <v>3947</v>
      </c>
      <c r="C342" s="16" t="s">
        <v>1360</v>
      </c>
      <c r="D342" s="6" t="s">
        <v>3959</v>
      </c>
      <c r="E342" s="6"/>
      <c r="F342" s="6" t="s">
        <v>192</v>
      </c>
      <c r="G342" s="6"/>
      <c r="H342" s="15" t="s">
        <v>7</v>
      </c>
      <c r="I342" s="15"/>
      <c r="J342" s="15"/>
      <c r="K342" s="15"/>
      <c r="L342" s="15"/>
      <c r="M342" s="15"/>
      <c r="N342" s="15"/>
      <c r="O342" s="16" t="s">
        <v>3576</v>
      </c>
      <c r="P342" s="6" t="s">
        <v>429</v>
      </c>
      <c r="Q342" s="6" t="s">
        <v>68</v>
      </c>
      <c r="R342" s="6" t="s">
        <v>4005</v>
      </c>
      <c r="S342" s="6" t="s">
        <v>106</v>
      </c>
      <c r="T342" s="15" t="s">
        <v>107</v>
      </c>
      <c r="U342" s="6" t="s">
        <v>429</v>
      </c>
      <c r="V342" s="6" t="s">
        <v>3679</v>
      </c>
      <c r="W342" s="6" t="s">
        <v>485</v>
      </c>
      <c r="X342" s="6" t="s">
        <v>4006</v>
      </c>
      <c r="Y342" s="6" t="s">
        <v>106</v>
      </c>
      <c r="Z342" s="6" t="s">
        <v>107</v>
      </c>
      <c r="AA342" s="15"/>
      <c r="AB342" s="15"/>
      <c r="AC342" s="15">
        <v>228</v>
      </c>
      <c r="AD342" s="15">
        <v>0</v>
      </c>
      <c r="AE342" s="16">
        <v>216</v>
      </c>
      <c r="AF342" s="16">
        <v>79</v>
      </c>
      <c r="AG342" s="16">
        <v>155</v>
      </c>
      <c r="AH342" s="16">
        <v>7</v>
      </c>
      <c r="AI342" s="16">
        <v>18</v>
      </c>
      <c r="AJ342" s="16">
        <v>166</v>
      </c>
      <c r="AK342" s="16">
        <v>22</v>
      </c>
      <c r="AL342" s="16">
        <v>6</v>
      </c>
      <c r="AM342" s="16"/>
      <c r="AN342" s="15"/>
      <c r="AO342" s="6"/>
      <c r="AP342" s="25"/>
      <c r="AQ342" s="15"/>
      <c r="AR342" s="16" t="s">
        <v>160</v>
      </c>
      <c r="AS342" s="16" t="s">
        <v>193</v>
      </c>
      <c r="AT342" s="6"/>
      <c r="AU342" s="6"/>
      <c r="AV342" s="6"/>
      <c r="AW342" s="6"/>
      <c r="AX342" s="12" t="str">
        <f t="shared" si="18"/>
        <v/>
      </c>
      <c r="AY342" s="12" t="str">
        <f t="shared" si="19"/>
        <v/>
      </c>
      <c r="AZ342" s="18"/>
      <c r="BA342" s="19"/>
      <c r="BB342" s="19"/>
      <c r="BC342" s="19"/>
      <c r="BD342" s="19"/>
      <c r="BE342" s="19"/>
      <c r="BF342" s="19"/>
      <c r="BG342" s="19"/>
      <c r="BH342" s="19"/>
      <c r="BI342" s="19"/>
      <c r="BJ342" s="19"/>
      <c r="BK342" s="19"/>
    </row>
    <row r="343" spans="1:63" ht="20.100000000000001" hidden="1" customHeight="1" x14ac:dyDescent="0.2">
      <c r="A343" s="13">
        <v>338</v>
      </c>
      <c r="B343" s="16" t="s">
        <v>3958</v>
      </c>
      <c r="C343" s="16" t="s">
        <v>1360</v>
      </c>
      <c r="D343" s="6" t="s">
        <v>3960</v>
      </c>
      <c r="E343" s="6"/>
      <c r="F343" s="6" t="s">
        <v>192</v>
      </c>
      <c r="G343" s="6"/>
      <c r="H343" s="15" t="s">
        <v>7</v>
      </c>
      <c r="I343" s="15"/>
      <c r="J343" s="15"/>
      <c r="K343" s="15"/>
      <c r="L343" s="15"/>
      <c r="M343" s="15"/>
      <c r="N343" s="15"/>
      <c r="O343" s="16" t="s">
        <v>3576</v>
      </c>
      <c r="P343" s="6" t="s">
        <v>429</v>
      </c>
      <c r="Q343" s="6" t="s">
        <v>155</v>
      </c>
      <c r="R343" s="6" t="s">
        <v>4007</v>
      </c>
      <c r="S343" s="6" t="s">
        <v>69</v>
      </c>
      <c r="T343" s="15" t="s">
        <v>70</v>
      </c>
      <c r="U343" s="6" t="s">
        <v>429</v>
      </c>
      <c r="V343" s="6" t="s">
        <v>3677</v>
      </c>
      <c r="W343" s="6" t="s">
        <v>441</v>
      </c>
      <c r="X343" s="6" t="s">
        <v>4008</v>
      </c>
      <c r="Y343" s="6" t="s">
        <v>69</v>
      </c>
      <c r="Z343" s="6" t="s">
        <v>70</v>
      </c>
      <c r="AA343" s="15"/>
      <c r="AB343" s="15"/>
      <c r="AC343" s="15">
        <v>236</v>
      </c>
      <c r="AD343" s="15">
        <v>0</v>
      </c>
      <c r="AE343" s="16">
        <v>216</v>
      </c>
      <c r="AF343" s="16">
        <v>88</v>
      </c>
      <c r="AG343" s="16">
        <v>171</v>
      </c>
      <c r="AH343" s="16">
        <v>7</v>
      </c>
      <c r="AI343" s="16">
        <v>57</v>
      </c>
      <c r="AJ343" s="16">
        <v>235</v>
      </c>
      <c r="AK343" s="16">
        <v>22</v>
      </c>
      <c r="AL343" s="16">
        <v>6</v>
      </c>
      <c r="AM343" s="16"/>
      <c r="AN343" s="15"/>
      <c r="AO343" s="6"/>
      <c r="AP343" s="25"/>
      <c r="AQ343" s="15"/>
      <c r="AR343" s="16" t="s">
        <v>160</v>
      </c>
      <c r="AS343" s="16" t="s">
        <v>165</v>
      </c>
      <c r="AT343" s="6"/>
      <c r="AU343" s="6"/>
      <c r="AV343" s="6"/>
      <c r="AW343" s="6"/>
      <c r="AX343" s="12" t="str">
        <f t="shared" si="18"/>
        <v/>
      </c>
      <c r="AY343" s="12" t="str">
        <f t="shared" si="19"/>
        <v/>
      </c>
      <c r="AZ343" s="18"/>
      <c r="BA343" s="19"/>
      <c r="BB343" s="19"/>
      <c r="BC343" s="19"/>
      <c r="BD343" s="19"/>
      <c r="BE343" s="19"/>
      <c r="BF343" s="19"/>
      <c r="BG343" s="19"/>
      <c r="BH343" s="19"/>
      <c r="BI343" s="19"/>
      <c r="BJ343" s="19"/>
      <c r="BK343" s="19"/>
    </row>
    <row r="344" spans="1:63" ht="20.100000000000001" hidden="1" customHeight="1" x14ac:dyDescent="0.2">
      <c r="A344" s="13">
        <v>339</v>
      </c>
      <c r="B344" s="16" t="s">
        <v>3961</v>
      </c>
      <c r="C344" s="16" t="s">
        <v>1360</v>
      </c>
      <c r="D344" s="6" t="s">
        <v>3193</v>
      </c>
      <c r="E344" s="6" t="s">
        <v>6</v>
      </c>
      <c r="F344" s="6" t="s">
        <v>1587</v>
      </c>
      <c r="G344" s="6"/>
      <c r="H344" s="15" t="s">
        <v>83</v>
      </c>
      <c r="I344" s="15"/>
      <c r="J344" s="15"/>
      <c r="K344" s="15"/>
      <c r="L344" s="15"/>
      <c r="M344" s="15"/>
      <c r="N344" s="15"/>
      <c r="O344" s="16" t="s">
        <v>92</v>
      </c>
      <c r="P344" s="6" t="s">
        <v>429</v>
      </c>
      <c r="Q344" s="6" t="s">
        <v>140</v>
      </c>
      <c r="R344" s="6" t="s">
        <v>1436</v>
      </c>
      <c r="S344" s="6" t="s">
        <v>206</v>
      </c>
      <c r="T344" s="15" t="s">
        <v>107</v>
      </c>
      <c r="U344" s="6" t="s">
        <v>429</v>
      </c>
      <c r="V344" s="6" t="s">
        <v>2245</v>
      </c>
      <c r="W344" s="6" t="s">
        <v>116</v>
      </c>
      <c r="X344" s="6" t="s">
        <v>3978</v>
      </c>
      <c r="Y344" s="6" t="s">
        <v>206</v>
      </c>
      <c r="Z344" s="6" t="s">
        <v>107</v>
      </c>
      <c r="AA344" s="15" t="s">
        <v>3979</v>
      </c>
      <c r="AB344" s="15"/>
      <c r="AC344" s="15"/>
      <c r="AD344" s="15"/>
      <c r="AE344" s="16">
        <v>204</v>
      </c>
      <c r="AF344" s="16"/>
      <c r="AG344" s="16"/>
      <c r="AH344" s="16"/>
      <c r="AI344" s="16"/>
      <c r="AJ344" s="16"/>
      <c r="AK344" s="16"/>
      <c r="AL344" s="16">
        <v>6</v>
      </c>
      <c r="AM344" s="16"/>
      <c r="AN344" s="15"/>
      <c r="AO344" s="6"/>
      <c r="AP344" s="25"/>
      <c r="AQ344" s="15"/>
      <c r="AR344" s="16"/>
      <c r="AS344" s="16"/>
      <c r="AT344" s="6" t="s">
        <v>113</v>
      </c>
      <c r="AU344" s="6" t="s">
        <v>148</v>
      </c>
      <c r="AV344" s="6" t="s">
        <v>348</v>
      </c>
      <c r="AW344" s="6" t="s">
        <v>116</v>
      </c>
      <c r="AX344" s="12">
        <f t="shared" si="18"/>
        <v>45</v>
      </c>
      <c r="AY344" s="12" t="str">
        <f t="shared" si="19"/>
        <v/>
      </c>
      <c r="AZ344" s="18"/>
      <c r="BA344" s="19"/>
      <c r="BB344" s="19"/>
      <c r="BC344" s="19"/>
      <c r="BD344" s="19"/>
      <c r="BE344" s="19"/>
      <c r="BF344" s="19"/>
      <c r="BG344" s="19"/>
      <c r="BH344" s="19"/>
      <c r="BI344" s="19"/>
      <c r="BJ344" s="19"/>
      <c r="BK344" s="19"/>
    </row>
    <row r="345" spans="1:63" ht="20.100000000000001" hidden="1" customHeight="1" x14ac:dyDescent="0.2">
      <c r="A345" s="13">
        <v>340</v>
      </c>
      <c r="B345" s="16" t="s">
        <v>3961</v>
      </c>
      <c r="C345" s="16" t="s">
        <v>1360</v>
      </c>
      <c r="D345" s="6" t="s">
        <v>3962</v>
      </c>
      <c r="E345" s="6" t="s">
        <v>20</v>
      </c>
      <c r="F345" s="6"/>
      <c r="G345" s="6"/>
      <c r="H345" s="15" t="s">
        <v>7</v>
      </c>
      <c r="I345" s="15"/>
      <c r="J345" s="15"/>
      <c r="K345" s="15"/>
      <c r="L345" s="15"/>
      <c r="M345" s="15"/>
      <c r="N345" s="15"/>
      <c r="O345" s="16" t="s">
        <v>67</v>
      </c>
      <c r="P345" s="6"/>
      <c r="Q345" s="6" t="s">
        <v>117</v>
      </c>
      <c r="R345" s="6" t="s">
        <v>4009</v>
      </c>
      <c r="S345" s="6" t="s">
        <v>106</v>
      </c>
      <c r="T345" s="15" t="s">
        <v>107</v>
      </c>
      <c r="U345" s="6" t="s">
        <v>429</v>
      </c>
      <c r="V345" s="6" t="s">
        <v>2245</v>
      </c>
      <c r="W345" s="6" t="s">
        <v>260</v>
      </c>
      <c r="X345" s="6" t="s">
        <v>4010</v>
      </c>
      <c r="Y345" s="6" t="s">
        <v>69</v>
      </c>
      <c r="Z345" s="6" t="s">
        <v>70</v>
      </c>
      <c r="AA345" s="15"/>
      <c r="AB345" s="15"/>
      <c r="AC345" s="15"/>
      <c r="AD345" s="15"/>
      <c r="AE345" s="16">
        <v>156</v>
      </c>
      <c r="AF345" s="16"/>
      <c r="AG345" s="16"/>
      <c r="AH345" s="16"/>
      <c r="AI345" s="16"/>
      <c r="AJ345" s="16"/>
      <c r="AK345" s="16"/>
      <c r="AL345" s="16">
        <v>6</v>
      </c>
      <c r="AM345" s="16"/>
      <c r="AN345" s="15"/>
      <c r="AO345" s="6"/>
      <c r="AP345" s="25"/>
      <c r="AQ345" s="15"/>
      <c r="AR345" s="16" t="s">
        <v>111</v>
      </c>
      <c r="AS345" s="16" t="s">
        <v>231</v>
      </c>
      <c r="AT345" s="6"/>
      <c r="AU345" s="6"/>
      <c r="AV345" s="6"/>
      <c r="AW345" s="6"/>
      <c r="AX345" s="12" t="str">
        <f t="shared" si="18"/>
        <v/>
      </c>
      <c r="AY345" s="12" t="str">
        <f t="shared" si="19"/>
        <v/>
      </c>
      <c r="AZ345" s="18"/>
      <c r="BA345" s="19"/>
      <c r="BB345" s="19"/>
      <c r="BC345" s="19"/>
      <c r="BD345" s="19"/>
      <c r="BE345" s="19"/>
      <c r="BF345" s="19"/>
      <c r="BG345" s="19"/>
      <c r="BH345" s="19"/>
      <c r="BI345" s="19"/>
      <c r="BJ345" s="19"/>
      <c r="BK345" s="19"/>
    </row>
    <row r="346" spans="1:63" ht="20.100000000000001" hidden="1" customHeight="1" x14ac:dyDescent="0.2">
      <c r="A346" s="13">
        <v>341</v>
      </c>
      <c r="B346" s="16" t="s">
        <v>3963</v>
      </c>
      <c r="C346" s="16" t="s">
        <v>1360</v>
      </c>
      <c r="D346" s="6" t="s">
        <v>3193</v>
      </c>
      <c r="E346" s="6" t="s">
        <v>6</v>
      </c>
      <c r="F346" s="6" t="s">
        <v>192</v>
      </c>
      <c r="G346" s="6"/>
      <c r="H346" s="15" t="s">
        <v>7</v>
      </c>
      <c r="I346" s="15"/>
      <c r="J346" s="15"/>
      <c r="K346" s="15"/>
      <c r="L346" s="15"/>
      <c r="M346" s="15"/>
      <c r="N346" s="15"/>
      <c r="O346" s="16" t="s">
        <v>92</v>
      </c>
      <c r="P346" s="6"/>
      <c r="Q346" s="6" t="s">
        <v>155</v>
      </c>
      <c r="R346" s="6" t="s">
        <v>4011</v>
      </c>
      <c r="S346" s="6" t="s">
        <v>69</v>
      </c>
      <c r="T346" s="15" t="s">
        <v>70</v>
      </c>
      <c r="U346" s="6" t="s">
        <v>429</v>
      </c>
      <c r="V346" s="6" t="s">
        <v>3679</v>
      </c>
      <c r="W346" s="6" t="s">
        <v>441</v>
      </c>
      <c r="X346" s="6" t="s">
        <v>4012</v>
      </c>
      <c r="Y346" s="6" t="s">
        <v>142</v>
      </c>
      <c r="Z346" s="6" t="s">
        <v>70</v>
      </c>
      <c r="AA346" s="15"/>
      <c r="AB346" s="15"/>
      <c r="AC346" s="15"/>
      <c r="AD346" s="15"/>
      <c r="AE346" s="16"/>
      <c r="AF346" s="16"/>
      <c r="AG346" s="16"/>
      <c r="AH346" s="16"/>
      <c r="AI346" s="16"/>
      <c r="AJ346" s="16"/>
      <c r="AK346" s="16"/>
      <c r="AL346" s="16">
        <v>6</v>
      </c>
      <c r="AM346" s="16"/>
      <c r="AN346" s="15"/>
      <c r="AO346" s="6"/>
      <c r="AP346" s="25"/>
      <c r="AQ346" s="15"/>
      <c r="AR346" s="16" t="s">
        <v>160</v>
      </c>
      <c r="AS346" s="16" t="s">
        <v>193</v>
      </c>
      <c r="AT346" s="6"/>
      <c r="AU346" s="6"/>
      <c r="AV346" s="6"/>
      <c r="AW346" s="6"/>
      <c r="AX346" s="12" t="str">
        <f t="shared" si="18"/>
        <v/>
      </c>
      <c r="AY346" s="12" t="str">
        <f t="shared" si="19"/>
        <v/>
      </c>
      <c r="AZ346" s="18"/>
      <c r="BA346" s="19"/>
      <c r="BB346" s="19"/>
      <c r="BC346" s="19"/>
      <c r="BD346" s="19"/>
      <c r="BE346" s="19"/>
      <c r="BF346" s="19"/>
      <c r="BG346" s="19"/>
      <c r="BH346" s="19"/>
      <c r="BI346" s="19"/>
      <c r="BJ346" s="19"/>
      <c r="BK346" s="19"/>
    </row>
    <row r="347" spans="1:63" s="21" customFormat="1" ht="20.100000000000001" hidden="1" customHeight="1" x14ac:dyDescent="0.2">
      <c r="A347" s="13">
        <v>342</v>
      </c>
      <c r="B347" s="29" t="s">
        <v>3964</v>
      </c>
      <c r="C347" s="29" t="s">
        <v>1360</v>
      </c>
      <c r="D347" s="30" t="s">
        <v>1431</v>
      </c>
      <c r="E347" s="30" t="s">
        <v>6</v>
      </c>
      <c r="F347" s="30" t="s">
        <v>1587</v>
      </c>
      <c r="G347" s="30"/>
      <c r="H347" s="20" t="s">
        <v>83</v>
      </c>
      <c r="I347" s="20"/>
      <c r="J347" s="20"/>
      <c r="K347" s="20"/>
      <c r="L347" s="20"/>
      <c r="M347" s="20"/>
      <c r="N347" s="20"/>
      <c r="O347" s="29" t="s">
        <v>92</v>
      </c>
      <c r="P347" s="30" t="s">
        <v>429</v>
      </c>
      <c r="Q347" s="30" t="s">
        <v>223</v>
      </c>
      <c r="R347" s="30" t="s">
        <v>1716</v>
      </c>
      <c r="S347" s="30" t="s">
        <v>69</v>
      </c>
      <c r="T347" s="20" t="s">
        <v>70</v>
      </c>
      <c r="U347" s="30" t="s">
        <v>429</v>
      </c>
      <c r="V347" s="30" t="s">
        <v>1809</v>
      </c>
      <c r="W347" s="30" t="s">
        <v>260</v>
      </c>
      <c r="X347" s="30" t="s">
        <v>1717</v>
      </c>
      <c r="Y347" s="30" t="s">
        <v>142</v>
      </c>
      <c r="Z347" s="30" t="s">
        <v>70</v>
      </c>
      <c r="AA347" s="20" t="s">
        <v>3981</v>
      </c>
      <c r="AB347" s="20"/>
      <c r="AC347" s="20"/>
      <c r="AD347" s="20"/>
      <c r="AE347" s="29">
        <v>136</v>
      </c>
      <c r="AF347" s="29"/>
      <c r="AG347" s="29"/>
      <c r="AH347" s="29"/>
      <c r="AI347" s="29"/>
      <c r="AJ347" s="29"/>
      <c r="AK347" s="29"/>
      <c r="AL347" s="29" t="s">
        <v>3839</v>
      </c>
      <c r="AM347" s="29"/>
      <c r="AN347" s="20"/>
      <c r="AO347" s="30"/>
      <c r="AP347" s="36"/>
      <c r="AQ347" s="20"/>
      <c r="AR347" s="29"/>
      <c r="AS347" s="29"/>
      <c r="AT347" s="30" t="s">
        <v>113</v>
      </c>
      <c r="AU347" s="30" t="s">
        <v>148</v>
      </c>
      <c r="AV347" s="30" t="s">
        <v>115</v>
      </c>
      <c r="AW347" s="30" t="s">
        <v>266</v>
      </c>
      <c r="AX347" s="12">
        <f t="shared" si="18"/>
        <v>11</v>
      </c>
      <c r="AY347" s="12">
        <f t="shared" si="19"/>
        <v>11</v>
      </c>
      <c r="AZ347" s="32" t="s">
        <v>3980</v>
      </c>
    </row>
    <row r="348" spans="1:63" ht="20.100000000000001" hidden="1" customHeight="1" x14ac:dyDescent="0.2">
      <c r="A348" s="13">
        <v>343</v>
      </c>
      <c r="B348" s="16" t="s">
        <v>3965</v>
      </c>
      <c r="C348" s="16" t="s">
        <v>1360</v>
      </c>
      <c r="D348" s="6" t="s">
        <v>1431</v>
      </c>
      <c r="E348" s="6" t="s">
        <v>6</v>
      </c>
      <c r="F348" s="6" t="s">
        <v>192</v>
      </c>
      <c r="G348" s="6"/>
      <c r="H348" s="15" t="s">
        <v>7</v>
      </c>
      <c r="I348" s="15"/>
      <c r="J348" s="15"/>
      <c r="K348" s="15"/>
      <c r="L348" s="15"/>
      <c r="M348" s="15"/>
      <c r="N348" s="15"/>
      <c r="O348" s="16" t="s">
        <v>92</v>
      </c>
      <c r="P348" s="6"/>
      <c r="Q348" s="6" t="s">
        <v>68</v>
      </c>
      <c r="R348" s="6" t="s">
        <v>4013</v>
      </c>
      <c r="S348" s="6" t="s">
        <v>106</v>
      </c>
      <c r="T348" s="15" t="s">
        <v>107</v>
      </c>
      <c r="U348" s="6" t="s">
        <v>429</v>
      </c>
      <c r="V348" s="6" t="s">
        <v>3677</v>
      </c>
      <c r="W348" s="6" t="s">
        <v>485</v>
      </c>
      <c r="X348" s="6" t="s">
        <v>4014</v>
      </c>
      <c r="Y348" s="6" t="s">
        <v>106</v>
      </c>
      <c r="Z348" s="6" t="s">
        <v>107</v>
      </c>
      <c r="AA348" s="15"/>
      <c r="AB348" s="15"/>
      <c r="AC348" s="155">
        <v>243</v>
      </c>
      <c r="AD348" s="155">
        <v>0</v>
      </c>
      <c r="AE348" s="155">
        <v>237</v>
      </c>
      <c r="AF348" s="155">
        <v>106</v>
      </c>
      <c r="AG348" s="155">
        <v>138</v>
      </c>
      <c r="AH348" s="155">
        <v>40</v>
      </c>
      <c r="AI348" s="155">
        <v>4</v>
      </c>
      <c r="AJ348" s="155">
        <v>170</v>
      </c>
      <c r="AK348" s="155"/>
      <c r="AL348" s="16">
        <v>6</v>
      </c>
      <c r="AM348" s="16"/>
      <c r="AN348" s="15"/>
      <c r="AO348" s="6"/>
      <c r="AP348" s="25"/>
      <c r="AQ348" s="15"/>
      <c r="AR348" s="16"/>
      <c r="AS348" s="16"/>
      <c r="AT348" s="6"/>
      <c r="AU348" s="6"/>
      <c r="AV348" s="6"/>
      <c r="AW348" s="6"/>
      <c r="AX348" s="12" t="str">
        <f t="shared" si="18"/>
        <v/>
      </c>
      <c r="AY348" s="12" t="str">
        <f t="shared" si="19"/>
        <v/>
      </c>
      <c r="AZ348" s="18"/>
      <c r="BA348" s="19"/>
      <c r="BB348" s="19"/>
      <c r="BC348" s="19"/>
      <c r="BD348" s="19"/>
      <c r="BE348" s="19"/>
      <c r="BF348" s="19"/>
      <c r="BG348" s="19"/>
      <c r="BH348" s="19"/>
      <c r="BI348" s="19"/>
      <c r="BJ348" s="19"/>
      <c r="BK348" s="19"/>
    </row>
    <row r="349" spans="1:63" s="21" customFormat="1" ht="20.100000000000001" hidden="1" customHeight="1" x14ac:dyDescent="0.2">
      <c r="A349" s="13">
        <v>344</v>
      </c>
      <c r="B349" s="29" t="s">
        <v>3965</v>
      </c>
      <c r="C349" s="29" t="s">
        <v>1360</v>
      </c>
      <c r="D349" s="30" t="s">
        <v>3975</v>
      </c>
      <c r="E349" s="30" t="s">
        <v>19</v>
      </c>
      <c r="F349" s="30" t="s">
        <v>94</v>
      </c>
      <c r="G349" s="30"/>
      <c r="H349" s="20" t="s">
        <v>83</v>
      </c>
      <c r="I349" s="20"/>
      <c r="J349" s="20"/>
      <c r="K349" s="20"/>
      <c r="L349" s="20"/>
      <c r="M349" s="20"/>
      <c r="N349" s="20"/>
      <c r="O349" s="29" t="s">
        <v>67</v>
      </c>
      <c r="P349" s="30" t="s">
        <v>429</v>
      </c>
      <c r="Q349" s="30" t="s">
        <v>117</v>
      </c>
      <c r="R349" s="30" t="s">
        <v>3411</v>
      </c>
      <c r="S349" s="30" t="s">
        <v>106</v>
      </c>
      <c r="T349" s="20" t="s">
        <v>107</v>
      </c>
      <c r="U349" s="30" t="s">
        <v>429</v>
      </c>
      <c r="V349" s="30" t="s">
        <v>3679</v>
      </c>
      <c r="W349" s="30" t="s">
        <v>506</v>
      </c>
      <c r="X349" s="30" t="s">
        <v>3412</v>
      </c>
      <c r="Y349" s="30" t="s">
        <v>106</v>
      </c>
      <c r="Z349" s="30" t="s">
        <v>107</v>
      </c>
      <c r="AA349" s="20" t="s">
        <v>3398</v>
      </c>
      <c r="AB349" s="20"/>
      <c r="AC349" s="20"/>
      <c r="AD349" s="20"/>
      <c r="AE349" s="29">
        <v>96</v>
      </c>
      <c r="AF349" s="29"/>
      <c r="AG349" s="29"/>
      <c r="AH349" s="29"/>
      <c r="AI349" s="29"/>
      <c r="AJ349" s="29"/>
      <c r="AK349" s="29"/>
      <c r="AL349" s="29">
        <v>6</v>
      </c>
      <c r="AM349" s="29"/>
      <c r="AN349" s="20"/>
      <c r="AO349" s="30"/>
      <c r="AP349" s="36"/>
      <c r="AQ349" s="20"/>
      <c r="AR349" s="29"/>
      <c r="AS349" s="29"/>
      <c r="AT349" s="30" t="s">
        <v>113</v>
      </c>
      <c r="AU349" s="30" t="s">
        <v>148</v>
      </c>
      <c r="AV349" s="30" t="s">
        <v>113</v>
      </c>
      <c r="AW349" s="30" t="s">
        <v>235</v>
      </c>
      <c r="AX349" s="12">
        <f t="shared" si="18"/>
        <v>5</v>
      </c>
      <c r="AY349" s="12">
        <f t="shared" si="19"/>
        <v>5</v>
      </c>
      <c r="AZ349" s="32" t="s">
        <v>3980</v>
      </c>
    </row>
    <row r="350" spans="1:63" ht="20.100000000000001" hidden="1" customHeight="1" x14ac:dyDescent="0.2">
      <c r="A350" s="13">
        <v>345</v>
      </c>
      <c r="B350" s="16" t="s">
        <v>3965</v>
      </c>
      <c r="C350" s="16" t="s">
        <v>1360</v>
      </c>
      <c r="D350" s="6" t="s">
        <v>2455</v>
      </c>
      <c r="E350" s="6" t="s">
        <v>8</v>
      </c>
      <c r="F350" s="6" t="s">
        <v>185</v>
      </c>
      <c r="G350" s="6"/>
      <c r="H350" s="15" t="s">
        <v>83</v>
      </c>
      <c r="I350" s="15"/>
      <c r="J350" s="15"/>
      <c r="K350" s="15"/>
      <c r="L350" s="15"/>
      <c r="M350" s="15"/>
      <c r="N350" s="15"/>
      <c r="O350" s="16" t="s">
        <v>67</v>
      </c>
      <c r="P350" s="6" t="s">
        <v>429</v>
      </c>
      <c r="Q350" s="6" t="s">
        <v>116</v>
      </c>
      <c r="R350" s="6" t="s">
        <v>3987</v>
      </c>
      <c r="S350" s="6" t="s">
        <v>69</v>
      </c>
      <c r="T350" s="15" t="s">
        <v>70</v>
      </c>
      <c r="U350" s="6" t="s">
        <v>429</v>
      </c>
      <c r="V350" s="6" t="s">
        <v>2325</v>
      </c>
      <c r="W350" s="6" t="s">
        <v>718</v>
      </c>
      <c r="X350" s="6" t="s">
        <v>3988</v>
      </c>
      <c r="Y350" s="6" t="s">
        <v>69</v>
      </c>
      <c r="Z350" s="6" t="s">
        <v>70</v>
      </c>
      <c r="AA350" s="15" t="s">
        <v>3989</v>
      </c>
      <c r="AB350" s="15"/>
      <c r="AC350" s="15"/>
      <c r="AD350" s="15"/>
      <c r="AE350" s="16">
        <v>92</v>
      </c>
      <c r="AF350" s="16"/>
      <c r="AG350" s="16"/>
      <c r="AH350" s="16"/>
      <c r="AI350" s="16"/>
      <c r="AJ350" s="16"/>
      <c r="AK350" s="16"/>
      <c r="AL350" s="16">
        <v>3</v>
      </c>
      <c r="AM350" s="16"/>
      <c r="AN350" s="15"/>
      <c r="AO350" s="6"/>
      <c r="AP350" s="25"/>
      <c r="AQ350" s="15"/>
      <c r="AR350" s="16"/>
      <c r="AS350" s="16"/>
      <c r="AT350" s="6" t="s">
        <v>113</v>
      </c>
      <c r="AU350" s="6" t="s">
        <v>148</v>
      </c>
      <c r="AV350" s="6" t="s">
        <v>136</v>
      </c>
      <c r="AW350" s="6" t="s">
        <v>344</v>
      </c>
      <c r="AX350" s="12">
        <f t="shared" si="18"/>
        <v>25</v>
      </c>
      <c r="AY350" s="12" t="str">
        <f t="shared" si="19"/>
        <v/>
      </c>
      <c r="AZ350" s="18"/>
      <c r="BA350" s="19"/>
      <c r="BB350" s="19"/>
      <c r="BC350" s="19"/>
      <c r="BD350" s="19"/>
      <c r="BE350" s="19"/>
      <c r="BF350" s="19"/>
      <c r="BG350" s="19"/>
      <c r="BH350" s="19"/>
      <c r="BI350" s="19"/>
      <c r="BJ350" s="19"/>
      <c r="BK350" s="19"/>
    </row>
    <row r="351" spans="1:63" ht="20.100000000000001" hidden="1" customHeight="1" x14ac:dyDescent="0.2">
      <c r="A351" s="13">
        <v>346</v>
      </c>
      <c r="B351" s="16" t="s">
        <v>3966</v>
      </c>
      <c r="C351" s="16" t="s">
        <v>1360</v>
      </c>
      <c r="D351" s="6" t="s">
        <v>2455</v>
      </c>
      <c r="E351" s="6" t="s">
        <v>8</v>
      </c>
      <c r="F351" s="6"/>
      <c r="G351" s="6"/>
      <c r="H351" s="15" t="s">
        <v>7</v>
      </c>
      <c r="I351" s="15"/>
      <c r="J351" s="15"/>
      <c r="K351" s="15"/>
      <c r="L351" s="15"/>
      <c r="M351" s="15"/>
      <c r="N351" s="15"/>
      <c r="O351" s="16" t="s">
        <v>67</v>
      </c>
      <c r="P351" s="6"/>
      <c r="Q351" s="6" t="s">
        <v>2487</v>
      </c>
      <c r="R351" s="6" t="s">
        <v>4015</v>
      </c>
      <c r="S351" s="6" t="s">
        <v>106</v>
      </c>
      <c r="T351" s="15" t="s">
        <v>107</v>
      </c>
      <c r="U351" s="6" t="s">
        <v>429</v>
      </c>
      <c r="V351" s="6" t="s">
        <v>4016</v>
      </c>
      <c r="W351" s="6" t="s">
        <v>2348</v>
      </c>
      <c r="X351" s="6" t="s">
        <v>3584</v>
      </c>
      <c r="Y351" s="6" t="s">
        <v>69</v>
      </c>
      <c r="Z351" s="6" t="s">
        <v>107</v>
      </c>
      <c r="AA351" s="15"/>
      <c r="AB351" s="15"/>
      <c r="AC351" s="15"/>
      <c r="AD351" s="15"/>
      <c r="AE351" s="16">
        <v>92</v>
      </c>
      <c r="AF351" s="16"/>
      <c r="AG351" s="16"/>
      <c r="AH351" s="16"/>
      <c r="AI351" s="16"/>
      <c r="AJ351" s="16"/>
      <c r="AK351" s="16"/>
      <c r="AL351" s="16">
        <v>3</v>
      </c>
      <c r="AM351" s="16"/>
      <c r="AN351" s="15"/>
      <c r="AO351" s="6"/>
      <c r="AP351" s="25"/>
      <c r="AQ351" s="15"/>
      <c r="AR351" s="16" t="s">
        <v>1721</v>
      </c>
      <c r="AS351" s="16" t="s">
        <v>1932</v>
      </c>
      <c r="AT351" s="6"/>
      <c r="AU351" s="6"/>
      <c r="AV351" s="6"/>
      <c r="AW351" s="6"/>
      <c r="AX351" s="12" t="str">
        <f t="shared" si="18"/>
        <v/>
      </c>
      <c r="AY351" s="12" t="str">
        <f t="shared" si="19"/>
        <v/>
      </c>
      <c r="AZ351" s="18"/>
      <c r="BA351" s="19"/>
      <c r="BB351" s="19"/>
      <c r="BC351" s="19"/>
      <c r="BD351" s="19"/>
      <c r="BE351" s="19"/>
      <c r="BF351" s="19"/>
      <c r="BG351" s="19"/>
      <c r="BH351" s="19"/>
      <c r="BI351" s="19"/>
      <c r="BJ351" s="19"/>
      <c r="BK351" s="19"/>
    </row>
    <row r="352" spans="1:63" ht="20.100000000000001" hidden="1" customHeight="1" x14ac:dyDescent="0.2">
      <c r="A352" s="13">
        <v>347</v>
      </c>
      <c r="B352" s="16" t="s">
        <v>3966</v>
      </c>
      <c r="C352" s="16" t="s">
        <v>1360</v>
      </c>
      <c r="D352" s="6" t="s">
        <v>3872</v>
      </c>
      <c r="E352" s="6" t="s">
        <v>6</v>
      </c>
      <c r="F352" s="6"/>
      <c r="G352" s="6"/>
      <c r="H352" s="15" t="s">
        <v>7</v>
      </c>
      <c r="I352" s="15"/>
      <c r="J352" s="15"/>
      <c r="K352" s="15"/>
      <c r="L352" s="15"/>
      <c r="M352" s="15"/>
      <c r="N352" s="15"/>
      <c r="O352" s="16" t="s">
        <v>92</v>
      </c>
      <c r="P352" s="35" t="s">
        <v>68</v>
      </c>
      <c r="Q352" s="35" t="s">
        <v>141</v>
      </c>
      <c r="R352" s="6" t="s">
        <v>3512</v>
      </c>
      <c r="S352" s="6" t="s">
        <v>106</v>
      </c>
      <c r="T352" s="15" t="s">
        <v>107</v>
      </c>
      <c r="U352" s="35" t="s">
        <v>263</v>
      </c>
      <c r="V352" s="35" t="s">
        <v>2961</v>
      </c>
      <c r="W352" s="35" t="s">
        <v>2348</v>
      </c>
      <c r="X352" s="6" t="s">
        <v>3754</v>
      </c>
      <c r="Y352" s="6" t="s">
        <v>106</v>
      </c>
      <c r="Z352" s="6" t="s">
        <v>107</v>
      </c>
      <c r="AA352" s="15"/>
      <c r="AB352" s="15"/>
      <c r="AC352" s="15">
        <v>212</v>
      </c>
      <c r="AD352" s="33">
        <v>192</v>
      </c>
      <c r="AE352" s="34">
        <v>198</v>
      </c>
      <c r="AF352" s="16">
        <v>163</v>
      </c>
      <c r="AG352" s="16">
        <v>190</v>
      </c>
      <c r="AH352" s="16">
        <v>2</v>
      </c>
      <c r="AI352" s="16">
        <v>5</v>
      </c>
      <c r="AJ352" s="16">
        <v>197</v>
      </c>
      <c r="AK352" s="16">
        <v>9</v>
      </c>
      <c r="AL352" s="16">
        <v>6</v>
      </c>
      <c r="AM352" s="16"/>
      <c r="AN352" s="15"/>
      <c r="AO352" s="6"/>
      <c r="AP352" s="25"/>
      <c r="AQ352" s="15"/>
      <c r="AR352" s="16" t="s">
        <v>111</v>
      </c>
      <c r="AS352" s="16" t="s">
        <v>231</v>
      </c>
      <c r="AT352" s="6"/>
      <c r="AU352" s="6"/>
      <c r="AV352" s="6"/>
      <c r="AW352" s="6"/>
      <c r="AX352" s="12" t="str">
        <f t="shared" si="18"/>
        <v/>
      </c>
      <c r="AY352" s="12" t="str">
        <f t="shared" si="19"/>
        <v/>
      </c>
      <c r="AZ352" s="18"/>
      <c r="BA352" s="19"/>
      <c r="BB352" s="19"/>
      <c r="BC352" s="19"/>
      <c r="BD352" s="19"/>
      <c r="BE352" s="19"/>
      <c r="BF352" s="19"/>
      <c r="BG352" s="19"/>
      <c r="BH352" s="19"/>
      <c r="BI352" s="19"/>
      <c r="BJ352" s="19"/>
      <c r="BK352" s="19"/>
    </row>
    <row r="353" spans="1:63" ht="20.100000000000001" hidden="1" customHeight="1" x14ac:dyDescent="0.2">
      <c r="A353" s="13">
        <v>348</v>
      </c>
      <c r="B353" s="16" t="s">
        <v>3968</v>
      </c>
      <c r="C353" s="16" t="s">
        <v>1360</v>
      </c>
      <c r="D353" s="6" t="s">
        <v>3967</v>
      </c>
      <c r="E353" s="6" t="s">
        <v>66</v>
      </c>
      <c r="F353" s="6"/>
      <c r="G353" s="6"/>
      <c r="H353" s="15" t="s">
        <v>7</v>
      </c>
      <c r="I353" s="15"/>
      <c r="J353" s="15"/>
      <c r="K353" s="15"/>
      <c r="L353" s="15"/>
      <c r="M353" s="15"/>
      <c r="N353" s="15"/>
      <c r="O353" s="16" t="s">
        <v>106</v>
      </c>
      <c r="P353" s="6"/>
      <c r="Q353" s="6" t="s">
        <v>104</v>
      </c>
      <c r="R353" s="6" t="s">
        <v>4017</v>
      </c>
      <c r="S353" s="6" t="s">
        <v>69</v>
      </c>
      <c r="T353" s="15" t="s">
        <v>70</v>
      </c>
      <c r="U353" s="6" t="s">
        <v>429</v>
      </c>
      <c r="V353" s="6" t="s">
        <v>3677</v>
      </c>
      <c r="W353" s="6" t="s">
        <v>555</v>
      </c>
      <c r="X353" s="6" t="s">
        <v>4018</v>
      </c>
      <c r="Y353" s="6" t="s">
        <v>106</v>
      </c>
      <c r="Z353" s="6" t="s">
        <v>107</v>
      </c>
      <c r="AA353" s="15"/>
      <c r="AB353" s="15"/>
      <c r="AC353" s="15"/>
      <c r="AD353" s="15"/>
      <c r="AE353" s="16"/>
      <c r="AF353" s="16"/>
      <c r="AG353" s="16"/>
      <c r="AH353" s="16"/>
      <c r="AI353" s="16"/>
      <c r="AJ353" s="16"/>
      <c r="AK353" s="16"/>
      <c r="AL353" s="16"/>
      <c r="AM353" s="16"/>
      <c r="AN353" s="15"/>
      <c r="AO353" s="6"/>
      <c r="AP353" s="25"/>
      <c r="AQ353" s="15"/>
      <c r="AR353" s="16"/>
      <c r="AS353" s="16"/>
      <c r="AT353" s="6"/>
      <c r="AU353" s="6"/>
      <c r="AV353" s="6"/>
      <c r="AW353" s="6"/>
      <c r="AX353" s="12" t="str">
        <f t="shared" si="18"/>
        <v/>
      </c>
      <c r="AY353" s="12" t="str">
        <f t="shared" si="19"/>
        <v/>
      </c>
      <c r="AZ353" s="18"/>
      <c r="BA353" s="19"/>
      <c r="BB353" s="19"/>
      <c r="BC353" s="19"/>
      <c r="BD353" s="19"/>
      <c r="BE353" s="19"/>
      <c r="BF353" s="19"/>
      <c r="BG353" s="19"/>
      <c r="BH353" s="19"/>
      <c r="BI353" s="19"/>
      <c r="BJ353" s="19"/>
      <c r="BK353" s="19"/>
    </row>
    <row r="354" spans="1:63" ht="20.100000000000001" hidden="1" customHeight="1" x14ac:dyDescent="0.2">
      <c r="A354" s="13">
        <v>349</v>
      </c>
      <c r="B354" s="16" t="s">
        <v>3968</v>
      </c>
      <c r="C354" s="16" t="s">
        <v>1360</v>
      </c>
      <c r="D354" s="6" t="s">
        <v>2669</v>
      </c>
      <c r="E354" s="6" t="s">
        <v>20</v>
      </c>
      <c r="F354" s="249" t="s">
        <v>94</v>
      </c>
      <c r="G354" s="6"/>
      <c r="H354" s="15" t="s">
        <v>83</v>
      </c>
      <c r="I354" s="15"/>
      <c r="J354" s="15"/>
      <c r="K354" s="15"/>
      <c r="L354" s="15"/>
      <c r="M354" s="15"/>
      <c r="N354" s="15"/>
      <c r="O354" s="16" t="s">
        <v>92</v>
      </c>
      <c r="P354" s="6" t="s">
        <v>429</v>
      </c>
      <c r="Q354" s="6" t="s">
        <v>140</v>
      </c>
      <c r="R354" s="6" t="s">
        <v>3984</v>
      </c>
      <c r="S354" s="6" t="s">
        <v>69</v>
      </c>
      <c r="T354" s="15" t="s">
        <v>70</v>
      </c>
      <c r="U354" s="6" t="s">
        <v>429</v>
      </c>
      <c r="V354" s="6" t="s">
        <v>2245</v>
      </c>
      <c r="W354" s="6" t="s">
        <v>116</v>
      </c>
      <c r="X354" s="6" t="s">
        <v>3985</v>
      </c>
      <c r="Y354" s="6" t="s">
        <v>142</v>
      </c>
      <c r="Z354" s="6" t="s">
        <v>70</v>
      </c>
      <c r="AA354" s="15" t="s">
        <v>3986</v>
      </c>
      <c r="AB354" s="15"/>
      <c r="AC354" s="15"/>
      <c r="AD354" s="15"/>
      <c r="AE354" s="16">
        <v>162</v>
      </c>
      <c r="AF354" s="16"/>
      <c r="AG354" s="16"/>
      <c r="AH354" s="16"/>
      <c r="AI354" s="16"/>
      <c r="AJ354" s="16"/>
      <c r="AK354" s="16"/>
      <c r="AL354" s="16">
        <v>6</v>
      </c>
      <c r="AM354" s="16"/>
      <c r="AN354" s="15"/>
      <c r="AO354" s="6"/>
      <c r="AP354" s="25"/>
      <c r="AQ354" s="15"/>
      <c r="AR354" s="16"/>
      <c r="AS354" s="16"/>
      <c r="AT354" s="6" t="s">
        <v>113</v>
      </c>
      <c r="AU354" s="6" t="s">
        <v>148</v>
      </c>
      <c r="AV354" s="6" t="s">
        <v>136</v>
      </c>
      <c r="AW354" s="6" t="s">
        <v>260</v>
      </c>
      <c r="AX354" s="12">
        <f t="shared" si="18"/>
        <v>20</v>
      </c>
      <c r="AY354" s="12" t="str">
        <f t="shared" si="19"/>
        <v/>
      </c>
      <c r="AZ354" s="18"/>
      <c r="BA354" s="19"/>
      <c r="BB354" s="19"/>
      <c r="BC354" s="19"/>
      <c r="BD354" s="19"/>
      <c r="BE354" s="19"/>
      <c r="BF354" s="19"/>
      <c r="BG354" s="19"/>
      <c r="BH354" s="19"/>
      <c r="BI354" s="19"/>
      <c r="BJ354" s="19"/>
      <c r="BK354" s="19"/>
    </row>
    <row r="355" spans="1:63" ht="20.100000000000001" hidden="1" customHeight="1" x14ac:dyDescent="0.2">
      <c r="A355" s="13">
        <v>350</v>
      </c>
      <c r="B355" s="16" t="s">
        <v>3969</v>
      </c>
      <c r="C355" s="16" t="s">
        <v>1360</v>
      </c>
      <c r="D355" s="6" t="s">
        <v>3973</v>
      </c>
      <c r="E355" s="6" t="s">
        <v>8</v>
      </c>
      <c r="F355" s="6" t="s">
        <v>185</v>
      </c>
      <c r="G355" s="6"/>
      <c r="H355" s="15" t="s">
        <v>83</v>
      </c>
      <c r="I355" s="15"/>
      <c r="J355" s="15"/>
      <c r="K355" s="15"/>
      <c r="L355" s="15"/>
      <c r="M355" s="15"/>
      <c r="N355" s="15"/>
      <c r="O355" s="16" t="s">
        <v>67</v>
      </c>
      <c r="P355" s="6" t="s">
        <v>429</v>
      </c>
      <c r="Q355" s="6" t="s">
        <v>117</v>
      </c>
      <c r="R355" s="6" t="s">
        <v>555</v>
      </c>
      <c r="S355" s="6" t="s">
        <v>444</v>
      </c>
      <c r="T355" s="15" t="s">
        <v>107</v>
      </c>
      <c r="U355" s="6" t="s">
        <v>429</v>
      </c>
      <c r="V355" s="6" t="s">
        <v>3678</v>
      </c>
      <c r="W355" s="6" t="s">
        <v>458</v>
      </c>
      <c r="X355" s="6" t="s">
        <v>769</v>
      </c>
      <c r="Y355" s="6" t="s">
        <v>69</v>
      </c>
      <c r="Z355" s="6" t="s">
        <v>70</v>
      </c>
      <c r="AA355" s="15" t="s">
        <v>3982</v>
      </c>
      <c r="AB355" s="15"/>
      <c r="AC355" s="15"/>
      <c r="AD355" s="15"/>
      <c r="AE355" s="16">
        <v>66</v>
      </c>
      <c r="AF355" s="16"/>
      <c r="AG355" s="16"/>
      <c r="AH355" s="16"/>
      <c r="AI355" s="16"/>
      <c r="AJ355" s="16"/>
      <c r="AK355" s="16"/>
      <c r="AL355" s="16">
        <v>6</v>
      </c>
      <c r="AM355" s="16"/>
      <c r="AN355" s="15"/>
      <c r="AO355" s="6"/>
      <c r="AP355" s="25"/>
      <c r="AQ355" s="15"/>
      <c r="AR355" s="16"/>
      <c r="AS355" s="16"/>
      <c r="AT355" s="6" t="s">
        <v>113</v>
      </c>
      <c r="AU355" s="6" t="s">
        <v>148</v>
      </c>
      <c r="AV355" s="6" t="s">
        <v>721</v>
      </c>
      <c r="AW355" s="6" t="s">
        <v>114</v>
      </c>
      <c r="AX355" s="12">
        <f t="shared" si="18"/>
        <v>139</v>
      </c>
      <c r="AY355" s="12" t="str">
        <f t="shared" si="19"/>
        <v/>
      </c>
      <c r="AZ355" s="18"/>
      <c r="BA355" s="19"/>
      <c r="BB355" s="19"/>
      <c r="BC355" s="19"/>
      <c r="BD355" s="19"/>
      <c r="BE355" s="19"/>
      <c r="BF355" s="19"/>
      <c r="BG355" s="19"/>
      <c r="BH355" s="19"/>
      <c r="BI355" s="19"/>
      <c r="BJ355" s="19"/>
      <c r="BK355" s="19"/>
    </row>
    <row r="356" spans="1:63" s="21" customFormat="1" ht="20.100000000000001" hidden="1" customHeight="1" x14ac:dyDescent="0.2">
      <c r="A356" s="13">
        <v>351</v>
      </c>
      <c r="B356" s="29" t="s">
        <v>3970</v>
      </c>
      <c r="C356" s="29" t="s">
        <v>1360</v>
      </c>
      <c r="D356" s="30" t="s">
        <v>1739</v>
      </c>
      <c r="E356" s="30" t="s">
        <v>20</v>
      </c>
      <c r="F356" s="30" t="s">
        <v>945</v>
      </c>
      <c r="G356" s="30"/>
      <c r="H356" s="20" t="s">
        <v>83</v>
      </c>
      <c r="I356" s="20"/>
      <c r="J356" s="20"/>
      <c r="K356" s="20"/>
      <c r="L356" s="20"/>
      <c r="M356" s="20"/>
      <c r="N356" s="20"/>
      <c r="O356" s="29" t="s">
        <v>92</v>
      </c>
      <c r="P356" s="30" t="s">
        <v>429</v>
      </c>
      <c r="Q356" s="30" t="s">
        <v>104</v>
      </c>
      <c r="R356" s="30" t="s">
        <v>3289</v>
      </c>
      <c r="S356" s="30" t="s">
        <v>142</v>
      </c>
      <c r="T356" s="20" t="s">
        <v>70</v>
      </c>
      <c r="U356" s="30" t="s">
        <v>429</v>
      </c>
      <c r="V356" s="30" t="s">
        <v>2245</v>
      </c>
      <c r="W356" s="30" t="s">
        <v>2348</v>
      </c>
      <c r="X356" s="30" t="s">
        <v>3290</v>
      </c>
      <c r="Y356" s="30" t="s">
        <v>69</v>
      </c>
      <c r="Z356" s="30" t="s">
        <v>70</v>
      </c>
      <c r="AA356" s="20" t="s">
        <v>3308</v>
      </c>
      <c r="AB356" s="20"/>
      <c r="AC356" s="20"/>
      <c r="AD356" s="20"/>
      <c r="AE356" s="29">
        <v>192</v>
      </c>
      <c r="AF356" s="29"/>
      <c r="AG356" s="29"/>
      <c r="AH356" s="29"/>
      <c r="AI356" s="29"/>
      <c r="AJ356" s="29"/>
      <c r="AK356" s="29"/>
      <c r="AL356" s="29">
        <v>6</v>
      </c>
      <c r="AM356" s="29"/>
      <c r="AN356" s="20"/>
      <c r="AO356" s="30"/>
      <c r="AP356" s="36"/>
      <c r="AQ356" s="20"/>
      <c r="AR356" s="29"/>
      <c r="AS356" s="29"/>
      <c r="AT356" s="30" t="s">
        <v>113</v>
      </c>
      <c r="AU356" s="30" t="s">
        <v>148</v>
      </c>
      <c r="AV356" s="30" t="s">
        <v>113</v>
      </c>
      <c r="AW356" s="30" t="s">
        <v>296</v>
      </c>
      <c r="AX356" s="12">
        <f t="shared" si="18"/>
        <v>6</v>
      </c>
      <c r="AY356" s="12">
        <f t="shared" si="19"/>
        <v>6</v>
      </c>
      <c r="AZ356" s="32" t="s">
        <v>3980</v>
      </c>
    </row>
    <row r="357" spans="1:63" ht="20.100000000000001" hidden="1" customHeight="1" x14ac:dyDescent="0.2">
      <c r="A357" s="13">
        <v>352</v>
      </c>
      <c r="B357" s="16" t="s">
        <v>3970</v>
      </c>
      <c r="C357" s="16" t="s">
        <v>1360</v>
      </c>
      <c r="D357" s="6" t="s">
        <v>3974</v>
      </c>
      <c r="E357" s="6" t="s">
        <v>243</v>
      </c>
      <c r="F357" s="6" t="s">
        <v>192</v>
      </c>
      <c r="G357" s="6"/>
      <c r="H357" s="15" t="s">
        <v>7</v>
      </c>
      <c r="I357" s="15"/>
      <c r="J357" s="15"/>
      <c r="K357" s="15"/>
      <c r="L357" s="15"/>
      <c r="M357" s="15"/>
      <c r="N357" s="15"/>
      <c r="O357" s="16" t="s">
        <v>3576</v>
      </c>
      <c r="P357" s="6" t="s">
        <v>429</v>
      </c>
      <c r="Q357" s="6" t="s">
        <v>104</v>
      </c>
      <c r="R357" s="6" t="s">
        <v>4017</v>
      </c>
      <c r="S357" s="6" t="s">
        <v>69</v>
      </c>
      <c r="T357" s="15" t="s">
        <v>70</v>
      </c>
      <c r="U357" s="6" t="s">
        <v>429</v>
      </c>
      <c r="V357" s="6" t="s">
        <v>3677</v>
      </c>
      <c r="W357" s="6" t="s">
        <v>555</v>
      </c>
      <c r="X357" s="6" t="s">
        <v>4018</v>
      </c>
      <c r="Y357" s="6" t="s">
        <v>106</v>
      </c>
      <c r="Z357" s="6" t="s">
        <v>107</v>
      </c>
      <c r="AA357" s="15">
        <v>0</v>
      </c>
      <c r="AB357" s="15"/>
      <c r="AC357" s="155">
        <v>189</v>
      </c>
      <c r="AD357" s="155">
        <v>0</v>
      </c>
      <c r="AE357" s="155">
        <v>180</v>
      </c>
      <c r="AF357" s="155"/>
      <c r="AG357" s="155">
        <v>130</v>
      </c>
      <c r="AH357" s="155">
        <v>37</v>
      </c>
      <c r="AI357" s="155">
        <v>3</v>
      </c>
      <c r="AJ357" s="155">
        <v>170</v>
      </c>
      <c r="AK357" s="155">
        <v>18</v>
      </c>
      <c r="AL357" s="16"/>
      <c r="AM357" s="16"/>
      <c r="AN357" s="15"/>
      <c r="AO357" s="6"/>
      <c r="AP357" s="25"/>
      <c r="AQ357" s="15"/>
      <c r="AR357" s="16" t="s">
        <v>160</v>
      </c>
      <c r="AS357" s="16" t="s">
        <v>161</v>
      </c>
      <c r="AT357" s="6"/>
      <c r="AU357" s="6"/>
      <c r="AV357" s="6"/>
      <c r="AW357" s="6"/>
      <c r="AX357" s="12" t="str">
        <f t="shared" si="18"/>
        <v/>
      </c>
      <c r="AY357" s="12" t="str">
        <f t="shared" si="19"/>
        <v/>
      </c>
      <c r="AZ357" s="18"/>
      <c r="BA357" s="19"/>
      <c r="BB357" s="19"/>
      <c r="BC357" s="19"/>
      <c r="BD357" s="19"/>
      <c r="BE357" s="19"/>
      <c r="BF357" s="19"/>
      <c r="BG357" s="19"/>
      <c r="BH357" s="19"/>
      <c r="BI357" s="19"/>
      <c r="BJ357" s="19"/>
      <c r="BK357" s="19"/>
    </row>
    <row r="358" spans="1:63" ht="20.100000000000001" hidden="1" customHeight="1" x14ac:dyDescent="0.2">
      <c r="A358" s="13">
        <v>353</v>
      </c>
      <c r="B358" s="16" t="s">
        <v>3971</v>
      </c>
      <c r="C358" s="16" t="s">
        <v>1360</v>
      </c>
      <c r="D358" s="6" t="s">
        <v>3650</v>
      </c>
      <c r="E358" s="6" t="s">
        <v>6</v>
      </c>
      <c r="F358" s="6"/>
      <c r="G358" s="6"/>
      <c r="H358" s="15" t="s">
        <v>7</v>
      </c>
      <c r="I358" s="15"/>
      <c r="J358" s="15"/>
      <c r="K358" s="15"/>
      <c r="L358" s="15"/>
      <c r="M358" s="15"/>
      <c r="N358" s="15"/>
      <c r="O358" s="16" t="s">
        <v>92</v>
      </c>
      <c r="P358" s="6"/>
      <c r="Q358" s="6" t="s">
        <v>155</v>
      </c>
      <c r="R358" s="6"/>
      <c r="S358" s="6" t="s">
        <v>106</v>
      </c>
      <c r="T358" s="15" t="s">
        <v>107</v>
      </c>
      <c r="U358" s="6" t="s">
        <v>429</v>
      </c>
      <c r="V358" s="6" t="s">
        <v>3679</v>
      </c>
      <c r="W358" s="6" t="s">
        <v>718</v>
      </c>
      <c r="X358" s="6"/>
      <c r="Y358" s="6" t="s">
        <v>106</v>
      </c>
      <c r="Z358" s="6" t="s">
        <v>107</v>
      </c>
      <c r="AA358" s="15"/>
      <c r="AB358" s="15"/>
      <c r="AC358" s="15"/>
      <c r="AD358" s="15"/>
      <c r="AE358" s="16">
        <v>198</v>
      </c>
      <c r="AF358" s="16"/>
      <c r="AG358" s="16"/>
      <c r="AH358" s="16"/>
      <c r="AI358" s="16"/>
      <c r="AJ358" s="16"/>
      <c r="AK358" s="16"/>
      <c r="AL358" s="16">
        <v>6</v>
      </c>
      <c r="AM358" s="16"/>
      <c r="AN358" s="15"/>
      <c r="AO358" s="6"/>
      <c r="AP358" s="25"/>
      <c r="AQ358" s="15"/>
      <c r="AR358" s="16"/>
      <c r="AS358" s="16"/>
      <c r="AT358" s="6"/>
      <c r="AU358" s="6"/>
      <c r="AV358" s="6"/>
      <c r="AW358" s="6"/>
      <c r="AX358" s="12" t="str">
        <f t="shared" si="18"/>
        <v/>
      </c>
      <c r="AY358" s="12" t="str">
        <f t="shared" si="19"/>
        <v/>
      </c>
      <c r="AZ358" s="18"/>
      <c r="BA358" s="19"/>
      <c r="BB358" s="19"/>
      <c r="BC358" s="19"/>
      <c r="BD358" s="19"/>
      <c r="BE358" s="19"/>
      <c r="BF358" s="19"/>
      <c r="BG358" s="19"/>
      <c r="BH358" s="19"/>
      <c r="BI358" s="19"/>
      <c r="BJ358" s="19"/>
      <c r="BK358" s="19"/>
    </row>
    <row r="359" spans="1:63" ht="20.100000000000001" hidden="1" customHeight="1" x14ac:dyDescent="0.2">
      <c r="A359" s="13">
        <v>354</v>
      </c>
      <c r="B359" s="16" t="s">
        <v>3972</v>
      </c>
      <c r="C359" s="16" t="s">
        <v>1360</v>
      </c>
      <c r="D359" s="6" t="s">
        <v>3975</v>
      </c>
      <c r="E359" s="6" t="s">
        <v>19</v>
      </c>
      <c r="F359" s="6"/>
      <c r="G359" s="6"/>
      <c r="H359" s="15" t="s">
        <v>7</v>
      </c>
      <c r="I359" s="15"/>
      <c r="J359" s="15"/>
      <c r="K359" s="15"/>
      <c r="L359" s="15"/>
      <c r="M359" s="15"/>
      <c r="N359" s="15"/>
      <c r="O359" s="16" t="s">
        <v>92</v>
      </c>
      <c r="P359" s="6"/>
      <c r="Q359" s="6" t="s">
        <v>140</v>
      </c>
      <c r="R359" s="6" t="s">
        <v>4019</v>
      </c>
      <c r="S359" s="6" t="s">
        <v>106</v>
      </c>
      <c r="T359" s="15" t="s">
        <v>107</v>
      </c>
      <c r="U359" s="6" t="s">
        <v>429</v>
      </c>
      <c r="V359" s="6" t="s">
        <v>3679</v>
      </c>
      <c r="W359" s="6" t="s">
        <v>506</v>
      </c>
      <c r="X359" s="6" t="s">
        <v>4020</v>
      </c>
      <c r="Y359" s="6" t="s">
        <v>106</v>
      </c>
      <c r="Z359" s="6" t="s">
        <v>107</v>
      </c>
      <c r="AA359" s="15"/>
      <c r="AB359" s="15"/>
      <c r="AC359" s="15">
        <v>108</v>
      </c>
      <c r="AD359" s="15">
        <v>96</v>
      </c>
      <c r="AE359" s="16">
        <v>96</v>
      </c>
      <c r="AF359" s="16">
        <v>46</v>
      </c>
      <c r="AG359" s="16">
        <v>58</v>
      </c>
      <c r="AH359" s="16">
        <v>4</v>
      </c>
      <c r="AI359" s="16">
        <v>5</v>
      </c>
      <c r="AJ359" s="16">
        <v>67</v>
      </c>
      <c r="AK359" s="16"/>
      <c r="AL359" s="16">
        <v>6</v>
      </c>
      <c r="AM359" s="16"/>
      <c r="AN359" s="167"/>
      <c r="AO359" s="6"/>
      <c r="AP359" s="25"/>
      <c r="AQ359" s="15"/>
      <c r="AR359" s="16" t="s">
        <v>160</v>
      </c>
      <c r="AS359" s="16" t="s">
        <v>231</v>
      </c>
      <c r="AT359" s="6"/>
      <c r="AU359" s="6"/>
      <c r="AV359" s="6"/>
      <c r="AW359" s="6"/>
      <c r="AX359" s="12" t="str">
        <f t="shared" si="18"/>
        <v/>
      </c>
      <c r="AY359" s="12" t="str">
        <f t="shared" si="19"/>
        <v/>
      </c>
      <c r="AZ359" s="18"/>
      <c r="BA359" s="19"/>
      <c r="BB359" s="19"/>
      <c r="BC359" s="19"/>
      <c r="BD359" s="19"/>
      <c r="BE359" s="19"/>
      <c r="BF359" s="19"/>
      <c r="BG359" s="19"/>
      <c r="BH359" s="19"/>
      <c r="BI359" s="19"/>
      <c r="BJ359" s="19"/>
      <c r="BK359" s="19"/>
    </row>
    <row r="360" spans="1:63" ht="20.100000000000001" hidden="1" customHeight="1" x14ac:dyDescent="0.2">
      <c r="A360" s="13">
        <v>355</v>
      </c>
      <c r="B360" s="16" t="s">
        <v>3972</v>
      </c>
      <c r="C360" s="16" t="s">
        <v>1360</v>
      </c>
      <c r="D360" s="6" t="s">
        <v>887</v>
      </c>
      <c r="E360" s="6" t="s">
        <v>20</v>
      </c>
      <c r="F360" s="6" t="s">
        <v>945</v>
      </c>
      <c r="G360" s="6"/>
      <c r="H360" s="15" t="s">
        <v>83</v>
      </c>
      <c r="I360" s="15"/>
      <c r="J360" s="15"/>
      <c r="K360" s="15"/>
      <c r="L360" s="15"/>
      <c r="M360" s="15"/>
      <c r="N360" s="15"/>
      <c r="O360" s="16" t="s">
        <v>84</v>
      </c>
      <c r="P360" s="6" t="s">
        <v>429</v>
      </c>
      <c r="Q360" s="6" t="s">
        <v>769</v>
      </c>
      <c r="R360" s="6" t="s">
        <v>770</v>
      </c>
      <c r="S360" s="6" t="s">
        <v>106</v>
      </c>
      <c r="T360" s="15" t="s">
        <v>107</v>
      </c>
      <c r="U360" s="6" t="s">
        <v>429</v>
      </c>
      <c r="V360" s="6" t="s">
        <v>1809</v>
      </c>
      <c r="W360" s="6" t="s">
        <v>485</v>
      </c>
      <c r="X360" s="6" t="s">
        <v>975</v>
      </c>
      <c r="Y360" s="6" t="s">
        <v>69</v>
      </c>
      <c r="Z360" s="6" t="s">
        <v>70</v>
      </c>
      <c r="AA360" s="15" t="s">
        <v>3983</v>
      </c>
      <c r="AB360" s="15"/>
      <c r="AC360" s="15"/>
      <c r="AD360" s="15"/>
      <c r="AE360" s="16">
        <v>138</v>
      </c>
      <c r="AF360" s="16"/>
      <c r="AG360" s="16"/>
      <c r="AH360" s="16"/>
      <c r="AI360" s="16"/>
      <c r="AJ360" s="16"/>
      <c r="AK360" s="16"/>
      <c r="AL360" s="16">
        <v>6</v>
      </c>
      <c r="AM360" s="16"/>
      <c r="AN360" s="15"/>
      <c r="AO360" s="6"/>
      <c r="AP360" s="25"/>
      <c r="AQ360" s="15"/>
      <c r="AR360" s="16"/>
      <c r="AS360" s="16"/>
      <c r="AT360" s="6" t="s">
        <v>113</v>
      </c>
      <c r="AU360" s="6" t="s">
        <v>148</v>
      </c>
      <c r="AV360" s="6" t="s">
        <v>115</v>
      </c>
      <c r="AW360" s="6" t="s">
        <v>1247</v>
      </c>
      <c r="AX360" s="12">
        <f t="shared" si="18"/>
        <v>15</v>
      </c>
      <c r="AY360" s="12" t="str">
        <f t="shared" si="19"/>
        <v/>
      </c>
      <c r="AZ360" s="18"/>
      <c r="BA360" s="19"/>
      <c r="BB360" s="19"/>
      <c r="BC360" s="19"/>
      <c r="BD360" s="19"/>
      <c r="BE360" s="19"/>
      <c r="BF360" s="19"/>
      <c r="BG360" s="19"/>
      <c r="BH360" s="19"/>
      <c r="BI360" s="19"/>
      <c r="BJ360" s="19"/>
      <c r="BK360" s="19"/>
    </row>
    <row r="361" spans="1:63" ht="20.100000000000001" hidden="1" customHeight="1" x14ac:dyDescent="0.2">
      <c r="A361" s="13">
        <v>356</v>
      </c>
      <c r="B361" s="16" t="s">
        <v>3972</v>
      </c>
      <c r="C361" s="16" t="s">
        <v>1360</v>
      </c>
      <c r="D361" s="6" t="s">
        <v>3976</v>
      </c>
      <c r="E361" s="6"/>
      <c r="F361" s="6" t="s">
        <v>192</v>
      </c>
      <c r="G361" s="6"/>
      <c r="H361" s="15" t="s">
        <v>7</v>
      </c>
      <c r="I361" s="15"/>
      <c r="J361" s="15"/>
      <c r="K361" s="15"/>
      <c r="L361" s="15"/>
      <c r="M361" s="15"/>
      <c r="N361" s="15"/>
      <c r="O361" s="16" t="s">
        <v>3576</v>
      </c>
      <c r="P361" s="6"/>
      <c r="Q361" s="6" t="s">
        <v>155</v>
      </c>
      <c r="R361" s="6" t="s">
        <v>5035</v>
      </c>
      <c r="S361" s="6" t="s">
        <v>69</v>
      </c>
      <c r="T361" s="15" t="s">
        <v>70</v>
      </c>
      <c r="U361" s="6" t="s">
        <v>429</v>
      </c>
      <c r="V361" s="6" t="s">
        <v>3677</v>
      </c>
      <c r="W361" s="6" t="s">
        <v>441</v>
      </c>
      <c r="X361" s="6" t="s">
        <v>5036</v>
      </c>
      <c r="Y361" s="6" t="s">
        <v>142</v>
      </c>
      <c r="Z361" s="6" t="s">
        <v>70</v>
      </c>
      <c r="AA361" s="15"/>
      <c r="AB361" s="15"/>
      <c r="AC361" s="15">
        <v>245</v>
      </c>
      <c r="AD361" s="15">
        <v>0</v>
      </c>
      <c r="AE361" s="16">
        <v>228</v>
      </c>
      <c r="AF361" s="16">
        <v>117</v>
      </c>
      <c r="AG361" s="16">
        <v>185</v>
      </c>
      <c r="AH361" s="16">
        <v>7</v>
      </c>
      <c r="AI361" s="16">
        <v>45</v>
      </c>
      <c r="AJ361" s="16">
        <v>237</v>
      </c>
      <c r="AK361" s="16">
        <v>22.2</v>
      </c>
      <c r="AL361" s="16">
        <v>6</v>
      </c>
      <c r="AM361" s="16"/>
      <c r="AN361" s="15"/>
      <c r="AO361" s="6"/>
      <c r="AP361" s="25"/>
      <c r="AQ361" s="15"/>
      <c r="AR361" s="16" t="s">
        <v>160</v>
      </c>
      <c r="AS361" s="16" t="s">
        <v>165</v>
      </c>
      <c r="AT361" s="6"/>
      <c r="AU361" s="6"/>
      <c r="AV361" s="6"/>
      <c r="AW361" s="6"/>
      <c r="AX361" s="12" t="str">
        <f t="shared" si="18"/>
        <v/>
      </c>
      <c r="AY361" s="12" t="str">
        <f t="shared" si="19"/>
        <v/>
      </c>
      <c r="AZ361" s="18"/>
      <c r="BA361" s="19"/>
      <c r="BB361" s="19"/>
      <c r="BC361" s="19"/>
      <c r="BD361" s="19"/>
      <c r="BE361" s="19"/>
      <c r="BF361" s="19"/>
      <c r="BG361" s="19"/>
      <c r="BH361" s="19"/>
      <c r="BI361" s="19"/>
      <c r="BJ361" s="19"/>
      <c r="BK361" s="19"/>
    </row>
    <row r="362" spans="1:63" ht="20.100000000000001" hidden="1" customHeight="1" x14ac:dyDescent="0.2">
      <c r="A362" s="13">
        <v>357</v>
      </c>
      <c r="B362" s="16" t="s">
        <v>3990</v>
      </c>
      <c r="C362" s="16" t="s">
        <v>1360</v>
      </c>
      <c r="D362" s="6" t="s">
        <v>1126</v>
      </c>
      <c r="E362" s="6" t="s">
        <v>10</v>
      </c>
      <c r="F362" s="6"/>
      <c r="G362" s="6"/>
      <c r="H362" s="15" t="s">
        <v>7</v>
      </c>
      <c r="I362" s="15"/>
      <c r="J362" s="15"/>
      <c r="K362" s="15"/>
      <c r="L362" s="15"/>
      <c r="M362" s="15"/>
      <c r="N362" s="15"/>
      <c r="O362" s="16" t="s">
        <v>92</v>
      </c>
      <c r="P362" s="6" t="s">
        <v>140</v>
      </c>
      <c r="Q362" s="6" t="s">
        <v>140</v>
      </c>
      <c r="R362" s="6" t="s">
        <v>4023</v>
      </c>
      <c r="S362" s="6" t="s">
        <v>106</v>
      </c>
      <c r="T362" s="15" t="s">
        <v>107</v>
      </c>
      <c r="U362" s="6" t="s">
        <v>338</v>
      </c>
      <c r="V362" s="6" t="s">
        <v>1809</v>
      </c>
      <c r="W362" s="6" t="s">
        <v>1581</v>
      </c>
      <c r="X362" s="6" t="s">
        <v>4024</v>
      </c>
      <c r="Y362" s="6" t="s">
        <v>69</v>
      </c>
      <c r="Z362" s="6" t="s">
        <v>70</v>
      </c>
      <c r="AA362" s="15"/>
      <c r="AB362" s="15"/>
      <c r="AC362" s="15"/>
      <c r="AD362" s="15"/>
      <c r="AE362" s="16">
        <v>182</v>
      </c>
      <c r="AF362" s="16"/>
      <c r="AG362" s="16"/>
      <c r="AH362" s="16"/>
      <c r="AI362" s="16"/>
      <c r="AJ362" s="16"/>
      <c r="AK362" s="16"/>
      <c r="AL362" s="16">
        <v>4</v>
      </c>
      <c r="AM362" s="16"/>
      <c r="AN362" s="15"/>
      <c r="AO362" s="6"/>
      <c r="AP362" s="25"/>
      <c r="AQ362" s="15"/>
      <c r="AR362" s="16"/>
      <c r="AS362" s="16"/>
      <c r="AT362" s="6"/>
      <c r="AU362" s="6"/>
      <c r="AV362" s="6"/>
      <c r="AW362" s="6"/>
      <c r="AX362" s="12" t="str">
        <f t="shared" si="18"/>
        <v/>
      </c>
      <c r="AY362" s="12" t="str">
        <f t="shared" si="19"/>
        <v/>
      </c>
      <c r="AZ362" s="18"/>
      <c r="BA362" s="19"/>
      <c r="BB362" s="19"/>
      <c r="BC362" s="19"/>
      <c r="BD362" s="19"/>
      <c r="BE362" s="19"/>
      <c r="BF362" s="19"/>
      <c r="BG362" s="19"/>
      <c r="BH362" s="19"/>
      <c r="BI362" s="19"/>
      <c r="BJ362" s="19"/>
      <c r="BK362" s="19"/>
    </row>
    <row r="363" spans="1:63" s="21" customFormat="1" ht="20.100000000000001" hidden="1" customHeight="1" x14ac:dyDescent="0.2">
      <c r="A363" s="13">
        <v>358</v>
      </c>
      <c r="B363" s="29" t="s">
        <v>3990</v>
      </c>
      <c r="C363" s="29" t="s">
        <v>1360</v>
      </c>
      <c r="D363" s="30" t="s">
        <v>3437</v>
      </c>
      <c r="E363" s="30"/>
      <c r="F363" s="30" t="s">
        <v>185</v>
      </c>
      <c r="G363" s="6"/>
      <c r="H363" s="20" t="s">
        <v>83</v>
      </c>
      <c r="I363" s="15"/>
      <c r="J363" s="15"/>
      <c r="K363" s="15"/>
      <c r="L363" s="15"/>
      <c r="M363" s="15"/>
      <c r="N363" s="15"/>
      <c r="O363" s="29" t="s">
        <v>84</v>
      </c>
      <c r="P363" s="30" t="s">
        <v>429</v>
      </c>
      <c r="Q363" s="30" t="s">
        <v>104</v>
      </c>
      <c r="R363" s="30" t="s">
        <v>2122</v>
      </c>
      <c r="S363" s="30" t="s">
        <v>106</v>
      </c>
      <c r="T363" s="20" t="s">
        <v>107</v>
      </c>
      <c r="U363" s="30" t="s">
        <v>429</v>
      </c>
      <c r="V363" s="30" t="s">
        <v>3677</v>
      </c>
      <c r="W363" s="30" t="s">
        <v>555</v>
      </c>
      <c r="X363" s="30" t="s">
        <v>2123</v>
      </c>
      <c r="Y363" s="30" t="s">
        <v>106</v>
      </c>
      <c r="Z363" s="30" t="s">
        <v>107</v>
      </c>
      <c r="AA363" s="20" t="s">
        <v>4033</v>
      </c>
      <c r="AB363" s="20"/>
      <c r="AC363" s="20"/>
      <c r="AD363" s="20">
        <v>162</v>
      </c>
      <c r="AE363" s="29"/>
      <c r="AF363" s="29"/>
      <c r="AG363" s="29"/>
      <c r="AH363" s="29"/>
      <c r="AI363" s="29"/>
      <c r="AJ363" s="29"/>
      <c r="AK363" s="29"/>
      <c r="AL363" s="29">
        <v>6</v>
      </c>
      <c r="AM363" s="29"/>
      <c r="AN363" s="20"/>
      <c r="AO363" s="30"/>
      <c r="AP363" s="36"/>
      <c r="AQ363" s="20"/>
      <c r="AR363" s="29"/>
      <c r="AS363" s="29"/>
      <c r="AT363" s="30" t="s">
        <v>113</v>
      </c>
      <c r="AU363" s="30" t="s">
        <v>148</v>
      </c>
      <c r="AV363" s="30" t="s">
        <v>115</v>
      </c>
      <c r="AW363" s="30" t="s">
        <v>260</v>
      </c>
      <c r="AX363" s="12">
        <f t="shared" si="18"/>
        <v>8</v>
      </c>
      <c r="AY363" s="12">
        <f t="shared" si="19"/>
        <v>8</v>
      </c>
      <c r="AZ363" s="32"/>
    </row>
    <row r="364" spans="1:63" ht="20.100000000000001" hidden="1" customHeight="1" x14ac:dyDescent="0.2">
      <c r="A364" s="13">
        <v>359</v>
      </c>
      <c r="B364" s="16" t="s">
        <v>3990</v>
      </c>
      <c r="C364" s="16" t="s">
        <v>1360</v>
      </c>
      <c r="D364" s="6" t="s">
        <v>3437</v>
      </c>
      <c r="E364" s="6"/>
      <c r="F364" s="6"/>
      <c r="G364" s="6"/>
      <c r="H364" s="15" t="s">
        <v>7</v>
      </c>
      <c r="I364" s="15"/>
      <c r="J364" s="15"/>
      <c r="K364" s="15"/>
      <c r="L364" s="15"/>
      <c r="M364" s="15"/>
      <c r="N364" s="15"/>
      <c r="O364" s="16" t="s">
        <v>84</v>
      </c>
      <c r="P364" s="6"/>
      <c r="Q364" s="6" t="s">
        <v>104</v>
      </c>
      <c r="R364" s="6" t="s">
        <v>4013</v>
      </c>
      <c r="S364" s="6" t="s">
        <v>69</v>
      </c>
      <c r="T364" s="15" t="s">
        <v>70</v>
      </c>
      <c r="U364" s="6" t="s">
        <v>429</v>
      </c>
      <c r="V364" s="6" t="s">
        <v>3677</v>
      </c>
      <c r="W364" s="6" t="s">
        <v>555</v>
      </c>
      <c r="X364" s="6" t="s">
        <v>4025</v>
      </c>
      <c r="Y364" s="6" t="s">
        <v>106</v>
      </c>
      <c r="Z364" s="6" t="s">
        <v>107</v>
      </c>
      <c r="AA364" s="15"/>
      <c r="AB364" s="15"/>
      <c r="AC364" s="15"/>
      <c r="AD364" s="15"/>
      <c r="AE364" s="16"/>
      <c r="AF364" s="16"/>
      <c r="AG364" s="16"/>
      <c r="AH364" s="16"/>
      <c r="AI364" s="16"/>
      <c r="AJ364" s="16"/>
      <c r="AK364" s="16"/>
      <c r="AL364" s="16"/>
      <c r="AM364" s="16"/>
      <c r="AN364" s="15"/>
      <c r="AO364" s="6"/>
      <c r="AP364" s="25"/>
      <c r="AQ364" s="15"/>
      <c r="AR364" s="16"/>
      <c r="AS364" s="16"/>
      <c r="AT364" s="6"/>
      <c r="AU364" s="6"/>
      <c r="AV364" s="6"/>
      <c r="AW364" s="6"/>
      <c r="AX364" s="12" t="str">
        <f t="shared" si="18"/>
        <v/>
      </c>
      <c r="AY364" s="12" t="str">
        <f t="shared" si="19"/>
        <v/>
      </c>
      <c r="AZ364" s="18"/>
      <c r="BA364" s="19"/>
      <c r="BB364" s="19"/>
      <c r="BC364" s="19"/>
      <c r="BD364" s="19"/>
      <c r="BE364" s="19"/>
      <c r="BF364" s="19"/>
      <c r="BG364" s="19"/>
      <c r="BH364" s="19"/>
      <c r="BI364" s="19"/>
      <c r="BJ364" s="19"/>
      <c r="BK364" s="19"/>
    </row>
    <row r="365" spans="1:63" s="21" customFormat="1" ht="20.100000000000001" hidden="1" customHeight="1" x14ac:dyDescent="0.2">
      <c r="A365" s="13">
        <v>360</v>
      </c>
      <c r="B365" s="29" t="s">
        <v>3991</v>
      </c>
      <c r="C365" s="29" t="s">
        <v>1360</v>
      </c>
      <c r="D365" s="30" t="s">
        <v>87</v>
      </c>
      <c r="E365" s="30" t="s">
        <v>6</v>
      </c>
      <c r="F365" s="249" t="s">
        <v>4038</v>
      </c>
      <c r="G365" s="6"/>
      <c r="H365" s="20" t="s">
        <v>83</v>
      </c>
      <c r="I365" s="15"/>
      <c r="J365" s="15"/>
      <c r="K365" s="15"/>
      <c r="L365" s="15"/>
      <c r="M365" s="15"/>
      <c r="N365" s="15"/>
      <c r="O365" s="29" t="s">
        <v>84</v>
      </c>
      <c r="P365" s="30" t="s">
        <v>429</v>
      </c>
      <c r="Q365" s="30" t="s">
        <v>68</v>
      </c>
      <c r="R365" s="30" t="s">
        <v>151</v>
      </c>
      <c r="S365" s="30" t="s">
        <v>69</v>
      </c>
      <c r="T365" s="20" t="s">
        <v>70</v>
      </c>
      <c r="U365" s="30" t="s">
        <v>429</v>
      </c>
      <c r="V365" s="30" t="s">
        <v>1510</v>
      </c>
      <c r="W365" s="30" t="s">
        <v>1581</v>
      </c>
      <c r="X365" s="30" t="s">
        <v>152</v>
      </c>
      <c r="Y365" s="30" t="s">
        <v>73</v>
      </c>
      <c r="Z365" s="30" t="s">
        <v>70</v>
      </c>
      <c r="AA365" s="20" t="s">
        <v>3977</v>
      </c>
      <c r="AB365" s="20"/>
      <c r="AC365" s="20"/>
      <c r="AD365" s="20">
        <v>225</v>
      </c>
      <c r="AE365" s="29"/>
      <c r="AF365" s="29"/>
      <c r="AG365" s="29"/>
      <c r="AH365" s="29"/>
      <c r="AI365" s="29"/>
      <c r="AJ365" s="29"/>
      <c r="AK365" s="29"/>
      <c r="AL365" s="29">
        <v>6</v>
      </c>
      <c r="AM365" s="29"/>
      <c r="AN365" s="20"/>
      <c r="AO365" s="30"/>
      <c r="AP365" s="36"/>
      <c r="AQ365" s="20"/>
      <c r="AR365" s="29"/>
      <c r="AS365" s="29"/>
      <c r="AT365" s="30" t="s">
        <v>113</v>
      </c>
      <c r="AU365" s="30" t="s">
        <v>148</v>
      </c>
      <c r="AV365" s="30" t="s">
        <v>113</v>
      </c>
      <c r="AW365" s="30" t="s">
        <v>114</v>
      </c>
      <c r="AX365" s="12">
        <f t="shared" si="18"/>
        <v>7</v>
      </c>
      <c r="AY365" s="12">
        <f t="shared" si="19"/>
        <v>7</v>
      </c>
      <c r="AZ365" s="32"/>
    </row>
    <row r="366" spans="1:63" ht="20.100000000000001" hidden="1" customHeight="1" x14ac:dyDescent="0.2">
      <c r="A366" s="13">
        <v>361</v>
      </c>
      <c r="B366" s="16" t="s">
        <v>3992</v>
      </c>
      <c r="C366" s="16" t="s">
        <v>1360</v>
      </c>
      <c r="D366" s="6" t="s">
        <v>3915</v>
      </c>
      <c r="E366" s="6"/>
      <c r="F366" s="6"/>
      <c r="G366" s="6"/>
      <c r="H366" s="15" t="s">
        <v>7</v>
      </c>
      <c r="I366" s="15"/>
      <c r="J366" s="15"/>
      <c r="K366" s="15"/>
      <c r="L366" s="15"/>
      <c r="M366" s="15"/>
      <c r="N366" s="15"/>
      <c r="O366" s="16" t="s">
        <v>92</v>
      </c>
      <c r="P366" s="35" t="s">
        <v>104</v>
      </c>
      <c r="Q366" s="35" t="s">
        <v>68</v>
      </c>
      <c r="R366" s="6" t="s">
        <v>4026</v>
      </c>
      <c r="S366" s="6" t="s">
        <v>106</v>
      </c>
      <c r="T366" s="15" t="s">
        <v>107</v>
      </c>
      <c r="U366" s="6" t="s">
        <v>108</v>
      </c>
      <c r="V366" s="6" t="s">
        <v>3677</v>
      </c>
      <c r="W366" s="6" t="s">
        <v>485</v>
      </c>
      <c r="X366" s="6" t="s">
        <v>4025</v>
      </c>
      <c r="Y366" s="6" t="s">
        <v>262</v>
      </c>
      <c r="Z366" s="6" t="s">
        <v>70</v>
      </c>
      <c r="AA366" s="15"/>
      <c r="AB366" s="15"/>
      <c r="AC366" s="15">
        <v>246</v>
      </c>
      <c r="AD366" s="33">
        <v>162</v>
      </c>
      <c r="AE366" s="34">
        <v>222</v>
      </c>
      <c r="AF366" s="16">
        <v>79</v>
      </c>
      <c r="AG366" s="16">
        <v>160</v>
      </c>
      <c r="AH366" s="16">
        <v>4</v>
      </c>
      <c r="AI366" s="16">
        <v>43</v>
      </c>
      <c r="AJ366" s="16">
        <v>207</v>
      </c>
      <c r="AK366" s="16">
        <v>18</v>
      </c>
      <c r="AL366" s="16">
        <v>4</v>
      </c>
      <c r="AM366" s="16"/>
      <c r="AN366" s="33"/>
      <c r="AO366" s="6"/>
      <c r="AP366" s="25"/>
      <c r="AQ366" s="15"/>
      <c r="AR366" s="16" t="s">
        <v>111</v>
      </c>
      <c r="AS366" s="16" t="s">
        <v>161</v>
      </c>
      <c r="AT366" s="6"/>
      <c r="AU366" s="6"/>
      <c r="AV366" s="6"/>
      <c r="AW366" s="6"/>
      <c r="AX366" s="12" t="str">
        <f t="shared" si="18"/>
        <v/>
      </c>
      <c r="AY366" s="12" t="str">
        <f t="shared" si="19"/>
        <v/>
      </c>
      <c r="AZ366" s="18"/>
      <c r="BA366" s="19"/>
      <c r="BB366" s="19"/>
      <c r="BC366" s="19"/>
      <c r="BD366" s="19"/>
      <c r="BE366" s="19"/>
      <c r="BF366" s="19"/>
      <c r="BG366" s="19"/>
      <c r="BH366" s="19"/>
      <c r="BI366" s="19"/>
      <c r="BJ366" s="19"/>
      <c r="BK366" s="19"/>
    </row>
    <row r="367" spans="1:63" ht="20.100000000000001" hidden="1" customHeight="1" x14ac:dyDescent="0.2">
      <c r="A367" s="13">
        <v>362</v>
      </c>
      <c r="B367" s="16" t="s">
        <v>3992</v>
      </c>
      <c r="C367" s="16" t="s">
        <v>1360</v>
      </c>
      <c r="D367" s="6" t="s">
        <v>4370</v>
      </c>
      <c r="E367" s="6"/>
      <c r="F367" s="6" t="s">
        <v>192</v>
      </c>
      <c r="G367" s="6"/>
      <c r="H367" s="15" t="s">
        <v>7</v>
      </c>
      <c r="I367" s="15"/>
      <c r="J367" s="15"/>
      <c r="K367" s="15"/>
      <c r="L367" s="15"/>
      <c r="M367" s="15"/>
      <c r="N367" s="15"/>
      <c r="O367" s="16" t="s">
        <v>3576</v>
      </c>
      <c r="P367" s="6"/>
      <c r="Q367" s="6" t="s">
        <v>68</v>
      </c>
      <c r="R367" s="6" t="s">
        <v>4021</v>
      </c>
      <c r="S367" s="6" t="s">
        <v>69</v>
      </c>
      <c r="T367" s="15" t="s">
        <v>70</v>
      </c>
      <c r="U367" s="6" t="s">
        <v>429</v>
      </c>
      <c r="V367" s="6" t="s">
        <v>3677</v>
      </c>
      <c r="W367" s="6" t="s">
        <v>485</v>
      </c>
      <c r="X367" s="6" t="s">
        <v>4022</v>
      </c>
      <c r="Y367" s="6" t="s">
        <v>106</v>
      </c>
      <c r="Z367" s="6" t="s">
        <v>107</v>
      </c>
      <c r="AA367" s="15"/>
      <c r="AB367" s="15"/>
      <c r="AC367" s="15">
        <v>247</v>
      </c>
      <c r="AD367" s="15">
        <v>0</v>
      </c>
      <c r="AE367" s="16">
        <v>234</v>
      </c>
      <c r="AF367" s="16">
        <v>99</v>
      </c>
      <c r="AG367" s="16">
        <v>130</v>
      </c>
      <c r="AH367" s="16">
        <v>4</v>
      </c>
      <c r="AI367" s="16">
        <v>52</v>
      </c>
      <c r="AJ367" s="16">
        <v>186</v>
      </c>
      <c r="AK367" s="16">
        <v>18.5</v>
      </c>
      <c r="AL367" s="16">
        <v>6</v>
      </c>
      <c r="AM367" s="16"/>
      <c r="AN367" s="15"/>
      <c r="AO367" s="6"/>
      <c r="AP367" s="25"/>
      <c r="AQ367" s="15"/>
      <c r="AR367" s="16" t="s">
        <v>160</v>
      </c>
      <c r="AS367" s="16" t="s">
        <v>193</v>
      </c>
      <c r="AT367" s="6"/>
      <c r="AU367" s="6"/>
      <c r="AV367" s="6"/>
      <c r="AW367" s="6"/>
      <c r="AX367" s="12" t="str">
        <f t="shared" si="18"/>
        <v/>
      </c>
      <c r="AY367" s="12" t="str">
        <f t="shared" si="19"/>
        <v/>
      </c>
      <c r="AZ367" s="18"/>
      <c r="BA367" s="19"/>
      <c r="BB367" s="19"/>
      <c r="BC367" s="19"/>
      <c r="BD367" s="19"/>
      <c r="BE367" s="19"/>
      <c r="BF367" s="19"/>
      <c r="BG367" s="19"/>
      <c r="BH367" s="19"/>
      <c r="BI367" s="19"/>
      <c r="BJ367" s="19"/>
      <c r="BK367" s="19"/>
    </row>
    <row r="368" spans="1:63" ht="20.100000000000001" hidden="1" customHeight="1" x14ac:dyDescent="0.2">
      <c r="A368" s="13">
        <v>363</v>
      </c>
      <c r="B368" s="16" t="s">
        <v>3993</v>
      </c>
      <c r="C368" s="16" t="s">
        <v>1360</v>
      </c>
      <c r="D368" s="6" t="s">
        <v>2787</v>
      </c>
      <c r="E368" s="6"/>
      <c r="F368" s="6"/>
      <c r="G368" s="6"/>
      <c r="H368" s="15" t="s">
        <v>7</v>
      </c>
      <c r="I368" s="15"/>
      <c r="J368" s="15"/>
      <c r="K368" s="15"/>
      <c r="L368" s="15"/>
      <c r="M368" s="15"/>
      <c r="N368" s="15"/>
      <c r="O368" s="16" t="s">
        <v>84</v>
      </c>
      <c r="P368" s="6"/>
      <c r="Q368" s="6" t="s">
        <v>218</v>
      </c>
      <c r="R368" s="6"/>
      <c r="S368" s="6" t="s">
        <v>106</v>
      </c>
      <c r="T368" s="15" t="s">
        <v>107</v>
      </c>
      <c r="U368" s="6"/>
      <c r="V368" s="6" t="s">
        <v>3679</v>
      </c>
      <c r="W368" s="6" t="s">
        <v>116</v>
      </c>
      <c r="X368" s="6"/>
      <c r="Y368" s="6" t="s">
        <v>69</v>
      </c>
      <c r="Z368" s="6" t="s">
        <v>70</v>
      </c>
      <c r="AA368" s="15"/>
      <c r="AB368" s="15"/>
      <c r="AC368" s="15">
        <v>250</v>
      </c>
      <c r="AD368" s="15">
        <v>186</v>
      </c>
      <c r="AE368" s="16">
        <v>186</v>
      </c>
      <c r="AF368" s="16">
        <v>81</v>
      </c>
      <c r="AG368" s="16">
        <v>116</v>
      </c>
      <c r="AH368" s="16">
        <v>8</v>
      </c>
      <c r="AI368" s="16">
        <v>63</v>
      </c>
      <c r="AJ368" s="16">
        <v>187</v>
      </c>
      <c r="AK368" s="16">
        <v>25</v>
      </c>
      <c r="AL368" s="16">
        <v>6</v>
      </c>
      <c r="AM368" s="16"/>
      <c r="AN368" s="15"/>
      <c r="AO368" s="6"/>
      <c r="AP368" s="25"/>
      <c r="AQ368" s="15"/>
      <c r="AR368" s="16"/>
      <c r="AS368" s="16"/>
      <c r="AT368" s="6"/>
      <c r="AU368" s="6"/>
      <c r="AV368" s="6"/>
      <c r="AW368" s="6"/>
      <c r="AX368" s="12" t="str">
        <f t="shared" si="18"/>
        <v/>
      </c>
      <c r="AY368" s="12" t="str">
        <f t="shared" si="19"/>
        <v/>
      </c>
      <c r="AZ368" s="18"/>
      <c r="BA368" s="19"/>
      <c r="BB368" s="19"/>
      <c r="BC368" s="19"/>
      <c r="BD368" s="19"/>
      <c r="BE368" s="19"/>
      <c r="BF368" s="19"/>
      <c r="BG368" s="19"/>
      <c r="BH368" s="19"/>
      <c r="BI368" s="19"/>
      <c r="BJ368" s="19"/>
      <c r="BK368" s="19"/>
    </row>
    <row r="369" spans="1:63" ht="20.100000000000001" hidden="1" customHeight="1" x14ac:dyDescent="0.2">
      <c r="A369" s="13">
        <v>364</v>
      </c>
      <c r="B369" s="16" t="s">
        <v>3994</v>
      </c>
      <c r="C369" s="16" t="s">
        <v>1360</v>
      </c>
      <c r="D369" s="6" t="s">
        <v>2951</v>
      </c>
      <c r="E369" s="6" t="s">
        <v>8</v>
      </c>
      <c r="F369" s="6" t="s">
        <v>185</v>
      </c>
      <c r="G369" s="6"/>
      <c r="H369" s="15" t="s">
        <v>83</v>
      </c>
      <c r="I369" s="15"/>
      <c r="J369" s="15"/>
      <c r="K369" s="15"/>
      <c r="L369" s="15"/>
      <c r="M369" s="15"/>
      <c r="N369" s="15"/>
      <c r="O369" s="16" t="s">
        <v>84</v>
      </c>
      <c r="P369" s="6" t="s">
        <v>429</v>
      </c>
      <c r="Q369" s="6" t="s">
        <v>104</v>
      </c>
      <c r="R369" s="6" t="s">
        <v>4034</v>
      </c>
      <c r="S369" s="6" t="s">
        <v>142</v>
      </c>
      <c r="T369" s="15" t="s">
        <v>70</v>
      </c>
      <c r="U369" s="6" t="s">
        <v>429</v>
      </c>
      <c r="V369" s="6" t="s">
        <v>3679</v>
      </c>
      <c r="W369" s="6" t="s">
        <v>555</v>
      </c>
      <c r="X369" s="6" t="s">
        <v>152</v>
      </c>
      <c r="Y369" s="6" t="s">
        <v>142</v>
      </c>
      <c r="Z369" s="6" t="s">
        <v>70</v>
      </c>
      <c r="AA369" s="15" t="s">
        <v>4035</v>
      </c>
      <c r="AB369" s="15"/>
      <c r="AC369" s="15"/>
      <c r="AD369" s="15">
        <v>111</v>
      </c>
      <c r="AE369" s="16"/>
      <c r="AF369" s="16"/>
      <c r="AG369" s="16"/>
      <c r="AH369" s="16"/>
      <c r="AI369" s="16"/>
      <c r="AJ369" s="16"/>
      <c r="AK369" s="16"/>
      <c r="AL369" s="16">
        <v>6</v>
      </c>
      <c r="AM369" s="16"/>
      <c r="AN369" s="15"/>
      <c r="AO369" s="6"/>
      <c r="AP369" s="25"/>
      <c r="AQ369" s="15"/>
      <c r="AR369" s="16"/>
      <c r="AS369" s="16"/>
      <c r="AT369" s="6" t="s">
        <v>113</v>
      </c>
      <c r="AU369" s="6" t="s">
        <v>148</v>
      </c>
      <c r="AV369" s="6" t="s">
        <v>208</v>
      </c>
      <c r="AW369" s="6" t="s">
        <v>260</v>
      </c>
      <c r="AX369" s="12">
        <f t="shared" ref="AX369:AX380" si="20">IF(AT369*AV369&gt;0,(AT369-AV369)*12+(AU369-AW369),"")</f>
        <v>32</v>
      </c>
      <c r="AY369" s="12" t="str">
        <f t="shared" ref="AY369:AY380" si="21">IF(AX369&lt;13,AX369,"")</f>
        <v/>
      </c>
      <c r="AZ369" s="18"/>
      <c r="BA369" s="19"/>
      <c r="BB369" s="19"/>
      <c r="BC369" s="19"/>
      <c r="BD369" s="19"/>
      <c r="BE369" s="19"/>
      <c r="BF369" s="19"/>
      <c r="BG369" s="19"/>
      <c r="BH369" s="19"/>
      <c r="BI369" s="19"/>
      <c r="BJ369" s="19"/>
      <c r="BK369" s="19"/>
    </row>
    <row r="370" spans="1:63" s="21" customFormat="1" ht="20.100000000000001" hidden="1" customHeight="1" x14ac:dyDescent="0.2">
      <c r="A370" s="13">
        <v>365</v>
      </c>
      <c r="B370" s="29" t="s">
        <v>3994</v>
      </c>
      <c r="C370" s="29" t="s">
        <v>1360</v>
      </c>
      <c r="D370" s="30" t="s">
        <v>2455</v>
      </c>
      <c r="E370" s="30"/>
      <c r="F370" s="6" t="s">
        <v>4038</v>
      </c>
      <c r="G370" s="6"/>
      <c r="H370" s="20" t="s">
        <v>83</v>
      </c>
      <c r="I370" s="15"/>
      <c r="J370" s="15"/>
      <c r="K370" s="15"/>
      <c r="L370" s="15"/>
      <c r="M370" s="15"/>
      <c r="N370" s="15"/>
      <c r="O370" s="29" t="s">
        <v>93</v>
      </c>
      <c r="P370" s="30" t="s">
        <v>429</v>
      </c>
      <c r="Q370" s="30" t="s">
        <v>506</v>
      </c>
      <c r="R370" s="30"/>
      <c r="S370" s="30" t="s">
        <v>106</v>
      </c>
      <c r="T370" s="20" t="s">
        <v>107</v>
      </c>
      <c r="U370" s="30" t="s">
        <v>429</v>
      </c>
      <c r="V370" s="30" t="s">
        <v>4016</v>
      </c>
      <c r="W370" s="30" t="s">
        <v>2348</v>
      </c>
      <c r="X370" s="30"/>
      <c r="Y370" s="30" t="s">
        <v>69</v>
      </c>
      <c r="Z370" s="30" t="s">
        <v>70</v>
      </c>
      <c r="AA370" s="20" t="s">
        <v>3966</v>
      </c>
      <c r="AB370" s="20"/>
      <c r="AC370" s="20"/>
      <c r="AD370" s="20">
        <v>92</v>
      </c>
      <c r="AE370" s="29"/>
      <c r="AF370" s="29"/>
      <c r="AG370" s="29"/>
      <c r="AH370" s="29"/>
      <c r="AI370" s="29"/>
      <c r="AJ370" s="29"/>
      <c r="AK370" s="29"/>
      <c r="AL370" s="29">
        <v>3</v>
      </c>
      <c r="AM370" s="29"/>
      <c r="AN370" s="20"/>
      <c r="AO370" s="30"/>
      <c r="AP370" s="36"/>
      <c r="AQ370" s="20"/>
      <c r="AR370" s="29"/>
      <c r="AS370" s="29"/>
      <c r="AT370" s="30" t="s">
        <v>113</v>
      </c>
      <c r="AU370" s="30" t="s">
        <v>148</v>
      </c>
      <c r="AV370" s="30" t="s">
        <v>113</v>
      </c>
      <c r="AW370" s="30" t="s">
        <v>148</v>
      </c>
      <c r="AX370" s="12">
        <f t="shared" si="20"/>
        <v>0</v>
      </c>
      <c r="AY370" s="12">
        <f t="shared" si="21"/>
        <v>0</v>
      </c>
      <c r="AZ370" s="32"/>
    </row>
    <row r="371" spans="1:63" ht="20.100000000000001" hidden="1" customHeight="1" x14ac:dyDescent="0.2">
      <c r="A371" s="13">
        <v>366</v>
      </c>
      <c r="B371" s="16" t="s">
        <v>3995</v>
      </c>
      <c r="C371" s="16" t="s">
        <v>1360</v>
      </c>
      <c r="D371" s="6" t="s">
        <v>4064</v>
      </c>
      <c r="E371" s="6"/>
      <c r="F371" s="6" t="s">
        <v>192</v>
      </c>
      <c r="G371" s="6"/>
      <c r="H371" s="15" t="s">
        <v>7</v>
      </c>
      <c r="I371" s="15"/>
      <c r="J371" s="15"/>
      <c r="K371" s="15"/>
      <c r="L371" s="15"/>
      <c r="M371" s="15"/>
      <c r="N371" s="15"/>
      <c r="O371" s="16" t="s">
        <v>92</v>
      </c>
      <c r="P371" s="6"/>
      <c r="Q371" s="6" t="s">
        <v>140</v>
      </c>
      <c r="R371" s="6" t="s">
        <v>3848</v>
      </c>
      <c r="S371" s="6" t="s">
        <v>106</v>
      </c>
      <c r="T371" s="15" t="s">
        <v>107</v>
      </c>
      <c r="U371" s="6"/>
      <c r="V371" s="6" t="s">
        <v>3677</v>
      </c>
      <c r="W371" s="6" t="s">
        <v>506</v>
      </c>
      <c r="X371" s="6" t="s">
        <v>4027</v>
      </c>
      <c r="Y371" s="6" t="s">
        <v>262</v>
      </c>
      <c r="Z371" s="6" t="s">
        <v>70</v>
      </c>
      <c r="AA371" s="15"/>
      <c r="AB371" s="15"/>
      <c r="AC371" s="15">
        <v>242</v>
      </c>
      <c r="AD371" s="15">
        <v>0</v>
      </c>
      <c r="AE371" s="16">
        <v>231</v>
      </c>
      <c r="AF371" s="16">
        <v>30</v>
      </c>
      <c r="AG371" s="16">
        <v>117</v>
      </c>
      <c r="AH371" s="16">
        <v>4</v>
      </c>
      <c r="AI371" s="16">
        <v>5</v>
      </c>
      <c r="AJ371" s="16">
        <v>126</v>
      </c>
      <c r="AK371" s="16">
        <v>17</v>
      </c>
      <c r="AL371" s="16">
        <v>6</v>
      </c>
      <c r="AM371" s="16"/>
      <c r="AN371" s="15"/>
      <c r="AO371" s="6"/>
      <c r="AP371" s="25"/>
      <c r="AQ371" s="15"/>
      <c r="AR371" s="16" t="s">
        <v>160</v>
      </c>
      <c r="AS371" s="16" t="s">
        <v>161</v>
      </c>
      <c r="AT371" s="6"/>
      <c r="AU371" s="6"/>
      <c r="AV371" s="6"/>
      <c r="AW371" s="6"/>
      <c r="AX371" s="12" t="str">
        <f t="shared" si="20"/>
        <v/>
      </c>
      <c r="AY371" s="12" t="str">
        <f t="shared" si="21"/>
        <v/>
      </c>
      <c r="AZ371" s="18"/>
      <c r="BA371" s="19"/>
      <c r="BB371" s="19"/>
      <c r="BC371" s="19"/>
      <c r="BD371" s="19"/>
      <c r="BE371" s="19"/>
      <c r="BF371" s="19"/>
      <c r="BG371" s="19"/>
      <c r="BH371" s="19"/>
      <c r="BI371" s="19"/>
      <c r="BJ371" s="19"/>
      <c r="BK371" s="19"/>
    </row>
    <row r="372" spans="1:63" ht="20.100000000000001" hidden="1" customHeight="1" x14ac:dyDescent="0.2">
      <c r="A372" s="13">
        <v>367</v>
      </c>
      <c r="B372" s="16" t="s">
        <v>3995</v>
      </c>
      <c r="C372" s="16" t="s">
        <v>1360</v>
      </c>
      <c r="D372" s="6" t="s">
        <v>3709</v>
      </c>
      <c r="E372" s="6"/>
      <c r="F372" s="6"/>
      <c r="G372" s="6"/>
      <c r="H372" s="15" t="s">
        <v>7</v>
      </c>
      <c r="I372" s="15"/>
      <c r="J372" s="15"/>
      <c r="K372" s="15"/>
      <c r="L372" s="15"/>
      <c r="M372" s="15"/>
      <c r="N372" s="15"/>
      <c r="O372" s="16" t="s">
        <v>84</v>
      </c>
      <c r="P372" s="6"/>
      <c r="Q372" s="6" t="s">
        <v>769</v>
      </c>
      <c r="R372" s="6" t="s">
        <v>4028</v>
      </c>
      <c r="S372" s="6" t="s">
        <v>69</v>
      </c>
      <c r="T372" s="15" t="s">
        <v>70</v>
      </c>
      <c r="U372" s="6"/>
      <c r="V372" s="6" t="s">
        <v>2325</v>
      </c>
      <c r="W372" s="6" t="s">
        <v>260</v>
      </c>
      <c r="X372" s="6" t="s">
        <v>4029</v>
      </c>
      <c r="Y372" s="6" t="s">
        <v>69</v>
      </c>
      <c r="Z372" s="6" t="s">
        <v>70</v>
      </c>
      <c r="AA372" s="15"/>
      <c r="AB372" s="15"/>
      <c r="AC372" s="15"/>
      <c r="AD372" s="15"/>
      <c r="AE372" s="16">
        <v>158</v>
      </c>
      <c r="AF372" s="16"/>
      <c r="AG372" s="16"/>
      <c r="AH372" s="16"/>
      <c r="AI372" s="16"/>
      <c r="AJ372" s="16"/>
      <c r="AK372" s="16"/>
      <c r="AL372" s="16">
        <v>4</v>
      </c>
      <c r="AM372" s="16"/>
      <c r="AN372" s="15"/>
      <c r="AO372" s="6"/>
      <c r="AP372" s="25"/>
      <c r="AQ372" s="15"/>
      <c r="AR372" s="16" t="s">
        <v>111</v>
      </c>
      <c r="AS372" s="16" t="s">
        <v>1956</v>
      </c>
      <c r="AT372" s="6"/>
      <c r="AU372" s="6"/>
      <c r="AV372" s="6"/>
      <c r="AW372" s="6"/>
      <c r="AX372" s="12" t="str">
        <f t="shared" si="20"/>
        <v/>
      </c>
      <c r="AY372" s="12" t="str">
        <f t="shared" si="21"/>
        <v/>
      </c>
      <c r="AZ372" s="18"/>
      <c r="BA372" s="19"/>
      <c r="BB372" s="19"/>
      <c r="BC372" s="19"/>
      <c r="BD372" s="19"/>
      <c r="BE372" s="19"/>
      <c r="BF372" s="19"/>
      <c r="BG372" s="19"/>
      <c r="BH372" s="19"/>
      <c r="BI372" s="19"/>
      <c r="BJ372" s="19"/>
      <c r="BK372" s="19"/>
    </row>
    <row r="373" spans="1:63" ht="20.100000000000001" hidden="1" customHeight="1" x14ac:dyDescent="0.2">
      <c r="A373" s="13">
        <v>368</v>
      </c>
      <c r="B373" s="16" t="s">
        <v>3996</v>
      </c>
      <c r="C373" s="16" t="s">
        <v>1360</v>
      </c>
      <c r="D373" s="6" t="s">
        <v>887</v>
      </c>
      <c r="E373" s="6"/>
      <c r="F373" s="6"/>
      <c r="G373" s="6"/>
      <c r="H373" s="15" t="s">
        <v>7</v>
      </c>
      <c r="I373" s="15"/>
      <c r="J373" s="15"/>
      <c r="K373" s="15"/>
      <c r="L373" s="15"/>
      <c r="M373" s="15"/>
      <c r="N373" s="15"/>
      <c r="O373" s="16" t="s">
        <v>84</v>
      </c>
      <c r="P373" s="35" t="s">
        <v>769</v>
      </c>
      <c r="Q373" s="35" t="s">
        <v>223</v>
      </c>
      <c r="R373" s="6"/>
      <c r="S373" s="6" t="s">
        <v>106</v>
      </c>
      <c r="T373" s="15" t="s">
        <v>107</v>
      </c>
      <c r="U373" s="6" t="s">
        <v>757</v>
      </c>
      <c r="V373" s="6" t="s">
        <v>1809</v>
      </c>
      <c r="W373" s="6" t="s">
        <v>116</v>
      </c>
      <c r="X373" s="6"/>
      <c r="Y373" s="6" t="s">
        <v>106</v>
      </c>
      <c r="Z373" s="6" t="s">
        <v>107</v>
      </c>
      <c r="AA373" s="15"/>
      <c r="AB373" s="15"/>
      <c r="AC373" s="15">
        <v>147</v>
      </c>
      <c r="AD373" s="15">
        <v>138</v>
      </c>
      <c r="AE373" s="16">
        <v>138</v>
      </c>
      <c r="AF373" s="16">
        <v>79</v>
      </c>
      <c r="AG373" s="16">
        <v>92</v>
      </c>
      <c r="AH373" s="16">
        <v>4</v>
      </c>
      <c r="AI373" s="16">
        <v>47</v>
      </c>
      <c r="AJ373" s="16">
        <v>143</v>
      </c>
      <c r="AK373" s="16">
        <v>6</v>
      </c>
      <c r="AL373" s="34">
        <v>4</v>
      </c>
      <c r="AM373" s="16"/>
      <c r="AN373" s="15"/>
      <c r="AO373" s="6"/>
      <c r="AP373" s="25"/>
      <c r="AQ373" s="15"/>
      <c r="AR373" s="16"/>
      <c r="AS373" s="16"/>
      <c r="AT373" s="6"/>
      <c r="AU373" s="6"/>
      <c r="AV373" s="6"/>
      <c r="AW373" s="6"/>
      <c r="AX373" s="12" t="str">
        <f t="shared" si="20"/>
        <v/>
      </c>
      <c r="AY373" s="12" t="str">
        <f t="shared" si="21"/>
        <v/>
      </c>
      <c r="AZ373" s="18"/>
      <c r="BA373" s="19"/>
      <c r="BB373" s="19"/>
      <c r="BC373" s="19"/>
      <c r="BD373" s="19"/>
      <c r="BE373" s="19"/>
      <c r="BF373" s="19"/>
      <c r="BG373" s="19"/>
      <c r="BH373" s="19"/>
      <c r="BI373" s="19"/>
      <c r="BJ373" s="19"/>
      <c r="BK373" s="19"/>
    </row>
    <row r="374" spans="1:63" s="21" customFormat="1" ht="20.100000000000001" hidden="1" customHeight="1" x14ac:dyDescent="0.2">
      <c r="A374" s="13">
        <v>369</v>
      </c>
      <c r="B374" s="29" t="s">
        <v>3996</v>
      </c>
      <c r="C374" s="29" t="s">
        <v>1360</v>
      </c>
      <c r="D374" s="30" t="s">
        <v>2923</v>
      </c>
      <c r="E374" s="30"/>
      <c r="F374" s="30" t="s">
        <v>202</v>
      </c>
      <c r="G374" s="30"/>
      <c r="H374" s="20" t="s">
        <v>83</v>
      </c>
      <c r="I374" s="20"/>
      <c r="J374" s="20"/>
      <c r="K374" s="20"/>
      <c r="L374" s="20"/>
      <c r="M374" s="20"/>
      <c r="N374" s="20"/>
      <c r="O374" s="29" t="s">
        <v>93</v>
      </c>
      <c r="P374" s="30" t="s">
        <v>429</v>
      </c>
      <c r="Q374" s="30" t="s">
        <v>155</v>
      </c>
      <c r="R374" s="30" t="s">
        <v>3876</v>
      </c>
      <c r="S374" s="30" t="s">
        <v>106</v>
      </c>
      <c r="T374" s="20" t="s">
        <v>107</v>
      </c>
      <c r="U374" s="30" t="s">
        <v>429</v>
      </c>
      <c r="V374" s="30" t="s">
        <v>3677</v>
      </c>
      <c r="W374" s="30" t="s">
        <v>718</v>
      </c>
      <c r="X374" s="30" t="s">
        <v>3877</v>
      </c>
      <c r="Y374" s="30" t="s">
        <v>106</v>
      </c>
      <c r="Z374" s="30" t="s">
        <v>107</v>
      </c>
      <c r="AA374" s="20" t="s">
        <v>3871</v>
      </c>
      <c r="AB374" s="20"/>
      <c r="AC374" s="20"/>
      <c r="AD374" s="20">
        <v>222</v>
      </c>
      <c r="AE374" s="29"/>
      <c r="AF374" s="29"/>
      <c r="AG374" s="29"/>
      <c r="AH374" s="29"/>
      <c r="AI374" s="29"/>
      <c r="AJ374" s="29"/>
      <c r="AK374" s="29"/>
      <c r="AL374" s="29">
        <v>6</v>
      </c>
      <c r="AM374" s="29"/>
      <c r="AN374" s="20"/>
      <c r="AO374" s="30"/>
      <c r="AP374" s="36"/>
      <c r="AQ374" s="20"/>
      <c r="AR374" s="29"/>
      <c r="AS374" s="29"/>
      <c r="AT374" s="30" t="s">
        <v>113</v>
      </c>
      <c r="AU374" s="30" t="s">
        <v>148</v>
      </c>
      <c r="AV374" s="30" t="s">
        <v>113</v>
      </c>
      <c r="AW374" s="30" t="s">
        <v>344</v>
      </c>
      <c r="AX374" s="12">
        <f t="shared" si="20"/>
        <v>1</v>
      </c>
      <c r="AY374" s="12">
        <f t="shared" si="21"/>
        <v>1</v>
      </c>
      <c r="AZ374" s="32"/>
    </row>
    <row r="375" spans="1:63" ht="20.100000000000001" hidden="1" customHeight="1" x14ac:dyDescent="0.2">
      <c r="A375" s="13">
        <v>370</v>
      </c>
      <c r="B375" s="16" t="s">
        <v>3997</v>
      </c>
      <c r="C375" s="16" t="s">
        <v>1360</v>
      </c>
      <c r="D375" s="6" t="s">
        <v>2455</v>
      </c>
      <c r="E375" s="6"/>
      <c r="F375" s="6"/>
      <c r="G375" s="6"/>
      <c r="H375" s="15" t="s">
        <v>7</v>
      </c>
      <c r="I375" s="15"/>
      <c r="J375" s="15"/>
      <c r="K375" s="15"/>
      <c r="L375" s="15"/>
      <c r="M375" s="15"/>
      <c r="N375" s="15"/>
      <c r="O375" s="16" t="s">
        <v>84</v>
      </c>
      <c r="P375" s="6"/>
      <c r="Q375" s="155">
        <v>5.5</v>
      </c>
      <c r="R375" s="155">
        <v>3624</v>
      </c>
      <c r="S375" s="155" t="s">
        <v>106</v>
      </c>
      <c r="T375" s="155" t="s">
        <v>107</v>
      </c>
      <c r="U375" s="155">
        <v>0</v>
      </c>
      <c r="V375" s="155">
        <v>152</v>
      </c>
      <c r="W375" s="155">
        <v>14</v>
      </c>
      <c r="X375" s="155">
        <v>6698</v>
      </c>
      <c r="Y375" s="155" t="s">
        <v>369</v>
      </c>
      <c r="Z375" s="6" t="s">
        <v>369</v>
      </c>
      <c r="AA375" s="15"/>
      <c r="AB375" s="15"/>
      <c r="AC375" s="155">
        <v>106</v>
      </c>
      <c r="AD375" s="155">
        <v>92</v>
      </c>
      <c r="AE375" s="155">
        <v>92</v>
      </c>
      <c r="AF375" s="155">
        <v>51</v>
      </c>
      <c r="AG375" s="155">
        <v>68</v>
      </c>
      <c r="AH375" s="155">
        <v>25</v>
      </c>
      <c r="AI375" s="155">
        <v>4</v>
      </c>
      <c r="AJ375" s="155">
        <v>97</v>
      </c>
      <c r="AK375" s="155">
        <v>2.8</v>
      </c>
      <c r="AL375" s="16">
        <v>3</v>
      </c>
      <c r="AM375" s="16"/>
      <c r="AN375" s="15"/>
      <c r="AO375" s="6"/>
      <c r="AP375" s="25"/>
      <c r="AQ375" s="15"/>
      <c r="AR375" s="16" t="s">
        <v>1721</v>
      </c>
      <c r="AS375" s="16" t="s">
        <v>1932</v>
      </c>
      <c r="AT375" s="6"/>
      <c r="AU375" s="6"/>
      <c r="AV375" s="6"/>
      <c r="AW375" s="6"/>
      <c r="AX375" s="12" t="str">
        <f t="shared" si="20"/>
        <v/>
      </c>
      <c r="AY375" s="12" t="str">
        <f t="shared" si="21"/>
        <v/>
      </c>
      <c r="AZ375" s="18"/>
      <c r="BA375" s="19"/>
      <c r="BB375" s="19"/>
      <c r="BC375" s="19"/>
      <c r="BD375" s="19"/>
      <c r="BE375" s="19"/>
      <c r="BF375" s="19"/>
      <c r="BG375" s="19"/>
      <c r="BH375" s="19"/>
      <c r="BI375" s="19"/>
      <c r="BJ375" s="19"/>
      <c r="BK375" s="19"/>
    </row>
    <row r="376" spans="1:63" ht="20.100000000000001" hidden="1" customHeight="1" x14ac:dyDescent="0.2">
      <c r="A376" s="13">
        <v>371</v>
      </c>
      <c r="B376" s="16" t="s">
        <v>3997</v>
      </c>
      <c r="C376" s="16" t="s">
        <v>1360</v>
      </c>
      <c r="D376" s="6" t="s">
        <v>3998</v>
      </c>
      <c r="E376" s="6"/>
      <c r="F376" s="6" t="s">
        <v>192</v>
      </c>
      <c r="G376" s="6"/>
      <c r="H376" s="15" t="s">
        <v>7</v>
      </c>
      <c r="I376" s="15"/>
      <c r="J376" s="15"/>
      <c r="K376" s="15"/>
      <c r="L376" s="15"/>
      <c r="M376" s="15"/>
      <c r="N376" s="15"/>
      <c r="O376" s="16" t="s">
        <v>84</v>
      </c>
      <c r="P376" s="6"/>
      <c r="Q376" s="155">
        <v>62</v>
      </c>
      <c r="R376" s="155"/>
      <c r="S376" s="155" t="s">
        <v>106</v>
      </c>
      <c r="T376" s="155" t="s">
        <v>107</v>
      </c>
      <c r="U376" s="6"/>
      <c r="V376" s="155">
        <v>345</v>
      </c>
      <c r="W376" s="155">
        <v>8</v>
      </c>
      <c r="X376" s="155"/>
      <c r="Y376" s="155" t="s">
        <v>262</v>
      </c>
      <c r="Z376" s="155" t="s">
        <v>70</v>
      </c>
      <c r="AA376" s="15"/>
      <c r="AB376" s="15"/>
      <c r="AC376" s="155">
        <v>250</v>
      </c>
      <c r="AD376" s="155">
        <v>0</v>
      </c>
      <c r="AE376" s="155">
        <v>238</v>
      </c>
      <c r="AF376" s="155">
        <v>152</v>
      </c>
      <c r="AG376" s="155">
        <v>163</v>
      </c>
      <c r="AH376" s="155">
        <v>12</v>
      </c>
      <c r="AI376" s="155">
        <v>7.5</v>
      </c>
      <c r="AJ376" s="155">
        <v>182</v>
      </c>
      <c r="AK376" s="155">
        <v>22</v>
      </c>
      <c r="AL376" s="16">
        <v>6</v>
      </c>
      <c r="AM376" s="16"/>
      <c r="AN376" s="15"/>
      <c r="AO376" s="6"/>
      <c r="AP376" s="25"/>
      <c r="AQ376" s="15"/>
      <c r="AR376" s="16" t="s">
        <v>160</v>
      </c>
      <c r="AS376" s="16" t="s">
        <v>193</v>
      </c>
      <c r="AT376" s="6"/>
      <c r="AU376" s="6"/>
      <c r="AV376" s="6"/>
      <c r="AW376" s="6"/>
      <c r="AX376" s="12" t="str">
        <f t="shared" si="20"/>
        <v/>
      </c>
      <c r="AY376" s="12" t="str">
        <f t="shared" si="21"/>
        <v/>
      </c>
      <c r="AZ376" s="18"/>
      <c r="BA376" s="19"/>
      <c r="BB376" s="19"/>
      <c r="BC376" s="19"/>
      <c r="BD376" s="19"/>
      <c r="BE376" s="19"/>
      <c r="BF376" s="19"/>
      <c r="BG376" s="19"/>
      <c r="BH376" s="19"/>
      <c r="BI376" s="19"/>
      <c r="BJ376" s="19"/>
      <c r="BK376" s="19"/>
    </row>
    <row r="377" spans="1:63" ht="20.100000000000001" hidden="1" customHeight="1" x14ac:dyDescent="0.2">
      <c r="A377" s="13">
        <v>372</v>
      </c>
      <c r="B377" s="16" t="s">
        <v>3999</v>
      </c>
      <c r="C377" s="16" t="s">
        <v>1360</v>
      </c>
      <c r="D377" s="6" t="s">
        <v>3973</v>
      </c>
      <c r="E377" s="6"/>
      <c r="F377" s="6"/>
      <c r="G377" s="6"/>
      <c r="H377" s="15" t="s">
        <v>7</v>
      </c>
      <c r="I377" s="15"/>
      <c r="J377" s="15"/>
      <c r="K377" s="15"/>
      <c r="L377" s="15"/>
      <c r="M377" s="15"/>
      <c r="N377" s="15"/>
      <c r="O377" s="16" t="s">
        <v>67</v>
      </c>
      <c r="P377" s="6"/>
      <c r="Q377" s="155">
        <v>45</v>
      </c>
      <c r="R377" s="155">
        <v>3621</v>
      </c>
      <c r="S377" s="155" t="s">
        <v>106</v>
      </c>
      <c r="T377" s="155" t="s">
        <v>107</v>
      </c>
      <c r="U377" s="6"/>
      <c r="V377" s="155">
        <v>384</v>
      </c>
      <c r="W377" s="155">
        <v>6</v>
      </c>
      <c r="X377" s="155">
        <v>159212</v>
      </c>
      <c r="Y377" s="155" t="s">
        <v>106</v>
      </c>
      <c r="Z377" s="155" t="s">
        <v>107</v>
      </c>
      <c r="AA377" s="15"/>
      <c r="AB377" s="15"/>
      <c r="AC377" s="155">
        <v>106</v>
      </c>
      <c r="AD377" s="156">
        <v>69</v>
      </c>
      <c r="AE377" s="156">
        <v>72</v>
      </c>
      <c r="AF377" s="155">
        <v>38</v>
      </c>
      <c r="AG377" s="155">
        <v>61</v>
      </c>
      <c r="AH377" s="155">
        <v>40</v>
      </c>
      <c r="AI377" s="155">
        <v>6</v>
      </c>
      <c r="AJ377" s="155">
        <v>107</v>
      </c>
      <c r="AK377" s="155">
        <v>28</v>
      </c>
      <c r="AL377" s="16">
        <v>6</v>
      </c>
      <c r="AM377" s="16"/>
      <c r="AN377" s="15"/>
      <c r="AO377" s="6"/>
      <c r="AP377" s="25"/>
      <c r="AQ377" s="15"/>
      <c r="AR377" s="16" t="s">
        <v>111</v>
      </c>
      <c r="AS377" s="16" t="s">
        <v>330</v>
      </c>
      <c r="AT377" s="6"/>
      <c r="AU377" s="6"/>
      <c r="AV377" s="6"/>
      <c r="AW377" s="6"/>
      <c r="AX377" s="12" t="str">
        <f t="shared" si="20"/>
        <v/>
      </c>
      <c r="AY377" s="12" t="str">
        <f t="shared" si="21"/>
        <v/>
      </c>
      <c r="AZ377" s="18"/>
      <c r="BA377" s="19"/>
      <c r="BB377" s="19"/>
      <c r="BC377" s="19"/>
      <c r="BD377" s="19"/>
      <c r="BE377" s="19"/>
      <c r="BF377" s="19"/>
      <c r="BG377" s="19"/>
      <c r="BH377" s="19"/>
      <c r="BI377" s="19"/>
      <c r="BJ377" s="19"/>
      <c r="BK377" s="19"/>
    </row>
    <row r="378" spans="1:63" ht="20.100000000000001" hidden="1" customHeight="1" x14ac:dyDescent="0.2">
      <c r="A378" s="13">
        <v>373</v>
      </c>
      <c r="B378" s="16" t="s">
        <v>4000</v>
      </c>
      <c r="C378" s="16" t="s">
        <v>1360</v>
      </c>
      <c r="D378" s="6" t="s">
        <v>4458</v>
      </c>
      <c r="E378" s="6"/>
      <c r="F378" s="6" t="s">
        <v>192</v>
      </c>
      <c r="G378" s="6"/>
      <c r="H378" s="15" t="s">
        <v>7</v>
      </c>
      <c r="I378" s="15"/>
      <c r="J378" s="15"/>
      <c r="K378" s="15"/>
      <c r="L378" s="15"/>
      <c r="M378" s="15"/>
      <c r="N378" s="15"/>
      <c r="O378" s="16" t="s">
        <v>92</v>
      </c>
      <c r="P378" s="6"/>
      <c r="Q378" s="157">
        <v>45</v>
      </c>
      <c r="R378" s="155">
        <v>3600</v>
      </c>
      <c r="S378" s="155" t="s">
        <v>106</v>
      </c>
      <c r="T378" s="155" t="s">
        <v>107</v>
      </c>
      <c r="U378" s="6"/>
      <c r="V378" s="155">
        <v>6608</v>
      </c>
      <c r="W378" s="155">
        <v>16</v>
      </c>
      <c r="X378" s="155">
        <v>159209</v>
      </c>
      <c r="Y378" s="155" t="s">
        <v>106</v>
      </c>
      <c r="Z378" s="155" t="s">
        <v>107</v>
      </c>
      <c r="AA378" s="15"/>
      <c r="AB378" s="15"/>
      <c r="AC378" s="155">
        <v>235</v>
      </c>
      <c r="AD378" s="155">
        <v>0</v>
      </c>
      <c r="AE378" s="155">
        <v>217</v>
      </c>
      <c r="AF378" s="155">
        <v>115</v>
      </c>
      <c r="AG378" s="155">
        <v>190</v>
      </c>
      <c r="AH378" s="155">
        <v>2</v>
      </c>
      <c r="AI378" s="155">
        <v>10</v>
      </c>
      <c r="AJ378" s="155">
        <v>202</v>
      </c>
      <c r="AK378" s="155">
        <v>9</v>
      </c>
      <c r="AL378" s="16">
        <v>6</v>
      </c>
      <c r="AM378" s="16"/>
      <c r="AN378" s="15"/>
      <c r="AO378" s="6"/>
      <c r="AP378" s="25"/>
      <c r="AQ378" s="15"/>
      <c r="AR378" s="16" t="s">
        <v>160</v>
      </c>
      <c r="AS378" s="16" t="s">
        <v>161</v>
      </c>
      <c r="AT378" s="6"/>
      <c r="AU378" s="6"/>
      <c r="AV378" s="6"/>
      <c r="AW378" s="6"/>
      <c r="AX378" s="12" t="str">
        <f t="shared" si="20"/>
        <v/>
      </c>
      <c r="AY378" s="12" t="str">
        <f t="shared" si="21"/>
        <v/>
      </c>
      <c r="AZ378" s="18"/>
      <c r="BA378" s="19"/>
      <c r="BB378" s="19"/>
      <c r="BC378" s="19"/>
      <c r="BD378" s="19"/>
      <c r="BE378" s="19"/>
      <c r="BF378" s="19"/>
      <c r="BG378" s="19"/>
      <c r="BH378" s="19"/>
      <c r="BI378" s="19"/>
      <c r="BJ378" s="19"/>
      <c r="BK378" s="19"/>
    </row>
    <row r="379" spans="1:63" ht="20.100000000000001" hidden="1" customHeight="1" x14ac:dyDescent="0.2">
      <c r="A379" s="13">
        <v>374</v>
      </c>
      <c r="B379" s="16" t="s">
        <v>4036</v>
      </c>
      <c r="C379" s="16" t="s">
        <v>1360</v>
      </c>
      <c r="D379" s="6" t="s">
        <v>87</v>
      </c>
      <c r="E379" s="6" t="s">
        <v>6</v>
      </c>
      <c r="F379" s="6"/>
      <c r="G379" s="6"/>
      <c r="H379" s="15" t="s">
        <v>7</v>
      </c>
      <c r="I379" s="15"/>
      <c r="J379" s="15"/>
      <c r="K379" s="15"/>
      <c r="L379" s="15"/>
      <c r="M379" s="15"/>
      <c r="N379" s="15"/>
      <c r="O379" s="16" t="s">
        <v>93</v>
      </c>
      <c r="P379" s="6"/>
      <c r="Q379" s="155">
        <v>62</v>
      </c>
      <c r="R379" s="155">
        <v>3625</v>
      </c>
      <c r="S379" s="155" t="s">
        <v>69</v>
      </c>
      <c r="T379" s="155" t="s">
        <v>70</v>
      </c>
      <c r="U379" s="6"/>
      <c r="V379" s="155">
        <v>293</v>
      </c>
      <c r="W379" s="155">
        <v>17</v>
      </c>
      <c r="X379" s="155">
        <v>159216</v>
      </c>
      <c r="Y379" s="155" t="s">
        <v>69</v>
      </c>
      <c r="Z379" s="155" t="s">
        <v>70</v>
      </c>
      <c r="AA379" s="15"/>
      <c r="AB379" s="15"/>
      <c r="AC379" s="155">
        <v>242</v>
      </c>
      <c r="AD379" s="155">
        <v>225</v>
      </c>
      <c r="AE379" s="155">
        <v>225</v>
      </c>
      <c r="AF379" s="155">
        <v>121</v>
      </c>
      <c r="AG379" s="155">
        <v>192</v>
      </c>
      <c r="AH379" s="155">
        <v>40</v>
      </c>
      <c r="AI379" s="155">
        <v>2</v>
      </c>
      <c r="AJ379" s="155"/>
      <c r="AK379" s="155"/>
      <c r="AL379" s="16">
        <v>6</v>
      </c>
      <c r="AM379" s="16"/>
      <c r="AN379" s="15"/>
      <c r="AO379" s="6"/>
      <c r="AP379" s="25"/>
      <c r="AQ379" s="15"/>
      <c r="AR379" s="16" t="s">
        <v>160</v>
      </c>
      <c r="AS379" s="16" t="s">
        <v>193</v>
      </c>
      <c r="AT379" s="6"/>
      <c r="AU379" s="6"/>
      <c r="AV379" s="6"/>
      <c r="AW379" s="6"/>
      <c r="AX379" s="12" t="str">
        <f t="shared" si="20"/>
        <v/>
      </c>
      <c r="AY379" s="12" t="str">
        <f t="shared" si="21"/>
        <v/>
      </c>
      <c r="AZ379" s="18"/>
      <c r="BA379" s="19"/>
      <c r="BB379" s="19"/>
      <c r="BC379" s="19"/>
      <c r="BD379" s="19"/>
      <c r="BE379" s="19"/>
      <c r="BF379" s="19"/>
      <c r="BG379" s="19"/>
      <c r="BH379" s="19"/>
      <c r="BI379" s="19"/>
      <c r="BJ379" s="19"/>
      <c r="BK379" s="19"/>
    </row>
    <row r="380" spans="1:63" ht="20.100000000000001" hidden="1" customHeight="1" x14ac:dyDescent="0.2">
      <c r="A380" s="13">
        <v>375</v>
      </c>
      <c r="B380" s="16" t="s">
        <v>4036</v>
      </c>
      <c r="C380" s="16" t="s">
        <v>1360</v>
      </c>
      <c r="D380" s="6" t="s">
        <v>1086</v>
      </c>
      <c r="E380" s="6" t="s">
        <v>9</v>
      </c>
      <c r="F380" s="6" t="s">
        <v>186</v>
      </c>
      <c r="G380" s="6"/>
      <c r="H380" s="15" t="s">
        <v>83</v>
      </c>
      <c r="I380" s="15"/>
      <c r="J380" s="15"/>
      <c r="K380" s="15"/>
      <c r="L380" s="15"/>
      <c r="M380" s="15"/>
      <c r="N380" s="15"/>
      <c r="O380" s="16" t="s">
        <v>92</v>
      </c>
      <c r="P380" s="6"/>
      <c r="Q380" s="6" t="s">
        <v>140</v>
      </c>
      <c r="R380" s="6" t="s">
        <v>657</v>
      </c>
      <c r="S380" s="6" t="s">
        <v>106</v>
      </c>
      <c r="T380" s="15" t="s">
        <v>107</v>
      </c>
      <c r="U380" s="6" t="s">
        <v>429</v>
      </c>
      <c r="V380" s="6" t="s">
        <v>2961</v>
      </c>
      <c r="W380" s="6" t="s">
        <v>769</v>
      </c>
      <c r="X380" s="6" t="s">
        <v>1627</v>
      </c>
      <c r="Y380" s="6" t="s">
        <v>73</v>
      </c>
      <c r="Z380" s="6" t="s">
        <v>70</v>
      </c>
      <c r="AA380" s="15" t="s">
        <v>4037</v>
      </c>
      <c r="AB380" s="15"/>
      <c r="AC380" s="15"/>
      <c r="AD380" s="15"/>
      <c r="AE380" s="16">
        <v>207</v>
      </c>
      <c r="AF380" s="16"/>
      <c r="AG380" s="16"/>
      <c r="AH380" s="16"/>
      <c r="AI380" s="16"/>
      <c r="AJ380" s="16"/>
      <c r="AK380" s="16"/>
      <c r="AL380" s="16">
        <v>6</v>
      </c>
      <c r="AM380" s="16"/>
      <c r="AN380" s="15"/>
      <c r="AO380" s="6"/>
      <c r="AP380" s="25"/>
      <c r="AQ380" s="15"/>
      <c r="AR380" s="16" t="s">
        <v>160</v>
      </c>
      <c r="AS380" s="16" t="s">
        <v>161</v>
      </c>
      <c r="AT380" s="6" t="s">
        <v>113</v>
      </c>
      <c r="AU380" s="6" t="s">
        <v>148</v>
      </c>
      <c r="AV380" s="6" t="s">
        <v>115</v>
      </c>
      <c r="AW380" s="6" t="s">
        <v>266</v>
      </c>
      <c r="AX380" s="12">
        <f t="shared" si="20"/>
        <v>11</v>
      </c>
      <c r="AY380" s="12">
        <f t="shared" si="21"/>
        <v>11</v>
      </c>
      <c r="AZ380" s="18"/>
      <c r="BA380" s="19"/>
      <c r="BB380" s="19"/>
      <c r="BC380" s="19"/>
      <c r="BD380" s="19"/>
      <c r="BE380" s="19"/>
      <c r="BF380" s="19"/>
      <c r="BG380" s="19"/>
      <c r="BH380" s="19"/>
      <c r="BI380" s="19"/>
      <c r="BJ380" s="19"/>
      <c r="BK380" s="19"/>
    </row>
    <row r="381" spans="1:63" ht="20.100000000000001" hidden="1" customHeight="1" x14ac:dyDescent="0.2">
      <c r="A381" s="13">
        <v>376</v>
      </c>
      <c r="B381" s="16" t="s">
        <v>4050</v>
      </c>
      <c r="C381" s="16"/>
      <c r="D381" s="159" t="s">
        <v>4051</v>
      </c>
      <c r="E381" s="159"/>
      <c r="F381" s="159" t="s">
        <v>192</v>
      </c>
      <c r="G381" s="159"/>
      <c r="H381" s="160" t="s">
        <v>7</v>
      </c>
      <c r="I381" s="160"/>
      <c r="J381" s="160"/>
      <c r="K381" s="160"/>
      <c r="L381" s="160"/>
      <c r="M381" s="160"/>
      <c r="N381" s="160"/>
      <c r="O381" s="16" t="s">
        <v>3576</v>
      </c>
      <c r="P381" s="159"/>
      <c r="Q381" s="159" t="s">
        <v>140</v>
      </c>
      <c r="R381" s="159" t="s">
        <v>4052</v>
      </c>
      <c r="S381" s="159" t="s">
        <v>106</v>
      </c>
      <c r="T381" s="160" t="s">
        <v>107</v>
      </c>
      <c r="U381" s="159" t="s">
        <v>429</v>
      </c>
      <c r="V381" s="159" t="s">
        <v>3677</v>
      </c>
      <c r="W381" s="159" t="s">
        <v>506</v>
      </c>
      <c r="X381" s="159" t="s">
        <v>4053</v>
      </c>
      <c r="Y381" s="159" t="s">
        <v>262</v>
      </c>
      <c r="Z381" s="159" t="s">
        <v>70</v>
      </c>
      <c r="AA381" s="160">
        <v>0</v>
      </c>
      <c r="AB381" s="160"/>
      <c r="AC381" s="155">
        <v>242</v>
      </c>
      <c r="AD381" s="155">
        <v>0</v>
      </c>
      <c r="AE381" s="155">
        <v>226</v>
      </c>
      <c r="AF381" s="155">
        <v>50</v>
      </c>
      <c r="AG381" s="155">
        <v>77</v>
      </c>
      <c r="AH381" s="155">
        <v>45</v>
      </c>
      <c r="AI381" s="155">
        <v>4</v>
      </c>
      <c r="AJ381" s="155">
        <v>126</v>
      </c>
      <c r="AK381" s="155">
        <v>20</v>
      </c>
      <c r="AL381" s="16">
        <v>6</v>
      </c>
      <c r="AM381" s="16"/>
      <c r="AN381" s="160"/>
      <c r="AO381" s="159"/>
      <c r="AP381" s="25"/>
      <c r="AQ381" s="160"/>
      <c r="AR381" s="16" t="s">
        <v>160</v>
      </c>
      <c r="AS381" s="16" t="s">
        <v>161</v>
      </c>
      <c r="AT381" s="159"/>
      <c r="AU381" s="159"/>
      <c r="AV381" s="159"/>
      <c r="AW381" s="159"/>
      <c r="AX381" s="12" t="str">
        <f>IF(AT381*AV381&gt;0,(AT381-AV381)*12+(AU381-AW381),"")</f>
        <v/>
      </c>
      <c r="AY381" s="12" t="str">
        <f>IF(AX381&lt;13,AX381,"")</f>
        <v/>
      </c>
      <c r="AZ381" s="18"/>
      <c r="BA381" s="19"/>
      <c r="BB381" s="19"/>
      <c r="BC381" s="19"/>
      <c r="BD381" s="19"/>
      <c r="BE381" s="19"/>
      <c r="BF381" s="19"/>
      <c r="BG381" s="19"/>
      <c r="BH381" s="19"/>
      <c r="BI381" s="19"/>
      <c r="BJ381" s="19"/>
      <c r="BK381" s="19"/>
    </row>
    <row r="382" spans="1:63" ht="20.100000000000001" hidden="1" customHeight="1" x14ac:dyDescent="0.2">
      <c r="A382" s="13">
        <v>377</v>
      </c>
      <c r="B382" s="16" t="s">
        <v>4039</v>
      </c>
      <c r="C382" s="16"/>
      <c r="D382" s="202" t="s">
        <v>1194</v>
      </c>
      <c r="E382" s="6" t="s">
        <v>6</v>
      </c>
      <c r="F382" s="6" t="s">
        <v>192</v>
      </c>
      <c r="G382" s="6"/>
      <c r="H382" s="15" t="s">
        <v>7</v>
      </c>
      <c r="I382" s="15"/>
      <c r="J382" s="15"/>
      <c r="K382" s="15"/>
      <c r="L382" s="15"/>
      <c r="M382" s="15"/>
      <c r="N382" s="15"/>
      <c r="O382" s="16" t="s">
        <v>92</v>
      </c>
      <c r="P382" s="6" t="s">
        <v>429</v>
      </c>
      <c r="Q382" s="155">
        <v>92</v>
      </c>
      <c r="R382" s="155">
        <v>3602</v>
      </c>
      <c r="S382" s="203" t="s">
        <v>142</v>
      </c>
      <c r="T382" s="203" t="s">
        <v>70</v>
      </c>
      <c r="U382" s="6" t="s">
        <v>429</v>
      </c>
      <c r="V382" s="155">
        <v>384</v>
      </c>
      <c r="W382" s="155">
        <v>11</v>
      </c>
      <c r="X382" s="155">
        <v>159220</v>
      </c>
      <c r="Y382" s="203" t="s">
        <v>142</v>
      </c>
      <c r="Z382" s="203" t="s">
        <v>70</v>
      </c>
      <c r="AA382" s="15">
        <v>0</v>
      </c>
      <c r="AB382" s="15" t="s">
        <v>162</v>
      </c>
      <c r="AC382" s="155">
        <v>253</v>
      </c>
      <c r="AD382" s="155">
        <v>0</v>
      </c>
      <c r="AE382" s="155">
        <v>237</v>
      </c>
      <c r="AF382" s="155">
        <v>171</v>
      </c>
      <c r="AG382" s="155">
        <v>181</v>
      </c>
      <c r="AH382" s="155">
        <v>34</v>
      </c>
      <c r="AI382" s="155">
        <v>7.5</v>
      </c>
      <c r="AJ382" s="155">
        <v>223</v>
      </c>
      <c r="AK382" s="155">
        <v>25</v>
      </c>
      <c r="AL382" s="16">
        <v>6</v>
      </c>
      <c r="AM382" s="16"/>
      <c r="AN382" s="15"/>
      <c r="AO382" s="6" t="s">
        <v>4040</v>
      </c>
      <c r="AP382" s="25">
        <v>223</v>
      </c>
      <c r="AQ382" s="15">
        <v>23</v>
      </c>
      <c r="AR382" s="16" t="s">
        <v>111</v>
      </c>
      <c r="AS382" s="16" t="s">
        <v>193</v>
      </c>
      <c r="AT382" s="6"/>
      <c r="AU382" s="6"/>
      <c r="AV382" s="6"/>
      <c r="AW382" s="6"/>
      <c r="AX382" s="12" t="str">
        <f>IF(AT382*AV382&gt;0,(AT382-AV382)*12+(AU382-AW382),"")</f>
        <v/>
      </c>
      <c r="AY382" s="12" t="str">
        <f>IF(AX382&lt;13,AX382,"")</f>
        <v/>
      </c>
      <c r="AZ382" s="18"/>
      <c r="BA382" s="19"/>
      <c r="BB382" s="19"/>
      <c r="BC382" s="19"/>
      <c r="BD382" s="19"/>
      <c r="BE382" s="19"/>
      <c r="BF382" s="19"/>
      <c r="BG382" s="19"/>
      <c r="BH382" s="19"/>
      <c r="BI382" s="19"/>
      <c r="BJ382" s="19"/>
      <c r="BK382" s="19"/>
    </row>
    <row r="383" spans="1:63" s="21" customFormat="1" ht="20.100000000000001" hidden="1" customHeight="1" x14ac:dyDescent="0.2">
      <c r="A383" s="13">
        <v>378</v>
      </c>
      <c r="B383" s="29" t="s">
        <v>4039</v>
      </c>
      <c r="C383" s="16"/>
      <c r="D383" s="30" t="s">
        <v>173</v>
      </c>
      <c r="E383" s="30" t="s">
        <v>9</v>
      </c>
      <c r="F383" s="30" t="s">
        <v>202</v>
      </c>
      <c r="G383" s="30"/>
      <c r="H383" s="20" t="s">
        <v>83</v>
      </c>
      <c r="I383" s="15"/>
      <c r="J383" s="15"/>
      <c r="K383" s="15"/>
      <c r="L383" s="15"/>
      <c r="M383" s="15"/>
      <c r="N383" s="15"/>
      <c r="O383" s="29"/>
      <c r="P383" s="30"/>
      <c r="Q383" s="30" t="s">
        <v>117</v>
      </c>
      <c r="R383" s="30"/>
      <c r="S383" s="30" t="s">
        <v>69</v>
      </c>
      <c r="T383" s="20" t="s">
        <v>70</v>
      </c>
      <c r="U383" s="30" t="s">
        <v>429</v>
      </c>
      <c r="V383" s="30" t="s">
        <v>2961</v>
      </c>
      <c r="W383" s="30" t="s">
        <v>226</v>
      </c>
      <c r="X383" s="30" t="s">
        <v>309</v>
      </c>
      <c r="Y383" s="30" t="s">
        <v>106</v>
      </c>
      <c r="Z383" s="30" t="s">
        <v>107</v>
      </c>
      <c r="AA383" s="20" t="s">
        <v>3708</v>
      </c>
      <c r="AB383" s="20" t="s">
        <v>162</v>
      </c>
      <c r="AC383" s="20"/>
      <c r="AD383" s="20">
        <v>204</v>
      </c>
      <c r="AE383" s="29"/>
      <c r="AF383" s="29"/>
      <c r="AG383" s="29"/>
      <c r="AH383" s="29"/>
      <c r="AI383" s="29"/>
      <c r="AJ383" s="29"/>
      <c r="AK383" s="29"/>
      <c r="AL383" s="29">
        <v>6</v>
      </c>
      <c r="AM383" s="29"/>
      <c r="AN383" s="20"/>
      <c r="AO383" s="30"/>
      <c r="AP383" s="36"/>
      <c r="AQ383" s="20"/>
      <c r="AR383" s="29" t="s">
        <v>111</v>
      </c>
      <c r="AS383" s="29" t="s">
        <v>161</v>
      </c>
      <c r="AT383" s="30" t="s">
        <v>113</v>
      </c>
      <c r="AU383" s="30" t="s">
        <v>266</v>
      </c>
      <c r="AV383" s="30" t="s">
        <v>113</v>
      </c>
      <c r="AW383" s="30" t="s">
        <v>1247</v>
      </c>
      <c r="AX383" s="12">
        <f>IF(AT383*AV383&gt;0,(AT383-AV383)*12+(AU383-AW383),"")</f>
        <v>4</v>
      </c>
      <c r="AY383" s="12">
        <f>IF(AX383&lt;13,AX383,"")</f>
        <v>4</v>
      </c>
      <c r="AZ383" s="32"/>
    </row>
    <row r="384" spans="1:63" ht="20.100000000000001" hidden="1" customHeight="1" x14ac:dyDescent="0.2">
      <c r="A384" s="13">
        <v>379</v>
      </c>
      <c r="B384" s="16" t="s">
        <v>4041</v>
      </c>
      <c r="C384" s="16"/>
      <c r="D384" s="6" t="s">
        <v>4042</v>
      </c>
      <c r="E384" s="6" t="s">
        <v>6</v>
      </c>
      <c r="F384" s="6" t="s">
        <v>1587</v>
      </c>
      <c r="G384" s="6"/>
      <c r="H384" s="15" t="s">
        <v>222</v>
      </c>
      <c r="I384" s="15"/>
      <c r="J384" s="15"/>
      <c r="K384" s="15"/>
      <c r="L384" s="15"/>
      <c r="M384" s="15"/>
      <c r="N384" s="15"/>
      <c r="O384" s="16" t="s">
        <v>92</v>
      </c>
      <c r="P384" s="6" t="s">
        <v>429</v>
      </c>
      <c r="Q384" s="6" t="s">
        <v>140</v>
      </c>
      <c r="R384" s="6" t="s">
        <v>1039</v>
      </c>
      <c r="S384" s="6" t="s">
        <v>106</v>
      </c>
      <c r="T384" s="15" t="s">
        <v>107</v>
      </c>
      <c r="U384" s="6" t="s">
        <v>429</v>
      </c>
      <c r="V384" s="6" t="s">
        <v>2961</v>
      </c>
      <c r="W384" s="6" t="s">
        <v>769</v>
      </c>
      <c r="X384" s="6" t="s">
        <v>1514</v>
      </c>
      <c r="Y384" s="6" t="s">
        <v>73</v>
      </c>
      <c r="Z384" s="6" t="s">
        <v>70</v>
      </c>
      <c r="AA384" s="15" t="s">
        <v>4043</v>
      </c>
      <c r="AB384" s="15" t="s">
        <v>4044</v>
      </c>
      <c r="AC384" s="15"/>
      <c r="AD384" s="15">
        <v>195</v>
      </c>
      <c r="AE384" s="16"/>
      <c r="AF384" s="16"/>
      <c r="AG384" s="16"/>
      <c r="AH384" s="16"/>
      <c r="AI384" s="16"/>
      <c r="AJ384" s="16"/>
      <c r="AK384" s="16"/>
      <c r="AL384" s="158">
        <v>4</v>
      </c>
      <c r="AM384" s="16"/>
      <c r="AN384" s="15"/>
      <c r="AO384" s="6"/>
      <c r="AP384" s="25"/>
      <c r="AQ384" s="15"/>
      <c r="AR384" s="16" t="s">
        <v>111</v>
      </c>
      <c r="AS384" s="16" t="s">
        <v>112</v>
      </c>
      <c r="AT384" s="6" t="s">
        <v>113</v>
      </c>
      <c r="AU384" s="6" t="s">
        <v>266</v>
      </c>
      <c r="AV384" s="6" t="s">
        <v>115</v>
      </c>
      <c r="AW384" s="6" t="s">
        <v>148</v>
      </c>
      <c r="AX384" s="12">
        <f t="shared" ref="AX384:AX446" si="22">IF(AT384*AV384&gt;0,(AT384-AV384)*12+(AU384-AW384),"")</f>
        <v>13</v>
      </c>
      <c r="AY384" s="12" t="str">
        <f t="shared" ref="AY384:AY446" si="23">IF(AX384&lt;13,AX384,"")</f>
        <v/>
      </c>
      <c r="AZ384" s="18" t="s">
        <v>4046</v>
      </c>
      <c r="BA384" s="19"/>
      <c r="BB384" s="19"/>
      <c r="BC384" s="19"/>
      <c r="BD384" s="19"/>
      <c r="BE384" s="19"/>
      <c r="BF384" s="19"/>
      <c r="BG384" s="19"/>
      <c r="BH384" s="19"/>
      <c r="BI384" s="19"/>
      <c r="BJ384" s="19"/>
      <c r="BK384" s="19"/>
    </row>
    <row r="385" spans="1:63" s="21" customFormat="1" ht="20.100000000000001" hidden="1" customHeight="1" x14ac:dyDescent="0.2">
      <c r="A385" s="13">
        <v>380</v>
      </c>
      <c r="B385" s="29" t="s">
        <v>4045</v>
      </c>
      <c r="C385" s="16"/>
      <c r="D385" s="30" t="s">
        <v>967</v>
      </c>
      <c r="E385" s="30" t="s">
        <v>10</v>
      </c>
      <c r="F385" s="30" t="s">
        <v>202</v>
      </c>
      <c r="G385" s="30"/>
      <c r="H385" s="20" t="s">
        <v>83</v>
      </c>
      <c r="I385" s="15"/>
      <c r="J385" s="15"/>
      <c r="K385" s="15"/>
      <c r="L385" s="15"/>
      <c r="M385" s="15"/>
      <c r="N385" s="15"/>
      <c r="O385" s="29" t="s">
        <v>84</v>
      </c>
      <c r="P385" s="30"/>
      <c r="Q385" s="30" t="s">
        <v>104</v>
      </c>
      <c r="R385" s="30" t="s">
        <v>3630</v>
      </c>
      <c r="S385" s="30" t="s">
        <v>142</v>
      </c>
      <c r="T385" s="20" t="s">
        <v>70</v>
      </c>
      <c r="U385" s="30"/>
      <c r="V385" s="30" t="s">
        <v>2961</v>
      </c>
      <c r="W385" s="30" t="s">
        <v>493</v>
      </c>
      <c r="X385" s="30" t="s">
        <v>3631</v>
      </c>
      <c r="Y385" s="30" t="s">
        <v>106</v>
      </c>
      <c r="Z385" s="30" t="s">
        <v>107</v>
      </c>
      <c r="AA385" s="20" t="s">
        <v>3607</v>
      </c>
      <c r="AB385" s="20" t="s">
        <v>162</v>
      </c>
      <c r="AC385" s="20"/>
      <c r="AD385" s="20"/>
      <c r="AE385" s="29"/>
      <c r="AF385" s="29"/>
      <c r="AG385" s="29"/>
      <c r="AH385" s="29"/>
      <c r="AI385" s="29"/>
      <c r="AJ385" s="29"/>
      <c r="AK385" s="29"/>
      <c r="AL385" s="29"/>
      <c r="AM385" s="29"/>
      <c r="AN385" s="20"/>
      <c r="AO385" s="30"/>
      <c r="AP385" s="36"/>
      <c r="AQ385" s="20"/>
      <c r="AR385" s="29" t="s">
        <v>111</v>
      </c>
      <c r="AS385" s="29" t="s">
        <v>193</v>
      </c>
      <c r="AT385" s="30" t="s">
        <v>113</v>
      </c>
      <c r="AU385" s="30" t="s">
        <v>266</v>
      </c>
      <c r="AV385" s="30" t="s">
        <v>113</v>
      </c>
      <c r="AW385" s="30" t="s">
        <v>1247</v>
      </c>
      <c r="AX385" s="12">
        <f t="shared" si="22"/>
        <v>4</v>
      </c>
      <c r="AY385" s="12">
        <f t="shared" si="23"/>
        <v>4</v>
      </c>
      <c r="AZ385" s="32"/>
    </row>
    <row r="386" spans="1:63" s="21" customFormat="1" ht="36" hidden="1" x14ac:dyDescent="0.2">
      <c r="A386" s="13">
        <v>381</v>
      </c>
      <c r="B386" s="29" t="s">
        <v>4045</v>
      </c>
      <c r="C386" s="16"/>
      <c r="D386" s="30" t="s">
        <v>89</v>
      </c>
      <c r="E386" s="30" t="s">
        <v>9</v>
      </c>
      <c r="F386" s="30" t="s">
        <v>185</v>
      </c>
      <c r="G386" s="30"/>
      <c r="H386" s="20" t="s">
        <v>83</v>
      </c>
      <c r="I386" s="15"/>
      <c r="J386" s="15"/>
      <c r="K386" s="15"/>
      <c r="L386" s="15"/>
      <c r="M386" s="15"/>
      <c r="N386" s="15"/>
      <c r="O386" s="29" t="s">
        <v>93</v>
      </c>
      <c r="P386" s="30"/>
      <c r="Q386" s="30" t="s">
        <v>155</v>
      </c>
      <c r="R386" s="30" t="s">
        <v>211</v>
      </c>
      <c r="S386" s="30" t="s">
        <v>69</v>
      </c>
      <c r="T386" s="20" t="s">
        <v>70</v>
      </c>
      <c r="U386" s="30"/>
      <c r="V386" s="30" t="s">
        <v>3677</v>
      </c>
      <c r="W386" s="30" t="s">
        <v>718</v>
      </c>
      <c r="X386" s="30" t="s">
        <v>157</v>
      </c>
      <c r="Y386" s="30" t="s">
        <v>106</v>
      </c>
      <c r="Z386" s="30" t="s">
        <v>107</v>
      </c>
      <c r="AA386" s="20" t="s">
        <v>213</v>
      </c>
      <c r="AB386" s="20" t="s">
        <v>162</v>
      </c>
      <c r="AC386" s="20"/>
      <c r="AD386" s="20"/>
      <c r="AE386" s="29">
        <v>236</v>
      </c>
      <c r="AF386" s="29"/>
      <c r="AG386" s="29"/>
      <c r="AH386" s="29"/>
      <c r="AI386" s="29"/>
      <c r="AJ386" s="29"/>
      <c r="AK386" s="29"/>
      <c r="AL386" s="29"/>
      <c r="AM386" s="163" t="s">
        <v>4071</v>
      </c>
      <c r="AN386" s="20"/>
      <c r="AO386" s="30"/>
      <c r="AP386" s="36"/>
      <c r="AQ386" s="20"/>
      <c r="AR386" s="29" t="s">
        <v>160</v>
      </c>
      <c r="AS386" s="29" t="s">
        <v>165</v>
      </c>
      <c r="AT386" s="30" t="s">
        <v>113</v>
      </c>
      <c r="AU386" s="30" t="s">
        <v>266</v>
      </c>
      <c r="AV386" s="30" t="s">
        <v>113</v>
      </c>
      <c r="AW386" s="30" t="s">
        <v>114</v>
      </c>
      <c r="AX386" s="12">
        <f t="shared" si="22"/>
        <v>8</v>
      </c>
      <c r="AY386" s="12">
        <f t="shared" si="23"/>
        <v>8</v>
      </c>
      <c r="AZ386" s="161" t="s">
        <v>4048</v>
      </c>
    </row>
    <row r="387" spans="1:63" ht="20.100000000000001" hidden="1" customHeight="1" x14ac:dyDescent="0.2">
      <c r="A387" s="13">
        <v>382</v>
      </c>
      <c r="B387" s="16" t="s">
        <v>4047</v>
      </c>
      <c r="C387" s="16"/>
      <c r="D387" s="6" t="s">
        <v>173</v>
      </c>
      <c r="E387" s="6" t="s">
        <v>9</v>
      </c>
      <c r="F387" s="6"/>
      <c r="G387" s="6"/>
      <c r="H387" s="15" t="s">
        <v>7</v>
      </c>
      <c r="I387" s="15"/>
      <c r="J387" s="15"/>
      <c r="K387" s="15"/>
      <c r="L387" s="15"/>
      <c r="M387" s="15"/>
      <c r="N387" s="15"/>
      <c r="O387" s="16" t="s">
        <v>92</v>
      </c>
      <c r="P387" s="6" t="s">
        <v>117</v>
      </c>
      <c r="Q387" s="6" t="s">
        <v>117</v>
      </c>
      <c r="R387" s="6" t="s">
        <v>4049</v>
      </c>
      <c r="S387" s="6" t="s">
        <v>106</v>
      </c>
      <c r="T387" s="15" t="s">
        <v>107</v>
      </c>
      <c r="U387" s="6" t="s">
        <v>306</v>
      </c>
      <c r="V387" s="6" t="s">
        <v>2961</v>
      </c>
      <c r="W387" s="6" t="s">
        <v>226</v>
      </c>
      <c r="X387" s="6" t="s">
        <v>309</v>
      </c>
      <c r="Y387" s="6" t="s">
        <v>369</v>
      </c>
      <c r="Z387" s="6" t="s">
        <v>369</v>
      </c>
      <c r="AA387" s="15">
        <v>0</v>
      </c>
      <c r="AB387" s="15" t="s">
        <v>4044</v>
      </c>
      <c r="AC387" s="15">
        <v>221</v>
      </c>
      <c r="AD387" s="15">
        <v>204</v>
      </c>
      <c r="AE387" s="16">
        <v>204</v>
      </c>
      <c r="AF387" s="16">
        <v>162</v>
      </c>
      <c r="AG387" s="16">
        <v>182</v>
      </c>
      <c r="AH387" s="16">
        <v>9</v>
      </c>
      <c r="AI387" s="16">
        <v>25</v>
      </c>
      <c r="AJ387" s="16">
        <v>216</v>
      </c>
      <c r="AK387" s="16">
        <v>10</v>
      </c>
      <c r="AL387" s="158">
        <v>4</v>
      </c>
      <c r="AM387" s="16"/>
      <c r="AN387" s="15"/>
      <c r="AO387" s="6"/>
      <c r="AP387" s="25"/>
      <c r="AQ387" s="15"/>
      <c r="AR387" s="16" t="s">
        <v>111</v>
      </c>
      <c r="AS387" s="16" t="s">
        <v>161</v>
      </c>
      <c r="AT387" s="6"/>
      <c r="AU387" s="6"/>
      <c r="AV387" s="6"/>
      <c r="AW387" s="6"/>
      <c r="AX387" s="12" t="str">
        <f t="shared" si="22"/>
        <v/>
      </c>
      <c r="AY387" s="12" t="str">
        <f t="shared" si="23"/>
        <v/>
      </c>
      <c r="AZ387" s="18"/>
      <c r="BA387" s="19"/>
      <c r="BB387" s="19"/>
      <c r="BC387" s="19"/>
      <c r="BD387" s="19"/>
      <c r="BE387" s="19"/>
      <c r="BF387" s="19"/>
      <c r="BG387" s="19"/>
      <c r="BH387" s="19"/>
      <c r="BI387" s="19"/>
      <c r="BJ387" s="19"/>
      <c r="BK387" s="19"/>
    </row>
    <row r="388" spans="1:63" ht="20.100000000000001" hidden="1" customHeight="1" x14ac:dyDescent="0.2">
      <c r="A388" s="13">
        <v>383</v>
      </c>
      <c r="B388" s="16" t="s">
        <v>4054</v>
      </c>
      <c r="C388" s="16"/>
      <c r="D388" s="6" t="s">
        <v>4055</v>
      </c>
      <c r="E388" s="6" t="s">
        <v>10</v>
      </c>
      <c r="F388" s="6" t="s">
        <v>186</v>
      </c>
      <c r="G388" s="6"/>
      <c r="H388" s="15" t="s">
        <v>83</v>
      </c>
      <c r="I388" s="15"/>
      <c r="J388" s="15"/>
      <c r="K388" s="15"/>
      <c r="L388" s="15"/>
      <c r="M388" s="15"/>
      <c r="N388" s="15"/>
      <c r="O388" s="16" t="s">
        <v>92</v>
      </c>
      <c r="P388" s="6"/>
      <c r="Q388" s="6" t="s">
        <v>155</v>
      </c>
      <c r="R388" s="6" t="s">
        <v>4056</v>
      </c>
      <c r="S388" s="6" t="s">
        <v>69</v>
      </c>
      <c r="T388" s="15" t="s">
        <v>70</v>
      </c>
      <c r="U388" s="6" t="s">
        <v>429</v>
      </c>
      <c r="V388" s="6" t="s">
        <v>3679</v>
      </c>
      <c r="W388" s="6" t="s">
        <v>718</v>
      </c>
      <c r="X388" s="6" t="s">
        <v>4057</v>
      </c>
      <c r="Y388" s="6"/>
      <c r="Z388" s="6"/>
      <c r="AA388" s="15" t="s">
        <v>4058</v>
      </c>
      <c r="AB388" s="15" t="s">
        <v>162</v>
      </c>
      <c r="AC388" s="15"/>
      <c r="AD388" s="15">
        <v>210</v>
      </c>
      <c r="AE388" s="16"/>
      <c r="AF388" s="16"/>
      <c r="AG388" s="16"/>
      <c r="AH388" s="16"/>
      <c r="AI388" s="16"/>
      <c r="AJ388" s="16"/>
      <c r="AK388" s="16"/>
      <c r="AL388" s="16">
        <v>6</v>
      </c>
      <c r="AM388" s="162" t="s">
        <v>4070</v>
      </c>
      <c r="AN388" s="15"/>
      <c r="AO388" s="6"/>
      <c r="AP388" s="25"/>
      <c r="AQ388" s="15"/>
      <c r="AR388" s="16" t="s">
        <v>160</v>
      </c>
      <c r="AS388" s="16" t="s">
        <v>165</v>
      </c>
      <c r="AT388" s="6" t="s">
        <v>113</v>
      </c>
      <c r="AU388" s="6" t="s">
        <v>266</v>
      </c>
      <c r="AV388" s="6" t="s">
        <v>115</v>
      </c>
      <c r="AW388" s="6" t="s">
        <v>296</v>
      </c>
      <c r="AX388" s="12">
        <f t="shared" si="22"/>
        <v>19</v>
      </c>
      <c r="AY388" s="12" t="str">
        <f t="shared" si="23"/>
        <v/>
      </c>
      <c r="AZ388" s="164" t="s">
        <v>4060</v>
      </c>
      <c r="BA388" s="19"/>
      <c r="BB388" s="19"/>
      <c r="BC388" s="19"/>
      <c r="BD388" s="19"/>
      <c r="BE388" s="19"/>
      <c r="BF388" s="19"/>
      <c r="BG388" s="19"/>
      <c r="BH388" s="19"/>
      <c r="BI388" s="19"/>
      <c r="BJ388" s="19"/>
      <c r="BK388" s="19"/>
    </row>
    <row r="389" spans="1:63" ht="20.100000000000001" hidden="1" customHeight="1" x14ac:dyDescent="0.2">
      <c r="A389" s="13">
        <v>384</v>
      </c>
      <c r="B389" s="16" t="s">
        <v>4061</v>
      </c>
      <c r="C389" s="16"/>
      <c r="D389" s="6" t="s">
        <v>4062</v>
      </c>
      <c r="E389" s="165" t="s">
        <v>10</v>
      </c>
      <c r="F389" s="6" t="s">
        <v>192</v>
      </c>
      <c r="G389" s="6"/>
      <c r="H389" s="15" t="s">
        <v>7</v>
      </c>
      <c r="I389" s="15"/>
      <c r="J389" s="15"/>
      <c r="K389" s="15"/>
      <c r="L389" s="15"/>
      <c r="M389" s="15"/>
      <c r="N389" s="15"/>
      <c r="O389" s="16" t="s">
        <v>3576</v>
      </c>
      <c r="P389" s="6"/>
      <c r="Q389" s="6" t="s">
        <v>104</v>
      </c>
      <c r="R389" s="6"/>
      <c r="S389" s="6" t="s">
        <v>106</v>
      </c>
      <c r="T389" s="15" t="s">
        <v>107</v>
      </c>
      <c r="U389" s="6"/>
      <c r="V389" s="6" t="s">
        <v>3677</v>
      </c>
      <c r="W389" s="6" t="s">
        <v>555</v>
      </c>
      <c r="X389" s="6"/>
      <c r="Y389" s="6" t="s">
        <v>106</v>
      </c>
      <c r="Z389" s="6" t="s">
        <v>107</v>
      </c>
      <c r="AA389" s="15">
        <v>0</v>
      </c>
      <c r="AB389" s="15"/>
      <c r="AC389" s="155">
        <v>231</v>
      </c>
      <c r="AD389" s="155">
        <v>0</v>
      </c>
      <c r="AE389" s="155">
        <v>207</v>
      </c>
      <c r="AF389" s="155">
        <v>94</v>
      </c>
      <c r="AG389" s="155">
        <v>149</v>
      </c>
      <c r="AH389" s="155">
        <v>13</v>
      </c>
      <c r="AI389" s="155">
        <v>4</v>
      </c>
      <c r="AJ389" s="155">
        <v>166</v>
      </c>
      <c r="AK389" s="155">
        <v>18</v>
      </c>
      <c r="AL389" s="16">
        <v>6</v>
      </c>
      <c r="AM389" s="16"/>
      <c r="AN389" s="15"/>
      <c r="AO389" s="6"/>
      <c r="AP389" s="25"/>
      <c r="AQ389" s="15"/>
      <c r="AR389" s="16" t="s">
        <v>160</v>
      </c>
      <c r="AS389" s="16" t="s">
        <v>193</v>
      </c>
      <c r="AT389" s="6"/>
      <c r="AU389" s="6"/>
      <c r="AV389" s="6"/>
      <c r="AW389" s="6"/>
      <c r="AX389" s="12" t="str">
        <f t="shared" si="22"/>
        <v/>
      </c>
      <c r="AY389" s="12" t="str">
        <f t="shared" si="23"/>
        <v/>
      </c>
      <c r="AZ389" s="18"/>
      <c r="BA389" s="19"/>
      <c r="BB389" s="19"/>
      <c r="BC389" s="19"/>
      <c r="BD389" s="19"/>
      <c r="BE389" s="19"/>
      <c r="BF389" s="19"/>
      <c r="BG389" s="19"/>
      <c r="BH389" s="19"/>
      <c r="BI389" s="19"/>
      <c r="BJ389" s="19"/>
      <c r="BK389" s="19"/>
    </row>
    <row r="390" spans="1:63" s="21" customFormat="1" ht="20.100000000000001" hidden="1" customHeight="1" x14ac:dyDescent="0.2">
      <c r="A390" s="13">
        <v>385</v>
      </c>
      <c r="B390" s="29" t="s">
        <v>4063</v>
      </c>
      <c r="C390" s="16"/>
      <c r="D390" s="30" t="s">
        <v>4064</v>
      </c>
      <c r="E390" s="30" t="s">
        <v>20</v>
      </c>
      <c r="F390" s="30" t="s">
        <v>202</v>
      </c>
      <c r="G390" s="6"/>
      <c r="H390" s="20" t="s">
        <v>83</v>
      </c>
      <c r="I390" s="15"/>
      <c r="J390" s="15"/>
      <c r="K390" s="15"/>
      <c r="L390" s="15"/>
      <c r="M390" s="15"/>
      <c r="N390" s="15"/>
      <c r="O390" s="29" t="s">
        <v>92</v>
      </c>
      <c r="P390" s="30"/>
      <c r="Q390" s="30" t="s">
        <v>140</v>
      </c>
      <c r="R390" s="30" t="s">
        <v>3848</v>
      </c>
      <c r="S390" s="30" t="s">
        <v>106</v>
      </c>
      <c r="T390" s="20" t="s">
        <v>107</v>
      </c>
      <c r="U390" s="30"/>
      <c r="V390" s="30" t="s">
        <v>3677</v>
      </c>
      <c r="W390" s="30" t="s">
        <v>506</v>
      </c>
      <c r="X390" s="30" t="s">
        <v>4027</v>
      </c>
      <c r="Y390" s="30" t="s">
        <v>262</v>
      </c>
      <c r="Z390" s="30" t="s">
        <v>70</v>
      </c>
      <c r="AA390" s="20"/>
      <c r="AB390" s="20"/>
      <c r="AC390" s="20"/>
      <c r="AD390" s="20">
        <v>231</v>
      </c>
      <c r="AE390" s="29"/>
      <c r="AF390" s="29"/>
      <c r="AG390" s="29"/>
      <c r="AH390" s="29"/>
      <c r="AI390" s="29"/>
      <c r="AJ390" s="29"/>
      <c r="AK390" s="29"/>
      <c r="AL390" s="29">
        <v>6</v>
      </c>
      <c r="AM390" s="29"/>
      <c r="AN390" s="20"/>
      <c r="AO390" s="30"/>
      <c r="AP390" s="36"/>
      <c r="AQ390" s="20"/>
      <c r="AR390" s="29" t="s">
        <v>160</v>
      </c>
      <c r="AS390" s="29" t="s">
        <v>161</v>
      </c>
      <c r="AT390" s="30" t="s">
        <v>113</v>
      </c>
      <c r="AU390" s="30" t="s">
        <v>266</v>
      </c>
      <c r="AV390" s="30" t="s">
        <v>113</v>
      </c>
      <c r="AW390" s="30" t="s">
        <v>148</v>
      </c>
      <c r="AX390" s="12">
        <f t="shared" si="22"/>
        <v>1</v>
      </c>
      <c r="AY390" s="12">
        <f t="shared" si="23"/>
        <v>1</v>
      </c>
      <c r="AZ390" s="32"/>
    </row>
    <row r="391" spans="1:63" ht="20.100000000000001" hidden="1" customHeight="1" x14ac:dyDescent="0.2">
      <c r="A391" s="13">
        <v>386</v>
      </c>
      <c r="B391" s="16" t="s">
        <v>4063</v>
      </c>
      <c r="C391" s="16"/>
      <c r="D391" s="6" t="s">
        <v>4065</v>
      </c>
      <c r="E391" s="6" t="s">
        <v>6</v>
      </c>
      <c r="F391" s="248" t="s">
        <v>94</v>
      </c>
      <c r="G391" s="6"/>
      <c r="H391" s="15" t="s">
        <v>83</v>
      </c>
      <c r="I391" s="15"/>
      <c r="J391" s="15"/>
      <c r="K391" s="15"/>
      <c r="L391" s="15"/>
      <c r="M391" s="15"/>
      <c r="N391" s="15"/>
      <c r="O391" s="16" t="s">
        <v>93</v>
      </c>
      <c r="P391" s="6"/>
      <c r="Q391" s="6" t="s">
        <v>68</v>
      </c>
      <c r="R391" s="6" t="s">
        <v>4066</v>
      </c>
      <c r="S391" s="6" t="s">
        <v>262</v>
      </c>
      <c r="T391" s="15" t="s">
        <v>70</v>
      </c>
      <c r="U391" s="6"/>
      <c r="V391" s="6" t="s">
        <v>3677</v>
      </c>
      <c r="W391" s="6" t="s">
        <v>485</v>
      </c>
      <c r="X391" s="6" t="s">
        <v>4067</v>
      </c>
      <c r="Y391" s="6" t="s">
        <v>119</v>
      </c>
      <c r="Z391" s="6" t="s">
        <v>107</v>
      </c>
      <c r="AA391" s="15" t="s">
        <v>4068</v>
      </c>
      <c r="AB391" s="15"/>
      <c r="AC391" s="15"/>
      <c r="AD391" s="15"/>
      <c r="AE391" s="16"/>
      <c r="AF391" s="16"/>
      <c r="AG391" s="16"/>
      <c r="AH391" s="16"/>
      <c r="AI391" s="16"/>
      <c r="AJ391" s="16"/>
      <c r="AK391" s="16"/>
      <c r="AL391" s="16">
        <v>6</v>
      </c>
      <c r="AM391" s="162" t="s">
        <v>4069</v>
      </c>
      <c r="AN391" s="15"/>
      <c r="AO391" s="6"/>
      <c r="AP391" s="25"/>
      <c r="AQ391" s="15"/>
      <c r="AR391" s="16" t="s">
        <v>111</v>
      </c>
      <c r="AS391" s="16"/>
      <c r="AT391" s="6" t="s">
        <v>113</v>
      </c>
      <c r="AU391" s="6" t="s">
        <v>266</v>
      </c>
      <c r="AV391" s="6" t="s">
        <v>400</v>
      </c>
      <c r="AW391" s="6" t="s">
        <v>441</v>
      </c>
      <c r="AX391" s="12">
        <f t="shared" si="22"/>
        <v>83</v>
      </c>
      <c r="AY391" s="12" t="str">
        <f t="shared" si="23"/>
        <v/>
      </c>
      <c r="AZ391" s="18"/>
      <c r="BA391" s="19"/>
      <c r="BB391" s="19"/>
      <c r="BC391" s="19"/>
      <c r="BD391" s="19"/>
      <c r="BE391" s="19"/>
      <c r="BF391" s="19"/>
      <c r="BG391" s="19"/>
      <c r="BH391" s="19"/>
      <c r="BI391" s="19"/>
      <c r="BJ391" s="19"/>
      <c r="BK391" s="19"/>
    </row>
    <row r="392" spans="1:63" ht="20.100000000000001" hidden="1" customHeight="1" x14ac:dyDescent="0.2">
      <c r="A392" s="13">
        <v>387</v>
      </c>
      <c r="B392" s="16" t="s">
        <v>4072</v>
      </c>
      <c r="C392" s="16"/>
      <c r="D392" s="6" t="s">
        <v>2299</v>
      </c>
      <c r="E392" s="6" t="s">
        <v>19</v>
      </c>
      <c r="F392" s="6" t="s">
        <v>4038</v>
      </c>
      <c r="G392" s="6"/>
      <c r="H392" s="15" t="s">
        <v>83</v>
      </c>
      <c r="I392" s="15"/>
      <c r="J392" s="15"/>
      <c r="K392" s="15"/>
      <c r="L392" s="15"/>
      <c r="M392" s="15"/>
      <c r="N392" s="15"/>
      <c r="O392" s="16" t="s">
        <v>84</v>
      </c>
      <c r="P392" s="6"/>
      <c r="Q392" s="6" t="s">
        <v>141</v>
      </c>
      <c r="R392" s="6" t="s">
        <v>4078</v>
      </c>
      <c r="S392" s="6" t="s">
        <v>119</v>
      </c>
      <c r="T392" s="15" t="s">
        <v>107</v>
      </c>
      <c r="U392" s="6"/>
      <c r="V392" s="6" t="s">
        <v>2245</v>
      </c>
      <c r="W392" s="6" t="s">
        <v>718</v>
      </c>
      <c r="X392" s="6"/>
      <c r="Y392" s="6" t="s">
        <v>119</v>
      </c>
      <c r="Z392" s="6" t="s">
        <v>107</v>
      </c>
      <c r="AA392" s="15" t="s">
        <v>4073</v>
      </c>
      <c r="AB392" s="15"/>
      <c r="AC392" s="15"/>
      <c r="AD392" s="15">
        <v>126</v>
      </c>
      <c r="AE392" s="16"/>
      <c r="AF392" s="16"/>
      <c r="AG392" s="16"/>
      <c r="AH392" s="16"/>
      <c r="AI392" s="16"/>
      <c r="AJ392" s="16"/>
      <c r="AK392" s="16"/>
      <c r="AL392" s="16">
        <v>4</v>
      </c>
      <c r="AM392" s="16"/>
      <c r="AN392" s="15"/>
      <c r="AO392" s="6"/>
      <c r="AP392" s="25"/>
      <c r="AQ392" s="15"/>
      <c r="AR392" s="16" t="s">
        <v>111</v>
      </c>
      <c r="AS392" s="16" t="s">
        <v>231</v>
      </c>
      <c r="AT392" s="6" t="s">
        <v>113</v>
      </c>
      <c r="AU392" s="6" t="s">
        <v>266</v>
      </c>
      <c r="AV392" s="6" t="s">
        <v>136</v>
      </c>
      <c r="AW392" s="6" t="s">
        <v>116</v>
      </c>
      <c r="AX392" s="12">
        <f t="shared" si="22"/>
        <v>22</v>
      </c>
      <c r="AY392" s="12" t="str">
        <f t="shared" si="23"/>
        <v/>
      </c>
      <c r="AZ392" s="18"/>
      <c r="BA392" s="19"/>
      <c r="BB392" s="19"/>
      <c r="BC392" s="19"/>
      <c r="BD392" s="19"/>
      <c r="BE392" s="19"/>
      <c r="BF392" s="19"/>
      <c r="BG392" s="19"/>
      <c r="BH392" s="19"/>
      <c r="BI392" s="19"/>
      <c r="BJ392" s="19"/>
      <c r="BK392" s="19"/>
    </row>
    <row r="393" spans="1:63" ht="20.100000000000001" hidden="1" customHeight="1" x14ac:dyDescent="0.2">
      <c r="A393" s="13">
        <v>388</v>
      </c>
      <c r="B393" s="16" t="s">
        <v>4074</v>
      </c>
      <c r="C393" s="16"/>
      <c r="D393" s="6" t="s">
        <v>4075</v>
      </c>
      <c r="E393" s="6" t="s">
        <v>9</v>
      </c>
      <c r="F393" s="6"/>
      <c r="G393" s="6"/>
      <c r="H393" s="15" t="s">
        <v>7</v>
      </c>
      <c r="I393" s="15"/>
      <c r="J393" s="15"/>
      <c r="K393" s="15"/>
      <c r="L393" s="15"/>
      <c r="M393" s="15"/>
      <c r="N393" s="15"/>
      <c r="O393" s="16" t="s">
        <v>93</v>
      </c>
      <c r="P393" s="6" t="s">
        <v>155</v>
      </c>
      <c r="Q393" s="6" t="s">
        <v>155</v>
      </c>
      <c r="R393" s="6" t="s">
        <v>4076</v>
      </c>
      <c r="S393" s="6" t="s">
        <v>106</v>
      </c>
      <c r="T393" s="15" t="s">
        <v>107</v>
      </c>
      <c r="U393" s="6" t="s">
        <v>156</v>
      </c>
      <c r="V393" s="6" t="s">
        <v>3677</v>
      </c>
      <c r="W393" s="6" t="s">
        <v>718</v>
      </c>
      <c r="X393" s="6" t="s">
        <v>4077</v>
      </c>
      <c r="Y393" s="6" t="s">
        <v>262</v>
      </c>
      <c r="Z393" s="6" t="s">
        <v>70</v>
      </c>
      <c r="AA393" s="15">
        <v>0</v>
      </c>
      <c r="AB393" s="15" t="s">
        <v>4044</v>
      </c>
      <c r="AC393" s="15">
        <v>250</v>
      </c>
      <c r="AD393" s="33">
        <v>234</v>
      </c>
      <c r="AE393" s="34">
        <v>219</v>
      </c>
      <c r="AF393" s="16">
        <v>155</v>
      </c>
      <c r="AG393" s="16">
        <v>165</v>
      </c>
      <c r="AH393" s="16">
        <v>4</v>
      </c>
      <c r="AI393" s="16">
        <v>58</v>
      </c>
      <c r="AJ393" s="16">
        <v>227</v>
      </c>
      <c r="AK393" s="16">
        <v>18.3</v>
      </c>
      <c r="AL393" s="16">
        <v>6</v>
      </c>
      <c r="AM393" s="162" t="s">
        <v>4079</v>
      </c>
      <c r="AN393" s="15"/>
      <c r="AO393" s="6"/>
      <c r="AP393" s="25"/>
      <c r="AQ393" s="15"/>
      <c r="AR393" s="16" t="s">
        <v>160</v>
      </c>
      <c r="AS393" s="16" t="s">
        <v>165</v>
      </c>
      <c r="AT393" s="6"/>
      <c r="AU393" s="6"/>
      <c r="AV393" s="6"/>
      <c r="AW393" s="6"/>
      <c r="AX393" s="12" t="str">
        <f t="shared" si="22"/>
        <v/>
      </c>
      <c r="AY393" s="12" t="str">
        <f t="shared" si="23"/>
        <v/>
      </c>
      <c r="AZ393" s="18"/>
      <c r="BA393" s="19"/>
      <c r="BB393" s="19"/>
      <c r="BC393" s="19"/>
      <c r="BD393" s="19"/>
      <c r="BE393" s="19"/>
      <c r="BF393" s="19"/>
      <c r="BG393" s="19"/>
      <c r="BH393" s="19"/>
      <c r="BI393" s="19"/>
      <c r="BJ393" s="19"/>
      <c r="BK393" s="19"/>
    </row>
    <row r="394" spans="1:63" ht="20.100000000000001" hidden="1" customHeight="1" x14ac:dyDescent="0.2">
      <c r="A394" s="13">
        <v>389</v>
      </c>
      <c r="B394" s="16" t="s">
        <v>4074</v>
      </c>
      <c r="C394" s="16"/>
      <c r="D394" s="6" t="s">
        <v>2197</v>
      </c>
      <c r="E394" s="6" t="s">
        <v>10</v>
      </c>
      <c r="F394" s="6" t="s">
        <v>4793</v>
      </c>
      <c r="G394" s="6"/>
      <c r="H394" s="15" t="s">
        <v>83</v>
      </c>
      <c r="I394" s="15"/>
      <c r="J394" s="15"/>
      <c r="K394" s="15"/>
      <c r="L394" s="15"/>
      <c r="M394" s="15"/>
      <c r="N394" s="15"/>
      <c r="O394" s="16" t="s">
        <v>92</v>
      </c>
      <c r="P394" s="6" t="s">
        <v>429</v>
      </c>
      <c r="Q394" s="6" t="s">
        <v>218</v>
      </c>
      <c r="R394" s="6" t="s">
        <v>4085</v>
      </c>
      <c r="S394" s="6" t="s">
        <v>119</v>
      </c>
      <c r="T394" s="15" t="s">
        <v>107</v>
      </c>
      <c r="U394" s="6" t="s">
        <v>429</v>
      </c>
      <c r="V394" s="6" t="s">
        <v>3679</v>
      </c>
      <c r="W394" s="6" t="s">
        <v>441</v>
      </c>
      <c r="X394" s="6" t="s">
        <v>4086</v>
      </c>
      <c r="Y394" s="6" t="s">
        <v>119</v>
      </c>
      <c r="Z394" s="6" t="s">
        <v>107</v>
      </c>
      <c r="AA394" s="15" t="s">
        <v>4081</v>
      </c>
      <c r="AB394" s="15" t="s">
        <v>4044</v>
      </c>
      <c r="AC394" s="15"/>
      <c r="AD394" s="15"/>
      <c r="AE394" s="16">
        <v>234</v>
      </c>
      <c r="AF394" s="16"/>
      <c r="AG394" s="16"/>
      <c r="AH394" s="16"/>
      <c r="AI394" s="16"/>
      <c r="AJ394" s="16"/>
      <c r="AK394" s="16"/>
      <c r="AL394" s="16">
        <v>6</v>
      </c>
      <c r="AM394" s="16"/>
      <c r="AN394" s="15"/>
      <c r="AO394" s="6"/>
      <c r="AP394" s="25"/>
      <c r="AQ394" s="15"/>
      <c r="AR394" s="16" t="s">
        <v>160</v>
      </c>
      <c r="AS394" s="16" t="s">
        <v>193</v>
      </c>
      <c r="AT394" s="6" t="s">
        <v>113</v>
      </c>
      <c r="AU394" s="6" t="s">
        <v>266</v>
      </c>
      <c r="AV394" s="6" t="s">
        <v>136</v>
      </c>
      <c r="AW394" s="6" t="s">
        <v>296</v>
      </c>
      <c r="AX394" s="12">
        <f t="shared" si="22"/>
        <v>31</v>
      </c>
      <c r="AY394" s="12" t="str">
        <f t="shared" si="23"/>
        <v/>
      </c>
      <c r="AZ394" s="18"/>
      <c r="BA394" s="19"/>
      <c r="BB394" s="19"/>
      <c r="BC394" s="19"/>
      <c r="BD394" s="19"/>
      <c r="BE394" s="19"/>
      <c r="BF394" s="19"/>
      <c r="BG394" s="19"/>
      <c r="BH394" s="19"/>
      <c r="BI394" s="19"/>
      <c r="BJ394" s="19"/>
      <c r="BK394" s="19"/>
    </row>
    <row r="395" spans="1:63" ht="20.100000000000001" hidden="1" customHeight="1" x14ac:dyDescent="0.2">
      <c r="A395" s="13">
        <v>390</v>
      </c>
      <c r="B395" s="16" t="s">
        <v>4080</v>
      </c>
      <c r="C395" s="16"/>
      <c r="D395" s="6" t="s">
        <v>3854</v>
      </c>
      <c r="E395" s="166" t="s">
        <v>10</v>
      </c>
      <c r="F395" s="6"/>
      <c r="G395" s="6"/>
      <c r="H395" s="15" t="s">
        <v>7</v>
      </c>
      <c r="I395" s="15"/>
      <c r="J395" s="15"/>
      <c r="K395" s="15"/>
      <c r="L395" s="15"/>
      <c r="M395" s="15"/>
      <c r="N395" s="15"/>
      <c r="O395" s="16" t="s">
        <v>92</v>
      </c>
      <c r="P395" s="6" t="s">
        <v>68</v>
      </c>
      <c r="Q395" s="6" t="s">
        <v>68</v>
      </c>
      <c r="R395" s="6" t="s">
        <v>4082</v>
      </c>
      <c r="S395" s="6" t="s">
        <v>106</v>
      </c>
      <c r="T395" s="15" t="s">
        <v>107</v>
      </c>
      <c r="U395" s="35" t="s">
        <v>263</v>
      </c>
      <c r="V395" s="35" t="s">
        <v>3680</v>
      </c>
      <c r="W395" s="35" t="s">
        <v>2348</v>
      </c>
      <c r="X395" s="6" t="s">
        <v>4083</v>
      </c>
      <c r="Y395" s="6" t="s">
        <v>106</v>
      </c>
      <c r="Z395" s="6" t="s">
        <v>107</v>
      </c>
      <c r="AA395" s="15"/>
      <c r="AB395" s="15" t="s">
        <v>162</v>
      </c>
      <c r="AC395" s="15">
        <v>237</v>
      </c>
      <c r="AD395" s="15">
        <v>210</v>
      </c>
      <c r="AE395" s="16">
        <v>210</v>
      </c>
      <c r="AF395" s="16">
        <v>95</v>
      </c>
      <c r="AG395" s="16">
        <v>133</v>
      </c>
      <c r="AH395" s="16">
        <v>4</v>
      </c>
      <c r="AI395" s="16">
        <v>60</v>
      </c>
      <c r="AJ395" s="16">
        <v>197</v>
      </c>
      <c r="AK395" s="16">
        <v>18</v>
      </c>
      <c r="AL395" s="16">
        <v>6</v>
      </c>
      <c r="AM395" s="162" t="s">
        <v>4084</v>
      </c>
      <c r="AN395" s="33" t="s">
        <v>158</v>
      </c>
      <c r="AO395" s="6"/>
      <c r="AP395" s="25"/>
      <c r="AQ395" s="15"/>
      <c r="AR395" s="16" t="s">
        <v>160</v>
      </c>
      <c r="AS395" s="16" t="s">
        <v>193</v>
      </c>
      <c r="AT395" s="6"/>
      <c r="AU395" s="6"/>
      <c r="AV395" s="6"/>
      <c r="AW395" s="6"/>
      <c r="AX395" s="12" t="str">
        <f t="shared" si="22"/>
        <v/>
      </c>
      <c r="AY395" s="12" t="str">
        <f t="shared" si="23"/>
        <v/>
      </c>
      <c r="AZ395" s="18"/>
      <c r="BA395" s="19"/>
      <c r="BB395" s="19"/>
      <c r="BC395" s="19"/>
      <c r="BD395" s="19"/>
      <c r="BE395" s="19"/>
      <c r="BF395" s="19"/>
      <c r="BG395" s="19"/>
      <c r="BH395" s="19"/>
      <c r="BI395" s="19"/>
      <c r="BJ395" s="19"/>
      <c r="BK395" s="19"/>
    </row>
    <row r="396" spans="1:63" ht="20.100000000000001" hidden="1" customHeight="1" x14ac:dyDescent="0.2">
      <c r="A396" s="13">
        <v>391</v>
      </c>
      <c r="B396" s="16" t="s">
        <v>4087</v>
      </c>
      <c r="C396" s="16"/>
      <c r="D396" s="6" t="s">
        <v>2669</v>
      </c>
      <c r="E396" s="6" t="s">
        <v>20</v>
      </c>
      <c r="F396" s="6"/>
      <c r="G396" s="6"/>
      <c r="H396" s="15" t="s">
        <v>7</v>
      </c>
      <c r="I396" s="15"/>
      <c r="J396" s="15"/>
      <c r="K396" s="15"/>
      <c r="L396" s="15"/>
      <c r="M396" s="15"/>
      <c r="N396" s="15"/>
      <c r="O396" s="16" t="s">
        <v>92</v>
      </c>
      <c r="P396" s="6" t="s">
        <v>140</v>
      </c>
      <c r="Q396" s="6" t="s">
        <v>140</v>
      </c>
      <c r="R396" s="6" t="s">
        <v>4088</v>
      </c>
      <c r="S396" s="6" t="s">
        <v>106</v>
      </c>
      <c r="T396" s="15" t="s">
        <v>107</v>
      </c>
      <c r="U396" s="35" t="s">
        <v>338</v>
      </c>
      <c r="V396" s="35" t="s">
        <v>2961</v>
      </c>
      <c r="W396" s="35" t="s">
        <v>144</v>
      </c>
      <c r="X396" s="6" t="s">
        <v>1514</v>
      </c>
      <c r="Y396" s="6" t="s">
        <v>106</v>
      </c>
      <c r="Z396" s="6" t="s">
        <v>107</v>
      </c>
      <c r="AA396" s="15"/>
      <c r="AB396" s="15" t="s">
        <v>4044</v>
      </c>
      <c r="AC396" s="155">
        <v>173</v>
      </c>
      <c r="AD396" s="155">
        <v>162</v>
      </c>
      <c r="AE396" s="155">
        <v>162</v>
      </c>
      <c r="AF396" s="155">
        <v>86</v>
      </c>
      <c r="AG396" s="155">
        <v>151</v>
      </c>
      <c r="AH396" s="155">
        <v>39</v>
      </c>
      <c r="AI396" s="155">
        <v>9</v>
      </c>
      <c r="AJ396" s="155">
        <v>199</v>
      </c>
      <c r="AK396" s="155">
        <v>9</v>
      </c>
      <c r="AL396" s="34">
        <v>4</v>
      </c>
      <c r="AM396" s="162" t="s">
        <v>4089</v>
      </c>
      <c r="AN396" s="33" t="s">
        <v>158</v>
      </c>
      <c r="AO396" s="6"/>
      <c r="AP396" s="25"/>
      <c r="AQ396" s="15"/>
      <c r="AR396" s="16" t="s">
        <v>111</v>
      </c>
      <c r="AS396" s="16" t="s">
        <v>112</v>
      </c>
      <c r="AT396" s="6"/>
      <c r="AU396" s="6"/>
      <c r="AV396" s="6"/>
      <c r="AW396" s="6"/>
      <c r="AX396" s="12" t="str">
        <f t="shared" si="22"/>
        <v/>
      </c>
      <c r="AY396" s="12" t="str">
        <f t="shared" si="23"/>
        <v/>
      </c>
      <c r="AZ396" s="18"/>
      <c r="BA396" s="19"/>
      <c r="BB396" s="19"/>
      <c r="BC396" s="19"/>
      <c r="BD396" s="19"/>
      <c r="BE396" s="19"/>
      <c r="BF396" s="19"/>
      <c r="BG396" s="19"/>
      <c r="BH396" s="19"/>
      <c r="BI396" s="19"/>
      <c r="BJ396" s="19"/>
      <c r="BK396" s="19"/>
    </row>
    <row r="397" spans="1:63" s="21" customFormat="1" ht="20.100000000000001" hidden="1" customHeight="1" x14ac:dyDescent="0.2">
      <c r="A397" s="13">
        <v>392</v>
      </c>
      <c r="B397" s="29" t="s">
        <v>4090</v>
      </c>
      <c r="C397" s="16"/>
      <c r="D397" s="30" t="s">
        <v>286</v>
      </c>
      <c r="E397" s="30" t="s">
        <v>9</v>
      </c>
      <c r="F397" s="30" t="s">
        <v>202</v>
      </c>
      <c r="G397" s="6"/>
      <c r="H397" s="20" t="s">
        <v>83</v>
      </c>
      <c r="I397" s="15"/>
      <c r="J397" s="15"/>
      <c r="K397" s="15"/>
      <c r="L397" s="15"/>
      <c r="M397" s="15"/>
      <c r="N397" s="15"/>
      <c r="O397" s="29"/>
      <c r="P397" s="30" t="s">
        <v>429</v>
      </c>
      <c r="Q397" s="30" t="s">
        <v>334</v>
      </c>
      <c r="R397" s="30" t="s">
        <v>335</v>
      </c>
      <c r="S397" s="30" t="s">
        <v>69</v>
      </c>
      <c r="T397" s="20" t="s">
        <v>70</v>
      </c>
      <c r="U397" s="30" t="s">
        <v>429</v>
      </c>
      <c r="V397" s="30" t="s">
        <v>1809</v>
      </c>
      <c r="W397" s="30" t="s">
        <v>2348</v>
      </c>
      <c r="X397" s="30" t="s">
        <v>337</v>
      </c>
      <c r="Y397" s="30" t="s">
        <v>142</v>
      </c>
      <c r="Z397" s="30" t="s">
        <v>70</v>
      </c>
      <c r="AA397" s="20" t="s">
        <v>316</v>
      </c>
      <c r="AB397" s="20" t="s">
        <v>162</v>
      </c>
      <c r="AC397" s="20"/>
      <c r="AD397" s="20">
        <v>192</v>
      </c>
      <c r="AE397" s="29"/>
      <c r="AF397" s="29"/>
      <c r="AG397" s="29"/>
      <c r="AH397" s="29"/>
      <c r="AI397" s="29"/>
      <c r="AJ397" s="29"/>
      <c r="AK397" s="29">
        <v>6</v>
      </c>
      <c r="AL397" s="29"/>
      <c r="AM397" s="29"/>
      <c r="AN397" s="20"/>
      <c r="AO397" s="30"/>
      <c r="AP397" s="36"/>
      <c r="AQ397" s="20"/>
      <c r="AR397" s="29" t="s">
        <v>160</v>
      </c>
      <c r="AS397" s="29" t="s">
        <v>231</v>
      </c>
      <c r="AT397" s="30" t="s">
        <v>113</v>
      </c>
      <c r="AU397" s="30" t="s">
        <v>266</v>
      </c>
      <c r="AV397" s="30" t="s">
        <v>113</v>
      </c>
      <c r="AW397" s="30" t="s">
        <v>296</v>
      </c>
      <c r="AX397" s="12">
        <f t="shared" si="22"/>
        <v>7</v>
      </c>
      <c r="AY397" s="12">
        <f t="shared" si="23"/>
        <v>7</v>
      </c>
      <c r="AZ397" s="32" t="s">
        <v>4091</v>
      </c>
    </row>
    <row r="398" spans="1:63" s="21" customFormat="1" ht="20.100000000000001" hidden="1" customHeight="1" x14ac:dyDescent="0.2">
      <c r="A398" s="13">
        <v>393</v>
      </c>
      <c r="B398" s="29" t="s">
        <v>4092</v>
      </c>
      <c r="C398" s="16"/>
      <c r="D398" s="30" t="s">
        <v>1130</v>
      </c>
      <c r="E398" s="30" t="s">
        <v>10</v>
      </c>
      <c r="F398" s="30" t="s">
        <v>605</v>
      </c>
      <c r="G398" s="6"/>
      <c r="H398" s="20" t="s">
        <v>83</v>
      </c>
      <c r="I398" s="15"/>
      <c r="J398" s="15"/>
      <c r="K398" s="15"/>
      <c r="L398" s="15"/>
      <c r="M398" s="15"/>
      <c r="N398" s="15"/>
      <c r="O398" s="29"/>
      <c r="P398" s="30" t="s">
        <v>429</v>
      </c>
      <c r="Q398" s="30" t="s">
        <v>141</v>
      </c>
      <c r="R398" s="30" t="s">
        <v>1760</v>
      </c>
      <c r="S398" s="30" t="s">
        <v>106</v>
      </c>
      <c r="T398" s="20" t="s">
        <v>107</v>
      </c>
      <c r="U398" s="30" t="s">
        <v>429</v>
      </c>
      <c r="V398" s="30" t="s">
        <v>1809</v>
      </c>
      <c r="W398" s="30" t="s">
        <v>144</v>
      </c>
      <c r="X398" s="30" t="s">
        <v>1761</v>
      </c>
      <c r="Y398" s="30" t="s">
        <v>69</v>
      </c>
      <c r="Z398" s="30" t="s">
        <v>70</v>
      </c>
      <c r="AA398" s="20" t="s">
        <v>4093</v>
      </c>
      <c r="AB398" s="20" t="s">
        <v>162</v>
      </c>
      <c r="AC398" s="20"/>
      <c r="AD398" s="20">
        <v>192</v>
      </c>
      <c r="AE398" s="29"/>
      <c r="AF398" s="29"/>
      <c r="AG398" s="29"/>
      <c r="AH398" s="29"/>
      <c r="AI398" s="29"/>
      <c r="AJ398" s="29"/>
      <c r="AK398" s="29"/>
      <c r="AL398" s="29">
        <v>6</v>
      </c>
      <c r="AM398" s="29"/>
      <c r="AN398" s="20"/>
      <c r="AO398" s="30"/>
      <c r="AP398" s="36"/>
      <c r="AQ398" s="20"/>
      <c r="AR398" s="29" t="s">
        <v>160</v>
      </c>
      <c r="AS398" s="29" t="s">
        <v>112</v>
      </c>
      <c r="AT398" s="30" t="s">
        <v>113</v>
      </c>
      <c r="AU398" s="30" t="s">
        <v>266</v>
      </c>
      <c r="AV398" s="30" t="s">
        <v>115</v>
      </c>
      <c r="AW398" s="30" t="s">
        <v>441</v>
      </c>
      <c r="AX398" s="12">
        <f t="shared" si="22"/>
        <v>11</v>
      </c>
      <c r="AY398" s="12">
        <f t="shared" si="23"/>
        <v>11</v>
      </c>
      <c r="AZ398" s="32"/>
    </row>
    <row r="399" spans="1:63" ht="20.100000000000001" hidden="1" customHeight="1" x14ac:dyDescent="0.2">
      <c r="A399" s="13">
        <v>394</v>
      </c>
      <c r="B399" s="16" t="s">
        <v>4095</v>
      </c>
      <c r="C399" s="16"/>
      <c r="D399" s="6" t="s">
        <v>4065</v>
      </c>
      <c r="E399" s="6" t="s">
        <v>6</v>
      </c>
      <c r="F399" s="6"/>
      <c r="G399" s="6"/>
      <c r="H399" s="15" t="s">
        <v>7</v>
      </c>
      <c r="I399" s="15"/>
      <c r="J399" s="15"/>
      <c r="K399" s="15"/>
      <c r="L399" s="15"/>
      <c r="M399" s="15"/>
      <c r="N399" s="15"/>
      <c r="O399" s="16" t="s">
        <v>92</v>
      </c>
      <c r="P399" s="35" t="s">
        <v>68</v>
      </c>
      <c r="Q399" s="35" t="s">
        <v>104</v>
      </c>
      <c r="R399" s="6" t="s">
        <v>4096</v>
      </c>
      <c r="S399" s="6" t="s">
        <v>106</v>
      </c>
      <c r="T399" s="15" t="s">
        <v>107</v>
      </c>
      <c r="U399" s="35" t="s">
        <v>263</v>
      </c>
      <c r="V399" s="35" t="s">
        <v>2245</v>
      </c>
      <c r="W399" s="35" t="s">
        <v>2348</v>
      </c>
      <c r="X399" s="6" t="s">
        <v>4097</v>
      </c>
      <c r="Y399" s="6" t="s">
        <v>142</v>
      </c>
      <c r="Z399" s="6" t="s">
        <v>70</v>
      </c>
      <c r="AA399" s="15">
        <v>0</v>
      </c>
      <c r="AB399" s="15" t="s">
        <v>4044</v>
      </c>
      <c r="AC399" s="15">
        <v>224</v>
      </c>
      <c r="AD399" s="33">
        <v>186</v>
      </c>
      <c r="AE399" s="34">
        <v>204</v>
      </c>
      <c r="AF399" s="16"/>
      <c r="AG399" s="16">
        <v>170</v>
      </c>
      <c r="AH399" s="16">
        <v>3</v>
      </c>
      <c r="AI399" s="16">
        <v>40</v>
      </c>
      <c r="AJ399" s="16">
        <v>213</v>
      </c>
      <c r="AK399" s="16">
        <v>16</v>
      </c>
      <c r="AL399" s="16">
        <v>6</v>
      </c>
      <c r="AM399" s="162" t="s">
        <v>4104</v>
      </c>
      <c r="AN399" s="33" t="s">
        <v>158</v>
      </c>
      <c r="AO399" s="6"/>
      <c r="AP399" s="25"/>
      <c r="AQ399" s="15"/>
      <c r="AR399" s="16" t="s">
        <v>111</v>
      </c>
      <c r="AS399" s="16" t="s">
        <v>161</v>
      </c>
      <c r="AT399" s="6"/>
      <c r="AU399" s="6"/>
      <c r="AV399" s="6"/>
      <c r="AW399" s="6"/>
      <c r="AX399" s="12" t="str">
        <f t="shared" si="22"/>
        <v/>
      </c>
      <c r="AY399" s="12" t="str">
        <f t="shared" si="23"/>
        <v/>
      </c>
      <c r="AZ399" s="18"/>
      <c r="BA399" s="19"/>
      <c r="BB399" s="19"/>
      <c r="BC399" s="19"/>
      <c r="BD399" s="19"/>
      <c r="BE399" s="19"/>
      <c r="BF399" s="19"/>
      <c r="BG399" s="19"/>
      <c r="BH399" s="19"/>
      <c r="BI399" s="19"/>
      <c r="BJ399" s="19"/>
      <c r="BK399" s="19"/>
    </row>
    <row r="400" spans="1:63" ht="20.100000000000001" hidden="1" customHeight="1" x14ac:dyDescent="0.2">
      <c r="A400" s="13">
        <v>395</v>
      </c>
      <c r="B400" s="16" t="s">
        <v>4098</v>
      </c>
      <c r="C400" s="16"/>
      <c r="D400" s="6" t="s">
        <v>88</v>
      </c>
      <c r="E400" s="6" t="s">
        <v>9</v>
      </c>
      <c r="F400" s="6"/>
      <c r="G400" s="6"/>
      <c r="H400" s="15" t="s">
        <v>7</v>
      </c>
      <c r="I400" s="15"/>
      <c r="J400" s="15"/>
      <c r="K400" s="15"/>
      <c r="L400" s="15"/>
      <c r="M400" s="15"/>
      <c r="N400" s="15"/>
      <c r="O400" s="16" t="s">
        <v>92</v>
      </c>
      <c r="P400" s="35" t="s">
        <v>68</v>
      </c>
      <c r="Q400" s="35" t="s">
        <v>104</v>
      </c>
      <c r="R400" s="6" t="s">
        <v>4099</v>
      </c>
      <c r="S400" s="6" t="s">
        <v>106</v>
      </c>
      <c r="T400" s="15" t="s">
        <v>107</v>
      </c>
      <c r="U400" s="35" t="s">
        <v>131</v>
      </c>
      <c r="V400" s="35" t="s">
        <v>1510</v>
      </c>
      <c r="W400" s="35" t="s">
        <v>260</v>
      </c>
      <c r="X400" s="6" t="s">
        <v>2119</v>
      </c>
      <c r="Y400" s="6" t="s">
        <v>106</v>
      </c>
      <c r="Z400" s="6" t="s">
        <v>107</v>
      </c>
      <c r="AA400" s="15">
        <v>0</v>
      </c>
      <c r="AB400" s="15" t="s">
        <v>162</v>
      </c>
      <c r="AC400" s="15">
        <v>240</v>
      </c>
      <c r="AD400" s="15">
        <v>216</v>
      </c>
      <c r="AE400" s="16">
        <v>216</v>
      </c>
      <c r="AF400" s="16">
        <v>128</v>
      </c>
      <c r="AG400" s="16">
        <v>160</v>
      </c>
      <c r="AH400" s="16">
        <v>2</v>
      </c>
      <c r="AI400" s="16">
        <v>5</v>
      </c>
      <c r="AJ400" s="16">
        <v>167</v>
      </c>
      <c r="AK400" s="16">
        <v>14</v>
      </c>
      <c r="AL400" s="16">
        <v>6</v>
      </c>
      <c r="AM400" s="162" t="s">
        <v>4101</v>
      </c>
      <c r="AN400" s="33" t="s">
        <v>158</v>
      </c>
      <c r="AO400" s="6"/>
      <c r="AP400" s="25"/>
      <c r="AQ400" s="15"/>
      <c r="AR400" s="34" t="s">
        <v>111</v>
      </c>
      <c r="AS400" s="34" t="s">
        <v>112</v>
      </c>
      <c r="AT400" s="6"/>
      <c r="AU400" s="6"/>
      <c r="AV400" s="6"/>
      <c r="AW400" s="6"/>
      <c r="AX400" s="12" t="str">
        <f t="shared" si="22"/>
        <v/>
      </c>
      <c r="AY400" s="12" t="str">
        <f t="shared" si="23"/>
        <v/>
      </c>
      <c r="AZ400" s="18" t="s">
        <v>4100</v>
      </c>
      <c r="BA400" s="19"/>
      <c r="BB400" s="19"/>
      <c r="BC400" s="19"/>
      <c r="BD400" s="19"/>
      <c r="BE400" s="19"/>
      <c r="BF400" s="19"/>
      <c r="BG400" s="19"/>
      <c r="BH400" s="19"/>
      <c r="BI400" s="19"/>
      <c r="BJ400" s="19"/>
      <c r="BK400" s="19"/>
    </row>
    <row r="401" spans="1:63" s="21" customFormat="1" ht="54" hidden="1" x14ac:dyDescent="0.2">
      <c r="A401" s="13">
        <v>396</v>
      </c>
      <c r="B401" s="29" t="s">
        <v>4102</v>
      </c>
      <c r="C401" s="29"/>
      <c r="D401" s="30" t="s">
        <v>3854</v>
      </c>
      <c r="E401" s="30" t="s">
        <v>10</v>
      </c>
      <c r="F401" s="30" t="s">
        <v>185</v>
      </c>
      <c r="G401" s="30"/>
      <c r="H401" s="20" t="s">
        <v>83</v>
      </c>
      <c r="I401" s="20"/>
      <c r="J401" s="20"/>
      <c r="K401" s="20"/>
      <c r="L401" s="20"/>
      <c r="M401" s="20"/>
      <c r="N401" s="20"/>
      <c r="O401" s="29" t="s">
        <v>92</v>
      </c>
      <c r="P401" s="30" t="s">
        <v>429</v>
      </c>
      <c r="Q401" s="30" t="s">
        <v>68</v>
      </c>
      <c r="R401" s="30" t="s">
        <v>4082</v>
      </c>
      <c r="S401" s="30" t="s">
        <v>106</v>
      </c>
      <c r="T401" s="20" t="s">
        <v>107</v>
      </c>
      <c r="U401" s="30" t="s">
        <v>429</v>
      </c>
      <c r="V401" s="30" t="s">
        <v>3680</v>
      </c>
      <c r="W401" s="30" t="s">
        <v>2348</v>
      </c>
      <c r="X401" s="30" t="s">
        <v>4083</v>
      </c>
      <c r="Y401" s="30" t="s">
        <v>106</v>
      </c>
      <c r="Z401" s="30" t="s">
        <v>107</v>
      </c>
      <c r="AA401" s="20" t="s">
        <v>4080</v>
      </c>
      <c r="AB401" s="20" t="s">
        <v>4044</v>
      </c>
      <c r="AC401" s="20"/>
      <c r="AD401" s="20">
        <v>210</v>
      </c>
      <c r="AE401" s="29"/>
      <c r="AF401" s="29"/>
      <c r="AG401" s="29"/>
      <c r="AH401" s="29"/>
      <c r="AI401" s="29"/>
      <c r="AJ401" s="29"/>
      <c r="AK401" s="29"/>
      <c r="AL401" s="29">
        <v>6</v>
      </c>
      <c r="AM401" s="29"/>
      <c r="AN401" s="20"/>
      <c r="AO401" s="30"/>
      <c r="AP401" s="36"/>
      <c r="AQ401" s="20"/>
      <c r="AR401" s="29" t="s">
        <v>160</v>
      </c>
      <c r="AS401" s="29" t="s">
        <v>193</v>
      </c>
      <c r="AT401" s="30" t="s">
        <v>113</v>
      </c>
      <c r="AU401" s="30" t="s">
        <v>266</v>
      </c>
      <c r="AV401" s="30" t="s">
        <v>113</v>
      </c>
      <c r="AW401" s="30" t="s">
        <v>266</v>
      </c>
      <c r="AX401" s="12">
        <f t="shared" si="22"/>
        <v>0</v>
      </c>
      <c r="AY401" s="12">
        <f t="shared" si="23"/>
        <v>0</v>
      </c>
      <c r="AZ401" s="161" t="s">
        <v>4103</v>
      </c>
    </row>
    <row r="402" spans="1:63" ht="20.100000000000001" hidden="1" customHeight="1" x14ac:dyDescent="0.2">
      <c r="A402" s="13">
        <v>397</v>
      </c>
      <c r="B402" s="16" t="s">
        <v>4105</v>
      </c>
      <c r="C402" s="16"/>
      <c r="D402" s="6" t="s">
        <v>1652</v>
      </c>
      <c r="E402" s="6" t="s">
        <v>10</v>
      </c>
      <c r="F402" s="6" t="s">
        <v>922</v>
      </c>
      <c r="G402" s="6"/>
      <c r="H402" s="15" t="s">
        <v>83</v>
      </c>
      <c r="I402" s="15"/>
      <c r="J402" s="15"/>
      <c r="K402" s="15"/>
      <c r="L402" s="15"/>
      <c r="M402" s="15"/>
      <c r="N402" s="15"/>
      <c r="O402" s="16" t="s">
        <v>92</v>
      </c>
      <c r="P402" s="6" t="s">
        <v>429</v>
      </c>
      <c r="Q402" s="6" t="s">
        <v>104</v>
      </c>
      <c r="R402" s="6" t="s">
        <v>1719</v>
      </c>
      <c r="S402" s="6" t="s">
        <v>106</v>
      </c>
      <c r="T402" s="15" t="s">
        <v>107</v>
      </c>
      <c r="U402" s="6" t="s">
        <v>429</v>
      </c>
      <c r="V402" s="6" t="s">
        <v>1510</v>
      </c>
      <c r="W402" s="6" t="s">
        <v>2348</v>
      </c>
      <c r="X402" s="6" t="s">
        <v>1174</v>
      </c>
      <c r="Y402" s="6" t="s">
        <v>106</v>
      </c>
      <c r="Z402" s="6" t="s">
        <v>107</v>
      </c>
      <c r="AA402" s="15" t="s">
        <v>3981</v>
      </c>
      <c r="AB402" s="15" t="s">
        <v>4044</v>
      </c>
      <c r="AC402" s="15"/>
      <c r="AD402" s="15"/>
      <c r="AE402" s="16">
        <v>204</v>
      </c>
      <c r="AF402" s="16"/>
      <c r="AG402" s="16"/>
      <c r="AH402" s="16"/>
      <c r="AI402" s="16"/>
      <c r="AJ402" s="16"/>
      <c r="AK402" s="16"/>
      <c r="AL402" s="16">
        <v>6</v>
      </c>
      <c r="AM402" s="162" t="s">
        <v>4107</v>
      </c>
      <c r="AN402" s="15"/>
      <c r="AO402" s="6"/>
      <c r="AP402" s="25"/>
      <c r="AQ402" s="15"/>
      <c r="AR402" s="16" t="s">
        <v>160</v>
      </c>
      <c r="AS402" s="16" t="s">
        <v>165</v>
      </c>
      <c r="AT402" s="6" t="s">
        <v>113</v>
      </c>
      <c r="AU402" s="6" t="s">
        <v>266</v>
      </c>
      <c r="AV402" s="6" t="s">
        <v>115</v>
      </c>
      <c r="AW402" s="6" t="s">
        <v>266</v>
      </c>
      <c r="AX402" s="12">
        <f t="shared" si="22"/>
        <v>12</v>
      </c>
      <c r="AY402" s="12">
        <f t="shared" si="23"/>
        <v>12</v>
      </c>
      <c r="AZ402" s="18"/>
      <c r="BA402" s="19"/>
      <c r="BB402" s="19"/>
      <c r="BC402" s="19"/>
      <c r="BD402" s="19"/>
      <c r="BE402" s="19"/>
      <c r="BF402" s="19"/>
      <c r="BG402" s="19"/>
      <c r="BH402" s="19"/>
      <c r="BI402" s="19"/>
      <c r="BJ402" s="19"/>
      <c r="BK402" s="19"/>
    </row>
    <row r="403" spans="1:63" ht="20.100000000000001" hidden="1" customHeight="1" x14ac:dyDescent="0.2">
      <c r="A403" s="13">
        <v>398</v>
      </c>
      <c r="B403" s="16" t="s">
        <v>4106</v>
      </c>
      <c r="C403" s="16"/>
      <c r="D403" s="6" t="s">
        <v>3854</v>
      </c>
      <c r="E403" s="168" t="s">
        <v>10</v>
      </c>
      <c r="F403" s="6"/>
      <c r="G403" s="6"/>
      <c r="H403" s="15" t="s">
        <v>7</v>
      </c>
      <c r="I403" s="15"/>
      <c r="J403" s="15"/>
      <c r="K403" s="15"/>
      <c r="L403" s="15"/>
      <c r="M403" s="15"/>
      <c r="N403" s="15"/>
      <c r="O403" s="16" t="s">
        <v>92</v>
      </c>
      <c r="P403" s="35" t="s">
        <v>68</v>
      </c>
      <c r="Q403" s="35" t="s">
        <v>117</v>
      </c>
      <c r="R403" s="6" t="s">
        <v>3544</v>
      </c>
      <c r="S403" s="6" t="s">
        <v>106</v>
      </c>
      <c r="T403" s="15" t="s">
        <v>107</v>
      </c>
      <c r="U403" s="6" t="s">
        <v>4108</v>
      </c>
      <c r="V403" s="6" t="s">
        <v>1510</v>
      </c>
      <c r="W403" s="6" t="s">
        <v>2258</v>
      </c>
      <c r="X403" s="6" t="s">
        <v>4109</v>
      </c>
      <c r="Y403" s="6" t="s">
        <v>106</v>
      </c>
      <c r="Z403" s="6" t="s">
        <v>107</v>
      </c>
      <c r="AA403" s="15">
        <v>0</v>
      </c>
      <c r="AB403" s="15" t="s">
        <v>162</v>
      </c>
      <c r="AC403" s="15">
        <v>237</v>
      </c>
      <c r="AD403" s="15">
        <v>210</v>
      </c>
      <c r="AE403" s="16">
        <v>210</v>
      </c>
      <c r="AF403" s="16">
        <v>95</v>
      </c>
      <c r="AG403" s="16">
        <v>120</v>
      </c>
      <c r="AH403" s="16">
        <v>2</v>
      </c>
      <c r="AI403" s="16">
        <v>80</v>
      </c>
      <c r="AJ403" s="16">
        <v>202</v>
      </c>
      <c r="AK403" s="16">
        <v>12</v>
      </c>
      <c r="AL403" s="16">
        <v>6</v>
      </c>
      <c r="AM403" s="162" t="s">
        <v>4125</v>
      </c>
      <c r="AN403" s="33" t="s">
        <v>158</v>
      </c>
      <c r="AO403" s="6" t="s">
        <v>4105</v>
      </c>
      <c r="AP403" s="25">
        <v>202</v>
      </c>
      <c r="AQ403" s="15">
        <v>13</v>
      </c>
      <c r="AR403" s="34" t="s">
        <v>160</v>
      </c>
      <c r="AS403" s="34" t="s">
        <v>161</v>
      </c>
      <c r="AT403" s="6"/>
      <c r="AU403" s="6"/>
      <c r="AV403" s="6"/>
      <c r="AW403" s="6"/>
      <c r="AX403" s="12" t="str">
        <f t="shared" si="22"/>
        <v/>
      </c>
      <c r="AY403" s="12" t="str">
        <f t="shared" si="23"/>
        <v/>
      </c>
      <c r="AZ403" s="18" t="s">
        <v>4110</v>
      </c>
      <c r="BA403" s="19"/>
      <c r="BB403" s="19"/>
      <c r="BC403" s="19"/>
      <c r="BD403" s="19"/>
      <c r="BE403" s="19"/>
      <c r="BF403" s="19"/>
      <c r="BG403" s="19"/>
      <c r="BH403" s="19"/>
      <c r="BI403" s="19"/>
      <c r="BJ403" s="19"/>
      <c r="BK403" s="19"/>
    </row>
    <row r="404" spans="1:63" ht="20.100000000000001" hidden="1" customHeight="1" x14ac:dyDescent="0.2">
      <c r="A404" s="13">
        <v>399</v>
      </c>
      <c r="B404" s="16" t="s">
        <v>4111</v>
      </c>
      <c r="C404" s="16"/>
      <c r="D404" s="6" t="s">
        <v>1652</v>
      </c>
      <c r="E404" s="170" t="s">
        <v>10</v>
      </c>
      <c r="F404" s="6"/>
      <c r="G404" s="6"/>
      <c r="H404" s="15" t="s">
        <v>7</v>
      </c>
      <c r="I404" s="15"/>
      <c r="J404" s="15"/>
      <c r="K404" s="15"/>
      <c r="L404" s="15"/>
      <c r="M404" s="15"/>
      <c r="N404" s="15"/>
      <c r="O404" s="16" t="s">
        <v>92</v>
      </c>
      <c r="P404" s="35" t="s">
        <v>104</v>
      </c>
      <c r="Q404" s="35" t="s">
        <v>117</v>
      </c>
      <c r="R404" s="6" t="s">
        <v>4116</v>
      </c>
      <c r="S404" s="6" t="s">
        <v>106</v>
      </c>
      <c r="T404" s="15" t="s">
        <v>107</v>
      </c>
      <c r="U404" s="6" t="s">
        <v>190</v>
      </c>
      <c r="V404" s="6" t="s">
        <v>1510</v>
      </c>
      <c r="W404" s="6" t="s">
        <v>2258</v>
      </c>
      <c r="X404" s="6" t="s">
        <v>4117</v>
      </c>
      <c r="Y404" s="6" t="s">
        <v>106</v>
      </c>
      <c r="Z404" s="6" t="s">
        <v>107</v>
      </c>
      <c r="AA404" s="15">
        <v>0</v>
      </c>
      <c r="AB404" s="15" t="s">
        <v>4044</v>
      </c>
      <c r="AC404" s="13">
        <v>220</v>
      </c>
      <c r="AD404" s="13">
        <v>204</v>
      </c>
      <c r="AE404" s="16">
        <v>204</v>
      </c>
      <c r="AF404" s="16">
        <v>118</v>
      </c>
      <c r="AG404" s="40">
        <v>157</v>
      </c>
      <c r="AH404" s="40">
        <v>32</v>
      </c>
      <c r="AI404" s="40">
        <v>3</v>
      </c>
      <c r="AJ404" s="13">
        <v>192</v>
      </c>
      <c r="AK404" s="40">
        <v>13</v>
      </c>
      <c r="AL404" s="16">
        <v>6</v>
      </c>
      <c r="AM404" s="162" t="s">
        <v>4126</v>
      </c>
      <c r="AN404" s="15"/>
      <c r="AO404" s="6"/>
      <c r="AP404" s="25"/>
      <c r="AQ404" s="15"/>
      <c r="AR404" s="16" t="s">
        <v>160</v>
      </c>
      <c r="AS404" s="16" t="s">
        <v>193</v>
      </c>
      <c r="AT404" s="6"/>
      <c r="AU404" s="6"/>
      <c r="AV404" s="6"/>
      <c r="AW404" s="6"/>
      <c r="AX404" s="12" t="str">
        <f t="shared" si="22"/>
        <v/>
      </c>
      <c r="AY404" s="12" t="str">
        <f t="shared" si="23"/>
        <v/>
      </c>
      <c r="AZ404" s="18"/>
      <c r="BA404" s="19"/>
      <c r="BB404" s="19"/>
      <c r="BC404" s="19"/>
      <c r="BD404" s="19"/>
      <c r="BE404" s="19"/>
      <c r="BF404" s="19"/>
      <c r="BG404" s="19"/>
      <c r="BH404" s="19"/>
      <c r="BI404" s="19"/>
      <c r="BJ404" s="19"/>
      <c r="BK404" s="19"/>
    </row>
    <row r="405" spans="1:63" s="21" customFormat="1" ht="36" hidden="1" customHeight="1" x14ac:dyDescent="0.2">
      <c r="A405" s="13">
        <v>400</v>
      </c>
      <c r="B405" s="29" t="s">
        <v>4112</v>
      </c>
      <c r="C405" s="29"/>
      <c r="D405" s="30" t="s">
        <v>1126</v>
      </c>
      <c r="E405" s="30" t="s">
        <v>10</v>
      </c>
      <c r="F405" s="30" t="s">
        <v>185</v>
      </c>
      <c r="G405" s="30"/>
      <c r="H405" s="20" t="s">
        <v>83</v>
      </c>
      <c r="I405" s="20"/>
      <c r="J405" s="20"/>
      <c r="K405" s="20"/>
      <c r="L405" s="20"/>
      <c r="M405" s="20"/>
      <c r="N405" s="20"/>
      <c r="O405" s="29" t="s">
        <v>92</v>
      </c>
      <c r="P405" s="30"/>
      <c r="Q405" s="30" t="s">
        <v>140</v>
      </c>
      <c r="R405" s="30" t="s">
        <v>4023</v>
      </c>
      <c r="S405" s="30" t="s">
        <v>106</v>
      </c>
      <c r="T405" s="20" t="s">
        <v>107</v>
      </c>
      <c r="U405" s="30" t="s">
        <v>429</v>
      </c>
      <c r="V405" s="30" t="s">
        <v>1809</v>
      </c>
      <c r="W405" s="30" t="s">
        <v>1581</v>
      </c>
      <c r="X405" s="30" t="s">
        <v>4024</v>
      </c>
      <c r="Y405" s="30" t="s">
        <v>69</v>
      </c>
      <c r="Z405" s="30" t="s">
        <v>70</v>
      </c>
      <c r="AA405" s="20" t="s">
        <v>3990</v>
      </c>
      <c r="AB405" s="20" t="s">
        <v>162</v>
      </c>
      <c r="AC405" s="20"/>
      <c r="AD405" s="20">
        <v>186</v>
      </c>
      <c r="AE405" s="29"/>
      <c r="AF405" s="29"/>
      <c r="AG405" s="29"/>
      <c r="AH405" s="29"/>
      <c r="AI405" s="29"/>
      <c r="AJ405" s="29"/>
      <c r="AK405" s="29"/>
      <c r="AL405" s="29">
        <v>4</v>
      </c>
      <c r="AM405" s="29"/>
      <c r="AN405" s="20"/>
      <c r="AO405" s="30"/>
      <c r="AP405" s="36"/>
      <c r="AQ405" s="20"/>
      <c r="AR405" s="29" t="s">
        <v>111</v>
      </c>
      <c r="AS405" s="29" t="s">
        <v>112</v>
      </c>
      <c r="AT405" s="30" t="s">
        <v>113</v>
      </c>
      <c r="AU405" s="30" t="s">
        <v>266</v>
      </c>
      <c r="AV405" s="30" t="s">
        <v>113</v>
      </c>
      <c r="AW405" s="30" t="s">
        <v>266</v>
      </c>
      <c r="AX405" s="12">
        <f t="shared" si="22"/>
        <v>0</v>
      </c>
      <c r="AY405" s="12">
        <f t="shared" si="23"/>
        <v>0</v>
      </c>
      <c r="AZ405" s="32" t="s">
        <v>4120</v>
      </c>
    </row>
    <row r="406" spans="1:63" ht="20.100000000000001" hidden="1" customHeight="1" x14ac:dyDescent="0.2">
      <c r="A406" s="13">
        <v>401</v>
      </c>
      <c r="B406" s="16" t="s">
        <v>4112</v>
      </c>
      <c r="C406" s="16"/>
      <c r="D406" s="170" t="s">
        <v>4113</v>
      </c>
      <c r="E406" s="170" t="s">
        <v>66</v>
      </c>
      <c r="F406" s="249" t="s">
        <v>4038</v>
      </c>
      <c r="G406" s="170"/>
      <c r="H406" s="169" t="s">
        <v>83</v>
      </c>
      <c r="I406" s="169"/>
      <c r="J406" s="169"/>
      <c r="K406" s="169"/>
      <c r="L406" s="169"/>
      <c r="M406" s="169"/>
      <c r="N406" s="169"/>
      <c r="O406" s="16" t="s">
        <v>93</v>
      </c>
      <c r="P406" s="170"/>
      <c r="Q406" s="170" t="s">
        <v>140</v>
      </c>
      <c r="R406" s="170"/>
      <c r="S406" s="170"/>
      <c r="T406" s="169"/>
      <c r="U406" s="170"/>
      <c r="V406" s="170" t="s">
        <v>2245</v>
      </c>
      <c r="W406" s="170" t="s">
        <v>116</v>
      </c>
      <c r="X406" s="170"/>
      <c r="Y406" s="170"/>
      <c r="Z406" s="170"/>
      <c r="AA406" s="169"/>
      <c r="AB406" s="169" t="s">
        <v>162</v>
      </c>
      <c r="AC406" s="169"/>
      <c r="AD406" s="169">
        <v>132</v>
      </c>
      <c r="AE406" s="16"/>
      <c r="AF406" s="16"/>
      <c r="AG406" s="16"/>
      <c r="AH406" s="16"/>
      <c r="AI406" s="16"/>
      <c r="AJ406" s="16"/>
      <c r="AK406" s="16"/>
      <c r="AL406" s="16">
        <v>4</v>
      </c>
      <c r="AM406" s="16"/>
      <c r="AN406" s="169"/>
      <c r="AO406" s="170"/>
      <c r="AP406" s="25"/>
      <c r="AQ406" s="169"/>
      <c r="AR406" s="16" t="s">
        <v>111</v>
      </c>
      <c r="AS406" s="16"/>
      <c r="AT406" s="170"/>
      <c r="AU406" s="170"/>
      <c r="AV406" s="170"/>
      <c r="AW406" s="170"/>
      <c r="AX406" s="12" t="str">
        <f t="shared" si="22"/>
        <v/>
      </c>
      <c r="AY406" s="12" t="str">
        <f t="shared" si="23"/>
        <v/>
      </c>
      <c r="AZ406" s="18"/>
      <c r="BA406" s="19"/>
      <c r="BB406" s="19"/>
      <c r="BC406" s="19"/>
      <c r="BD406" s="19"/>
      <c r="BE406" s="19"/>
      <c r="BF406" s="19"/>
      <c r="BG406" s="19"/>
      <c r="BH406" s="19"/>
      <c r="BI406" s="19"/>
      <c r="BJ406" s="19"/>
      <c r="BK406" s="19"/>
    </row>
    <row r="407" spans="1:63" ht="20.100000000000001" hidden="1" customHeight="1" x14ac:dyDescent="0.2">
      <c r="A407" s="13">
        <v>402</v>
      </c>
      <c r="B407" s="16" t="s">
        <v>4112</v>
      </c>
      <c r="C407" s="16"/>
      <c r="D407" s="6" t="s">
        <v>4113</v>
      </c>
      <c r="E407" s="6" t="s">
        <v>66</v>
      </c>
      <c r="F407" s="6"/>
      <c r="G407" s="6"/>
      <c r="H407" s="15" t="s">
        <v>7</v>
      </c>
      <c r="I407" s="15"/>
      <c r="J407" s="15"/>
      <c r="K407" s="15"/>
      <c r="L407" s="15"/>
      <c r="M407" s="15"/>
      <c r="N407" s="15"/>
      <c r="O407" s="16" t="s">
        <v>93</v>
      </c>
      <c r="P407" s="6" t="s">
        <v>140</v>
      </c>
      <c r="Q407" s="6" t="s">
        <v>140</v>
      </c>
      <c r="R407" s="6" t="s">
        <v>4118</v>
      </c>
      <c r="S407" s="6" t="s">
        <v>106</v>
      </c>
      <c r="T407" s="15" t="s">
        <v>107</v>
      </c>
      <c r="U407" s="6" t="s">
        <v>338</v>
      </c>
      <c r="V407" s="6" t="s">
        <v>2245</v>
      </c>
      <c r="W407" s="6" t="s">
        <v>116</v>
      </c>
      <c r="X407" s="6" t="s">
        <v>4119</v>
      </c>
      <c r="Y407" s="6" t="s">
        <v>369</v>
      </c>
      <c r="Z407" s="6" t="s">
        <v>369</v>
      </c>
      <c r="AA407" s="15">
        <v>0</v>
      </c>
      <c r="AB407" s="15" t="s">
        <v>162</v>
      </c>
      <c r="AC407" s="15"/>
      <c r="AD407" s="15">
        <v>132</v>
      </c>
      <c r="AE407" s="16"/>
      <c r="AF407" s="16"/>
      <c r="AG407" s="16"/>
      <c r="AH407" s="16"/>
      <c r="AI407" s="16"/>
      <c r="AJ407" s="16"/>
      <c r="AK407" s="16"/>
      <c r="AL407" s="16">
        <v>4</v>
      </c>
      <c r="AM407" s="162" t="s">
        <v>4127</v>
      </c>
      <c r="AN407" s="15"/>
      <c r="AO407" s="6"/>
      <c r="AP407" s="25"/>
      <c r="AQ407" s="15"/>
      <c r="AR407" s="16" t="s">
        <v>111</v>
      </c>
      <c r="AS407" s="16"/>
      <c r="AT407" s="6"/>
      <c r="AU407" s="6"/>
      <c r="AV407" s="6"/>
      <c r="AW407" s="6"/>
      <c r="AX407" s="12" t="str">
        <f t="shared" si="22"/>
        <v/>
      </c>
      <c r="AY407" s="12" t="str">
        <f t="shared" si="23"/>
        <v/>
      </c>
      <c r="AZ407" s="18"/>
      <c r="BA407" s="19"/>
      <c r="BB407" s="19"/>
      <c r="BC407" s="19"/>
      <c r="BD407" s="19"/>
      <c r="BE407" s="19"/>
      <c r="BF407" s="19"/>
      <c r="BG407" s="19"/>
      <c r="BH407" s="19"/>
      <c r="BI407" s="19"/>
      <c r="BJ407" s="19"/>
      <c r="BK407" s="19"/>
    </row>
    <row r="408" spans="1:63" ht="20.100000000000001" hidden="1" customHeight="1" x14ac:dyDescent="0.2">
      <c r="A408" s="13">
        <v>403</v>
      </c>
      <c r="B408" s="16" t="s">
        <v>4114</v>
      </c>
      <c r="C408" s="16"/>
      <c r="D408" s="170" t="s">
        <v>4115</v>
      </c>
      <c r="E408" s="170" t="s">
        <v>10</v>
      </c>
      <c r="F408" s="170"/>
      <c r="G408" s="170"/>
      <c r="H408" s="169" t="s">
        <v>222</v>
      </c>
      <c r="I408" s="169"/>
      <c r="J408" s="169"/>
      <c r="K408" s="169"/>
      <c r="L408" s="169"/>
      <c r="M408" s="169"/>
      <c r="N408" s="169"/>
      <c r="O408" s="16" t="s">
        <v>92</v>
      </c>
      <c r="P408" s="170"/>
      <c r="Q408" s="170">
        <v>45</v>
      </c>
      <c r="R408" s="170">
        <v>1657</v>
      </c>
      <c r="S408" s="170" t="s">
        <v>106</v>
      </c>
      <c r="T408" s="169" t="s">
        <v>107</v>
      </c>
      <c r="U408" s="170"/>
      <c r="V408" s="170">
        <v>293</v>
      </c>
      <c r="W408" s="170">
        <v>12</v>
      </c>
      <c r="X408" s="170">
        <v>6422</v>
      </c>
      <c r="Y408" s="170" t="s">
        <v>69</v>
      </c>
      <c r="Z408" s="170" t="s">
        <v>70</v>
      </c>
      <c r="AA408" s="169"/>
      <c r="AB408" s="169" t="s">
        <v>4044</v>
      </c>
      <c r="AC408" s="169"/>
      <c r="AD408" s="169">
        <v>192</v>
      </c>
      <c r="AE408" s="16"/>
      <c r="AF408" s="16"/>
      <c r="AG408" s="16"/>
      <c r="AH408" s="16"/>
      <c r="AI408" s="16"/>
      <c r="AJ408" s="16"/>
      <c r="AK408" s="16"/>
      <c r="AL408" s="16">
        <v>6</v>
      </c>
      <c r="AM408" s="162"/>
      <c r="AN408" s="169"/>
      <c r="AO408" s="170"/>
      <c r="AP408" s="25"/>
      <c r="AQ408" s="169"/>
      <c r="AR408" s="16" t="s">
        <v>111</v>
      </c>
      <c r="AS408" s="16" t="s">
        <v>112</v>
      </c>
      <c r="AT408" s="170" t="s">
        <v>113</v>
      </c>
      <c r="AU408" s="170" t="s">
        <v>266</v>
      </c>
      <c r="AV408" s="170" t="s">
        <v>115</v>
      </c>
      <c r="AW408" s="170" t="s">
        <v>266</v>
      </c>
      <c r="AX408" s="12">
        <f t="shared" si="22"/>
        <v>12</v>
      </c>
      <c r="AY408" s="12">
        <f t="shared" si="23"/>
        <v>12</v>
      </c>
      <c r="AZ408" s="18"/>
      <c r="BA408" s="19"/>
      <c r="BB408" s="19"/>
      <c r="BC408" s="19"/>
      <c r="BD408" s="19"/>
      <c r="BE408" s="19"/>
      <c r="BF408" s="19"/>
      <c r="BG408" s="19"/>
      <c r="BH408" s="19"/>
      <c r="BI408" s="19"/>
      <c r="BJ408" s="19"/>
      <c r="BK408" s="19"/>
    </row>
    <row r="409" spans="1:63" ht="20.100000000000001" hidden="1" customHeight="1" x14ac:dyDescent="0.2">
      <c r="A409" s="13">
        <v>404</v>
      </c>
      <c r="B409" s="16" t="s">
        <v>4114</v>
      </c>
      <c r="C409" s="16"/>
      <c r="D409" s="170" t="s">
        <v>1806</v>
      </c>
      <c r="E409" s="170" t="s">
        <v>19</v>
      </c>
      <c r="F409" s="170" t="s">
        <v>94</v>
      </c>
      <c r="G409" s="170"/>
      <c r="H409" s="169" t="s">
        <v>83</v>
      </c>
      <c r="I409" s="169"/>
      <c r="J409" s="169"/>
      <c r="K409" s="169"/>
      <c r="L409" s="169"/>
      <c r="M409" s="169"/>
      <c r="N409" s="169"/>
      <c r="O409" s="16" t="s">
        <v>84</v>
      </c>
      <c r="P409" s="170"/>
      <c r="Q409" s="170">
        <v>55</v>
      </c>
      <c r="R409" s="170">
        <v>1916</v>
      </c>
      <c r="S409" s="170" t="s">
        <v>106</v>
      </c>
      <c r="T409" s="169" t="s">
        <v>107</v>
      </c>
      <c r="U409" s="170"/>
      <c r="V409" s="170">
        <v>293</v>
      </c>
      <c r="W409" s="170">
        <v>14</v>
      </c>
      <c r="X409" s="170">
        <v>6458</v>
      </c>
      <c r="Y409" s="170" t="s">
        <v>106</v>
      </c>
      <c r="Z409" s="170" t="s">
        <v>107</v>
      </c>
      <c r="AA409" s="169"/>
      <c r="AB409" s="169" t="s">
        <v>4044</v>
      </c>
      <c r="AC409" s="169"/>
      <c r="AD409" s="169">
        <v>192</v>
      </c>
      <c r="AE409" s="16"/>
      <c r="AF409" s="16"/>
      <c r="AG409" s="16"/>
      <c r="AH409" s="16"/>
      <c r="AI409" s="16"/>
      <c r="AJ409" s="16"/>
      <c r="AK409" s="16"/>
      <c r="AL409" s="16">
        <v>6</v>
      </c>
      <c r="AM409" s="162"/>
      <c r="AN409" s="169"/>
      <c r="AO409" s="170"/>
      <c r="AP409" s="25"/>
      <c r="AQ409" s="169"/>
      <c r="AR409" s="16" t="s">
        <v>111</v>
      </c>
      <c r="AS409" s="16" t="s">
        <v>161</v>
      </c>
      <c r="AT409" s="170" t="s">
        <v>113</v>
      </c>
      <c r="AU409" s="170" t="s">
        <v>266</v>
      </c>
      <c r="AV409" s="170" t="s">
        <v>115</v>
      </c>
      <c r="AW409" s="170" t="s">
        <v>441</v>
      </c>
      <c r="AX409" s="12">
        <f t="shared" si="22"/>
        <v>11</v>
      </c>
      <c r="AY409" s="12">
        <f t="shared" si="23"/>
        <v>11</v>
      </c>
      <c r="AZ409" s="18"/>
      <c r="BA409" s="19"/>
      <c r="BB409" s="19"/>
      <c r="BC409" s="19"/>
      <c r="BD409" s="19"/>
      <c r="BE409" s="19"/>
      <c r="BF409" s="19"/>
      <c r="BG409" s="19"/>
      <c r="BH409" s="19"/>
      <c r="BI409" s="19"/>
      <c r="BJ409" s="19"/>
      <c r="BK409" s="19"/>
    </row>
    <row r="410" spans="1:63" s="21" customFormat="1" ht="20.100000000000001" hidden="1" customHeight="1" x14ac:dyDescent="0.2">
      <c r="A410" s="13">
        <v>405</v>
      </c>
      <c r="B410" s="29" t="s">
        <v>4142</v>
      </c>
      <c r="C410" s="16"/>
      <c r="D410" s="30" t="s">
        <v>1302</v>
      </c>
      <c r="E410" s="30" t="s">
        <v>6</v>
      </c>
      <c r="F410" s="30"/>
      <c r="G410" s="170"/>
      <c r="H410" s="20" t="s">
        <v>222</v>
      </c>
      <c r="I410" s="169"/>
      <c r="J410" s="169"/>
      <c r="K410" s="169"/>
      <c r="L410" s="169"/>
      <c r="M410" s="169"/>
      <c r="N410" s="169"/>
      <c r="O410" s="29" t="s">
        <v>93</v>
      </c>
      <c r="P410" s="30"/>
      <c r="Q410" s="30" t="s">
        <v>218</v>
      </c>
      <c r="R410" s="30" t="s">
        <v>3417</v>
      </c>
      <c r="S410" s="30" t="s">
        <v>69</v>
      </c>
      <c r="T410" s="20" t="s">
        <v>70</v>
      </c>
      <c r="U410" s="30" t="s">
        <v>429</v>
      </c>
      <c r="V410" s="30" t="s">
        <v>3679</v>
      </c>
      <c r="W410" s="30" t="s">
        <v>260</v>
      </c>
      <c r="X410" s="30" t="s">
        <v>3418</v>
      </c>
      <c r="Y410" s="30" t="s">
        <v>142</v>
      </c>
      <c r="Z410" s="30" t="s">
        <v>70</v>
      </c>
      <c r="AA410" s="20" t="s">
        <v>3413</v>
      </c>
      <c r="AB410" s="20" t="s">
        <v>162</v>
      </c>
      <c r="AC410" s="20"/>
      <c r="AD410" s="20">
        <v>234</v>
      </c>
      <c r="AE410" s="29"/>
      <c r="AF410" s="29"/>
      <c r="AG410" s="29"/>
      <c r="AH410" s="29"/>
      <c r="AI410" s="29"/>
      <c r="AJ410" s="29"/>
      <c r="AK410" s="29"/>
      <c r="AL410" s="29">
        <v>6</v>
      </c>
      <c r="AM410" s="162"/>
      <c r="AN410" s="20"/>
      <c r="AO410" s="30"/>
      <c r="AP410" s="36"/>
      <c r="AQ410" s="20"/>
      <c r="AR410" s="29" t="s">
        <v>160</v>
      </c>
      <c r="AS410" s="29" t="s">
        <v>165</v>
      </c>
      <c r="AT410" s="30" t="s">
        <v>113</v>
      </c>
      <c r="AU410" s="30" t="s">
        <v>266</v>
      </c>
      <c r="AV410" s="30" t="s">
        <v>113</v>
      </c>
      <c r="AW410" s="30" t="s">
        <v>235</v>
      </c>
      <c r="AX410" s="12">
        <f t="shared" si="22"/>
        <v>6</v>
      </c>
      <c r="AY410" s="12">
        <f t="shared" si="23"/>
        <v>6</v>
      </c>
      <c r="AZ410" s="32"/>
    </row>
    <row r="411" spans="1:63" ht="20.100000000000001" hidden="1" customHeight="1" x14ac:dyDescent="0.2">
      <c r="A411" s="13">
        <v>406</v>
      </c>
      <c r="B411" s="16" t="s">
        <v>4121</v>
      </c>
      <c r="C411" s="16"/>
      <c r="D411" s="6" t="s">
        <v>4122</v>
      </c>
      <c r="E411" s="6" t="s">
        <v>6</v>
      </c>
      <c r="F411" s="6" t="s">
        <v>192</v>
      </c>
      <c r="G411" s="6"/>
      <c r="H411" s="15" t="s">
        <v>7</v>
      </c>
      <c r="I411" s="15"/>
      <c r="J411" s="15"/>
      <c r="K411" s="15"/>
      <c r="L411" s="15"/>
      <c r="M411" s="15"/>
      <c r="N411" s="15"/>
      <c r="O411" s="16" t="s">
        <v>3576</v>
      </c>
      <c r="P411" s="6" t="s">
        <v>429</v>
      </c>
      <c r="Q411" s="155">
        <v>73</v>
      </c>
      <c r="R411" s="155">
        <v>3631</v>
      </c>
      <c r="S411" s="155" t="s">
        <v>106</v>
      </c>
      <c r="T411" s="155" t="s">
        <v>107</v>
      </c>
      <c r="U411" s="6" t="s">
        <v>429</v>
      </c>
      <c r="V411" s="155">
        <v>384</v>
      </c>
      <c r="W411" s="155">
        <v>9</v>
      </c>
      <c r="X411" s="155">
        <v>159221</v>
      </c>
      <c r="Y411" s="155" t="s">
        <v>106</v>
      </c>
      <c r="Z411" s="155" t="s">
        <v>107</v>
      </c>
      <c r="AA411" s="15">
        <v>0</v>
      </c>
      <c r="AB411" s="15" t="s">
        <v>4044</v>
      </c>
      <c r="AC411" s="155">
        <v>230</v>
      </c>
      <c r="AD411" s="155">
        <v>0</v>
      </c>
      <c r="AE411" s="155">
        <v>216</v>
      </c>
      <c r="AF411" s="155">
        <v>101</v>
      </c>
      <c r="AG411" s="155">
        <v>118</v>
      </c>
      <c r="AH411" s="155">
        <v>60</v>
      </c>
      <c r="AI411" s="155">
        <v>7</v>
      </c>
      <c r="AJ411" s="155">
        <v>185</v>
      </c>
      <c r="AK411" s="155">
        <v>25</v>
      </c>
      <c r="AL411" s="16">
        <v>6</v>
      </c>
      <c r="AM411" s="162" t="s">
        <v>4128</v>
      </c>
      <c r="AN411" s="15"/>
      <c r="AO411" s="6"/>
      <c r="AP411" s="25"/>
      <c r="AQ411" s="15"/>
      <c r="AR411" s="16" t="s">
        <v>160</v>
      </c>
      <c r="AS411" s="16" t="s">
        <v>165</v>
      </c>
      <c r="AT411" s="6"/>
      <c r="AU411" s="6"/>
      <c r="AV411" s="6"/>
      <c r="AW411" s="6"/>
      <c r="AX411" s="12" t="str">
        <f t="shared" si="22"/>
        <v/>
      </c>
      <c r="AY411" s="12" t="str">
        <f t="shared" si="23"/>
        <v/>
      </c>
      <c r="AZ411" s="18"/>
      <c r="BA411" s="19"/>
      <c r="BB411" s="19"/>
      <c r="BC411" s="19"/>
      <c r="BD411" s="19"/>
      <c r="BE411" s="19"/>
      <c r="BF411" s="19"/>
      <c r="BG411" s="19"/>
      <c r="BH411" s="19"/>
      <c r="BI411" s="19"/>
      <c r="BJ411" s="19"/>
      <c r="BK411" s="19"/>
    </row>
    <row r="412" spans="1:63" ht="20.100000000000001" hidden="1" customHeight="1" x14ac:dyDescent="0.2">
      <c r="A412" s="13">
        <v>407</v>
      </c>
      <c r="B412" s="16" t="s">
        <v>4121</v>
      </c>
      <c r="C412" s="16"/>
      <c r="D412" s="171" t="s">
        <v>4130</v>
      </c>
      <c r="E412" s="171" t="s">
        <v>10</v>
      </c>
      <c r="F412" s="171" t="s">
        <v>192</v>
      </c>
      <c r="G412" s="171"/>
      <c r="H412" s="172" t="s">
        <v>7</v>
      </c>
      <c r="I412" s="172"/>
      <c r="J412" s="172"/>
      <c r="K412" s="172"/>
      <c r="L412" s="172"/>
      <c r="M412" s="172"/>
      <c r="N412" s="172"/>
      <c r="O412" s="16" t="s">
        <v>92</v>
      </c>
      <c r="P412" s="171" t="s">
        <v>429</v>
      </c>
      <c r="Q412" s="175">
        <v>73</v>
      </c>
      <c r="R412" s="175">
        <v>3634</v>
      </c>
      <c r="S412" s="175" t="s">
        <v>262</v>
      </c>
      <c r="T412" s="175" t="s">
        <v>70</v>
      </c>
      <c r="U412" s="171" t="s">
        <v>429</v>
      </c>
      <c r="V412" s="175">
        <v>384</v>
      </c>
      <c r="W412" s="175">
        <v>10</v>
      </c>
      <c r="X412" s="175">
        <v>159225</v>
      </c>
      <c r="Y412" s="175" t="s">
        <v>106</v>
      </c>
      <c r="Z412" s="175" t="s">
        <v>107</v>
      </c>
      <c r="AA412" s="172">
        <v>0</v>
      </c>
      <c r="AB412" s="172" t="s">
        <v>4044</v>
      </c>
      <c r="AC412" s="155">
        <v>245</v>
      </c>
      <c r="AD412" s="155">
        <v>0</v>
      </c>
      <c r="AE412" s="155">
        <v>234</v>
      </c>
      <c r="AF412" s="155">
        <v>165</v>
      </c>
      <c r="AG412" s="155">
        <v>176</v>
      </c>
      <c r="AH412" s="155">
        <v>7</v>
      </c>
      <c r="AI412" s="155">
        <v>20</v>
      </c>
      <c r="AJ412" s="155">
        <v>202</v>
      </c>
      <c r="AK412" s="155">
        <v>25</v>
      </c>
      <c r="AL412" s="16">
        <v>6</v>
      </c>
      <c r="AM412" s="162" t="s">
        <v>4162</v>
      </c>
      <c r="AN412" s="172"/>
      <c r="AO412" s="171" t="s">
        <v>4135</v>
      </c>
      <c r="AP412" s="25">
        <v>203</v>
      </c>
      <c r="AQ412" s="172">
        <v>24.5</v>
      </c>
      <c r="AR412" s="16" t="s">
        <v>160</v>
      </c>
      <c r="AS412" s="16" t="s">
        <v>165</v>
      </c>
      <c r="AT412" s="171"/>
      <c r="AU412" s="171"/>
      <c r="AV412" s="171"/>
      <c r="AW412" s="171"/>
      <c r="AX412" s="12" t="str">
        <f t="shared" si="22"/>
        <v/>
      </c>
      <c r="AY412" s="12" t="str">
        <f t="shared" si="23"/>
        <v/>
      </c>
      <c r="AZ412" s="18"/>
      <c r="BA412" s="19"/>
      <c r="BB412" s="19"/>
      <c r="BC412" s="19"/>
      <c r="BD412" s="19"/>
      <c r="BE412" s="19"/>
      <c r="BF412" s="19"/>
      <c r="BG412" s="19"/>
      <c r="BH412" s="19"/>
      <c r="BI412" s="19"/>
      <c r="BJ412" s="19"/>
      <c r="BK412" s="19"/>
    </row>
    <row r="413" spans="1:63" ht="20.100000000000001" hidden="1" customHeight="1" x14ac:dyDescent="0.2">
      <c r="A413" s="13">
        <v>408</v>
      </c>
      <c r="B413" s="16" t="s">
        <v>4123</v>
      </c>
      <c r="C413" s="16"/>
      <c r="D413" s="6" t="s">
        <v>1806</v>
      </c>
      <c r="E413" s="6" t="s">
        <v>19</v>
      </c>
      <c r="F413" s="6"/>
      <c r="G413" s="6"/>
      <c r="H413" s="15" t="s">
        <v>7</v>
      </c>
      <c r="I413" s="15"/>
      <c r="J413" s="15"/>
      <c r="K413" s="15"/>
      <c r="L413" s="15"/>
      <c r="M413" s="15"/>
      <c r="N413" s="15"/>
      <c r="O413" s="16" t="s">
        <v>84</v>
      </c>
      <c r="P413" s="6" t="s">
        <v>104</v>
      </c>
      <c r="Q413" s="6" t="s">
        <v>104</v>
      </c>
      <c r="R413" s="6" t="s">
        <v>3289</v>
      </c>
      <c r="S413" s="6" t="s">
        <v>106</v>
      </c>
      <c r="T413" s="15" t="s">
        <v>107</v>
      </c>
      <c r="U413" s="35" t="s">
        <v>305</v>
      </c>
      <c r="V413" s="35" t="s">
        <v>2245</v>
      </c>
      <c r="W413" s="35" t="s">
        <v>2258</v>
      </c>
      <c r="X413" s="6" t="s">
        <v>4124</v>
      </c>
      <c r="Y413" s="6" t="s">
        <v>142</v>
      </c>
      <c r="Z413" s="6" t="s">
        <v>70</v>
      </c>
      <c r="AA413" s="15">
        <v>0</v>
      </c>
      <c r="AB413" s="15" t="s">
        <v>162</v>
      </c>
      <c r="AC413" s="15">
        <v>207</v>
      </c>
      <c r="AD413" s="15">
        <v>192</v>
      </c>
      <c r="AE413" s="16">
        <v>192</v>
      </c>
      <c r="AF413" s="16">
        <v>84</v>
      </c>
      <c r="AG413" s="16">
        <v>143</v>
      </c>
      <c r="AH413" s="16">
        <v>2</v>
      </c>
      <c r="AI413" s="16">
        <v>93</v>
      </c>
      <c r="AJ413" s="16">
        <v>238</v>
      </c>
      <c r="AK413" s="16">
        <v>11</v>
      </c>
      <c r="AL413" s="16">
        <v>6</v>
      </c>
      <c r="AM413" s="162" t="s">
        <v>4129</v>
      </c>
      <c r="AN413" s="33" t="s">
        <v>158</v>
      </c>
      <c r="AO413" s="6" t="s">
        <v>4121</v>
      </c>
      <c r="AP413" s="25">
        <v>238</v>
      </c>
      <c r="AQ413" s="15">
        <v>11</v>
      </c>
      <c r="AR413" s="16" t="s">
        <v>111</v>
      </c>
      <c r="AS413" s="16" t="s">
        <v>161</v>
      </c>
      <c r="AT413" s="6"/>
      <c r="AU413" s="6"/>
      <c r="AV413" s="6"/>
      <c r="AW413" s="6"/>
      <c r="AX413" s="12" t="str">
        <f t="shared" si="22"/>
        <v/>
      </c>
      <c r="AY413" s="12" t="str">
        <f t="shared" si="23"/>
        <v/>
      </c>
      <c r="AZ413" s="18"/>
      <c r="BA413" s="19"/>
      <c r="BB413" s="19"/>
      <c r="BC413" s="19"/>
      <c r="BD413" s="19"/>
      <c r="BE413" s="19"/>
      <c r="BF413" s="19"/>
      <c r="BG413" s="19"/>
      <c r="BH413" s="19"/>
      <c r="BI413" s="19"/>
      <c r="BJ413" s="19"/>
      <c r="BK413" s="19"/>
    </row>
    <row r="414" spans="1:63" ht="20.100000000000001" hidden="1" customHeight="1" x14ac:dyDescent="0.2">
      <c r="A414" s="13">
        <v>409</v>
      </c>
      <c r="B414" s="16" t="s">
        <v>4123</v>
      </c>
      <c r="C414" s="16"/>
      <c r="D414" s="6" t="s">
        <v>4131</v>
      </c>
      <c r="E414" s="6" t="s">
        <v>6</v>
      </c>
      <c r="F414" s="248" t="s">
        <v>94</v>
      </c>
      <c r="G414" s="6"/>
      <c r="H414" s="15" t="s">
        <v>83</v>
      </c>
      <c r="I414" s="15"/>
      <c r="J414" s="15"/>
      <c r="K414" s="15"/>
      <c r="L414" s="15"/>
      <c r="M414" s="15"/>
      <c r="N414" s="15"/>
      <c r="O414" s="16" t="s">
        <v>93</v>
      </c>
      <c r="P414" s="6" t="s">
        <v>429</v>
      </c>
      <c r="Q414" s="6" t="s">
        <v>68</v>
      </c>
      <c r="R414" s="6" t="s">
        <v>4132</v>
      </c>
      <c r="S414" s="6"/>
      <c r="T414" s="15"/>
      <c r="U414" s="6"/>
      <c r="V414" s="6" t="s">
        <v>3677</v>
      </c>
      <c r="W414" s="6" t="s">
        <v>485</v>
      </c>
      <c r="X414" s="6" t="s">
        <v>4133</v>
      </c>
      <c r="Y414" s="6"/>
      <c r="Z414" s="6"/>
      <c r="AA414" s="15" t="s">
        <v>4134</v>
      </c>
      <c r="AB414" s="15"/>
      <c r="AC414" s="15"/>
      <c r="AD414" s="15"/>
      <c r="AE414" s="16"/>
      <c r="AF414" s="16"/>
      <c r="AG414" s="16"/>
      <c r="AH414" s="16"/>
      <c r="AI414" s="16"/>
      <c r="AJ414" s="16"/>
      <c r="AK414" s="16"/>
      <c r="AL414" s="16">
        <v>6</v>
      </c>
      <c r="AM414" s="16"/>
      <c r="AN414" s="15"/>
      <c r="AO414" s="6"/>
      <c r="AP414" s="25"/>
      <c r="AQ414" s="15"/>
      <c r="AR414" s="16" t="s">
        <v>160</v>
      </c>
      <c r="AS414" s="16" t="s">
        <v>193</v>
      </c>
      <c r="AT414" s="6" t="s">
        <v>113</v>
      </c>
      <c r="AU414" s="6" t="s">
        <v>441</v>
      </c>
      <c r="AV414" s="6" t="s">
        <v>123</v>
      </c>
      <c r="AW414" s="6" t="s">
        <v>260</v>
      </c>
      <c r="AX414" s="12">
        <f t="shared" si="22"/>
        <v>58</v>
      </c>
      <c r="AY414" s="12" t="str">
        <f t="shared" si="23"/>
        <v/>
      </c>
      <c r="AZ414" s="18"/>
      <c r="BA414" s="19"/>
      <c r="BB414" s="19"/>
      <c r="BC414" s="19"/>
      <c r="BD414" s="19"/>
      <c r="BE414" s="19"/>
      <c r="BF414" s="19"/>
      <c r="BG414" s="19"/>
      <c r="BH414" s="19"/>
      <c r="BI414" s="19"/>
      <c r="BJ414" s="19"/>
      <c r="BK414" s="19"/>
    </row>
    <row r="415" spans="1:63" ht="20.100000000000001" hidden="1" customHeight="1" x14ac:dyDescent="0.2">
      <c r="A415" s="13">
        <v>410</v>
      </c>
      <c r="B415" s="16" t="s">
        <v>4136</v>
      </c>
      <c r="C415" s="16"/>
      <c r="D415" s="174" t="s">
        <v>4137</v>
      </c>
      <c r="E415" s="174"/>
      <c r="F415" s="174" t="s">
        <v>192</v>
      </c>
      <c r="G415" s="174"/>
      <c r="H415" s="173" t="s">
        <v>7</v>
      </c>
      <c r="I415" s="173"/>
      <c r="J415" s="173"/>
      <c r="K415" s="173"/>
      <c r="L415" s="173"/>
      <c r="M415" s="173"/>
      <c r="N415" s="173"/>
      <c r="O415" s="16" t="s">
        <v>3576</v>
      </c>
      <c r="P415" s="174" t="s">
        <v>429</v>
      </c>
      <c r="Q415" s="155">
        <v>30</v>
      </c>
      <c r="R415" s="155">
        <v>3635</v>
      </c>
      <c r="S415" s="155" t="s">
        <v>106</v>
      </c>
      <c r="T415" s="155" t="s">
        <v>107</v>
      </c>
      <c r="U415" s="174" t="s">
        <v>429</v>
      </c>
      <c r="V415" s="155">
        <v>293</v>
      </c>
      <c r="W415" s="155">
        <v>9</v>
      </c>
      <c r="X415" s="155">
        <v>159227</v>
      </c>
      <c r="Y415" s="155" t="s">
        <v>106</v>
      </c>
      <c r="Z415" s="155" t="s">
        <v>107</v>
      </c>
      <c r="AA415" s="173"/>
      <c r="AB415" s="173" t="s">
        <v>4044</v>
      </c>
      <c r="AC415" s="155">
        <v>222</v>
      </c>
      <c r="AD415" s="155">
        <v>0</v>
      </c>
      <c r="AE415" s="155">
        <v>204</v>
      </c>
      <c r="AF415" s="155">
        <v>66</v>
      </c>
      <c r="AG415" s="155">
        <v>142</v>
      </c>
      <c r="AH415" s="155">
        <v>8</v>
      </c>
      <c r="AI415" s="155">
        <v>8</v>
      </c>
      <c r="AJ415" s="155">
        <v>158</v>
      </c>
      <c r="AK415" s="155">
        <v>12</v>
      </c>
      <c r="AL415" s="16">
        <v>4</v>
      </c>
      <c r="AM415" s="162" t="s">
        <v>4159</v>
      </c>
      <c r="AN415" s="173"/>
      <c r="AO415" s="174"/>
      <c r="AP415" s="25"/>
      <c r="AQ415" s="173"/>
      <c r="AR415" s="16" t="s">
        <v>160</v>
      </c>
      <c r="AS415" s="16" t="s">
        <v>112</v>
      </c>
      <c r="AT415" s="174"/>
      <c r="AU415" s="174"/>
      <c r="AV415" s="174"/>
      <c r="AW415" s="174"/>
      <c r="AX415" s="12" t="str">
        <f t="shared" si="22"/>
        <v/>
      </c>
      <c r="AY415" s="12" t="str">
        <f t="shared" si="23"/>
        <v/>
      </c>
      <c r="AZ415" s="18"/>
      <c r="BA415" s="19"/>
      <c r="BB415" s="19"/>
      <c r="BC415" s="19"/>
      <c r="BD415" s="19"/>
      <c r="BE415" s="19"/>
      <c r="BF415" s="19"/>
      <c r="BG415" s="19"/>
      <c r="BH415" s="19"/>
      <c r="BI415" s="19"/>
      <c r="BJ415" s="19"/>
      <c r="BK415" s="19"/>
    </row>
    <row r="416" spans="1:63" ht="20.100000000000001" hidden="1" customHeight="1" x14ac:dyDescent="0.2">
      <c r="A416" s="13">
        <v>411</v>
      </c>
      <c r="B416" s="16" t="s">
        <v>4136</v>
      </c>
      <c r="C416" s="16"/>
      <c r="D416" s="174" t="s">
        <v>2400</v>
      </c>
      <c r="E416" s="174" t="s">
        <v>9</v>
      </c>
      <c r="F416" s="174"/>
      <c r="G416" s="174"/>
      <c r="H416" s="173" t="s">
        <v>7</v>
      </c>
      <c r="I416" s="173"/>
      <c r="J416" s="173"/>
      <c r="K416" s="173"/>
      <c r="L416" s="173"/>
      <c r="M416" s="173"/>
      <c r="N416" s="173"/>
      <c r="O416" s="16" t="s">
        <v>92</v>
      </c>
      <c r="P416" s="35" t="s">
        <v>104</v>
      </c>
      <c r="Q416" s="177">
        <v>37</v>
      </c>
      <c r="R416" s="155">
        <v>1920</v>
      </c>
      <c r="S416" s="155" t="s">
        <v>106</v>
      </c>
      <c r="T416" s="155" t="s">
        <v>107</v>
      </c>
      <c r="U416" s="35" t="s">
        <v>361</v>
      </c>
      <c r="V416" s="177">
        <v>6608</v>
      </c>
      <c r="W416" s="177">
        <v>15</v>
      </c>
      <c r="X416" s="155">
        <v>159228</v>
      </c>
      <c r="Y416" s="155" t="s">
        <v>142</v>
      </c>
      <c r="Z416" s="155" t="s">
        <v>70</v>
      </c>
      <c r="AA416" s="173"/>
      <c r="AB416" s="173" t="s">
        <v>4044</v>
      </c>
      <c r="AC416" s="155">
        <v>244</v>
      </c>
      <c r="AD416" s="155">
        <v>234</v>
      </c>
      <c r="AE416" s="155">
        <v>234</v>
      </c>
      <c r="AF416" s="155">
        <v>135</v>
      </c>
      <c r="AG416" s="155">
        <v>173</v>
      </c>
      <c r="AH416" s="155">
        <v>10</v>
      </c>
      <c r="AI416" s="155">
        <v>2</v>
      </c>
      <c r="AJ416" s="155">
        <v>185</v>
      </c>
      <c r="AK416" s="155">
        <v>10</v>
      </c>
      <c r="AL416" s="16">
        <v>6</v>
      </c>
      <c r="AM416" s="162" t="s">
        <v>4160</v>
      </c>
      <c r="AN416" s="33" t="s">
        <v>158</v>
      </c>
      <c r="AO416" s="174"/>
      <c r="AP416" s="25"/>
      <c r="AQ416" s="173"/>
      <c r="AR416" s="16" t="s">
        <v>160</v>
      </c>
      <c r="AS416" s="16" t="s">
        <v>161</v>
      </c>
      <c r="AT416" s="174"/>
      <c r="AU416" s="174"/>
      <c r="AV416" s="174"/>
      <c r="AW416" s="174"/>
      <c r="AX416" s="12" t="str">
        <f t="shared" si="22"/>
        <v/>
      </c>
      <c r="AY416" s="12" t="str">
        <f t="shared" si="23"/>
        <v/>
      </c>
      <c r="AZ416" s="18"/>
      <c r="BA416" s="19"/>
      <c r="BB416" s="19"/>
      <c r="BC416" s="19"/>
      <c r="BD416" s="19"/>
      <c r="BE416" s="19"/>
      <c r="BF416" s="19"/>
      <c r="BG416" s="19"/>
      <c r="BH416" s="19"/>
      <c r="BI416" s="19"/>
      <c r="BJ416" s="19"/>
      <c r="BK416" s="19"/>
    </row>
    <row r="417" spans="1:63" ht="20.100000000000001" hidden="1" customHeight="1" x14ac:dyDescent="0.2">
      <c r="A417" s="13">
        <v>412</v>
      </c>
      <c r="B417" s="16" t="s">
        <v>4138</v>
      </c>
      <c r="C417" s="16"/>
      <c r="D417" s="174" t="s">
        <v>240</v>
      </c>
      <c r="E417" s="176" t="s">
        <v>9</v>
      </c>
      <c r="F417" s="174"/>
      <c r="G417" s="174"/>
      <c r="H417" s="173" t="s">
        <v>7</v>
      </c>
      <c r="I417" s="173"/>
      <c r="J417" s="173"/>
      <c r="K417" s="173"/>
      <c r="L417" s="173"/>
      <c r="M417" s="173"/>
      <c r="N417" s="173"/>
      <c r="O417" s="16" t="s">
        <v>92</v>
      </c>
      <c r="P417" s="35" t="s">
        <v>140</v>
      </c>
      <c r="Q417" s="177">
        <v>45</v>
      </c>
      <c r="R417" s="155">
        <v>3098</v>
      </c>
      <c r="S417" s="155" t="s">
        <v>106</v>
      </c>
      <c r="T417" s="155" t="s">
        <v>107</v>
      </c>
      <c r="U417" s="35" t="s">
        <v>153</v>
      </c>
      <c r="V417" s="177">
        <v>293</v>
      </c>
      <c r="W417" s="177">
        <v>13</v>
      </c>
      <c r="X417" s="155">
        <v>159229</v>
      </c>
      <c r="Y417" s="155" t="s">
        <v>69</v>
      </c>
      <c r="Z417" s="155" t="s">
        <v>70</v>
      </c>
      <c r="AA417" s="173">
        <v>0</v>
      </c>
      <c r="AB417" s="173" t="s">
        <v>4044</v>
      </c>
      <c r="AC417" s="155">
        <v>214</v>
      </c>
      <c r="AD417" s="155">
        <v>180</v>
      </c>
      <c r="AE417" s="155">
        <v>180</v>
      </c>
      <c r="AF417" s="155">
        <v>133</v>
      </c>
      <c r="AG417" s="155">
        <v>156</v>
      </c>
      <c r="AH417" s="155">
        <v>40</v>
      </c>
      <c r="AI417" s="155">
        <v>2</v>
      </c>
      <c r="AJ417" s="155">
        <v>178</v>
      </c>
      <c r="AK417" s="155">
        <v>15</v>
      </c>
      <c r="AL417" s="16">
        <v>6</v>
      </c>
      <c r="AM417" s="162" t="s">
        <v>4161</v>
      </c>
      <c r="AN417" s="33" t="s">
        <v>158</v>
      </c>
      <c r="AO417" s="174"/>
      <c r="AP417" s="25"/>
      <c r="AQ417" s="173"/>
      <c r="AR417" s="16" t="s">
        <v>111</v>
      </c>
      <c r="AS417" s="16" t="s">
        <v>112</v>
      </c>
      <c r="AT417" s="174"/>
      <c r="AU417" s="174"/>
      <c r="AV417" s="174"/>
      <c r="AW417" s="174"/>
      <c r="AX417" s="12" t="str">
        <f t="shared" si="22"/>
        <v/>
      </c>
      <c r="AY417" s="12" t="str">
        <f t="shared" si="23"/>
        <v/>
      </c>
      <c r="AZ417" s="18"/>
      <c r="BA417" s="19"/>
      <c r="BB417" s="19"/>
      <c r="BC417" s="19"/>
      <c r="BD417" s="19"/>
      <c r="BE417" s="19"/>
      <c r="BF417" s="19"/>
      <c r="BG417" s="19"/>
      <c r="BH417" s="19"/>
      <c r="BI417" s="19"/>
      <c r="BJ417" s="19"/>
      <c r="BK417" s="19"/>
    </row>
    <row r="418" spans="1:63" s="21" customFormat="1" ht="20.100000000000001" hidden="1" customHeight="1" x14ac:dyDescent="0.2">
      <c r="A418" s="13">
        <v>413</v>
      </c>
      <c r="B418" s="29" t="s">
        <v>4139</v>
      </c>
      <c r="C418" s="29"/>
      <c r="D418" s="30" t="s">
        <v>3559</v>
      </c>
      <c r="E418" s="30" t="s">
        <v>6</v>
      </c>
      <c r="F418" s="30" t="s">
        <v>96</v>
      </c>
      <c r="G418" s="30"/>
      <c r="H418" s="20" t="s">
        <v>83</v>
      </c>
      <c r="I418" s="20"/>
      <c r="J418" s="20"/>
      <c r="K418" s="20"/>
      <c r="L418" s="20"/>
      <c r="M418" s="20"/>
      <c r="N418" s="20"/>
      <c r="O418" s="29" t="s">
        <v>93</v>
      </c>
      <c r="P418" s="30" t="s">
        <v>429</v>
      </c>
      <c r="Q418" s="30" t="s">
        <v>155</v>
      </c>
      <c r="R418" s="30" t="s">
        <v>3582</v>
      </c>
      <c r="S418" s="30" t="s">
        <v>142</v>
      </c>
      <c r="T418" s="20" t="s">
        <v>70</v>
      </c>
      <c r="U418" s="30" t="s">
        <v>429</v>
      </c>
      <c r="V418" s="30" t="s">
        <v>3677</v>
      </c>
      <c r="W418" s="30" t="s">
        <v>441</v>
      </c>
      <c r="X418" s="30" t="s">
        <v>3583</v>
      </c>
      <c r="Y418" s="30" t="s">
        <v>69</v>
      </c>
      <c r="Z418" s="30" t="s">
        <v>70</v>
      </c>
      <c r="AA418" s="20" t="s">
        <v>3573</v>
      </c>
      <c r="AB418" s="20" t="s">
        <v>162</v>
      </c>
      <c r="AC418" s="20"/>
      <c r="AD418" s="20">
        <v>198</v>
      </c>
      <c r="AE418" s="29"/>
      <c r="AF418" s="29"/>
      <c r="AG418" s="29"/>
      <c r="AH418" s="29"/>
      <c r="AI418" s="29"/>
      <c r="AJ418" s="29"/>
      <c r="AK418" s="29"/>
      <c r="AL418" s="29">
        <v>6</v>
      </c>
      <c r="AM418" s="29"/>
      <c r="AN418" s="20"/>
      <c r="AO418" s="30"/>
      <c r="AP418" s="36"/>
      <c r="AQ418" s="20"/>
      <c r="AR418" s="29" t="s">
        <v>160</v>
      </c>
      <c r="AS418" s="29" t="s">
        <v>193</v>
      </c>
      <c r="AT418" s="30" t="s">
        <v>113</v>
      </c>
      <c r="AU418" s="30" t="s">
        <v>441</v>
      </c>
      <c r="AV418" s="30" t="s">
        <v>113</v>
      </c>
      <c r="AW418" s="30" t="s">
        <v>124</v>
      </c>
      <c r="AX418" s="12">
        <f t="shared" si="22"/>
        <v>6</v>
      </c>
      <c r="AY418" s="12">
        <f t="shared" si="23"/>
        <v>6</v>
      </c>
      <c r="AZ418" s="32"/>
    </row>
    <row r="419" spans="1:63" ht="20.100000000000001" hidden="1" customHeight="1" x14ac:dyDescent="0.2">
      <c r="A419" s="13">
        <v>414</v>
      </c>
      <c r="B419" s="16" t="s">
        <v>4139</v>
      </c>
      <c r="C419" s="16"/>
      <c r="D419" s="174" t="s">
        <v>4140</v>
      </c>
      <c r="E419" s="174" t="s">
        <v>6</v>
      </c>
      <c r="F419" s="174" t="s">
        <v>192</v>
      </c>
      <c r="G419" s="174"/>
      <c r="H419" s="173" t="s">
        <v>7</v>
      </c>
      <c r="I419" s="173"/>
      <c r="J419" s="173"/>
      <c r="K419" s="173"/>
      <c r="L419" s="173"/>
      <c r="M419" s="173"/>
      <c r="N419" s="173"/>
      <c r="O419" s="16" t="s">
        <v>92</v>
      </c>
      <c r="P419" s="174" t="s">
        <v>429</v>
      </c>
      <c r="Q419" s="155">
        <v>55</v>
      </c>
      <c r="R419" s="155">
        <v>3760</v>
      </c>
      <c r="S419" s="155" t="s">
        <v>69</v>
      </c>
      <c r="T419" s="155" t="s">
        <v>70</v>
      </c>
      <c r="U419" s="174" t="s">
        <v>429</v>
      </c>
      <c r="V419" s="155">
        <v>384</v>
      </c>
      <c r="W419" s="155">
        <v>7</v>
      </c>
      <c r="X419" s="155">
        <v>159189</v>
      </c>
      <c r="Y419" s="155" t="s">
        <v>69</v>
      </c>
      <c r="Z419" s="155" t="s">
        <v>70</v>
      </c>
      <c r="AA419" s="173"/>
      <c r="AB419" s="173" t="s">
        <v>162</v>
      </c>
      <c r="AC419" s="155">
        <v>250</v>
      </c>
      <c r="AD419" s="155">
        <v>0</v>
      </c>
      <c r="AE419" s="155">
        <v>234</v>
      </c>
      <c r="AF419" s="155">
        <v>102</v>
      </c>
      <c r="AG419" s="155">
        <v>135</v>
      </c>
      <c r="AH419" s="155">
        <v>8</v>
      </c>
      <c r="AI419" s="155">
        <v>6</v>
      </c>
      <c r="AJ419" s="155">
        <v>150</v>
      </c>
      <c r="AK419" s="155">
        <v>23</v>
      </c>
      <c r="AL419" s="16">
        <v>6</v>
      </c>
      <c r="AM419" s="162" t="s">
        <v>4163</v>
      </c>
      <c r="AN419" s="173"/>
      <c r="AO419" s="174"/>
      <c r="AP419" s="25"/>
      <c r="AQ419" s="173"/>
      <c r="AR419" s="16" t="s">
        <v>160</v>
      </c>
      <c r="AS419" s="16" t="s">
        <v>193</v>
      </c>
      <c r="AT419" s="174"/>
      <c r="AU419" s="174"/>
      <c r="AV419" s="174"/>
      <c r="AW419" s="174"/>
      <c r="AX419" s="12" t="str">
        <f t="shared" si="22"/>
        <v/>
      </c>
      <c r="AY419" s="12" t="str">
        <f t="shared" si="23"/>
        <v/>
      </c>
      <c r="AZ419" s="18"/>
      <c r="BA419" s="19"/>
      <c r="BB419" s="19"/>
      <c r="BC419" s="19"/>
      <c r="BD419" s="19"/>
      <c r="BE419" s="19"/>
      <c r="BF419" s="19"/>
      <c r="BG419" s="19"/>
      <c r="BH419" s="19"/>
      <c r="BI419" s="19"/>
      <c r="BJ419" s="19"/>
      <c r="BK419" s="19"/>
    </row>
    <row r="420" spans="1:63" ht="20.100000000000001" hidden="1" customHeight="1" x14ac:dyDescent="0.2">
      <c r="A420" s="13">
        <v>415</v>
      </c>
      <c r="B420" s="16" t="s">
        <v>4141</v>
      </c>
      <c r="C420" s="16"/>
      <c r="D420" s="174" t="s">
        <v>2113</v>
      </c>
      <c r="E420" s="174" t="s">
        <v>10</v>
      </c>
      <c r="F420" s="174" t="s">
        <v>185</v>
      </c>
      <c r="G420" s="174"/>
      <c r="H420" s="173" t="s">
        <v>83</v>
      </c>
      <c r="I420" s="173"/>
      <c r="J420" s="173"/>
      <c r="K420" s="173"/>
      <c r="L420" s="173"/>
      <c r="M420" s="173"/>
      <c r="N420" s="173"/>
      <c r="O420" s="16" t="s">
        <v>84</v>
      </c>
      <c r="P420" s="174" t="s">
        <v>429</v>
      </c>
      <c r="Q420" s="174" t="s">
        <v>68</v>
      </c>
      <c r="R420" s="174" t="s">
        <v>2125</v>
      </c>
      <c r="S420" s="174" t="s">
        <v>106</v>
      </c>
      <c r="T420" s="173" t="s">
        <v>107</v>
      </c>
      <c r="U420" s="174"/>
      <c r="V420" s="174" t="s">
        <v>3679</v>
      </c>
      <c r="W420" s="174" t="s">
        <v>485</v>
      </c>
      <c r="X420" s="174" t="s">
        <v>792</v>
      </c>
      <c r="Y420" s="174" t="s">
        <v>106</v>
      </c>
      <c r="Z420" s="174" t="s">
        <v>107</v>
      </c>
      <c r="AA420" s="173" t="s">
        <v>2129</v>
      </c>
      <c r="AB420" s="173" t="s">
        <v>4044</v>
      </c>
      <c r="AC420" s="173"/>
      <c r="AD420" s="173"/>
      <c r="AE420" s="16">
        <v>204</v>
      </c>
      <c r="AF420" s="16"/>
      <c r="AG420" s="16"/>
      <c r="AH420" s="16"/>
      <c r="AI420" s="16"/>
      <c r="AJ420" s="16"/>
      <c r="AK420" s="16"/>
      <c r="AL420" s="16">
        <v>6</v>
      </c>
      <c r="AM420" s="16"/>
      <c r="AN420" s="173"/>
      <c r="AO420" s="174"/>
      <c r="AP420" s="25"/>
      <c r="AQ420" s="173"/>
      <c r="AR420" s="16" t="s">
        <v>160</v>
      </c>
      <c r="AS420" s="16" t="s">
        <v>165</v>
      </c>
      <c r="AT420" s="174" t="s">
        <v>113</v>
      </c>
      <c r="AU420" s="174" t="s">
        <v>441</v>
      </c>
      <c r="AV420" s="174" t="s">
        <v>115</v>
      </c>
      <c r="AW420" s="174" t="s">
        <v>260</v>
      </c>
      <c r="AX420" s="12">
        <f t="shared" si="22"/>
        <v>10</v>
      </c>
      <c r="AY420" s="12">
        <f t="shared" si="23"/>
        <v>10</v>
      </c>
      <c r="AZ420" s="18"/>
      <c r="BA420" s="19"/>
      <c r="BB420" s="19"/>
      <c r="BC420" s="19"/>
      <c r="BD420" s="19"/>
      <c r="BE420" s="19"/>
      <c r="BF420" s="19"/>
      <c r="BG420" s="19"/>
      <c r="BH420" s="19"/>
      <c r="BI420" s="19"/>
      <c r="BJ420" s="19"/>
      <c r="BK420" s="19"/>
    </row>
    <row r="421" spans="1:63" ht="20.100000000000001" hidden="1" customHeight="1" x14ac:dyDescent="0.2">
      <c r="A421" s="13">
        <v>416</v>
      </c>
      <c r="B421" s="16" t="s">
        <v>4142</v>
      </c>
      <c r="C421" s="16"/>
      <c r="D421" s="174" t="s">
        <v>2299</v>
      </c>
      <c r="E421" s="174" t="s">
        <v>19</v>
      </c>
      <c r="F421" s="174"/>
      <c r="G421" s="174"/>
      <c r="H421" s="173" t="s">
        <v>7</v>
      </c>
      <c r="I421" s="173"/>
      <c r="J421" s="173"/>
      <c r="K421" s="173"/>
      <c r="L421" s="173"/>
      <c r="M421" s="173"/>
      <c r="N421" s="173"/>
      <c r="O421" s="16" t="s">
        <v>84</v>
      </c>
      <c r="P421" s="174" t="s">
        <v>141</v>
      </c>
      <c r="Q421" s="155">
        <v>30</v>
      </c>
      <c r="R421" s="155"/>
      <c r="S421" s="155" t="s">
        <v>106</v>
      </c>
      <c r="T421" s="155" t="s">
        <v>107</v>
      </c>
      <c r="U421" s="35" t="s">
        <v>957</v>
      </c>
      <c r="V421" s="177">
        <v>293</v>
      </c>
      <c r="W421" s="177">
        <v>8</v>
      </c>
      <c r="X421" s="155"/>
      <c r="Y421" s="155" t="s">
        <v>142</v>
      </c>
      <c r="Z421" s="155" t="s">
        <v>70</v>
      </c>
      <c r="AA421" s="173">
        <v>0</v>
      </c>
      <c r="AB421" s="173" t="s">
        <v>162</v>
      </c>
      <c r="AC421" s="155">
        <v>145</v>
      </c>
      <c r="AD421" s="155">
        <v>126</v>
      </c>
      <c r="AE421" s="155">
        <v>126</v>
      </c>
      <c r="AF421" s="155">
        <v>64</v>
      </c>
      <c r="AG421" s="155">
        <v>95</v>
      </c>
      <c r="AH421" s="155">
        <v>20</v>
      </c>
      <c r="AI421" s="155">
        <v>10</v>
      </c>
      <c r="AJ421" s="155">
        <v>125</v>
      </c>
      <c r="AK421" s="155">
        <v>13</v>
      </c>
      <c r="AL421" s="16">
        <v>4</v>
      </c>
      <c r="AM421" s="162" t="s">
        <v>4164</v>
      </c>
      <c r="AN421" s="33" t="s">
        <v>158</v>
      </c>
      <c r="AO421" s="174"/>
      <c r="AP421" s="25"/>
      <c r="AQ421" s="173"/>
      <c r="AR421" s="16" t="s">
        <v>111</v>
      </c>
      <c r="AS421" s="16" t="s">
        <v>231</v>
      </c>
      <c r="AT421" s="174"/>
      <c r="AU421" s="174"/>
      <c r="AV421" s="174"/>
      <c r="AW421" s="174"/>
      <c r="AX421" s="12" t="str">
        <f t="shared" si="22"/>
        <v/>
      </c>
      <c r="AY421" s="12" t="str">
        <f t="shared" si="23"/>
        <v/>
      </c>
      <c r="AZ421" s="18"/>
      <c r="BA421" s="19"/>
      <c r="BB421" s="19"/>
      <c r="BC421" s="19"/>
      <c r="BD421" s="19"/>
      <c r="BE421" s="19"/>
      <c r="BF421" s="19"/>
      <c r="BG421" s="19"/>
      <c r="BH421" s="19"/>
      <c r="BI421" s="19"/>
      <c r="BJ421" s="19"/>
      <c r="BK421" s="19"/>
    </row>
    <row r="422" spans="1:63" ht="20.100000000000001" hidden="1" customHeight="1" x14ac:dyDescent="0.2">
      <c r="A422" s="13">
        <v>417</v>
      </c>
      <c r="B422" s="16" t="s">
        <v>4142</v>
      </c>
      <c r="C422" s="16"/>
      <c r="D422" s="202" t="s">
        <v>4143</v>
      </c>
      <c r="E422" s="174" t="s">
        <v>6</v>
      </c>
      <c r="F422" s="174" t="s">
        <v>192</v>
      </c>
      <c r="G422" s="174"/>
      <c r="H422" s="173" t="s">
        <v>7</v>
      </c>
      <c r="I422" s="173"/>
      <c r="J422" s="173"/>
      <c r="K422" s="173"/>
      <c r="L422" s="173"/>
      <c r="M422" s="173"/>
      <c r="N422" s="173"/>
      <c r="O422" s="16" t="s">
        <v>93</v>
      </c>
      <c r="P422" s="174" t="s">
        <v>218</v>
      </c>
      <c r="Q422" s="155">
        <v>92</v>
      </c>
      <c r="R422" s="155">
        <v>3638</v>
      </c>
      <c r="S422" s="155" t="s">
        <v>106</v>
      </c>
      <c r="T422" s="155" t="s">
        <v>107</v>
      </c>
      <c r="U422" s="174" t="s">
        <v>453</v>
      </c>
      <c r="V422" s="155">
        <v>384</v>
      </c>
      <c r="W422" s="155">
        <v>12</v>
      </c>
      <c r="X422" s="155">
        <v>159231</v>
      </c>
      <c r="Y422" s="155" t="s">
        <v>262</v>
      </c>
      <c r="Z422" s="155" t="s">
        <v>70</v>
      </c>
      <c r="AA422" s="173">
        <v>0</v>
      </c>
      <c r="AB422" s="173" t="s">
        <v>162</v>
      </c>
      <c r="AC422" s="155">
        <v>247</v>
      </c>
      <c r="AD422" s="177">
        <v>234</v>
      </c>
      <c r="AE422" s="177">
        <v>210</v>
      </c>
      <c r="AF422" s="155">
        <v>140</v>
      </c>
      <c r="AG422" s="155">
        <v>165</v>
      </c>
      <c r="AH422" s="155">
        <v>65</v>
      </c>
      <c r="AI422" s="155">
        <v>12</v>
      </c>
      <c r="AJ422" s="155">
        <v>242</v>
      </c>
      <c r="AK422" s="155">
        <v>25</v>
      </c>
      <c r="AL422" s="16">
        <v>6</v>
      </c>
      <c r="AM422" s="162" t="s">
        <v>4165</v>
      </c>
      <c r="AN422" s="173"/>
      <c r="AO422" s="174"/>
      <c r="AP422" s="25"/>
      <c r="AQ422" s="173"/>
      <c r="AR422" s="16" t="s">
        <v>160</v>
      </c>
      <c r="AS422" s="16" t="s">
        <v>165</v>
      </c>
      <c r="AT422" s="174"/>
      <c r="AU422" s="174"/>
      <c r="AV422" s="174"/>
      <c r="AW422" s="174"/>
      <c r="AX422" s="12" t="str">
        <f t="shared" si="22"/>
        <v/>
      </c>
      <c r="AY422" s="12" t="str">
        <f t="shared" si="23"/>
        <v/>
      </c>
      <c r="AZ422" s="18"/>
      <c r="BA422" s="19"/>
      <c r="BB422" s="19"/>
      <c r="BC422" s="19"/>
      <c r="BD422" s="19"/>
      <c r="BE422" s="19"/>
      <c r="BF422" s="19"/>
      <c r="BG422" s="19"/>
      <c r="BH422" s="19"/>
      <c r="BI422" s="19"/>
      <c r="BJ422" s="19"/>
      <c r="BK422" s="19"/>
    </row>
    <row r="423" spans="1:63" ht="20.100000000000001" hidden="1" customHeight="1" x14ac:dyDescent="0.2">
      <c r="A423" s="13">
        <v>418</v>
      </c>
      <c r="B423" s="16" t="s">
        <v>4144</v>
      </c>
      <c r="C423" s="16"/>
      <c r="D423" s="174" t="s">
        <v>1739</v>
      </c>
      <c r="E423" s="174" t="s">
        <v>20</v>
      </c>
      <c r="F423" s="174"/>
      <c r="G423" s="174"/>
      <c r="H423" s="173" t="s">
        <v>7</v>
      </c>
      <c r="I423" s="173"/>
      <c r="J423" s="173"/>
      <c r="K423" s="173"/>
      <c r="L423" s="173"/>
      <c r="M423" s="173"/>
      <c r="N423" s="173"/>
      <c r="O423" s="16" t="s">
        <v>92</v>
      </c>
      <c r="P423" s="35" t="s">
        <v>104</v>
      </c>
      <c r="Q423" s="177">
        <v>30</v>
      </c>
      <c r="R423" s="155">
        <v>3640</v>
      </c>
      <c r="S423" s="155" t="s">
        <v>106</v>
      </c>
      <c r="T423" s="155" t="s">
        <v>107</v>
      </c>
      <c r="U423" s="35" t="s">
        <v>305</v>
      </c>
      <c r="V423" s="177">
        <v>6608</v>
      </c>
      <c r="W423" s="177">
        <v>13</v>
      </c>
      <c r="X423" s="155">
        <v>159232</v>
      </c>
      <c r="Y423" s="155" t="s">
        <v>142</v>
      </c>
      <c r="Z423" s="155" t="s">
        <v>70</v>
      </c>
      <c r="AA423" s="173">
        <v>0</v>
      </c>
      <c r="AB423" s="173" t="s">
        <v>4044</v>
      </c>
      <c r="AC423" s="155">
        <v>207</v>
      </c>
      <c r="AD423" s="155">
        <v>192</v>
      </c>
      <c r="AE423" s="155">
        <v>192</v>
      </c>
      <c r="AF423" s="155">
        <v>97</v>
      </c>
      <c r="AG423" s="155">
        <v>133</v>
      </c>
      <c r="AH423" s="155">
        <v>31</v>
      </c>
      <c r="AI423" s="155">
        <v>9</v>
      </c>
      <c r="AJ423" s="155">
        <v>173</v>
      </c>
      <c r="AK423" s="155">
        <v>9</v>
      </c>
      <c r="AL423" s="16">
        <v>4</v>
      </c>
      <c r="AM423" s="162" t="s">
        <v>4166</v>
      </c>
      <c r="AN423" s="33" t="s">
        <v>158</v>
      </c>
      <c r="AO423" s="174"/>
      <c r="AP423" s="25"/>
      <c r="AQ423" s="173"/>
      <c r="AR423" s="16" t="s">
        <v>160</v>
      </c>
      <c r="AS423" s="16" t="s">
        <v>112</v>
      </c>
      <c r="AT423" s="174"/>
      <c r="AU423" s="174"/>
      <c r="AV423" s="174"/>
      <c r="AW423" s="174"/>
      <c r="AX423" s="12" t="str">
        <f t="shared" si="22"/>
        <v/>
      </c>
      <c r="AY423" s="12" t="str">
        <f t="shared" si="23"/>
        <v/>
      </c>
      <c r="AZ423" s="18"/>
      <c r="BA423" s="19"/>
      <c r="BB423" s="19"/>
      <c r="BC423" s="19"/>
      <c r="BD423" s="19"/>
      <c r="BE423" s="19"/>
      <c r="BF423" s="19"/>
      <c r="BG423" s="19"/>
      <c r="BH423" s="19"/>
      <c r="BI423" s="19"/>
      <c r="BJ423" s="19"/>
      <c r="BK423" s="19"/>
    </row>
    <row r="424" spans="1:63" ht="20.100000000000001" hidden="1" customHeight="1" x14ac:dyDescent="0.2">
      <c r="A424" s="13">
        <v>419</v>
      </c>
      <c r="B424" s="16" t="s">
        <v>4145</v>
      </c>
      <c r="C424" s="16"/>
      <c r="D424" s="174" t="s">
        <v>1126</v>
      </c>
      <c r="E424" s="174" t="s">
        <v>10</v>
      </c>
      <c r="F424" s="174"/>
      <c r="G424" s="174"/>
      <c r="H424" s="173" t="s">
        <v>7</v>
      </c>
      <c r="I424" s="173"/>
      <c r="J424" s="173"/>
      <c r="K424" s="173"/>
      <c r="L424" s="173"/>
      <c r="M424" s="173"/>
      <c r="N424" s="173"/>
      <c r="O424" s="16" t="s">
        <v>92</v>
      </c>
      <c r="P424" s="35" t="s">
        <v>140</v>
      </c>
      <c r="Q424" s="177">
        <v>30</v>
      </c>
      <c r="R424" s="155">
        <v>3641</v>
      </c>
      <c r="S424" s="155" t="s">
        <v>106</v>
      </c>
      <c r="T424" s="155" t="s">
        <v>107</v>
      </c>
      <c r="U424" s="174" t="s">
        <v>4147</v>
      </c>
      <c r="V424" s="155">
        <v>233</v>
      </c>
      <c r="W424" s="155">
        <v>17</v>
      </c>
      <c r="X424" s="155">
        <v>159234</v>
      </c>
      <c r="Y424" s="155" t="s">
        <v>369</v>
      </c>
      <c r="Z424" s="155" t="s">
        <v>369</v>
      </c>
      <c r="AA424" s="173">
        <v>0</v>
      </c>
      <c r="AB424" s="173" t="s">
        <v>162</v>
      </c>
      <c r="AC424" s="155">
        <v>193</v>
      </c>
      <c r="AD424" s="177">
        <v>186</v>
      </c>
      <c r="AE424" s="177">
        <v>181</v>
      </c>
      <c r="AF424" s="155">
        <v>120</v>
      </c>
      <c r="AG424" s="155">
        <v>174</v>
      </c>
      <c r="AH424" s="155">
        <v>14</v>
      </c>
      <c r="AI424" s="155">
        <v>5</v>
      </c>
      <c r="AJ424" s="155">
        <v>193</v>
      </c>
      <c r="AK424" s="155">
        <v>8.5</v>
      </c>
      <c r="AL424" s="16">
        <v>4</v>
      </c>
      <c r="AM424" s="162" t="s">
        <v>4167</v>
      </c>
      <c r="AN424" s="33"/>
      <c r="AO424" s="174"/>
      <c r="AP424" s="25"/>
      <c r="AQ424" s="173"/>
      <c r="AR424" s="16" t="s">
        <v>111</v>
      </c>
      <c r="AS424" s="16" t="s">
        <v>4146</v>
      </c>
      <c r="AT424" s="174"/>
      <c r="AU424" s="174"/>
      <c r="AV424" s="174"/>
      <c r="AW424" s="174"/>
      <c r="AX424" s="12" t="str">
        <f t="shared" si="22"/>
        <v/>
      </c>
      <c r="AY424" s="12" t="str">
        <f t="shared" si="23"/>
        <v/>
      </c>
      <c r="AZ424" s="18"/>
      <c r="BA424" s="19"/>
      <c r="BB424" s="19"/>
      <c r="BC424" s="19"/>
      <c r="BD424" s="19"/>
      <c r="BE424" s="19"/>
      <c r="BF424" s="19"/>
      <c r="BG424" s="19"/>
      <c r="BH424" s="19"/>
      <c r="BI424" s="19"/>
      <c r="BJ424" s="19"/>
      <c r="BK424" s="19"/>
    </row>
    <row r="425" spans="1:63" ht="20.100000000000001" hidden="1" customHeight="1" x14ac:dyDescent="0.2">
      <c r="A425" s="13">
        <v>420</v>
      </c>
      <c r="B425" s="16" t="s">
        <v>4148</v>
      </c>
      <c r="C425" s="16"/>
      <c r="D425" s="174" t="s">
        <v>2794</v>
      </c>
      <c r="E425" s="174" t="s">
        <v>243</v>
      </c>
      <c r="F425" s="174" t="s">
        <v>172</v>
      </c>
      <c r="G425" s="174"/>
      <c r="H425" s="173" t="s">
        <v>83</v>
      </c>
      <c r="I425" s="173"/>
      <c r="J425" s="173"/>
      <c r="K425" s="173"/>
      <c r="L425" s="173"/>
      <c r="M425" s="173"/>
      <c r="N425" s="173"/>
      <c r="O425" s="16" t="s">
        <v>92</v>
      </c>
      <c r="P425" s="174"/>
      <c r="Q425" s="174" t="s">
        <v>140</v>
      </c>
      <c r="R425" s="174"/>
      <c r="S425" s="174" t="s">
        <v>69</v>
      </c>
      <c r="T425" s="173" t="s">
        <v>70</v>
      </c>
      <c r="U425" s="174"/>
      <c r="V425" s="174" t="s">
        <v>3679</v>
      </c>
      <c r="W425" s="174" t="s">
        <v>506</v>
      </c>
      <c r="X425" s="174"/>
      <c r="Y425" s="174" t="s">
        <v>119</v>
      </c>
      <c r="Z425" s="174" t="s">
        <v>107</v>
      </c>
      <c r="AA425" s="173" t="s">
        <v>4213</v>
      </c>
      <c r="AB425" s="173" t="s">
        <v>4044</v>
      </c>
      <c r="AC425" s="173"/>
      <c r="AD425" s="173"/>
      <c r="AE425" s="16"/>
      <c r="AF425" s="16"/>
      <c r="AG425" s="16"/>
      <c r="AH425" s="16"/>
      <c r="AI425" s="16"/>
      <c r="AJ425" s="16"/>
      <c r="AK425" s="16"/>
      <c r="AL425" s="16"/>
      <c r="AM425" s="16"/>
      <c r="AN425" s="173"/>
      <c r="AO425" s="174"/>
      <c r="AP425" s="25"/>
      <c r="AQ425" s="173"/>
      <c r="AR425" s="16" t="s">
        <v>111</v>
      </c>
      <c r="AS425" s="16" t="s">
        <v>112</v>
      </c>
      <c r="AT425" s="174" t="s">
        <v>113</v>
      </c>
      <c r="AU425" s="174" t="s">
        <v>441</v>
      </c>
      <c r="AV425" s="174" t="s">
        <v>208</v>
      </c>
      <c r="AW425" s="174" t="s">
        <v>124</v>
      </c>
      <c r="AX425" s="12">
        <f t="shared" si="22"/>
        <v>42</v>
      </c>
      <c r="AY425" s="12" t="str">
        <f t="shared" si="23"/>
        <v/>
      </c>
      <c r="AZ425" s="18"/>
      <c r="BA425" s="19"/>
      <c r="BB425" s="19"/>
      <c r="BC425" s="19"/>
      <c r="BD425" s="19"/>
      <c r="BE425" s="19"/>
      <c r="BF425" s="19"/>
      <c r="BG425" s="19"/>
      <c r="BH425" s="19"/>
      <c r="BI425" s="19"/>
      <c r="BJ425" s="19"/>
      <c r="BK425" s="19"/>
    </row>
    <row r="426" spans="1:63" ht="20.100000000000001" hidden="1" customHeight="1" x14ac:dyDescent="0.2">
      <c r="A426" s="13">
        <v>421</v>
      </c>
      <c r="B426" s="16" t="s">
        <v>4149</v>
      </c>
      <c r="C426" s="16"/>
      <c r="D426" s="174" t="s">
        <v>2197</v>
      </c>
      <c r="E426" s="174" t="s">
        <v>10</v>
      </c>
      <c r="F426" s="174"/>
      <c r="G426" s="174"/>
      <c r="H426" s="173" t="s">
        <v>7</v>
      </c>
      <c r="I426" s="173"/>
      <c r="J426" s="173"/>
      <c r="K426" s="173"/>
      <c r="L426" s="173"/>
      <c r="M426" s="173"/>
      <c r="N426" s="173"/>
      <c r="O426" s="16" t="s">
        <v>92</v>
      </c>
      <c r="P426" s="35" t="s">
        <v>218</v>
      </c>
      <c r="Q426" s="35" t="s">
        <v>104</v>
      </c>
      <c r="R426" s="174" t="s">
        <v>1719</v>
      </c>
      <c r="S426" s="174" t="s">
        <v>106</v>
      </c>
      <c r="T426" s="173" t="s">
        <v>107</v>
      </c>
      <c r="U426" s="35" t="s">
        <v>167</v>
      </c>
      <c r="V426" s="35" t="s">
        <v>2245</v>
      </c>
      <c r="W426" s="35" t="s">
        <v>2258</v>
      </c>
      <c r="X426" s="174" t="s">
        <v>4156</v>
      </c>
      <c r="Y426" s="174" t="s">
        <v>142</v>
      </c>
      <c r="Z426" s="174" t="s">
        <v>70</v>
      </c>
      <c r="AA426" s="173">
        <v>0</v>
      </c>
      <c r="AB426" s="173" t="s">
        <v>162</v>
      </c>
      <c r="AC426" s="173">
        <v>244</v>
      </c>
      <c r="AD426" s="33">
        <v>234</v>
      </c>
      <c r="AE426" s="34">
        <v>231</v>
      </c>
      <c r="AF426" s="16">
        <v>132</v>
      </c>
      <c r="AG426" s="16">
        <v>163</v>
      </c>
      <c r="AH426" s="16">
        <v>2</v>
      </c>
      <c r="AI426" s="16">
        <v>39</v>
      </c>
      <c r="AJ426" s="16">
        <v>205</v>
      </c>
      <c r="AK426" s="16">
        <v>14</v>
      </c>
      <c r="AL426" s="16">
        <v>6</v>
      </c>
      <c r="AM426" s="162" t="s">
        <v>4168</v>
      </c>
      <c r="AN426" s="33" t="s">
        <v>158</v>
      </c>
      <c r="AO426" s="174"/>
      <c r="AP426" s="25"/>
      <c r="AQ426" s="173"/>
      <c r="AR426" s="16" t="s">
        <v>160</v>
      </c>
      <c r="AS426" s="16" t="s">
        <v>161</v>
      </c>
      <c r="AT426" s="174"/>
      <c r="AU426" s="174"/>
      <c r="AV426" s="174"/>
      <c r="AW426" s="174"/>
      <c r="AX426" s="12" t="str">
        <f t="shared" si="22"/>
        <v/>
      </c>
      <c r="AY426" s="12" t="str">
        <f t="shared" si="23"/>
        <v/>
      </c>
      <c r="AZ426" s="18"/>
      <c r="BA426" s="19"/>
      <c r="BB426" s="19"/>
      <c r="BC426" s="19"/>
      <c r="BD426" s="19"/>
      <c r="BE426" s="19"/>
      <c r="BF426" s="19"/>
      <c r="BG426" s="19"/>
      <c r="BH426" s="19"/>
      <c r="BI426" s="19"/>
      <c r="BJ426" s="19"/>
      <c r="BK426" s="19"/>
    </row>
    <row r="427" spans="1:63" ht="20.100000000000001" hidden="1" customHeight="1" x14ac:dyDescent="0.2">
      <c r="A427" s="13">
        <v>422</v>
      </c>
      <c r="B427" s="16" t="s">
        <v>4150</v>
      </c>
      <c r="C427" s="16"/>
      <c r="D427" s="174" t="s">
        <v>4151</v>
      </c>
      <c r="E427" s="174" t="s">
        <v>19</v>
      </c>
      <c r="F427" s="174" t="s">
        <v>185</v>
      </c>
      <c r="G427" s="174"/>
      <c r="H427" s="173" t="s">
        <v>83</v>
      </c>
      <c r="I427" s="173"/>
      <c r="J427" s="173"/>
      <c r="K427" s="173"/>
      <c r="L427" s="173"/>
      <c r="M427" s="173"/>
      <c r="N427" s="173"/>
      <c r="O427" s="16" t="s">
        <v>92</v>
      </c>
      <c r="P427" s="174"/>
      <c r="Q427" s="174" t="s">
        <v>140</v>
      </c>
      <c r="R427" s="174" t="s">
        <v>4362</v>
      </c>
      <c r="S427" s="174" t="s">
        <v>142</v>
      </c>
      <c r="T427" s="173" t="s">
        <v>70</v>
      </c>
      <c r="U427" s="174"/>
      <c r="V427" s="174" t="s">
        <v>2245</v>
      </c>
      <c r="W427" s="174" t="s">
        <v>441</v>
      </c>
      <c r="X427" s="174" t="s">
        <v>4363</v>
      </c>
      <c r="Y427" s="174" t="s">
        <v>262</v>
      </c>
      <c r="Z427" s="174" t="s">
        <v>70</v>
      </c>
      <c r="AA427" s="173" t="s">
        <v>4364</v>
      </c>
      <c r="AB427" s="173"/>
      <c r="AC427" s="173"/>
      <c r="AD427" s="173"/>
      <c r="AE427" s="16">
        <v>168</v>
      </c>
      <c r="AF427" s="16"/>
      <c r="AG427" s="16"/>
      <c r="AH427" s="16"/>
      <c r="AI427" s="16"/>
      <c r="AJ427" s="16"/>
      <c r="AK427" s="16"/>
      <c r="AL427" s="16">
        <v>6</v>
      </c>
      <c r="AM427" s="16"/>
      <c r="AN427" s="173"/>
      <c r="AO427" s="174"/>
      <c r="AP427" s="25"/>
      <c r="AQ427" s="173"/>
      <c r="AR427" s="16"/>
      <c r="AS427" s="16"/>
      <c r="AT427" s="174" t="s">
        <v>113</v>
      </c>
      <c r="AU427" s="174" t="s">
        <v>441</v>
      </c>
      <c r="AV427" s="174" t="s">
        <v>123</v>
      </c>
      <c r="AW427" s="174" t="s">
        <v>235</v>
      </c>
      <c r="AX427" s="12">
        <f t="shared" si="22"/>
        <v>67</v>
      </c>
      <c r="AY427" s="12" t="str">
        <f t="shared" si="23"/>
        <v/>
      </c>
      <c r="AZ427" s="18"/>
      <c r="BA427" s="19"/>
      <c r="BB427" s="19"/>
      <c r="BC427" s="19"/>
      <c r="BD427" s="19"/>
      <c r="BE427" s="19"/>
      <c r="BF427" s="19"/>
      <c r="BG427" s="19"/>
      <c r="BH427" s="19"/>
      <c r="BI427" s="19"/>
      <c r="BJ427" s="19"/>
      <c r="BK427" s="19"/>
    </row>
    <row r="428" spans="1:63" ht="20.100000000000001" hidden="1" customHeight="1" x14ac:dyDescent="0.2">
      <c r="A428" s="13">
        <v>423</v>
      </c>
      <c r="B428" s="16" t="s">
        <v>4152</v>
      </c>
      <c r="C428" s="16"/>
      <c r="D428" s="202" t="s">
        <v>651</v>
      </c>
      <c r="E428" s="174" t="s">
        <v>6</v>
      </c>
      <c r="F428" s="174" t="s">
        <v>192</v>
      </c>
      <c r="G428" s="174"/>
      <c r="H428" s="173" t="s">
        <v>7</v>
      </c>
      <c r="I428" s="173"/>
      <c r="J428" s="173"/>
      <c r="K428" s="173"/>
      <c r="L428" s="173"/>
      <c r="M428" s="173"/>
      <c r="N428" s="173"/>
      <c r="O428" s="16" t="s">
        <v>92</v>
      </c>
      <c r="P428" s="35" t="s">
        <v>104</v>
      </c>
      <c r="Q428" s="35" t="s">
        <v>218</v>
      </c>
      <c r="R428" s="174" t="s">
        <v>4157</v>
      </c>
      <c r="S428" s="174" t="s">
        <v>69</v>
      </c>
      <c r="T428" s="173" t="s">
        <v>70</v>
      </c>
      <c r="U428" s="35" t="s">
        <v>190</v>
      </c>
      <c r="V428" s="35" t="s">
        <v>3679</v>
      </c>
      <c r="W428" s="35" t="s">
        <v>260</v>
      </c>
      <c r="X428" s="174" t="s">
        <v>4158</v>
      </c>
      <c r="Y428" s="174" t="s">
        <v>262</v>
      </c>
      <c r="Z428" s="174" t="s">
        <v>70</v>
      </c>
      <c r="AA428" s="173">
        <v>0</v>
      </c>
      <c r="AB428" s="173" t="s">
        <v>4044</v>
      </c>
      <c r="AC428" s="173">
        <v>250</v>
      </c>
      <c r="AD428" s="173">
        <v>0</v>
      </c>
      <c r="AE428" s="16">
        <v>234</v>
      </c>
      <c r="AF428" s="16">
        <v>158</v>
      </c>
      <c r="AG428" s="16">
        <v>173</v>
      </c>
      <c r="AH428" s="16">
        <v>7</v>
      </c>
      <c r="AI428" s="16">
        <v>50</v>
      </c>
      <c r="AJ428" s="16">
        <v>230</v>
      </c>
      <c r="AK428" s="16">
        <v>23</v>
      </c>
      <c r="AL428" s="16">
        <v>6</v>
      </c>
      <c r="AM428" s="162" t="s">
        <v>4169</v>
      </c>
      <c r="AN428" s="33" t="s">
        <v>158</v>
      </c>
      <c r="AO428" s="174"/>
      <c r="AP428" s="25"/>
      <c r="AQ428" s="173"/>
      <c r="AR428" s="16" t="s">
        <v>160</v>
      </c>
      <c r="AS428" s="16" t="s">
        <v>165</v>
      </c>
      <c r="AT428" s="174"/>
      <c r="AU428" s="174"/>
      <c r="AV428" s="174"/>
      <c r="AW428" s="174"/>
      <c r="AX428" s="12" t="str">
        <f t="shared" si="22"/>
        <v/>
      </c>
      <c r="AY428" s="12" t="str">
        <f t="shared" si="23"/>
        <v/>
      </c>
      <c r="AZ428" s="18"/>
      <c r="BA428" s="19"/>
      <c r="BB428" s="19"/>
      <c r="BC428" s="19"/>
      <c r="BD428" s="19"/>
      <c r="BE428" s="19"/>
      <c r="BF428" s="19"/>
      <c r="BG428" s="19"/>
      <c r="BH428" s="19"/>
      <c r="BI428" s="19"/>
      <c r="BJ428" s="19"/>
      <c r="BK428" s="19"/>
    </row>
    <row r="429" spans="1:63" ht="20.100000000000001" hidden="1" customHeight="1" x14ac:dyDescent="0.2">
      <c r="A429" s="13">
        <v>424</v>
      </c>
      <c r="B429" s="16" t="s">
        <v>4153</v>
      </c>
      <c r="C429" s="16"/>
      <c r="D429" s="174" t="s">
        <v>4154</v>
      </c>
      <c r="E429" s="249" t="s">
        <v>8</v>
      </c>
      <c r="F429" s="249" t="s">
        <v>4038</v>
      </c>
      <c r="G429" s="174"/>
      <c r="H429" s="173" t="s">
        <v>83</v>
      </c>
      <c r="I429" s="173"/>
      <c r="J429" s="173"/>
      <c r="K429" s="173"/>
      <c r="L429" s="173"/>
      <c r="M429" s="173"/>
      <c r="N429" s="173"/>
      <c r="O429" s="16"/>
      <c r="P429" s="174"/>
      <c r="Q429" s="174" t="s">
        <v>140</v>
      </c>
      <c r="R429" s="174"/>
      <c r="S429" s="174" t="s">
        <v>119</v>
      </c>
      <c r="T429" s="173" t="s">
        <v>107</v>
      </c>
      <c r="U429" s="174"/>
      <c r="V429" s="174" t="s">
        <v>3677</v>
      </c>
      <c r="W429" s="174" t="s">
        <v>506</v>
      </c>
      <c r="X429" s="174"/>
      <c r="Y429" s="174" t="s">
        <v>142</v>
      </c>
      <c r="Z429" s="174" t="s">
        <v>70</v>
      </c>
      <c r="AA429" s="173" t="s">
        <v>4155</v>
      </c>
      <c r="AB429" s="173" t="s">
        <v>162</v>
      </c>
      <c r="AC429" s="173"/>
      <c r="AD429" s="173">
        <v>102</v>
      </c>
      <c r="AE429" s="16"/>
      <c r="AF429" s="16"/>
      <c r="AG429" s="16"/>
      <c r="AH429" s="16"/>
      <c r="AI429" s="16"/>
      <c r="AJ429" s="16"/>
      <c r="AK429" s="16"/>
      <c r="AL429" s="16">
        <v>4</v>
      </c>
      <c r="AM429" s="16"/>
      <c r="AN429" s="173"/>
      <c r="AO429" s="174"/>
      <c r="AP429" s="25"/>
      <c r="AQ429" s="173"/>
      <c r="AR429" s="16" t="s">
        <v>111</v>
      </c>
      <c r="AS429" s="16" t="s">
        <v>330</v>
      </c>
      <c r="AT429" s="174" t="s">
        <v>113</v>
      </c>
      <c r="AU429" s="174" t="s">
        <v>441</v>
      </c>
      <c r="AV429" s="174" t="s">
        <v>136</v>
      </c>
      <c r="AW429" s="174" t="s">
        <v>114</v>
      </c>
      <c r="AX429" s="12">
        <f t="shared" si="22"/>
        <v>33</v>
      </c>
      <c r="AY429" s="12" t="str">
        <f t="shared" si="23"/>
        <v/>
      </c>
      <c r="AZ429" s="18"/>
      <c r="BA429" s="19"/>
      <c r="BB429" s="19"/>
      <c r="BC429" s="19"/>
      <c r="BD429" s="19"/>
      <c r="BE429" s="19"/>
      <c r="BF429" s="19"/>
      <c r="BG429" s="19"/>
      <c r="BH429" s="19"/>
      <c r="BI429" s="19"/>
      <c r="BJ429" s="19"/>
      <c r="BK429" s="19"/>
    </row>
    <row r="430" spans="1:63" s="21" customFormat="1" ht="20.100000000000001" hidden="1" customHeight="1" x14ac:dyDescent="0.2">
      <c r="A430" s="13">
        <v>425</v>
      </c>
      <c r="B430" s="29" t="s">
        <v>4153</v>
      </c>
      <c r="C430" s="16"/>
      <c r="D430" s="30" t="s">
        <v>182</v>
      </c>
      <c r="E430" s="249" t="s">
        <v>6</v>
      </c>
      <c r="F430" s="30" t="s">
        <v>185</v>
      </c>
      <c r="G430" s="174"/>
      <c r="H430" s="20" t="s">
        <v>83</v>
      </c>
      <c r="I430" s="173"/>
      <c r="J430" s="173"/>
      <c r="K430" s="173"/>
      <c r="L430" s="173"/>
      <c r="M430" s="173"/>
      <c r="N430" s="173"/>
      <c r="O430" s="29"/>
      <c r="P430" s="30"/>
      <c r="Q430" s="30" t="s">
        <v>117</v>
      </c>
      <c r="R430" s="30" t="s">
        <v>3518</v>
      </c>
      <c r="S430" s="30" t="s">
        <v>69</v>
      </c>
      <c r="T430" s="20" t="s">
        <v>70</v>
      </c>
      <c r="U430" s="30" t="s">
        <v>429</v>
      </c>
      <c r="V430" s="30" t="s">
        <v>1510</v>
      </c>
      <c r="W430" s="30" t="s">
        <v>2258</v>
      </c>
      <c r="X430" s="30" t="s">
        <v>3519</v>
      </c>
      <c r="Y430" s="30" t="s">
        <v>73</v>
      </c>
      <c r="Z430" s="30" t="s">
        <v>70</v>
      </c>
      <c r="AA430" s="20" t="s">
        <v>3507</v>
      </c>
      <c r="AB430" s="20" t="s">
        <v>162</v>
      </c>
      <c r="AC430" s="20"/>
      <c r="AD430" s="20"/>
      <c r="AE430" s="29">
        <v>186</v>
      </c>
      <c r="AF430" s="29"/>
      <c r="AG430" s="29"/>
      <c r="AH430" s="29"/>
      <c r="AI430" s="29"/>
      <c r="AJ430" s="29"/>
      <c r="AK430" s="29"/>
      <c r="AL430" s="29">
        <v>6</v>
      </c>
      <c r="AM430" s="29"/>
      <c r="AN430" s="20"/>
      <c r="AO430" s="30"/>
      <c r="AP430" s="36"/>
      <c r="AQ430" s="20"/>
      <c r="AR430" s="29" t="s">
        <v>160</v>
      </c>
      <c r="AS430" s="29" t="s">
        <v>161</v>
      </c>
      <c r="AT430" s="30" t="s">
        <v>113</v>
      </c>
      <c r="AU430" s="30" t="s">
        <v>441</v>
      </c>
      <c r="AV430" s="30" t="s">
        <v>113</v>
      </c>
      <c r="AW430" s="30" t="s">
        <v>124</v>
      </c>
      <c r="AX430" s="12">
        <f t="shared" si="22"/>
        <v>6</v>
      </c>
      <c r="AY430" s="12">
        <f t="shared" si="23"/>
        <v>6</v>
      </c>
      <c r="AZ430" s="32"/>
    </row>
    <row r="431" spans="1:63" ht="20.100000000000001" hidden="1" customHeight="1" x14ac:dyDescent="0.2">
      <c r="A431" s="13">
        <v>426</v>
      </c>
      <c r="B431" s="16" t="s">
        <v>4170</v>
      </c>
      <c r="C431" s="16"/>
      <c r="D431" s="178" t="s">
        <v>4154</v>
      </c>
      <c r="E431" s="249"/>
      <c r="F431" s="174"/>
      <c r="G431" s="174"/>
      <c r="H431" s="173" t="s">
        <v>7</v>
      </c>
      <c r="I431" s="173"/>
      <c r="J431" s="173"/>
      <c r="K431" s="173"/>
      <c r="L431" s="173"/>
      <c r="M431" s="173"/>
      <c r="N431" s="173"/>
      <c r="O431" s="16"/>
      <c r="P431" s="179" t="s">
        <v>140</v>
      </c>
      <c r="Q431" s="179" t="s">
        <v>140</v>
      </c>
      <c r="R431" s="174" t="s">
        <v>4184</v>
      </c>
      <c r="S431" s="174" t="s">
        <v>106</v>
      </c>
      <c r="T431" s="173" t="s">
        <v>107</v>
      </c>
      <c r="U431" s="174" t="s">
        <v>188</v>
      </c>
      <c r="V431" s="174" t="s">
        <v>3677</v>
      </c>
      <c r="W431" s="174" t="s">
        <v>506</v>
      </c>
      <c r="X431" s="174" t="s">
        <v>4185</v>
      </c>
      <c r="Y431" s="174" t="s">
        <v>106</v>
      </c>
      <c r="Z431" s="174" t="s">
        <v>107</v>
      </c>
      <c r="AA431" s="173">
        <v>0</v>
      </c>
      <c r="AB431" s="173" t="s">
        <v>162</v>
      </c>
      <c r="AC431" s="173">
        <v>120</v>
      </c>
      <c r="AD431" s="173">
        <v>102</v>
      </c>
      <c r="AE431" s="16">
        <v>102</v>
      </c>
      <c r="AF431" s="16">
        <v>31.5</v>
      </c>
      <c r="AG431" s="16">
        <v>46</v>
      </c>
      <c r="AH431" s="16">
        <v>20</v>
      </c>
      <c r="AI431" s="16">
        <v>21</v>
      </c>
      <c r="AJ431" s="16">
        <v>87</v>
      </c>
      <c r="AK431" s="16">
        <v>23</v>
      </c>
      <c r="AL431" s="16">
        <v>4</v>
      </c>
      <c r="AM431" s="162" t="s">
        <v>4218</v>
      </c>
      <c r="AN431" s="33" t="s">
        <v>158</v>
      </c>
      <c r="AO431" s="174"/>
      <c r="AP431" s="25"/>
      <c r="AQ431" s="173"/>
      <c r="AR431" s="16" t="s">
        <v>111</v>
      </c>
      <c r="AS431" s="16" t="s">
        <v>330</v>
      </c>
      <c r="AT431" s="174"/>
      <c r="AU431" s="174"/>
      <c r="AV431" s="174"/>
      <c r="AW431" s="174"/>
      <c r="AX431" s="12" t="str">
        <f t="shared" si="22"/>
        <v/>
      </c>
      <c r="AY431" s="12" t="str">
        <f t="shared" si="23"/>
        <v/>
      </c>
      <c r="AZ431" s="18"/>
      <c r="BA431" s="19"/>
      <c r="BB431" s="19"/>
      <c r="BC431" s="19"/>
      <c r="BD431" s="19"/>
      <c r="BE431" s="19"/>
      <c r="BF431" s="19"/>
      <c r="BG431" s="19"/>
      <c r="BH431" s="19"/>
      <c r="BI431" s="19"/>
      <c r="BJ431" s="19"/>
      <c r="BK431" s="19"/>
    </row>
    <row r="432" spans="1:63" s="21" customFormat="1" ht="20.100000000000001" hidden="1" customHeight="1" x14ac:dyDescent="0.2">
      <c r="A432" s="20">
        <v>427</v>
      </c>
      <c r="B432" s="29" t="s">
        <v>4170</v>
      </c>
      <c r="C432" s="16"/>
      <c r="D432" s="30" t="s">
        <v>859</v>
      </c>
      <c r="E432" s="249" t="s">
        <v>20</v>
      </c>
      <c r="F432" s="174" t="s">
        <v>186</v>
      </c>
      <c r="G432" s="174"/>
      <c r="H432" s="20" t="s">
        <v>83</v>
      </c>
      <c r="I432" s="173"/>
      <c r="J432" s="173"/>
      <c r="K432" s="173"/>
      <c r="L432" s="173"/>
      <c r="M432" s="173"/>
      <c r="N432" s="173"/>
      <c r="O432" s="29"/>
      <c r="P432" s="174"/>
      <c r="Q432" s="30" t="s">
        <v>116</v>
      </c>
      <c r="R432" s="30"/>
      <c r="S432" s="30" t="s">
        <v>106</v>
      </c>
      <c r="T432" s="173" t="s">
        <v>107</v>
      </c>
      <c r="U432" s="174"/>
      <c r="V432" s="30" t="s">
        <v>2325</v>
      </c>
      <c r="W432" s="30" t="s">
        <v>441</v>
      </c>
      <c r="X432" s="30" t="s">
        <v>878</v>
      </c>
      <c r="Y432" s="30" t="s">
        <v>69</v>
      </c>
      <c r="Z432" s="30" t="s">
        <v>70</v>
      </c>
      <c r="AA432" s="20" t="s">
        <v>3842</v>
      </c>
      <c r="AB432" s="173"/>
      <c r="AC432" s="173"/>
      <c r="AD432" s="173"/>
      <c r="AE432" s="16">
        <v>118</v>
      </c>
      <c r="AF432" s="16"/>
      <c r="AG432" s="16"/>
      <c r="AH432" s="16"/>
      <c r="AI432" s="16"/>
      <c r="AJ432" s="16"/>
      <c r="AK432" s="16"/>
      <c r="AL432" s="16"/>
      <c r="AM432" s="16"/>
      <c r="AN432" s="173"/>
      <c r="AO432" s="174"/>
      <c r="AP432" s="25"/>
      <c r="AQ432" s="173"/>
      <c r="AR432" s="16" t="s">
        <v>111</v>
      </c>
      <c r="AS432" s="29" t="s">
        <v>1956</v>
      </c>
      <c r="AT432" s="30" t="s">
        <v>113</v>
      </c>
      <c r="AU432" s="30" t="s">
        <v>441</v>
      </c>
      <c r="AV432" s="30" t="s">
        <v>113</v>
      </c>
      <c r="AW432" s="30" t="s">
        <v>137</v>
      </c>
      <c r="AX432" s="31">
        <f t="shared" si="22"/>
        <v>4</v>
      </c>
      <c r="AY432" s="31">
        <f t="shared" si="23"/>
        <v>4</v>
      </c>
      <c r="AZ432" s="32"/>
    </row>
    <row r="433" spans="1:63" ht="20.100000000000001" hidden="1" customHeight="1" x14ac:dyDescent="0.2">
      <c r="A433" s="13">
        <v>428</v>
      </c>
      <c r="B433" s="16" t="s">
        <v>4170</v>
      </c>
      <c r="C433" s="16"/>
      <c r="D433" s="174" t="s">
        <v>4171</v>
      </c>
      <c r="E433" s="249" t="s">
        <v>20</v>
      </c>
      <c r="F433" s="174" t="s">
        <v>192</v>
      </c>
      <c r="G433" s="174"/>
      <c r="H433" s="173" t="s">
        <v>7</v>
      </c>
      <c r="I433" s="173"/>
      <c r="J433" s="173"/>
      <c r="K433" s="173"/>
      <c r="L433" s="173"/>
      <c r="M433" s="173"/>
      <c r="N433" s="173"/>
      <c r="O433" s="16" t="s">
        <v>3576</v>
      </c>
      <c r="P433" s="174" t="s">
        <v>429</v>
      </c>
      <c r="Q433" s="174" t="s">
        <v>155</v>
      </c>
      <c r="R433" s="174" t="s">
        <v>5072</v>
      </c>
      <c r="S433" s="174" t="s">
        <v>142</v>
      </c>
      <c r="T433" s="173" t="s">
        <v>70</v>
      </c>
      <c r="U433" s="174" t="s">
        <v>429</v>
      </c>
      <c r="V433" s="174" t="s">
        <v>3679</v>
      </c>
      <c r="W433" s="174" t="s">
        <v>441</v>
      </c>
      <c r="X433" s="174" t="s">
        <v>5073</v>
      </c>
      <c r="Y433" s="174" t="s">
        <v>106</v>
      </c>
      <c r="Z433" s="174" t="s">
        <v>107</v>
      </c>
      <c r="AA433" s="173">
        <v>0</v>
      </c>
      <c r="AB433" s="173" t="s">
        <v>4044</v>
      </c>
      <c r="AC433" s="173">
        <v>236</v>
      </c>
      <c r="AD433" s="173">
        <v>0</v>
      </c>
      <c r="AE433" s="16">
        <v>222</v>
      </c>
      <c r="AF433" s="16">
        <v>87</v>
      </c>
      <c r="AG433" s="16">
        <v>137</v>
      </c>
      <c r="AH433" s="16">
        <v>6</v>
      </c>
      <c r="AI433" s="16">
        <v>45</v>
      </c>
      <c r="AJ433" s="16">
        <v>188</v>
      </c>
      <c r="AK433" s="16">
        <v>25</v>
      </c>
      <c r="AL433" s="16">
        <v>6</v>
      </c>
      <c r="AM433" s="162" t="s">
        <v>4219</v>
      </c>
      <c r="AN433" s="173"/>
      <c r="AO433" s="174"/>
      <c r="AP433" s="25"/>
      <c r="AQ433" s="173"/>
      <c r="AR433" s="16" t="s">
        <v>160</v>
      </c>
      <c r="AS433" s="16" t="s">
        <v>193</v>
      </c>
      <c r="AT433" s="174"/>
      <c r="AU433" s="174"/>
      <c r="AV433" s="174"/>
      <c r="AW433" s="174"/>
      <c r="AX433" s="12" t="str">
        <f t="shared" si="22"/>
        <v/>
      </c>
      <c r="AY433" s="12" t="str">
        <f t="shared" si="23"/>
        <v/>
      </c>
      <c r="AZ433" s="18"/>
      <c r="BA433" s="19"/>
      <c r="BB433" s="19"/>
      <c r="BC433" s="19"/>
      <c r="BD433" s="19"/>
      <c r="BE433" s="19"/>
      <c r="BF433" s="19"/>
      <c r="BG433" s="19"/>
      <c r="BH433" s="19"/>
      <c r="BI433" s="19"/>
      <c r="BJ433" s="19"/>
      <c r="BK433" s="19"/>
    </row>
    <row r="434" spans="1:63" ht="20.100000000000001" hidden="1" customHeight="1" x14ac:dyDescent="0.2">
      <c r="A434" s="13">
        <v>429</v>
      </c>
      <c r="B434" s="16" t="s">
        <v>4172</v>
      </c>
      <c r="C434" s="16"/>
      <c r="D434" s="174" t="s">
        <v>4131</v>
      </c>
      <c r="E434" s="249" t="s">
        <v>6</v>
      </c>
      <c r="F434" s="174"/>
      <c r="G434" s="174"/>
      <c r="H434" s="173" t="s">
        <v>7</v>
      </c>
      <c r="I434" s="173"/>
      <c r="J434" s="173"/>
      <c r="K434" s="173"/>
      <c r="L434" s="173"/>
      <c r="M434" s="173"/>
      <c r="N434" s="173"/>
      <c r="O434" s="16" t="s">
        <v>4173</v>
      </c>
      <c r="P434" s="174" t="s">
        <v>68</v>
      </c>
      <c r="Q434" s="174" t="s">
        <v>68</v>
      </c>
      <c r="R434" s="174" t="s">
        <v>4186</v>
      </c>
      <c r="S434" s="174" t="s">
        <v>262</v>
      </c>
      <c r="T434" s="173" t="s">
        <v>70</v>
      </c>
      <c r="U434" s="35" t="s">
        <v>263</v>
      </c>
      <c r="V434" s="35" t="s">
        <v>1510</v>
      </c>
      <c r="W434" s="35" t="s">
        <v>144</v>
      </c>
      <c r="X434" s="174" t="s">
        <v>4187</v>
      </c>
      <c r="Y434" s="174" t="s">
        <v>262</v>
      </c>
      <c r="Z434" s="174" t="s">
        <v>70</v>
      </c>
      <c r="AA434" s="173">
        <v>0</v>
      </c>
      <c r="AB434" s="173" t="s">
        <v>162</v>
      </c>
      <c r="AC434" s="173">
        <v>163</v>
      </c>
      <c r="AD434" s="33">
        <v>156</v>
      </c>
      <c r="AE434" s="34">
        <v>153</v>
      </c>
      <c r="AF434" s="16">
        <v>122</v>
      </c>
      <c r="AG434" s="16">
        <v>134</v>
      </c>
      <c r="AH434" s="16">
        <v>2</v>
      </c>
      <c r="AI434" s="16">
        <v>58</v>
      </c>
      <c r="AJ434" s="16">
        <v>194</v>
      </c>
      <c r="AK434" s="16">
        <v>16</v>
      </c>
      <c r="AL434" s="16">
        <v>6</v>
      </c>
      <c r="AM434" s="16"/>
      <c r="AN434" s="33" t="s">
        <v>158</v>
      </c>
      <c r="AO434" s="174"/>
      <c r="AP434" s="25"/>
      <c r="AQ434" s="173"/>
      <c r="AR434" s="16" t="s">
        <v>160</v>
      </c>
      <c r="AS434" s="16" t="s">
        <v>165</v>
      </c>
      <c r="AT434" s="174"/>
      <c r="AU434" s="174"/>
      <c r="AV434" s="174"/>
      <c r="AW434" s="174"/>
      <c r="AX434" s="12" t="str">
        <f t="shared" si="22"/>
        <v/>
      </c>
      <c r="AY434" s="12" t="str">
        <f t="shared" si="23"/>
        <v/>
      </c>
      <c r="AZ434" s="18"/>
      <c r="BA434" s="19"/>
      <c r="BB434" s="19"/>
      <c r="BC434" s="19"/>
      <c r="BD434" s="19"/>
      <c r="BE434" s="19"/>
      <c r="BF434" s="19"/>
      <c r="BG434" s="19"/>
      <c r="BH434" s="19"/>
      <c r="BI434" s="19"/>
      <c r="BJ434" s="19"/>
      <c r="BK434" s="19"/>
    </row>
    <row r="435" spans="1:63" ht="20.100000000000001" hidden="1" customHeight="1" x14ac:dyDescent="0.2">
      <c r="A435" s="13">
        <v>430</v>
      </c>
      <c r="B435" s="16" t="s">
        <v>4172</v>
      </c>
      <c r="C435" s="16"/>
      <c r="D435" s="174" t="s">
        <v>4174</v>
      </c>
      <c r="E435" s="249" t="s">
        <v>8</v>
      </c>
      <c r="F435" s="249" t="s">
        <v>4038</v>
      </c>
      <c r="G435" s="174"/>
      <c r="H435" s="173" t="s">
        <v>83</v>
      </c>
      <c r="I435" s="173"/>
      <c r="J435" s="173"/>
      <c r="K435" s="173"/>
      <c r="L435" s="173"/>
      <c r="M435" s="173"/>
      <c r="N435" s="173"/>
      <c r="O435" s="16"/>
      <c r="P435" s="174"/>
      <c r="Q435" s="174" t="s">
        <v>2159</v>
      </c>
      <c r="R435" s="174"/>
      <c r="S435" s="174" t="s">
        <v>69</v>
      </c>
      <c r="T435" s="173" t="s">
        <v>70</v>
      </c>
      <c r="U435" s="174"/>
      <c r="V435" s="174" t="s">
        <v>4214</v>
      </c>
      <c r="W435" s="174" t="s">
        <v>496</v>
      </c>
      <c r="X435" s="174"/>
      <c r="Y435" s="174" t="s">
        <v>69</v>
      </c>
      <c r="Z435" s="174" t="s">
        <v>70</v>
      </c>
      <c r="AA435" s="173"/>
      <c r="AB435" s="173"/>
      <c r="AC435" s="173"/>
      <c r="AD435" s="173"/>
      <c r="AE435" s="16"/>
      <c r="AF435" s="16"/>
      <c r="AG435" s="16"/>
      <c r="AH435" s="16"/>
      <c r="AI435" s="16"/>
      <c r="AJ435" s="16"/>
      <c r="AK435" s="16"/>
      <c r="AL435" s="16"/>
      <c r="AM435" s="16"/>
      <c r="AN435" s="173"/>
      <c r="AO435" s="174"/>
      <c r="AP435" s="25"/>
      <c r="AQ435" s="173"/>
      <c r="AR435" s="16"/>
      <c r="AS435" s="16"/>
      <c r="AT435" s="174"/>
      <c r="AU435" s="174"/>
      <c r="AV435" s="174"/>
      <c r="AW435" s="174"/>
      <c r="AX435" s="12" t="str">
        <f t="shared" si="22"/>
        <v/>
      </c>
      <c r="AY435" s="12" t="str">
        <f t="shared" si="23"/>
        <v/>
      </c>
      <c r="AZ435" s="18"/>
      <c r="BA435" s="19"/>
      <c r="BB435" s="19"/>
      <c r="BC435" s="19"/>
      <c r="BD435" s="19"/>
      <c r="BE435" s="19"/>
      <c r="BF435" s="19"/>
      <c r="BG435" s="19"/>
      <c r="BH435" s="19"/>
      <c r="BI435" s="19"/>
      <c r="BJ435" s="19"/>
      <c r="BK435" s="19"/>
    </row>
    <row r="436" spans="1:63" ht="20.100000000000001" hidden="1" customHeight="1" x14ac:dyDescent="0.2">
      <c r="A436" s="13">
        <v>431</v>
      </c>
      <c r="B436" s="16" t="s">
        <v>4175</v>
      </c>
      <c r="C436" s="16"/>
      <c r="D436" s="174" t="s">
        <v>4176</v>
      </c>
      <c r="E436" s="174"/>
      <c r="F436" s="174" t="s">
        <v>192</v>
      </c>
      <c r="G436" s="174"/>
      <c r="H436" s="173" t="s">
        <v>7</v>
      </c>
      <c r="I436" s="173"/>
      <c r="J436" s="173"/>
      <c r="K436" s="173"/>
      <c r="L436" s="173"/>
      <c r="M436" s="173"/>
      <c r="N436" s="173"/>
      <c r="O436" s="16"/>
      <c r="P436" s="174" t="s">
        <v>429</v>
      </c>
      <c r="Q436" s="174" t="s">
        <v>104</v>
      </c>
      <c r="R436" s="174" t="s">
        <v>4188</v>
      </c>
      <c r="S436" s="174" t="s">
        <v>106</v>
      </c>
      <c r="T436" s="173" t="s">
        <v>107</v>
      </c>
      <c r="U436" s="174" t="s">
        <v>429</v>
      </c>
      <c r="V436" s="174" t="s">
        <v>3679</v>
      </c>
      <c r="W436" s="174" t="s">
        <v>555</v>
      </c>
      <c r="X436" s="174" t="s">
        <v>4189</v>
      </c>
      <c r="Y436" s="174" t="s">
        <v>106</v>
      </c>
      <c r="Z436" s="174" t="s">
        <v>107</v>
      </c>
      <c r="AA436" s="173">
        <v>0</v>
      </c>
      <c r="AB436" s="173" t="s">
        <v>4044</v>
      </c>
      <c r="AC436" s="173">
        <v>224</v>
      </c>
      <c r="AD436" s="173">
        <v>0</v>
      </c>
      <c r="AE436" s="16">
        <v>186</v>
      </c>
      <c r="AF436" s="16">
        <v>34</v>
      </c>
      <c r="AG436" s="16">
        <v>48</v>
      </c>
      <c r="AH436" s="16">
        <v>5</v>
      </c>
      <c r="AI436" s="16">
        <v>96</v>
      </c>
      <c r="AJ436" s="16">
        <v>149</v>
      </c>
      <c r="AK436" s="16">
        <v>25</v>
      </c>
      <c r="AL436" s="16">
        <v>6</v>
      </c>
      <c r="AM436" s="162"/>
      <c r="AN436" s="173"/>
      <c r="AO436" s="174"/>
      <c r="AP436" s="25"/>
      <c r="AQ436" s="173"/>
      <c r="AR436" s="16" t="s">
        <v>160</v>
      </c>
      <c r="AS436" s="16" t="s">
        <v>161</v>
      </c>
      <c r="AT436" s="174"/>
      <c r="AU436" s="174"/>
      <c r="AV436" s="174"/>
      <c r="AW436" s="174"/>
      <c r="AX436" s="12" t="str">
        <f t="shared" si="22"/>
        <v/>
      </c>
      <c r="AY436" s="12" t="str">
        <f t="shared" si="23"/>
        <v/>
      </c>
      <c r="AZ436" s="18"/>
      <c r="BA436" s="19"/>
      <c r="BB436" s="19"/>
      <c r="BC436" s="19"/>
      <c r="BD436" s="19"/>
      <c r="BE436" s="19"/>
      <c r="BF436" s="19"/>
      <c r="BG436" s="19"/>
      <c r="BH436" s="19"/>
      <c r="BI436" s="19"/>
      <c r="BJ436" s="19"/>
      <c r="BK436" s="19"/>
    </row>
    <row r="437" spans="1:63" ht="20.100000000000001" hidden="1" customHeight="1" x14ac:dyDescent="0.2">
      <c r="A437" s="13">
        <v>433</v>
      </c>
      <c r="B437" s="16" t="s">
        <v>4177</v>
      </c>
      <c r="C437" s="16"/>
      <c r="D437" s="174" t="s">
        <v>3212</v>
      </c>
      <c r="E437" s="174" t="s">
        <v>6</v>
      </c>
      <c r="F437" s="174" t="s">
        <v>185</v>
      </c>
      <c r="G437" s="174"/>
      <c r="H437" s="173" t="s">
        <v>83</v>
      </c>
      <c r="I437" s="173"/>
      <c r="J437" s="173"/>
      <c r="K437" s="173"/>
      <c r="L437" s="173"/>
      <c r="M437" s="173"/>
      <c r="N437" s="173"/>
      <c r="O437" s="16"/>
      <c r="P437" s="174"/>
      <c r="Q437" s="174" t="s">
        <v>141</v>
      </c>
      <c r="R437" s="174" t="s">
        <v>3802</v>
      </c>
      <c r="S437" s="174" t="s">
        <v>142</v>
      </c>
      <c r="T437" s="173" t="s">
        <v>70</v>
      </c>
      <c r="U437" s="174"/>
      <c r="V437" s="174" t="s">
        <v>1809</v>
      </c>
      <c r="W437" s="174" t="s">
        <v>1581</v>
      </c>
      <c r="X437" s="174" t="s">
        <v>3803</v>
      </c>
      <c r="Y437" s="174" t="s">
        <v>69</v>
      </c>
      <c r="Z437" s="174" t="s">
        <v>70</v>
      </c>
      <c r="AA437" s="173" t="s">
        <v>3778</v>
      </c>
      <c r="AB437" s="173"/>
      <c r="AC437" s="173"/>
      <c r="AD437" s="173"/>
      <c r="AE437" s="16">
        <v>183</v>
      </c>
      <c r="AF437" s="16"/>
      <c r="AG437" s="16"/>
      <c r="AH437" s="16"/>
      <c r="AI437" s="16"/>
      <c r="AJ437" s="16"/>
      <c r="AK437" s="16"/>
      <c r="AL437" s="16">
        <v>3</v>
      </c>
      <c r="AM437" s="16"/>
      <c r="AN437" s="173"/>
      <c r="AO437" s="174"/>
      <c r="AP437" s="25"/>
      <c r="AQ437" s="173"/>
      <c r="AR437" s="16" t="s">
        <v>111</v>
      </c>
      <c r="AS437" s="16" t="s">
        <v>231</v>
      </c>
      <c r="AT437" s="174" t="s">
        <v>113</v>
      </c>
      <c r="AU437" s="174" t="s">
        <v>441</v>
      </c>
      <c r="AV437" s="174" t="s">
        <v>113</v>
      </c>
      <c r="AW437" s="174" t="s">
        <v>137</v>
      </c>
      <c r="AX437" s="12">
        <f t="shared" si="22"/>
        <v>4</v>
      </c>
      <c r="AY437" s="12">
        <f t="shared" si="23"/>
        <v>4</v>
      </c>
      <c r="AZ437" s="18"/>
      <c r="BA437" s="19"/>
      <c r="BB437" s="19"/>
      <c r="BC437" s="19"/>
      <c r="BD437" s="19"/>
      <c r="BE437" s="19"/>
      <c r="BF437" s="19"/>
      <c r="BG437" s="19"/>
      <c r="BH437" s="19"/>
      <c r="BI437" s="19"/>
      <c r="BJ437" s="19"/>
      <c r="BK437" s="19"/>
    </row>
    <row r="438" spans="1:63" ht="20.100000000000001" hidden="1" customHeight="1" x14ac:dyDescent="0.2">
      <c r="A438" s="13">
        <v>434</v>
      </c>
      <c r="B438" s="16" t="s">
        <v>4177</v>
      </c>
      <c r="C438" s="16"/>
      <c r="D438" s="174" t="s">
        <v>4178</v>
      </c>
      <c r="E438" s="174" t="s">
        <v>6</v>
      </c>
      <c r="F438" s="249" t="s">
        <v>4038</v>
      </c>
      <c r="G438" s="174"/>
      <c r="H438" s="173" t="s">
        <v>83</v>
      </c>
      <c r="I438" s="173"/>
      <c r="J438" s="173"/>
      <c r="K438" s="173"/>
      <c r="L438" s="173"/>
      <c r="M438" s="173"/>
      <c r="N438" s="173"/>
      <c r="O438" s="16"/>
      <c r="P438" s="174"/>
      <c r="Q438" s="174" t="s">
        <v>218</v>
      </c>
      <c r="R438" s="174" t="s">
        <v>2441</v>
      </c>
      <c r="S438" s="174" t="s">
        <v>444</v>
      </c>
      <c r="T438" s="173" t="s">
        <v>107</v>
      </c>
      <c r="U438" s="174"/>
      <c r="V438" s="174" t="s">
        <v>3678</v>
      </c>
      <c r="W438" s="174" t="s">
        <v>485</v>
      </c>
      <c r="X438" s="174" t="s">
        <v>116</v>
      </c>
      <c r="Y438" s="174" t="s">
        <v>444</v>
      </c>
      <c r="Z438" s="174" t="s">
        <v>107</v>
      </c>
      <c r="AA438" s="173" t="s">
        <v>4361</v>
      </c>
      <c r="AB438" s="173"/>
      <c r="AC438" s="173"/>
      <c r="AD438" s="173"/>
      <c r="AE438" s="16">
        <v>192</v>
      </c>
      <c r="AF438" s="16"/>
      <c r="AG438" s="16"/>
      <c r="AH438" s="16"/>
      <c r="AI438" s="16"/>
      <c r="AJ438" s="16"/>
      <c r="AK438" s="16"/>
      <c r="AL438" s="16">
        <v>6</v>
      </c>
      <c r="AM438" s="16"/>
      <c r="AN438" s="173"/>
      <c r="AO438" s="174"/>
      <c r="AP438" s="25"/>
      <c r="AQ438" s="173"/>
      <c r="AR438" s="16"/>
      <c r="AS438" s="16"/>
      <c r="AT438" s="174" t="s">
        <v>113</v>
      </c>
      <c r="AU438" s="174" t="s">
        <v>441</v>
      </c>
      <c r="AV438" s="174" t="s">
        <v>721</v>
      </c>
      <c r="AW438" s="174" t="s">
        <v>137</v>
      </c>
      <c r="AX438" s="12">
        <f t="shared" si="22"/>
        <v>136</v>
      </c>
      <c r="AY438" s="12" t="str">
        <f t="shared" si="23"/>
        <v/>
      </c>
      <c r="AZ438" s="18"/>
      <c r="BA438" s="19"/>
      <c r="BB438" s="19"/>
      <c r="BC438" s="19"/>
      <c r="BD438" s="19"/>
      <c r="BE438" s="19"/>
      <c r="BF438" s="19"/>
      <c r="BG438" s="19"/>
      <c r="BH438" s="19"/>
      <c r="BI438" s="19"/>
      <c r="BJ438" s="19"/>
      <c r="BK438" s="19"/>
    </row>
    <row r="439" spans="1:63" ht="20.100000000000001" hidden="1" customHeight="1" x14ac:dyDescent="0.2">
      <c r="A439" s="13">
        <v>435</v>
      </c>
      <c r="B439" s="16" t="s">
        <v>4177</v>
      </c>
      <c r="C439" s="16"/>
      <c r="D439" s="174" t="s">
        <v>2113</v>
      </c>
      <c r="E439" s="174"/>
      <c r="F439" s="174"/>
      <c r="G439" s="174"/>
      <c r="H439" s="173" t="s">
        <v>7</v>
      </c>
      <c r="I439" s="173"/>
      <c r="J439" s="173"/>
      <c r="K439" s="173"/>
      <c r="L439" s="173"/>
      <c r="M439" s="173"/>
      <c r="N439" s="173"/>
      <c r="O439" s="16"/>
      <c r="P439" s="174" t="s">
        <v>68</v>
      </c>
      <c r="Q439" s="174" t="s">
        <v>68</v>
      </c>
      <c r="R439" s="174" t="s">
        <v>4190</v>
      </c>
      <c r="S439" s="183" t="s">
        <v>106</v>
      </c>
      <c r="T439" s="182" t="s">
        <v>107</v>
      </c>
      <c r="U439" s="35" t="s">
        <v>332</v>
      </c>
      <c r="V439" s="35" t="s">
        <v>1510</v>
      </c>
      <c r="W439" s="35" t="s">
        <v>144</v>
      </c>
      <c r="X439" s="174" t="s">
        <v>4191</v>
      </c>
      <c r="Y439" s="174" t="s">
        <v>262</v>
      </c>
      <c r="Z439" s="174" t="s">
        <v>70</v>
      </c>
      <c r="AA439" s="173">
        <v>0</v>
      </c>
      <c r="AB439" s="173" t="s">
        <v>162</v>
      </c>
      <c r="AC439" s="173">
        <v>209</v>
      </c>
      <c r="AD439" s="33">
        <v>204</v>
      </c>
      <c r="AE439" s="34">
        <v>201</v>
      </c>
      <c r="AF439" s="16">
        <v>142</v>
      </c>
      <c r="AG439" s="16">
        <v>175</v>
      </c>
      <c r="AH439" s="16">
        <v>4</v>
      </c>
      <c r="AI439" s="16">
        <v>20</v>
      </c>
      <c r="AJ439" s="16">
        <v>200</v>
      </c>
      <c r="AK439" s="16">
        <v>17</v>
      </c>
      <c r="AL439" s="16">
        <v>6</v>
      </c>
      <c r="AM439" s="162" t="s">
        <v>4220</v>
      </c>
      <c r="AN439" s="33" t="s">
        <v>158</v>
      </c>
      <c r="AO439" s="174"/>
      <c r="AP439" s="25"/>
      <c r="AQ439" s="173"/>
      <c r="AR439" s="16" t="s">
        <v>160</v>
      </c>
      <c r="AS439" s="16" t="s">
        <v>165</v>
      </c>
      <c r="AT439" s="174"/>
      <c r="AU439" s="174"/>
      <c r="AV439" s="174"/>
      <c r="AW439" s="174"/>
      <c r="AX439" s="12" t="str">
        <f t="shared" si="22"/>
        <v/>
      </c>
      <c r="AY439" s="12" t="str">
        <f t="shared" si="23"/>
        <v/>
      </c>
      <c r="AZ439" s="18"/>
      <c r="BA439" s="19"/>
      <c r="BB439" s="19"/>
      <c r="BC439" s="19"/>
      <c r="BD439" s="19"/>
      <c r="BE439" s="19"/>
      <c r="BF439" s="19"/>
      <c r="BG439" s="19"/>
      <c r="BH439" s="19"/>
      <c r="BI439" s="19"/>
      <c r="BJ439" s="19"/>
      <c r="BK439" s="19"/>
    </row>
    <row r="440" spans="1:63" s="21" customFormat="1" ht="20.100000000000001" hidden="1" customHeight="1" x14ac:dyDescent="0.2">
      <c r="A440" s="13">
        <v>436</v>
      </c>
      <c r="B440" s="29" t="s">
        <v>4179</v>
      </c>
      <c r="C440" s="29"/>
      <c r="D440" s="30" t="s">
        <v>1815</v>
      </c>
      <c r="E440" s="30" t="s">
        <v>6</v>
      </c>
      <c r="F440" s="30" t="s">
        <v>185</v>
      </c>
      <c r="G440" s="30"/>
      <c r="H440" s="20" t="s">
        <v>83</v>
      </c>
      <c r="I440" s="20"/>
      <c r="J440" s="20"/>
      <c r="K440" s="20"/>
      <c r="L440" s="20"/>
      <c r="M440" s="20"/>
      <c r="N440" s="20"/>
      <c r="O440" s="29"/>
      <c r="P440" s="30"/>
      <c r="Q440" s="30" t="s">
        <v>155</v>
      </c>
      <c r="R440" s="30" t="s">
        <v>1880</v>
      </c>
      <c r="S440" s="30" t="s">
        <v>106</v>
      </c>
      <c r="T440" s="20" t="s">
        <v>107</v>
      </c>
      <c r="U440" s="30"/>
      <c r="V440" s="30" t="s">
        <v>3677</v>
      </c>
      <c r="W440" s="30" t="s">
        <v>718</v>
      </c>
      <c r="X440" s="30" t="s">
        <v>1881</v>
      </c>
      <c r="Y440" s="30" t="s">
        <v>69</v>
      </c>
      <c r="Z440" s="30" t="s">
        <v>70</v>
      </c>
      <c r="AA440" s="29" t="s">
        <v>1879</v>
      </c>
      <c r="AB440" s="20"/>
      <c r="AC440" s="20"/>
      <c r="AD440" s="20"/>
      <c r="AE440" s="29">
        <v>180</v>
      </c>
      <c r="AF440" s="29"/>
      <c r="AG440" s="29"/>
      <c r="AH440" s="29"/>
      <c r="AI440" s="29"/>
      <c r="AJ440" s="29"/>
      <c r="AK440" s="29"/>
      <c r="AL440" s="29">
        <v>6</v>
      </c>
      <c r="AM440" s="29"/>
      <c r="AN440" s="20"/>
      <c r="AO440" s="30"/>
      <c r="AP440" s="36"/>
      <c r="AQ440" s="20"/>
      <c r="AR440" s="29" t="s">
        <v>160</v>
      </c>
      <c r="AS440" s="29" t="s">
        <v>193</v>
      </c>
      <c r="AT440" s="30" t="s">
        <v>113</v>
      </c>
      <c r="AU440" s="30" t="s">
        <v>441</v>
      </c>
      <c r="AV440" s="30" t="s">
        <v>115</v>
      </c>
      <c r="AW440" s="30" t="s">
        <v>116</v>
      </c>
      <c r="AX440" s="12">
        <f t="shared" si="22"/>
        <v>11</v>
      </c>
      <c r="AY440" s="12">
        <f t="shared" si="23"/>
        <v>11</v>
      </c>
      <c r="AZ440" s="32"/>
    </row>
    <row r="441" spans="1:63" s="21" customFormat="1" ht="47.25" hidden="1" x14ac:dyDescent="0.2">
      <c r="A441" s="13">
        <v>437</v>
      </c>
      <c r="B441" s="29" t="s">
        <v>4179</v>
      </c>
      <c r="C441" s="16"/>
      <c r="D441" s="30" t="s">
        <v>1806</v>
      </c>
      <c r="E441" s="30" t="s">
        <v>19</v>
      </c>
      <c r="F441" s="30" t="s">
        <v>4795</v>
      </c>
      <c r="G441" s="174"/>
      <c r="H441" s="20" t="s">
        <v>83</v>
      </c>
      <c r="I441" s="173"/>
      <c r="J441" s="173"/>
      <c r="K441" s="173"/>
      <c r="L441" s="173"/>
      <c r="M441" s="173"/>
      <c r="N441" s="173"/>
      <c r="O441" s="29"/>
      <c r="P441" s="30"/>
      <c r="Q441" s="30" t="s">
        <v>104</v>
      </c>
      <c r="R441" s="30" t="s">
        <v>3289</v>
      </c>
      <c r="S441" s="30" t="s">
        <v>106</v>
      </c>
      <c r="T441" s="20" t="s">
        <v>107</v>
      </c>
      <c r="U441" s="30"/>
      <c r="V441" s="30" t="s">
        <v>2245</v>
      </c>
      <c r="W441" s="30" t="s">
        <v>2258</v>
      </c>
      <c r="X441" s="30" t="s">
        <v>4124</v>
      </c>
      <c r="Y441" s="30" t="s">
        <v>142</v>
      </c>
      <c r="Z441" s="30" t="s">
        <v>70</v>
      </c>
      <c r="AA441" s="20"/>
      <c r="AB441" s="20" t="s">
        <v>4044</v>
      </c>
      <c r="AC441" s="20"/>
      <c r="AD441" s="20"/>
      <c r="AE441" s="29">
        <v>192</v>
      </c>
      <c r="AF441" s="29"/>
      <c r="AG441" s="29"/>
      <c r="AH441" s="29"/>
      <c r="AI441" s="29"/>
      <c r="AJ441" s="29"/>
      <c r="AK441" s="29"/>
      <c r="AL441" s="29">
        <v>6</v>
      </c>
      <c r="AM441" s="29"/>
      <c r="AN441" s="20"/>
      <c r="AO441" s="30"/>
      <c r="AP441" s="36"/>
      <c r="AQ441" s="20"/>
      <c r="AR441" s="29" t="s">
        <v>111</v>
      </c>
      <c r="AS441" s="29" t="s">
        <v>161</v>
      </c>
      <c r="AT441" s="30" t="s">
        <v>113</v>
      </c>
      <c r="AU441" s="30" t="s">
        <v>441</v>
      </c>
      <c r="AV441" s="30" t="s">
        <v>113</v>
      </c>
      <c r="AW441" s="30" t="s">
        <v>441</v>
      </c>
      <c r="AX441" s="12">
        <f t="shared" si="22"/>
        <v>0</v>
      </c>
      <c r="AY441" s="12">
        <f t="shared" si="23"/>
        <v>0</v>
      </c>
      <c r="AZ441" s="32" t="s">
        <v>4204</v>
      </c>
    </row>
    <row r="442" spans="1:63" ht="20.100000000000001" hidden="1" customHeight="1" x14ac:dyDescent="0.2">
      <c r="A442" s="13">
        <v>438</v>
      </c>
      <c r="B442" s="16" t="s">
        <v>4180</v>
      </c>
      <c r="C442" s="16"/>
      <c r="D442" s="6" t="s">
        <v>4055</v>
      </c>
      <c r="E442" s="6"/>
      <c r="F442" s="6"/>
      <c r="G442" s="6"/>
      <c r="H442" s="15" t="s">
        <v>7</v>
      </c>
      <c r="I442" s="15"/>
      <c r="J442" s="15"/>
      <c r="K442" s="15"/>
      <c r="L442" s="15"/>
      <c r="M442" s="15"/>
      <c r="N442" s="15"/>
      <c r="O442" s="16"/>
      <c r="P442" s="35" t="s">
        <v>155</v>
      </c>
      <c r="Q442" s="35" t="s">
        <v>104</v>
      </c>
      <c r="R442" s="6" t="s">
        <v>4192</v>
      </c>
      <c r="S442" s="183" t="s">
        <v>69</v>
      </c>
      <c r="T442" s="183" t="s">
        <v>70</v>
      </c>
      <c r="U442" s="35" t="s">
        <v>324</v>
      </c>
      <c r="V442" s="35" t="s">
        <v>3680</v>
      </c>
      <c r="W442" s="35" t="s">
        <v>2258</v>
      </c>
      <c r="X442" s="6" t="s">
        <v>4193</v>
      </c>
      <c r="Y442" s="6" t="s">
        <v>142</v>
      </c>
      <c r="Z442" s="6" t="s">
        <v>70</v>
      </c>
      <c r="AA442" s="15">
        <v>0</v>
      </c>
      <c r="AB442" s="15" t="s">
        <v>162</v>
      </c>
      <c r="AC442" s="15">
        <v>227</v>
      </c>
      <c r="AD442" s="33">
        <v>210</v>
      </c>
      <c r="AE442" s="34">
        <v>213</v>
      </c>
      <c r="AF442" s="16">
        <v>124</v>
      </c>
      <c r="AG442" s="16">
        <v>150</v>
      </c>
      <c r="AH442" s="16">
        <v>2</v>
      </c>
      <c r="AI442" s="16">
        <v>28</v>
      </c>
      <c r="AJ442" s="16">
        <v>180</v>
      </c>
      <c r="AK442" s="16">
        <v>15.5</v>
      </c>
      <c r="AL442" s="16">
        <v>6</v>
      </c>
      <c r="AM442" s="162" t="s">
        <v>4221</v>
      </c>
      <c r="AN442" s="33" t="s">
        <v>158</v>
      </c>
      <c r="AO442" s="6"/>
      <c r="AP442" s="25"/>
      <c r="AQ442" s="15"/>
      <c r="AR442" s="16" t="s">
        <v>160</v>
      </c>
      <c r="AS442" s="16" t="s">
        <v>161</v>
      </c>
      <c r="AT442" s="6"/>
      <c r="AU442" s="6"/>
      <c r="AV442" s="6"/>
      <c r="AW442" s="6"/>
      <c r="AX442" s="12" t="str">
        <f t="shared" si="22"/>
        <v/>
      </c>
      <c r="AY442" s="12" t="str">
        <f t="shared" si="23"/>
        <v/>
      </c>
      <c r="AZ442" s="18" t="s">
        <v>4194</v>
      </c>
      <c r="BA442" s="19"/>
      <c r="BB442" s="19"/>
      <c r="BC442" s="19"/>
      <c r="BD442" s="19"/>
      <c r="BE442" s="19"/>
      <c r="BF442" s="19"/>
      <c r="BG442" s="19"/>
      <c r="BH442" s="19"/>
      <c r="BI442" s="19"/>
      <c r="BJ442" s="19"/>
      <c r="BK442" s="19"/>
    </row>
    <row r="443" spans="1:63" ht="20.100000000000001" customHeight="1" x14ac:dyDescent="0.2">
      <c r="A443" s="13">
        <v>439</v>
      </c>
      <c r="B443" s="16" t="s">
        <v>4180</v>
      </c>
      <c r="C443" s="16"/>
      <c r="D443" s="6" t="s">
        <v>4181</v>
      </c>
      <c r="E443" s="6"/>
      <c r="F443" s="6" t="s">
        <v>192</v>
      </c>
      <c r="G443" s="6"/>
      <c r="H443" s="15" t="s">
        <v>7</v>
      </c>
      <c r="I443" s="15"/>
      <c r="J443" s="15"/>
      <c r="K443" s="15"/>
      <c r="L443" s="15"/>
      <c r="M443" s="15"/>
      <c r="N443" s="15"/>
      <c r="O443" s="16" t="s">
        <v>3576</v>
      </c>
      <c r="P443" s="6"/>
      <c r="Q443" s="6" t="s">
        <v>68</v>
      </c>
      <c r="R443" s="6" t="s">
        <v>4195</v>
      </c>
      <c r="S443" s="6" t="s">
        <v>262</v>
      </c>
      <c r="T443" s="15" t="s">
        <v>70</v>
      </c>
      <c r="U443" s="6" t="s">
        <v>429</v>
      </c>
      <c r="V443" s="6" t="s">
        <v>3679</v>
      </c>
      <c r="W443" s="6" t="s">
        <v>485</v>
      </c>
      <c r="X443" s="6" t="s">
        <v>4196</v>
      </c>
      <c r="Y443" s="6" t="s">
        <v>106</v>
      </c>
      <c r="Z443" s="6" t="s">
        <v>107</v>
      </c>
      <c r="AA443" s="15">
        <v>0</v>
      </c>
      <c r="AB443" s="182" t="s">
        <v>162</v>
      </c>
      <c r="AC443" s="15">
        <v>225</v>
      </c>
      <c r="AD443" s="15">
        <v>0</v>
      </c>
      <c r="AE443" s="16">
        <v>210</v>
      </c>
      <c r="AF443" s="16">
        <v>63.5</v>
      </c>
      <c r="AG443" s="16">
        <v>107</v>
      </c>
      <c r="AH443" s="16">
        <v>6</v>
      </c>
      <c r="AI443" s="16">
        <v>50</v>
      </c>
      <c r="AJ443" s="16">
        <v>163</v>
      </c>
      <c r="AK443" s="16">
        <v>24</v>
      </c>
      <c r="AL443" s="16">
        <v>6</v>
      </c>
      <c r="AM443" s="162" t="s">
        <v>4222</v>
      </c>
      <c r="AN443" s="15"/>
      <c r="AO443" s="6"/>
      <c r="AP443" s="25"/>
      <c r="AQ443" s="15"/>
      <c r="AR443" s="16" t="s">
        <v>160</v>
      </c>
      <c r="AS443" s="16" t="s">
        <v>193</v>
      </c>
      <c r="AT443" s="6"/>
      <c r="AU443" s="6"/>
      <c r="AV443" s="6"/>
      <c r="AW443" s="6"/>
      <c r="AX443" s="12" t="str">
        <f t="shared" si="22"/>
        <v/>
      </c>
      <c r="AY443" s="12" t="str">
        <f t="shared" si="23"/>
        <v/>
      </c>
      <c r="AZ443" s="18"/>
      <c r="BA443" s="19"/>
      <c r="BB443" s="19"/>
      <c r="BC443" s="19"/>
      <c r="BD443" s="19"/>
      <c r="BE443" s="19"/>
      <c r="BF443" s="19"/>
      <c r="BG443" s="19"/>
      <c r="BH443" s="19"/>
      <c r="BI443" s="19"/>
      <c r="BJ443" s="19"/>
      <c r="BK443" s="19"/>
    </row>
    <row r="444" spans="1:63" s="21" customFormat="1" ht="20.100000000000001" hidden="1" customHeight="1" x14ac:dyDescent="0.2">
      <c r="A444" s="13">
        <v>440</v>
      </c>
      <c r="B444" s="29" t="s">
        <v>4180</v>
      </c>
      <c r="C444" s="16"/>
      <c r="D444" s="30" t="s">
        <v>3973</v>
      </c>
      <c r="E444" s="30" t="s">
        <v>8</v>
      </c>
      <c r="F444" s="30" t="s">
        <v>185</v>
      </c>
      <c r="G444" s="6"/>
      <c r="H444" s="20" t="s">
        <v>83</v>
      </c>
      <c r="I444" s="15"/>
      <c r="J444" s="15"/>
      <c r="K444" s="15"/>
      <c r="L444" s="15"/>
      <c r="M444" s="15"/>
      <c r="N444" s="15"/>
      <c r="O444" s="29"/>
      <c r="P444" s="30"/>
      <c r="Q444" s="30" t="s">
        <v>117</v>
      </c>
      <c r="R444" s="30" t="s">
        <v>4202</v>
      </c>
      <c r="S444" s="30" t="s">
        <v>106</v>
      </c>
      <c r="T444" s="20" t="s">
        <v>107</v>
      </c>
      <c r="U444" s="30" t="s">
        <v>429</v>
      </c>
      <c r="V444" s="30" t="s">
        <v>3679</v>
      </c>
      <c r="W444" s="30" t="s">
        <v>465</v>
      </c>
      <c r="X444" s="30" t="s">
        <v>4203</v>
      </c>
      <c r="Y444" s="30" t="s">
        <v>106</v>
      </c>
      <c r="Z444" s="30" t="s">
        <v>107</v>
      </c>
      <c r="AA444" s="20" t="s">
        <v>4180</v>
      </c>
      <c r="AB444" s="20"/>
      <c r="AC444" s="20"/>
      <c r="AD444" s="20"/>
      <c r="AE444" s="29">
        <v>69</v>
      </c>
      <c r="AF444" s="29"/>
      <c r="AG444" s="29"/>
      <c r="AH444" s="29"/>
      <c r="AI444" s="29"/>
      <c r="AJ444" s="29"/>
      <c r="AK444" s="29"/>
      <c r="AL444" s="29">
        <v>6</v>
      </c>
      <c r="AM444" s="29"/>
      <c r="AN444" s="20"/>
      <c r="AO444" s="30"/>
      <c r="AP444" s="36"/>
      <c r="AQ444" s="20"/>
      <c r="AR444" s="29" t="s">
        <v>111</v>
      </c>
      <c r="AS444" s="29" t="s">
        <v>330</v>
      </c>
      <c r="AT444" s="30" t="s">
        <v>113</v>
      </c>
      <c r="AU444" s="30" t="s">
        <v>441</v>
      </c>
      <c r="AV444" s="30" t="s">
        <v>113</v>
      </c>
      <c r="AW444" s="30" t="s">
        <v>148</v>
      </c>
      <c r="AX444" s="12">
        <f t="shared" si="22"/>
        <v>2</v>
      </c>
      <c r="AY444" s="12">
        <f t="shared" si="23"/>
        <v>2</v>
      </c>
      <c r="AZ444" s="32"/>
    </row>
    <row r="445" spans="1:63" ht="20.100000000000001" hidden="1" customHeight="1" x14ac:dyDescent="0.2">
      <c r="A445" s="13">
        <v>441</v>
      </c>
      <c r="B445" s="16" t="s">
        <v>4180</v>
      </c>
      <c r="C445" s="16"/>
      <c r="D445" s="180" t="s">
        <v>3973</v>
      </c>
      <c r="E445" s="180"/>
      <c r="F445" s="180"/>
      <c r="G445" s="180"/>
      <c r="H445" s="181" t="s">
        <v>7</v>
      </c>
      <c r="I445" s="181"/>
      <c r="J445" s="181"/>
      <c r="K445" s="181"/>
      <c r="L445" s="181"/>
      <c r="M445" s="181"/>
      <c r="N445" s="181"/>
      <c r="O445" s="16"/>
      <c r="P445" s="180" t="s">
        <v>117</v>
      </c>
      <c r="Q445" s="180" t="s">
        <v>117</v>
      </c>
      <c r="R445" s="180" t="s">
        <v>4197</v>
      </c>
      <c r="S445" s="180" t="s">
        <v>69</v>
      </c>
      <c r="T445" s="181" t="s">
        <v>70</v>
      </c>
      <c r="U445" s="180" t="s">
        <v>470</v>
      </c>
      <c r="V445" s="180" t="s">
        <v>3679</v>
      </c>
      <c r="W445" s="180" t="s">
        <v>465</v>
      </c>
      <c r="X445" s="180" t="s">
        <v>4193</v>
      </c>
      <c r="Y445" s="180" t="s">
        <v>142</v>
      </c>
      <c r="Z445" s="180" t="s">
        <v>70</v>
      </c>
      <c r="AA445" s="181">
        <v>0</v>
      </c>
      <c r="AB445" s="181" t="s">
        <v>162</v>
      </c>
      <c r="AC445" s="181">
        <v>106</v>
      </c>
      <c r="AD445" s="181">
        <v>69</v>
      </c>
      <c r="AE445" s="16">
        <v>69</v>
      </c>
      <c r="AF445" s="16">
        <v>38</v>
      </c>
      <c r="AG445" s="16">
        <v>61</v>
      </c>
      <c r="AH445" s="16">
        <v>6</v>
      </c>
      <c r="AI445" s="16">
        <v>40</v>
      </c>
      <c r="AJ445" s="16">
        <v>107</v>
      </c>
      <c r="AK445" s="16">
        <v>28.5</v>
      </c>
      <c r="AL445" s="16">
        <v>6</v>
      </c>
      <c r="AM445" s="162" t="s">
        <v>4223</v>
      </c>
      <c r="AN445" s="181"/>
      <c r="AO445" s="180"/>
      <c r="AP445" s="25"/>
      <c r="AQ445" s="181"/>
      <c r="AR445" s="16" t="s">
        <v>111</v>
      </c>
      <c r="AS445" s="16" t="s">
        <v>330</v>
      </c>
      <c r="AT445" s="180"/>
      <c r="AU445" s="180"/>
      <c r="AV445" s="180"/>
      <c r="AW445" s="180"/>
      <c r="AX445" s="12" t="str">
        <f t="shared" si="22"/>
        <v/>
      </c>
      <c r="AY445" s="12" t="str">
        <f t="shared" si="23"/>
        <v/>
      </c>
      <c r="AZ445" s="18" t="s">
        <v>4200</v>
      </c>
      <c r="BA445" s="19"/>
      <c r="BB445" s="19"/>
      <c r="BC445" s="19"/>
      <c r="BD445" s="19"/>
      <c r="BE445" s="19"/>
      <c r="BF445" s="19"/>
      <c r="BG445" s="19"/>
      <c r="BH445" s="19"/>
      <c r="BI445" s="19"/>
      <c r="BJ445" s="19"/>
      <c r="BK445" s="19"/>
    </row>
    <row r="446" spans="1:63" ht="20.100000000000001" hidden="1" customHeight="1" x14ac:dyDescent="0.2">
      <c r="A446" s="13">
        <v>442</v>
      </c>
      <c r="B446" s="16" t="s">
        <v>4182</v>
      </c>
      <c r="C446" s="16"/>
      <c r="D446" s="180" t="s">
        <v>182</v>
      </c>
      <c r="E446" s="180"/>
      <c r="F446" s="180"/>
      <c r="G446" s="180"/>
      <c r="H446" s="181" t="s">
        <v>7</v>
      </c>
      <c r="I446" s="181"/>
      <c r="J446" s="181"/>
      <c r="K446" s="181"/>
      <c r="L446" s="181"/>
      <c r="M446" s="181"/>
      <c r="N446" s="181"/>
      <c r="O446" s="16"/>
      <c r="P446" s="35" t="s">
        <v>117</v>
      </c>
      <c r="Q446" s="35" t="s">
        <v>141</v>
      </c>
      <c r="R446" s="180" t="s">
        <v>4198</v>
      </c>
      <c r="S446" s="180" t="s">
        <v>106</v>
      </c>
      <c r="T446" s="181" t="s">
        <v>107</v>
      </c>
      <c r="U446" s="35" t="s">
        <v>199</v>
      </c>
      <c r="V446" s="35" t="s">
        <v>2961</v>
      </c>
      <c r="W446" s="35" t="s">
        <v>2348</v>
      </c>
      <c r="X446" s="180" t="s">
        <v>4199</v>
      </c>
      <c r="Y446" s="180" t="s">
        <v>73</v>
      </c>
      <c r="Z446" s="180" t="s">
        <v>70</v>
      </c>
      <c r="AA446" s="181"/>
      <c r="AB446" s="181" t="s">
        <v>4044</v>
      </c>
      <c r="AC446" s="181">
        <v>198</v>
      </c>
      <c r="AD446" s="181">
        <v>186</v>
      </c>
      <c r="AE446" s="16">
        <v>186</v>
      </c>
      <c r="AF446" s="16">
        <v>140</v>
      </c>
      <c r="AG446" s="16">
        <v>150</v>
      </c>
      <c r="AH446" s="16">
        <v>1</v>
      </c>
      <c r="AI446" s="16">
        <v>5</v>
      </c>
      <c r="AJ446" s="16">
        <v>156</v>
      </c>
      <c r="AK446" s="16">
        <v>10</v>
      </c>
      <c r="AL446" s="16">
        <v>6</v>
      </c>
      <c r="AM446" s="162" t="s">
        <v>4224</v>
      </c>
      <c r="AN446" s="33" t="s">
        <v>158</v>
      </c>
      <c r="AO446" s="180"/>
      <c r="AP446" s="25"/>
      <c r="AQ446" s="181"/>
      <c r="AR446" s="16" t="s">
        <v>160</v>
      </c>
      <c r="AS446" s="16" t="s">
        <v>161</v>
      </c>
      <c r="AT446" s="180"/>
      <c r="AU446" s="180"/>
      <c r="AV446" s="180"/>
      <c r="AW446" s="180"/>
      <c r="AX446" s="12" t="str">
        <f t="shared" si="22"/>
        <v/>
      </c>
      <c r="AY446" s="12" t="str">
        <f t="shared" si="23"/>
        <v/>
      </c>
      <c r="AZ446" s="18"/>
      <c r="BA446" s="19"/>
      <c r="BB446" s="19"/>
      <c r="BC446" s="19"/>
      <c r="BD446" s="19"/>
      <c r="BE446" s="19"/>
      <c r="BF446" s="19"/>
      <c r="BG446" s="19"/>
      <c r="BH446" s="19"/>
      <c r="BI446" s="19"/>
      <c r="BJ446" s="19"/>
      <c r="BK446" s="19"/>
    </row>
    <row r="447" spans="1:63" ht="20.100000000000001" hidden="1" customHeight="1" x14ac:dyDescent="0.2">
      <c r="A447" s="13">
        <v>443</v>
      </c>
      <c r="B447" s="16" t="s">
        <v>4183</v>
      </c>
      <c r="C447" s="16"/>
      <c r="D447" s="180" t="s">
        <v>967</v>
      </c>
      <c r="E447" s="180"/>
      <c r="F447" s="180"/>
      <c r="G447" s="180"/>
      <c r="H447" s="181" t="s">
        <v>7</v>
      </c>
      <c r="I447" s="181"/>
      <c r="J447" s="181"/>
      <c r="K447" s="181"/>
      <c r="L447" s="181"/>
      <c r="M447" s="181"/>
      <c r="N447" s="181"/>
      <c r="O447" s="16" t="s">
        <v>92</v>
      </c>
      <c r="P447" s="35" t="s">
        <v>104</v>
      </c>
      <c r="Q447" s="35" t="s">
        <v>140</v>
      </c>
      <c r="R447" s="180" t="s">
        <v>657</v>
      </c>
      <c r="S447" s="180" t="s">
        <v>106</v>
      </c>
      <c r="T447" s="181" t="s">
        <v>107</v>
      </c>
      <c r="U447" s="35" t="s">
        <v>128</v>
      </c>
      <c r="V447" s="35" t="s">
        <v>2961</v>
      </c>
      <c r="W447" s="35" t="s">
        <v>144</v>
      </c>
      <c r="X447" s="180" t="s">
        <v>339</v>
      </c>
      <c r="Y447" s="180" t="s">
        <v>106</v>
      </c>
      <c r="Z447" s="180" t="s">
        <v>107</v>
      </c>
      <c r="AA447" s="181"/>
      <c r="AB447" s="181" t="s">
        <v>162</v>
      </c>
      <c r="AC447" s="181">
        <v>202</v>
      </c>
      <c r="AD447" s="181">
        <v>189</v>
      </c>
      <c r="AE447" s="16">
        <v>189</v>
      </c>
      <c r="AF447" s="16">
        <v>119</v>
      </c>
      <c r="AG447" s="16">
        <v>143</v>
      </c>
      <c r="AH447" s="16">
        <v>7</v>
      </c>
      <c r="AI447" s="16">
        <v>60</v>
      </c>
      <c r="AJ447" s="16">
        <v>210</v>
      </c>
      <c r="AK447" s="16">
        <v>9</v>
      </c>
      <c r="AL447" s="34">
        <v>4</v>
      </c>
      <c r="AM447" s="162" t="s">
        <v>4225</v>
      </c>
      <c r="AN447" s="33" t="s">
        <v>158</v>
      </c>
      <c r="AO447" s="180"/>
      <c r="AP447" s="25"/>
      <c r="AQ447" s="181"/>
      <c r="AR447" s="16" t="s">
        <v>111</v>
      </c>
      <c r="AS447" s="16" t="s">
        <v>112</v>
      </c>
      <c r="AT447" s="180"/>
      <c r="AU447" s="180"/>
      <c r="AV447" s="180"/>
      <c r="AW447" s="180"/>
      <c r="AX447" s="12" t="str">
        <f t="shared" ref="AX447:AX505" si="24">IF(AT447*AV447&gt;0,(AT447-AV447)*12+(AU447-AW447),"")</f>
        <v/>
      </c>
      <c r="AY447" s="12" t="str">
        <f t="shared" ref="AY447:AY505" si="25">IF(AX447&lt;13,AX447,"")</f>
        <v/>
      </c>
      <c r="AZ447" s="18" t="s">
        <v>4201</v>
      </c>
      <c r="BA447" s="19"/>
      <c r="BB447" s="19"/>
      <c r="BC447" s="19"/>
      <c r="BD447" s="19"/>
      <c r="BE447" s="19"/>
      <c r="BF447" s="19"/>
      <c r="BG447" s="19"/>
      <c r="BH447" s="19"/>
      <c r="BI447" s="19"/>
      <c r="BJ447" s="19"/>
      <c r="BK447" s="19"/>
    </row>
    <row r="448" spans="1:63" ht="20.100000000000001" hidden="1" customHeight="1" x14ac:dyDescent="0.2">
      <c r="A448" s="13">
        <v>445</v>
      </c>
      <c r="B448" s="16" t="s">
        <v>4205</v>
      </c>
      <c r="C448" s="16"/>
      <c r="D448" s="180" t="s">
        <v>2981</v>
      </c>
      <c r="E448" s="180" t="s">
        <v>19</v>
      </c>
      <c r="F448" s="180" t="s">
        <v>94</v>
      </c>
      <c r="G448" s="180"/>
      <c r="H448" s="181" t="s">
        <v>83</v>
      </c>
      <c r="I448" s="181"/>
      <c r="J448" s="181"/>
      <c r="K448" s="181"/>
      <c r="L448" s="181"/>
      <c r="M448" s="181"/>
      <c r="N448" s="181"/>
      <c r="O448" s="16" t="s">
        <v>84</v>
      </c>
      <c r="P448" s="180"/>
      <c r="Q448" s="41" t="s">
        <v>334</v>
      </c>
      <c r="R448" s="41" t="s">
        <v>1970</v>
      </c>
      <c r="S448" s="41" t="s">
        <v>106</v>
      </c>
      <c r="T448" s="13" t="s">
        <v>107</v>
      </c>
      <c r="U448" s="180"/>
      <c r="V448" s="180" t="s">
        <v>3680</v>
      </c>
      <c r="W448" s="180" t="s">
        <v>465</v>
      </c>
      <c r="X448" s="41" t="s">
        <v>1972</v>
      </c>
      <c r="Y448" s="41" t="s">
        <v>106</v>
      </c>
      <c r="Z448" s="13" t="s">
        <v>107</v>
      </c>
      <c r="AA448" s="181" t="s">
        <v>4217</v>
      </c>
      <c r="AB448" s="181"/>
      <c r="AC448" s="181"/>
      <c r="AD448" s="181"/>
      <c r="AE448" s="16">
        <v>84</v>
      </c>
      <c r="AF448" s="16"/>
      <c r="AG448" s="16"/>
      <c r="AH448" s="16"/>
      <c r="AI448" s="16"/>
      <c r="AJ448" s="16"/>
      <c r="AK448" s="16"/>
      <c r="AL448" s="16">
        <v>6</v>
      </c>
      <c r="AM448" s="16"/>
      <c r="AN448" s="181"/>
      <c r="AO448" s="180"/>
      <c r="AP448" s="25"/>
      <c r="AQ448" s="181"/>
      <c r="AR448" s="16" t="s">
        <v>111</v>
      </c>
      <c r="AS448" s="16" t="s">
        <v>112</v>
      </c>
      <c r="AT448" s="180" t="s">
        <v>113</v>
      </c>
      <c r="AU448" s="180" t="s">
        <v>441</v>
      </c>
      <c r="AV448" s="180" t="s">
        <v>115</v>
      </c>
      <c r="AW448" s="180" t="s">
        <v>116</v>
      </c>
      <c r="AX448" s="12">
        <f t="shared" si="24"/>
        <v>11</v>
      </c>
      <c r="AY448" s="12">
        <f t="shared" si="25"/>
        <v>11</v>
      </c>
      <c r="AZ448" s="18"/>
      <c r="BA448" s="19"/>
      <c r="BB448" s="19"/>
      <c r="BC448" s="19"/>
      <c r="BD448" s="19"/>
      <c r="BE448" s="19"/>
      <c r="BF448" s="19"/>
      <c r="BG448" s="19"/>
      <c r="BH448" s="19"/>
      <c r="BI448" s="19"/>
      <c r="BJ448" s="19"/>
      <c r="BK448" s="19"/>
    </row>
    <row r="449" spans="1:63" ht="20.100000000000001" hidden="1" customHeight="1" x14ac:dyDescent="0.2">
      <c r="A449" s="13">
        <v>446</v>
      </c>
      <c r="B449" s="16" t="s">
        <v>4206</v>
      </c>
      <c r="C449" s="16"/>
      <c r="D449" s="180" t="s">
        <v>1806</v>
      </c>
      <c r="E449" s="180"/>
      <c r="F449" s="180"/>
      <c r="G449" s="180"/>
      <c r="H449" s="181" t="s">
        <v>7</v>
      </c>
      <c r="I449" s="181"/>
      <c r="J449" s="181"/>
      <c r="K449" s="181"/>
      <c r="L449" s="181"/>
      <c r="M449" s="181"/>
      <c r="N449" s="181"/>
      <c r="O449" s="16" t="s">
        <v>84</v>
      </c>
      <c r="P449" s="180" t="s">
        <v>104</v>
      </c>
      <c r="Q449" s="180" t="s">
        <v>104</v>
      </c>
      <c r="R449" s="180" t="s">
        <v>429</v>
      </c>
      <c r="S449" s="185" t="s">
        <v>106</v>
      </c>
      <c r="T449" s="184" t="s">
        <v>107</v>
      </c>
      <c r="U449" s="180" t="s">
        <v>402</v>
      </c>
      <c r="V449" s="180" t="s">
        <v>2245</v>
      </c>
      <c r="W449" s="180" t="s">
        <v>2258</v>
      </c>
      <c r="X449" s="180" t="s">
        <v>4124</v>
      </c>
      <c r="Y449" s="180" t="s">
        <v>369</v>
      </c>
      <c r="Z449" s="180" t="s">
        <v>369</v>
      </c>
      <c r="AA449" s="181"/>
      <c r="AB449" s="181"/>
      <c r="AC449" s="181">
        <v>207</v>
      </c>
      <c r="AD449" s="181">
        <v>192</v>
      </c>
      <c r="AE449" s="16">
        <v>192</v>
      </c>
      <c r="AF449" s="16">
        <v>84</v>
      </c>
      <c r="AG449" s="16">
        <v>143</v>
      </c>
      <c r="AH449" s="16">
        <v>2</v>
      </c>
      <c r="AI449" s="16">
        <v>93</v>
      </c>
      <c r="AJ449" s="16">
        <v>238</v>
      </c>
      <c r="AK449" s="16">
        <v>11</v>
      </c>
      <c r="AL449" s="16">
        <v>6</v>
      </c>
      <c r="AM449" s="162" t="s">
        <v>4226</v>
      </c>
      <c r="AN449" s="181"/>
      <c r="AO449" s="180"/>
      <c r="AP449" s="25"/>
      <c r="AQ449" s="181"/>
      <c r="AR449" s="16" t="s">
        <v>111</v>
      </c>
      <c r="AS449" s="16" t="s">
        <v>161</v>
      </c>
      <c r="AT449" s="180"/>
      <c r="AU449" s="180"/>
      <c r="AV449" s="180"/>
      <c r="AW449" s="180"/>
      <c r="AX449" s="12" t="str">
        <f t="shared" si="24"/>
        <v/>
      </c>
      <c r="AY449" s="12" t="str">
        <f t="shared" si="25"/>
        <v/>
      </c>
      <c r="AZ449" s="18"/>
      <c r="BA449" s="19"/>
      <c r="BB449" s="19"/>
      <c r="BC449" s="19"/>
      <c r="BD449" s="19"/>
      <c r="BE449" s="19"/>
      <c r="BF449" s="19"/>
      <c r="BG449" s="19"/>
      <c r="BH449" s="19"/>
      <c r="BI449" s="19"/>
      <c r="BJ449" s="19"/>
      <c r="BK449" s="19"/>
    </row>
    <row r="450" spans="1:63" ht="20.100000000000001" hidden="1" customHeight="1" x14ac:dyDescent="0.2">
      <c r="A450" s="13">
        <v>447</v>
      </c>
      <c r="B450" s="16" t="s">
        <v>4207</v>
      </c>
      <c r="C450" s="16"/>
      <c r="D450" s="180" t="s">
        <v>4208</v>
      </c>
      <c r="E450" s="180" t="s">
        <v>10</v>
      </c>
      <c r="F450" s="180" t="s">
        <v>192</v>
      </c>
      <c r="G450" s="180"/>
      <c r="H450" s="181" t="s">
        <v>7</v>
      </c>
      <c r="I450" s="181"/>
      <c r="J450" s="181"/>
      <c r="K450" s="181"/>
      <c r="L450" s="181"/>
      <c r="M450" s="181"/>
      <c r="N450" s="181"/>
      <c r="O450" s="16"/>
      <c r="P450" s="180" t="s">
        <v>429</v>
      </c>
      <c r="Q450" s="180" t="s">
        <v>68</v>
      </c>
      <c r="R450" s="180" t="s">
        <v>429</v>
      </c>
      <c r="S450" s="180" t="s">
        <v>262</v>
      </c>
      <c r="T450" s="181" t="s">
        <v>70</v>
      </c>
      <c r="U450" s="180" t="s">
        <v>429</v>
      </c>
      <c r="V450" s="180" t="s">
        <v>3677</v>
      </c>
      <c r="W450" s="180" t="s">
        <v>485</v>
      </c>
      <c r="X450" s="180" t="s">
        <v>429</v>
      </c>
      <c r="Y450" s="180" t="s">
        <v>106</v>
      </c>
      <c r="Z450" s="180" t="s">
        <v>107</v>
      </c>
      <c r="AA450" s="181"/>
      <c r="AB450" s="181"/>
      <c r="AC450" s="181">
        <v>227</v>
      </c>
      <c r="AD450" s="181">
        <v>0</v>
      </c>
      <c r="AE450" s="16">
        <v>210</v>
      </c>
      <c r="AF450" s="16">
        <v>170</v>
      </c>
      <c r="AG450" s="16">
        <v>190</v>
      </c>
      <c r="AH450" s="16">
        <v>4</v>
      </c>
      <c r="AI450" s="16">
        <v>10</v>
      </c>
      <c r="AJ450" s="16">
        <v>204</v>
      </c>
      <c r="AK450" s="16">
        <v>19</v>
      </c>
      <c r="AL450" s="16">
        <v>6</v>
      </c>
      <c r="AM450" s="162" t="s">
        <v>4239</v>
      </c>
      <c r="AN450" s="181"/>
      <c r="AO450" s="180"/>
      <c r="AP450" s="25"/>
      <c r="AQ450" s="181"/>
      <c r="AR450" s="16" t="s">
        <v>160</v>
      </c>
      <c r="AS450" s="16" t="s">
        <v>193</v>
      </c>
      <c r="AT450" s="180"/>
      <c r="AU450" s="180"/>
      <c r="AV450" s="180"/>
      <c r="AW450" s="180"/>
      <c r="AX450" s="12" t="str">
        <f t="shared" si="24"/>
        <v/>
      </c>
      <c r="AY450" s="12" t="str">
        <f t="shared" si="25"/>
        <v/>
      </c>
      <c r="AZ450" s="18"/>
      <c r="BA450" s="19"/>
      <c r="BB450" s="19"/>
      <c r="BC450" s="19"/>
      <c r="BD450" s="19"/>
      <c r="BE450" s="19"/>
      <c r="BF450" s="19"/>
      <c r="BG450" s="19"/>
      <c r="BH450" s="19"/>
      <c r="BI450" s="19"/>
      <c r="BJ450" s="19"/>
      <c r="BK450" s="19"/>
    </row>
    <row r="451" spans="1:63" ht="20.100000000000001" hidden="1" customHeight="1" x14ac:dyDescent="0.2">
      <c r="A451" s="13">
        <v>448</v>
      </c>
      <c r="B451" s="16" t="s">
        <v>4207</v>
      </c>
      <c r="C451" s="16"/>
      <c r="D451" s="185" t="s">
        <v>2981</v>
      </c>
      <c r="E451" s="185" t="s">
        <v>19</v>
      </c>
      <c r="F451" s="185"/>
      <c r="G451" s="185"/>
      <c r="H451" s="184" t="s">
        <v>7</v>
      </c>
      <c r="I451" s="184"/>
      <c r="J451" s="184"/>
      <c r="K451" s="184"/>
      <c r="L451" s="184"/>
      <c r="M451" s="184"/>
      <c r="N451" s="184"/>
      <c r="O451" s="16" t="s">
        <v>84</v>
      </c>
      <c r="P451" s="35" t="s">
        <v>334</v>
      </c>
      <c r="Q451" s="35" t="s">
        <v>141</v>
      </c>
      <c r="R451" s="185"/>
      <c r="S451" s="185" t="s">
        <v>106</v>
      </c>
      <c r="T451" s="184" t="s">
        <v>107</v>
      </c>
      <c r="U451" s="35" t="s">
        <v>1971</v>
      </c>
      <c r="V451" s="35" t="s">
        <v>3680</v>
      </c>
      <c r="W451" s="35" t="s">
        <v>555</v>
      </c>
      <c r="X451" s="185"/>
      <c r="Y451" s="185" t="s">
        <v>73</v>
      </c>
      <c r="Z451" s="185" t="s">
        <v>70</v>
      </c>
      <c r="AA451" s="184">
        <v>0</v>
      </c>
      <c r="AB451" s="184" t="s">
        <v>162</v>
      </c>
      <c r="AC451" s="184">
        <v>93</v>
      </c>
      <c r="AD451" s="184">
        <v>84</v>
      </c>
      <c r="AE451" s="16">
        <v>84</v>
      </c>
      <c r="AF451" s="16">
        <v>37</v>
      </c>
      <c r="AG451" s="16">
        <v>59</v>
      </c>
      <c r="AH451" s="16">
        <v>4</v>
      </c>
      <c r="AI451" s="16">
        <v>22</v>
      </c>
      <c r="AJ451" s="16">
        <v>85</v>
      </c>
      <c r="AK451" s="16">
        <v>20</v>
      </c>
      <c r="AL451" s="16">
        <v>6</v>
      </c>
      <c r="AM451" s="162" t="s">
        <v>4240</v>
      </c>
      <c r="AN451" s="184"/>
      <c r="AO451" s="185"/>
      <c r="AP451" s="25"/>
      <c r="AQ451" s="184"/>
      <c r="AR451" s="16" t="s">
        <v>111</v>
      </c>
      <c r="AS451" s="16" t="s">
        <v>112</v>
      </c>
      <c r="AT451" s="185"/>
      <c r="AU451" s="185"/>
      <c r="AV451" s="185"/>
      <c r="AW451" s="185"/>
      <c r="AX451" s="12" t="str">
        <f t="shared" si="24"/>
        <v/>
      </c>
      <c r="AY451" s="12" t="str">
        <f t="shared" si="25"/>
        <v/>
      </c>
      <c r="AZ451" s="18"/>
      <c r="BA451" s="19"/>
      <c r="BB451" s="19"/>
      <c r="BC451" s="19"/>
      <c r="BD451" s="19"/>
      <c r="BE451" s="19"/>
      <c r="BF451" s="19"/>
      <c r="BG451" s="19"/>
      <c r="BH451" s="19"/>
      <c r="BI451" s="19"/>
      <c r="BJ451" s="19"/>
      <c r="BK451" s="19"/>
    </row>
    <row r="452" spans="1:63" ht="20.100000000000001" hidden="1" customHeight="1" x14ac:dyDescent="0.2">
      <c r="A452" s="13">
        <v>449</v>
      </c>
      <c r="B452" s="16" t="s">
        <v>4209</v>
      </c>
      <c r="C452" s="16"/>
      <c r="D452" s="180" t="s">
        <v>3212</v>
      </c>
      <c r="E452" s="180" t="s">
        <v>6</v>
      </c>
      <c r="F452" s="180"/>
      <c r="G452" s="180"/>
      <c r="H452" s="181" t="s">
        <v>7</v>
      </c>
      <c r="I452" s="181"/>
      <c r="J452" s="181"/>
      <c r="K452" s="181"/>
      <c r="L452" s="181"/>
      <c r="M452" s="181"/>
      <c r="N452" s="181"/>
      <c r="O452" s="16" t="s">
        <v>84</v>
      </c>
      <c r="P452" s="180" t="s">
        <v>141</v>
      </c>
      <c r="Q452" s="180" t="s">
        <v>141</v>
      </c>
      <c r="R452" s="180" t="s">
        <v>4215</v>
      </c>
      <c r="S452" s="180" t="s">
        <v>106</v>
      </c>
      <c r="T452" s="181" t="s">
        <v>107</v>
      </c>
      <c r="U452" s="35" t="s">
        <v>4147</v>
      </c>
      <c r="V452" s="35" t="s">
        <v>1809</v>
      </c>
      <c r="W452" s="35" t="s">
        <v>144</v>
      </c>
      <c r="X452" s="180" t="s">
        <v>4216</v>
      </c>
      <c r="Y452" s="180" t="s">
        <v>106</v>
      </c>
      <c r="Z452" s="180" t="s">
        <v>107</v>
      </c>
      <c r="AA452" s="181"/>
      <c r="AB452" s="181" t="s">
        <v>4044</v>
      </c>
      <c r="AC452" s="184">
        <v>188</v>
      </c>
      <c r="AD452" s="184">
        <v>183</v>
      </c>
      <c r="AE452" s="16">
        <v>183</v>
      </c>
      <c r="AF452" s="16">
        <v>156</v>
      </c>
      <c r="AG452" s="16">
        <v>169</v>
      </c>
      <c r="AH452" s="16">
        <v>6</v>
      </c>
      <c r="AI452" s="16">
        <v>43</v>
      </c>
      <c r="AJ452" s="16"/>
      <c r="AK452" s="16">
        <v>5</v>
      </c>
      <c r="AL452" s="16">
        <v>3</v>
      </c>
      <c r="AM452" s="162" t="s">
        <v>4241</v>
      </c>
      <c r="AN452" s="181"/>
      <c r="AO452" s="180"/>
      <c r="AP452" s="25"/>
      <c r="AQ452" s="181"/>
      <c r="AR452" s="16" t="s">
        <v>111</v>
      </c>
      <c r="AS452" s="16" t="s">
        <v>231</v>
      </c>
      <c r="AT452" s="180"/>
      <c r="AU452" s="180"/>
      <c r="AV452" s="180"/>
      <c r="AW452" s="180"/>
      <c r="AX452" s="12" t="str">
        <f t="shared" si="24"/>
        <v/>
      </c>
      <c r="AY452" s="12" t="str">
        <f t="shared" si="25"/>
        <v/>
      </c>
      <c r="AZ452" s="18"/>
      <c r="BA452" s="19"/>
      <c r="BB452" s="19"/>
      <c r="BC452" s="19"/>
      <c r="BD452" s="19"/>
      <c r="BE452" s="19"/>
      <c r="BF452" s="19"/>
      <c r="BG452" s="19"/>
      <c r="BH452" s="19"/>
      <c r="BI452" s="19"/>
      <c r="BJ452" s="19"/>
      <c r="BK452" s="19"/>
    </row>
    <row r="453" spans="1:63" ht="20.100000000000001" hidden="1" customHeight="1" x14ac:dyDescent="0.2">
      <c r="A453" s="13">
        <v>450</v>
      </c>
      <c r="B453" s="16" t="s">
        <v>4209</v>
      </c>
      <c r="C453" s="16"/>
      <c r="D453" s="180" t="s">
        <v>4210</v>
      </c>
      <c r="E453" s="180" t="s">
        <v>20</v>
      </c>
      <c r="F453" s="180" t="s">
        <v>186</v>
      </c>
      <c r="G453" s="180"/>
      <c r="H453" s="181" t="s">
        <v>83</v>
      </c>
      <c r="I453" s="181"/>
      <c r="J453" s="181"/>
      <c r="K453" s="181"/>
      <c r="L453" s="181"/>
      <c r="M453" s="181"/>
      <c r="N453" s="181"/>
      <c r="O453" s="16" t="s">
        <v>92</v>
      </c>
      <c r="P453" s="180"/>
      <c r="Q453" s="180" t="s">
        <v>155</v>
      </c>
      <c r="R453" s="180" t="s">
        <v>4358</v>
      </c>
      <c r="S453" s="180" t="s">
        <v>69</v>
      </c>
      <c r="T453" s="181" t="s">
        <v>70</v>
      </c>
      <c r="U453" s="180"/>
      <c r="V453" s="180" t="s">
        <v>3679</v>
      </c>
      <c r="W453" s="180" t="s">
        <v>718</v>
      </c>
      <c r="X453" s="180" t="s">
        <v>4359</v>
      </c>
      <c r="Y453" s="180" t="s">
        <v>69</v>
      </c>
      <c r="Z453" s="180" t="s">
        <v>70</v>
      </c>
      <c r="AA453" s="181" t="s">
        <v>4360</v>
      </c>
      <c r="AB453" s="181"/>
      <c r="AC453" s="181"/>
      <c r="AD453" s="181"/>
      <c r="AE453" s="16">
        <v>186</v>
      </c>
      <c r="AF453" s="16"/>
      <c r="AG453" s="16"/>
      <c r="AH453" s="16"/>
      <c r="AI453" s="16"/>
      <c r="AJ453" s="16"/>
      <c r="AK453" s="16"/>
      <c r="AL453" s="16">
        <v>6</v>
      </c>
      <c r="AM453" s="16"/>
      <c r="AN453" s="181"/>
      <c r="AO453" s="180"/>
      <c r="AP453" s="25"/>
      <c r="AQ453" s="181"/>
      <c r="AR453" s="16" t="s">
        <v>160</v>
      </c>
      <c r="AS453" s="16" t="s">
        <v>165</v>
      </c>
      <c r="AT453" s="180" t="s">
        <v>113</v>
      </c>
      <c r="AU453" s="180" t="s">
        <v>116</v>
      </c>
      <c r="AV453" s="180" t="s">
        <v>547</v>
      </c>
      <c r="AW453" s="180" t="s">
        <v>148</v>
      </c>
      <c r="AX453" s="12">
        <f t="shared" si="24"/>
        <v>75</v>
      </c>
      <c r="AY453" s="12" t="str">
        <f t="shared" si="25"/>
        <v/>
      </c>
      <c r="AZ453" s="18"/>
      <c r="BA453" s="19"/>
      <c r="BB453" s="19"/>
      <c r="BC453" s="19"/>
      <c r="BD453" s="19"/>
      <c r="BE453" s="19"/>
      <c r="BF453" s="19"/>
      <c r="BG453" s="19"/>
      <c r="BH453" s="19"/>
      <c r="BI453" s="19"/>
      <c r="BJ453" s="19"/>
      <c r="BK453" s="19"/>
    </row>
    <row r="454" spans="1:63" ht="20.100000000000001" hidden="1" customHeight="1" x14ac:dyDescent="0.2">
      <c r="A454" s="13">
        <v>451</v>
      </c>
      <c r="B454" s="16" t="s">
        <v>4211</v>
      </c>
      <c r="C454" s="16"/>
      <c r="D454" s="180" t="s">
        <v>4212</v>
      </c>
      <c r="E454" s="180" t="s">
        <v>243</v>
      </c>
      <c r="F454" s="180" t="s">
        <v>94</v>
      </c>
      <c r="G454" s="180"/>
      <c r="H454" s="181" t="s">
        <v>83</v>
      </c>
      <c r="I454" s="181"/>
      <c r="J454" s="181"/>
      <c r="K454" s="181"/>
      <c r="L454" s="181"/>
      <c r="M454" s="181"/>
      <c r="N454" s="181"/>
      <c r="O454" s="16"/>
      <c r="P454" s="180"/>
      <c r="Q454" s="180" t="s">
        <v>117</v>
      </c>
      <c r="R454" s="180" t="s">
        <v>4354</v>
      </c>
      <c r="S454" s="180" t="s">
        <v>262</v>
      </c>
      <c r="T454" s="181" t="s">
        <v>70</v>
      </c>
      <c r="U454" s="180"/>
      <c r="V454" s="180" t="s">
        <v>3677</v>
      </c>
      <c r="W454" s="180" t="s">
        <v>465</v>
      </c>
      <c r="X454" s="180" t="s">
        <v>4355</v>
      </c>
      <c r="Y454" s="180" t="s">
        <v>142</v>
      </c>
      <c r="Z454" s="180" t="s">
        <v>70</v>
      </c>
      <c r="AA454" s="198" t="s">
        <v>4356</v>
      </c>
      <c r="AB454" s="181"/>
      <c r="AC454" s="181"/>
      <c r="AD454" s="181"/>
      <c r="AE454" s="16">
        <v>150</v>
      </c>
      <c r="AF454" s="16"/>
      <c r="AG454" s="16"/>
      <c r="AH454" s="16"/>
      <c r="AI454" s="16"/>
      <c r="AJ454" s="16"/>
      <c r="AK454" s="16"/>
      <c r="AL454" s="16">
        <v>6</v>
      </c>
      <c r="AM454" s="16"/>
      <c r="AN454" s="181"/>
      <c r="AO454" s="180"/>
      <c r="AP454" s="25"/>
      <c r="AQ454" s="181"/>
      <c r="AR454" s="16" t="s">
        <v>111</v>
      </c>
      <c r="AS454" s="16" t="s">
        <v>112</v>
      </c>
      <c r="AT454" s="180" t="s">
        <v>113</v>
      </c>
      <c r="AU454" s="180" t="s">
        <v>116</v>
      </c>
      <c r="AV454" s="180" t="s">
        <v>123</v>
      </c>
      <c r="AW454" s="180" t="s">
        <v>296</v>
      </c>
      <c r="AX454" s="12">
        <f t="shared" si="24"/>
        <v>69</v>
      </c>
      <c r="AY454" s="12" t="str">
        <f t="shared" si="25"/>
        <v/>
      </c>
      <c r="AZ454" s="18"/>
      <c r="BA454" s="19"/>
      <c r="BB454" s="19"/>
      <c r="BC454" s="19"/>
      <c r="BD454" s="19"/>
      <c r="BE454" s="19"/>
      <c r="BF454" s="19"/>
      <c r="BG454" s="19"/>
      <c r="BH454" s="19"/>
      <c r="BI454" s="19"/>
      <c r="BJ454" s="19"/>
      <c r="BK454" s="19"/>
    </row>
    <row r="455" spans="1:63" ht="20.100000000000001" hidden="1" customHeight="1" x14ac:dyDescent="0.2">
      <c r="A455" s="13">
        <v>452</v>
      </c>
      <c r="B455" s="16" t="s">
        <v>4227</v>
      </c>
      <c r="C455" s="16"/>
      <c r="D455" s="180" t="s">
        <v>1815</v>
      </c>
      <c r="E455" s="180" t="s">
        <v>6</v>
      </c>
      <c r="F455" s="180"/>
      <c r="G455" s="180"/>
      <c r="H455" s="181" t="s">
        <v>7</v>
      </c>
      <c r="I455" s="181"/>
      <c r="J455" s="181"/>
      <c r="K455" s="181"/>
      <c r="L455" s="181"/>
      <c r="M455" s="181"/>
      <c r="N455" s="181"/>
      <c r="O455" s="16" t="s">
        <v>93</v>
      </c>
      <c r="P455" s="180" t="s">
        <v>155</v>
      </c>
      <c r="Q455" s="180" t="s">
        <v>155</v>
      </c>
      <c r="R455" s="180"/>
      <c r="S455" s="180" t="s">
        <v>106</v>
      </c>
      <c r="T455" s="181" t="s">
        <v>107</v>
      </c>
      <c r="U455" s="180" t="s">
        <v>156</v>
      </c>
      <c r="V455" s="180" t="s">
        <v>3677</v>
      </c>
      <c r="W455" s="180" t="s">
        <v>718</v>
      </c>
      <c r="X455" s="180"/>
      <c r="Y455" s="180" t="s">
        <v>106</v>
      </c>
      <c r="Z455" s="180" t="s">
        <v>107</v>
      </c>
      <c r="AA455" s="181"/>
      <c r="AB455" s="181" t="s">
        <v>4044</v>
      </c>
      <c r="AC455" s="181">
        <v>190</v>
      </c>
      <c r="AD455" s="181">
        <v>180</v>
      </c>
      <c r="AE455" s="16">
        <v>180</v>
      </c>
      <c r="AF455" s="16">
        <v>139</v>
      </c>
      <c r="AG455" s="16">
        <v>160</v>
      </c>
      <c r="AH455" s="16">
        <v>3</v>
      </c>
      <c r="AI455" s="16">
        <v>70</v>
      </c>
      <c r="AJ455" s="16">
        <v>233</v>
      </c>
      <c r="AK455" s="16">
        <v>18.5</v>
      </c>
      <c r="AL455" s="16">
        <v>6</v>
      </c>
      <c r="AM455" s="162" t="s">
        <v>4242</v>
      </c>
      <c r="AN455" s="181"/>
      <c r="AO455" s="180"/>
      <c r="AP455" s="25"/>
      <c r="AQ455" s="181"/>
      <c r="AR455" s="16" t="s">
        <v>160</v>
      </c>
      <c r="AS455" s="16" t="s">
        <v>193</v>
      </c>
      <c r="AT455" s="180"/>
      <c r="AU455" s="180"/>
      <c r="AV455" s="180"/>
      <c r="AW455" s="180"/>
      <c r="AX455" s="12" t="str">
        <f t="shared" si="24"/>
        <v/>
      </c>
      <c r="AY455" s="12" t="str">
        <f t="shared" si="25"/>
        <v/>
      </c>
      <c r="AZ455" s="18"/>
      <c r="BA455" s="19"/>
      <c r="BB455" s="19"/>
      <c r="BC455" s="19"/>
      <c r="BD455" s="19"/>
      <c r="BE455" s="19"/>
      <c r="BF455" s="19"/>
      <c r="BG455" s="19"/>
      <c r="BH455" s="19"/>
      <c r="BI455" s="19"/>
      <c r="BJ455" s="19"/>
      <c r="BK455" s="19"/>
    </row>
    <row r="456" spans="1:63" s="21" customFormat="1" ht="20.100000000000001" hidden="1" customHeight="1" x14ac:dyDescent="0.2">
      <c r="A456" s="20">
        <v>453</v>
      </c>
      <c r="B456" s="29" t="s">
        <v>4228</v>
      </c>
      <c r="C456" s="16"/>
      <c r="D456" s="30" t="s">
        <v>672</v>
      </c>
      <c r="E456" s="180" t="s">
        <v>9</v>
      </c>
      <c r="F456" s="180" t="s">
        <v>185</v>
      </c>
      <c r="G456" s="180"/>
      <c r="H456" s="20" t="s">
        <v>83</v>
      </c>
      <c r="I456" s="181"/>
      <c r="J456" s="181"/>
      <c r="K456" s="181"/>
      <c r="L456" s="181"/>
      <c r="M456" s="181"/>
      <c r="N456" s="181"/>
      <c r="O456" s="29" t="s">
        <v>92</v>
      </c>
      <c r="P456" s="180"/>
      <c r="Q456" s="30" t="s">
        <v>104</v>
      </c>
      <c r="R456" s="30" t="s">
        <v>3532</v>
      </c>
      <c r="S456" s="30" t="s">
        <v>106</v>
      </c>
      <c r="T456" s="186" t="s">
        <v>107</v>
      </c>
      <c r="U456" s="180"/>
      <c r="V456" s="30" t="s">
        <v>1510</v>
      </c>
      <c r="W456" s="30" t="s">
        <v>769</v>
      </c>
      <c r="X456" s="30" t="s">
        <v>3533</v>
      </c>
      <c r="Y456" s="30" t="s">
        <v>73</v>
      </c>
      <c r="Z456" s="30" t="s">
        <v>70</v>
      </c>
      <c r="AA456" s="20" t="s">
        <v>3504</v>
      </c>
      <c r="AB456" s="181"/>
      <c r="AC456" s="181"/>
      <c r="AD456" s="181"/>
      <c r="AE456" s="16">
        <v>216</v>
      </c>
      <c r="AF456" s="16"/>
      <c r="AG456" s="16"/>
      <c r="AH456" s="16"/>
      <c r="AI456" s="16"/>
      <c r="AJ456" s="16"/>
      <c r="AK456" s="16"/>
      <c r="AL456" s="16">
        <v>6</v>
      </c>
      <c r="AM456" s="16"/>
      <c r="AN456" s="181"/>
      <c r="AO456" s="180"/>
      <c r="AP456" s="25"/>
      <c r="AQ456" s="181"/>
      <c r="AR456" s="16" t="s">
        <v>111</v>
      </c>
      <c r="AS456" s="29" t="s">
        <v>161</v>
      </c>
      <c r="AT456" s="30" t="s">
        <v>113</v>
      </c>
      <c r="AU456" s="30" t="s">
        <v>116</v>
      </c>
      <c r="AV456" s="30" t="s">
        <v>113</v>
      </c>
      <c r="AW456" s="30" t="s">
        <v>124</v>
      </c>
      <c r="AX456" s="31">
        <f t="shared" si="24"/>
        <v>7</v>
      </c>
      <c r="AY456" s="31">
        <f t="shared" si="25"/>
        <v>7</v>
      </c>
      <c r="AZ456" s="32"/>
    </row>
    <row r="457" spans="1:63" ht="20.100000000000001" hidden="1" customHeight="1" x14ac:dyDescent="0.2">
      <c r="A457" s="13">
        <v>454</v>
      </c>
      <c r="B457" s="16" t="s">
        <v>4229</v>
      </c>
      <c r="C457" s="16"/>
      <c r="D457" s="180" t="s">
        <v>4151</v>
      </c>
      <c r="E457" s="180" t="s">
        <v>19</v>
      </c>
      <c r="F457" s="180"/>
      <c r="G457" s="180"/>
      <c r="H457" s="181" t="s">
        <v>7</v>
      </c>
      <c r="I457" s="181"/>
      <c r="J457" s="181"/>
      <c r="K457" s="181"/>
      <c r="L457" s="181"/>
      <c r="M457" s="181"/>
      <c r="N457" s="181"/>
      <c r="O457" s="16" t="s">
        <v>92</v>
      </c>
      <c r="P457" s="35" t="s">
        <v>140</v>
      </c>
      <c r="Q457" s="35" t="s">
        <v>141</v>
      </c>
      <c r="R457" s="180"/>
      <c r="S457" s="180" t="s">
        <v>106</v>
      </c>
      <c r="T457" s="181" t="s">
        <v>107</v>
      </c>
      <c r="U457" s="35" t="s">
        <v>328</v>
      </c>
      <c r="V457" s="35" t="s">
        <v>1809</v>
      </c>
      <c r="W457" s="35" t="s">
        <v>769</v>
      </c>
      <c r="X457" s="180"/>
      <c r="Y457" s="180" t="s">
        <v>106</v>
      </c>
      <c r="Z457" s="180" t="s">
        <v>107</v>
      </c>
      <c r="AA457" s="181"/>
      <c r="AB457" s="181" t="s">
        <v>4044</v>
      </c>
      <c r="AC457" s="181">
        <v>174</v>
      </c>
      <c r="AD457" s="181">
        <v>168</v>
      </c>
      <c r="AE457" s="16">
        <v>168</v>
      </c>
      <c r="AF457" s="16">
        <v>85</v>
      </c>
      <c r="AG457" s="16">
        <v>153</v>
      </c>
      <c r="AH457" s="16">
        <v>2</v>
      </c>
      <c r="AI457" s="16">
        <v>45</v>
      </c>
      <c r="AJ457" s="16">
        <v>199</v>
      </c>
      <c r="AK457" s="16">
        <v>7</v>
      </c>
      <c r="AL457" s="16">
        <v>6</v>
      </c>
      <c r="AM457" s="162" t="s">
        <v>4261</v>
      </c>
      <c r="AN457" s="181"/>
      <c r="AO457" s="180"/>
      <c r="AP457" s="25"/>
      <c r="AQ457" s="181"/>
      <c r="AR457" s="16" t="s">
        <v>111</v>
      </c>
      <c r="AS457" s="16" t="s">
        <v>112</v>
      </c>
      <c r="AT457" s="180"/>
      <c r="AU457" s="180"/>
      <c r="AV457" s="180"/>
      <c r="AW457" s="180"/>
      <c r="AX457" s="12" t="str">
        <f t="shared" si="24"/>
        <v/>
      </c>
      <c r="AY457" s="12" t="str">
        <f t="shared" si="25"/>
        <v/>
      </c>
      <c r="AZ457" s="18"/>
      <c r="BA457" s="19"/>
      <c r="BB457" s="19"/>
      <c r="BC457" s="19"/>
      <c r="BD457" s="19"/>
      <c r="BE457" s="19"/>
      <c r="BF457" s="19"/>
      <c r="BG457" s="19"/>
      <c r="BH457" s="19"/>
      <c r="BI457" s="19"/>
      <c r="BJ457" s="19"/>
      <c r="BK457" s="19"/>
    </row>
    <row r="458" spans="1:63" ht="20.100000000000001" hidden="1" customHeight="1" x14ac:dyDescent="0.2">
      <c r="A458" s="13">
        <v>455</v>
      </c>
      <c r="B458" s="16" t="s">
        <v>4229</v>
      </c>
      <c r="C458" s="16"/>
      <c r="D458" s="180" t="s">
        <v>460</v>
      </c>
      <c r="E458" s="180" t="s">
        <v>6</v>
      </c>
      <c r="F458" s="180" t="s">
        <v>185</v>
      </c>
      <c r="G458" s="180"/>
      <c r="H458" s="181" t="s">
        <v>83</v>
      </c>
      <c r="I458" s="181"/>
      <c r="J458" s="181"/>
      <c r="K458" s="181"/>
      <c r="L458" s="181"/>
      <c r="M458" s="181"/>
      <c r="N458" s="181"/>
      <c r="O458" s="16" t="s">
        <v>93</v>
      </c>
      <c r="P458" s="180"/>
      <c r="Q458" s="180" t="s">
        <v>68</v>
      </c>
      <c r="R458" s="180" t="s">
        <v>467</v>
      </c>
      <c r="S458" s="180" t="s">
        <v>369</v>
      </c>
      <c r="T458" s="181" t="s">
        <v>369</v>
      </c>
      <c r="U458" s="180"/>
      <c r="V458" s="180" t="s">
        <v>3679</v>
      </c>
      <c r="W458" s="180" t="s">
        <v>485</v>
      </c>
      <c r="X458" s="180" t="s">
        <v>623</v>
      </c>
      <c r="Y458" s="180" t="s">
        <v>369</v>
      </c>
      <c r="Z458" s="180" t="s">
        <v>369</v>
      </c>
      <c r="AA458" s="181" t="s">
        <v>4357</v>
      </c>
      <c r="AB458" s="181"/>
      <c r="AC458" s="181"/>
      <c r="AD458" s="181"/>
      <c r="AE458" s="16">
        <v>120</v>
      </c>
      <c r="AF458" s="16"/>
      <c r="AG458" s="16"/>
      <c r="AH458" s="16"/>
      <c r="AI458" s="16"/>
      <c r="AJ458" s="16"/>
      <c r="AK458" s="16"/>
      <c r="AL458" s="16">
        <v>6</v>
      </c>
      <c r="AM458" s="16"/>
      <c r="AN458" s="181"/>
      <c r="AO458" s="180"/>
      <c r="AP458" s="25"/>
      <c r="AQ458" s="181"/>
      <c r="AR458" s="16"/>
      <c r="AS458" s="16"/>
      <c r="AT458" s="180" t="s">
        <v>113</v>
      </c>
      <c r="AU458" s="180" t="s">
        <v>116</v>
      </c>
      <c r="AV458" s="180" t="s">
        <v>115</v>
      </c>
      <c r="AW458" s="180" t="s">
        <v>235</v>
      </c>
      <c r="AX458" s="12">
        <f t="shared" si="24"/>
        <v>20</v>
      </c>
      <c r="AY458" s="12" t="str">
        <f t="shared" si="25"/>
        <v/>
      </c>
      <c r="AZ458" s="18"/>
      <c r="BA458" s="19"/>
      <c r="BB458" s="19"/>
      <c r="BC458" s="19"/>
      <c r="BD458" s="19"/>
      <c r="BE458" s="19"/>
      <c r="BF458" s="19"/>
      <c r="BG458" s="19"/>
      <c r="BH458" s="19"/>
      <c r="BI458" s="19"/>
      <c r="BJ458" s="19"/>
      <c r="BK458" s="19"/>
    </row>
    <row r="459" spans="1:63" ht="20.100000000000001" hidden="1" customHeight="1" x14ac:dyDescent="0.2">
      <c r="A459" s="13">
        <v>456</v>
      </c>
      <c r="B459" s="16" t="s">
        <v>4230</v>
      </c>
      <c r="C459" s="16"/>
      <c r="D459" s="180" t="s">
        <v>3068</v>
      </c>
      <c r="E459" s="180" t="s">
        <v>19</v>
      </c>
      <c r="F459" s="180" t="s">
        <v>185</v>
      </c>
      <c r="G459" s="180"/>
      <c r="H459" s="181" t="s">
        <v>83</v>
      </c>
      <c r="I459" s="181"/>
      <c r="J459" s="181"/>
      <c r="K459" s="181"/>
      <c r="L459" s="181"/>
      <c r="M459" s="181"/>
      <c r="N459" s="181"/>
      <c r="O459" s="16" t="s">
        <v>92</v>
      </c>
      <c r="P459" s="180"/>
      <c r="Q459" s="180" t="s">
        <v>117</v>
      </c>
      <c r="R459" s="180" t="s">
        <v>4351</v>
      </c>
      <c r="S459" s="180" t="s">
        <v>369</v>
      </c>
      <c r="T459" s="181" t="s">
        <v>369</v>
      </c>
      <c r="U459" s="180"/>
      <c r="V459" s="180" t="s">
        <v>3679</v>
      </c>
      <c r="W459" s="180" t="s">
        <v>465</v>
      </c>
      <c r="X459" s="180" t="s">
        <v>4352</v>
      </c>
      <c r="Y459" s="180" t="s">
        <v>574</v>
      </c>
      <c r="Z459" s="180" t="s">
        <v>107</v>
      </c>
      <c r="AA459" s="181" t="s">
        <v>4353</v>
      </c>
      <c r="AB459" s="181"/>
      <c r="AC459" s="181"/>
      <c r="AD459" s="181"/>
      <c r="AE459" s="16">
        <v>176</v>
      </c>
      <c r="AF459" s="16"/>
      <c r="AG459" s="16"/>
      <c r="AH459" s="16"/>
      <c r="AI459" s="16"/>
      <c r="AJ459" s="16"/>
      <c r="AK459" s="16"/>
      <c r="AL459" s="16">
        <v>6</v>
      </c>
      <c r="AM459" s="16"/>
      <c r="AN459" s="181"/>
      <c r="AO459" s="180"/>
      <c r="AP459" s="25"/>
      <c r="AQ459" s="181"/>
      <c r="AR459" s="16" t="s">
        <v>111</v>
      </c>
      <c r="AS459" s="16" t="s">
        <v>112</v>
      </c>
      <c r="AT459" s="180" t="s">
        <v>113</v>
      </c>
      <c r="AU459" s="180" t="s">
        <v>116</v>
      </c>
      <c r="AV459" s="180" t="s">
        <v>348</v>
      </c>
      <c r="AW459" s="180" t="s">
        <v>137</v>
      </c>
      <c r="AX459" s="12">
        <f t="shared" si="24"/>
        <v>53</v>
      </c>
      <c r="AY459" s="12" t="str">
        <f t="shared" si="25"/>
        <v/>
      </c>
      <c r="AZ459" s="18"/>
      <c r="BA459" s="19"/>
      <c r="BB459" s="19"/>
      <c r="BC459" s="19"/>
      <c r="BD459" s="19"/>
      <c r="BE459" s="19"/>
      <c r="BF459" s="19"/>
      <c r="BG459" s="19"/>
      <c r="BH459" s="19"/>
      <c r="BI459" s="19"/>
      <c r="BJ459" s="19"/>
      <c r="BK459" s="19"/>
    </row>
    <row r="460" spans="1:63" ht="20.100000000000001" hidden="1" customHeight="1" x14ac:dyDescent="0.2">
      <c r="A460" s="13">
        <v>457</v>
      </c>
      <c r="B460" s="16" t="s">
        <v>4231</v>
      </c>
      <c r="C460" s="16"/>
      <c r="D460" s="180" t="s">
        <v>3068</v>
      </c>
      <c r="E460" s="180" t="s">
        <v>19</v>
      </c>
      <c r="F460" s="180"/>
      <c r="G460" s="180"/>
      <c r="H460" s="181" t="s">
        <v>7</v>
      </c>
      <c r="I460" s="181"/>
      <c r="J460" s="181"/>
      <c r="K460" s="181"/>
      <c r="L460" s="181"/>
      <c r="M460" s="181"/>
      <c r="N460" s="181"/>
      <c r="O460" s="16" t="s">
        <v>92</v>
      </c>
      <c r="P460" s="35" t="s">
        <v>117</v>
      </c>
      <c r="Q460" s="35" t="s">
        <v>68</v>
      </c>
      <c r="R460" s="180"/>
      <c r="S460" s="180" t="s">
        <v>106</v>
      </c>
      <c r="T460" s="181" t="s">
        <v>107</v>
      </c>
      <c r="U460" s="35" t="s">
        <v>470</v>
      </c>
      <c r="V460" s="35" t="s">
        <v>3679</v>
      </c>
      <c r="W460" s="35" t="s">
        <v>485</v>
      </c>
      <c r="X460" s="180"/>
      <c r="Y460" s="180" t="s">
        <v>106</v>
      </c>
      <c r="Z460" s="180" t="s">
        <v>107</v>
      </c>
      <c r="AA460" s="181"/>
      <c r="AB460" s="181" t="s">
        <v>162</v>
      </c>
      <c r="AC460" s="181">
        <v>198</v>
      </c>
      <c r="AD460" s="181">
        <v>176</v>
      </c>
      <c r="AE460" s="16">
        <v>176</v>
      </c>
      <c r="AF460" s="16">
        <v>50</v>
      </c>
      <c r="AG460" s="16">
        <v>96</v>
      </c>
      <c r="AH460" s="16">
        <v>5</v>
      </c>
      <c r="AI460" s="16">
        <v>50</v>
      </c>
      <c r="AJ460" s="16">
        <v>151</v>
      </c>
      <c r="AK460" s="16">
        <v>25</v>
      </c>
      <c r="AL460" s="16">
        <v>6</v>
      </c>
      <c r="AM460" s="162" t="s">
        <v>4262</v>
      </c>
      <c r="AN460" s="181"/>
      <c r="AO460" s="180"/>
      <c r="AP460" s="25"/>
      <c r="AQ460" s="181"/>
      <c r="AR460" s="16" t="s">
        <v>111</v>
      </c>
      <c r="AS460" s="16" t="s">
        <v>112</v>
      </c>
      <c r="AT460" s="180"/>
      <c r="AU460" s="180"/>
      <c r="AV460" s="180"/>
      <c r="AW460" s="180"/>
      <c r="AX460" s="12" t="str">
        <f t="shared" si="24"/>
        <v/>
      </c>
      <c r="AY460" s="12" t="str">
        <f t="shared" si="25"/>
        <v/>
      </c>
      <c r="AZ460" s="18" t="s">
        <v>4232</v>
      </c>
      <c r="BA460" s="19"/>
      <c r="BB460" s="19"/>
      <c r="BC460" s="19"/>
      <c r="BD460" s="19"/>
      <c r="BE460" s="19"/>
      <c r="BF460" s="19"/>
      <c r="BG460" s="19"/>
      <c r="BH460" s="19"/>
      <c r="BI460" s="19"/>
      <c r="BJ460" s="19"/>
      <c r="BK460" s="19"/>
    </row>
    <row r="461" spans="1:63" ht="20.100000000000001" hidden="1" customHeight="1" x14ac:dyDescent="0.2">
      <c r="A461" s="13">
        <v>458</v>
      </c>
      <c r="B461" s="16" t="s">
        <v>4233</v>
      </c>
      <c r="C461" s="16"/>
      <c r="D461" s="180" t="s">
        <v>672</v>
      </c>
      <c r="E461" s="180" t="s">
        <v>9</v>
      </c>
      <c r="F461" s="180"/>
      <c r="G461" s="180"/>
      <c r="H461" s="181" t="s">
        <v>7</v>
      </c>
      <c r="I461" s="181"/>
      <c r="J461" s="181"/>
      <c r="K461" s="181"/>
      <c r="L461" s="181"/>
      <c r="M461" s="181"/>
      <c r="N461" s="181"/>
      <c r="O461" s="16" t="s">
        <v>92</v>
      </c>
      <c r="P461" s="35" t="s">
        <v>104</v>
      </c>
      <c r="Q461" s="35" t="s">
        <v>117</v>
      </c>
      <c r="R461" s="35" t="s">
        <v>4236</v>
      </c>
      <c r="S461" s="180" t="s">
        <v>106</v>
      </c>
      <c r="T461" s="181" t="s">
        <v>107</v>
      </c>
      <c r="U461" s="180" t="s">
        <v>131</v>
      </c>
      <c r="V461" s="180" t="s">
        <v>2961</v>
      </c>
      <c r="W461" s="180" t="s">
        <v>1581</v>
      </c>
      <c r="X461" s="180" t="s">
        <v>4237</v>
      </c>
      <c r="Y461" s="180" t="s">
        <v>106</v>
      </c>
      <c r="Z461" s="180" t="s">
        <v>107</v>
      </c>
      <c r="AA461" s="181">
        <v>0</v>
      </c>
      <c r="AB461" s="181"/>
      <c r="AC461" s="181">
        <v>227</v>
      </c>
      <c r="AD461" s="181">
        <v>216</v>
      </c>
      <c r="AE461" s="16">
        <v>216</v>
      </c>
      <c r="AF461" s="16">
        <v>142</v>
      </c>
      <c r="AG461" s="16">
        <v>200</v>
      </c>
      <c r="AH461" s="16">
        <v>2</v>
      </c>
      <c r="AI461" s="16">
        <v>50</v>
      </c>
      <c r="AJ461" s="16">
        <v>252</v>
      </c>
      <c r="AK461" s="16">
        <v>10</v>
      </c>
      <c r="AL461" s="16">
        <v>6</v>
      </c>
      <c r="AM461" s="162" t="s">
        <v>4263</v>
      </c>
      <c r="AN461" s="33" t="s">
        <v>158</v>
      </c>
      <c r="AO461" s="180"/>
      <c r="AP461" s="25"/>
      <c r="AQ461" s="181"/>
      <c r="AR461" s="16" t="s">
        <v>111</v>
      </c>
      <c r="AS461" s="16" t="s">
        <v>161</v>
      </c>
      <c r="AT461" s="180"/>
      <c r="AU461" s="180"/>
      <c r="AV461" s="180"/>
      <c r="AW461" s="180"/>
      <c r="AX461" s="12" t="str">
        <f t="shared" si="24"/>
        <v/>
      </c>
      <c r="AY461" s="12" t="str">
        <f t="shared" si="25"/>
        <v/>
      </c>
      <c r="AZ461" s="18"/>
      <c r="BA461" s="19"/>
      <c r="BB461" s="19"/>
      <c r="BC461" s="19"/>
      <c r="BD461" s="19"/>
      <c r="BE461" s="19"/>
      <c r="BF461" s="19"/>
      <c r="BG461" s="19"/>
      <c r="BH461" s="19"/>
      <c r="BI461" s="19"/>
      <c r="BJ461" s="19"/>
      <c r="BK461" s="19"/>
    </row>
    <row r="462" spans="1:63" ht="20.100000000000001" hidden="1" customHeight="1" x14ac:dyDescent="0.2">
      <c r="A462" s="13">
        <v>459</v>
      </c>
      <c r="B462" s="16" t="s">
        <v>4234</v>
      </c>
      <c r="C462" s="16"/>
      <c r="D462" s="180" t="s">
        <v>1086</v>
      </c>
      <c r="E462" s="180" t="s">
        <v>9</v>
      </c>
      <c r="F462" s="180"/>
      <c r="G462" s="180"/>
      <c r="H462" s="181" t="s">
        <v>7</v>
      </c>
      <c r="I462" s="181"/>
      <c r="J462" s="181"/>
      <c r="K462" s="181"/>
      <c r="L462" s="181"/>
      <c r="M462" s="181"/>
      <c r="N462" s="181"/>
      <c r="O462" s="16" t="s">
        <v>92</v>
      </c>
      <c r="P462" s="35" t="s">
        <v>140</v>
      </c>
      <c r="Q462" s="35" t="s">
        <v>117</v>
      </c>
      <c r="R462" s="180" t="s">
        <v>1276</v>
      </c>
      <c r="S462" s="180" t="s">
        <v>106</v>
      </c>
      <c r="T462" s="181" t="s">
        <v>107</v>
      </c>
      <c r="U462" s="35" t="s">
        <v>276</v>
      </c>
      <c r="V462" s="35" t="s">
        <v>2961</v>
      </c>
      <c r="W462" s="35" t="s">
        <v>1581</v>
      </c>
      <c r="X462" s="180" t="s">
        <v>4238</v>
      </c>
      <c r="Y462" s="180" t="s">
        <v>73</v>
      </c>
      <c r="Z462" s="180" t="s">
        <v>70</v>
      </c>
      <c r="AA462" s="181"/>
      <c r="AB462" s="181"/>
      <c r="AC462" s="181">
        <v>212</v>
      </c>
      <c r="AD462" s="181">
        <v>204</v>
      </c>
      <c r="AE462" s="16">
        <v>204</v>
      </c>
      <c r="AF462" s="16">
        <v>168</v>
      </c>
      <c r="AG462" s="16">
        <v>190</v>
      </c>
      <c r="AH462" s="16">
        <v>1</v>
      </c>
      <c r="AI462" s="16">
        <v>30</v>
      </c>
      <c r="AJ462" s="16">
        <v>221</v>
      </c>
      <c r="AK462" s="16">
        <v>9</v>
      </c>
      <c r="AL462" s="16">
        <v>6</v>
      </c>
      <c r="AM462" s="162" t="s">
        <v>4264</v>
      </c>
      <c r="AN462" s="33" t="s">
        <v>158</v>
      </c>
      <c r="AO462" s="180"/>
      <c r="AP462" s="25"/>
      <c r="AQ462" s="181"/>
      <c r="AR462" s="16" t="s">
        <v>160</v>
      </c>
      <c r="AS462" s="16" t="s">
        <v>161</v>
      </c>
      <c r="AT462" s="180"/>
      <c r="AU462" s="180"/>
      <c r="AV462" s="180"/>
      <c r="AW462" s="180"/>
      <c r="AX462" s="12" t="str">
        <f t="shared" si="24"/>
        <v/>
      </c>
      <c r="AY462" s="12" t="str">
        <f t="shared" si="25"/>
        <v/>
      </c>
      <c r="AZ462" s="18"/>
      <c r="BA462" s="19"/>
      <c r="BB462" s="19"/>
      <c r="BC462" s="19"/>
      <c r="BD462" s="19"/>
      <c r="BE462" s="19"/>
      <c r="BF462" s="19"/>
      <c r="BG462" s="19"/>
      <c r="BH462" s="19"/>
      <c r="BI462" s="19"/>
      <c r="BJ462" s="19"/>
      <c r="BK462" s="19"/>
    </row>
    <row r="463" spans="1:63" ht="20.100000000000001" hidden="1" customHeight="1" x14ac:dyDescent="0.2">
      <c r="A463" s="13">
        <v>460</v>
      </c>
      <c r="B463" s="16" t="s">
        <v>4235</v>
      </c>
      <c r="C463" s="16"/>
      <c r="D463" s="180" t="s">
        <v>1067</v>
      </c>
      <c r="E463" s="180" t="s">
        <v>9</v>
      </c>
      <c r="F463" s="180" t="s">
        <v>202</v>
      </c>
      <c r="G463" s="180"/>
      <c r="H463" s="181" t="s">
        <v>83</v>
      </c>
      <c r="I463" s="181"/>
      <c r="J463" s="181"/>
      <c r="K463" s="181"/>
      <c r="L463" s="181"/>
      <c r="M463" s="181"/>
      <c r="N463" s="181"/>
      <c r="O463" s="16" t="s">
        <v>92</v>
      </c>
      <c r="P463" s="180"/>
      <c r="Q463" s="180" t="s">
        <v>155</v>
      </c>
      <c r="R463" s="180" t="s">
        <v>3478</v>
      </c>
      <c r="S463" s="180" t="s">
        <v>106</v>
      </c>
      <c r="T463" s="181" t="s">
        <v>107</v>
      </c>
      <c r="U463" s="180"/>
      <c r="V463" s="180" t="s">
        <v>3677</v>
      </c>
      <c r="W463" s="180" t="s">
        <v>718</v>
      </c>
      <c r="X463" s="180" t="s">
        <v>3479</v>
      </c>
      <c r="Y463" s="180" t="s">
        <v>106</v>
      </c>
      <c r="Z463" s="180" t="s">
        <v>107</v>
      </c>
      <c r="AA463" s="181" t="s">
        <v>3475</v>
      </c>
      <c r="AB463" s="181"/>
      <c r="AC463" s="181"/>
      <c r="AD463" s="181"/>
      <c r="AE463" s="16">
        <v>210</v>
      </c>
      <c r="AF463" s="16"/>
      <c r="AG463" s="16"/>
      <c r="AH463" s="16"/>
      <c r="AI463" s="16"/>
      <c r="AJ463" s="16"/>
      <c r="AK463" s="16"/>
      <c r="AL463" s="16">
        <v>6</v>
      </c>
      <c r="AM463" s="16"/>
      <c r="AN463" s="181"/>
      <c r="AO463" s="180"/>
      <c r="AP463" s="25"/>
      <c r="AQ463" s="181"/>
      <c r="AR463" s="16" t="s">
        <v>160</v>
      </c>
      <c r="AS463" s="16" t="s">
        <v>161</v>
      </c>
      <c r="AT463" s="180" t="s">
        <v>113</v>
      </c>
      <c r="AU463" s="180" t="s">
        <v>116</v>
      </c>
      <c r="AV463" s="180" t="s">
        <v>113</v>
      </c>
      <c r="AW463" s="180" t="s">
        <v>124</v>
      </c>
      <c r="AX463" s="12">
        <f t="shared" si="24"/>
        <v>7</v>
      </c>
      <c r="AY463" s="12">
        <f t="shared" si="25"/>
        <v>7</v>
      </c>
      <c r="AZ463" s="18"/>
      <c r="BA463" s="19"/>
      <c r="BB463" s="19"/>
      <c r="BC463" s="19"/>
      <c r="BD463" s="19"/>
      <c r="BE463" s="19"/>
      <c r="BF463" s="19"/>
      <c r="BG463" s="19"/>
      <c r="BH463" s="19"/>
      <c r="BI463" s="19"/>
      <c r="BJ463" s="19"/>
      <c r="BK463" s="19"/>
    </row>
    <row r="464" spans="1:63" ht="20.100000000000001" hidden="1" customHeight="1" x14ac:dyDescent="0.2">
      <c r="A464" s="13">
        <v>461</v>
      </c>
      <c r="B464" s="16" t="s">
        <v>4243</v>
      </c>
      <c r="C464" s="16"/>
      <c r="D464" s="180" t="s">
        <v>3649</v>
      </c>
      <c r="E464" s="180" t="s">
        <v>19</v>
      </c>
      <c r="F464" s="180"/>
      <c r="G464" s="180"/>
      <c r="H464" s="181" t="s">
        <v>7</v>
      </c>
      <c r="I464" s="181"/>
      <c r="J464" s="181"/>
      <c r="K464" s="181"/>
      <c r="L464" s="181"/>
      <c r="M464" s="181"/>
      <c r="N464" s="181"/>
      <c r="O464" s="16" t="s">
        <v>92</v>
      </c>
      <c r="P464" s="35" t="s">
        <v>141</v>
      </c>
      <c r="Q464" s="35" t="s">
        <v>226</v>
      </c>
      <c r="R464" s="180" t="s">
        <v>4245</v>
      </c>
      <c r="S464" s="180" t="s">
        <v>69</v>
      </c>
      <c r="T464" s="181" t="s">
        <v>70</v>
      </c>
      <c r="U464" s="35" t="s">
        <v>492</v>
      </c>
      <c r="V464" s="35" t="s">
        <v>2961</v>
      </c>
      <c r="W464" s="35" t="s">
        <v>485</v>
      </c>
      <c r="X464" s="180" t="s">
        <v>4246</v>
      </c>
      <c r="Y464" s="180" t="s">
        <v>73</v>
      </c>
      <c r="Z464" s="180" t="s">
        <v>70</v>
      </c>
      <c r="AA464" s="181"/>
      <c r="AB464" s="181"/>
      <c r="AC464" s="181">
        <v>95</v>
      </c>
      <c r="AD464" s="181">
        <v>84</v>
      </c>
      <c r="AE464" s="16">
        <v>84</v>
      </c>
      <c r="AF464" s="16">
        <v>50</v>
      </c>
      <c r="AG464" s="16">
        <v>84</v>
      </c>
      <c r="AH464" s="16">
        <v>2</v>
      </c>
      <c r="AI464" s="16">
        <v>26</v>
      </c>
      <c r="AJ464" s="16">
        <v>112</v>
      </c>
      <c r="AK464" s="16">
        <v>7</v>
      </c>
      <c r="AL464" s="34">
        <v>4</v>
      </c>
      <c r="AM464" s="162" t="s">
        <v>4265</v>
      </c>
      <c r="AN464" s="33" t="s">
        <v>158</v>
      </c>
      <c r="AO464" s="180"/>
      <c r="AP464" s="25"/>
      <c r="AQ464" s="181"/>
      <c r="AR464" s="16" t="s">
        <v>111</v>
      </c>
      <c r="AS464" s="16" t="s">
        <v>1956</v>
      </c>
      <c r="AT464" s="180"/>
      <c r="AU464" s="180"/>
      <c r="AV464" s="180"/>
      <c r="AW464" s="180"/>
      <c r="AX464" s="12" t="str">
        <f t="shared" si="24"/>
        <v/>
      </c>
      <c r="AY464" s="12" t="str">
        <f t="shared" si="25"/>
        <v/>
      </c>
      <c r="AZ464" s="18" t="s">
        <v>4244</v>
      </c>
      <c r="BA464" s="19"/>
      <c r="BB464" s="19"/>
      <c r="BC464" s="19"/>
      <c r="BD464" s="19"/>
      <c r="BE464" s="19"/>
      <c r="BF464" s="19"/>
      <c r="BG464" s="19"/>
      <c r="BH464" s="19"/>
      <c r="BI464" s="19"/>
      <c r="BJ464" s="19"/>
      <c r="BK464" s="19"/>
    </row>
    <row r="465" spans="1:63" ht="20.100000000000001" hidden="1" customHeight="1" x14ac:dyDescent="0.2">
      <c r="A465" s="13">
        <v>462</v>
      </c>
      <c r="B465" s="16" t="s">
        <v>4247</v>
      </c>
      <c r="C465" s="16"/>
      <c r="D465" s="180" t="s">
        <v>1508</v>
      </c>
      <c r="E465" s="180" t="s">
        <v>10</v>
      </c>
      <c r="F465" s="180" t="s">
        <v>202</v>
      </c>
      <c r="G465" s="180"/>
      <c r="H465" s="181" t="s">
        <v>83</v>
      </c>
      <c r="I465" s="181"/>
      <c r="J465" s="181"/>
      <c r="K465" s="181"/>
      <c r="L465" s="181"/>
      <c r="M465" s="181"/>
      <c r="N465" s="181"/>
      <c r="O465" s="16" t="s">
        <v>92</v>
      </c>
      <c r="P465" s="180"/>
      <c r="Q465" s="41" t="s">
        <v>117</v>
      </c>
      <c r="R465" s="41" t="s">
        <v>1419</v>
      </c>
      <c r="S465" s="41" t="s">
        <v>106</v>
      </c>
      <c r="T465" s="13" t="s">
        <v>107</v>
      </c>
      <c r="U465" s="180"/>
      <c r="V465" s="180" t="s">
        <v>2961</v>
      </c>
      <c r="W465" s="180" t="s">
        <v>144</v>
      </c>
      <c r="X465" s="41" t="s">
        <v>1673</v>
      </c>
      <c r="Y465" s="41" t="s">
        <v>73</v>
      </c>
      <c r="Z465" s="41" t="s">
        <v>70</v>
      </c>
      <c r="AA465" s="40" t="s">
        <v>1669</v>
      </c>
      <c r="AB465" s="181"/>
      <c r="AC465" s="181"/>
      <c r="AD465" s="181"/>
      <c r="AE465" s="16">
        <v>192</v>
      </c>
      <c r="AF465" s="16"/>
      <c r="AG465" s="16"/>
      <c r="AH465" s="16"/>
      <c r="AI465" s="16"/>
      <c r="AJ465" s="16"/>
      <c r="AK465" s="16"/>
      <c r="AL465" s="16">
        <v>4</v>
      </c>
      <c r="AM465" s="16"/>
      <c r="AN465" s="181"/>
      <c r="AO465" s="180"/>
      <c r="AP465" s="25"/>
      <c r="AQ465" s="181"/>
      <c r="AR465" s="16" t="s">
        <v>111</v>
      </c>
      <c r="AS465" s="16" t="s">
        <v>161</v>
      </c>
      <c r="AT465" s="180" t="s">
        <v>113</v>
      </c>
      <c r="AU465" s="180" t="s">
        <v>116</v>
      </c>
      <c r="AV465" s="180" t="s">
        <v>115</v>
      </c>
      <c r="AW465" s="180" t="s">
        <v>266</v>
      </c>
      <c r="AX465" s="12">
        <f t="shared" si="24"/>
        <v>14</v>
      </c>
      <c r="AY465" s="12" t="str">
        <f t="shared" si="25"/>
        <v/>
      </c>
      <c r="AZ465" s="18" t="s">
        <v>4248</v>
      </c>
      <c r="BA465" s="19"/>
      <c r="BB465" s="19"/>
      <c r="BC465" s="19"/>
      <c r="BD465" s="19"/>
      <c r="BE465" s="19"/>
      <c r="BF465" s="19"/>
      <c r="BG465" s="19"/>
      <c r="BH465" s="19"/>
      <c r="BI465" s="19"/>
      <c r="BJ465" s="19"/>
      <c r="BK465" s="19"/>
    </row>
    <row r="466" spans="1:63" ht="20.100000000000001" hidden="1" customHeight="1" x14ac:dyDescent="0.2">
      <c r="A466" s="13">
        <v>463</v>
      </c>
      <c r="B466" s="16" t="s">
        <v>4249</v>
      </c>
      <c r="C466" s="16"/>
      <c r="D466" s="180" t="s">
        <v>813</v>
      </c>
      <c r="E466" s="180" t="s">
        <v>66</v>
      </c>
      <c r="F466" s="249" t="s">
        <v>4038</v>
      </c>
      <c r="G466" s="180"/>
      <c r="H466" s="181" t="s">
        <v>83</v>
      </c>
      <c r="I466" s="181"/>
      <c r="J466" s="181"/>
      <c r="K466" s="181"/>
      <c r="L466" s="181"/>
      <c r="M466" s="181"/>
      <c r="N466" s="181"/>
      <c r="O466" s="16" t="s">
        <v>84</v>
      </c>
      <c r="P466" s="180"/>
      <c r="Q466" s="41" t="s">
        <v>117</v>
      </c>
      <c r="R466" s="41" t="s">
        <v>815</v>
      </c>
      <c r="S466" s="41" t="s">
        <v>142</v>
      </c>
      <c r="T466" s="13" t="s">
        <v>70</v>
      </c>
      <c r="U466" s="180"/>
      <c r="V466" s="180" t="s">
        <v>2245</v>
      </c>
      <c r="W466" s="180" t="s">
        <v>260</v>
      </c>
      <c r="X466" s="41" t="s">
        <v>816</v>
      </c>
      <c r="Y466" s="41" t="s">
        <v>106</v>
      </c>
      <c r="Z466" s="41" t="s">
        <v>107</v>
      </c>
      <c r="AA466" s="181"/>
      <c r="AB466" s="181"/>
      <c r="AC466" s="181"/>
      <c r="AD466" s="181"/>
      <c r="AE466" s="16">
        <v>150</v>
      </c>
      <c r="AF466" s="16"/>
      <c r="AG466" s="16"/>
      <c r="AH466" s="16"/>
      <c r="AI466" s="16"/>
      <c r="AJ466" s="16"/>
      <c r="AK466" s="16"/>
      <c r="AL466" s="16">
        <v>4</v>
      </c>
      <c r="AM466" s="16"/>
      <c r="AN466" s="181"/>
      <c r="AO466" s="180"/>
      <c r="AP466" s="25"/>
      <c r="AQ466" s="181"/>
      <c r="AR466" s="16" t="s">
        <v>160</v>
      </c>
      <c r="AS466" s="16" t="s">
        <v>112</v>
      </c>
      <c r="AT466" s="180"/>
      <c r="AU466" s="180"/>
      <c r="AV466" s="180"/>
      <c r="AW466" s="180"/>
      <c r="AX466" s="12" t="str">
        <f t="shared" si="24"/>
        <v/>
      </c>
      <c r="AY466" s="12" t="str">
        <f t="shared" si="25"/>
        <v/>
      </c>
      <c r="AZ466" s="18"/>
      <c r="BA466" s="19"/>
      <c r="BB466" s="19"/>
      <c r="BC466" s="19"/>
      <c r="BD466" s="19"/>
      <c r="BE466" s="19"/>
      <c r="BF466" s="19"/>
      <c r="BG466" s="19"/>
      <c r="BH466" s="19"/>
      <c r="BI466" s="19"/>
      <c r="BJ466" s="19"/>
      <c r="BK466" s="19"/>
    </row>
    <row r="467" spans="1:63" ht="20.100000000000001" hidden="1" customHeight="1" x14ac:dyDescent="0.2">
      <c r="A467" s="13">
        <v>464</v>
      </c>
      <c r="B467" s="16" t="s">
        <v>4249</v>
      </c>
      <c r="C467" s="16"/>
      <c r="D467" s="187" t="s">
        <v>813</v>
      </c>
      <c r="E467" s="187" t="s">
        <v>66</v>
      </c>
      <c r="F467" s="180"/>
      <c r="G467" s="180"/>
      <c r="H467" s="181" t="s">
        <v>7</v>
      </c>
      <c r="I467" s="181"/>
      <c r="J467" s="181"/>
      <c r="K467" s="181"/>
      <c r="L467" s="181"/>
      <c r="M467" s="181"/>
      <c r="N467" s="181"/>
      <c r="O467" s="16" t="s">
        <v>84</v>
      </c>
      <c r="P467" s="180" t="s">
        <v>117</v>
      </c>
      <c r="Q467" s="180" t="s">
        <v>117</v>
      </c>
      <c r="R467" s="180" t="s">
        <v>4250</v>
      </c>
      <c r="S467" s="180" t="s">
        <v>69</v>
      </c>
      <c r="T467" s="181" t="s">
        <v>70</v>
      </c>
      <c r="U467" s="180" t="s">
        <v>204</v>
      </c>
      <c r="V467" s="180" t="s">
        <v>2245</v>
      </c>
      <c r="W467" s="180" t="s">
        <v>260</v>
      </c>
      <c r="X467" s="180" t="s">
        <v>4251</v>
      </c>
      <c r="Y467" s="180" t="s">
        <v>69</v>
      </c>
      <c r="Z467" s="180" t="s">
        <v>70</v>
      </c>
      <c r="AA467" s="181">
        <v>0</v>
      </c>
      <c r="AB467" s="181"/>
      <c r="AC467" s="181"/>
      <c r="AD467" s="181"/>
      <c r="AE467" s="16">
        <v>150</v>
      </c>
      <c r="AF467" s="16"/>
      <c r="AG467" s="16"/>
      <c r="AH467" s="16"/>
      <c r="AI467" s="16"/>
      <c r="AJ467" s="16"/>
      <c r="AK467" s="16"/>
      <c r="AL467" s="16">
        <v>4</v>
      </c>
      <c r="AM467" s="162" t="s">
        <v>4266</v>
      </c>
      <c r="AN467" s="181"/>
      <c r="AO467" s="180"/>
      <c r="AP467" s="25"/>
      <c r="AQ467" s="181"/>
      <c r="AR467" s="16" t="s">
        <v>160</v>
      </c>
      <c r="AS467" s="16" t="s">
        <v>112</v>
      </c>
      <c r="AT467" s="180"/>
      <c r="AU467" s="180"/>
      <c r="AV467" s="180"/>
      <c r="AW467" s="180"/>
      <c r="AX467" s="12" t="str">
        <f t="shared" si="24"/>
        <v/>
      </c>
      <c r="AY467" s="12" t="str">
        <f t="shared" si="25"/>
        <v/>
      </c>
      <c r="AZ467" s="18" t="s">
        <v>4252</v>
      </c>
      <c r="BA467" s="19"/>
      <c r="BB467" s="19"/>
      <c r="BC467" s="19"/>
      <c r="BD467" s="19"/>
      <c r="BE467" s="19"/>
      <c r="BF467" s="19"/>
      <c r="BG467" s="19"/>
      <c r="BH467" s="19"/>
      <c r="BI467" s="19"/>
      <c r="BJ467" s="19"/>
      <c r="BK467" s="19"/>
    </row>
    <row r="468" spans="1:63" ht="20.100000000000001" hidden="1" customHeight="1" x14ac:dyDescent="0.2">
      <c r="A468" s="13">
        <v>465</v>
      </c>
      <c r="B468" s="16" t="s">
        <v>4253</v>
      </c>
      <c r="C468" s="16"/>
      <c r="D468" s="180" t="s">
        <v>859</v>
      </c>
      <c r="E468" s="180" t="s">
        <v>20</v>
      </c>
      <c r="F468" s="180"/>
      <c r="G468" s="180"/>
      <c r="H468" s="181" t="s">
        <v>7</v>
      </c>
      <c r="I468" s="181"/>
      <c r="J468" s="181"/>
      <c r="K468" s="181"/>
      <c r="L468" s="181"/>
      <c r="M468" s="181"/>
      <c r="N468" s="181"/>
      <c r="O468" s="16" t="s">
        <v>92</v>
      </c>
      <c r="P468" s="35" t="s">
        <v>140</v>
      </c>
      <c r="Q468" s="35" t="s">
        <v>141</v>
      </c>
      <c r="R468" s="180" t="s">
        <v>4254</v>
      </c>
      <c r="S468" s="180" t="s">
        <v>106</v>
      </c>
      <c r="T468" s="181" t="s">
        <v>107</v>
      </c>
      <c r="U468" s="35" t="s">
        <v>338</v>
      </c>
      <c r="V468" s="35" t="s">
        <v>2961</v>
      </c>
      <c r="W468" s="35" t="s">
        <v>2258</v>
      </c>
      <c r="X468" s="180" t="s">
        <v>4255</v>
      </c>
      <c r="Y468" s="180" t="s">
        <v>106</v>
      </c>
      <c r="Z468" s="180" t="s">
        <v>107</v>
      </c>
      <c r="AA468" s="181">
        <v>0</v>
      </c>
      <c r="AB468" s="181"/>
      <c r="AC468" s="181">
        <v>194</v>
      </c>
      <c r="AD468" s="33">
        <v>154</v>
      </c>
      <c r="AE468" s="34">
        <v>180</v>
      </c>
      <c r="AF468" s="16">
        <v>90</v>
      </c>
      <c r="AG468" s="16">
        <v>150</v>
      </c>
      <c r="AH468" s="16">
        <v>5</v>
      </c>
      <c r="AI468" s="16">
        <v>24</v>
      </c>
      <c r="AJ468" s="16">
        <v>179</v>
      </c>
      <c r="AK468" s="16">
        <v>9.5</v>
      </c>
      <c r="AL468" s="16">
        <v>4</v>
      </c>
      <c r="AM468" s="162" t="s">
        <v>4267</v>
      </c>
      <c r="AN468" s="33" t="s">
        <v>158</v>
      </c>
      <c r="AO468" s="180"/>
      <c r="AP468" s="25"/>
      <c r="AQ468" s="181"/>
      <c r="AR468" s="16" t="s">
        <v>111</v>
      </c>
      <c r="AS468" s="16" t="s">
        <v>231</v>
      </c>
      <c r="AT468" s="180"/>
      <c r="AU468" s="180"/>
      <c r="AV468" s="180"/>
      <c r="AW468" s="180"/>
      <c r="AX468" s="12" t="str">
        <f t="shared" si="24"/>
        <v/>
      </c>
      <c r="AY468" s="12" t="str">
        <f t="shared" si="25"/>
        <v/>
      </c>
      <c r="AZ468" s="18"/>
      <c r="BA468" s="19"/>
      <c r="BB468" s="19"/>
      <c r="BC468" s="19"/>
      <c r="BD468" s="19"/>
      <c r="BE468" s="19"/>
      <c r="BF468" s="19"/>
      <c r="BG468" s="19"/>
      <c r="BH468" s="19"/>
      <c r="BI468" s="19"/>
      <c r="BJ468" s="19"/>
      <c r="BK468" s="19"/>
    </row>
    <row r="469" spans="1:63" ht="20.100000000000001" hidden="1" customHeight="1" x14ac:dyDescent="0.2">
      <c r="A469" s="13">
        <v>466</v>
      </c>
      <c r="B469" s="16" t="s">
        <v>4253</v>
      </c>
      <c r="C469" s="16"/>
      <c r="D469" s="180" t="s">
        <v>2680</v>
      </c>
      <c r="E469" s="180" t="s">
        <v>20</v>
      </c>
      <c r="F469" s="180" t="s">
        <v>202</v>
      </c>
      <c r="G469" s="180"/>
      <c r="H469" s="181" t="s">
        <v>83</v>
      </c>
      <c r="I469" s="181"/>
      <c r="J469" s="181"/>
      <c r="K469" s="181"/>
      <c r="L469" s="181"/>
      <c r="M469" s="181"/>
      <c r="N469" s="181"/>
      <c r="O469" s="16" t="s">
        <v>84</v>
      </c>
      <c r="P469" s="180"/>
      <c r="Q469" s="180" t="s">
        <v>155</v>
      </c>
      <c r="R469" s="180"/>
      <c r="S469" s="180" t="s">
        <v>119</v>
      </c>
      <c r="T469" s="181" t="s">
        <v>107</v>
      </c>
      <c r="U469" s="180"/>
      <c r="V469" s="180" t="s">
        <v>3679</v>
      </c>
      <c r="W469" s="180" t="s">
        <v>718</v>
      </c>
      <c r="X469" s="180"/>
      <c r="Y469" s="190" t="s">
        <v>119</v>
      </c>
      <c r="Z469" s="189" t="s">
        <v>107</v>
      </c>
      <c r="AA469" s="181" t="s">
        <v>4258</v>
      </c>
      <c r="AB469" s="181"/>
      <c r="AC469" s="181"/>
      <c r="AD469" s="181"/>
      <c r="AE469" s="16">
        <v>210</v>
      </c>
      <c r="AF469" s="16"/>
      <c r="AG469" s="16"/>
      <c r="AH469" s="16"/>
      <c r="AI469" s="16"/>
      <c r="AJ469" s="16"/>
      <c r="AK469" s="16"/>
      <c r="AL469" s="16">
        <v>6</v>
      </c>
      <c r="AM469" s="16"/>
      <c r="AN469" s="181"/>
      <c r="AO469" s="180"/>
      <c r="AP469" s="25"/>
      <c r="AQ469" s="181"/>
      <c r="AR469" s="16" t="s">
        <v>160</v>
      </c>
      <c r="AS469" s="16" t="s">
        <v>165</v>
      </c>
      <c r="AT469" s="180" t="s">
        <v>113</v>
      </c>
      <c r="AU469" s="180" t="s">
        <v>116</v>
      </c>
      <c r="AV469" s="180" t="s">
        <v>136</v>
      </c>
      <c r="AW469" s="180" t="s">
        <v>260</v>
      </c>
      <c r="AX469" s="12">
        <f t="shared" si="24"/>
        <v>23</v>
      </c>
      <c r="AY469" s="12" t="str">
        <f t="shared" si="25"/>
        <v/>
      </c>
      <c r="AZ469" s="18"/>
      <c r="BA469" s="19"/>
      <c r="BB469" s="19"/>
      <c r="BC469" s="19"/>
      <c r="BD469" s="19"/>
      <c r="BE469" s="19"/>
      <c r="BF469" s="19"/>
      <c r="BG469" s="19"/>
      <c r="BH469" s="19"/>
      <c r="BI469" s="19"/>
      <c r="BJ469" s="19"/>
      <c r="BK469" s="19"/>
    </row>
    <row r="470" spans="1:63" ht="20.100000000000001" hidden="1" customHeight="1" x14ac:dyDescent="0.2">
      <c r="A470" s="13">
        <v>467</v>
      </c>
      <c r="B470" s="16" t="s">
        <v>4256</v>
      </c>
      <c r="C470" s="16"/>
      <c r="D470" s="180" t="s">
        <v>2780</v>
      </c>
      <c r="E470" s="180" t="s">
        <v>9</v>
      </c>
      <c r="F470" s="180" t="s">
        <v>185</v>
      </c>
      <c r="G470" s="180"/>
      <c r="H470" s="181" t="s">
        <v>83</v>
      </c>
      <c r="I470" s="181"/>
      <c r="J470" s="181"/>
      <c r="K470" s="181"/>
      <c r="L470" s="181"/>
      <c r="M470" s="181"/>
      <c r="N470" s="181"/>
      <c r="O470" s="16" t="s">
        <v>84</v>
      </c>
      <c r="P470" s="180"/>
      <c r="Q470" s="180" t="s">
        <v>334</v>
      </c>
      <c r="R470" s="180"/>
      <c r="S470" s="180" t="s">
        <v>69</v>
      </c>
      <c r="T470" s="181" t="s">
        <v>70</v>
      </c>
      <c r="U470" s="180"/>
      <c r="V470" s="180" t="s">
        <v>1809</v>
      </c>
      <c r="W470" s="180" t="s">
        <v>260</v>
      </c>
      <c r="X470" s="180"/>
      <c r="Y470" s="180" t="s">
        <v>119</v>
      </c>
      <c r="Z470" s="180" t="s">
        <v>107</v>
      </c>
      <c r="AA470" s="181" t="s">
        <v>4259</v>
      </c>
      <c r="AB470" s="181"/>
      <c r="AC470" s="181"/>
      <c r="AD470" s="181"/>
      <c r="AE470" s="16">
        <v>186</v>
      </c>
      <c r="AF470" s="16"/>
      <c r="AG470" s="16"/>
      <c r="AH470" s="16"/>
      <c r="AI470" s="16"/>
      <c r="AJ470" s="16"/>
      <c r="AK470" s="16"/>
      <c r="AL470" s="16"/>
      <c r="AM470" s="16"/>
      <c r="AN470" s="181"/>
      <c r="AO470" s="180"/>
      <c r="AP470" s="25"/>
      <c r="AQ470" s="181"/>
      <c r="AR470" s="16"/>
      <c r="AS470" s="16"/>
      <c r="AT470" s="180" t="s">
        <v>113</v>
      </c>
      <c r="AU470" s="180" t="s">
        <v>116</v>
      </c>
      <c r="AV470" s="180" t="s">
        <v>208</v>
      </c>
      <c r="AW470" s="180" t="s">
        <v>148</v>
      </c>
      <c r="AX470" s="12">
        <f t="shared" si="24"/>
        <v>39</v>
      </c>
      <c r="AY470" s="12" t="str">
        <f t="shared" si="25"/>
        <v/>
      </c>
      <c r="AZ470" s="18"/>
      <c r="BA470" s="19"/>
      <c r="BB470" s="19"/>
      <c r="BC470" s="19"/>
      <c r="BD470" s="19"/>
      <c r="BE470" s="19"/>
      <c r="BF470" s="19"/>
      <c r="BG470" s="19"/>
      <c r="BH470" s="19"/>
      <c r="BI470" s="19"/>
      <c r="BJ470" s="19"/>
      <c r="BK470" s="19"/>
    </row>
    <row r="471" spans="1:63" ht="20.100000000000001" hidden="1" customHeight="1" x14ac:dyDescent="0.2">
      <c r="A471" s="13">
        <v>468</v>
      </c>
      <c r="B471" s="16" t="s">
        <v>4256</v>
      </c>
      <c r="C471" s="16"/>
      <c r="D471" s="188" t="s">
        <v>2780</v>
      </c>
      <c r="E471" s="180" t="s">
        <v>9</v>
      </c>
      <c r="F471" s="180"/>
      <c r="G471" s="180"/>
      <c r="H471" s="181" t="s">
        <v>7</v>
      </c>
      <c r="I471" s="181"/>
      <c r="J471" s="181"/>
      <c r="K471" s="181"/>
      <c r="L471" s="181"/>
      <c r="M471" s="181"/>
      <c r="N471" s="181"/>
      <c r="O471" s="16" t="s">
        <v>84</v>
      </c>
      <c r="P471" s="180" t="s">
        <v>334</v>
      </c>
      <c r="Q471" s="180" t="s">
        <v>334</v>
      </c>
      <c r="R471" s="180"/>
      <c r="S471" s="180" t="s">
        <v>69</v>
      </c>
      <c r="T471" s="181" t="s">
        <v>70</v>
      </c>
      <c r="U471" s="180" t="s">
        <v>224</v>
      </c>
      <c r="V471" s="180" t="s">
        <v>1809</v>
      </c>
      <c r="W471" s="180" t="s">
        <v>260</v>
      </c>
      <c r="X471" s="180"/>
      <c r="Y471" s="188" t="s">
        <v>106</v>
      </c>
      <c r="Z471" s="188" t="s">
        <v>107</v>
      </c>
      <c r="AA471" s="181"/>
      <c r="AB471" s="181"/>
      <c r="AC471" s="181">
        <v>200</v>
      </c>
      <c r="AD471" s="181">
        <v>186</v>
      </c>
      <c r="AE471" s="16">
        <v>186</v>
      </c>
      <c r="AF471" s="16"/>
      <c r="AG471" s="16">
        <v>132</v>
      </c>
      <c r="AH471" s="16">
        <v>10</v>
      </c>
      <c r="AI471" s="16">
        <v>20</v>
      </c>
      <c r="AJ471" s="16"/>
      <c r="AK471" s="16"/>
      <c r="AL471" s="16">
        <v>4</v>
      </c>
      <c r="AM471" s="16"/>
      <c r="AN471" s="181"/>
      <c r="AO471" s="180"/>
      <c r="AP471" s="25"/>
      <c r="AQ471" s="181"/>
      <c r="AR471" s="16" t="s">
        <v>111</v>
      </c>
      <c r="AS471" s="16" t="s">
        <v>231</v>
      </c>
      <c r="AT471" s="180"/>
      <c r="AU471" s="180"/>
      <c r="AV471" s="180"/>
      <c r="AW471" s="180"/>
      <c r="AX471" s="12" t="str">
        <f t="shared" si="24"/>
        <v/>
      </c>
      <c r="AY471" s="12" t="str">
        <f t="shared" si="25"/>
        <v/>
      </c>
      <c r="AZ471" s="18"/>
      <c r="BA471" s="19"/>
      <c r="BB471" s="19"/>
      <c r="BC471" s="19"/>
      <c r="BD471" s="19"/>
      <c r="BE471" s="19"/>
      <c r="BF471" s="19"/>
      <c r="BG471" s="19"/>
      <c r="BH471" s="19"/>
      <c r="BI471" s="19"/>
      <c r="BJ471" s="19"/>
      <c r="BK471" s="19"/>
    </row>
    <row r="472" spans="1:63" ht="20.100000000000001" hidden="1" customHeight="1" x14ac:dyDescent="0.2">
      <c r="A472" s="13">
        <v>469</v>
      </c>
      <c r="B472" s="16" t="s">
        <v>4260</v>
      </c>
      <c r="C472" s="16"/>
      <c r="D472" s="180" t="s">
        <v>2680</v>
      </c>
      <c r="E472" s="180" t="s">
        <v>20</v>
      </c>
      <c r="F472" s="180"/>
      <c r="G472" s="180"/>
      <c r="H472" s="181" t="s">
        <v>7</v>
      </c>
      <c r="I472" s="181"/>
      <c r="J472" s="181"/>
      <c r="K472" s="181"/>
      <c r="L472" s="181"/>
      <c r="M472" s="181"/>
      <c r="N472" s="181"/>
      <c r="O472" s="16" t="s">
        <v>84</v>
      </c>
      <c r="P472" s="180" t="s">
        <v>155</v>
      </c>
      <c r="Q472" s="180" t="s">
        <v>155</v>
      </c>
      <c r="R472" s="180" t="s">
        <v>4257</v>
      </c>
      <c r="S472" s="180" t="s">
        <v>106</v>
      </c>
      <c r="T472" s="181" t="s">
        <v>107</v>
      </c>
      <c r="U472" s="35" t="s">
        <v>324</v>
      </c>
      <c r="V472" s="35" t="s">
        <v>3677</v>
      </c>
      <c r="W472" s="35" t="s">
        <v>718</v>
      </c>
      <c r="X472" s="180" t="s">
        <v>3427</v>
      </c>
      <c r="Y472" s="180" t="s">
        <v>106</v>
      </c>
      <c r="Z472" s="180" t="s">
        <v>107</v>
      </c>
      <c r="AA472" s="181"/>
      <c r="AB472" s="181"/>
      <c r="AC472" s="181">
        <v>220</v>
      </c>
      <c r="AD472" s="181">
        <v>210</v>
      </c>
      <c r="AE472" s="16">
        <v>210</v>
      </c>
      <c r="AF472" s="16">
        <v>110</v>
      </c>
      <c r="AG472" s="16">
        <v>182</v>
      </c>
      <c r="AH472" s="16">
        <v>2</v>
      </c>
      <c r="AI472" s="16">
        <v>43</v>
      </c>
      <c r="AJ472" s="16">
        <v>227</v>
      </c>
      <c r="AK472" s="16">
        <v>16.600000000000001</v>
      </c>
      <c r="AL472" s="16">
        <v>6</v>
      </c>
      <c r="AM472" s="162" t="s">
        <v>4286</v>
      </c>
      <c r="AN472" s="33" t="s">
        <v>158</v>
      </c>
      <c r="AO472" s="180"/>
      <c r="AP472" s="25"/>
      <c r="AQ472" s="181"/>
      <c r="AR472" s="16" t="s">
        <v>160</v>
      </c>
      <c r="AS472" s="16" t="s">
        <v>165</v>
      </c>
      <c r="AT472" s="180"/>
      <c r="AU472" s="180"/>
      <c r="AV472" s="180"/>
      <c r="AW472" s="180"/>
      <c r="AX472" s="12" t="str">
        <f t="shared" si="24"/>
        <v/>
      </c>
      <c r="AY472" s="12" t="str">
        <f t="shared" si="25"/>
        <v/>
      </c>
      <c r="AZ472" s="18"/>
      <c r="BA472" s="19"/>
      <c r="BB472" s="19"/>
      <c r="BC472" s="19"/>
      <c r="BD472" s="19"/>
      <c r="BE472" s="19"/>
      <c r="BF472" s="19"/>
      <c r="BG472" s="19"/>
      <c r="BH472" s="19"/>
      <c r="BI472" s="19"/>
      <c r="BJ472" s="19"/>
      <c r="BK472" s="19"/>
    </row>
    <row r="473" spans="1:63" s="21" customFormat="1" ht="20.100000000000001" hidden="1" customHeight="1" x14ac:dyDescent="0.2">
      <c r="A473" s="20">
        <v>470</v>
      </c>
      <c r="B473" s="29" t="s">
        <v>4268</v>
      </c>
      <c r="C473" s="16"/>
      <c r="D473" s="30" t="s">
        <v>3935</v>
      </c>
      <c r="E473" s="30" t="s">
        <v>20</v>
      </c>
      <c r="F473" s="30" t="s">
        <v>94</v>
      </c>
      <c r="G473" s="180"/>
      <c r="H473" s="20" t="s">
        <v>83</v>
      </c>
      <c r="I473" s="181"/>
      <c r="J473" s="181"/>
      <c r="K473" s="181"/>
      <c r="L473" s="181"/>
      <c r="M473" s="181"/>
      <c r="N473" s="181"/>
      <c r="O473" s="29" t="s">
        <v>84</v>
      </c>
      <c r="P473" s="30"/>
      <c r="Q473" s="30" t="s">
        <v>155</v>
      </c>
      <c r="R473" s="30" t="s">
        <v>3956</v>
      </c>
      <c r="S473" s="30" t="s">
        <v>69</v>
      </c>
      <c r="T473" s="20" t="s">
        <v>70</v>
      </c>
      <c r="U473" s="30"/>
      <c r="V473" s="30" t="s">
        <v>3679</v>
      </c>
      <c r="W473" s="30" t="s">
        <v>441</v>
      </c>
      <c r="X473" s="30" t="s">
        <v>3957</v>
      </c>
      <c r="Y473" s="30" t="s">
        <v>106</v>
      </c>
      <c r="Z473" s="30" t="s">
        <v>107</v>
      </c>
      <c r="AA473" s="20" t="s">
        <v>3946</v>
      </c>
      <c r="AB473" s="20"/>
      <c r="AC473" s="20"/>
      <c r="AD473" s="20"/>
      <c r="AE473" s="29">
        <v>210</v>
      </c>
      <c r="AF473" s="29"/>
      <c r="AG473" s="29"/>
      <c r="AH473" s="29"/>
      <c r="AI473" s="29"/>
      <c r="AJ473" s="29"/>
      <c r="AK473" s="29"/>
      <c r="AL473" s="29">
        <v>6</v>
      </c>
      <c r="AM473" s="29"/>
      <c r="AN473" s="20"/>
      <c r="AO473" s="30"/>
      <c r="AP473" s="36"/>
      <c r="AQ473" s="20"/>
      <c r="AR473" s="29" t="s">
        <v>160</v>
      </c>
      <c r="AS473" s="29" t="s">
        <v>193</v>
      </c>
      <c r="AT473" s="30" t="s">
        <v>113</v>
      </c>
      <c r="AU473" s="30" t="s">
        <v>116</v>
      </c>
      <c r="AV473" s="30" t="s">
        <v>113</v>
      </c>
      <c r="AW473" s="30" t="s">
        <v>148</v>
      </c>
      <c r="AX473" s="31">
        <f t="shared" si="24"/>
        <v>3</v>
      </c>
      <c r="AY473" s="31">
        <f t="shared" si="25"/>
        <v>3</v>
      </c>
      <c r="AZ473" s="32" t="s">
        <v>4269</v>
      </c>
    </row>
    <row r="474" spans="1:63" ht="20.100000000000001" hidden="1" customHeight="1" x14ac:dyDescent="0.2">
      <c r="A474" s="13">
        <v>471</v>
      </c>
      <c r="B474" s="16" t="s">
        <v>4270</v>
      </c>
      <c r="C474" s="16"/>
      <c r="D474" s="180" t="s">
        <v>4212</v>
      </c>
      <c r="E474" s="180" t="s">
        <v>243</v>
      </c>
      <c r="F474" s="180"/>
      <c r="G474" s="180"/>
      <c r="H474" s="181" t="s">
        <v>7</v>
      </c>
      <c r="I474" s="181"/>
      <c r="J474" s="181"/>
      <c r="K474" s="181"/>
      <c r="L474" s="181"/>
      <c r="M474" s="181"/>
      <c r="N474" s="181"/>
      <c r="O474" s="16" t="s">
        <v>92</v>
      </c>
      <c r="P474" s="35" t="s">
        <v>117</v>
      </c>
      <c r="Q474" s="35" t="s">
        <v>140</v>
      </c>
      <c r="R474" s="180" t="s">
        <v>4271</v>
      </c>
      <c r="S474" s="180" t="s">
        <v>106</v>
      </c>
      <c r="T474" s="181" t="s">
        <v>107</v>
      </c>
      <c r="U474" s="35" t="s">
        <v>120</v>
      </c>
      <c r="V474" s="35" t="s">
        <v>2961</v>
      </c>
      <c r="W474" s="35" t="s">
        <v>144</v>
      </c>
      <c r="X474" s="180" t="s">
        <v>4272</v>
      </c>
      <c r="Y474" s="180" t="s">
        <v>73</v>
      </c>
      <c r="Z474" s="180" t="s">
        <v>70</v>
      </c>
      <c r="AA474" s="181">
        <v>0</v>
      </c>
      <c r="AB474" s="181"/>
      <c r="AC474" s="181">
        <v>193</v>
      </c>
      <c r="AD474" s="33">
        <v>150</v>
      </c>
      <c r="AE474" s="34">
        <v>180</v>
      </c>
      <c r="AF474" s="16">
        <v>59</v>
      </c>
      <c r="AG474" s="16">
        <v>143</v>
      </c>
      <c r="AH474" s="16">
        <v>1</v>
      </c>
      <c r="AI474" s="16">
        <v>36</v>
      </c>
      <c r="AJ474" s="16">
        <v>180</v>
      </c>
      <c r="AK474" s="16">
        <v>10.8</v>
      </c>
      <c r="AL474" s="16">
        <v>6</v>
      </c>
      <c r="AM474" s="162" t="s">
        <v>4283</v>
      </c>
      <c r="AN474" s="33" t="s">
        <v>158</v>
      </c>
      <c r="AO474" s="180"/>
      <c r="AP474" s="25"/>
      <c r="AQ474" s="181"/>
      <c r="AR474" s="16" t="s">
        <v>111</v>
      </c>
      <c r="AS474" s="16" t="s">
        <v>112</v>
      </c>
      <c r="AT474" s="180"/>
      <c r="AU474" s="180"/>
      <c r="AV474" s="180"/>
      <c r="AW474" s="180"/>
      <c r="AX474" s="12" t="str">
        <f t="shared" si="24"/>
        <v/>
      </c>
      <c r="AY474" s="12" t="str">
        <f t="shared" si="25"/>
        <v/>
      </c>
      <c r="AZ474" s="18"/>
      <c r="BA474" s="19"/>
      <c r="BB474" s="19"/>
      <c r="BC474" s="19"/>
      <c r="BD474" s="19"/>
      <c r="BE474" s="19"/>
      <c r="BF474" s="19"/>
      <c r="BG474" s="19"/>
      <c r="BH474" s="19"/>
      <c r="BI474" s="19"/>
      <c r="BJ474" s="19"/>
      <c r="BK474" s="19"/>
    </row>
    <row r="475" spans="1:63" ht="20.100000000000001" hidden="1" customHeight="1" x14ac:dyDescent="0.2">
      <c r="A475" s="13">
        <v>472</v>
      </c>
      <c r="B475" s="16" t="s">
        <v>4273</v>
      </c>
      <c r="C475" s="16"/>
      <c r="D475" s="180" t="s">
        <v>4178</v>
      </c>
      <c r="E475" s="180" t="s">
        <v>6</v>
      </c>
      <c r="F475" s="180"/>
      <c r="G475" s="180"/>
      <c r="H475" s="181" t="s">
        <v>7</v>
      </c>
      <c r="I475" s="181"/>
      <c r="J475" s="181"/>
      <c r="K475" s="181"/>
      <c r="L475" s="181"/>
      <c r="M475" s="181"/>
      <c r="N475" s="181"/>
      <c r="O475" s="16" t="s">
        <v>92</v>
      </c>
      <c r="P475" s="180" t="s">
        <v>218</v>
      </c>
      <c r="Q475" s="180" t="s">
        <v>218</v>
      </c>
      <c r="R475" s="180" t="s">
        <v>4277</v>
      </c>
      <c r="S475" s="180" t="s">
        <v>262</v>
      </c>
      <c r="T475" s="181" t="s">
        <v>70</v>
      </c>
      <c r="U475" s="35" t="s">
        <v>968</v>
      </c>
      <c r="V475" s="35" t="s">
        <v>3679</v>
      </c>
      <c r="W475" s="35" t="s">
        <v>260</v>
      </c>
      <c r="X475" s="180" t="s">
        <v>4278</v>
      </c>
      <c r="Y475" s="180" t="s">
        <v>142</v>
      </c>
      <c r="Z475" s="180" t="s">
        <v>70</v>
      </c>
      <c r="AA475" s="181"/>
      <c r="AB475" s="181"/>
      <c r="AC475" s="181">
        <v>225</v>
      </c>
      <c r="AD475" s="181">
        <v>192</v>
      </c>
      <c r="AE475" s="16">
        <v>192</v>
      </c>
      <c r="AF475" s="16">
        <v>175</v>
      </c>
      <c r="AG475" s="16">
        <v>200</v>
      </c>
      <c r="AH475" s="16">
        <v>7</v>
      </c>
      <c r="AI475" s="16">
        <v>25</v>
      </c>
      <c r="AJ475" s="16">
        <v>232</v>
      </c>
      <c r="AK475" s="16">
        <v>24</v>
      </c>
      <c r="AL475" s="16">
        <v>6</v>
      </c>
      <c r="AM475" s="162" t="s">
        <v>4284</v>
      </c>
      <c r="AN475" s="33" t="s">
        <v>158</v>
      </c>
      <c r="AO475" s="180"/>
      <c r="AP475" s="25"/>
      <c r="AQ475" s="181"/>
      <c r="AR475" s="16" t="s">
        <v>111</v>
      </c>
      <c r="AS475" s="16" t="s">
        <v>193</v>
      </c>
      <c r="AT475" s="180"/>
      <c r="AU475" s="180"/>
      <c r="AV475" s="180"/>
      <c r="AW475" s="180"/>
      <c r="AX475" s="12" t="str">
        <f t="shared" si="24"/>
        <v/>
      </c>
      <c r="AY475" s="12" t="str">
        <f t="shared" si="25"/>
        <v/>
      </c>
      <c r="AZ475" s="18"/>
      <c r="BA475" s="19"/>
      <c r="BB475" s="19"/>
      <c r="BC475" s="19"/>
      <c r="BD475" s="19"/>
      <c r="BE475" s="19"/>
      <c r="BF475" s="19"/>
      <c r="BG475" s="19"/>
      <c r="BH475" s="19"/>
      <c r="BI475" s="19"/>
      <c r="BJ475" s="19"/>
      <c r="BK475" s="19"/>
    </row>
    <row r="476" spans="1:63" ht="20.100000000000001" hidden="1" customHeight="1" x14ac:dyDescent="0.2">
      <c r="A476" s="13">
        <v>473</v>
      </c>
      <c r="B476" s="16" t="s">
        <v>4273</v>
      </c>
      <c r="C476" s="16"/>
      <c r="D476" s="180" t="s">
        <v>3935</v>
      </c>
      <c r="E476" s="180" t="s">
        <v>20</v>
      </c>
      <c r="F476" s="180"/>
      <c r="G476" s="180"/>
      <c r="H476" s="181" t="s">
        <v>7</v>
      </c>
      <c r="I476" s="181"/>
      <c r="J476" s="181"/>
      <c r="K476" s="181"/>
      <c r="L476" s="181"/>
      <c r="M476" s="181"/>
      <c r="N476" s="181"/>
      <c r="O476" s="16" t="s">
        <v>84</v>
      </c>
      <c r="P476" s="180" t="s">
        <v>155</v>
      </c>
      <c r="Q476" s="180" t="s">
        <v>155</v>
      </c>
      <c r="R476" s="180" t="s">
        <v>3956</v>
      </c>
      <c r="S476" s="180" t="s">
        <v>369</v>
      </c>
      <c r="T476" s="181" t="s">
        <v>369</v>
      </c>
      <c r="U476" s="180" t="s">
        <v>167</v>
      </c>
      <c r="V476" s="180" t="s">
        <v>3679</v>
      </c>
      <c r="W476" s="180" t="s">
        <v>441</v>
      </c>
      <c r="X476" s="180" t="s">
        <v>4279</v>
      </c>
      <c r="Y476" s="180" t="s">
        <v>142</v>
      </c>
      <c r="Z476" s="180" t="s">
        <v>70</v>
      </c>
      <c r="AA476" s="181"/>
      <c r="AB476" s="181"/>
      <c r="AC476" s="181">
        <v>231</v>
      </c>
      <c r="AD476" s="181">
        <v>210</v>
      </c>
      <c r="AE476" s="16">
        <v>210</v>
      </c>
      <c r="AF476" s="16">
        <v>113</v>
      </c>
      <c r="AG476" s="16">
        <v>161</v>
      </c>
      <c r="AH476" s="16">
        <v>7</v>
      </c>
      <c r="AI476" s="16">
        <v>41</v>
      </c>
      <c r="AJ476" s="16">
        <v>209</v>
      </c>
      <c r="AK476" s="16">
        <v>24</v>
      </c>
      <c r="AL476" s="16">
        <v>6</v>
      </c>
      <c r="AM476" s="162" t="s">
        <v>4282</v>
      </c>
      <c r="AN476" s="181"/>
      <c r="AO476" s="180"/>
      <c r="AP476" s="25"/>
      <c r="AQ476" s="181"/>
      <c r="AR476" s="16" t="s">
        <v>160</v>
      </c>
      <c r="AS476" s="16" t="s">
        <v>193</v>
      </c>
      <c r="AT476" s="180"/>
      <c r="AU476" s="180"/>
      <c r="AV476" s="180"/>
      <c r="AW476" s="180"/>
      <c r="AX476" s="12" t="str">
        <f t="shared" si="24"/>
        <v/>
      </c>
      <c r="AY476" s="12" t="str">
        <f t="shared" si="25"/>
        <v/>
      </c>
      <c r="AZ476" s="18"/>
      <c r="BA476" s="19"/>
      <c r="BB476" s="19"/>
      <c r="BC476" s="19"/>
      <c r="BD476" s="19"/>
      <c r="BE476" s="19"/>
      <c r="BF476" s="19"/>
      <c r="BG476" s="19"/>
      <c r="BH476" s="19"/>
      <c r="BI476" s="19"/>
      <c r="BJ476" s="19"/>
      <c r="BK476" s="19"/>
    </row>
    <row r="477" spans="1:63" ht="20.100000000000001" hidden="1" customHeight="1" x14ac:dyDescent="0.2">
      <c r="A477" s="13">
        <v>474</v>
      </c>
      <c r="B477" s="16" t="s">
        <v>4274</v>
      </c>
      <c r="C477" s="16"/>
      <c r="D477" s="180" t="s">
        <v>4275</v>
      </c>
      <c r="E477" s="180" t="s">
        <v>19</v>
      </c>
      <c r="F477" s="180" t="s">
        <v>186</v>
      </c>
      <c r="G477" s="180"/>
      <c r="H477" s="181" t="s">
        <v>83</v>
      </c>
      <c r="I477" s="181"/>
      <c r="J477" s="181"/>
      <c r="K477" s="181"/>
      <c r="L477" s="181"/>
      <c r="M477" s="181"/>
      <c r="N477" s="181"/>
      <c r="O477" s="16" t="s">
        <v>92</v>
      </c>
      <c r="P477" s="180"/>
      <c r="Q477" s="180" t="s">
        <v>104</v>
      </c>
      <c r="R477" s="180" t="s">
        <v>3630</v>
      </c>
      <c r="S477" s="180" t="s">
        <v>262</v>
      </c>
      <c r="T477" s="181" t="s">
        <v>70</v>
      </c>
      <c r="U477" s="180"/>
      <c r="V477" s="180" t="s">
        <v>2245</v>
      </c>
      <c r="W477" s="180" t="s">
        <v>2258</v>
      </c>
      <c r="X477" s="180" t="s">
        <v>4349</v>
      </c>
      <c r="Y477" s="180" t="s">
        <v>69</v>
      </c>
      <c r="Z477" s="180" t="s">
        <v>70</v>
      </c>
      <c r="AA477" s="181" t="s">
        <v>4350</v>
      </c>
      <c r="AB477" s="181"/>
      <c r="AC477" s="181"/>
      <c r="AD477" s="181"/>
      <c r="AE477" s="16">
        <v>180</v>
      </c>
      <c r="AF477" s="16"/>
      <c r="AG477" s="16"/>
      <c r="AH477" s="16"/>
      <c r="AI477" s="16"/>
      <c r="AJ477" s="16"/>
      <c r="AK477" s="16"/>
      <c r="AL477" s="16">
        <v>4</v>
      </c>
      <c r="AM477" s="16"/>
      <c r="AN477" s="181"/>
      <c r="AO477" s="180"/>
      <c r="AP477" s="25"/>
      <c r="AQ477" s="181"/>
      <c r="AR477" s="16"/>
      <c r="AS477" s="16"/>
      <c r="AT477" s="180" t="s">
        <v>113</v>
      </c>
      <c r="AU477" s="180" t="s">
        <v>260</v>
      </c>
      <c r="AV477" s="180" t="s">
        <v>400</v>
      </c>
      <c r="AW477" s="180" t="s">
        <v>1247</v>
      </c>
      <c r="AX477" s="12">
        <f t="shared" si="24"/>
        <v>91</v>
      </c>
      <c r="AY477" s="12" t="str">
        <f t="shared" si="25"/>
        <v/>
      </c>
      <c r="AZ477" s="18"/>
      <c r="BA477" s="19"/>
      <c r="BB477" s="19"/>
      <c r="BC477" s="19"/>
      <c r="BD477" s="19"/>
      <c r="BE477" s="19"/>
      <c r="BF477" s="19"/>
      <c r="BG477" s="19"/>
      <c r="BH477" s="19"/>
      <c r="BI477" s="19"/>
      <c r="BJ477" s="19"/>
      <c r="BK477" s="19"/>
    </row>
    <row r="478" spans="1:63" ht="20.100000000000001" hidden="1" customHeight="1" x14ac:dyDescent="0.2">
      <c r="A478" s="13">
        <v>475</v>
      </c>
      <c r="B478" s="16" t="s">
        <v>4276</v>
      </c>
      <c r="C478" s="16"/>
      <c r="D478" s="180" t="s">
        <v>3559</v>
      </c>
      <c r="E478" s="180" t="s">
        <v>6</v>
      </c>
      <c r="F478" s="180"/>
      <c r="G478" s="180"/>
      <c r="H478" s="181" t="s">
        <v>7</v>
      </c>
      <c r="I478" s="181"/>
      <c r="J478" s="181"/>
      <c r="K478" s="181"/>
      <c r="L478" s="181"/>
      <c r="M478" s="181"/>
      <c r="N478" s="181"/>
      <c r="O478" s="16" t="s">
        <v>84</v>
      </c>
      <c r="P478" s="180" t="s">
        <v>155</v>
      </c>
      <c r="Q478" s="180" t="s">
        <v>155</v>
      </c>
      <c r="R478" s="180" t="s">
        <v>4280</v>
      </c>
      <c r="S478" s="180" t="s">
        <v>69</v>
      </c>
      <c r="T478" s="181" t="s">
        <v>70</v>
      </c>
      <c r="U478" s="35" t="s">
        <v>170</v>
      </c>
      <c r="V478" s="35" t="s">
        <v>3679</v>
      </c>
      <c r="W478" s="35" t="s">
        <v>441</v>
      </c>
      <c r="X478" s="180" t="s">
        <v>4281</v>
      </c>
      <c r="Y478" s="180" t="s">
        <v>142</v>
      </c>
      <c r="Z478" s="180" t="s">
        <v>70</v>
      </c>
      <c r="AA478" s="181"/>
      <c r="AB478" s="181"/>
      <c r="AC478" s="181">
        <v>210</v>
      </c>
      <c r="AD478" s="181">
        <v>198</v>
      </c>
      <c r="AE478" s="16">
        <v>198</v>
      </c>
      <c r="AF478" s="16">
        <v>130</v>
      </c>
      <c r="AG478" s="16">
        <v>161</v>
      </c>
      <c r="AH478" s="16">
        <v>7</v>
      </c>
      <c r="AI478" s="16">
        <v>43</v>
      </c>
      <c r="AJ478" s="16">
        <v>211</v>
      </c>
      <c r="AK478" s="16">
        <v>23</v>
      </c>
      <c r="AL478" s="16">
        <v>6</v>
      </c>
      <c r="AM478" s="162" t="s">
        <v>4285</v>
      </c>
      <c r="AN478" s="33" t="s">
        <v>158</v>
      </c>
      <c r="AO478" s="180"/>
      <c r="AP478" s="25"/>
      <c r="AQ478" s="181"/>
      <c r="AR478" s="16" t="s">
        <v>160</v>
      </c>
      <c r="AS478" s="16" t="s">
        <v>193</v>
      </c>
      <c r="AT478" s="180"/>
      <c r="AU478" s="180"/>
      <c r="AV478" s="180"/>
      <c r="AW478" s="180"/>
      <c r="AX478" s="12" t="str">
        <f t="shared" si="24"/>
        <v/>
      </c>
      <c r="AY478" s="12" t="str">
        <f t="shared" si="25"/>
        <v/>
      </c>
      <c r="AZ478" s="18"/>
      <c r="BA478" s="19"/>
      <c r="BB478" s="19"/>
      <c r="BC478" s="19"/>
      <c r="BD478" s="19"/>
      <c r="BE478" s="19"/>
      <c r="BF478" s="19"/>
      <c r="BG478" s="19"/>
      <c r="BH478" s="19"/>
      <c r="BI478" s="19"/>
      <c r="BJ478" s="19"/>
      <c r="BK478" s="19"/>
    </row>
    <row r="479" spans="1:63" ht="20.100000000000001" hidden="1" customHeight="1" x14ac:dyDescent="0.2">
      <c r="A479" s="13">
        <v>476</v>
      </c>
      <c r="B479" s="16" t="s">
        <v>4287</v>
      </c>
      <c r="C479" s="16"/>
      <c r="D479" s="180" t="s">
        <v>4288</v>
      </c>
      <c r="E479" s="180" t="s">
        <v>10</v>
      </c>
      <c r="F479" s="180" t="s">
        <v>1587</v>
      </c>
      <c r="G479" s="180"/>
      <c r="H479" s="181" t="s">
        <v>222</v>
      </c>
      <c r="I479" s="181"/>
      <c r="J479" s="181"/>
      <c r="K479" s="181"/>
      <c r="L479" s="181"/>
      <c r="M479" s="181"/>
      <c r="N479" s="181"/>
      <c r="O479" s="16" t="s">
        <v>84</v>
      </c>
      <c r="P479" s="180"/>
      <c r="Q479" s="180" t="s">
        <v>769</v>
      </c>
      <c r="R479" s="180" t="s">
        <v>1367</v>
      </c>
      <c r="S479" s="180" t="s">
        <v>69</v>
      </c>
      <c r="T479" s="181" t="s">
        <v>70</v>
      </c>
      <c r="U479" s="180"/>
      <c r="V479" s="180" t="s">
        <v>2325</v>
      </c>
      <c r="W479" s="180" t="s">
        <v>260</v>
      </c>
      <c r="X479" s="180" t="s">
        <v>1368</v>
      </c>
      <c r="Y479" s="180" t="s">
        <v>69</v>
      </c>
      <c r="Z479" s="180" t="s">
        <v>70</v>
      </c>
      <c r="AA479" s="181" t="s">
        <v>4348</v>
      </c>
      <c r="AB479" s="181"/>
      <c r="AC479" s="181"/>
      <c r="AD479" s="181"/>
      <c r="AE479" s="16">
        <v>186</v>
      </c>
      <c r="AF479" s="16"/>
      <c r="AG479" s="16"/>
      <c r="AH479" s="16"/>
      <c r="AI479" s="16"/>
      <c r="AJ479" s="16"/>
      <c r="AK479" s="16"/>
      <c r="AL479" s="16">
        <v>3</v>
      </c>
      <c r="AM479" s="16"/>
      <c r="AN479" s="181"/>
      <c r="AO479" s="180"/>
      <c r="AP479" s="25"/>
      <c r="AQ479" s="181"/>
      <c r="AR479" s="16"/>
      <c r="AS479" s="16"/>
      <c r="AT479" s="180" t="s">
        <v>113</v>
      </c>
      <c r="AU479" s="180" t="s">
        <v>260</v>
      </c>
      <c r="AV479" s="180" t="s">
        <v>115</v>
      </c>
      <c r="AW479" s="180" t="s">
        <v>148</v>
      </c>
      <c r="AX479" s="12">
        <f t="shared" si="24"/>
        <v>16</v>
      </c>
      <c r="AY479" s="12" t="str">
        <f t="shared" si="25"/>
        <v/>
      </c>
      <c r="AZ479" s="18"/>
      <c r="BA479" s="19"/>
      <c r="BB479" s="19"/>
      <c r="BC479" s="19"/>
      <c r="BD479" s="19"/>
      <c r="BE479" s="19"/>
      <c r="BF479" s="19"/>
      <c r="BG479" s="19"/>
      <c r="BH479" s="19"/>
      <c r="BI479" s="19"/>
      <c r="BJ479" s="19"/>
      <c r="BK479" s="19"/>
    </row>
    <row r="480" spans="1:63" ht="20.100000000000001" hidden="1" customHeight="1" x14ac:dyDescent="0.2">
      <c r="A480" s="13">
        <v>477</v>
      </c>
      <c r="B480" s="16" t="s">
        <v>4289</v>
      </c>
      <c r="C480" s="16"/>
      <c r="D480" s="180" t="s">
        <v>1563</v>
      </c>
      <c r="E480" s="180" t="s">
        <v>10</v>
      </c>
      <c r="F480" s="180" t="s">
        <v>185</v>
      </c>
      <c r="G480" s="180"/>
      <c r="H480" s="181" t="s">
        <v>83</v>
      </c>
      <c r="I480" s="181"/>
      <c r="J480" s="181"/>
      <c r="K480" s="181"/>
      <c r="L480" s="181"/>
      <c r="M480" s="181"/>
      <c r="N480" s="181"/>
      <c r="O480" s="16" t="s">
        <v>92</v>
      </c>
      <c r="P480" s="180"/>
      <c r="Q480" s="180" t="s">
        <v>334</v>
      </c>
      <c r="R480" s="180" t="s">
        <v>1564</v>
      </c>
      <c r="S480" s="180" t="s">
        <v>106</v>
      </c>
      <c r="T480" s="181" t="s">
        <v>107</v>
      </c>
      <c r="U480" s="180"/>
      <c r="V480" s="180" t="s">
        <v>2961</v>
      </c>
      <c r="W480" s="180" t="s">
        <v>260</v>
      </c>
      <c r="X480" s="180" t="s">
        <v>1565</v>
      </c>
      <c r="Y480" s="180" t="s">
        <v>73</v>
      </c>
      <c r="Z480" s="180" t="s">
        <v>70</v>
      </c>
      <c r="AA480" s="181" t="s">
        <v>4347</v>
      </c>
      <c r="AB480" s="181"/>
      <c r="AC480" s="181"/>
      <c r="AD480" s="181"/>
      <c r="AE480" s="16">
        <v>174</v>
      </c>
      <c r="AF480" s="16"/>
      <c r="AG480" s="16"/>
      <c r="AH480" s="16"/>
      <c r="AI480" s="16"/>
      <c r="AJ480" s="16"/>
      <c r="AK480" s="16"/>
      <c r="AL480" s="16">
        <v>4</v>
      </c>
      <c r="AM480" s="16"/>
      <c r="AN480" s="181"/>
      <c r="AO480" s="180"/>
      <c r="AP480" s="25"/>
      <c r="AQ480" s="181"/>
      <c r="AR480" s="16"/>
      <c r="AS480" s="16"/>
      <c r="AT480" s="180" t="s">
        <v>113</v>
      </c>
      <c r="AU480" s="180" t="s">
        <v>260</v>
      </c>
      <c r="AV480" s="180" t="s">
        <v>115</v>
      </c>
      <c r="AW480" s="180" t="s">
        <v>266</v>
      </c>
      <c r="AX480" s="12">
        <f t="shared" si="24"/>
        <v>15</v>
      </c>
      <c r="AY480" s="12" t="str">
        <f t="shared" si="25"/>
        <v/>
      </c>
      <c r="AZ480" s="18"/>
      <c r="BA480" s="19"/>
      <c r="BB480" s="19"/>
      <c r="BC480" s="19"/>
      <c r="BD480" s="19"/>
      <c r="BE480" s="19"/>
      <c r="BF480" s="19"/>
      <c r="BG480" s="19"/>
      <c r="BH480" s="19"/>
      <c r="BI480" s="19"/>
      <c r="BJ480" s="19"/>
      <c r="BK480" s="19"/>
    </row>
    <row r="481" spans="1:63" s="21" customFormat="1" ht="20.100000000000001" hidden="1" customHeight="1" x14ac:dyDescent="0.2">
      <c r="A481" s="20">
        <v>478</v>
      </c>
      <c r="B481" s="29" t="s">
        <v>4289</v>
      </c>
      <c r="C481" s="16"/>
      <c r="D481" s="30" t="s">
        <v>1586</v>
      </c>
      <c r="E481" s="30" t="s">
        <v>9</v>
      </c>
      <c r="F481" s="30" t="s">
        <v>202</v>
      </c>
      <c r="G481" s="180"/>
      <c r="H481" s="20" t="s">
        <v>83</v>
      </c>
      <c r="I481" s="181"/>
      <c r="J481" s="181"/>
      <c r="K481" s="181"/>
      <c r="L481" s="181"/>
      <c r="M481" s="181"/>
      <c r="N481" s="181"/>
      <c r="O481" s="29" t="s">
        <v>93</v>
      </c>
      <c r="P481" s="30"/>
      <c r="Q481" s="30" t="s">
        <v>155</v>
      </c>
      <c r="R481" s="30" t="s">
        <v>4076</v>
      </c>
      <c r="S481" s="30" t="s">
        <v>106</v>
      </c>
      <c r="T481" s="20" t="s">
        <v>107</v>
      </c>
      <c r="U481" s="30"/>
      <c r="V481" s="30" t="s">
        <v>3677</v>
      </c>
      <c r="W481" s="30" t="s">
        <v>718</v>
      </c>
      <c r="X481" s="30" t="s">
        <v>4077</v>
      </c>
      <c r="Y481" s="30" t="s">
        <v>262</v>
      </c>
      <c r="Z481" s="30" t="s">
        <v>70</v>
      </c>
      <c r="AA481" s="20" t="s">
        <v>4074</v>
      </c>
      <c r="AB481" s="20"/>
      <c r="AC481" s="20"/>
      <c r="AD481" s="20"/>
      <c r="AE481" s="29">
        <v>219</v>
      </c>
      <c r="AF481" s="29"/>
      <c r="AG481" s="29"/>
      <c r="AH481" s="29"/>
      <c r="AI481" s="29"/>
      <c r="AJ481" s="29"/>
      <c r="AK481" s="29"/>
      <c r="AL481" s="29">
        <v>6</v>
      </c>
      <c r="AM481" s="29"/>
      <c r="AN481" s="20"/>
      <c r="AO481" s="30"/>
      <c r="AP481" s="36"/>
      <c r="AQ481" s="20"/>
      <c r="AR481" s="29"/>
      <c r="AS481" s="29"/>
      <c r="AT481" s="30" t="s">
        <v>113</v>
      </c>
      <c r="AU481" s="30" t="s">
        <v>260</v>
      </c>
      <c r="AV481" s="30" t="s">
        <v>113</v>
      </c>
      <c r="AW481" s="30" t="s">
        <v>266</v>
      </c>
      <c r="AX481" s="31">
        <f t="shared" si="24"/>
        <v>3</v>
      </c>
      <c r="AY481" s="31">
        <f t="shared" si="25"/>
        <v>3</v>
      </c>
      <c r="AZ481" s="32"/>
    </row>
    <row r="482" spans="1:63" ht="20.100000000000001" hidden="1" customHeight="1" x14ac:dyDescent="0.2">
      <c r="A482" s="13">
        <v>479</v>
      </c>
      <c r="B482" s="16" t="s">
        <v>4289</v>
      </c>
      <c r="C482" s="16"/>
      <c r="D482" s="180" t="s">
        <v>4290</v>
      </c>
      <c r="E482" s="180" t="s">
        <v>10</v>
      </c>
      <c r="F482" s="180" t="s">
        <v>192</v>
      </c>
      <c r="G482" s="180"/>
      <c r="H482" s="181" t="s">
        <v>7</v>
      </c>
      <c r="I482" s="181"/>
      <c r="J482" s="181"/>
      <c r="K482" s="181"/>
      <c r="L482" s="181"/>
      <c r="M482" s="181"/>
      <c r="N482" s="181"/>
      <c r="O482" s="16" t="s">
        <v>3576</v>
      </c>
      <c r="P482" s="180" t="s">
        <v>429</v>
      </c>
      <c r="Q482" s="180" t="s">
        <v>155</v>
      </c>
      <c r="R482" s="180" t="s">
        <v>4313</v>
      </c>
      <c r="S482" s="180" t="s">
        <v>106</v>
      </c>
      <c r="T482" s="181" t="s">
        <v>107</v>
      </c>
      <c r="U482" s="180" t="s">
        <v>429</v>
      </c>
      <c r="V482" s="180" t="s">
        <v>3679</v>
      </c>
      <c r="W482" s="180" t="s">
        <v>718</v>
      </c>
      <c r="X482" s="180" t="s">
        <v>4314</v>
      </c>
      <c r="Y482" s="180" t="s">
        <v>106</v>
      </c>
      <c r="Z482" s="180" t="s">
        <v>107</v>
      </c>
      <c r="AA482" s="181">
        <v>0</v>
      </c>
      <c r="AB482" s="181"/>
      <c r="AC482" s="181">
        <v>228</v>
      </c>
      <c r="AD482" s="181">
        <v>0</v>
      </c>
      <c r="AE482" s="16">
        <v>216</v>
      </c>
      <c r="AF482" s="16">
        <v>144</v>
      </c>
      <c r="AG482" s="16">
        <v>167</v>
      </c>
      <c r="AH482" s="16">
        <v>7</v>
      </c>
      <c r="AI482" s="16">
        <v>10</v>
      </c>
      <c r="AJ482" s="16">
        <v>184</v>
      </c>
      <c r="AK482" s="16">
        <v>23</v>
      </c>
      <c r="AL482" s="16">
        <v>6</v>
      </c>
      <c r="AM482" s="16"/>
      <c r="AN482" s="181"/>
      <c r="AO482" s="180"/>
      <c r="AP482" s="25"/>
      <c r="AQ482" s="181"/>
      <c r="AR482" s="16" t="s">
        <v>160</v>
      </c>
      <c r="AS482" s="16" t="s">
        <v>165</v>
      </c>
      <c r="AT482" s="180"/>
      <c r="AU482" s="180"/>
      <c r="AV482" s="180"/>
      <c r="AW482" s="180"/>
      <c r="AX482" s="12" t="str">
        <f t="shared" si="24"/>
        <v/>
      </c>
      <c r="AY482" s="12" t="str">
        <f t="shared" si="25"/>
        <v/>
      </c>
      <c r="AZ482" s="18"/>
      <c r="BA482" s="19"/>
      <c r="BB482" s="19"/>
      <c r="BC482" s="19"/>
      <c r="BD482" s="19"/>
      <c r="BE482" s="19"/>
      <c r="BF482" s="19"/>
      <c r="BG482" s="19"/>
      <c r="BH482" s="19"/>
      <c r="BI482" s="19"/>
      <c r="BJ482" s="19"/>
      <c r="BK482" s="19"/>
    </row>
    <row r="483" spans="1:63" ht="20.100000000000001" hidden="1" customHeight="1" x14ac:dyDescent="0.2">
      <c r="A483" s="13">
        <v>480</v>
      </c>
      <c r="B483" s="16" t="s">
        <v>4291</v>
      </c>
      <c r="C483" s="16"/>
      <c r="D483" s="180" t="s">
        <v>1224</v>
      </c>
      <c r="E483" s="191" t="s">
        <v>10</v>
      </c>
      <c r="F483" s="180" t="s">
        <v>1587</v>
      </c>
      <c r="G483" s="180"/>
      <c r="H483" s="181" t="s">
        <v>83</v>
      </c>
      <c r="I483" s="181"/>
      <c r="J483" s="181"/>
      <c r="K483" s="181"/>
      <c r="L483" s="181"/>
      <c r="M483" s="181"/>
      <c r="N483" s="181"/>
      <c r="O483" s="16" t="s">
        <v>92</v>
      </c>
      <c r="P483" s="180"/>
      <c r="Q483" s="180" t="s">
        <v>141</v>
      </c>
      <c r="R483" s="180" t="s">
        <v>997</v>
      </c>
      <c r="S483" s="180" t="s">
        <v>106</v>
      </c>
      <c r="T483" s="181" t="s">
        <v>107</v>
      </c>
      <c r="U483" s="180"/>
      <c r="V483" s="180" t="s">
        <v>1809</v>
      </c>
      <c r="W483" s="180" t="s">
        <v>144</v>
      </c>
      <c r="X483" s="180" t="s">
        <v>4346</v>
      </c>
      <c r="Y483" s="180" t="s">
        <v>106</v>
      </c>
      <c r="Z483" s="180" t="s">
        <v>107</v>
      </c>
      <c r="AA483" s="181" t="s">
        <v>1840</v>
      </c>
      <c r="AB483" s="181"/>
      <c r="AC483" s="181"/>
      <c r="AD483" s="181"/>
      <c r="AE483" s="16">
        <v>186</v>
      </c>
      <c r="AF483" s="16"/>
      <c r="AG483" s="16"/>
      <c r="AH483" s="16"/>
      <c r="AI483" s="16"/>
      <c r="AJ483" s="16"/>
      <c r="AK483" s="16"/>
      <c r="AL483" s="16">
        <v>6</v>
      </c>
      <c r="AM483" s="16"/>
      <c r="AN483" s="181"/>
      <c r="AO483" s="180"/>
      <c r="AP483" s="25"/>
      <c r="AQ483" s="181"/>
      <c r="AR483" s="16"/>
      <c r="AS483" s="16"/>
      <c r="AT483" s="180" t="s">
        <v>113</v>
      </c>
      <c r="AU483" s="180" t="s">
        <v>260</v>
      </c>
      <c r="AV483" s="180" t="s">
        <v>115</v>
      </c>
      <c r="AW483" s="180" t="s">
        <v>266</v>
      </c>
      <c r="AX483" s="12">
        <f t="shared" si="24"/>
        <v>15</v>
      </c>
      <c r="AY483" s="12" t="str">
        <f t="shared" si="25"/>
        <v/>
      </c>
      <c r="AZ483" s="18"/>
      <c r="BA483" s="19"/>
      <c r="BB483" s="19"/>
      <c r="BC483" s="19"/>
      <c r="BD483" s="19"/>
      <c r="BE483" s="19"/>
      <c r="BF483" s="19"/>
      <c r="BG483" s="19"/>
      <c r="BH483" s="19"/>
      <c r="BI483" s="19"/>
      <c r="BJ483" s="19"/>
      <c r="BK483" s="19"/>
    </row>
    <row r="484" spans="1:63" ht="20.100000000000001" hidden="1" customHeight="1" x14ac:dyDescent="0.2">
      <c r="A484" s="13">
        <v>481</v>
      </c>
      <c r="B484" s="16" t="s">
        <v>4291</v>
      </c>
      <c r="C484" s="16"/>
      <c r="D484" s="180" t="s">
        <v>4292</v>
      </c>
      <c r="E484" s="180" t="s">
        <v>6</v>
      </c>
      <c r="F484" s="248" t="s">
        <v>94</v>
      </c>
      <c r="G484" s="180"/>
      <c r="H484" s="181" t="s">
        <v>83</v>
      </c>
      <c r="I484" s="181"/>
      <c r="J484" s="181"/>
      <c r="K484" s="181"/>
      <c r="L484" s="181"/>
      <c r="M484" s="181"/>
      <c r="N484" s="181"/>
      <c r="O484" s="16" t="s">
        <v>93</v>
      </c>
      <c r="P484" s="180"/>
      <c r="Q484" s="180" t="s">
        <v>155</v>
      </c>
      <c r="R484" s="180" t="s">
        <v>4343</v>
      </c>
      <c r="S484" s="180" t="s">
        <v>119</v>
      </c>
      <c r="T484" s="181" t="s">
        <v>107</v>
      </c>
      <c r="U484" s="180"/>
      <c r="V484" s="180" t="s">
        <v>3679</v>
      </c>
      <c r="W484" s="180" t="s">
        <v>718</v>
      </c>
      <c r="X484" s="180" t="s">
        <v>4344</v>
      </c>
      <c r="Y484" s="180" t="s">
        <v>119</v>
      </c>
      <c r="Z484" s="180" t="s">
        <v>107</v>
      </c>
      <c r="AA484" s="181" t="s">
        <v>4345</v>
      </c>
      <c r="AB484" s="181"/>
      <c r="AC484" s="181"/>
      <c r="AD484" s="181"/>
      <c r="AE484" s="16">
        <v>138</v>
      </c>
      <c r="AF484" s="16"/>
      <c r="AG484" s="16"/>
      <c r="AH484" s="16"/>
      <c r="AI484" s="16"/>
      <c r="AJ484" s="16"/>
      <c r="AK484" s="16"/>
      <c r="AL484" s="16">
        <v>6</v>
      </c>
      <c r="AM484" s="16"/>
      <c r="AN484" s="181"/>
      <c r="AO484" s="180"/>
      <c r="AP484" s="25"/>
      <c r="AQ484" s="181"/>
      <c r="AR484" s="16"/>
      <c r="AS484" s="16"/>
      <c r="AT484" s="180" t="s">
        <v>113</v>
      </c>
      <c r="AU484" s="180" t="s">
        <v>260</v>
      </c>
      <c r="AV484" s="180" t="s">
        <v>547</v>
      </c>
      <c r="AW484" s="180" t="s">
        <v>296</v>
      </c>
      <c r="AX484" s="12">
        <f t="shared" si="24"/>
        <v>82</v>
      </c>
      <c r="AY484" s="12" t="str">
        <f t="shared" si="25"/>
        <v/>
      </c>
      <c r="AZ484" s="18"/>
      <c r="BA484" s="19"/>
      <c r="BB484" s="19"/>
      <c r="BC484" s="19"/>
      <c r="BD484" s="19"/>
      <c r="BE484" s="19"/>
      <c r="BF484" s="19"/>
      <c r="BG484" s="19"/>
      <c r="BH484" s="19"/>
      <c r="BI484" s="19"/>
      <c r="BJ484" s="19"/>
      <c r="BK484" s="19"/>
    </row>
    <row r="485" spans="1:63" ht="20.100000000000001" hidden="1" customHeight="1" x14ac:dyDescent="0.2">
      <c r="A485" s="13">
        <v>482</v>
      </c>
      <c r="B485" s="16" t="s">
        <v>4291</v>
      </c>
      <c r="C485" s="16"/>
      <c r="D485" s="180" t="s">
        <v>4293</v>
      </c>
      <c r="E485" s="180" t="s">
        <v>20</v>
      </c>
      <c r="F485" s="180" t="s">
        <v>192</v>
      </c>
      <c r="G485" s="180"/>
      <c r="H485" s="181" t="s">
        <v>7</v>
      </c>
      <c r="I485" s="181"/>
      <c r="J485" s="181"/>
      <c r="K485" s="181"/>
      <c r="L485" s="181"/>
      <c r="M485" s="181"/>
      <c r="N485" s="181"/>
      <c r="O485" s="16" t="s">
        <v>3576</v>
      </c>
      <c r="P485" s="180" t="s">
        <v>429</v>
      </c>
      <c r="Q485" s="180" t="s">
        <v>155</v>
      </c>
      <c r="R485" s="180" t="s">
        <v>4315</v>
      </c>
      <c r="S485" s="180" t="s">
        <v>262</v>
      </c>
      <c r="T485" s="181" t="s">
        <v>70</v>
      </c>
      <c r="U485" s="180" t="s">
        <v>429</v>
      </c>
      <c r="V485" s="180" t="s">
        <v>3679</v>
      </c>
      <c r="W485" s="180" t="s">
        <v>441</v>
      </c>
      <c r="X485" s="180" t="s">
        <v>3957</v>
      </c>
      <c r="Y485" s="180" t="s">
        <v>106</v>
      </c>
      <c r="Z485" s="180" t="s">
        <v>107</v>
      </c>
      <c r="AA485" s="181"/>
      <c r="AB485" s="181"/>
      <c r="AC485" s="181">
        <v>220</v>
      </c>
      <c r="AD485" s="181">
        <v>0</v>
      </c>
      <c r="AE485" s="16">
        <v>204</v>
      </c>
      <c r="AF485" s="16">
        <v>108</v>
      </c>
      <c r="AG485" s="16">
        <v>141</v>
      </c>
      <c r="AH485" s="16">
        <v>7</v>
      </c>
      <c r="AI485" s="16">
        <v>45</v>
      </c>
      <c r="AJ485" s="16">
        <v>193</v>
      </c>
      <c r="AK485" s="16">
        <v>25</v>
      </c>
      <c r="AL485" s="16">
        <v>6</v>
      </c>
      <c r="AM485" s="16"/>
      <c r="AN485" s="181"/>
      <c r="AO485" s="180"/>
      <c r="AP485" s="25"/>
      <c r="AQ485" s="181"/>
      <c r="AR485" s="16" t="s">
        <v>160</v>
      </c>
      <c r="AS485" s="16" t="s">
        <v>165</v>
      </c>
      <c r="AT485" s="180"/>
      <c r="AU485" s="180"/>
      <c r="AV485" s="180"/>
      <c r="AW485" s="180"/>
      <c r="AX485" s="12" t="str">
        <f t="shared" si="24"/>
        <v/>
      </c>
      <c r="AY485" s="12" t="str">
        <f t="shared" si="25"/>
        <v/>
      </c>
      <c r="AZ485" s="18"/>
      <c r="BA485" s="19"/>
      <c r="BB485" s="19"/>
      <c r="BC485" s="19"/>
      <c r="BD485" s="19"/>
      <c r="BE485" s="19"/>
      <c r="BF485" s="19"/>
      <c r="BG485" s="19"/>
      <c r="BH485" s="19"/>
      <c r="BI485" s="19"/>
      <c r="BJ485" s="19"/>
      <c r="BK485" s="19"/>
    </row>
    <row r="486" spans="1:63" ht="20.100000000000001" hidden="1" customHeight="1" x14ac:dyDescent="0.2">
      <c r="A486" s="13">
        <v>483</v>
      </c>
      <c r="B486" s="16" t="s">
        <v>4294</v>
      </c>
      <c r="C486" s="16"/>
      <c r="D486" s="180" t="s">
        <v>4295</v>
      </c>
      <c r="E486" s="180" t="s">
        <v>10</v>
      </c>
      <c r="F486" s="180" t="s">
        <v>192</v>
      </c>
      <c r="G486" s="180"/>
      <c r="H486" s="181" t="s">
        <v>7</v>
      </c>
      <c r="I486" s="181"/>
      <c r="J486" s="181"/>
      <c r="K486" s="181"/>
      <c r="L486" s="181"/>
      <c r="M486" s="181"/>
      <c r="N486" s="181"/>
      <c r="O486" s="16" t="s">
        <v>92</v>
      </c>
      <c r="P486" s="180" t="s">
        <v>429</v>
      </c>
      <c r="Q486" s="180" t="s">
        <v>155</v>
      </c>
      <c r="R486" s="180" t="s">
        <v>4001</v>
      </c>
      <c r="S486" s="180" t="s">
        <v>106</v>
      </c>
      <c r="T486" s="181" t="s">
        <v>107</v>
      </c>
      <c r="U486" s="180" t="s">
        <v>429</v>
      </c>
      <c r="V486" s="180" t="s">
        <v>3679</v>
      </c>
      <c r="W486" s="180" t="s">
        <v>718</v>
      </c>
      <c r="X486" s="180" t="s">
        <v>4316</v>
      </c>
      <c r="Y486" s="180" t="s">
        <v>106</v>
      </c>
      <c r="Z486" s="180" t="s">
        <v>107</v>
      </c>
      <c r="AA486" s="181">
        <v>0</v>
      </c>
      <c r="AB486" s="181"/>
      <c r="AC486" s="181">
        <v>250</v>
      </c>
      <c r="AD486" s="181">
        <v>0</v>
      </c>
      <c r="AE486" s="16">
        <v>222</v>
      </c>
      <c r="AF486" s="16">
        <v>115</v>
      </c>
      <c r="AG486" s="16">
        <v>160</v>
      </c>
      <c r="AH486" s="16">
        <v>5</v>
      </c>
      <c r="AI486" s="16">
        <v>20</v>
      </c>
      <c r="AJ486" s="16">
        <v>185</v>
      </c>
      <c r="AK486" s="16">
        <v>23</v>
      </c>
      <c r="AL486" s="16">
        <v>6</v>
      </c>
      <c r="AM486" s="16"/>
      <c r="AN486" s="181"/>
      <c r="AO486" s="180"/>
      <c r="AP486" s="25"/>
      <c r="AQ486" s="181"/>
      <c r="AR486" s="16" t="s">
        <v>160</v>
      </c>
      <c r="AS486" s="16" t="s">
        <v>165</v>
      </c>
      <c r="AT486" s="180"/>
      <c r="AU486" s="180"/>
      <c r="AV486" s="180"/>
      <c r="AW486" s="180"/>
      <c r="AX486" s="12" t="str">
        <f t="shared" si="24"/>
        <v/>
      </c>
      <c r="AY486" s="12" t="str">
        <f t="shared" si="25"/>
        <v/>
      </c>
      <c r="AZ486" s="18"/>
      <c r="BA486" s="19"/>
      <c r="BB486" s="19"/>
      <c r="BC486" s="19"/>
      <c r="BD486" s="19"/>
      <c r="BE486" s="19"/>
      <c r="BF486" s="19"/>
      <c r="BG486" s="19"/>
      <c r="BH486" s="19"/>
      <c r="BI486" s="19"/>
      <c r="BJ486" s="19"/>
      <c r="BK486" s="19"/>
    </row>
    <row r="487" spans="1:63" ht="20.100000000000001" hidden="1" customHeight="1" x14ac:dyDescent="0.2">
      <c r="A487" s="13">
        <v>484</v>
      </c>
      <c r="B487" s="16" t="s">
        <v>4294</v>
      </c>
      <c r="C487" s="16"/>
      <c r="D487" s="180" t="s">
        <v>2992</v>
      </c>
      <c r="E487" s="180" t="s">
        <v>19</v>
      </c>
      <c r="F487" s="180" t="s">
        <v>922</v>
      </c>
      <c r="G487" s="180"/>
      <c r="H487" s="181" t="s">
        <v>83</v>
      </c>
      <c r="I487" s="181"/>
      <c r="J487" s="181"/>
      <c r="K487" s="181"/>
      <c r="L487" s="181"/>
      <c r="M487" s="181"/>
      <c r="N487" s="181"/>
      <c r="O487" s="16" t="s">
        <v>84</v>
      </c>
      <c r="P487" s="180"/>
      <c r="Q487" s="180" t="s">
        <v>141</v>
      </c>
      <c r="R487" s="180" t="s">
        <v>4340</v>
      </c>
      <c r="S487" s="180" t="s">
        <v>574</v>
      </c>
      <c r="T487" s="181" t="s">
        <v>107</v>
      </c>
      <c r="U487" s="180"/>
      <c r="V487" s="180" t="s">
        <v>3677</v>
      </c>
      <c r="W487" s="180" t="s">
        <v>458</v>
      </c>
      <c r="X487" s="180" t="s">
        <v>4341</v>
      </c>
      <c r="Y487" s="180" t="s">
        <v>262</v>
      </c>
      <c r="Z487" s="180" t="s">
        <v>70</v>
      </c>
      <c r="AA487" s="181" t="s">
        <v>4342</v>
      </c>
      <c r="AB487" s="181"/>
      <c r="AC487" s="181"/>
      <c r="AD487" s="181"/>
      <c r="AE487" s="16">
        <v>204</v>
      </c>
      <c r="AF487" s="16"/>
      <c r="AG487" s="16"/>
      <c r="AH487" s="16"/>
      <c r="AI487" s="16"/>
      <c r="AJ487" s="16"/>
      <c r="AK487" s="16"/>
      <c r="AL487" s="16">
        <v>6</v>
      </c>
      <c r="AM487" s="16"/>
      <c r="AN487" s="181"/>
      <c r="AO487" s="180"/>
      <c r="AP487" s="25"/>
      <c r="AQ487" s="181"/>
      <c r="AR487" s="16"/>
      <c r="AS487" s="16"/>
      <c r="AT487" s="180" t="s">
        <v>113</v>
      </c>
      <c r="AU487" s="180" t="s">
        <v>260</v>
      </c>
      <c r="AV487" s="180" t="s">
        <v>348</v>
      </c>
      <c r="AW487" s="180" t="s">
        <v>296</v>
      </c>
      <c r="AX487" s="12">
        <f t="shared" si="24"/>
        <v>58</v>
      </c>
      <c r="AY487" s="12" t="str">
        <f t="shared" si="25"/>
        <v/>
      </c>
      <c r="AZ487" s="18"/>
      <c r="BA487" s="19"/>
      <c r="BB487" s="19"/>
      <c r="BC487" s="19"/>
      <c r="BD487" s="19"/>
      <c r="BE487" s="19"/>
      <c r="BF487" s="19"/>
      <c r="BG487" s="19"/>
      <c r="BH487" s="19"/>
      <c r="BI487" s="19"/>
      <c r="BJ487" s="19"/>
      <c r="BK487" s="19"/>
    </row>
    <row r="488" spans="1:63" ht="20.100000000000001" hidden="1" customHeight="1" x14ac:dyDescent="0.2">
      <c r="A488" s="13">
        <v>485</v>
      </c>
      <c r="B488" s="16" t="s">
        <v>4296</v>
      </c>
      <c r="C488" s="16"/>
      <c r="D488" s="180" t="s">
        <v>4297</v>
      </c>
      <c r="E488" s="180" t="s">
        <v>66</v>
      </c>
      <c r="F488" s="180" t="s">
        <v>192</v>
      </c>
      <c r="G488" s="180"/>
      <c r="H488" s="181" t="s">
        <v>7</v>
      </c>
      <c r="I488" s="181"/>
      <c r="J488" s="181"/>
      <c r="K488" s="181"/>
      <c r="L488" s="181"/>
      <c r="M488" s="181"/>
      <c r="N488" s="181"/>
      <c r="O488" s="16" t="s">
        <v>92</v>
      </c>
      <c r="P488" s="180" t="s">
        <v>429</v>
      </c>
      <c r="Q488" s="180" t="s">
        <v>226</v>
      </c>
      <c r="R488" s="180"/>
      <c r="S488" s="180" t="s">
        <v>69</v>
      </c>
      <c r="T488" s="181" t="s">
        <v>70</v>
      </c>
      <c r="U488" s="180" t="s">
        <v>429</v>
      </c>
      <c r="V488" s="180" t="s">
        <v>1809</v>
      </c>
      <c r="W488" s="180" t="s">
        <v>485</v>
      </c>
      <c r="X488" s="180" t="s">
        <v>4317</v>
      </c>
      <c r="Y488" s="180" t="s">
        <v>142</v>
      </c>
      <c r="Z488" s="180" t="s">
        <v>70</v>
      </c>
      <c r="AA488" s="181"/>
      <c r="AB488" s="181"/>
      <c r="AC488" s="181">
        <v>129</v>
      </c>
      <c r="AD488" s="181">
        <v>0</v>
      </c>
      <c r="AE488" s="16">
        <v>120</v>
      </c>
      <c r="AF488" s="16">
        <v>66</v>
      </c>
      <c r="AG488" s="16">
        <v>75</v>
      </c>
      <c r="AH488" s="16">
        <v>1.5</v>
      </c>
      <c r="AI488" s="16">
        <v>20</v>
      </c>
      <c r="AJ488" s="16">
        <v>97</v>
      </c>
      <c r="AK488" s="16">
        <v>6</v>
      </c>
      <c r="AL488" s="16">
        <v>4</v>
      </c>
      <c r="AM488" s="16"/>
      <c r="AN488" s="181"/>
      <c r="AO488" s="180"/>
      <c r="AP488" s="25"/>
      <c r="AQ488" s="181"/>
      <c r="AR488" s="16" t="s">
        <v>160</v>
      </c>
      <c r="AS488" s="16" t="s">
        <v>1956</v>
      </c>
      <c r="AT488" s="180"/>
      <c r="AU488" s="180"/>
      <c r="AV488" s="180"/>
      <c r="AW488" s="180"/>
      <c r="AX488" s="12" t="str">
        <f t="shared" si="24"/>
        <v/>
      </c>
      <c r="AY488" s="12" t="str">
        <f t="shared" si="25"/>
        <v/>
      </c>
      <c r="AZ488" s="18"/>
      <c r="BA488" s="19"/>
      <c r="BB488" s="19"/>
      <c r="BC488" s="19"/>
      <c r="BD488" s="19"/>
      <c r="BE488" s="19"/>
      <c r="BF488" s="19"/>
      <c r="BG488" s="19"/>
      <c r="BH488" s="19"/>
      <c r="BI488" s="19"/>
      <c r="BJ488" s="19"/>
      <c r="BK488" s="19"/>
    </row>
    <row r="489" spans="1:63" ht="20.100000000000001" hidden="1" customHeight="1" x14ac:dyDescent="0.2">
      <c r="A489" s="13">
        <v>486</v>
      </c>
      <c r="B489" s="16" t="s">
        <v>4296</v>
      </c>
      <c r="C489" s="16"/>
      <c r="D489" s="180" t="s">
        <v>831</v>
      </c>
      <c r="E489" s="180" t="s">
        <v>10</v>
      </c>
      <c r="F489" s="180" t="s">
        <v>185</v>
      </c>
      <c r="G489" s="180"/>
      <c r="H489" s="181" t="s">
        <v>83</v>
      </c>
      <c r="I489" s="181"/>
      <c r="J489" s="181"/>
      <c r="K489" s="181"/>
      <c r="L489" s="181"/>
      <c r="M489" s="181"/>
      <c r="N489" s="181"/>
      <c r="O489" s="16" t="s">
        <v>84</v>
      </c>
      <c r="P489" s="180"/>
      <c r="Q489" s="180" t="s">
        <v>68</v>
      </c>
      <c r="R489" s="180" t="s">
        <v>832</v>
      </c>
      <c r="S489" s="180" t="s">
        <v>106</v>
      </c>
      <c r="T489" s="181" t="s">
        <v>107</v>
      </c>
      <c r="U489" s="180"/>
      <c r="V489" s="180" t="s">
        <v>3677</v>
      </c>
      <c r="W489" s="180" t="s">
        <v>485</v>
      </c>
      <c r="X489" s="180" t="s">
        <v>833</v>
      </c>
      <c r="Y489" s="180" t="s">
        <v>106</v>
      </c>
      <c r="Z489" s="180" t="s">
        <v>107</v>
      </c>
      <c r="AA489" s="181" t="s">
        <v>4339</v>
      </c>
      <c r="AB489" s="181"/>
      <c r="AC489" s="181"/>
      <c r="AD489" s="181"/>
      <c r="AE489" s="16">
        <v>192</v>
      </c>
      <c r="AF489" s="16"/>
      <c r="AG489" s="16"/>
      <c r="AH489" s="16"/>
      <c r="AI489" s="16"/>
      <c r="AJ489" s="16"/>
      <c r="AK489" s="16"/>
      <c r="AL489" s="16">
        <v>6</v>
      </c>
      <c r="AM489" s="16"/>
      <c r="AN489" s="181"/>
      <c r="AO489" s="180"/>
      <c r="AP489" s="25"/>
      <c r="AQ489" s="181"/>
      <c r="AR489" s="16"/>
      <c r="AS489" s="16"/>
      <c r="AT489" s="180" t="s">
        <v>113</v>
      </c>
      <c r="AU489" s="180" t="s">
        <v>260</v>
      </c>
      <c r="AV489" s="180" t="s">
        <v>115</v>
      </c>
      <c r="AW489" s="180" t="s">
        <v>124</v>
      </c>
      <c r="AX489" s="12">
        <f t="shared" si="24"/>
        <v>20</v>
      </c>
      <c r="AY489" s="12" t="str">
        <f t="shared" si="25"/>
        <v/>
      </c>
      <c r="AZ489" s="18"/>
      <c r="BA489" s="19"/>
      <c r="BB489" s="19"/>
      <c r="BC489" s="19"/>
      <c r="BD489" s="19"/>
      <c r="BE489" s="19"/>
      <c r="BF489" s="19"/>
      <c r="BG489" s="19"/>
      <c r="BH489" s="19"/>
      <c r="BI489" s="19"/>
      <c r="BJ489" s="19"/>
      <c r="BK489" s="19"/>
    </row>
    <row r="490" spans="1:63" ht="20.100000000000001" hidden="1" customHeight="1" x14ac:dyDescent="0.2">
      <c r="A490" s="13">
        <v>487</v>
      </c>
      <c r="B490" s="16" t="s">
        <v>4298</v>
      </c>
      <c r="C490" s="16"/>
      <c r="D490" s="180" t="s">
        <v>1067</v>
      </c>
      <c r="E490" s="180" t="s">
        <v>9</v>
      </c>
      <c r="F490" s="180"/>
      <c r="G490" s="180"/>
      <c r="H490" s="181" t="s">
        <v>7</v>
      </c>
      <c r="I490" s="181"/>
      <c r="J490" s="181"/>
      <c r="K490" s="181"/>
      <c r="L490" s="181"/>
      <c r="M490" s="181"/>
      <c r="N490" s="181"/>
      <c r="O490" s="16" t="s">
        <v>93</v>
      </c>
      <c r="P490" s="35" t="s">
        <v>155</v>
      </c>
      <c r="Q490" s="35" t="s">
        <v>218</v>
      </c>
      <c r="R490" s="180" t="s">
        <v>4318</v>
      </c>
      <c r="S490" s="180" t="s">
        <v>106</v>
      </c>
      <c r="T490" s="181" t="s">
        <v>107</v>
      </c>
      <c r="U490" s="35" t="s">
        <v>156</v>
      </c>
      <c r="V490" s="35" t="s">
        <v>3679</v>
      </c>
      <c r="W490" s="35" t="s">
        <v>116</v>
      </c>
      <c r="X490" s="180" t="s">
        <v>4319</v>
      </c>
      <c r="Y490" s="180" t="s">
        <v>106</v>
      </c>
      <c r="Z490" s="180" t="s">
        <v>107</v>
      </c>
      <c r="AA490" s="181"/>
      <c r="AB490" s="181"/>
      <c r="AC490" s="181">
        <v>225</v>
      </c>
      <c r="AD490" s="181">
        <v>210</v>
      </c>
      <c r="AE490" s="16">
        <v>210</v>
      </c>
      <c r="AF490" s="16">
        <v>149</v>
      </c>
      <c r="AG490" s="16">
        <v>164</v>
      </c>
      <c r="AH490" s="16">
        <v>7</v>
      </c>
      <c r="AI490" s="16">
        <v>40</v>
      </c>
      <c r="AJ490" s="16">
        <v>213</v>
      </c>
      <c r="AK490" s="16">
        <v>25</v>
      </c>
      <c r="AL490" s="16">
        <v>6</v>
      </c>
      <c r="AM490" s="16"/>
      <c r="AN490" s="33" t="s">
        <v>158</v>
      </c>
      <c r="AO490" s="180"/>
      <c r="AP490" s="25"/>
      <c r="AQ490" s="181"/>
      <c r="AR490" s="16" t="s">
        <v>160</v>
      </c>
      <c r="AS490" s="16"/>
      <c r="AT490" s="180"/>
      <c r="AU490" s="180"/>
      <c r="AV490" s="180"/>
      <c r="AW490" s="180"/>
      <c r="AX490" s="12" t="str">
        <f t="shared" si="24"/>
        <v/>
      </c>
      <c r="AY490" s="12" t="str">
        <f t="shared" si="25"/>
        <v/>
      </c>
      <c r="AZ490" s="18"/>
      <c r="BA490" s="19"/>
      <c r="BB490" s="19"/>
      <c r="BC490" s="19"/>
      <c r="BD490" s="19"/>
      <c r="BE490" s="19"/>
      <c r="BF490" s="19"/>
      <c r="BG490" s="19"/>
      <c r="BH490" s="19"/>
      <c r="BI490" s="19"/>
      <c r="BJ490" s="19"/>
      <c r="BK490" s="19"/>
    </row>
    <row r="491" spans="1:63" s="21" customFormat="1" ht="20.100000000000001" hidden="1" customHeight="1" x14ac:dyDescent="0.2">
      <c r="A491" s="20">
        <v>488</v>
      </c>
      <c r="B491" s="29" t="s">
        <v>4298</v>
      </c>
      <c r="C491" s="16"/>
      <c r="D491" s="30" t="s">
        <v>1739</v>
      </c>
      <c r="E491" s="30" t="s">
        <v>20</v>
      </c>
      <c r="F491" s="30" t="s">
        <v>922</v>
      </c>
      <c r="G491" s="180"/>
      <c r="H491" s="20" t="s">
        <v>83</v>
      </c>
      <c r="I491" s="181"/>
      <c r="J491" s="181"/>
      <c r="K491" s="181"/>
      <c r="L491" s="181"/>
      <c r="M491" s="181"/>
      <c r="N491" s="181"/>
      <c r="O491" s="29" t="s">
        <v>92</v>
      </c>
      <c r="P491" s="30"/>
      <c r="Q491" s="30" t="s">
        <v>141</v>
      </c>
      <c r="R491" s="30" t="s">
        <v>4335</v>
      </c>
      <c r="S491" s="30" t="s">
        <v>106</v>
      </c>
      <c r="T491" s="20" t="s">
        <v>107</v>
      </c>
      <c r="U491" s="30"/>
      <c r="V491" s="30" t="s">
        <v>2961</v>
      </c>
      <c r="W491" s="30" t="s">
        <v>2258</v>
      </c>
      <c r="X491" s="30" t="s">
        <v>4323</v>
      </c>
      <c r="Y491" s="30" t="s">
        <v>142</v>
      </c>
      <c r="Z491" s="30" t="s">
        <v>70</v>
      </c>
      <c r="AA491" s="20" t="s">
        <v>4150</v>
      </c>
      <c r="AB491" s="20"/>
      <c r="AC491" s="20"/>
      <c r="AD491" s="20"/>
      <c r="AE491" s="29">
        <v>192</v>
      </c>
      <c r="AF491" s="29"/>
      <c r="AG491" s="29"/>
      <c r="AH491" s="29"/>
      <c r="AI491" s="29"/>
      <c r="AJ491" s="29"/>
      <c r="AK491" s="29"/>
      <c r="AL491" s="29"/>
      <c r="AM491" s="29"/>
      <c r="AN491" s="20"/>
      <c r="AO491" s="30"/>
      <c r="AP491" s="36"/>
      <c r="AQ491" s="20"/>
      <c r="AR491" s="29" t="s">
        <v>160</v>
      </c>
      <c r="AS491" s="29" t="s">
        <v>112</v>
      </c>
      <c r="AT491" s="30" t="s">
        <v>113</v>
      </c>
      <c r="AU491" s="30" t="s">
        <v>260</v>
      </c>
      <c r="AV491" s="30" t="s">
        <v>113</v>
      </c>
      <c r="AW491" s="30" t="s">
        <v>441</v>
      </c>
      <c r="AX491" s="31">
        <f t="shared" si="24"/>
        <v>2</v>
      </c>
      <c r="AY491" s="31">
        <f t="shared" si="25"/>
        <v>2</v>
      </c>
      <c r="AZ491" s="32"/>
    </row>
    <row r="492" spans="1:63" ht="20.100000000000001" hidden="1" customHeight="1" x14ac:dyDescent="0.2">
      <c r="A492" s="13">
        <v>489</v>
      </c>
      <c r="B492" s="16" t="s">
        <v>4299</v>
      </c>
      <c r="C492" s="16"/>
      <c r="D492" s="180" t="s">
        <v>2794</v>
      </c>
      <c r="E492" s="180" t="s">
        <v>243</v>
      </c>
      <c r="F492" s="180"/>
      <c r="G492" s="180"/>
      <c r="H492" s="181" t="s">
        <v>7</v>
      </c>
      <c r="I492" s="181"/>
      <c r="J492" s="181"/>
      <c r="K492" s="181"/>
      <c r="L492" s="181"/>
      <c r="M492" s="181"/>
      <c r="N492" s="181"/>
      <c r="O492" s="16" t="s">
        <v>92</v>
      </c>
      <c r="P492" s="180" t="s">
        <v>140</v>
      </c>
      <c r="Q492" s="180" t="s">
        <v>140</v>
      </c>
      <c r="R492" s="180" t="s">
        <v>4320</v>
      </c>
      <c r="S492" s="193" t="s">
        <v>106</v>
      </c>
      <c r="T492" s="192" t="s">
        <v>107</v>
      </c>
      <c r="U492" s="35" t="s">
        <v>143</v>
      </c>
      <c r="V492" s="35" t="s">
        <v>1510</v>
      </c>
      <c r="W492" s="35" t="s">
        <v>116</v>
      </c>
      <c r="X492" s="180" t="s">
        <v>4321</v>
      </c>
      <c r="Y492" s="180" t="s">
        <v>73</v>
      </c>
      <c r="Z492" s="180" t="s">
        <v>70</v>
      </c>
      <c r="AA492" s="181"/>
      <c r="AB492" s="181"/>
      <c r="AC492" s="181"/>
      <c r="AD492" s="33">
        <v>102</v>
      </c>
      <c r="AE492" s="34">
        <v>96</v>
      </c>
      <c r="AF492" s="16"/>
      <c r="AG492" s="16">
        <v>76</v>
      </c>
      <c r="AH492" s="16">
        <v>2</v>
      </c>
      <c r="AI492" s="16">
        <v>30</v>
      </c>
      <c r="AJ492" s="16">
        <v>108</v>
      </c>
      <c r="AK492" s="16">
        <v>15</v>
      </c>
      <c r="AL492" s="16"/>
      <c r="AM492" s="16"/>
      <c r="AN492" s="33" t="s">
        <v>158</v>
      </c>
      <c r="AO492" s="180"/>
      <c r="AP492" s="25"/>
      <c r="AQ492" s="181"/>
      <c r="AR492" s="16"/>
      <c r="AS492" s="16"/>
      <c r="AT492" s="180"/>
      <c r="AU492" s="180"/>
      <c r="AV492" s="180"/>
      <c r="AW492" s="180"/>
      <c r="AX492" s="12" t="str">
        <f t="shared" si="24"/>
        <v/>
      </c>
      <c r="AY492" s="12" t="str">
        <f t="shared" si="25"/>
        <v/>
      </c>
      <c r="AZ492" s="18"/>
      <c r="BA492" s="19"/>
      <c r="BB492" s="19"/>
      <c r="BC492" s="19"/>
      <c r="BD492" s="19"/>
      <c r="BE492" s="19"/>
      <c r="BF492" s="19"/>
      <c r="BG492" s="19"/>
      <c r="BH492" s="19"/>
      <c r="BI492" s="19"/>
      <c r="BJ492" s="19"/>
      <c r="BK492" s="19"/>
    </row>
    <row r="493" spans="1:63" ht="20.100000000000001" hidden="1" customHeight="1" x14ac:dyDescent="0.2">
      <c r="A493" s="13">
        <v>490</v>
      </c>
      <c r="B493" s="16" t="s">
        <v>4300</v>
      </c>
      <c r="C493" s="16"/>
      <c r="D493" s="180" t="s">
        <v>4301</v>
      </c>
      <c r="E493" s="180" t="s">
        <v>20</v>
      </c>
      <c r="F493" s="180" t="s">
        <v>94</v>
      </c>
      <c r="G493" s="180"/>
      <c r="H493" s="181" t="s">
        <v>83</v>
      </c>
      <c r="I493" s="181"/>
      <c r="J493" s="181"/>
      <c r="K493" s="181"/>
      <c r="L493" s="181"/>
      <c r="M493" s="181"/>
      <c r="N493" s="181"/>
      <c r="O493" s="16" t="s">
        <v>92</v>
      </c>
      <c r="P493" s="180"/>
      <c r="Q493" s="180" t="s">
        <v>104</v>
      </c>
      <c r="R493" s="180" t="s">
        <v>4336</v>
      </c>
      <c r="S493" s="180" t="s">
        <v>142</v>
      </c>
      <c r="T493" s="181" t="s">
        <v>70</v>
      </c>
      <c r="U493" s="180"/>
      <c r="V493" s="180" t="s">
        <v>3679</v>
      </c>
      <c r="W493" s="180" t="s">
        <v>555</v>
      </c>
      <c r="X493" s="180" t="s">
        <v>4337</v>
      </c>
      <c r="Y493" s="180" t="s">
        <v>574</v>
      </c>
      <c r="Z493" s="180" t="s">
        <v>107</v>
      </c>
      <c r="AA493" s="181" t="s">
        <v>4338</v>
      </c>
      <c r="AB493" s="181"/>
      <c r="AC493" s="181"/>
      <c r="AD493" s="181"/>
      <c r="AE493" s="16">
        <v>108</v>
      </c>
      <c r="AF493" s="16"/>
      <c r="AG493" s="16"/>
      <c r="AH493" s="16"/>
      <c r="AI493" s="16"/>
      <c r="AJ493" s="16"/>
      <c r="AK493" s="16"/>
      <c r="AL493" s="16">
        <v>6</v>
      </c>
      <c r="AM493" s="16"/>
      <c r="AN493" s="181"/>
      <c r="AO493" s="180"/>
      <c r="AP493" s="25"/>
      <c r="AQ493" s="181"/>
      <c r="AR493" s="16"/>
      <c r="AS493" s="16"/>
      <c r="AT493" s="180" t="s">
        <v>113</v>
      </c>
      <c r="AU493" s="180" t="s">
        <v>260</v>
      </c>
      <c r="AV493" s="180" t="s">
        <v>348</v>
      </c>
      <c r="AW493" s="180" t="s">
        <v>344</v>
      </c>
      <c r="AX493" s="12">
        <f t="shared" si="24"/>
        <v>53</v>
      </c>
      <c r="AY493" s="12" t="str">
        <f t="shared" si="25"/>
        <v/>
      </c>
      <c r="AZ493" s="18"/>
      <c r="BA493" s="19"/>
      <c r="BB493" s="19"/>
      <c r="BC493" s="19"/>
      <c r="BD493" s="19"/>
      <c r="BE493" s="19"/>
      <c r="BF493" s="19"/>
      <c r="BG493" s="19"/>
      <c r="BH493" s="19"/>
      <c r="BI493" s="19"/>
      <c r="BJ493" s="19"/>
      <c r="BK493" s="19"/>
    </row>
    <row r="494" spans="1:63" ht="20.100000000000001" hidden="1" customHeight="1" x14ac:dyDescent="0.2">
      <c r="A494" s="13">
        <v>491</v>
      </c>
      <c r="B494" s="16" t="s">
        <v>4302</v>
      </c>
      <c r="C494" s="16"/>
      <c r="D494" s="180" t="s">
        <v>2886</v>
      </c>
      <c r="E494" s="180" t="s">
        <v>9</v>
      </c>
      <c r="F494" s="180" t="s">
        <v>94</v>
      </c>
      <c r="G494" s="180"/>
      <c r="H494" s="181" t="s">
        <v>83</v>
      </c>
      <c r="I494" s="181"/>
      <c r="J494" s="181"/>
      <c r="K494" s="181"/>
      <c r="L494" s="181"/>
      <c r="M494" s="181"/>
      <c r="N494" s="181"/>
      <c r="O494" s="16" t="s">
        <v>92</v>
      </c>
      <c r="P494" s="180"/>
      <c r="Q494" s="41" t="s">
        <v>141</v>
      </c>
      <c r="R494" s="41" t="s">
        <v>956</v>
      </c>
      <c r="S494" s="41" t="s">
        <v>106</v>
      </c>
      <c r="T494" s="13" t="s">
        <v>107</v>
      </c>
      <c r="U494" s="180"/>
      <c r="V494" s="180" t="s">
        <v>2245</v>
      </c>
      <c r="W494" s="180" t="s">
        <v>718</v>
      </c>
      <c r="X494" s="180" t="s">
        <v>958</v>
      </c>
      <c r="Y494" s="180" t="s">
        <v>106</v>
      </c>
      <c r="Z494" s="180" t="s">
        <v>107</v>
      </c>
      <c r="AA494" s="181" t="s">
        <v>4334</v>
      </c>
      <c r="AB494" s="181"/>
      <c r="AC494" s="181"/>
      <c r="AD494" s="181"/>
      <c r="AE494" s="16">
        <v>198</v>
      </c>
      <c r="AF494" s="16"/>
      <c r="AG494" s="16"/>
      <c r="AH494" s="16"/>
      <c r="AI494" s="16"/>
      <c r="AJ494" s="16"/>
      <c r="AK494" s="16"/>
      <c r="AL494" s="16"/>
      <c r="AM494" s="16"/>
      <c r="AN494" s="181"/>
      <c r="AO494" s="180"/>
      <c r="AP494" s="25"/>
      <c r="AQ494" s="181"/>
      <c r="AR494" s="16"/>
      <c r="AS494" s="16"/>
      <c r="AT494" s="180" t="s">
        <v>113</v>
      </c>
      <c r="AU494" s="180" t="s">
        <v>260</v>
      </c>
      <c r="AV494" s="180" t="s">
        <v>115</v>
      </c>
      <c r="AW494" s="180" t="s">
        <v>1247</v>
      </c>
      <c r="AX494" s="12">
        <f t="shared" si="24"/>
        <v>19</v>
      </c>
      <c r="AY494" s="12" t="str">
        <f t="shared" si="25"/>
        <v/>
      </c>
      <c r="AZ494" s="18"/>
      <c r="BA494" s="19"/>
      <c r="BB494" s="19"/>
      <c r="BC494" s="19"/>
      <c r="BD494" s="19"/>
      <c r="BE494" s="19"/>
      <c r="BF494" s="19"/>
      <c r="BG494" s="19"/>
      <c r="BH494" s="19"/>
      <c r="BI494" s="19"/>
      <c r="BJ494" s="19"/>
      <c r="BK494" s="19"/>
    </row>
    <row r="495" spans="1:63" ht="20.100000000000001" hidden="1" customHeight="1" x14ac:dyDescent="0.2">
      <c r="A495" s="13">
        <v>492</v>
      </c>
      <c r="B495" s="16" t="s">
        <v>4303</v>
      </c>
      <c r="C495" s="16"/>
      <c r="D495" s="180" t="s">
        <v>1739</v>
      </c>
      <c r="E495" s="180" t="s">
        <v>20</v>
      </c>
      <c r="F495" s="180"/>
      <c r="G495" s="180"/>
      <c r="H495" s="181" t="s">
        <v>7</v>
      </c>
      <c r="I495" s="181"/>
      <c r="J495" s="181"/>
      <c r="K495" s="181"/>
      <c r="L495" s="181"/>
      <c r="M495" s="181"/>
      <c r="N495" s="181"/>
      <c r="O495" s="16" t="s">
        <v>92</v>
      </c>
      <c r="P495" s="35" t="s">
        <v>141</v>
      </c>
      <c r="Q495" s="35" t="s">
        <v>140</v>
      </c>
      <c r="R495" s="180" t="s">
        <v>4322</v>
      </c>
      <c r="S495" s="180" t="s">
        <v>106</v>
      </c>
      <c r="T495" s="181" t="s">
        <v>107</v>
      </c>
      <c r="U495" s="180" t="s">
        <v>1051</v>
      </c>
      <c r="V495" s="180" t="s">
        <v>2961</v>
      </c>
      <c r="W495" s="180" t="s">
        <v>2258</v>
      </c>
      <c r="X495" s="180" t="s">
        <v>4323</v>
      </c>
      <c r="Y495" s="180" t="s">
        <v>369</v>
      </c>
      <c r="Z495" s="180" t="s">
        <v>369</v>
      </c>
      <c r="AA495" s="181"/>
      <c r="AB495" s="181"/>
      <c r="AC495" s="181">
        <v>207</v>
      </c>
      <c r="AD495" s="181">
        <v>192</v>
      </c>
      <c r="AE495" s="16">
        <v>192</v>
      </c>
      <c r="AF495" s="16">
        <v>97</v>
      </c>
      <c r="AG495" s="16">
        <v>133</v>
      </c>
      <c r="AH495" s="16">
        <v>9</v>
      </c>
      <c r="AI495" s="16">
        <v>31</v>
      </c>
      <c r="AJ495" s="16">
        <v>173</v>
      </c>
      <c r="AK495" s="16">
        <v>9</v>
      </c>
      <c r="AL495" s="16">
        <v>4</v>
      </c>
      <c r="AM495" s="16"/>
      <c r="AN495" s="33" t="s">
        <v>158</v>
      </c>
      <c r="AO495" s="180"/>
      <c r="AP495" s="25"/>
      <c r="AQ495" s="181"/>
      <c r="AR495" s="16"/>
      <c r="AS495" s="16"/>
      <c r="AT495" s="180"/>
      <c r="AU495" s="180"/>
      <c r="AV495" s="180"/>
      <c r="AW495" s="180"/>
      <c r="AX495" s="12" t="str">
        <f t="shared" si="24"/>
        <v/>
      </c>
      <c r="AY495" s="12" t="str">
        <f t="shared" si="25"/>
        <v/>
      </c>
      <c r="AZ495" s="18"/>
      <c r="BA495" s="19"/>
      <c r="BB495" s="19"/>
      <c r="BC495" s="19"/>
      <c r="BD495" s="19"/>
      <c r="BE495" s="19"/>
      <c r="BF495" s="19"/>
      <c r="BG495" s="19"/>
      <c r="BH495" s="19"/>
      <c r="BI495" s="19"/>
      <c r="BJ495" s="19"/>
      <c r="BK495" s="19"/>
    </row>
    <row r="496" spans="1:63" ht="20.100000000000001" hidden="1" customHeight="1" x14ac:dyDescent="0.2">
      <c r="A496" s="13">
        <v>493</v>
      </c>
      <c r="B496" s="16" t="s">
        <v>4304</v>
      </c>
      <c r="C496" s="16"/>
      <c r="D496" s="180" t="s">
        <v>4305</v>
      </c>
      <c r="E496" s="180" t="s">
        <v>66</v>
      </c>
      <c r="F496" s="249" t="s">
        <v>4038</v>
      </c>
      <c r="G496" s="180"/>
      <c r="H496" s="181" t="s">
        <v>83</v>
      </c>
      <c r="I496" s="181"/>
      <c r="J496" s="181"/>
      <c r="K496" s="181"/>
      <c r="L496" s="181"/>
      <c r="M496" s="181"/>
      <c r="N496" s="181"/>
      <c r="O496" s="16" t="s">
        <v>92</v>
      </c>
      <c r="P496" s="180"/>
      <c r="Q496" s="180"/>
      <c r="R496" s="180"/>
      <c r="S496" s="180"/>
      <c r="T496" s="181"/>
      <c r="U496" s="180"/>
      <c r="V496" s="180"/>
      <c r="W496" s="180"/>
      <c r="X496" s="180"/>
      <c r="Y496" s="180"/>
      <c r="Z496" s="180"/>
      <c r="AA496" s="181"/>
      <c r="AB496" s="181"/>
      <c r="AC496" s="181"/>
      <c r="AD496" s="181"/>
      <c r="AE496" s="16"/>
      <c r="AF496" s="16"/>
      <c r="AG496" s="16"/>
      <c r="AH496" s="16"/>
      <c r="AI496" s="16"/>
      <c r="AJ496" s="16"/>
      <c r="AK496" s="16"/>
      <c r="AL496" s="16"/>
      <c r="AM496" s="16"/>
      <c r="AN496" s="181"/>
      <c r="AO496" s="180"/>
      <c r="AP496" s="25"/>
      <c r="AQ496" s="181"/>
      <c r="AR496" s="16"/>
      <c r="AS496" s="16"/>
      <c r="AT496" s="180"/>
      <c r="AU496" s="180"/>
      <c r="AV496" s="180"/>
      <c r="AW496" s="180"/>
      <c r="AX496" s="12" t="str">
        <f t="shared" si="24"/>
        <v/>
      </c>
      <c r="AY496" s="12" t="str">
        <f t="shared" si="25"/>
        <v/>
      </c>
      <c r="AZ496" s="18"/>
      <c r="BA496" s="19"/>
      <c r="BB496" s="19"/>
      <c r="BC496" s="19"/>
      <c r="BD496" s="19"/>
      <c r="BE496" s="19"/>
      <c r="BF496" s="19"/>
      <c r="BG496" s="19"/>
      <c r="BH496" s="19"/>
      <c r="BI496" s="19"/>
      <c r="BJ496" s="19"/>
      <c r="BK496" s="19"/>
    </row>
    <row r="497" spans="1:63" ht="20.100000000000001" hidden="1" customHeight="1" x14ac:dyDescent="0.2">
      <c r="A497" s="13">
        <v>495</v>
      </c>
      <c r="B497" s="16" t="s">
        <v>4306</v>
      </c>
      <c r="C497" s="16"/>
      <c r="D497" s="180" t="s">
        <v>2992</v>
      </c>
      <c r="E497" s="180"/>
      <c r="F497" s="180"/>
      <c r="G497" s="180"/>
      <c r="H497" s="181" t="s">
        <v>7</v>
      </c>
      <c r="I497" s="181"/>
      <c r="J497" s="181"/>
      <c r="K497" s="181"/>
      <c r="L497" s="181"/>
      <c r="M497" s="181"/>
      <c r="N497" s="181"/>
      <c r="O497" s="16" t="s">
        <v>92</v>
      </c>
      <c r="P497" s="180" t="s">
        <v>141</v>
      </c>
      <c r="Q497" s="180" t="s">
        <v>140</v>
      </c>
      <c r="R497" s="180" t="s">
        <v>4545</v>
      </c>
      <c r="S497" s="180" t="s">
        <v>106</v>
      </c>
      <c r="T497" s="181" t="s">
        <v>107</v>
      </c>
      <c r="U497" s="180" t="s">
        <v>492</v>
      </c>
      <c r="V497" s="180" t="s">
        <v>3677</v>
      </c>
      <c r="W497" s="180" t="s">
        <v>506</v>
      </c>
      <c r="X497" s="180" t="s">
        <v>4027</v>
      </c>
      <c r="Y497" s="180" t="s">
        <v>106</v>
      </c>
      <c r="Z497" s="180" t="s">
        <v>107</v>
      </c>
      <c r="AA497" s="181"/>
      <c r="AB497" s="181"/>
      <c r="AC497" s="181"/>
      <c r="AD497" s="181"/>
      <c r="AE497" s="16"/>
      <c r="AF497" s="16"/>
      <c r="AG497" s="16"/>
      <c r="AH497" s="16"/>
      <c r="AI497" s="16"/>
      <c r="AJ497" s="16"/>
      <c r="AK497" s="16"/>
      <c r="AL497" s="16"/>
      <c r="AM497" s="16"/>
      <c r="AN497" s="181"/>
      <c r="AO497" s="180"/>
      <c r="AP497" s="25"/>
      <c r="AQ497" s="181"/>
      <c r="AR497" s="16"/>
      <c r="AS497" s="16"/>
      <c r="AT497" s="180"/>
      <c r="AU497" s="180"/>
      <c r="AV497" s="180"/>
      <c r="AW497" s="180"/>
      <c r="AX497" s="12" t="str">
        <f t="shared" si="24"/>
        <v/>
      </c>
      <c r="AY497" s="12" t="str">
        <f t="shared" si="25"/>
        <v/>
      </c>
      <c r="AZ497" s="18"/>
      <c r="BA497" s="19"/>
      <c r="BB497" s="19"/>
      <c r="BC497" s="19"/>
      <c r="BD497" s="19"/>
      <c r="BE497" s="19"/>
      <c r="BF497" s="19"/>
      <c r="BG497" s="19"/>
      <c r="BH497" s="19"/>
      <c r="BI497" s="19"/>
      <c r="BJ497" s="19"/>
      <c r="BK497" s="19"/>
    </row>
    <row r="498" spans="1:63" ht="20.100000000000001" hidden="1" customHeight="1" x14ac:dyDescent="0.2">
      <c r="A498" s="13">
        <v>496</v>
      </c>
      <c r="B498" s="16" t="s">
        <v>4307</v>
      </c>
      <c r="C498" s="16"/>
      <c r="D498" s="180" t="s">
        <v>4301</v>
      </c>
      <c r="E498" s="180" t="s">
        <v>20</v>
      </c>
      <c r="F498" s="180"/>
      <c r="G498" s="180"/>
      <c r="H498" s="181" t="s">
        <v>7</v>
      </c>
      <c r="I498" s="181"/>
      <c r="J498" s="181"/>
      <c r="K498" s="181"/>
      <c r="L498" s="181"/>
      <c r="M498" s="181"/>
      <c r="N498" s="181"/>
      <c r="O498" s="16" t="s">
        <v>92</v>
      </c>
      <c r="P498" s="180" t="s">
        <v>141</v>
      </c>
      <c r="Q498" s="180" t="s">
        <v>141</v>
      </c>
      <c r="R498" s="180" t="s">
        <v>4324</v>
      </c>
      <c r="S498" s="180" t="s">
        <v>106</v>
      </c>
      <c r="T498" s="181" t="s">
        <v>107</v>
      </c>
      <c r="U498" s="35" t="s">
        <v>492</v>
      </c>
      <c r="V498" s="35" t="s">
        <v>2961</v>
      </c>
      <c r="W498" s="35" t="s">
        <v>2258</v>
      </c>
      <c r="X498" s="180" t="s">
        <v>4325</v>
      </c>
      <c r="Y498" s="180" t="s">
        <v>142</v>
      </c>
      <c r="Z498" s="180" t="s">
        <v>70</v>
      </c>
      <c r="AA498" s="181"/>
      <c r="AB498" s="181"/>
      <c r="AC498" s="181">
        <v>115</v>
      </c>
      <c r="AD498" s="181">
        <v>108</v>
      </c>
      <c r="AE498" s="16">
        <v>105</v>
      </c>
      <c r="AF498" s="16">
        <v>86</v>
      </c>
      <c r="AG498" s="16">
        <v>105</v>
      </c>
      <c r="AH498" s="16">
        <v>1</v>
      </c>
      <c r="AI498" s="16">
        <v>31</v>
      </c>
      <c r="AJ498" s="16">
        <v>137</v>
      </c>
      <c r="AK498" s="16">
        <v>11</v>
      </c>
      <c r="AL498" s="16">
        <v>6</v>
      </c>
      <c r="AM498" s="16"/>
      <c r="AN498" s="33" t="s">
        <v>158</v>
      </c>
      <c r="AO498" s="180"/>
      <c r="AP498" s="25"/>
      <c r="AQ498" s="181"/>
      <c r="AR498" s="16"/>
      <c r="AS498" s="16"/>
      <c r="AT498" s="180"/>
      <c r="AU498" s="180"/>
      <c r="AV498" s="180"/>
      <c r="AW498" s="180"/>
      <c r="AX498" s="12" t="str">
        <f t="shared" si="24"/>
        <v/>
      </c>
      <c r="AY498" s="12" t="str">
        <f t="shared" si="25"/>
        <v/>
      </c>
      <c r="AZ498" s="18"/>
      <c r="BA498" s="19"/>
      <c r="BB498" s="19"/>
      <c r="BC498" s="19"/>
      <c r="BD498" s="19"/>
      <c r="BE498" s="19"/>
      <c r="BF498" s="19"/>
      <c r="BG498" s="19"/>
      <c r="BH498" s="19"/>
      <c r="BI498" s="19"/>
      <c r="BJ498" s="19"/>
      <c r="BK498" s="19"/>
    </row>
    <row r="499" spans="1:63" ht="20.100000000000001" hidden="1" customHeight="1" x14ac:dyDescent="0.2">
      <c r="A499" s="13">
        <v>497</v>
      </c>
      <c r="B499" s="16" t="s">
        <v>4307</v>
      </c>
      <c r="C499" s="16"/>
      <c r="D499" s="180" t="s">
        <v>2886</v>
      </c>
      <c r="E499" s="180" t="s">
        <v>9</v>
      </c>
      <c r="F499" s="180"/>
      <c r="G499" s="180"/>
      <c r="H499" s="181" t="s">
        <v>7</v>
      </c>
      <c r="I499" s="181"/>
      <c r="J499" s="181"/>
      <c r="K499" s="181"/>
      <c r="L499" s="181"/>
      <c r="M499" s="181"/>
      <c r="N499" s="181"/>
      <c r="O499" s="16" t="s">
        <v>93</v>
      </c>
      <c r="P499" s="180" t="s">
        <v>140</v>
      </c>
      <c r="Q499" s="180" t="s">
        <v>140</v>
      </c>
      <c r="R499" s="180" t="s">
        <v>4326</v>
      </c>
      <c r="S499" s="180" t="s">
        <v>142</v>
      </c>
      <c r="T499" s="181" t="s">
        <v>70</v>
      </c>
      <c r="U499" s="180" t="s">
        <v>153</v>
      </c>
      <c r="V499" s="180" t="s">
        <v>2961</v>
      </c>
      <c r="W499" s="180" t="s">
        <v>144</v>
      </c>
      <c r="X499" s="180" t="s">
        <v>4327</v>
      </c>
      <c r="Y499" s="180" t="s">
        <v>106</v>
      </c>
      <c r="Z499" s="180" t="s">
        <v>107</v>
      </c>
      <c r="AA499" s="181"/>
      <c r="AB499" s="181"/>
      <c r="AC499" s="181">
        <v>161</v>
      </c>
      <c r="AD499" s="181">
        <v>156</v>
      </c>
      <c r="AE499" s="16">
        <v>156</v>
      </c>
      <c r="AF499" s="16">
        <v>115</v>
      </c>
      <c r="AG499" s="16"/>
      <c r="AH499" s="16"/>
      <c r="AI499" s="16">
        <v>21</v>
      </c>
      <c r="AJ499" s="16"/>
      <c r="AK499" s="16">
        <v>9.5</v>
      </c>
      <c r="AL499" s="16">
        <v>4</v>
      </c>
      <c r="AM499" s="16"/>
      <c r="AN499" s="181"/>
      <c r="AO499" s="180"/>
      <c r="AP499" s="25"/>
      <c r="AQ499" s="181"/>
      <c r="AR499" s="16"/>
      <c r="AS499" s="16"/>
      <c r="AT499" s="180"/>
      <c r="AU499" s="180"/>
      <c r="AV499" s="180"/>
      <c r="AW499" s="180"/>
      <c r="AX499" s="12" t="str">
        <f t="shared" si="24"/>
        <v/>
      </c>
      <c r="AY499" s="12" t="str">
        <f t="shared" si="25"/>
        <v/>
      </c>
      <c r="AZ499" s="18"/>
      <c r="BA499" s="19"/>
      <c r="BB499" s="19"/>
      <c r="BC499" s="19"/>
      <c r="BD499" s="19"/>
      <c r="BE499" s="19"/>
      <c r="BF499" s="19"/>
      <c r="BG499" s="19"/>
      <c r="BH499" s="19"/>
      <c r="BI499" s="19"/>
      <c r="BJ499" s="19"/>
      <c r="BK499" s="19"/>
    </row>
    <row r="500" spans="1:63" ht="20.100000000000001" hidden="1" customHeight="1" x14ac:dyDescent="0.2">
      <c r="A500" s="13">
        <v>498</v>
      </c>
      <c r="B500" s="16" t="s">
        <v>4308</v>
      </c>
      <c r="C500" s="16"/>
      <c r="D500" s="180" t="s">
        <v>503</v>
      </c>
      <c r="E500" s="180" t="s">
        <v>10</v>
      </c>
      <c r="F500" s="180"/>
      <c r="G500" s="180"/>
      <c r="H500" s="181" t="s">
        <v>7</v>
      </c>
      <c r="I500" s="181"/>
      <c r="J500" s="181"/>
      <c r="K500" s="181"/>
      <c r="L500" s="181"/>
      <c r="M500" s="181"/>
      <c r="N500" s="181"/>
      <c r="O500" s="16" t="s">
        <v>92</v>
      </c>
      <c r="P500" s="35" t="s">
        <v>218</v>
      </c>
      <c r="Q500" s="35" t="s">
        <v>155</v>
      </c>
      <c r="R500" s="180" t="s">
        <v>4328</v>
      </c>
      <c r="S500" s="180" t="s">
        <v>106</v>
      </c>
      <c r="T500" s="181" t="s">
        <v>107</v>
      </c>
      <c r="U500" s="35" t="s">
        <v>268</v>
      </c>
      <c r="V500" s="35" t="s">
        <v>3677</v>
      </c>
      <c r="W500" s="35" t="s">
        <v>718</v>
      </c>
      <c r="X500" s="180" t="s">
        <v>4329</v>
      </c>
      <c r="Y500" s="180" t="s">
        <v>106</v>
      </c>
      <c r="Z500" s="180" t="s">
        <v>107</v>
      </c>
      <c r="AA500" s="181"/>
      <c r="AB500" s="181"/>
      <c r="AC500" s="181">
        <v>235</v>
      </c>
      <c r="AD500" s="181">
        <v>222</v>
      </c>
      <c r="AE500" s="16">
        <v>222</v>
      </c>
      <c r="AF500" s="16">
        <v>155</v>
      </c>
      <c r="AG500" s="16">
        <v>161</v>
      </c>
      <c r="AH500" s="16">
        <v>4</v>
      </c>
      <c r="AI500" s="16">
        <v>46</v>
      </c>
      <c r="AJ500" s="16">
        <v>211</v>
      </c>
      <c r="AK500" s="16">
        <v>20</v>
      </c>
      <c r="AL500" s="16">
        <v>6</v>
      </c>
      <c r="AM500" s="16"/>
      <c r="AN500" s="33" t="s">
        <v>158</v>
      </c>
      <c r="AO500" s="180"/>
      <c r="AP500" s="25"/>
      <c r="AQ500" s="181"/>
      <c r="AR500" s="16"/>
      <c r="AS500" s="16"/>
      <c r="AT500" s="180"/>
      <c r="AU500" s="180"/>
      <c r="AV500" s="180"/>
      <c r="AW500" s="180"/>
      <c r="AX500" s="12" t="str">
        <f t="shared" si="24"/>
        <v/>
      </c>
      <c r="AY500" s="12" t="str">
        <f t="shared" si="25"/>
        <v/>
      </c>
      <c r="AZ500" s="18"/>
      <c r="BA500" s="19"/>
      <c r="BB500" s="19"/>
      <c r="BC500" s="19"/>
      <c r="BD500" s="19"/>
      <c r="BE500" s="19"/>
      <c r="BF500" s="19"/>
      <c r="BG500" s="19"/>
      <c r="BH500" s="19"/>
      <c r="BI500" s="19"/>
      <c r="BJ500" s="19"/>
      <c r="BK500" s="19"/>
    </row>
    <row r="501" spans="1:63" ht="20.100000000000001" hidden="1" customHeight="1" x14ac:dyDescent="0.2">
      <c r="A501" s="13">
        <v>499</v>
      </c>
      <c r="B501" s="16" t="s">
        <v>4309</v>
      </c>
      <c r="C501" s="16"/>
      <c r="D501" s="180" t="s">
        <v>831</v>
      </c>
      <c r="E501" s="193" t="s">
        <v>10</v>
      </c>
      <c r="F501" s="180"/>
      <c r="G501" s="180"/>
      <c r="H501" s="181" t="s">
        <v>7</v>
      </c>
      <c r="I501" s="181"/>
      <c r="J501" s="181"/>
      <c r="K501" s="181"/>
      <c r="L501" s="181"/>
      <c r="M501" s="181"/>
      <c r="N501" s="181"/>
      <c r="O501" s="16" t="s">
        <v>84</v>
      </c>
      <c r="P501" s="35" t="s">
        <v>68</v>
      </c>
      <c r="Q501" s="35" t="s">
        <v>226</v>
      </c>
      <c r="R501" s="180"/>
      <c r="S501" s="180" t="s">
        <v>69</v>
      </c>
      <c r="T501" s="181" t="s">
        <v>70</v>
      </c>
      <c r="U501" s="35" t="s">
        <v>263</v>
      </c>
      <c r="V501" s="35" t="s">
        <v>2325</v>
      </c>
      <c r="W501" s="35" t="s">
        <v>2348</v>
      </c>
      <c r="X501" s="180" t="s">
        <v>4330</v>
      </c>
      <c r="Y501" s="180" t="s">
        <v>69</v>
      </c>
      <c r="Z501" s="180" t="s">
        <v>70</v>
      </c>
      <c r="AA501" s="181"/>
      <c r="AB501" s="181"/>
      <c r="AC501" s="181">
        <v>199</v>
      </c>
      <c r="AD501" s="181">
        <v>192</v>
      </c>
      <c r="AE501" s="16">
        <v>192</v>
      </c>
      <c r="AF501" s="16">
        <v>173</v>
      </c>
      <c r="AG501" s="16">
        <v>182</v>
      </c>
      <c r="AH501" s="16">
        <v>1</v>
      </c>
      <c r="AI501" s="16">
        <v>15</v>
      </c>
      <c r="AJ501" s="16">
        <v>198</v>
      </c>
      <c r="AK501" s="16">
        <v>4</v>
      </c>
      <c r="AL501" s="16">
        <v>6</v>
      </c>
      <c r="AM501" s="16"/>
      <c r="AN501" s="33" t="s">
        <v>158</v>
      </c>
      <c r="AO501" s="180"/>
      <c r="AP501" s="25"/>
      <c r="AQ501" s="181"/>
      <c r="AR501" s="16"/>
      <c r="AS501" s="16"/>
      <c r="AT501" s="180"/>
      <c r="AU501" s="180"/>
      <c r="AV501" s="180"/>
      <c r="AW501" s="180"/>
      <c r="AX501" s="12" t="str">
        <f t="shared" si="24"/>
        <v/>
      </c>
      <c r="AY501" s="12" t="str">
        <f t="shared" si="25"/>
        <v/>
      </c>
      <c r="AZ501" s="18"/>
      <c r="BA501" s="19"/>
      <c r="BB501" s="19"/>
      <c r="BC501" s="19"/>
      <c r="BD501" s="19"/>
      <c r="BE501" s="19"/>
      <c r="BF501" s="19"/>
      <c r="BG501" s="19"/>
      <c r="BH501" s="19"/>
      <c r="BI501" s="19"/>
      <c r="BJ501" s="19"/>
      <c r="BK501" s="19"/>
    </row>
    <row r="502" spans="1:63" ht="20.100000000000001" hidden="1" customHeight="1" x14ac:dyDescent="0.2">
      <c r="A502" s="13">
        <v>500</v>
      </c>
      <c r="B502" s="16" t="s">
        <v>4309</v>
      </c>
      <c r="C502" s="16"/>
      <c r="D502" s="180" t="s">
        <v>1187</v>
      </c>
      <c r="E502" s="180" t="s">
        <v>243</v>
      </c>
      <c r="F502" s="180" t="s">
        <v>3661</v>
      </c>
      <c r="G502" s="180"/>
      <c r="H502" s="181" t="s">
        <v>83</v>
      </c>
      <c r="I502" s="181"/>
      <c r="J502" s="181"/>
      <c r="K502" s="181"/>
      <c r="L502" s="181"/>
      <c r="M502" s="181"/>
      <c r="N502" s="181"/>
      <c r="O502" s="16" t="s">
        <v>92</v>
      </c>
      <c r="P502" s="180"/>
      <c r="Q502" s="180" t="s">
        <v>155</v>
      </c>
      <c r="R502" s="180" t="s">
        <v>839</v>
      </c>
      <c r="S502" s="180" t="s">
        <v>142</v>
      </c>
      <c r="T502" s="181" t="s">
        <v>70</v>
      </c>
      <c r="U502" s="180"/>
      <c r="V502" s="180" t="s">
        <v>3679</v>
      </c>
      <c r="W502" s="180" t="s">
        <v>718</v>
      </c>
      <c r="X502" s="180" t="s">
        <v>840</v>
      </c>
      <c r="Y502" s="180" t="s">
        <v>142</v>
      </c>
      <c r="Z502" s="180" t="s">
        <v>70</v>
      </c>
      <c r="AA502" s="181" t="s">
        <v>3806</v>
      </c>
      <c r="AB502" s="181"/>
      <c r="AC502" s="181"/>
      <c r="AD502" s="181"/>
      <c r="AE502" s="16">
        <v>234</v>
      </c>
      <c r="AF502" s="16"/>
      <c r="AG502" s="16"/>
      <c r="AH502" s="16"/>
      <c r="AI502" s="16"/>
      <c r="AJ502" s="16"/>
      <c r="AK502" s="16"/>
      <c r="AL502" s="16"/>
      <c r="AM502" s="16"/>
      <c r="AN502" s="181"/>
      <c r="AO502" s="180"/>
      <c r="AP502" s="25"/>
      <c r="AQ502" s="181"/>
      <c r="AR502" s="16"/>
      <c r="AS502" s="16"/>
      <c r="AT502" s="180" t="s">
        <v>113</v>
      </c>
      <c r="AU502" s="180" t="s">
        <v>260</v>
      </c>
      <c r="AV502" s="180" t="s">
        <v>115</v>
      </c>
      <c r="AW502" s="180" t="s">
        <v>137</v>
      </c>
      <c r="AX502" s="12">
        <f t="shared" si="24"/>
        <v>18</v>
      </c>
      <c r="AY502" s="12" t="str">
        <f t="shared" si="25"/>
        <v/>
      </c>
      <c r="AZ502" s="18"/>
      <c r="BA502" s="19"/>
      <c r="BB502" s="19"/>
      <c r="BC502" s="19"/>
      <c r="BD502" s="19"/>
      <c r="BE502" s="19"/>
      <c r="BF502" s="19"/>
      <c r="BG502" s="19"/>
      <c r="BH502" s="19"/>
      <c r="BI502" s="19"/>
      <c r="BJ502" s="19"/>
      <c r="BK502" s="19"/>
    </row>
    <row r="503" spans="1:63" ht="20.100000000000001" hidden="1" customHeight="1" x14ac:dyDescent="0.2">
      <c r="A503" s="13">
        <v>501</v>
      </c>
      <c r="B503" s="16" t="s">
        <v>4310</v>
      </c>
      <c r="C503" s="16"/>
      <c r="D503" s="180" t="s">
        <v>1187</v>
      </c>
      <c r="E503" s="193" t="s">
        <v>243</v>
      </c>
      <c r="F503" s="180"/>
      <c r="G503" s="180"/>
      <c r="H503" s="181" t="s">
        <v>7</v>
      </c>
      <c r="I503" s="181"/>
      <c r="J503" s="181"/>
      <c r="K503" s="181"/>
      <c r="L503" s="181"/>
      <c r="M503" s="181"/>
      <c r="N503" s="181"/>
      <c r="O503" s="16" t="s">
        <v>92</v>
      </c>
      <c r="P503" s="35" t="s">
        <v>155</v>
      </c>
      <c r="Q503" s="35" t="s">
        <v>218</v>
      </c>
      <c r="R503" s="180" t="s">
        <v>1027</v>
      </c>
      <c r="S503" s="180" t="s">
        <v>106</v>
      </c>
      <c r="T503" s="181" t="s">
        <v>107</v>
      </c>
      <c r="U503" s="35" t="s">
        <v>324</v>
      </c>
      <c r="V503" s="35" t="s">
        <v>3679</v>
      </c>
      <c r="W503" s="35" t="s">
        <v>116</v>
      </c>
      <c r="X503" s="180" t="s">
        <v>629</v>
      </c>
      <c r="Y503" s="180" t="s">
        <v>106</v>
      </c>
      <c r="Z503" s="180" t="s">
        <v>107</v>
      </c>
      <c r="AA503" s="181"/>
      <c r="AB503" s="181"/>
      <c r="AC503" s="181">
        <v>250</v>
      </c>
      <c r="AD503" s="181">
        <v>234</v>
      </c>
      <c r="AE503" s="16">
        <v>234</v>
      </c>
      <c r="AF503" s="16">
        <v>93</v>
      </c>
      <c r="AG503" s="16">
        <v>160</v>
      </c>
      <c r="AH503" s="16">
        <v>3</v>
      </c>
      <c r="AI503" s="16">
        <v>50</v>
      </c>
      <c r="AJ503" s="16">
        <v>213</v>
      </c>
      <c r="AK503" s="16">
        <v>25</v>
      </c>
      <c r="AL503" s="16">
        <v>6</v>
      </c>
      <c r="AM503" s="16"/>
      <c r="AN503" s="33" t="s">
        <v>158</v>
      </c>
      <c r="AO503" s="180"/>
      <c r="AP503" s="25"/>
      <c r="AQ503" s="181"/>
      <c r="AR503" s="16"/>
      <c r="AS503" s="16"/>
      <c r="AT503" s="180"/>
      <c r="AU503" s="180"/>
      <c r="AV503" s="180"/>
      <c r="AW503" s="180"/>
      <c r="AX503" s="12" t="str">
        <f t="shared" si="24"/>
        <v/>
      </c>
      <c r="AY503" s="12" t="str">
        <f t="shared" si="25"/>
        <v/>
      </c>
      <c r="AZ503" s="18"/>
      <c r="BA503" s="19"/>
      <c r="BB503" s="19"/>
      <c r="BC503" s="19"/>
      <c r="BD503" s="19"/>
      <c r="BE503" s="19"/>
      <c r="BF503" s="19"/>
      <c r="BG503" s="19"/>
      <c r="BH503" s="19"/>
      <c r="BI503" s="19"/>
      <c r="BJ503" s="19"/>
      <c r="BK503" s="19"/>
    </row>
    <row r="504" spans="1:63" ht="20.100000000000001" hidden="1" customHeight="1" x14ac:dyDescent="0.2">
      <c r="A504" s="13">
        <v>502</v>
      </c>
      <c r="B504" s="16" t="s">
        <v>4311</v>
      </c>
      <c r="C504" s="16"/>
      <c r="D504" s="180" t="s">
        <v>4064</v>
      </c>
      <c r="E504" s="180" t="s">
        <v>20</v>
      </c>
      <c r="F504" s="180"/>
      <c r="G504" s="180"/>
      <c r="H504" s="181" t="s">
        <v>7</v>
      </c>
      <c r="I504" s="181"/>
      <c r="J504" s="181"/>
      <c r="K504" s="181"/>
      <c r="L504" s="181"/>
      <c r="M504" s="181"/>
      <c r="N504" s="181"/>
      <c r="O504" s="16" t="s">
        <v>92</v>
      </c>
      <c r="P504" s="180" t="s">
        <v>140</v>
      </c>
      <c r="Q504" s="180" t="s">
        <v>140</v>
      </c>
      <c r="R504" s="180" t="s">
        <v>4331</v>
      </c>
      <c r="S504" s="180" t="s">
        <v>106</v>
      </c>
      <c r="T504" s="181" t="s">
        <v>107</v>
      </c>
      <c r="U504" s="35" t="s">
        <v>188</v>
      </c>
      <c r="V504" s="35" t="s">
        <v>2961</v>
      </c>
      <c r="W504" s="35" t="s">
        <v>769</v>
      </c>
      <c r="X504" s="180" t="s">
        <v>4332</v>
      </c>
      <c r="Y504" s="180" t="s">
        <v>106</v>
      </c>
      <c r="Z504" s="180" t="s">
        <v>107</v>
      </c>
      <c r="AA504" s="181"/>
      <c r="AB504" s="181"/>
      <c r="AC504" s="181">
        <v>242</v>
      </c>
      <c r="AD504" s="33">
        <v>231</v>
      </c>
      <c r="AE504" s="34">
        <v>210</v>
      </c>
      <c r="AF504" s="16">
        <v>30</v>
      </c>
      <c r="AG504" s="16">
        <v>130</v>
      </c>
      <c r="AH504" s="16">
        <v>2</v>
      </c>
      <c r="AI504" s="16">
        <v>30</v>
      </c>
      <c r="AJ504" s="16">
        <v>162</v>
      </c>
      <c r="AK504" s="16">
        <v>11</v>
      </c>
      <c r="AL504" s="16">
        <v>6</v>
      </c>
      <c r="AM504" s="16"/>
      <c r="AN504" s="33" t="s">
        <v>158</v>
      </c>
      <c r="AO504" s="180"/>
      <c r="AP504" s="25"/>
      <c r="AQ504" s="181"/>
      <c r="AR504" s="16"/>
      <c r="AS504" s="16"/>
      <c r="AT504" s="180"/>
      <c r="AU504" s="180"/>
      <c r="AV504" s="180"/>
      <c r="AW504" s="180"/>
      <c r="AX504" s="12" t="str">
        <f t="shared" si="24"/>
        <v/>
      </c>
      <c r="AY504" s="12" t="str">
        <f t="shared" si="25"/>
        <v/>
      </c>
      <c r="AZ504" s="18"/>
      <c r="BA504" s="19"/>
      <c r="BB504" s="19"/>
      <c r="BC504" s="19"/>
      <c r="BD504" s="19"/>
      <c r="BE504" s="19"/>
      <c r="BF504" s="19"/>
      <c r="BG504" s="19"/>
      <c r="BH504" s="19"/>
      <c r="BI504" s="19"/>
      <c r="BJ504" s="19"/>
      <c r="BK504" s="19"/>
    </row>
    <row r="505" spans="1:63" ht="20.100000000000001" hidden="1" customHeight="1" x14ac:dyDescent="0.2">
      <c r="A505" s="13">
        <v>503</v>
      </c>
      <c r="B505" s="16" t="s">
        <v>4311</v>
      </c>
      <c r="C505" s="16"/>
      <c r="D505" s="180" t="s">
        <v>4312</v>
      </c>
      <c r="E505" s="180" t="s">
        <v>8</v>
      </c>
      <c r="F505" s="180" t="s">
        <v>94</v>
      </c>
      <c r="G505" s="180"/>
      <c r="H505" s="181" t="s">
        <v>83</v>
      </c>
      <c r="I505" s="181"/>
      <c r="J505" s="181"/>
      <c r="K505" s="181"/>
      <c r="L505" s="181"/>
      <c r="M505" s="181"/>
      <c r="N505" s="181"/>
      <c r="O505" s="16" t="s">
        <v>84</v>
      </c>
      <c r="P505" s="180"/>
      <c r="Q505" s="180"/>
      <c r="R505" s="180"/>
      <c r="S505" s="180"/>
      <c r="T505" s="181"/>
      <c r="U505" s="180"/>
      <c r="V505" s="180"/>
      <c r="W505" s="180"/>
      <c r="X505" s="180"/>
      <c r="Y505" s="180"/>
      <c r="Z505" s="180"/>
      <c r="AA505" s="181"/>
      <c r="AB505" s="181"/>
      <c r="AC505" s="181"/>
      <c r="AD505" s="181"/>
      <c r="AE505" s="16"/>
      <c r="AF505" s="16"/>
      <c r="AG505" s="16"/>
      <c r="AH505" s="16"/>
      <c r="AI505" s="16"/>
      <c r="AJ505" s="16"/>
      <c r="AK505" s="16"/>
      <c r="AL505" s="16"/>
      <c r="AM505" s="16"/>
      <c r="AN505" s="181"/>
      <c r="AO505" s="180"/>
      <c r="AP505" s="25"/>
      <c r="AQ505" s="181"/>
      <c r="AR505" s="16"/>
      <c r="AS505" s="16"/>
      <c r="AT505" s="180" t="s">
        <v>113</v>
      </c>
      <c r="AU505" s="180" t="s">
        <v>260</v>
      </c>
      <c r="AV505" s="180" t="s">
        <v>113</v>
      </c>
      <c r="AW505" s="180" t="s">
        <v>344</v>
      </c>
      <c r="AX505" s="12">
        <f t="shared" si="24"/>
        <v>5</v>
      </c>
      <c r="AY505" s="12">
        <f t="shared" si="25"/>
        <v>5</v>
      </c>
      <c r="AZ505" s="18"/>
      <c r="BA505" s="19"/>
      <c r="BB505" s="19"/>
      <c r="BC505" s="19"/>
      <c r="BD505" s="19"/>
      <c r="BE505" s="19"/>
      <c r="BF505" s="19"/>
      <c r="BG505" s="19"/>
      <c r="BH505" s="19"/>
      <c r="BI505" s="19"/>
      <c r="BJ505" s="19"/>
      <c r="BK505" s="19"/>
    </row>
  </sheetData>
  <autoFilter ref="A7:BK505" xr:uid="{FE4BA60E-64DA-47DD-A9EE-884A310F5F3F}">
    <filterColumn colId="3">
      <filters>
        <filter val="بوستان مینا"/>
      </filters>
    </filterColumn>
  </autoFilter>
  <mergeCells count="49">
    <mergeCell ref="P1:R1"/>
    <mergeCell ref="G1:O1"/>
    <mergeCell ref="C5:C7"/>
    <mergeCell ref="G5:G7"/>
    <mergeCell ref="J5:J7"/>
    <mergeCell ref="L5:L7"/>
    <mergeCell ref="U6:Z6"/>
    <mergeCell ref="P5:Z5"/>
    <mergeCell ref="I5:I7"/>
    <mergeCell ref="O5:O7"/>
    <mergeCell ref="M5:M7"/>
    <mergeCell ref="AI5:AI7"/>
    <mergeCell ref="AJ5:AJ7"/>
    <mergeCell ref="AG5:AG7"/>
    <mergeCell ref="AC5:AC7"/>
    <mergeCell ref="AF5:AF7"/>
    <mergeCell ref="H5:H7"/>
    <mergeCell ref="N5:N7"/>
    <mergeCell ref="AB5:AB7"/>
    <mergeCell ref="AA5:AA7"/>
    <mergeCell ref="P6:T6"/>
    <mergeCell ref="AE5:AE7"/>
    <mergeCell ref="AY5:AY7"/>
    <mergeCell ref="AX5:AX7"/>
    <mergeCell ref="A5:A7"/>
    <mergeCell ref="B5:B7"/>
    <mergeCell ref="D5:D7"/>
    <mergeCell ref="E5:E7"/>
    <mergeCell ref="F5:F7"/>
    <mergeCell ref="AM5:AM7"/>
    <mergeCell ref="K5:K7"/>
    <mergeCell ref="AP5:AP7"/>
    <mergeCell ref="AU5:AU7"/>
    <mergeCell ref="AV5:AV7"/>
    <mergeCell ref="AW5:AW7"/>
    <mergeCell ref="AK5:AK7"/>
    <mergeCell ref="AN5:AN7"/>
    <mergeCell ref="AO5:AO7"/>
    <mergeCell ref="AS5:AS7"/>
    <mergeCell ref="A1:B1"/>
    <mergeCell ref="C1:D1"/>
    <mergeCell ref="E1:F1"/>
    <mergeCell ref="AZ5:AZ7"/>
    <mergeCell ref="AT5:AT7"/>
    <mergeCell ref="AD5:AD7"/>
    <mergeCell ref="AH5:AH7"/>
    <mergeCell ref="AR5:AR7"/>
    <mergeCell ref="AL5:AL7"/>
    <mergeCell ref="AQ5:AQ7"/>
  </mergeCells>
  <phoneticPr fontId="3" type="noConversion"/>
  <hyperlinks>
    <hyperlink ref="AM391" r:id="rId1" xr:uid="{2DFA172A-413B-434B-92F8-F772C1EA1B95}"/>
    <hyperlink ref="AM388" r:id="rId2" xr:uid="{CC9E8F64-E2A0-4772-97D0-E359120E094B}"/>
    <hyperlink ref="AM386" r:id="rId3" xr:uid="{0E6C641E-448B-4BF2-835A-3878BEB18AA0}"/>
    <hyperlink ref="AM393" r:id="rId4" xr:uid="{4C05A018-EA9F-4E98-AF3A-EC73047E8166}"/>
    <hyperlink ref="AM395" r:id="rId5" xr:uid="{7CD9DD8F-A842-483D-8D13-A32658A6ECA9}"/>
    <hyperlink ref="AM396" r:id="rId6" xr:uid="{DBD96620-CF2B-4B56-9AF5-05002B37BF96}"/>
    <hyperlink ref="AM400" r:id="rId7" xr:uid="{E8538FFF-DED8-4311-9A58-821F97BBA10A}"/>
    <hyperlink ref="AM399" r:id="rId8" xr:uid="{3D883DC2-2CC1-4933-B76E-373851DEDE75}"/>
    <hyperlink ref="AM402" r:id="rId9" xr:uid="{63283F76-19AD-4FF9-B6FE-48FFDDF34607}"/>
    <hyperlink ref="AM403" r:id="rId10" xr:uid="{79D583F5-8DAB-4A20-92D1-8C6318697EBF}"/>
    <hyperlink ref="AM404" r:id="rId11" xr:uid="{27C2A380-D4E1-4A95-919F-A9543475C0E6}"/>
    <hyperlink ref="AM407" r:id="rId12" xr:uid="{9E0EE9CB-4E41-4BB0-8BCF-E16DBF1F3D69}"/>
    <hyperlink ref="AM411" r:id="rId13" xr:uid="{E7A40A82-E69F-4156-B015-6E357F052AF6}"/>
    <hyperlink ref="AM413" r:id="rId14" xr:uid="{80AA6D2E-06A1-436F-8D91-D5D3EA0F4AC4}"/>
    <hyperlink ref="AM415" r:id="rId15" xr:uid="{EB61FD91-EEE3-4E20-996E-8849F581E47A}"/>
    <hyperlink ref="AM416" r:id="rId16" xr:uid="{7D095E13-6CA4-4659-89FE-6D7B78538908}"/>
    <hyperlink ref="AM417" r:id="rId17" xr:uid="{236C2E54-F0AF-43B5-AEEA-3DB33EDA8989}"/>
    <hyperlink ref="AM412" r:id="rId18" xr:uid="{74276460-A52C-4B1E-862F-DA42E7B806AF}"/>
    <hyperlink ref="AM419" r:id="rId19" xr:uid="{3537E8EF-22BD-4E3F-A6BE-34D35A680C32}"/>
    <hyperlink ref="AM421" r:id="rId20" xr:uid="{83383D90-B7AE-4CFB-A09D-9C7F804C04E3}"/>
    <hyperlink ref="AM422" r:id="rId21" xr:uid="{7869D956-BF64-43B3-AF23-7113C767ACE5}"/>
    <hyperlink ref="AM423" r:id="rId22" xr:uid="{C3F75384-2700-45D0-9E6D-8D1EBEF4AA3C}"/>
    <hyperlink ref="AM424" r:id="rId23" xr:uid="{9E725B6A-40B9-49B4-98B4-5EA38F0B0297}"/>
    <hyperlink ref="AM426" r:id="rId24" xr:uid="{98496423-D515-4708-B0B2-FD12F45FCFBC}"/>
    <hyperlink ref="AM428" r:id="rId25" xr:uid="{1CE53236-71AE-4A8A-98B9-7783257199AE}"/>
    <hyperlink ref="AM431" r:id="rId26" xr:uid="{C54CC246-C019-4432-8AF1-EFC2BED2B911}"/>
    <hyperlink ref="AM433" r:id="rId27" xr:uid="{9A8CED17-5205-4F4E-8558-D05EEFFCEFFA}"/>
    <hyperlink ref="AM439" r:id="rId28" xr:uid="{9244BC84-4331-4179-A90B-F5C636DEB662}"/>
    <hyperlink ref="AM442" r:id="rId29" xr:uid="{A0C92FF1-E860-48C9-B0E5-901A7DD65746}"/>
    <hyperlink ref="AM443" r:id="rId30" xr:uid="{4C1E40D3-ED6A-4BC8-8DA3-AF6BF7431BC3}"/>
    <hyperlink ref="AM445" r:id="rId31" xr:uid="{7B7A8F57-7315-49B1-A318-2EC5C4372B24}"/>
    <hyperlink ref="AM446" r:id="rId32" xr:uid="{446036D8-E890-4F67-8D09-EA5FC3988FB4}"/>
    <hyperlink ref="AM447" r:id="rId33" xr:uid="{6D35B290-4CF8-4620-B3EF-2EDEBBCCDB6F}"/>
    <hyperlink ref="AM449" r:id="rId34" xr:uid="{5E050AEE-526F-4B6E-9535-3781927F78C9}"/>
    <hyperlink ref="AM450" r:id="rId35" xr:uid="{246A14CF-C0BD-4C5E-9E09-D6768D18D178}"/>
    <hyperlink ref="AM451" r:id="rId36" xr:uid="{E2E3AB1B-27FE-427C-8669-6AD5AA39FFDB}"/>
    <hyperlink ref="AM452" r:id="rId37" xr:uid="{CDBEAFBB-5E50-4DDB-91F0-95EC78058A3B}"/>
    <hyperlink ref="AM455" r:id="rId38" xr:uid="{AE83B1C3-777D-4BC7-9F01-AA21C9CED0F4}"/>
    <hyperlink ref="AM457" r:id="rId39" xr:uid="{D622B9F7-2F5B-44F4-A91B-27D62BDB2E77}"/>
    <hyperlink ref="AM460" r:id="rId40" xr:uid="{75704864-0491-4F03-991C-5B3625588D94}"/>
    <hyperlink ref="AM461" r:id="rId41" xr:uid="{FD24326F-2C35-4ED9-B46A-045C312C0919}"/>
    <hyperlink ref="AM462" r:id="rId42" xr:uid="{D4A6C8AF-E3F7-487B-AEA1-8F53C3307B63}"/>
    <hyperlink ref="AM464" r:id="rId43" xr:uid="{D2B71562-2925-4820-9FE2-8FC081445F69}"/>
    <hyperlink ref="AM467" r:id="rId44" xr:uid="{D7FC9323-A554-4ACF-9EE8-1AA29986CB27}"/>
    <hyperlink ref="AM468" r:id="rId45" xr:uid="{F7328D6A-5795-4676-B234-C0CB227B8502}"/>
    <hyperlink ref="AM476" r:id="rId46" xr:uid="{4C3E3C75-C689-485B-914F-F4EF442DB1F5}"/>
    <hyperlink ref="AM474" r:id="rId47" xr:uid="{70354C77-C4FE-4E43-A195-DA792ED1DE43}"/>
    <hyperlink ref="AM475" r:id="rId48" xr:uid="{DD0BBF57-0E41-4E7C-A8D4-6280328B5DC2}"/>
    <hyperlink ref="AM478" r:id="rId49" xr:uid="{0D364848-8137-48AA-A149-190634E44AB3}"/>
    <hyperlink ref="AM472" r:id="rId50" xr:uid="{4FF46E8F-6EA8-45FE-9C31-8581FBE6720C}"/>
  </hyperlinks>
  <printOptions horizontalCentered="1"/>
  <pageMargins left="0" right="0" top="0" bottom="0" header="0.51181102362204722" footer="0.51181102362204722"/>
  <pageSetup paperSize="9" scale="80" orientation="landscape" horizontalDpi="300" verticalDpi="300" r:id="rId51"/>
  <headerFooter alignWithMargins="0"/>
  <drawing r:id="rId5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C16CA-FD2D-44BB-84E8-A4E938CCA43B}">
  <dimension ref="A1:AY517"/>
  <sheetViews>
    <sheetView rightToLeft="1" topLeftCell="A418" workbookViewId="0">
      <selection activeCell="D418" sqref="D418"/>
    </sheetView>
  </sheetViews>
  <sheetFormatPr defaultColWidth="9.7109375" defaultRowHeight="20.100000000000001" customHeight="1" x14ac:dyDescent="0.2"/>
  <cols>
    <col min="1" max="1" width="4.7109375" style="2" bestFit="1" customWidth="1"/>
    <col min="2" max="2" width="10.42578125" style="5" bestFit="1" customWidth="1"/>
    <col min="3" max="3" width="7.85546875" style="5" customWidth="1"/>
    <col min="4" max="4" width="20.140625" style="1" customWidth="1"/>
    <col min="5" max="5" width="9.140625" style="1" customWidth="1"/>
    <col min="6" max="7" width="20.42578125" style="1" customWidth="1"/>
    <col min="8" max="8" width="18.42578125" style="1" customWidth="1"/>
    <col min="9" max="9" width="5.85546875" style="1" hidden="1" customWidth="1"/>
    <col min="10" max="14" width="5.7109375" style="1" hidden="1" customWidth="1"/>
    <col min="15" max="15" width="10.42578125" style="7" customWidth="1"/>
    <col min="16" max="16" width="5.7109375" style="7" customWidth="1"/>
    <col min="17" max="17" width="5.7109375" style="8" customWidth="1"/>
    <col min="18" max="18" width="9.140625" style="8" bestFit="1" customWidth="1"/>
    <col min="19" max="19" width="12.42578125" style="1" customWidth="1"/>
    <col min="20" max="21" width="9.28515625" style="1" customWidth="1"/>
    <col min="22" max="23" width="9" style="8" customWidth="1"/>
    <col min="24" max="24" width="12.85546875" style="1" customWidth="1"/>
    <col min="25" max="25" width="8.28515625" style="1" customWidth="1"/>
    <col min="26" max="26" width="11.5703125" style="1" customWidth="1"/>
    <col min="27" max="39" width="5.7109375" style="1" customWidth="1"/>
    <col min="40" max="40" width="11.5703125" style="1" customWidth="1"/>
    <col min="41" max="42" width="5.7109375" style="1" customWidth="1"/>
    <col min="43" max="44" width="11.5703125" style="1" customWidth="1"/>
    <col min="45" max="48" width="9.140625" customWidth="1"/>
    <col min="49" max="49" width="8" customWidth="1"/>
    <col min="50" max="50" width="6" customWidth="1"/>
    <col min="51" max="51" width="97.28515625" style="4" customWidth="1"/>
    <col min="52" max="16384" width="9.7109375" style="4"/>
  </cols>
  <sheetData>
    <row r="1" spans="1:51" ht="36" customHeight="1" x14ac:dyDescent="0.2">
      <c r="A1" s="592" t="s">
        <v>3714</v>
      </c>
      <c r="B1" s="592"/>
      <c r="C1" s="593" t="s">
        <v>58</v>
      </c>
      <c r="D1" s="593"/>
      <c r="E1" s="594" t="s">
        <v>62</v>
      </c>
      <c r="F1" s="595"/>
      <c r="G1" s="604" t="s">
        <v>59</v>
      </c>
      <c r="H1" s="604"/>
      <c r="O1" s="26"/>
      <c r="S1" s="8"/>
      <c r="T1" s="8"/>
      <c r="U1" s="8"/>
      <c r="X1" s="8"/>
      <c r="Y1" s="8"/>
    </row>
    <row r="2" spans="1:51" ht="20.100000000000001" customHeight="1" x14ac:dyDescent="0.2">
      <c r="A2" s="2">
        <v>1</v>
      </c>
      <c r="B2" s="5">
        <v>2</v>
      </c>
      <c r="D2" s="14">
        <v>3</v>
      </c>
      <c r="E2" s="2">
        <v>4</v>
      </c>
      <c r="F2" s="5">
        <v>5</v>
      </c>
      <c r="G2" s="14">
        <v>6</v>
      </c>
      <c r="H2" s="2">
        <v>7</v>
      </c>
      <c r="I2" s="5">
        <v>8</v>
      </c>
      <c r="J2" s="14">
        <v>9</v>
      </c>
      <c r="K2" s="2">
        <v>10</v>
      </c>
      <c r="L2" s="5">
        <v>11</v>
      </c>
      <c r="M2" s="14">
        <v>12</v>
      </c>
      <c r="N2" s="2">
        <v>13</v>
      </c>
      <c r="O2" s="5">
        <v>14</v>
      </c>
      <c r="P2" s="14">
        <v>15</v>
      </c>
      <c r="Q2" s="2">
        <v>16</v>
      </c>
      <c r="R2" s="5">
        <v>17</v>
      </c>
      <c r="S2" s="14">
        <v>18</v>
      </c>
      <c r="T2" s="2">
        <v>19</v>
      </c>
      <c r="U2" s="5">
        <v>20</v>
      </c>
      <c r="V2" s="14">
        <v>21</v>
      </c>
      <c r="W2" s="2">
        <v>22</v>
      </c>
      <c r="X2" s="5">
        <v>23</v>
      </c>
      <c r="Y2" s="14">
        <v>24</v>
      </c>
      <c r="Z2" s="2">
        <v>25</v>
      </c>
      <c r="AA2" s="5">
        <v>26</v>
      </c>
      <c r="AB2" s="14">
        <v>27</v>
      </c>
      <c r="AC2" s="2">
        <v>28</v>
      </c>
      <c r="AD2" s="5">
        <v>29</v>
      </c>
      <c r="AE2" s="14">
        <v>30</v>
      </c>
      <c r="AF2" s="2">
        <v>31</v>
      </c>
      <c r="AG2" s="5">
        <v>32</v>
      </c>
      <c r="AH2" s="14">
        <v>33</v>
      </c>
      <c r="AI2" s="2">
        <v>34</v>
      </c>
      <c r="AJ2" s="5">
        <v>35</v>
      </c>
      <c r="AK2" s="14">
        <v>36</v>
      </c>
      <c r="AL2" s="2">
        <v>37</v>
      </c>
      <c r="AM2" s="5">
        <v>38</v>
      </c>
      <c r="AN2" s="14">
        <v>39</v>
      </c>
      <c r="AO2" s="2">
        <v>40</v>
      </c>
      <c r="AP2" s="5">
        <v>41</v>
      </c>
      <c r="AQ2" s="14">
        <v>42</v>
      </c>
      <c r="AR2" s="14"/>
      <c r="AS2" s="2">
        <v>43</v>
      </c>
      <c r="AT2" s="5">
        <v>44</v>
      </c>
      <c r="AU2" s="14">
        <v>45</v>
      </c>
      <c r="AV2" s="2">
        <v>46</v>
      </c>
      <c r="AW2" s="5"/>
      <c r="AX2" s="5"/>
    </row>
    <row r="3" spans="1:51" ht="20.100000000000001" customHeight="1" x14ac:dyDescent="0.2">
      <c r="A3" s="22">
        <f t="shared" ref="A3:AQ3" si="0">SUBTOTAL(103,A8:A514)</f>
        <v>492</v>
      </c>
      <c r="B3" s="22">
        <f t="shared" si="0"/>
        <v>507</v>
      </c>
      <c r="C3" s="22">
        <f t="shared" si="0"/>
        <v>506</v>
      </c>
      <c r="D3" s="22">
        <f t="shared" si="0"/>
        <v>507</v>
      </c>
      <c r="E3" s="22">
        <f t="shared" si="0"/>
        <v>507</v>
      </c>
      <c r="F3" s="22">
        <f t="shared" si="0"/>
        <v>278</v>
      </c>
      <c r="G3" s="22">
        <f t="shared" si="0"/>
        <v>27</v>
      </c>
      <c r="H3" s="24">
        <f t="shared" si="0"/>
        <v>507</v>
      </c>
      <c r="I3" s="22">
        <f t="shared" si="0"/>
        <v>62</v>
      </c>
      <c r="J3" s="22">
        <f t="shared" si="0"/>
        <v>0</v>
      </c>
      <c r="K3" s="22">
        <f t="shared" si="0"/>
        <v>0</v>
      </c>
      <c r="L3" s="22">
        <f t="shared" si="0"/>
        <v>0</v>
      </c>
      <c r="M3" s="22">
        <f t="shared" si="0"/>
        <v>0</v>
      </c>
      <c r="N3" s="22">
        <f t="shared" si="0"/>
        <v>0</v>
      </c>
      <c r="O3" s="22">
        <f t="shared" si="0"/>
        <v>504</v>
      </c>
      <c r="P3" s="22">
        <f t="shared" si="0"/>
        <v>235</v>
      </c>
      <c r="Q3" s="22">
        <f t="shared" si="0"/>
        <v>485</v>
      </c>
      <c r="R3" s="22">
        <f t="shared" si="0"/>
        <v>454</v>
      </c>
      <c r="S3" s="22">
        <f t="shared" si="0"/>
        <v>476</v>
      </c>
      <c r="T3" s="22">
        <f t="shared" si="0"/>
        <v>477</v>
      </c>
      <c r="U3" s="22">
        <f t="shared" si="0"/>
        <v>238</v>
      </c>
      <c r="V3" s="22">
        <f t="shared" si="0"/>
        <v>485</v>
      </c>
      <c r="W3" s="22">
        <f t="shared" si="0"/>
        <v>451</v>
      </c>
      <c r="X3" s="22">
        <f t="shared" si="0"/>
        <v>475</v>
      </c>
      <c r="Y3" s="22">
        <f t="shared" si="0"/>
        <v>477</v>
      </c>
      <c r="Z3" s="22">
        <f t="shared" si="0"/>
        <v>454</v>
      </c>
      <c r="AA3" s="22">
        <f t="shared" si="0"/>
        <v>107</v>
      </c>
      <c r="AB3" s="22">
        <f t="shared" si="0"/>
        <v>117</v>
      </c>
      <c r="AC3" s="22">
        <f t="shared" si="0"/>
        <v>193</v>
      </c>
      <c r="AD3" s="22">
        <f t="shared" si="0"/>
        <v>382</v>
      </c>
      <c r="AE3" s="22">
        <f t="shared" si="0"/>
        <v>103</v>
      </c>
      <c r="AF3" s="22">
        <f t="shared" si="0"/>
        <v>109</v>
      </c>
      <c r="AG3" s="22">
        <f t="shared" si="0"/>
        <v>112</v>
      </c>
      <c r="AH3" s="22">
        <f t="shared" si="0"/>
        <v>112</v>
      </c>
      <c r="AI3" s="22">
        <f t="shared" si="0"/>
        <v>118</v>
      </c>
      <c r="AJ3" s="22">
        <f t="shared" si="0"/>
        <v>116</v>
      </c>
      <c r="AK3" s="22">
        <f t="shared" si="0"/>
        <v>8</v>
      </c>
      <c r="AL3" s="22">
        <f t="shared" si="0"/>
        <v>8</v>
      </c>
      <c r="AM3" s="22">
        <f t="shared" si="0"/>
        <v>208</v>
      </c>
      <c r="AN3" s="22">
        <f t="shared" si="0"/>
        <v>343</v>
      </c>
      <c r="AO3" s="22">
        <f t="shared" si="0"/>
        <v>289</v>
      </c>
      <c r="AP3" s="22">
        <f t="shared" si="0"/>
        <v>271</v>
      </c>
      <c r="AQ3" s="22">
        <f t="shared" si="0"/>
        <v>115</v>
      </c>
      <c r="AR3" s="22"/>
      <c r="AS3" s="22">
        <f>SUBTOTAL(103,AS8:AS514)</f>
        <v>230</v>
      </c>
      <c r="AT3" s="22">
        <f>SUBTOTAL(103,AT8:AT514)</f>
        <v>230</v>
      </c>
      <c r="AU3" s="22">
        <f>SUBTOTAL(103,AU8:AU514)</f>
        <v>229</v>
      </c>
      <c r="AV3" s="22">
        <f>SUBTOTAL(103,AV8:AV514)</f>
        <v>229</v>
      </c>
      <c r="AW3" s="22">
        <f>SUBTOTAL(102,AW8:AW514)</f>
        <v>229</v>
      </c>
      <c r="AX3" s="22">
        <f>SUBTOTAL(102,AX8:AX514)</f>
        <v>71</v>
      </c>
    </row>
    <row r="4" spans="1:51" ht="20.100000000000001" customHeight="1" x14ac:dyDescent="0.2">
      <c r="D4" s="14"/>
      <c r="E4" s="2"/>
      <c r="F4" s="5"/>
      <c r="G4" s="14"/>
      <c r="H4" s="2"/>
      <c r="I4" s="5"/>
      <c r="J4" s="14"/>
      <c r="K4" s="2"/>
      <c r="L4" s="5"/>
      <c r="M4" s="14"/>
      <c r="N4" s="2"/>
      <c r="O4" s="5"/>
      <c r="P4" s="14"/>
      <c r="Q4" s="2"/>
      <c r="R4" s="5"/>
      <c r="S4" s="14"/>
      <c r="T4" s="2"/>
      <c r="U4" s="5"/>
      <c r="V4" s="14"/>
      <c r="W4" s="2"/>
      <c r="X4" s="5"/>
      <c r="Y4" s="14"/>
      <c r="Z4" s="2"/>
      <c r="AA4" s="5"/>
      <c r="AB4" s="14"/>
      <c r="AC4" s="2"/>
      <c r="AD4" s="5">
        <f>SUBTOTAL(109,AD8:AD514)/AD3</f>
        <v>170.72251308900525</v>
      </c>
      <c r="AE4" s="14"/>
      <c r="AF4" s="2"/>
      <c r="AG4" s="5"/>
      <c r="AH4" s="14"/>
      <c r="AI4" s="2"/>
      <c r="AJ4" s="5"/>
      <c r="AK4" s="14"/>
      <c r="AL4" s="2"/>
      <c r="AM4" s="5"/>
      <c r="AN4" s="14"/>
      <c r="AO4" s="5">
        <f>SUBTOTAL(109,AO8:AO514)/AO3</f>
        <v>131.32871972318338</v>
      </c>
      <c r="AP4" s="5">
        <f>SUBTOTAL(109,AP8:AP514)/AP3</f>
        <v>18.001107011070111</v>
      </c>
      <c r="AQ4" s="14"/>
      <c r="AR4" s="14"/>
      <c r="AS4" s="2"/>
      <c r="AT4" s="5"/>
      <c r="AU4" s="14"/>
      <c r="AV4" s="2"/>
      <c r="AW4" s="5">
        <f>SUBTOTAL(109,AW8:AW514)/AW3</f>
        <v>37.851528384279476</v>
      </c>
      <c r="AX4" s="23">
        <f>AX3/AW3</f>
        <v>0.31004366812227074</v>
      </c>
    </row>
    <row r="5" spans="1:51" s="3" customFormat="1" ht="20.25" customHeight="1" x14ac:dyDescent="0.2">
      <c r="A5" s="597" t="s">
        <v>0</v>
      </c>
      <c r="B5" s="559" t="s">
        <v>1</v>
      </c>
      <c r="C5" s="559" t="s">
        <v>53</v>
      </c>
      <c r="D5" s="559" t="s">
        <v>2</v>
      </c>
      <c r="E5" s="559" t="s">
        <v>5</v>
      </c>
      <c r="F5" s="559" t="s">
        <v>40</v>
      </c>
      <c r="G5" s="559" t="s">
        <v>41</v>
      </c>
      <c r="H5" s="559" t="s">
        <v>55</v>
      </c>
      <c r="I5" s="597" t="s">
        <v>52</v>
      </c>
      <c r="J5" s="597" t="s">
        <v>43</v>
      </c>
      <c r="K5" s="597" t="s">
        <v>44</v>
      </c>
      <c r="L5" s="597" t="s">
        <v>42</v>
      </c>
      <c r="M5" s="597" t="s">
        <v>45</v>
      </c>
      <c r="N5" s="597" t="s">
        <v>46</v>
      </c>
      <c r="O5" s="559" t="s">
        <v>3</v>
      </c>
      <c r="P5" s="559" t="s">
        <v>17</v>
      </c>
      <c r="Q5" s="559"/>
      <c r="R5" s="559"/>
      <c r="S5" s="559"/>
      <c r="T5" s="559"/>
      <c r="U5" s="559"/>
      <c r="V5" s="559"/>
      <c r="W5" s="559"/>
      <c r="X5" s="559"/>
      <c r="Y5" s="559"/>
      <c r="Z5" s="559" t="s">
        <v>4</v>
      </c>
      <c r="AA5" s="597" t="s">
        <v>426</v>
      </c>
      <c r="AB5" s="597" t="s">
        <v>427</v>
      </c>
      <c r="AC5" s="597" t="s">
        <v>48</v>
      </c>
      <c r="AD5" s="597" t="s">
        <v>47</v>
      </c>
      <c r="AE5" s="597" t="s">
        <v>31</v>
      </c>
      <c r="AF5" s="597" t="s">
        <v>32</v>
      </c>
      <c r="AG5" s="597" t="s">
        <v>33</v>
      </c>
      <c r="AH5" s="597" t="s">
        <v>34</v>
      </c>
      <c r="AI5" s="597" t="s">
        <v>35</v>
      </c>
      <c r="AJ5" s="597" t="s">
        <v>37</v>
      </c>
      <c r="AK5" s="597" t="s">
        <v>38</v>
      </c>
      <c r="AL5" s="597" t="s">
        <v>39</v>
      </c>
      <c r="AM5" s="559" t="s">
        <v>22</v>
      </c>
      <c r="AN5" s="559" t="s">
        <v>61</v>
      </c>
      <c r="AO5" s="559" t="s">
        <v>24</v>
      </c>
      <c r="AP5" s="559" t="s">
        <v>25</v>
      </c>
      <c r="AQ5" s="559" t="s">
        <v>23</v>
      </c>
      <c r="AR5" s="553" t="s">
        <v>60</v>
      </c>
      <c r="AS5" s="600" t="s">
        <v>27</v>
      </c>
      <c r="AT5" s="600" t="s">
        <v>28</v>
      </c>
      <c r="AU5" s="600" t="s">
        <v>11</v>
      </c>
      <c r="AV5" s="600" t="s">
        <v>12</v>
      </c>
      <c r="AW5" s="601" t="s">
        <v>13</v>
      </c>
      <c r="AX5" s="601" t="s">
        <v>54</v>
      </c>
      <c r="AY5" s="602" t="s">
        <v>29</v>
      </c>
    </row>
    <row r="6" spans="1:51" s="3" customFormat="1" ht="20.25" x14ac:dyDescent="0.2">
      <c r="A6" s="597"/>
      <c r="B6" s="559"/>
      <c r="C6" s="559"/>
      <c r="D6" s="559"/>
      <c r="E6" s="559"/>
      <c r="F6" s="559"/>
      <c r="G6" s="559"/>
      <c r="H6" s="559"/>
      <c r="I6" s="597"/>
      <c r="J6" s="597"/>
      <c r="K6" s="597"/>
      <c r="L6" s="597"/>
      <c r="M6" s="597"/>
      <c r="N6" s="597"/>
      <c r="O6" s="559"/>
      <c r="P6" s="559" t="s">
        <v>18</v>
      </c>
      <c r="Q6" s="559"/>
      <c r="R6" s="559"/>
      <c r="S6" s="559"/>
      <c r="T6" s="559"/>
      <c r="U6" s="559" t="s">
        <v>14</v>
      </c>
      <c r="V6" s="559"/>
      <c r="W6" s="559"/>
      <c r="X6" s="559"/>
      <c r="Y6" s="559"/>
      <c r="Z6" s="559"/>
      <c r="AA6" s="597"/>
      <c r="AB6" s="597"/>
      <c r="AC6" s="597"/>
      <c r="AD6" s="597"/>
      <c r="AE6" s="597"/>
      <c r="AF6" s="597"/>
      <c r="AG6" s="597"/>
      <c r="AH6" s="597"/>
      <c r="AI6" s="597"/>
      <c r="AJ6" s="597"/>
      <c r="AK6" s="597"/>
      <c r="AL6" s="597"/>
      <c r="AM6" s="559"/>
      <c r="AN6" s="559"/>
      <c r="AO6" s="559"/>
      <c r="AP6" s="559"/>
      <c r="AQ6" s="559"/>
      <c r="AR6" s="599"/>
      <c r="AS6" s="600"/>
      <c r="AT6" s="600"/>
      <c r="AU6" s="600"/>
      <c r="AV6" s="600"/>
      <c r="AW6" s="601"/>
      <c r="AX6" s="601"/>
      <c r="AY6" s="602"/>
    </row>
    <row r="7" spans="1:51" s="3" customFormat="1" ht="87" x14ac:dyDescent="0.2">
      <c r="A7" s="597"/>
      <c r="B7" s="559"/>
      <c r="C7" s="559"/>
      <c r="D7" s="559"/>
      <c r="E7" s="559"/>
      <c r="F7" s="559"/>
      <c r="G7" s="559"/>
      <c r="H7" s="559"/>
      <c r="I7" s="597"/>
      <c r="J7" s="597"/>
      <c r="K7" s="597"/>
      <c r="L7" s="597"/>
      <c r="M7" s="597"/>
      <c r="N7" s="597"/>
      <c r="O7" s="559"/>
      <c r="P7" s="9" t="s">
        <v>50</v>
      </c>
      <c r="Q7" s="9" t="s">
        <v>51</v>
      </c>
      <c r="R7" s="9" t="s">
        <v>26</v>
      </c>
      <c r="S7" s="9" t="s">
        <v>16</v>
      </c>
      <c r="T7" s="10" t="s">
        <v>15</v>
      </c>
      <c r="U7" s="10" t="s">
        <v>36</v>
      </c>
      <c r="V7" s="11" t="s">
        <v>49</v>
      </c>
      <c r="W7" s="11" t="s">
        <v>26</v>
      </c>
      <c r="X7" s="9" t="s">
        <v>16</v>
      </c>
      <c r="Y7" s="10" t="s">
        <v>15</v>
      </c>
      <c r="Z7" s="559"/>
      <c r="AA7" s="597"/>
      <c r="AB7" s="597"/>
      <c r="AC7" s="597"/>
      <c r="AD7" s="597"/>
      <c r="AE7" s="597"/>
      <c r="AF7" s="597"/>
      <c r="AG7" s="597"/>
      <c r="AH7" s="597"/>
      <c r="AI7" s="597"/>
      <c r="AJ7" s="597"/>
      <c r="AK7" s="597"/>
      <c r="AL7" s="597"/>
      <c r="AM7" s="559"/>
      <c r="AN7" s="559"/>
      <c r="AO7" s="559"/>
      <c r="AP7" s="559"/>
      <c r="AQ7" s="559"/>
      <c r="AR7" s="554"/>
      <c r="AS7" s="600"/>
      <c r="AT7" s="600"/>
      <c r="AU7" s="600"/>
      <c r="AV7" s="600"/>
      <c r="AW7" s="601"/>
      <c r="AX7" s="601"/>
      <c r="AY7" s="602"/>
    </row>
    <row r="8" spans="1:51" ht="20.100000000000001" customHeight="1" x14ac:dyDescent="0.2">
      <c r="A8" s="13">
        <v>1</v>
      </c>
      <c r="B8" s="40" t="s">
        <v>428</v>
      </c>
      <c r="C8" s="40" t="s">
        <v>64</v>
      </c>
      <c r="D8" s="41" t="s">
        <v>365</v>
      </c>
      <c r="E8" s="41" t="s">
        <v>20</v>
      </c>
      <c r="F8" s="41" t="s">
        <v>192</v>
      </c>
      <c r="G8" s="41"/>
      <c r="H8" s="13" t="s">
        <v>7</v>
      </c>
      <c r="I8" s="42"/>
      <c r="J8" s="13"/>
      <c r="K8" s="13"/>
      <c r="L8" s="13"/>
      <c r="M8" s="13"/>
      <c r="N8" s="13"/>
      <c r="O8" s="40" t="s">
        <v>92</v>
      </c>
      <c r="P8" s="41"/>
      <c r="Q8" s="41" t="s">
        <v>68</v>
      </c>
      <c r="R8" s="41" t="s">
        <v>373</v>
      </c>
      <c r="S8" s="41" t="s">
        <v>69</v>
      </c>
      <c r="T8" s="13" t="s">
        <v>70</v>
      </c>
      <c r="U8" s="41" t="s">
        <v>429</v>
      </c>
      <c r="V8" s="41" t="s">
        <v>71</v>
      </c>
      <c r="W8" s="41"/>
      <c r="X8" s="41" t="s">
        <v>73</v>
      </c>
      <c r="Y8" s="41" t="s">
        <v>70</v>
      </c>
      <c r="Z8" s="13">
        <v>0</v>
      </c>
      <c r="AA8" s="13"/>
      <c r="AB8" s="13"/>
      <c r="AC8" s="13"/>
      <c r="AD8" s="40">
        <v>210</v>
      </c>
      <c r="AE8" s="40"/>
      <c r="AF8" s="40"/>
      <c r="AG8" s="40"/>
      <c r="AH8" s="40"/>
      <c r="AI8" s="40"/>
      <c r="AJ8" s="40"/>
      <c r="AK8" s="40"/>
      <c r="AL8" s="40"/>
      <c r="AM8" s="33" t="s">
        <v>158</v>
      </c>
      <c r="AN8" s="41" t="s">
        <v>430</v>
      </c>
      <c r="AO8" s="43">
        <v>210</v>
      </c>
      <c r="AP8" s="13">
        <v>18.5</v>
      </c>
      <c r="AQ8" s="40" t="s">
        <v>160</v>
      </c>
      <c r="AR8" s="40"/>
      <c r="AS8" s="44"/>
      <c r="AT8" s="44"/>
      <c r="AU8" s="44"/>
      <c r="AV8" s="44"/>
      <c r="AW8" s="12" t="str">
        <f t="shared" ref="AW8:AW71" si="1">IF(AS8*AU8&gt;0,(AS8-AU8)*12+(AT8-AV8),"")</f>
        <v/>
      </c>
      <c r="AX8" s="12" t="str">
        <f>IF(AW8&lt;13,AW8,"")</f>
        <v/>
      </c>
      <c r="AY8" s="45"/>
    </row>
    <row r="9" spans="1:51" ht="20.100000000000001" customHeight="1" x14ac:dyDescent="0.2">
      <c r="A9" s="13">
        <v>2</v>
      </c>
      <c r="B9" s="40" t="s">
        <v>431</v>
      </c>
      <c r="C9" s="40" t="s">
        <v>64</v>
      </c>
      <c r="D9" s="41" t="s">
        <v>241</v>
      </c>
      <c r="E9" s="41" t="s">
        <v>8</v>
      </c>
      <c r="F9" s="41"/>
      <c r="G9" s="41"/>
      <c r="H9" s="13" t="s">
        <v>7</v>
      </c>
      <c r="I9" s="42"/>
      <c r="J9" s="13"/>
      <c r="K9" s="13"/>
      <c r="L9" s="13"/>
      <c r="M9" s="13"/>
      <c r="N9" s="13"/>
      <c r="O9" s="40" t="s">
        <v>92</v>
      </c>
      <c r="P9" s="35" t="s">
        <v>155</v>
      </c>
      <c r="Q9" s="35" t="s">
        <v>218</v>
      </c>
      <c r="R9" s="41" t="s">
        <v>267</v>
      </c>
      <c r="S9" s="41" t="s">
        <v>262</v>
      </c>
      <c r="T9" s="13" t="s">
        <v>70</v>
      </c>
      <c r="U9" s="35" t="s">
        <v>167</v>
      </c>
      <c r="V9" s="35" t="s">
        <v>268</v>
      </c>
      <c r="W9" s="41"/>
      <c r="X9" s="41" t="s">
        <v>142</v>
      </c>
      <c r="Y9" s="41" t="s">
        <v>70</v>
      </c>
      <c r="Z9" s="13">
        <v>0</v>
      </c>
      <c r="AA9" s="13"/>
      <c r="AB9" s="13"/>
      <c r="AC9" s="13"/>
      <c r="AD9" s="40">
        <v>210</v>
      </c>
      <c r="AE9" s="40"/>
      <c r="AF9" s="40"/>
      <c r="AG9" s="40"/>
      <c r="AH9" s="40"/>
      <c r="AI9" s="40"/>
      <c r="AJ9" s="40"/>
      <c r="AK9" s="40"/>
      <c r="AL9" s="40"/>
      <c r="AM9" s="33" t="s">
        <v>158</v>
      </c>
      <c r="AN9" s="41" t="s">
        <v>430</v>
      </c>
      <c r="AO9" s="43">
        <v>218</v>
      </c>
      <c r="AP9" s="13">
        <v>20</v>
      </c>
      <c r="AQ9" s="40" t="s">
        <v>111</v>
      </c>
      <c r="AR9" s="40"/>
      <c r="AS9" s="6"/>
      <c r="AT9" s="6"/>
      <c r="AU9" s="6"/>
      <c r="AV9" s="6"/>
      <c r="AW9" s="12" t="str">
        <f t="shared" si="1"/>
        <v/>
      </c>
      <c r="AX9" s="12" t="str">
        <f t="shared" ref="AX9:AX72" si="2">IF(AW9&lt;13,AW9,"")</f>
        <v/>
      </c>
      <c r="AY9" s="45"/>
    </row>
    <row r="10" spans="1:51" ht="20.100000000000001" customHeight="1" x14ac:dyDescent="0.2">
      <c r="A10" s="13">
        <v>3</v>
      </c>
      <c r="B10" s="40" t="s">
        <v>432</v>
      </c>
      <c r="C10" s="40" t="s">
        <v>64</v>
      </c>
      <c r="D10" s="41" t="s">
        <v>433</v>
      </c>
      <c r="E10" s="41" t="s">
        <v>243</v>
      </c>
      <c r="F10" s="41" t="s">
        <v>185</v>
      </c>
      <c r="G10" s="41"/>
      <c r="H10" s="13" t="s">
        <v>83</v>
      </c>
      <c r="I10" s="13"/>
      <c r="J10" s="13"/>
      <c r="K10" s="13"/>
      <c r="L10" s="13"/>
      <c r="M10" s="13"/>
      <c r="N10" s="13"/>
      <c r="O10" s="40" t="s">
        <v>92</v>
      </c>
      <c r="P10" s="41"/>
      <c r="Q10" s="41" t="s">
        <v>104</v>
      </c>
      <c r="R10" s="41"/>
      <c r="S10" s="41" t="s">
        <v>142</v>
      </c>
      <c r="T10" s="13" t="s">
        <v>70</v>
      </c>
      <c r="U10" s="41"/>
      <c r="V10" s="41" t="s">
        <v>108</v>
      </c>
      <c r="W10" s="41"/>
      <c r="X10" s="41" t="s">
        <v>142</v>
      </c>
      <c r="Y10" s="41" t="s">
        <v>70</v>
      </c>
      <c r="Z10" s="13" t="s">
        <v>434</v>
      </c>
      <c r="AA10" s="13"/>
      <c r="AB10" s="13"/>
      <c r="AC10" s="13"/>
      <c r="AD10" s="40">
        <v>189</v>
      </c>
      <c r="AE10" s="40"/>
      <c r="AF10" s="40"/>
      <c r="AG10" s="40"/>
      <c r="AH10" s="40"/>
      <c r="AI10" s="40"/>
      <c r="AJ10" s="40"/>
      <c r="AK10" s="40"/>
      <c r="AL10" s="40"/>
      <c r="AM10" s="15" t="s">
        <v>158</v>
      </c>
      <c r="AN10" s="41"/>
      <c r="AO10" s="41"/>
      <c r="AP10" s="13"/>
      <c r="AQ10" s="40"/>
      <c r="AR10" s="40"/>
      <c r="AS10" s="44" t="s">
        <v>115</v>
      </c>
      <c r="AT10" s="44" t="s">
        <v>435</v>
      </c>
      <c r="AU10" s="44" t="s">
        <v>123</v>
      </c>
      <c r="AV10" s="44" t="s">
        <v>116</v>
      </c>
      <c r="AW10" s="12">
        <f t="shared" si="1"/>
        <v>38</v>
      </c>
      <c r="AX10" s="12" t="str">
        <f t="shared" si="2"/>
        <v/>
      </c>
      <c r="AY10" s="45"/>
    </row>
    <row r="11" spans="1:51" ht="20.100000000000001" customHeight="1" x14ac:dyDescent="0.2">
      <c r="A11" s="13">
        <v>4</v>
      </c>
      <c r="B11" s="40" t="s">
        <v>436</v>
      </c>
      <c r="C11" s="40" t="s">
        <v>64</v>
      </c>
      <c r="D11" s="41" t="s">
        <v>433</v>
      </c>
      <c r="E11" s="41" t="s">
        <v>243</v>
      </c>
      <c r="F11" s="41"/>
      <c r="G11" s="41"/>
      <c r="H11" s="13" t="s">
        <v>7</v>
      </c>
      <c r="I11" s="13"/>
      <c r="J11" s="13"/>
      <c r="K11" s="13"/>
      <c r="L11" s="13"/>
      <c r="M11" s="13"/>
      <c r="N11" s="13"/>
      <c r="O11" s="40" t="s">
        <v>92</v>
      </c>
      <c r="P11" s="41" t="s">
        <v>104</v>
      </c>
      <c r="Q11" s="41" t="s">
        <v>104</v>
      </c>
      <c r="R11" s="41" t="s">
        <v>437</v>
      </c>
      <c r="S11" s="41" t="s">
        <v>106</v>
      </c>
      <c r="T11" s="13" t="s">
        <v>107</v>
      </c>
      <c r="U11" s="41" t="s">
        <v>108</v>
      </c>
      <c r="V11" s="41" t="s">
        <v>108</v>
      </c>
      <c r="W11" s="41"/>
      <c r="X11" s="41" t="s">
        <v>119</v>
      </c>
      <c r="Y11" s="41" t="s">
        <v>107</v>
      </c>
      <c r="Z11" s="13">
        <v>0</v>
      </c>
      <c r="AA11" s="13"/>
      <c r="AB11" s="13"/>
      <c r="AC11" s="13"/>
      <c r="AD11" s="40">
        <v>189</v>
      </c>
      <c r="AE11" s="40"/>
      <c r="AF11" s="40"/>
      <c r="AG11" s="40"/>
      <c r="AH11" s="40"/>
      <c r="AI11" s="40"/>
      <c r="AJ11" s="40"/>
      <c r="AK11" s="40"/>
      <c r="AL11" s="40"/>
      <c r="AM11" s="41"/>
      <c r="AN11" s="41" t="s">
        <v>432</v>
      </c>
      <c r="AO11" s="43">
        <v>132</v>
      </c>
      <c r="AP11" s="13">
        <v>27.3</v>
      </c>
      <c r="AQ11" s="40" t="s">
        <v>111</v>
      </c>
      <c r="AR11" s="40"/>
      <c r="AS11" s="6"/>
      <c r="AT11" s="6"/>
      <c r="AU11" s="6"/>
      <c r="AV11" s="6"/>
      <c r="AW11" s="12" t="str">
        <f t="shared" si="1"/>
        <v/>
      </c>
      <c r="AX11" s="12" t="str">
        <f t="shared" si="2"/>
        <v/>
      </c>
      <c r="AY11" s="45"/>
    </row>
    <row r="12" spans="1:51" s="21" customFormat="1" ht="20.100000000000001" customHeight="1" x14ac:dyDescent="0.2">
      <c r="A12" s="13">
        <v>5</v>
      </c>
      <c r="B12" s="29" t="s">
        <v>438</v>
      </c>
      <c r="C12" s="29" t="s">
        <v>64</v>
      </c>
      <c r="D12" s="30" t="s">
        <v>439</v>
      </c>
      <c r="E12" s="30" t="s">
        <v>9</v>
      </c>
      <c r="F12" s="30" t="s">
        <v>185</v>
      </c>
      <c r="G12" s="30"/>
      <c r="H12" s="20" t="s">
        <v>83</v>
      </c>
      <c r="I12" s="20"/>
      <c r="J12" s="20"/>
      <c r="K12" s="20"/>
      <c r="L12" s="20"/>
      <c r="M12" s="20"/>
      <c r="N12" s="20"/>
      <c r="O12" s="29" t="s">
        <v>92</v>
      </c>
      <c r="P12" s="30"/>
      <c r="Q12" s="30" t="s">
        <v>104</v>
      </c>
      <c r="R12" s="30"/>
      <c r="S12" s="30" t="s">
        <v>119</v>
      </c>
      <c r="T12" s="20" t="s">
        <v>107</v>
      </c>
      <c r="U12" s="30"/>
      <c r="V12" s="30" t="s">
        <v>402</v>
      </c>
      <c r="W12" s="30"/>
      <c r="X12" s="30" t="s">
        <v>119</v>
      </c>
      <c r="Y12" s="30" t="s">
        <v>107</v>
      </c>
      <c r="Z12" s="20" t="s">
        <v>440</v>
      </c>
      <c r="AA12" s="20"/>
      <c r="AB12" s="20"/>
      <c r="AC12" s="20"/>
      <c r="AD12" s="29">
        <v>196</v>
      </c>
      <c r="AE12" s="29"/>
      <c r="AF12" s="29"/>
      <c r="AG12" s="29"/>
      <c r="AH12" s="29"/>
      <c r="AI12" s="29"/>
      <c r="AJ12" s="29"/>
      <c r="AK12" s="29"/>
      <c r="AL12" s="29"/>
      <c r="AM12" s="20" t="s">
        <v>158</v>
      </c>
      <c r="AN12" s="30"/>
      <c r="AO12" s="30"/>
      <c r="AP12" s="20"/>
      <c r="AQ12" s="29"/>
      <c r="AR12" s="29"/>
      <c r="AS12" s="30" t="s">
        <v>115</v>
      </c>
      <c r="AT12" s="30" t="s">
        <v>435</v>
      </c>
      <c r="AU12" s="30" t="s">
        <v>136</v>
      </c>
      <c r="AV12" s="30" t="s">
        <v>441</v>
      </c>
      <c r="AW12" s="31">
        <f t="shared" si="1"/>
        <v>3</v>
      </c>
      <c r="AX12" s="31">
        <f t="shared" si="2"/>
        <v>3</v>
      </c>
      <c r="AY12" s="32"/>
    </row>
    <row r="13" spans="1:51" ht="20.100000000000001" customHeight="1" x14ac:dyDescent="0.2">
      <c r="A13" s="13">
        <v>6</v>
      </c>
      <c r="B13" s="40" t="s">
        <v>442</v>
      </c>
      <c r="C13" s="40" t="s">
        <v>64</v>
      </c>
      <c r="D13" s="41" t="s">
        <v>443</v>
      </c>
      <c r="E13" s="41" t="s">
        <v>9</v>
      </c>
      <c r="F13" s="41" t="s">
        <v>185</v>
      </c>
      <c r="G13" s="41"/>
      <c r="H13" s="13" t="s">
        <v>83</v>
      </c>
      <c r="I13" s="13"/>
      <c r="J13" s="13"/>
      <c r="K13" s="13"/>
      <c r="L13" s="13"/>
      <c r="M13" s="13"/>
      <c r="N13" s="13"/>
      <c r="O13" s="40" t="s">
        <v>92</v>
      </c>
      <c r="P13" s="41"/>
      <c r="Q13" s="41" t="s">
        <v>104</v>
      </c>
      <c r="R13" s="41"/>
      <c r="S13" s="41" t="s">
        <v>444</v>
      </c>
      <c r="T13" s="13" t="s">
        <v>107</v>
      </c>
      <c r="U13" s="41"/>
      <c r="V13" s="41" t="s">
        <v>108</v>
      </c>
      <c r="W13" s="41"/>
      <c r="X13" s="41" t="s">
        <v>444</v>
      </c>
      <c r="Y13" s="41" t="s">
        <v>107</v>
      </c>
      <c r="Z13" s="13" t="s">
        <v>445</v>
      </c>
      <c r="AA13" s="13"/>
      <c r="AB13" s="13"/>
      <c r="AC13" s="13"/>
      <c r="AD13" s="40">
        <v>174</v>
      </c>
      <c r="AE13" s="40"/>
      <c r="AF13" s="40"/>
      <c r="AG13" s="40"/>
      <c r="AH13" s="40"/>
      <c r="AI13" s="40"/>
      <c r="AJ13" s="40"/>
      <c r="AK13" s="40"/>
      <c r="AL13" s="40"/>
      <c r="AM13" s="41"/>
      <c r="AN13" s="41"/>
      <c r="AO13" s="41"/>
      <c r="AP13" s="13"/>
      <c r="AQ13" s="40"/>
      <c r="AR13" s="40"/>
      <c r="AS13" s="6" t="s">
        <v>115</v>
      </c>
      <c r="AT13" s="6" t="s">
        <v>435</v>
      </c>
      <c r="AU13" s="6" t="s">
        <v>396</v>
      </c>
      <c r="AV13" s="6" t="s">
        <v>260</v>
      </c>
      <c r="AW13" s="12">
        <f t="shared" si="1"/>
        <v>85</v>
      </c>
      <c r="AX13" s="12" t="str">
        <f t="shared" si="2"/>
        <v/>
      </c>
      <c r="AY13" s="45"/>
    </row>
    <row r="14" spans="1:51" ht="20.100000000000001" customHeight="1" x14ac:dyDescent="0.2">
      <c r="A14" s="13">
        <v>7</v>
      </c>
      <c r="B14" s="40" t="s">
        <v>446</v>
      </c>
      <c r="C14" s="40" t="s">
        <v>64</v>
      </c>
      <c r="D14" s="41" t="s">
        <v>439</v>
      </c>
      <c r="E14" s="41" t="s">
        <v>9</v>
      </c>
      <c r="F14" s="41"/>
      <c r="G14" s="41"/>
      <c r="H14" s="13" t="s">
        <v>7</v>
      </c>
      <c r="I14" s="13"/>
      <c r="J14" s="13"/>
      <c r="K14" s="13"/>
      <c r="L14" s="13"/>
      <c r="M14" s="13"/>
      <c r="N14" s="13"/>
      <c r="O14" s="40" t="s">
        <v>92</v>
      </c>
      <c r="P14" s="35" t="s">
        <v>104</v>
      </c>
      <c r="Q14" s="35" t="s">
        <v>68</v>
      </c>
      <c r="R14" s="41" t="s">
        <v>447</v>
      </c>
      <c r="S14" s="41" t="s">
        <v>106</v>
      </c>
      <c r="T14" s="13" t="s">
        <v>107</v>
      </c>
      <c r="U14" s="41" t="s">
        <v>402</v>
      </c>
      <c r="V14" s="41" t="s">
        <v>402</v>
      </c>
      <c r="W14" s="41"/>
      <c r="X14" s="41" t="s">
        <v>119</v>
      </c>
      <c r="Y14" s="41" t="s">
        <v>107</v>
      </c>
      <c r="Z14" s="13">
        <v>0</v>
      </c>
      <c r="AA14" s="13"/>
      <c r="AB14" s="13"/>
      <c r="AC14" s="13"/>
      <c r="AD14" s="40">
        <v>198</v>
      </c>
      <c r="AE14" s="40"/>
      <c r="AF14" s="40"/>
      <c r="AG14" s="40"/>
      <c r="AH14" s="40"/>
      <c r="AI14" s="40"/>
      <c r="AJ14" s="40"/>
      <c r="AK14" s="40"/>
      <c r="AL14" s="40"/>
      <c r="AM14" s="33" t="s">
        <v>158</v>
      </c>
      <c r="AN14" s="41" t="s">
        <v>442</v>
      </c>
      <c r="AO14" s="43">
        <v>205</v>
      </c>
      <c r="AP14" s="13">
        <v>14.5</v>
      </c>
      <c r="AQ14" s="40" t="s">
        <v>111</v>
      </c>
      <c r="AR14" s="40"/>
      <c r="AS14" s="44"/>
      <c r="AT14" s="44"/>
      <c r="AU14" s="44"/>
      <c r="AV14" s="44"/>
      <c r="AW14" s="12" t="str">
        <f t="shared" si="1"/>
        <v/>
      </c>
      <c r="AX14" s="12" t="str">
        <f t="shared" si="2"/>
        <v/>
      </c>
      <c r="AY14" s="45"/>
    </row>
    <row r="15" spans="1:51" ht="20.100000000000001" customHeight="1" x14ac:dyDescent="0.2">
      <c r="A15" s="13">
        <v>8</v>
      </c>
      <c r="B15" s="40" t="s">
        <v>446</v>
      </c>
      <c r="C15" s="40" t="s">
        <v>64</v>
      </c>
      <c r="D15" s="41" t="s">
        <v>448</v>
      </c>
      <c r="E15" s="41" t="s">
        <v>20</v>
      </c>
      <c r="F15" s="41"/>
      <c r="G15" s="41"/>
      <c r="H15" s="13" t="s">
        <v>7</v>
      </c>
      <c r="I15" s="13"/>
      <c r="J15" s="13"/>
      <c r="K15" s="13"/>
      <c r="L15" s="13"/>
      <c r="M15" s="13"/>
      <c r="N15" s="13"/>
      <c r="O15" s="40" t="s">
        <v>67</v>
      </c>
      <c r="P15" s="35" t="s">
        <v>104</v>
      </c>
      <c r="Q15" s="35" t="s">
        <v>68</v>
      </c>
      <c r="R15" s="41" t="s">
        <v>449</v>
      </c>
      <c r="S15" s="41" t="s">
        <v>69</v>
      </c>
      <c r="T15" s="13" t="s">
        <v>70</v>
      </c>
      <c r="U15" s="35" t="s">
        <v>305</v>
      </c>
      <c r="V15" s="35" t="s">
        <v>450</v>
      </c>
      <c r="W15" s="41"/>
      <c r="X15" s="41" t="s">
        <v>73</v>
      </c>
      <c r="Y15" s="41" t="s">
        <v>70</v>
      </c>
      <c r="Z15" s="13">
        <v>0</v>
      </c>
      <c r="AA15" s="13"/>
      <c r="AB15" s="13"/>
      <c r="AC15" s="13"/>
      <c r="AD15" s="40">
        <v>204</v>
      </c>
      <c r="AE15" s="40"/>
      <c r="AF15" s="40"/>
      <c r="AG15" s="40"/>
      <c r="AH15" s="40"/>
      <c r="AI15" s="40"/>
      <c r="AJ15" s="40"/>
      <c r="AK15" s="40"/>
      <c r="AL15" s="40"/>
      <c r="AM15" s="33" t="s">
        <v>158</v>
      </c>
      <c r="AN15" s="41" t="s">
        <v>436</v>
      </c>
      <c r="AO15" s="43">
        <v>230</v>
      </c>
      <c r="AP15" s="13">
        <v>15.5</v>
      </c>
      <c r="AQ15" s="40" t="s">
        <v>160</v>
      </c>
      <c r="AR15" s="40"/>
      <c r="AS15" s="6"/>
      <c r="AT15" s="6"/>
      <c r="AU15" s="6"/>
      <c r="AV15" s="6"/>
      <c r="AW15" s="12" t="str">
        <f t="shared" si="1"/>
        <v/>
      </c>
      <c r="AX15" s="12" t="str">
        <f t="shared" si="2"/>
        <v/>
      </c>
      <c r="AY15" s="45"/>
    </row>
    <row r="16" spans="1:51" ht="20.100000000000001" customHeight="1" x14ac:dyDescent="0.2">
      <c r="A16" s="13">
        <v>9</v>
      </c>
      <c r="B16" s="40" t="s">
        <v>451</v>
      </c>
      <c r="C16" s="40" t="s">
        <v>64</v>
      </c>
      <c r="D16" s="41" t="s">
        <v>452</v>
      </c>
      <c r="E16" s="41" t="s">
        <v>9</v>
      </c>
      <c r="F16" s="41"/>
      <c r="G16" s="41"/>
      <c r="H16" s="13" t="s">
        <v>7</v>
      </c>
      <c r="I16" s="13"/>
      <c r="J16" s="13"/>
      <c r="K16" s="13"/>
      <c r="L16" s="13"/>
      <c r="M16" s="13"/>
      <c r="N16" s="13"/>
      <c r="O16" s="40" t="s">
        <v>67</v>
      </c>
      <c r="P16" s="35" t="s">
        <v>218</v>
      </c>
      <c r="Q16" s="35" t="s">
        <v>251</v>
      </c>
      <c r="R16" s="41"/>
      <c r="S16" s="41" t="s">
        <v>119</v>
      </c>
      <c r="T16" s="13" t="s">
        <v>107</v>
      </c>
      <c r="U16" s="35" t="s">
        <v>453</v>
      </c>
      <c r="V16" s="35" t="s">
        <v>454</v>
      </c>
      <c r="W16" s="41"/>
      <c r="X16" s="41" t="s">
        <v>119</v>
      </c>
      <c r="Y16" s="41" t="s">
        <v>107</v>
      </c>
      <c r="Z16" s="13">
        <v>0</v>
      </c>
      <c r="AA16" s="13"/>
      <c r="AB16" s="13"/>
      <c r="AC16" s="13"/>
      <c r="AD16" s="40">
        <v>238</v>
      </c>
      <c r="AE16" s="40"/>
      <c r="AF16" s="40"/>
      <c r="AG16" s="40"/>
      <c r="AH16" s="40"/>
      <c r="AI16" s="40"/>
      <c r="AJ16" s="40"/>
      <c r="AK16" s="40"/>
      <c r="AL16" s="40"/>
      <c r="AM16" s="33" t="s">
        <v>158</v>
      </c>
      <c r="AN16" s="41" t="s">
        <v>442</v>
      </c>
      <c r="AO16" s="43">
        <v>354</v>
      </c>
      <c r="AP16" s="13">
        <v>15</v>
      </c>
      <c r="AQ16" s="40" t="s">
        <v>160</v>
      </c>
      <c r="AR16" s="40"/>
      <c r="AS16" s="44"/>
      <c r="AT16" s="44"/>
      <c r="AU16" s="44"/>
      <c r="AV16" s="44"/>
      <c r="AW16" s="12" t="str">
        <f t="shared" si="1"/>
        <v/>
      </c>
      <c r="AX16" s="12" t="str">
        <f t="shared" si="2"/>
        <v/>
      </c>
      <c r="AY16" s="45"/>
    </row>
    <row r="17" spans="1:51" s="21" customFormat="1" ht="20.100000000000001" customHeight="1" x14ac:dyDescent="0.2">
      <c r="A17" s="13">
        <v>10</v>
      </c>
      <c r="B17" s="29" t="s">
        <v>451</v>
      </c>
      <c r="C17" s="29" t="s">
        <v>64</v>
      </c>
      <c r="D17" s="30" t="s">
        <v>455</v>
      </c>
      <c r="E17" s="30" t="s">
        <v>6</v>
      </c>
      <c r="F17" s="30" t="s">
        <v>456</v>
      </c>
      <c r="G17" s="30"/>
      <c r="H17" s="20" t="s">
        <v>83</v>
      </c>
      <c r="I17" s="20"/>
      <c r="J17" s="20"/>
      <c r="K17" s="20"/>
      <c r="L17" s="20"/>
      <c r="M17" s="20"/>
      <c r="N17" s="20"/>
      <c r="O17" s="29" t="s">
        <v>92</v>
      </c>
      <c r="P17" s="30"/>
      <c r="Q17" s="30" t="s">
        <v>155</v>
      </c>
      <c r="R17" s="30"/>
      <c r="S17" s="30" t="s">
        <v>119</v>
      </c>
      <c r="T17" s="20" t="s">
        <v>107</v>
      </c>
      <c r="U17" s="30"/>
      <c r="V17" s="30" t="s">
        <v>324</v>
      </c>
      <c r="W17" s="30"/>
      <c r="X17" s="30" t="s">
        <v>119</v>
      </c>
      <c r="Y17" s="30" t="s">
        <v>107</v>
      </c>
      <c r="Z17" s="20" t="s">
        <v>457</v>
      </c>
      <c r="AA17" s="20"/>
      <c r="AB17" s="20"/>
      <c r="AC17" s="20"/>
      <c r="AD17" s="29">
        <v>210</v>
      </c>
      <c r="AE17" s="29"/>
      <c r="AF17" s="29"/>
      <c r="AG17" s="29"/>
      <c r="AH17" s="29"/>
      <c r="AI17" s="29"/>
      <c r="AJ17" s="29"/>
      <c r="AK17" s="29"/>
      <c r="AL17" s="29"/>
      <c r="AM17" s="20" t="s">
        <v>158</v>
      </c>
      <c r="AN17" s="30"/>
      <c r="AO17" s="30"/>
      <c r="AP17" s="20"/>
      <c r="AQ17" s="29"/>
      <c r="AR17" s="29"/>
      <c r="AS17" s="30" t="s">
        <v>115</v>
      </c>
      <c r="AT17" s="30" t="s">
        <v>435</v>
      </c>
      <c r="AU17" s="30" t="s">
        <v>136</v>
      </c>
      <c r="AV17" s="30" t="s">
        <v>458</v>
      </c>
      <c r="AW17" s="31">
        <f t="shared" si="1"/>
        <v>9</v>
      </c>
      <c r="AX17" s="31">
        <f t="shared" si="2"/>
        <v>9</v>
      </c>
      <c r="AY17" s="32"/>
    </row>
    <row r="18" spans="1:51" ht="20.100000000000001" customHeight="1" x14ac:dyDescent="0.2">
      <c r="A18" s="13">
        <v>11</v>
      </c>
      <c r="B18" s="40" t="s">
        <v>459</v>
      </c>
      <c r="C18" s="40" t="s">
        <v>64</v>
      </c>
      <c r="D18" s="41" t="s">
        <v>460</v>
      </c>
      <c r="E18" s="41" t="s">
        <v>6</v>
      </c>
      <c r="F18" s="41" t="s">
        <v>185</v>
      </c>
      <c r="G18" s="41"/>
      <c r="H18" s="13" t="s">
        <v>83</v>
      </c>
      <c r="I18" s="13"/>
      <c r="J18" s="13"/>
      <c r="K18" s="13"/>
      <c r="L18" s="13"/>
      <c r="M18" s="13"/>
      <c r="N18" s="13"/>
      <c r="O18" s="40" t="s">
        <v>92</v>
      </c>
      <c r="P18" s="41"/>
      <c r="Q18" s="41" t="s">
        <v>68</v>
      </c>
      <c r="R18" s="41"/>
      <c r="S18" s="41" t="s">
        <v>69</v>
      </c>
      <c r="T18" s="13" t="s">
        <v>70</v>
      </c>
      <c r="U18" s="41"/>
      <c r="V18" s="41" t="s">
        <v>332</v>
      </c>
      <c r="W18" s="41"/>
      <c r="X18" s="41" t="s">
        <v>444</v>
      </c>
      <c r="Y18" s="41" t="s">
        <v>107</v>
      </c>
      <c r="Z18" s="13" t="s">
        <v>461</v>
      </c>
      <c r="AA18" s="13"/>
      <c r="AB18" s="13"/>
      <c r="AC18" s="13"/>
      <c r="AD18" s="40">
        <v>120</v>
      </c>
      <c r="AE18" s="40"/>
      <c r="AF18" s="40"/>
      <c r="AG18" s="40"/>
      <c r="AH18" s="40"/>
      <c r="AI18" s="40"/>
      <c r="AJ18" s="40"/>
      <c r="AK18" s="40"/>
      <c r="AL18" s="40"/>
      <c r="AM18" s="41"/>
      <c r="AN18" s="41"/>
      <c r="AO18" s="41"/>
      <c r="AP18" s="13"/>
      <c r="AQ18" s="40"/>
      <c r="AR18" s="40"/>
      <c r="AS18" s="44" t="s">
        <v>115</v>
      </c>
      <c r="AT18" s="44" t="s">
        <v>435</v>
      </c>
      <c r="AU18" s="44" t="s">
        <v>396</v>
      </c>
      <c r="AV18" s="44" t="s">
        <v>116</v>
      </c>
      <c r="AW18" s="12">
        <f t="shared" si="1"/>
        <v>86</v>
      </c>
      <c r="AX18" s="12" t="str">
        <f t="shared" si="2"/>
        <v/>
      </c>
      <c r="AY18" s="45"/>
    </row>
    <row r="19" spans="1:51" ht="20.100000000000001" customHeight="1" x14ac:dyDescent="0.2">
      <c r="A19" s="13">
        <v>12</v>
      </c>
      <c r="B19" s="40" t="s">
        <v>462</v>
      </c>
      <c r="C19" s="40" t="s">
        <v>64</v>
      </c>
      <c r="D19" s="41" t="s">
        <v>463</v>
      </c>
      <c r="E19" s="41" t="s">
        <v>6</v>
      </c>
      <c r="F19" s="41" t="s">
        <v>185</v>
      </c>
      <c r="G19" s="41"/>
      <c r="H19" s="13" t="s">
        <v>83</v>
      </c>
      <c r="I19" s="13"/>
      <c r="J19" s="13"/>
      <c r="K19" s="13"/>
      <c r="L19" s="13"/>
      <c r="M19" s="13"/>
      <c r="N19" s="13"/>
      <c r="O19" s="40" t="s">
        <v>92</v>
      </c>
      <c r="P19" s="41"/>
      <c r="Q19" s="41" t="s">
        <v>140</v>
      </c>
      <c r="R19" s="41"/>
      <c r="S19" s="41" t="s">
        <v>119</v>
      </c>
      <c r="T19" s="13" t="s">
        <v>107</v>
      </c>
      <c r="U19" s="41"/>
      <c r="V19" s="41" t="s">
        <v>188</v>
      </c>
      <c r="W19" s="41"/>
      <c r="X19" s="41" t="s">
        <v>142</v>
      </c>
      <c r="Y19" s="41" t="s">
        <v>70</v>
      </c>
      <c r="Z19" s="13" t="s">
        <v>464</v>
      </c>
      <c r="AA19" s="13"/>
      <c r="AB19" s="13"/>
      <c r="AC19" s="13"/>
      <c r="AD19" s="40">
        <v>90</v>
      </c>
      <c r="AE19" s="40"/>
      <c r="AF19" s="40"/>
      <c r="AG19" s="40"/>
      <c r="AH19" s="40"/>
      <c r="AI19" s="40"/>
      <c r="AJ19" s="40"/>
      <c r="AK19" s="40"/>
      <c r="AL19" s="40"/>
      <c r="AM19" s="41"/>
      <c r="AN19" s="41"/>
      <c r="AO19" s="41"/>
      <c r="AP19" s="13"/>
      <c r="AQ19" s="40"/>
      <c r="AR19" s="40"/>
      <c r="AS19" s="6" t="s">
        <v>115</v>
      </c>
      <c r="AT19" s="6" t="s">
        <v>435</v>
      </c>
      <c r="AU19" s="6" t="s">
        <v>259</v>
      </c>
      <c r="AV19" s="6" t="s">
        <v>465</v>
      </c>
      <c r="AW19" s="12">
        <f t="shared" si="1"/>
        <v>79</v>
      </c>
      <c r="AX19" s="12" t="str">
        <f t="shared" si="2"/>
        <v/>
      </c>
      <c r="AY19" s="45"/>
    </row>
    <row r="20" spans="1:51" ht="20.100000000000001" customHeight="1" x14ac:dyDescent="0.2">
      <c r="A20" s="13">
        <v>13</v>
      </c>
      <c r="B20" s="40" t="s">
        <v>466</v>
      </c>
      <c r="C20" s="40" t="s">
        <v>64</v>
      </c>
      <c r="D20" s="41" t="s">
        <v>460</v>
      </c>
      <c r="E20" s="41" t="s">
        <v>6</v>
      </c>
      <c r="F20" s="41"/>
      <c r="G20" s="41"/>
      <c r="H20" s="13" t="s">
        <v>7</v>
      </c>
      <c r="I20" s="13"/>
      <c r="J20" s="13"/>
      <c r="K20" s="13"/>
      <c r="L20" s="13"/>
      <c r="M20" s="13"/>
      <c r="N20" s="13"/>
      <c r="O20" s="40" t="s">
        <v>92</v>
      </c>
      <c r="P20" s="41" t="s">
        <v>68</v>
      </c>
      <c r="Q20" s="41" t="s">
        <v>68</v>
      </c>
      <c r="R20" s="41" t="s">
        <v>467</v>
      </c>
      <c r="S20" s="41" t="s">
        <v>106</v>
      </c>
      <c r="T20" s="13" t="s">
        <v>107</v>
      </c>
      <c r="U20" s="41" t="s">
        <v>332</v>
      </c>
      <c r="V20" s="41" t="s">
        <v>332</v>
      </c>
      <c r="W20" s="41"/>
      <c r="X20" s="41" t="s">
        <v>106</v>
      </c>
      <c r="Y20" s="41" t="s">
        <v>107</v>
      </c>
      <c r="Z20" s="13">
        <v>0</v>
      </c>
      <c r="AA20" s="13"/>
      <c r="AB20" s="13"/>
      <c r="AC20" s="13"/>
      <c r="AD20" s="40">
        <v>120</v>
      </c>
      <c r="AE20" s="40"/>
      <c r="AF20" s="40"/>
      <c r="AG20" s="40"/>
      <c r="AH20" s="40"/>
      <c r="AI20" s="40"/>
      <c r="AJ20" s="40"/>
      <c r="AK20" s="40"/>
      <c r="AL20" s="40"/>
      <c r="AM20" s="41"/>
      <c r="AN20" s="41" t="s">
        <v>462</v>
      </c>
      <c r="AO20" s="43">
        <v>166</v>
      </c>
      <c r="AP20" s="13">
        <v>22.5</v>
      </c>
      <c r="AQ20" s="40" t="s">
        <v>111</v>
      </c>
      <c r="AR20" s="40"/>
      <c r="AS20" s="44"/>
      <c r="AT20" s="44"/>
      <c r="AU20" s="44"/>
      <c r="AV20" s="44"/>
      <c r="AW20" s="12" t="str">
        <f t="shared" si="1"/>
        <v/>
      </c>
      <c r="AX20" s="12" t="str">
        <f t="shared" si="2"/>
        <v/>
      </c>
      <c r="AY20" s="45"/>
    </row>
    <row r="21" spans="1:51" ht="20.100000000000001" customHeight="1" x14ac:dyDescent="0.2">
      <c r="A21" s="13">
        <v>14</v>
      </c>
      <c r="B21" s="40" t="s">
        <v>468</v>
      </c>
      <c r="C21" s="40" t="s">
        <v>64</v>
      </c>
      <c r="D21" s="41" t="s">
        <v>463</v>
      </c>
      <c r="E21" s="41" t="s">
        <v>6</v>
      </c>
      <c r="F21" s="41"/>
      <c r="G21" s="41"/>
      <c r="H21" s="13" t="s">
        <v>7</v>
      </c>
      <c r="I21" s="13"/>
      <c r="J21" s="13"/>
      <c r="K21" s="13"/>
      <c r="L21" s="13"/>
      <c r="M21" s="13"/>
      <c r="N21" s="13"/>
      <c r="O21" s="40" t="s">
        <v>92</v>
      </c>
      <c r="P21" s="35" t="s">
        <v>140</v>
      </c>
      <c r="Q21" s="35" t="s">
        <v>117</v>
      </c>
      <c r="R21" s="41" t="s">
        <v>469</v>
      </c>
      <c r="S21" s="41" t="s">
        <v>106</v>
      </c>
      <c r="T21" s="13" t="s">
        <v>107</v>
      </c>
      <c r="U21" s="35" t="s">
        <v>188</v>
      </c>
      <c r="V21" s="35" t="s">
        <v>470</v>
      </c>
      <c r="W21" s="41"/>
      <c r="X21" s="41" t="s">
        <v>106</v>
      </c>
      <c r="Y21" s="41" t="s">
        <v>107</v>
      </c>
      <c r="Z21" s="13">
        <v>0</v>
      </c>
      <c r="AA21" s="13"/>
      <c r="AB21" s="13"/>
      <c r="AC21" s="13"/>
      <c r="AD21" s="40">
        <v>90</v>
      </c>
      <c r="AE21" s="40"/>
      <c r="AF21" s="40"/>
      <c r="AG21" s="40"/>
      <c r="AH21" s="40"/>
      <c r="AI21" s="40"/>
      <c r="AJ21" s="40"/>
      <c r="AK21" s="40"/>
      <c r="AL21" s="40"/>
      <c r="AM21" s="33" t="s">
        <v>158</v>
      </c>
      <c r="AN21" s="41" t="s">
        <v>466</v>
      </c>
      <c r="AO21" s="43">
        <v>127</v>
      </c>
      <c r="AP21" s="13">
        <v>22</v>
      </c>
      <c r="AQ21" s="40" t="s">
        <v>111</v>
      </c>
      <c r="AR21" s="40"/>
      <c r="AS21" s="6"/>
      <c r="AT21" s="6"/>
      <c r="AU21" s="6"/>
      <c r="AV21" s="6"/>
      <c r="AW21" s="12" t="str">
        <f t="shared" si="1"/>
        <v/>
      </c>
      <c r="AX21" s="12" t="str">
        <f t="shared" si="2"/>
        <v/>
      </c>
      <c r="AY21" s="45"/>
    </row>
    <row r="22" spans="1:51" ht="20.100000000000001" customHeight="1" x14ac:dyDescent="0.2">
      <c r="A22" s="13">
        <v>15</v>
      </c>
      <c r="B22" s="40" t="s">
        <v>471</v>
      </c>
      <c r="C22" s="40" t="s">
        <v>64</v>
      </c>
      <c r="D22" s="41" t="s">
        <v>455</v>
      </c>
      <c r="E22" s="41" t="s">
        <v>6</v>
      </c>
      <c r="F22" s="41"/>
      <c r="G22" s="41"/>
      <c r="H22" s="13" t="s">
        <v>7</v>
      </c>
      <c r="I22" s="13"/>
      <c r="J22" s="13"/>
      <c r="K22" s="13"/>
      <c r="L22" s="13"/>
      <c r="M22" s="13"/>
      <c r="N22" s="13"/>
      <c r="O22" s="40" t="s">
        <v>92</v>
      </c>
      <c r="P22" s="35" t="s">
        <v>155</v>
      </c>
      <c r="Q22" s="35" t="s">
        <v>140</v>
      </c>
      <c r="R22" s="41" t="s">
        <v>472</v>
      </c>
      <c r="S22" s="41" t="s">
        <v>69</v>
      </c>
      <c r="T22" s="13" t="s">
        <v>70</v>
      </c>
      <c r="U22" s="35" t="s">
        <v>324</v>
      </c>
      <c r="V22" s="35" t="s">
        <v>328</v>
      </c>
      <c r="W22" s="41"/>
      <c r="X22" s="41" t="s">
        <v>119</v>
      </c>
      <c r="Y22" s="41" t="s">
        <v>107</v>
      </c>
      <c r="Z22" s="13">
        <v>0</v>
      </c>
      <c r="AA22" s="13"/>
      <c r="AB22" s="13"/>
      <c r="AC22" s="13"/>
      <c r="AD22" s="40">
        <v>210</v>
      </c>
      <c r="AE22" s="40"/>
      <c r="AF22" s="40"/>
      <c r="AG22" s="40"/>
      <c r="AH22" s="40"/>
      <c r="AI22" s="40"/>
      <c r="AJ22" s="40"/>
      <c r="AK22" s="40"/>
      <c r="AL22" s="40"/>
      <c r="AM22" s="33" t="s">
        <v>158</v>
      </c>
      <c r="AN22" s="41" t="s">
        <v>468</v>
      </c>
      <c r="AO22" s="43">
        <v>173</v>
      </c>
      <c r="AP22" s="13">
        <v>12.1</v>
      </c>
      <c r="AQ22" s="40" t="s">
        <v>160</v>
      </c>
      <c r="AR22" s="40"/>
      <c r="AS22" s="44"/>
      <c r="AT22" s="44"/>
      <c r="AU22" s="44"/>
      <c r="AV22" s="44"/>
      <c r="AW22" s="12" t="str">
        <f t="shared" si="1"/>
        <v/>
      </c>
      <c r="AX22" s="12" t="str">
        <f t="shared" si="2"/>
        <v/>
      </c>
      <c r="AY22" s="45"/>
    </row>
    <row r="23" spans="1:51" s="21" customFormat="1" ht="20.100000000000001" customHeight="1" x14ac:dyDescent="0.2">
      <c r="A23" s="13">
        <v>16</v>
      </c>
      <c r="B23" s="29" t="s">
        <v>473</v>
      </c>
      <c r="C23" s="29" t="s">
        <v>64</v>
      </c>
      <c r="D23" s="30" t="s">
        <v>474</v>
      </c>
      <c r="E23" s="30" t="s">
        <v>10</v>
      </c>
      <c r="F23" s="30" t="s">
        <v>186</v>
      </c>
      <c r="G23" s="30"/>
      <c r="H23" s="20" t="s">
        <v>83</v>
      </c>
      <c r="I23" s="20"/>
      <c r="J23" s="20"/>
      <c r="K23" s="20"/>
      <c r="L23" s="20"/>
      <c r="M23" s="20"/>
      <c r="N23" s="20"/>
      <c r="O23" s="29" t="s">
        <v>92</v>
      </c>
      <c r="P23" s="30"/>
      <c r="Q23" s="30" t="s">
        <v>117</v>
      </c>
      <c r="R23" s="30"/>
      <c r="S23" s="30" t="s">
        <v>119</v>
      </c>
      <c r="T23" s="20" t="s">
        <v>107</v>
      </c>
      <c r="U23" s="30"/>
      <c r="V23" s="30" t="s">
        <v>204</v>
      </c>
      <c r="W23" s="30"/>
      <c r="X23" s="30" t="s">
        <v>119</v>
      </c>
      <c r="Y23" s="30" t="s">
        <v>107</v>
      </c>
      <c r="Z23" s="20" t="s">
        <v>475</v>
      </c>
      <c r="AA23" s="20"/>
      <c r="AB23" s="20"/>
      <c r="AC23" s="20"/>
      <c r="AD23" s="29">
        <v>180</v>
      </c>
      <c r="AE23" s="29"/>
      <c r="AF23" s="29"/>
      <c r="AG23" s="29"/>
      <c r="AH23" s="29"/>
      <c r="AI23" s="29"/>
      <c r="AJ23" s="29"/>
      <c r="AK23" s="29"/>
      <c r="AL23" s="29"/>
      <c r="AM23" s="30"/>
      <c r="AN23" s="30"/>
      <c r="AO23" s="30"/>
      <c r="AP23" s="20"/>
      <c r="AQ23" s="29" t="s">
        <v>111</v>
      </c>
      <c r="AR23" s="29"/>
      <c r="AS23" s="30" t="s">
        <v>115</v>
      </c>
      <c r="AT23" s="30" t="s">
        <v>435</v>
      </c>
      <c r="AU23" s="30" t="s">
        <v>136</v>
      </c>
      <c r="AV23" s="30" t="s">
        <v>435</v>
      </c>
      <c r="AW23" s="31">
        <f t="shared" si="1"/>
        <v>12</v>
      </c>
      <c r="AX23" s="31">
        <f t="shared" si="2"/>
        <v>12</v>
      </c>
      <c r="AY23" s="32"/>
    </row>
    <row r="24" spans="1:51" ht="20.100000000000001" customHeight="1" x14ac:dyDescent="0.2">
      <c r="A24" s="13">
        <v>17</v>
      </c>
      <c r="B24" s="40" t="s">
        <v>476</v>
      </c>
      <c r="C24" s="40" t="s">
        <v>64</v>
      </c>
      <c r="D24" s="41" t="s">
        <v>477</v>
      </c>
      <c r="E24" s="41" t="s">
        <v>19</v>
      </c>
      <c r="F24" s="41" t="s">
        <v>185</v>
      </c>
      <c r="G24" s="41"/>
      <c r="H24" s="13" t="s">
        <v>83</v>
      </c>
      <c r="I24" s="13"/>
      <c r="J24" s="13"/>
      <c r="K24" s="13"/>
      <c r="L24" s="13"/>
      <c r="M24" s="13"/>
      <c r="N24" s="13"/>
      <c r="O24" s="40" t="s">
        <v>92</v>
      </c>
      <c r="P24" s="41"/>
      <c r="Q24" s="41" t="s">
        <v>117</v>
      </c>
      <c r="R24" s="41"/>
      <c r="S24" s="41" t="s">
        <v>142</v>
      </c>
      <c r="T24" s="13" t="s">
        <v>70</v>
      </c>
      <c r="U24" s="41"/>
      <c r="V24" s="41" t="s">
        <v>470</v>
      </c>
      <c r="W24" s="41"/>
      <c r="X24" s="41" t="s">
        <v>142</v>
      </c>
      <c r="Y24" s="41" t="s">
        <v>70</v>
      </c>
      <c r="Z24" s="13" t="s">
        <v>478</v>
      </c>
      <c r="AA24" s="13"/>
      <c r="AB24" s="13"/>
      <c r="AC24" s="13"/>
      <c r="AD24" s="40">
        <v>220</v>
      </c>
      <c r="AE24" s="40"/>
      <c r="AF24" s="40"/>
      <c r="AG24" s="40"/>
      <c r="AH24" s="40"/>
      <c r="AI24" s="40"/>
      <c r="AJ24" s="40"/>
      <c r="AK24" s="40"/>
      <c r="AL24" s="40"/>
      <c r="AM24" s="41"/>
      <c r="AN24" s="41"/>
      <c r="AO24" s="41"/>
      <c r="AP24" s="13"/>
      <c r="AQ24" s="40" t="s">
        <v>160</v>
      </c>
      <c r="AR24" s="40"/>
      <c r="AS24" s="44" t="s">
        <v>115</v>
      </c>
      <c r="AT24" s="44" t="s">
        <v>435</v>
      </c>
      <c r="AU24" s="44" t="s">
        <v>348</v>
      </c>
      <c r="AV24" s="44" t="s">
        <v>458</v>
      </c>
      <c r="AW24" s="12">
        <f t="shared" si="1"/>
        <v>33</v>
      </c>
      <c r="AX24" s="12" t="str">
        <f t="shared" si="2"/>
        <v/>
      </c>
      <c r="AY24" s="45"/>
    </row>
    <row r="25" spans="1:51" ht="20.100000000000001" customHeight="1" x14ac:dyDescent="0.2">
      <c r="A25" s="13">
        <v>18</v>
      </c>
      <c r="B25" s="40" t="s">
        <v>479</v>
      </c>
      <c r="C25" s="40" t="s">
        <v>64</v>
      </c>
      <c r="D25" s="41" t="s">
        <v>480</v>
      </c>
      <c r="E25" s="41" t="s">
        <v>9</v>
      </c>
      <c r="F25" s="41" t="s">
        <v>481</v>
      </c>
      <c r="G25" s="41"/>
      <c r="H25" s="13" t="s">
        <v>83</v>
      </c>
      <c r="I25" s="13"/>
      <c r="J25" s="13"/>
      <c r="K25" s="13"/>
      <c r="L25" s="13"/>
      <c r="M25" s="13"/>
      <c r="N25" s="13"/>
      <c r="O25" s="40" t="s">
        <v>92</v>
      </c>
      <c r="P25" s="41"/>
      <c r="Q25" s="41" t="s">
        <v>155</v>
      </c>
      <c r="R25" s="41" t="s">
        <v>482</v>
      </c>
      <c r="S25" s="41" t="s">
        <v>142</v>
      </c>
      <c r="T25" s="13" t="s">
        <v>70</v>
      </c>
      <c r="U25" s="41"/>
      <c r="V25" s="41" t="s">
        <v>324</v>
      </c>
      <c r="W25" s="41" t="s">
        <v>483</v>
      </c>
      <c r="X25" s="41" t="s">
        <v>142</v>
      </c>
      <c r="Y25" s="41" t="s">
        <v>70</v>
      </c>
      <c r="Z25" s="13" t="s">
        <v>484</v>
      </c>
      <c r="AA25" s="13"/>
      <c r="AB25" s="13"/>
      <c r="AC25" s="13"/>
      <c r="AD25" s="40">
        <v>226</v>
      </c>
      <c r="AE25" s="40"/>
      <c r="AF25" s="40"/>
      <c r="AG25" s="40"/>
      <c r="AH25" s="40"/>
      <c r="AI25" s="40"/>
      <c r="AJ25" s="40"/>
      <c r="AK25" s="40"/>
      <c r="AL25" s="40"/>
      <c r="AM25" s="41"/>
      <c r="AN25" s="41"/>
      <c r="AO25" s="41"/>
      <c r="AP25" s="13"/>
      <c r="AQ25" s="40"/>
      <c r="AR25" s="40"/>
      <c r="AS25" s="6" t="s">
        <v>115</v>
      </c>
      <c r="AT25" s="6" t="s">
        <v>435</v>
      </c>
      <c r="AU25" s="6" t="s">
        <v>259</v>
      </c>
      <c r="AV25" s="6" t="s">
        <v>485</v>
      </c>
      <c r="AW25" s="12">
        <f t="shared" si="1"/>
        <v>77</v>
      </c>
      <c r="AX25" s="12" t="str">
        <f t="shared" si="2"/>
        <v/>
      </c>
      <c r="AY25" s="45"/>
    </row>
    <row r="26" spans="1:51" ht="20.100000000000001" customHeight="1" x14ac:dyDescent="0.2">
      <c r="A26" s="13">
        <v>19</v>
      </c>
      <c r="B26" s="40" t="s">
        <v>486</v>
      </c>
      <c r="C26" s="40" t="s">
        <v>64</v>
      </c>
      <c r="D26" s="41" t="s">
        <v>480</v>
      </c>
      <c r="E26" s="41" t="s">
        <v>9</v>
      </c>
      <c r="F26" s="41"/>
      <c r="G26" s="41"/>
      <c r="H26" s="13" t="s">
        <v>7</v>
      </c>
      <c r="I26" s="13"/>
      <c r="J26" s="13"/>
      <c r="K26" s="13"/>
      <c r="L26" s="13"/>
      <c r="M26" s="13"/>
      <c r="N26" s="13"/>
      <c r="O26" s="40" t="s">
        <v>92</v>
      </c>
      <c r="P26" s="41" t="s">
        <v>155</v>
      </c>
      <c r="Q26" s="41" t="s">
        <v>155</v>
      </c>
      <c r="R26" s="41" t="s">
        <v>487</v>
      </c>
      <c r="S26" s="41" t="s">
        <v>106</v>
      </c>
      <c r="T26" s="13" t="s">
        <v>107</v>
      </c>
      <c r="U26" s="41" t="s">
        <v>324</v>
      </c>
      <c r="V26" s="41" t="s">
        <v>324</v>
      </c>
      <c r="W26" s="41" t="s">
        <v>488</v>
      </c>
      <c r="X26" s="41" t="s">
        <v>106</v>
      </c>
      <c r="Y26" s="41" t="s">
        <v>107</v>
      </c>
      <c r="Z26" s="13">
        <v>0</v>
      </c>
      <c r="AA26" s="13"/>
      <c r="AB26" s="13"/>
      <c r="AC26" s="13"/>
      <c r="AD26" s="40">
        <v>222</v>
      </c>
      <c r="AE26" s="40"/>
      <c r="AF26" s="40"/>
      <c r="AG26" s="40"/>
      <c r="AH26" s="40"/>
      <c r="AI26" s="40"/>
      <c r="AJ26" s="40"/>
      <c r="AK26" s="40"/>
      <c r="AL26" s="40"/>
      <c r="AM26" s="41"/>
      <c r="AN26" s="41" t="s">
        <v>476</v>
      </c>
      <c r="AO26" s="43">
        <v>184</v>
      </c>
      <c r="AP26" s="13">
        <v>24</v>
      </c>
      <c r="AQ26" s="40"/>
      <c r="AR26" s="40"/>
      <c r="AS26" s="44"/>
      <c r="AT26" s="44"/>
      <c r="AU26" s="44"/>
      <c r="AV26" s="44"/>
      <c r="AW26" s="12" t="str">
        <f t="shared" si="1"/>
        <v/>
      </c>
      <c r="AX26" s="12" t="str">
        <f t="shared" si="2"/>
        <v/>
      </c>
      <c r="AY26" s="45"/>
    </row>
    <row r="27" spans="1:51" ht="20.100000000000001" customHeight="1" x14ac:dyDescent="0.2">
      <c r="A27" s="13">
        <v>20</v>
      </c>
      <c r="B27" s="40" t="s">
        <v>489</v>
      </c>
      <c r="C27" s="40" t="s">
        <v>64</v>
      </c>
      <c r="D27" s="41" t="s">
        <v>490</v>
      </c>
      <c r="E27" s="41" t="s">
        <v>19</v>
      </c>
      <c r="F27" s="41" t="s">
        <v>185</v>
      </c>
      <c r="G27" s="41"/>
      <c r="H27" s="13" t="s">
        <v>83</v>
      </c>
      <c r="I27" s="13"/>
      <c r="J27" s="13"/>
      <c r="K27" s="13"/>
      <c r="L27" s="13"/>
      <c r="M27" s="13"/>
      <c r="N27" s="13"/>
      <c r="O27" s="40" t="s">
        <v>92</v>
      </c>
      <c r="P27" s="41"/>
      <c r="Q27" s="41" t="s">
        <v>141</v>
      </c>
      <c r="R27" s="41" t="s">
        <v>491</v>
      </c>
      <c r="S27" s="41" t="s">
        <v>444</v>
      </c>
      <c r="T27" s="13" t="s">
        <v>107</v>
      </c>
      <c r="U27" s="41"/>
      <c r="V27" s="41" t="s">
        <v>492</v>
      </c>
      <c r="W27" s="41" t="s">
        <v>493</v>
      </c>
      <c r="X27" s="41" t="s">
        <v>444</v>
      </c>
      <c r="Y27" s="41" t="s">
        <v>107</v>
      </c>
      <c r="Z27" s="13" t="s">
        <v>494</v>
      </c>
      <c r="AA27" s="13"/>
      <c r="AB27" s="13"/>
      <c r="AC27" s="13"/>
      <c r="AD27" s="40">
        <v>156</v>
      </c>
      <c r="AE27" s="40"/>
      <c r="AF27" s="40"/>
      <c r="AG27" s="40"/>
      <c r="AH27" s="40"/>
      <c r="AI27" s="40"/>
      <c r="AJ27" s="40"/>
      <c r="AK27" s="40"/>
      <c r="AL27" s="40"/>
      <c r="AM27" s="41"/>
      <c r="AN27" s="41"/>
      <c r="AO27" s="41"/>
      <c r="AP27" s="13"/>
      <c r="AQ27" s="40"/>
      <c r="AR27" s="40"/>
      <c r="AS27" s="6" t="s">
        <v>115</v>
      </c>
      <c r="AT27" s="6" t="s">
        <v>435</v>
      </c>
      <c r="AU27" s="6" t="s">
        <v>495</v>
      </c>
      <c r="AV27" s="6" t="s">
        <v>496</v>
      </c>
      <c r="AW27" s="12">
        <f t="shared" si="1"/>
        <v>107</v>
      </c>
      <c r="AX27" s="12" t="str">
        <f t="shared" si="2"/>
        <v/>
      </c>
      <c r="AY27" s="45"/>
    </row>
    <row r="28" spans="1:51" ht="20.100000000000001" customHeight="1" x14ac:dyDescent="0.2">
      <c r="A28" s="13">
        <v>21</v>
      </c>
      <c r="B28" s="40" t="s">
        <v>497</v>
      </c>
      <c r="C28" s="40" t="s">
        <v>64</v>
      </c>
      <c r="D28" s="41" t="s">
        <v>477</v>
      </c>
      <c r="E28" s="41" t="s">
        <v>19</v>
      </c>
      <c r="F28" s="41"/>
      <c r="G28" s="41"/>
      <c r="H28" s="13" t="s">
        <v>7</v>
      </c>
      <c r="I28" s="13"/>
      <c r="J28" s="13"/>
      <c r="K28" s="13"/>
      <c r="L28" s="13"/>
      <c r="M28" s="13"/>
      <c r="N28" s="13"/>
      <c r="O28" s="40" t="s">
        <v>92</v>
      </c>
      <c r="P28" s="41" t="s">
        <v>117</v>
      </c>
      <c r="Q28" s="41" t="s">
        <v>117</v>
      </c>
      <c r="R28" s="41" t="s">
        <v>498</v>
      </c>
      <c r="S28" s="41" t="s">
        <v>142</v>
      </c>
      <c r="T28" s="13" t="s">
        <v>70</v>
      </c>
      <c r="U28" s="41" t="s">
        <v>470</v>
      </c>
      <c r="V28" s="41" t="s">
        <v>470</v>
      </c>
      <c r="W28" s="41" t="s">
        <v>499</v>
      </c>
      <c r="X28" s="41" t="s">
        <v>106</v>
      </c>
      <c r="Y28" s="41" t="s">
        <v>107</v>
      </c>
      <c r="Z28" s="13" t="s">
        <v>486</v>
      </c>
      <c r="AA28" s="13"/>
      <c r="AB28" s="13"/>
      <c r="AC28" s="13"/>
      <c r="AD28" s="40">
        <v>205</v>
      </c>
      <c r="AE28" s="40"/>
      <c r="AF28" s="40"/>
      <c r="AG28" s="40"/>
      <c r="AH28" s="40"/>
      <c r="AI28" s="40"/>
      <c r="AJ28" s="40"/>
      <c r="AK28" s="40"/>
      <c r="AL28" s="40"/>
      <c r="AM28" s="41"/>
      <c r="AN28" s="41" t="s">
        <v>486</v>
      </c>
      <c r="AO28" s="43">
        <v>105</v>
      </c>
      <c r="AP28" s="13">
        <v>30</v>
      </c>
      <c r="AQ28" s="40"/>
      <c r="AR28" s="40"/>
      <c r="AS28" s="44"/>
      <c r="AT28" s="44"/>
      <c r="AU28" s="44"/>
      <c r="AV28" s="44"/>
      <c r="AW28" s="12" t="str">
        <f t="shared" si="1"/>
        <v/>
      </c>
      <c r="AX28" s="12" t="str">
        <f t="shared" si="2"/>
        <v/>
      </c>
      <c r="AY28" s="45"/>
    </row>
    <row r="29" spans="1:51" ht="20.100000000000001" customHeight="1" x14ac:dyDescent="0.2">
      <c r="A29" s="13">
        <v>22</v>
      </c>
      <c r="B29" s="40" t="s">
        <v>500</v>
      </c>
      <c r="C29" s="40" t="s">
        <v>64</v>
      </c>
      <c r="D29" s="41" t="s">
        <v>88</v>
      </c>
      <c r="E29" s="41" t="s">
        <v>9</v>
      </c>
      <c r="F29" s="41"/>
      <c r="G29" s="41"/>
      <c r="H29" s="13" t="s">
        <v>7</v>
      </c>
      <c r="I29" s="13"/>
      <c r="J29" s="13"/>
      <c r="K29" s="13"/>
      <c r="L29" s="13"/>
      <c r="M29" s="13"/>
      <c r="N29" s="13"/>
      <c r="O29" s="40" t="s">
        <v>92</v>
      </c>
      <c r="P29" s="41" t="s">
        <v>104</v>
      </c>
      <c r="Q29" s="41" t="s">
        <v>104</v>
      </c>
      <c r="R29" s="41" t="s">
        <v>127</v>
      </c>
      <c r="S29" s="41" t="s">
        <v>106</v>
      </c>
      <c r="T29" s="13" t="s">
        <v>107</v>
      </c>
      <c r="U29" s="35" t="s">
        <v>361</v>
      </c>
      <c r="V29" s="35" t="s">
        <v>128</v>
      </c>
      <c r="W29" s="41" t="s">
        <v>129</v>
      </c>
      <c r="X29" s="41" t="s">
        <v>73</v>
      </c>
      <c r="Y29" s="41" t="s">
        <v>70</v>
      </c>
      <c r="Z29" s="13" t="s">
        <v>501</v>
      </c>
      <c r="AA29" s="13"/>
      <c r="AB29" s="13"/>
      <c r="AC29" s="13"/>
      <c r="AD29" s="40">
        <v>222</v>
      </c>
      <c r="AE29" s="40"/>
      <c r="AF29" s="40"/>
      <c r="AG29" s="40"/>
      <c r="AH29" s="40"/>
      <c r="AI29" s="40"/>
      <c r="AJ29" s="40"/>
      <c r="AK29" s="40"/>
      <c r="AL29" s="40"/>
      <c r="AM29" s="33" t="s">
        <v>158</v>
      </c>
      <c r="AN29" s="41" t="s">
        <v>497</v>
      </c>
      <c r="AO29" s="43">
        <v>220</v>
      </c>
      <c r="AP29" s="13">
        <v>11</v>
      </c>
      <c r="AQ29" s="40" t="s">
        <v>111</v>
      </c>
      <c r="AR29" s="40"/>
      <c r="AS29" s="6"/>
      <c r="AT29" s="6"/>
      <c r="AU29" s="6"/>
      <c r="AV29" s="6"/>
      <c r="AW29" s="12" t="str">
        <f t="shared" si="1"/>
        <v/>
      </c>
      <c r="AX29" s="12" t="str">
        <f t="shared" si="2"/>
        <v/>
      </c>
      <c r="AY29" s="45"/>
    </row>
    <row r="30" spans="1:51" ht="20.100000000000001" customHeight="1" x14ac:dyDescent="0.2">
      <c r="A30" s="13">
        <v>23</v>
      </c>
      <c r="B30" s="40" t="s">
        <v>502</v>
      </c>
      <c r="C30" s="40" t="s">
        <v>64</v>
      </c>
      <c r="D30" s="41" t="s">
        <v>503</v>
      </c>
      <c r="E30" s="41" t="s">
        <v>9</v>
      </c>
      <c r="F30" s="41" t="s">
        <v>504</v>
      </c>
      <c r="G30" s="41"/>
      <c r="H30" s="13" t="s">
        <v>83</v>
      </c>
      <c r="I30" s="13"/>
      <c r="J30" s="13"/>
      <c r="K30" s="13"/>
      <c r="L30" s="13"/>
      <c r="M30" s="13"/>
      <c r="N30" s="13"/>
      <c r="O30" s="40" t="s">
        <v>92</v>
      </c>
      <c r="P30" s="41"/>
      <c r="Q30" s="41" t="s">
        <v>218</v>
      </c>
      <c r="R30" s="41" t="s">
        <v>429</v>
      </c>
      <c r="S30" s="41" t="s">
        <v>142</v>
      </c>
      <c r="T30" s="13" t="s">
        <v>70</v>
      </c>
      <c r="U30" s="41"/>
      <c r="V30" s="41" t="s">
        <v>453</v>
      </c>
      <c r="W30" s="41"/>
      <c r="X30" s="41" t="s">
        <v>142</v>
      </c>
      <c r="Y30" s="41" t="s">
        <v>70</v>
      </c>
      <c r="Z30" s="13" t="s">
        <v>505</v>
      </c>
      <c r="AA30" s="13"/>
      <c r="AB30" s="13"/>
      <c r="AC30" s="13"/>
      <c r="AD30" s="40">
        <v>222</v>
      </c>
      <c r="AE30" s="40"/>
      <c r="AF30" s="40"/>
      <c r="AG30" s="40"/>
      <c r="AH30" s="40"/>
      <c r="AI30" s="40"/>
      <c r="AJ30" s="40"/>
      <c r="AK30" s="40"/>
      <c r="AL30" s="40"/>
      <c r="AM30" s="41"/>
      <c r="AN30" s="41"/>
      <c r="AO30" s="41"/>
      <c r="AP30" s="13"/>
      <c r="AQ30" s="40"/>
      <c r="AR30" s="40"/>
      <c r="AS30" s="44" t="s">
        <v>115</v>
      </c>
      <c r="AT30" s="44" t="s">
        <v>435</v>
      </c>
      <c r="AU30" s="44" t="s">
        <v>208</v>
      </c>
      <c r="AV30" s="44" t="s">
        <v>506</v>
      </c>
      <c r="AW30" s="12">
        <f t="shared" si="1"/>
        <v>20</v>
      </c>
      <c r="AX30" s="12" t="str">
        <f t="shared" si="2"/>
        <v/>
      </c>
      <c r="AY30" s="45"/>
    </row>
    <row r="31" spans="1:51" ht="20.100000000000001" customHeight="1" x14ac:dyDescent="0.2">
      <c r="A31" s="13">
        <v>24</v>
      </c>
      <c r="B31" s="40" t="s">
        <v>507</v>
      </c>
      <c r="C31" s="40" t="s">
        <v>64</v>
      </c>
      <c r="D31" s="41" t="s">
        <v>508</v>
      </c>
      <c r="E31" s="41" t="s">
        <v>10</v>
      </c>
      <c r="F31" s="41" t="s">
        <v>504</v>
      </c>
      <c r="G31" s="41"/>
      <c r="H31" s="13" t="s">
        <v>83</v>
      </c>
      <c r="I31" s="13"/>
      <c r="J31" s="13"/>
      <c r="K31" s="13"/>
      <c r="L31" s="13"/>
      <c r="M31" s="13"/>
      <c r="N31" s="13"/>
      <c r="O31" s="40" t="s">
        <v>92</v>
      </c>
      <c r="P31" s="41"/>
      <c r="Q31" s="41" t="s">
        <v>155</v>
      </c>
      <c r="R31" s="41" t="s">
        <v>509</v>
      </c>
      <c r="S31" s="41" t="s">
        <v>142</v>
      </c>
      <c r="T31" s="13" t="s">
        <v>70</v>
      </c>
      <c r="U31" s="41"/>
      <c r="V31" s="41" t="s">
        <v>167</v>
      </c>
      <c r="W31" s="41" t="s">
        <v>510</v>
      </c>
      <c r="X31" s="41" t="s">
        <v>142</v>
      </c>
      <c r="Y31" s="41" t="s">
        <v>70</v>
      </c>
      <c r="Z31" s="13" t="s">
        <v>511</v>
      </c>
      <c r="AA31" s="13"/>
      <c r="AB31" s="13"/>
      <c r="AC31" s="13"/>
      <c r="AD31" s="40">
        <v>244</v>
      </c>
      <c r="AE31" s="40"/>
      <c r="AF31" s="40"/>
      <c r="AG31" s="40"/>
      <c r="AH31" s="40"/>
      <c r="AI31" s="40"/>
      <c r="AJ31" s="40"/>
      <c r="AK31" s="40"/>
      <c r="AL31" s="40"/>
      <c r="AM31" s="41"/>
      <c r="AN31" s="41" t="s">
        <v>512</v>
      </c>
      <c r="AO31" s="41"/>
      <c r="AP31" s="13"/>
      <c r="AQ31" s="40" t="s">
        <v>160</v>
      </c>
      <c r="AR31" s="40"/>
      <c r="AS31" s="6" t="s">
        <v>115</v>
      </c>
      <c r="AT31" s="6" t="s">
        <v>435</v>
      </c>
      <c r="AU31" s="6" t="s">
        <v>348</v>
      </c>
      <c r="AV31" s="6" t="s">
        <v>465</v>
      </c>
      <c r="AW31" s="12">
        <f t="shared" si="1"/>
        <v>31</v>
      </c>
      <c r="AX31" s="12" t="str">
        <f t="shared" si="2"/>
        <v/>
      </c>
      <c r="AY31" s="45"/>
    </row>
    <row r="32" spans="1:51" ht="20.100000000000001" customHeight="1" x14ac:dyDescent="0.2">
      <c r="A32" s="13">
        <v>25</v>
      </c>
      <c r="B32" s="40" t="s">
        <v>513</v>
      </c>
      <c r="C32" s="40" t="s">
        <v>288</v>
      </c>
      <c r="D32" s="41" t="s">
        <v>490</v>
      </c>
      <c r="E32" s="41" t="s">
        <v>19</v>
      </c>
      <c r="F32" s="41"/>
      <c r="G32" s="41"/>
      <c r="H32" s="13" t="s">
        <v>7</v>
      </c>
      <c r="I32" s="13"/>
      <c r="J32" s="13"/>
      <c r="K32" s="13"/>
      <c r="L32" s="13"/>
      <c r="M32" s="13"/>
      <c r="N32" s="13"/>
      <c r="O32" s="40" t="s">
        <v>92</v>
      </c>
      <c r="P32" s="35" t="s">
        <v>141</v>
      </c>
      <c r="Q32" s="35" t="s">
        <v>140</v>
      </c>
      <c r="R32" s="41" t="s">
        <v>514</v>
      </c>
      <c r="S32" s="41" t="s">
        <v>69</v>
      </c>
      <c r="T32" s="13" t="s">
        <v>70</v>
      </c>
      <c r="U32" s="35" t="s">
        <v>492</v>
      </c>
      <c r="V32" s="35" t="s">
        <v>143</v>
      </c>
      <c r="W32" s="41" t="s">
        <v>515</v>
      </c>
      <c r="X32" s="41" t="s">
        <v>142</v>
      </c>
      <c r="Y32" s="41" t="s">
        <v>70</v>
      </c>
      <c r="Z32" s="13">
        <v>0</v>
      </c>
      <c r="AA32" s="13"/>
      <c r="AB32" s="13"/>
      <c r="AC32" s="13"/>
      <c r="AD32" s="40">
        <v>156</v>
      </c>
      <c r="AE32" s="40"/>
      <c r="AF32" s="40"/>
      <c r="AG32" s="40"/>
      <c r="AH32" s="40"/>
      <c r="AI32" s="40"/>
      <c r="AJ32" s="40"/>
      <c r="AK32" s="40"/>
      <c r="AL32" s="40"/>
      <c r="AM32" s="33" t="s">
        <v>158</v>
      </c>
      <c r="AN32" s="41" t="s">
        <v>502</v>
      </c>
      <c r="AO32" s="43">
        <v>94</v>
      </c>
      <c r="AP32" s="13">
        <v>28</v>
      </c>
      <c r="AQ32" s="40" t="s">
        <v>111</v>
      </c>
      <c r="AR32" s="40"/>
      <c r="AS32" s="44"/>
      <c r="AT32" s="44"/>
      <c r="AU32" s="44"/>
      <c r="AV32" s="44"/>
      <c r="AW32" s="12" t="str">
        <f t="shared" si="1"/>
        <v/>
      </c>
      <c r="AX32" s="12" t="str">
        <f t="shared" si="2"/>
        <v/>
      </c>
      <c r="AY32" s="45"/>
    </row>
    <row r="33" spans="1:51" s="21" customFormat="1" ht="21.75" x14ac:dyDescent="0.2">
      <c r="A33" s="13">
        <v>26</v>
      </c>
      <c r="B33" s="29" t="s">
        <v>516</v>
      </c>
      <c r="C33" s="29" t="s">
        <v>288</v>
      </c>
      <c r="D33" s="30" t="s">
        <v>517</v>
      </c>
      <c r="E33" s="30" t="s">
        <v>243</v>
      </c>
      <c r="F33" s="30" t="s">
        <v>186</v>
      </c>
      <c r="G33" s="30"/>
      <c r="H33" s="20" t="s">
        <v>83</v>
      </c>
      <c r="I33" s="20"/>
      <c r="J33" s="20"/>
      <c r="K33" s="20"/>
      <c r="L33" s="20"/>
      <c r="M33" s="20"/>
      <c r="N33" s="20"/>
      <c r="O33" s="29" t="s">
        <v>92</v>
      </c>
      <c r="P33" s="30"/>
      <c r="Q33" s="30" t="s">
        <v>68</v>
      </c>
      <c r="R33" s="30" t="s">
        <v>518</v>
      </c>
      <c r="S33" s="30" t="s">
        <v>69</v>
      </c>
      <c r="T33" s="20" t="s">
        <v>70</v>
      </c>
      <c r="U33" s="30"/>
      <c r="V33" s="30" t="s">
        <v>263</v>
      </c>
      <c r="W33" s="30" t="s">
        <v>519</v>
      </c>
      <c r="X33" s="30" t="s">
        <v>119</v>
      </c>
      <c r="Y33" s="30" t="s">
        <v>107</v>
      </c>
      <c r="Z33" s="20" t="s">
        <v>520</v>
      </c>
      <c r="AA33" s="20"/>
      <c r="AB33" s="20"/>
      <c r="AC33" s="20"/>
      <c r="AD33" s="29">
        <v>216</v>
      </c>
      <c r="AE33" s="29"/>
      <c r="AF33" s="29"/>
      <c r="AG33" s="29"/>
      <c r="AH33" s="29"/>
      <c r="AI33" s="29"/>
      <c r="AJ33" s="29"/>
      <c r="AK33" s="29"/>
      <c r="AL33" s="29"/>
      <c r="AM33" s="20" t="s">
        <v>158</v>
      </c>
      <c r="AN33" s="30" t="s">
        <v>521</v>
      </c>
      <c r="AO33" s="36">
        <v>221</v>
      </c>
      <c r="AP33" s="20">
        <v>17.8</v>
      </c>
      <c r="AQ33" s="29"/>
      <c r="AR33" s="29"/>
      <c r="AS33" s="30" t="s">
        <v>115</v>
      </c>
      <c r="AT33" s="30" t="s">
        <v>496</v>
      </c>
      <c r="AU33" s="30" t="s">
        <v>136</v>
      </c>
      <c r="AV33" s="30" t="s">
        <v>116</v>
      </c>
      <c r="AW33" s="31">
        <f t="shared" si="1"/>
        <v>3</v>
      </c>
      <c r="AX33" s="31">
        <f t="shared" si="2"/>
        <v>3</v>
      </c>
      <c r="AY33" s="32"/>
    </row>
    <row r="34" spans="1:51" ht="20.100000000000001" customHeight="1" x14ac:dyDescent="0.2">
      <c r="A34" s="13">
        <v>27</v>
      </c>
      <c r="B34" s="40" t="s">
        <v>522</v>
      </c>
      <c r="C34" s="40" t="s">
        <v>288</v>
      </c>
      <c r="D34" s="41" t="s">
        <v>523</v>
      </c>
      <c r="E34" s="41" t="s">
        <v>10</v>
      </c>
      <c r="F34" s="41" t="s">
        <v>504</v>
      </c>
      <c r="G34" s="41"/>
      <c r="H34" s="13" t="s">
        <v>83</v>
      </c>
      <c r="I34" s="13"/>
      <c r="J34" s="13"/>
      <c r="K34" s="13"/>
      <c r="L34" s="13"/>
      <c r="M34" s="13"/>
      <c r="N34" s="13"/>
      <c r="O34" s="40" t="s">
        <v>92</v>
      </c>
      <c r="P34" s="41"/>
      <c r="Q34" s="41" t="s">
        <v>167</v>
      </c>
      <c r="R34" s="41"/>
      <c r="S34" s="41" t="s">
        <v>142</v>
      </c>
      <c r="T34" s="13" t="s">
        <v>70</v>
      </c>
      <c r="U34" s="41"/>
      <c r="V34" s="41" t="s">
        <v>167</v>
      </c>
      <c r="W34" s="41"/>
      <c r="X34" s="41" t="s">
        <v>142</v>
      </c>
      <c r="Y34" s="41" t="s">
        <v>70</v>
      </c>
      <c r="Z34" s="13" t="s">
        <v>524</v>
      </c>
      <c r="AA34" s="13"/>
      <c r="AB34" s="13"/>
      <c r="AC34" s="13"/>
      <c r="AD34" s="40">
        <v>216</v>
      </c>
      <c r="AE34" s="40"/>
      <c r="AF34" s="40"/>
      <c r="AG34" s="40"/>
      <c r="AH34" s="40"/>
      <c r="AI34" s="40"/>
      <c r="AJ34" s="40"/>
      <c r="AK34" s="40"/>
      <c r="AL34" s="40"/>
      <c r="AM34" s="41"/>
      <c r="AN34" s="41"/>
      <c r="AO34" s="41"/>
      <c r="AP34" s="13"/>
      <c r="AQ34" s="40"/>
      <c r="AR34" s="40"/>
      <c r="AS34" s="44" t="s">
        <v>115</v>
      </c>
      <c r="AT34" s="44" t="s">
        <v>496</v>
      </c>
      <c r="AU34" s="44" t="s">
        <v>123</v>
      </c>
      <c r="AV34" s="44" t="s">
        <v>525</v>
      </c>
      <c r="AW34" s="12">
        <f t="shared" si="1"/>
        <v>47</v>
      </c>
      <c r="AX34" s="12" t="str">
        <f t="shared" si="2"/>
        <v/>
      </c>
      <c r="AY34" s="45"/>
    </row>
    <row r="35" spans="1:51" ht="20.100000000000001" customHeight="1" x14ac:dyDescent="0.2">
      <c r="A35" s="13">
        <v>28</v>
      </c>
      <c r="B35" s="40" t="s">
        <v>526</v>
      </c>
      <c r="C35" s="40" t="s">
        <v>288</v>
      </c>
      <c r="D35" s="41" t="s">
        <v>517</v>
      </c>
      <c r="E35" s="41" t="s">
        <v>243</v>
      </c>
      <c r="F35" s="41"/>
      <c r="G35" s="41"/>
      <c r="H35" s="13" t="s">
        <v>7</v>
      </c>
      <c r="I35" s="13"/>
      <c r="J35" s="13"/>
      <c r="K35" s="13"/>
      <c r="L35" s="13"/>
      <c r="M35" s="13"/>
      <c r="N35" s="13"/>
      <c r="O35" s="40" t="s">
        <v>92</v>
      </c>
      <c r="P35" s="35" t="s">
        <v>68</v>
      </c>
      <c r="Q35" s="35" t="s">
        <v>155</v>
      </c>
      <c r="R35" s="41" t="s">
        <v>527</v>
      </c>
      <c r="S35" s="41" t="s">
        <v>69</v>
      </c>
      <c r="T35" s="13" t="s">
        <v>70</v>
      </c>
      <c r="U35" s="35" t="s">
        <v>263</v>
      </c>
      <c r="V35" s="35" t="s">
        <v>167</v>
      </c>
      <c r="W35" s="41" t="s">
        <v>528</v>
      </c>
      <c r="X35" s="41" t="s">
        <v>106</v>
      </c>
      <c r="Y35" s="41" t="s">
        <v>107</v>
      </c>
      <c r="Z35" s="13">
        <v>0</v>
      </c>
      <c r="AA35" s="13"/>
      <c r="AB35" s="13"/>
      <c r="AC35" s="13"/>
      <c r="AD35" s="40">
        <v>216</v>
      </c>
      <c r="AE35" s="40"/>
      <c r="AF35" s="40"/>
      <c r="AG35" s="40"/>
      <c r="AH35" s="40"/>
      <c r="AI35" s="40"/>
      <c r="AJ35" s="40"/>
      <c r="AK35" s="40"/>
      <c r="AL35" s="40"/>
      <c r="AM35" s="33" t="s">
        <v>158</v>
      </c>
      <c r="AN35" s="41" t="s">
        <v>516</v>
      </c>
      <c r="AO35" s="43">
        <v>204</v>
      </c>
      <c r="AP35" s="13">
        <v>23</v>
      </c>
      <c r="AQ35" s="40"/>
      <c r="AR35" s="40"/>
      <c r="AS35" s="6"/>
      <c r="AT35" s="6"/>
      <c r="AU35" s="6"/>
      <c r="AV35" s="6"/>
      <c r="AW35" s="12" t="str">
        <f t="shared" si="1"/>
        <v/>
      </c>
      <c r="AX35" s="12" t="str">
        <f t="shared" si="2"/>
        <v/>
      </c>
      <c r="AY35" s="45"/>
    </row>
    <row r="36" spans="1:51" ht="20.100000000000001" customHeight="1" x14ac:dyDescent="0.2">
      <c r="A36" s="13">
        <v>29</v>
      </c>
      <c r="B36" s="40" t="s">
        <v>529</v>
      </c>
      <c r="C36" s="40" t="s">
        <v>288</v>
      </c>
      <c r="D36" s="41" t="s">
        <v>523</v>
      </c>
      <c r="E36" s="41" t="s">
        <v>10</v>
      </c>
      <c r="F36" s="41"/>
      <c r="G36" s="41"/>
      <c r="H36" s="13" t="s">
        <v>7</v>
      </c>
      <c r="I36" s="13"/>
      <c r="J36" s="13"/>
      <c r="K36" s="13"/>
      <c r="L36" s="13"/>
      <c r="M36" s="13"/>
      <c r="N36" s="13"/>
      <c r="O36" s="40" t="s">
        <v>92</v>
      </c>
      <c r="P36" s="41" t="s">
        <v>155</v>
      </c>
      <c r="Q36" s="41" t="s">
        <v>155</v>
      </c>
      <c r="R36" s="41" t="s">
        <v>530</v>
      </c>
      <c r="S36" s="41" t="s">
        <v>106</v>
      </c>
      <c r="T36" s="13" t="s">
        <v>107</v>
      </c>
      <c r="U36" s="35" t="s">
        <v>167</v>
      </c>
      <c r="V36" s="35" t="s">
        <v>156</v>
      </c>
      <c r="W36" s="41" t="s">
        <v>531</v>
      </c>
      <c r="X36" s="41" t="s">
        <v>119</v>
      </c>
      <c r="Y36" s="41" t="s">
        <v>107</v>
      </c>
      <c r="Z36" s="13">
        <v>0</v>
      </c>
      <c r="AA36" s="13"/>
      <c r="AB36" s="13"/>
      <c r="AC36" s="13"/>
      <c r="AD36" s="40">
        <v>216</v>
      </c>
      <c r="AE36" s="40"/>
      <c r="AF36" s="40"/>
      <c r="AG36" s="40"/>
      <c r="AH36" s="40"/>
      <c r="AI36" s="40"/>
      <c r="AJ36" s="40"/>
      <c r="AK36" s="40"/>
      <c r="AL36" s="40"/>
      <c r="AM36" s="33" t="s">
        <v>158</v>
      </c>
      <c r="AN36" s="41" t="s">
        <v>526</v>
      </c>
      <c r="AO36" s="43">
        <v>244</v>
      </c>
      <c r="AP36" s="13">
        <v>17</v>
      </c>
      <c r="AQ36" s="40"/>
      <c r="AR36" s="40"/>
      <c r="AS36" s="44"/>
      <c r="AT36" s="44"/>
      <c r="AU36" s="44"/>
      <c r="AV36" s="44"/>
      <c r="AW36" s="12" t="str">
        <f t="shared" si="1"/>
        <v/>
      </c>
      <c r="AX36" s="12" t="str">
        <f t="shared" si="2"/>
        <v/>
      </c>
      <c r="AY36" s="45"/>
    </row>
    <row r="37" spans="1:51" s="21" customFormat="1" ht="20.100000000000001" customHeight="1" x14ac:dyDescent="0.2">
      <c r="A37" s="13">
        <v>30</v>
      </c>
      <c r="B37" s="29" t="s">
        <v>532</v>
      </c>
      <c r="C37" s="29" t="s">
        <v>288</v>
      </c>
      <c r="D37" s="30" t="s">
        <v>533</v>
      </c>
      <c r="E37" s="30" t="s">
        <v>243</v>
      </c>
      <c r="F37" s="30" t="s">
        <v>534</v>
      </c>
      <c r="G37" s="30"/>
      <c r="H37" s="20" t="s">
        <v>83</v>
      </c>
      <c r="I37" s="20"/>
      <c r="J37" s="20"/>
      <c r="K37" s="20"/>
      <c r="L37" s="20"/>
      <c r="M37" s="20"/>
      <c r="N37" s="20"/>
      <c r="O37" s="29" t="s">
        <v>92</v>
      </c>
      <c r="P37" s="30"/>
      <c r="Q37" s="30" t="s">
        <v>140</v>
      </c>
      <c r="R37" s="30" t="s">
        <v>535</v>
      </c>
      <c r="S37" s="30" t="s">
        <v>69</v>
      </c>
      <c r="T37" s="20" t="s">
        <v>70</v>
      </c>
      <c r="U37" s="30"/>
      <c r="V37" s="30" t="s">
        <v>188</v>
      </c>
      <c r="W37" s="30" t="s">
        <v>536</v>
      </c>
      <c r="X37" s="30" t="s">
        <v>119</v>
      </c>
      <c r="Y37" s="30" t="s">
        <v>107</v>
      </c>
      <c r="Z37" s="20" t="s">
        <v>537</v>
      </c>
      <c r="AA37" s="20"/>
      <c r="AB37" s="20"/>
      <c r="AC37" s="20"/>
      <c r="AD37" s="29">
        <v>108</v>
      </c>
      <c r="AE37" s="29"/>
      <c r="AF37" s="29"/>
      <c r="AG37" s="29"/>
      <c r="AH37" s="29"/>
      <c r="AI37" s="29"/>
      <c r="AJ37" s="29"/>
      <c r="AK37" s="29"/>
      <c r="AL37" s="29"/>
      <c r="AM37" s="30"/>
      <c r="AN37" s="30" t="s">
        <v>538</v>
      </c>
      <c r="AO37" s="30"/>
      <c r="AP37" s="20"/>
      <c r="AQ37" s="29"/>
      <c r="AR37" s="29"/>
      <c r="AS37" s="30" t="s">
        <v>115</v>
      </c>
      <c r="AT37" s="30" t="s">
        <v>496</v>
      </c>
      <c r="AU37" s="30" t="s">
        <v>136</v>
      </c>
      <c r="AV37" s="30" t="s">
        <v>506</v>
      </c>
      <c r="AW37" s="31">
        <f t="shared" si="1"/>
        <v>9</v>
      </c>
      <c r="AX37" s="31">
        <f t="shared" si="2"/>
        <v>9</v>
      </c>
      <c r="AY37" s="32"/>
    </row>
    <row r="38" spans="1:51" s="21" customFormat="1" ht="20.100000000000001" customHeight="1" x14ac:dyDescent="0.2">
      <c r="A38" s="13">
        <v>31</v>
      </c>
      <c r="B38" s="29" t="s">
        <v>539</v>
      </c>
      <c r="C38" s="29" t="s">
        <v>288</v>
      </c>
      <c r="D38" s="30" t="s">
        <v>540</v>
      </c>
      <c r="E38" s="30" t="s">
        <v>8</v>
      </c>
      <c r="F38" s="30" t="s">
        <v>481</v>
      </c>
      <c r="G38" s="30"/>
      <c r="H38" s="20" t="s">
        <v>83</v>
      </c>
      <c r="I38" s="20"/>
      <c r="J38" s="20"/>
      <c r="K38" s="20"/>
      <c r="L38" s="20"/>
      <c r="M38" s="20"/>
      <c r="N38" s="20"/>
      <c r="O38" s="29" t="s">
        <v>92</v>
      </c>
      <c r="P38" s="30"/>
      <c r="Q38" s="30" t="s">
        <v>104</v>
      </c>
      <c r="R38" s="30" t="s">
        <v>541</v>
      </c>
      <c r="S38" s="30" t="s">
        <v>119</v>
      </c>
      <c r="T38" s="20" t="s">
        <v>107</v>
      </c>
      <c r="U38" s="30"/>
      <c r="V38" s="30" t="s">
        <v>256</v>
      </c>
      <c r="W38" s="30" t="s">
        <v>542</v>
      </c>
      <c r="X38" s="30" t="s">
        <v>119</v>
      </c>
      <c r="Y38" s="30" t="s">
        <v>107</v>
      </c>
      <c r="Z38" s="20" t="s">
        <v>543</v>
      </c>
      <c r="AA38" s="20"/>
      <c r="AB38" s="20"/>
      <c r="AC38" s="20"/>
      <c r="AD38" s="29">
        <v>102</v>
      </c>
      <c r="AE38" s="29"/>
      <c r="AF38" s="29"/>
      <c r="AG38" s="29"/>
      <c r="AH38" s="29"/>
      <c r="AI38" s="29"/>
      <c r="AJ38" s="29"/>
      <c r="AK38" s="29"/>
      <c r="AL38" s="29"/>
      <c r="AM38" s="30"/>
      <c r="AN38" s="30" t="s">
        <v>544</v>
      </c>
      <c r="AO38" s="36">
        <v>122</v>
      </c>
      <c r="AP38" s="20">
        <v>33</v>
      </c>
      <c r="AQ38" s="29"/>
      <c r="AR38" s="29"/>
      <c r="AS38" s="30" t="s">
        <v>115</v>
      </c>
      <c r="AT38" s="30" t="s">
        <v>496</v>
      </c>
      <c r="AU38" s="30" t="s">
        <v>136</v>
      </c>
      <c r="AV38" s="30" t="s">
        <v>496</v>
      </c>
      <c r="AW38" s="31">
        <f t="shared" si="1"/>
        <v>12</v>
      </c>
      <c r="AX38" s="31">
        <f t="shared" si="2"/>
        <v>12</v>
      </c>
      <c r="AY38" s="32"/>
    </row>
    <row r="39" spans="1:51" ht="20.100000000000001" customHeight="1" x14ac:dyDescent="0.2">
      <c r="A39" s="13">
        <v>32</v>
      </c>
      <c r="B39" s="40" t="s">
        <v>545</v>
      </c>
      <c r="C39" s="40" t="s">
        <v>288</v>
      </c>
      <c r="D39" s="41" t="s">
        <v>546</v>
      </c>
      <c r="E39" s="41" t="s">
        <v>243</v>
      </c>
      <c r="F39" s="41" t="s">
        <v>222</v>
      </c>
      <c r="G39" s="41"/>
      <c r="H39" s="13" t="s">
        <v>222</v>
      </c>
      <c r="I39" s="13"/>
      <c r="J39" s="13"/>
      <c r="K39" s="13"/>
      <c r="L39" s="13"/>
      <c r="M39" s="13"/>
      <c r="N39" s="13"/>
      <c r="O39" s="40" t="s">
        <v>92</v>
      </c>
      <c r="P39" s="41"/>
      <c r="Q39" s="41"/>
      <c r="R39" s="41"/>
      <c r="S39" s="41"/>
      <c r="T39" s="13"/>
      <c r="U39" s="41"/>
      <c r="V39" s="41"/>
      <c r="W39" s="41"/>
      <c r="X39" s="41"/>
      <c r="Y39" s="41"/>
      <c r="Z39" s="13"/>
      <c r="AA39" s="13"/>
      <c r="AB39" s="13"/>
      <c r="AC39" s="13"/>
      <c r="AD39" s="40"/>
      <c r="AE39" s="40"/>
      <c r="AF39" s="40"/>
      <c r="AG39" s="40"/>
      <c r="AH39" s="40"/>
      <c r="AI39" s="40"/>
      <c r="AJ39" s="40"/>
      <c r="AK39" s="40"/>
      <c r="AL39" s="40"/>
      <c r="AM39" s="41"/>
      <c r="AN39" s="41"/>
      <c r="AO39" s="41"/>
      <c r="AP39" s="13"/>
      <c r="AQ39" s="40"/>
      <c r="AR39" s="40"/>
      <c r="AS39" s="6" t="s">
        <v>115</v>
      </c>
      <c r="AT39" s="6" t="s">
        <v>496</v>
      </c>
      <c r="AU39" s="6" t="s">
        <v>547</v>
      </c>
      <c r="AV39" s="6" t="s">
        <v>260</v>
      </c>
      <c r="AW39" s="12">
        <f t="shared" si="1"/>
        <v>50</v>
      </c>
      <c r="AX39" s="12" t="str">
        <f t="shared" si="2"/>
        <v/>
      </c>
      <c r="AY39" s="45"/>
    </row>
    <row r="40" spans="1:51" ht="20.100000000000001" customHeight="1" x14ac:dyDescent="0.2">
      <c r="A40" s="13">
        <v>33</v>
      </c>
      <c r="B40" s="40" t="s">
        <v>545</v>
      </c>
      <c r="C40" s="40" t="s">
        <v>288</v>
      </c>
      <c r="D40" s="41" t="s">
        <v>548</v>
      </c>
      <c r="E40" s="41" t="s">
        <v>243</v>
      </c>
      <c r="F40" s="41" t="s">
        <v>222</v>
      </c>
      <c r="G40" s="41"/>
      <c r="H40" s="13" t="s">
        <v>222</v>
      </c>
      <c r="I40" s="13"/>
      <c r="J40" s="13"/>
      <c r="K40" s="13"/>
      <c r="L40" s="13"/>
      <c r="M40" s="13"/>
      <c r="N40" s="13"/>
      <c r="O40" s="40" t="s">
        <v>92</v>
      </c>
      <c r="P40" s="41"/>
      <c r="Q40" s="41"/>
      <c r="R40" s="41"/>
      <c r="S40" s="41"/>
      <c r="T40" s="13"/>
      <c r="U40" s="41"/>
      <c r="V40" s="41"/>
      <c r="W40" s="41"/>
      <c r="X40" s="41"/>
      <c r="Y40" s="41"/>
      <c r="Z40" s="13"/>
      <c r="AA40" s="13"/>
      <c r="AB40" s="13"/>
      <c r="AC40" s="13"/>
      <c r="AD40" s="40"/>
      <c r="AE40" s="40"/>
      <c r="AF40" s="40"/>
      <c r="AG40" s="40"/>
      <c r="AH40" s="40"/>
      <c r="AI40" s="40"/>
      <c r="AJ40" s="40"/>
      <c r="AK40" s="40"/>
      <c r="AL40" s="40"/>
      <c r="AM40" s="41"/>
      <c r="AN40" s="41"/>
      <c r="AO40" s="41"/>
      <c r="AP40" s="13"/>
      <c r="AQ40" s="40"/>
      <c r="AR40" s="40"/>
      <c r="AS40" s="44" t="s">
        <v>115</v>
      </c>
      <c r="AT40" s="44" t="s">
        <v>496</v>
      </c>
      <c r="AU40" s="44" t="s">
        <v>547</v>
      </c>
      <c r="AV40" s="44" t="s">
        <v>485</v>
      </c>
      <c r="AW40" s="12">
        <f t="shared" si="1"/>
        <v>54</v>
      </c>
      <c r="AX40" s="12" t="str">
        <f t="shared" si="2"/>
        <v/>
      </c>
      <c r="AY40" s="45"/>
    </row>
    <row r="41" spans="1:51" ht="20.100000000000001" customHeight="1" x14ac:dyDescent="0.2">
      <c r="A41" s="13">
        <v>34</v>
      </c>
      <c r="B41" s="40" t="s">
        <v>549</v>
      </c>
      <c r="C41" s="40" t="s">
        <v>288</v>
      </c>
      <c r="D41" s="41" t="s">
        <v>550</v>
      </c>
      <c r="E41" s="41" t="s">
        <v>10</v>
      </c>
      <c r="F41" s="41" t="s">
        <v>481</v>
      </c>
      <c r="G41" s="41"/>
      <c r="H41" s="13" t="s">
        <v>83</v>
      </c>
      <c r="I41" s="13"/>
      <c r="J41" s="13"/>
      <c r="K41" s="13"/>
      <c r="L41" s="13"/>
      <c r="M41" s="13"/>
      <c r="N41" s="13"/>
      <c r="O41" s="40" t="s">
        <v>67</v>
      </c>
      <c r="P41" s="41"/>
      <c r="Q41" s="41" t="s">
        <v>155</v>
      </c>
      <c r="R41" s="41" t="s">
        <v>551</v>
      </c>
      <c r="S41" s="41" t="s">
        <v>142</v>
      </c>
      <c r="T41" s="13" t="s">
        <v>70</v>
      </c>
      <c r="U41" s="41"/>
      <c r="V41" s="41" t="s">
        <v>170</v>
      </c>
      <c r="W41" s="41" t="s">
        <v>552</v>
      </c>
      <c r="X41" s="41" t="s">
        <v>142</v>
      </c>
      <c r="Y41" s="41" t="s">
        <v>70</v>
      </c>
      <c r="Z41" s="13" t="s">
        <v>553</v>
      </c>
      <c r="AA41" s="13"/>
      <c r="AB41" s="13"/>
      <c r="AC41" s="13"/>
      <c r="AD41" s="40">
        <v>212</v>
      </c>
      <c r="AE41" s="40"/>
      <c r="AF41" s="40"/>
      <c r="AG41" s="40"/>
      <c r="AH41" s="40"/>
      <c r="AI41" s="40"/>
      <c r="AJ41" s="40"/>
      <c r="AK41" s="40"/>
      <c r="AL41" s="40"/>
      <c r="AM41" s="41"/>
      <c r="AN41" s="41" t="s">
        <v>554</v>
      </c>
      <c r="AO41" s="43">
        <v>250</v>
      </c>
      <c r="AP41" s="13">
        <v>20</v>
      </c>
      <c r="AQ41" s="40"/>
      <c r="AR41" s="40"/>
      <c r="AS41" s="6" t="s">
        <v>115</v>
      </c>
      <c r="AT41" s="6" t="s">
        <v>496</v>
      </c>
      <c r="AU41" s="6" t="s">
        <v>123</v>
      </c>
      <c r="AV41" s="6" t="s">
        <v>555</v>
      </c>
      <c r="AW41" s="12">
        <f t="shared" si="1"/>
        <v>43</v>
      </c>
      <c r="AX41" s="12" t="str">
        <f t="shared" si="2"/>
        <v/>
      </c>
      <c r="AY41" s="45"/>
    </row>
    <row r="42" spans="1:51" ht="20.100000000000001" customHeight="1" x14ac:dyDescent="0.2">
      <c r="A42" s="13">
        <v>35</v>
      </c>
      <c r="B42" s="40" t="s">
        <v>556</v>
      </c>
      <c r="C42" s="40" t="s">
        <v>288</v>
      </c>
      <c r="D42" s="41" t="s">
        <v>557</v>
      </c>
      <c r="E42" s="41" t="s">
        <v>66</v>
      </c>
      <c r="F42" s="41" t="s">
        <v>192</v>
      </c>
      <c r="G42" s="41"/>
      <c r="H42" s="13" t="s">
        <v>7</v>
      </c>
      <c r="I42" s="13"/>
      <c r="J42" s="13"/>
      <c r="K42" s="13"/>
      <c r="L42" s="13"/>
      <c r="M42" s="13"/>
      <c r="N42" s="13"/>
      <c r="O42" s="40" t="s">
        <v>67</v>
      </c>
      <c r="P42" s="41"/>
      <c r="Q42" s="41" t="s">
        <v>334</v>
      </c>
      <c r="R42" s="41" t="s">
        <v>558</v>
      </c>
      <c r="S42" s="41" t="s">
        <v>142</v>
      </c>
      <c r="T42" s="13" t="s">
        <v>70</v>
      </c>
      <c r="U42" s="41"/>
      <c r="V42" s="41" t="s">
        <v>559</v>
      </c>
      <c r="W42" s="41" t="s">
        <v>560</v>
      </c>
      <c r="X42" s="41" t="s">
        <v>119</v>
      </c>
      <c r="Y42" s="41" t="s">
        <v>107</v>
      </c>
      <c r="Z42" s="13">
        <v>0</v>
      </c>
      <c r="AA42" s="13"/>
      <c r="AB42" s="13"/>
      <c r="AC42" s="13"/>
      <c r="AD42" s="40">
        <v>210</v>
      </c>
      <c r="AE42" s="40"/>
      <c r="AF42" s="40"/>
      <c r="AG42" s="40"/>
      <c r="AH42" s="40"/>
      <c r="AI42" s="40"/>
      <c r="AJ42" s="40"/>
      <c r="AK42" s="40"/>
      <c r="AL42" s="40"/>
      <c r="AM42" s="41"/>
      <c r="AN42" s="41" t="s">
        <v>549</v>
      </c>
      <c r="AO42" s="43">
        <v>187</v>
      </c>
      <c r="AP42" s="13">
        <v>6.6</v>
      </c>
      <c r="AQ42" s="40"/>
      <c r="AR42" s="40"/>
      <c r="AS42" s="44"/>
      <c r="AT42" s="44"/>
      <c r="AU42" s="44"/>
      <c r="AV42" s="44"/>
      <c r="AW42" s="12" t="str">
        <f t="shared" si="1"/>
        <v/>
      </c>
      <c r="AX42" s="12" t="str">
        <f t="shared" si="2"/>
        <v/>
      </c>
      <c r="AY42" s="45"/>
    </row>
    <row r="43" spans="1:51" s="19" customFormat="1" ht="20.100000000000001" customHeight="1" x14ac:dyDescent="0.2">
      <c r="A43" s="13">
        <v>36</v>
      </c>
      <c r="B43" s="16" t="s">
        <v>561</v>
      </c>
      <c r="C43" s="16" t="s">
        <v>288</v>
      </c>
      <c r="D43" s="6" t="s">
        <v>562</v>
      </c>
      <c r="E43" s="6" t="s">
        <v>8</v>
      </c>
      <c r="F43" s="6" t="s">
        <v>185</v>
      </c>
      <c r="G43" s="6"/>
      <c r="H43" s="15" t="s">
        <v>83</v>
      </c>
      <c r="I43" s="15"/>
      <c r="J43" s="15"/>
      <c r="K43" s="15"/>
      <c r="L43" s="15"/>
      <c r="M43" s="15"/>
      <c r="N43" s="15"/>
      <c r="O43" s="16" t="s">
        <v>92</v>
      </c>
      <c r="P43" s="6"/>
      <c r="Q43" s="6" t="s">
        <v>117</v>
      </c>
      <c r="R43" s="6" t="s">
        <v>115</v>
      </c>
      <c r="S43" s="6" t="s">
        <v>119</v>
      </c>
      <c r="T43" s="15" t="s">
        <v>107</v>
      </c>
      <c r="U43" s="6"/>
      <c r="V43" s="6" t="s">
        <v>470</v>
      </c>
      <c r="W43" s="6" t="s">
        <v>563</v>
      </c>
      <c r="X43" s="6" t="s">
        <v>119</v>
      </c>
      <c r="Y43" s="6" t="s">
        <v>107</v>
      </c>
      <c r="Z43" s="15" t="s">
        <v>564</v>
      </c>
      <c r="AA43" s="15"/>
      <c r="AB43" s="15"/>
      <c r="AC43" s="15"/>
      <c r="AD43" s="16">
        <v>198</v>
      </c>
      <c r="AE43" s="16"/>
      <c r="AF43" s="16"/>
      <c r="AG43" s="16"/>
      <c r="AH43" s="16"/>
      <c r="AI43" s="16"/>
      <c r="AJ43" s="16"/>
      <c r="AK43" s="16"/>
      <c r="AL43" s="16"/>
      <c r="AM43" s="6"/>
      <c r="AN43" s="6" t="s">
        <v>565</v>
      </c>
      <c r="AO43" s="25">
        <v>103</v>
      </c>
      <c r="AP43" s="15">
        <v>30</v>
      </c>
      <c r="AQ43" s="16"/>
      <c r="AR43" s="16"/>
      <c r="AS43" s="6" t="s">
        <v>115</v>
      </c>
      <c r="AT43" s="6" t="s">
        <v>496</v>
      </c>
      <c r="AU43" s="6" t="s">
        <v>208</v>
      </c>
      <c r="AV43" s="6" t="s">
        <v>116</v>
      </c>
      <c r="AW43" s="46">
        <f t="shared" si="1"/>
        <v>15</v>
      </c>
      <c r="AX43" s="46" t="str">
        <f t="shared" si="2"/>
        <v/>
      </c>
      <c r="AY43" s="18"/>
    </row>
    <row r="44" spans="1:51" ht="20.100000000000001" customHeight="1" x14ac:dyDescent="0.2">
      <c r="A44" s="13">
        <v>37</v>
      </c>
      <c r="B44" s="40" t="s">
        <v>566</v>
      </c>
      <c r="C44" s="40" t="s">
        <v>288</v>
      </c>
      <c r="D44" s="41" t="s">
        <v>540</v>
      </c>
      <c r="E44" s="41" t="s">
        <v>8</v>
      </c>
      <c r="F44" s="41"/>
      <c r="G44" s="41"/>
      <c r="H44" s="13" t="s">
        <v>7</v>
      </c>
      <c r="I44" s="13"/>
      <c r="J44" s="13"/>
      <c r="K44" s="13"/>
      <c r="L44" s="13"/>
      <c r="M44" s="13"/>
      <c r="N44" s="13"/>
      <c r="O44" s="40" t="s">
        <v>92</v>
      </c>
      <c r="P44" s="41" t="s">
        <v>104</v>
      </c>
      <c r="Q44" s="41" t="s">
        <v>104</v>
      </c>
      <c r="R44" s="41" t="s">
        <v>567</v>
      </c>
      <c r="S44" s="41" t="s">
        <v>106</v>
      </c>
      <c r="T44" s="13" t="s">
        <v>107</v>
      </c>
      <c r="U44" s="41" t="s">
        <v>256</v>
      </c>
      <c r="V44" s="41" t="s">
        <v>256</v>
      </c>
      <c r="W44" s="41" t="s">
        <v>568</v>
      </c>
      <c r="X44" s="41" t="s">
        <v>119</v>
      </c>
      <c r="Y44" s="41" t="s">
        <v>107</v>
      </c>
      <c r="Z44" s="13">
        <v>0</v>
      </c>
      <c r="AA44" s="13"/>
      <c r="AB44" s="13"/>
      <c r="AC44" s="13"/>
      <c r="AD44" s="40">
        <v>102</v>
      </c>
      <c r="AE44" s="40"/>
      <c r="AF44" s="40"/>
      <c r="AG44" s="40"/>
      <c r="AH44" s="40"/>
      <c r="AI44" s="40"/>
      <c r="AJ44" s="40"/>
      <c r="AK44" s="40"/>
      <c r="AL44" s="40"/>
      <c r="AM44" s="41"/>
      <c r="AN44" s="41" t="s">
        <v>556</v>
      </c>
      <c r="AO44" s="43">
        <v>122</v>
      </c>
      <c r="AP44" s="13">
        <v>30</v>
      </c>
      <c r="AQ44" s="40"/>
      <c r="AR44" s="40"/>
      <c r="AS44" s="44"/>
      <c r="AT44" s="44"/>
      <c r="AU44" s="44"/>
      <c r="AV44" s="44"/>
      <c r="AW44" s="12" t="str">
        <f t="shared" si="1"/>
        <v/>
      </c>
      <c r="AX44" s="12" t="str">
        <f t="shared" si="2"/>
        <v/>
      </c>
      <c r="AY44" s="45"/>
    </row>
    <row r="45" spans="1:51" ht="20.100000000000001" customHeight="1" x14ac:dyDescent="0.2">
      <c r="A45" s="13">
        <v>38</v>
      </c>
      <c r="B45" s="40" t="s">
        <v>569</v>
      </c>
      <c r="C45" s="40" t="s">
        <v>288</v>
      </c>
      <c r="D45" s="41" t="s">
        <v>550</v>
      </c>
      <c r="E45" s="41" t="s">
        <v>10</v>
      </c>
      <c r="F45" s="41"/>
      <c r="G45" s="41"/>
      <c r="H45" s="13" t="s">
        <v>7</v>
      </c>
      <c r="I45" s="13"/>
      <c r="J45" s="13"/>
      <c r="K45" s="13"/>
      <c r="L45" s="13"/>
      <c r="M45" s="13"/>
      <c r="N45" s="13"/>
      <c r="O45" s="40" t="s">
        <v>92</v>
      </c>
      <c r="P45" s="35" t="s">
        <v>155</v>
      </c>
      <c r="Q45" s="35" t="s">
        <v>218</v>
      </c>
      <c r="R45" s="41" t="s">
        <v>570</v>
      </c>
      <c r="S45" s="41" t="s">
        <v>119</v>
      </c>
      <c r="T45" s="13" t="s">
        <v>107</v>
      </c>
      <c r="U45" s="35" t="s">
        <v>170</v>
      </c>
      <c r="V45" s="35" t="s">
        <v>268</v>
      </c>
      <c r="W45" s="41" t="s">
        <v>571</v>
      </c>
      <c r="X45" s="41" t="s">
        <v>119</v>
      </c>
      <c r="Y45" s="41" t="s">
        <v>107</v>
      </c>
      <c r="Z45" s="13">
        <v>0</v>
      </c>
      <c r="AA45" s="13"/>
      <c r="AB45" s="13"/>
      <c r="AC45" s="13"/>
      <c r="AD45" s="40">
        <v>212</v>
      </c>
      <c r="AE45" s="40"/>
      <c r="AF45" s="40"/>
      <c r="AG45" s="40"/>
      <c r="AH45" s="40"/>
      <c r="AI45" s="40"/>
      <c r="AJ45" s="40"/>
      <c r="AK45" s="40"/>
      <c r="AL45" s="40"/>
      <c r="AM45" s="33" t="s">
        <v>158</v>
      </c>
      <c r="AN45" s="41" t="s">
        <v>566</v>
      </c>
      <c r="AO45" s="43">
        <v>235</v>
      </c>
      <c r="AP45" s="13">
        <v>22</v>
      </c>
      <c r="AQ45" s="40"/>
      <c r="AR45" s="40"/>
      <c r="AS45" s="6"/>
      <c r="AT45" s="6"/>
      <c r="AU45" s="6"/>
      <c r="AV45" s="6"/>
      <c r="AW45" s="12" t="str">
        <f t="shared" si="1"/>
        <v/>
      </c>
      <c r="AX45" s="12" t="str">
        <f t="shared" si="2"/>
        <v/>
      </c>
      <c r="AY45" s="45"/>
    </row>
    <row r="46" spans="1:51" ht="20.100000000000001" customHeight="1" x14ac:dyDescent="0.2">
      <c r="A46" s="13">
        <v>39</v>
      </c>
      <c r="B46" s="40" t="s">
        <v>572</v>
      </c>
      <c r="C46" s="40" t="s">
        <v>288</v>
      </c>
      <c r="D46" s="41" t="s">
        <v>573</v>
      </c>
      <c r="E46" s="41" t="s">
        <v>9</v>
      </c>
      <c r="F46" s="41" t="s">
        <v>481</v>
      </c>
      <c r="G46" s="41"/>
      <c r="H46" s="13" t="s">
        <v>83</v>
      </c>
      <c r="I46" s="13"/>
      <c r="J46" s="13"/>
      <c r="K46" s="13"/>
      <c r="L46" s="13"/>
      <c r="M46" s="13"/>
      <c r="N46" s="13"/>
      <c r="O46" s="40" t="s">
        <v>92</v>
      </c>
      <c r="P46" s="41"/>
      <c r="Q46" s="41" t="s">
        <v>155</v>
      </c>
      <c r="R46" s="41" t="s">
        <v>194</v>
      </c>
      <c r="S46" s="41" t="s">
        <v>574</v>
      </c>
      <c r="T46" s="13" t="s">
        <v>107</v>
      </c>
      <c r="U46" s="41"/>
      <c r="V46" s="41" t="s">
        <v>156</v>
      </c>
      <c r="W46" s="41" t="s">
        <v>575</v>
      </c>
      <c r="X46" s="41" t="s">
        <v>142</v>
      </c>
      <c r="Y46" s="41" t="s">
        <v>70</v>
      </c>
      <c r="Z46" s="13" t="s">
        <v>576</v>
      </c>
      <c r="AA46" s="13"/>
      <c r="AB46" s="13"/>
      <c r="AC46" s="13"/>
      <c r="AD46" s="40">
        <v>210</v>
      </c>
      <c r="AE46" s="40"/>
      <c r="AF46" s="40"/>
      <c r="AG46" s="40"/>
      <c r="AH46" s="40"/>
      <c r="AI46" s="40"/>
      <c r="AJ46" s="40"/>
      <c r="AK46" s="40"/>
      <c r="AL46" s="40"/>
      <c r="AM46" s="41"/>
      <c r="AN46" s="41" t="s">
        <v>577</v>
      </c>
      <c r="AO46" s="43">
        <v>240</v>
      </c>
      <c r="AP46" s="13">
        <v>17</v>
      </c>
      <c r="AQ46" s="40"/>
      <c r="AR46" s="40"/>
      <c r="AS46" s="44" t="s">
        <v>115</v>
      </c>
      <c r="AT46" s="44" t="s">
        <v>496</v>
      </c>
      <c r="AU46" s="44" t="s">
        <v>208</v>
      </c>
      <c r="AV46" s="44" t="s">
        <v>496</v>
      </c>
      <c r="AW46" s="12">
        <f t="shared" si="1"/>
        <v>24</v>
      </c>
      <c r="AX46" s="12" t="str">
        <f t="shared" si="2"/>
        <v/>
      </c>
      <c r="AY46" s="45"/>
    </row>
    <row r="47" spans="1:51" ht="20.100000000000001" customHeight="1" x14ac:dyDescent="0.2">
      <c r="A47" s="13">
        <v>40</v>
      </c>
      <c r="B47" s="40" t="s">
        <v>578</v>
      </c>
      <c r="C47" s="40" t="s">
        <v>288</v>
      </c>
      <c r="D47" s="41" t="s">
        <v>579</v>
      </c>
      <c r="E47" s="41" t="s">
        <v>9</v>
      </c>
      <c r="F47" s="41" t="s">
        <v>174</v>
      </c>
      <c r="G47" s="41"/>
      <c r="H47" s="13" t="s">
        <v>83</v>
      </c>
      <c r="I47" s="13"/>
      <c r="J47" s="13"/>
      <c r="K47" s="13"/>
      <c r="L47" s="13"/>
      <c r="M47" s="13"/>
      <c r="N47" s="13"/>
      <c r="O47" s="40" t="s">
        <v>92</v>
      </c>
      <c r="P47" s="41"/>
      <c r="Q47" s="41" t="s">
        <v>68</v>
      </c>
      <c r="R47" s="41" t="s">
        <v>580</v>
      </c>
      <c r="S47" s="41" t="s">
        <v>142</v>
      </c>
      <c r="T47" s="13" t="s">
        <v>70</v>
      </c>
      <c r="U47" s="41"/>
      <c r="V47" s="41" t="s">
        <v>332</v>
      </c>
      <c r="W47" s="41" t="s">
        <v>581</v>
      </c>
      <c r="X47" s="41" t="s">
        <v>142</v>
      </c>
      <c r="Y47" s="41" t="s">
        <v>70</v>
      </c>
      <c r="Z47" s="13" t="s">
        <v>582</v>
      </c>
      <c r="AA47" s="13"/>
      <c r="AB47" s="13"/>
      <c r="AC47" s="13"/>
      <c r="AD47" s="40">
        <v>222</v>
      </c>
      <c r="AE47" s="40"/>
      <c r="AF47" s="40"/>
      <c r="AG47" s="40"/>
      <c r="AH47" s="40"/>
      <c r="AI47" s="40"/>
      <c r="AJ47" s="40"/>
      <c r="AK47" s="40"/>
      <c r="AL47" s="40"/>
      <c r="AM47" s="15" t="s">
        <v>158</v>
      </c>
      <c r="AN47" s="41" t="s">
        <v>583</v>
      </c>
      <c r="AO47" s="41"/>
      <c r="AP47" s="13"/>
      <c r="AQ47" s="40"/>
      <c r="AR47" s="40"/>
      <c r="AS47" s="6" t="s">
        <v>115</v>
      </c>
      <c r="AT47" s="6" t="s">
        <v>496</v>
      </c>
      <c r="AU47" s="6" t="s">
        <v>348</v>
      </c>
      <c r="AV47" s="6" t="s">
        <v>496</v>
      </c>
      <c r="AW47" s="12">
        <f t="shared" si="1"/>
        <v>36</v>
      </c>
      <c r="AX47" s="12" t="str">
        <f t="shared" si="2"/>
        <v/>
      </c>
      <c r="AY47" s="45"/>
    </row>
    <row r="48" spans="1:51" ht="20.100000000000001" customHeight="1" x14ac:dyDescent="0.2">
      <c r="A48" s="13">
        <v>41</v>
      </c>
      <c r="B48" s="40" t="s">
        <v>584</v>
      </c>
      <c r="C48" s="40" t="s">
        <v>288</v>
      </c>
      <c r="D48" s="41" t="s">
        <v>562</v>
      </c>
      <c r="E48" s="41" t="s">
        <v>8</v>
      </c>
      <c r="F48" s="41"/>
      <c r="G48" s="41"/>
      <c r="H48" s="13" t="s">
        <v>7</v>
      </c>
      <c r="I48" s="13"/>
      <c r="J48" s="13"/>
      <c r="K48" s="13"/>
      <c r="L48" s="13"/>
      <c r="M48" s="13"/>
      <c r="N48" s="13"/>
      <c r="O48" s="40" t="s">
        <v>92</v>
      </c>
      <c r="P48" s="41" t="s">
        <v>117</v>
      </c>
      <c r="Q48" s="41" t="s">
        <v>117</v>
      </c>
      <c r="R48" s="41" t="s">
        <v>585</v>
      </c>
      <c r="S48" s="41" t="s">
        <v>106</v>
      </c>
      <c r="T48" s="13" t="s">
        <v>107</v>
      </c>
      <c r="U48" s="41" t="s">
        <v>470</v>
      </c>
      <c r="V48" s="41" t="s">
        <v>470</v>
      </c>
      <c r="W48" s="41" t="s">
        <v>586</v>
      </c>
      <c r="X48" s="41" t="s">
        <v>106</v>
      </c>
      <c r="Y48" s="41" t="s">
        <v>107</v>
      </c>
      <c r="Z48" s="13">
        <v>0</v>
      </c>
      <c r="AA48" s="13"/>
      <c r="AB48" s="13"/>
      <c r="AC48" s="13"/>
      <c r="AD48" s="40">
        <v>198</v>
      </c>
      <c r="AE48" s="40"/>
      <c r="AF48" s="40"/>
      <c r="AG48" s="40"/>
      <c r="AH48" s="40"/>
      <c r="AI48" s="40"/>
      <c r="AJ48" s="40"/>
      <c r="AK48" s="40"/>
      <c r="AL48" s="40"/>
      <c r="AM48" s="41"/>
      <c r="AN48" s="41"/>
      <c r="AO48" s="41"/>
      <c r="AP48" s="13"/>
      <c r="AQ48" s="40"/>
      <c r="AR48" s="40"/>
      <c r="AS48" s="44"/>
      <c r="AT48" s="44"/>
      <c r="AU48" s="44"/>
      <c r="AV48" s="44"/>
      <c r="AW48" s="12" t="str">
        <f t="shared" si="1"/>
        <v/>
      </c>
      <c r="AX48" s="12" t="str">
        <f t="shared" si="2"/>
        <v/>
      </c>
      <c r="AY48" s="45"/>
    </row>
    <row r="49" spans="1:51" ht="20.100000000000001" customHeight="1" x14ac:dyDescent="0.2">
      <c r="A49" s="13">
        <v>42</v>
      </c>
      <c r="B49" s="40" t="s">
        <v>587</v>
      </c>
      <c r="C49" s="40" t="s">
        <v>288</v>
      </c>
      <c r="D49" s="41" t="s">
        <v>508</v>
      </c>
      <c r="E49" s="41" t="s">
        <v>10</v>
      </c>
      <c r="F49" s="41"/>
      <c r="G49" s="41"/>
      <c r="H49" s="13" t="s">
        <v>7</v>
      </c>
      <c r="I49" s="13"/>
      <c r="J49" s="13"/>
      <c r="K49" s="13"/>
      <c r="L49" s="13"/>
      <c r="M49" s="13"/>
      <c r="N49" s="13"/>
      <c r="O49" s="40" t="s">
        <v>92</v>
      </c>
      <c r="P49" s="35" t="s">
        <v>155</v>
      </c>
      <c r="Q49" s="35" t="s">
        <v>104</v>
      </c>
      <c r="R49" s="41" t="s">
        <v>588</v>
      </c>
      <c r="S49" s="41" t="s">
        <v>106</v>
      </c>
      <c r="T49" s="13" t="s">
        <v>107</v>
      </c>
      <c r="U49" s="35" t="s">
        <v>167</v>
      </c>
      <c r="V49" s="35" t="s">
        <v>305</v>
      </c>
      <c r="W49" s="41" t="s">
        <v>589</v>
      </c>
      <c r="X49" s="41" t="s">
        <v>106</v>
      </c>
      <c r="Y49" s="41" t="s">
        <v>107</v>
      </c>
      <c r="Z49" s="13">
        <v>0</v>
      </c>
      <c r="AA49" s="13"/>
      <c r="AB49" s="13"/>
      <c r="AC49" s="13"/>
      <c r="AD49" s="40">
        <v>240</v>
      </c>
      <c r="AE49" s="40"/>
      <c r="AF49" s="40"/>
      <c r="AG49" s="40"/>
      <c r="AH49" s="40"/>
      <c r="AI49" s="40"/>
      <c r="AJ49" s="40"/>
      <c r="AK49" s="40"/>
      <c r="AL49" s="40"/>
      <c r="AM49" s="33" t="s">
        <v>158</v>
      </c>
      <c r="AN49" s="41"/>
      <c r="AO49" s="41"/>
      <c r="AP49" s="13"/>
      <c r="AQ49" s="40"/>
      <c r="AR49" s="40"/>
      <c r="AS49" s="6"/>
      <c r="AT49" s="6"/>
      <c r="AU49" s="6"/>
      <c r="AV49" s="6"/>
      <c r="AW49" s="12" t="str">
        <f t="shared" si="1"/>
        <v/>
      </c>
      <c r="AX49" s="12" t="str">
        <f t="shared" si="2"/>
        <v/>
      </c>
      <c r="AY49" s="45"/>
    </row>
    <row r="50" spans="1:51" ht="20.100000000000001" customHeight="1" x14ac:dyDescent="0.2">
      <c r="A50" s="13">
        <v>43</v>
      </c>
      <c r="B50" s="40" t="s">
        <v>590</v>
      </c>
      <c r="C50" s="40" t="s">
        <v>288</v>
      </c>
      <c r="D50" s="41" t="s">
        <v>591</v>
      </c>
      <c r="E50" s="41" t="s">
        <v>9</v>
      </c>
      <c r="F50" s="41" t="s">
        <v>174</v>
      </c>
      <c r="G50" s="41"/>
      <c r="H50" s="13" t="s">
        <v>83</v>
      </c>
      <c r="I50" s="13"/>
      <c r="J50" s="13"/>
      <c r="K50" s="13"/>
      <c r="L50" s="13"/>
      <c r="M50" s="13"/>
      <c r="N50" s="13"/>
      <c r="O50" s="40" t="s">
        <v>92</v>
      </c>
      <c r="P50" s="41"/>
      <c r="Q50" s="41" t="s">
        <v>104</v>
      </c>
      <c r="R50" s="41" t="s">
        <v>592</v>
      </c>
      <c r="S50" s="41" t="s">
        <v>142</v>
      </c>
      <c r="T50" s="13" t="s">
        <v>70</v>
      </c>
      <c r="U50" s="41"/>
      <c r="V50" s="41" t="s">
        <v>361</v>
      </c>
      <c r="W50" s="41" t="s">
        <v>593</v>
      </c>
      <c r="X50" s="41" t="s">
        <v>142</v>
      </c>
      <c r="Y50" s="41" t="s">
        <v>70</v>
      </c>
      <c r="Z50" s="13" t="s">
        <v>594</v>
      </c>
      <c r="AA50" s="13"/>
      <c r="AB50" s="13"/>
      <c r="AC50" s="13"/>
      <c r="AD50" s="40">
        <v>186</v>
      </c>
      <c r="AE50" s="40"/>
      <c r="AF50" s="40"/>
      <c r="AG50" s="40"/>
      <c r="AH50" s="40"/>
      <c r="AI50" s="40"/>
      <c r="AJ50" s="40"/>
      <c r="AK50" s="40"/>
      <c r="AL50" s="40"/>
      <c r="AM50" s="15" t="s">
        <v>158</v>
      </c>
      <c r="AN50" s="41" t="s">
        <v>595</v>
      </c>
      <c r="AO50" s="43">
        <v>193</v>
      </c>
      <c r="AP50" s="13">
        <v>17</v>
      </c>
      <c r="AQ50" s="40"/>
      <c r="AR50" s="40"/>
      <c r="AS50" s="44" t="s">
        <v>115</v>
      </c>
      <c r="AT50" s="44" t="s">
        <v>496</v>
      </c>
      <c r="AU50" s="44" t="s">
        <v>348</v>
      </c>
      <c r="AV50" s="44" t="s">
        <v>485</v>
      </c>
      <c r="AW50" s="12">
        <f t="shared" si="1"/>
        <v>30</v>
      </c>
      <c r="AX50" s="12" t="str">
        <f t="shared" si="2"/>
        <v/>
      </c>
      <c r="AY50" s="45"/>
    </row>
    <row r="51" spans="1:51" ht="20.100000000000001" customHeight="1" x14ac:dyDescent="0.2">
      <c r="A51" s="13">
        <v>44</v>
      </c>
      <c r="B51" s="40" t="s">
        <v>596</v>
      </c>
      <c r="C51" s="40" t="s">
        <v>288</v>
      </c>
      <c r="D51" s="41" t="s">
        <v>597</v>
      </c>
      <c r="E51" s="41" t="s">
        <v>6</v>
      </c>
      <c r="F51" s="41" t="s">
        <v>192</v>
      </c>
      <c r="G51" s="41"/>
      <c r="H51" s="13" t="s">
        <v>7</v>
      </c>
      <c r="I51" s="13"/>
      <c r="J51" s="13"/>
      <c r="K51" s="13"/>
      <c r="L51" s="13"/>
      <c r="M51" s="13"/>
      <c r="N51" s="13"/>
      <c r="O51" s="40" t="s">
        <v>92</v>
      </c>
      <c r="P51" s="41"/>
      <c r="Q51" s="41" t="s">
        <v>155</v>
      </c>
      <c r="R51" s="41" t="s">
        <v>1970</v>
      </c>
      <c r="S51" s="41" t="s">
        <v>69</v>
      </c>
      <c r="T51" s="13" t="s">
        <v>70</v>
      </c>
      <c r="U51" s="41"/>
      <c r="V51" s="41" t="s">
        <v>167</v>
      </c>
      <c r="W51" s="41"/>
      <c r="X51" s="41" t="s">
        <v>69</v>
      </c>
      <c r="Y51" s="41" t="s">
        <v>70</v>
      </c>
      <c r="Z51" s="13"/>
      <c r="AA51" s="13"/>
      <c r="AB51" s="13"/>
      <c r="AC51" s="13"/>
      <c r="AD51" s="40"/>
      <c r="AE51" s="40"/>
      <c r="AF51" s="40"/>
      <c r="AG51" s="40"/>
      <c r="AH51" s="40"/>
      <c r="AI51" s="40"/>
      <c r="AJ51" s="40"/>
      <c r="AK51" s="40"/>
      <c r="AL51" s="40"/>
      <c r="AM51" s="41"/>
      <c r="AN51" s="41"/>
      <c r="AO51" s="41"/>
      <c r="AP51" s="13"/>
      <c r="AQ51" s="40"/>
      <c r="AR51" s="40"/>
      <c r="AS51" s="6"/>
      <c r="AT51" s="6"/>
      <c r="AU51" s="6"/>
      <c r="AV51" s="6"/>
      <c r="AW51" s="12" t="str">
        <f t="shared" si="1"/>
        <v/>
      </c>
      <c r="AX51" s="12" t="str">
        <f t="shared" si="2"/>
        <v/>
      </c>
      <c r="AY51" s="45"/>
    </row>
    <row r="52" spans="1:51" ht="20.100000000000001" customHeight="1" x14ac:dyDescent="0.2">
      <c r="A52" s="13">
        <v>45</v>
      </c>
      <c r="B52" s="40" t="s">
        <v>598</v>
      </c>
      <c r="C52" s="40" t="s">
        <v>288</v>
      </c>
      <c r="D52" s="41" t="s">
        <v>599</v>
      </c>
      <c r="E52" s="41" t="s">
        <v>6</v>
      </c>
      <c r="F52" s="41" t="s">
        <v>481</v>
      </c>
      <c r="G52" s="41"/>
      <c r="H52" s="13" t="s">
        <v>83</v>
      </c>
      <c r="I52" s="13"/>
      <c r="J52" s="13"/>
      <c r="K52" s="13"/>
      <c r="L52" s="13"/>
      <c r="M52" s="13"/>
      <c r="N52" s="13"/>
      <c r="O52" s="40" t="s">
        <v>92</v>
      </c>
      <c r="P52" s="41"/>
      <c r="Q52" s="41" t="s">
        <v>155</v>
      </c>
      <c r="R52" s="41" t="s">
        <v>600</v>
      </c>
      <c r="S52" s="41" t="s">
        <v>69</v>
      </c>
      <c r="T52" s="13" t="s">
        <v>70</v>
      </c>
      <c r="U52" s="41"/>
      <c r="V52" s="41" t="s">
        <v>167</v>
      </c>
      <c r="W52" s="41" t="s">
        <v>601</v>
      </c>
      <c r="X52" s="41" t="s">
        <v>69</v>
      </c>
      <c r="Y52" s="41" t="s">
        <v>70</v>
      </c>
      <c r="Z52" s="13" t="s">
        <v>602</v>
      </c>
      <c r="AA52" s="13"/>
      <c r="AB52" s="13"/>
      <c r="AC52" s="13"/>
      <c r="AD52" s="40">
        <v>195</v>
      </c>
      <c r="AE52" s="40"/>
      <c r="AF52" s="40"/>
      <c r="AG52" s="40"/>
      <c r="AH52" s="40"/>
      <c r="AI52" s="40"/>
      <c r="AJ52" s="40"/>
      <c r="AK52" s="40"/>
      <c r="AL52" s="40"/>
      <c r="AM52" s="47"/>
      <c r="AN52" s="41" t="s">
        <v>603</v>
      </c>
      <c r="AO52" s="43">
        <v>189</v>
      </c>
      <c r="AP52" s="13">
        <v>28.5</v>
      </c>
      <c r="AQ52" s="40"/>
      <c r="AR52" s="40"/>
      <c r="AS52" s="44" t="s">
        <v>115</v>
      </c>
      <c r="AT52" s="44" t="s">
        <v>496</v>
      </c>
      <c r="AU52" s="44" t="s">
        <v>259</v>
      </c>
      <c r="AV52" s="44" t="s">
        <v>260</v>
      </c>
      <c r="AW52" s="12">
        <f t="shared" si="1"/>
        <v>74</v>
      </c>
      <c r="AX52" s="12" t="str">
        <f t="shared" si="2"/>
        <v/>
      </c>
      <c r="AY52" s="45"/>
    </row>
    <row r="53" spans="1:51" s="19" customFormat="1" ht="20.100000000000001" customHeight="1" x14ac:dyDescent="0.2">
      <c r="A53" s="13">
        <v>46</v>
      </c>
      <c r="B53" s="16" t="s">
        <v>598</v>
      </c>
      <c r="C53" s="16" t="s">
        <v>288</v>
      </c>
      <c r="D53" s="6" t="s">
        <v>604</v>
      </c>
      <c r="E53" s="6" t="s">
        <v>8</v>
      </c>
      <c r="F53" s="6" t="s">
        <v>605</v>
      </c>
      <c r="G53" s="6"/>
      <c r="H53" s="15" t="s">
        <v>83</v>
      </c>
      <c r="I53" s="15"/>
      <c r="J53" s="15"/>
      <c r="K53" s="15"/>
      <c r="L53" s="15"/>
      <c r="M53" s="15"/>
      <c r="N53" s="15"/>
      <c r="O53" s="16" t="s">
        <v>67</v>
      </c>
      <c r="P53" s="6"/>
      <c r="Q53" s="6"/>
      <c r="R53" s="6"/>
      <c r="S53" s="6"/>
      <c r="T53" s="15"/>
      <c r="U53" s="6"/>
      <c r="V53" s="6"/>
      <c r="W53" s="6"/>
      <c r="X53" s="6"/>
      <c r="Y53" s="6"/>
      <c r="Z53" s="15"/>
      <c r="AA53" s="15"/>
      <c r="AB53" s="15"/>
      <c r="AC53" s="15"/>
      <c r="AD53" s="16"/>
      <c r="AE53" s="16"/>
      <c r="AF53" s="16"/>
      <c r="AG53" s="16"/>
      <c r="AH53" s="16"/>
      <c r="AI53" s="16"/>
      <c r="AJ53" s="16"/>
      <c r="AK53" s="16"/>
      <c r="AL53" s="16"/>
      <c r="AM53" s="6"/>
      <c r="AN53" s="6"/>
      <c r="AO53" s="6"/>
      <c r="AP53" s="15"/>
      <c r="AQ53" s="16"/>
      <c r="AR53" s="16"/>
      <c r="AS53" s="6" t="s">
        <v>115</v>
      </c>
      <c r="AT53" s="6" t="s">
        <v>496</v>
      </c>
      <c r="AU53" s="6" t="s">
        <v>136</v>
      </c>
      <c r="AV53" s="6"/>
      <c r="AW53" s="46">
        <f t="shared" si="1"/>
        <v>14</v>
      </c>
      <c r="AX53" s="46" t="str">
        <f t="shared" si="2"/>
        <v/>
      </c>
      <c r="AY53" s="18"/>
    </row>
    <row r="54" spans="1:51" ht="20.100000000000001" customHeight="1" x14ac:dyDescent="0.2">
      <c r="A54" s="13">
        <v>47</v>
      </c>
      <c r="B54" s="40" t="s">
        <v>598</v>
      </c>
      <c r="C54" s="40" t="s">
        <v>288</v>
      </c>
      <c r="D54" s="41" t="s">
        <v>604</v>
      </c>
      <c r="E54" s="41" t="s">
        <v>8</v>
      </c>
      <c r="F54" s="41"/>
      <c r="G54" s="41"/>
      <c r="H54" s="13" t="s">
        <v>7</v>
      </c>
      <c r="I54" s="13"/>
      <c r="J54" s="13"/>
      <c r="K54" s="13"/>
      <c r="L54" s="13"/>
      <c r="M54" s="13"/>
      <c r="N54" s="13"/>
      <c r="O54" s="40" t="s">
        <v>67</v>
      </c>
      <c r="P54" s="35" t="s">
        <v>117</v>
      </c>
      <c r="Q54" s="35" t="s">
        <v>104</v>
      </c>
      <c r="R54" s="41" t="s">
        <v>606</v>
      </c>
      <c r="S54" s="41" t="s">
        <v>106</v>
      </c>
      <c r="T54" s="13" t="s">
        <v>107</v>
      </c>
      <c r="U54" s="35" t="s">
        <v>199</v>
      </c>
      <c r="V54" s="35" t="s">
        <v>204</v>
      </c>
      <c r="W54" s="41" t="s">
        <v>607</v>
      </c>
      <c r="X54" s="41" t="s">
        <v>106</v>
      </c>
      <c r="Y54" s="41" t="s">
        <v>107</v>
      </c>
      <c r="Z54" s="13">
        <v>0</v>
      </c>
      <c r="AA54" s="13"/>
      <c r="AB54" s="13"/>
      <c r="AC54" s="13"/>
      <c r="AD54" s="40">
        <v>174</v>
      </c>
      <c r="AE54" s="40"/>
      <c r="AF54" s="40"/>
      <c r="AG54" s="40"/>
      <c r="AH54" s="40"/>
      <c r="AI54" s="40"/>
      <c r="AJ54" s="40"/>
      <c r="AK54" s="40"/>
      <c r="AL54" s="40"/>
      <c r="AM54" s="33" t="s">
        <v>158</v>
      </c>
      <c r="AN54" s="41" t="s">
        <v>598</v>
      </c>
      <c r="AO54" s="43">
        <v>187</v>
      </c>
      <c r="AP54" s="13">
        <v>14</v>
      </c>
      <c r="AQ54" s="40"/>
      <c r="AR54" s="40"/>
      <c r="AS54" s="44"/>
      <c r="AT54" s="44"/>
      <c r="AU54" s="44"/>
      <c r="AV54" s="44"/>
      <c r="AW54" s="12" t="str">
        <f t="shared" si="1"/>
        <v/>
      </c>
      <c r="AX54" s="12" t="str">
        <f t="shared" si="2"/>
        <v/>
      </c>
      <c r="AY54" s="45"/>
    </row>
    <row r="55" spans="1:51" s="21" customFormat="1" ht="20.100000000000001" customHeight="1" x14ac:dyDescent="0.2">
      <c r="A55" s="13">
        <v>48</v>
      </c>
      <c r="B55" s="29" t="s">
        <v>608</v>
      </c>
      <c r="C55" s="29" t="s">
        <v>288</v>
      </c>
      <c r="D55" s="30" t="s">
        <v>609</v>
      </c>
      <c r="E55" s="30" t="s">
        <v>6</v>
      </c>
      <c r="F55" s="30" t="s">
        <v>185</v>
      </c>
      <c r="G55" s="30"/>
      <c r="H55" s="20" t="s">
        <v>83</v>
      </c>
      <c r="I55" s="20"/>
      <c r="J55" s="20"/>
      <c r="K55" s="20"/>
      <c r="L55" s="20"/>
      <c r="M55" s="20"/>
      <c r="N55" s="20"/>
      <c r="O55" s="29" t="s">
        <v>92</v>
      </c>
      <c r="P55" s="30"/>
      <c r="Q55" s="30" t="s">
        <v>218</v>
      </c>
      <c r="R55" s="30" t="s">
        <v>610</v>
      </c>
      <c r="S55" s="30" t="s">
        <v>119</v>
      </c>
      <c r="T55" s="20" t="s">
        <v>107</v>
      </c>
      <c r="U55" s="30"/>
      <c r="V55" s="30" t="s">
        <v>268</v>
      </c>
      <c r="W55" s="30" t="s">
        <v>611</v>
      </c>
      <c r="X55" s="30" t="s">
        <v>119</v>
      </c>
      <c r="Y55" s="30" t="s">
        <v>107</v>
      </c>
      <c r="Z55" s="20" t="s">
        <v>612</v>
      </c>
      <c r="AA55" s="20"/>
      <c r="AB55" s="20"/>
      <c r="AC55" s="20"/>
      <c r="AD55" s="29">
        <v>190</v>
      </c>
      <c r="AE55" s="29"/>
      <c r="AF55" s="29"/>
      <c r="AG55" s="29"/>
      <c r="AH55" s="29"/>
      <c r="AI55" s="29"/>
      <c r="AJ55" s="29"/>
      <c r="AK55" s="29"/>
      <c r="AL55" s="29"/>
      <c r="AM55" s="20" t="s">
        <v>158</v>
      </c>
      <c r="AN55" s="30" t="s">
        <v>613</v>
      </c>
      <c r="AO55" s="36">
        <v>221</v>
      </c>
      <c r="AP55" s="20">
        <v>24.3</v>
      </c>
      <c r="AQ55" s="29"/>
      <c r="AR55" s="29"/>
      <c r="AS55" s="30" t="s">
        <v>115</v>
      </c>
      <c r="AT55" s="30" t="s">
        <v>496</v>
      </c>
      <c r="AU55" s="30" t="s">
        <v>136</v>
      </c>
      <c r="AV55" s="30" t="s">
        <v>260</v>
      </c>
      <c r="AW55" s="31">
        <f t="shared" si="1"/>
        <v>2</v>
      </c>
      <c r="AX55" s="31">
        <f t="shared" si="2"/>
        <v>2</v>
      </c>
      <c r="AY55" s="32"/>
    </row>
    <row r="56" spans="1:51" ht="20.100000000000001" customHeight="1" x14ac:dyDescent="0.2">
      <c r="A56" s="13">
        <v>49</v>
      </c>
      <c r="B56" s="40" t="s">
        <v>608</v>
      </c>
      <c r="C56" s="40" t="s">
        <v>288</v>
      </c>
      <c r="D56" s="41" t="s">
        <v>614</v>
      </c>
      <c r="E56" s="41" t="s">
        <v>6</v>
      </c>
      <c r="F56" s="41" t="s">
        <v>185</v>
      </c>
      <c r="G56" s="41"/>
      <c r="H56" s="13" t="s">
        <v>83</v>
      </c>
      <c r="I56" s="13"/>
      <c r="J56" s="13"/>
      <c r="K56" s="13"/>
      <c r="L56" s="13"/>
      <c r="M56" s="13"/>
      <c r="N56" s="13"/>
      <c r="O56" s="40" t="s">
        <v>67</v>
      </c>
      <c r="P56" s="41"/>
      <c r="Q56" s="41" t="s">
        <v>155</v>
      </c>
      <c r="R56" s="41" t="s">
        <v>615</v>
      </c>
      <c r="S56" s="41" t="s">
        <v>574</v>
      </c>
      <c r="T56" s="13" t="s">
        <v>107</v>
      </c>
      <c r="U56" s="41"/>
      <c r="V56" s="41" t="s">
        <v>156</v>
      </c>
      <c r="W56" s="41" t="s">
        <v>616</v>
      </c>
      <c r="X56" s="41" t="s">
        <v>574</v>
      </c>
      <c r="Y56" s="41" t="s">
        <v>107</v>
      </c>
      <c r="Z56" s="13" t="s">
        <v>617</v>
      </c>
      <c r="AA56" s="13"/>
      <c r="AB56" s="13"/>
      <c r="AC56" s="13"/>
      <c r="AD56" s="40">
        <v>186</v>
      </c>
      <c r="AE56" s="40"/>
      <c r="AF56" s="40"/>
      <c r="AG56" s="40"/>
      <c r="AH56" s="40"/>
      <c r="AI56" s="40"/>
      <c r="AJ56" s="40"/>
      <c r="AK56" s="40"/>
      <c r="AL56" s="40"/>
      <c r="AM56" s="47"/>
      <c r="AN56" s="41" t="s">
        <v>618</v>
      </c>
      <c r="AO56" s="43">
        <v>219</v>
      </c>
      <c r="AP56" s="13">
        <v>22</v>
      </c>
      <c r="AQ56" s="40"/>
      <c r="AR56" s="40"/>
      <c r="AS56" s="44" t="s">
        <v>115</v>
      </c>
      <c r="AT56" s="44" t="s">
        <v>496</v>
      </c>
      <c r="AU56" s="44" t="s">
        <v>348</v>
      </c>
      <c r="AV56" s="44" t="s">
        <v>496</v>
      </c>
      <c r="AW56" s="12">
        <f t="shared" si="1"/>
        <v>36</v>
      </c>
      <c r="AX56" s="12" t="str">
        <f t="shared" si="2"/>
        <v/>
      </c>
      <c r="AY56" s="45"/>
    </row>
    <row r="57" spans="1:51" ht="20.100000000000001" customHeight="1" x14ac:dyDescent="0.2">
      <c r="A57" s="13">
        <v>50</v>
      </c>
      <c r="B57" s="40" t="s">
        <v>619</v>
      </c>
      <c r="C57" s="40" t="s">
        <v>288</v>
      </c>
      <c r="D57" s="41" t="s">
        <v>599</v>
      </c>
      <c r="E57" s="41" t="s">
        <v>6</v>
      </c>
      <c r="F57" s="41"/>
      <c r="G57" s="41"/>
      <c r="H57" s="13" t="s">
        <v>7</v>
      </c>
      <c r="I57" s="13"/>
      <c r="J57" s="13"/>
      <c r="K57" s="13"/>
      <c r="L57" s="13"/>
      <c r="M57" s="13"/>
      <c r="N57" s="13"/>
      <c r="O57" s="40" t="s">
        <v>92</v>
      </c>
      <c r="P57" s="41" t="s">
        <v>155</v>
      </c>
      <c r="Q57" s="41" t="s">
        <v>155</v>
      </c>
      <c r="R57" s="41" t="s">
        <v>620</v>
      </c>
      <c r="S57" s="41" t="s">
        <v>69</v>
      </c>
      <c r="T57" s="13" t="s">
        <v>70</v>
      </c>
      <c r="U57" s="41" t="s">
        <v>167</v>
      </c>
      <c r="V57" s="41" t="s">
        <v>167</v>
      </c>
      <c r="W57" s="41" t="s">
        <v>621</v>
      </c>
      <c r="X57" s="41" t="s">
        <v>142</v>
      </c>
      <c r="Y57" s="41" t="s">
        <v>70</v>
      </c>
      <c r="Z57" s="13">
        <v>0</v>
      </c>
      <c r="AA57" s="13"/>
      <c r="AB57" s="13"/>
      <c r="AC57" s="13"/>
      <c r="AD57" s="40">
        <v>192</v>
      </c>
      <c r="AE57" s="40"/>
      <c r="AF57" s="40"/>
      <c r="AG57" s="40"/>
      <c r="AH57" s="40"/>
      <c r="AI57" s="40"/>
      <c r="AJ57" s="40"/>
      <c r="AK57" s="40"/>
      <c r="AL57" s="40"/>
      <c r="AM57" s="47"/>
      <c r="AN57" s="41" t="s">
        <v>608</v>
      </c>
      <c r="AO57" s="43">
        <v>210</v>
      </c>
      <c r="AP57" s="13">
        <v>20</v>
      </c>
      <c r="AQ57" s="40"/>
      <c r="AR57" s="40"/>
      <c r="AS57" s="6"/>
      <c r="AT57" s="6"/>
      <c r="AU57" s="6"/>
      <c r="AV57" s="6"/>
      <c r="AW57" s="12" t="str">
        <f t="shared" si="1"/>
        <v/>
      </c>
      <c r="AX57" s="12" t="str">
        <f t="shared" si="2"/>
        <v/>
      </c>
      <c r="AY57" s="45"/>
    </row>
    <row r="58" spans="1:51" s="21" customFormat="1" ht="20.100000000000001" customHeight="1" x14ac:dyDescent="0.2">
      <c r="A58" s="13">
        <v>51</v>
      </c>
      <c r="B58" s="29" t="s">
        <v>622</v>
      </c>
      <c r="C58" s="29" t="s">
        <v>288</v>
      </c>
      <c r="D58" s="30" t="s">
        <v>460</v>
      </c>
      <c r="E58" s="30" t="s">
        <v>6</v>
      </c>
      <c r="F58" s="30" t="s">
        <v>185</v>
      </c>
      <c r="G58" s="30"/>
      <c r="H58" s="20" t="s">
        <v>83</v>
      </c>
      <c r="I58" s="20"/>
      <c r="J58" s="20"/>
      <c r="K58" s="20"/>
      <c r="L58" s="20"/>
      <c r="M58" s="20"/>
      <c r="N58" s="20"/>
      <c r="O58" s="29" t="s">
        <v>92</v>
      </c>
      <c r="P58" s="30"/>
      <c r="Q58" s="30" t="s">
        <v>68</v>
      </c>
      <c r="R58" s="30" t="s">
        <v>467</v>
      </c>
      <c r="S58" s="30" t="s">
        <v>106</v>
      </c>
      <c r="T58" s="20" t="s">
        <v>107</v>
      </c>
      <c r="U58" s="30"/>
      <c r="V58" s="30" t="s">
        <v>332</v>
      </c>
      <c r="W58" s="30" t="s">
        <v>623</v>
      </c>
      <c r="X58" s="30" t="s">
        <v>106</v>
      </c>
      <c r="Y58" s="30" t="s">
        <v>107</v>
      </c>
      <c r="Z58" s="20" t="s">
        <v>466</v>
      </c>
      <c r="AA58" s="20"/>
      <c r="AB58" s="20"/>
      <c r="AC58" s="20"/>
      <c r="AD58" s="29">
        <v>120</v>
      </c>
      <c r="AE58" s="29"/>
      <c r="AF58" s="29"/>
      <c r="AG58" s="29"/>
      <c r="AH58" s="29"/>
      <c r="AI58" s="29"/>
      <c r="AJ58" s="29"/>
      <c r="AK58" s="29"/>
      <c r="AL58" s="29"/>
      <c r="AM58" s="39"/>
      <c r="AN58" s="30" t="s">
        <v>462</v>
      </c>
      <c r="AO58" s="36">
        <v>0</v>
      </c>
      <c r="AP58" s="20">
        <v>0</v>
      </c>
      <c r="AQ58" s="29"/>
      <c r="AR58" s="29"/>
      <c r="AS58" s="30" t="s">
        <v>115</v>
      </c>
      <c r="AT58" s="30" t="s">
        <v>496</v>
      </c>
      <c r="AU58" s="30" t="s">
        <v>115</v>
      </c>
      <c r="AV58" s="30" t="s">
        <v>435</v>
      </c>
      <c r="AW58" s="31">
        <f t="shared" si="1"/>
        <v>1</v>
      </c>
      <c r="AX58" s="31">
        <f t="shared" si="2"/>
        <v>1</v>
      </c>
      <c r="AY58" s="32"/>
    </row>
    <row r="59" spans="1:51" ht="20.100000000000001" customHeight="1" x14ac:dyDescent="0.2">
      <c r="A59" s="13">
        <v>52</v>
      </c>
      <c r="B59" s="40" t="s">
        <v>624</v>
      </c>
      <c r="C59" s="40" t="s">
        <v>625</v>
      </c>
      <c r="D59" s="41" t="s">
        <v>626</v>
      </c>
      <c r="E59" s="41" t="s">
        <v>9</v>
      </c>
      <c r="F59" s="41" t="s">
        <v>192</v>
      </c>
      <c r="G59" s="41"/>
      <c r="H59" s="13" t="s">
        <v>7</v>
      </c>
      <c r="I59" s="13"/>
      <c r="J59" s="13"/>
      <c r="K59" s="13"/>
      <c r="L59" s="13"/>
      <c r="M59" s="13"/>
      <c r="N59" s="13"/>
      <c r="O59" s="40" t="s">
        <v>627</v>
      </c>
      <c r="P59" s="41" t="s">
        <v>429</v>
      </c>
      <c r="Q59" s="41" t="s">
        <v>155</v>
      </c>
      <c r="R59" s="41" t="s">
        <v>628</v>
      </c>
      <c r="S59" s="41" t="s">
        <v>106</v>
      </c>
      <c r="T59" s="13" t="s">
        <v>107</v>
      </c>
      <c r="U59" s="41" t="s">
        <v>429</v>
      </c>
      <c r="V59" s="41" t="s">
        <v>324</v>
      </c>
      <c r="W59" s="41" t="s">
        <v>629</v>
      </c>
      <c r="X59" s="41" t="s">
        <v>106</v>
      </c>
      <c r="Y59" s="41" t="s">
        <v>107</v>
      </c>
      <c r="Z59" s="13">
        <v>0</v>
      </c>
      <c r="AA59" s="13"/>
      <c r="AB59" s="13"/>
      <c r="AC59" s="13"/>
      <c r="AD59" s="40">
        <v>210</v>
      </c>
      <c r="AE59" s="40"/>
      <c r="AF59" s="40"/>
      <c r="AG59" s="40"/>
      <c r="AH59" s="40"/>
      <c r="AI59" s="40"/>
      <c r="AJ59" s="40"/>
      <c r="AK59" s="40"/>
      <c r="AL59" s="40"/>
      <c r="AM59" s="47"/>
      <c r="AN59" s="41" t="s">
        <v>608</v>
      </c>
      <c r="AO59" s="43">
        <v>198</v>
      </c>
      <c r="AP59" s="13"/>
      <c r="AQ59" s="40"/>
      <c r="AR59" s="40"/>
      <c r="AS59" s="6"/>
      <c r="AT59" s="6"/>
      <c r="AU59" s="6"/>
      <c r="AV59" s="6"/>
      <c r="AW59" s="12" t="str">
        <f t="shared" si="1"/>
        <v/>
      </c>
      <c r="AX59" s="12" t="str">
        <f t="shared" si="2"/>
        <v/>
      </c>
      <c r="AY59" s="45"/>
    </row>
    <row r="60" spans="1:51" ht="20.100000000000001" customHeight="1" x14ac:dyDescent="0.2">
      <c r="A60" s="13">
        <v>53</v>
      </c>
      <c r="B60" s="40" t="s">
        <v>630</v>
      </c>
      <c r="C60" s="40" t="s">
        <v>625</v>
      </c>
      <c r="D60" s="41" t="s">
        <v>614</v>
      </c>
      <c r="E60" s="41" t="s">
        <v>6</v>
      </c>
      <c r="F60" s="41"/>
      <c r="G60" s="41"/>
      <c r="H60" s="13" t="s">
        <v>7</v>
      </c>
      <c r="I60" s="13"/>
      <c r="J60" s="13"/>
      <c r="K60" s="13"/>
      <c r="L60" s="13"/>
      <c r="M60" s="13"/>
      <c r="N60" s="13"/>
      <c r="O60" s="40" t="s">
        <v>92</v>
      </c>
      <c r="P60" s="41"/>
      <c r="Q60" s="41" t="s">
        <v>155</v>
      </c>
      <c r="R60" s="41" t="s">
        <v>631</v>
      </c>
      <c r="S60" s="41" t="s">
        <v>106</v>
      </c>
      <c r="T60" s="13" t="s">
        <v>107</v>
      </c>
      <c r="U60" s="41"/>
      <c r="V60" s="41" t="s">
        <v>324</v>
      </c>
      <c r="W60" s="41" t="s">
        <v>632</v>
      </c>
      <c r="X60" s="41" t="s">
        <v>106</v>
      </c>
      <c r="Y60" s="41" t="s">
        <v>107</v>
      </c>
      <c r="Z60" s="13">
        <v>0</v>
      </c>
      <c r="AA60" s="13"/>
      <c r="AB60" s="13"/>
      <c r="AC60" s="13"/>
      <c r="AD60" s="40">
        <v>186</v>
      </c>
      <c r="AE60" s="40"/>
      <c r="AF60" s="40"/>
      <c r="AG60" s="40"/>
      <c r="AH60" s="40"/>
      <c r="AI60" s="40"/>
      <c r="AJ60" s="40"/>
      <c r="AK60" s="40"/>
      <c r="AL60" s="40"/>
      <c r="AM60" s="41"/>
      <c r="AN60" s="41"/>
      <c r="AO60" s="41"/>
      <c r="AP60" s="13"/>
      <c r="AQ60" s="40"/>
      <c r="AR60" s="40"/>
      <c r="AS60" s="44"/>
      <c r="AT60" s="44"/>
      <c r="AU60" s="44"/>
      <c r="AV60" s="44"/>
      <c r="AW60" s="12" t="str">
        <f t="shared" si="1"/>
        <v/>
      </c>
      <c r="AX60" s="12" t="str">
        <f t="shared" si="2"/>
        <v/>
      </c>
      <c r="AY60" s="45"/>
    </row>
    <row r="61" spans="1:51" ht="20.100000000000001" customHeight="1" x14ac:dyDescent="0.2">
      <c r="A61" s="13">
        <v>54</v>
      </c>
      <c r="B61" s="40" t="s">
        <v>633</v>
      </c>
      <c r="C61" s="40" t="s">
        <v>625</v>
      </c>
      <c r="D61" s="41" t="s">
        <v>573</v>
      </c>
      <c r="E61" s="41" t="s">
        <v>9</v>
      </c>
      <c r="F61" s="41"/>
      <c r="G61" s="41"/>
      <c r="H61" s="13" t="s">
        <v>7</v>
      </c>
      <c r="I61" s="13"/>
      <c r="J61" s="13"/>
      <c r="K61" s="13"/>
      <c r="L61" s="13"/>
      <c r="M61" s="13"/>
      <c r="N61" s="13"/>
      <c r="O61" s="40" t="s">
        <v>67</v>
      </c>
      <c r="P61" s="41" t="s">
        <v>155</v>
      </c>
      <c r="Q61" s="41" t="s">
        <v>155</v>
      </c>
      <c r="R61" s="41" t="s">
        <v>634</v>
      </c>
      <c r="S61" s="41" t="s">
        <v>69</v>
      </c>
      <c r="T61" s="13" t="s">
        <v>70</v>
      </c>
      <c r="U61" s="41" t="s">
        <v>156</v>
      </c>
      <c r="V61" s="41" t="s">
        <v>156</v>
      </c>
      <c r="W61" s="41" t="s">
        <v>635</v>
      </c>
      <c r="X61" s="41" t="s">
        <v>106</v>
      </c>
      <c r="Y61" s="41" t="s">
        <v>107</v>
      </c>
      <c r="Z61" s="13">
        <v>0</v>
      </c>
      <c r="AA61" s="13"/>
      <c r="AB61" s="13"/>
      <c r="AC61" s="13"/>
      <c r="AD61" s="40">
        <v>210</v>
      </c>
      <c r="AE61" s="40"/>
      <c r="AF61" s="40"/>
      <c r="AG61" s="40"/>
      <c r="AH61" s="40"/>
      <c r="AI61" s="40"/>
      <c r="AJ61" s="40"/>
      <c r="AK61" s="40"/>
      <c r="AL61" s="40"/>
      <c r="AM61" s="47"/>
      <c r="AN61" s="41" t="s">
        <v>624</v>
      </c>
      <c r="AO61" s="43">
        <v>244</v>
      </c>
      <c r="AP61" s="13"/>
      <c r="AQ61" s="40"/>
      <c r="AR61" s="40"/>
      <c r="AS61" s="6"/>
      <c r="AT61" s="6"/>
      <c r="AU61" s="6"/>
      <c r="AV61" s="6"/>
      <c r="AW61" s="12" t="str">
        <f t="shared" si="1"/>
        <v/>
      </c>
      <c r="AX61" s="12" t="str">
        <f t="shared" si="2"/>
        <v/>
      </c>
      <c r="AY61" s="45"/>
    </row>
    <row r="62" spans="1:51" ht="20.100000000000001" customHeight="1" x14ac:dyDescent="0.2">
      <c r="A62" s="13">
        <v>55</v>
      </c>
      <c r="B62" s="40" t="s">
        <v>636</v>
      </c>
      <c r="C62" s="40" t="s">
        <v>625</v>
      </c>
      <c r="D62" s="41" t="s">
        <v>637</v>
      </c>
      <c r="E62" s="41" t="s">
        <v>8</v>
      </c>
      <c r="F62" s="41" t="s">
        <v>185</v>
      </c>
      <c r="G62" s="41"/>
      <c r="H62" s="13" t="s">
        <v>83</v>
      </c>
      <c r="I62" s="13"/>
      <c r="J62" s="13"/>
      <c r="K62" s="13"/>
      <c r="L62" s="13"/>
      <c r="M62" s="13"/>
      <c r="N62" s="13"/>
      <c r="O62" s="40" t="s">
        <v>67</v>
      </c>
      <c r="P62" s="41"/>
      <c r="Q62" s="41" t="s">
        <v>68</v>
      </c>
      <c r="R62" s="41" t="s">
        <v>638</v>
      </c>
      <c r="S62" s="41" t="s">
        <v>262</v>
      </c>
      <c r="T62" s="13" t="s">
        <v>70</v>
      </c>
      <c r="U62" s="41"/>
      <c r="V62" s="41" t="s">
        <v>332</v>
      </c>
      <c r="W62" s="41" t="s">
        <v>639</v>
      </c>
      <c r="X62" s="41" t="s">
        <v>262</v>
      </c>
      <c r="Y62" s="41" t="s">
        <v>70</v>
      </c>
      <c r="Z62" s="13" t="s">
        <v>640</v>
      </c>
      <c r="AA62" s="13"/>
      <c r="AB62" s="13"/>
      <c r="AC62" s="13">
        <v>84</v>
      </c>
      <c r="AD62" s="40">
        <v>84</v>
      </c>
      <c r="AE62" s="40"/>
      <c r="AF62" s="40"/>
      <c r="AG62" s="40"/>
      <c r="AH62" s="40"/>
      <c r="AI62" s="40"/>
      <c r="AJ62" s="40"/>
      <c r="AK62" s="40"/>
      <c r="AL62" s="40"/>
      <c r="AM62" s="15" t="s">
        <v>158</v>
      </c>
      <c r="AN62" s="41"/>
      <c r="AO62" s="43">
        <v>138</v>
      </c>
      <c r="AP62" s="13">
        <v>30</v>
      </c>
      <c r="AQ62" s="40"/>
      <c r="AR62" s="40"/>
      <c r="AS62" s="44" t="s">
        <v>115</v>
      </c>
      <c r="AT62" s="44" t="s">
        <v>525</v>
      </c>
      <c r="AU62" s="44" t="s">
        <v>547</v>
      </c>
      <c r="AV62" s="44" t="s">
        <v>441</v>
      </c>
      <c r="AW62" s="12">
        <f t="shared" si="1"/>
        <v>53</v>
      </c>
      <c r="AX62" s="12" t="str">
        <f t="shared" si="2"/>
        <v/>
      </c>
      <c r="AY62" s="45"/>
    </row>
    <row r="63" spans="1:51" ht="20.100000000000001" customHeight="1" x14ac:dyDescent="0.2">
      <c r="A63" s="13">
        <v>56</v>
      </c>
      <c r="B63" s="40" t="s">
        <v>636</v>
      </c>
      <c r="C63" s="40" t="s">
        <v>625</v>
      </c>
      <c r="D63" s="41" t="s">
        <v>637</v>
      </c>
      <c r="E63" s="41" t="s">
        <v>8</v>
      </c>
      <c r="F63" s="41"/>
      <c r="G63" s="41"/>
      <c r="H63" s="13" t="s">
        <v>7</v>
      </c>
      <c r="I63" s="13"/>
      <c r="J63" s="13"/>
      <c r="K63" s="13"/>
      <c r="L63" s="13"/>
      <c r="M63" s="13"/>
      <c r="N63" s="13"/>
      <c r="O63" s="40" t="s">
        <v>67</v>
      </c>
      <c r="P63" s="35" t="s">
        <v>68</v>
      </c>
      <c r="Q63" s="35" t="s">
        <v>140</v>
      </c>
      <c r="R63" s="41" t="s">
        <v>641</v>
      </c>
      <c r="S63" s="41" t="s">
        <v>106</v>
      </c>
      <c r="T63" s="13" t="s">
        <v>107</v>
      </c>
      <c r="U63" s="35" t="s">
        <v>332</v>
      </c>
      <c r="V63" s="35" t="s">
        <v>338</v>
      </c>
      <c r="W63" s="41" t="s">
        <v>642</v>
      </c>
      <c r="X63" s="41" t="s">
        <v>106</v>
      </c>
      <c r="Y63" s="41" t="s">
        <v>107</v>
      </c>
      <c r="Z63" s="13">
        <v>0</v>
      </c>
      <c r="AA63" s="13"/>
      <c r="AB63" s="13"/>
      <c r="AC63" s="13">
        <v>84</v>
      </c>
      <c r="AD63" s="40">
        <v>84</v>
      </c>
      <c r="AE63" s="40"/>
      <c r="AF63" s="40"/>
      <c r="AG63" s="40"/>
      <c r="AH63" s="40"/>
      <c r="AI63" s="40"/>
      <c r="AJ63" s="40"/>
      <c r="AK63" s="40"/>
      <c r="AL63" s="40"/>
      <c r="AM63" s="33" t="s">
        <v>158</v>
      </c>
      <c r="AN63" s="41" t="s">
        <v>596</v>
      </c>
      <c r="AO63" s="43">
        <v>144</v>
      </c>
      <c r="AP63" s="13">
        <v>16.5</v>
      </c>
      <c r="AQ63" s="40"/>
      <c r="AR63" s="40"/>
      <c r="AS63" s="6"/>
      <c r="AT63" s="6"/>
      <c r="AU63" s="6"/>
      <c r="AV63" s="6"/>
      <c r="AW63" s="12" t="str">
        <f t="shared" si="1"/>
        <v/>
      </c>
      <c r="AX63" s="12" t="str">
        <f t="shared" si="2"/>
        <v/>
      </c>
      <c r="AY63" s="45"/>
    </row>
    <row r="64" spans="1:51" s="21" customFormat="1" ht="20.100000000000001" customHeight="1" x14ac:dyDescent="0.2">
      <c r="A64" s="13">
        <v>57</v>
      </c>
      <c r="B64" s="29" t="s">
        <v>636</v>
      </c>
      <c r="C64" s="29" t="s">
        <v>625</v>
      </c>
      <c r="D64" s="30" t="s">
        <v>643</v>
      </c>
      <c r="E64" s="30" t="s">
        <v>19</v>
      </c>
      <c r="F64" s="30" t="s">
        <v>644</v>
      </c>
      <c r="G64" s="30"/>
      <c r="H64" s="20" t="s">
        <v>83</v>
      </c>
      <c r="I64" s="20"/>
      <c r="J64" s="20"/>
      <c r="K64" s="20"/>
      <c r="L64" s="20"/>
      <c r="M64" s="20"/>
      <c r="N64" s="20"/>
      <c r="O64" s="29" t="s">
        <v>92</v>
      </c>
      <c r="P64" s="30"/>
      <c r="Q64" s="30" t="s">
        <v>155</v>
      </c>
      <c r="R64" s="30" t="s">
        <v>645</v>
      </c>
      <c r="S64" s="30" t="s">
        <v>119</v>
      </c>
      <c r="T64" s="20" t="s">
        <v>107</v>
      </c>
      <c r="U64" s="30"/>
      <c r="V64" s="30" t="s">
        <v>324</v>
      </c>
      <c r="W64" s="30" t="s">
        <v>646</v>
      </c>
      <c r="X64" s="30" t="s">
        <v>119</v>
      </c>
      <c r="Y64" s="30" t="s">
        <v>107</v>
      </c>
      <c r="Z64" s="20" t="s">
        <v>647</v>
      </c>
      <c r="AA64" s="20"/>
      <c r="AB64" s="20"/>
      <c r="AC64" s="20"/>
      <c r="AD64" s="29">
        <v>132</v>
      </c>
      <c r="AE64" s="29"/>
      <c r="AF64" s="29"/>
      <c r="AG64" s="29"/>
      <c r="AH64" s="29"/>
      <c r="AI64" s="29"/>
      <c r="AJ64" s="29"/>
      <c r="AK64" s="29"/>
      <c r="AL64" s="29"/>
      <c r="AM64" s="20" t="s">
        <v>158</v>
      </c>
      <c r="AN64" s="30"/>
      <c r="AO64" s="30"/>
      <c r="AP64" s="20"/>
      <c r="AQ64" s="29"/>
      <c r="AR64" s="29"/>
      <c r="AS64" s="30" t="s">
        <v>115</v>
      </c>
      <c r="AT64" s="30" t="s">
        <v>525</v>
      </c>
      <c r="AU64" s="30" t="s">
        <v>136</v>
      </c>
      <c r="AV64" s="30" t="s">
        <v>506</v>
      </c>
      <c r="AW64" s="31">
        <f t="shared" si="1"/>
        <v>10</v>
      </c>
      <c r="AX64" s="31">
        <f t="shared" si="2"/>
        <v>10</v>
      </c>
      <c r="AY64" s="32"/>
    </row>
    <row r="65" spans="1:51" ht="20.100000000000001" customHeight="1" x14ac:dyDescent="0.2">
      <c r="A65" s="13">
        <v>58</v>
      </c>
      <c r="B65" s="40" t="s">
        <v>633</v>
      </c>
      <c r="C65" s="40" t="s">
        <v>625</v>
      </c>
      <c r="D65" s="41" t="s">
        <v>609</v>
      </c>
      <c r="E65" s="41" t="s">
        <v>6</v>
      </c>
      <c r="F65" s="41"/>
      <c r="G65" s="41"/>
      <c r="H65" s="13" t="s">
        <v>7</v>
      </c>
      <c r="I65" s="13"/>
      <c r="J65" s="13"/>
      <c r="K65" s="13"/>
      <c r="L65" s="13"/>
      <c r="M65" s="13"/>
      <c r="N65" s="13"/>
      <c r="O65" s="40" t="s">
        <v>92</v>
      </c>
      <c r="P65" s="41" t="s">
        <v>218</v>
      </c>
      <c r="Q65" s="41" t="s">
        <v>218</v>
      </c>
      <c r="R65" s="41" t="s">
        <v>648</v>
      </c>
      <c r="S65" s="41" t="s">
        <v>106</v>
      </c>
      <c r="T65" s="13" t="s">
        <v>107</v>
      </c>
      <c r="U65" s="41" t="s">
        <v>268</v>
      </c>
      <c r="V65" s="41" t="s">
        <v>268</v>
      </c>
      <c r="W65" s="41" t="s">
        <v>649</v>
      </c>
      <c r="X65" s="41" t="s">
        <v>142</v>
      </c>
      <c r="Y65" s="41" t="s">
        <v>70</v>
      </c>
      <c r="Z65" s="13">
        <v>0</v>
      </c>
      <c r="AA65" s="13"/>
      <c r="AB65" s="13"/>
      <c r="AC65" s="13"/>
      <c r="AD65" s="40">
        <v>192</v>
      </c>
      <c r="AE65" s="40"/>
      <c r="AF65" s="40"/>
      <c r="AG65" s="40"/>
      <c r="AH65" s="40"/>
      <c r="AI65" s="40"/>
      <c r="AJ65" s="40"/>
      <c r="AK65" s="40"/>
      <c r="AL65" s="40"/>
      <c r="AM65" s="47"/>
      <c r="AN65" s="41"/>
      <c r="AO65" s="41"/>
      <c r="AP65" s="13"/>
      <c r="AQ65" s="40"/>
      <c r="AR65" s="40"/>
      <c r="AS65" s="6"/>
      <c r="AT65" s="6"/>
      <c r="AU65" s="6"/>
      <c r="AV65" s="6"/>
      <c r="AW65" s="12" t="str">
        <f t="shared" si="1"/>
        <v/>
      </c>
      <c r="AX65" s="12" t="str">
        <f t="shared" si="2"/>
        <v/>
      </c>
      <c r="AY65" s="45"/>
    </row>
    <row r="66" spans="1:51" s="21" customFormat="1" ht="20.100000000000001" customHeight="1" x14ac:dyDescent="0.2">
      <c r="A66" s="13">
        <v>59</v>
      </c>
      <c r="B66" s="29" t="s">
        <v>650</v>
      </c>
      <c r="C66" s="29" t="s">
        <v>625</v>
      </c>
      <c r="D66" s="30" t="s">
        <v>651</v>
      </c>
      <c r="E66" s="30" t="s">
        <v>6</v>
      </c>
      <c r="F66" s="30" t="s">
        <v>174</v>
      </c>
      <c r="G66" s="30"/>
      <c r="H66" s="20" t="s">
        <v>83</v>
      </c>
      <c r="I66" s="20"/>
      <c r="J66" s="20"/>
      <c r="K66" s="20"/>
      <c r="L66" s="20"/>
      <c r="M66" s="20"/>
      <c r="N66" s="20"/>
      <c r="O66" s="29" t="s">
        <v>67</v>
      </c>
      <c r="P66" s="30"/>
      <c r="Q66" s="30" t="s">
        <v>104</v>
      </c>
      <c r="R66" s="30" t="s">
        <v>652</v>
      </c>
      <c r="S66" s="30" t="s">
        <v>119</v>
      </c>
      <c r="T66" s="20" t="s">
        <v>107</v>
      </c>
      <c r="U66" s="30"/>
      <c r="V66" s="30" t="s">
        <v>305</v>
      </c>
      <c r="W66" s="30" t="s">
        <v>653</v>
      </c>
      <c r="X66" s="30" t="s">
        <v>119</v>
      </c>
      <c r="Y66" s="30" t="s">
        <v>107</v>
      </c>
      <c r="Z66" s="20" t="s">
        <v>654</v>
      </c>
      <c r="AA66" s="20"/>
      <c r="AB66" s="20"/>
      <c r="AC66" s="20"/>
      <c r="AD66" s="29">
        <v>162</v>
      </c>
      <c r="AE66" s="29"/>
      <c r="AF66" s="29"/>
      <c r="AG66" s="29"/>
      <c r="AH66" s="29"/>
      <c r="AI66" s="29"/>
      <c r="AJ66" s="29"/>
      <c r="AK66" s="29"/>
      <c r="AL66" s="29"/>
      <c r="AM66" s="20" t="s">
        <v>158</v>
      </c>
      <c r="AN66" s="30" t="s">
        <v>655</v>
      </c>
      <c r="AO66" s="36">
        <v>247</v>
      </c>
      <c r="AP66" s="20">
        <v>13.9</v>
      </c>
      <c r="AQ66" s="29"/>
      <c r="AR66" s="29"/>
      <c r="AS66" s="30" t="s">
        <v>115</v>
      </c>
      <c r="AT66" s="30" t="s">
        <v>525</v>
      </c>
      <c r="AU66" s="30" t="s">
        <v>136</v>
      </c>
      <c r="AV66" s="30" t="s">
        <v>525</v>
      </c>
      <c r="AW66" s="31">
        <f t="shared" si="1"/>
        <v>12</v>
      </c>
      <c r="AX66" s="31">
        <f t="shared" si="2"/>
        <v>12</v>
      </c>
      <c r="AY66" s="32"/>
    </row>
    <row r="67" spans="1:51" ht="20.100000000000001" customHeight="1" x14ac:dyDescent="0.2">
      <c r="A67" s="13">
        <v>60</v>
      </c>
      <c r="B67" s="40" t="s">
        <v>650</v>
      </c>
      <c r="C67" s="40" t="s">
        <v>625</v>
      </c>
      <c r="D67" s="41" t="s">
        <v>656</v>
      </c>
      <c r="E67" s="41" t="s">
        <v>20</v>
      </c>
      <c r="F67" s="41" t="s">
        <v>186</v>
      </c>
      <c r="G67" s="41"/>
      <c r="H67" s="13" t="s">
        <v>83</v>
      </c>
      <c r="I67" s="13"/>
      <c r="J67" s="13"/>
      <c r="K67" s="13"/>
      <c r="L67" s="13"/>
      <c r="M67" s="13"/>
      <c r="N67" s="13"/>
      <c r="O67" s="40" t="s">
        <v>92</v>
      </c>
      <c r="P67" s="41"/>
      <c r="Q67" s="41" t="s">
        <v>140</v>
      </c>
      <c r="R67" s="41" t="s">
        <v>657</v>
      </c>
      <c r="S67" s="41" t="s">
        <v>69</v>
      </c>
      <c r="T67" s="13" t="s">
        <v>70</v>
      </c>
      <c r="U67" s="41"/>
      <c r="V67" s="41" t="s">
        <v>338</v>
      </c>
      <c r="W67" s="41" t="s">
        <v>658</v>
      </c>
      <c r="X67" s="41" t="s">
        <v>119</v>
      </c>
      <c r="Y67" s="41" t="s">
        <v>107</v>
      </c>
      <c r="Z67" s="13" t="s">
        <v>659</v>
      </c>
      <c r="AA67" s="13"/>
      <c r="AB67" s="13"/>
      <c r="AC67" s="13"/>
      <c r="AD67" s="40">
        <v>174</v>
      </c>
      <c r="AE67" s="40"/>
      <c r="AF67" s="40"/>
      <c r="AG67" s="40"/>
      <c r="AH67" s="40"/>
      <c r="AI67" s="40"/>
      <c r="AJ67" s="40"/>
      <c r="AK67" s="40"/>
      <c r="AL67" s="40"/>
      <c r="AM67" s="47"/>
      <c r="AN67" s="41" t="s">
        <v>660</v>
      </c>
      <c r="AO67" s="43">
        <v>182</v>
      </c>
      <c r="AP67" s="13">
        <v>13</v>
      </c>
      <c r="AQ67" s="40"/>
      <c r="AR67" s="40"/>
      <c r="AS67" s="6" t="s">
        <v>115</v>
      </c>
      <c r="AT67" s="6" t="s">
        <v>525</v>
      </c>
      <c r="AU67" s="6" t="s">
        <v>547</v>
      </c>
      <c r="AV67" s="6" t="s">
        <v>525</v>
      </c>
      <c r="AW67" s="12">
        <f t="shared" si="1"/>
        <v>60</v>
      </c>
      <c r="AX67" s="12" t="str">
        <f t="shared" si="2"/>
        <v/>
      </c>
      <c r="AY67" s="45"/>
    </row>
    <row r="68" spans="1:51" s="21" customFormat="1" ht="20.100000000000001" customHeight="1" x14ac:dyDescent="0.2">
      <c r="A68" s="13">
        <v>61</v>
      </c>
      <c r="B68" s="29" t="s">
        <v>661</v>
      </c>
      <c r="C68" s="29" t="s">
        <v>625</v>
      </c>
      <c r="D68" s="30" t="s">
        <v>662</v>
      </c>
      <c r="E68" s="30" t="s">
        <v>10</v>
      </c>
      <c r="F68" s="30" t="s">
        <v>504</v>
      </c>
      <c r="G68" s="30"/>
      <c r="H68" s="20" t="s">
        <v>83</v>
      </c>
      <c r="I68" s="20"/>
      <c r="J68" s="20"/>
      <c r="K68" s="20"/>
      <c r="L68" s="20"/>
      <c r="M68" s="20"/>
      <c r="N68" s="20"/>
      <c r="O68" s="29" t="s">
        <v>92</v>
      </c>
      <c r="P68" s="30"/>
      <c r="Q68" s="30" t="s">
        <v>155</v>
      </c>
      <c r="R68" s="30" t="s">
        <v>663</v>
      </c>
      <c r="S68" s="30" t="s">
        <v>69</v>
      </c>
      <c r="T68" s="20" t="s">
        <v>70</v>
      </c>
      <c r="U68" s="30"/>
      <c r="V68" s="30" t="s">
        <v>167</v>
      </c>
      <c r="W68" s="30" t="s">
        <v>664</v>
      </c>
      <c r="X68" s="30" t="s">
        <v>69</v>
      </c>
      <c r="Y68" s="30" t="s">
        <v>70</v>
      </c>
      <c r="Z68" s="20" t="s">
        <v>665</v>
      </c>
      <c r="AA68" s="20"/>
      <c r="AB68" s="20"/>
      <c r="AC68" s="20"/>
      <c r="AD68" s="29">
        <v>193</v>
      </c>
      <c r="AE68" s="29"/>
      <c r="AF68" s="29"/>
      <c r="AG68" s="29"/>
      <c r="AH68" s="29"/>
      <c r="AI68" s="29"/>
      <c r="AJ68" s="29"/>
      <c r="AK68" s="29"/>
      <c r="AL68" s="29"/>
      <c r="AM68" s="39"/>
      <c r="AN68" s="30"/>
      <c r="AO68" s="30"/>
      <c r="AP68" s="20"/>
      <c r="AQ68" s="29"/>
      <c r="AR68" s="29"/>
      <c r="AS68" s="30" t="s">
        <v>115</v>
      </c>
      <c r="AT68" s="30" t="s">
        <v>525</v>
      </c>
      <c r="AU68" s="30" t="s">
        <v>136</v>
      </c>
      <c r="AV68" s="30" t="s">
        <v>260</v>
      </c>
      <c r="AW68" s="31">
        <f t="shared" si="1"/>
        <v>3</v>
      </c>
      <c r="AX68" s="31">
        <f t="shared" si="2"/>
        <v>3</v>
      </c>
      <c r="AY68" s="32"/>
    </row>
    <row r="69" spans="1:51" ht="20.100000000000001" customHeight="1" x14ac:dyDescent="0.2">
      <c r="A69" s="13">
        <v>62</v>
      </c>
      <c r="B69" s="40" t="s">
        <v>661</v>
      </c>
      <c r="C69" s="40" t="s">
        <v>625</v>
      </c>
      <c r="D69" s="41" t="s">
        <v>460</v>
      </c>
      <c r="E69" s="41" t="s">
        <v>6</v>
      </c>
      <c r="F69" s="41"/>
      <c r="G69" s="41"/>
      <c r="H69" s="13" t="s">
        <v>7</v>
      </c>
      <c r="I69" s="13"/>
      <c r="J69" s="13"/>
      <c r="K69" s="13"/>
      <c r="L69" s="13"/>
      <c r="M69" s="13"/>
      <c r="N69" s="13"/>
      <c r="O69" s="40" t="s">
        <v>67</v>
      </c>
      <c r="P69" s="41" t="s">
        <v>68</v>
      </c>
      <c r="Q69" s="41" t="s">
        <v>68</v>
      </c>
      <c r="R69" s="41" t="s">
        <v>467</v>
      </c>
      <c r="S69" s="41" t="s">
        <v>106</v>
      </c>
      <c r="T69" s="13" t="s">
        <v>107</v>
      </c>
      <c r="U69" s="41" t="s">
        <v>332</v>
      </c>
      <c r="V69" s="41" t="s">
        <v>332</v>
      </c>
      <c r="W69" s="41" t="s">
        <v>623</v>
      </c>
      <c r="X69" s="41" t="s">
        <v>106</v>
      </c>
      <c r="Y69" s="41" t="s">
        <v>107</v>
      </c>
      <c r="Z69" s="13">
        <v>0</v>
      </c>
      <c r="AA69" s="13"/>
      <c r="AB69" s="13"/>
      <c r="AC69" s="13"/>
      <c r="AD69" s="40">
        <v>120</v>
      </c>
      <c r="AE69" s="40"/>
      <c r="AF69" s="40"/>
      <c r="AG69" s="40"/>
      <c r="AH69" s="40"/>
      <c r="AI69" s="40"/>
      <c r="AJ69" s="40"/>
      <c r="AK69" s="40"/>
      <c r="AL69" s="40"/>
      <c r="AM69" s="47"/>
      <c r="AN69" s="41"/>
      <c r="AO69" s="41"/>
      <c r="AP69" s="13"/>
      <c r="AQ69" s="40"/>
      <c r="AR69" s="40"/>
      <c r="AS69" s="6"/>
      <c r="AT69" s="6"/>
      <c r="AU69" s="6"/>
      <c r="AV69" s="6"/>
      <c r="AW69" s="12" t="str">
        <f t="shared" si="1"/>
        <v/>
      </c>
      <c r="AX69" s="12" t="str">
        <f t="shared" si="2"/>
        <v/>
      </c>
      <c r="AY69" s="45"/>
    </row>
    <row r="70" spans="1:51" ht="20.100000000000001" customHeight="1" x14ac:dyDescent="0.2">
      <c r="A70" s="13">
        <v>63</v>
      </c>
      <c r="B70" s="40" t="s">
        <v>666</v>
      </c>
      <c r="C70" s="40" t="s">
        <v>625</v>
      </c>
      <c r="D70" s="41" t="s">
        <v>667</v>
      </c>
      <c r="E70" s="41" t="s">
        <v>20</v>
      </c>
      <c r="F70" s="41" t="s">
        <v>481</v>
      </c>
      <c r="G70" s="41"/>
      <c r="H70" s="13" t="s">
        <v>83</v>
      </c>
      <c r="I70" s="13"/>
      <c r="J70" s="13"/>
      <c r="K70" s="13"/>
      <c r="L70" s="13"/>
      <c r="M70" s="13"/>
      <c r="N70" s="13"/>
      <c r="O70" s="40" t="s">
        <v>92</v>
      </c>
      <c r="P70" s="41"/>
      <c r="Q70" s="41" t="s">
        <v>68</v>
      </c>
      <c r="R70" s="41" t="s">
        <v>668</v>
      </c>
      <c r="S70" s="41" t="s">
        <v>262</v>
      </c>
      <c r="T70" s="13" t="s">
        <v>107</v>
      </c>
      <c r="U70" s="41"/>
      <c r="V70" s="41" t="s">
        <v>332</v>
      </c>
      <c r="W70" s="41" t="s">
        <v>669</v>
      </c>
      <c r="X70" s="41" t="s">
        <v>119</v>
      </c>
      <c r="Y70" s="41" t="s">
        <v>107</v>
      </c>
      <c r="Z70" s="13" t="s">
        <v>670</v>
      </c>
      <c r="AA70" s="13"/>
      <c r="AB70" s="13"/>
      <c r="AC70" s="13"/>
      <c r="AD70" s="40">
        <v>174</v>
      </c>
      <c r="AE70" s="40"/>
      <c r="AF70" s="40"/>
      <c r="AG70" s="40"/>
      <c r="AH70" s="40"/>
      <c r="AI70" s="40"/>
      <c r="AJ70" s="40"/>
      <c r="AK70" s="40"/>
      <c r="AL70" s="40"/>
      <c r="AM70" s="15" t="s">
        <v>158</v>
      </c>
      <c r="AN70" s="41" t="s">
        <v>671</v>
      </c>
      <c r="AO70" s="43">
        <v>151</v>
      </c>
      <c r="AP70" s="13">
        <v>25</v>
      </c>
      <c r="AQ70" s="40"/>
      <c r="AR70" s="40"/>
      <c r="AS70" s="44" t="s">
        <v>115</v>
      </c>
      <c r="AT70" s="44" t="s">
        <v>525</v>
      </c>
      <c r="AU70" s="44" t="s">
        <v>123</v>
      </c>
      <c r="AV70" s="44" t="s">
        <v>465</v>
      </c>
      <c r="AW70" s="12">
        <f t="shared" si="1"/>
        <v>45</v>
      </c>
      <c r="AX70" s="12" t="str">
        <f t="shared" si="2"/>
        <v/>
      </c>
      <c r="AY70" s="45"/>
    </row>
    <row r="71" spans="1:51" ht="20.100000000000001" customHeight="1" x14ac:dyDescent="0.2">
      <c r="A71" s="13">
        <v>64</v>
      </c>
      <c r="B71" s="40" t="s">
        <v>666</v>
      </c>
      <c r="C71" s="40" t="s">
        <v>625</v>
      </c>
      <c r="D71" s="41" t="s">
        <v>672</v>
      </c>
      <c r="E71" s="41" t="s">
        <v>9</v>
      </c>
      <c r="F71" s="41" t="s">
        <v>481</v>
      </c>
      <c r="G71" s="41"/>
      <c r="H71" s="13" t="s">
        <v>83</v>
      </c>
      <c r="I71" s="13"/>
      <c r="J71" s="13"/>
      <c r="K71" s="13"/>
      <c r="L71" s="13"/>
      <c r="M71" s="13"/>
      <c r="N71" s="13"/>
      <c r="O71" s="40" t="s">
        <v>67</v>
      </c>
      <c r="P71" s="41"/>
      <c r="Q71" s="41" t="s">
        <v>104</v>
      </c>
      <c r="R71" s="41" t="s">
        <v>673</v>
      </c>
      <c r="S71" s="41" t="s">
        <v>119</v>
      </c>
      <c r="T71" s="13" t="s">
        <v>107</v>
      </c>
      <c r="U71" s="41"/>
      <c r="V71" s="41" t="s">
        <v>361</v>
      </c>
      <c r="W71" s="41" t="s">
        <v>674</v>
      </c>
      <c r="X71" s="41" t="s">
        <v>142</v>
      </c>
      <c r="Y71" s="41" t="s">
        <v>70</v>
      </c>
      <c r="Z71" s="13" t="s">
        <v>675</v>
      </c>
      <c r="AA71" s="13"/>
      <c r="AB71" s="13"/>
      <c r="AC71" s="13"/>
      <c r="AD71" s="40">
        <v>216</v>
      </c>
      <c r="AE71" s="40"/>
      <c r="AF71" s="40"/>
      <c r="AG71" s="40"/>
      <c r="AH71" s="40"/>
      <c r="AI71" s="40"/>
      <c r="AJ71" s="40"/>
      <c r="AK71" s="40"/>
      <c r="AL71" s="40"/>
      <c r="AM71" s="15" t="s">
        <v>158</v>
      </c>
      <c r="AN71" s="41" t="s">
        <v>676</v>
      </c>
      <c r="AO71" s="43">
        <v>193</v>
      </c>
      <c r="AP71" s="13">
        <v>19.399999999999999</v>
      </c>
      <c r="AQ71" s="40"/>
      <c r="AR71" s="40"/>
      <c r="AS71" s="6" t="s">
        <v>115</v>
      </c>
      <c r="AT71" s="6" t="s">
        <v>525</v>
      </c>
      <c r="AU71" s="6" t="s">
        <v>208</v>
      </c>
      <c r="AV71" s="6" t="s">
        <v>458</v>
      </c>
      <c r="AW71" s="12">
        <f t="shared" si="1"/>
        <v>23</v>
      </c>
      <c r="AX71" s="12" t="str">
        <f t="shared" si="2"/>
        <v/>
      </c>
      <c r="AY71" s="45"/>
    </row>
    <row r="72" spans="1:51" ht="20.100000000000001" customHeight="1" x14ac:dyDescent="0.2">
      <c r="A72" s="13">
        <v>65</v>
      </c>
      <c r="B72" s="40" t="s">
        <v>677</v>
      </c>
      <c r="C72" s="40" t="s">
        <v>625</v>
      </c>
      <c r="D72" s="41" t="s">
        <v>678</v>
      </c>
      <c r="E72" s="41" t="s">
        <v>9</v>
      </c>
      <c r="F72" s="41" t="s">
        <v>192</v>
      </c>
      <c r="G72" s="41"/>
      <c r="H72" s="13" t="s">
        <v>7</v>
      </c>
      <c r="I72" s="13"/>
      <c r="J72" s="13"/>
      <c r="K72" s="13"/>
      <c r="L72" s="13"/>
      <c r="M72" s="13"/>
      <c r="N72" s="13"/>
      <c r="O72" s="40" t="s">
        <v>92</v>
      </c>
      <c r="P72" s="41" t="s">
        <v>429</v>
      </c>
      <c r="Q72" s="41" t="s">
        <v>218</v>
      </c>
      <c r="R72" s="41" t="s">
        <v>679</v>
      </c>
      <c r="S72" s="41" t="s">
        <v>106</v>
      </c>
      <c r="T72" s="13" t="s">
        <v>107</v>
      </c>
      <c r="U72" s="41" t="s">
        <v>429</v>
      </c>
      <c r="V72" s="41" t="s">
        <v>268</v>
      </c>
      <c r="W72" s="41" t="s">
        <v>680</v>
      </c>
      <c r="X72" s="41" t="s">
        <v>142</v>
      </c>
      <c r="Y72" s="41" t="s">
        <v>70</v>
      </c>
      <c r="Z72" s="13">
        <v>0</v>
      </c>
      <c r="AA72" s="13"/>
      <c r="AB72" s="13"/>
      <c r="AC72" s="13"/>
      <c r="AD72" s="40">
        <v>222</v>
      </c>
      <c r="AE72" s="40"/>
      <c r="AF72" s="40"/>
      <c r="AG72" s="40"/>
      <c r="AH72" s="40"/>
      <c r="AI72" s="40"/>
      <c r="AJ72" s="40"/>
      <c r="AK72" s="40"/>
      <c r="AL72" s="40"/>
      <c r="AM72" s="47"/>
      <c r="AN72" s="41"/>
      <c r="AO72" s="41"/>
      <c r="AP72" s="13"/>
      <c r="AQ72" s="40"/>
      <c r="AR72" s="40"/>
      <c r="AS72" s="44"/>
      <c r="AT72" s="44"/>
      <c r="AU72" s="44"/>
      <c r="AV72" s="44"/>
      <c r="AW72" s="12" t="str">
        <f t="shared" ref="AW72:AW135" si="3">IF(AS72*AU72&gt;0,(AS72-AU72)*12+(AT72-AV72),"")</f>
        <v/>
      </c>
      <c r="AX72" s="12" t="str">
        <f t="shared" si="2"/>
        <v/>
      </c>
      <c r="AY72" s="45"/>
    </row>
    <row r="73" spans="1:51" ht="20.100000000000001" customHeight="1" x14ac:dyDescent="0.2">
      <c r="A73" s="13">
        <v>66</v>
      </c>
      <c r="B73" s="40" t="s">
        <v>681</v>
      </c>
      <c r="C73" s="40" t="s">
        <v>625</v>
      </c>
      <c r="D73" s="41" t="s">
        <v>667</v>
      </c>
      <c r="E73" s="41" t="s">
        <v>20</v>
      </c>
      <c r="F73" s="41"/>
      <c r="G73" s="41"/>
      <c r="H73" s="13" t="s">
        <v>7</v>
      </c>
      <c r="I73" s="13"/>
      <c r="J73" s="13"/>
      <c r="K73" s="13"/>
      <c r="L73" s="13"/>
      <c r="M73" s="13"/>
      <c r="N73" s="13"/>
      <c r="O73" s="40" t="s">
        <v>92</v>
      </c>
      <c r="P73" s="41" t="s">
        <v>68</v>
      </c>
      <c r="Q73" s="41" t="s">
        <v>68</v>
      </c>
      <c r="R73" s="41" t="s">
        <v>682</v>
      </c>
      <c r="S73" s="41" t="s">
        <v>106</v>
      </c>
      <c r="T73" s="13" t="s">
        <v>107</v>
      </c>
      <c r="U73" s="41" t="s">
        <v>332</v>
      </c>
      <c r="V73" s="41" t="s">
        <v>332</v>
      </c>
      <c r="W73" s="41" t="s">
        <v>683</v>
      </c>
      <c r="X73" s="41" t="s">
        <v>106</v>
      </c>
      <c r="Y73" s="41" t="s">
        <v>107</v>
      </c>
      <c r="Z73" s="13">
        <v>0</v>
      </c>
      <c r="AA73" s="13"/>
      <c r="AB73" s="13"/>
      <c r="AC73" s="13"/>
      <c r="AD73" s="40">
        <v>174</v>
      </c>
      <c r="AE73" s="40"/>
      <c r="AF73" s="40"/>
      <c r="AG73" s="40"/>
      <c r="AH73" s="40"/>
      <c r="AI73" s="40"/>
      <c r="AJ73" s="40"/>
      <c r="AK73" s="40"/>
      <c r="AL73" s="40"/>
      <c r="AM73" s="47"/>
      <c r="AN73" s="41" t="s">
        <v>677</v>
      </c>
      <c r="AO73" s="41"/>
      <c r="AP73" s="13"/>
      <c r="AQ73" s="40"/>
      <c r="AR73" s="40"/>
      <c r="AS73" s="6"/>
      <c r="AT73" s="6"/>
      <c r="AU73" s="6"/>
      <c r="AV73" s="6"/>
      <c r="AW73" s="12" t="str">
        <f t="shared" si="3"/>
        <v/>
      </c>
      <c r="AX73" s="12" t="str">
        <f t="shared" ref="AX73:AX136" si="4">IF(AW73&lt;13,AW73,"")</f>
        <v/>
      </c>
      <c r="AY73" s="45"/>
    </row>
    <row r="74" spans="1:51" ht="20.100000000000001" customHeight="1" x14ac:dyDescent="0.2">
      <c r="A74" s="13">
        <v>67</v>
      </c>
      <c r="B74" s="40" t="s">
        <v>681</v>
      </c>
      <c r="C74" s="40" t="s">
        <v>625</v>
      </c>
      <c r="D74" s="41" t="s">
        <v>684</v>
      </c>
      <c r="E74" s="41" t="s">
        <v>6</v>
      </c>
      <c r="F74" s="41" t="s">
        <v>481</v>
      </c>
      <c r="G74" s="41"/>
      <c r="H74" s="13" t="s">
        <v>83</v>
      </c>
      <c r="I74" s="13"/>
      <c r="J74" s="13"/>
      <c r="K74" s="13"/>
      <c r="L74" s="13"/>
      <c r="M74" s="13"/>
      <c r="N74" s="13"/>
      <c r="O74" s="40" t="s">
        <v>67</v>
      </c>
      <c r="P74" s="41"/>
      <c r="Q74" s="41" t="s">
        <v>218</v>
      </c>
      <c r="R74" s="41" t="s">
        <v>685</v>
      </c>
      <c r="S74" s="41" t="s">
        <v>69</v>
      </c>
      <c r="T74" s="13" t="s">
        <v>70</v>
      </c>
      <c r="U74" s="41"/>
      <c r="V74" s="41" t="s">
        <v>268</v>
      </c>
      <c r="W74" s="41" t="s">
        <v>686</v>
      </c>
      <c r="X74" s="41" t="s">
        <v>262</v>
      </c>
      <c r="Y74" s="41" t="s">
        <v>70</v>
      </c>
      <c r="Z74" s="13" t="s">
        <v>687</v>
      </c>
      <c r="AA74" s="13"/>
      <c r="AB74" s="13"/>
      <c r="AC74" s="13"/>
      <c r="AD74" s="40">
        <v>174</v>
      </c>
      <c r="AE74" s="40"/>
      <c r="AF74" s="40"/>
      <c r="AG74" s="40"/>
      <c r="AH74" s="40"/>
      <c r="AI74" s="40"/>
      <c r="AJ74" s="40"/>
      <c r="AK74" s="40"/>
      <c r="AL74" s="40"/>
      <c r="AM74" s="47"/>
      <c r="AN74" s="41"/>
      <c r="AO74" s="41"/>
      <c r="AP74" s="13"/>
      <c r="AQ74" s="40"/>
      <c r="AR74" s="40"/>
      <c r="AS74" s="44" t="s">
        <v>115</v>
      </c>
      <c r="AT74" s="44" t="s">
        <v>525</v>
      </c>
      <c r="AU74" s="44" t="s">
        <v>208</v>
      </c>
      <c r="AV74" s="44" t="s">
        <v>525</v>
      </c>
      <c r="AW74" s="12">
        <f t="shared" si="3"/>
        <v>24</v>
      </c>
      <c r="AX74" s="12" t="str">
        <f t="shared" si="4"/>
        <v/>
      </c>
      <c r="AY74" s="45"/>
    </row>
    <row r="75" spans="1:51" ht="20.100000000000001" customHeight="1" x14ac:dyDescent="0.2">
      <c r="A75" s="13">
        <v>68</v>
      </c>
      <c r="B75" s="40" t="s">
        <v>688</v>
      </c>
      <c r="C75" s="40" t="s">
        <v>625</v>
      </c>
      <c r="D75" s="41" t="s">
        <v>322</v>
      </c>
      <c r="E75" s="41" t="s">
        <v>66</v>
      </c>
      <c r="F75" s="41" t="s">
        <v>481</v>
      </c>
      <c r="G75" s="41"/>
      <c r="H75" s="13" t="s">
        <v>83</v>
      </c>
      <c r="I75" s="13"/>
      <c r="J75" s="13"/>
      <c r="K75" s="13"/>
      <c r="L75" s="13"/>
      <c r="M75" s="13"/>
      <c r="N75" s="13"/>
      <c r="O75" s="40" t="s">
        <v>92</v>
      </c>
      <c r="P75" s="41"/>
      <c r="Q75" s="41" t="s">
        <v>117</v>
      </c>
      <c r="R75" s="41"/>
      <c r="S75" s="41"/>
      <c r="T75" s="13"/>
      <c r="U75" s="41"/>
      <c r="V75" s="41" t="s">
        <v>199</v>
      </c>
      <c r="W75" s="41"/>
      <c r="X75" s="41"/>
      <c r="Y75" s="41"/>
      <c r="Z75" s="13">
        <v>0</v>
      </c>
      <c r="AA75" s="13"/>
      <c r="AB75" s="13"/>
      <c r="AC75" s="13"/>
      <c r="AD75" s="40"/>
      <c r="AE75" s="40"/>
      <c r="AF75" s="40"/>
      <c r="AG75" s="40"/>
      <c r="AH75" s="40"/>
      <c r="AI75" s="40"/>
      <c r="AJ75" s="40"/>
      <c r="AK75" s="40"/>
      <c r="AL75" s="40"/>
      <c r="AM75" s="41"/>
      <c r="AN75" s="41"/>
      <c r="AO75" s="41"/>
      <c r="AP75" s="13"/>
      <c r="AQ75" s="40"/>
      <c r="AR75" s="40"/>
      <c r="AS75" s="6" t="s">
        <v>115</v>
      </c>
      <c r="AT75" s="6" t="s">
        <v>525</v>
      </c>
      <c r="AU75" s="6"/>
      <c r="AV75" s="6" t="s">
        <v>525</v>
      </c>
      <c r="AW75" s="12" t="str">
        <f t="shared" si="3"/>
        <v/>
      </c>
      <c r="AX75" s="12" t="str">
        <f t="shared" si="4"/>
        <v/>
      </c>
      <c r="AY75" s="45"/>
    </row>
    <row r="76" spans="1:51" ht="20.100000000000001" customHeight="1" x14ac:dyDescent="0.2">
      <c r="A76" s="13">
        <v>69</v>
      </c>
      <c r="B76" s="40" t="s">
        <v>688</v>
      </c>
      <c r="C76" s="40" t="s">
        <v>625</v>
      </c>
      <c r="D76" s="41" t="s">
        <v>322</v>
      </c>
      <c r="E76" s="41" t="s">
        <v>66</v>
      </c>
      <c r="F76" s="41"/>
      <c r="G76" s="41"/>
      <c r="H76" s="13" t="s">
        <v>7</v>
      </c>
      <c r="I76" s="13"/>
      <c r="J76" s="13"/>
      <c r="K76" s="13"/>
      <c r="L76" s="13"/>
      <c r="M76" s="13"/>
      <c r="N76" s="13"/>
      <c r="O76" s="40" t="s">
        <v>92</v>
      </c>
      <c r="P76" s="35" t="s">
        <v>117</v>
      </c>
      <c r="Q76" s="35" t="s">
        <v>140</v>
      </c>
      <c r="R76" s="41" t="s">
        <v>355</v>
      </c>
      <c r="S76" s="41" t="s">
        <v>106</v>
      </c>
      <c r="T76" s="13" t="s">
        <v>107</v>
      </c>
      <c r="U76" s="35" t="s">
        <v>199</v>
      </c>
      <c r="V76" s="35" t="s">
        <v>338</v>
      </c>
      <c r="W76" s="41" t="s">
        <v>356</v>
      </c>
      <c r="X76" s="41" t="s">
        <v>106</v>
      </c>
      <c r="Y76" s="41" t="s">
        <v>107</v>
      </c>
      <c r="Z76" s="13">
        <v>0</v>
      </c>
      <c r="AA76" s="13"/>
      <c r="AB76" s="13"/>
      <c r="AC76" s="13"/>
      <c r="AD76" s="40">
        <v>180</v>
      </c>
      <c r="AE76" s="40"/>
      <c r="AF76" s="40"/>
      <c r="AG76" s="40"/>
      <c r="AH76" s="40"/>
      <c r="AI76" s="40"/>
      <c r="AJ76" s="40"/>
      <c r="AK76" s="40"/>
      <c r="AL76" s="40"/>
      <c r="AM76" s="33" t="s">
        <v>158</v>
      </c>
      <c r="AN76" s="41"/>
      <c r="AO76" s="41"/>
      <c r="AP76" s="13"/>
      <c r="AQ76" s="40"/>
      <c r="AR76" s="40"/>
      <c r="AS76" s="44"/>
      <c r="AT76" s="44"/>
      <c r="AU76" s="44"/>
      <c r="AV76" s="44"/>
      <c r="AW76" s="12" t="str">
        <f t="shared" si="3"/>
        <v/>
      </c>
      <c r="AX76" s="12" t="str">
        <f t="shared" si="4"/>
        <v/>
      </c>
      <c r="AY76" s="45"/>
    </row>
    <row r="77" spans="1:51" s="21" customFormat="1" ht="20.100000000000001" customHeight="1" x14ac:dyDescent="0.2">
      <c r="A77" s="13">
        <v>70</v>
      </c>
      <c r="B77" s="29" t="s">
        <v>689</v>
      </c>
      <c r="C77" s="29" t="s">
        <v>625</v>
      </c>
      <c r="D77" s="30" t="s">
        <v>690</v>
      </c>
      <c r="E77" s="30" t="s">
        <v>20</v>
      </c>
      <c r="F77" s="30" t="s">
        <v>504</v>
      </c>
      <c r="G77" s="30"/>
      <c r="H77" s="20" t="s">
        <v>83</v>
      </c>
      <c r="I77" s="20"/>
      <c r="J77" s="20"/>
      <c r="K77" s="20"/>
      <c r="L77" s="20"/>
      <c r="M77" s="20"/>
      <c r="N77" s="20"/>
      <c r="O77" s="29" t="s">
        <v>92</v>
      </c>
      <c r="P77" s="30"/>
      <c r="Q77" s="30" t="s">
        <v>68</v>
      </c>
      <c r="R77" s="30" t="s">
        <v>691</v>
      </c>
      <c r="S77" s="30" t="s">
        <v>69</v>
      </c>
      <c r="T77" s="20" t="s">
        <v>70</v>
      </c>
      <c r="U77" s="30"/>
      <c r="V77" s="30" t="s">
        <v>332</v>
      </c>
      <c r="W77" s="30" t="s">
        <v>623</v>
      </c>
      <c r="X77" s="30" t="s">
        <v>119</v>
      </c>
      <c r="Y77" s="30" t="s">
        <v>107</v>
      </c>
      <c r="Z77" s="20" t="s">
        <v>692</v>
      </c>
      <c r="AA77" s="20"/>
      <c r="AB77" s="20"/>
      <c r="AC77" s="20"/>
      <c r="AD77" s="29">
        <v>234</v>
      </c>
      <c r="AE77" s="29"/>
      <c r="AF77" s="29"/>
      <c r="AG77" s="29"/>
      <c r="AH77" s="29"/>
      <c r="AI77" s="29"/>
      <c r="AJ77" s="29"/>
      <c r="AK77" s="29"/>
      <c r="AL77" s="29"/>
      <c r="AM77" s="39"/>
      <c r="AN77" s="30" t="s">
        <v>693</v>
      </c>
      <c r="AO77" s="36">
        <v>159</v>
      </c>
      <c r="AP77" s="20">
        <v>26</v>
      </c>
      <c r="AQ77" s="29"/>
      <c r="AR77" s="29"/>
      <c r="AS77" s="30" t="s">
        <v>115</v>
      </c>
      <c r="AT77" s="30" t="s">
        <v>525</v>
      </c>
      <c r="AU77" s="30" t="s">
        <v>136</v>
      </c>
      <c r="AV77" s="30" t="s">
        <v>465</v>
      </c>
      <c r="AW77" s="31">
        <f t="shared" si="3"/>
        <v>9</v>
      </c>
      <c r="AX77" s="31">
        <f t="shared" si="4"/>
        <v>9</v>
      </c>
      <c r="AY77" s="32"/>
    </row>
    <row r="78" spans="1:51" ht="20.100000000000001" customHeight="1" x14ac:dyDescent="0.2">
      <c r="A78" s="13">
        <v>71</v>
      </c>
      <c r="B78" s="40" t="s">
        <v>694</v>
      </c>
      <c r="C78" s="40" t="s">
        <v>625</v>
      </c>
      <c r="D78" s="41" t="s">
        <v>695</v>
      </c>
      <c r="E78" s="41" t="s">
        <v>19</v>
      </c>
      <c r="F78" s="41" t="s">
        <v>192</v>
      </c>
      <c r="G78" s="41"/>
      <c r="H78" s="13" t="s">
        <v>7</v>
      </c>
      <c r="I78" s="13"/>
      <c r="J78" s="13"/>
      <c r="K78" s="13"/>
      <c r="L78" s="13"/>
      <c r="M78" s="13"/>
      <c r="N78" s="13"/>
      <c r="O78" s="40" t="s">
        <v>67</v>
      </c>
      <c r="P78" s="41" t="s">
        <v>429</v>
      </c>
      <c r="Q78" s="41" t="s">
        <v>140</v>
      </c>
      <c r="R78" s="41" t="s">
        <v>696</v>
      </c>
      <c r="S78" s="41" t="s">
        <v>106</v>
      </c>
      <c r="T78" s="13" t="s">
        <v>107</v>
      </c>
      <c r="U78" s="41" t="s">
        <v>429</v>
      </c>
      <c r="V78" s="41" t="s">
        <v>338</v>
      </c>
      <c r="W78" s="41" t="s">
        <v>697</v>
      </c>
      <c r="X78" s="41" t="s">
        <v>69</v>
      </c>
      <c r="Y78" s="41" t="s">
        <v>70</v>
      </c>
      <c r="Z78" s="13">
        <v>0</v>
      </c>
      <c r="AA78" s="13"/>
      <c r="AB78" s="13"/>
      <c r="AC78" s="13"/>
      <c r="AD78" s="40">
        <v>216</v>
      </c>
      <c r="AE78" s="40"/>
      <c r="AF78" s="40"/>
      <c r="AG78" s="40"/>
      <c r="AH78" s="40"/>
      <c r="AI78" s="40"/>
      <c r="AJ78" s="40"/>
      <c r="AK78" s="40"/>
      <c r="AL78" s="40"/>
      <c r="AM78" s="47"/>
      <c r="AN78" s="41" t="s">
        <v>698</v>
      </c>
      <c r="AO78" s="41"/>
      <c r="AP78" s="13"/>
      <c r="AQ78" s="40"/>
      <c r="AR78" s="40"/>
      <c r="AS78" s="44"/>
      <c r="AT78" s="44"/>
      <c r="AU78" s="44"/>
      <c r="AV78" s="44"/>
      <c r="AW78" s="12" t="str">
        <f t="shared" si="3"/>
        <v/>
      </c>
      <c r="AX78" s="12" t="str">
        <f t="shared" si="4"/>
        <v/>
      </c>
      <c r="AY78" s="45"/>
    </row>
    <row r="79" spans="1:51" ht="20.100000000000001" customHeight="1" x14ac:dyDescent="0.2">
      <c r="A79" s="13">
        <v>72</v>
      </c>
      <c r="B79" s="40" t="s">
        <v>699</v>
      </c>
      <c r="C79" s="40" t="s">
        <v>625</v>
      </c>
      <c r="D79" s="41" t="s">
        <v>290</v>
      </c>
      <c r="E79" s="41" t="s">
        <v>20</v>
      </c>
      <c r="F79" s="41" t="s">
        <v>481</v>
      </c>
      <c r="G79" s="41"/>
      <c r="H79" s="13" t="s">
        <v>83</v>
      </c>
      <c r="I79" s="13"/>
      <c r="J79" s="13"/>
      <c r="K79" s="13"/>
      <c r="L79" s="13"/>
      <c r="M79" s="13"/>
      <c r="N79" s="13"/>
      <c r="O79" s="40" t="s">
        <v>92</v>
      </c>
      <c r="P79" s="41"/>
      <c r="Q79" s="41" t="s">
        <v>117</v>
      </c>
      <c r="R79" s="41" t="s">
        <v>429</v>
      </c>
      <c r="S79" s="41" t="s">
        <v>429</v>
      </c>
      <c r="T79" s="13">
        <v>0</v>
      </c>
      <c r="U79" s="41"/>
      <c r="V79" s="41" t="s">
        <v>204</v>
      </c>
      <c r="W79" s="41" t="s">
        <v>429</v>
      </c>
      <c r="X79" s="41" t="s">
        <v>429</v>
      </c>
      <c r="Y79" s="41" t="s">
        <v>429</v>
      </c>
      <c r="Z79" s="13" t="s">
        <v>700</v>
      </c>
      <c r="AA79" s="13"/>
      <c r="AB79" s="13"/>
      <c r="AC79" s="13"/>
      <c r="AD79" s="40">
        <v>126</v>
      </c>
      <c r="AE79" s="40"/>
      <c r="AF79" s="40"/>
      <c r="AG79" s="40"/>
      <c r="AH79" s="40"/>
      <c r="AI79" s="40"/>
      <c r="AJ79" s="40"/>
      <c r="AK79" s="40"/>
      <c r="AL79" s="40"/>
      <c r="AM79" s="41"/>
      <c r="AN79" s="41"/>
      <c r="AO79" s="41"/>
      <c r="AP79" s="13"/>
      <c r="AQ79" s="40"/>
      <c r="AR79" s="40"/>
      <c r="AS79" s="6" t="s">
        <v>115</v>
      </c>
      <c r="AT79" s="6" t="s">
        <v>525</v>
      </c>
      <c r="AU79" s="6" t="s">
        <v>701</v>
      </c>
      <c r="AV79" s="6" t="s">
        <v>465</v>
      </c>
      <c r="AW79" s="12">
        <f t="shared" si="3"/>
        <v>189</v>
      </c>
      <c r="AX79" s="12" t="str">
        <f t="shared" si="4"/>
        <v/>
      </c>
      <c r="AY79" s="45"/>
    </row>
    <row r="80" spans="1:51" ht="20.100000000000001" customHeight="1" x14ac:dyDescent="0.2">
      <c r="A80" s="13">
        <v>73</v>
      </c>
      <c r="B80" s="40" t="s">
        <v>702</v>
      </c>
      <c r="C80" s="40" t="s">
        <v>625</v>
      </c>
      <c r="D80" s="41" t="s">
        <v>672</v>
      </c>
      <c r="E80" s="41" t="s">
        <v>9</v>
      </c>
      <c r="F80" s="41"/>
      <c r="G80" s="41"/>
      <c r="H80" s="13" t="s">
        <v>7</v>
      </c>
      <c r="I80" s="13"/>
      <c r="J80" s="13"/>
      <c r="K80" s="13"/>
      <c r="L80" s="13"/>
      <c r="M80" s="13"/>
      <c r="N80" s="13"/>
      <c r="O80" s="40" t="s">
        <v>67</v>
      </c>
      <c r="P80" s="41" t="s">
        <v>104</v>
      </c>
      <c r="Q80" s="41" t="s">
        <v>104</v>
      </c>
      <c r="R80" s="41" t="s">
        <v>592</v>
      </c>
      <c r="S80" s="41" t="s">
        <v>106</v>
      </c>
      <c r="T80" s="13" t="s">
        <v>107</v>
      </c>
      <c r="U80" s="35" t="s">
        <v>361</v>
      </c>
      <c r="V80" s="35" t="s">
        <v>131</v>
      </c>
      <c r="W80" s="41" t="s">
        <v>703</v>
      </c>
      <c r="X80" s="41" t="s">
        <v>142</v>
      </c>
      <c r="Y80" s="41" t="s">
        <v>70</v>
      </c>
      <c r="Z80" s="13">
        <v>0</v>
      </c>
      <c r="AA80" s="13"/>
      <c r="AB80" s="13"/>
      <c r="AC80" s="13"/>
      <c r="AD80" s="40">
        <v>216</v>
      </c>
      <c r="AE80" s="40"/>
      <c r="AF80" s="40"/>
      <c r="AG80" s="40"/>
      <c r="AH80" s="40"/>
      <c r="AI80" s="40"/>
      <c r="AJ80" s="40"/>
      <c r="AK80" s="40"/>
      <c r="AL80" s="40"/>
      <c r="AM80" s="33" t="s">
        <v>158</v>
      </c>
      <c r="AN80" s="41" t="s">
        <v>699</v>
      </c>
      <c r="AO80" s="43">
        <v>214</v>
      </c>
      <c r="AP80" s="13">
        <v>13.7</v>
      </c>
      <c r="AQ80" s="40"/>
      <c r="AR80" s="40"/>
      <c r="AS80" s="44"/>
      <c r="AT80" s="44"/>
      <c r="AU80" s="44"/>
      <c r="AV80" s="44"/>
      <c r="AW80" s="12" t="str">
        <f t="shared" si="3"/>
        <v/>
      </c>
      <c r="AX80" s="12" t="str">
        <f t="shared" si="4"/>
        <v/>
      </c>
      <c r="AY80" s="45"/>
    </row>
    <row r="81" spans="1:51" ht="20.100000000000001" customHeight="1" x14ac:dyDescent="0.2">
      <c r="A81" s="13">
        <v>74</v>
      </c>
      <c r="B81" s="40" t="s">
        <v>702</v>
      </c>
      <c r="C81" s="40" t="s">
        <v>625</v>
      </c>
      <c r="D81" s="41" t="s">
        <v>579</v>
      </c>
      <c r="E81" s="41" t="s">
        <v>9</v>
      </c>
      <c r="F81" s="41"/>
      <c r="G81" s="41"/>
      <c r="H81" s="13" t="s">
        <v>7</v>
      </c>
      <c r="I81" s="13"/>
      <c r="J81" s="13"/>
      <c r="K81" s="13"/>
      <c r="L81" s="13"/>
      <c r="M81" s="13"/>
      <c r="N81" s="13"/>
      <c r="O81" s="40" t="s">
        <v>92</v>
      </c>
      <c r="P81" s="35" t="s">
        <v>68</v>
      </c>
      <c r="Q81" s="35" t="s">
        <v>155</v>
      </c>
      <c r="R81" s="41" t="s">
        <v>704</v>
      </c>
      <c r="S81" s="41" t="s">
        <v>69</v>
      </c>
      <c r="T81" s="13" t="s">
        <v>70</v>
      </c>
      <c r="U81" s="35" t="s">
        <v>332</v>
      </c>
      <c r="V81" s="35" t="s">
        <v>324</v>
      </c>
      <c r="W81" s="41" t="s">
        <v>705</v>
      </c>
      <c r="X81" s="41" t="s">
        <v>69</v>
      </c>
      <c r="Y81" s="41" t="s">
        <v>70</v>
      </c>
      <c r="Z81" s="13">
        <v>0</v>
      </c>
      <c r="AA81" s="13"/>
      <c r="AB81" s="13"/>
      <c r="AC81" s="13"/>
      <c r="AD81" s="40">
        <v>222</v>
      </c>
      <c r="AE81" s="40"/>
      <c r="AF81" s="40"/>
      <c r="AG81" s="40"/>
      <c r="AH81" s="40"/>
      <c r="AI81" s="40"/>
      <c r="AJ81" s="40"/>
      <c r="AK81" s="40"/>
      <c r="AL81" s="40"/>
      <c r="AM81" s="33" t="s">
        <v>158</v>
      </c>
      <c r="AN81" s="41" t="s">
        <v>699</v>
      </c>
      <c r="AO81" s="43">
        <v>177</v>
      </c>
      <c r="AP81" s="13">
        <v>20</v>
      </c>
      <c r="AQ81" s="40"/>
      <c r="AR81" s="40"/>
      <c r="AS81" s="6"/>
      <c r="AT81" s="6"/>
      <c r="AU81" s="6"/>
      <c r="AV81" s="6"/>
      <c r="AW81" s="12" t="str">
        <f t="shared" si="3"/>
        <v/>
      </c>
      <c r="AX81" s="12" t="str">
        <f t="shared" si="4"/>
        <v/>
      </c>
      <c r="AY81" s="45"/>
    </row>
    <row r="82" spans="1:51" s="21" customFormat="1" ht="20.100000000000001" customHeight="1" x14ac:dyDescent="0.2">
      <c r="A82" s="13">
        <v>75</v>
      </c>
      <c r="B82" s="29" t="s">
        <v>706</v>
      </c>
      <c r="C82" s="29" t="s">
        <v>625</v>
      </c>
      <c r="D82" s="30" t="s">
        <v>604</v>
      </c>
      <c r="E82" s="30" t="s">
        <v>19</v>
      </c>
      <c r="F82" s="30" t="s">
        <v>481</v>
      </c>
      <c r="G82" s="30"/>
      <c r="H82" s="20" t="s">
        <v>83</v>
      </c>
      <c r="I82" s="20"/>
      <c r="J82" s="20"/>
      <c r="K82" s="20"/>
      <c r="L82" s="20"/>
      <c r="M82" s="20"/>
      <c r="N82" s="20"/>
      <c r="O82" s="29" t="s">
        <v>92</v>
      </c>
      <c r="P82" s="30"/>
      <c r="Q82" s="30" t="s">
        <v>104</v>
      </c>
      <c r="R82" s="30" t="s">
        <v>606</v>
      </c>
      <c r="S82" s="30" t="s">
        <v>106</v>
      </c>
      <c r="T82" s="20" t="s">
        <v>107</v>
      </c>
      <c r="U82" s="30"/>
      <c r="V82" s="30" t="s">
        <v>204</v>
      </c>
      <c r="W82" s="30" t="s">
        <v>607</v>
      </c>
      <c r="X82" s="30" t="s">
        <v>106</v>
      </c>
      <c r="Y82" s="30" t="s">
        <v>107</v>
      </c>
      <c r="Z82" s="20" t="s">
        <v>598</v>
      </c>
      <c r="AA82" s="20"/>
      <c r="AB82" s="20"/>
      <c r="AC82" s="20"/>
      <c r="AD82" s="29">
        <v>174</v>
      </c>
      <c r="AE82" s="29"/>
      <c r="AF82" s="29"/>
      <c r="AG82" s="29"/>
      <c r="AH82" s="29"/>
      <c r="AI82" s="29"/>
      <c r="AJ82" s="29"/>
      <c r="AK82" s="29"/>
      <c r="AL82" s="29"/>
      <c r="AM82" s="20" t="s">
        <v>158</v>
      </c>
      <c r="AN82" s="30" t="s">
        <v>598</v>
      </c>
      <c r="AO82" s="36">
        <v>187</v>
      </c>
      <c r="AP82" s="20">
        <v>14</v>
      </c>
      <c r="AQ82" s="29"/>
      <c r="AR82" s="29"/>
      <c r="AS82" s="30" t="s">
        <v>115</v>
      </c>
      <c r="AT82" s="30" t="s">
        <v>525</v>
      </c>
      <c r="AU82" s="30" t="s">
        <v>115</v>
      </c>
      <c r="AV82" s="30" t="s">
        <v>496</v>
      </c>
      <c r="AW82" s="31">
        <f t="shared" si="3"/>
        <v>1</v>
      </c>
      <c r="AX82" s="31">
        <f t="shared" si="4"/>
        <v>1</v>
      </c>
      <c r="AY82" s="32"/>
    </row>
    <row r="83" spans="1:51" ht="20.100000000000001" customHeight="1" x14ac:dyDescent="0.2">
      <c r="A83" s="13">
        <v>76</v>
      </c>
      <c r="B83" s="40" t="s">
        <v>706</v>
      </c>
      <c r="C83" s="40" t="s">
        <v>625</v>
      </c>
      <c r="D83" s="41" t="s">
        <v>604</v>
      </c>
      <c r="E83" s="41" t="s">
        <v>19</v>
      </c>
      <c r="F83" s="41"/>
      <c r="G83" s="41"/>
      <c r="H83" s="13" t="s">
        <v>7</v>
      </c>
      <c r="I83" s="13"/>
      <c r="J83" s="13"/>
      <c r="K83" s="13"/>
      <c r="L83" s="13"/>
      <c r="M83" s="13"/>
      <c r="N83" s="13"/>
      <c r="O83" s="40" t="s">
        <v>92</v>
      </c>
      <c r="P83" s="41" t="s">
        <v>104</v>
      </c>
      <c r="Q83" s="41" t="s">
        <v>117</v>
      </c>
      <c r="R83" s="41" t="s">
        <v>707</v>
      </c>
      <c r="S83" s="41" t="s">
        <v>106</v>
      </c>
      <c r="T83" s="13" t="s">
        <v>107</v>
      </c>
      <c r="U83" s="41" t="s">
        <v>204</v>
      </c>
      <c r="V83" s="41" t="s">
        <v>204</v>
      </c>
      <c r="W83" s="41" t="s">
        <v>708</v>
      </c>
      <c r="X83" s="41" t="s">
        <v>106</v>
      </c>
      <c r="Y83" s="41" t="s">
        <v>107</v>
      </c>
      <c r="Z83" s="13">
        <v>0</v>
      </c>
      <c r="AA83" s="13"/>
      <c r="AB83" s="13"/>
      <c r="AC83" s="13"/>
      <c r="AD83" s="40">
        <v>174</v>
      </c>
      <c r="AE83" s="40"/>
      <c r="AF83" s="40"/>
      <c r="AG83" s="40"/>
      <c r="AH83" s="40"/>
      <c r="AI83" s="40"/>
      <c r="AJ83" s="40"/>
      <c r="AK83" s="40"/>
      <c r="AL83" s="40"/>
      <c r="AM83" s="47"/>
      <c r="AN83" s="41"/>
      <c r="AO83" s="43">
        <v>187</v>
      </c>
      <c r="AP83" s="13">
        <v>14</v>
      </c>
      <c r="AQ83" s="40"/>
      <c r="AR83" s="40"/>
      <c r="AS83" s="6"/>
      <c r="AT83" s="6"/>
      <c r="AU83" s="6"/>
      <c r="AV83" s="6"/>
      <c r="AW83" s="12" t="str">
        <f t="shared" si="3"/>
        <v/>
      </c>
      <c r="AX83" s="12" t="str">
        <f t="shared" si="4"/>
        <v/>
      </c>
      <c r="AY83" s="45"/>
    </row>
    <row r="84" spans="1:51" ht="20.100000000000001" customHeight="1" x14ac:dyDescent="0.2">
      <c r="A84" s="13">
        <v>77</v>
      </c>
      <c r="B84" s="40" t="s">
        <v>706</v>
      </c>
      <c r="C84" s="40" t="s">
        <v>625</v>
      </c>
      <c r="D84" s="41" t="s">
        <v>643</v>
      </c>
      <c r="E84" s="41" t="s">
        <v>19</v>
      </c>
      <c r="F84" s="41"/>
      <c r="G84" s="41"/>
      <c r="H84" s="13" t="s">
        <v>7</v>
      </c>
      <c r="I84" s="13"/>
      <c r="J84" s="13"/>
      <c r="K84" s="13"/>
      <c r="L84" s="13"/>
      <c r="M84" s="13"/>
      <c r="N84" s="13"/>
      <c r="O84" s="40" t="s">
        <v>67</v>
      </c>
      <c r="P84" s="35" t="s">
        <v>155</v>
      </c>
      <c r="Q84" s="35" t="s">
        <v>68</v>
      </c>
      <c r="R84" s="41" t="s">
        <v>709</v>
      </c>
      <c r="S84" s="41" t="s">
        <v>106</v>
      </c>
      <c r="T84" s="13" t="s">
        <v>107</v>
      </c>
      <c r="U84" s="35" t="s">
        <v>324</v>
      </c>
      <c r="V84" s="35" t="s">
        <v>332</v>
      </c>
      <c r="W84" s="41" t="s">
        <v>710</v>
      </c>
      <c r="X84" s="41" t="s">
        <v>106</v>
      </c>
      <c r="Y84" s="41" t="s">
        <v>107</v>
      </c>
      <c r="Z84" s="13">
        <v>0</v>
      </c>
      <c r="AA84" s="13"/>
      <c r="AB84" s="13"/>
      <c r="AC84" s="13"/>
      <c r="AD84" s="40">
        <v>132</v>
      </c>
      <c r="AE84" s="40"/>
      <c r="AF84" s="40"/>
      <c r="AG84" s="40"/>
      <c r="AH84" s="40"/>
      <c r="AI84" s="40"/>
      <c r="AJ84" s="40"/>
      <c r="AK84" s="40"/>
      <c r="AL84" s="40"/>
      <c r="AM84" s="33" t="s">
        <v>158</v>
      </c>
      <c r="AN84" s="41"/>
      <c r="AO84" s="41"/>
      <c r="AP84" s="13"/>
      <c r="AQ84" s="40"/>
      <c r="AR84" s="40"/>
      <c r="AS84" s="44"/>
      <c r="AT84" s="44"/>
      <c r="AU84" s="44"/>
      <c r="AV84" s="44"/>
      <c r="AW84" s="12" t="str">
        <f t="shared" si="3"/>
        <v/>
      </c>
      <c r="AX84" s="12" t="str">
        <f t="shared" si="4"/>
        <v/>
      </c>
      <c r="AY84" s="45"/>
    </row>
    <row r="85" spans="1:51" ht="20.100000000000001" customHeight="1" x14ac:dyDescent="0.2">
      <c r="A85" s="13">
        <v>78</v>
      </c>
      <c r="B85" s="40" t="s">
        <v>711</v>
      </c>
      <c r="C85" s="40" t="s">
        <v>625</v>
      </c>
      <c r="D85" s="41" t="s">
        <v>712</v>
      </c>
      <c r="E85" s="41" t="s">
        <v>20</v>
      </c>
      <c r="F85" s="41" t="s">
        <v>186</v>
      </c>
      <c r="G85" s="41"/>
      <c r="H85" s="13" t="s">
        <v>83</v>
      </c>
      <c r="I85" s="13"/>
      <c r="J85" s="13"/>
      <c r="K85" s="13"/>
      <c r="L85" s="13"/>
      <c r="M85" s="13"/>
      <c r="N85" s="13"/>
      <c r="O85" s="40" t="s">
        <v>92</v>
      </c>
      <c r="P85" s="41"/>
      <c r="Q85" s="41" t="s">
        <v>334</v>
      </c>
      <c r="R85" s="41" t="s">
        <v>713</v>
      </c>
      <c r="S85" s="41" t="s">
        <v>574</v>
      </c>
      <c r="T85" s="13" t="s">
        <v>107</v>
      </c>
      <c r="U85" s="41"/>
      <c r="V85" s="41" t="s">
        <v>714</v>
      </c>
      <c r="W85" s="41" t="s">
        <v>715</v>
      </c>
      <c r="X85" s="41" t="s">
        <v>574</v>
      </c>
      <c r="Y85" s="41" t="s">
        <v>107</v>
      </c>
      <c r="Z85" s="13" t="s">
        <v>716</v>
      </c>
      <c r="AA85" s="13"/>
      <c r="AB85" s="13"/>
      <c r="AC85" s="13"/>
      <c r="AD85" s="40">
        <v>117</v>
      </c>
      <c r="AE85" s="40"/>
      <c r="AF85" s="40"/>
      <c r="AG85" s="40"/>
      <c r="AH85" s="40"/>
      <c r="AI85" s="40"/>
      <c r="AJ85" s="40"/>
      <c r="AK85" s="40"/>
      <c r="AL85" s="40"/>
      <c r="AM85" s="47"/>
      <c r="AN85" s="41" t="s">
        <v>717</v>
      </c>
      <c r="AO85" s="43">
        <v>116</v>
      </c>
      <c r="AP85" s="13">
        <v>13</v>
      </c>
      <c r="AQ85" s="40"/>
      <c r="AR85" s="40"/>
      <c r="AS85" s="6" t="s">
        <v>115</v>
      </c>
      <c r="AT85" s="6" t="s">
        <v>525</v>
      </c>
      <c r="AU85" s="6" t="s">
        <v>123</v>
      </c>
      <c r="AV85" s="6" t="s">
        <v>718</v>
      </c>
      <c r="AW85" s="12">
        <f t="shared" si="3"/>
        <v>42</v>
      </c>
      <c r="AX85" s="12" t="str">
        <f t="shared" si="4"/>
        <v/>
      </c>
      <c r="AY85" s="45"/>
    </row>
    <row r="86" spans="1:51" ht="20.100000000000001" customHeight="1" x14ac:dyDescent="0.2">
      <c r="A86" s="13">
        <v>79</v>
      </c>
      <c r="B86" s="40" t="s">
        <v>711</v>
      </c>
      <c r="C86" s="40" t="s">
        <v>625</v>
      </c>
      <c r="D86" s="41" t="s">
        <v>719</v>
      </c>
      <c r="E86" s="41" t="s">
        <v>6</v>
      </c>
      <c r="F86" s="41" t="s">
        <v>186</v>
      </c>
      <c r="G86" s="41"/>
      <c r="H86" s="13" t="s">
        <v>83</v>
      </c>
      <c r="I86" s="13"/>
      <c r="J86" s="13"/>
      <c r="K86" s="13"/>
      <c r="L86" s="13"/>
      <c r="M86" s="13"/>
      <c r="N86" s="13"/>
      <c r="O86" s="40" t="s">
        <v>67</v>
      </c>
      <c r="P86" s="41"/>
      <c r="Q86" s="41" t="s">
        <v>155</v>
      </c>
      <c r="R86" s="41" t="s">
        <v>429</v>
      </c>
      <c r="S86" s="41" t="s">
        <v>69</v>
      </c>
      <c r="T86" s="13" t="s">
        <v>70</v>
      </c>
      <c r="U86" s="41"/>
      <c r="V86" s="41" t="s">
        <v>324</v>
      </c>
      <c r="W86" s="41" t="s">
        <v>429</v>
      </c>
      <c r="X86" s="41" t="s">
        <v>69</v>
      </c>
      <c r="Y86" s="41" t="s">
        <v>70</v>
      </c>
      <c r="Z86" s="13" t="s">
        <v>720</v>
      </c>
      <c r="AA86" s="13"/>
      <c r="AB86" s="13"/>
      <c r="AC86" s="13"/>
      <c r="AD86" s="40">
        <v>168</v>
      </c>
      <c r="AE86" s="40"/>
      <c r="AF86" s="40"/>
      <c r="AG86" s="40"/>
      <c r="AH86" s="40"/>
      <c r="AI86" s="40"/>
      <c r="AJ86" s="40"/>
      <c r="AK86" s="40"/>
      <c r="AL86" s="40"/>
      <c r="AM86" s="47"/>
      <c r="AN86" s="41"/>
      <c r="AO86" s="41"/>
      <c r="AP86" s="13"/>
      <c r="AQ86" s="40"/>
      <c r="AR86" s="40"/>
      <c r="AS86" s="44" t="s">
        <v>115</v>
      </c>
      <c r="AT86" s="44" t="s">
        <v>525</v>
      </c>
      <c r="AU86" s="44" t="s">
        <v>721</v>
      </c>
      <c r="AV86" s="44" t="s">
        <v>465</v>
      </c>
      <c r="AW86" s="12">
        <f t="shared" si="3"/>
        <v>117</v>
      </c>
      <c r="AX86" s="12" t="str">
        <f t="shared" si="4"/>
        <v/>
      </c>
      <c r="AY86" s="45"/>
    </row>
    <row r="87" spans="1:51" ht="20.100000000000001" customHeight="1" x14ac:dyDescent="0.2">
      <c r="A87" s="13">
        <v>80</v>
      </c>
      <c r="B87" s="40" t="s">
        <v>722</v>
      </c>
      <c r="C87" s="40" t="s">
        <v>625</v>
      </c>
      <c r="D87" s="41" t="s">
        <v>712</v>
      </c>
      <c r="E87" s="41" t="s">
        <v>20</v>
      </c>
      <c r="F87" s="41"/>
      <c r="G87" s="41"/>
      <c r="H87" s="13" t="s">
        <v>7</v>
      </c>
      <c r="I87" s="13"/>
      <c r="J87" s="13"/>
      <c r="K87" s="13"/>
      <c r="L87" s="13"/>
      <c r="M87" s="13"/>
      <c r="N87" s="13"/>
      <c r="O87" s="40" t="s">
        <v>92</v>
      </c>
      <c r="P87" s="41" t="s">
        <v>334</v>
      </c>
      <c r="Q87" s="41" t="s">
        <v>334</v>
      </c>
      <c r="R87" s="41" t="s">
        <v>723</v>
      </c>
      <c r="S87" s="41" t="s">
        <v>262</v>
      </c>
      <c r="T87" s="13" t="s">
        <v>70</v>
      </c>
      <c r="U87" s="41" t="s">
        <v>714</v>
      </c>
      <c r="V87" s="41" t="s">
        <v>714</v>
      </c>
      <c r="W87" s="41" t="s">
        <v>724</v>
      </c>
      <c r="X87" s="41" t="s">
        <v>142</v>
      </c>
      <c r="Y87" s="41" t="s">
        <v>70</v>
      </c>
      <c r="Z87" s="13">
        <v>0</v>
      </c>
      <c r="AA87" s="13"/>
      <c r="AB87" s="13"/>
      <c r="AC87" s="13"/>
      <c r="AD87" s="40">
        <v>120</v>
      </c>
      <c r="AE87" s="40"/>
      <c r="AF87" s="40"/>
      <c r="AG87" s="40"/>
      <c r="AH87" s="40"/>
      <c r="AI87" s="40"/>
      <c r="AJ87" s="40"/>
      <c r="AK87" s="40"/>
      <c r="AL87" s="40"/>
      <c r="AM87" s="47"/>
      <c r="AN87" s="41" t="s">
        <v>706</v>
      </c>
      <c r="AO87" s="43">
        <v>106</v>
      </c>
      <c r="AP87" s="13">
        <v>13</v>
      </c>
      <c r="AQ87" s="40"/>
      <c r="AR87" s="40"/>
      <c r="AS87" s="6"/>
      <c r="AT87" s="6"/>
      <c r="AU87" s="6"/>
      <c r="AV87" s="6"/>
      <c r="AW87" s="12" t="str">
        <f t="shared" si="3"/>
        <v/>
      </c>
      <c r="AX87" s="12" t="str">
        <f t="shared" si="4"/>
        <v/>
      </c>
      <c r="AY87" s="45"/>
    </row>
    <row r="88" spans="1:51" ht="20.100000000000001" customHeight="1" x14ac:dyDescent="0.2">
      <c r="A88" s="13">
        <v>81</v>
      </c>
      <c r="B88" s="40" t="s">
        <v>725</v>
      </c>
      <c r="C88" s="40" t="s">
        <v>625</v>
      </c>
      <c r="D88" s="41" t="s">
        <v>726</v>
      </c>
      <c r="E88" s="41" t="s">
        <v>6</v>
      </c>
      <c r="F88" s="41" t="s">
        <v>186</v>
      </c>
      <c r="G88" s="41"/>
      <c r="H88" s="13" t="s">
        <v>83</v>
      </c>
      <c r="I88" s="13"/>
      <c r="J88" s="13"/>
      <c r="K88" s="13"/>
      <c r="L88" s="13"/>
      <c r="M88" s="13"/>
      <c r="N88" s="13"/>
      <c r="O88" s="40" t="s">
        <v>67</v>
      </c>
      <c r="P88" s="41"/>
      <c r="Q88" s="41" t="s">
        <v>155</v>
      </c>
      <c r="R88" s="41" t="s">
        <v>727</v>
      </c>
      <c r="S88" s="41" t="s">
        <v>142</v>
      </c>
      <c r="T88" s="13" t="s">
        <v>70</v>
      </c>
      <c r="U88" s="41"/>
      <c r="V88" s="41" t="s">
        <v>170</v>
      </c>
      <c r="W88" s="41" t="s">
        <v>728</v>
      </c>
      <c r="X88" s="41" t="s">
        <v>119</v>
      </c>
      <c r="Y88" s="41" t="s">
        <v>107</v>
      </c>
      <c r="Z88" s="13" t="s">
        <v>729</v>
      </c>
      <c r="AA88" s="13"/>
      <c r="AB88" s="13"/>
      <c r="AC88" s="13"/>
      <c r="AD88" s="40">
        <v>162</v>
      </c>
      <c r="AE88" s="40"/>
      <c r="AF88" s="40"/>
      <c r="AG88" s="40"/>
      <c r="AH88" s="40"/>
      <c r="AI88" s="40"/>
      <c r="AJ88" s="40"/>
      <c r="AK88" s="40"/>
      <c r="AL88" s="40"/>
      <c r="AM88" s="47"/>
      <c r="AN88" s="41"/>
      <c r="AO88" s="41"/>
      <c r="AP88" s="13"/>
      <c r="AQ88" s="40"/>
      <c r="AR88" s="40"/>
      <c r="AS88" s="44" t="s">
        <v>115</v>
      </c>
      <c r="AT88" s="44" t="s">
        <v>525</v>
      </c>
      <c r="AU88" s="44" t="s">
        <v>547</v>
      </c>
      <c r="AV88" s="44" t="s">
        <v>525</v>
      </c>
      <c r="AW88" s="12">
        <f t="shared" si="3"/>
        <v>60</v>
      </c>
      <c r="AX88" s="12" t="str">
        <f t="shared" si="4"/>
        <v/>
      </c>
      <c r="AY88" s="45"/>
    </row>
    <row r="89" spans="1:51" ht="20.100000000000001" customHeight="1" x14ac:dyDescent="0.2">
      <c r="A89" s="13">
        <v>82</v>
      </c>
      <c r="B89" s="40" t="s">
        <v>730</v>
      </c>
      <c r="C89" s="40" t="s">
        <v>625</v>
      </c>
      <c r="D89" s="41" t="s">
        <v>731</v>
      </c>
      <c r="E89" s="41" t="s">
        <v>19</v>
      </c>
      <c r="F89" s="41" t="s">
        <v>186</v>
      </c>
      <c r="G89" s="41"/>
      <c r="H89" s="13" t="s">
        <v>83</v>
      </c>
      <c r="I89" s="13"/>
      <c r="J89" s="13"/>
      <c r="K89" s="13"/>
      <c r="L89" s="13"/>
      <c r="M89" s="13"/>
      <c r="N89" s="13"/>
      <c r="O89" s="40" t="s">
        <v>67</v>
      </c>
      <c r="P89" s="41"/>
      <c r="Q89" s="41" t="s">
        <v>117</v>
      </c>
      <c r="R89" s="41" t="s">
        <v>732</v>
      </c>
      <c r="S89" s="41" t="s">
        <v>262</v>
      </c>
      <c r="T89" s="13" t="s">
        <v>70</v>
      </c>
      <c r="U89" s="41"/>
      <c r="V89" s="41" t="s">
        <v>470</v>
      </c>
      <c r="W89" s="41" t="s">
        <v>733</v>
      </c>
      <c r="X89" s="41" t="s">
        <v>119</v>
      </c>
      <c r="Y89" s="41" t="s">
        <v>107</v>
      </c>
      <c r="Z89" s="13" t="s">
        <v>734</v>
      </c>
      <c r="AA89" s="13"/>
      <c r="AB89" s="13"/>
      <c r="AC89" s="13"/>
      <c r="AD89" s="40">
        <v>150</v>
      </c>
      <c r="AE89" s="40"/>
      <c r="AF89" s="40"/>
      <c r="AG89" s="40"/>
      <c r="AH89" s="40"/>
      <c r="AI89" s="40"/>
      <c r="AJ89" s="40"/>
      <c r="AK89" s="40"/>
      <c r="AL89" s="40"/>
      <c r="AM89" s="47"/>
      <c r="AN89" s="41" t="s">
        <v>735</v>
      </c>
      <c r="AO89" s="43">
        <v>113</v>
      </c>
      <c r="AP89" s="13">
        <v>27</v>
      </c>
      <c r="AQ89" s="40"/>
      <c r="AR89" s="40"/>
      <c r="AS89" s="6" t="s">
        <v>115</v>
      </c>
      <c r="AT89" s="6" t="s">
        <v>525</v>
      </c>
      <c r="AU89" s="6" t="s">
        <v>123</v>
      </c>
      <c r="AV89" s="6" t="s">
        <v>458</v>
      </c>
      <c r="AW89" s="12">
        <f t="shared" si="3"/>
        <v>47</v>
      </c>
      <c r="AX89" s="12" t="str">
        <f t="shared" si="4"/>
        <v/>
      </c>
      <c r="AY89" s="45"/>
    </row>
    <row r="90" spans="1:51" ht="20.100000000000001" customHeight="1" x14ac:dyDescent="0.2">
      <c r="A90" s="13">
        <v>83</v>
      </c>
      <c r="B90" s="40" t="s">
        <v>736</v>
      </c>
      <c r="C90" s="40" t="s">
        <v>625</v>
      </c>
      <c r="D90" s="41" t="s">
        <v>731</v>
      </c>
      <c r="E90" s="41" t="s">
        <v>19</v>
      </c>
      <c r="F90" s="41"/>
      <c r="G90" s="41"/>
      <c r="H90" s="13" t="s">
        <v>7</v>
      </c>
      <c r="I90" s="13"/>
      <c r="J90" s="13"/>
      <c r="K90" s="13"/>
      <c r="L90" s="13"/>
      <c r="M90" s="13"/>
      <c r="N90" s="13"/>
      <c r="O90" s="40" t="s">
        <v>67</v>
      </c>
      <c r="P90" s="35" t="s">
        <v>117</v>
      </c>
      <c r="Q90" s="35" t="s">
        <v>104</v>
      </c>
      <c r="R90" s="41" t="s">
        <v>606</v>
      </c>
      <c r="S90" s="41" t="s">
        <v>369</v>
      </c>
      <c r="T90" s="13" t="s">
        <v>369</v>
      </c>
      <c r="U90" s="41" t="s">
        <v>470</v>
      </c>
      <c r="V90" s="41" t="s">
        <v>470</v>
      </c>
      <c r="W90" s="41" t="s">
        <v>737</v>
      </c>
      <c r="X90" s="41" t="s">
        <v>106</v>
      </c>
      <c r="Y90" s="41" t="s">
        <v>107</v>
      </c>
      <c r="Z90" s="13">
        <v>0</v>
      </c>
      <c r="AA90" s="13"/>
      <c r="AB90" s="13"/>
      <c r="AC90" s="13"/>
      <c r="AD90" s="40"/>
      <c r="AE90" s="40"/>
      <c r="AF90" s="40"/>
      <c r="AG90" s="40"/>
      <c r="AH90" s="40"/>
      <c r="AI90" s="40"/>
      <c r="AJ90" s="40"/>
      <c r="AK90" s="40"/>
      <c r="AL90" s="40"/>
      <c r="AM90" s="47"/>
      <c r="AN90" s="41" t="s">
        <v>711</v>
      </c>
      <c r="AO90" s="43">
        <v>113</v>
      </c>
      <c r="AP90" s="13">
        <v>26.5</v>
      </c>
      <c r="AQ90" s="40"/>
      <c r="AR90" s="40"/>
      <c r="AS90" s="44"/>
      <c r="AT90" s="44"/>
      <c r="AU90" s="44"/>
      <c r="AV90" s="44"/>
      <c r="AW90" s="12" t="str">
        <f t="shared" si="3"/>
        <v/>
      </c>
      <c r="AX90" s="12" t="str">
        <f t="shared" si="4"/>
        <v/>
      </c>
      <c r="AY90" s="45"/>
    </row>
    <row r="91" spans="1:51" s="19" customFormat="1" ht="20.100000000000001" customHeight="1" x14ac:dyDescent="0.2">
      <c r="A91" s="13">
        <v>84</v>
      </c>
      <c r="B91" s="16" t="s">
        <v>738</v>
      </c>
      <c r="C91" s="16" t="s">
        <v>625</v>
      </c>
      <c r="D91" s="6" t="s">
        <v>739</v>
      </c>
      <c r="E91" s="6" t="s">
        <v>10</v>
      </c>
      <c r="F91" s="6" t="s">
        <v>481</v>
      </c>
      <c r="G91" s="6"/>
      <c r="H91" s="15" t="s">
        <v>83</v>
      </c>
      <c r="I91" s="15"/>
      <c r="J91" s="15"/>
      <c r="K91" s="15"/>
      <c r="L91" s="15"/>
      <c r="M91" s="15"/>
      <c r="N91" s="15"/>
      <c r="O91" s="16" t="s">
        <v>67</v>
      </c>
      <c r="P91" s="6"/>
      <c r="Q91" s="6" t="s">
        <v>104</v>
      </c>
      <c r="R91" s="6" t="s">
        <v>740</v>
      </c>
      <c r="S91" s="6" t="s">
        <v>119</v>
      </c>
      <c r="T91" s="15" t="s">
        <v>107</v>
      </c>
      <c r="U91" s="6"/>
      <c r="V91" s="6" t="s">
        <v>361</v>
      </c>
      <c r="W91" s="6" t="s">
        <v>741</v>
      </c>
      <c r="X91" s="6" t="s">
        <v>119</v>
      </c>
      <c r="Y91" s="6" t="s">
        <v>107</v>
      </c>
      <c r="Z91" s="15" t="s">
        <v>742</v>
      </c>
      <c r="AA91" s="15"/>
      <c r="AB91" s="15"/>
      <c r="AC91" s="15"/>
      <c r="AD91" s="16">
        <v>186</v>
      </c>
      <c r="AE91" s="16"/>
      <c r="AF91" s="16"/>
      <c r="AG91" s="16"/>
      <c r="AH91" s="16"/>
      <c r="AI91" s="16"/>
      <c r="AJ91" s="16"/>
      <c r="AK91" s="16"/>
      <c r="AL91" s="16"/>
      <c r="AM91" s="17"/>
      <c r="AN91" s="6" t="s">
        <v>743</v>
      </c>
      <c r="AO91" s="25">
        <v>193</v>
      </c>
      <c r="AP91" s="15">
        <v>19</v>
      </c>
      <c r="AQ91" s="16"/>
      <c r="AR91" s="16"/>
      <c r="AS91" s="6" t="s">
        <v>115</v>
      </c>
      <c r="AT91" s="6" t="s">
        <v>525</v>
      </c>
      <c r="AU91" s="6" t="s">
        <v>136</v>
      </c>
      <c r="AV91" s="6" t="s">
        <v>496</v>
      </c>
      <c r="AW91" s="46">
        <f t="shared" si="3"/>
        <v>13</v>
      </c>
      <c r="AX91" s="46" t="str">
        <f t="shared" si="4"/>
        <v/>
      </c>
      <c r="AY91" s="18"/>
    </row>
    <row r="92" spans="1:51" ht="20.100000000000001" customHeight="1" x14ac:dyDescent="0.2">
      <c r="A92" s="13">
        <v>85</v>
      </c>
      <c r="B92" s="40" t="s">
        <v>744</v>
      </c>
      <c r="C92" s="40" t="s">
        <v>625</v>
      </c>
      <c r="D92" s="41" t="s">
        <v>690</v>
      </c>
      <c r="E92" s="41" t="s">
        <v>20</v>
      </c>
      <c r="F92" s="41"/>
      <c r="G92" s="41"/>
      <c r="H92" s="13" t="s">
        <v>7</v>
      </c>
      <c r="I92" s="13"/>
      <c r="J92" s="13"/>
      <c r="K92" s="13"/>
      <c r="L92" s="13"/>
      <c r="M92" s="13"/>
      <c r="N92" s="13"/>
      <c r="O92" s="40" t="s">
        <v>67</v>
      </c>
      <c r="P92" s="35" t="s">
        <v>68</v>
      </c>
      <c r="Q92" s="35" t="s">
        <v>117</v>
      </c>
      <c r="R92" s="41" t="s">
        <v>745</v>
      </c>
      <c r="S92" s="41" t="s">
        <v>106</v>
      </c>
      <c r="T92" s="13" t="s">
        <v>107</v>
      </c>
      <c r="U92" s="35" t="s">
        <v>332</v>
      </c>
      <c r="V92" s="35" t="s">
        <v>120</v>
      </c>
      <c r="W92" s="41" t="s">
        <v>746</v>
      </c>
      <c r="X92" s="41" t="s">
        <v>142</v>
      </c>
      <c r="Y92" s="41" t="s">
        <v>70</v>
      </c>
      <c r="Z92" s="13">
        <v>0</v>
      </c>
      <c r="AA92" s="13"/>
      <c r="AB92" s="13"/>
      <c r="AC92" s="13"/>
      <c r="AD92" s="40">
        <v>213</v>
      </c>
      <c r="AE92" s="40"/>
      <c r="AF92" s="40"/>
      <c r="AG92" s="40"/>
      <c r="AH92" s="40"/>
      <c r="AI92" s="40"/>
      <c r="AJ92" s="40"/>
      <c r="AK92" s="40"/>
      <c r="AL92" s="40"/>
      <c r="AM92" s="33" t="s">
        <v>158</v>
      </c>
      <c r="AN92" s="41" t="s">
        <v>747</v>
      </c>
      <c r="AO92" s="43">
        <v>159</v>
      </c>
      <c r="AP92" s="13">
        <v>16</v>
      </c>
      <c r="AQ92" s="40"/>
      <c r="AR92" s="40"/>
      <c r="AS92" s="44"/>
      <c r="AT92" s="44"/>
      <c r="AU92" s="44"/>
      <c r="AV92" s="44"/>
      <c r="AW92" s="12" t="str">
        <f t="shared" si="3"/>
        <v/>
      </c>
      <c r="AX92" s="12" t="str">
        <f t="shared" si="4"/>
        <v/>
      </c>
      <c r="AY92" s="45"/>
    </row>
    <row r="93" spans="1:51" ht="20.100000000000001" customHeight="1" x14ac:dyDescent="0.2">
      <c r="A93" s="13">
        <v>86</v>
      </c>
      <c r="B93" s="40" t="s">
        <v>744</v>
      </c>
      <c r="C93" s="40" t="s">
        <v>625</v>
      </c>
      <c r="D93" s="41" t="s">
        <v>533</v>
      </c>
      <c r="E93" s="41" t="s">
        <v>243</v>
      </c>
      <c r="F93" s="41"/>
      <c r="G93" s="41"/>
      <c r="H93" s="13" t="s">
        <v>7</v>
      </c>
      <c r="I93" s="13"/>
      <c r="J93" s="13"/>
      <c r="K93" s="13"/>
      <c r="L93" s="13"/>
      <c r="M93" s="13"/>
      <c r="N93" s="13"/>
      <c r="O93" s="40" t="s">
        <v>92</v>
      </c>
      <c r="P93" s="41" t="s">
        <v>140</v>
      </c>
      <c r="Q93" s="41" t="s">
        <v>140</v>
      </c>
      <c r="R93" s="41" t="s">
        <v>748</v>
      </c>
      <c r="S93" s="41" t="s">
        <v>69</v>
      </c>
      <c r="T93" s="13" t="s">
        <v>70</v>
      </c>
      <c r="U93" s="41" t="s">
        <v>188</v>
      </c>
      <c r="V93" s="41" t="s">
        <v>188</v>
      </c>
      <c r="W93" s="41" t="s">
        <v>749</v>
      </c>
      <c r="X93" s="41" t="s">
        <v>142</v>
      </c>
      <c r="Y93" s="41" t="s">
        <v>70</v>
      </c>
      <c r="Z93" s="13">
        <v>0</v>
      </c>
      <c r="AA93" s="13"/>
      <c r="AB93" s="13"/>
      <c r="AC93" s="13"/>
      <c r="AD93" s="40"/>
      <c r="AE93" s="40"/>
      <c r="AF93" s="40"/>
      <c r="AG93" s="40"/>
      <c r="AH93" s="40"/>
      <c r="AI93" s="40"/>
      <c r="AJ93" s="40"/>
      <c r="AK93" s="40"/>
      <c r="AL93" s="40"/>
      <c r="AM93" s="47"/>
      <c r="AN93" s="41" t="s">
        <v>750</v>
      </c>
      <c r="AO93" s="43">
        <v>139</v>
      </c>
      <c r="AP93" s="13">
        <v>16</v>
      </c>
      <c r="AQ93" s="40"/>
      <c r="AR93" s="40"/>
      <c r="AS93" s="6"/>
      <c r="AT93" s="6"/>
      <c r="AU93" s="6"/>
      <c r="AV93" s="6"/>
      <c r="AW93" s="12" t="str">
        <f t="shared" si="3"/>
        <v/>
      </c>
      <c r="AX93" s="12" t="str">
        <f t="shared" si="4"/>
        <v/>
      </c>
      <c r="AY93" s="45"/>
    </row>
    <row r="94" spans="1:51" ht="20.100000000000001" customHeight="1" x14ac:dyDescent="0.2">
      <c r="A94" s="13">
        <v>87</v>
      </c>
      <c r="B94" s="40" t="s">
        <v>751</v>
      </c>
      <c r="C94" s="40" t="s">
        <v>625</v>
      </c>
      <c r="D94" s="41" t="s">
        <v>290</v>
      </c>
      <c r="E94" s="41" t="s">
        <v>20</v>
      </c>
      <c r="F94" s="41"/>
      <c r="G94" s="41"/>
      <c r="H94" s="13" t="s">
        <v>7</v>
      </c>
      <c r="I94" s="13"/>
      <c r="J94" s="13"/>
      <c r="K94" s="13"/>
      <c r="L94" s="13"/>
      <c r="M94" s="13"/>
      <c r="N94" s="13"/>
      <c r="O94" s="40" t="s">
        <v>92</v>
      </c>
      <c r="P94" s="41" t="s">
        <v>117</v>
      </c>
      <c r="Q94" s="41" t="s">
        <v>117</v>
      </c>
      <c r="R94" s="41" t="s">
        <v>752</v>
      </c>
      <c r="S94" s="41" t="s">
        <v>106</v>
      </c>
      <c r="T94" s="13" t="s">
        <v>107</v>
      </c>
      <c r="U94" s="41" t="s">
        <v>204</v>
      </c>
      <c r="V94" s="41" t="s">
        <v>204</v>
      </c>
      <c r="W94" s="41" t="s">
        <v>607</v>
      </c>
      <c r="X94" s="41" t="s">
        <v>369</v>
      </c>
      <c r="Y94" s="41" t="s">
        <v>369</v>
      </c>
      <c r="Z94" s="13">
        <v>0</v>
      </c>
      <c r="AA94" s="13"/>
      <c r="AB94" s="13"/>
      <c r="AC94" s="13"/>
      <c r="AD94" s="40"/>
      <c r="AE94" s="40"/>
      <c r="AF94" s="40"/>
      <c r="AG94" s="40"/>
      <c r="AH94" s="40"/>
      <c r="AI94" s="40"/>
      <c r="AJ94" s="40"/>
      <c r="AK94" s="40"/>
      <c r="AL94" s="40"/>
      <c r="AM94" s="47"/>
      <c r="AN94" s="41" t="s">
        <v>744</v>
      </c>
      <c r="AO94" s="43">
        <v>182</v>
      </c>
      <c r="AP94" s="13">
        <v>14</v>
      </c>
      <c r="AQ94" s="40"/>
      <c r="AR94" s="40"/>
      <c r="AS94" s="44"/>
      <c r="AT94" s="44"/>
      <c r="AU94" s="44"/>
      <c r="AV94" s="44"/>
      <c r="AW94" s="12" t="str">
        <f t="shared" si="3"/>
        <v/>
      </c>
      <c r="AX94" s="12" t="str">
        <f t="shared" si="4"/>
        <v/>
      </c>
      <c r="AY94" s="45"/>
    </row>
    <row r="95" spans="1:51" ht="19.5" customHeight="1" x14ac:dyDescent="0.2">
      <c r="A95" s="13">
        <v>88</v>
      </c>
      <c r="B95" s="40" t="s">
        <v>753</v>
      </c>
      <c r="C95" s="40" t="s">
        <v>625</v>
      </c>
      <c r="D95" s="41" t="s">
        <v>754</v>
      </c>
      <c r="E95" s="41" t="s">
        <v>755</v>
      </c>
      <c r="F95" s="41" t="s">
        <v>481</v>
      </c>
      <c r="G95" s="41"/>
      <c r="H95" s="13" t="s">
        <v>83</v>
      </c>
      <c r="I95" s="13"/>
      <c r="J95" s="13"/>
      <c r="K95" s="13"/>
      <c r="L95" s="13"/>
      <c r="M95" s="13"/>
      <c r="N95" s="13"/>
      <c r="O95" s="40" t="s">
        <v>92</v>
      </c>
      <c r="P95" s="41"/>
      <c r="Q95" s="41" t="s">
        <v>226</v>
      </c>
      <c r="R95" s="41" t="s">
        <v>756</v>
      </c>
      <c r="S95" s="41" t="s">
        <v>369</v>
      </c>
      <c r="T95" s="13" t="s">
        <v>369</v>
      </c>
      <c r="U95" s="41"/>
      <c r="V95" s="41" t="s">
        <v>757</v>
      </c>
      <c r="W95" s="41" t="s">
        <v>758</v>
      </c>
      <c r="X95" s="41" t="s">
        <v>369</v>
      </c>
      <c r="Y95" s="41" t="s">
        <v>369</v>
      </c>
      <c r="Z95" s="13" t="s">
        <v>759</v>
      </c>
      <c r="AA95" s="13"/>
      <c r="AB95" s="13"/>
      <c r="AC95" s="13"/>
      <c r="AD95" s="40">
        <v>74</v>
      </c>
      <c r="AE95" s="40"/>
      <c r="AF95" s="40"/>
      <c r="AG95" s="40"/>
      <c r="AH95" s="40"/>
      <c r="AI95" s="40"/>
      <c r="AJ95" s="40"/>
      <c r="AK95" s="40"/>
      <c r="AL95" s="40"/>
      <c r="AM95" s="47"/>
      <c r="AN95" s="41"/>
      <c r="AO95" s="43">
        <v>113</v>
      </c>
      <c r="AP95" s="13">
        <v>6</v>
      </c>
      <c r="AQ95" s="40"/>
      <c r="AR95" s="40"/>
      <c r="AS95" s="6" t="s">
        <v>115</v>
      </c>
      <c r="AT95" s="6" t="s">
        <v>525</v>
      </c>
      <c r="AU95" s="6" t="s">
        <v>348</v>
      </c>
      <c r="AV95" s="6" t="s">
        <v>525</v>
      </c>
      <c r="AW95" s="12">
        <f t="shared" si="3"/>
        <v>36</v>
      </c>
      <c r="AX95" s="12" t="str">
        <f t="shared" si="4"/>
        <v/>
      </c>
      <c r="AY95" s="45"/>
    </row>
    <row r="96" spans="1:51" ht="19.5" customHeight="1" x14ac:dyDescent="0.2">
      <c r="A96" s="13">
        <v>89</v>
      </c>
      <c r="B96" s="40" t="s">
        <v>753</v>
      </c>
      <c r="C96" s="40" t="s">
        <v>625</v>
      </c>
      <c r="D96" s="41" t="s">
        <v>760</v>
      </c>
      <c r="E96" s="41" t="s">
        <v>10</v>
      </c>
      <c r="F96" s="41" t="s">
        <v>481</v>
      </c>
      <c r="G96" s="41"/>
      <c r="H96" s="13" t="s">
        <v>83</v>
      </c>
      <c r="I96" s="13"/>
      <c r="J96" s="13"/>
      <c r="K96" s="13"/>
      <c r="L96" s="13"/>
      <c r="M96" s="13"/>
      <c r="N96" s="13"/>
      <c r="O96" s="40" t="s">
        <v>67</v>
      </c>
      <c r="P96" s="41"/>
      <c r="Q96" s="41" t="s">
        <v>155</v>
      </c>
      <c r="R96" s="41" t="s">
        <v>761</v>
      </c>
      <c r="S96" s="41" t="s">
        <v>262</v>
      </c>
      <c r="T96" s="13" t="s">
        <v>70</v>
      </c>
      <c r="U96" s="41"/>
      <c r="V96" s="41" t="s">
        <v>324</v>
      </c>
      <c r="W96" s="41" t="s">
        <v>762</v>
      </c>
      <c r="X96" s="41" t="s">
        <v>262</v>
      </c>
      <c r="Y96" s="41" t="s">
        <v>70</v>
      </c>
      <c r="Z96" s="13" t="s">
        <v>763</v>
      </c>
      <c r="AA96" s="13"/>
      <c r="AB96" s="13"/>
      <c r="AC96" s="13"/>
      <c r="AD96" s="40">
        <v>192</v>
      </c>
      <c r="AE96" s="40"/>
      <c r="AF96" s="40"/>
      <c r="AG96" s="40"/>
      <c r="AH96" s="40"/>
      <c r="AI96" s="40"/>
      <c r="AJ96" s="40"/>
      <c r="AK96" s="40"/>
      <c r="AL96" s="40"/>
      <c r="AM96" s="47"/>
      <c r="AN96" s="41" t="s">
        <v>764</v>
      </c>
      <c r="AO96" s="43">
        <v>193</v>
      </c>
      <c r="AP96" s="13">
        <v>22</v>
      </c>
      <c r="AQ96" s="40"/>
      <c r="AR96" s="40"/>
      <c r="AS96" s="44" t="s">
        <v>115</v>
      </c>
      <c r="AT96" s="44" t="s">
        <v>525</v>
      </c>
      <c r="AU96" s="44" t="s">
        <v>547</v>
      </c>
      <c r="AV96" s="44" t="s">
        <v>496</v>
      </c>
      <c r="AW96" s="12">
        <f t="shared" si="3"/>
        <v>61</v>
      </c>
      <c r="AX96" s="12" t="str">
        <f t="shared" si="4"/>
        <v/>
      </c>
      <c r="AY96" s="45"/>
    </row>
    <row r="97" spans="1:51" ht="19.5" customHeight="1" x14ac:dyDescent="0.2">
      <c r="A97" s="13">
        <v>90</v>
      </c>
      <c r="B97" s="40" t="s">
        <v>765</v>
      </c>
      <c r="C97" s="40" t="s">
        <v>766</v>
      </c>
      <c r="D97" s="41" t="s">
        <v>656</v>
      </c>
      <c r="E97" s="41" t="s">
        <v>20</v>
      </c>
      <c r="F97" s="41"/>
      <c r="G97" s="41"/>
      <c r="H97" s="13" t="s">
        <v>7</v>
      </c>
      <c r="I97" s="13"/>
      <c r="J97" s="13"/>
      <c r="K97" s="13"/>
      <c r="L97" s="13"/>
      <c r="M97" s="13"/>
      <c r="N97" s="13"/>
      <c r="O97" s="40" t="s">
        <v>67</v>
      </c>
      <c r="P97" s="41" t="s">
        <v>140</v>
      </c>
      <c r="Q97" s="41" t="s">
        <v>140</v>
      </c>
      <c r="R97" s="41" t="s">
        <v>767</v>
      </c>
      <c r="S97" s="41" t="s">
        <v>69</v>
      </c>
      <c r="T97" s="13" t="s">
        <v>70</v>
      </c>
      <c r="U97" s="41" t="s">
        <v>338</v>
      </c>
      <c r="V97" s="41" t="s">
        <v>338</v>
      </c>
      <c r="W97" s="41" t="s">
        <v>768</v>
      </c>
      <c r="X97" s="41" t="s">
        <v>142</v>
      </c>
      <c r="Y97" s="41" t="s">
        <v>70</v>
      </c>
      <c r="Z97" s="13">
        <v>0</v>
      </c>
      <c r="AA97" s="13"/>
      <c r="AB97" s="13"/>
      <c r="AC97" s="13"/>
      <c r="AD97" s="40">
        <v>174</v>
      </c>
      <c r="AE97" s="40"/>
      <c r="AF97" s="40"/>
      <c r="AG97" s="40"/>
      <c r="AH97" s="40"/>
      <c r="AI97" s="40"/>
      <c r="AJ97" s="40"/>
      <c r="AK97" s="40"/>
      <c r="AL97" s="40"/>
      <c r="AM97" s="47"/>
      <c r="AN97" s="41" t="s">
        <v>751</v>
      </c>
      <c r="AO97" s="43">
        <v>204</v>
      </c>
      <c r="AP97" s="13">
        <v>11</v>
      </c>
      <c r="AQ97" s="40"/>
      <c r="AR97" s="40"/>
      <c r="AS97" s="6"/>
      <c r="AT97" s="6"/>
      <c r="AU97" s="6"/>
      <c r="AV97" s="6"/>
      <c r="AW97" s="12" t="str">
        <f t="shared" si="3"/>
        <v/>
      </c>
      <c r="AX97" s="12" t="str">
        <f t="shared" si="4"/>
        <v/>
      </c>
      <c r="AY97" s="45"/>
    </row>
    <row r="98" spans="1:51" ht="19.5" customHeight="1" x14ac:dyDescent="0.2">
      <c r="A98" s="13">
        <v>91</v>
      </c>
      <c r="B98" s="40" t="s">
        <v>765</v>
      </c>
      <c r="C98" s="40" t="s">
        <v>766</v>
      </c>
      <c r="D98" s="41" t="s">
        <v>754</v>
      </c>
      <c r="E98" s="41" t="s">
        <v>755</v>
      </c>
      <c r="F98" s="41"/>
      <c r="G98" s="41"/>
      <c r="H98" s="13" t="s">
        <v>7</v>
      </c>
      <c r="I98" s="13"/>
      <c r="J98" s="13"/>
      <c r="K98" s="13"/>
      <c r="L98" s="13"/>
      <c r="M98" s="13"/>
      <c r="N98" s="13"/>
      <c r="O98" s="40" t="s">
        <v>92</v>
      </c>
      <c r="P98" s="35" t="s">
        <v>226</v>
      </c>
      <c r="Q98" s="35" t="s">
        <v>769</v>
      </c>
      <c r="R98" s="41" t="s">
        <v>770</v>
      </c>
      <c r="S98" s="41" t="s">
        <v>262</v>
      </c>
      <c r="T98" s="13" t="s">
        <v>70</v>
      </c>
      <c r="U98" s="41" t="s">
        <v>757</v>
      </c>
      <c r="V98" s="41" t="s">
        <v>757</v>
      </c>
      <c r="W98" s="41" t="s">
        <v>771</v>
      </c>
      <c r="X98" s="41" t="s">
        <v>106</v>
      </c>
      <c r="Y98" s="41" t="s">
        <v>107</v>
      </c>
      <c r="Z98" s="13">
        <v>0</v>
      </c>
      <c r="AA98" s="13"/>
      <c r="AB98" s="13"/>
      <c r="AC98" s="13"/>
      <c r="AD98" s="40"/>
      <c r="AE98" s="40"/>
      <c r="AF98" s="40"/>
      <c r="AG98" s="40"/>
      <c r="AH98" s="40"/>
      <c r="AI98" s="40"/>
      <c r="AJ98" s="40"/>
      <c r="AK98" s="40"/>
      <c r="AL98" s="40"/>
      <c r="AM98" s="33" t="s">
        <v>158</v>
      </c>
      <c r="AN98" s="41" t="s">
        <v>751</v>
      </c>
      <c r="AO98" s="41"/>
      <c r="AP98" s="13"/>
      <c r="AQ98" s="40"/>
      <c r="AR98" s="40"/>
      <c r="AS98" s="44"/>
      <c r="AT98" s="44"/>
      <c r="AU98" s="44"/>
      <c r="AV98" s="44"/>
      <c r="AW98" s="12" t="str">
        <f t="shared" si="3"/>
        <v/>
      </c>
      <c r="AX98" s="12" t="str">
        <f t="shared" si="4"/>
        <v/>
      </c>
      <c r="AY98" s="45"/>
    </row>
    <row r="99" spans="1:51" ht="20.100000000000001" customHeight="1" x14ac:dyDescent="0.2">
      <c r="A99" s="13">
        <v>92</v>
      </c>
      <c r="B99" s="40" t="s">
        <v>772</v>
      </c>
      <c r="C99" s="40" t="s">
        <v>766</v>
      </c>
      <c r="D99" s="41" t="s">
        <v>773</v>
      </c>
      <c r="E99" s="41" t="s">
        <v>66</v>
      </c>
      <c r="F99" s="41" t="s">
        <v>481</v>
      </c>
      <c r="G99" s="41"/>
      <c r="H99" s="13" t="s">
        <v>83</v>
      </c>
      <c r="I99" s="13"/>
      <c r="J99" s="13"/>
      <c r="K99" s="13"/>
      <c r="L99" s="13"/>
      <c r="M99" s="13"/>
      <c r="N99" s="13"/>
      <c r="O99" s="40" t="s">
        <v>67</v>
      </c>
      <c r="P99" s="41"/>
      <c r="Q99" s="41" t="s">
        <v>334</v>
      </c>
      <c r="R99" s="41"/>
      <c r="S99" s="41"/>
      <c r="T99" s="13"/>
      <c r="U99" s="41"/>
      <c r="V99" s="41" t="s">
        <v>224</v>
      </c>
      <c r="W99" s="41"/>
      <c r="X99" s="41"/>
      <c r="Y99" s="41"/>
      <c r="Z99" s="13"/>
      <c r="AA99" s="13"/>
      <c r="AB99" s="13"/>
      <c r="AC99" s="13"/>
      <c r="AD99" s="40"/>
      <c r="AE99" s="40"/>
      <c r="AF99" s="40"/>
      <c r="AG99" s="40"/>
      <c r="AH99" s="40"/>
      <c r="AI99" s="40"/>
      <c r="AJ99" s="40"/>
      <c r="AK99" s="40"/>
      <c r="AL99" s="40"/>
      <c r="AM99" s="41"/>
      <c r="AN99" s="41"/>
      <c r="AO99" s="41"/>
      <c r="AP99" s="13"/>
      <c r="AQ99" s="40"/>
      <c r="AR99" s="40"/>
      <c r="AS99" s="6"/>
      <c r="AT99" s="6"/>
      <c r="AU99" s="6"/>
      <c r="AV99" s="6"/>
      <c r="AW99" s="12" t="str">
        <f t="shared" si="3"/>
        <v/>
      </c>
      <c r="AX99" s="12" t="str">
        <f t="shared" si="4"/>
        <v/>
      </c>
      <c r="AY99" s="45"/>
    </row>
    <row r="100" spans="1:51" ht="20.100000000000001" customHeight="1" x14ac:dyDescent="0.2">
      <c r="A100" s="13">
        <v>93</v>
      </c>
      <c r="B100" s="40" t="s">
        <v>774</v>
      </c>
      <c r="C100" s="40" t="s">
        <v>766</v>
      </c>
      <c r="D100" s="41" t="s">
        <v>773</v>
      </c>
      <c r="E100" s="41" t="s">
        <v>66</v>
      </c>
      <c r="F100" s="41"/>
      <c r="G100" s="41"/>
      <c r="H100" s="13" t="s">
        <v>7</v>
      </c>
      <c r="I100" s="13"/>
      <c r="J100" s="13"/>
      <c r="K100" s="13"/>
      <c r="L100" s="13"/>
      <c r="M100" s="13"/>
      <c r="N100" s="13"/>
      <c r="O100" s="40" t="s">
        <v>92</v>
      </c>
      <c r="P100" s="41" t="s">
        <v>334</v>
      </c>
      <c r="Q100" s="41" t="s">
        <v>334</v>
      </c>
      <c r="R100" s="41" t="s">
        <v>775</v>
      </c>
      <c r="S100" s="41" t="s">
        <v>106</v>
      </c>
      <c r="T100" s="13" t="s">
        <v>107</v>
      </c>
      <c r="U100" s="35" t="s">
        <v>224</v>
      </c>
      <c r="V100" s="35" t="s">
        <v>336</v>
      </c>
      <c r="W100" s="41" t="s">
        <v>776</v>
      </c>
      <c r="X100" s="41" t="s">
        <v>142</v>
      </c>
      <c r="Y100" s="41" t="s">
        <v>70</v>
      </c>
      <c r="Z100" s="13">
        <v>0</v>
      </c>
      <c r="AA100" s="13"/>
      <c r="AB100" s="13"/>
      <c r="AC100" s="13"/>
      <c r="AD100" s="40"/>
      <c r="AE100" s="40"/>
      <c r="AF100" s="40"/>
      <c r="AG100" s="40"/>
      <c r="AH100" s="40"/>
      <c r="AI100" s="40"/>
      <c r="AJ100" s="40"/>
      <c r="AK100" s="40"/>
      <c r="AL100" s="40"/>
      <c r="AM100" s="33" t="s">
        <v>158</v>
      </c>
      <c r="AN100" s="41" t="s">
        <v>777</v>
      </c>
      <c r="AO100" s="41"/>
      <c r="AP100" s="13"/>
      <c r="AQ100" s="40"/>
      <c r="AR100" s="40"/>
      <c r="AS100" s="44"/>
      <c r="AT100" s="44"/>
      <c r="AU100" s="44"/>
      <c r="AV100" s="44"/>
      <c r="AW100" s="12" t="str">
        <f t="shared" si="3"/>
        <v/>
      </c>
      <c r="AX100" s="12" t="str">
        <f t="shared" si="4"/>
        <v/>
      </c>
      <c r="AY100" s="45"/>
    </row>
    <row r="101" spans="1:51" ht="20.100000000000001" customHeight="1" x14ac:dyDescent="0.2">
      <c r="A101" s="13">
        <v>94</v>
      </c>
      <c r="B101" s="40" t="s">
        <v>778</v>
      </c>
      <c r="C101" s="40" t="s">
        <v>766</v>
      </c>
      <c r="D101" s="41" t="s">
        <v>779</v>
      </c>
      <c r="E101" s="41" t="s">
        <v>9</v>
      </c>
      <c r="F101" s="41" t="s">
        <v>481</v>
      </c>
      <c r="G101" s="41"/>
      <c r="H101" s="13" t="s">
        <v>83</v>
      </c>
      <c r="I101" s="13"/>
      <c r="J101" s="13"/>
      <c r="K101" s="13"/>
      <c r="L101" s="13"/>
      <c r="M101" s="13"/>
      <c r="N101" s="13"/>
      <c r="O101" s="40" t="s">
        <v>93</v>
      </c>
      <c r="P101" s="41"/>
      <c r="Q101" s="41" t="s">
        <v>155</v>
      </c>
      <c r="R101" s="41"/>
      <c r="S101" s="41"/>
      <c r="T101" s="13"/>
      <c r="U101" s="41"/>
      <c r="V101" s="41" t="s">
        <v>167</v>
      </c>
      <c r="W101" s="41"/>
      <c r="X101" s="41"/>
      <c r="Y101" s="41"/>
      <c r="Z101" s="13"/>
      <c r="AA101" s="13"/>
      <c r="AB101" s="13"/>
      <c r="AC101" s="13"/>
      <c r="AD101" s="40"/>
      <c r="AE101" s="40"/>
      <c r="AF101" s="40"/>
      <c r="AG101" s="40"/>
      <c r="AH101" s="40"/>
      <c r="AI101" s="40"/>
      <c r="AJ101" s="40"/>
      <c r="AK101" s="40"/>
      <c r="AL101" s="40"/>
      <c r="AM101" s="41"/>
      <c r="AN101" s="41"/>
      <c r="AO101" s="41"/>
      <c r="AP101" s="13"/>
      <c r="AQ101" s="40"/>
      <c r="AR101" s="40"/>
      <c r="AS101" s="6"/>
      <c r="AT101" s="6"/>
      <c r="AU101" s="6"/>
      <c r="AV101" s="6"/>
      <c r="AW101" s="12" t="str">
        <f t="shared" si="3"/>
        <v/>
      </c>
      <c r="AX101" s="12" t="str">
        <f t="shared" si="4"/>
        <v/>
      </c>
      <c r="AY101" s="45"/>
    </row>
    <row r="102" spans="1:51" ht="20.100000000000001" customHeight="1" x14ac:dyDescent="0.2">
      <c r="A102" s="13">
        <v>95</v>
      </c>
      <c r="B102" s="40" t="s">
        <v>778</v>
      </c>
      <c r="C102" s="40" t="s">
        <v>766</v>
      </c>
      <c r="D102" s="41" t="s">
        <v>779</v>
      </c>
      <c r="E102" s="41" t="s">
        <v>9</v>
      </c>
      <c r="F102" s="41"/>
      <c r="G102" s="41"/>
      <c r="H102" s="13" t="s">
        <v>7</v>
      </c>
      <c r="I102" s="13"/>
      <c r="J102" s="13"/>
      <c r="K102" s="13"/>
      <c r="L102" s="13"/>
      <c r="M102" s="13"/>
      <c r="N102" s="13"/>
      <c r="O102" s="40" t="s">
        <v>93</v>
      </c>
      <c r="P102" s="41" t="s">
        <v>155</v>
      </c>
      <c r="Q102" s="41" t="s">
        <v>155</v>
      </c>
      <c r="R102" s="41" t="s">
        <v>780</v>
      </c>
      <c r="S102" s="41" t="s">
        <v>106</v>
      </c>
      <c r="T102" s="13" t="s">
        <v>107</v>
      </c>
      <c r="U102" s="35" t="s">
        <v>167</v>
      </c>
      <c r="V102" s="35" t="s">
        <v>324</v>
      </c>
      <c r="W102" s="41" t="s">
        <v>333</v>
      </c>
      <c r="X102" s="41" t="s">
        <v>106</v>
      </c>
      <c r="Y102" s="41" t="s">
        <v>107</v>
      </c>
      <c r="Z102" s="13">
        <v>0</v>
      </c>
      <c r="AA102" s="13"/>
      <c r="AB102" s="13"/>
      <c r="AC102" s="13"/>
      <c r="AD102" s="40">
        <v>192</v>
      </c>
      <c r="AE102" s="40"/>
      <c r="AF102" s="40"/>
      <c r="AG102" s="40"/>
      <c r="AH102" s="40"/>
      <c r="AI102" s="40"/>
      <c r="AJ102" s="40"/>
      <c r="AK102" s="40"/>
      <c r="AL102" s="40"/>
      <c r="AM102" s="33" t="s">
        <v>158</v>
      </c>
      <c r="AN102" s="41" t="s">
        <v>772</v>
      </c>
      <c r="AO102" s="41"/>
      <c r="AP102" s="13"/>
      <c r="AQ102" s="40"/>
      <c r="AR102" s="40"/>
      <c r="AS102" s="44"/>
      <c r="AT102" s="44"/>
      <c r="AU102" s="44"/>
      <c r="AV102" s="44"/>
      <c r="AW102" s="12" t="str">
        <f t="shared" si="3"/>
        <v/>
      </c>
      <c r="AX102" s="12" t="str">
        <f t="shared" si="4"/>
        <v/>
      </c>
      <c r="AY102" s="45"/>
    </row>
    <row r="103" spans="1:51" ht="20.100000000000001" customHeight="1" x14ac:dyDescent="0.2">
      <c r="A103" s="13">
        <v>96</v>
      </c>
      <c r="B103" s="40" t="s">
        <v>781</v>
      </c>
      <c r="C103" s="40" t="s">
        <v>766</v>
      </c>
      <c r="D103" s="41" t="s">
        <v>782</v>
      </c>
      <c r="E103" s="41" t="s">
        <v>66</v>
      </c>
      <c r="F103" s="41" t="s">
        <v>481</v>
      </c>
      <c r="G103" s="41"/>
      <c r="H103" s="13" t="s">
        <v>83</v>
      </c>
      <c r="I103" s="13"/>
      <c r="J103" s="13"/>
      <c r="K103" s="13"/>
      <c r="L103" s="13"/>
      <c r="M103" s="13"/>
      <c r="N103" s="13"/>
      <c r="O103" s="40" t="s">
        <v>92</v>
      </c>
      <c r="P103" s="41"/>
      <c r="Q103" s="41" t="s">
        <v>68</v>
      </c>
      <c r="R103" s="41"/>
      <c r="S103" s="41"/>
      <c r="T103" s="13"/>
      <c r="U103" s="41"/>
      <c r="V103" s="41" t="s">
        <v>263</v>
      </c>
      <c r="W103" s="41"/>
      <c r="X103" s="41"/>
      <c r="Y103" s="41"/>
      <c r="Z103" s="13"/>
      <c r="AA103" s="13"/>
      <c r="AB103" s="13"/>
      <c r="AC103" s="13"/>
      <c r="AD103" s="40">
        <v>198</v>
      </c>
      <c r="AE103" s="40"/>
      <c r="AF103" s="40"/>
      <c r="AG103" s="40"/>
      <c r="AH103" s="40"/>
      <c r="AI103" s="40"/>
      <c r="AJ103" s="40"/>
      <c r="AK103" s="40"/>
      <c r="AL103" s="40"/>
      <c r="AM103" s="47"/>
      <c r="AN103" s="41"/>
      <c r="AO103" s="41"/>
      <c r="AP103" s="13"/>
      <c r="AQ103" s="40"/>
      <c r="AR103" s="40"/>
      <c r="AS103" s="6"/>
      <c r="AT103" s="6"/>
      <c r="AU103" s="6"/>
      <c r="AV103" s="6"/>
      <c r="AW103" s="12" t="str">
        <f t="shared" si="3"/>
        <v/>
      </c>
      <c r="AX103" s="12" t="str">
        <f t="shared" si="4"/>
        <v/>
      </c>
      <c r="AY103" s="45"/>
    </row>
    <row r="104" spans="1:51" ht="20.100000000000001" customHeight="1" x14ac:dyDescent="0.2">
      <c r="A104" s="13">
        <v>97</v>
      </c>
      <c r="B104" s="40" t="s">
        <v>781</v>
      </c>
      <c r="C104" s="40" t="s">
        <v>766</v>
      </c>
      <c r="D104" s="41" t="s">
        <v>782</v>
      </c>
      <c r="E104" s="41" t="s">
        <v>66</v>
      </c>
      <c r="F104" s="41"/>
      <c r="G104" s="41"/>
      <c r="H104" s="13" t="s">
        <v>7</v>
      </c>
      <c r="I104" s="13"/>
      <c r="J104" s="13"/>
      <c r="K104" s="13"/>
      <c r="L104" s="13"/>
      <c r="M104" s="13"/>
      <c r="N104" s="13"/>
      <c r="O104" s="40" t="s">
        <v>92</v>
      </c>
      <c r="P104" s="41" t="s">
        <v>68</v>
      </c>
      <c r="Q104" s="41" t="s">
        <v>68</v>
      </c>
      <c r="R104" s="41" t="s">
        <v>783</v>
      </c>
      <c r="S104" s="41" t="s">
        <v>69</v>
      </c>
      <c r="T104" s="13" t="s">
        <v>70</v>
      </c>
      <c r="U104" s="41" t="s">
        <v>263</v>
      </c>
      <c r="V104" s="41" t="s">
        <v>263</v>
      </c>
      <c r="W104" s="41" t="s">
        <v>784</v>
      </c>
      <c r="X104" s="41" t="s">
        <v>69</v>
      </c>
      <c r="Y104" s="41" t="s">
        <v>70</v>
      </c>
      <c r="Z104" s="13">
        <v>0</v>
      </c>
      <c r="AA104" s="13"/>
      <c r="AB104" s="13"/>
      <c r="AC104" s="13"/>
      <c r="AD104" s="40">
        <v>198</v>
      </c>
      <c r="AE104" s="40"/>
      <c r="AF104" s="40"/>
      <c r="AG104" s="40"/>
      <c r="AH104" s="40"/>
      <c r="AI104" s="40"/>
      <c r="AJ104" s="40"/>
      <c r="AK104" s="40"/>
      <c r="AL104" s="40"/>
      <c r="AM104" s="47"/>
      <c r="AN104" s="41" t="s">
        <v>765</v>
      </c>
      <c r="AO104" s="41"/>
      <c r="AP104" s="13"/>
      <c r="AQ104" s="40"/>
      <c r="AR104" s="40"/>
      <c r="AS104" s="44"/>
      <c r="AT104" s="44"/>
      <c r="AU104" s="44"/>
      <c r="AV104" s="44"/>
      <c r="AW104" s="12" t="str">
        <f t="shared" si="3"/>
        <v/>
      </c>
      <c r="AX104" s="12" t="str">
        <f t="shared" si="4"/>
        <v/>
      </c>
      <c r="AY104" s="45"/>
    </row>
    <row r="105" spans="1:51" s="21" customFormat="1" ht="20.100000000000001" customHeight="1" x14ac:dyDescent="0.2">
      <c r="A105" s="13">
        <v>98</v>
      </c>
      <c r="B105" s="29" t="s">
        <v>781</v>
      </c>
      <c r="C105" s="29" t="s">
        <v>766</v>
      </c>
      <c r="D105" s="30" t="s">
        <v>785</v>
      </c>
      <c r="E105" s="30" t="s">
        <v>6</v>
      </c>
      <c r="F105" s="30" t="s">
        <v>481</v>
      </c>
      <c r="G105" s="30"/>
      <c r="H105" s="20" t="s">
        <v>83</v>
      </c>
      <c r="I105" s="20"/>
      <c r="J105" s="20"/>
      <c r="K105" s="20"/>
      <c r="L105" s="20"/>
      <c r="M105" s="20"/>
      <c r="N105" s="20"/>
      <c r="O105" s="29" t="s">
        <v>67</v>
      </c>
      <c r="P105" s="30"/>
      <c r="Q105" s="30" t="s">
        <v>155</v>
      </c>
      <c r="R105" s="30" t="s">
        <v>786</v>
      </c>
      <c r="S105" s="30" t="s">
        <v>119</v>
      </c>
      <c r="T105" s="20" t="s">
        <v>107</v>
      </c>
      <c r="U105" s="30"/>
      <c r="V105" s="30" t="s">
        <v>156</v>
      </c>
      <c r="W105" s="30" t="s">
        <v>787</v>
      </c>
      <c r="X105" s="30" t="s">
        <v>119</v>
      </c>
      <c r="Y105" s="30" t="s">
        <v>107</v>
      </c>
      <c r="Z105" s="20" t="s">
        <v>788</v>
      </c>
      <c r="AA105" s="20"/>
      <c r="AB105" s="20"/>
      <c r="AC105" s="20"/>
      <c r="AD105" s="29">
        <v>204</v>
      </c>
      <c r="AE105" s="29"/>
      <c r="AF105" s="29"/>
      <c r="AG105" s="29"/>
      <c r="AH105" s="29"/>
      <c r="AI105" s="29"/>
      <c r="AJ105" s="29"/>
      <c r="AK105" s="29"/>
      <c r="AL105" s="29"/>
      <c r="AM105" s="39"/>
      <c r="AN105" s="30" t="s">
        <v>789</v>
      </c>
      <c r="AO105" s="36">
        <v>253</v>
      </c>
      <c r="AP105" s="20">
        <v>16.2</v>
      </c>
      <c r="AQ105" s="29"/>
      <c r="AR105" s="29"/>
      <c r="AS105" s="30" t="s">
        <v>115</v>
      </c>
      <c r="AT105" s="30" t="s">
        <v>458</v>
      </c>
      <c r="AU105" s="30" t="s">
        <v>136</v>
      </c>
      <c r="AV105" s="30" t="s">
        <v>506</v>
      </c>
      <c r="AW105" s="31">
        <f t="shared" si="3"/>
        <v>11</v>
      </c>
      <c r="AX105" s="31">
        <f t="shared" si="4"/>
        <v>11</v>
      </c>
      <c r="AY105" s="32"/>
    </row>
    <row r="106" spans="1:51" ht="20.100000000000001" customHeight="1" x14ac:dyDescent="0.2">
      <c r="A106" s="13">
        <v>99</v>
      </c>
      <c r="B106" s="40" t="s">
        <v>781</v>
      </c>
      <c r="C106" s="40" t="s">
        <v>766</v>
      </c>
      <c r="D106" s="41" t="s">
        <v>790</v>
      </c>
      <c r="E106" s="41" t="s">
        <v>6</v>
      </c>
      <c r="F106" s="41" t="s">
        <v>185</v>
      </c>
      <c r="G106" s="41"/>
      <c r="H106" s="13" t="s">
        <v>83</v>
      </c>
      <c r="I106" s="13"/>
      <c r="J106" s="13"/>
      <c r="K106" s="13"/>
      <c r="L106" s="13"/>
      <c r="M106" s="13"/>
      <c r="N106" s="13"/>
      <c r="O106" s="40" t="s">
        <v>67</v>
      </c>
      <c r="P106" s="41"/>
      <c r="Q106" s="41" t="s">
        <v>68</v>
      </c>
      <c r="R106" s="41" t="s">
        <v>791</v>
      </c>
      <c r="S106" s="41" t="s">
        <v>142</v>
      </c>
      <c r="T106" s="13" t="s">
        <v>70</v>
      </c>
      <c r="U106" s="41"/>
      <c r="V106" s="41" t="s">
        <v>263</v>
      </c>
      <c r="W106" s="41" t="s">
        <v>792</v>
      </c>
      <c r="X106" s="41" t="s">
        <v>142</v>
      </c>
      <c r="Y106" s="41" t="s">
        <v>70</v>
      </c>
      <c r="Z106" s="13" t="s">
        <v>793</v>
      </c>
      <c r="AA106" s="13"/>
      <c r="AB106" s="13"/>
      <c r="AC106" s="13"/>
      <c r="AD106" s="40">
        <v>222</v>
      </c>
      <c r="AE106" s="40"/>
      <c r="AF106" s="40"/>
      <c r="AG106" s="40"/>
      <c r="AH106" s="40"/>
      <c r="AI106" s="40"/>
      <c r="AJ106" s="40"/>
      <c r="AK106" s="40"/>
      <c r="AL106" s="40"/>
      <c r="AM106" s="47"/>
      <c r="AN106" s="41" t="s">
        <v>793</v>
      </c>
      <c r="AO106" s="43">
        <v>194</v>
      </c>
      <c r="AP106" s="13">
        <v>19.899999999999999</v>
      </c>
      <c r="AQ106" s="40"/>
      <c r="AR106" s="40"/>
      <c r="AS106" s="44" t="s">
        <v>115</v>
      </c>
      <c r="AT106" s="44" t="s">
        <v>458</v>
      </c>
      <c r="AU106" s="44" t="s">
        <v>547</v>
      </c>
      <c r="AV106" s="44" t="s">
        <v>458</v>
      </c>
      <c r="AW106" s="12">
        <f t="shared" si="3"/>
        <v>60</v>
      </c>
      <c r="AX106" s="12" t="str">
        <f t="shared" si="4"/>
        <v/>
      </c>
      <c r="AY106" s="45"/>
    </row>
    <row r="107" spans="1:51" ht="20.100000000000001" customHeight="1" x14ac:dyDescent="0.2">
      <c r="A107" s="13">
        <v>100</v>
      </c>
      <c r="B107" s="40" t="s">
        <v>781</v>
      </c>
      <c r="C107" s="40" t="s">
        <v>766</v>
      </c>
      <c r="D107" s="41" t="s">
        <v>794</v>
      </c>
      <c r="E107" s="41" t="s">
        <v>8</v>
      </c>
      <c r="F107" s="41"/>
      <c r="G107" s="41"/>
      <c r="H107" s="13" t="s">
        <v>7</v>
      </c>
      <c r="I107" s="13"/>
      <c r="J107" s="13"/>
      <c r="K107" s="13"/>
      <c r="L107" s="13"/>
      <c r="M107" s="13"/>
      <c r="N107" s="13"/>
      <c r="O107" s="40" t="s">
        <v>92</v>
      </c>
      <c r="P107" s="41" t="s">
        <v>68</v>
      </c>
      <c r="Q107" s="41" t="s">
        <v>68</v>
      </c>
      <c r="R107" s="41" t="s">
        <v>691</v>
      </c>
      <c r="S107" s="41" t="s">
        <v>106</v>
      </c>
      <c r="T107" s="13" t="s">
        <v>107</v>
      </c>
      <c r="U107" s="41" t="s">
        <v>332</v>
      </c>
      <c r="V107" s="41" t="s">
        <v>332</v>
      </c>
      <c r="W107" s="41" t="s">
        <v>795</v>
      </c>
      <c r="X107" s="41" t="s">
        <v>106</v>
      </c>
      <c r="Y107" s="41" t="s">
        <v>107</v>
      </c>
      <c r="Z107" s="13">
        <v>0</v>
      </c>
      <c r="AA107" s="13"/>
      <c r="AB107" s="13"/>
      <c r="AC107" s="13"/>
      <c r="AD107" s="40">
        <v>144</v>
      </c>
      <c r="AE107" s="40"/>
      <c r="AF107" s="40"/>
      <c r="AG107" s="40"/>
      <c r="AH107" s="40"/>
      <c r="AI107" s="40"/>
      <c r="AJ107" s="40"/>
      <c r="AK107" s="40"/>
      <c r="AL107" s="40"/>
      <c r="AM107" s="47"/>
      <c r="AN107" s="41" t="s">
        <v>429</v>
      </c>
      <c r="AO107" s="43">
        <v>164</v>
      </c>
      <c r="AP107" s="13">
        <v>25</v>
      </c>
      <c r="AQ107" s="40"/>
      <c r="AR107" s="40"/>
      <c r="AS107" s="6"/>
      <c r="AT107" s="6"/>
      <c r="AU107" s="6"/>
      <c r="AV107" s="6"/>
      <c r="AW107" s="12" t="str">
        <f t="shared" si="3"/>
        <v/>
      </c>
      <c r="AX107" s="12" t="str">
        <f t="shared" si="4"/>
        <v/>
      </c>
      <c r="AY107" s="45"/>
    </row>
    <row r="108" spans="1:51" s="21" customFormat="1" ht="20.100000000000001" customHeight="1" x14ac:dyDescent="0.2">
      <c r="A108" s="13">
        <v>101</v>
      </c>
      <c r="B108" s="29" t="s">
        <v>796</v>
      </c>
      <c r="C108" s="29" t="s">
        <v>766</v>
      </c>
      <c r="D108" s="30" t="s">
        <v>754</v>
      </c>
      <c r="E108" s="30" t="s">
        <v>755</v>
      </c>
      <c r="F108" s="30" t="s">
        <v>481</v>
      </c>
      <c r="G108" s="30"/>
      <c r="H108" s="20" t="s">
        <v>83</v>
      </c>
      <c r="I108" s="20"/>
      <c r="J108" s="20"/>
      <c r="K108" s="20"/>
      <c r="L108" s="20"/>
      <c r="M108" s="20"/>
      <c r="N108" s="20"/>
      <c r="O108" s="29" t="s">
        <v>92</v>
      </c>
      <c r="P108" s="30"/>
      <c r="Q108" s="30" t="s">
        <v>797</v>
      </c>
      <c r="R108" s="30" t="s">
        <v>770</v>
      </c>
      <c r="S108" s="30" t="s">
        <v>142</v>
      </c>
      <c r="T108" s="20" t="s">
        <v>70</v>
      </c>
      <c r="U108" s="30"/>
      <c r="V108" s="30" t="s">
        <v>757</v>
      </c>
      <c r="W108" s="30" t="s">
        <v>771</v>
      </c>
      <c r="X108" s="30" t="s">
        <v>119</v>
      </c>
      <c r="Y108" s="30" t="s">
        <v>107</v>
      </c>
      <c r="Z108" s="20" t="s">
        <v>765</v>
      </c>
      <c r="AA108" s="20"/>
      <c r="AB108" s="20"/>
      <c r="AC108" s="20"/>
      <c r="AD108" s="29">
        <v>74</v>
      </c>
      <c r="AE108" s="29"/>
      <c r="AF108" s="29"/>
      <c r="AG108" s="29"/>
      <c r="AH108" s="29"/>
      <c r="AI108" s="29"/>
      <c r="AJ108" s="29"/>
      <c r="AK108" s="29"/>
      <c r="AL108" s="29"/>
      <c r="AM108" s="39"/>
      <c r="AN108" s="30" t="s">
        <v>798</v>
      </c>
      <c r="AO108" s="36">
        <v>111</v>
      </c>
      <c r="AP108" s="20">
        <v>19</v>
      </c>
      <c r="AQ108" s="29"/>
      <c r="AR108" s="29"/>
      <c r="AS108" s="30" t="s">
        <v>115</v>
      </c>
      <c r="AT108" s="30" t="s">
        <v>458</v>
      </c>
      <c r="AU108" s="30" t="s">
        <v>115</v>
      </c>
      <c r="AV108" s="30" t="s">
        <v>458</v>
      </c>
      <c r="AW108" s="31">
        <f t="shared" si="3"/>
        <v>0</v>
      </c>
      <c r="AX108" s="31">
        <f t="shared" si="4"/>
        <v>0</v>
      </c>
      <c r="AY108" s="32"/>
    </row>
    <row r="109" spans="1:51" ht="20.100000000000001" customHeight="1" x14ac:dyDescent="0.2">
      <c r="A109" s="13">
        <v>102</v>
      </c>
      <c r="B109" s="40" t="s">
        <v>799</v>
      </c>
      <c r="C109" s="40" t="s">
        <v>766</v>
      </c>
      <c r="D109" s="41" t="s">
        <v>754</v>
      </c>
      <c r="E109" s="41" t="s">
        <v>755</v>
      </c>
      <c r="F109" s="41"/>
      <c r="G109" s="41"/>
      <c r="H109" s="13" t="s">
        <v>7</v>
      </c>
      <c r="I109" s="13"/>
      <c r="J109" s="13"/>
      <c r="K109" s="13"/>
      <c r="L109" s="13"/>
      <c r="M109" s="13"/>
      <c r="N109" s="13"/>
      <c r="O109" s="40" t="s">
        <v>92</v>
      </c>
      <c r="P109" s="35" t="s">
        <v>797</v>
      </c>
      <c r="Q109" s="35" t="s">
        <v>769</v>
      </c>
      <c r="R109" s="41" t="s">
        <v>800</v>
      </c>
      <c r="S109" s="41" t="s">
        <v>262</v>
      </c>
      <c r="T109" s="13" t="s">
        <v>70</v>
      </c>
      <c r="U109" s="41" t="s">
        <v>757</v>
      </c>
      <c r="V109" s="41" t="s">
        <v>757</v>
      </c>
      <c r="W109" s="41" t="s">
        <v>801</v>
      </c>
      <c r="X109" s="41" t="s">
        <v>106</v>
      </c>
      <c r="Y109" s="41" t="s">
        <v>107</v>
      </c>
      <c r="Z109" s="13">
        <v>0</v>
      </c>
      <c r="AA109" s="13"/>
      <c r="AB109" s="13"/>
      <c r="AC109" s="13"/>
      <c r="AD109" s="40">
        <v>74</v>
      </c>
      <c r="AE109" s="40"/>
      <c r="AF109" s="40"/>
      <c r="AG109" s="40"/>
      <c r="AH109" s="40"/>
      <c r="AI109" s="40"/>
      <c r="AJ109" s="40"/>
      <c r="AK109" s="40"/>
      <c r="AL109" s="40"/>
      <c r="AM109" s="33" t="s">
        <v>158</v>
      </c>
      <c r="AN109" s="41" t="s">
        <v>781</v>
      </c>
      <c r="AO109" s="43">
        <v>111</v>
      </c>
      <c r="AP109" s="13">
        <v>6</v>
      </c>
      <c r="AQ109" s="40"/>
      <c r="AR109" s="40"/>
      <c r="AS109" s="6"/>
      <c r="AT109" s="6"/>
      <c r="AU109" s="6"/>
      <c r="AV109" s="6"/>
      <c r="AW109" s="12" t="str">
        <f t="shared" si="3"/>
        <v/>
      </c>
      <c r="AX109" s="12" t="str">
        <f t="shared" si="4"/>
        <v/>
      </c>
      <c r="AY109" s="45"/>
    </row>
    <row r="110" spans="1:51" ht="20.100000000000001" customHeight="1" x14ac:dyDescent="0.2">
      <c r="A110" s="13">
        <v>103</v>
      </c>
      <c r="B110" s="40" t="s">
        <v>799</v>
      </c>
      <c r="C110" s="40" t="s">
        <v>766</v>
      </c>
      <c r="D110" s="41" t="s">
        <v>802</v>
      </c>
      <c r="E110" s="41" t="s">
        <v>243</v>
      </c>
      <c r="F110" s="41" t="s">
        <v>174</v>
      </c>
      <c r="G110" s="41"/>
      <c r="H110" s="13" t="s">
        <v>83</v>
      </c>
      <c r="I110" s="13"/>
      <c r="J110" s="13"/>
      <c r="K110" s="13"/>
      <c r="L110" s="13"/>
      <c r="M110" s="13"/>
      <c r="N110" s="13"/>
      <c r="O110" s="40" t="s">
        <v>67</v>
      </c>
      <c r="P110" s="41"/>
      <c r="Q110" s="41" t="s">
        <v>68</v>
      </c>
      <c r="R110" s="41" t="s">
        <v>803</v>
      </c>
      <c r="S110" s="41" t="s">
        <v>69</v>
      </c>
      <c r="T110" s="13" t="s">
        <v>70</v>
      </c>
      <c r="U110" s="41"/>
      <c r="V110" s="41" t="s">
        <v>804</v>
      </c>
      <c r="W110" s="41" t="s">
        <v>805</v>
      </c>
      <c r="X110" s="41" t="s">
        <v>69</v>
      </c>
      <c r="Y110" s="41" t="s">
        <v>70</v>
      </c>
      <c r="Z110" s="13" t="s">
        <v>806</v>
      </c>
      <c r="AA110" s="13"/>
      <c r="AB110" s="13"/>
      <c r="AC110" s="13"/>
      <c r="AD110" s="40"/>
      <c r="AE110" s="40"/>
      <c r="AF110" s="40"/>
      <c r="AG110" s="40"/>
      <c r="AH110" s="40"/>
      <c r="AI110" s="40"/>
      <c r="AJ110" s="40"/>
      <c r="AK110" s="40"/>
      <c r="AL110" s="40"/>
      <c r="AM110" s="15" t="s">
        <v>158</v>
      </c>
      <c r="AN110" s="41"/>
      <c r="AO110" s="41"/>
      <c r="AP110" s="13"/>
      <c r="AQ110" s="40"/>
      <c r="AR110" s="40"/>
      <c r="AS110" s="44" t="s">
        <v>115</v>
      </c>
      <c r="AT110" s="44" t="s">
        <v>458</v>
      </c>
      <c r="AU110" s="44" t="s">
        <v>396</v>
      </c>
      <c r="AV110" s="44" t="s">
        <v>496</v>
      </c>
      <c r="AW110" s="12">
        <f t="shared" si="3"/>
        <v>98</v>
      </c>
      <c r="AX110" s="12" t="str">
        <f t="shared" si="4"/>
        <v/>
      </c>
      <c r="AY110" s="45"/>
    </row>
    <row r="111" spans="1:51" ht="20.100000000000001" customHeight="1" x14ac:dyDescent="0.2">
      <c r="A111" s="13">
        <v>104</v>
      </c>
      <c r="B111" s="40" t="s">
        <v>799</v>
      </c>
      <c r="C111" s="40" t="s">
        <v>766</v>
      </c>
      <c r="D111" s="41" t="s">
        <v>739</v>
      </c>
      <c r="E111" s="41" t="s">
        <v>10</v>
      </c>
      <c r="F111" s="41"/>
      <c r="G111" s="41"/>
      <c r="H111" s="13" t="s">
        <v>7</v>
      </c>
      <c r="I111" s="48"/>
      <c r="J111" s="48"/>
      <c r="K111" s="48"/>
      <c r="L111" s="48"/>
      <c r="M111" s="48"/>
      <c r="N111" s="48"/>
      <c r="O111" s="40" t="s">
        <v>67</v>
      </c>
      <c r="P111" s="41" t="s">
        <v>104</v>
      </c>
      <c r="Q111" s="41" t="s">
        <v>104</v>
      </c>
      <c r="R111" s="41" t="s">
        <v>740</v>
      </c>
      <c r="S111" s="41" t="s">
        <v>119</v>
      </c>
      <c r="T111" s="13" t="s">
        <v>107</v>
      </c>
      <c r="U111" s="41" t="s">
        <v>361</v>
      </c>
      <c r="V111" s="41" t="s">
        <v>361</v>
      </c>
      <c r="W111" s="41" t="s">
        <v>741</v>
      </c>
      <c r="X111" s="41" t="s">
        <v>119</v>
      </c>
      <c r="Y111" s="41" t="s">
        <v>107</v>
      </c>
      <c r="Z111" s="13" t="s">
        <v>742</v>
      </c>
      <c r="AA111" s="13"/>
      <c r="AB111" s="13"/>
      <c r="AC111" s="13"/>
      <c r="AD111" s="40">
        <v>186</v>
      </c>
      <c r="AE111" s="40"/>
      <c r="AF111" s="40"/>
      <c r="AG111" s="40"/>
      <c r="AH111" s="40"/>
      <c r="AI111" s="40"/>
      <c r="AJ111" s="40"/>
      <c r="AK111" s="40"/>
      <c r="AL111" s="40"/>
      <c r="AM111" s="47"/>
      <c r="AN111" s="41" t="s">
        <v>743</v>
      </c>
      <c r="AO111" s="43">
        <v>200</v>
      </c>
      <c r="AP111" s="13">
        <v>17</v>
      </c>
      <c r="AQ111" s="40"/>
      <c r="AR111" s="40"/>
      <c r="AS111" s="6" t="s">
        <v>115</v>
      </c>
      <c r="AT111" s="6" t="s">
        <v>458</v>
      </c>
      <c r="AU111" s="6" t="s">
        <v>136</v>
      </c>
      <c r="AV111" s="6" t="s">
        <v>496</v>
      </c>
      <c r="AW111" s="12">
        <f t="shared" si="3"/>
        <v>14</v>
      </c>
      <c r="AX111" s="12" t="str">
        <f t="shared" si="4"/>
        <v/>
      </c>
      <c r="AY111" s="45"/>
    </row>
    <row r="112" spans="1:51" ht="20.100000000000001" customHeight="1" x14ac:dyDescent="0.2">
      <c r="A112" s="13">
        <v>105</v>
      </c>
      <c r="B112" s="40" t="s">
        <v>807</v>
      </c>
      <c r="C112" s="40" t="s">
        <v>766</v>
      </c>
      <c r="D112" s="41" t="s">
        <v>760</v>
      </c>
      <c r="E112" s="41" t="s">
        <v>10</v>
      </c>
      <c r="F112" s="41"/>
      <c r="G112" s="41"/>
      <c r="H112" s="13" t="s">
        <v>7</v>
      </c>
      <c r="I112" s="13"/>
      <c r="J112" s="13"/>
      <c r="K112" s="13"/>
      <c r="L112" s="13"/>
      <c r="M112" s="13"/>
      <c r="N112" s="13"/>
      <c r="O112" s="40" t="s">
        <v>67</v>
      </c>
      <c r="P112" s="41" t="s">
        <v>155</v>
      </c>
      <c r="Q112" s="41" t="s">
        <v>155</v>
      </c>
      <c r="R112" s="41" t="s">
        <v>808</v>
      </c>
      <c r="S112" s="41" t="s">
        <v>142</v>
      </c>
      <c r="T112" s="13" t="s">
        <v>70</v>
      </c>
      <c r="U112" s="41" t="s">
        <v>324</v>
      </c>
      <c r="V112" s="41" t="s">
        <v>324</v>
      </c>
      <c r="W112" s="41" t="s">
        <v>809</v>
      </c>
      <c r="X112" s="41" t="s">
        <v>142</v>
      </c>
      <c r="Y112" s="41" t="s">
        <v>70</v>
      </c>
      <c r="Z112" s="13">
        <v>0</v>
      </c>
      <c r="AA112" s="13"/>
      <c r="AB112" s="13"/>
      <c r="AC112" s="13"/>
      <c r="AD112" s="40">
        <v>192</v>
      </c>
      <c r="AE112" s="40"/>
      <c r="AF112" s="40"/>
      <c r="AG112" s="40"/>
      <c r="AH112" s="40"/>
      <c r="AI112" s="40"/>
      <c r="AJ112" s="40"/>
      <c r="AK112" s="40"/>
      <c r="AL112" s="40"/>
      <c r="AM112" s="47"/>
      <c r="AN112" s="41" t="s">
        <v>799</v>
      </c>
      <c r="AO112" s="43">
        <v>186</v>
      </c>
      <c r="AP112" s="13">
        <v>23.5</v>
      </c>
      <c r="AQ112" s="40"/>
      <c r="AR112" s="40"/>
      <c r="AS112" s="44"/>
      <c r="AT112" s="44"/>
      <c r="AU112" s="44"/>
      <c r="AV112" s="44"/>
      <c r="AW112" s="12" t="str">
        <f t="shared" si="3"/>
        <v/>
      </c>
      <c r="AX112" s="12" t="str">
        <f t="shared" si="4"/>
        <v/>
      </c>
      <c r="AY112" s="45"/>
    </row>
    <row r="113" spans="1:51" ht="20.100000000000001" customHeight="1" x14ac:dyDescent="0.2">
      <c r="A113" s="13">
        <v>106</v>
      </c>
      <c r="B113" s="40" t="s">
        <v>807</v>
      </c>
      <c r="C113" s="40" t="s">
        <v>766</v>
      </c>
      <c r="D113" s="41" t="s">
        <v>443</v>
      </c>
      <c r="E113" s="41" t="s">
        <v>9</v>
      </c>
      <c r="F113" s="41"/>
      <c r="G113" s="41"/>
      <c r="H113" s="13" t="s">
        <v>7</v>
      </c>
      <c r="I113" s="13"/>
      <c r="J113" s="13"/>
      <c r="K113" s="13"/>
      <c r="L113" s="13"/>
      <c r="M113" s="13"/>
      <c r="N113" s="13"/>
      <c r="O113" s="40" t="s">
        <v>92</v>
      </c>
      <c r="P113" s="35" t="s">
        <v>104</v>
      </c>
      <c r="Q113" s="35" t="s">
        <v>155</v>
      </c>
      <c r="R113" s="41" t="s">
        <v>810</v>
      </c>
      <c r="S113" s="41" t="s">
        <v>69</v>
      </c>
      <c r="T113" s="13" t="s">
        <v>70</v>
      </c>
      <c r="U113" s="35" t="s">
        <v>108</v>
      </c>
      <c r="V113" s="35" t="s">
        <v>324</v>
      </c>
      <c r="W113" s="41" t="s">
        <v>811</v>
      </c>
      <c r="X113" s="41" t="s">
        <v>142</v>
      </c>
      <c r="Y113" s="41" t="s">
        <v>70</v>
      </c>
      <c r="Z113" s="13">
        <v>0</v>
      </c>
      <c r="AA113" s="13"/>
      <c r="AB113" s="13"/>
      <c r="AC113" s="13"/>
      <c r="AD113" s="40">
        <v>174</v>
      </c>
      <c r="AE113" s="40"/>
      <c r="AF113" s="40"/>
      <c r="AG113" s="40"/>
      <c r="AH113" s="40"/>
      <c r="AI113" s="40"/>
      <c r="AJ113" s="40"/>
      <c r="AK113" s="40"/>
      <c r="AL113" s="40"/>
      <c r="AM113" s="33" t="s">
        <v>158</v>
      </c>
      <c r="AN113" s="41" t="s">
        <v>799</v>
      </c>
      <c r="AO113" s="43">
        <v>187</v>
      </c>
      <c r="AP113" s="13">
        <v>25</v>
      </c>
      <c r="AQ113" s="40" t="s">
        <v>111</v>
      </c>
      <c r="AR113" s="40" t="s">
        <v>112</v>
      </c>
      <c r="AS113" s="6"/>
      <c r="AT113" s="6"/>
      <c r="AU113" s="6"/>
      <c r="AV113" s="6"/>
      <c r="AW113" s="12" t="str">
        <f t="shared" si="3"/>
        <v/>
      </c>
      <c r="AX113" s="12" t="str">
        <f t="shared" si="4"/>
        <v/>
      </c>
      <c r="AY113" s="45"/>
    </row>
    <row r="114" spans="1:51" ht="20.100000000000001" customHeight="1" x14ac:dyDescent="0.2">
      <c r="A114" s="13">
        <v>107</v>
      </c>
      <c r="B114" s="40" t="s">
        <v>812</v>
      </c>
      <c r="C114" s="40" t="s">
        <v>766</v>
      </c>
      <c r="D114" s="41" t="s">
        <v>813</v>
      </c>
      <c r="E114" s="41" t="s">
        <v>66</v>
      </c>
      <c r="F114" s="41" t="s">
        <v>185</v>
      </c>
      <c r="G114" s="41"/>
      <c r="H114" s="13" t="s">
        <v>83</v>
      </c>
      <c r="I114" s="13"/>
      <c r="J114" s="13"/>
      <c r="K114" s="13"/>
      <c r="L114" s="13"/>
      <c r="M114" s="13"/>
      <c r="N114" s="13"/>
      <c r="O114" s="40" t="s">
        <v>814</v>
      </c>
      <c r="P114" s="41"/>
      <c r="Q114" s="41" t="s">
        <v>117</v>
      </c>
      <c r="R114" s="41" t="s">
        <v>429</v>
      </c>
      <c r="S114" s="41" t="s">
        <v>429</v>
      </c>
      <c r="T114" s="13">
        <v>0</v>
      </c>
      <c r="U114" s="41"/>
      <c r="V114" s="41" t="s">
        <v>204</v>
      </c>
      <c r="W114" s="41" t="s">
        <v>429</v>
      </c>
      <c r="X114" s="41" t="s">
        <v>429</v>
      </c>
      <c r="Y114" s="41" t="s">
        <v>429</v>
      </c>
      <c r="Z114" s="13">
        <v>0</v>
      </c>
      <c r="AA114" s="13"/>
      <c r="AB114" s="13"/>
      <c r="AC114" s="13"/>
      <c r="AD114" s="40">
        <v>150</v>
      </c>
      <c r="AE114" s="40"/>
      <c r="AF114" s="40"/>
      <c r="AG114" s="40"/>
      <c r="AH114" s="40"/>
      <c r="AI114" s="40"/>
      <c r="AJ114" s="40"/>
      <c r="AK114" s="40"/>
      <c r="AL114" s="40"/>
      <c r="AM114" s="47"/>
      <c r="AN114" s="41"/>
      <c r="AO114" s="41"/>
      <c r="AP114" s="13"/>
      <c r="AQ114" s="40"/>
      <c r="AR114" s="40"/>
      <c r="AS114" s="44" t="s">
        <v>115</v>
      </c>
      <c r="AT114" s="44" t="s">
        <v>458</v>
      </c>
      <c r="AU114" s="44" t="s">
        <v>123</v>
      </c>
      <c r="AV114" s="44" t="s">
        <v>506</v>
      </c>
      <c r="AW114" s="12">
        <f t="shared" si="3"/>
        <v>47</v>
      </c>
      <c r="AX114" s="12" t="str">
        <f t="shared" si="4"/>
        <v/>
      </c>
      <c r="AY114" s="45"/>
    </row>
    <row r="115" spans="1:51" ht="20.100000000000001" customHeight="1" x14ac:dyDescent="0.2">
      <c r="A115" s="13">
        <v>108</v>
      </c>
      <c r="B115" s="40" t="s">
        <v>812</v>
      </c>
      <c r="C115" s="40" t="s">
        <v>766</v>
      </c>
      <c r="D115" s="41" t="s">
        <v>813</v>
      </c>
      <c r="E115" s="41" t="s">
        <v>66</v>
      </c>
      <c r="F115" s="41"/>
      <c r="G115" s="41"/>
      <c r="H115" s="13" t="s">
        <v>7</v>
      </c>
      <c r="I115" s="13"/>
      <c r="J115" s="13"/>
      <c r="K115" s="13"/>
      <c r="L115" s="13"/>
      <c r="M115" s="13"/>
      <c r="N115" s="13"/>
      <c r="O115" s="40" t="s">
        <v>814</v>
      </c>
      <c r="P115" s="41" t="s">
        <v>117</v>
      </c>
      <c r="Q115" s="41" t="s">
        <v>117</v>
      </c>
      <c r="R115" s="41" t="s">
        <v>815</v>
      </c>
      <c r="S115" s="41" t="s">
        <v>142</v>
      </c>
      <c r="T115" s="13" t="s">
        <v>70</v>
      </c>
      <c r="U115" s="41" t="s">
        <v>204</v>
      </c>
      <c r="V115" s="41" t="s">
        <v>204</v>
      </c>
      <c r="W115" s="41" t="s">
        <v>816</v>
      </c>
      <c r="X115" s="41" t="s">
        <v>106</v>
      </c>
      <c r="Y115" s="41" t="s">
        <v>107</v>
      </c>
      <c r="Z115" s="13">
        <v>0</v>
      </c>
      <c r="AA115" s="13"/>
      <c r="AB115" s="13"/>
      <c r="AC115" s="13"/>
      <c r="AD115" s="40">
        <v>150</v>
      </c>
      <c r="AE115" s="40"/>
      <c r="AF115" s="40"/>
      <c r="AG115" s="40"/>
      <c r="AH115" s="40"/>
      <c r="AI115" s="40"/>
      <c r="AJ115" s="40"/>
      <c r="AK115" s="40"/>
      <c r="AL115" s="40"/>
      <c r="AM115" s="47"/>
      <c r="AN115" s="41" t="s">
        <v>812</v>
      </c>
      <c r="AO115" s="43">
        <v>212</v>
      </c>
      <c r="AP115" s="13">
        <v>12.5</v>
      </c>
      <c r="AQ115" s="40"/>
      <c r="AR115" s="40"/>
      <c r="AS115" s="6"/>
      <c r="AT115" s="6"/>
      <c r="AU115" s="6"/>
      <c r="AV115" s="6"/>
      <c r="AW115" s="12" t="str">
        <f t="shared" si="3"/>
        <v/>
      </c>
      <c r="AX115" s="12" t="str">
        <f t="shared" si="4"/>
        <v/>
      </c>
      <c r="AY115" s="45"/>
    </row>
    <row r="116" spans="1:51" ht="20.100000000000001" customHeight="1" x14ac:dyDescent="0.2">
      <c r="A116" s="13">
        <v>109</v>
      </c>
      <c r="B116" s="40" t="s">
        <v>812</v>
      </c>
      <c r="C116" s="40" t="s">
        <v>766</v>
      </c>
      <c r="D116" s="41" t="s">
        <v>785</v>
      </c>
      <c r="E116" s="41" t="s">
        <v>6</v>
      </c>
      <c r="F116" s="41"/>
      <c r="G116" s="41"/>
      <c r="H116" s="13" t="s">
        <v>7</v>
      </c>
      <c r="I116" s="13"/>
      <c r="J116" s="13"/>
      <c r="K116" s="13"/>
      <c r="L116" s="13"/>
      <c r="M116" s="13"/>
      <c r="N116" s="13"/>
      <c r="O116" s="40" t="s">
        <v>67</v>
      </c>
      <c r="P116" s="41" t="s">
        <v>155</v>
      </c>
      <c r="Q116" s="41" t="s">
        <v>155</v>
      </c>
      <c r="R116" s="41" t="s">
        <v>817</v>
      </c>
      <c r="S116" s="41" t="s">
        <v>106</v>
      </c>
      <c r="T116" s="13" t="s">
        <v>107</v>
      </c>
      <c r="U116" s="41" t="s">
        <v>156</v>
      </c>
      <c r="V116" s="41" t="s">
        <v>156</v>
      </c>
      <c r="W116" s="41" t="s">
        <v>818</v>
      </c>
      <c r="X116" s="41" t="s">
        <v>142</v>
      </c>
      <c r="Y116" s="41" t="s">
        <v>70</v>
      </c>
      <c r="Z116" s="13">
        <v>0</v>
      </c>
      <c r="AA116" s="13"/>
      <c r="AB116" s="13"/>
      <c r="AC116" s="13"/>
      <c r="AD116" s="40">
        <v>188</v>
      </c>
      <c r="AE116" s="40"/>
      <c r="AF116" s="40"/>
      <c r="AG116" s="40"/>
      <c r="AH116" s="40"/>
      <c r="AI116" s="40"/>
      <c r="AJ116" s="40"/>
      <c r="AK116" s="40"/>
      <c r="AL116" s="40"/>
      <c r="AM116" s="47"/>
      <c r="AN116" s="41" t="s">
        <v>807</v>
      </c>
      <c r="AO116" s="43">
        <v>237</v>
      </c>
      <c r="AP116" s="13">
        <v>17.8</v>
      </c>
      <c r="AQ116" s="40"/>
      <c r="AR116" s="40"/>
      <c r="AS116" s="44"/>
      <c r="AT116" s="44"/>
      <c r="AU116" s="44"/>
      <c r="AV116" s="44"/>
      <c r="AW116" s="12" t="str">
        <f t="shared" si="3"/>
        <v/>
      </c>
      <c r="AX116" s="12" t="str">
        <f t="shared" si="4"/>
        <v/>
      </c>
      <c r="AY116" s="45"/>
    </row>
    <row r="117" spans="1:51" ht="20.100000000000001" customHeight="1" x14ac:dyDescent="0.2">
      <c r="A117" s="13">
        <v>110</v>
      </c>
      <c r="B117" s="40" t="s">
        <v>819</v>
      </c>
      <c r="C117" s="40" t="s">
        <v>766</v>
      </c>
      <c r="D117" s="41" t="s">
        <v>719</v>
      </c>
      <c r="E117" s="41" t="s">
        <v>6</v>
      </c>
      <c r="F117" s="41"/>
      <c r="G117" s="41"/>
      <c r="H117" s="13" t="s">
        <v>7</v>
      </c>
      <c r="I117" s="13"/>
      <c r="J117" s="13"/>
      <c r="K117" s="13"/>
      <c r="L117" s="13"/>
      <c r="M117" s="13"/>
      <c r="N117" s="13"/>
      <c r="O117" s="40" t="s">
        <v>67</v>
      </c>
      <c r="P117" s="41" t="s">
        <v>155</v>
      </c>
      <c r="Q117" s="41" t="s">
        <v>155</v>
      </c>
      <c r="R117" s="41" t="s">
        <v>820</v>
      </c>
      <c r="S117" s="41" t="s">
        <v>142</v>
      </c>
      <c r="T117" s="13" t="s">
        <v>70</v>
      </c>
      <c r="U117" s="41" t="s">
        <v>324</v>
      </c>
      <c r="V117" s="41" t="s">
        <v>324</v>
      </c>
      <c r="W117" s="41" t="s">
        <v>821</v>
      </c>
      <c r="X117" s="41" t="s">
        <v>142</v>
      </c>
      <c r="Y117" s="41" t="s">
        <v>70</v>
      </c>
      <c r="Z117" s="13">
        <v>0</v>
      </c>
      <c r="AA117" s="13"/>
      <c r="AB117" s="13"/>
      <c r="AC117" s="13"/>
      <c r="AD117" s="40">
        <v>169</v>
      </c>
      <c r="AE117" s="40"/>
      <c r="AF117" s="40"/>
      <c r="AG117" s="40"/>
      <c r="AH117" s="40"/>
      <c r="AI117" s="40"/>
      <c r="AJ117" s="40"/>
      <c r="AK117" s="40"/>
      <c r="AL117" s="40"/>
      <c r="AM117" s="47"/>
      <c r="AN117" s="41" t="s">
        <v>812</v>
      </c>
      <c r="AO117" s="43">
        <v>203</v>
      </c>
      <c r="AP117" s="13">
        <v>13</v>
      </c>
      <c r="AQ117" s="40"/>
      <c r="AR117" s="40"/>
      <c r="AS117" s="6"/>
      <c r="AT117" s="6"/>
      <c r="AU117" s="6"/>
      <c r="AV117" s="6"/>
      <c r="AW117" s="12" t="str">
        <f t="shared" si="3"/>
        <v/>
      </c>
      <c r="AX117" s="12" t="str">
        <f t="shared" si="4"/>
        <v/>
      </c>
      <c r="AY117" s="45"/>
    </row>
    <row r="118" spans="1:51" ht="20.100000000000001" customHeight="1" x14ac:dyDescent="0.2">
      <c r="A118" s="13">
        <v>111</v>
      </c>
      <c r="B118" s="40" t="s">
        <v>819</v>
      </c>
      <c r="C118" s="40" t="s">
        <v>766</v>
      </c>
      <c r="D118" s="41" t="s">
        <v>822</v>
      </c>
      <c r="E118" s="41" t="s">
        <v>20</v>
      </c>
      <c r="F118" s="41" t="s">
        <v>185</v>
      </c>
      <c r="G118" s="41"/>
      <c r="H118" s="13" t="s">
        <v>83</v>
      </c>
      <c r="I118" s="13"/>
      <c r="J118" s="13"/>
      <c r="K118" s="13"/>
      <c r="L118" s="13"/>
      <c r="M118" s="13"/>
      <c r="N118" s="13"/>
      <c r="O118" s="40" t="s">
        <v>92</v>
      </c>
      <c r="P118" s="41"/>
      <c r="Q118" s="41" t="s">
        <v>117</v>
      </c>
      <c r="R118" s="41" t="s">
        <v>823</v>
      </c>
      <c r="S118" s="41" t="s">
        <v>824</v>
      </c>
      <c r="T118" s="13" t="s">
        <v>107</v>
      </c>
      <c r="U118" s="41"/>
      <c r="V118" s="41" t="s">
        <v>120</v>
      </c>
      <c r="W118" s="41" t="s">
        <v>506</v>
      </c>
      <c r="X118" s="41" t="s">
        <v>69</v>
      </c>
      <c r="Y118" s="41" t="s">
        <v>70</v>
      </c>
      <c r="Z118" s="13" t="s">
        <v>825</v>
      </c>
      <c r="AA118" s="13"/>
      <c r="AB118" s="13"/>
      <c r="AC118" s="13"/>
      <c r="AD118" s="40">
        <v>138</v>
      </c>
      <c r="AE118" s="40"/>
      <c r="AF118" s="40"/>
      <c r="AG118" s="40"/>
      <c r="AH118" s="40"/>
      <c r="AI118" s="40"/>
      <c r="AJ118" s="40"/>
      <c r="AK118" s="40"/>
      <c r="AL118" s="40"/>
      <c r="AM118" s="47"/>
      <c r="AN118" s="41" t="s">
        <v>826</v>
      </c>
      <c r="AO118" s="43">
        <v>167</v>
      </c>
      <c r="AP118" s="13">
        <v>16</v>
      </c>
      <c r="AQ118" s="40"/>
      <c r="AR118" s="40"/>
      <c r="AS118" s="44" t="s">
        <v>115</v>
      </c>
      <c r="AT118" s="44" t="s">
        <v>458</v>
      </c>
      <c r="AU118" s="44" t="s">
        <v>827</v>
      </c>
      <c r="AV118" s="44" t="s">
        <v>525</v>
      </c>
      <c r="AW118" s="12">
        <f t="shared" si="3"/>
        <v>145</v>
      </c>
      <c r="AX118" s="12" t="str">
        <f t="shared" si="4"/>
        <v/>
      </c>
      <c r="AY118" s="45"/>
    </row>
    <row r="119" spans="1:51" ht="20.100000000000001" customHeight="1" x14ac:dyDescent="0.2">
      <c r="A119" s="13">
        <v>112</v>
      </c>
      <c r="B119" s="40" t="s">
        <v>828</v>
      </c>
      <c r="C119" s="40" t="s">
        <v>766</v>
      </c>
      <c r="D119" s="41" t="s">
        <v>591</v>
      </c>
      <c r="E119" s="41" t="s">
        <v>9</v>
      </c>
      <c r="F119" s="41"/>
      <c r="G119" s="41"/>
      <c r="H119" s="13" t="s">
        <v>7</v>
      </c>
      <c r="I119" s="13"/>
      <c r="J119" s="13"/>
      <c r="K119" s="13"/>
      <c r="L119" s="13"/>
      <c r="M119" s="13"/>
      <c r="N119" s="13"/>
      <c r="O119" s="40" t="s">
        <v>92</v>
      </c>
      <c r="P119" s="35" t="s">
        <v>68</v>
      </c>
      <c r="Q119" s="35" t="s">
        <v>155</v>
      </c>
      <c r="R119" s="41" t="s">
        <v>663</v>
      </c>
      <c r="S119" s="41" t="s">
        <v>106</v>
      </c>
      <c r="T119" s="13" t="s">
        <v>107</v>
      </c>
      <c r="U119" s="35" t="s">
        <v>263</v>
      </c>
      <c r="V119" s="35" t="s">
        <v>156</v>
      </c>
      <c r="W119" s="41" t="s">
        <v>195</v>
      </c>
      <c r="X119" s="41" t="s">
        <v>142</v>
      </c>
      <c r="Y119" s="41" t="s">
        <v>70</v>
      </c>
      <c r="Z119" s="13">
        <v>0</v>
      </c>
      <c r="AA119" s="13"/>
      <c r="AB119" s="13"/>
      <c r="AC119" s="13"/>
      <c r="AD119" s="40">
        <v>192</v>
      </c>
      <c r="AE119" s="40"/>
      <c r="AF119" s="40"/>
      <c r="AG119" s="40"/>
      <c r="AH119" s="40"/>
      <c r="AI119" s="40"/>
      <c r="AJ119" s="40"/>
      <c r="AK119" s="40"/>
      <c r="AL119" s="40"/>
      <c r="AM119" s="33" t="s">
        <v>158</v>
      </c>
      <c r="AN119" s="41" t="s">
        <v>819</v>
      </c>
      <c r="AO119" s="43">
        <v>230</v>
      </c>
      <c r="AP119" s="13">
        <v>20</v>
      </c>
      <c r="AQ119" s="40"/>
      <c r="AR119" s="40"/>
      <c r="AS119" s="6"/>
      <c r="AT119" s="6"/>
      <c r="AU119" s="6"/>
      <c r="AV119" s="6"/>
      <c r="AW119" s="12" t="str">
        <f t="shared" si="3"/>
        <v/>
      </c>
      <c r="AX119" s="12" t="str">
        <f t="shared" si="4"/>
        <v/>
      </c>
      <c r="AY119" s="45"/>
    </row>
    <row r="120" spans="1:51" s="21" customFormat="1" ht="20.100000000000001" customHeight="1" x14ac:dyDescent="0.2">
      <c r="A120" s="13">
        <v>113</v>
      </c>
      <c r="B120" s="29" t="s">
        <v>829</v>
      </c>
      <c r="C120" s="29" t="s">
        <v>766</v>
      </c>
      <c r="D120" s="30" t="s">
        <v>643</v>
      </c>
      <c r="E120" s="30" t="s">
        <v>19</v>
      </c>
      <c r="F120" s="30" t="s">
        <v>185</v>
      </c>
      <c r="G120" s="30"/>
      <c r="H120" s="20" t="s">
        <v>83</v>
      </c>
      <c r="I120" s="20"/>
      <c r="J120" s="20"/>
      <c r="K120" s="20"/>
      <c r="L120" s="20"/>
      <c r="M120" s="20"/>
      <c r="N120" s="20"/>
      <c r="O120" s="29" t="s">
        <v>67</v>
      </c>
      <c r="P120" s="30"/>
      <c r="Q120" s="30" t="s">
        <v>68</v>
      </c>
      <c r="R120" s="30" t="s">
        <v>709</v>
      </c>
      <c r="S120" s="30" t="s">
        <v>106</v>
      </c>
      <c r="T120" s="20" t="s">
        <v>107</v>
      </c>
      <c r="U120" s="30"/>
      <c r="V120" s="30" t="s">
        <v>332</v>
      </c>
      <c r="W120" s="30" t="s">
        <v>710</v>
      </c>
      <c r="X120" s="30" t="s">
        <v>73</v>
      </c>
      <c r="Y120" s="30" t="s">
        <v>70</v>
      </c>
      <c r="Z120" s="20" t="s">
        <v>706</v>
      </c>
      <c r="AA120" s="20"/>
      <c r="AB120" s="20"/>
      <c r="AC120" s="20"/>
      <c r="AD120" s="29">
        <v>132</v>
      </c>
      <c r="AE120" s="29"/>
      <c r="AF120" s="29"/>
      <c r="AG120" s="29"/>
      <c r="AH120" s="29"/>
      <c r="AI120" s="29"/>
      <c r="AJ120" s="29"/>
      <c r="AK120" s="29"/>
      <c r="AL120" s="29"/>
      <c r="AM120" s="39"/>
      <c r="AN120" s="30" t="s">
        <v>699</v>
      </c>
      <c r="AO120" s="36">
        <v>138</v>
      </c>
      <c r="AP120" s="20">
        <v>30</v>
      </c>
      <c r="AQ120" s="29"/>
      <c r="AR120" s="29"/>
      <c r="AS120" s="30" t="s">
        <v>115</v>
      </c>
      <c r="AT120" s="30" t="s">
        <v>458</v>
      </c>
      <c r="AU120" s="30" t="s">
        <v>115</v>
      </c>
      <c r="AV120" s="30" t="s">
        <v>525</v>
      </c>
      <c r="AW120" s="31">
        <f t="shared" si="3"/>
        <v>1</v>
      </c>
      <c r="AX120" s="31">
        <f t="shared" si="4"/>
        <v>1</v>
      </c>
      <c r="AY120" s="32"/>
    </row>
    <row r="121" spans="1:51" ht="20.100000000000001" customHeight="1" x14ac:dyDescent="0.2">
      <c r="A121" s="13">
        <v>114</v>
      </c>
      <c r="B121" s="40" t="s">
        <v>829</v>
      </c>
      <c r="C121" s="40" t="s">
        <v>766</v>
      </c>
      <c r="D121" s="41" t="s">
        <v>822</v>
      </c>
      <c r="E121" s="41" t="s">
        <v>20</v>
      </c>
      <c r="F121" s="41"/>
      <c r="G121" s="41"/>
      <c r="H121" s="13" t="s">
        <v>7</v>
      </c>
      <c r="I121" s="13"/>
      <c r="J121" s="13"/>
      <c r="K121" s="13"/>
      <c r="L121" s="13"/>
      <c r="M121" s="13"/>
      <c r="N121" s="13"/>
      <c r="O121" s="40" t="s">
        <v>92</v>
      </c>
      <c r="P121" s="41" t="s">
        <v>117</v>
      </c>
      <c r="Q121" s="41" t="s">
        <v>117</v>
      </c>
      <c r="R121" s="41" t="s">
        <v>732</v>
      </c>
      <c r="S121" s="41" t="s">
        <v>106</v>
      </c>
      <c r="T121" s="13" t="s">
        <v>107</v>
      </c>
      <c r="U121" s="41" t="s">
        <v>120</v>
      </c>
      <c r="V121" s="41" t="s">
        <v>120</v>
      </c>
      <c r="W121" s="41" t="s">
        <v>830</v>
      </c>
      <c r="X121" s="41" t="s">
        <v>106</v>
      </c>
      <c r="Y121" s="41" t="s">
        <v>107</v>
      </c>
      <c r="Z121" s="13">
        <v>0</v>
      </c>
      <c r="AA121" s="13"/>
      <c r="AB121" s="13"/>
      <c r="AC121" s="13"/>
      <c r="AD121" s="40">
        <v>138</v>
      </c>
      <c r="AE121" s="40"/>
      <c r="AF121" s="40"/>
      <c r="AG121" s="40"/>
      <c r="AH121" s="40"/>
      <c r="AI121" s="40"/>
      <c r="AJ121" s="40"/>
      <c r="AK121" s="40"/>
      <c r="AL121" s="40"/>
      <c r="AM121" s="47"/>
      <c r="AN121" s="41" t="s">
        <v>819</v>
      </c>
      <c r="AO121" s="43">
        <v>136</v>
      </c>
      <c r="AP121" s="13">
        <v>22</v>
      </c>
      <c r="AQ121" s="40"/>
      <c r="AR121" s="40"/>
      <c r="AS121" s="6"/>
      <c r="AT121" s="6"/>
      <c r="AU121" s="6"/>
      <c r="AV121" s="6"/>
      <c r="AW121" s="12" t="str">
        <f t="shared" si="3"/>
        <v/>
      </c>
      <c r="AX121" s="12" t="str">
        <f t="shared" si="4"/>
        <v/>
      </c>
      <c r="AY121" s="45"/>
    </row>
    <row r="122" spans="1:51" ht="20.100000000000001" customHeight="1" x14ac:dyDescent="0.2">
      <c r="A122" s="13">
        <v>115</v>
      </c>
      <c r="B122" s="40" t="s">
        <v>829</v>
      </c>
      <c r="C122" s="40" t="s">
        <v>766</v>
      </c>
      <c r="D122" s="41" t="s">
        <v>831</v>
      </c>
      <c r="E122" s="41" t="s">
        <v>10</v>
      </c>
      <c r="F122" s="41"/>
      <c r="G122" s="41"/>
      <c r="H122" s="13" t="s">
        <v>7</v>
      </c>
      <c r="I122" s="13"/>
      <c r="J122" s="13"/>
      <c r="K122" s="13"/>
      <c r="L122" s="13"/>
      <c r="M122" s="13"/>
      <c r="N122" s="13"/>
      <c r="O122" s="40" t="s">
        <v>67</v>
      </c>
      <c r="P122" s="35" t="s">
        <v>104</v>
      </c>
      <c r="Q122" s="35" t="s">
        <v>68</v>
      </c>
      <c r="R122" s="41" t="s">
        <v>832</v>
      </c>
      <c r="S122" s="41" t="s">
        <v>106</v>
      </c>
      <c r="T122" s="13" t="s">
        <v>107</v>
      </c>
      <c r="U122" s="35" t="s">
        <v>361</v>
      </c>
      <c r="V122" s="35" t="s">
        <v>263</v>
      </c>
      <c r="W122" s="41" t="s">
        <v>833</v>
      </c>
      <c r="X122" s="41" t="s">
        <v>106</v>
      </c>
      <c r="Y122" s="41" t="s">
        <v>107</v>
      </c>
      <c r="Z122" s="13">
        <v>0</v>
      </c>
      <c r="AA122" s="13"/>
      <c r="AB122" s="13"/>
      <c r="AC122" s="13"/>
      <c r="AD122" s="40">
        <v>192</v>
      </c>
      <c r="AE122" s="40"/>
      <c r="AF122" s="40"/>
      <c r="AG122" s="40"/>
      <c r="AH122" s="40"/>
      <c r="AI122" s="40"/>
      <c r="AJ122" s="40"/>
      <c r="AK122" s="40"/>
      <c r="AL122" s="40"/>
      <c r="AM122" s="33" t="s">
        <v>158</v>
      </c>
      <c r="AN122" s="41" t="s">
        <v>828</v>
      </c>
      <c r="AO122" s="43">
        <v>200</v>
      </c>
      <c r="AP122" s="13">
        <v>17</v>
      </c>
      <c r="AQ122" s="40"/>
      <c r="AR122" s="40"/>
      <c r="AS122" s="44"/>
      <c r="AT122" s="44"/>
      <c r="AU122" s="44"/>
      <c r="AV122" s="44"/>
      <c r="AW122" s="12" t="str">
        <f t="shared" si="3"/>
        <v/>
      </c>
      <c r="AX122" s="12" t="str">
        <f t="shared" si="4"/>
        <v/>
      </c>
      <c r="AY122" s="45"/>
    </row>
    <row r="123" spans="1:51" ht="20.100000000000001" customHeight="1" x14ac:dyDescent="0.2">
      <c r="A123" s="13">
        <v>116</v>
      </c>
      <c r="B123" s="40" t="s">
        <v>834</v>
      </c>
      <c r="C123" s="40" t="s">
        <v>766</v>
      </c>
      <c r="D123" s="41" t="s">
        <v>835</v>
      </c>
      <c r="E123" s="41" t="s">
        <v>20</v>
      </c>
      <c r="F123" s="41"/>
      <c r="G123" s="41"/>
      <c r="H123" s="13" t="s">
        <v>7</v>
      </c>
      <c r="I123" s="13"/>
      <c r="J123" s="13"/>
      <c r="K123" s="13"/>
      <c r="L123" s="13"/>
      <c r="M123" s="13"/>
      <c r="N123" s="13"/>
      <c r="O123" s="40" t="s">
        <v>67</v>
      </c>
      <c r="P123" s="41" t="s">
        <v>218</v>
      </c>
      <c r="Q123" s="41" t="s">
        <v>218</v>
      </c>
      <c r="R123" s="41" t="s">
        <v>836</v>
      </c>
      <c r="S123" s="41" t="s">
        <v>106</v>
      </c>
      <c r="T123" s="13" t="s">
        <v>107</v>
      </c>
      <c r="U123" s="41" t="s">
        <v>454</v>
      </c>
      <c r="V123" s="41" t="s">
        <v>454</v>
      </c>
      <c r="W123" s="41" t="s">
        <v>837</v>
      </c>
      <c r="X123" s="41" t="s">
        <v>142</v>
      </c>
      <c r="Y123" s="41" t="s">
        <v>70</v>
      </c>
      <c r="Z123" s="13">
        <v>0</v>
      </c>
      <c r="AA123" s="13"/>
      <c r="AB123" s="13"/>
      <c r="AC123" s="13"/>
      <c r="AD123" s="40">
        <v>237</v>
      </c>
      <c r="AE123" s="40"/>
      <c r="AF123" s="40"/>
      <c r="AG123" s="40"/>
      <c r="AH123" s="40"/>
      <c r="AI123" s="40"/>
      <c r="AJ123" s="40"/>
      <c r="AK123" s="40"/>
      <c r="AL123" s="40"/>
      <c r="AM123" s="47"/>
      <c r="AN123" s="41" t="s">
        <v>829</v>
      </c>
      <c r="AO123" s="43">
        <v>302</v>
      </c>
      <c r="AP123" s="13">
        <v>18</v>
      </c>
      <c r="AQ123" s="40"/>
      <c r="AR123" s="40"/>
      <c r="AS123" s="6"/>
      <c r="AT123" s="6"/>
      <c r="AU123" s="6"/>
      <c r="AV123" s="6"/>
      <c r="AW123" s="12" t="str">
        <f t="shared" si="3"/>
        <v/>
      </c>
      <c r="AX123" s="12" t="str">
        <f t="shared" si="4"/>
        <v/>
      </c>
      <c r="AY123" s="45"/>
    </row>
    <row r="124" spans="1:51" ht="20.100000000000001" customHeight="1" x14ac:dyDescent="0.2">
      <c r="A124" s="13">
        <v>117</v>
      </c>
      <c r="B124" s="40" t="s">
        <v>838</v>
      </c>
      <c r="C124" s="40" t="s">
        <v>766</v>
      </c>
      <c r="D124" s="41" t="s">
        <v>802</v>
      </c>
      <c r="E124" s="41" t="s">
        <v>243</v>
      </c>
      <c r="F124" s="41"/>
      <c r="G124" s="41"/>
      <c r="H124" s="13" t="s">
        <v>7</v>
      </c>
      <c r="I124" s="13"/>
      <c r="J124" s="13"/>
      <c r="K124" s="13"/>
      <c r="L124" s="13"/>
      <c r="M124" s="13"/>
      <c r="N124" s="13"/>
      <c r="O124" s="40" t="s">
        <v>67</v>
      </c>
      <c r="P124" s="35" t="s">
        <v>68</v>
      </c>
      <c r="Q124" s="35" t="s">
        <v>155</v>
      </c>
      <c r="R124" s="41" t="s">
        <v>839</v>
      </c>
      <c r="S124" s="41" t="s">
        <v>142</v>
      </c>
      <c r="T124" s="13" t="s">
        <v>70</v>
      </c>
      <c r="U124" s="35" t="s">
        <v>804</v>
      </c>
      <c r="V124" s="35" t="s">
        <v>324</v>
      </c>
      <c r="W124" s="41" t="s">
        <v>840</v>
      </c>
      <c r="X124" s="41" t="s">
        <v>142</v>
      </c>
      <c r="Y124" s="41" t="s">
        <v>70</v>
      </c>
      <c r="Z124" s="13">
        <v>0</v>
      </c>
      <c r="AA124" s="13"/>
      <c r="AB124" s="13"/>
      <c r="AC124" s="13"/>
      <c r="AD124" s="40">
        <v>180</v>
      </c>
      <c r="AE124" s="40"/>
      <c r="AF124" s="40"/>
      <c r="AG124" s="40"/>
      <c r="AH124" s="40"/>
      <c r="AI124" s="40"/>
      <c r="AJ124" s="40"/>
      <c r="AK124" s="40"/>
      <c r="AL124" s="40"/>
      <c r="AM124" s="33" t="s">
        <v>158</v>
      </c>
      <c r="AN124" s="41" t="s">
        <v>834</v>
      </c>
      <c r="AO124" s="43">
        <v>175</v>
      </c>
      <c r="AP124" s="13">
        <v>26</v>
      </c>
      <c r="AQ124" s="40"/>
      <c r="AR124" s="40"/>
      <c r="AS124" s="44"/>
      <c r="AT124" s="44"/>
      <c r="AU124" s="44"/>
      <c r="AV124" s="44"/>
      <c r="AW124" s="12" t="str">
        <f t="shared" si="3"/>
        <v/>
      </c>
      <c r="AX124" s="12" t="str">
        <f t="shared" si="4"/>
        <v/>
      </c>
      <c r="AY124" s="45"/>
    </row>
    <row r="125" spans="1:51" ht="20.100000000000001" customHeight="1" x14ac:dyDescent="0.2">
      <c r="A125" s="13">
        <v>118</v>
      </c>
      <c r="B125" s="40" t="s">
        <v>838</v>
      </c>
      <c r="C125" s="40" t="s">
        <v>766</v>
      </c>
      <c r="D125" s="41" t="s">
        <v>651</v>
      </c>
      <c r="E125" s="41" t="s">
        <v>6</v>
      </c>
      <c r="F125" s="41"/>
      <c r="G125" s="41"/>
      <c r="H125" s="13" t="s">
        <v>7</v>
      </c>
      <c r="I125" s="13"/>
      <c r="J125" s="13"/>
      <c r="K125" s="13"/>
      <c r="L125" s="13"/>
      <c r="M125" s="13"/>
      <c r="N125" s="13"/>
      <c r="O125" s="40" t="s">
        <v>92</v>
      </c>
      <c r="P125" s="41" t="s">
        <v>104</v>
      </c>
      <c r="Q125" s="41" t="s">
        <v>104</v>
      </c>
      <c r="R125" s="41" t="s">
        <v>841</v>
      </c>
      <c r="S125" s="41" t="s">
        <v>106</v>
      </c>
      <c r="T125" s="13" t="s">
        <v>107</v>
      </c>
      <c r="U125" s="35" t="s">
        <v>305</v>
      </c>
      <c r="V125" s="35" t="s">
        <v>190</v>
      </c>
      <c r="W125" s="41" t="s">
        <v>842</v>
      </c>
      <c r="X125" s="41" t="s">
        <v>142</v>
      </c>
      <c r="Y125" s="41" t="s">
        <v>70</v>
      </c>
      <c r="Z125" s="13">
        <v>0</v>
      </c>
      <c r="AA125" s="13"/>
      <c r="AB125" s="13"/>
      <c r="AC125" s="13"/>
      <c r="AD125" s="40">
        <v>162</v>
      </c>
      <c r="AE125" s="40"/>
      <c r="AF125" s="40"/>
      <c r="AG125" s="40"/>
      <c r="AH125" s="40"/>
      <c r="AI125" s="40"/>
      <c r="AJ125" s="40"/>
      <c r="AK125" s="40"/>
      <c r="AL125" s="40"/>
      <c r="AM125" s="33" t="s">
        <v>158</v>
      </c>
      <c r="AN125" s="41" t="s">
        <v>834</v>
      </c>
      <c r="AO125" s="43">
        <v>217</v>
      </c>
      <c r="AP125" s="13">
        <v>13</v>
      </c>
      <c r="AQ125" s="40"/>
      <c r="AR125" s="40"/>
      <c r="AS125" s="6"/>
      <c r="AT125" s="6"/>
      <c r="AU125" s="6"/>
      <c r="AV125" s="6"/>
      <c r="AW125" s="12" t="str">
        <f t="shared" si="3"/>
        <v/>
      </c>
      <c r="AX125" s="12" t="str">
        <f t="shared" si="4"/>
        <v/>
      </c>
      <c r="AY125" s="45"/>
    </row>
    <row r="126" spans="1:51" ht="20.100000000000001" customHeight="1" x14ac:dyDescent="0.2">
      <c r="A126" s="13">
        <v>119</v>
      </c>
      <c r="B126" s="40" t="s">
        <v>843</v>
      </c>
      <c r="C126" s="40" t="s">
        <v>766</v>
      </c>
      <c r="D126" s="41" t="s">
        <v>844</v>
      </c>
      <c r="E126" s="41" t="s">
        <v>20</v>
      </c>
      <c r="F126" s="41" t="s">
        <v>186</v>
      </c>
      <c r="G126" s="41"/>
      <c r="H126" s="13" t="s">
        <v>83</v>
      </c>
      <c r="I126" s="13"/>
      <c r="J126" s="13"/>
      <c r="K126" s="13"/>
      <c r="L126" s="13"/>
      <c r="M126" s="13"/>
      <c r="N126" s="13"/>
      <c r="O126" s="40" t="s">
        <v>92</v>
      </c>
      <c r="P126" s="41"/>
      <c r="Q126" s="41" t="s">
        <v>140</v>
      </c>
      <c r="R126" s="41" t="s">
        <v>845</v>
      </c>
      <c r="S126" s="41" t="s">
        <v>824</v>
      </c>
      <c r="T126" s="13" t="s">
        <v>107</v>
      </c>
      <c r="U126" s="41"/>
      <c r="V126" s="41" t="s">
        <v>338</v>
      </c>
      <c r="W126" s="41" t="s">
        <v>465</v>
      </c>
      <c r="X126" s="41" t="s">
        <v>824</v>
      </c>
      <c r="Y126" s="41" t="s">
        <v>107</v>
      </c>
      <c r="Z126" s="13" t="s">
        <v>846</v>
      </c>
      <c r="AA126" s="13"/>
      <c r="AB126" s="13"/>
      <c r="AC126" s="13"/>
      <c r="AD126" s="40">
        <v>138</v>
      </c>
      <c r="AE126" s="40"/>
      <c r="AF126" s="40"/>
      <c r="AG126" s="40"/>
      <c r="AH126" s="40"/>
      <c r="AI126" s="40"/>
      <c r="AJ126" s="40"/>
      <c r="AK126" s="40"/>
      <c r="AL126" s="40"/>
      <c r="AM126" s="15" t="s">
        <v>158</v>
      </c>
      <c r="AN126" s="41" t="s">
        <v>847</v>
      </c>
      <c r="AO126" s="43">
        <v>167</v>
      </c>
      <c r="AP126" s="13">
        <v>13</v>
      </c>
      <c r="AQ126" s="40"/>
      <c r="AR126" s="40"/>
      <c r="AS126" s="44" t="s">
        <v>115</v>
      </c>
      <c r="AT126" s="44" t="s">
        <v>458</v>
      </c>
      <c r="AU126" s="44" t="s">
        <v>147</v>
      </c>
      <c r="AV126" s="44" t="s">
        <v>260</v>
      </c>
      <c r="AW126" s="12">
        <f t="shared" si="3"/>
        <v>148</v>
      </c>
      <c r="AX126" s="12" t="str">
        <f t="shared" si="4"/>
        <v/>
      </c>
      <c r="AY126" s="45"/>
    </row>
    <row r="127" spans="1:51" ht="20.100000000000001" customHeight="1" x14ac:dyDescent="0.2">
      <c r="A127" s="13">
        <v>120</v>
      </c>
      <c r="B127" s="40" t="s">
        <v>843</v>
      </c>
      <c r="C127" s="40" t="s">
        <v>766</v>
      </c>
      <c r="D127" s="41" t="s">
        <v>643</v>
      </c>
      <c r="E127" s="41" t="s">
        <v>19</v>
      </c>
      <c r="F127" s="41"/>
      <c r="G127" s="41"/>
      <c r="H127" s="13" t="s">
        <v>7</v>
      </c>
      <c r="I127" s="13"/>
      <c r="J127" s="13"/>
      <c r="K127" s="13"/>
      <c r="L127" s="13"/>
      <c r="M127" s="13"/>
      <c r="N127" s="13"/>
      <c r="O127" s="40" t="s">
        <v>67</v>
      </c>
      <c r="P127" s="41" t="s">
        <v>68</v>
      </c>
      <c r="Q127" s="41" t="s">
        <v>68</v>
      </c>
      <c r="R127" s="41" t="s">
        <v>518</v>
      </c>
      <c r="S127" s="41" t="s">
        <v>369</v>
      </c>
      <c r="T127" s="13" t="s">
        <v>369</v>
      </c>
      <c r="U127" s="41" t="s">
        <v>332</v>
      </c>
      <c r="V127" s="41" t="s">
        <v>332</v>
      </c>
      <c r="W127" s="41" t="s">
        <v>710</v>
      </c>
      <c r="X127" s="41" t="s">
        <v>369</v>
      </c>
      <c r="Y127" s="41" t="s">
        <v>369</v>
      </c>
      <c r="Z127" s="13">
        <v>0</v>
      </c>
      <c r="AA127" s="13"/>
      <c r="AB127" s="13"/>
      <c r="AC127" s="13"/>
      <c r="AD127" s="40">
        <v>132</v>
      </c>
      <c r="AE127" s="40"/>
      <c r="AF127" s="40"/>
      <c r="AG127" s="40"/>
      <c r="AH127" s="40"/>
      <c r="AI127" s="40"/>
      <c r="AJ127" s="40"/>
      <c r="AK127" s="40"/>
      <c r="AL127" s="40"/>
      <c r="AM127" s="47"/>
      <c r="AN127" s="41" t="s">
        <v>838</v>
      </c>
      <c r="AO127" s="43">
        <v>138</v>
      </c>
      <c r="AP127" s="13">
        <v>30.5</v>
      </c>
      <c r="AQ127" s="40"/>
      <c r="AR127" s="40"/>
      <c r="AS127" s="6"/>
      <c r="AT127" s="6"/>
      <c r="AU127" s="6"/>
      <c r="AV127" s="6"/>
      <c r="AW127" s="12" t="str">
        <f t="shared" si="3"/>
        <v/>
      </c>
      <c r="AX127" s="12" t="str">
        <f t="shared" si="4"/>
        <v/>
      </c>
      <c r="AY127" s="45"/>
    </row>
    <row r="128" spans="1:51" ht="20.100000000000001" customHeight="1" x14ac:dyDescent="0.2">
      <c r="A128" s="13">
        <v>121</v>
      </c>
      <c r="B128" s="40" t="s">
        <v>843</v>
      </c>
      <c r="C128" s="40" t="s">
        <v>766</v>
      </c>
      <c r="D128" s="41" t="s">
        <v>848</v>
      </c>
      <c r="E128" s="41" t="s">
        <v>19</v>
      </c>
      <c r="F128" s="41" t="s">
        <v>481</v>
      </c>
      <c r="G128" s="41"/>
      <c r="H128" s="13" t="s">
        <v>83</v>
      </c>
      <c r="I128" s="13"/>
      <c r="J128" s="13"/>
      <c r="K128" s="13"/>
      <c r="L128" s="13"/>
      <c r="M128" s="13"/>
      <c r="N128" s="13"/>
      <c r="O128" s="40" t="s">
        <v>67</v>
      </c>
      <c r="P128" s="41"/>
      <c r="Q128" s="41" t="s">
        <v>104</v>
      </c>
      <c r="R128" s="41" t="s">
        <v>849</v>
      </c>
      <c r="S128" s="41" t="s">
        <v>142</v>
      </c>
      <c r="T128" s="13" t="s">
        <v>70</v>
      </c>
      <c r="U128" s="41"/>
      <c r="V128" s="41" t="s">
        <v>108</v>
      </c>
      <c r="W128" s="41" t="s">
        <v>850</v>
      </c>
      <c r="X128" s="41" t="s">
        <v>142</v>
      </c>
      <c r="Y128" s="41" t="s">
        <v>70</v>
      </c>
      <c r="Z128" s="13" t="s">
        <v>851</v>
      </c>
      <c r="AA128" s="13"/>
      <c r="AB128" s="13"/>
      <c r="AC128" s="13"/>
      <c r="AD128" s="40">
        <v>216</v>
      </c>
      <c r="AE128" s="40"/>
      <c r="AF128" s="40"/>
      <c r="AG128" s="40"/>
      <c r="AH128" s="40"/>
      <c r="AI128" s="40"/>
      <c r="AJ128" s="40"/>
      <c r="AK128" s="40"/>
      <c r="AL128" s="40"/>
      <c r="AM128" s="15" t="s">
        <v>158</v>
      </c>
      <c r="AN128" s="41"/>
      <c r="AO128" s="41"/>
      <c r="AP128" s="13"/>
      <c r="AQ128" s="40"/>
      <c r="AR128" s="40"/>
      <c r="AS128" s="44" t="s">
        <v>115</v>
      </c>
      <c r="AT128" s="44" t="s">
        <v>458</v>
      </c>
      <c r="AU128" s="44" t="s">
        <v>547</v>
      </c>
      <c r="AV128" s="44" t="s">
        <v>116</v>
      </c>
      <c r="AW128" s="12">
        <f t="shared" si="3"/>
        <v>53</v>
      </c>
      <c r="AX128" s="12" t="str">
        <f t="shared" si="4"/>
        <v/>
      </c>
      <c r="AY128" s="45"/>
    </row>
    <row r="129" spans="1:51" s="21" customFormat="1" ht="20.100000000000001" customHeight="1" x14ac:dyDescent="0.2">
      <c r="A129" s="13">
        <v>122</v>
      </c>
      <c r="B129" s="29" t="s">
        <v>852</v>
      </c>
      <c r="C129" s="29" t="s">
        <v>766</v>
      </c>
      <c r="D129" s="30" t="s">
        <v>719</v>
      </c>
      <c r="E129" s="30" t="s">
        <v>6</v>
      </c>
      <c r="F129" s="30" t="s">
        <v>481</v>
      </c>
      <c r="G129" s="30"/>
      <c r="H129" s="20" t="s">
        <v>83</v>
      </c>
      <c r="I129" s="20"/>
      <c r="J129" s="20"/>
      <c r="K129" s="20"/>
      <c r="L129" s="20"/>
      <c r="M129" s="20"/>
      <c r="N129" s="20"/>
      <c r="O129" s="29" t="s">
        <v>67</v>
      </c>
      <c r="P129" s="30"/>
      <c r="Q129" s="30" t="s">
        <v>155</v>
      </c>
      <c r="R129" s="30" t="s">
        <v>853</v>
      </c>
      <c r="S129" s="30" t="s">
        <v>142</v>
      </c>
      <c r="T129" s="20" t="s">
        <v>70</v>
      </c>
      <c r="U129" s="30"/>
      <c r="V129" s="30" t="s">
        <v>324</v>
      </c>
      <c r="W129" s="30" t="s">
        <v>821</v>
      </c>
      <c r="X129" s="30" t="s">
        <v>142</v>
      </c>
      <c r="Y129" s="30" t="s">
        <v>70</v>
      </c>
      <c r="Z129" s="20" t="s">
        <v>819</v>
      </c>
      <c r="AA129" s="20"/>
      <c r="AB129" s="20"/>
      <c r="AC129" s="20"/>
      <c r="AD129" s="29">
        <v>168</v>
      </c>
      <c r="AE129" s="29"/>
      <c r="AF129" s="29"/>
      <c r="AG129" s="29"/>
      <c r="AH129" s="29"/>
      <c r="AI129" s="29"/>
      <c r="AJ129" s="29"/>
      <c r="AK129" s="29"/>
      <c r="AL129" s="29"/>
      <c r="AM129" s="39"/>
      <c r="AN129" s="30"/>
      <c r="AO129" s="30"/>
      <c r="AP129" s="20"/>
      <c r="AQ129" s="29"/>
      <c r="AR129" s="29"/>
      <c r="AS129" s="30" t="s">
        <v>115</v>
      </c>
      <c r="AT129" s="30" t="s">
        <v>458</v>
      </c>
      <c r="AU129" s="30" t="s">
        <v>115</v>
      </c>
      <c r="AV129" s="30" t="s">
        <v>458</v>
      </c>
      <c r="AW129" s="31">
        <f t="shared" si="3"/>
        <v>0</v>
      </c>
      <c r="AX129" s="31">
        <f t="shared" si="4"/>
        <v>0</v>
      </c>
      <c r="AY129" s="32"/>
    </row>
    <row r="130" spans="1:51" ht="20.100000000000001" customHeight="1" x14ac:dyDescent="0.2">
      <c r="A130" s="13">
        <v>123</v>
      </c>
      <c r="B130" s="40" t="s">
        <v>852</v>
      </c>
      <c r="C130" s="40" t="s">
        <v>766</v>
      </c>
      <c r="D130" s="41" t="s">
        <v>719</v>
      </c>
      <c r="E130" s="41" t="s">
        <v>6</v>
      </c>
      <c r="F130" s="41"/>
      <c r="G130" s="41"/>
      <c r="H130" s="13" t="s">
        <v>7</v>
      </c>
      <c r="I130" s="13"/>
      <c r="J130" s="13"/>
      <c r="K130" s="13"/>
      <c r="L130" s="13"/>
      <c r="M130" s="13"/>
      <c r="N130" s="13"/>
      <c r="O130" s="40" t="s">
        <v>67</v>
      </c>
      <c r="P130" s="41" t="s">
        <v>155</v>
      </c>
      <c r="Q130" s="41" t="s">
        <v>218</v>
      </c>
      <c r="R130" s="41" t="s">
        <v>854</v>
      </c>
      <c r="S130" s="41" t="s">
        <v>69</v>
      </c>
      <c r="T130" s="13" t="s">
        <v>70</v>
      </c>
      <c r="U130" s="35" t="s">
        <v>324</v>
      </c>
      <c r="V130" s="35" t="s">
        <v>268</v>
      </c>
      <c r="W130" s="41" t="s">
        <v>855</v>
      </c>
      <c r="X130" s="41" t="s">
        <v>262</v>
      </c>
      <c r="Y130" s="41" t="s">
        <v>70</v>
      </c>
      <c r="Z130" s="13">
        <v>0</v>
      </c>
      <c r="AA130" s="13"/>
      <c r="AB130" s="13"/>
      <c r="AC130" s="13"/>
      <c r="AD130" s="40">
        <v>169</v>
      </c>
      <c r="AE130" s="40"/>
      <c r="AF130" s="40"/>
      <c r="AG130" s="40"/>
      <c r="AH130" s="40"/>
      <c r="AI130" s="40"/>
      <c r="AJ130" s="40"/>
      <c r="AK130" s="40"/>
      <c r="AL130" s="40"/>
      <c r="AM130" s="33" t="s">
        <v>158</v>
      </c>
      <c r="AN130" s="41" t="s">
        <v>843</v>
      </c>
      <c r="AO130" s="43">
        <v>216</v>
      </c>
      <c r="AP130" s="13"/>
      <c r="AQ130" s="40"/>
      <c r="AR130" s="40"/>
      <c r="AS130" s="44"/>
      <c r="AT130" s="44"/>
      <c r="AU130" s="44"/>
      <c r="AV130" s="44"/>
      <c r="AW130" s="12" t="str">
        <f t="shared" si="3"/>
        <v/>
      </c>
      <c r="AX130" s="12" t="str">
        <f t="shared" si="4"/>
        <v/>
      </c>
      <c r="AY130" s="45"/>
    </row>
    <row r="131" spans="1:51" ht="20.100000000000001" customHeight="1" x14ac:dyDescent="0.2">
      <c r="A131" s="13">
        <v>124</v>
      </c>
      <c r="B131" s="40" t="s">
        <v>852</v>
      </c>
      <c r="C131" s="40" t="s">
        <v>766</v>
      </c>
      <c r="D131" s="41" t="s">
        <v>856</v>
      </c>
      <c r="E131" s="41" t="s">
        <v>20</v>
      </c>
      <c r="F131" s="41"/>
      <c r="G131" s="41"/>
      <c r="H131" s="13" t="s">
        <v>7</v>
      </c>
      <c r="I131" s="13"/>
      <c r="J131" s="13"/>
      <c r="K131" s="13"/>
      <c r="L131" s="13"/>
      <c r="M131" s="13"/>
      <c r="N131" s="13"/>
      <c r="O131" s="40" t="s">
        <v>92</v>
      </c>
      <c r="P131" s="41" t="s">
        <v>769</v>
      </c>
      <c r="Q131" s="41" t="s">
        <v>769</v>
      </c>
      <c r="R131" s="41" t="s">
        <v>800</v>
      </c>
      <c r="S131" s="41" t="s">
        <v>142</v>
      </c>
      <c r="T131" s="13" t="s">
        <v>70</v>
      </c>
      <c r="U131" s="41" t="s">
        <v>757</v>
      </c>
      <c r="V131" s="41" t="s">
        <v>757</v>
      </c>
      <c r="W131" s="41" t="s">
        <v>857</v>
      </c>
      <c r="X131" s="41" t="s">
        <v>444</v>
      </c>
      <c r="Y131" s="41" t="s">
        <v>107</v>
      </c>
      <c r="Z131" s="13">
        <v>0</v>
      </c>
      <c r="AA131" s="13"/>
      <c r="AB131" s="13"/>
      <c r="AC131" s="13"/>
      <c r="AD131" s="40">
        <v>72</v>
      </c>
      <c r="AE131" s="40"/>
      <c r="AF131" s="40"/>
      <c r="AG131" s="40"/>
      <c r="AH131" s="40"/>
      <c r="AI131" s="40"/>
      <c r="AJ131" s="40"/>
      <c r="AK131" s="40"/>
      <c r="AL131" s="40"/>
      <c r="AM131" s="47"/>
      <c r="AN131" s="41" t="s">
        <v>843</v>
      </c>
      <c r="AO131" s="43">
        <v>100</v>
      </c>
      <c r="AP131" s="13"/>
      <c r="AQ131" s="40"/>
      <c r="AR131" s="40"/>
      <c r="AS131" s="6"/>
      <c r="AT131" s="6"/>
      <c r="AU131" s="6"/>
      <c r="AV131" s="6"/>
      <c r="AW131" s="12" t="str">
        <f t="shared" si="3"/>
        <v/>
      </c>
      <c r="AX131" s="12" t="str">
        <f t="shared" si="4"/>
        <v/>
      </c>
      <c r="AY131" s="45"/>
    </row>
    <row r="132" spans="1:51" ht="20.100000000000001" customHeight="1" x14ac:dyDescent="0.2">
      <c r="A132" s="13">
        <v>125</v>
      </c>
      <c r="B132" s="40" t="s">
        <v>858</v>
      </c>
      <c r="C132" s="40" t="s">
        <v>766</v>
      </c>
      <c r="D132" s="41" t="s">
        <v>859</v>
      </c>
      <c r="E132" s="41" t="s">
        <v>20</v>
      </c>
      <c r="F132" s="41" t="s">
        <v>185</v>
      </c>
      <c r="G132" s="41"/>
      <c r="H132" s="13" t="s">
        <v>83</v>
      </c>
      <c r="I132" s="13"/>
      <c r="J132" s="13"/>
      <c r="K132" s="13"/>
      <c r="L132" s="13"/>
      <c r="M132" s="13"/>
      <c r="N132" s="13"/>
      <c r="O132" s="40" t="s">
        <v>92</v>
      </c>
      <c r="P132" s="41"/>
      <c r="Q132" s="41" t="s">
        <v>140</v>
      </c>
      <c r="R132" s="41" t="s">
        <v>860</v>
      </c>
      <c r="S132" s="41" t="s">
        <v>444</v>
      </c>
      <c r="T132" s="13" t="s">
        <v>107</v>
      </c>
      <c r="U132" s="41"/>
      <c r="V132" s="41" t="s">
        <v>338</v>
      </c>
      <c r="W132" s="41" t="s">
        <v>861</v>
      </c>
      <c r="X132" s="41" t="s">
        <v>444</v>
      </c>
      <c r="Y132" s="41" t="s">
        <v>107</v>
      </c>
      <c r="Z132" s="13" t="s">
        <v>862</v>
      </c>
      <c r="AA132" s="13"/>
      <c r="AB132" s="13"/>
      <c r="AC132" s="13"/>
      <c r="AD132" s="40">
        <v>150</v>
      </c>
      <c r="AE132" s="40"/>
      <c r="AF132" s="40"/>
      <c r="AG132" s="40"/>
      <c r="AH132" s="40"/>
      <c r="AI132" s="40"/>
      <c r="AJ132" s="40"/>
      <c r="AK132" s="40"/>
      <c r="AL132" s="40"/>
      <c r="AM132" s="15" t="s">
        <v>158</v>
      </c>
      <c r="AN132" s="41" t="s">
        <v>863</v>
      </c>
      <c r="AO132" s="43">
        <v>167</v>
      </c>
      <c r="AP132" s="13">
        <v>14</v>
      </c>
      <c r="AQ132" s="40"/>
      <c r="AR132" s="40"/>
      <c r="AS132" s="44" t="s">
        <v>115</v>
      </c>
      <c r="AT132" s="44" t="s">
        <v>458</v>
      </c>
      <c r="AU132" s="44" t="s">
        <v>396</v>
      </c>
      <c r="AV132" s="44" t="s">
        <v>441</v>
      </c>
      <c r="AW132" s="12">
        <f t="shared" si="3"/>
        <v>90</v>
      </c>
      <c r="AX132" s="12" t="str">
        <f t="shared" si="4"/>
        <v/>
      </c>
      <c r="AY132" s="45"/>
    </row>
    <row r="133" spans="1:51" ht="20.100000000000001" customHeight="1" x14ac:dyDescent="0.2">
      <c r="A133" s="13">
        <v>126</v>
      </c>
      <c r="B133" s="40" t="s">
        <v>858</v>
      </c>
      <c r="C133" s="40" t="s">
        <v>766</v>
      </c>
      <c r="D133" s="41" t="s">
        <v>864</v>
      </c>
      <c r="E133" s="41" t="s">
        <v>8</v>
      </c>
      <c r="F133" s="41" t="s">
        <v>192</v>
      </c>
      <c r="G133" s="41"/>
      <c r="H133" s="13" t="s">
        <v>7</v>
      </c>
      <c r="I133" s="13"/>
      <c r="J133" s="13"/>
      <c r="K133" s="13"/>
      <c r="L133" s="13"/>
      <c r="M133" s="13"/>
      <c r="N133" s="13"/>
      <c r="O133" s="40" t="s">
        <v>67</v>
      </c>
      <c r="P133" s="41"/>
      <c r="Q133" s="41" t="s">
        <v>140</v>
      </c>
      <c r="R133" s="41" t="s">
        <v>865</v>
      </c>
      <c r="S133" s="41" t="s">
        <v>142</v>
      </c>
      <c r="T133" s="13" t="s">
        <v>70</v>
      </c>
      <c r="U133" s="41" t="s">
        <v>429</v>
      </c>
      <c r="V133" s="41" t="s">
        <v>143</v>
      </c>
      <c r="W133" s="41" t="s">
        <v>140</v>
      </c>
      <c r="X133" s="41" t="s">
        <v>142</v>
      </c>
      <c r="Y133" s="41" t="s">
        <v>70</v>
      </c>
      <c r="Z133" s="13" t="s">
        <v>866</v>
      </c>
      <c r="AA133" s="13"/>
      <c r="AB133" s="13"/>
      <c r="AC133" s="13"/>
      <c r="AD133" s="40">
        <v>177</v>
      </c>
      <c r="AE133" s="40"/>
      <c r="AF133" s="40"/>
      <c r="AG133" s="40"/>
      <c r="AH133" s="40"/>
      <c r="AI133" s="40"/>
      <c r="AJ133" s="40"/>
      <c r="AK133" s="40"/>
      <c r="AL133" s="40"/>
      <c r="AM133" s="47"/>
      <c r="AN133" s="41"/>
      <c r="AO133" s="41"/>
      <c r="AP133" s="13"/>
      <c r="AQ133" s="40"/>
      <c r="AR133" s="40"/>
      <c r="AS133" s="6" t="s">
        <v>115</v>
      </c>
      <c r="AT133" s="6" t="s">
        <v>458</v>
      </c>
      <c r="AU133" s="6" t="s">
        <v>867</v>
      </c>
      <c r="AV133" s="6" t="s">
        <v>116</v>
      </c>
      <c r="AW133" s="12">
        <f t="shared" si="3"/>
        <v>125</v>
      </c>
      <c r="AX133" s="12" t="str">
        <f t="shared" si="4"/>
        <v/>
      </c>
      <c r="AY133" s="45"/>
    </row>
    <row r="134" spans="1:51" ht="20.100000000000001" customHeight="1" x14ac:dyDescent="0.2">
      <c r="A134" s="13">
        <v>127</v>
      </c>
      <c r="B134" s="40" t="s">
        <v>868</v>
      </c>
      <c r="C134" s="40" t="s">
        <v>766</v>
      </c>
      <c r="D134" s="41" t="s">
        <v>684</v>
      </c>
      <c r="E134" s="41" t="s">
        <v>6</v>
      </c>
      <c r="F134" s="41"/>
      <c r="G134" s="41"/>
      <c r="H134" s="13" t="s">
        <v>7</v>
      </c>
      <c r="I134" s="13"/>
      <c r="J134" s="13"/>
      <c r="K134" s="13"/>
      <c r="L134" s="13"/>
      <c r="M134" s="13"/>
      <c r="N134" s="13"/>
      <c r="O134" s="40" t="s">
        <v>67</v>
      </c>
      <c r="P134" s="35" t="s">
        <v>218</v>
      </c>
      <c r="Q134" s="35" t="s">
        <v>68</v>
      </c>
      <c r="R134" s="41" t="s">
        <v>709</v>
      </c>
      <c r="S134" s="41" t="s">
        <v>106</v>
      </c>
      <c r="T134" s="13" t="s">
        <v>107</v>
      </c>
      <c r="U134" s="35" t="s">
        <v>268</v>
      </c>
      <c r="V134" s="35" t="s">
        <v>263</v>
      </c>
      <c r="W134" s="41" t="s">
        <v>869</v>
      </c>
      <c r="X134" s="41" t="s">
        <v>142</v>
      </c>
      <c r="Y134" s="41" t="s">
        <v>70</v>
      </c>
      <c r="Z134" s="13">
        <v>0</v>
      </c>
      <c r="AA134" s="13"/>
      <c r="AB134" s="13"/>
      <c r="AC134" s="13"/>
      <c r="AD134" s="40">
        <v>165</v>
      </c>
      <c r="AE134" s="40"/>
      <c r="AF134" s="40"/>
      <c r="AG134" s="40"/>
      <c r="AH134" s="40"/>
      <c r="AI134" s="40"/>
      <c r="AJ134" s="40"/>
      <c r="AK134" s="40"/>
      <c r="AL134" s="40"/>
      <c r="AM134" s="33" t="s">
        <v>158</v>
      </c>
      <c r="AN134" s="41" t="s">
        <v>858</v>
      </c>
      <c r="AO134" s="43">
        <v>220</v>
      </c>
      <c r="AP134" s="13">
        <v>15.5</v>
      </c>
      <c r="AQ134" s="40"/>
      <c r="AR134" s="40"/>
      <c r="AS134" s="44"/>
      <c r="AT134" s="44"/>
      <c r="AU134" s="44"/>
      <c r="AV134" s="44"/>
      <c r="AW134" s="12" t="str">
        <f t="shared" si="3"/>
        <v/>
      </c>
      <c r="AX134" s="12" t="str">
        <f t="shared" si="4"/>
        <v/>
      </c>
      <c r="AY134" s="45"/>
    </row>
    <row r="135" spans="1:51" ht="20.100000000000001" customHeight="1" x14ac:dyDescent="0.2">
      <c r="A135" s="13">
        <v>128</v>
      </c>
      <c r="B135" s="40" t="s">
        <v>868</v>
      </c>
      <c r="C135" s="40" t="s">
        <v>766</v>
      </c>
      <c r="D135" s="41" t="s">
        <v>870</v>
      </c>
      <c r="E135" s="41" t="s">
        <v>10</v>
      </c>
      <c r="F135" s="41" t="s">
        <v>504</v>
      </c>
      <c r="G135" s="41"/>
      <c r="H135" s="13" t="s">
        <v>83</v>
      </c>
      <c r="I135" s="13"/>
      <c r="J135" s="13"/>
      <c r="K135" s="13"/>
      <c r="L135" s="13"/>
      <c r="M135" s="13"/>
      <c r="N135" s="13"/>
      <c r="O135" s="40" t="s">
        <v>92</v>
      </c>
      <c r="P135" s="41"/>
      <c r="Q135" s="41" t="s">
        <v>104</v>
      </c>
      <c r="R135" s="41" t="s">
        <v>871</v>
      </c>
      <c r="S135" s="41" t="s">
        <v>262</v>
      </c>
      <c r="T135" s="13" t="s">
        <v>70</v>
      </c>
      <c r="U135" s="41"/>
      <c r="V135" s="41" t="s">
        <v>361</v>
      </c>
      <c r="W135" s="41" t="s">
        <v>872</v>
      </c>
      <c r="X135" s="41" t="s">
        <v>369</v>
      </c>
      <c r="Y135" s="41" t="s">
        <v>369</v>
      </c>
      <c r="Z135" s="13" t="s">
        <v>873</v>
      </c>
      <c r="AA135" s="13"/>
      <c r="AB135" s="13"/>
      <c r="AC135" s="13"/>
      <c r="AD135" s="40">
        <v>177</v>
      </c>
      <c r="AE135" s="40"/>
      <c r="AF135" s="40"/>
      <c r="AG135" s="40"/>
      <c r="AH135" s="40"/>
      <c r="AI135" s="40"/>
      <c r="AJ135" s="40"/>
      <c r="AK135" s="40"/>
      <c r="AL135" s="40"/>
      <c r="AM135" s="15" t="s">
        <v>158</v>
      </c>
      <c r="AN135" s="41" t="s">
        <v>759</v>
      </c>
      <c r="AO135" s="43">
        <v>193</v>
      </c>
      <c r="AP135" s="13">
        <v>16</v>
      </c>
      <c r="AQ135" s="40"/>
      <c r="AR135" s="40"/>
      <c r="AS135" s="6" t="s">
        <v>115</v>
      </c>
      <c r="AT135" s="6" t="s">
        <v>458</v>
      </c>
      <c r="AU135" s="6" t="s">
        <v>348</v>
      </c>
      <c r="AV135" s="6" t="s">
        <v>525</v>
      </c>
      <c r="AW135" s="12">
        <f t="shared" si="3"/>
        <v>37</v>
      </c>
      <c r="AX135" s="12" t="str">
        <f t="shared" si="4"/>
        <v/>
      </c>
      <c r="AY135" s="45"/>
    </row>
    <row r="136" spans="1:51" ht="20.100000000000001" customHeight="1" x14ac:dyDescent="0.2">
      <c r="A136" s="13">
        <v>129</v>
      </c>
      <c r="B136" s="40" t="s">
        <v>874</v>
      </c>
      <c r="C136" s="40" t="s">
        <v>766</v>
      </c>
      <c r="D136" s="41" t="s">
        <v>875</v>
      </c>
      <c r="E136" s="41" t="s">
        <v>20</v>
      </c>
      <c r="F136" s="41" t="s">
        <v>481</v>
      </c>
      <c r="G136" s="41"/>
      <c r="H136" s="13" t="s">
        <v>83</v>
      </c>
      <c r="I136" s="13"/>
      <c r="J136" s="13"/>
      <c r="K136" s="13"/>
      <c r="L136" s="13"/>
      <c r="M136" s="13"/>
      <c r="N136" s="13"/>
      <c r="O136" s="40" t="s">
        <v>67</v>
      </c>
      <c r="P136" s="41"/>
      <c r="Q136" s="41"/>
      <c r="R136" s="41"/>
      <c r="S136" s="41"/>
      <c r="T136" s="13"/>
      <c r="U136" s="41"/>
      <c r="V136" s="41"/>
      <c r="W136" s="41"/>
      <c r="X136" s="41"/>
      <c r="Y136" s="41"/>
      <c r="Z136" s="13"/>
      <c r="AA136" s="13"/>
      <c r="AB136" s="13"/>
      <c r="AC136" s="13"/>
      <c r="AD136" s="40"/>
      <c r="AE136" s="40"/>
      <c r="AF136" s="40"/>
      <c r="AG136" s="40"/>
      <c r="AH136" s="40"/>
      <c r="AI136" s="40"/>
      <c r="AJ136" s="40"/>
      <c r="AK136" s="40"/>
      <c r="AL136" s="40"/>
      <c r="AM136" s="47"/>
      <c r="AN136" s="41"/>
      <c r="AO136" s="41"/>
      <c r="AP136" s="13"/>
      <c r="AQ136" s="40"/>
      <c r="AR136" s="40"/>
      <c r="AS136" s="44" t="s">
        <v>115</v>
      </c>
      <c r="AT136" s="44" t="s">
        <v>458</v>
      </c>
      <c r="AU136" s="44" t="s">
        <v>348</v>
      </c>
      <c r="AV136" s="44" t="s">
        <v>435</v>
      </c>
      <c r="AW136" s="12">
        <f t="shared" ref="AW136:AW199" si="5">IF(AS136*AU136&gt;0,(AS136-AU136)*12+(AT136-AV136),"")</f>
        <v>39</v>
      </c>
      <c r="AX136" s="12" t="str">
        <f t="shared" si="4"/>
        <v/>
      </c>
      <c r="AY136" s="45"/>
    </row>
    <row r="137" spans="1:51" ht="20.100000000000001" customHeight="1" x14ac:dyDescent="0.2">
      <c r="A137" s="13">
        <v>130</v>
      </c>
      <c r="B137" s="40" t="s">
        <v>874</v>
      </c>
      <c r="C137" s="40" t="s">
        <v>766</v>
      </c>
      <c r="D137" s="41" t="s">
        <v>876</v>
      </c>
      <c r="E137" s="41" t="s">
        <v>20</v>
      </c>
      <c r="F137" s="41"/>
      <c r="G137" s="41"/>
      <c r="H137" s="13" t="s">
        <v>7</v>
      </c>
      <c r="I137" s="13"/>
      <c r="J137" s="13"/>
      <c r="K137" s="13"/>
      <c r="L137" s="13"/>
      <c r="M137" s="13"/>
      <c r="N137" s="13"/>
      <c r="O137" s="40" t="s">
        <v>92</v>
      </c>
      <c r="P137" s="41" t="s">
        <v>140</v>
      </c>
      <c r="Q137" s="41" t="s">
        <v>140</v>
      </c>
      <c r="R137" s="41" t="s">
        <v>877</v>
      </c>
      <c r="S137" s="41" t="s">
        <v>69</v>
      </c>
      <c r="T137" s="13" t="s">
        <v>70</v>
      </c>
      <c r="U137" s="35" t="s">
        <v>338</v>
      </c>
      <c r="V137" s="35" t="s">
        <v>204</v>
      </c>
      <c r="W137" s="41" t="s">
        <v>878</v>
      </c>
      <c r="X137" s="41" t="s">
        <v>142</v>
      </c>
      <c r="Y137" s="41" t="s">
        <v>70</v>
      </c>
      <c r="Z137" s="13">
        <v>0</v>
      </c>
      <c r="AA137" s="13"/>
      <c r="AB137" s="13"/>
      <c r="AC137" s="13"/>
      <c r="AD137" s="40">
        <v>150</v>
      </c>
      <c r="AE137" s="40"/>
      <c r="AF137" s="40"/>
      <c r="AG137" s="40"/>
      <c r="AH137" s="40"/>
      <c r="AI137" s="40"/>
      <c r="AJ137" s="40"/>
      <c r="AK137" s="40"/>
      <c r="AL137" s="40"/>
      <c r="AM137" s="33" t="s">
        <v>158</v>
      </c>
      <c r="AN137" s="41" t="s">
        <v>868</v>
      </c>
      <c r="AO137" s="43">
        <v>197</v>
      </c>
      <c r="AP137" s="13">
        <v>12.5</v>
      </c>
      <c r="AQ137" s="40"/>
      <c r="AR137" s="40"/>
      <c r="AS137" s="6"/>
      <c r="AT137" s="6"/>
      <c r="AU137" s="6"/>
      <c r="AV137" s="6"/>
      <c r="AW137" s="12" t="str">
        <f t="shared" si="5"/>
        <v/>
      </c>
      <c r="AX137" s="12" t="str">
        <f t="shared" ref="AX137:AX200" si="6">IF(AW137&lt;13,AW137,"")</f>
        <v/>
      </c>
      <c r="AY137" s="45"/>
    </row>
    <row r="138" spans="1:51" ht="20.100000000000001" customHeight="1" x14ac:dyDescent="0.2">
      <c r="A138" s="13">
        <v>131</v>
      </c>
      <c r="B138" s="40" t="s">
        <v>879</v>
      </c>
      <c r="C138" s="40" t="s">
        <v>766</v>
      </c>
      <c r="D138" s="41" t="s">
        <v>864</v>
      </c>
      <c r="E138" s="41" t="s">
        <v>8</v>
      </c>
      <c r="F138" s="41"/>
      <c r="G138" s="41"/>
      <c r="H138" s="13" t="s">
        <v>7</v>
      </c>
      <c r="I138" s="13"/>
      <c r="J138" s="13"/>
      <c r="K138" s="13"/>
      <c r="L138" s="13"/>
      <c r="M138" s="13"/>
      <c r="N138" s="13"/>
      <c r="O138" s="40" t="s">
        <v>67</v>
      </c>
      <c r="P138" s="35" t="s">
        <v>140</v>
      </c>
      <c r="Q138" s="35" t="s">
        <v>117</v>
      </c>
      <c r="R138" s="41" t="s">
        <v>815</v>
      </c>
      <c r="S138" s="41" t="s">
        <v>106</v>
      </c>
      <c r="T138" s="13" t="s">
        <v>107</v>
      </c>
      <c r="U138" s="35" t="s">
        <v>143</v>
      </c>
      <c r="V138" s="35" t="s">
        <v>108</v>
      </c>
      <c r="W138" s="41" t="s">
        <v>880</v>
      </c>
      <c r="X138" s="41" t="s">
        <v>106</v>
      </c>
      <c r="Y138" s="41" t="s">
        <v>107</v>
      </c>
      <c r="Z138" s="13">
        <v>0</v>
      </c>
      <c r="AA138" s="13"/>
      <c r="AB138" s="13"/>
      <c r="AC138" s="13"/>
      <c r="AD138" s="40">
        <v>177</v>
      </c>
      <c r="AE138" s="40"/>
      <c r="AF138" s="40"/>
      <c r="AG138" s="40"/>
      <c r="AH138" s="40"/>
      <c r="AI138" s="40"/>
      <c r="AJ138" s="40"/>
      <c r="AK138" s="40"/>
      <c r="AL138" s="40"/>
      <c r="AM138" s="33" t="s">
        <v>158</v>
      </c>
      <c r="AN138" s="41" t="s">
        <v>874</v>
      </c>
      <c r="AO138" s="43">
        <v>94</v>
      </c>
      <c r="AP138" s="13">
        <v>30</v>
      </c>
      <c r="AQ138" s="40"/>
      <c r="AR138" s="40"/>
      <c r="AS138" s="44"/>
      <c r="AT138" s="44"/>
      <c r="AU138" s="44"/>
      <c r="AV138" s="44"/>
      <c r="AW138" s="12" t="str">
        <f t="shared" si="5"/>
        <v/>
      </c>
      <c r="AX138" s="12" t="str">
        <f t="shared" si="6"/>
        <v/>
      </c>
      <c r="AY138" s="45"/>
    </row>
    <row r="139" spans="1:51" ht="20.100000000000001" customHeight="1" x14ac:dyDescent="0.2">
      <c r="A139" s="13">
        <v>132</v>
      </c>
      <c r="B139" s="40" t="s">
        <v>879</v>
      </c>
      <c r="C139" s="40" t="s">
        <v>766</v>
      </c>
      <c r="D139" s="41" t="s">
        <v>881</v>
      </c>
      <c r="E139" s="41" t="s">
        <v>243</v>
      </c>
      <c r="F139" s="41" t="s">
        <v>185</v>
      </c>
      <c r="G139" s="41"/>
      <c r="H139" s="13" t="s">
        <v>83</v>
      </c>
      <c r="I139" s="13"/>
      <c r="J139" s="13"/>
      <c r="K139" s="13"/>
      <c r="L139" s="13"/>
      <c r="M139" s="13"/>
      <c r="N139" s="13"/>
      <c r="O139" s="40" t="s">
        <v>92</v>
      </c>
      <c r="P139" s="41"/>
      <c r="Q139" s="41" t="s">
        <v>68</v>
      </c>
      <c r="R139" s="41" t="s">
        <v>882</v>
      </c>
      <c r="S139" s="41" t="s">
        <v>444</v>
      </c>
      <c r="T139" s="13" t="s">
        <v>107</v>
      </c>
      <c r="U139" s="41"/>
      <c r="V139" s="41" t="s">
        <v>804</v>
      </c>
      <c r="W139" s="41" t="s">
        <v>883</v>
      </c>
      <c r="X139" s="41" t="s">
        <v>444</v>
      </c>
      <c r="Y139" s="41" t="s">
        <v>107</v>
      </c>
      <c r="Z139" s="13" t="s">
        <v>884</v>
      </c>
      <c r="AA139" s="13"/>
      <c r="AB139" s="13"/>
      <c r="AC139" s="13"/>
      <c r="AD139" s="40">
        <v>96</v>
      </c>
      <c r="AE139" s="40"/>
      <c r="AF139" s="40"/>
      <c r="AG139" s="40"/>
      <c r="AH139" s="40"/>
      <c r="AI139" s="40"/>
      <c r="AJ139" s="40"/>
      <c r="AK139" s="40"/>
      <c r="AL139" s="40"/>
      <c r="AM139" s="47"/>
      <c r="AN139" s="41" t="s">
        <v>885</v>
      </c>
      <c r="AO139" s="43">
        <v>133</v>
      </c>
      <c r="AP139" s="13">
        <v>31</v>
      </c>
      <c r="AQ139" s="40"/>
      <c r="AR139" s="40"/>
      <c r="AS139" s="6" t="s">
        <v>115</v>
      </c>
      <c r="AT139" s="6" t="s">
        <v>458</v>
      </c>
      <c r="AU139" s="6" t="s">
        <v>721</v>
      </c>
      <c r="AV139" s="6" t="s">
        <v>435</v>
      </c>
      <c r="AW139" s="12">
        <f t="shared" si="5"/>
        <v>123</v>
      </c>
      <c r="AX139" s="12" t="str">
        <f t="shared" si="6"/>
        <v/>
      </c>
      <c r="AY139" s="45"/>
    </row>
    <row r="140" spans="1:51" ht="20.100000000000001" customHeight="1" x14ac:dyDescent="0.2">
      <c r="A140" s="13">
        <v>133</v>
      </c>
      <c r="B140" s="40" t="s">
        <v>886</v>
      </c>
      <c r="C140" s="40" t="s">
        <v>766</v>
      </c>
      <c r="D140" s="41" t="s">
        <v>887</v>
      </c>
      <c r="E140" s="41" t="s">
        <v>20</v>
      </c>
      <c r="F140" s="41" t="s">
        <v>504</v>
      </c>
      <c r="G140" s="41"/>
      <c r="H140" s="13" t="s">
        <v>83</v>
      </c>
      <c r="I140" s="13"/>
      <c r="J140" s="13"/>
      <c r="K140" s="13"/>
      <c r="L140" s="13"/>
      <c r="M140" s="13"/>
      <c r="N140" s="13"/>
      <c r="O140" s="40" t="s">
        <v>67</v>
      </c>
      <c r="P140" s="41"/>
      <c r="Q140" s="41" t="s">
        <v>140</v>
      </c>
      <c r="R140" s="41" t="s">
        <v>888</v>
      </c>
      <c r="S140" s="41" t="s">
        <v>69</v>
      </c>
      <c r="T140" s="13" t="s">
        <v>70</v>
      </c>
      <c r="U140" s="41"/>
      <c r="V140" s="41" t="s">
        <v>188</v>
      </c>
      <c r="W140" s="41" t="s">
        <v>889</v>
      </c>
      <c r="X140" s="41" t="s">
        <v>262</v>
      </c>
      <c r="Y140" s="41" t="s">
        <v>70</v>
      </c>
      <c r="Z140" s="13" t="s">
        <v>890</v>
      </c>
      <c r="AA140" s="13"/>
      <c r="AB140" s="13"/>
      <c r="AC140" s="13"/>
      <c r="AD140" s="40">
        <v>138</v>
      </c>
      <c r="AE140" s="40"/>
      <c r="AF140" s="40"/>
      <c r="AG140" s="40"/>
      <c r="AH140" s="40"/>
      <c r="AI140" s="40"/>
      <c r="AJ140" s="40"/>
      <c r="AK140" s="40"/>
      <c r="AL140" s="40"/>
      <c r="AM140" s="15" t="s">
        <v>158</v>
      </c>
      <c r="AN140" s="41" t="s">
        <v>891</v>
      </c>
      <c r="AO140" s="43">
        <v>139</v>
      </c>
      <c r="AP140" s="13">
        <v>16</v>
      </c>
      <c r="AQ140" s="40"/>
      <c r="AR140" s="40"/>
      <c r="AS140" s="44" t="s">
        <v>115</v>
      </c>
      <c r="AT140" s="44" t="s">
        <v>458</v>
      </c>
      <c r="AU140" s="44" t="s">
        <v>123</v>
      </c>
      <c r="AV140" s="44" t="s">
        <v>458</v>
      </c>
      <c r="AW140" s="12">
        <f t="shared" si="5"/>
        <v>48</v>
      </c>
      <c r="AX140" s="12" t="str">
        <f t="shared" si="6"/>
        <v/>
      </c>
      <c r="AY140" s="45"/>
    </row>
    <row r="141" spans="1:51" ht="20.100000000000001" customHeight="1" x14ac:dyDescent="0.2">
      <c r="A141" s="13">
        <v>134</v>
      </c>
      <c r="B141" s="40" t="s">
        <v>886</v>
      </c>
      <c r="C141" s="40" t="s">
        <v>766</v>
      </c>
      <c r="D141" s="41" t="s">
        <v>892</v>
      </c>
      <c r="E141" s="41" t="s">
        <v>20</v>
      </c>
      <c r="F141" s="41" t="s">
        <v>186</v>
      </c>
      <c r="G141" s="41"/>
      <c r="H141" s="13" t="s">
        <v>83</v>
      </c>
      <c r="I141" s="13"/>
      <c r="J141" s="13"/>
      <c r="K141" s="13"/>
      <c r="L141" s="13"/>
      <c r="M141" s="13"/>
      <c r="N141" s="13"/>
      <c r="O141" s="40" t="s">
        <v>67</v>
      </c>
      <c r="P141" s="41"/>
      <c r="Q141" s="41" t="s">
        <v>155</v>
      </c>
      <c r="R141" s="41" t="s">
        <v>893</v>
      </c>
      <c r="S141" s="41" t="s">
        <v>69</v>
      </c>
      <c r="T141" s="13" t="s">
        <v>70</v>
      </c>
      <c r="U141" s="41"/>
      <c r="V141" s="41" t="s">
        <v>167</v>
      </c>
      <c r="W141" s="41" t="s">
        <v>894</v>
      </c>
      <c r="X141" s="41" t="s">
        <v>69</v>
      </c>
      <c r="Y141" s="41" t="s">
        <v>70</v>
      </c>
      <c r="Z141" s="13" t="s">
        <v>895</v>
      </c>
      <c r="AA141" s="13"/>
      <c r="AB141" s="13"/>
      <c r="AC141" s="13"/>
      <c r="AD141" s="40">
        <v>222</v>
      </c>
      <c r="AE141" s="40"/>
      <c r="AF141" s="40"/>
      <c r="AG141" s="40"/>
      <c r="AH141" s="40"/>
      <c r="AI141" s="40"/>
      <c r="AJ141" s="40"/>
      <c r="AK141" s="40"/>
      <c r="AL141" s="40"/>
      <c r="AM141" s="47"/>
      <c r="AN141" s="41" t="s">
        <v>896</v>
      </c>
      <c r="AO141" s="43">
        <v>200</v>
      </c>
      <c r="AP141" s="13">
        <v>25</v>
      </c>
      <c r="AQ141" s="40"/>
      <c r="AR141" s="40"/>
      <c r="AS141" s="6" t="s">
        <v>115</v>
      </c>
      <c r="AT141" s="6" t="s">
        <v>458</v>
      </c>
      <c r="AU141" s="6" t="s">
        <v>208</v>
      </c>
      <c r="AV141" s="6" t="s">
        <v>506</v>
      </c>
      <c r="AW141" s="12">
        <f t="shared" si="5"/>
        <v>23</v>
      </c>
      <c r="AX141" s="12" t="str">
        <f t="shared" si="6"/>
        <v/>
      </c>
      <c r="AY141" s="45"/>
    </row>
    <row r="142" spans="1:51" ht="20.100000000000001" customHeight="1" x14ac:dyDescent="0.2">
      <c r="A142" s="13">
        <v>135</v>
      </c>
      <c r="B142" s="40" t="s">
        <v>886</v>
      </c>
      <c r="C142" s="40" t="s">
        <v>766</v>
      </c>
      <c r="D142" s="41" t="s">
        <v>897</v>
      </c>
      <c r="E142" s="41" t="s">
        <v>19</v>
      </c>
      <c r="F142" s="41"/>
      <c r="G142" s="41"/>
      <c r="H142" s="13" t="s">
        <v>7</v>
      </c>
      <c r="I142" s="13"/>
      <c r="J142" s="13"/>
      <c r="K142" s="13"/>
      <c r="L142" s="13"/>
      <c r="M142" s="13"/>
      <c r="N142" s="13"/>
      <c r="O142" s="40" t="s">
        <v>92</v>
      </c>
      <c r="P142" s="35" t="s">
        <v>218</v>
      </c>
      <c r="Q142" s="35" t="s">
        <v>223</v>
      </c>
      <c r="R142" s="41" t="s">
        <v>898</v>
      </c>
      <c r="S142" s="41" t="s">
        <v>69</v>
      </c>
      <c r="T142" s="13" t="s">
        <v>70</v>
      </c>
      <c r="U142" s="35" t="s">
        <v>899</v>
      </c>
      <c r="V142" s="35" t="s">
        <v>230</v>
      </c>
      <c r="W142" s="41" t="s">
        <v>900</v>
      </c>
      <c r="X142" s="41" t="s">
        <v>73</v>
      </c>
      <c r="Y142" s="41" t="s">
        <v>70</v>
      </c>
      <c r="Z142" s="13">
        <v>0</v>
      </c>
      <c r="AA142" s="13"/>
      <c r="AB142" s="13"/>
      <c r="AC142" s="13"/>
      <c r="AD142" s="40">
        <v>216</v>
      </c>
      <c r="AE142" s="40"/>
      <c r="AF142" s="40"/>
      <c r="AG142" s="40"/>
      <c r="AH142" s="40"/>
      <c r="AI142" s="40"/>
      <c r="AJ142" s="40"/>
      <c r="AK142" s="40"/>
      <c r="AL142" s="40"/>
      <c r="AM142" s="33" t="s">
        <v>158</v>
      </c>
      <c r="AN142" s="41" t="s">
        <v>879</v>
      </c>
      <c r="AO142" s="43">
        <v>150</v>
      </c>
      <c r="AP142" s="13">
        <v>9</v>
      </c>
      <c r="AQ142" s="40"/>
      <c r="AR142" s="40"/>
      <c r="AS142" s="44"/>
      <c r="AT142" s="44"/>
      <c r="AU142" s="44"/>
      <c r="AV142" s="44"/>
      <c r="AW142" s="12" t="str">
        <f t="shared" si="5"/>
        <v/>
      </c>
      <c r="AX142" s="12" t="str">
        <f t="shared" si="6"/>
        <v/>
      </c>
      <c r="AY142" s="45"/>
    </row>
    <row r="143" spans="1:51" ht="20.100000000000001" customHeight="1" x14ac:dyDescent="0.2">
      <c r="A143" s="13">
        <v>136</v>
      </c>
      <c r="B143" s="40" t="s">
        <v>901</v>
      </c>
      <c r="C143" s="40" t="s">
        <v>766</v>
      </c>
      <c r="D143" s="41" t="s">
        <v>881</v>
      </c>
      <c r="E143" s="41" t="s">
        <v>243</v>
      </c>
      <c r="F143" s="41"/>
      <c r="G143" s="41"/>
      <c r="H143" s="13" t="s">
        <v>7</v>
      </c>
      <c r="I143" s="13"/>
      <c r="J143" s="13"/>
      <c r="K143" s="13"/>
      <c r="L143" s="13"/>
      <c r="M143" s="13"/>
      <c r="N143" s="13"/>
      <c r="O143" s="40" t="s">
        <v>92</v>
      </c>
      <c r="P143" s="41" t="s">
        <v>68</v>
      </c>
      <c r="Q143" s="41" t="s">
        <v>68</v>
      </c>
      <c r="R143" s="41" t="s">
        <v>902</v>
      </c>
      <c r="S143" s="41" t="s">
        <v>106</v>
      </c>
      <c r="T143" s="13" t="s">
        <v>107</v>
      </c>
      <c r="U143" s="41" t="s">
        <v>804</v>
      </c>
      <c r="V143" s="41" t="s">
        <v>804</v>
      </c>
      <c r="W143" s="41" t="s">
        <v>903</v>
      </c>
      <c r="X143" s="41" t="s">
        <v>369</v>
      </c>
      <c r="Y143" s="41" t="s">
        <v>369</v>
      </c>
      <c r="Z143" s="13">
        <v>0</v>
      </c>
      <c r="AA143" s="13"/>
      <c r="AB143" s="13"/>
      <c r="AC143" s="13"/>
      <c r="AD143" s="40">
        <v>96</v>
      </c>
      <c r="AE143" s="40"/>
      <c r="AF143" s="40"/>
      <c r="AG143" s="40"/>
      <c r="AH143" s="40"/>
      <c r="AI143" s="40"/>
      <c r="AJ143" s="40"/>
      <c r="AK143" s="40"/>
      <c r="AL143" s="40"/>
      <c r="AM143" s="47"/>
      <c r="AN143" s="41" t="s">
        <v>904</v>
      </c>
      <c r="AO143" s="43">
        <v>125</v>
      </c>
      <c r="AP143" s="13">
        <v>30</v>
      </c>
      <c r="AQ143" s="40"/>
      <c r="AR143" s="40"/>
      <c r="AS143" s="6"/>
      <c r="AT143" s="6"/>
      <c r="AU143" s="6"/>
      <c r="AV143" s="6"/>
      <c r="AW143" s="12" t="str">
        <f t="shared" si="5"/>
        <v/>
      </c>
      <c r="AX143" s="12" t="str">
        <f t="shared" si="6"/>
        <v/>
      </c>
      <c r="AY143" s="45"/>
    </row>
    <row r="144" spans="1:51" ht="20.100000000000001" customHeight="1" x14ac:dyDescent="0.2">
      <c r="A144" s="13">
        <v>137</v>
      </c>
      <c r="B144" s="40" t="s">
        <v>901</v>
      </c>
      <c r="C144" s="40" t="s">
        <v>766</v>
      </c>
      <c r="D144" s="41" t="s">
        <v>905</v>
      </c>
      <c r="E144" s="41" t="s">
        <v>19</v>
      </c>
      <c r="F144" s="41"/>
      <c r="G144" s="41"/>
      <c r="H144" s="13" t="s">
        <v>7</v>
      </c>
      <c r="I144" s="13"/>
      <c r="J144" s="13"/>
      <c r="K144" s="13"/>
      <c r="L144" s="13"/>
      <c r="M144" s="13"/>
      <c r="N144" s="13"/>
      <c r="O144" s="40" t="s">
        <v>67</v>
      </c>
      <c r="P144" s="35" t="s">
        <v>104</v>
      </c>
      <c r="Q144" s="35" t="s">
        <v>68</v>
      </c>
      <c r="R144" s="41" t="s">
        <v>906</v>
      </c>
      <c r="S144" s="41" t="s">
        <v>106</v>
      </c>
      <c r="T144" s="13" t="s">
        <v>107</v>
      </c>
      <c r="U144" s="35" t="s">
        <v>108</v>
      </c>
      <c r="V144" s="35" t="s">
        <v>332</v>
      </c>
      <c r="W144" s="41" t="s">
        <v>907</v>
      </c>
      <c r="X144" s="41" t="s">
        <v>142</v>
      </c>
      <c r="Y144" s="41" t="s">
        <v>70</v>
      </c>
      <c r="Z144" s="13">
        <v>0</v>
      </c>
      <c r="AA144" s="13"/>
      <c r="AB144" s="13"/>
      <c r="AC144" s="13"/>
      <c r="AD144" s="40">
        <v>243</v>
      </c>
      <c r="AE144" s="40"/>
      <c r="AF144" s="40"/>
      <c r="AG144" s="40"/>
      <c r="AH144" s="40"/>
      <c r="AI144" s="40"/>
      <c r="AJ144" s="40"/>
      <c r="AK144" s="40"/>
      <c r="AL144" s="40"/>
      <c r="AM144" s="33" t="s">
        <v>158</v>
      </c>
      <c r="AN144" s="41" t="s">
        <v>886</v>
      </c>
      <c r="AO144" s="43">
        <v>155</v>
      </c>
      <c r="AP144" s="13">
        <v>26.5</v>
      </c>
      <c r="AQ144" s="40"/>
      <c r="AR144" s="40"/>
      <c r="AS144" s="44"/>
      <c r="AT144" s="44"/>
      <c r="AU144" s="44"/>
      <c r="AV144" s="44"/>
      <c r="AW144" s="12" t="str">
        <f t="shared" si="5"/>
        <v/>
      </c>
      <c r="AX144" s="12" t="str">
        <f t="shared" si="6"/>
        <v/>
      </c>
      <c r="AY144" s="45"/>
    </row>
    <row r="145" spans="1:51" s="19" customFormat="1" ht="20.100000000000001" customHeight="1" x14ac:dyDescent="0.2">
      <c r="A145" s="13">
        <v>138</v>
      </c>
      <c r="B145" s="16" t="s">
        <v>908</v>
      </c>
      <c r="C145" s="16" t="s">
        <v>766</v>
      </c>
      <c r="D145" s="6" t="s">
        <v>286</v>
      </c>
      <c r="E145" s="6" t="s">
        <v>9</v>
      </c>
      <c r="F145" s="6" t="s">
        <v>481</v>
      </c>
      <c r="G145" s="6"/>
      <c r="H145" s="15" t="s">
        <v>83</v>
      </c>
      <c r="I145" s="15"/>
      <c r="J145" s="15"/>
      <c r="K145" s="15"/>
      <c r="L145" s="15"/>
      <c r="M145" s="15"/>
      <c r="N145" s="15"/>
      <c r="O145" s="16" t="s">
        <v>92</v>
      </c>
      <c r="P145" s="6"/>
      <c r="Q145" s="6" t="s">
        <v>68</v>
      </c>
      <c r="R145" s="6" t="s">
        <v>909</v>
      </c>
      <c r="S145" s="6" t="s">
        <v>119</v>
      </c>
      <c r="T145" s="15" t="s">
        <v>107</v>
      </c>
      <c r="U145" s="6"/>
      <c r="V145" s="6" t="s">
        <v>263</v>
      </c>
      <c r="W145" s="6" t="s">
        <v>910</v>
      </c>
      <c r="X145" s="6" t="s">
        <v>119</v>
      </c>
      <c r="Y145" s="6" t="s">
        <v>107</v>
      </c>
      <c r="Z145" s="15" t="s">
        <v>911</v>
      </c>
      <c r="AA145" s="15"/>
      <c r="AB145" s="15"/>
      <c r="AC145" s="15"/>
      <c r="AD145" s="16">
        <v>186</v>
      </c>
      <c r="AE145" s="16"/>
      <c r="AF145" s="16"/>
      <c r="AG145" s="16"/>
      <c r="AH145" s="16"/>
      <c r="AI145" s="16"/>
      <c r="AJ145" s="16"/>
      <c r="AK145" s="16"/>
      <c r="AL145" s="16"/>
      <c r="AM145" s="17"/>
      <c r="AN145" s="6" t="s">
        <v>475</v>
      </c>
      <c r="AO145" s="25">
        <v>215</v>
      </c>
      <c r="AP145" s="15">
        <v>19</v>
      </c>
      <c r="AQ145" s="16"/>
      <c r="AR145" s="16"/>
      <c r="AS145" s="6" t="s">
        <v>115</v>
      </c>
      <c r="AT145" s="6" t="s">
        <v>458</v>
      </c>
      <c r="AU145" s="6" t="s">
        <v>136</v>
      </c>
      <c r="AV145" s="6" t="s">
        <v>435</v>
      </c>
      <c r="AW145" s="46">
        <f t="shared" si="5"/>
        <v>15</v>
      </c>
      <c r="AX145" s="46" t="str">
        <f t="shared" si="6"/>
        <v/>
      </c>
      <c r="AY145" s="18"/>
    </row>
    <row r="146" spans="1:51" ht="20.100000000000001" customHeight="1" x14ac:dyDescent="0.2">
      <c r="A146" s="13">
        <v>139</v>
      </c>
      <c r="B146" s="40" t="s">
        <v>908</v>
      </c>
      <c r="C146" s="40" t="s">
        <v>766</v>
      </c>
      <c r="D146" s="41" t="s">
        <v>912</v>
      </c>
      <c r="E146" s="41" t="s">
        <v>6</v>
      </c>
      <c r="F146" s="41" t="s">
        <v>481</v>
      </c>
      <c r="G146" s="41"/>
      <c r="H146" s="13" t="s">
        <v>83</v>
      </c>
      <c r="I146" s="13"/>
      <c r="J146" s="13"/>
      <c r="K146" s="13"/>
      <c r="L146" s="13"/>
      <c r="M146" s="13"/>
      <c r="N146" s="13"/>
      <c r="O146" s="40" t="s">
        <v>67</v>
      </c>
      <c r="P146" s="41"/>
      <c r="Q146" s="41" t="s">
        <v>155</v>
      </c>
      <c r="R146" s="41" t="s">
        <v>913</v>
      </c>
      <c r="S146" s="41" t="s">
        <v>574</v>
      </c>
      <c r="T146" s="13" t="s">
        <v>107</v>
      </c>
      <c r="U146" s="41"/>
      <c r="V146" s="41" t="s">
        <v>324</v>
      </c>
      <c r="W146" s="41" t="s">
        <v>914</v>
      </c>
      <c r="X146" s="41" t="s">
        <v>574</v>
      </c>
      <c r="Y146" s="41" t="s">
        <v>107</v>
      </c>
      <c r="Z146" s="13" t="s">
        <v>915</v>
      </c>
      <c r="AA146" s="13"/>
      <c r="AB146" s="13"/>
      <c r="AC146" s="13"/>
      <c r="AD146" s="40">
        <v>210</v>
      </c>
      <c r="AE146" s="40"/>
      <c r="AF146" s="40"/>
      <c r="AG146" s="40"/>
      <c r="AH146" s="40"/>
      <c r="AI146" s="40"/>
      <c r="AJ146" s="40"/>
      <c r="AK146" s="40"/>
      <c r="AL146" s="40"/>
      <c r="AM146" s="15" t="s">
        <v>158</v>
      </c>
      <c r="AN146" s="41" t="s">
        <v>916</v>
      </c>
      <c r="AO146" s="43">
        <v>184</v>
      </c>
      <c r="AP146" s="13">
        <v>25</v>
      </c>
      <c r="AQ146" s="40"/>
      <c r="AR146" s="40"/>
      <c r="AS146" s="6">
        <v>1401</v>
      </c>
      <c r="AT146" s="6">
        <v>4</v>
      </c>
      <c r="AU146" s="6">
        <v>1399</v>
      </c>
      <c r="AV146" s="6">
        <v>7</v>
      </c>
      <c r="AW146" s="12">
        <f t="shared" si="5"/>
        <v>21</v>
      </c>
      <c r="AX146" s="12" t="str">
        <f t="shared" si="6"/>
        <v/>
      </c>
      <c r="AY146" s="45"/>
    </row>
    <row r="147" spans="1:51" ht="20.100000000000001" customHeight="1" x14ac:dyDescent="0.2">
      <c r="A147" s="13">
        <v>140</v>
      </c>
      <c r="B147" s="40" t="s">
        <v>917</v>
      </c>
      <c r="C147" s="40" t="s">
        <v>766</v>
      </c>
      <c r="D147" s="41" t="s">
        <v>918</v>
      </c>
      <c r="E147" s="41" t="s">
        <v>66</v>
      </c>
      <c r="F147" s="41" t="s">
        <v>481</v>
      </c>
      <c r="G147" s="41"/>
      <c r="H147" s="13" t="s">
        <v>83</v>
      </c>
      <c r="I147" s="13"/>
      <c r="J147" s="13"/>
      <c r="K147" s="13"/>
      <c r="L147" s="13"/>
      <c r="M147" s="13"/>
      <c r="N147" s="13"/>
      <c r="O147" s="40" t="s">
        <v>67</v>
      </c>
      <c r="P147" s="41"/>
      <c r="Q147" s="41"/>
      <c r="R147" s="41"/>
      <c r="S147" s="41"/>
      <c r="T147" s="13"/>
      <c r="U147" s="41"/>
      <c r="V147" s="41"/>
      <c r="W147" s="41"/>
      <c r="X147" s="41"/>
      <c r="Y147" s="41"/>
      <c r="Z147" s="13"/>
      <c r="AA147" s="13"/>
      <c r="AB147" s="13"/>
      <c r="AC147" s="13"/>
      <c r="AD147" s="40"/>
      <c r="AE147" s="40"/>
      <c r="AF147" s="40"/>
      <c r="AG147" s="40"/>
      <c r="AH147" s="40"/>
      <c r="AI147" s="40"/>
      <c r="AJ147" s="40"/>
      <c r="AK147" s="40"/>
      <c r="AL147" s="40"/>
      <c r="AM147" s="47"/>
      <c r="AN147" s="41"/>
      <c r="AO147" s="41"/>
      <c r="AP147" s="13"/>
      <c r="AQ147" s="40"/>
      <c r="AR147" s="40"/>
      <c r="AS147" s="6"/>
      <c r="AT147" s="6"/>
      <c r="AU147" s="6"/>
      <c r="AV147" s="6"/>
      <c r="AW147" s="12" t="str">
        <f t="shared" si="5"/>
        <v/>
      </c>
      <c r="AX147" s="12" t="str">
        <f t="shared" si="6"/>
        <v/>
      </c>
      <c r="AY147" s="45"/>
    </row>
    <row r="148" spans="1:51" ht="20.100000000000001" customHeight="1" x14ac:dyDescent="0.2">
      <c r="A148" s="13">
        <v>141</v>
      </c>
      <c r="B148" s="40" t="s">
        <v>917</v>
      </c>
      <c r="C148" s="40" t="s">
        <v>766</v>
      </c>
      <c r="D148" s="41" t="s">
        <v>286</v>
      </c>
      <c r="E148" s="41" t="s">
        <v>9</v>
      </c>
      <c r="F148" s="41"/>
      <c r="G148" s="41"/>
      <c r="H148" s="13" t="s">
        <v>7</v>
      </c>
      <c r="I148" s="13"/>
      <c r="J148" s="13"/>
      <c r="K148" s="13"/>
      <c r="L148" s="13"/>
      <c r="M148" s="13"/>
      <c r="N148" s="13"/>
      <c r="O148" s="40" t="s">
        <v>92</v>
      </c>
      <c r="P148" s="41" t="s">
        <v>68</v>
      </c>
      <c r="Q148" s="41" t="s">
        <v>68</v>
      </c>
      <c r="R148" s="41" t="s">
        <v>301</v>
      </c>
      <c r="S148" s="41" t="s">
        <v>106</v>
      </c>
      <c r="T148" s="13" t="s">
        <v>107</v>
      </c>
      <c r="U148" s="41" t="s">
        <v>263</v>
      </c>
      <c r="V148" s="41" t="s">
        <v>263</v>
      </c>
      <c r="W148" s="41" t="s">
        <v>519</v>
      </c>
      <c r="X148" s="41" t="s">
        <v>369</v>
      </c>
      <c r="Y148" s="41" t="s">
        <v>369</v>
      </c>
      <c r="Z148" s="13">
        <v>0</v>
      </c>
      <c r="AA148" s="13"/>
      <c r="AB148" s="13"/>
      <c r="AC148" s="13"/>
      <c r="AD148" s="40"/>
      <c r="AE148" s="40"/>
      <c r="AF148" s="40"/>
      <c r="AG148" s="40"/>
      <c r="AH148" s="40"/>
      <c r="AI148" s="40"/>
      <c r="AJ148" s="40"/>
      <c r="AK148" s="40"/>
      <c r="AL148" s="40"/>
      <c r="AM148" s="47"/>
      <c r="AN148" s="41" t="s">
        <v>919</v>
      </c>
      <c r="AO148" s="43">
        <v>215</v>
      </c>
      <c r="AP148" s="13">
        <v>16.899999999999999</v>
      </c>
      <c r="AQ148" s="40"/>
      <c r="AR148" s="40"/>
      <c r="AS148" s="6"/>
      <c r="AT148" s="6"/>
      <c r="AU148" s="6"/>
      <c r="AV148" s="6"/>
      <c r="AW148" s="12" t="str">
        <f t="shared" si="5"/>
        <v/>
      </c>
      <c r="AX148" s="12" t="str">
        <f t="shared" si="6"/>
        <v/>
      </c>
      <c r="AY148" s="45"/>
    </row>
    <row r="149" spans="1:51" s="21" customFormat="1" ht="20.100000000000001" customHeight="1" x14ac:dyDescent="0.2">
      <c r="A149" s="13">
        <v>142</v>
      </c>
      <c r="B149" s="29" t="s">
        <v>920</v>
      </c>
      <c r="C149" s="29" t="s">
        <v>766</v>
      </c>
      <c r="D149" s="30" t="s">
        <v>921</v>
      </c>
      <c r="E149" s="30" t="s">
        <v>10</v>
      </c>
      <c r="F149" s="30" t="s">
        <v>922</v>
      </c>
      <c r="G149" s="30"/>
      <c r="H149" s="20" t="s">
        <v>83</v>
      </c>
      <c r="I149" s="20"/>
      <c r="J149" s="20"/>
      <c r="K149" s="20"/>
      <c r="L149" s="20"/>
      <c r="M149" s="20"/>
      <c r="N149" s="20"/>
      <c r="O149" s="29" t="s">
        <v>92</v>
      </c>
      <c r="P149" s="30"/>
      <c r="Q149" s="30" t="s">
        <v>117</v>
      </c>
      <c r="R149" s="30" t="s">
        <v>923</v>
      </c>
      <c r="S149" s="30" t="s">
        <v>119</v>
      </c>
      <c r="T149" s="20" t="s">
        <v>107</v>
      </c>
      <c r="U149" s="30"/>
      <c r="V149" s="30" t="s">
        <v>120</v>
      </c>
      <c r="W149" s="30" t="s">
        <v>924</v>
      </c>
      <c r="X149" s="30" t="s">
        <v>119</v>
      </c>
      <c r="Y149" s="30" t="s">
        <v>107</v>
      </c>
      <c r="Z149" s="20" t="s">
        <v>925</v>
      </c>
      <c r="AA149" s="20"/>
      <c r="AB149" s="20"/>
      <c r="AC149" s="20"/>
      <c r="AD149" s="29">
        <v>156</v>
      </c>
      <c r="AE149" s="29"/>
      <c r="AF149" s="29"/>
      <c r="AG149" s="29"/>
      <c r="AH149" s="29"/>
      <c r="AI149" s="29"/>
      <c r="AJ149" s="29"/>
      <c r="AK149" s="29"/>
      <c r="AL149" s="29"/>
      <c r="AM149" s="39"/>
      <c r="AN149" s="30" t="s">
        <v>926</v>
      </c>
      <c r="AO149" s="36">
        <v>167</v>
      </c>
      <c r="AP149" s="20">
        <v>19</v>
      </c>
      <c r="AQ149" s="29"/>
      <c r="AR149" s="29"/>
      <c r="AS149" s="30">
        <v>1401</v>
      </c>
      <c r="AT149" s="30">
        <v>4</v>
      </c>
      <c r="AU149" s="30">
        <v>1400</v>
      </c>
      <c r="AV149" s="30">
        <v>5</v>
      </c>
      <c r="AW149" s="31">
        <f t="shared" si="5"/>
        <v>11</v>
      </c>
      <c r="AX149" s="31">
        <f t="shared" si="6"/>
        <v>11</v>
      </c>
      <c r="AY149" s="32"/>
    </row>
    <row r="150" spans="1:51" ht="20.100000000000001" customHeight="1" x14ac:dyDescent="0.2">
      <c r="A150" s="13">
        <v>143</v>
      </c>
      <c r="B150" s="40" t="s">
        <v>798</v>
      </c>
      <c r="C150" s="40" t="s">
        <v>766</v>
      </c>
      <c r="D150" s="41" t="s">
        <v>927</v>
      </c>
      <c r="E150" s="41" t="s">
        <v>66</v>
      </c>
      <c r="F150" s="41" t="s">
        <v>192</v>
      </c>
      <c r="G150" s="41"/>
      <c r="H150" s="13" t="s">
        <v>7</v>
      </c>
      <c r="I150" s="13"/>
      <c r="J150" s="13"/>
      <c r="K150" s="13"/>
      <c r="L150" s="13"/>
      <c r="M150" s="13"/>
      <c r="N150" s="13"/>
      <c r="O150" s="40" t="s">
        <v>67</v>
      </c>
      <c r="P150" s="41" t="s">
        <v>226</v>
      </c>
      <c r="Q150" s="41" t="s">
        <v>226</v>
      </c>
      <c r="R150" s="41" t="s">
        <v>928</v>
      </c>
      <c r="S150" s="41" t="s">
        <v>106</v>
      </c>
      <c r="T150" s="13" t="s">
        <v>107</v>
      </c>
      <c r="U150" s="41" t="s">
        <v>425</v>
      </c>
      <c r="V150" s="41" t="s">
        <v>425</v>
      </c>
      <c r="W150" s="41" t="s">
        <v>929</v>
      </c>
      <c r="X150" s="41" t="s">
        <v>69</v>
      </c>
      <c r="Y150" s="41" t="s">
        <v>70</v>
      </c>
      <c r="Z150" s="13">
        <v>0</v>
      </c>
      <c r="AA150" s="13"/>
      <c r="AB150" s="13"/>
      <c r="AC150" s="13"/>
      <c r="AD150" s="40">
        <v>135</v>
      </c>
      <c r="AE150" s="40"/>
      <c r="AF150" s="40"/>
      <c r="AG150" s="40"/>
      <c r="AH150" s="40"/>
      <c r="AI150" s="40"/>
      <c r="AJ150" s="40"/>
      <c r="AK150" s="40"/>
      <c r="AL150" s="40"/>
      <c r="AM150" s="47"/>
      <c r="AN150" s="41" t="s">
        <v>908</v>
      </c>
      <c r="AO150" s="43">
        <v>150</v>
      </c>
      <c r="AP150" s="13">
        <v>5.2</v>
      </c>
      <c r="AQ150" s="40"/>
      <c r="AR150" s="40"/>
      <c r="AS150" s="6"/>
      <c r="AT150" s="6"/>
      <c r="AU150" s="6"/>
      <c r="AV150" s="6"/>
      <c r="AW150" s="12" t="str">
        <f t="shared" si="5"/>
        <v/>
      </c>
      <c r="AX150" s="12" t="str">
        <f t="shared" si="6"/>
        <v/>
      </c>
      <c r="AY150" s="45"/>
    </row>
    <row r="151" spans="1:51" ht="20.100000000000001" customHeight="1" x14ac:dyDescent="0.2">
      <c r="A151" s="13">
        <v>144</v>
      </c>
      <c r="B151" s="40" t="s">
        <v>930</v>
      </c>
      <c r="C151" s="40" t="s">
        <v>766</v>
      </c>
      <c r="D151" s="41" t="s">
        <v>931</v>
      </c>
      <c r="E151" s="41" t="s">
        <v>66</v>
      </c>
      <c r="F151" s="41" t="s">
        <v>192</v>
      </c>
      <c r="G151" s="41"/>
      <c r="H151" s="13" t="s">
        <v>7</v>
      </c>
      <c r="I151" s="13"/>
      <c r="J151" s="13"/>
      <c r="K151" s="13"/>
      <c r="L151" s="13"/>
      <c r="M151" s="13"/>
      <c r="N151" s="13"/>
      <c r="O151" s="40" t="s">
        <v>67</v>
      </c>
      <c r="P151" s="41" t="s">
        <v>140</v>
      </c>
      <c r="Q151" s="41" t="s">
        <v>140</v>
      </c>
      <c r="R151" s="41" t="s">
        <v>932</v>
      </c>
      <c r="S151" s="41" t="s">
        <v>106</v>
      </c>
      <c r="T151" s="13" t="s">
        <v>107</v>
      </c>
      <c r="U151" s="41" t="s">
        <v>328</v>
      </c>
      <c r="V151" s="41" t="s">
        <v>328</v>
      </c>
      <c r="W151" s="41" t="s">
        <v>933</v>
      </c>
      <c r="X151" s="41" t="s">
        <v>369</v>
      </c>
      <c r="Y151" s="41" t="s">
        <v>369</v>
      </c>
      <c r="Z151" s="13">
        <v>0</v>
      </c>
      <c r="AA151" s="13"/>
      <c r="AB151" s="13"/>
      <c r="AC151" s="13"/>
      <c r="AD151" s="40">
        <v>153</v>
      </c>
      <c r="AE151" s="40"/>
      <c r="AF151" s="40"/>
      <c r="AG151" s="40"/>
      <c r="AH151" s="40"/>
      <c r="AI151" s="40"/>
      <c r="AJ151" s="40"/>
      <c r="AK151" s="40"/>
      <c r="AL151" s="40"/>
      <c r="AM151" s="47"/>
      <c r="AN151" s="41" t="s">
        <v>917</v>
      </c>
      <c r="AO151" s="43">
        <v>168</v>
      </c>
      <c r="AP151" s="13">
        <v>12.7</v>
      </c>
      <c r="AQ151" s="40"/>
      <c r="AR151" s="40"/>
      <c r="AS151" s="6"/>
      <c r="AT151" s="6"/>
      <c r="AU151" s="6"/>
      <c r="AV151" s="6"/>
      <c r="AW151" s="12" t="str">
        <f t="shared" si="5"/>
        <v/>
      </c>
      <c r="AX151" s="12" t="str">
        <f t="shared" si="6"/>
        <v/>
      </c>
      <c r="AY151" s="45"/>
    </row>
    <row r="152" spans="1:51" ht="20.100000000000001" customHeight="1" x14ac:dyDescent="0.2">
      <c r="A152" s="13">
        <v>145</v>
      </c>
      <c r="B152" s="40" t="s">
        <v>934</v>
      </c>
      <c r="C152" s="40" t="s">
        <v>935</v>
      </c>
      <c r="D152" s="41" t="s">
        <v>912</v>
      </c>
      <c r="E152" s="41" t="s">
        <v>6</v>
      </c>
      <c r="F152" s="41"/>
      <c r="G152" s="41"/>
      <c r="H152" s="13" t="s">
        <v>7</v>
      </c>
      <c r="I152" s="13"/>
      <c r="J152" s="13"/>
      <c r="K152" s="13"/>
      <c r="L152" s="13"/>
      <c r="M152" s="13"/>
      <c r="N152" s="13"/>
      <c r="O152" s="40" t="s">
        <v>67</v>
      </c>
      <c r="P152" s="41" t="s">
        <v>155</v>
      </c>
      <c r="Q152" s="41" t="s">
        <v>155</v>
      </c>
      <c r="R152" s="41" t="s">
        <v>780</v>
      </c>
      <c r="S152" s="41" t="s">
        <v>69</v>
      </c>
      <c r="T152" s="13" t="s">
        <v>70</v>
      </c>
      <c r="U152" s="35" t="s">
        <v>324</v>
      </c>
      <c r="V152" s="35" t="s">
        <v>156</v>
      </c>
      <c r="W152" s="41" t="s">
        <v>936</v>
      </c>
      <c r="X152" s="41" t="s">
        <v>106</v>
      </c>
      <c r="Y152" s="41" t="s">
        <v>107</v>
      </c>
      <c r="Z152" s="13">
        <v>0</v>
      </c>
      <c r="AA152" s="13"/>
      <c r="AB152" s="13"/>
      <c r="AC152" s="13"/>
      <c r="AD152" s="40">
        <v>210</v>
      </c>
      <c r="AE152" s="40"/>
      <c r="AF152" s="40"/>
      <c r="AG152" s="40"/>
      <c r="AH152" s="40"/>
      <c r="AI152" s="40"/>
      <c r="AJ152" s="40"/>
      <c r="AK152" s="40"/>
      <c r="AL152" s="40"/>
      <c r="AM152" s="33" t="s">
        <v>158</v>
      </c>
      <c r="AN152" s="41" t="s">
        <v>798</v>
      </c>
      <c r="AO152" s="43">
        <v>235</v>
      </c>
      <c r="AP152" s="13">
        <v>20</v>
      </c>
      <c r="AQ152" s="40"/>
      <c r="AR152" s="40"/>
      <c r="AS152" s="6"/>
      <c r="AT152" s="6"/>
      <c r="AU152" s="6"/>
      <c r="AV152" s="6"/>
      <c r="AW152" s="12" t="str">
        <f t="shared" si="5"/>
        <v/>
      </c>
      <c r="AX152" s="12" t="str">
        <f t="shared" si="6"/>
        <v/>
      </c>
      <c r="AY152" s="45"/>
    </row>
    <row r="153" spans="1:51" ht="20.100000000000001" customHeight="1" x14ac:dyDescent="0.2">
      <c r="A153" s="13">
        <v>146</v>
      </c>
      <c r="B153" s="40" t="s">
        <v>937</v>
      </c>
      <c r="C153" s="40" t="s">
        <v>935</v>
      </c>
      <c r="D153" s="41" t="s">
        <v>938</v>
      </c>
      <c r="E153" s="41" t="s">
        <v>243</v>
      </c>
      <c r="F153" s="41" t="s">
        <v>186</v>
      </c>
      <c r="G153" s="41"/>
      <c r="H153" s="13" t="s">
        <v>83</v>
      </c>
      <c r="I153" s="13"/>
      <c r="J153" s="13"/>
      <c r="K153" s="13"/>
      <c r="L153" s="13"/>
      <c r="M153" s="13"/>
      <c r="N153" s="13"/>
      <c r="O153" s="40" t="s">
        <v>67</v>
      </c>
      <c r="P153" s="41"/>
      <c r="Q153" s="41" t="s">
        <v>117</v>
      </c>
      <c r="R153" s="41" t="s">
        <v>939</v>
      </c>
      <c r="S153" s="41" t="s">
        <v>262</v>
      </c>
      <c r="T153" s="13" t="s">
        <v>70</v>
      </c>
      <c r="U153" s="41"/>
      <c r="V153" s="41" t="s">
        <v>143</v>
      </c>
      <c r="W153" s="41" t="s">
        <v>940</v>
      </c>
      <c r="X153" s="41" t="s">
        <v>119</v>
      </c>
      <c r="Y153" s="41" t="s">
        <v>107</v>
      </c>
      <c r="Z153" s="13" t="s">
        <v>941</v>
      </c>
      <c r="AA153" s="13"/>
      <c r="AB153" s="13"/>
      <c r="AC153" s="13"/>
      <c r="AD153" s="40">
        <v>108</v>
      </c>
      <c r="AE153" s="40"/>
      <c r="AF153" s="40"/>
      <c r="AG153" s="40"/>
      <c r="AH153" s="40"/>
      <c r="AI153" s="40"/>
      <c r="AJ153" s="40"/>
      <c r="AK153" s="40"/>
      <c r="AL153" s="40"/>
      <c r="AM153" s="15" t="s">
        <v>158</v>
      </c>
      <c r="AN153" s="41" t="s">
        <v>942</v>
      </c>
      <c r="AO153" s="43">
        <v>86</v>
      </c>
      <c r="AP153" s="13">
        <v>30</v>
      </c>
      <c r="AQ153" s="40"/>
      <c r="AR153" s="40"/>
      <c r="AS153" s="6">
        <v>1401</v>
      </c>
      <c r="AT153" s="6">
        <v>5</v>
      </c>
      <c r="AU153" s="6">
        <v>1395</v>
      </c>
      <c r="AV153" s="6">
        <v>7</v>
      </c>
      <c r="AW153" s="12">
        <f t="shared" si="5"/>
        <v>70</v>
      </c>
      <c r="AX153" s="12" t="str">
        <f t="shared" si="6"/>
        <v/>
      </c>
      <c r="AY153" s="45"/>
    </row>
    <row r="154" spans="1:51" ht="20.100000000000001" customHeight="1" x14ac:dyDescent="0.2">
      <c r="A154" s="13">
        <v>147</v>
      </c>
      <c r="B154" s="40" t="s">
        <v>943</v>
      </c>
      <c r="C154" s="40" t="s">
        <v>935</v>
      </c>
      <c r="D154" s="41" t="s">
        <v>944</v>
      </c>
      <c r="E154" s="41" t="s">
        <v>20</v>
      </c>
      <c r="F154" s="41" t="s">
        <v>945</v>
      </c>
      <c r="G154" s="41"/>
      <c r="H154" s="13" t="s">
        <v>83</v>
      </c>
      <c r="I154" s="13"/>
      <c r="J154" s="13"/>
      <c r="K154" s="13"/>
      <c r="L154" s="13"/>
      <c r="M154" s="13"/>
      <c r="N154" s="13"/>
      <c r="O154" s="40" t="s">
        <v>67</v>
      </c>
      <c r="P154" s="41"/>
      <c r="Q154" s="41" t="s">
        <v>155</v>
      </c>
      <c r="R154" s="41" t="s">
        <v>946</v>
      </c>
      <c r="S154" s="41" t="s">
        <v>119</v>
      </c>
      <c r="T154" s="13" t="s">
        <v>107</v>
      </c>
      <c r="U154" s="41"/>
      <c r="V154" s="41" t="s">
        <v>156</v>
      </c>
      <c r="W154" s="41" t="s">
        <v>947</v>
      </c>
      <c r="X154" s="41" t="s">
        <v>119</v>
      </c>
      <c r="Y154" s="41" t="s">
        <v>107</v>
      </c>
      <c r="Z154" s="13" t="s">
        <v>948</v>
      </c>
      <c r="AA154" s="13"/>
      <c r="AB154" s="13"/>
      <c r="AC154" s="13"/>
      <c r="AD154" s="40">
        <v>222</v>
      </c>
      <c r="AE154" s="40"/>
      <c r="AF154" s="40"/>
      <c r="AG154" s="40"/>
      <c r="AH154" s="40"/>
      <c r="AI154" s="40"/>
      <c r="AJ154" s="40"/>
      <c r="AK154" s="40"/>
      <c r="AL154" s="40"/>
      <c r="AM154" s="47"/>
      <c r="AN154" s="41" t="s">
        <v>949</v>
      </c>
      <c r="AO154" s="43">
        <v>240</v>
      </c>
      <c r="AP154" s="13">
        <v>18.8</v>
      </c>
      <c r="AQ154" s="40"/>
      <c r="AR154" s="40"/>
      <c r="AS154" s="6">
        <v>1401</v>
      </c>
      <c r="AT154" s="6">
        <v>5</v>
      </c>
      <c r="AU154" s="6">
        <v>1399</v>
      </c>
      <c r="AV154" s="6">
        <v>7</v>
      </c>
      <c r="AW154" s="12">
        <f t="shared" si="5"/>
        <v>22</v>
      </c>
      <c r="AX154" s="12" t="str">
        <f t="shared" si="6"/>
        <v/>
      </c>
      <c r="AY154" s="45"/>
    </row>
    <row r="155" spans="1:51" ht="20.100000000000001" customHeight="1" x14ac:dyDescent="0.2">
      <c r="A155" s="13">
        <v>148</v>
      </c>
      <c r="B155" s="40" t="s">
        <v>950</v>
      </c>
      <c r="C155" s="40" t="s">
        <v>935</v>
      </c>
      <c r="D155" s="41" t="s">
        <v>951</v>
      </c>
      <c r="E155" s="41" t="s">
        <v>10</v>
      </c>
      <c r="F155" s="41" t="s">
        <v>185</v>
      </c>
      <c r="G155" s="41"/>
      <c r="H155" s="13" t="s">
        <v>83</v>
      </c>
      <c r="I155" s="13"/>
      <c r="J155" s="13"/>
      <c r="K155" s="13"/>
      <c r="L155" s="13"/>
      <c r="M155" s="13"/>
      <c r="N155" s="13"/>
      <c r="O155" s="40" t="s">
        <v>93</v>
      </c>
      <c r="P155" s="41"/>
      <c r="Q155" s="41" t="s">
        <v>155</v>
      </c>
      <c r="R155" s="41" t="s">
        <v>952</v>
      </c>
      <c r="S155" s="41" t="s">
        <v>142</v>
      </c>
      <c r="T155" s="13" t="s">
        <v>70</v>
      </c>
      <c r="U155" s="41"/>
      <c r="V155" s="41" t="s">
        <v>167</v>
      </c>
      <c r="W155" s="41" t="s">
        <v>953</v>
      </c>
      <c r="X155" s="41" t="s">
        <v>119</v>
      </c>
      <c r="Y155" s="41" t="s">
        <v>107</v>
      </c>
      <c r="Z155" s="13" t="s">
        <v>954</v>
      </c>
      <c r="AA155" s="13"/>
      <c r="AB155" s="13"/>
      <c r="AC155" s="13"/>
      <c r="AD155" s="40">
        <v>174</v>
      </c>
      <c r="AE155" s="40"/>
      <c r="AF155" s="40"/>
      <c r="AG155" s="40"/>
      <c r="AH155" s="40"/>
      <c r="AI155" s="40"/>
      <c r="AJ155" s="40"/>
      <c r="AK155" s="40"/>
      <c r="AL155" s="40"/>
      <c r="AM155" s="15" t="s">
        <v>158</v>
      </c>
      <c r="AN155" s="41" t="s">
        <v>955</v>
      </c>
      <c r="AO155" s="43">
        <v>189</v>
      </c>
      <c r="AP155" s="13">
        <v>28</v>
      </c>
      <c r="AQ155" s="40"/>
      <c r="AR155" s="40"/>
      <c r="AS155" s="6">
        <v>1401</v>
      </c>
      <c r="AT155" s="6">
        <v>5</v>
      </c>
      <c r="AU155" s="6">
        <v>1399</v>
      </c>
      <c r="AV155" s="6">
        <v>8</v>
      </c>
      <c r="AW155" s="12">
        <f t="shared" si="5"/>
        <v>21</v>
      </c>
      <c r="AX155" s="12" t="str">
        <f t="shared" si="6"/>
        <v/>
      </c>
      <c r="AY155" s="45"/>
    </row>
    <row r="156" spans="1:51" ht="20.100000000000001" customHeight="1" x14ac:dyDescent="0.2">
      <c r="A156" s="13">
        <v>149</v>
      </c>
      <c r="B156" s="40" t="s">
        <v>950</v>
      </c>
      <c r="C156" s="40" t="s">
        <v>935</v>
      </c>
      <c r="D156" s="41" t="s">
        <v>4549</v>
      </c>
      <c r="E156" s="41" t="s">
        <v>66</v>
      </c>
      <c r="F156" s="41" t="s">
        <v>192</v>
      </c>
      <c r="G156" s="41"/>
      <c r="H156" s="13" t="s">
        <v>7</v>
      </c>
      <c r="I156" s="13"/>
      <c r="J156" s="13"/>
      <c r="K156" s="13"/>
      <c r="L156" s="13"/>
      <c r="M156" s="13"/>
      <c r="N156" s="13"/>
      <c r="O156" s="40" t="s">
        <v>67</v>
      </c>
      <c r="P156" s="41" t="s">
        <v>429</v>
      </c>
      <c r="Q156" s="41" t="s">
        <v>141</v>
      </c>
      <c r="R156" s="41" t="s">
        <v>956</v>
      </c>
      <c r="S156" s="41" t="s">
        <v>106</v>
      </c>
      <c r="T156" s="13" t="s">
        <v>107</v>
      </c>
      <c r="U156" s="41" t="s">
        <v>429</v>
      </c>
      <c r="V156" s="41" t="s">
        <v>957</v>
      </c>
      <c r="W156" s="41" t="s">
        <v>958</v>
      </c>
      <c r="X156" s="41" t="s">
        <v>106</v>
      </c>
      <c r="Y156" s="41" t="s">
        <v>107</v>
      </c>
      <c r="Z156" s="13">
        <v>0</v>
      </c>
      <c r="AA156" s="13"/>
      <c r="AB156" s="13"/>
      <c r="AC156" s="13"/>
      <c r="AD156" s="40">
        <v>198</v>
      </c>
      <c r="AE156" s="40"/>
      <c r="AF156" s="40"/>
      <c r="AG156" s="40"/>
      <c r="AH156" s="40"/>
      <c r="AI156" s="40"/>
      <c r="AJ156" s="40"/>
      <c r="AK156" s="40"/>
      <c r="AL156" s="40"/>
      <c r="AM156" s="47"/>
      <c r="AN156" s="41" t="s">
        <v>943</v>
      </c>
      <c r="AO156" s="43">
        <v>166</v>
      </c>
      <c r="AP156" s="13">
        <v>11</v>
      </c>
      <c r="AQ156" s="40"/>
      <c r="AR156" s="40"/>
      <c r="AS156" s="6"/>
      <c r="AT156" s="6"/>
      <c r="AU156" s="6"/>
      <c r="AV156" s="6"/>
      <c r="AW156" s="12" t="str">
        <f t="shared" si="5"/>
        <v/>
      </c>
      <c r="AX156" s="12" t="str">
        <f t="shared" si="6"/>
        <v/>
      </c>
      <c r="AY156" s="45"/>
    </row>
    <row r="157" spans="1:51" ht="20.100000000000001" customHeight="1" x14ac:dyDescent="0.2">
      <c r="A157" s="13">
        <v>150</v>
      </c>
      <c r="B157" s="40" t="s">
        <v>959</v>
      </c>
      <c r="C157" s="40" t="s">
        <v>935</v>
      </c>
      <c r="D157" s="41" t="s">
        <v>921</v>
      </c>
      <c r="E157" s="41" t="s">
        <v>10</v>
      </c>
      <c r="F157" s="41"/>
      <c r="G157" s="41"/>
      <c r="H157" s="13" t="s">
        <v>7</v>
      </c>
      <c r="I157" s="13"/>
      <c r="J157" s="13"/>
      <c r="K157" s="13"/>
      <c r="L157" s="13"/>
      <c r="M157" s="13"/>
      <c r="N157" s="13"/>
      <c r="O157" s="40" t="s">
        <v>67</v>
      </c>
      <c r="P157" s="35" t="s">
        <v>117</v>
      </c>
      <c r="Q157" s="35" t="s">
        <v>104</v>
      </c>
      <c r="R157" s="41" t="s">
        <v>960</v>
      </c>
      <c r="S157" s="41" t="s">
        <v>106</v>
      </c>
      <c r="T157" s="13" t="s">
        <v>107</v>
      </c>
      <c r="U157" s="35" t="s">
        <v>120</v>
      </c>
      <c r="V157" s="35" t="s">
        <v>361</v>
      </c>
      <c r="W157" s="41" t="s">
        <v>961</v>
      </c>
      <c r="X157" s="41" t="s">
        <v>106</v>
      </c>
      <c r="Y157" s="41" t="s">
        <v>107</v>
      </c>
      <c r="Z157" s="13">
        <v>0</v>
      </c>
      <c r="AA157" s="13"/>
      <c r="AB157" s="13"/>
      <c r="AC157" s="13"/>
      <c r="AD157" s="40">
        <v>168</v>
      </c>
      <c r="AE157" s="40"/>
      <c r="AF157" s="40"/>
      <c r="AG157" s="40"/>
      <c r="AH157" s="40"/>
      <c r="AI157" s="40"/>
      <c r="AJ157" s="40"/>
      <c r="AK157" s="40"/>
      <c r="AL157" s="40"/>
      <c r="AM157" s="33" t="s">
        <v>158</v>
      </c>
      <c r="AN157" s="41" t="s">
        <v>950</v>
      </c>
      <c r="AO157" s="43">
        <v>173</v>
      </c>
      <c r="AP157" s="13">
        <v>20.5</v>
      </c>
      <c r="AQ157" s="40"/>
      <c r="AR157" s="40"/>
      <c r="AS157" s="6"/>
      <c r="AT157" s="6"/>
      <c r="AU157" s="6"/>
      <c r="AV157" s="6"/>
      <c r="AW157" s="12" t="str">
        <f t="shared" si="5"/>
        <v/>
      </c>
      <c r="AX157" s="12" t="str">
        <f t="shared" si="6"/>
        <v/>
      </c>
      <c r="AY157" s="45"/>
    </row>
    <row r="158" spans="1:51" ht="20.100000000000001" customHeight="1" x14ac:dyDescent="0.2">
      <c r="A158" s="13">
        <v>151</v>
      </c>
      <c r="B158" s="40" t="s">
        <v>962</v>
      </c>
      <c r="C158" s="40" t="s">
        <v>935</v>
      </c>
      <c r="D158" s="41" t="s">
        <v>963</v>
      </c>
      <c r="E158" s="41" t="s">
        <v>9</v>
      </c>
      <c r="F158" s="41"/>
      <c r="G158" s="41"/>
      <c r="H158" s="13" t="s">
        <v>7</v>
      </c>
      <c r="I158" s="13"/>
      <c r="J158" s="13"/>
      <c r="K158" s="13"/>
      <c r="L158" s="13"/>
      <c r="M158" s="13"/>
      <c r="N158" s="13"/>
      <c r="O158" s="40" t="s">
        <v>93</v>
      </c>
      <c r="P158" s="41" t="s">
        <v>797</v>
      </c>
      <c r="Q158" s="41" t="s">
        <v>797</v>
      </c>
      <c r="R158" s="41" t="s">
        <v>964</v>
      </c>
      <c r="S158" s="41" t="s">
        <v>69</v>
      </c>
      <c r="T158" s="13" t="s">
        <v>70</v>
      </c>
      <c r="U158" s="35" t="s">
        <v>965</v>
      </c>
      <c r="V158" s="35" t="s">
        <v>425</v>
      </c>
      <c r="W158" s="41" t="s">
        <v>966</v>
      </c>
      <c r="X158" s="41" t="s">
        <v>69</v>
      </c>
      <c r="Y158" s="41" t="s">
        <v>70</v>
      </c>
      <c r="Z158" s="13">
        <v>0</v>
      </c>
      <c r="AA158" s="13"/>
      <c r="AB158" s="13"/>
      <c r="AC158" s="13"/>
      <c r="AD158" s="40">
        <v>114</v>
      </c>
      <c r="AE158" s="40"/>
      <c r="AF158" s="40"/>
      <c r="AG158" s="40"/>
      <c r="AH158" s="40"/>
      <c r="AI158" s="40"/>
      <c r="AJ158" s="40"/>
      <c r="AK158" s="40"/>
      <c r="AL158" s="40"/>
      <c r="AM158" s="33" t="s">
        <v>158</v>
      </c>
      <c r="AN158" s="41" t="s">
        <v>959</v>
      </c>
      <c r="AO158" s="43">
        <v>152</v>
      </c>
      <c r="AP158" s="13">
        <v>6.3</v>
      </c>
      <c r="AQ158" s="40"/>
      <c r="AR158" s="40"/>
      <c r="AS158" s="6"/>
      <c r="AT158" s="6"/>
      <c r="AU158" s="6"/>
      <c r="AV158" s="6"/>
      <c r="AW158" s="12" t="str">
        <f t="shared" si="5"/>
        <v/>
      </c>
      <c r="AX158" s="12" t="str">
        <f t="shared" si="6"/>
        <v/>
      </c>
      <c r="AY158" s="45"/>
    </row>
    <row r="159" spans="1:51" ht="20.100000000000001" customHeight="1" x14ac:dyDescent="0.2">
      <c r="A159" s="13">
        <v>152</v>
      </c>
      <c r="B159" s="40" t="s">
        <v>962</v>
      </c>
      <c r="C159" s="40" t="s">
        <v>935</v>
      </c>
      <c r="D159" s="41" t="s">
        <v>967</v>
      </c>
      <c r="E159" s="41" t="s">
        <v>10</v>
      </c>
      <c r="F159" s="41"/>
      <c r="G159" s="41"/>
      <c r="H159" s="13" t="s">
        <v>7</v>
      </c>
      <c r="I159" s="13"/>
      <c r="J159" s="13"/>
      <c r="K159" s="13"/>
      <c r="L159" s="13"/>
      <c r="M159" s="13"/>
      <c r="N159" s="13"/>
      <c r="O159" s="40" t="s">
        <v>67</v>
      </c>
      <c r="P159" s="35" t="s">
        <v>218</v>
      </c>
      <c r="Q159" s="35" t="s">
        <v>155</v>
      </c>
      <c r="R159" s="41" t="s">
        <v>194</v>
      </c>
      <c r="S159" s="41" t="s">
        <v>73</v>
      </c>
      <c r="T159" s="13" t="s">
        <v>107</v>
      </c>
      <c r="U159" s="35" t="s">
        <v>968</v>
      </c>
      <c r="V159" s="35" t="s">
        <v>156</v>
      </c>
      <c r="W159" s="41" t="s">
        <v>969</v>
      </c>
      <c r="X159" s="41" t="s">
        <v>106</v>
      </c>
      <c r="Y159" s="41" t="s">
        <v>107</v>
      </c>
      <c r="Z159" s="13">
        <v>0</v>
      </c>
      <c r="AA159" s="13"/>
      <c r="AB159" s="13"/>
      <c r="AC159" s="13"/>
      <c r="AD159" s="40">
        <v>198</v>
      </c>
      <c r="AE159" s="40"/>
      <c r="AF159" s="40"/>
      <c r="AG159" s="40"/>
      <c r="AH159" s="40"/>
      <c r="AI159" s="40"/>
      <c r="AJ159" s="40"/>
      <c r="AK159" s="40"/>
      <c r="AL159" s="40"/>
      <c r="AM159" s="33" t="s">
        <v>158</v>
      </c>
      <c r="AN159" s="41" t="s">
        <v>959</v>
      </c>
      <c r="AO159" s="43">
        <v>225</v>
      </c>
      <c r="AP159" s="13">
        <v>19.2</v>
      </c>
      <c r="AQ159" s="40"/>
      <c r="AR159" s="40"/>
      <c r="AS159" s="6"/>
      <c r="AT159" s="6"/>
      <c r="AU159" s="6"/>
      <c r="AV159" s="6"/>
      <c r="AW159" s="12" t="str">
        <f t="shared" si="5"/>
        <v/>
      </c>
      <c r="AX159" s="12" t="str">
        <f t="shared" si="6"/>
        <v/>
      </c>
      <c r="AY159" s="45"/>
    </row>
    <row r="160" spans="1:51" s="21" customFormat="1" ht="20.100000000000001" customHeight="1" x14ac:dyDescent="0.2">
      <c r="A160" s="13">
        <v>153</v>
      </c>
      <c r="B160" s="29" t="s">
        <v>970</v>
      </c>
      <c r="C160" s="29" t="s">
        <v>935</v>
      </c>
      <c r="D160" s="30" t="s">
        <v>21</v>
      </c>
      <c r="E160" s="30" t="s">
        <v>9</v>
      </c>
      <c r="F160" s="30" t="s">
        <v>174</v>
      </c>
      <c r="G160" s="30"/>
      <c r="H160" s="20" t="s">
        <v>83</v>
      </c>
      <c r="I160" s="20"/>
      <c r="J160" s="20"/>
      <c r="K160" s="20"/>
      <c r="L160" s="20"/>
      <c r="M160" s="20"/>
      <c r="N160" s="20"/>
      <c r="O160" s="29" t="s">
        <v>67</v>
      </c>
      <c r="P160" s="30"/>
      <c r="Q160" s="30" t="s">
        <v>117</v>
      </c>
      <c r="R160" s="30" t="s">
        <v>971</v>
      </c>
      <c r="S160" s="30" t="s">
        <v>119</v>
      </c>
      <c r="T160" s="20" t="s">
        <v>107</v>
      </c>
      <c r="U160" s="30"/>
      <c r="V160" s="30" t="s">
        <v>120</v>
      </c>
      <c r="W160" s="30" t="s">
        <v>972</v>
      </c>
      <c r="X160" s="30" t="s">
        <v>119</v>
      </c>
      <c r="Y160" s="30" t="s">
        <v>107</v>
      </c>
      <c r="Z160" s="20" t="s">
        <v>973</v>
      </c>
      <c r="AA160" s="20"/>
      <c r="AB160" s="20"/>
      <c r="AC160" s="20"/>
      <c r="AD160" s="29">
        <v>168</v>
      </c>
      <c r="AE160" s="29"/>
      <c r="AF160" s="29"/>
      <c r="AG160" s="29"/>
      <c r="AH160" s="29"/>
      <c r="AI160" s="29"/>
      <c r="AJ160" s="29"/>
      <c r="AK160" s="29"/>
      <c r="AL160" s="29"/>
      <c r="AM160" s="20" t="s">
        <v>158</v>
      </c>
      <c r="AN160" s="30" t="s">
        <v>429</v>
      </c>
      <c r="AO160" s="36">
        <v>167</v>
      </c>
      <c r="AP160" s="20">
        <v>16</v>
      </c>
      <c r="AQ160" s="29"/>
      <c r="AR160" s="29"/>
      <c r="AS160" s="30">
        <v>1401</v>
      </c>
      <c r="AT160" s="30">
        <v>5</v>
      </c>
      <c r="AU160" s="30">
        <v>1400</v>
      </c>
      <c r="AV160" s="30">
        <v>9</v>
      </c>
      <c r="AW160" s="31">
        <f t="shared" si="5"/>
        <v>8</v>
      </c>
      <c r="AX160" s="31">
        <f t="shared" si="6"/>
        <v>8</v>
      </c>
      <c r="AY160" s="32"/>
    </row>
    <row r="161" spans="1:51" s="21" customFormat="1" ht="20.100000000000001" customHeight="1" x14ac:dyDescent="0.2">
      <c r="A161" s="13">
        <v>154</v>
      </c>
      <c r="B161" s="29" t="s">
        <v>970</v>
      </c>
      <c r="C161" s="29" t="s">
        <v>935</v>
      </c>
      <c r="D161" s="30" t="s">
        <v>802</v>
      </c>
      <c r="E161" s="30" t="s">
        <v>243</v>
      </c>
      <c r="F161" s="30" t="s">
        <v>186</v>
      </c>
      <c r="G161" s="30"/>
      <c r="H161" s="20" t="s">
        <v>83</v>
      </c>
      <c r="I161" s="20"/>
      <c r="J161" s="20"/>
      <c r="K161" s="20"/>
      <c r="L161" s="20"/>
      <c r="M161" s="20"/>
      <c r="N161" s="20"/>
      <c r="O161" s="29" t="s">
        <v>67</v>
      </c>
      <c r="P161" s="30"/>
      <c r="Q161" s="30" t="s">
        <v>155</v>
      </c>
      <c r="R161" s="30" t="s">
        <v>839</v>
      </c>
      <c r="S161" s="30" t="s">
        <v>142</v>
      </c>
      <c r="T161" s="20" t="s">
        <v>70</v>
      </c>
      <c r="U161" s="30"/>
      <c r="V161" s="30" t="s">
        <v>324</v>
      </c>
      <c r="W161" s="30" t="s">
        <v>840</v>
      </c>
      <c r="X161" s="30" t="s">
        <v>142</v>
      </c>
      <c r="Y161" s="30" t="s">
        <v>70</v>
      </c>
      <c r="Z161" s="20" t="s">
        <v>838</v>
      </c>
      <c r="AA161" s="20"/>
      <c r="AB161" s="20"/>
      <c r="AC161" s="20"/>
      <c r="AD161" s="29">
        <v>180</v>
      </c>
      <c r="AE161" s="29"/>
      <c r="AF161" s="29"/>
      <c r="AG161" s="29"/>
      <c r="AH161" s="29"/>
      <c r="AI161" s="29"/>
      <c r="AJ161" s="29"/>
      <c r="AK161" s="29"/>
      <c r="AL161" s="29"/>
      <c r="AM161" s="20" t="s">
        <v>158</v>
      </c>
      <c r="AN161" s="30" t="s">
        <v>834</v>
      </c>
      <c r="AO161" s="36">
        <v>175</v>
      </c>
      <c r="AP161" s="20">
        <v>26</v>
      </c>
      <c r="AQ161" s="29"/>
      <c r="AR161" s="29"/>
      <c r="AS161" s="30">
        <v>1401</v>
      </c>
      <c r="AT161" s="30">
        <v>5</v>
      </c>
      <c r="AU161" s="30">
        <v>1401</v>
      </c>
      <c r="AV161" s="30">
        <v>4</v>
      </c>
      <c r="AW161" s="31">
        <f t="shared" si="5"/>
        <v>1</v>
      </c>
      <c r="AX161" s="31">
        <f t="shared" si="6"/>
        <v>1</v>
      </c>
      <c r="AY161" s="32"/>
    </row>
    <row r="162" spans="1:51" ht="20.100000000000001" customHeight="1" x14ac:dyDescent="0.2">
      <c r="A162" s="13">
        <v>155</v>
      </c>
      <c r="B162" s="40" t="s">
        <v>974</v>
      </c>
      <c r="C162" s="40" t="s">
        <v>935</v>
      </c>
      <c r="D162" s="41" t="s">
        <v>887</v>
      </c>
      <c r="E162" s="41" t="s">
        <v>20</v>
      </c>
      <c r="F162" s="41"/>
      <c r="G162" s="41"/>
      <c r="H162" s="13" t="s">
        <v>7</v>
      </c>
      <c r="I162" s="13"/>
      <c r="J162" s="13"/>
      <c r="K162" s="13"/>
      <c r="L162" s="13"/>
      <c r="M162" s="13"/>
      <c r="N162" s="13"/>
      <c r="O162" s="40" t="s">
        <v>67</v>
      </c>
      <c r="P162" s="35" t="s">
        <v>140</v>
      </c>
      <c r="Q162" s="35" t="s">
        <v>769</v>
      </c>
      <c r="R162" s="41" t="s">
        <v>770</v>
      </c>
      <c r="S162" s="41" t="s">
        <v>106</v>
      </c>
      <c r="T162" s="13" t="s">
        <v>107</v>
      </c>
      <c r="U162" s="35" t="s">
        <v>188</v>
      </c>
      <c r="V162" s="35" t="s">
        <v>757</v>
      </c>
      <c r="W162" s="41" t="s">
        <v>975</v>
      </c>
      <c r="X162" s="41" t="s">
        <v>69</v>
      </c>
      <c r="Y162" s="41" t="s">
        <v>70</v>
      </c>
      <c r="Z162" s="13">
        <v>0</v>
      </c>
      <c r="AA162" s="13"/>
      <c r="AB162" s="13"/>
      <c r="AC162" s="13"/>
      <c r="AD162" s="40">
        <v>138</v>
      </c>
      <c r="AE162" s="40"/>
      <c r="AF162" s="40"/>
      <c r="AG162" s="40"/>
      <c r="AH162" s="40"/>
      <c r="AI162" s="40"/>
      <c r="AJ162" s="40"/>
      <c r="AK162" s="40"/>
      <c r="AL162" s="40"/>
      <c r="AM162" s="33" t="s">
        <v>158</v>
      </c>
      <c r="AN162" s="41" t="s">
        <v>976</v>
      </c>
      <c r="AO162" s="43">
        <v>121</v>
      </c>
      <c r="AP162" s="13"/>
      <c r="AQ162" s="40"/>
      <c r="AR162" s="40"/>
      <c r="AS162" s="6"/>
      <c r="AT162" s="6"/>
      <c r="AU162" s="6"/>
      <c r="AV162" s="6"/>
      <c r="AW162" s="12" t="str">
        <f t="shared" si="5"/>
        <v/>
      </c>
      <c r="AX162" s="12" t="str">
        <f t="shared" si="6"/>
        <v/>
      </c>
      <c r="AY162" s="45"/>
    </row>
    <row r="163" spans="1:51" s="21" customFormat="1" ht="20.100000000000001" customHeight="1" x14ac:dyDescent="0.2">
      <c r="A163" s="13">
        <v>156</v>
      </c>
      <c r="B163" s="29" t="s">
        <v>974</v>
      </c>
      <c r="C163" s="29" t="s">
        <v>935</v>
      </c>
      <c r="D163" s="30" t="s">
        <v>897</v>
      </c>
      <c r="E163" s="30" t="s">
        <v>19</v>
      </c>
      <c r="F163" s="30" t="s">
        <v>504</v>
      </c>
      <c r="G163" s="30"/>
      <c r="H163" s="20" t="s">
        <v>83</v>
      </c>
      <c r="I163" s="20"/>
      <c r="J163" s="20"/>
      <c r="K163" s="20"/>
      <c r="L163" s="20"/>
      <c r="M163" s="20"/>
      <c r="N163" s="20"/>
      <c r="O163" s="29" t="s">
        <v>92</v>
      </c>
      <c r="P163" s="30"/>
      <c r="Q163" s="30" t="s">
        <v>223</v>
      </c>
      <c r="R163" s="30" t="s">
        <v>898</v>
      </c>
      <c r="S163" s="30" t="s">
        <v>69</v>
      </c>
      <c r="T163" s="20" t="s">
        <v>70</v>
      </c>
      <c r="U163" s="30"/>
      <c r="V163" s="30" t="s">
        <v>230</v>
      </c>
      <c r="W163" s="30" t="s">
        <v>900</v>
      </c>
      <c r="X163" s="30" t="s">
        <v>73</v>
      </c>
      <c r="Y163" s="30" t="s">
        <v>70</v>
      </c>
      <c r="Z163" s="20" t="s">
        <v>886</v>
      </c>
      <c r="AA163" s="20"/>
      <c r="AB163" s="20"/>
      <c r="AC163" s="20"/>
      <c r="AD163" s="29">
        <v>216</v>
      </c>
      <c r="AE163" s="29"/>
      <c r="AF163" s="29"/>
      <c r="AG163" s="29"/>
      <c r="AH163" s="29"/>
      <c r="AI163" s="29"/>
      <c r="AJ163" s="29"/>
      <c r="AK163" s="29"/>
      <c r="AL163" s="29"/>
      <c r="AM163" s="20" t="s">
        <v>158</v>
      </c>
      <c r="AN163" s="30" t="s">
        <v>879</v>
      </c>
      <c r="AO163" s="36">
        <v>150</v>
      </c>
      <c r="AP163" s="20">
        <v>8</v>
      </c>
      <c r="AQ163" s="29"/>
      <c r="AR163" s="29"/>
      <c r="AS163" s="30">
        <v>1401</v>
      </c>
      <c r="AT163" s="30">
        <v>5</v>
      </c>
      <c r="AU163" s="30">
        <v>1401</v>
      </c>
      <c r="AV163" s="30">
        <v>4</v>
      </c>
      <c r="AW163" s="31">
        <f t="shared" si="5"/>
        <v>1</v>
      </c>
      <c r="AX163" s="31">
        <f t="shared" si="6"/>
        <v>1</v>
      </c>
      <c r="AY163" s="32"/>
    </row>
    <row r="164" spans="1:51" ht="20.100000000000001" customHeight="1" x14ac:dyDescent="0.2">
      <c r="A164" s="13">
        <v>157</v>
      </c>
      <c r="B164" s="40" t="s">
        <v>974</v>
      </c>
      <c r="C164" s="40" t="s">
        <v>935</v>
      </c>
      <c r="D164" s="41" t="s">
        <v>977</v>
      </c>
      <c r="E164" s="41" t="s">
        <v>66</v>
      </c>
      <c r="F164" s="41" t="s">
        <v>481</v>
      </c>
      <c r="G164" s="41"/>
      <c r="H164" s="13" t="s">
        <v>83</v>
      </c>
      <c r="I164" s="13"/>
      <c r="J164" s="13"/>
      <c r="K164" s="13"/>
      <c r="L164" s="13"/>
      <c r="M164" s="13"/>
      <c r="N164" s="13"/>
      <c r="O164" s="40"/>
      <c r="P164" s="41"/>
      <c r="Q164" s="41" t="s">
        <v>769</v>
      </c>
      <c r="R164" s="41" t="s">
        <v>978</v>
      </c>
      <c r="S164" s="41" t="s">
        <v>119</v>
      </c>
      <c r="T164" s="13" t="s">
        <v>107</v>
      </c>
      <c r="U164" s="41"/>
      <c r="V164" s="41" t="s">
        <v>979</v>
      </c>
      <c r="W164" s="41" t="s">
        <v>980</v>
      </c>
      <c r="X164" s="41" t="s">
        <v>119</v>
      </c>
      <c r="Y164" s="41" t="s">
        <v>107</v>
      </c>
      <c r="Z164" s="13" t="s">
        <v>981</v>
      </c>
      <c r="AA164" s="13"/>
      <c r="AB164" s="13"/>
      <c r="AC164" s="13"/>
      <c r="AD164" s="40">
        <v>162</v>
      </c>
      <c r="AE164" s="40"/>
      <c r="AF164" s="40"/>
      <c r="AG164" s="40"/>
      <c r="AH164" s="40"/>
      <c r="AI164" s="40"/>
      <c r="AJ164" s="40"/>
      <c r="AK164" s="40"/>
      <c r="AL164" s="40"/>
      <c r="AM164" s="47"/>
      <c r="AN164" s="41"/>
      <c r="AO164" s="41"/>
      <c r="AP164" s="13"/>
      <c r="AQ164" s="40"/>
      <c r="AR164" s="40"/>
      <c r="AS164" s="6">
        <v>1401</v>
      </c>
      <c r="AT164" s="6">
        <v>5</v>
      </c>
      <c r="AU164" s="6">
        <v>1399</v>
      </c>
      <c r="AV164" s="6">
        <v>10</v>
      </c>
      <c r="AW164" s="12">
        <f t="shared" si="5"/>
        <v>19</v>
      </c>
      <c r="AX164" s="12" t="str">
        <f t="shared" si="6"/>
        <v/>
      </c>
      <c r="AY164" s="45"/>
    </row>
    <row r="165" spans="1:51" ht="20.100000000000001" customHeight="1" x14ac:dyDescent="0.2">
      <c r="A165" s="13">
        <v>158</v>
      </c>
      <c r="B165" s="40" t="s">
        <v>974</v>
      </c>
      <c r="C165" s="40" t="s">
        <v>935</v>
      </c>
      <c r="D165" s="41" t="s">
        <v>977</v>
      </c>
      <c r="E165" s="41" t="s">
        <v>66</v>
      </c>
      <c r="F165" s="41" t="s">
        <v>192</v>
      </c>
      <c r="G165" s="41"/>
      <c r="H165" s="13" t="s">
        <v>7</v>
      </c>
      <c r="I165" s="13"/>
      <c r="J165" s="13"/>
      <c r="K165" s="13"/>
      <c r="L165" s="13"/>
      <c r="M165" s="13"/>
      <c r="N165" s="13"/>
      <c r="O165" s="40" t="s">
        <v>67</v>
      </c>
      <c r="P165" s="35" t="s">
        <v>769</v>
      </c>
      <c r="Q165" s="35" t="s">
        <v>223</v>
      </c>
      <c r="R165" s="41" t="s">
        <v>982</v>
      </c>
      <c r="S165" s="41" t="s">
        <v>119</v>
      </c>
      <c r="T165" s="13" t="s">
        <v>107</v>
      </c>
      <c r="U165" s="35" t="s">
        <v>979</v>
      </c>
      <c r="V165" s="35" t="s">
        <v>298</v>
      </c>
      <c r="W165" s="41" t="s">
        <v>299</v>
      </c>
      <c r="X165" s="41" t="s">
        <v>69</v>
      </c>
      <c r="Y165" s="41" t="s">
        <v>70</v>
      </c>
      <c r="Z165" s="13">
        <v>0</v>
      </c>
      <c r="AA165" s="13"/>
      <c r="AB165" s="13"/>
      <c r="AC165" s="13"/>
      <c r="AD165" s="40">
        <v>162</v>
      </c>
      <c r="AE165" s="40"/>
      <c r="AF165" s="40"/>
      <c r="AG165" s="40"/>
      <c r="AH165" s="40"/>
      <c r="AI165" s="40"/>
      <c r="AJ165" s="40"/>
      <c r="AK165" s="40"/>
      <c r="AL165" s="40"/>
      <c r="AM165" s="33" t="s">
        <v>158</v>
      </c>
      <c r="AN165" s="41" t="s">
        <v>974</v>
      </c>
      <c r="AO165" s="41"/>
      <c r="AP165" s="13"/>
      <c r="AQ165" s="40"/>
      <c r="AR165" s="40"/>
      <c r="AS165" s="6"/>
      <c r="AT165" s="6"/>
      <c r="AU165" s="6"/>
      <c r="AV165" s="6"/>
      <c r="AW165" s="12" t="str">
        <f t="shared" si="5"/>
        <v/>
      </c>
      <c r="AX165" s="12" t="str">
        <f t="shared" si="6"/>
        <v/>
      </c>
      <c r="AY165" s="45"/>
    </row>
    <row r="166" spans="1:51" ht="20.100000000000001" customHeight="1" x14ac:dyDescent="0.2">
      <c r="A166" s="13">
        <v>159</v>
      </c>
      <c r="B166" s="40" t="s">
        <v>983</v>
      </c>
      <c r="C166" s="40" t="s">
        <v>935</v>
      </c>
      <c r="D166" s="41" t="s">
        <v>984</v>
      </c>
      <c r="E166" s="41" t="s">
        <v>19</v>
      </c>
      <c r="F166" s="41" t="s">
        <v>481</v>
      </c>
      <c r="G166" s="41"/>
      <c r="H166" s="13" t="s">
        <v>83</v>
      </c>
      <c r="I166" s="13"/>
      <c r="J166" s="13"/>
      <c r="K166" s="13"/>
      <c r="L166" s="13"/>
      <c r="M166" s="13"/>
      <c r="N166" s="13"/>
      <c r="O166" s="40" t="s">
        <v>92</v>
      </c>
      <c r="P166" s="41"/>
      <c r="Q166" s="41" t="s">
        <v>140</v>
      </c>
      <c r="R166" s="41" t="s">
        <v>985</v>
      </c>
      <c r="S166" s="41" t="s">
        <v>574</v>
      </c>
      <c r="T166" s="13" t="s">
        <v>107</v>
      </c>
      <c r="U166" s="41"/>
      <c r="V166" s="41" t="s">
        <v>188</v>
      </c>
      <c r="W166" s="41" t="s">
        <v>986</v>
      </c>
      <c r="X166" s="41" t="s">
        <v>574</v>
      </c>
      <c r="Y166" s="41" t="s">
        <v>107</v>
      </c>
      <c r="Z166" s="13" t="s">
        <v>987</v>
      </c>
      <c r="AA166" s="13"/>
      <c r="AB166" s="13"/>
      <c r="AC166" s="13"/>
      <c r="AD166" s="40">
        <v>126</v>
      </c>
      <c r="AE166" s="40"/>
      <c r="AF166" s="40"/>
      <c r="AG166" s="40"/>
      <c r="AH166" s="40"/>
      <c r="AI166" s="40"/>
      <c r="AJ166" s="40"/>
      <c r="AK166" s="40"/>
      <c r="AL166" s="40"/>
      <c r="AM166" s="47"/>
      <c r="AN166" s="41" t="s">
        <v>988</v>
      </c>
      <c r="AO166" s="43">
        <v>125</v>
      </c>
      <c r="AP166" s="13">
        <v>20</v>
      </c>
      <c r="AQ166" s="40"/>
      <c r="AR166" s="40"/>
      <c r="AS166" s="6">
        <v>1401</v>
      </c>
      <c r="AT166" s="6">
        <v>5</v>
      </c>
      <c r="AU166" s="6">
        <v>1398</v>
      </c>
      <c r="AV166" s="6">
        <v>7</v>
      </c>
      <c r="AW166" s="12">
        <f t="shared" si="5"/>
        <v>34</v>
      </c>
      <c r="AX166" s="12" t="str">
        <f t="shared" si="6"/>
        <v/>
      </c>
      <c r="AY166" s="45"/>
    </row>
    <row r="167" spans="1:51" ht="20.100000000000001" customHeight="1" x14ac:dyDescent="0.2">
      <c r="A167" s="13">
        <v>160</v>
      </c>
      <c r="B167" s="40" t="s">
        <v>989</v>
      </c>
      <c r="C167" s="40" t="s">
        <v>935</v>
      </c>
      <c r="D167" s="41" t="s">
        <v>990</v>
      </c>
      <c r="E167" s="41" t="s">
        <v>66</v>
      </c>
      <c r="F167" s="41" t="s">
        <v>222</v>
      </c>
      <c r="G167" s="41"/>
      <c r="H167" s="13" t="s">
        <v>222</v>
      </c>
      <c r="I167" s="13"/>
      <c r="J167" s="13"/>
      <c r="K167" s="13"/>
      <c r="L167" s="13"/>
      <c r="M167" s="13"/>
      <c r="N167" s="13"/>
      <c r="O167" s="40" t="s">
        <v>67</v>
      </c>
      <c r="P167" s="41"/>
      <c r="Q167" s="41" t="s">
        <v>334</v>
      </c>
      <c r="R167" s="41"/>
      <c r="S167" s="41"/>
      <c r="T167" s="13"/>
      <c r="U167" s="41"/>
      <c r="V167" s="41" t="s">
        <v>991</v>
      </c>
      <c r="W167" s="41"/>
      <c r="X167" s="41"/>
      <c r="Y167" s="41"/>
      <c r="Z167" s="13"/>
      <c r="AA167" s="13"/>
      <c r="AB167" s="13"/>
      <c r="AC167" s="13"/>
      <c r="AD167" s="40">
        <v>144</v>
      </c>
      <c r="AE167" s="40"/>
      <c r="AF167" s="40"/>
      <c r="AG167" s="40"/>
      <c r="AH167" s="40"/>
      <c r="AI167" s="40"/>
      <c r="AJ167" s="40"/>
      <c r="AK167" s="40"/>
      <c r="AL167" s="40"/>
      <c r="AM167" s="47"/>
      <c r="AN167" s="41"/>
      <c r="AO167" s="41"/>
      <c r="AP167" s="13"/>
      <c r="AQ167" s="40"/>
      <c r="AR167" s="40"/>
      <c r="AS167" s="6"/>
      <c r="AT167" s="6"/>
      <c r="AU167" s="6"/>
      <c r="AV167" s="6"/>
      <c r="AW167" s="12" t="str">
        <f t="shared" si="5"/>
        <v/>
      </c>
      <c r="AX167" s="12" t="str">
        <f t="shared" si="6"/>
        <v/>
      </c>
      <c r="AY167" s="45"/>
    </row>
    <row r="168" spans="1:51" ht="20.100000000000001" customHeight="1" x14ac:dyDescent="0.2">
      <c r="A168" s="13">
        <v>161</v>
      </c>
      <c r="B168" s="40" t="s">
        <v>989</v>
      </c>
      <c r="C168" s="40" t="s">
        <v>935</v>
      </c>
      <c r="D168" s="41" t="s">
        <v>990</v>
      </c>
      <c r="E168" s="41" t="s">
        <v>66</v>
      </c>
      <c r="F168" s="41" t="s">
        <v>192</v>
      </c>
      <c r="G168" s="41"/>
      <c r="H168" s="13" t="s">
        <v>7</v>
      </c>
      <c r="I168" s="13"/>
      <c r="J168" s="13"/>
      <c r="K168" s="13"/>
      <c r="L168" s="13"/>
      <c r="M168" s="13"/>
      <c r="N168" s="13"/>
      <c r="O168" s="40" t="s">
        <v>67</v>
      </c>
      <c r="P168" s="41" t="s">
        <v>429</v>
      </c>
      <c r="Q168" s="41" t="s">
        <v>117</v>
      </c>
      <c r="R168" s="41" t="s">
        <v>992</v>
      </c>
      <c r="S168" s="41" t="s">
        <v>69</v>
      </c>
      <c r="T168" s="13" t="s">
        <v>70</v>
      </c>
      <c r="U168" s="41" t="s">
        <v>429</v>
      </c>
      <c r="V168" s="41" t="s">
        <v>125</v>
      </c>
      <c r="W168" s="41" t="s">
        <v>993</v>
      </c>
      <c r="X168" s="41" t="s">
        <v>142</v>
      </c>
      <c r="Y168" s="41" t="s">
        <v>70</v>
      </c>
      <c r="Z168" s="13">
        <v>0</v>
      </c>
      <c r="AA168" s="13"/>
      <c r="AB168" s="13"/>
      <c r="AC168" s="13"/>
      <c r="AD168" s="40">
        <v>198</v>
      </c>
      <c r="AE168" s="40"/>
      <c r="AF168" s="40"/>
      <c r="AG168" s="40"/>
      <c r="AH168" s="40"/>
      <c r="AI168" s="40"/>
      <c r="AJ168" s="40"/>
      <c r="AK168" s="40"/>
      <c r="AL168" s="40"/>
      <c r="AM168" s="47"/>
      <c r="AN168" s="41" t="s">
        <v>994</v>
      </c>
      <c r="AO168" s="41"/>
      <c r="AP168" s="13"/>
      <c r="AQ168" s="40"/>
      <c r="AR168" s="40"/>
      <c r="AS168" s="6"/>
      <c r="AT168" s="6"/>
      <c r="AU168" s="6"/>
      <c r="AV168" s="6"/>
      <c r="AW168" s="12" t="str">
        <f t="shared" si="5"/>
        <v/>
      </c>
      <c r="AX168" s="12" t="str">
        <f t="shared" si="6"/>
        <v/>
      </c>
      <c r="AY168" s="45"/>
    </row>
    <row r="169" spans="1:51" ht="20.100000000000001" customHeight="1" x14ac:dyDescent="0.2">
      <c r="A169" s="13">
        <v>162</v>
      </c>
      <c r="B169" s="40" t="s">
        <v>989</v>
      </c>
      <c r="C169" s="40" t="s">
        <v>935</v>
      </c>
      <c r="D169" s="41" t="s">
        <v>995</v>
      </c>
      <c r="E169" s="41" t="s">
        <v>66</v>
      </c>
      <c r="F169" s="41" t="s">
        <v>481</v>
      </c>
      <c r="G169" s="41"/>
      <c r="H169" s="13" t="s">
        <v>83</v>
      </c>
      <c r="I169" s="13"/>
      <c r="J169" s="13"/>
      <c r="K169" s="13"/>
      <c r="L169" s="13"/>
      <c r="M169" s="13"/>
      <c r="N169" s="13"/>
      <c r="O169" s="40" t="s">
        <v>67</v>
      </c>
      <c r="P169" s="41"/>
      <c r="Q169" s="41"/>
      <c r="R169" s="41"/>
      <c r="S169" s="41"/>
      <c r="T169" s="13"/>
      <c r="U169" s="41"/>
      <c r="V169" s="41"/>
      <c r="W169" s="41"/>
      <c r="X169" s="41"/>
      <c r="Y169" s="41"/>
      <c r="Z169" s="13"/>
      <c r="AA169" s="13"/>
      <c r="AB169" s="13"/>
      <c r="AC169" s="13"/>
      <c r="AD169" s="40">
        <v>72</v>
      </c>
      <c r="AE169" s="40"/>
      <c r="AF169" s="40"/>
      <c r="AG169" s="40"/>
      <c r="AH169" s="40"/>
      <c r="AI169" s="40"/>
      <c r="AJ169" s="40"/>
      <c r="AK169" s="40"/>
      <c r="AL169" s="40"/>
      <c r="AM169" s="47"/>
      <c r="AN169" s="41"/>
      <c r="AO169" s="41"/>
      <c r="AP169" s="13"/>
      <c r="AQ169" s="40"/>
      <c r="AR169" s="40"/>
      <c r="AS169" s="6"/>
      <c r="AT169" s="6"/>
      <c r="AU169" s="6"/>
      <c r="AV169" s="6"/>
      <c r="AW169" s="12" t="str">
        <f t="shared" si="5"/>
        <v/>
      </c>
      <c r="AX169" s="12" t="str">
        <f t="shared" si="6"/>
        <v/>
      </c>
      <c r="AY169" s="45"/>
    </row>
    <row r="170" spans="1:51" ht="20.100000000000001" customHeight="1" x14ac:dyDescent="0.2">
      <c r="A170" s="13">
        <v>163</v>
      </c>
      <c r="B170" s="40" t="s">
        <v>989</v>
      </c>
      <c r="C170" s="40" t="s">
        <v>935</v>
      </c>
      <c r="D170" s="41" t="s">
        <v>802</v>
      </c>
      <c r="E170" s="41" t="s">
        <v>243</v>
      </c>
      <c r="F170" s="41"/>
      <c r="G170" s="41"/>
      <c r="H170" s="13" t="s">
        <v>7</v>
      </c>
      <c r="I170" s="13"/>
      <c r="J170" s="13"/>
      <c r="K170" s="13"/>
      <c r="L170" s="13"/>
      <c r="M170" s="13"/>
      <c r="N170" s="13"/>
      <c r="O170" s="40" t="s">
        <v>92</v>
      </c>
      <c r="P170" s="35" t="s">
        <v>68</v>
      </c>
      <c r="Q170" s="35" t="s">
        <v>155</v>
      </c>
      <c r="R170" s="41" t="s">
        <v>839</v>
      </c>
      <c r="S170" s="41" t="s">
        <v>142</v>
      </c>
      <c r="T170" s="13" t="s">
        <v>70</v>
      </c>
      <c r="U170" s="35" t="s">
        <v>804</v>
      </c>
      <c r="V170" s="35" t="s">
        <v>324</v>
      </c>
      <c r="W170" s="41" t="s">
        <v>840</v>
      </c>
      <c r="X170" s="41" t="s">
        <v>142</v>
      </c>
      <c r="Y170" s="41" t="s">
        <v>70</v>
      </c>
      <c r="Z170" s="13">
        <v>0</v>
      </c>
      <c r="AA170" s="13"/>
      <c r="AB170" s="13"/>
      <c r="AC170" s="13"/>
      <c r="AD170" s="40">
        <v>180</v>
      </c>
      <c r="AE170" s="40"/>
      <c r="AF170" s="40"/>
      <c r="AG170" s="40"/>
      <c r="AH170" s="40"/>
      <c r="AI170" s="40"/>
      <c r="AJ170" s="40"/>
      <c r="AK170" s="40"/>
      <c r="AL170" s="40"/>
      <c r="AM170" s="33" t="s">
        <v>158</v>
      </c>
      <c r="AN170" s="41" t="s">
        <v>834</v>
      </c>
      <c r="AO170" s="43">
        <v>175</v>
      </c>
      <c r="AP170" s="13">
        <v>26</v>
      </c>
      <c r="AQ170" s="40"/>
      <c r="AR170" s="40"/>
      <c r="AS170" s="6"/>
      <c r="AT170" s="6"/>
      <c r="AU170" s="6"/>
      <c r="AV170" s="6"/>
      <c r="AW170" s="12" t="str">
        <f t="shared" si="5"/>
        <v/>
      </c>
      <c r="AX170" s="12" t="str">
        <f t="shared" si="6"/>
        <v/>
      </c>
      <c r="AY170" s="45"/>
    </row>
    <row r="171" spans="1:51" ht="20.100000000000001" customHeight="1" x14ac:dyDescent="0.2">
      <c r="A171" s="13">
        <v>164</v>
      </c>
      <c r="B171" s="40" t="s">
        <v>996</v>
      </c>
      <c r="C171" s="40" t="s">
        <v>935</v>
      </c>
      <c r="D171" s="41" t="s">
        <v>995</v>
      </c>
      <c r="E171" s="41" t="s">
        <v>66</v>
      </c>
      <c r="F171" s="41"/>
      <c r="G171" s="41"/>
      <c r="H171" s="13" t="s">
        <v>7</v>
      </c>
      <c r="I171" s="13"/>
      <c r="J171" s="13"/>
      <c r="K171" s="13"/>
      <c r="L171" s="13"/>
      <c r="M171" s="13"/>
      <c r="N171" s="13"/>
      <c r="O171" s="40" t="s">
        <v>67</v>
      </c>
      <c r="P171" s="41"/>
      <c r="Q171" s="41" t="s">
        <v>141</v>
      </c>
      <c r="R171" s="41" t="s">
        <v>997</v>
      </c>
      <c r="S171" s="41" t="s">
        <v>262</v>
      </c>
      <c r="T171" s="13" t="s">
        <v>70</v>
      </c>
      <c r="U171" s="41"/>
      <c r="V171" s="41" t="s">
        <v>998</v>
      </c>
      <c r="W171" s="41" t="s">
        <v>999</v>
      </c>
      <c r="X171" s="41" t="s">
        <v>142</v>
      </c>
      <c r="Y171" s="41" t="s">
        <v>70</v>
      </c>
      <c r="Z171" s="13">
        <v>0</v>
      </c>
      <c r="AA171" s="13"/>
      <c r="AB171" s="13"/>
      <c r="AC171" s="13"/>
      <c r="AD171" s="40"/>
      <c r="AE171" s="40"/>
      <c r="AF171" s="40"/>
      <c r="AG171" s="40"/>
      <c r="AH171" s="40"/>
      <c r="AI171" s="40"/>
      <c r="AJ171" s="40"/>
      <c r="AK171" s="40"/>
      <c r="AL171" s="40"/>
      <c r="AM171" s="47"/>
      <c r="AN171" s="41"/>
      <c r="AO171" s="41"/>
      <c r="AP171" s="13"/>
      <c r="AQ171" s="40"/>
      <c r="AR171" s="40"/>
      <c r="AS171" s="6"/>
      <c r="AT171" s="6"/>
      <c r="AU171" s="6"/>
      <c r="AV171" s="6"/>
      <c r="AW171" s="12" t="str">
        <f t="shared" si="5"/>
        <v/>
      </c>
      <c r="AX171" s="12" t="str">
        <f t="shared" si="6"/>
        <v/>
      </c>
      <c r="AY171" s="45"/>
    </row>
    <row r="172" spans="1:51" ht="20.100000000000001" customHeight="1" x14ac:dyDescent="0.2">
      <c r="A172" s="13">
        <v>165</v>
      </c>
      <c r="B172" s="40" t="s">
        <v>996</v>
      </c>
      <c r="C172" s="40" t="s">
        <v>935</v>
      </c>
      <c r="D172" s="41" t="s">
        <v>1000</v>
      </c>
      <c r="E172" s="41" t="s">
        <v>19</v>
      </c>
      <c r="F172" s="41"/>
      <c r="G172" s="41"/>
      <c r="H172" s="13" t="s">
        <v>7</v>
      </c>
      <c r="I172" s="13"/>
      <c r="J172" s="13"/>
      <c r="K172" s="13"/>
      <c r="L172" s="13"/>
      <c r="M172" s="13"/>
      <c r="N172" s="13"/>
      <c r="O172" s="40" t="s">
        <v>92</v>
      </c>
      <c r="P172" s="41" t="s">
        <v>429</v>
      </c>
      <c r="Q172" s="41" t="s">
        <v>797</v>
      </c>
      <c r="R172" s="41" t="s">
        <v>1001</v>
      </c>
      <c r="S172" s="41" t="s">
        <v>106</v>
      </c>
      <c r="T172" s="13" t="s">
        <v>107</v>
      </c>
      <c r="U172" s="41" t="s">
        <v>429</v>
      </c>
      <c r="V172" s="41" t="s">
        <v>1002</v>
      </c>
      <c r="W172" s="41" t="s">
        <v>1003</v>
      </c>
      <c r="X172" s="41" t="s">
        <v>73</v>
      </c>
      <c r="Y172" s="41" t="s">
        <v>107</v>
      </c>
      <c r="Z172" s="13">
        <v>0</v>
      </c>
      <c r="AA172" s="13"/>
      <c r="AB172" s="13"/>
      <c r="AC172" s="13"/>
      <c r="AD172" s="40">
        <v>0</v>
      </c>
      <c r="AE172" s="40"/>
      <c r="AF172" s="40"/>
      <c r="AG172" s="40"/>
      <c r="AH172" s="40"/>
      <c r="AI172" s="40"/>
      <c r="AJ172" s="40"/>
      <c r="AK172" s="40"/>
      <c r="AL172" s="40"/>
      <c r="AM172" s="47"/>
      <c r="AN172" s="41" t="s">
        <v>1004</v>
      </c>
      <c r="AO172" s="41"/>
      <c r="AP172" s="13"/>
      <c r="AQ172" s="40"/>
      <c r="AR172" s="40"/>
      <c r="AS172" s="6"/>
      <c r="AT172" s="6"/>
      <c r="AU172" s="6"/>
      <c r="AV172" s="6"/>
      <c r="AW172" s="12" t="str">
        <f t="shared" si="5"/>
        <v/>
      </c>
      <c r="AX172" s="12" t="str">
        <f t="shared" si="6"/>
        <v/>
      </c>
      <c r="AY172" s="45"/>
    </row>
    <row r="173" spans="1:51" ht="20.100000000000001" customHeight="1" x14ac:dyDescent="0.2">
      <c r="A173" s="13">
        <v>166</v>
      </c>
      <c r="B173" s="40" t="s">
        <v>1005</v>
      </c>
      <c r="C173" s="40" t="s">
        <v>935</v>
      </c>
      <c r="D173" s="41" t="s">
        <v>938</v>
      </c>
      <c r="E173" s="41" t="s">
        <v>243</v>
      </c>
      <c r="F173" s="41"/>
      <c r="G173" s="41"/>
      <c r="H173" s="13" t="s">
        <v>7</v>
      </c>
      <c r="I173" s="13"/>
      <c r="J173" s="13"/>
      <c r="K173" s="13"/>
      <c r="L173" s="13"/>
      <c r="M173" s="13"/>
      <c r="N173" s="13"/>
      <c r="O173" s="40" t="s">
        <v>92</v>
      </c>
      <c r="P173" s="35" t="s">
        <v>155</v>
      </c>
      <c r="Q173" s="35" t="s">
        <v>104</v>
      </c>
      <c r="R173" s="41" t="s">
        <v>1006</v>
      </c>
      <c r="S173" s="41" t="s">
        <v>106</v>
      </c>
      <c r="T173" s="13" t="s">
        <v>107</v>
      </c>
      <c r="U173" s="35" t="s">
        <v>324</v>
      </c>
      <c r="V173" s="35" t="s">
        <v>361</v>
      </c>
      <c r="W173" s="41" t="s">
        <v>1007</v>
      </c>
      <c r="X173" s="41" t="s">
        <v>106</v>
      </c>
      <c r="Y173" s="41" t="s">
        <v>107</v>
      </c>
      <c r="Z173" s="13">
        <v>0</v>
      </c>
      <c r="AA173" s="13"/>
      <c r="AB173" s="13"/>
      <c r="AC173" s="13"/>
      <c r="AD173" s="40">
        <v>180</v>
      </c>
      <c r="AE173" s="40"/>
      <c r="AF173" s="40"/>
      <c r="AG173" s="40"/>
      <c r="AH173" s="40"/>
      <c r="AI173" s="40"/>
      <c r="AJ173" s="40"/>
      <c r="AK173" s="40"/>
      <c r="AL173" s="40"/>
      <c r="AM173" s="33" t="s">
        <v>158</v>
      </c>
      <c r="AN173" s="41" t="s">
        <v>996</v>
      </c>
      <c r="AO173" s="41"/>
      <c r="AP173" s="13"/>
      <c r="AQ173" s="40"/>
      <c r="AR173" s="40"/>
      <c r="AS173" s="6"/>
      <c r="AT173" s="6"/>
      <c r="AU173" s="6"/>
      <c r="AV173" s="6"/>
      <c r="AW173" s="12" t="str">
        <f t="shared" si="5"/>
        <v/>
      </c>
      <c r="AX173" s="12" t="str">
        <f t="shared" si="6"/>
        <v/>
      </c>
      <c r="AY173" s="45"/>
    </row>
    <row r="174" spans="1:51" s="21" customFormat="1" ht="20.100000000000001" customHeight="1" x14ac:dyDescent="0.2">
      <c r="A174" s="13">
        <v>167</v>
      </c>
      <c r="B174" s="29" t="s">
        <v>1008</v>
      </c>
      <c r="C174" s="29" t="s">
        <v>935</v>
      </c>
      <c r="D174" s="30" t="s">
        <v>912</v>
      </c>
      <c r="E174" s="30" t="s">
        <v>6</v>
      </c>
      <c r="F174" s="30" t="s">
        <v>185</v>
      </c>
      <c r="G174" s="30"/>
      <c r="H174" s="20" t="s">
        <v>83</v>
      </c>
      <c r="I174" s="20"/>
      <c r="J174" s="20"/>
      <c r="K174" s="20"/>
      <c r="L174" s="20"/>
      <c r="M174" s="20"/>
      <c r="N174" s="20"/>
      <c r="O174" s="29" t="s">
        <v>67</v>
      </c>
      <c r="P174" s="30"/>
      <c r="Q174" s="30" t="s">
        <v>155</v>
      </c>
      <c r="R174" s="30" t="s">
        <v>780</v>
      </c>
      <c r="S174" s="30" t="s">
        <v>69</v>
      </c>
      <c r="T174" s="20" t="s">
        <v>70</v>
      </c>
      <c r="U174" s="30"/>
      <c r="V174" s="30" t="s">
        <v>156</v>
      </c>
      <c r="W174" s="30" t="s">
        <v>936</v>
      </c>
      <c r="X174" s="30" t="s">
        <v>106</v>
      </c>
      <c r="Y174" s="30" t="s">
        <v>107</v>
      </c>
      <c r="Z174" s="20" t="s">
        <v>934</v>
      </c>
      <c r="AA174" s="20"/>
      <c r="AB174" s="20"/>
      <c r="AC174" s="20"/>
      <c r="AD174" s="29">
        <v>210</v>
      </c>
      <c r="AE174" s="29"/>
      <c r="AF174" s="29"/>
      <c r="AG174" s="29"/>
      <c r="AH174" s="29"/>
      <c r="AI174" s="29"/>
      <c r="AJ174" s="29"/>
      <c r="AK174" s="29"/>
      <c r="AL174" s="29"/>
      <c r="AM174" s="20" t="s">
        <v>158</v>
      </c>
      <c r="AN174" s="30" t="s">
        <v>920</v>
      </c>
      <c r="AO174" s="36">
        <v>235</v>
      </c>
      <c r="AP174" s="20">
        <v>18.5</v>
      </c>
      <c r="AQ174" s="29"/>
      <c r="AR174" s="29"/>
      <c r="AS174" s="30">
        <v>1401</v>
      </c>
      <c r="AT174" s="30">
        <v>5</v>
      </c>
      <c r="AU174" s="30">
        <v>1401</v>
      </c>
      <c r="AV174" s="30">
        <v>5</v>
      </c>
      <c r="AW174" s="31">
        <f t="shared" si="5"/>
        <v>0</v>
      </c>
      <c r="AX174" s="31">
        <f t="shared" si="6"/>
        <v>0</v>
      </c>
      <c r="AY174" s="32"/>
    </row>
    <row r="175" spans="1:51" s="21" customFormat="1" ht="20.100000000000001" customHeight="1" x14ac:dyDescent="0.2">
      <c r="A175" s="13">
        <v>168</v>
      </c>
      <c r="B175" s="29" t="s">
        <v>1008</v>
      </c>
      <c r="C175" s="29" t="s">
        <v>935</v>
      </c>
      <c r="D175" s="30" t="s">
        <v>864</v>
      </c>
      <c r="E175" s="30" t="s">
        <v>8</v>
      </c>
      <c r="F175" s="30" t="s">
        <v>185</v>
      </c>
      <c r="G175" s="30"/>
      <c r="H175" s="20" t="s">
        <v>83</v>
      </c>
      <c r="I175" s="20"/>
      <c r="J175" s="20"/>
      <c r="K175" s="20"/>
      <c r="L175" s="20"/>
      <c r="M175" s="20"/>
      <c r="N175" s="20"/>
      <c r="O175" s="29" t="s">
        <v>67</v>
      </c>
      <c r="P175" s="30"/>
      <c r="Q175" s="30" t="s">
        <v>117</v>
      </c>
      <c r="R175" s="30" t="s">
        <v>815</v>
      </c>
      <c r="S175" s="30" t="s">
        <v>106</v>
      </c>
      <c r="T175" s="20" t="s">
        <v>107</v>
      </c>
      <c r="U175" s="30"/>
      <c r="V175" s="30" t="s">
        <v>108</v>
      </c>
      <c r="W175" s="30" t="s">
        <v>880</v>
      </c>
      <c r="X175" s="30" t="s">
        <v>106</v>
      </c>
      <c r="Y175" s="30" t="s">
        <v>107</v>
      </c>
      <c r="Z175" s="20" t="s">
        <v>879</v>
      </c>
      <c r="AA175" s="20"/>
      <c r="AB175" s="20"/>
      <c r="AC175" s="20"/>
      <c r="AD175" s="29">
        <v>174</v>
      </c>
      <c r="AE175" s="29"/>
      <c r="AF175" s="29"/>
      <c r="AG175" s="29"/>
      <c r="AH175" s="29"/>
      <c r="AI175" s="29"/>
      <c r="AJ175" s="29"/>
      <c r="AK175" s="29"/>
      <c r="AL175" s="29"/>
      <c r="AM175" s="20" t="s">
        <v>158</v>
      </c>
      <c r="AN175" s="30" t="s">
        <v>874</v>
      </c>
      <c r="AO175" s="36">
        <v>94</v>
      </c>
      <c r="AP175" s="20">
        <v>30.2</v>
      </c>
      <c r="AQ175" s="29"/>
      <c r="AR175" s="29"/>
      <c r="AS175" s="30">
        <v>1401</v>
      </c>
      <c r="AT175" s="30">
        <v>5</v>
      </c>
      <c r="AU175" s="30">
        <v>1401</v>
      </c>
      <c r="AV175" s="30">
        <v>4</v>
      </c>
      <c r="AW175" s="31">
        <f t="shared" si="5"/>
        <v>1</v>
      </c>
      <c r="AX175" s="31">
        <f t="shared" si="6"/>
        <v>1</v>
      </c>
      <c r="AY175" s="32"/>
    </row>
    <row r="176" spans="1:51" ht="20.100000000000001" customHeight="1" x14ac:dyDescent="0.2">
      <c r="A176" s="13">
        <v>169</v>
      </c>
      <c r="B176" s="40" t="s">
        <v>1009</v>
      </c>
      <c r="C176" s="40" t="s">
        <v>935</v>
      </c>
      <c r="D176" s="41" t="s">
        <v>897</v>
      </c>
      <c r="E176" s="41" t="s">
        <v>19</v>
      </c>
      <c r="F176" s="41"/>
      <c r="G176" s="41"/>
      <c r="H176" s="13" t="s">
        <v>7</v>
      </c>
      <c r="I176" s="13"/>
      <c r="J176" s="13"/>
      <c r="K176" s="13"/>
      <c r="L176" s="13"/>
      <c r="M176" s="13"/>
      <c r="N176" s="13"/>
      <c r="O176" s="40" t="s">
        <v>67</v>
      </c>
      <c r="P176" s="41" t="s">
        <v>223</v>
      </c>
      <c r="Q176" s="41" t="s">
        <v>223</v>
      </c>
      <c r="R176" s="41" t="s">
        <v>898</v>
      </c>
      <c r="S176" s="41" t="s">
        <v>69</v>
      </c>
      <c r="T176" s="13" t="s">
        <v>70</v>
      </c>
      <c r="U176" s="41" t="s">
        <v>230</v>
      </c>
      <c r="V176" s="41" t="s">
        <v>230</v>
      </c>
      <c r="W176" s="41" t="s">
        <v>900</v>
      </c>
      <c r="X176" s="41" t="s">
        <v>73</v>
      </c>
      <c r="Y176" s="41" t="s">
        <v>70</v>
      </c>
      <c r="Z176" s="13">
        <v>0</v>
      </c>
      <c r="AA176" s="13"/>
      <c r="AB176" s="13"/>
      <c r="AC176" s="13"/>
      <c r="AD176" s="40">
        <v>216</v>
      </c>
      <c r="AE176" s="40"/>
      <c r="AF176" s="40"/>
      <c r="AG176" s="40"/>
      <c r="AH176" s="40"/>
      <c r="AI176" s="40"/>
      <c r="AJ176" s="40"/>
      <c r="AK176" s="40"/>
      <c r="AL176" s="40"/>
      <c r="AM176" s="47"/>
      <c r="AN176" s="41" t="s">
        <v>879</v>
      </c>
      <c r="AO176" s="41"/>
      <c r="AP176" s="13"/>
      <c r="AQ176" s="40"/>
      <c r="AR176" s="40"/>
      <c r="AS176" s="6"/>
      <c r="AT176" s="6"/>
      <c r="AU176" s="6"/>
      <c r="AV176" s="6"/>
      <c r="AW176" s="12" t="str">
        <f t="shared" si="5"/>
        <v/>
      </c>
      <c r="AX176" s="12" t="str">
        <f t="shared" si="6"/>
        <v/>
      </c>
      <c r="AY176" s="45"/>
    </row>
    <row r="177" spans="1:51" ht="20.100000000000001" customHeight="1" x14ac:dyDescent="0.2">
      <c r="A177" s="13">
        <v>170</v>
      </c>
      <c r="B177" s="40" t="s">
        <v>1010</v>
      </c>
      <c r="C177" s="40" t="s">
        <v>935</v>
      </c>
      <c r="D177" s="41" t="s">
        <v>1011</v>
      </c>
      <c r="E177" s="41" t="s">
        <v>66</v>
      </c>
      <c r="F177" s="41" t="s">
        <v>192</v>
      </c>
      <c r="G177" s="41"/>
      <c r="H177" s="13" t="s">
        <v>7</v>
      </c>
      <c r="I177" s="13"/>
      <c r="J177" s="13"/>
      <c r="K177" s="13"/>
      <c r="L177" s="13"/>
      <c r="M177" s="13"/>
      <c r="N177" s="13"/>
      <c r="O177" s="40" t="s">
        <v>67</v>
      </c>
      <c r="P177" s="41" t="s">
        <v>429</v>
      </c>
      <c r="Q177" s="41" t="s">
        <v>334</v>
      </c>
      <c r="R177" s="41" t="s">
        <v>1012</v>
      </c>
      <c r="S177" s="41" t="s">
        <v>106</v>
      </c>
      <c r="T177" s="13" t="s">
        <v>107</v>
      </c>
      <c r="U177" s="41" t="s">
        <v>429</v>
      </c>
      <c r="V177" s="41" t="s">
        <v>1013</v>
      </c>
      <c r="W177" s="41" t="s">
        <v>1014</v>
      </c>
      <c r="X177" s="41" t="s">
        <v>69</v>
      </c>
      <c r="Y177" s="41" t="s">
        <v>70</v>
      </c>
      <c r="Z177" s="13">
        <v>0</v>
      </c>
      <c r="AA177" s="13"/>
      <c r="AB177" s="13"/>
      <c r="AC177" s="13"/>
      <c r="AD177" s="40">
        <v>177</v>
      </c>
      <c r="AE177" s="40"/>
      <c r="AF177" s="40"/>
      <c r="AG177" s="40"/>
      <c r="AH177" s="40"/>
      <c r="AI177" s="40"/>
      <c r="AJ177" s="40"/>
      <c r="AK177" s="40"/>
      <c r="AL177" s="40"/>
      <c r="AM177" s="47"/>
      <c r="AN177" s="41" t="s">
        <v>1015</v>
      </c>
      <c r="AO177" s="43">
        <v>148</v>
      </c>
      <c r="AP177" s="13">
        <v>9</v>
      </c>
      <c r="AQ177" s="40"/>
      <c r="AR177" s="40"/>
      <c r="AS177" s="6"/>
      <c r="AT177" s="6"/>
      <c r="AU177" s="6"/>
      <c r="AV177" s="6"/>
      <c r="AW177" s="12" t="str">
        <f t="shared" si="5"/>
        <v/>
      </c>
      <c r="AX177" s="12" t="str">
        <f t="shared" si="6"/>
        <v/>
      </c>
      <c r="AY177" s="45"/>
    </row>
    <row r="178" spans="1:51" ht="20.100000000000001" customHeight="1" x14ac:dyDescent="0.2">
      <c r="A178" s="13">
        <v>171</v>
      </c>
      <c r="B178" s="40" t="s">
        <v>1016</v>
      </c>
      <c r="C178" s="40" t="s">
        <v>935</v>
      </c>
      <c r="D178" s="41" t="s">
        <v>1017</v>
      </c>
      <c r="E178" s="41" t="s">
        <v>10</v>
      </c>
      <c r="F178" s="41" t="s">
        <v>185</v>
      </c>
      <c r="G178" s="41"/>
      <c r="H178" s="13" t="s">
        <v>83</v>
      </c>
      <c r="I178" s="13"/>
      <c r="J178" s="13"/>
      <c r="K178" s="13"/>
      <c r="L178" s="13"/>
      <c r="M178" s="13"/>
      <c r="N178" s="13"/>
      <c r="O178" s="40" t="s">
        <v>67</v>
      </c>
      <c r="P178" s="41"/>
      <c r="Q178" s="41" t="s">
        <v>155</v>
      </c>
      <c r="R178" s="41" t="s">
        <v>1018</v>
      </c>
      <c r="S178" s="41" t="s">
        <v>142</v>
      </c>
      <c r="T178" s="13" t="s">
        <v>70</v>
      </c>
      <c r="U178" s="41"/>
      <c r="V178" s="41" t="s">
        <v>170</v>
      </c>
      <c r="W178" s="41" t="s">
        <v>421</v>
      </c>
      <c r="X178" s="41" t="s">
        <v>142</v>
      </c>
      <c r="Y178" s="41" t="s">
        <v>70</v>
      </c>
      <c r="Z178" s="13" t="s">
        <v>392</v>
      </c>
      <c r="AA178" s="13"/>
      <c r="AB178" s="13"/>
      <c r="AC178" s="13"/>
      <c r="AD178" s="40">
        <v>210</v>
      </c>
      <c r="AE178" s="40"/>
      <c r="AF178" s="40"/>
      <c r="AG178" s="40"/>
      <c r="AH178" s="40"/>
      <c r="AI178" s="40"/>
      <c r="AJ178" s="40"/>
      <c r="AK178" s="40"/>
      <c r="AL178" s="40"/>
      <c r="AM178" s="47"/>
      <c r="AN178" s="41" t="s">
        <v>392</v>
      </c>
      <c r="AO178" s="41"/>
      <c r="AP178" s="13"/>
      <c r="AQ178" s="40"/>
      <c r="AR178" s="40"/>
      <c r="AS178" s="6">
        <v>1401</v>
      </c>
      <c r="AT178" s="6">
        <v>5</v>
      </c>
      <c r="AU178" s="6">
        <v>1397</v>
      </c>
      <c r="AV178" s="6">
        <v>4</v>
      </c>
      <c r="AW178" s="12">
        <f t="shared" si="5"/>
        <v>49</v>
      </c>
      <c r="AX178" s="12" t="str">
        <f t="shared" si="6"/>
        <v/>
      </c>
      <c r="AY178" s="45"/>
    </row>
    <row r="179" spans="1:51" ht="20.100000000000001" customHeight="1" x14ac:dyDescent="0.2">
      <c r="A179" s="13">
        <v>172</v>
      </c>
      <c r="B179" s="40" t="s">
        <v>1019</v>
      </c>
      <c r="C179" s="40" t="s">
        <v>935</v>
      </c>
      <c r="D179" s="41" t="s">
        <v>1017</v>
      </c>
      <c r="E179" s="41" t="s">
        <v>10</v>
      </c>
      <c r="F179" s="41"/>
      <c r="G179" s="41"/>
      <c r="H179" s="13" t="s">
        <v>7</v>
      </c>
      <c r="I179" s="13"/>
      <c r="J179" s="13"/>
      <c r="K179" s="13"/>
      <c r="L179" s="13"/>
      <c r="M179" s="13"/>
      <c r="N179" s="13"/>
      <c r="O179" s="40" t="s">
        <v>67</v>
      </c>
      <c r="P179" s="41" t="s">
        <v>155</v>
      </c>
      <c r="Q179" s="41" t="s">
        <v>155</v>
      </c>
      <c r="R179" s="41" t="s">
        <v>1020</v>
      </c>
      <c r="S179" s="41" t="s">
        <v>106</v>
      </c>
      <c r="T179" s="13" t="s">
        <v>107</v>
      </c>
      <c r="U179" s="41" t="s">
        <v>170</v>
      </c>
      <c r="V179" s="41" t="s">
        <v>170</v>
      </c>
      <c r="W179" s="41" t="s">
        <v>1021</v>
      </c>
      <c r="X179" s="41" t="s">
        <v>106</v>
      </c>
      <c r="Y179" s="41" t="s">
        <v>107</v>
      </c>
      <c r="Z179" s="13">
        <v>0</v>
      </c>
      <c r="AA179" s="13"/>
      <c r="AB179" s="13"/>
      <c r="AC179" s="13"/>
      <c r="AD179" s="40">
        <v>210</v>
      </c>
      <c r="AE179" s="40"/>
      <c r="AF179" s="40"/>
      <c r="AG179" s="40"/>
      <c r="AH179" s="40"/>
      <c r="AI179" s="40"/>
      <c r="AJ179" s="40"/>
      <c r="AK179" s="40"/>
      <c r="AL179" s="40"/>
      <c r="AM179" s="47"/>
      <c r="AN179" s="41" t="s">
        <v>1016</v>
      </c>
      <c r="AO179" s="43">
        <v>225</v>
      </c>
      <c r="AP179" s="13">
        <v>21</v>
      </c>
      <c r="AQ179" s="40"/>
      <c r="AR179" s="40"/>
      <c r="AS179" s="6"/>
      <c r="AT179" s="6"/>
      <c r="AU179" s="6"/>
      <c r="AV179" s="6"/>
      <c r="AW179" s="12" t="str">
        <f t="shared" si="5"/>
        <v/>
      </c>
      <c r="AX179" s="12" t="str">
        <f t="shared" si="6"/>
        <v/>
      </c>
      <c r="AY179" s="45"/>
    </row>
    <row r="180" spans="1:51" ht="20.100000000000001" customHeight="1" x14ac:dyDescent="0.2">
      <c r="A180" s="13">
        <v>173</v>
      </c>
      <c r="B180" s="40" t="s">
        <v>1019</v>
      </c>
      <c r="C180" s="40" t="s">
        <v>935</v>
      </c>
      <c r="D180" s="41" t="s">
        <v>1022</v>
      </c>
      <c r="E180" s="41" t="s">
        <v>20</v>
      </c>
      <c r="F180" s="41" t="s">
        <v>186</v>
      </c>
      <c r="G180" s="41"/>
      <c r="H180" s="13" t="s">
        <v>83</v>
      </c>
      <c r="I180" s="13"/>
      <c r="J180" s="13"/>
      <c r="K180" s="13"/>
      <c r="L180" s="13"/>
      <c r="M180" s="13"/>
      <c r="N180" s="13"/>
      <c r="O180" s="40" t="s">
        <v>92</v>
      </c>
      <c r="P180" s="41"/>
      <c r="Q180" s="41" t="s">
        <v>769</v>
      </c>
      <c r="R180" s="41" t="s">
        <v>1023</v>
      </c>
      <c r="S180" s="41" t="s">
        <v>369</v>
      </c>
      <c r="T180" s="13" t="s">
        <v>369</v>
      </c>
      <c r="U180" s="41"/>
      <c r="V180" s="41" t="s">
        <v>757</v>
      </c>
      <c r="W180" s="41" t="s">
        <v>1024</v>
      </c>
      <c r="X180" s="41" t="s">
        <v>369</v>
      </c>
      <c r="Y180" s="41" t="s">
        <v>369</v>
      </c>
      <c r="Z180" s="13" t="s">
        <v>1025</v>
      </c>
      <c r="AA180" s="13"/>
      <c r="AB180" s="13"/>
      <c r="AC180" s="13"/>
      <c r="AD180" s="40">
        <v>78</v>
      </c>
      <c r="AE180" s="40"/>
      <c r="AF180" s="40"/>
      <c r="AG180" s="40"/>
      <c r="AH180" s="40"/>
      <c r="AI180" s="40"/>
      <c r="AJ180" s="40"/>
      <c r="AK180" s="40"/>
      <c r="AL180" s="40"/>
      <c r="AM180" s="47"/>
      <c r="AN180" s="41"/>
      <c r="AO180" s="41"/>
      <c r="AP180" s="13"/>
      <c r="AQ180" s="40"/>
      <c r="AR180" s="40"/>
      <c r="AS180" s="6">
        <v>1401</v>
      </c>
      <c r="AT180" s="6">
        <v>5</v>
      </c>
      <c r="AU180" s="6">
        <v>1393</v>
      </c>
      <c r="AV180" s="6">
        <v>2</v>
      </c>
      <c r="AW180" s="12">
        <f t="shared" si="5"/>
        <v>99</v>
      </c>
      <c r="AX180" s="12" t="str">
        <f t="shared" si="6"/>
        <v/>
      </c>
      <c r="AY180" s="45"/>
    </row>
    <row r="181" spans="1:51" ht="20.100000000000001" customHeight="1" x14ac:dyDescent="0.2">
      <c r="A181" s="13">
        <v>174</v>
      </c>
      <c r="B181" s="40" t="s">
        <v>1026</v>
      </c>
      <c r="C181" s="40" t="s">
        <v>935</v>
      </c>
      <c r="D181" s="41" t="s">
        <v>951</v>
      </c>
      <c r="E181" s="41" t="s">
        <v>20</v>
      </c>
      <c r="F181" s="41"/>
      <c r="G181" s="41"/>
      <c r="H181" s="13" t="s">
        <v>7</v>
      </c>
      <c r="I181" s="13"/>
      <c r="J181" s="13"/>
      <c r="K181" s="13"/>
      <c r="L181" s="13"/>
      <c r="M181" s="13"/>
      <c r="N181" s="13"/>
      <c r="O181" s="40" t="s">
        <v>92</v>
      </c>
      <c r="P181" s="35" t="s">
        <v>155</v>
      </c>
      <c r="Q181" s="35" t="s">
        <v>218</v>
      </c>
      <c r="R181" s="41" t="s">
        <v>1027</v>
      </c>
      <c r="S181" s="41" t="s">
        <v>69</v>
      </c>
      <c r="T181" s="13" t="s">
        <v>70</v>
      </c>
      <c r="U181" s="35" t="s">
        <v>167</v>
      </c>
      <c r="V181" s="35" t="s">
        <v>268</v>
      </c>
      <c r="W181" s="41" t="s">
        <v>1028</v>
      </c>
      <c r="X181" s="41" t="s">
        <v>142</v>
      </c>
      <c r="Y181" s="41" t="s">
        <v>70</v>
      </c>
      <c r="Z181" s="13">
        <v>0</v>
      </c>
      <c r="AA181" s="13"/>
      <c r="AB181" s="13"/>
      <c r="AC181" s="13"/>
      <c r="AD181" s="40">
        <v>174</v>
      </c>
      <c r="AE181" s="40"/>
      <c r="AF181" s="40"/>
      <c r="AG181" s="40"/>
      <c r="AH181" s="40"/>
      <c r="AI181" s="40"/>
      <c r="AJ181" s="40"/>
      <c r="AK181" s="40"/>
      <c r="AL181" s="40"/>
      <c r="AM181" s="33" t="s">
        <v>158</v>
      </c>
      <c r="AN181" s="41" t="s">
        <v>1019</v>
      </c>
      <c r="AO181" s="43">
        <v>222</v>
      </c>
      <c r="AP181" s="13">
        <v>28</v>
      </c>
      <c r="AQ181" s="40"/>
      <c r="AR181" s="40"/>
      <c r="AS181" s="6"/>
      <c r="AT181" s="6"/>
      <c r="AU181" s="6"/>
      <c r="AV181" s="6"/>
      <c r="AW181" s="12" t="str">
        <f t="shared" si="5"/>
        <v/>
      </c>
      <c r="AX181" s="12" t="str">
        <f t="shared" si="6"/>
        <v/>
      </c>
      <c r="AY181" s="45"/>
    </row>
    <row r="182" spans="1:51" ht="20.100000000000001" customHeight="1" x14ac:dyDescent="0.2">
      <c r="A182" s="13">
        <v>175</v>
      </c>
      <c r="B182" s="40" t="s">
        <v>1026</v>
      </c>
      <c r="C182" s="40" t="s">
        <v>935</v>
      </c>
      <c r="D182" s="41" t="s">
        <v>944</v>
      </c>
      <c r="E182" s="41" t="s">
        <v>20</v>
      </c>
      <c r="F182" s="41"/>
      <c r="G182" s="41"/>
      <c r="H182" s="13" t="s">
        <v>7</v>
      </c>
      <c r="I182" s="13"/>
      <c r="J182" s="13"/>
      <c r="K182" s="13"/>
      <c r="L182" s="13"/>
      <c r="M182" s="13"/>
      <c r="N182" s="13"/>
      <c r="O182" s="40" t="s">
        <v>67</v>
      </c>
      <c r="P182" s="35" t="s">
        <v>155</v>
      </c>
      <c r="Q182" s="35" t="s">
        <v>251</v>
      </c>
      <c r="R182" s="41" t="s">
        <v>1029</v>
      </c>
      <c r="S182" s="41" t="s">
        <v>142</v>
      </c>
      <c r="T182" s="13" t="s">
        <v>70</v>
      </c>
      <c r="U182" s="35" t="s">
        <v>156</v>
      </c>
      <c r="V182" s="35" t="s">
        <v>453</v>
      </c>
      <c r="W182" s="41" t="s">
        <v>1030</v>
      </c>
      <c r="X182" s="41" t="s">
        <v>119</v>
      </c>
      <c r="Y182" s="41" t="s">
        <v>107</v>
      </c>
      <c r="Z182" s="13">
        <v>0</v>
      </c>
      <c r="AA182" s="13"/>
      <c r="AB182" s="13"/>
      <c r="AC182" s="13"/>
      <c r="AD182" s="40">
        <v>222</v>
      </c>
      <c r="AE182" s="40"/>
      <c r="AF182" s="40"/>
      <c r="AG182" s="40"/>
      <c r="AH182" s="40"/>
      <c r="AI182" s="40"/>
      <c r="AJ182" s="40"/>
      <c r="AK182" s="40"/>
      <c r="AL182" s="40"/>
      <c r="AM182" s="33" t="s">
        <v>158</v>
      </c>
      <c r="AN182" s="41"/>
      <c r="AO182" s="41"/>
      <c r="AP182" s="13"/>
      <c r="AQ182" s="40"/>
      <c r="AR182" s="40"/>
      <c r="AS182" s="6"/>
      <c r="AT182" s="6"/>
      <c r="AU182" s="6"/>
      <c r="AV182" s="6"/>
      <c r="AW182" s="12" t="str">
        <f t="shared" si="5"/>
        <v/>
      </c>
      <c r="AX182" s="12" t="str">
        <f t="shared" si="6"/>
        <v/>
      </c>
      <c r="AY182" s="45"/>
    </row>
    <row r="183" spans="1:51" ht="20.100000000000001" customHeight="1" x14ac:dyDescent="0.2">
      <c r="A183" s="13">
        <v>176</v>
      </c>
      <c r="B183" s="40" t="s">
        <v>1031</v>
      </c>
      <c r="C183" s="40" t="s">
        <v>935</v>
      </c>
      <c r="D183" s="41" t="s">
        <v>1032</v>
      </c>
      <c r="E183" s="41" t="s">
        <v>9</v>
      </c>
      <c r="F183" s="41" t="s">
        <v>481</v>
      </c>
      <c r="G183" s="41"/>
      <c r="H183" s="13" t="s">
        <v>83</v>
      </c>
      <c r="I183" s="13"/>
      <c r="J183" s="13"/>
      <c r="K183" s="13"/>
      <c r="L183" s="13"/>
      <c r="M183" s="13"/>
      <c r="N183" s="13"/>
      <c r="O183" s="40" t="s">
        <v>67</v>
      </c>
      <c r="P183" s="41"/>
      <c r="Q183" s="41" t="s">
        <v>141</v>
      </c>
      <c r="R183" s="41" t="s">
        <v>1033</v>
      </c>
      <c r="S183" s="41" t="s">
        <v>262</v>
      </c>
      <c r="T183" s="13" t="s">
        <v>70</v>
      </c>
      <c r="U183" s="41"/>
      <c r="V183" s="41" t="s">
        <v>991</v>
      </c>
      <c r="W183" s="41" t="s">
        <v>1034</v>
      </c>
      <c r="X183" s="41" t="s">
        <v>69</v>
      </c>
      <c r="Y183" s="41" t="s">
        <v>70</v>
      </c>
      <c r="Z183" s="13" t="s">
        <v>1035</v>
      </c>
      <c r="AA183" s="13"/>
      <c r="AB183" s="13"/>
      <c r="AC183" s="13"/>
      <c r="AD183" s="40">
        <v>198</v>
      </c>
      <c r="AE183" s="40"/>
      <c r="AF183" s="40"/>
      <c r="AG183" s="40"/>
      <c r="AH183" s="40"/>
      <c r="AI183" s="40"/>
      <c r="AJ183" s="40"/>
      <c r="AK183" s="40"/>
      <c r="AL183" s="40"/>
      <c r="AM183" s="47"/>
      <c r="AN183" s="41" t="s">
        <v>1036</v>
      </c>
      <c r="AO183" s="43">
        <v>180</v>
      </c>
      <c r="AP183" s="13">
        <v>9</v>
      </c>
      <c r="AQ183" s="40"/>
      <c r="AR183" s="40"/>
      <c r="AS183" s="6">
        <v>1401</v>
      </c>
      <c r="AT183" s="6">
        <v>5</v>
      </c>
      <c r="AU183" s="6">
        <v>1397</v>
      </c>
      <c r="AV183" s="6">
        <v>6</v>
      </c>
      <c r="AW183" s="12">
        <f t="shared" si="5"/>
        <v>47</v>
      </c>
      <c r="AX183" s="12" t="str">
        <f t="shared" si="6"/>
        <v/>
      </c>
      <c r="AY183" s="45"/>
    </row>
    <row r="184" spans="1:51" s="21" customFormat="1" ht="20.100000000000001" customHeight="1" x14ac:dyDescent="0.2">
      <c r="A184" s="13">
        <v>177</v>
      </c>
      <c r="B184" s="29" t="s">
        <v>1037</v>
      </c>
      <c r="C184" s="29" t="s">
        <v>935</v>
      </c>
      <c r="D184" s="30" t="s">
        <v>1038</v>
      </c>
      <c r="E184" s="30" t="s">
        <v>243</v>
      </c>
      <c r="F184" s="30" t="s">
        <v>945</v>
      </c>
      <c r="G184" s="30"/>
      <c r="H184" s="20" t="s">
        <v>83</v>
      </c>
      <c r="I184" s="20"/>
      <c r="J184" s="20"/>
      <c r="K184" s="20"/>
      <c r="L184" s="20"/>
      <c r="M184" s="20"/>
      <c r="N184" s="20"/>
      <c r="O184" s="29" t="s">
        <v>92</v>
      </c>
      <c r="P184" s="30"/>
      <c r="Q184" s="30" t="s">
        <v>140</v>
      </c>
      <c r="R184" s="30" t="s">
        <v>1039</v>
      </c>
      <c r="S184" s="30" t="s">
        <v>106</v>
      </c>
      <c r="T184" s="20" t="s">
        <v>107</v>
      </c>
      <c r="U184" s="30"/>
      <c r="V184" s="30" t="s">
        <v>143</v>
      </c>
      <c r="W184" s="30" t="s">
        <v>1040</v>
      </c>
      <c r="X184" s="30" t="s">
        <v>106</v>
      </c>
      <c r="Y184" s="30" t="s">
        <v>107</v>
      </c>
      <c r="Z184" s="20" t="s">
        <v>1041</v>
      </c>
      <c r="AA184" s="20"/>
      <c r="AB184" s="20"/>
      <c r="AC184" s="20"/>
      <c r="AD184" s="29">
        <v>90</v>
      </c>
      <c r="AE184" s="29"/>
      <c r="AF184" s="29"/>
      <c r="AG184" s="29"/>
      <c r="AH184" s="29"/>
      <c r="AI184" s="29"/>
      <c r="AJ184" s="29"/>
      <c r="AK184" s="29"/>
      <c r="AL184" s="29"/>
      <c r="AM184" s="20" t="s">
        <v>158</v>
      </c>
      <c r="AN184" s="30" t="s">
        <v>665</v>
      </c>
      <c r="AO184" s="36">
        <v>94</v>
      </c>
      <c r="AP184" s="20">
        <v>27</v>
      </c>
      <c r="AQ184" s="29"/>
      <c r="AR184" s="29"/>
      <c r="AS184" s="30">
        <v>1401</v>
      </c>
      <c r="AT184" s="30">
        <v>5</v>
      </c>
      <c r="AU184" s="30">
        <v>1400</v>
      </c>
      <c r="AV184" s="30">
        <v>12</v>
      </c>
      <c r="AW184" s="31">
        <f t="shared" si="5"/>
        <v>5</v>
      </c>
      <c r="AX184" s="31">
        <f t="shared" si="6"/>
        <v>5</v>
      </c>
      <c r="AY184" s="32"/>
    </row>
    <row r="185" spans="1:51" ht="20.100000000000001" customHeight="1" x14ac:dyDescent="0.2">
      <c r="A185" s="13">
        <v>178</v>
      </c>
      <c r="B185" s="40" t="s">
        <v>1037</v>
      </c>
      <c r="C185" s="40" t="s">
        <v>935</v>
      </c>
      <c r="D185" s="41" t="s">
        <v>1042</v>
      </c>
      <c r="E185" s="41" t="s">
        <v>66</v>
      </c>
      <c r="F185" s="41" t="s">
        <v>481</v>
      </c>
      <c r="G185" s="41"/>
      <c r="H185" s="13" t="s">
        <v>83</v>
      </c>
      <c r="I185" s="13"/>
      <c r="J185" s="13"/>
      <c r="K185" s="13"/>
      <c r="L185" s="13"/>
      <c r="M185" s="13"/>
      <c r="N185" s="13"/>
      <c r="O185" s="40" t="s">
        <v>92</v>
      </c>
      <c r="P185" s="41"/>
      <c r="Q185" s="41"/>
      <c r="R185" s="41"/>
      <c r="S185" s="41"/>
      <c r="T185" s="13"/>
      <c r="U185" s="41"/>
      <c r="V185" s="41"/>
      <c r="W185" s="41"/>
      <c r="X185" s="41"/>
      <c r="Y185" s="41"/>
      <c r="Z185" s="13"/>
      <c r="AA185" s="13"/>
      <c r="AB185" s="13"/>
      <c r="AC185" s="13"/>
      <c r="AD185" s="40"/>
      <c r="AE185" s="40"/>
      <c r="AF185" s="40"/>
      <c r="AG185" s="40"/>
      <c r="AH185" s="40"/>
      <c r="AI185" s="40"/>
      <c r="AJ185" s="40"/>
      <c r="AK185" s="40"/>
      <c r="AL185" s="40"/>
      <c r="AM185" s="47"/>
      <c r="AN185" s="41"/>
      <c r="AO185" s="41"/>
      <c r="AP185" s="13"/>
      <c r="AQ185" s="40"/>
      <c r="AR185" s="40"/>
      <c r="AS185" s="6"/>
      <c r="AT185" s="6"/>
      <c r="AU185" s="6"/>
      <c r="AV185" s="6"/>
      <c r="AW185" s="12" t="str">
        <f t="shared" si="5"/>
        <v/>
      </c>
      <c r="AX185" s="12" t="str">
        <f t="shared" si="6"/>
        <v/>
      </c>
      <c r="AY185" s="45"/>
    </row>
    <row r="186" spans="1:51" ht="20.100000000000001" customHeight="1" x14ac:dyDescent="0.2">
      <c r="A186" s="13">
        <v>179</v>
      </c>
      <c r="B186" s="40" t="s">
        <v>1043</v>
      </c>
      <c r="C186" s="40" t="s">
        <v>935</v>
      </c>
      <c r="D186" s="41" t="s">
        <v>1038</v>
      </c>
      <c r="E186" s="41" t="s">
        <v>243</v>
      </c>
      <c r="F186" s="41"/>
      <c r="G186" s="41"/>
      <c r="H186" s="13" t="s">
        <v>7</v>
      </c>
      <c r="I186" s="13"/>
      <c r="J186" s="13"/>
      <c r="K186" s="13"/>
      <c r="L186" s="13"/>
      <c r="M186" s="13"/>
      <c r="N186" s="13"/>
      <c r="O186" s="40" t="s">
        <v>92</v>
      </c>
      <c r="P186" s="35" t="s">
        <v>140</v>
      </c>
      <c r="Q186" s="35" t="s">
        <v>117</v>
      </c>
      <c r="R186" s="41" t="s">
        <v>1044</v>
      </c>
      <c r="S186" s="41" t="s">
        <v>106</v>
      </c>
      <c r="T186" s="13" t="s">
        <v>107</v>
      </c>
      <c r="U186" s="35" t="s">
        <v>143</v>
      </c>
      <c r="V186" s="35" t="s">
        <v>470</v>
      </c>
      <c r="W186" s="41" t="s">
        <v>1045</v>
      </c>
      <c r="X186" s="41" t="s">
        <v>262</v>
      </c>
      <c r="Y186" s="41" t="s">
        <v>70</v>
      </c>
      <c r="Z186" s="13" t="s">
        <v>1037</v>
      </c>
      <c r="AA186" s="13"/>
      <c r="AB186" s="13"/>
      <c r="AC186" s="13"/>
      <c r="AD186" s="40">
        <v>90</v>
      </c>
      <c r="AE186" s="40"/>
      <c r="AF186" s="40"/>
      <c r="AG186" s="40"/>
      <c r="AH186" s="40"/>
      <c r="AI186" s="40"/>
      <c r="AJ186" s="40"/>
      <c r="AK186" s="40"/>
      <c r="AL186" s="40"/>
      <c r="AM186" s="33" t="s">
        <v>158</v>
      </c>
      <c r="AN186" s="41" t="s">
        <v>1037</v>
      </c>
      <c r="AO186" s="43">
        <v>125</v>
      </c>
      <c r="AP186" s="13">
        <v>24</v>
      </c>
      <c r="AQ186" s="40"/>
      <c r="AR186" s="40"/>
      <c r="AS186" s="6"/>
      <c r="AT186" s="6"/>
      <c r="AU186" s="6"/>
      <c r="AV186" s="6"/>
      <c r="AW186" s="12" t="str">
        <f t="shared" si="5"/>
        <v/>
      </c>
      <c r="AX186" s="12" t="str">
        <f t="shared" si="6"/>
        <v/>
      </c>
      <c r="AY186" s="45"/>
    </row>
    <row r="187" spans="1:51" s="21" customFormat="1" ht="20.100000000000001" customHeight="1" x14ac:dyDescent="0.2">
      <c r="A187" s="13">
        <v>180</v>
      </c>
      <c r="B187" s="29" t="s">
        <v>1043</v>
      </c>
      <c r="C187" s="29" t="s">
        <v>935</v>
      </c>
      <c r="D187" s="30" t="s">
        <v>967</v>
      </c>
      <c r="E187" s="30" t="s">
        <v>10</v>
      </c>
      <c r="F187" s="30" t="s">
        <v>185</v>
      </c>
      <c r="G187" s="30"/>
      <c r="H187" s="20" t="s">
        <v>83</v>
      </c>
      <c r="I187" s="20"/>
      <c r="J187" s="20"/>
      <c r="K187" s="20"/>
      <c r="L187" s="20"/>
      <c r="M187" s="20"/>
      <c r="N187" s="20"/>
      <c r="O187" s="29" t="s">
        <v>67</v>
      </c>
      <c r="P187" s="30"/>
      <c r="Q187" s="30" t="s">
        <v>155</v>
      </c>
      <c r="R187" s="30" t="s">
        <v>194</v>
      </c>
      <c r="S187" s="30" t="s">
        <v>73</v>
      </c>
      <c r="T187" s="20" t="s">
        <v>107</v>
      </c>
      <c r="U187" s="30"/>
      <c r="V187" s="30" t="s">
        <v>156</v>
      </c>
      <c r="W187" s="30" t="s">
        <v>969</v>
      </c>
      <c r="X187" s="30" t="s">
        <v>106</v>
      </c>
      <c r="Y187" s="30" t="s">
        <v>107</v>
      </c>
      <c r="Z187" s="20" t="s">
        <v>962</v>
      </c>
      <c r="AA187" s="20"/>
      <c r="AB187" s="20"/>
      <c r="AC187" s="20"/>
      <c r="AD187" s="29">
        <v>198</v>
      </c>
      <c r="AE187" s="29"/>
      <c r="AF187" s="29"/>
      <c r="AG187" s="29"/>
      <c r="AH187" s="29"/>
      <c r="AI187" s="29"/>
      <c r="AJ187" s="29"/>
      <c r="AK187" s="29"/>
      <c r="AL187" s="29"/>
      <c r="AM187" s="20" t="s">
        <v>158</v>
      </c>
      <c r="AN187" s="30" t="s">
        <v>959</v>
      </c>
      <c r="AO187" s="36">
        <v>225</v>
      </c>
      <c r="AP187" s="20">
        <v>19</v>
      </c>
      <c r="AQ187" s="29"/>
      <c r="AR187" s="29"/>
      <c r="AS187" s="30">
        <v>1401</v>
      </c>
      <c r="AT187" s="30">
        <v>5</v>
      </c>
      <c r="AU187" s="30">
        <v>1401</v>
      </c>
      <c r="AV187" s="30">
        <v>5</v>
      </c>
      <c r="AW187" s="31">
        <f t="shared" si="5"/>
        <v>0</v>
      </c>
      <c r="AX187" s="31">
        <f t="shared" si="6"/>
        <v>0</v>
      </c>
      <c r="AY187" s="32"/>
    </row>
    <row r="188" spans="1:51" ht="20.100000000000001" customHeight="1" x14ac:dyDescent="0.2">
      <c r="A188" s="13">
        <v>181</v>
      </c>
      <c r="B188" s="40" t="s">
        <v>1046</v>
      </c>
      <c r="C188" s="40" t="s">
        <v>935</v>
      </c>
      <c r="D188" s="41" t="s">
        <v>967</v>
      </c>
      <c r="E188" s="41" t="s">
        <v>10</v>
      </c>
      <c r="F188" s="41"/>
      <c r="G188" s="41"/>
      <c r="H188" s="13" t="s">
        <v>7</v>
      </c>
      <c r="I188" s="13"/>
      <c r="J188" s="13"/>
      <c r="K188" s="13"/>
      <c r="L188" s="13"/>
      <c r="M188" s="13"/>
      <c r="N188" s="13"/>
      <c r="O188" s="40" t="s">
        <v>67</v>
      </c>
      <c r="P188" s="35" t="s">
        <v>155</v>
      </c>
      <c r="Q188" s="35" t="s">
        <v>104</v>
      </c>
      <c r="R188" s="41" t="s">
        <v>1047</v>
      </c>
      <c r="S188" s="41" t="s">
        <v>69</v>
      </c>
      <c r="T188" s="13" t="s">
        <v>70</v>
      </c>
      <c r="U188" s="35" t="s">
        <v>156</v>
      </c>
      <c r="V188" s="35" t="s">
        <v>204</v>
      </c>
      <c r="W188" s="41" t="s">
        <v>816</v>
      </c>
      <c r="X188" s="41" t="s">
        <v>69</v>
      </c>
      <c r="Y188" s="41" t="s">
        <v>70</v>
      </c>
      <c r="Z188" s="13">
        <v>0</v>
      </c>
      <c r="AA188" s="13"/>
      <c r="AB188" s="13"/>
      <c r="AC188" s="13"/>
      <c r="AD188" s="40">
        <v>198</v>
      </c>
      <c r="AE188" s="40"/>
      <c r="AF188" s="40"/>
      <c r="AG188" s="40"/>
      <c r="AH188" s="40"/>
      <c r="AI188" s="40"/>
      <c r="AJ188" s="40"/>
      <c r="AK188" s="40"/>
      <c r="AL188" s="40"/>
      <c r="AM188" s="33" t="s">
        <v>158</v>
      </c>
      <c r="AN188" s="41"/>
      <c r="AO188" s="41"/>
      <c r="AP188" s="13"/>
      <c r="AQ188" s="40"/>
      <c r="AR188" s="40"/>
      <c r="AS188" s="6"/>
      <c r="AT188" s="6"/>
      <c r="AU188" s="6"/>
      <c r="AV188" s="6"/>
      <c r="AW188" s="12" t="str">
        <f t="shared" si="5"/>
        <v/>
      </c>
      <c r="AX188" s="12" t="str">
        <f t="shared" si="6"/>
        <v/>
      </c>
      <c r="AY188" s="45"/>
    </row>
    <row r="189" spans="1:51" s="21" customFormat="1" ht="20.100000000000001" customHeight="1" x14ac:dyDescent="0.2">
      <c r="A189" s="13">
        <v>182</v>
      </c>
      <c r="B189" s="29" t="s">
        <v>1046</v>
      </c>
      <c r="C189" s="29" t="s">
        <v>935</v>
      </c>
      <c r="D189" s="30" t="s">
        <v>1048</v>
      </c>
      <c r="E189" s="30" t="s">
        <v>243</v>
      </c>
      <c r="F189" s="30" t="s">
        <v>174</v>
      </c>
      <c r="G189" s="30"/>
      <c r="H189" s="20" t="s">
        <v>83</v>
      </c>
      <c r="I189" s="20"/>
      <c r="J189" s="20"/>
      <c r="K189" s="20"/>
      <c r="L189" s="20"/>
      <c r="M189" s="20"/>
      <c r="N189" s="20"/>
      <c r="O189" s="29" t="s">
        <v>92</v>
      </c>
      <c r="P189" s="30"/>
      <c r="Q189" s="30" t="s">
        <v>104</v>
      </c>
      <c r="R189" s="30" t="s">
        <v>1006</v>
      </c>
      <c r="S189" s="30" t="s">
        <v>106</v>
      </c>
      <c r="T189" s="20" t="s">
        <v>107</v>
      </c>
      <c r="U189" s="30"/>
      <c r="V189" s="30" t="s">
        <v>361</v>
      </c>
      <c r="W189" s="30" t="s">
        <v>1007</v>
      </c>
      <c r="X189" s="30" t="s">
        <v>106</v>
      </c>
      <c r="Y189" s="30" t="s">
        <v>107</v>
      </c>
      <c r="Z189" s="20" t="s">
        <v>1005</v>
      </c>
      <c r="AA189" s="20"/>
      <c r="AB189" s="20"/>
      <c r="AC189" s="20"/>
      <c r="AD189" s="29">
        <v>180</v>
      </c>
      <c r="AE189" s="29"/>
      <c r="AF189" s="29"/>
      <c r="AG189" s="29"/>
      <c r="AH189" s="29"/>
      <c r="AI189" s="29"/>
      <c r="AJ189" s="29"/>
      <c r="AK189" s="29"/>
      <c r="AL189" s="29"/>
      <c r="AM189" s="20" t="s">
        <v>158</v>
      </c>
      <c r="AN189" s="30" t="s">
        <v>996</v>
      </c>
      <c r="AO189" s="30"/>
      <c r="AP189" s="20"/>
      <c r="AQ189" s="29"/>
      <c r="AR189" s="29"/>
      <c r="AS189" s="30">
        <v>1401</v>
      </c>
      <c r="AT189" s="30">
        <v>5</v>
      </c>
      <c r="AU189" s="30">
        <v>1401</v>
      </c>
      <c r="AV189" s="30">
        <v>5</v>
      </c>
      <c r="AW189" s="31">
        <f t="shared" si="5"/>
        <v>0</v>
      </c>
      <c r="AX189" s="31">
        <f t="shared" si="6"/>
        <v>0</v>
      </c>
      <c r="AY189" s="32"/>
    </row>
    <row r="190" spans="1:51" ht="20.100000000000001" customHeight="1" x14ac:dyDescent="0.2">
      <c r="A190" s="13">
        <v>183</v>
      </c>
      <c r="B190" s="40" t="s">
        <v>1049</v>
      </c>
      <c r="C190" s="40" t="s">
        <v>935</v>
      </c>
      <c r="D190" s="41" t="s">
        <v>1032</v>
      </c>
      <c r="E190" s="41" t="s">
        <v>9</v>
      </c>
      <c r="F190" s="41"/>
      <c r="G190" s="41"/>
      <c r="H190" s="13" t="s">
        <v>7</v>
      </c>
      <c r="I190" s="13"/>
      <c r="J190" s="13"/>
      <c r="K190" s="13"/>
      <c r="L190" s="13"/>
      <c r="M190" s="13"/>
      <c r="N190" s="13"/>
      <c r="O190" s="40" t="s">
        <v>92</v>
      </c>
      <c r="P190" s="41" t="s">
        <v>141</v>
      </c>
      <c r="Q190" s="41" t="s">
        <v>141</v>
      </c>
      <c r="R190" s="41" t="s">
        <v>1050</v>
      </c>
      <c r="S190" s="41" t="s">
        <v>69</v>
      </c>
      <c r="T190" s="13" t="s">
        <v>70</v>
      </c>
      <c r="U190" s="41" t="s">
        <v>1051</v>
      </c>
      <c r="V190" s="41" t="s">
        <v>1051</v>
      </c>
      <c r="W190" s="41" t="s">
        <v>1052</v>
      </c>
      <c r="X190" s="41" t="s">
        <v>73</v>
      </c>
      <c r="Y190" s="41" t="s">
        <v>107</v>
      </c>
      <c r="Z190" s="13">
        <v>0</v>
      </c>
      <c r="AA190" s="13"/>
      <c r="AB190" s="13"/>
      <c r="AC190" s="13"/>
      <c r="AD190" s="40">
        <v>201</v>
      </c>
      <c r="AE190" s="40"/>
      <c r="AF190" s="40"/>
      <c r="AG190" s="40"/>
      <c r="AH190" s="40"/>
      <c r="AI190" s="40"/>
      <c r="AJ190" s="40"/>
      <c r="AK190" s="40"/>
      <c r="AL190" s="40"/>
      <c r="AM190" s="47"/>
      <c r="AN190" s="41"/>
      <c r="AO190" s="41"/>
      <c r="AP190" s="13"/>
      <c r="AQ190" s="40"/>
      <c r="AR190" s="40"/>
      <c r="AS190" s="6"/>
      <c r="AT190" s="6"/>
      <c r="AU190" s="6"/>
      <c r="AV190" s="6"/>
      <c r="AW190" s="12" t="str">
        <f t="shared" si="5"/>
        <v/>
      </c>
      <c r="AX190" s="12" t="str">
        <f t="shared" si="6"/>
        <v/>
      </c>
      <c r="AY190" s="45"/>
    </row>
    <row r="191" spans="1:51" s="21" customFormat="1" ht="20.100000000000001" customHeight="1" x14ac:dyDescent="0.2">
      <c r="A191" s="13">
        <v>184</v>
      </c>
      <c r="B191" s="29" t="s">
        <v>1049</v>
      </c>
      <c r="C191" s="29" t="s">
        <v>935</v>
      </c>
      <c r="D191" s="30" t="s">
        <v>719</v>
      </c>
      <c r="E191" s="30" t="s">
        <v>6</v>
      </c>
      <c r="F191" s="30" t="s">
        <v>174</v>
      </c>
      <c r="G191" s="30"/>
      <c r="H191" s="20" t="s">
        <v>83</v>
      </c>
      <c r="I191" s="20"/>
      <c r="J191" s="20"/>
      <c r="K191" s="20"/>
      <c r="L191" s="20"/>
      <c r="M191" s="20"/>
      <c r="N191" s="20"/>
      <c r="O191" s="29" t="s">
        <v>67</v>
      </c>
      <c r="P191" s="30"/>
      <c r="Q191" s="30" t="s">
        <v>218</v>
      </c>
      <c r="R191" s="30" t="s">
        <v>854</v>
      </c>
      <c r="S191" s="30" t="s">
        <v>69</v>
      </c>
      <c r="T191" s="20" t="s">
        <v>70</v>
      </c>
      <c r="U191" s="30"/>
      <c r="V191" s="30" t="s">
        <v>268</v>
      </c>
      <c r="W191" s="30" t="s">
        <v>855</v>
      </c>
      <c r="X191" s="30" t="s">
        <v>262</v>
      </c>
      <c r="Y191" s="30" t="s">
        <v>70</v>
      </c>
      <c r="Z191" s="20" t="s">
        <v>852</v>
      </c>
      <c r="AA191" s="20"/>
      <c r="AB191" s="20"/>
      <c r="AC191" s="20"/>
      <c r="AD191" s="29">
        <v>168</v>
      </c>
      <c r="AE191" s="29"/>
      <c r="AF191" s="29"/>
      <c r="AG191" s="29"/>
      <c r="AH191" s="29"/>
      <c r="AI191" s="29"/>
      <c r="AJ191" s="29"/>
      <c r="AK191" s="29"/>
      <c r="AL191" s="29"/>
      <c r="AM191" s="20" t="s">
        <v>158</v>
      </c>
      <c r="AN191" s="30" t="s">
        <v>843</v>
      </c>
      <c r="AO191" s="36">
        <v>216</v>
      </c>
      <c r="AP191" s="20"/>
      <c r="AQ191" s="29"/>
      <c r="AR191" s="29"/>
      <c r="AS191" s="30">
        <v>1401</v>
      </c>
      <c r="AT191" s="30">
        <v>5</v>
      </c>
      <c r="AU191" s="30">
        <v>1401</v>
      </c>
      <c r="AV191" s="30">
        <v>4</v>
      </c>
      <c r="AW191" s="31">
        <f t="shared" si="5"/>
        <v>1</v>
      </c>
      <c r="AX191" s="31">
        <f t="shared" si="6"/>
        <v>1</v>
      </c>
      <c r="AY191" s="32"/>
    </row>
    <row r="192" spans="1:51" ht="20.100000000000001" customHeight="1" x14ac:dyDescent="0.2">
      <c r="A192" s="13">
        <v>185</v>
      </c>
      <c r="B192" s="40" t="s">
        <v>1049</v>
      </c>
      <c r="C192" s="40" t="s">
        <v>935</v>
      </c>
      <c r="D192" s="41" t="s">
        <v>1053</v>
      </c>
      <c r="E192" s="41" t="s">
        <v>6</v>
      </c>
      <c r="F192" s="49" t="s">
        <v>481</v>
      </c>
      <c r="G192" s="49"/>
      <c r="H192" s="13" t="s">
        <v>83</v>
      </c>
      <c r="I192" s="13"/>
      <c r="J192" s="13"/>
      <c r="K192" s="13"/>
      <c r="L192" s="13"/>
      <c r="M192" s="13"/>
      <c r="N192" s="13"/>
      <c r="O192" s="40" t="s">
        <v>67</v>
      </c>
      <c r="P192" s="41"/>
      <c r="Q192" s="41" t="s">
        <v>104</v>
      </c>
      <c r="R192" s="41" t="s">
        <v>429</v>
      </c>
      <c r="S192" s="41" t="s">
        <v>142</v>
      </c>
      <c r="T192" s="13" t="s">
        <v>70</v>
      </c>
      <c r="U192" s="41"/>
      <c r="V192" s="41" t="s">
        <v>108</v>
      </c>
      <c r="W192" s="41" t="s">
        <v>429</v>
      </c>
      <c r="X192" s="41" t="s">
        <v>142</v>
      </c>
      <c r="Y192" s="41" t="s">
        <v>70</v>
      </c>
      <c r="Z192" s="13" t="s">
        <v>1054</v>
      </c>
      <c r="AA192" s="13"/>
      <c r="AB192" s="13"/>
      <c r="AC192" s="13"/>
      <c r="AD192" s="40">
        <v>198</v>
      </c>
      <c r="AE192" s="40"/>
      <c r="AF192" s="40"/>
      <c r="AG192" s="40"/>
      <c r="AH192" s="40"/>
      <c r="AI192" s="40"/>
      <c r="AJ192" s="40"/>
      <c r="AK192" s="40"/>
      <c r="AL192" s="40"/>
      <c r="AM192" s="47"/>
      <c r="AN192" s="41"/>
      <c r="AO192" s="41"/>
      <c r="AP192" s="13"/>
      <c r="AQ192" s="40"/>
      <c r="AR192" s="40"/>
      <c r="AS192" s="6">
        <v>1401</v>
      </c>
      <c r="AT192" s="6">
        <v>5</v>
      </c>
      <c r="AU192" s="6">
        <v>1394</v>
      </c>
      <c r="AV192" s="6">
        <v>6</v>
      </c>
      <c r="AW192" s="12">
        <f t="shared" si="5"/>
        <v>83</v>
      </c>
      <c r="AX192" s="12" t="str">
        <f t="shared" si="6"/>
        <v/>
      </c>
      <c r="AY192" s="45"/>
    </row>
    <row r="193" spans="1:51" ht="20.100000000000001" customHeight="1" x14ac:dyDescent="0.2">
      <c r="A193" s="13">
        <v>186</v>
      </c>
      <c r="B193" s="40" t="s">
        <v>1055</v>
      </c>
      <c r="C193" s="40" t="s">
        <v>1056</v>
      </c>
      <c r="D193" s="41" t="s">
        <v>1057</v>
      </c>
      <c r="E193" s="41" t="s">
        <v>8</v>
      </c>
      <c r="F193" s="41" t="s">
        <v>185</v>
      </c>
      <c r="G193" s="41"/>
      <c r="H193" s="13" t="s">
        <v>83</v>
      </c>
      <c r="I193" s="13"/>
      <c r="J193" s="13"/>
      <c r="K193" s="13"/>
      <c r="L193" s="13"/>
      <c r="M193" s="13"/>
      <c r="N193" s="13"/>
      <c r="O193" s="40" t="s">
        <v>93</v>
      </c>
      <c r="P193" s="41"/>
      <c r="Q193" s="41" t="s">
        <v>104</v>
      </c>
      <c r="R193" s="41" t="s">
        <v>1058</v>
      </c>
      <c r="S193" s="41" t="s">
        <v>142</v>
      </c>
      <c r="T193" s="13" t="s">
        <v>70</v>
      </c>
      <c r="U193" s="41"/>
      <c r="V193" s="41" t="s">
        <v>108</v>
      </c>
      <c r="W193" s="41" t="s">
        <v>1059</v>
      </c>
      <c r="X193" s="41" t="s">
        <v>142</v>
      </c>
      <c r="Y193" s="41" t="s">
        <v>70</v>
      </c>
      <c r="Z193" s="13" t="s">
        <v>1060</v>
      </c>
      <c r="AA193" s="13"/>
      <c r="AB193" s="13"/>
      <c r="AC193" s="13"/>
      <c r="AD193" s="40">
        <v>156</v>
      </c>
      <c r="AE193" s="40"/>
      <c r="AF193" s="40"/>
      <c r="AG193" s="40"/>
      <c r="AH193" s="40"/>
      <c r="AI193" s="40"/>
      <c r="AJ193" s="40"/>
      <c r="AK193" s="40"/>
      <c r="AL193" s="40"/>
      <c r="AM193" s="15" t="s">
        <v>158</v>
      </c>
      <c r="AN193" s="41" t="s">
        <v>1061</v>
      </c>
      <c r="AO193" s="43">
        <v>121</v>
      </c>
      <c r="AP193" s="13">
        <v>30</v>
      </c>
      <c r="AQ193" s="40"/>
      <c r="AR193" s="40"/>
      <c r="AS193" s="6">
        <v>1401</v>
      </c>
      <c r="AT193" s="6">
        <v>6</v>
      </c>
      <c r="AU193" s="6">
        <v>1397</v>
      </c>
      <c r="AV193" s="6">
        <v>12</v>
      </c>
      <c r="AW193" s="12">
        <f t="shared" si="5"/>
        <v>42</v>
      </c>
      <c r="AX193" s="12" t="str">
        <f t="shared" si="6"/>
        <v/>
      </c>
      <c r="AY193" s="45"/>
    </row>
    <row r="194" spans="1:51" ht="20.100000000000001" customHeight="1" x14ac:dyDescent="0.2">
      <c r="A194" s="13">
        <v>187</v>
      </c>
      <c r="B194" s="40" t="s">
        <v>1055</v>
      </c>
      <c r="C194" s="40" t="s">
        <v>1056</v>
      </c>
      <c r="D194" s="41" t="s">
        <v>1062</v>
      </c>
      <c r="E194" s="41" t="s">
        <v>243</v>
      </c>
      <c r="F194" s="41" t="s">
        <v>945</v>
      </c>
      <c r="G194" s="41"/>
      <c r="H194" s="13" t="s">
        <v>83</v>
      </c>
      <c r="I194" s="13"/>
      <c r="J194" s="13"/>
      <c r="K194" s="13"/>
      <c r="L194" s="13"/>
      <c r="M194" s="13"/>
      <c r="N194" s="13"/>
      <c r="O194" s="40" t="s">
        <v>92</v>
      </c>
      <c r="P194" s="41"/>
      <c r="Q194" s="41" t="s">
        <v>140</v>
      </c>
      <c r="R194" s="41" t="s">
        <v>116</v>
      </c>
      <c r="S194" s="41" t="s">
        <v>444</v>
      </c>
      <c r="T194" s="13" t="s">
        <v>107</v>
      </c>
      <c r="U194" s="41"/>
      <c r="V194" s="41" t="s">
        <v>143</v>
      </c>
      <c r="W194" s="41" t="s">
        <v>1063</v>
      </c>
      <c r="X194" s="41" t="s">
        <v>369</v>
      </c>
      <c r="Y194" s="41" t="s">
        <v>369</v>
      </c>
      <c r="Z194" s="13" t="s">
        <v>1064</v>
      </c>
      <c r="AA194" s="13"/>
      <c r="AB194" s="13"/>
      <c r="AC194" s="13"/>
      <c r="AD194" s="40">
        <v>144</v>
      </c>
      <c r="AE194" s="40"/>
      <c r="AF194" s="40"/>
      <c r="AG194" s="40"/>
      <c r="AH194" s="40"/>
      <c r="AI194" s="40"/>
      <c r="AJ194" s="40"/>
      <c r="AK194" s="40"/>
      <c r="AL194" s="40"/>
      <c r="AM194" s="47"/>
      <c r="AN194" s="41" t="s">
        <v>1065</v>
      </c>
      <c r="AO194" s="43">
        <v>102</v>
      </c>
      <c r="AP194" s="13">
        <v>24</v>
      </c>
      <c r="AQ194" s="40"/>
      <c r="AR194" s="40"/>
      <c r="AS194" s="6">
        <v>1401</v>
      </c>
      <c r="AT194" s="6">
        <v>6</v>
      </c>
      <c r="AU194" s="6">
        <v>1390</v>
      </c>
      <c r="AV194" s="6">
        <v>2</v>
      </c>
      <c r="AW194" s="12">
        <f t="shared" si="5"/>
        <v>136</v>
      </c>
      <c r="AX194" s="12" t="str">
        <f t="shared" si="6"/>
        <v/>
      </c>
      <c r="AY194" s="45"/>
    </row>
    <row r="195" spans="1:51" ht="20.100000000000001" customHeight="1" x14ac:dyDescent="0.2">
      <c r="A195" s="13">
        <v>188</v>
      </c>
      <c r="B195" s="40" t="s">
        <v>1066</v>
      </c>
      <c r="C195" s="40" t="s">
        <v>1056</v>
      </c>
      <c r="D195" s="41" t="s">
        <v>1067</v>
      </c>
      <c r="E195" s="41" t="s">
        <v>9</v>
      </c>
      <c r="F195" s="41" t="s">
        <v>192</v>
      </c>
      <c r="G195" s="41"/>
      <c r="H195" s="13" t="s">
        <v>7</v>
      </c>
      <c r="I195" s="13"/>
      <c r="J195" s="13"/>
      <c r="K195" s="13"/>
      <c r="L195" s="13"/>
      <c r="M195" s="13"/>
      <c r="N195" s="13"/>
      <c r="O195" s="40" t="s">
        <v>93</v>
      </c>
      <c r="P195" s="41"/>
      <c r="Q195" s="41" t="s">
        <v>104</v>
      </c>
      <c r="R195" s="41" t="s">
        <v>1068</v>
      </c>
      <c r="S195" s="41" t="s">
        <v>262</v>
      </c>
      <c r="T195" s="13" t="s">
        <v>70</v>
      </c>
      <c r="U195" s="41"/>
      <c r="V195" s="41" t="s">
        <v>361</v>
      </c>
      <c r="W195" s="41" t="s">
        <v>1007</v>
      </c>
      <c r="X195" s="41" t="s">
        <v>106</v>
      </c>
      <c r="Y195" s="41" t="s">
        <v>107</v>
      </c>
      <c r="Z195" s="13">
        <v>0</v>
      </c>
      <c r="AA195" s="13"/>
      <c r="AB195" s="13"/>
      <c r="AC195" s="13"/>
      <c r="AD195" s="40">
        <v>213</v>
      </c>
      <c r="AE195" s="40"/>
      <c r="AF195" s="40"/>
      <c r="AG195" s="40"/>
      <c r="AH195" s="40"/>
      <c r="AI195" s="40"/>
      <c r="AJ195" s="40"/>
      <c r="AK195" s="40"/>
      <c r="AL195" s="40"/>
      <c r="AM195" s="47"/>
      <c r="AN195" s="41" t="s">
        <v>1055</v>
      </c>
      <c r="AO195" s="43">
        <v>197</v>
      </c>
      <c r="AP195" s="13">
        <v>15</v>
      </c>
      <c r="AQ195" s="40"/>
      <c r="AR195" s="40"/>
      <c r="AS195" s="6"/>
      <c r="AT195" s="6"/>
      <c r="AU195" s="6"/>
      <c r="AV195" s="6"/>
      <c r="AW195" s="12" t="str">
        <f t="shared" si="5"/>
        <v/>
      </c>
      <c r="AX195" s="12" t="str">
        <f t="shared" si="6"/>
        <v/>
      </c>
      <c r="AY195" s="45"/>
    </row>
    <row r="196" spans="1:51" ht="20.100000000000001" customHeight="1" x14ac:dyDescent="0.2">
      <c r="A196" s="13">
        <v>189</v>
      </c>
      <c r="B196" s="40" t="s">
        <v>1069</v>
      </c>
      <c r="C196" s="40" t="s">
        <v>1056</v>
      </c>
      <c r="D196" s="41" t="s">
        <v>1062</v>
      </c>
      <c r="E196" s="41" t="s">
        <v>243</v>
      </c>
      <c r="F196" s="41"/>
      <c r="G196" s="41"/>
      <c r="H196" s="13" t="s">
        <v>7</v>
      </c>
      <c r="I196" s="13"/>
      <c r="J196" s="13"/>
      <c r="K196" s="13"/>
      <c r="L196" s="13"/>
      <c r="M196" s="13"/>
      <c r="N196" s="13"/>
      <c r="O196" s="40" t="s">
        <v>92</v>
      </c>
      <c r="P196" s="41" t="s">
        <v>429</v>
      </c>
      <c r="Q196" s="41" t="s">
        <v>117</v>
      </c>
      <c r="R196" s="41" t="s">
        <v>971</v>
      </c>
      <c r="S196" s="41" t="s">
        <v>369</v>
      </c>
      <c r="T196" s="13" t="s">
        <v>369</v>
      </c>
      <c r="U196" s="41" t="s">
        <v>429</v>
      </c>
      <c r="V196" s="41" t="s">
        <v>470</v>
      </c>
      <c r="W196" s="41" t="s">
        <v>1070</v>
      </c>
      <c r="X196" s="41" t="s">
        <v>142</v>
      </c>
      <c r="Y196" s="41" t="s">
        <v>70</v>
      </c>
      <c r="Z196" s="13">
        <v>0</v>
      </c>
      <c r="AA196" s="13"/>
      <c r="AB196" s="13"/>
      <c r="AC196" s="13"/>
      <c r="AD196" s="40">
        <v>144</v>
      </c>
      <c r="AE196" s="40"/>
      <c r="AF196" s="40"/>
      <c r="AG196" s="40"/>
      <c r="AH196" s="40"/>
      <c r="AI196" s="40"/>
      <c r="AJ196" s="40"/>
      <c r="AK196" s="40"/>
      <c r="AL196" s="40"/>
      <c r="AM196" s="47"/>
      <c r="AN196" s="41" t="s">
        <v>1066</v>
      </c>
      <c r="AO196" s="43">
        <v>118</v>
      </c>
      <c r="AP196" s="13"/>
      <c r="AQ196" s="40"/>
      <c r="AR196" s="40"/>
      <c r="AS196" s="6"/>
      <c r="AT196" s="6"/>
      <c r="AU196" s="6"/>
      <c r="AV196" s="6"/>
      <c r="AW196" s="12" t="str">
        <f t="shared" si="5"/>
        <v/>
      </c>
      <c r="AX196" s="12" t="str">
        <f t="shared" si="6"/>
        <v/>
      </c>
      <c r="AY196" s="45"/>
    </row>
    <row r="197" spans="1:51" ht="20.100000000000001" customHeight="1" x14ac:dyDescent="0.2">
      <c r="A197" s="13">
        <v>190</v>
      </c>
      <c r="B197" s="40" t="s">
        <v>1069</v>
      </c>
      <c r="C197" s="40" t="s">
        <v>1056</v>
      </c>
      <c r="D197" s="41" t="s">
        <v>1071</v>
      </c>
      <c r="E197" s="41" t="s">
        <v>9</v>
      </c>
      <c r="F197" s="41" t="s">
        <v>174</v>
      </c>
      <c r="G197" s="41"/>
      <c r="H197" s="13" t="s">
        <v>83</v>
      </c>
      <c r="I197" s="13"/>
      <c r="J197" s="13"/>
      <c r="K197" s="13"/>
      <c r="L197" s="13"/>
      <c r="M197" s="13"/>
      <c r="N197" s="13"/>
      <c r="O197" s="40" t="s">
        <v>67</v>
      </c>
      <c r="P197" s="41"/>
      <c r="Q197" s="41" t="s">
        <v>155</v>
      </c>
      <c r="R197" s="41" t="s">
        <v>1072</v>
      </c>
      <c r="S197" s="41" t="s">
        <v>142</v>
      </c>
      <c r="T197" s="13" t="s">
        <v>70</v>
      </c>
      <c r="U197" s="41"/>
      <c r="V197" s="41" t="s">
        <v>167</v>
      </c>
      <c r="W197" s="41" t="s">
        <v>1073</v>
      </c>
      <c r="X197" s="41" t="s">
        <v>262</v>
      </c>
      <c r="Y197" s="41" t="s">
        <v>70</v>
      </c>
      <c r="Z197" s="13" t="s">
        <v>1074</v>
      </c>
      <c r="AA197" s="13"/>
      <c r="AB197" s="13"/>
      <c r="AC197" s="13"/>
      <c r="AD197" s="40">
        <v>204</v>
      </c>
      <c r="AE197" s="40"/>
      <c r="AF197" s="40"/>
      <c r="AG197" s="40"/>
      <c r="AH197" s="40"/>
      <c r="AI197" s="40"/>
      <c r="AJ197" s="40"/>
      <c r="AK197" s="40"/>
      <c r="AL197" s="40"/>
      <c r="AM197" s="47"/>
      <c r="AN197" s="41" t="s">
        <v>1075</v>
      </c>
      <c r="AO197" s="43">
        <v>204</v>
      </c>
      <c r="AP197" s="13">
        <v>25</v>
      </c>
      <c r="AQ197" s="40"/>
      <c r="AR197" s="40"/>
      <c r="AS197" s="6">
        <v>1401</v>
      </c>
      <c r="AT197" s="6">
        <v>6</v>
      </c>
      <c r="AU197" s="6">
        <v>1398</v>
      </c>
      <c r="AV197" s="6">
        <v>5</v>
      </c>
      <c r="AW197" s="12">
        <f t="shared" si="5"/>
        <v>37</v>
      </c>
      <c r="AX197" s="12" t="str">
        <f t="shared" si="6"/>
        <v/>
      </c>
      <c r="AY197" s="45"/>
    </row>
    <row r="198" spans="1:51" ht="20.100000000000001" customHeight="1" x14ac:dyDescent="0.2">
      <c r="A198" s="13">
        <v>191</v>
      </c>
      <c r="B198" s="40" t="s">
        <v>1069</v>
      </c>
      <c r="C198" s="40" t="s">
        <v>1056</v>
      </c>
      <c r="D198" s="41" t="s">
        <v>1076</v>
      </c>
      <c r="E198" s="41" t="s">
        <v>6</v>
      </c>
      <c r="F198" s="41" t="s">
        <v>174</v>
      </c>
      <c r="G198" s="41"/>
      <c r="H198" s="13" t="s">
        <v>83</v>
      </c>
      <c r="I198" s="13"/>
      <c r="J198" s="13"/>
      <c r="K198" s="13"/>
      <c r="L198" s="13"/>
      <c r="M198" s="13"/>
      <c r="N198" s="13"/>
      <c r="O198" s="40" t="s">
        <v>93</v>
      </c>
      <c r="P198" s="41"/>
      <c r="Q198" s="41" t="s">
        <v>117</v>
      </c>
      <c r="R198" s="41" t="s">
        <v>1077</v>
      </c>
      <c r="S198" s="41" t="s">
        <v>262</v>
      </c>
      <c r="T198" s="13" t="s">
        <v>70</v>
      </c>
      <c r="U198" s="41"/>
      <c r="V198" s="41" t="s">
        <v>120</v>
      </c>
      <c r="W198" s="41" t="s">
        <v>1078</v>
      </c>
      <c r="X198" s="41" t="s">
        <v>142</v>
      </c>
      <c r="Y198" s="41" t="s">
        <v>70</v>
      </c>
      <c r="Z198" s="13" t="s">
        <v>1079</v>
      </c>
      <c r="AA198" s="13"/>
      <c r="AB198" s="13"/>
      <c r="AC198" s="13"/>
      <c r="AD198" s="40">
        <v>103</v>
      </c>
      <c r="AE198" s="40"/>
      <c r="AF198" s="40"/>
      <c r="AG198" s="40"/>
      <c r="AH198" s="40"/>
      <c r="AI198" s="40"/>
      <c r="AJ198" s="40"/>
      <c r="AK198" s="40"/>
      <c r="AL198" s="40"/>
      <c r="AM198" s="47"/>
      <c r="AN198" s="41" t="s">
        <v>1080</v>
      </c>
      <c r="AO198" s="43">
        <v>167</v>
      </c>
      <c r="AP198" s="13">
        <v>16</v>
      </c>
      <c r="AQ198" s="40"/>
      <c r="AR198" s="40"/>
      <c r="AS198" s="6">
        <v>1401</v>
      </c>
      <c r="AT198" s="6">
        <v>6</v>
      </c>
      <c r="AU198" s="6">
        <v>1396</v>
      </c>
      <c r="AV198" s="6">
        <v>2</v>
      </c>
      <c r="AW198" s="12">
        <f t="shared" si="5"/>
        <v>64</v>
      </c>
      <c r="AX198" s="12" t="str">
        <f t="shared" si="6"/>
        <v/>
      </c>
      <c r="AY198" s="45"/>
    </row>
    <row r="199" spans="1:51" ht="20.100000000000001" customHeight="1" x14ac:dyDescent="0.2">
      <c r="A199" s="13">
        <v>192</v>
      </c>
      <c r="B199" s="40" t="s">
        <v>1081</v>
      </c>
      <c r="C199" s="40" t="s">
        <v>1056</v>
      </c>
      <c r="D199" s="41" t="s">
        <v>1082</v>
      </c>
      <c r="E199" s="41" t="s">
        <v>243</v>
      </c>
      <c r="F199" s="41"/>
      <c r="G199" s="41"/>
      <c r="H199" s="13" t="s">
        <v>7</v>
      </c>
      <c r="I199" s="13"/>
      <c r="J199" s="13"/>
      <c r="K199" s="13"/>
      <c r="L199" s="13"/>
      <c r="M199" s="13"/>
      <c r="N199" s="13"/>
      <c r="O199" s="40" t="s">
        <v>92</v>
      </c>
      <c r="P199" s="35" t="s">
        <v>117</v>
      </c>
      <c r="Q199" s="35" t="s">
        <v>155</v>
      </c>
      <c r="R199" s="41" t="s">
        <v>1083</v>
      </c>
      <c r="S199" s="41" t="s">
        <v>106</v>
      </c>
      <c r="T199" s="13" t="s">
        <v>107</v>
      </c>
      <c r="U199" s="35" t="s">
        <v>1084</v>
      </c>
      <c r="V199" s="35" t="s">
        <v>804</v>
      </c>
      <c r="W199" s="41" t="s">
        <v>1085</v>
      </c>
      <c r="X199" s="41" t="s">
        <v>444</v>
      </c>
      <c r="Y199" s="41" t="s">
        <v>107</v>
      </c>
      <c r="Z199" s="13">
        <v>0</v>
      </c>
      <c r="AA199" s="13"/>
      <c r="AB199" s="13"/>
      <c r="AC199" s="13"/>
      <c r="AD199" s="40">
        <v>108</v>
      </c>
      <c r="AE199" s="40"/>
      <c r="AF199" s="40"/>
      <c r="AG199" s="40"/>
      <c r="AH199" s="40"/>
      <c r="AI199" s="40"/>
      <c r="AJ199" s="40"/>
      <c r="AK199" s="40"/>
      <c r="AL199" s="40"/>
      <c r="AM199" s="33" t="s">
        <v>158</v>
      </c>
      <c r="AN199" s="41" t="s">
        <v>1069</v>
      </c>
      <c r="AO199" s="43">
        <v>128</v>
      </c>
      <c r="AP199" s="13"/>
      <c r="AQ199" s="40"/>
      <c r="AR199" s="40"/>
      <c r="AS199" s="6"/>
      <c r="AT199" s="6"/>
      <c r="AU199" s="6"/>
      <c r="AV199" s="6"/>
      <c r="AW199" s="12" t="str">
        <f t="shared" si="5"/>
        <v/>
      </c>
      <c r="AX199" s="12" t="str">
        <f t="shared" si="6"/>
        <v/>
      </c>
      <c r="AY199" s="45"/>
    </row>
    <row r="200" spans="1:51" s="21" customFormat="1" ht="20.100000000000001" customHeight="1" x14ac:dyDescent="0.2">
      <c r="A200" s="13">
        <v>193</v>
      </c>
      <c r="B200" s="29" t="s">
        <v>1081</v>
      </c>
      <c r="C200" s="29" t="s">
        <v>1056</v>
      </c>
      <c r="D200" s="30" t="s">
        <v>1086</v>
      </c>
      <c r="E200" s="30" t="s">
        <v>9</v>
      </c>
      <c r="F200" s="30" t="s">
        <v>481</v>
      </c>
      <c r="G200" s="30"/>
      <c r="H200" s="20" t="s">
        <v>83</v>
      </c>
      <c r="I200" s="20"/>
      <c r="J200" s="20"/>
      <c r="K200" s="20"/>
      <c r="L200" s="20"/>
      <c r="M200" s="20"/>
      <c r="N200" s="20"/>
      <c r="O200" s="29" t="s">
        <v>93</v>
      </c>
      <c r="P200" s="30"/>
      <c r="Q200" s="30" t="s">
        <v>155</v>
      </c>
      <c r="R200" s="30" t="s">
        <v>1087</v>
      </c>
      <c r="S200" s="30" t="s">
        <v>119</v>
      </c>
      <c r="T200" s="20" t="s">
        <v>107</v>
      </c>
      <c r="U200" s="30"/>
      <c r="V200" s="30" t="s">
        <v>156</v>
      </c>
      <c r="W200" s="30" t="s">
        <v>1088</v>
      </c>
      <c r="X200" s="30" t="s">
        <v>119</v>
      </c>
      <c r="Y200" s="30" t="s">
        <v>107</v>
      </c>
      <c r="Z200" s="20" t="s">
        <v>1089</v>
      </c>
      <c r="AA200" s="20"/>
      <c r="AB200" s="20"/>
      <c r="AC200" s="20"/>
      <c r="AD200" s="29">
        <v>204</v>
      </c>
      <c r="AE200" s="29"/>
      <c r="AF200" s="29"/>
      <c r="AG200" s="29"/>
      <c r="AH200" s="29"/>
      <c r="AI200" s="29"/>
      <c r="AJ200" s="29"/>
      <c r="AK200" s="29"/>
      <c r="AL200" s="29"/>
      <c r="AM200" s="20" t="s">
        <v>158</v>
      </c>
      <c r="AN200" s="30" t="s">
        <v>1090</v>
      </c>
      <c r="AO200" s="36">
        <v>240</v>
      </c>
      <c r="AP200" s="20">
        <v>19</v>
      </c>
      <c r="AQ200" s="29"/>
      <c r="AR200" s="29"/>
      <c r="AS200" s="30">
        <v>1401</v>
      </c>
      <c r="AT200" s="30">
        <v>6</v>
      </c>
      <c r="AU200" s="30">
        <v>1400</v>
      </c>
      <c r="AV200" s="30">
        <v>7</v>
      </c>
      <c r="AW200" s="31">
        <f t="shared" ref="AW200:AW263" si="7">IF(AS200*AU200&gt;0,(AS200-AU200)*12+(AT200-AV200),"")</f>
        <v>11</v>
      </c>
      <c r="AX200" s="31">
        <f t="shared" si="6"/>
        <v>11</v>
      </c>
      <c r="AY200" s="32"/>
    </row>
    <row r="201" spans="1:51" ht="20.100000000000001" customHeight="1" x14ac:dyDescent="0.2">
      <c r="A201" s="13">
        <v>194</v>
      </c>
      <c r="B201" s="40" t="s">
        <v>1091</v>
      </c>
      <c r="C201" s="40" t="s">
        <v>1056</v>
      </c>
      <c r="D201" s="41" t="s">
        <v>1092</v>
      </c>
      <c r="E201" s="41" t="s">
        <v>6</v>
      </c>
      <c r="F201" s="41" t="s">
        <v>922</v>
      </c>
      <c r="G201" s="41"/>
      <c r="H201" s="13" t="s">
        <v>83</v>
      </c>
      <c r="I201" s="13"/>
      <c r="J201" s="13"/>
      <c r="K201" s="13"/>
      <c r="L201" s="13"/>
      <c r="M201" s="13"/>
      <c r="N201" s="13"/>
      <c r="O201" s="40" t="s">
        <v>93</v>
      </c>
      <c r="P201" s="41"/>
      <c r="Q201" s="41" t="s">
        <v>155</v>
      </c>
      <c r="R201" s="41" t="s">
        <v>1093</v>
      </c>
      <c r="S201" s="41" t="s">
        <v>574</v>
      </c>
      <c r="T201" s="13" t="s">
        <v>107</v>
      </c>
      <c r="U201" s="41"/>
      <c r="V201" s="41" t="s">
        <v>324</v>
      </c>
      <c r="W201" s="41" t="s">
        <v>1094</v>
      </c>
      <c r="X201" s="41" t="s">
        <v>142</v>
      </c>
      <c r="Y201" s="41" t="s">
        <v>70</v>
      </c>
      <c r="Z201" s="13" t="s">
        <v>1095</v>
      </c>
      <c r="AA201" s="13"/>
      <c r="AB201" s="13"/>
      <c r="AC201" s="13"/>
      <c r="AD201" s="40">
        <v>174</v>
      </c>
      <c r="AE201" s="40"/>
      <c r="AF201" s="40"/>
      <c r="AG201" s="40"/>
      <c r="AH201" s="40"/>
      <c r="AI201" s="40"/>
      <c r="AJ201" s="40"/>
      <c r="AK201" s="40"/>
      <c r="AL201" s="40"/>
      <c r="AM201" s="47"/>
      <c r="AN201" s="41" t="s">
        <v>1096</v>
      </c>
      <c r="AO201" s="43">
        <v>170</v>
      </c>
      <c r="AP201" s="13">
        <v>25</v>
      </c>
      <c r="AQ201" s="40"/>
      <c r="AR201" s="40"/>
      <c r="AS201" s="6">
        <v>1401</v>
      </c>
      <c r="AT201" s="6">
        <v>6</v>
      </c>
      <c r="AU201" s="6">
        <v>1398</v>
      </c>
      <c r="AV201" s="6">
        <v>9</v>
      </c>
      <c r="AW201" s="12">
        <f t="shared" si="7"/>
        <v>33</v>
      </c>
      <c r="AX201" s="12" t="str">
        <f t="shared" ref="AX201:AX264" si="8">IF(AW201&lt;13,AW201,"")</f>
        <v/>
      </c>
      <c r="AY201" s="45"/>
    </row>
    <row r="202" spans="1:51" ht="20.100000000000001" customHeight="1" x14ac:dyDescent="0.2">
      <c r="A202" s="13">
        <v>195</v>
      </c>
      <c r="B202" s="40" t="s">
        <v>1091</v>
      </c>
      <c r="C202" s="40" t="s">
        <v>1056</v>
      </c>
      <c r="D202" s="41" t="s">
        <v>1097</v>
      </c>
      <c r="E202" s="41" t="s">
        <v>10</v>
      </c>
      <c r="F202" s="41" t="s">
        <v>186</v>
      </c>
      <c r="G202" s="41"/>
      <c r="H202" s="13" t="s">
        <v>83</v>
      </c>
      <c r="I202" s="13"/>
      <c r="J202" s="13"/>
      <c r="K202" s="13"/>
      <c r="L202" s="13"/>
      <c r="M202" s="13"/>
      <c r="N202" s="13"/>
      <c r="O202" s="40" t="s">
        <v>92</v>
      </c>
      <c r="P202" s="41"/>
      <c r="Q202" s="41" t="s">
        <v>68</v>
      </c>
      <c r="R202" s="41" t="s">
        <v>845</v>
      </c>
      <c r="S202" s="41" t="s">
        <v>69</v>
      </c>
      <c r="T202" s="13" t="s">
        <v>70</v>
      </c>
      <c r="U202" s="41"/>
      <c r="V202" s="41" t="s">
        <v>332</v>
      </c>
      <c r="W202" s="41" t="s">
        <v>1063</v>
      </c>
      <c r="X202" s="41" t="s">
        <v>145</v>
      </c>
      <c r="Y202" s="41" t="s">
        <v>107</v>
      </c>
      <c r="Z202" s="13" t="s">
        <v>1098</v>
      </c>
      <c r="AA202" s="13"/>
      <c r="AB202" s="13"/>
      <c r="AC202" s="13"/>
      <c r="AD202" s="40">
        <v>174</v>
      </c>
      <c r="AE202" s="40"/>
      <c r="AF202" s="40"/>
      <c r="AG202" s="40"/>
      <c r="AH202" s="40"/>
      <c r="AI202" s="40"/>
      <c r="AJ202" s="40"/>
      <c r="AK202" s="40"/>
      <c r="AL202" s="40"/>
      <c r="AM202" s="47"/>
      <c r="AN202" s="41" t="s">
        <v>1099</v>
      </c>
      <c r="AO202" s="43">
        <v>160</v>
      </c>
      <c r="AP202" s="13">
        <v>23</v>
      </c>
      <c r="AQ202" s="40"/>
      <c r="AR202" s="40"/>
      <c r="AS202" s="6">
        <v>1401</v>
      </c>
      <c r="AT202" s="6">
        <v>6</v>
      </c>
      <c r="AU202" s="6">
        <v>1388</v>
      </c>
      <c r="AV202" s="6">
        <v>6</v>
      </c>
      <c r="AW202" s="12">
        <f t="shared" si="7"/>
        <v>156</v>
      </c>
      <c r="AX202" s="12" t="str">
        <f t="shared" si="8"/>
        <v/>
      </c>
      <c r="AY202" s="45"/>
    </row>
    <row r="203" spans="1:51" ht="20.100000000000001" customHeight="1" x14ac:dyDescent="0.2">
      <c r="A203" s="13">
        <v>196</v>
      </c>
      <c r="B203" s="40" t="s">
        <v>1100</v>
      </c>
      <c r="C203" s="40" t="s">
        <v>1056</v>
      </c>
      <c r="D203" s="41" t="s">
        <v>1101</v>
      </c>
      <c r="E203" s="41" t="s">
        <v>19</v>
      </c>
      <c r="F203" s="41" t="s">
        <v>605</v>
      </c>
      <c r="G203" s="41"/>
      <c r="H203" s="13" t="s">
        <v>83</v>
      </c>
      <c r="I203" s="13"/>
      <c r="J203" s="13"/>
      <c r="K203" s="13"/>
      <c r="L203" s="13"/>
      <c r="M203" s="13"/>
      <c r="N203" s="13"/>
      <c r="O203" s="40" t="s">
        <v>67</v>
      </c>
      <c r="P203" s="41"/>
      <c r="Q203" s="41" t="s">
        <v>140</v>
      </c>
      <c r="R203" s="41" t="s">
        <v>1102</v>
      </c>
      <c r="S203" s="41" t="s">
        <v>262</v>
      </c>
      <c r="T203" s="13" t="s">
        <v>70</v>
      </c>
      <c r="U203" s="41"/>
      <c r="V203" s="41" t="s">
        <v>143</v>
      </c>
      <c r="W203" s="41" t="s">
        <v>1103</v>
      </c>
      <c r="X203" s="41" t="s">
        <v>824</v>
      </c>
      <c r="Y203" s="41" t="s">
        <v>107</v>
      </c>
      <c r="Z203" s="13" t="s">
        <v>1104</v>
      </c>
      <c r="AA203" s="13"/>
      <c r="AB203" s="13"/>
      <c r="AC203" s="13"/>
      <c r="AD203" s="40">
        <v>90</v>
      </c>
      <c r="AE203" s="40"/>
      <c r="AF203" s="40"/>
      <c r="AG203" s="40"/>
      <c r="AH203" s="40"/>
      <c r="AI203" s="40"/>
      <c r="AJ203" s="40"/>
      <c r="AK203" s="40"/>
      <c r="AL203" s="40"/>
      <c r="AM203" s="47"/>
      <c r="AN203" s="41" t="s">
        <v>1105</v>
      </c>
      <c r="AO203" s="43">
        <v>110</v>
      </c>
      <c r="AP203" s="13">
        <v>20</v>
      </c>
      <c r="AQ203" s="40"/>
      <c r="AR203" s="40"/>
      <c r="AS203" s="6">
        <v>1401</v>
      </c>
      <c r="AT203" s="6">
        <v>6</v>
      </c>
      <c r="AU203" s="6">
        <v>1388</v>
      </c>
      <c r="AV203" s="6">
        <v>5</v>
      </c>
      <c r="AW203" s="12">
        <f t="shared" si="7"/>
        <v>157</v>
      </c>
      <c r="AX203" s="12" t="str">
        <f t="shared" si="8"/>
        <v/>
      </c>
      <c r="AY203" s="45"/>
    </row>
    <row r="204" spans="1:51" ht="20.100000000000001" customHeight="1" x14ac:dyDescent="0.2">
      <c r="A204" s="13">
        <v>197</v>
      </c>
      <c r="B204" s="40" t="s">
        <v>1100</v>
      </c>
      <c r="C204" s="40" t="s">
        <v>1056</v>
      </c>
      <c r="D204" s="41" t="s">
        <v>1101</v>
      </c>
      <c r="E204" s="41" t="s">
        <v>19</v>
      </c>
      <c r="F204" s="41"/>
      <c r="G204" s="41"/>
      <c r="H204" s="13" t="s">
        <v>7</v>
      </c>
      <c r="I204" s="13"/>
      <c r="J204" s="13"/>
      <c r="K204" s="13"/>
      <c r="L204" s="13"/>
      <c r="M204" s="13"/>
      <c r="N204" s="13"/>
      <c r="O204" s="40" t="s">
        <v>67</v>
      </c>
      <c r="P204" s="35" t="s">
        <v>140</v>
      </c>
      <c r="Q204" s="35" t="s">
        <v>117</v>
      </c>
      <c r="R204" s="41" t="s">
        <v>1106</v>
      </c>
      <c r="S204" s="41" t="s">
        <v>106</v>
      </c>
      <c r="T204" s="13" t="s">
        <v>107</v>
      </c>
      <c r="U204" s="35" t="s">
        <v>143</v>
      </c>
      <c r="V204" s="35" t="s">
        <v>470</v>
      </c>
      <c r="W204" s="41" t="s">
        <v>1107</v>
      </c>
      <c r="X204" s="41" t="s">
        <v>106</v>
      </c>
      <c r="Y204" s="41" t="s">
        <v>107</v>
      </c>
      <c r="Z204" s="13">
        <v>0</v>
      </c>
      <c r="AA204" s="13"/>
      <c r="AB204" s="13"/>
      <c r="AC204" s="13"/>
      <c r="AD204" s="40">
        <v>90</v>
      </c>
      <c r="AE204" s="40"/>
      <c r="AF204" s="40"/>
      <c r="AG204" s="40"/>
      <c r="AH204" s="40"/>
      <c r="AI204" s="40"/>
      <c r="AJ204" s="40"/>
      <c r="AK204" s="40"/>
      <c r="AL204" s="40"/>
      <c r="AM204" s="33" t="s">
        <v>158</v>
      </c>
      <c r="AN204" s="41"/>
      <c r="AO204" s="41"/>
      <c r="AP204" s="13"/>
      <c r="AQ204" s="40"/>
      <c r="AR204" s="40"/>
      <c r="AS204" s="6"/>
      <c r="AT204" s="6"/>
      <c r="AU204" s="6"/>
      <c r="AV204" s="6"/>
      <c r="AW204" s="12" t="str">
        <f t="shared" si="7"/>
        <v/>
      </c>
      <c r="AX204" s="12" t="str">
        <f t="shared" si="8"/>
        <v/>
      </c>
      <c r="AY204" s="45"/>
    </row>
    <row r="205" spans="1:51" ht="20.100000000000001" customHeight="1" x14ac:dyDescent="0.2">
      <c r="A205" s="13">
        <v>198</v>
      </c>
      <c r="B205" s="40" t="s">
        <v>1100</v>
      </c>
      <c r="C205" s="40" t="s">
        <v>1056</v>
      </c>
      <c r="D205" s="41" t="s">
        <v>1108</v>
      </c>
      <c r="E205" s="41" t="s">
        <v>243</v>
      </c>
      <c r="F205" s="41" t="s">
        <v>481</v>
      </c>
      <c r="G205" s="41"/>
      <c r="H205" s="13" t="s">
        <v>83</v>
      </c>
      <c r="I205" s="13"/>
      <c r="J205" s="13"/>
      <c r="K205" s="13"/>
      <c r="L205" s="13"/>
      <c r="M205" s="13"/>
      <c r="N205" s="13"/>
      <c r="O205" s="40" t="s">
        <v>93</v>
      </c>
      <c r="P205" s="41"/>
      <c r="Q205" s="41" t="s">
        <v>251</v>
      </c>
      <c r="R205" s="41" t="s">
        <v>555</v>
      </c>
      <c r="S205" s="41" t="s">
        <v>145</v>
      </c>
      <c r="T205" s="13" t="s">
        <v>107</v>
      </c>
      <c r="U205" s="41"/>
      <c r="V205" s="41" t="s">
        <v>1109</v>
      </c>
      <c r="W205" s="41" t="s">
        <v>435</v>
      </c>
      <c r="X205" s="41" t="s">
        <v>369</v>
      </c>
      <c r="Y205" s="41" t="s">
        <v>369</v>
      </c>
      <c r="Z205" s="13" t="s">
        <v>1110</v>
      </c>
      <c r="AA205" s="13"/>
      <c r="AB205" s="13"/>
      <c r="AC205" s="13"/>
      <c r="AD205" s="40">
        <v>99</v>
      </c>
      <c r="AE205" s="40"/>
      <c r="AF205" s="40"/>
      <c r="AG205" s="40"/>
      <c r="AH205" s="40"/>
      <c r="AI205" s="40"/>
      <c r="AJ205" s="40"/>
      <c r="AK205" s="40"/>
      <c r="AL205" s="40"/>
      <c r="AM205" s="47"/>
      <c r="AN205" s="41" t="s">
        <v>1111</v>
      </c>
      <c r="AO205" s="41"/>
      <c r="AP205" s="13"/>
      <c r="AQ205" s="40"/>
      <c r="AR205" s="40"/>
      <c r="AS205" s="6">
        <v>1401</v>
      </c>
      <c r="AT205" s="6">
        <v>6</v>
      </c>
      <c r="AU205" s="6">
        <v>1386</v>
      </c>
      <c r="AV205" s="6">
        <v>6</v>
      </c>
      <c r="AW205" s="12">
        <f t="shared" si="7"/>
        <v>180</v>
      </c>
      <c r="AX205" s="12" t="str">
        <f t="shared" si="8"/>
        <v/>
      </c>
      <c r="AY205" s="45"/>
    </row>
    <row r="206" spans="1:51" ht="20.100000000000001" customHeight="1" x14ac:dyDescent="0.2">
      <c r="A206" s="13">
        <v>199</v>
      </c>
      <c r="B206" s="40" t="s">
        <v>1100</v>
      </c>
      <c r="C206" s="40" t="s">
        <v>1056</v>
      </c>
      <c r="D206" s="41" t="s">
        <v>1112</v>
      </c>
      <c r="E206" s="41" t="s">
        <v>19</v>
      </c>
      <c r="F206" s="41" t="s">
        <v>192</v>
      </c>
      <c r="G206" s="41"/>
      <c r="H206" s="13" t="s">
        <v>7</v>
      </c>
      <c r="I206" s="13"/>
      <c r="J206" s="13"/>
      <c r="K206" s="13"/>
      <c r="L206" s="13"/>
      <c r="M206" s="13"/>
      <c r="N206" s="13"/>
      <c r="O206" s="40" t="s">
        <v>92</v>
      </c>
      <c r="P206" s="41" t="s">
        <v>429</v>
      </c>
      <c r="Q206" s="41" t="s">
        <v>117</v>
      </c>
      <c r="R206" s="41" t="s">
        <v>1113</v>
      </c>
      <c r="S206" s="41" t="s">
        <v>106</v>
      </c>
      <c r="T206" s="13" t="s">
        <v>107</v>
      </c>
      <c r="U206" s="41" t="s">
        <v>429</v>
      </c>
      <c r="V206" s="41" t="s">
        <v>120</v>
      </c>
      <c r="W206" s="41" t="s">
        <v>1114</v>
      </c>
      <c r="X206" s="41" t="s">
        <v>142</v>
      </c>
      <c r="Y206" s="41" t="s">
        <v>70</v>
      </c>
      <c r="Z206" s="13">
        <v>0</v>
      </c>
      <c r="AA206" s="13"/>
      <c r="AB206" s="13"/>
      <c r="AC206" s="13"/>
      <c r="AD206" s="40">
        <v>216</v>
      </c>
      <c r="AE206" s="40"/>
      <c r="AF206" s="40"/>
      <c r="AG206" s="40"/>
      <c r="AH206" s="40"/>
      <c r="AI206" s="40"/>
      <c r="AJ206" s="40"/>
      <c r="AK206" s="40"/>
      <c r="AL206" s="40"/>
      <c r="AM206" s="47"/>
      <c r="AN206" s="41"/>
      <c r="AO206" s="41"/>
      <c r="AP206" s="13"/>
      <c r="AQ206" s="40"/>
      <c r="AR206" s="40"/>
      <c r="AS206" s="6"/>
      <c r="AT206" s="6"/>
      <c r="AU206" s="6"/>
      <c r="AV206" s="6"/>
      <c r="AW206" s="12" t="str">
        <f t="shared" si="7"/>
        <v/>
      </c>
      <c r="AX206" s="12" t="str">
        <f t="shared" si="8"/>
        <v/>
      </c>
      <c r="AY206" s="45"/>
    </row>
    <row r="207" spans="1:51" ht="20.100000000000001" customHeight="1" x14ac:dyDescent="0.2">
      <c r="A207" s="13">
        <v>200</v>
      </c>
      <c r="B207" s="40" t="s">
        <v>1115</v>
      </c>
      <c r="C207" s="40" t="s">
        <v>1056</v>
      </c>
      <c r="D207" s="41" t="s">
        <v>1116</v>
      </c>
      <c r="E207" s="41" t="s">
        <v>8</v>
      </c>
      <c r="F207" s="41"/>
      <c r="G207" s="41"/>
      <c r="H207" s="13" t="s">
        <v>7</v>
      </c>
      <c r="I207" s="13"/>
      <c r="J207" s="13"/>
      <c r="K207" s="13"/>
      <c r="L207" s="13"/>
      <c r="M207" s="13"/>
      <c r="N207" s="13"/>
      <c r="O207" s="40" t="s">
        <v>92</v>
      </c>
      <c r="P207" s="35" t="s">
        <v>117</v>
      </c>
      <c r="Q207" s="35" t="s">
        <v>68</v>
      </c>
      <c r="R207" s="41" t="s">
        <v>906</v>
      </c>
      <c r="S207" s="41" t="s">
        <v>106</v>
      </c>
      <c r="T207" s="13" t="s">
        <v>107</v>
      </c>
      <c r="U207" s="35" t="s">
        <v>470</v>
      </c>
      <c r="V207" s="35" t="s">
        <v>332</v>
      </c>
      <c r="W207" s="41" t="s">
        <v>5303</v>
      </c>
      <c r="X207" s="41" t="s">
        <v>142</v>
      </c>
      <c r="Y207" s="41" t="s">
        <v>70</v>
      </c>
      <c r="Z207" s="13"/>
      <c r="AA207" s="13">
        <v>180</v>
      </c>
      <c r="AB207" s="13"/>
      <c r="AC207" s="13">
        <v>174</v>
      </c>
      <c r="AD207" s="40">
        <v>174</v>
      </c>
      <c r="AE207" s="40"/>
      <c r="AF207" s="40"/>
      <c r="AG207" s="40">
        <v>7.2</v>
      </c>
      <c r="AH207" s="40">
        <v>60</v>
      </c>
      <c r="AI207" s="40">
        <v>148</v>
      </c>
      <c r="AJ207" s="40">
        <v>27</v>
      </c>
      <c r="AK207" s="40"/>
      <c r="AL207" s="40"/>
      <c r="AM207" s="33" t="s">
        <v>158</v>
      </c>
      <c r="AN207" s="41"/>
      <c r="AO207" s="41"/>
      <c r="AP207" s="13"/>
      <c r="AQ207" s="40"/>
      <c r="AR207" s="40"/>
      <c r="AS207" s="6"/>
      <c r="AT207" s="6"/>
      <c r="AU207" s="6"/>
      <c r="AV207" s="6"/>
      <c r="AW207" s="12" t="str">
        <f t="shared" si="7"/>
        <v/>
      </c>
      <c r="AX207" s="12" t="str">
        <f t="shared" si="8"/>
        <v/>
      </c>
      <c r="AY207" s="45"/>
    </row>
    <row r="208" spans="1:51" s="21" customFormat="1" ht="20.100000000000001" customHeight="1" x14ac:dyDescent="0.2">
      <c r="A208" s="13">
        <v>201</v>
      </c>
      <c r="B208" s="29" t="s">
        <v>1115</v>
      </c>
      <c r="C208" s="29" t="s">
        <v>1056</v>
      </c>
      <c r="D208" s="30" t="s">
        <v>637</v>
      </c>
      <c r="E208" s="30" t="s">
        <v>8</v>
      </c>
      <c r="F208" s="30" t="s">
        <v>186</v>
      </c>
      <c r="G208" s="30"/>
      <c r="H208" s="20" t="s">
        <v>83</v>
      </c>
      <c r="I208" s="20"/>
      <c r="J208" s="20"/>
      <c r="K208" s="20"/>
      <c r="L208" s="20"/>
      <c r="M208" s="20"/>
      <c r="N208" s="20"/>
      <c r="O208" s="29" t="s">
        <v>93</v>
      </c>
      <c r="P208" s="30"/>
      <c r="Q208" s="30" t="s">
        <v>140</v>
      </c>
      <c r="R208" s="30" t="s">
        <v>641</v>
      </c>
      <c r="S208" s="30" t="s">
        <v>106</v>
      </c>
      <c r="T208" s="20" t="s">
        <v>107</v>
      </c>
      <c r="U208" s="30"/>
      <c r="V208" s="30" t="s">
        <v>338</v>
      </c>
      <c r="W208" s="30" t="s">
        <v>642</v>
      </c>
      <c r="X208" s="30" t="s">
        <v>106</v>
      </c>
      <c r="Y208" s="30" t="s">
        <v>107</v>
      </c>
      <c r="Z208" s="20" t="s">
        <v>636</v>
      </c>
      <c r="AA208" s="20"/>
      <c r="AB208" s="20"/>
      <c r="AC208" s="20">
        <v>84</v>
      </c>
      <c r="AD208" s="29">
        <v>84</v>
      </c>
      <c r="AE208" s="29"/>
      <c r="AF208" s="29"/>
      <c r="AG208" s="29"/>
      <c r="AH208" s="29"/>
      <c r="AI208" s="29"/>
      <c r="AJ208" s="29"/>
      <c r="AK208" s="29"/>
      <c r="AL208" s="29"/>
      <c r="AM208" s="20" t="s">
        <v>158</v>
      </c>
      <c r="AN208" s="30" t="s">
        <v>596</v>
      </c>
      <c r="AO208" s="36">
        <v>141</v>
      </c>
      <c r="AP208" s="20">
        <v>17</v>
      </c>
      <c r="AQ208" s="29"/>
      <c r="AR208" s="29"/>
      <c r="AS208" s="30">
        <v>1401</v>
      </c>
      <c r="AT208" s="30">
        <v>6</v>
      </c>
      <c r="AU208" s="30">
        <v>1401</v>
      </c>
      <c r="AV208" s="30">
        <v>3</v>
      </c>
      <c r="AW208" s="31">
        <f t="shared" si="7"/>
        <v>3</v>
      </c>
      <c r="AX208" s="31">
        <f t="shared" si="8"/>
        <v>3</v>
      </c>
      <c r="AY208" s="32"/>
    </row>
    <row r="209" spans="1:51" s="19" customFormat="1" ht="20.100000000000001" customHeight="1" x14ac:dyDescent="0.2">
      <c r="A209" s="13">
        <v>202</v>
      </c>
      <c r="B209" s="16" t="s">
        <v>1117</v>
      </c>
      <c r="C209" s="16" t="s">
        <v>1056</v>
      </c>
      <c r="D209" s="6" t="s">
        <v>1118</v>
      </c>
      <c r="E209" s="6" t="s">
        <v>10</v>
      </c>
      <c r="F209" s="6" t="s">
        <v>185</v>
      </c>
      <c r="G209" s="6"/>
      <c r="H209" s="15" t="s">
        <v>83</v>
      </c>
      <c r="I209" s="15"/>
      <c r="J209" s="15"/>
      <c r="K209" s="15"/>
      <c r="L209" s="15"/>
      <c r="M209" s="15"/>
      <c r="N209" s="15"/>
      <c r="O209" s="16" t="s">
        <v>67</v>
      </c>
      <c r="P209" s="6"/>
      <c r="Q209" s="6" t="s">
        <v>117</v>
      </c>
      <c r="R209" s="6" t="s">
        <v>138</v>
      </c>
      <c r="S209" s="6" t="s">
        <v>119</v>
      </c>
      <c r="T209" s="15" t="s">
        <v>107</v>
      </c>
      <c r="U209" s="6"/>
      <c r="V209" s="6" t="s">
        <v>204</v>
      </c>
      <c r="W209" s="6" t="s">
        <v>1119</v>
      </c>
      <c r="X209" s="6" t="s">
        <v>119</v>
      </c>
      <c r="Y209" s="6" t="s">
        <v>107</v>
      </c>
      <c r="Z209" s="15" t="s">
        <v>1120</v>
      </c>
      <c r="AA209" s="15"/>
      <c r="AB209" s="15"/>
      <c r="AC209" s="15"/>
      <c r="AD209" s="16">
        <v>168</v>
      </c>
      <c r="AE209" s="16"/>
      <c r="AF209" s="16"/>
      <c r="AG209" s="16"/>
      <c r="AH209" s="16"/>
      <c r="AI209" s="16"/>
      <c r="AJ209" s="16"/>
      <c r="AK209" s="16"/>
      <c r="AL209" s="16"/>
      <c r="AM209" s="15" t="s">
        <v>158</v>
      </c>
      <c r="AN209" s="6" t="s">
        <v>1121</v>
      </c>
      <c r="AO209" s="6"/>
      <c r="AP209" s="15"/>
      <c r="AQ209" s="16"/>
      <c r="AR209" s="16"/>
      <c r="AS209" s="6">
        <v>1401</v>
      </c>
      <c r="AT209" s="6">
        <v>6</v>
      </c>
      <c r="AU209" s="6">
        <v>1400</v>
      </c>
      <c r="AV209" s="6">
        <v>3</v>
      </c>
      <c r="AW209" s="46">
        <f t="shared" si="7"/>
        <v>15</v>
      </c>
      <c r="AX209" s="46" t="str">
        <f t="shared" si="8"/>
        <v/>
      </c>
      <c r="AY209" s="18"/>
    </row>
    <row r="210" spans="1:51" ht="20.100000000000001" customHeight="1" x14ac:dyDescent="0.2">
      <c r="A210" s="13">
        <v>203</v>
      </c>
      <c r="B210" s="40" t="s">
        <v>1117</v>
      </c>
      <c r="C210" s="40" t="s">
        <v>1056</v>
      </c>
      <c r="D210" s="41" t="s">
        <v>912</v>
      </c>
      <c r="E210" s="41" t="s">
        <v>6</v>
      </c>
      <c r="F210" s="41"/>
      <c r="G210" s="41"/>
      <c r="H210" s="13" t="s">
        <v>7</v>
      </c>
      <c r="I210" s="13"/>
      <c r="J210" s="13"/>
      <c r="K210" s="13"/>
      <c r="L210" s="13"/>
      <c r="M210" s="13"/>
      <c r="N210" s="13"/>
      <c r="O210" s="40" t="s">
        <v>92</v>
      </c>
      <c r="P210" s="35" t="s">
        <v>155</v>
      </c>
      <c r="Q210" s="35" t="s">
        <v>218</v>
      </c>
      <c r="R210" s="41" t="s">
        <v>1122</v>
      </c>
      <c r="S210" s="41" t="s">
        <v>106</v>
      </c>
      <c r="T210" s="13" t="s">
        <v>107</v>
      </c>
      <c r="U210" s="35" t="s">
        <v>156</v>
      </c>
      <c r="V210" s="35" t="s">
        <v>268</v>
      </c>
      <c r="W210" s="41" t="s">
        <v>855</v>
      </c>
      <c r="X210" s="41" t="s">
        <v>262</v>
      </c>
      <c r="Y210" s="41" t="s">
        <v>70</v>
      </c>
      <c r="Z210" s="13">
        <v>0</v>
      </c>
      <c r="AA210" s="13"/>
      <c r="AB210" s="13"/>
      <c r="AC210" s="13"/>
      <c r="AD210" s="40">
        <v>210</v>
      </c>
      <c r="AE210" s="40"/>
      <c r="AF210" s="40"/>
      <c r="AG210" s="40"/>
      <c r="AH210" s="40"/>
      <c r="AI210" s="40"/>
      <c r="AJ210" s="40"/>
      <c r="AK210" s="40"/>
      <c r="AL210" s="40"/>
      <c r="AM210" s="33" t="s">
        <v>158</v>
      </c>
      <c r="AN210" s="41" t="s">
        <v>1115</v>
      </c>
      <c r="AO210" s="41"/>
      <c r="AP210" s="13"/>
      <c r="AQ210" s="40"/>
      <c r="AR210" s="40"/>
      <c r="AS210" s="6"/>
      <c r="AT210" s="6"/>
      <c r="AU210" s="6"/>
      <c r="AV210" s="6"/>
      <c r="AW210" s="12" t="str">
        <f t="shared" si="7"/>
        <v/>
      </c>
      <c r="AX210" s="12" t="str">
        <f t="shared" si="8"/>
        <v/>
      </c>
      <c r="AY210" s="45"/>
    </row>
    <row r="211" spans="1:51" ht="20.100000000000001" customHeight="1" x14ac:dyDescent="0.2">
      <c r="A211" s="13">
        <v>204</v>
      </c>
      <c r="B211" s="40" t="s">
        <v>1123</v>
      </c>
      <c r="C211" s="40" t="s">
        <v>1056</v>
      </c>
      <c r="D211" s="41" t="s">
        <v>1071</v>
      </c>
      <c r="E211" s="41" t="s">
        <v>9</v>
      </c>
      <c r="F211" s="41"/>
      <c r="G211" s="41"/>
      <c r="H211" s="13" t="s">
        <v>7</v>
      </c>
      <c r="I211" s="13"/>
      <c r="J211" s="13"/>
      <c r="K211" s="13"/>
      <c r="L211" s="13"/>
      <c r="M211" s="13"/>
      <c r="N211" s="13"/>
      <c r="O211" s="40" t="s">
        <v>67</v>
      </c>
      <c r="P211" s="41" t="s">
        <v>155</v>
      </c>
      <c r="Q211" s="41" t="s">
        <v>155</v>
      </c>
      <c r="R211" s="41" t="s">
        <v>1124</v>
      </c>
      <c r="S211" s="41" t="s">
        <v>142</v>
      </c>
      <c r="T211" s="13" t="s">
        <v>70</v>
      </c>
      <c r="U211" s="41" t="s">
        <v>167</v>
      </c>
      <c r="V211" s="41" t="s">
        <v>167</v>
      </c>
      <c r="W211" s="41" t="s">
        <v>1125</v>
      </c>
      <c r="X211" s="41" t="s">
        <v>142</v>
      </c>
      <c r="Y211" s="41" t="s">
        <v>70</v>
      </c>
      <c r="Z211" s="13">
        <v>0</v>
      </c>
      <c r="AA211" s="13"/>
      <c r="AB211" s="13"/>
      <c r="AC211" s="13"/>
      <c r="AD211" s="40">
        <v>204</v>
      </c>
      <c r="AE211" s="40"/>
      <c r="AF211" s="40"/>
      <c r="AG211" s="40"/>
      <c r="AH211" s="40"/>
      <c r="AI211" s="40"/>
      <c r="AJ211" s="40"/>
      <c r="AK211" s="40"/>
      <c r="AL211" s="40"/>
      <c r="AM211" s="47"/>
      <c r="AN211" s="41" t="s">
        <v>1117</v>
      </c>
      <c r="AO211" s="41"/>
      <c r="AP211" s="13"/>
      <c r="AQ211" s="40"/>
      <c r="AR211" s="40"/>
      <c r="AS211" s="6"/>
      <c r="AT211" s="6"/>
      <c r="AU211" s="6"/>
      <c r="AV211" s="6"/>
      <c r="AW211" s="12" t="str">
        <f t="shared" si="7"/>
        <v/>
      </c>
      <c r="AX211" s="12" t="str">
        <f t="shared" si="8"/>
        <v/>
      </c>
      <c r="AY211" s="45"/>
    </row>
    <row r="212" spans="1:51" s="21" customFormat="1" ht="20.100000000000001" customHeight="1" x14ac:dyDescent="0.2">
      <c r="A212" s="13">
        <v>205</v>
      </c>
      <c r="B212" s="29" t="s">
        <v>1123</v>
      </c>
      <c r="C212" s="29" t="s">
        <v>1056</v>
      </c>
      <c r="D212" s="30" t="s">
        <v>1126</v>
      </c>
      <c r="E212" s="30" t="s">
        <v>10</v>
      </c>
      <c r="F212" s="30" t="s">
        <v>174</v>
      </c>
      <c r="G212" s="30"/>
      <c r="H212" s="20" t="s">
        <v>83</v>
      </c>
      <c r="I212" s="20"/>
      <c r="J212" s="20"/>
      <c r="K212" s="20"/>
      <c r="L212" s="20"/>
      <c r="M212" s="20"/>
      <c r="N212" s="20"/>
      <c r="O212" s="29" t="s">
        <v>67</v>
      </c>
      <c r="P212" s="30"/>
      <c r="Q212" s="30" t="s">
        <v>68</v>
      </c>
      <c r="R212" s="30" t="s">
        <v>1127</v>
      </c>
      <c r="S212" s="30" t="s">
        <v>119</v>
      </c>
      <c r="T212" s="20" t="s">
        <v>107</v>
      </c>
      <c r="U212" s="30"/>
      <c r="V212" s="30" t="s">
        <v>263</v>
      </c>
      <c r="W212" s="30" t="s">
        <v>1128</v>
      </c>
      <c r="X212" s="30" t="s">
        <v>119</v>
      </c>
      <c r="Y212" s="30" t="s">
        <v>107</v>
      </c>
      <c r="Z212" s="20" t="s">
        <v>1129</v>
      </c>
      <c r="AA212" s="20"/>
      <c r="AB212" s="20"/>
      <c r="AC212" s="20"/>
      <c r="AD212" s="29">
        <v>174</v>
      </c>
      <c r="AE212" s="29"/>
      <c r="AF212" s="29"/>
      <c r="AG212" s="29"/>
      <c r="AH212" s="29"/>
      <c r="AI212" s="29"/>
      <c r="AJ212" s="29"/>
      <c r="AK212" s="29"/>
      <c r="AL212" s="29"/>
      <c r="AM212" s="39"/>
      <c r="AN212" s="30" t="s">
        <v>1129</v>
      </c>
      <c r="AO212" s="30"/>
      <c r="AP212" s="20"/>
      <c r="AQ212" s="29"/>
      <c r="AR212" s="29"/>
      <c r="AS212" s="30">
        <v>1401</v>
      </c>
      <c r="AT212" s="30">
        <v>6</v>
      </c>
      <c r="AU212" s="30">
        <v>1400</v>
      </c>
      <c r="AV212" s="30">
        <v>7</v>
      </c>
      <c r="AW212" s="31">
        <f t="shared" si="7"/>
        <v>11</v>
      </c>
      <c r="AX212" s="31">
        <f t="shared" si="8"/>
        <v>11</v>
      </c>
      <c r="AY212" s="32"/>
    </row>
    <row r="213" spans="1:51" ht="20.100000000000001" customHeight="1" x14ac:dyDescent="0.2">
      <c r="A213" s="13">
        <v>206</v>
      </c>
      <c r="B213" s="40" t="s">
        <v>1123</v>
      </c>
      <c r="C213" s="40" t="s">
        <v>1056</v>
      </c>
      <c r="D213" s="41" t="s">
        <v>1130</v>
      </c>
      <c r="E213" s="41" t="s">
        <v>10</v>
      </c>
      <c r="F213" s="41" t="s">
        <v>186</v>
      </c>
      <c r="G213" s="41"/>
      <c r="H213" s="13" t="s">
        <v>83</v>
      </c>
      <c r="I213" s="13"/>
      <c r="J213" s="13"/>
      <c r="K213" s="13"/>
      <c r="L213" s="13"/>
      <c r="M213" s="13"/>
      <c r="N213" s="13"/>
      <c r="O213" s="40" t="s">
        <v>92</v>
      </c>
      <c r="P213" s="41"/>
      <c r="Q213" s="41" t="s">
        <v>104</v>
      </c>
      <c r="R213" s="41" t="s">
        <v>1131</v>
      </c>
      <c r="S213" s="41" t="s">
        <v>142</v>
      </c>
      <c r="T213" s="13" t="s">
        <v>70</v>
      </c>
      <c r="U213" s="41"/>
      <c r="V213" s="41" t="s">
        <v>361</v>
      </c>
      <c r="W213" s="41" t="s">
        <v>1132</v>
      </c>
      <c r="X213" s="41" t="s">
        <v>142</v>
      </c>
      <c r="Y213" s="41" t="s">
        <v>70</v>
      </c>
      <c r="Z213" s="13" t="s">
        <v>512</v>
      </c>
      <c r="AA213" s="13"/>
      <c r="AB213" s="13"/>
      <c r="AC213" s="13"/>
      <c r="AD213" s="40">
        <v>192</v>
      </c>
      <c r="AE213" s="40"/>
      <c r="AF213" s="40"/>
      <c r="AG213" s="40"/>
      <c r="AH213" s="40"/>
      <c r="AI213" s="40"/>
      <c r="AJ213" s="40"/>
      <c r="AK213" s="40"/>
      <c r="AL213" s="40"/>
      <c r="AM213" s="47"/>
      <c r="AN213" s="41" t="s">
        <v>512</v>
      </c>
      <c r="AO213" s="41"/>
      <c r="AP213" s="13"/>
      <c r="AQ213" s="40"/>
      <c r="AR213" s="40"/>
      <c r="AS213" s="6">
        <v>1401</v>
      </c>
      <c r="AT213" s="6">
        <v>6</v>
      </c>
      <c r="AU213" s="6">
        <v>1398</v>
      </c>
      <c r="AV213" s="6">
        <v>6</v>
      </c>
      <c r="AW213" s="12">
        <f t="shared" si="7"/>
        <v>36</v>
      </c>
      <c r="AX213" s="12" t="str">
        <f t="shared" si="8"/>
        <v/>
      </c>
      <c r="AY213" s="45"/>
    </row>
    <row r="214" spans="1:51" ht="20.100000000000001" customHeight="1" x14ac:dyDescent="0.2">
      <c r="A214" s="13">
        <v>207</v>
      </c>
      <c r="B214" s="40" t="s">
        <v>1133</v>
      </c>
      <c r="C214" s="40" t="s">
        <v>1056</v>
      </c>
      <c r="D214" s="41" t="s">
        <v>1134</v>
      </c>
      <c r="E214" s="41" t="s">
        <v>19</v>
      </c>
      <c r="F214" s="41" t="s">
        <v>222</v>
      </c>
      <c r="G214" s="41"/>
      <c r="H214" s="13" t="s">
        <v>222</v>
      </c>
      <c r="I214" s="13"/>
      <c r="J214" s="13"/>
      <c r="K214" s="13"/>
      <c r="L214" s="13"/>
      <c r="M214" s="13"/>
      <c r="N214" s="13"/>
      <c r="O214" s="40" t="s">
        <v>92</v>
      </c>
      <c r="P214" s="41"/>
      <c r="Q214" s="41" t="s">
        <v>223</v>
      </c>
      <c r="R214" s="41" t="s">
        <v>1135</v>
      </c>
      <c r="S214" s="41" t="s">
        <v>369</v>
      </c>
      <c r="T214" s="13" t="s">
        <v>369</v>
      </c>
      <c r="U214" s="41"/>
      <c r="V214" s="41" t="s">
        <v>224</v>
      </c>
      <c r="W214" s="41" t="s">
        <v>1136</v>
      </c>
      <c r="X214" s="41" t="s">
        <v>69</v>
      </c>
      <c r="Y214" s="41" t="s">
        <v>70</v>
      </c>
      <c r="Z214" s="13" t="s">
        <v>1137</v>
      </c>
      <c r="AA214" s="13"/>
      <c r="AB214" s="13"/>
      <c r="AC214" s="13"/>
      <c r="AD214" s="40">
        <v>174</v>
      </c>
      <c r="AE214" s="40"/>
      <c r="AF214" s="40"/>
      <c r="AG214" s="40"/>
      <c r="AH214" s="40"/>
      <c r="AI214" s="40"/>
      <c r="AJ214" s="40"/>
      <c r="AK214" s="40"/>
      <c r="AL214" s="40"/>
      <c r="AM214" s="15" t="s">
        <v>158</v>
      </c>
      <c r="AN214" s="41" t="s">
        <v>1138</v>
      </c>
      <c r="AO214" s="41"/>
      <c r="AP214" s="13"/>
      <c r="AQ214" s="40"/>
      <c r="AR214" s="40"/>
      <c r="AS214" s="6">
        <v>1401</v>
      </c>
      <c r="AT214" s="6">
        <v>6</v>
      </c>
      <c r="AU214" s="6">
        <v>1399</v>
      </c>
      <c r="AV214" s="6">
        <v>4</v>
      </c>
      <c r="AW214" s="12">
        <f t="shared" si="7"/>
        <v>26</v>
      </c>
      <c r="AX214" s="12" t="str">
        <f t="shared" si="8"/>
        <v/>
      </c>
      <c r="AY214" s="45"/>
    </row>
    <row r="215" spans="1:51" ht="20.100000000000001" customHeight="1" x14ac:dyDescent="0.2">
      <c r="A215" s="13">
        <v>208</v>
      </c>
      <c r="B215" s="40" t="s">
        <v>1133</v>
      </c>
      <c r="C215" s="40" t="s">
        <v>1056</v>
      </c>
      <c r="D215" s="41" t="s">
        <v>1118</v>
      </c>
      <c r="E215" s="41" t="s">
        <v>10</v>
      </c>
      <c r="F215" s="41"/>
      <c r="G215" s="41"/>
      <c r="H215" s="13" t="s">
        <v>7</v>
      </c>
      <c r="I215" s="13"/>
      <c r="J215" s="13"/>
      <c r="K215" s="13"/>
      <c r="L215" s="13"/>
      <c r="M215" s="13"/>
      <c r="N215" s="13"/>
      <c r="O215" s="40" t="s">
        <v>67</v>
      </c>
      <c r="P215" s="35" t="s">
        <v>117</v>
      </c>
      <c r="Q215" s="35" t="s">
        <v>68</v>
      </c>
      <c r="R215" s="41" t="s">
        <v>673</v>
      </c>
      <c r="S215" s="41" t="s">
        <v>106</v>
      </c>
      <c r="T215" s="13" t="s">
        <v>107</v>
      </c>
      <c r="U215" s="35" t="s">
        <v>204</v>
      </c>
      <c r="V215" s="35" t="s">
        <v>263</v>
      </c>
      <c r="W215" s="41" t="s">
        <v>1139</v>
      </c>
      <c r="X215" s="41" t="s">
        <v>142</v>
      </c>
      <c r="Y215" s="41" t="s">
        <v>70</v>
      </c>
      <c r="Z215" s="13">
        <v>0</v>
      </c>
      <c r="AA215" s="13"/>
      <c r="AB215" s="13"/>
      <c r="AC215" s="13"/>
      <c r="AD215" s="40">
        <v>168</v>
      </c>
      <c r="AE215" s="40"/>
      <c r="AF215" s="40"/>
      <c r="AG215" s="40"/>
      <c r="AH215" s="40"/>
      <c r="AI215" s="40"/>
      <c r="AJ215" s="40"/>
      <c r="AK215" s="40"/>
      <c r="AL215" s="40"/>
      <c r="AM215" s="33" t="s">
        <v>158</v>
      </c>
      <c r="AN215" s="41" t="s">
        <v>1123</v>
      </c>
      <c r="AO215" s="41"/>
      <c r="AP215" s="13"/>
      <c r="AQ215" s="40"/>
      <c r="AR215" s="40"/>
      <c r="AS215" s="6"/>
      <c r="AT215" s="6"/>
      <c r="AU215" s="6"/>
      <c r="AV215" s="6"/>
      <c r="AW215" s="12" t="str">
        <f t="shared" si="7"/>
        <v/>
      </c>
      <c r="AX215" s="12" t="str">
        <f t="shared" si="8"/>
        <v/>
      </c>
      <c r="AY215" s="45"/>
    </row>
    <row r="216" spans="1:51" ht="20.100000000000001" customHeight="1" x14ac:dyDescent="0.2">
      <c r="A216" s="13">
        <v>209</v>
      </c>
      <c r="B216" s="40" t="s">
        <v>1140</v>
      </c>
      <c r="C216" s="40" t="s">
        <v>1056</v>
      </c>
      <c r="D216" s="41" t="s">
        <v>984</v>
      </c>
      <c r="E216" s="41" t="s">
        <v>19</v>
      </c>
      <c r="F216" s="41"/>
      <c r="G216" s="41"/>
      <c r="H216" s="13" t="s">
        <v>7</v>
      </c>
      <c r="I216" s="13"/>
      <c r="J216" s="13"/>
      <c r="K216" s="13"/>
      <c r="L216" s="13"/>
      <c r="M216" s="13"/>
      <c r="N216" s="13"/>
      <c r="O216" s="40" t="s">
        <v>92</v>
      </c>
      <c r="P216" s="35" t="s">
        <v>140</v>
      </c>
      <c r="Q216" s="35" t="s">
        <v>334</v>
      </c>
      <c r="R216" s="41" t="s">
        <v>1141</v>
      </c>
      <c r="S216" s="41" t="s">
        <v>69</v>
      </c>
      <c r="T216" s="13" t="s">
        <v>70</v>
      </c>
      <c r="U216" s="35" t="s">
        <v>188</v>
      </c>
      <c r="V216" s="35" t="s">
        <v>1142</v>
      </c>
      <c r="W216" s="41" t="s">
        <v>1143</v>
      </c>
      <c r="X216" s="41" t="s">
        <v>73</v>
      </c>
      <c r="Y216" s="41" t="s">
        <v>70</v>
      </c>
      <c r="Z216" s="13">
        <v>0</v>
      </c>
      <c r="AA216" s="13"/>
      <c r="AB216" s="13"/>
      <c r="AC216" s="13"/>
      <c r="AD216" s="40"/>
      <c r="AE216" s="40"/>
      <c r="AF216" s="40"/>
      <c r="AG216" s="40"/>
      <c r="AH216" s="40"/>
      <c r="AI216" s="40"/>
      <c r="AJ216" s="40"/>
      <c r="AK216" s="40"/>
      <c r="AL216" s="40"/>
      <c r="AM216" s="33" t="s">
        <v>158</v>
      </c>
      <c r="AN216" s="41" t="s">
        <v>1144</v>
      </c>
      <c r="AO216" s="41"/>
      <c r="AP216" s="13"/>
      <c r="AQ216" s="40"/>
      <c r="AR216" s="40"/>
      <c r="AS216" s="6"/>
      <c r="AT216" s="6"/>
      <c r="AU216" s="6"/>
      <c r="AV216" s="6"/>
      <c r="AW216" s="12" t="str">
        <f t="shared" si="7"/>
        <v/>
      </c>
      <c r="AX216" s="12" t="str">
        <f t="shared" si="8"/>
        <v/>
      </c>
      <c r="AY216" s="45"/>
    </row>
    <row r="217" spans="1:51" ht="20.100000000000001" customHeight="1" x14ac:dyDescent="0.2">
      <c r="A217" s="13">
        <v>210</v>
      </c>
      <c r="B217" s="40" t="s">
        <v>1140</v>
      </c>
      <c r="C217" s="40" t="s">
        <v>1056</v>
      </c>
      <c r="D217" s="41" t="s">
        <v>1057</v>
      </c>
      <c r="E217" s="41" t="s">
        <v>8</v>
      </c>
      <c r="F217" s="41"/>
      <c r="G217" s="41"/>
      <c r="H217" s="13" t="s">
        <v>7</v>
      </c>
      <c r="I217" s="13"/>
      <c r="J217" s="13"/>
      <c r="K217" s="13"/>
      <c r="L217" s="13"/>
      <c r="M217" s="13"/>
      <c r="N217" s="13"/>
      <c r="O217" s="40" t="s">
        <v>93</v>
      </c>
      <c r="P217" s="35" t="s">
        <v>140</v>
      </c>
      <c r="Q217" s="35" t="s">
        <v>104</v>
      </c>
      <c r="R217" s="41" t="s">
        <v>1145</v>
      </c>
      <c r="S217" s="41" t="s">
        <v>106</v>
      </c>
      <c r="T217" s="13" t="s">
        <v>107</v>
      </c>
      <c r="U217" s="35" t="s">
        <v>143</v>
      </c>
      <c r="V217" s="35" t="s">
        <v>1146</v>
      </c>
      <c r="W217" s="41" t="s">
        <v>1147</v>
      </c>
      <c r="X217" s="41" t="s">
        <v>106</v>
      </c>
      <c r="Y217" s="41" t="s">
        <v>107</v>
      </c>
      <c r="Z217" s="13">
        <v>0</v>
      </c>
      <c r="AA217" s="13"/>
      <c r="AB217" s="13"/>
      <c r="AC217" s="13"/>
      <c r="AD217" s="40"/>
      <c r="AE217" s="40"/>
      <c r="AF217" s="40"/>
      <c r="AG217" s="40"/>
      <c r="AH217" s="40"/>
      <c r="AI217" s="40"/>
      <c r="AJ217" s="40"/>
      <c r="AK217" s="40"/>
      <c r="AL217" s="40"/>
      <c r="AM217" s="33" t="s">
        <v>158</v>
      </c>
      <c r="AN217" s="41" t="s">
        <v>1133</v>
      </c>
      <c r="AO217" s="41"/>
      <c r="AP217" s="13"/>
      <c r="AQ217" s="40"/>
      <c r="AR217" s="40"/>
      <c r="AS217" s="6"/>
      <c r="AT217" s="6"/>
      <c r="AU217" s="6"/>
      <c r="AV217" s="6"/>
      <c r="AW217" s="12" t="str">
        <f t="shared" si="7"/>
        <v/>
      </c>
      <c r="AX217" s="12" t="str">
        <f t="shared" si="8"/>
        <v/>
      </c>
      <c r="AY217" s="45"/>
    </row>
    <row r="218" spans="1:51" ht="20.100000000000001" customHeight="1" x14ac:dyDescent="0.2">
      <c r="A218" s="13">
        <v>211</v>
      </c>
      <c r="B218" s="40" t="s">
        <v>1140</v>
      </c>
      <c r="C218" s="40" t="s">
        <v>1056</v>
      </c>
      <c r="D218" s="41" t="s">
        <v>1148</v>
      </c>
      <c r="E218" s="41" t="s">
        <v>10</v>
      </c>
      <c r="F218" s="41" t="s">
        <v>504</v>
      </c>
      <c r="G218" s="41"/>
      <c r="H218" s="13" t="s">
        <v>83</v>
      </c>
      <c r="I218" s="13"/>
      <c r="J218" s="13"/>
      <c r="K218" s="13"/>
      <c r="L218" s="13"/>
      <c r="M218" s="13"/>
      <c r="N218" s="13"/>
      <c r="O218" s="40" t="s">
        <v>67</v>
      </c>
      <c r="P218" s="41"/>
      <c r="Q218" s="41" t="s">
        <v>218</v>
      </c>
      <c r="R218" s="41" t="s">
        <v>1149</v>
      </c>
      <c r="S218" s="41" t="s">
        <v>69</v>
      </c>
      <c r="T218" s="13" t="s">
        <v>70</v>
      </c>
      <c r="U218" s="41"/>
      <c r="V218" s="41" t="s">
        <v>268</v>
      </c>
      <c r="W218" s="41" t="s">
        <v>1150</v>
      </c>
      <c r="X218" s="41" t="s">
        <v>69</v>
      </c>
      <c r="Y218" s="41" t="s">
        <v>70</v>
      </c>
      <c r="Z218" s="13" t="s">
        <v>1151</v>
      </c>
      <c r="AA218" s="13"/>
      <c r="AB218" s="13"/>
      <c r="AC218" s="13"/>
      <c r="AD218" s="40">
        <v>222</v>
      </c>
      <c r="AE218" s="40"/>
      <c r="AF218" s="40"/>
      <c r="AG218" s="40"/>
      <c r="AH218" s="40"/>
      <c r="AI218" s="40"/>
      <c r="AJ218" s="40"/>
      <c r="AK218" s="40"/>
      <c r="AL218" s="40"/>
      <c r="AM218" s="47"/>
      <c r="AN218" s="41" t="s">
        <v>1151</v>
      </c>
      <c r="AO218" s="41"/>
      <c r="AP218" s="13"/>
      <c r="AQ218" s="40"/>
      <c r="AR218" s="40"/>
      <c r="AS218" s="6">
        <v>1401</v>
      </c>
      <c r="AT218" s="6">
        <v>6</v>
      </c>
      <c r="AU218" s="6">
        <v>1397</v>
      </c>
      <c r="AV218" s="6">
        <v>8</v>
      </c>
      <c r="AW218" s="12">
        <f t="shared" si="7"/>
        <v>46</v>
      </c>
      <c r="AX218" s="12" t="str">
        <f t="shared" si="8"/>
        <v/>
      </c>
      <c r="AY218" s="45"/>
    </row>
    <row r="219" spans="1:51" s="21" customFormat="1" ht="20.100000000000001" customHeight="1" x14ac:dyDescent="0.2">
      <c r="A219" s="13">
        <v>212</v>
      </c>
      <c r="B219" s="29" t="s">
        <v>1152</v>
      </c>
      <c r="C219" s="29" t="s">
        <v>1056</v>
      </c>
      <c r="D219" s="30" t="s">
        <v>656</v>
      </c>
      <c r="E219" s="30" t="s">
        <v>20</v>
      </c>
      <c r="F219" s="30" t="s">
        <v>174</v>
      </c>
      <c r="G219" s="30"/>
      <c r="H219" s="20" t="s">
        <v>83</v>
      </c>
      <c r="I219" s="20"/>
      <c r="J219" s="20"/>
      <c r="K219" s="20"/>
      <c r="L219" s="20"/>
      <c r="M219" s="20"/>
      <c r="N219" s="20"/>
      <c r="O219" s="29" t="s">
        <v>67</v>
      </c>
      <c r="P219" s="30"/>
      <c r="Q219" s="30" t="s">
        <v>140</v>
      </c>
      <c r="R219" s="30" t="s">
        <v>767</v>
      </c>
      <c r="S219" s="30" t="s">
        <v>69</v>
      </c>
      <c r="T219" s="20" t="s">
        <v>70</v>
      </c>
      <c r="U219" s="30"/>
      <c r="V219" s="30" t="s">
        <v>338</v>
      </c>
      <c r="W219" s="30" t="s">
        <v>768</v>
      </c>
      <c r="X219" s="30" t="s">
        <v>142</v>
      </c>
      <c r="Y219" s="30" t="s">
        <v>70</v>
      </c>
      <c r="Z219" s="20" t="s">
        <v>765</v>
      </c>
      <c r="AA219" s="20"/>
      <c r="AB219" s="20"/>
      <c r="AC219" s="20"/>
      <c r="AD219" s="29">
        <v>174</v>
      </c>
      <c r="AE219" s="29"/>
      <c r="AF219" s="29"/>
      <c r="AG219" s="29"/>
      <c r="AH219" s="29"/>
      <c r="AI219" s="29"/>
      <c r="AJ219" s="29"/>
      <c r="AK219" s="29"/>
      <c r="AL219" s="29"/>
      <c r="AM219" s="39"/>
      <c r="AN219" s="30" t="s">
        <v>751</v>
      </c>
      <c r="AO219" s="30"/>
      <c r="AP219" s="20"/>
      <c r="AQ219" s="29"/>
      <c r="AR219" s="29"/>
      <c r="AS219" s="30">
        <v>1401</v>
      </c>
      <c r="AT219" s="30">
        <v>6</v>
      </c>
      <c r="AU219" s="30">
        <v>1401</v>
      </c>
      <c r="AV219" s="30">
        <v>4</v>
      </c>
      <c r="AW219" s="31">
        <f t="shared" si="7"/>
        <v>2</v>
      </c>
      <c r="AX219" s="31">
        <f t="shared" si="8"/>
        <v>2</v>
      </c>
      <c r="AY219" s="32"/>
    </row>
    <row r="220" spans="1:51" ht="20.100000000000001" customHeight="1" x14ac:dyDescent="0.2">
      <c r="A220" s="13">
        <v>213</v>
      </c>
      <c r="B220" s="40" t="s">
        <v>1152</v>
      </c>
      <c r="C220" s="40" t="s">
        <v>1056</v>
      </c>
      <c r="D220" s="41" t="s">
        <v>1153</v>
      </c>
      <c r="E220" s="41" t="s">
        <v>6</v>
      </c>
      <c r="F220" s="41" t="s">
        <v>481</v>
      </c>
      <c r="G220" s="41"/>
      <c r="H220" s="13" t="s">
        <v>83</v>
      </c>
      <c r="I220" s="13"/>
      <c r="J220" s="13"/>
      <c r="K220" s="13"/>
      <c r="L220" s="13"/>
      <c r="M220" s="13"/>
      <c r="N220" s="13"/>
      <c r="O220" s="40" t="s">
        <v>67</v>
      </c>
      <c r="P220" s="41"/>
      <c r="Q220" s="41" t="s">
        <v>104</v>
      </c>
      <c r="R220" s="41" t="s">
        <v>1154</v>
      </c>
      <c r="S220" s="41" t="s">
        <v>574</v>
      </c>
      <c r="T220" s="13" t="s">
        <v>107</v>
      </c>
      <c r="U220" s="41"/>
      <c r="V220" s="41" t="s">
        <v>361</v>
      </c>
      <c r="W220" s="41" t="s">
        <v>1155</v>
      </c>
      <c r="X220" s="41" t="s">
        <v>574</v>
      </c>
      <c r="Y220" s="41" t="s">
        <v>107</v>
      </c>
      <c r="Z220" s="13" t="s">
        <v>1156</v>
      </c>
      <c r="AA220" s="13"/>
      <c r="AB220" s="13"/>
      <c r="AC220" s="13"/>
      <c r="AD220" s="40">
        <v>144</v>
      </c>
      <c r="AE220" s="40"/>
      <c r="AF220" s="40"/>
      <c r="AG220" s="40"/>
      <c r="AH220" s="40"/>
      <c r="AI220" s="40"/>
      <c r="AJ220" s="40"/>
      <c r="AK220" s="40"/>
      <c r="AL220" s="40"/>
      <c r="AM220" s="47"/>
      <c r="AN220" s="41" t="s">
        <v>1157</v>
      </c>
      <c r="AO220" s="41"/>
      <c r="AP220" s="13"/>
      <c r="AQ220" s="40"/>
      <c r="AR220" s="40"/>
      <c r="AS220" s="6">
        <v>1401</v>
      </c>
      <c r="AT220" s="6">
        <v>6</v>
      </c>
      <c r="AU220" s="6">
        <v>1398</v>
      </c>
      <c r="AV220" s="6">
        <v>11</v>
      </c>
      <c r="AW220" s="12">
        <f t="shared" si="7"/>
        <v>31</v>
      </c>
      <c r="AX220" s="12" t="str">
        <f t="shared" si="8"/>
        <v/>
      </c>
      <c r="AY220" s="45"/>
    </row>
    <row r="221" spans="1:51" ht="20.100000000000001" customHeight="1" x14ac:dyDescent="0.2">
      <c r="A221" s="13">
        <v>214</v>
      </c>
      <c r="B221" s="40" t="s">
        <v>1152</v>
      </c>
      <c r="C221" s="40" t="s">
        <v>1056</v>
      </c>
      <c r="D221" s="41" t="s">
        <v>1158</v>
      </c>
      <c r="E221" s="41" t="s">
        <v>10</v>
      </c>
      <c r="F221" s="41" t="s">
        <v>174</v>
      </c>
      <c r="G221" s="41"/>
      <c r="H221" s="13" t="s">
        <v>83</v>
      </c>
      <c r="I221" s="13"/>
      <c r="J221" s="13"/>
      <c r="K221" s="13"/>
      <c r="L221" s="13"/>
      <c r="M221" s="13"/>
      <c r="N221" s="13"/>
      <c r="O221" s="40" t="s">
        <v>92</v>
      </c>
      <c r="P221" s="41"/>
      <c r="Q221" s="41" t="s">
        <v>117</v>
      </c>
      <c r="R221" s="41" t="s">
        <v>1159</v>
      </c>
      <c r="S221" s="41" t="s">
        <v>262</v>
      </c>
      <c r="T221" s="13" t="s">
        <v>70</v>
      </c>
      <c r="U221" s="41"/>
      <c r="V221" s="41" t="s">
        <v>204</v>
      </c>
      <c r="W221" s="41" t="s">
        <v>1160</v>
      </c>
      <c r="X221" s="41" t="s">
        <v>262</v>
      </c>
      <c r="Y221" s="41" t="s">
        <v>70</v>
      </c>
      <c r="Z221" s="13" t="s">
        <v>1161</v>
      </c>
      <c r="AA221" s="13"/>
      <c r="AB221" s="13"/>
      <c r="AC221" s="13"/>
      <c r="AD221" s="40">
        <v>156</v>
      </c>
      <c r="AE221" s="40"/>
      <c r="AF221" s="40"/>
      <c r="AG221" s="40"/>
      <c r="AH221" s="40"/>
      <c r="AI221" s="40"/>
      <c r="AJ221" s="40"/>
      <c r="AK221" s="40"/>
      <c r="AL221" s="40"/>
      <c r="AM221" s="47"/>
      <c r="AN221" s="41" t="s">
        <v>1162</v>
      </c>
      <c r="AO221" s="43">
        <v>182</v>
      </c>
      <c r="AP221" s="13">
        <v>15</v>
      </c>
      <c r="AQ221" s="40"/>
      <c r="AR221" s="40"/>
      <c r="AS221" s="6">
        <v>1401</v>
      </c>
      <c r="AT221" s="6">
        <v>6</v>
      </c>
      <c r="AU221" s="6">
        <v>1397</v>
      </c>
      <c r="AV221" s="6">
        <v>10</v>
      </c>
      <c r="AW221" s="12">
        <f t="shared" si="7"/>
        <v>44</v>
      </c>
      <c r="AX221" s="12" t="str">
        <f t="shared" si="8"/>
        <v/>
      </c>
      <c r="AY221" s="45"/>
    </row>
    <row r="222" spans="1:51" ht="20.100000000000001" customHeight="1" x14ac:dyDescent="0.2">
      <c r="A222" s="13">
        <v>215</v>
      </c>
      <c r="B222" s="40" t="s">
        <v>1152</v>
      </c>
      <c r="C222" s="40" t="s">
        <v>1056</v>
      </c>
      <c r="D222" s="41" t="s">
        <v>1163</v>
      </c>
      <c r="E222" s="41" t="s">
        <v>20</v>
      </c>
      <c r="F222" s="41" t="s">
        <v>186</v>
      </c>
      <c r="G222" s="41"/>
      <c r="H222" s="13" t="s">
        <v>83</v>
      </c>
      <c r="I222" s="13"/>
      <c r="J222" s="13"/>
      <c r="K222" s="13"/>
      <c r="L222" s="13"/>
      <c r="M222" s="13"/>
      <c r="N222" s="13"/>
      <c r="O222" s="40" t="s">
        <v>92</v>
      </c>
      <c r="P222" s="41"/>
      <c r="Q222" s="41" t="s">
        <v>116</v>
      </c>
      <c r="R222" s="41" t="s">
        <v>1164</v>
      </c>
      <c r="S222" s="41" t="s">
        <v>262</v>
      </c>
      <c r="T222" s="13" t="s">
        <v>70</v>
      </c>
      <c r="U222" s="41"/>
      <c r="V222" s="41" t="s">
        <v>1165</v>
      </c>
      <c r="W222" s="41" t="s">
        <v>1166</v>
      </c>
      <c r="X222" s="41" t="s">
        <v>142</v>
      </c>
      <c r="Y222" s="41" t="s">
        <v>70</v>
      </c>
      <c r="Z222" s="13" t="s">
        <v>1167</v>
      </c>
      <c r="AA222" s="13"/>
      <c r="AB222" s="13"/>
      <c r="AC222" s="13"/>
      <c r="AD222" s="40">
        <v>99</v>
      </c>
      <c r="AE222" s="40"/>
      <c r="AF222" s="40"/>
      <c r="AG222" s="40"/>
      <c r="AH222" s="40"/>
      <c r="AI222" s="40"/>
      <c r="AJ222" s="40"/>
      <c r="AK222" s="40"/>
      <c r="AL222" s="40"/>
      <c r="AM222" s="47"/>
      <c r="AN222" s="41" t="s">
        <v>1168</v>
      </c>
      <c r="AO222" s="41"/>
      <c r="AP222" s="13"/>
      <c r="AQ222" s="40"/>
      <c r="AR222" s="40"/>
      <c r="AS222" s="6">
        <v>1401</v>
      </c>
      <c r="AT222" s="6">
        <v>6</v>
      </c>
      <c r="AU222" s="6">
        <v>1395</v>
      </c>
      <c r="AV222" s="6">
        <v>7</v>
      </c>
      <c r="AW222" s="12">
        <f t="shared" si="7"/>
        <v>71</v>
      </c>
      <c r="AX222" s="12" t="str">
        <f t="shared" si="8"/>
        <v/>
      </c>
      <c r="AY222" s="45"/>
    </row>
    <row r="223" spans="1:51" ht="20.100000000000001" customHeight="1" x14ac:dyDescent="0.2">
      <c r="A223" s="13">
        <v>216</v>
      </c>
      <c r="B223" s="40" t="s">
        <v>1169</v>
      </c>
      <c r="C223" s="40" t="s">
        <v>1056</v>
      </c>
      <c r="D223" s="41" t="s">
        <v>1170</v>
      </c>
      <c r="E223" s="41" t="s">
        <v>66</v>
      </c>
      <c r="F223" s="41" t="s">
        <v>481</v>
      </c>
      <c r="G223" s="41"/>
      <c r="H223" s="13" t="s">
        <v>83</v>
      </c>
      <c r="I223" s="13"/>
      <c r="J223" s="13"/>
      <c r="K223" s="13"/>
      <c r="L223" s="13"/>
      <c r="M223" s="13"/>
      <c r="N223" s="13"/>
      <c r="O223" s="40" t="s">
        <v>93</v>
      </c>
      <c r="P223" s="41"/>
      <c r="Q223" s="41"/>
      <c r="R223" s="41"/>
      <c r="S223" s="41"/>
      <c r="T223" s="13"/>
      <c r="U223" s="41"/>
      <c r="V223" s="41"/>
      <c r="W223" s="41"/>
      <c r="X223" s="41"/>
      <c r="Y223" s="41"/>
      <c r="Z223" s="13"/>
      <c r="AA223" s="13"/>
      <c r="AB223" s="13"/>
      <c r="AC223" s="13"/>
      <c r="AD223" s="40"/>
      <c r="AE223" s="40"/>
      <c r="AF223" s="40"/>
      <c r="AG223" s="40"/>
      <c r="AH223" s="40"/>
      <c r="AI223" s="40"/>
      <c r="AJ223" s="40"/>
      <c r="AK223" s="40"/>
      <c r="AL223" s="40"/>
      <c r="AM223" s="15"/>
      <c r="AN223" s="41"/>
      <c r="AO223" s="41"/>
      <c r="AP223" s="13"/>
      <c r="AQ223" s="40"/>
      <c r="AR223" s="40"/>
      <c r="AS223" s="6"/>
      <c r="AT223" s="6"/>
      <c r="AU223" s="6"/>
      <c r="AV223" s="6"/>
      <c r="AW223" s="12" t="str">
        <f t="shared" si="7"/>
        <v/>
      </c>
      <c r="AX223" s="12" t="str">
        <f t="shared" si="8"/>
        <v/>
      </c>
      <c r="AY223" s="45"/>
    </row>
    <row r="224" spans="1:51" ht="20.100000000000001" customHeight="1" x14ac:dyDescent="0.2">
      <c r="A224" s="13">
        <v>217</v>
      </c>
      <c r="B224" s="40" t="s">
        <v>1152</v>
      </c>
      <c r="C224" s="40" t="s">
        <v>1056</v>
      </c>
      <c r="D224" s="41" t="s">
        <v>1170</v>
      </c>
      <c r="E224" s="41" t="s">
        <v>66</v>
      </c>
      <c r="F224" s="41"/>
      <c r="G224" s="41"/>
      <c r="H224" s="13" t="s">
        <v>7</v>
      </c>
      <c r="I224" s="13"/>
      <c r="J224" s="13"/>
      <c r="K224" s="13"/>
      <c r="L224" s="13"/>
      <c r="M224" s="13"/>
      <c r="N224" s="13"/>
      <c r="O224" s="40" t="s">
        <v>93</v>
      </c>
      <c r="P224" s="41"/>
      <c r="Q224" s="41"/>
      <c r="R224" s="41"/>
      <c r="S224" s="41"/>
      <c r="T224" s="13"/>
      <c r="U224" s="41"/>
      <c r="V224" s="41"/>
      <c r="W224" s="41"/>
      <c r="X224" s="41"/>
      <c r="Y224" s="41"/>
      <c r="Z224" s="13"/>
      <c r="AA224" s="13"/>
      <c r="AB224" s="13"/>
      <c r="AC224" s="13"/>
      <c r="AD224" s="40"/>
      <c r="AE224" s="40"/>
      <c r="AF224" s="40"/>
      <c r="AG224" s="40"/>
      <c r="AH224" s="40"/>
      <c r="AI224" s="40"/>
      <c r="AJ224" s="40"/>
      <c r="AK224" s="40"/>
      <c r="AL224" s="40"/>
      <c r="AM224" s="15"/>
      <c r="AN224" s="41"/>
      <c r="AO224" s="41"/>
      <c r="AP224" s="13"/>
      <c r="AQ224" s="40"/>
      <c r="AR224" s="40"/>
      <c r="AS224" s="6"/>
      <c r="AT224" s="6"/>
      <c r="AU224" s="6"/>
      <c r="AV224" s="6"/>
      <c r="AW224" s="12" t="str">
        <f t="shared" si="7"/>
        <v/>
      </c>
      <c r="AX224" s="12" t="str">
        <f t="shared" si="8"/>
        <v/>
      </c>
      <c r="AY224" s="45"/>
    </row>
    <row r="225" spans="1:51" ht="20.100000000000001" customHeight="1" x14ac:dyDescent="0.2">
      <c r="A225" s="13">
        <v>218</v>
      </c>
      <c r="B225" s="40" t="s">
        <v>1169</v>
      </c>
      <c r="C225" s="40" t="s">
        <v>1056</v>
      </c>
      <c r="D225" s="41" t="s">
        <v>1126</v>
      </c>
      <c r="E225" s="41" t="s">
        <v>10</v>
      </c>
      <c r="F225" s="41"/>
      <c r="G225" s="41"/>
      <c r="H225" s="13" t="s">
        <v>7</v>
      </c>
      <c r="I225" s="13"/>
      <c r="J225" s="13"/>
      <c r="K225" s="13"/>
      <c r="L225" s="13"/>
      <c r="M225" s="13"/>
      <c r="N225" s="13"/>
      <c r="O225" s="40" t="s">
        <v>67</v>
      </c>
      <c r="P225" s="35" t="s">
        <v>68</v>
      </c>
      <c r="Q225" s="35" t="s">
        <v>140</v>
      </c>
      <c r="R225" s="41" t="s">
        <v>1171</v>
      </c>
      <c r="S225" s="41" t="s">
        <v>106</v>
      </c>
      <c r="T225" s="13" t="s">
        <v>107</v>
      </c>
      <c r="U225" s="35" t="s">
        <v>263</v>
      </c>
      <c r="V225" s="35" t="s">
        <v>338</v>
      </c>
      <c r="W225" s="41" t="s">
        <v>1172</v>
      </c>
      <c r="X225" s="41" t="s">
        <v>69</v>
      </c>
      <c r="Y225" s="41" t="s">
        <v>70</v>
      </c>
      <c r="Z225" s="13">
        <v>0</v>
      </c>
      <c r="AA225" s="13"/>
      <c r="AB225" s="13"/>
      <c r="AC225" s="13"/>
      <c r="AD225" s="40">
        <v>174</v>
      </c>
      <c r="AE225" s="40"/>
      <c r="AF225" s="40"/>
      <c r="AG225" s="40"/>
      <c r="AH225" s="40"/>
      <c r="AI225" s="40"/>
      <c r="AJ225" s="40"/>
      <c r="AK225" s="40"/>
      <c r="AL225" s="40"/>
      <c r="AM225" s="33" t="s">
        <v>158</v>
      </c>
      <c r="AN225" s="41" t="s">
        <v>1140</v>
      </c>
      <c r="AO225" s="41"/>
      <c r="AP225" s="13"/>
      <c r="AQ225" s="40"/>
      <c r="AR225" s="40"/>
      <c r="AS225" s="6"/>
      <c r="AT225" s="6"/>
      <c r="AU225" s="6"/>
      <c r="AV225" s="6"/>
      <c r="AW225" s="12" t="str">
        <f t="shared" si="7"/>
        <v/>
      </c>
      <c r="AX225" s="12" t="str">
        <f t="shared" si="8"/>
        <v/>
      </c>
      <c r="AY225" s="45"/>
    </row>
    <row r="226" spans="1:51" ht="20.100000000000001" customHeight="1" x14ac:dyDescent="0.2">
      <c r="A226" s="13">
        <v>219</v>
      </c>
      <c r="B226" s="40" t="s">
        <v>1169</v>
      </c>
      <c r="C226" s="40" t="s">
        <v>1056</v>
      </c>
      <c r="D226" s="41" t="s">
        <v>1130</v>
      </c>
      <c r="E226" s="41" t="s">
        <v>10</v>
      </c>
      <c r="F226" s="41"/>
      <c r="G226" s="41"/>
      <c r="H226" s="13" t="s">
        <v>7</v>
      </c>
      <c r="I226" s="13"/>
      <c r="J226" s="13"/>
      <c r="K226" s="13"/>
      <c r="L226" s="13"/>
      <c r="M226" s="13"/>
      <c r="N226" s="13"/>
      <c r="O226" s="40" t="s">
        <v>92</v>
      </c>
      <c r="P226" s="41" t="s">
        <v>104</v>
      </c>
      <c r="Q226" s="41" t="s">
        <v>104</v>
      </c>
      <c r="R226" s="41" t="s">
        <v>1173</v>
      </c>
      <c r="S226" s="41" t="s">
        <v>142</v>
      </c>
      <c r="T226" s="13" t="s">
        <v>70</v>
      </c>
      <c r="U226" s="35" t="s">
        <v>361</v>
      </c>
      <c r="V226" s="35" t="s">
        <v>190</v>
      </c>
      <c r="W226" s="41" t="s">
        <v>1174</v>
      </c>
      <c r="X226" s="41" t="s">
        <v>106</v>
      </c>
      <c r="Y226" s="41" t="s">
        <v>107</v>
      </c>
      <c r="Z226" s="13">
        <v>0</v>
      </c>
      <c r="AA226" s="13"/>
      <c r="AB226" s="13"/>
      <c r="AC226" s="13"/>
      <c r="AD226" s="40"/>
      <c r="AE226" s="40"/>
      <c r="AF226" s="40"/>
      <c r="AG226" s="40"/>
      <c r="AH226" s="40"/>
      <c r="AI226" s="40"/>
      <c r="AJ226" s="40"/>
      <c r="AK226" s="40"/>
      <c r="AL226" s="40"/>
      <c r="AM226" s="33" t="s">
        <v>158</v>
      </c>
      <c r="AN226" s="41" t="s">
        <v>1152</v>
      </c>
      <c r="AO226" s="41"/>
      <c r="AP226" s="13"/>
      <c r="AQ226" s="40"/>
      <c r="AR226" s="40"/>
      <c r="AS226" s="6"/>
      <c r="AT226" s="6"/>
      <c r="AU226" s="6"/>
      <c r="AV226" s="6"/>
      <c r="AW226" s="12" t="str">
        <f t="shared" si="7"/>
        <v/>
      </c>
      <c r="AX226" s="12" t="str">
        <f t="shared" si="8"/>
        <v/>
      </c>
      <c r="AY226" s="45"/>
    </row>
    <row r="227" spans="1:51" ht="20.100000000000001" customHeight="1" x14ac:dyDescent="0.2">
      <c r="A227" s="13">
        <v>220</v>
      </c>
      <c r="B227" s="40" t="s">
        <v>1175</v>
      </c>
      <c r="C227" s="40" t="s">
        <v>1056</v>
      </c>
      <c r="D227" s="41" t="s">
        <v>1176</v>
      </c>
      <c r="E227" s="41" t="s">
        <v>243</v>
      </c>
      <c r="F227" s="41" t="s">
        <v>174</v>
      </c>
      <c r="G227" s="41"/>
      <c r="H227" s="13" t="s">
        <v>83</v>
      </c>
      <c r="I227" s="13"/>
      <c r="J227" s="13"/>
      <c r="K227" s="13"/>
      <c r="L227" s="13"/>
      <c r="M227" s="13"/>
      <c r="N227" s="13"/>
      <c r="O227" s="40" t="s">
        <v>92</v>
      </c>
      <c r="P227" s="41"/>
      <c r="Q227" s="41" t="s">
        <v>140</v>
      </c>
      <c r="R227" s="41" t="s">
        <v>1177</v>
      </c>
      <c r="S227" s="41" t="s">
        <v>69</v>
      </c>
      <c r="T227" s="13" t="s">
        <v>70</v>
      </c>
      <c r="U227" s="41"/>
      <c r="V227" s="41" t="s">
        <v>338</v>
      </c>
      <c r="W227" s="41" t="s">
        <v>1178</v>
      </c>
      <c r="X227" s="41" t="s">
        <v>119</v>
      </c>
      <c r="Y227" s="41" t="s">
        <v>107</v>
      </c>
      <c r="Z227" s="13" t="s">
        <v>1179</v>
      </c>
      <c r="AA227" s="13"/>
      <c r="AB227" s="13"/>
      <c r="AC227" s="13"/>
      <c r="AD227" s="40">
        <v>150</v>
      </c>
      <c r="AE227" s="40"/>
      <c r="AF227" s="40"/>
      <c r="AG227" s="40"/>
      <c r="AH227" s="40"/>
      <c r="AI227" s="40"/>
      <c r="AJ227" s="40"/>
      <c r="AK227" s="40"/>
      <c r="AL227" s="40"/>
      <c r="AM227" s="47"/>
      <c r="AN227" s="41" t="s">
        <v>1180</v>
      </c>
      <c r="AO227" s="43">
        <v>183</v>
      </c>
      <c r="AP227" s="13">
        <v>13</v>
      </c>
      <c r="AQ227" s="40"/>
      <c r="AR227" s="40"/>
      <c r="AS227" s="6">
        <v>1401</v>
      </c>
      <c r="AT227" s="6">
        <v>6</v>
      </c>
      <c r="AU227" s="6">
        <v>1396</v>
      </c>
      <c r="AV227" s="6">
        <v>4</v>
      </c>
      <c r="AW227" s="12">
        <f t="shared" si="7"/>
        <v>62</v>
      </c>
      <c r="AX227" s="12" t="str">
        <f t="shared" si="8"/>
        <v/>
      </c>
      <c r="AY227" s="45"/>
    </row>
    <row r="228" spans="1:51" ht="20.100000000000001" customHeight="1" x14ac:dyDescent="0.2">
      <c r="A228" s="13">
        <v>221</v>
      </c>
      <c r="B228" s="40" t="s">
        <v>1175</v>
      </c>
      <c r="C228" s="40" t="s">
        <v>1056</v>
      </c>
      <c r="D228" s="41" t="s">
        <v>790</v>
      </c>
      <c r="E228" s="41" t="s">
        <v>6</v>
      </c>
      <c r="F228" s="41" t="s">
        <v>481</v>
      </c>
      <c r="G228" s="41"/>
      <c r="H228" s="13" t="s">
        <v>83</v>
      </c>
      <c r="I228" s="13"/>
      <c r="J228" s="13"/>
      <c r="K228" s="13"/>
      <c r="L228" s="13"/>
      <c r="M228" s="13"/>
      <c r="N228" s="13"/>
      <c r="O228" s="40" t="s">
        <v>67</v>
      </c>
      <c r="P228" s="41"/>
      <c r="Q228" s="41" t="s">
        <v>68</v>
      </c>
      <c r="R228" s="41" t="s">
        <v>791</v>
      </c>
      <c r="S228" s="41" t="s">
        <v>142</v>
      </c>
      <c r="T228" s="13" t="s">
        <v>70</v>
      </c>
      <c r="U228" s="41"/>
      <c r="V228" s="41" t="s">
        <v>263</v>
      </c>
      <c r="W228" s="41" t="s">
        <v>792</v>
      </c>
      <c r="X228" s="41" t="s">
        <v>142</v>
      </c>
      <c r="Y228" s="41" t="s">
        <v>70</v>
      </c>
      <c r="Z228" s="13" t="s">
        <v>793</v>
      </c>
      <c r="AA228" s="13"/>
      <c r="AB228" s="13"/>
      <c r="AC228" s="13"/>
      <c r="AD228" s="40">
        <v>222</v>
      </c>
      <c r="AE228" s="40"/>
      <c r="AF228" s="40"/>
      <c r="AG228" s="40"/>
      <c r="AH228" s="40"/>
      <c r="AI228" s="40"/>
      <c r="AJ228" s="40"/>
      <c r="AK228" s="40"/>
      <c r="AL228" s="40"/>
      <c r="AM228" s="47"/>
      <c r="AN228" s="41" t="s">
        <v>793</v>
      </c>
      <c r="AO228" s="41"/>
      <c r="AP228" s="13"/>
      <c r="AQ228" s="40"/>
      <c r="AR228" s="40"/>
      <c r="AS228" s="6">
        <v>1401</v>
      </c>
      <c r="AT228" s="6">
        <v>6</v>
      </c>
      <c r="AU228" s="6">
        <v>1396</v>
      </c>
      <c r="AV228" s="6">
        <v>4</v>
      </c>
      <c r="AW228" s="12">
        <f t="shared" si="7"/>
        <v>62</v>
      </c>
      <c r="AX228" s="12" t="str">
        <f t="shared" si="8"/>
        <v/>
      </c>
      <c r="AY228" s="45"/>
    </row>
    <row r="229" spans="1:51" ht="20.100000000000001" customHeight="1" x14ac:dyDescent="0.2">
      <c r="A229" s="13">
        <v>222</v>
      </c>
      <c r="B229" s="40" t="s">
        <v>1181</v>
      </c>
      <c r="C229" s="40" t="s">
        <v>1056</v>
      </c>
      <c r="D229" s="41" t="s">
        <v>1182</v>
      </c>
      <c r="E229" s="41" t="s">
        <v>20</v>
      </c>
      <c r="F229" s="41" t="s">
        <v>185</v>
      </c>
      <c r="G229" s="41"/>
      <c r="H229" s="13" t="s">
        <v>83</v>
      </c>
      <c r="I229" s="13"/>
      <c r="J229" s="13"/>
      <c r="K229" s="13"/>
      <c r="L229" s="13"/>
      <c r="M229" s="13"/>
      <c r="N229" s="13"/>
      <c r="O229" s="40" t="s">
        <v>92</v>
      </c>
      <c r="P229" s="41"/>
      <c r="Q229" s="41" t="s">
        <v>68</v>
      </c>
      <c r="R229" s="41" t="s">
        <v>1183</v>
      </c>
      <c r="S229" s="41" t="s">
        <v>369</v>
      </c>
      <c r="T229" s="13" t="s">
        <v>369</v>
      </c>
      <c r="U229" s="41"/>
      <c r="V229" s="41" t="s">
        <v>332</v>
      </c>
      <c r="W229" s="41" t="s">
        <v>1184</v>
      </c>
      <c r="X229" s="41" t="s">
        <v>574</v>
      </c>
      <c r="Y229" s="41" t="s">
        <v>107</v>
      </c>
      <c r="Z229" s="13" t="s">
        <v>1185</v>
      </c>
      <c r="AA229" s="13"/>
      <c r="AB229" s="13"/>
      <c r="AC229" s="13"/>
      <c r="AD229" s="40">
        <v>162</v>
      </c>
      <c r="AE229" s="40"/>
      <c r="AF229" s="40"/>
      <c r="AG229" s="40"/>
      <c r="AH229" s="40"/>
      <c r="AI229" s="40"/>
      <c r="AJ229" s="40"/>
      <c r="AK229" s="40"/>
      <c r="AL229" s="40"/>
      <c r="AM229" s="47"/>
      <c r="AN229" s="41" t="s">
        <v>1186</v>
      </c>
      <c r="AO229" s="43">
        <v>171</v>
      </c>
      <c r="AP229" s="13">
        <v>22</v>
      </c>
      <c r="AQ229" s="40"/>
      <c r="AR229" s="40"/>
      <c r="AS229" s="6">
        <v>1401</v>
      </c>
      <c r="AT229" s="6">
        <v>6</v>
      </c>
      <c r="AU229" s="6">
        <v>1397</v>
      </c>
      <c r="AV229" s="6">
        <v>9</v>
      </c>
      <c r="AW229" s="12">
        <f t="shared" si="7"/>
        <v>45</v>
      </c>
      <c r="AX229" s="12" t="str">
        <f t="shared" si="8"/>
        <v/>
      </c>
      <c r="AY229" s="45"/>
    </row>
    <row r="230" spans="1:51" ht="20.100000000000001" customHeight="1" x14ac:dyDescent="0.2">
      <c r="A230" s="13">
        <v>223</v>
      </c>
      <c r="B230" s="40" t="s">
        <v>1181</v>
      </c>
      <c r="C230" s="40" t="s">
        <v>1056</v>
      </c>
      <c r="D230" s="41" t="s">
        <v>1187</v>
      </c>
      <c r="E230" s="41" t="s">
        <v>243</v>
      </c>
      <c r="F230" s="41" t="s">
        <v>481</v>
      </c>
      <c r="G230" s="41"/>
      <c r="H230" s="13" t="s">
        <v>83</v>
      </c>
      <c r="I230" s="13"/>
      <c r="J230" s="13"/>
      <c r="K230" s="13"/>
      <c r="L230" s="13"/>
      <c r="M230" s="13"/>
      <c r="N230" s="13"/>
      <c r="O230" s="40" t="s">
        <v>67</v>
      </c>
      <c r="P230" s="41"/>
      <c r="Q230" s="41" t="s">
        <v>104</v>
      </c>
      <c r="R230" s="41" t="s">
        <v>1188</v>
      </c>
      <c r="S230" s="41" t="s">
        <v>69</v>
      </c>
      <c r="T230" s="13" t="s">
        <v>70</v>
      </c>
      <c r="U230" s="41"/>
      <c r="V230" s="41" t="s">
        <v>108</v>
      </c>
      <c r="W230" s="41" t="s">
        <v>1189</v>
      </c>
      <c r="X230" s="41" t="s">
        <v>69</v>
      </c>
      <c r="Y230" s="41" t="s">
        <v>70</v>
      </c>
      <c r="Z230" s="13" t="s">
        <v>1190</v>
      </c>
      <c r="AA230" s="13"/>
      <c r="AB230" s="13"/>
      <c r="AC230" s="13"/>
      <c r="AD230" s="40">
        <v>234</v>
      </c>
      <c r="AE230" s="40"/>
      <c r="AF230" s="40"/>
      <c r="AG230" s="40"/>
      <c r="AH230" s="40"/>
      <c r="AI230" s="40"/>
      <c r="AJ230" s="40"/>
      <c r="AK230" s="40"/>
      <c r="AL230" s="40"/>
      <c r="AM230" s="47"/>
      <c r="AN230" s="41" t="s">
        <v>1191</v>
      </c>
      <c r="AO230" s="43">
        <v>123</v>
      </c>
      <c r="AP230" s="13">
        <v>30</v>
      </c>
      <c r="AQ230" s="40"/>
      <c r="AR230" s="40"/>
      <c r="AS230" s="6">
        <v>1401</v>
      </c>
      <c r="AT230" s="6">
        <v>6</v>
      </c>
      <c r="AU230" s="6">
        <v>1398</v>
      </c>
      <c r="AV230" s="6">
        <v>7</v>
      </c>
      <c r="AW230" s="12">
        <f t="shared" si="7"/>
        <v>35</v>
      </c>
      <c r="AX230" s="12" t="str">
        <f t="shared" si="8"/>
        <v/>
      </c>
      <c r="AY230" s="45"/>
    </row>
    <row r="231" spans="1:51" ht="20.100000000000001" customHeight="1" x14ac:dyDescent="0.2">
      <c r="A231" s="13">
        <v>224</v>
      </c>
      <c r="B231" s="40" t="s">
        <v>1181</v>
      </c>
      <c r="C231" s="40" t="s">
        <v>1056</v>
      </c>
      <c r="D231" s="41" t="s">
        <v>1097</v>
      </c>
      <c r="E231" s="41" t="s">
        <v>10</v>
      </c>
      <c r="F231" s="41"/>
      <c r="G231" s="41"/>
      <c r="H231" s="13" t="s">
        <v>7</v>
      </c>
      <c r="I231" s="13"/>
      <c r="J231" s="13"/>
      <c r="K231" s="13"/>
      <c r="L231" s="13"/>
      <c r="M231" s="13"/>
      <c r="N231" s="13"/>
      <c r="O231" s="40" t="s">
        <v>93</v>
      </c>
      <c r="P231" s="41"/>
      <c r="Q231" s="41" t="s">
        <v>68</v>
      </c>
      <c r="R231" s="41" t="s">
        <v>682</v>
      </c>
      <c r="S231" s="41" t="s">
        <v>106</v>
      </c>
      <c r="T231" s="13" t="s">
        <v>107</v>
      </c>
      <c r="U231" s="41"/>
      <c r="V231" s="41" t="s">
        <v>332</v>
      </c>
      <c r="W231" s="41" t="s">
        <v>1192</v>
      </c>
      <c r="X231" s="41"/>
      <c r="Y231" s="41" t="s">
        <v>70</v>
      </c>
      <c r="Z231" s="13">
        <v>0</v>
      </c>
      <c r="AA231" s="13"/>
      <c r="AB231" s="13"/>
      <c r="AC231" s="13"/>
      <c r="AD231" s="40">
        <v>174</v>
      </c>
      <c r="AE231" s="40"/>
      <c r="AF231" s="40"/>
      <c r="AG231" s="40"/>
      <c r="AH231" s="40"/>
      <c r="AI231" s="40"/>
      <c r="AJ231" s="40"/>
      <c r="AK231" s="40"/>
      <c r="AL231" s="40"/>
      <c r="AM231" s="15"/>
      <c r="AN231" s="41" t="s">
        <v>1175</v>
      </c>
      <c r="AO231" s="41"/>
      <c r="AP231" s="13"/>
      <c r="AQ231" s="40"/>
      <c r="AR231" s="40"/>
      <c r="AS231" s="6"/>
      <c r="AT231" s="6"/>
      <c r="AU231" s="6"/>
      <c r="AV231" s="6"/>
      <c r="AW231" s="12" t="str">
        <f t="shared" si="7"/>
        <v/>
      </c>
      <c r="AX231" s="12" t="str">
        <f t="shared" si="8"/>
        <v/>
      </c>
      <c r="AY231" s="45"/>
    </row>
    <row r="232" spans="1:51" ht="20.100000000000001" customHeight="1" x14ac:dyDescent="0.2">
      <c r="A232" s="13">
        <v>225</v>
      </c>
      <c r="B232" s="40" t="s">
        <v>1193</v>
      </c>
      <c r="C232" s="40" t="s">
        <v>1056</v>
      </c>
      <c r="D232" s="41" t="s">
        <v>1194</v>
      </c>
      <c r="E232" s="41" t="s">
        <v>6</v>
      </c>
      <c r="F232" s="41" t="s">
        <v>481</v>
      </c>
      <c r="G232" s="41"/>
      <c r="H232" s="13" t="s">
        <v>83</v>
      </c>
      <c r="I232" s="13"/>
      <c r="J232" s="13"/>
      <c r="K232" s="13"/>
      <c r="L232" s="13"/>
      <c r="M232" s="13"/>
      <c r="N232" s="13"/>
      <c r="O232" s="40" t="s">
        <v>67</v>
      </c>
      <c r="P232" s="41"/>
      <c r="Q232" s="41" t="s">
        <v>155</v>
      </c>
      <c r="R232" s="41" t="s">
        <v>1195</v>
      </c>
      <c r="S232" s="41" t="s">
        <v>574</v>
      </c>
      <c r="T232" s="13" t="s">
        <v>107</v>
      </c>
      <c r="U232" s="41"/>
      <c r="V232" s="41" t="s">
        <v>156</v>
      </c>
      <c r="W232" s="41" t="s">
        <v>1196</v>
      </c>
      <c r="X232" s="41" t="s">
        <v>142</v>
      </c>
      <c r="Y232" s="41" t="s">
        <v>70</v>
      </c>
      <c r="Z232" s="13" t="s">
        <v>1197</v>
      </c>
      <c r="AA232" s="13"/>
      <c r="AB232" s="13"/>
      <c r="AC232" s="13"/>
      <c r="AD232" s="40">
        <v>192</v>
      </c>
      <c r="AE232" s="40"/>
      <c r="AF232" s="40"/>
      <c r="AG232" s="40"/>
      <c r="AH232" s="40"/>
      <c r="AI232" s="40"/>
      <c r="AJ232" s="40"/>
      <c r="AK232" s="40"/>
      <c r="AL232" s="40"/>
      <c r="AM232" s="47"/>
      <c r="AN232" s="41" t="s">
        <v>1198</v>
      </c>
      <c r="AO232" s="43">
        <v>219</v>
      </c>
      <c r="AP232" s="13">
        <v>20</v>
      </c>
      <c r="AQ232" s="40"/>
      <c r="AR232" s="40"/>
      <c r="AS232" s="6">
        <v>1401</v>
      </c>
      <c r="AT232" s="6">
        <v>6</v>
      </c>
      <c r="AU232" s="6">
        <v>1398</v>
      </c>
      <c r="AV232" s="6">
        <v>11</v>
      </c>
      <c r="AW232" s="12">
        <f t="shared" si="7"/>
        <v>31</v>
      </c>
      <c r="AX232" s="12" t="str">
        <f t="shared" si="8"/>
        <v/>
      </c>
      <c r="AY232" s="45"/>
    </row>
    <row r="233" spans="1:51" ht="20.100000000000001" customHeight="1" x14ac:dyDescent="0.2">
      <c r="A233" s="13">
        <v>226</v>
      </c>
      <c r="B233" s="40" t="s">
        <v>1199</v>
      </c>
      <c r="C233" s="40" t="s">
        <v>1056</v>
      </c>
      <c r="D233" s="41" t="s">
        <v>1187</v>
      </c>
      <c r="E233" s="41" t="s">
        <v>243</v>
      </c>
      <c r="F233" s="41"/>
      <c r="G233" s="41"/>
      <c r="H233" s="13" t="s">
        <v>7</v>
      </c>
      <c r="I233" s="13"/>
      <c r="J233" s="13"/>
      <c r="K233" s="13"/>
      <c r="L233" s="13"/>
      <c r="M233" s="13"/>
      <c r="N233" s="13"/>
      <c r="O233" s="40" t="s">
        <v>93</v>
      </c>
      <c r="P233" s="35" t="s">
        <v>104</v>
      </c>
      <c r="Q233" s="35" t="s">
        <v>155</v>
      </c>
      <c r="R233" s="41" t="s">
        <v>839</v>
      </c>
      <c r="S233" s="41" t="s">
        <v>142</v>
      </c>
      <c r="T233" s="13" t="s">
        <v>70</v>
      </c>
      <c r="U233" s="35" t="s">
        <v>108</v>
      </c>
      <c r="V233" s="35" t="s">
        <v>324</v>
      </c>
      <c r="W233" s="41" t="s">
        <v>840</v>
      </c>
      <c r="X233" s="41" t="s">
        <v>142</v>
      </c>
      <c r="Y233" s="41" t="s">
        <v>70</v>
      </c>
      <c r="Z233" s="13">
        <v>0</v>
      </c>
      <c r="AA233" s="13"/>
      <c r="AB233" s="13"/>
      <c r="AC233" s="13"/>
      <c r="AD233" s="40">
        <v>234</v>
      </c>
      <c r="AE233" s="40"/>
      <c r="AF233" s="40"/>
      <c r="AG233" s="40"/>
      <c r="AH233" s="40"/>
      <c r="AI233" s="40"/>
      <c r="AJ233" s="40"/>
      <c r="AK233" s="40"/>
      <c r="AL233" s="40"/>
      <c r="AM233" s="33" t="s">
        <v>158</v>
      </c>
      <c r="AN233" s="41" t="s">
        <v>1140</v>
      </c>
      <c r="AO233" s="41"/>
      <c r="AP233" s="13"/>
      <c r="AQ233" s="40"/>
      <c r="AR233" s="40"/>
      <c r="AS233" s="6"/>
      <c r="AT233" s="6"/>
      <c r="AU233" s="6"/>
      <c r="AV233" s="6"/>
      <c r="AW233" s="12" t="str">
        <f t="shared" si="7"/>
        <v/>
      </c>
      <c r="AX233" s="12" t="str">
        <f t="shared" si="8"/>
        <v/>
      </c>
      <c r="AY233" s="45"/>
    </row>
    <row r="234" spans="1:51" ht="20.100000000000001" customHeight="1" x14ac:dyDescent="0.2">
      <c r="A234" s="13">
        <v>227</v>
      </c>
      <c r="B234" s="40" t="s">
        <v>1199</v>
      </c>
      <c r="C234" s="40" t="s">
        <v>1056</v>
      </c>
      <c r="D234" s="41" t="s">
        <v>503</v>
      </c>
      <c r="E234" s="41" t="s">
        <v>9</v>
      </c>
      <c r="F234" s="41"/>
      <c r="G234" s="41"/>
      <c r="H234" s="13" t="s">
        <v>7</v>
      </c>
      <c r="I234" s="13"/>
      <c r="J234" s="13"/>
      <c r="K234" s="13"/>
      <c r="L234" s="13"/>
      <c r="M234" s="13"/>
      <c r="N234" s="13"/>
      <c r="O234" s="40" t="s">
        <v>92</v>
      </c>
      <c r="P234" s="35" t="s">
        <v>218</v>
      </c>
      <c r="Q234" s="35" t="s">
        <v>155</v>
      </c>
      <c r="R234" s="41" t="s">
        <v>1200</v>
      </c>
      <c r="S234" s="41" t="s">
        <v>106</v>
      </c>
      <c r="T234" s="13" t="s">
        <v>107</v>
      </c>
      <c r="U234" s="35" t="s">
        <v>453</v>
      </c>
      <c r="V234" s="35" t="s">
        <v>156</v>
      </c>
      <c r="W234" s="41" t="s">
        <v>1201</v>
      </c>
      <c r="X234" s="41" t="s">
        <v>69</v>
      </c>
      <c r="Y234" s="41" t="s">
        <v>70</v>
      </c>
      <c r="Z234" s="13">
        <v>0</v>
      </c>
      <c r="AA234" s="13"/>
      <c r="AB234" s="13"/>
      <c r="AC234" s="13"/>
      <c r="AD234" s="40">
        <v>222</v>
      </c>
      <c r="AE234" s="40"/>
      <c r="AF234" s="40"/>
      <c r="AG234" s="40"/>
      <c r="AH234" s="40"/>
      <c r="AI234" s="40"/>
      <c r="AJ234" s="40"/>
      <c r="AK234" s="40"/>
      <c r="AL234" s="40"/>
      <c r="AM234" s="33" t="s">
        <v>158</v>
      </c>
      <c r="AN234" s="41" t="s">
        <v>1193</v>
      </c>
      <c r="AO234" s="41"/>
      <c r="AP234" s="13"/>
      <c r="AQ234" s="40"/>
      <c r="AR234" s="40"/>
      <c r="AS234" s="6"/>
      <c r="AT234" s="6"/>
      <c r="AU234" s="6"/>
      <c r="AV234" s="6"/>
      <c r="AW234" s="12" t="str">
        <f t="shared" si="7"/>
        <v/>
      </c>
      <c r="AX234" s="12" t="str">
        <f t="shared" si="8"/>
        <v/>
      </c>
      <c r="AY234" s="45"/>
    </row>
    <row r="235" spans="1:51" ht="20.100000000000001" customHeight="1" x14ac:dyDescent="0.2">
      <c r="A235" s="13">
        <v>228</v>
      </c>
      <c r="B235" s="40" t="s">
        <v>1202</v>
      </c>
      <c r="C235" s="40" t="s">
        <v>1056</v>
      </c>
      <c r="D235" s="41" t="s">
        <v>321</v>
      </c>
      <c r="E235" s="41" t="s">
        <v>20</v>
      </c>
      <c r="F235" s="41"/>
      <c r="G235" s="41"/>
      <c r="H235" s="13" t="s">
        <v>7</v>
      </c>
      <c r="I235" s="13"/>
      <c r="J235" s="13"/>
      <c r="K235" s="13"/>
      <c r="L235" s="13"/>
      <c r="M235" s="13"/>
      <c r="N235" s="13"/>
      <c r="O235" s="40" t="s">
        <v>67</v>
      </c>
      <c r="P235" s="41" t="s">
        <v>140</v>
      </c>
      <c r="Q235" s="41" t="s">
        <v>140</v>
      </c>
      <c r="R235" s="41" t="s">
        <v>352</v>
      </c>
      <c r="S235" s="41" t="s">
        <v>73</v>
      </c>
      <c r="T235" s="13" t="s">
        <v>107</v>
      </c>
      <c r="U235" s="41" t="s">
        <v>338</v>
      </c>
      <c r="V235" s="41" t="s">
        <v>338</v>
      </c>
      <c r="W235" s="41" t="s">
        <v>353</v>
      </c>
      <c r="X235" s="41" t="s">
        <v>69</v>
      </c>
      <c r="Y235" s="41" t="s">
        <v>70</v>
      </c>
      <c r="Z235" s="13">
        <v>0</v>
      </c>
      <c r="AA235" s="13"/>
      <c r="AB235" s="13"/>
      <c r="AC235" s="13"/>
      <c r="AD235" s="40">
        <v>168</v>
      </c>
      <c r="AE235" s="40"/>
      <c r="AF235" s="40"/>
      <c r="AG235" s="40"/>
      <c r="AH235" s="40"/>
      <c r="AI235" s="40"/>
      <c r="AJ235" s="40"/>
      <c r="AK235" s="40"/>
      <c r="AL235" s="40"/>
      <c r="AM235" s="47"/>
      <c r="AN235" s="41" t="s">
        <v>1199</v>
      </c>
      <c r="AO235" s="41"/>
      <c r="AP235" s="13"/>
      <c r="AQ235" s="40"/>
      <c r="AR235" s="40"/>
      <c r="AS235" s="6"/>
      <c r="AT235" s="6"/>
      <c r="AU235" s="6"/>
      <c r="AV235" s="6"/>
      <c r="AW235" s="12" t="str">
        <f t="shared" si="7"/>
        <v/>
      </c>
      <c r="AX235" s="12" t="str">
        <f t="shared" si="8"/>
        <v/>
      </c>
      <c r="AY235" s="45"/>
    </row>
    <row r="236" spans="1:51" s="21" customFormat="1" ht="20.100000000000001" customHeight="1" x14ac:dyDescent="0.2">
      <c r="A236" s="13">
        <v>229</v>
      </c>
      <c r="B236" s="29" t="s">
        <v>1202</v>
      </c>
      <c r="C236" s="29" t="s">
        <v>1056</v>
      </c>
      <c r="D236" s="30" t="s">
        <v>754</v>
      </c>
      <c r="E236" s="30" t="s">
        <v>755</v>
      </c>
      <c r="F236" s="30" t="s">
        <v>481</v>
      </c>
      <c r="G236" s="30"/>
      <c r="H236" s="20" t="s">
        <v>83</v>
      </c>
      <c r="I236" s="20"/>
      <c r="J236" s="20"/>
      <c r="K236" s="20"/>
      <c r="L236" s="20"/>
      <c r="M236" s="20"/>
      <c r="N236" s="20"/>
      <c r="O236" s="29" t="s">
        <v>93</v>
      </c>
      <c r="P236" s="30"/>
      <c r="Q236" s="30" t="s">
        <v>226</v>
      </c>
      <c r="R236" s="30" t="s">
        <v>800</v>
      </c>
      <c r="S236" s="30"/>
      <c r="T236" s="20" t="s">
        <v>70</v>
      </c>
      <c r="U236" s="30"/>
      <c r="V236" s="30" t="s">
        <v>757</v>
      </c>
      <c r="W236" s="30" t="s">
        <v>801</v>
      </c>
      <c r="X236" s="30"/>
      <c r="Y236" s="30" t="s">
        <v>70</v>
      </c>
      <c r="Z236" s="20" t="s">
        <v>799</v>
      </c>
      <c r="AA236" s="20"/>
      <c r="AB236" s="20"/>
      <c r="AC236" s="20"/>
      <c r="AD236" s="29">
        <v>74</v>
      </c>
      <c r="AE236" s="29"/>
      <c r="AF236" s="29"/>
      <c r="AG236" s="29"/>
      <c r="AH236" s="29"/>
      <c r="AI236" s="29"/>
      <c r="AJ236" s="29"/>
      <c r="AK236" s="29"/>
      <c r="AL236" s="29"/>
      <c r="AM236" s="39"/>
      <c r="AN236" s="30"/>
      <c r="AO236" s="30"/>
      <c r="AP236" s="20"/>
      <c r="AQ236" s="29"/>
      <c r="AR236" s="29"/>
      <c r="AS236" s="30">
        <v>1401</v>
      </c>
      <c r="AT236" s="30">
        <v>6</v>
      </c>
      <c r="AU236" s="30">
        <v>1401</v>
      </c>
      <c r="AV236" s="30">
        <v>4</v>
      </c>
      <c r="AW236" s="31">
        <f t="shared" si="7"/>
        <v>2</v>
      </c>
      <c r="AX236" s="31">
        <f t="shared" si="8"/>
        <v>2</v>
      </c>
      <c r="AY236" s="32"/>
    </row>
    <row r="237" spans="1:51" s="21" customFormat="1" ht="20.100000000000001" customHeight="1" x14ac:dyDescent="0.2">
      <c r="A237" s="13">
        <v>230</v>
      </c>
      <c r="B237" s="29" t="s">
        <v>1081</v>
      </c>
      <c r="C237" s="29" t="s">
        <v>1056</v>
      </c>
      <c r="D237" s="30" t="s">
        <v>1082</v>
      </c>
      <c r="E237" s="30" t="s">
        <v>243</v>
      </c>
      <c r="F237" s="30" t="s">
        <v>945</v>
      </c>
      <c r="G237" s="30"/>
      <c r="H237" s="20" t="s">
        <v>83</v>
      </c>
      <c r="I237" s="20"/>
      <c r="J237" s="20"/>
      <c r="K237" s="20"/>
      <c r="L237" s="20"/>
      <c r="M237" s="20"/>
      <c r="N237" s="20"/>
      <c r="O237" s="29" t="s">
        <v>92</v>
      </c>
      <c r="P237" s="30"/>
      <c r="Q237" s="30" t="s">
        <v>155</v>
      </c>
      <c r="R237" s="30" t="s">
        <v>1083</v>
      </c>
      <c r="S237" s="30" t="s">
        <v>106</v>
      </c>
      <c r="T237" s="20" t="s">
        <v>107</v>
      </c>
      <c r="U237" s="30"/>
      <c r="V237" s="30" t="s">
        <v>804</v>
      </c>
      <c r="W237" s="30" t="s">
        <v>1085</v>
      </c>
      <c r="X237" s="30" t="s">
        <v>444</v>
      </c>
      <c r="Y237" s="30" t="s">
        <v>107</v>
      </c>
      <c r="Z237" s="20" t="s">
        <v>1081</v>
      </c>
      <c r="AA237" s="20"/>
      <c r="AB237" s="20"/>
      <c r="AC237" s="20"/>
      <c r="AD237" s="29">
        <v>108</v>
      </c>
      <c r="AE237" s="29"/>
      <c r="AF237" s="29"/>
      <c r="AG237" s="29"/>
      <c r="AH237" s="29"/>
      <c r="AI237" s="29"/>
      <c r="AJ237" s="29"/>
      <c r="AK237" s="29"/>
      <c r="AL237" s="29"/>
      <c r="AM237" s="39" t="s">
        <v>158</v>
      </c>
      <c r="AN237" s="30" t="s">
        <v>1069</v>
      </c>
      <c r="AO237" s="36">
        <v>128</v>
      </c>
      <c r="AP237" s="20"/>
      <c r="AQ237" s="29"/>
      <c r="AR237" s="29"/>
      <c r="AS237" s="30">
        <v>1401</v>
      </c>
      <c r="AT237" s="30">
        <v>6</v>
      </c>
      <c r="AU237" s="30">
        <v>1401</v>
      </c>
      <c r="AV237" s="30">
        <v>6</v>
      </c>
      <c r="AW237" s="31">
        <f t="shared" si="7"/>
        <v>0</v>
      </c>
      <c r="AX237" s="31">
        <f t="shared" si="8"/>
        <v>0</v>
      </c>
      <c r="AY237" s="32"/>
    </row>
    <row r="238" spans="1:51" ht="20.100000000000001" customHeight="1" x14ac:dyDescent="0.2">
      <c r="A238" s="13">
        <v>231</v>
      </c>
      <c r="B238" s="40" t="s">
        <v>1203</v>
      </c>
      <c r="C238" s="40" t="s">
        <v>1056</v>
      </c>
      <c r="D238" s="41" t="s">
        <v>754</v>
      </c>
      <c r="E238" s="41" t="s">
        <v>755</v>
      </c>
      <c r="F238" s="41"/>
      <c r="G238" s="41"/>
      <c r="H238" s="13" t="s">
        <v>7</v>
      </c>
      <c r="I238" s="13"/>
      <c r="J238" s="13"/>
      <c r="K238" s="13"/>
      <c r="L238" s="13"/>
      <c r="M238" s="13"/>
      <c r="N238" s="13"/>
      <c r="O238" s="40" t="s">
        <v>93</v>
      </c>
      <c r="P238" s="35" t="s">
        <v>226</v>
      </c>
      <c r="Q238" s="35" t="s">
        <v>769</v>
      </c>
      <c r="R238" s="41" t="s">
        <v>1204</v>
      </c>
      <c r="S238" s="41" t="s">
        <v>106</v>
      </c>
      <c r="T238" s="13" t="s">
        <v>107</v>
      </c>
      <c r="U238" s="41" t="s">
        <v>757</v>
      </c>
      <c r="V238" s="41" t="s">
        <v>757</v>
      </c>
      <c r="W238" s="41" t="s">
        <v>1205</v>
      </c>
      <c r="X238" s="41" t="s">
        <v>106</v>
      </c>
      <c r="Y238" s="41" t="s">
        <v>107</v>
      </c>
      <c r="Z238" s="13">
        <v>0</v>
      </c>
      <c r="AA238" s="13"/>
      <c r="AB238" s="13"/>
      <c r="AC238" s="13"/>
      <c r="AD238" s="40">
        <v>74</v>
      </c>
      <c r="AE238" s="40"/>
      <c r="AF238" s="40"/>
      <c r="AG238" s="40"/>
      <c r="AH238" s="40"/>
      <c r="AI238" s="40"/>
      <c r="AJ238" s="40"/>
      <c r="AK238" s="40"/>
      <c r="AL238" s="40"/>
      <c r="AM238" s="33" t="s">
        <v>158</v>
      </c>
      <c r="AN238" s="41" t="s">
        <v>1202</v>
      </c>
      <c r="AO238" s="41"/>
      <c r="AP238" s="13"/>
      <c r="AQ238" s="40"/>
      <c r="AR238" s="40"/>
      <c r="AS238" s="6"/>
      <c r="AT238" s="6"/>
      <c r="AU238" s="6"/>
      <c r="AV238" s="6"/>
      <c r="AW238" s="12" t="str">
        <f t="shared" si="7"/>
        <v/>
      </c>
      <c r="AX238" s="12" t="str">
        <f t="shared" si="8"/>
        <v/>
      </c>
      <c r="AY238" s="45"/>
    </row>
    <row r="239" spans="1:51" ht="20.100000000000001" customHeight="1" x14ac:dyDescent="0.2">
      <c r="A239" s="13">
        <v>232</v>
      </c>
      <c r="B239" s="40" t="s">
        <v>1206</v>
      </c>
      <c r="C239" s="40" t="s">
        <v>1056</v>
      </c>
      <c r="D239" s="41" t="s">
        <v>1082</v>
      </c>
      <c r="E239" s="41" t="s">
        <v>243</v>
      </c>
      <c r="F239" s="41"/>
      <c r="G239" s="41"/>
      <c r="H239" s="13" t="s">
        <v>7</v>
      </c>
      <c r="I239" s="13"/>
      <c r="J239" s="13"/>
      <c r="K239" s="13"/>
      <c r="L239" s="13"/>
      <c r="M239" s="13"/>
      <c r="N239" s="13"/>
      <c r="O239" s="40" t="s">
        <v>67</v>
      </c>
      <c r="P239" s="41" t="s">
        <v>155</v>
      </c>
      <c r="Q239" s="41" t="s">
        <v>155</v>
      </c>
      <c r="R239" s="41" t="s">
        <v>1083</v>
      </c>
      <c r="S239" s="41" t="s">
        <v>106</v>
      </c>
      <c r="T239" s="13" t="s">
        <v>107</v>
      </c>
      <c r="U239" s="41" t="s">
        <v>804</v>
      </c>
      <c r="V239" s="41" t="s">
        <v>804</v>
      </c>
      <c r="W239" s="41" t="s">
        <v>1085</v>
      </c>
      <c r="X239" s="41" t="s">
        <v>444</v>
      </c>
      <c r="Y239" s="41" t="s">
        <v>107</v>
      </c>
      <c r="Z239" s="13">
        <v>0</v>
      </c>
      <c r="AA239" s="13"/>
      <c r="AB239" s="13"/>
      <c r="AC239" s="13"/>
      <c r="AD239" s="40">
        <v>108</v>
      </c>
      <c r="AE239" s="40"/>
      <c r="AF239" s="40"/>
      <c r="AG239" s="40"/>
      <c r="AH239" s="40"/>
      <c r="AI239" s="40"/>
      <c r="AJ239" s="40"/>
      <c r="AK239" s="40"/>
      <c r="AL239" s="40"/>
      <c r="AM239" s="47"/>
      <c r="AN239" s="41" t="s">
        <v>1203</v>
      </c>
      <c r="AO239" s="41"/>
      <c r="AP239" s="13"/>
      <c r="AQ239" s="40"/>
      <c r="AR239" s="40"/>
      <c r="AS239" s="6"/>
      <c r="AT239" s="6"/>
      <c r="AU239" s="6"/>
      <c r="AV239" s="6"/>
      <c r="AW239" s="12" t="str">
        <f t="shared" si="7"/>
        <v/>
      </c>
      <c r="AX239" s="12" t="str">
        <f t="shared" si="8"/>
        <v/>
      </c>
      <c r="AY239" s="45"/>
    </row>
    <row r="240" spans="1:51" ht="20.100000000000001" customHeight="1" x14ac:dyDescent="0.2">
      <c r="A240" s="13">
        <v>233</v>
      </c>
      <c r="B240" s="40" t="s">
        <v>1206</v>
      </c>
      <c r="C240" s="40" t="s">
        <v>1056</v>
      </c>
      <c r="D240" s="41" t="s">
        <v>1207</v>
      </c>
      <c r="E240" s="41" t="s">
        <v>8</v>
      </c>
      <c r="F240" s="41" t="s">
        <v>186</v>
      </c>
      <c r="G240" s="41"/>
      <c r="H240" s="13" t="s">
        <v>83</v>
      </c>
      <c r="I240" s="13"/>
      <c r="J240" s="13"/>
      <c r="K240" s="13"/>
      <c r="L240" s="13"/>
      <c r="M240" s="13"/>
      <c r="N240" s="13"/>
      <c r="O240" s="40" t="s">
        <v>92</v>
      </c>
      <c r="P240" s="41"/>
      <c r="Q240" s="41" t="s">
        <v>104</v>
      </c>
      <c r="R240" s="41" t="s">
        <v>1208</v>
      </c>
      <c r="S240" s="41" t="s">
        <v>142</v>
      </c>
      <c r="T240" s="13" t="s">
        <v>107</v>
      </c>
      <c r="U240" s="41"/>
      <c r="V240" s="41" t="s">
        <v>108</v>
      </c>
      <c r="W240" s="41" t="s">
        <v>1209</v>
      </c>
      <c r="X240" s="41" t="s">
        <v>1210</v>
      </c>
      <c r="Y240" s="41" t="s">
        <v>70</v>
      </c>
      <c r="Z240" s="13" t="s">
        <v>1211</v>
      </c>
      <c r="AA240" s="13"/>
      <c r="AB240" s="13"/>
      <c r="AC240" s="13"/>
      <c r="AD240" s="40">
        <v>156</v>
      </c>
      <c r="AE240" s="40"/>
      <c r="AF240" s="40"/>
      <c r="AG240" s="40"/>
      <c r="AH240" s="40"/>
      <c r="AI240" s="40"/>
      <c r="AJ240" s="40"/>
      <c r="AK240" s="40"/>
      <c r="AL240" s="40"/>
      <c r="AM240" s="47" t="s">
        <v>158</v>
      </c>
      <c r="AN240" s="41" t="s">
        <v>1212</v>
      </c>
      <c r="AO240" s="43">
        <v>132</v>
      </c>
      <c r="AP240" s="13">
        <v>27</v>
      </c>
      <c r="AQ240" s="40"/>
      <c r="AR240" s="40"/>
      <c r="AS240" s="6">
        <v>1401</v>
      </c>
      <c r="AT240" s="6">
        <v>6</v>
      </c>
      <c r="AU240" s="6">
        <v>1396</v>
      </c>
      <c r="AV240" s="6">
        <v>7</v>
      </c>
      <c r="AW240" s="12">
        <f t="shared" si="7"/>
        <v>59</v>
      </c>
      <c r="AX240" s="12" t="str">
        <f t="shared" si="8"/>
        <v/>
      </c>
      <c r="AY240" s="45"/>
    </row>
    <row r="241" spans="1:51" ht="20.100000000000001" customHeight="1" x14ac:dyDescent="0.2">
      <c r="A241" s="13">
        <v>234</v>
      </c>
      <c r="B241" s="40" t="s">
        <v>1206</v>
      </c>
      <c r="C241" s="40" t="s">
        <v>1056</v>
      </c>
      <c r="D241" s="41" t="s">
        <v>1213</v>
      </c>
      <c r="E241" s="41" t="s">
        <v>66</v>
      </c>
      <c r="F241" s="41" t="s">
        <v>481</v>
      </c>
      <c r="G241" s="41"/>
      <c r="H241" s="13" t="s">
        <v>83</v>
      </c>
      <c r="I241" s="13"/>
      <c r="J241" s="13"/>
      <c r="K241" s="13"/>
      <c r="L241" s="13"/>
      <c r="M241" s="13"/>
      <c r="N241" s="13"/>
      <c r="O241" s="40" t="s">
        <v>93</v>
      </c>
      <c r="P241" s="41"/>
      <c r="Q241" s="41"/>
      <c r="R241" s="41"/>
      <c r="S241" s="41"/>
      <c r="T241" s="13"/>
      <c r="U241" s="41"/>
      <c r="V241" s="41"/>
      <c r="W241" s="41"/>
      <c r="X241" s="41"/>
      <c r="Y241" s="41"/>
      <c r="Z241" s="13"/>
      <c r="AA241" s="13"/>
      <c r="AB241" s="13"/>
      <c r="AC241" s="13"/>
      <c r="AD241" s="40"/>
      <c r="AE241" s="40"/>
      <c r="AF241" s="40"/>
      <c r="AG241" s="40"/>
      <c r="AH241" s="40"/>
      <c r="AI241" s="40"/>
      <c r="AJ241" s="40"/>
      <c r="AK241" s="40"/>
      <c r="AL241" s="40"/>
      <c r="AM241" s="47"/>
      <c r="AN241" s="41" t="s">
        <v>429</v>
      </c>
      <c r="AO241" s="41"/>
      <c r="AP241" s="13"/>
      <c r="AQ241" s="40"/>
      <c r="AR241" s="40"/>
      <c r="AS241" s="6"/>
      <c r="AT241" s="6"/>
      <c r="AU241" s="6"/>
      <c r="AV241" s="6"/>
      <c r="AW241" s="12" t="str">
        <f t="shared" si="7"/>
        <v/>
      </c>
      <c r="AX241" s="12" t="str">
        <f t="shared" si="8"/>
        <v/>
      </c>
      <c r="AY241" s="45"/>
    </row>
    <row r="242" spans="1:51" ht="20.100000000000001" customHeight="1" x14ac:dyDescent="0.2">
      <c r="A242" s="13">
        <v>235</v>
      </c>
      <c r="B242" s="40" t="s">
        <v>1206</v>
      </c>
      <c r="C242" s="40" t="s">
        <v>1056</v>
      </c>
      <c r="D242" s="41" t="s">
        <v>1213</v>
      </c>
      <c r="E242" s="41" t="s">
        <v>66</v>
      </c>
      <c r="F242" s="41"/>
      <c r="G242" s="41"/>
      <c r="H242" s="13" t="s">
        <v>7</v>
      </c>
      <c r="I242" s="13"/>
      <c r="J242" s="13"/>
      <c r="K242" s="13"/>
      <c r="L242" s="13"/>
      <c r="M242" s="13"/>
      <c r="N242" s="13"/>
      <c r="O242" s="40" t="s">
        <v>93</v>
      </c>
      <c r="P242" s="41"/>
      <c r="Q242" s="41" t="s">
        <v>223</v>
      </c>
      <c r="R242" s="41" t="s">
        <v>1214</v>
      </c>
      <c r="S242" s="41" t="s">
        <v>73</v>
      </c>
      <c r="T242" s="13" t="s">
        <v>107</v>
      </c>
      <c r="U242" s="41"/>
      <c r="V242" s="41" t="s">
        <v>370</v>
      </c>
      <c r="W242" s="41" t="s">
        <v>1215</v>
      </c>
      <c r="X242" s="41" t="s">
        <v>69</v>
      </c>
      <c r="Y242" s="41" t="s">
        <v>70</v>
      </c>
      <c r="Z242" s="13">
        <v>0</v>
      </c>
      <c r="AA242" s="13"/>
      <c r="AB242" s="13"/>
      <c r="AC242" s="13"/>
      <c r="AD242" s="40"/>
      <c r="AE242" s="40"/>
      <c r="AF242" s="40"/>
      <c r="AG242" s="40"/>
      <c r="AH242" s="40"/>
      <c r="AI242" s="40"/>
      <c r="AJ242" s="40"/>
      <c r="AK242" s="40"/>
      <c r="AL242" s="40"/>
      <c r="AM242" s="47"/>
      <c r="AN242" s="41" t="s">
        <v>429</v>
      </c>
      <c r="AO242" s="41"/>
      <c r="AP242" s="13"/>
      <c r="AQ242" s="40"/>
      <c r="AR242" s="40"/>
      <c r="AS242" s="6"/>
      <c r="AT242" s="6"/>
      <c r="AU242" s="6"/>
      <c r="AV242" s="6"/>
      <c r="AW242" s="12" t="str">
        <f t="shared" si="7"/>
        <v/>
      </c>
      <c r="AX242" s="12" t="str">
        <f t="shared" si="8"/>
        <v/>
      </c>
      <c r="AY242" s="45"/>
    </row>
    <row r="243" spans="1:51" s="21" customFormat="1" ht="20.100000000000001" customHeight="1" x14ac:dyDescent="0.2">
      <c r="A243" s="13">
        <v>236</v>
      </c>
      <c r="B243" s="29" t="s">
        <v>1206</v>
      </c>
      <c r="C243" s="29" t="s">
        <v>1056</v>
      </c>
      <c r="D243" s="30" t="s">
        <v>1216</v>
      </c>
      <c r="E243" s="30" t="s">
        <v>243</v>
      </c>
      <c r="F243" s="30" t="s">
        <v>481</v>
      </c>
      <c r="G243" s="30"/>
      <c r="H243" s="20" t="s">
        <v>83</v>
      </c>
      <c r="I243" s="20"/>
      <c r="J243" s="20"/>
      <c r="K243" s="20"/>
      <c r="L243" s="20"/>
      <c r="M243" s="20"/>
      <c r="N243" s="20"/>
      <c r="O243" s="29" t="s">
        <v>67</v>
      </c>
      <c r="P243" s="30"/>
      <c r="Q243" s="30" t="s">
        <v>117</v>
      </c>
      <c r="R243" s="30" t="s">
        <v>1217</v>
      </c>
      <c r="S243" s="30" t="s">
        <v>69</v>
      </c>
      <c r="T243" s="20" t="s">
        <v>70</v>
      </c>
      <c r="U243" s="30"/>
      <c r="V243" s="30" t="s">
        <v>470</v>
      </c>
      <c r="W243" s="30" t="s">
        <v>1218</v>
      </c>
      <c r="X243" s="30" t="s">
        <v>69</v>
      </c>
      <c r="Y243" s="30" t="s">
        <v>70</v>
      </c>
      <c r="Z243" s="20" t="s">
        <v>1090</v>
      </c>
      <c r="AA243" s="20"/>
      <c r="AB243" s="20"/>
      <c r="AC243" s="20"/>
      <c r="AD243" s="29">
        <v>114</v>
      </c>
      <c r="AE243" s="29"/>
      <c r="AF243" s="29"/>
      <c r="AG243" s="29"/>
      <c r="AH243" s="29"/>
      <c r="AI243" s="29"/>
      <c r="AJ243" s="29"/>
      <c r="AK243" s="29"/>
      <c r="AL243" s="29"/>
      <c r="AM243" s="39"/>
      <c r="AN243" s="30" t="s">
        <v>1219</v>
      </c>
      <c r="AO243" s="36">
        <v>113</v>
      </c>
      <c r="AP243" s="20">
        <v>27</v>
      </c>
      <c r="AQ243" s="29"/>
      <c r="AR243" s="29"/>
      <c r="AS243" s="30">
        <v>1401</v>
      </c>
      <c r="AT243" s="30">
        <v>6</v>
      </c>
      <c r="AU243" s="30">
        <v>1400</v>
      </c>
      <c r="AV243" s="30">
        <v>7</v>
      </c>
      <c r="AW243" s="31">
        <f t="shared" si="7"/>
        <v>11</v>
      </c>
      <c r="AX243" s="31">
        <f t="shared" si="8"/>
        <v>11</v>
      </c>
      <c r="AY243" s="32"/>
    </row>
    <row r="244" spans="1:51" ht="20.100000000000001" customHeight="1" x14ac:dyDescent="0.2">
      <c r="A244" s="13">
        <v>237</v>
      </c>
      <c r="B244" s="40" t="s">
        <v>1220</v>
      </c>
      <c r="C244" s="40" t="s">
        <v>1056</v>
      </c>
      <c r="D244" s="41" t="s">
        <v>1216</v>
      </c>
      <c r="E244" s="41" t="s">
        <v>243</v>
      </c>
      <c r="F244" s="41"/>
      <c r="G244" s="41"/>
      <c r="H244" s="13" t="s">
        <v>7</v>
      </c>
      <c r="I244" s="13"/>
      <c r="J244" s="13"/>
      <c r="K244" s="13"/>
      <c r="L244" s="13"/>
      <c r="M244" s="13"/>
      <c r="N244" s="13"/>
      <c r="O244" s="40" t="s">
        <v>67</v>
      </c>
      <c r="P244" s="41" t="s">
        <v>117</v>
      </c>
      <c r="Q244" s="41" t="s">
        <v>117</v>
      </c>
      <c r="R244" s="41" t="s">
        <v>1221</v>
      </c>
      <c r="S244" s="41" t="s">
        <v>106</v>
      </c>
      <c r="T244" s="13" t="s">
        <v>107</v>
      </c>
      <c r="U244" s="41" t="s">
        <v>470</v>
      </c>
      <c r="V244" s="41" t="s">
        <v>470</v>
      </c>
      <c r="W244" s="41" t="s">
        <v>880</v>
      </c>
      <c r="X244" s="41" t="s">
        <v>106</v>
      </c>
      <c r="Y244" s="41" t="s">
        <v>107</v>
      </c>
      <c r="Z244" s="13">
        <v>0</v>
      </c>
      <c r="AA244" s="13"/>
      <c r="AB244" s="13"/>
      <c r="AC244" s="13"/>
      <c r="AD244" s="40">
        <v>105</v>
      </c>
      <c r="AE244" s="40"/>
      <c r="AF244" s="40"/>
      <c r="AG244" s="40"/>
      <c r="AH244" s="40"/>
      <c r="AI244" s="40"/>
      <c r="AJ244" s="40"/>
      <c r="AK244" s="40"/>
      <c r="AL244" s="40"/>
      <c r="AM244" s="47"/>
      <c r="AN244" s="41" t="s">
        <v>1222</v>
      </c>
      <c r="AO244" s="43">
        <v>104</v>
      </c>
      <c r="AP244" s="13"/>
      <c r="AQ244" s="40"/>
      <c r="AR244" s="40"/>
      <c r="AS244" s="6"/>
      <c r="AT244" s="6"/>
      <c r="AU244" s="6"/>
      <c r="AV244" s="6"/>
      <c r="AW244" s="12" t="str">
        <f t="shared" si="7"/>
        <v/>
      </c>
      <c r="AX244" s="12" t="str">
        <f t="shared" si="8"/>
        <v/>
      </c>
      <c r="AY244" s="45"/>
    </row>
    <row r="245" spans="1:51" ht="20.100000000000001" customHeight="1" x14ac:dyDescent="0.2">
      <c r="A245" s="13">
        <v>238</v>
      </c>
      <c r="B245" s="40" t="s">
        <v>1223</v>
      </c>
      <c r="C245" s="40" t="s">
        <v>1056</v>
      </c>
      <c r="D245" s="41" t="s">
        <v>1224</v>
      </c>
      <c r="E245" s="41" t="s">
        <v>10</v>
      </c>
      <c r="F245" s="41" t="s">
        <v>185</v>
      </c>
      <c r="G245" s="41"/>
      <c r="H245" s="13" t="s">
        <v>83</v>
      </c>
      <c r="I245" s="13"/>
      <c r="J245" s="13"/>
      <c r="K245" s="13"/>
      <c r="L245" s="13"/>
      <c r="M245" s="13"/>
      <c r="N245" s="13"/>
      <c r="O245" s="40" t="s">
        <v>92</v>
      </c>
      <c r="P245" s="41"/>
      <c r="Q245" s="41" t="s">
        <v>117</v>
      </c>
      <c r="R245" s="41" t="s">
        <v>1225</v>
      </c>
      <c r="S245" s="41" t="s">
        <v>574</v>
      </c>
      <c r="T245" s="13" t="s">
        <v>107</v>
      </c>
      <c r="U245" s="41"/>
      <c r="V245" s="41" t="s">
        <v>204</v>
      </c>
      <c r="W245" s="41" t="s">
        <v>1226</v>
      </c>
      <c r="X245" s="41" t="s">
        <v>142</v>
      </c>
      <c r="Y245" s="41" t="s">
        <v>70</v>
      </c>
      <c r="Z245" s="13" t="s">
        <v>1227</v>
      </c>
      <c r="AA245" s="13"/>
      <c r="AB245" s="13"/>
      <c r="AC245" s="13"/>
      <c r="AD245" s="40">
        <v>180</v>
      </c>
      <c r="AE245" s="40"/>
      <c r="AF245" s="40"/>
      <c r="AG245" s="40"/>
      <c r="AH245" s="40"/>
      <c r="AI245" s="40"/>
      <c r="AJ245" s="40"/>
      <c r="AK245" s="40"/>
      <c r="AL245" s="40"/>
      <c r="AM245" s="47" t="s">
        <v>158</v>
      </c>
      <c r="AN245" s="41" t="s">
        <v>1228</v>
      </c>
      <c r="AO245" s="43">
        <v>222</v>
      </c>
      <c r="AP245" s="13">
        <v>10</v>
      </c>
      <c r="AQ245" s="40"/>
      <c r="AR245" s="40"/>
      <c r="AS245" s="6">
        <v>1401</v>
      </c>
      <c r="AT245" s="6">
        <v>6</v>
      </c>
      <c r="AU245" s="6">
        <v>1398</v>
      </c>
      <c r="AV245" s="6">
        <v>11</v>
      </c>
      <c r="AW245" s="12">
        <f t="shared" si="7"/>
        <v>31</v>
      </c>
      <c r="AX245" s="12" t="str">
        <f t="shared" si="8"/>
        <v/>
      </c>
      <c r="AY245" s="45"/>
    </row>
    <row r="246" spans="1:51" ht="20.100000000000001" customHeight="1" x14ac:dyDescent="0.2">
      <c r="A246" s="13">
        <v>239</v>
      </c>
      <c r="B246" s="40" t="s">
        <v>1223</v>
      </c>
      <c r="C246" s="40" t="s">
        <v>1056</v>
      </c>
      <c r="D246" s="41" t="s">
        <v>1229</v>
      </c>
      <c r="E246" s="41" t="s">
        <v>10</v>
      </c>
      <c r="F246" s="41" t="s">
        <v>185</v>
      </c>
      <c r="G246" s="41"/>
      <c r="H246" s="13" t="s">
        <v>83</v>
      </c>
      <c r="I246" s="13"/>
      <c r="J246" s="13"/>
      <c r="K246" s="13"/>
      <c r="L246" s="13"/>
      <c r="M246" s="13"/>
      <c r="N246" s="13"/>
      <c r="O246" s="40" t="s">
        <v>92</v>
      </c>
      <c r="P246" s="41"/>
      <c r="Q246" s="41" t="s">
        <v>140</v>
      </c>
      <c r="R246" s="41" t="s">
        <v>1230</v>
      </c>
      <c r="S246" s="41" t="s">
        <v>262</v>
      </c>
      <c r="T246" s="13" t="s">
        <v>70</v>
      </c>
      <c r="U246" s="41"/>
      <c r="V246" s="41" t="s">
        <v>338</v>
      </c>
      <c r="W246" s="41" t="s">
        <v>1231</v>
      </c>
      <c r="X246" s="41" t="s">
        <v>574</v>
      </c>
      <c r="Y246" s="41" t="s">
        <v>107</v>
      </c>
      <c r="Z246" s="13" t="s">
        <v>1232</v>
      </c>
      <c r="AA246" s="13"/>
      <c r="AB246" s="13"/>
      <c r="AC246" s="13"/>
      <c r="AD246" s="40">
        <v>186</v>
      </c>
      <c r="AE246" s="40"/>
      <c r="AF246" s="40"/>
      <c r="AG246" s="40"/>
      <c r="AH246" s="40"/>
      <c r="AI246" s="40"/>
      <c r="AJ246" s="40"/>
      <c r="AK246" s="40"/>
      <c r="AL246" s="40"/>
      <c r="AM246" s="47" t="s">
        <v>158</v>
      </c>
      <c r="AN246" s="41" t="s">
        <v>1233</v>
      </c>
      <c r="AO246" s="43">
        <v>194</v>
      </c>
      <c r="AP246" s="13">
        <v>12</v>
      </c>
      <c r="AQ246" s="40"/>
      <c r="AR246" s="40"/>
      <c r="AS246" s="6">
        <v>1401</v>
      </c>
      <c r="AT246" s="6">
        <v>6</v>
      </c>
      <c r="AU246" s="6">
        <v>1398</v>
      </c>
      <c r="AV246" s="6">
        <v>2</v>
      </c>
      <c r="AW246" s="12">
        <f t="shared" si="7"/>
        <v>40</v>
      </c>
      <c r="AX246" s="12" t="str">
        <f t="shared" si="8"/>
        <v/>
      </c>
      <c r="AY246" s="45"/>
    </row>
    <row r="247" spans="1:51" ht="20.100000000000001" customHeight="1" x14ac:dyDescent="0.2">
      <c r="A247" s="13">
        <v>240</v>
      </c>
      <c r="B247" s="40" t="s">
        <v>1234</v>
      </c>
      <c r="C247" s="40" t="s">
        <v>1056</v>
      </c>
      <c r="D247" s="41" t="s">
        <v>1092</v>
      </c>
      <c r="E247" s="41" t="s">
        <v>6</v>
      </c>
      <c r="F247" s="41" t="s">
        <v>1235</v>
      </c>
      <c r="G247" s="41"/>
      <c r="H247" s="13" t="s">
        <v>83</v>
      </c>
      <c r="I247" s="13"/>
      <c r="J247" s="13"/>
      <c r="K247" s="13"/>
      <c r="L247" s="13"/>
      <c r="M247" s="13"/>
      <c r="N247" s="13"/>
      <c r="O247" s="40" t="s">
        <v>92</v>
      </c>
      <c r="P247" s="41"/>
      <c r="Q247" s="41" t="s">
        <v>155</v>
      </c>
      <c r="R247" s="41" t="s">
        <v>1093</v>
      </c>
      <c r="S247" s="41" t="s">
        <v>574</v>
      </c>
      <c r="T247" s="13" t="s">
        <v>107</v>
      </c>
      <c r="U247" s="41"/>
      <c r="V247" s="41" t="s">
        <v>324</v>
      </c>
      <c r="W247" s="41" t="s">
        <v>1094</v>
      </c>
      <c r="X247" s="41" t="s">
        <v>142</v>
      </c>
      <c r="Y247" s="41" t="s">
        <v>70</v>
      </c>
      <c r="Z247" s="13" t="s">
        <v>1095</v>
      </c>
      <c r="AA247" s="13"/>
      <c r="AB247" s="13"/>
      <c r="AC247" s="13"/>
      <c r="AD247" s="40">
        <v>174</v>
      </c>
      <c r="AE247" s="40"/>
      <c r="AF247" s="40"/>
      <c r="AG247" s="40"/>
      <c r="AH247" s="40"/>
      <c r="AI247" s="40"/>
      <c r="AJ247" s="40"/>
      <c r="AK247" s="40"/>
      <c r="AL247" s="40"/>
      <c r="AM247" s="47"/>
      <c r="AN247" s="41" t="s">
        <v>1236</v>
      </c>
      <c r="AO247" s="43">
        <v>170</v>
      </c>
      <c r="AP247" s="13">
        <v>25</v>
      </c>
      <c r="AQ247" s="40"/>
      <c r="AR247" s="40"/>
      <c r="AS247" s="6">
        <v>1401</v>
      </c>
      <c r="AT247" s="6">
        <v>6</v>
      </c>
      <c r="AU247" s="6">
        <v>1398</v>
      </c>
      <c r="AV247" s="6">
        <v>9</v>
      </c>
      <c r="AW247" s="12">
        <f t="shared" si="7"/>
        <v>33</v>
      </c>
      <c r="AX247" s="12" t="str">
        <f t="shared" si="8"/>
        <v/>
      </c>
      <c r="AY247" s="45"/>
    </row>
    <row r="248" spans="1:51" ht="20.100000000000001" customHeight="1" x14ac:dyDescent="0.2">
      <c r="A248" s="13">
        <v>241</v>
      </c>
      <c r="B248" s="40" t="s">
        <v>1234</v>
      </c>
      <c r="C248" s="40" t="s">
        <v>1056</v>
      </c>
      <c r="D248" s="41" t="s">
        <v>1092</v>
      </c>
      <c r="E248" s="41" t="s">
        <v>6</v>
      </c>
      <c r="F248" s="41"/>
      <c r="G248" s="41"/>
      <c r="H248" s="13" t="s">
        <v>7</v>
      </c>
      <c r="I248" s="13"/>
      <c r="J248" s="13"/>
      <c r="K248" s="13"/>
      <c r="L248" s="13"/>
      <c r="M248" s="13"/>
      <c r="N248" s="13"/>
      <c r="O248" s="40" t="s">
        <v>92</v>
      </c>
      <c r="P248" s="41" t="s">
        <v>155</v>
      </c>
      <c r="Q248" s="41" t="s">
        <v>155</v>
      </c>
      <c r="R248" s="41" t="s">
        <v>615</v>
      </c>
      <c r="S248" s="41" t="s">
        <v>106</v>
      </c>
      <c r="T248" s="13" t="s">
        <v>107</v>
      </c>
      <c r="U248" s="41" t="s">
        <v>324</v>
      </c>
      <c r="V248" s="41" t="s">
        <v>324</v>
      </c>
      <c r="W248" s="41" t="s">
        <v>1237</v>
      </c>
      <c r="X248" s="41" t="s">
        <v>142</v>
      </c>
      <c r="Y248" s="41" t="s">
        <v>70</v>
      </c>
      <c r="Z248" s="13">
        <v>0</v>
      </c>
      <c r="AA248" s="13"/>
      <c r="AB248" s="13"/>
      <c r="AC248" s="13"/>
      <c r="AD248" s="40">
        <v>174</v>
      </c>
      <c r="AE248" s="40"/>
      <c r="AF248" s="40"/>
      <c r="AG248" s="40"/>
      <c r="AH248" s="40"/>
      <c r="AI248" s="40"/>
      <c r="AJ248" s="40"/>
      <c r="AK248" s="40"/>
      <c r="AL248" s="40"/>
      <c r="AM248" s="47"/>
      <c r="AN248" s="41" t="s">
        <v>1238</v>
      </c>
      <c r="AO248" s="43">
        <v>188</v>
      </c>
      <c r="AP248" s="13"/>
      <c r="AQ248" s="40"/>
      <c r="AR248" s="40"/>
      <c r="AS248" s="6"/>
      <c r="AT248" s="6"/>
      <c r="AU248" s="6"/>
      <c r="AV248" s="6"/>
      <c r="AW248" s="12" t="str">
        <f t="shared" si="7"/>
        <v/>
      </c>
      <c r="AX248" s="12" t="str">
        <f t="shared" si="8"/>
        <v/>
      </c>
      <c r="AY248" s="45"/>
    </row>
    <row r="249" spans="1:51" ht="20.100000000000001" customHeight="1" x14ac:dyDescent="0.2">
      <c r="A249" s="13">
        <v>242</v>
      </c>
      <c r="B249" s="40" t="s">
        <v>1239</v>
      </c>
      <c r="C249" s="40" t="s">
        <v>1056</v>
      </c>
      <c r="D249" s="41" t="s">
        <v>790</v>
      </c>
      <c r="E249" s="41" t="s">
        <v>6</v>
      </c>
      <c r="F249" s="41"/>
      <c r="G249" s="41"/>
      <c r="H249" s="13" t="s">
        <v>7</v>
      </c>
      <c r="I249" s="13"/>
      <c r="J249" s="13"/>
      <c r="K249" s="13"/>
      <c r="L249" s="13"/>
      <c r="M249" s="13"/>
      <c r="N249" s="13"/>
      <c r="O249" s="40" t="s">
        <v>92</v>
      </c>
      <c r="P249" s="35" t="s">
        <v>68</v>
      </c>
      <c r="Q249" s="35" t="s">
        <v>104</v>
      </c>
      <c r="R249" s="41" t="s">
        <v>1006</v>
      </c>
      <c r="S249" s="41" t="s">
        <v>106</v>
      </c>
      <c r="T249" s="13" t="s">
        <v>107</v>
      </c>
      <c r="U249" s="35" t="s">
        <v>263</v>
      </c>
      <c r="V249" s="35" t="s">
        <v>131</v>
      </c>
      <c r="W249" s="41" t="s">
        <v>1240</v>
      </c>
      <c r="X249" s="41" t="s">
        <v>73</v>
      </c>
      <c r="Y249" s="41" t="s">
        <v>70</v>
      </c>
      <c r="Z249" s="13">
        <v>0</v>
      </c>
      <c r="AA249" s="13"/>
      <c r="AB249" s="13"/>
      <c r="AC249" s="13"/>
      <c r="AD249" s="40">
        <v>240</v>
      </c>
      <c r="AE249" s="40"/>
      <c r="AF249" s="40"/>
      <c r="AG249" s="40"/>
      <c r="AH249" s="40"/>
      <c r="AI249" s="40"/>
      <c r="AJ249" s="40"/>
      <c r="AK249" s="40"/>
      <c r="AL249" s="40"/>
      <c r="AM249" s="50" t="s">
        <v>158</v>
      </c>
      <c r="AN249" s="41" t="s">
        <v>1234</v>
      </c>
      <c r="AO249" s="41"/>
      <c r="AP249" s="13"/>
      <c r="AQ249" s="40"/>
      <c r="AR249" s="40"/>
      <c r="AS249" s="6"/>
      <c r="AT249" s="6"/>
      <c r="AU249" s="6"/>
      <c r="AV249" s="6"/>
      <c r="AW249" s="12" t="str">
        <f t="shared" si="7"/>
        <v/>
      </c>
      <c r="AX249" s="12" t="str">
        <f t="shared" si="8"/>
        <v/>
      </c>
      <c r="AY249" s="45"/>
    </row>
    <row r="250" spans="1:51" ht="20.100000000000001" customHeight="1" x14ac:dyDescent="0.2">
      <c r="A250" s="13">
        <v>243</v>
      </c>
      <c r="B250" s="40" t="s">
        <v>1241</v>
      </c>
      <c r="C250" s="40" t="s">
        <v>1056</v>
      </c>
      <c r="D250" s="41" t="s">
        <v>1242</v>
      </c>
      <c r="E250" s="41" t="s">
        <v>19</v>
      </c>
      <c r="F250" s="41" t="s">
        <v>185</v>
      </c>
      <c r="G250" s="41"/>
      <c r="H250" s="13" t="s">
        <v>83</v>
      </c>
      <c r="I250" s="13"/>
      <c r="J250" s="13"/>
      <c r="K250" s="13"/>
      <c r="L250" s="13"/>
      <c r="M250" s="13"/>
      <c r="N250" s="13"/>
      <c r="O250" s="40" t="s">
        <v>93</v>
      </c>
      <c r="P250" s="41"/>
      <c r="Q250" s="41" t="s">
        <v>116</v>
      </c>
      <c r="R250" s="41"/>
      <c r="S250" s="41"/>
      <c r="T250" s="13"/>
      <c r="U250" s="41"/>
      <c r="V250" s="41" t="s">
        <v>1243</v>
      </c>
      <c r="W250" s="41"/>
      <c r="X250" s="41"/>
      <c r="Y250" s="41"/>
      <c r="Z250" s="13"/>
      <c r="AA250" s="13"/>
      <c r="AB250" s="13"/>
      <c r="AC250" s="13"/>
      <c r="AD250" s="40"/>
      <c r="AE250" s="40"/>
      <c r="AF250" s="40"/>
      <c r="AG250" s="40"/>
      <c r="AH250" s="40"/>
      <c r="AI250" s="40"/>
      <c r="AJ250" s="40"/>
      <c r="AK250" s="40"/>
      <c r="AL250" s="40"/>
      <c r="AM250" s="15"/>
      <c r="AN250" s="41"/>
      <c r="AO250" s="41"/>
      <c r="AP250" s="13"/>
      <c r="AQ250" s="40"/>
      <c r="AR250" s="40"/>
      <c r="AS250" s="6"/>
      <c r="AT250" s="6"/>
      <c r="AU250" s="6"/>
      <c r="AV250" s="6"/>
      <c r="AW250" s="12" t="str">
        <f t="shared" si="7"/>
        <v/>
      </c>
      <c r="AX250" s="12" t="str">
        <f t="shared" si="8"/>
        <v/>
      </c>
      <c r="AY250" s="45"/>
    </row>
    <row r="251" spans="1:51" ht="20.100000000000001" customHeight="1" x14ac:dyDescent="0.2">
      <c r="A251" s="13">
        <v>244</v>
      </c>
      <c r="B251" s="40" t="s">
        <v>1241</v>
      </c>
      <c r="C251" s="40" t="s">
        <v>1056</v>
      </c>
      <c r="D251" s="41" t="s">
        <v>1244</v>
      </c>
      <c r="E251" s="41" t="s">
        <v>19</v>
      </c>
      <c r="F251" s="41"/>
      <c r="G251" s="41"/>
      <c r="H251" s="13" t="s">
        <v>7</v>
      </c>
      <c r="I251" s="13"/>
      <c r="J251" s="13"/>
      <c r="K251" s="13"/>
      <c r="L251" s="13"/>
      <c r="M251" s="13"/>
      <c r="N251" s="13"/>
      <c r="O251" s="40" t="s">
        <v>93</v>
      </c>
      <c r="P251" s="41" t="s">
        <v>116</v>
      </c>
      <c r="Q251" s="41" t="s">
        <v>116</v>
      </c>
      <c r="R251" s="41" t="s">
        <v>1245</v>
      </c>
      <c r="S251" s="41" t="s">
        <v>69</v>
      </c>
      <c r="T251" s="13" t="s">
        <v>70</v>
      </c>
      <c r="U251" s="41" t="s">
        <v>1243</v>
      </c>
      <c r="V251" s="41" t="s">
        <v>1243</v>
      </c>
      <c r="W251" s="41" t="s">
        <v>1246</v>
      </c>
      <c r="X251" s="41" t="s">
        <v>73</v>
      </c>
      <c r="Y251" s="41" t="s">
        <v>70</v>
      </c>
      <c r="Z251" s="13">
        <v>0</v>
      </c>
      <c r="AA251" s="13"/>
      <c r="AB251" s="13"/>
      <c r="AC251" s="13"/>
      <c r="AD251" s="40">
        <v>110</v>
      </c>
      <c r="AE251" s="40"/>
      <c r="AF251" s="40"/>
      <c r="AG251" s="40"/>
      <c r="AH251" s="40"/>
      <c r="AI251" s="40"/>
      <c r="AJ251" s="40"/>
      <c r="AK251" s="40"/>
      <c r="AL251" s="40"/>
      <c r="AM251" s="47"/>
      <c r="AN251" s="41" t="s">
        <v>1239</v>
      </c>
      <c r="AO251" s="43">
        <v>146</v>
      </c>
      <c r="AP251" s="13">
        <v>4</v>
      </c>
      <c r="AQ251" s="40"/>
      <c r="AR251" s="40"/>
      <c r="AS251" s="6"/>
      <c r="AT251" s="6"/>
      <c r="AU251" s="6"/>
      <c r="AV251" s="6"/>
      <c r="AW251" s="12" t="str">
        <f t="shared" si="7"/>
        <v/>
      </c>
      <c r="AX251" s="12" t="str">
        <f t="shared" si="8"/>
        <v/>
      </c>
      <c r="AY251" s="45"/>
    </row>
    <row r="252" spans="1:51" s="21" customFormat="1" ht="20.100000000000001" customHeight="1" x14ac:dyDescent="0.2">
      <c r="A252" s="13">
        <v>245</v>
      </c>
      <c r="B252" s="29" t="s">
        <v>1241</v>
      </c>
      <c r="C252" s="29" t="s">
        <v>1056</v>
      </c>
      <c r="D252" s="30" t="s">
        <v>951</v>
      </c>
      <c r="E252" s="30" t="s">
        <v>10</v>
      </c>
      <c r="F252" s="30" t="s">
        <v>481</v>
      </c>
      <c r="G252" s="30"/>
      <c r="H252" s="20" t="s">
        <v>83</v>
      </c>
      <c r="I252" s="20"/>
      <c r="J252" s="20"/>
      <c r="K252" s="20"/>
      <c r="L252" s="20"/>
      <c r="M252" s="20"/>
      <c r="N252" s="20"/>
      <c r="O252" s="29" t="s">
        <v>92</v>
      </c>
      <c r="P252" s="30"/>
      <c r="Q252" s="30" t="s">
        <v>218</v>
      </c>
      <c r="R252" s="30" t="s">
        <v>1027</v>
      </c>
      <c r="S252" s="30" t="s">
        <v>69</v>
      </c>
      <c r="T252" s="20" t="s">
        <v>70</v>
      </c>
      <c r="U252" s="30"/>
      <c r="V252" s="30" t="s">
        <v>268</v>
      </c>
      <c r="W252" s="30" t="s">
        <v>1028</v>
      </c>
      <c r="X252" s="30" t="s">
        <v>142</v>
      </c>
      <c r="Y252" s="30" t="s">
        <v>70</v>
      </c>
      <c r="Z252" s="20" t="s">
        <v>1026</v>
      </c>
      <c r="AA252" s="20"/>
      <c r="AB252" s="20"/>
      <c r="AC252" s="20"/>
      <c r="AD252" s="29">
        <v>174</v>
      </c>
      <c r="AE252" s="29"/>
      <c r="AF252" s="29"/>
      <c r="AG252" s="29"/>
      <c r="AH252" s="29"/>
      <c r="AI252" s="29"/>
      <c r="AJ252" s="29"/>
      <c r="AK252" s="29"/>
      <c r="AL252" s="29"/>
      <c r="AM252" s="39" t="s">
        <v>158</v>
      </c>
      <c r="AN252" s="30" t="s">
        <v>1019</v>
      </c>
      <c r="AO252" s="36">
        <v>222</v>
      </c>
      <c r="AP252" s="20"/>
      <c r="AQ252" s="29"/>
      <c r="AR252" s="29"/>
      <c r="AS252" s="30" t="s">
        <v>115</v>
      </c>
      <c r="AT252" s="30" t="s">
        <v>137</v>
      </c>
      <c r="AU252" s="30" t="s">
        <v>115</v>
      </c>
      <c r="AV252" s="30" t="s">
        <v>1247</v>
      </c>
      <c r="AW252" s="31">
        <f t="shared" si="7"/>
        <v>1</v>
      </c>
      <c r="AX252" s="31">
        <f t="shared" si="8"/>
        <v>1</v>
      </c>
      <c r="AY252" s="32"/>
    </row>
    <row r="253" spans="1:51" ht="20.100000000000001" customHeight="1" x14ac:dyDescent="0.2">
      <c r="A253" s="13">
        <v>246</v>
      </c>
      <c r="B253" s="40" t="s">
        <v>1241</v>
      </c>
      <c r="C253" s="40" t="s">
        <v>1056</v>
      </c>
      <c r="D253" s="41" t="s">
        <v>1248</v>
      </c>
      <c r="E253" s="41" t="s">
        <v>10</v>
      </c>
      <c r="F253" s="41" t="s">
        <v>185</v>
      </c>
      <c r="G253" s="41"/>
      <c r="H253" s="13" t="s">
        <v>83</v>
      </c>
      <c r="I253" s="13"/>
      <c r="J253" s="13"/>
      <c r="K253" s="13"/>
      <c r="L253" s="13"/>
      <c r="M253" s="13"/>
      <c r="N253" s="13"/>
      <c r="O253" s="40" t="s">
        <v>92</v>
      </c>
      <c r="P253" s="41"/>
      <c r="Q253" s="41" t="s">
        <v>155</v>
      </c>
      <c r="R253" s="41" t="s">
        <v>1249</v>
      </c>
      <c r="S253" s="41" t="s">
        <v>119</v>
      </c>
      <c r="T253" s="13" t="s">
        <v>107</v>
      </c>
      <c r="U253" s="41"/>
      <c r="V253" s="41" t="s">
        <v>167</v>
      </c>
      <c r="W253" s="41" t="s">
        <v>1250</v>
      </c>
      <c r="X253" s="41" t="s">
        <v>119</v>
      </c>
      <c r="Y253" s="41" t="s">
        <v>107</v>
      </c>
      <c r="Z253" s="13" t="s">
        <v>1251</v>
      </c>
      <c r="AA253" s="13"/>
      <c r="AB253" s="13"/>
      <c r="AC253" s="13"/>
      <c r="AD253" s="40">
        <v>180</v>
      </c>
      <c r="AE253" s="40"/>
      <c r="AF253" s="40"/>
      <c r="AG253" s="40"/>
      <c r="AH253" s="40"/>
      <c r="AI253" s="40"/>
      <c r="AJ253" s="40"/>
      <c r="AK253" s="40"/>
      <c r="AL253" s="40"/>
      <c r="AM253" s="47"/>
      <c r="AN253" s="41" t="s">
        <v>895</v>
      </c>
      <c r="AO253" s="43">
        <v>204</v>
      </c>
      <c r="AP253" s="13">
        <v>25</v>
      </c>
      <c r="AQ253" s="40"/>
      <c r="AR253" s="40"/>
      <c r="AS253" s="6" t="s">
        <v>115</v>
      </c>
      <c r="AT253" s="6" t="s">
        <v>137</v>
      </c>
      <c r="AU253" s="6" t="s">
        <v>208</v>
      </c>
      <c r="AV253" s="6" t="s">
        <v>1247</v>
      </c>
      <c r="AW253" s="12">
        <f t="shared" si="7"/>
        <v>25</v>
      </c>
      <c r="AX253" s="12" t="str">
        <f t="shared" si="8"/>
        <v/>
      </c>
      <c r="AY253" s="45"/>
    </row>
    <row r="254" spans="1:51" ht="20.100000000000001" customHeight="1" x14ac:dyDescent="0.2">
      <c r="A254" s="13">
        <v>247</v>
      </c>
      <c r="B254" s="40" t="s">
        <v>1252</v>
      </c>
      <c r="C254" s="40" t="s">
        <v>1253</v>
      </c>
      <c r="D254" s="41" t="s">
        <v>951</v>
      </c>
      <c r="E254" s="41" t="s">
        <v>10</v>
      </c>
      <c r="F254" s="41"/>
      <c r="G254" s="41"/>
      <c r="H254" s="13" t="s">
        <v>7</v>
      </c>
      <c r="I254" s="13"/>
      <c r="J254" s="13"/>
      <c r="K254" s="13"/>
      <c r="L254" s="13"/>
      <c r="M254" s="13"/>
      <c r="N254" s="13"/>
      <c r="O254" s="40" t="s">
        <v>92</v>
      </c>
      <c r="P254" s="35" t="s">
        <v>218</v>
      </c>
      <c r="Q254" s="35" t="s">
        <v>117</v>
      </c>
      <c r="R254" s="41"/>
      <c r="S254" s="41" t="s">
        <v>106</v>
      </c>
      <c r="T254" s="13" t="s">
        <v>107</v>
      </c>
      <c r="U254" s="35" t="s">
        <v>268</v>
      </c>
      <c r="V254" s="35" t="s">
        <v>1254</v>
      </c>
      <c r="W254" s="41" t="s">
        <v>1255</v>
      </c>
      <c r="X254" s="41" t="s">
        <v>73</v>
      </c>
      <c r="Y254" s="41" t="s">
        <v>70</v>
      </c>
      <c r="Z254" s="13">
        <v>0</v>
      </c>
      <c r="AA254" s="13"/>
      <c r="AB254" s="13"/>
      <c r="AC254" s="13"/>
      <c r="AD254" s="40">
        <v>174</v>
      </c>
      <c r="AE254" s="40"/>
      <c r="AF254" s="40"/>
      <c r="AG254" s="40"/>
      <c r="AH254" s="40"/>
      <c r="AI254" s="40"/>
      <c r="AJ254" s="40"/>
      <c r="AK254" s="40"/>
      <c r="AL254" s="40"/>
      <c r="AM254" s="50" t="s">
        <v>158</v>
      </c>
      <c r="AN254" s="41" t="s">
        <v>1256</v>
      </c>
      <c r="AO254" s="43">
        <v>141</v>
      </c>
      <c r="AP254" s="13"/>
      <c r="AQ254" s="40"/>
      <c r="AR254" s="40"/>
      <c r="AS254" s="6"/>
      <c r="AT254" s="6"/>
      <c r="AU254" s="6"/>
      <c r="AV254" s="6"/>
      <c r="AW254" s="12" t="str">
        <f t="shared" si="7"/>
        <v/>
      </c>
      <c r="AX254" s="12" t="str">
        <f t="shared" si="8"/>
        <v/>
      </c>
      <c r="AY254" s="45"/>
    </row>
    <row r="255" spans="1:51" ht="20.100000000000001" customHeight="1" x14ac:dyDescent="0.2">
      <c r="A255" s="13">
        <v>248</v>
      </c>
      <c r="B255" s="40" t="s">
        <v>1257</v>
      </c>
      <c r="C255" s="40" t="s">
        <v>1253</v>
      </c>
      <c r="D255" s="41" t="s">
        <v>1258</v>
      </c>
      <c r="E255" s="41" t="s">
        <v>9</v>
      </c>
      <c r="F255" s="41" t="s">
        <v>186</v>
      </c>
      <c r="G255" s="41"/>
      <c r="H255" s="13" t="s">
        <v>83</v>
      </c>
      <c r="I255" s="13"/>
      <c r="J255" s="13"/>
      <c r="K255" s="13"/>
      <c r="L255" s="13"/>
      <c r="M255" s="13"/>
      <c r="N255" s="13"/>
      <c r="O255" s="40" t="s">
        <v>93</v>
      </c>
      <c r="P255" s="41"/>
      <c r="Q255" s="41" t="s">
        <v>218</v>
      </c>
      <c r="R255" s="41" t="s">
        <v>1259</v>
      </c>
      <c r="S255" s="41" t="s">
        <v>69</v>
      </c>
      <c r="T255" s="13" t="s">
        <v>70</v>
      </c>
      <c r="U255" s="41"/>
      <c r="V255" s="41" t="s">
        <v>108</v>
      </c>
      <c r="W255" s="41" t="s">
        <v>1260</v>
      </c>
      <c r="X255" s="41" t="s">
        <v>69</v>
      </c>
      <c r="Y255" s="41" t="s">
        <v>70</v>
      </c>
      <c r="Z255" s="13" t="s">
        <v>1261</v>
      </c>
      <c r="AA255" s="13"/>
      <c r="AB255" s="13"/>
      <c r="AC255" s="13"/>
      <c r="AD255" s="40">
        <v>240</v>
      </c>
      <c r="AE255" s="40"/>
      <c r="AF255" s="40"/>
      <c r="AG255" s="40"/>
      <c r="AH255" s="40"/>
      <c r="AI255" s="40"/>
      <c r="AJ255" s="40"/>
      <c r="AK255" s="40"/>
      <c r="AL255" s="40"/>
      <c r="AM255" s="47"/>
      <c r="AN255" s="41" t="s">
        <v>1262</v>
      </c>
      <c r="AO255" s="43">
        <v>140</v>
      </c>
      <c r="AP255" s="13">
        <v>25</v>
      </c>
      <c r="AQ255" s="40"/>
      <c r="AR255" s="40"/>
      <c r="AS255" s="6" t="s">
        <v>115</v>
      </c>
      <c r="AT255" s="6" t="s">
        <v>344</v>
      </c>
      <c r="AU255" s="6" t="s">
        <v>208</v>
      </c>
      <c r="AV255" s="6" t="s">
        <v>260</v>
      </c>
      <c r="AW255" s="12">
        <f t="shared" si="7"/>
        <v>19</v>
      </c>
      <c r="AX255" s="12" t="str">
        <f t="shared" si="8"/>
        <v/>
      </c>
      <c r="AY255" s="45"/>
    </row>
    <row r="256" spans="1:51" s="21" customFormat="1" ht="20.100000000000001" customHeight="1" x14ac:dyDescent="0.2">
      <c r="A256" s="13">
        <v>249</v>
      </c>
      <c r="B256" s="29" t="s">
        <v>1263</v>
      </c>
      <c r="C256" s="29" t="s">
        <v>1253</v>
      </c>
      <c r="D256" s="30" t="s">
        <v>1082</v>
      </c>
      <c r="E256" s="30" t="s">
        <v>243</v>
      </c>
      <c r="F256" s="30" t="s">
        <v>481</v>
      </c>
      <c r="G256" s="30"/>
      <c r="H256" s="20" t="s">
        <v>83</v>
      </c>
      <c r="I256" s="20"/>
      <c r="J256" s="20"/>
      <c r="K256" s="20"/>
      <c r="L256" s="20"/>
      <c r="M256" s="20"/>
      <c r="N256" s="20"/>
      <c r="O256" s="29" t="s">
        <v>67</v>
      </c>
      <c r="P256" s="30"/>
      <c r="Q256" s="30" t="s">
        <v>155</v>
      </c>
      <c r="R256" s="30" t="s">
        <v>1083</v>
      </c>
      <c r="S256" s="30" t="s">
        <v>106</v>
      </c>
      <c r="T256" s="20" t="s">
        <v>107</v>
      </c>
      <c r="U256" s="30"/>
      <c r="V256" s="30" t="s">
        <v>804</v>
      </c>
      <c r="W256" s="30" t="s">
        <v>1085</v>
      </c>
      <c r="X256" s="30" t="s">
        <v>444</v>
      </c>
      <c r="Y256" s="30" t="s">
        <v>107</v>
      </c>
      <c r="Z256" s="20" t="s">
        <v>1206</v>
      </c>
      <c r="AA256" s="20"/>
      <c r="AB256" s="20"/>
      <c r="AC256" s="20"/>
      <c r="AD256" s="29">
        <v>108</v>
      </c>
      <c r="AE256" s="29"/>
      <c r="AF256" s="29"/>
      <c r="AG256" s="29"/>
      <c r="AH256" s="29"/>
      <c r="AI256" s="29"/>
      <c r="AJ256" s="29"/>
      <c r="AK256" s="29"/>
      <c r="AL256" s="29"/>
      <c r="AM256" s="39"/>
      <c r="AN256" s="30" t="s">
        <v>1203</v>
      </c>
      <c r="AO256" s="30"/>
      <c r="AP256" s="20"/>
      <c r="AQ256" s="29"/>
      <c r="AR256" s="29"/>
      <c r="AS256" s="30" t="s">
        <v>115</v>
      </c>
      <c r="AT256" s="30" t="s">
        <v>344</v>
      </c>
      <c r="AU256" s="30" t="s">
        <v>115</v>
      </c>
      <c r="AV256" s="30" t="s">
        <v>137</v>
      </c>
      <c r="AW256" s="31">
        <f t="shared" si="7"/>
        <v>1</v>
      </c>
      <c r="AX256" s="31">
        <f t="shared" si="8"/>
        <v>1</v>
      </c>
      <c r="AY256" s="32"/>
    </row>
    <row r="257" spans="1:51" ht="20.100000000000001" customHeight="1" x14ac:dyDescent="0.2">
      <c r="A257" s="13">
        <v>250</v>
      </c>
      <c r="B257" s="40" t="s">
        <v>1264</v>
      </c>
      <c r="C257" s="40" t="s">
        <v>1253</v>
      </c>
      <c r="D257" s="41" t="s">
        <v>1082</v>
      </c>
      <c r="E257" s="41" t="s">
        <v>243</v>
      </c>
      <c r="F257" s="41"/>
      <c r="G257" s="41"/>
      <c r="H257" s="13" t="s">
        <v>7</v>
      </c>
      <c r="I257" s="13"/>
      <c r="J257" s="13"/>
      <c r="K257" s="13"/>
      <c r="L257" s="13"/>
      <c r="M257" s="13"/>
      <c r="N257" s="13"/>
      <c r="O257" s="40" t="s">
        <v>92</v>
      </c>
      <c r="P257" s="41" t="s">
        <v>155</v>
      </c>
      <c r="Q257" s="41" t="s">
        <v>155</v>
      </c>
      <c r="R257" s="41" t="s">
        <v>1265</v>
      </c>
      <c r="S257" s="41" t="s">
        <v>69</v>
      </c>
      <c r="T257" s="13" t="s">
        <v>70</v>
      </c>
      <c r="U257" s="41" t="s">
        <v>804</v>
      </c>
      <c r="V257" s="41" t="s">
        <v>804</v>
      </c>
      <c r="W257" s="41" t="s">
        <v>1266</v>
      </c>
      <c r="X257" s="41" t="s">
        <v>444</v>
      </c>
      <c r="Y257" s="41" t="s">
        <v>107</v>
      </c>
      <c r="Z257" s="13">
        <v>0</v>
      </c>
      <c r="AA257" s="13"/>
      <c r="AB257" s="13"/>
      <c r="AC257" s="13"/>
      <c r="AD257" s="40">
        <v>108</v>
      </c>
      <c r="AE257" s="40"/>
      <c r="AF257" s="40"/>
      <c r="AG257" s="40"/>
      <c r="AH257" s="40"/>
      <c r="AI257" s="40"/>
      <c r="AJ257" s="40"/>
      <c r="AK257" s="40"/>
      <c r="AL257" s="40"/>
      <c r="AM257" s="47"/>
      <c r="AN257" s="41" t="s">
        <v>1257</v>
      </c>
      <c r="AO257" s="43">
        <v>128</v>
      </c>
      <c r="AP257" s="13">
        <v>31</v>
      </c>
      <c r="AQ257" s="40"/>
      <c r="AR257" s="40"/>
      <c r="AS257" s="6"/>
      <c r="AT257" s="6"/>
      <c r="AU257" s="6"/>
      <c r="AV257" s="6"/>
      <c r="AW257" s="12" t="str">
        <f t="shared" si="7"/>
        <v/>
      </c>
      <c r="AX257" s="12" t="str">
        <f t="shared" si="8"/>
        <v/>
      </c>
      <c r="AY257" s="45"/>
    </row>
    <row r="258" spans="1:51" ht="20.100000000000001" customHeight="1" x14ac:dyDescent="0.2">
      <c r="A258" s="13">
        <v>251</v>
      </c>
      <c r="B258" s="40" t="s">
        <v>1264</v>
      </c>
      <c r="C258" s="40" t="s">
        <v>1253</v>
      </c>
      <c r="D258" s="41" t="s">
        <v>1207</v>
      </c>
      <c r="E258" s="41" t="s">
        <v>19</v>
      </c>
      <c r="F258" s="41"/>
      <c r="G258" s="41"/>
      <c r="H258" s="13" t="s">
        <v>7</v>
      </c>
      <c r="I258" s="13"/>
      <c r="J258" s="13"/>
      <c r="K258" s="13"/>
      <c r="L258" s="13"/>
      <c r="M258" s="13"/>
      <c r="N258" s="13"/>
      <c r="O258" s="40" t="s">
        <v>92</v>
      </c>
      <c r="P258" s="35" t="s">
        <v>104</v>
      </c>
      <c r="Q258" s="35" t="s">
        <v>68</v>
      </c>
      <c r="R258" s="41" t="s">
        <v>882</v>
      </c>
      <c r="S258" s="41" t="s">
        <v>106</v>
      </c>
      <c r="T258" s="13" t="s">
        <v>107</v>
      </c>
      <c r="U258" s="35" t="s">
        <v>108</v>
      </c>
      <c r="V258" s="35" t="s">
        <v>332</v>
      </c>
      <c r="W258" s="41" t="s">
        <v>1267</v>
      </c>
      <c r="X258" s="41" t="s">
        <v>69</v>
      </c>
      <c r="Y258" s="41" t="s">
        <v>70</v>
      </c>
      <c r="Z258" s="13">
        <v>0</v>
      </c>
      <c r="AA258" s="13"/>
      <c r="AB258" s="13"/>
      <c r="AC258" s="13"/>
      <c r="AD258" s="40">
        <v>156</v>
      </c>
      <c r="AE258" s="40"/>
      <c r="AF258" s="40"/>
      <c r="AG258" s="40"/>
      <c r="AH258" s="40"/>
      <c r="AI258" s="40"/>
      <c r="AJ258" s="40"/>
      <c r="AK258" s="40"/>
      <c r="AL258" s="40"/>
      <c r="AM258" s="50" t="s">
        <v>158</v>
      </c>
      <c r="AN258" s="41" t="s">
        <v>1206</v>
      </c>
      <c r="AO258" s="43">
        <v>150</v>
      </c>
      <c r="AP258" s="13"/>
      <c r="AQ258" s="40"/>
      <c r="AR258" s="40"/>
      <c r="AS258" s="6"/>
      <c r="AT258" s="6"/>
      <c r="AU258" s="6"/>
      <c r="AV258" s="6"/>
      <c r="AW258" s="12" t="str">
        <f t="shared" si="7"/>
        <v/>
      </c>
      <c r="AX258" s="12" t="str">
        <f t="shared" si="8"/>
        <v/>
      </c>
      <c r="AY258" s="45"/>
    </row>
    <row r="259" spans="1:51" s="21" customFormat="1" ht="20.100000000000001" customHeight="1" x14ac:dyDescent="0.2">
      <c r="A259" s="13">
        <v>252</v>
      </c>
      <c r="B259" s="29" t="s">
        <v>1268</v>
      </c>
      <c r="C259" s="29" t="s">
        <v>1253</v>
      </c>
      <c r="D259" s="30" t="s">
        <v>1269</v>
      </c>
      <c r="E259" s="30" t="s">
        <v>243</v>
      </c>
      <c r="F259" s="30" t="s">
        <v>186</v>
      </c>
      <c r="G259" s="30"/>
      <c r="H259" s="20" t="s">
        <v>83</v>
      </c>
      <c r="I259" s="20"/>
      <c r="J259" s="20"/>
      <c r="K259" s="20"/>
      <c r="L259" s="20"/>
      <c r="M259" s="20"/>
      <c r="N259" s="20"/>
      <c r="O259" s="29" t="s">
        <v>92</v>
      </c>
      <c r="P259" s="30"/>
      <c r="Q259" s="30" t="s">
        <v>104</v>
      </c>
      <c r="R259" s="30" t="s">
        <v>1270</v>
      </c>
      <c r="S259" s="30" t="s">
        <v>69</v>
      </c>
      <c r="T259" s="20" t="s">
        <v>70</v>
      </c>
      <c r="U259" s="30"/>
      <c r="V259" s="30" t="s">
        <v>256</v>
      </c>
      <c r="W259" s="30" t="s">
        <v>1271</v>
      </c>
      <c r="X259" s="30" t="s">
        <v>119</v>
      </c>
      <c r="Y259" s="30" t="s">
        <v>107</v>
      </c>
      <c r="Z259" s="20" t="s">
        <v>1272</v>
      </c>
      <c r="AA259" s="20"/>
      <c r="AB259" s="20"/>
      <c r="AC259" s="20"/>
      <c r="AD259" s="29">
        <v>114</v>
      </c>
      <c r="AE259" s="29"/>
      <c r="AF259" s="29"/>
      <c r="AG259" s="29"/>
      <c r="AH259" s="29"/>
      <c r="AI259" s="29"/>
      <c r="AJ259" s="29"/>
      <c r="AK259" s="29"/>
      <c r="AL259" s="29"/>
      <c r="AM259" s="39"/>
      <c r="AN259" s="30" t="s">
        <v>1273</v>
      </c>
      <c r="AO259" s="36">
        <v>95</v>
      </c>
      <c r="AP259" s="20">
        <v>44</v>
      </c>
      <c r="AQ259" s="29"/>
      <c r="AR259" s="29"/>
      <c r="AS259" s="30" t="s">
        <v>115</v>
      </c>
      <c r="AT259" s="30" t="s">
        <v>344</v>
      </c>
      <c r="AU259" s="30" t="s">
        <v>136</v>
      </c>
      <c r="AV259" s="30" t="s">
        <v>266</v>
      </c>
      <c r="AW259" s="31">
        <f t="shared" si="7"/>
        <v>10</v>
      </c>
      <c r="AX259" s="31">
        <f t="shared" si="8"/>
        <v>10</v>
      </c>
      <c r="AY259" s="32"/>
    </row>
    <row r="260" spans="1:51" s="19" customFormat="1" ht="20.100000000000001" customHeight="1" x14ac:dyDescent="0.2">
      <c r="A260" s="13">
        <v>253</v>
      </c>
      <c r="B260" s="16" t="s">
        <v>1274</v>
      </c>
      <c r="C260" s="16" t="s">
        <v>1253</v>
      </c>
      <c r="D260" s="6" t="s">
        <v>1275</v>
      </c>
      <c r="E260" s="6" t="s">
        <v>10</v>
      </c>
      <c r="F260" s="6" t="s">
        <v>174</v>
      </c>
      <c r="G260" s="6"/>
      <c r="H260" s="15" t="s">
        <v>83</v>
      </c>
      <c r="I260" s="15"/>
      <c r="J260" s="15"/>
      <c r="K260" s="15"/>
      <c r="L260" s="15"/>
      <c r="M260" s="15"/>
      <c r="N260" s="15"/>
      <c r="O260" s="16" t="s">
        <v>93</v>
      </c>
      <c r="P260" s="6"/>
      <c r="Q260" s="6" t="s">
        <v>117</v>
      </c>
      <c r="R260" s="6" t="s">
        <v>1276</v>
      </c>
      <c r="S260" s="6" t="s">
        <v>119</v>
      </c>
      <c r="T260" s="15" t="s">
        <v>107</v>
      </c>
      <c r="U260" s="6"/>
      <c r="V260" s="6" t="s">
        <v>204</v>
      </c>
      <c r="W260" s="6" t="s">
        <v>1277</v>
      </c>
      <c r="X260" s="6" t="s">
        <v>119</v>
      </c>
      <c r="Y260" s="6" t="s">
        <v>107</v>
      </c>
      <c r="Z260" s="15" t="s">
        <v>926</v>
      </c>
      <c r="AA260" s="15"/>
      <c r="AB260" s="15"/>
      <c r="AC260" s="15"/>
      <c r="AD260" s="16">
        <v>174</v>
      </c>
      <c r="AE260" s="16"/>
      <c r="AF260" s="16"/>
      <c r="AG260" s="16"/>
      <c r="AH260" s="16"/>
      <c r="AI260" s="16"/>
      <c r="AJ260" s="16"/>
      <c r="AK260" s="16"/>
      <c r="AL260" s="16"/>
      <c r="AM260" s="17"/>
      <c r="AN260" s="6" t="s">
        <v>1278</v>
      </c>
      <c r="AO260" s="25">
        <v>212</v>
      </c>
      <c r="AP260" s="15">
        <v>12.5</v>
      </c>
      <c r="AQ260" s="16"/>
      <c r="AR260" s="16"/>
      <c r="AS260" s="6" t="s">
        <v>115</v>
      </c>
      <c r="AT260" s="6" t="s">
        <v>344</v>
      </c>
      <c r="AU260" s="6" t="s">
        <v>136</v>
      </c>
      <c r="AV260" s="6" t="s">
        <v>124</v>
      </c>
      <c r="AW260" s="46">
        <f t="shared" si="7"/>
        <v>15</v>
      </c>
      <c r="AX260" s="46" t="str">
        <f t="shared" si="8"/>
        <v/>
      </c>
      <c r="AY260" s="18"/>
    </row>
    <row r="261" spans="1:51" s="21" customFormat="1" ht="20.100000000000001" customHeight="1" x14ac:dyDescent="0.2">
      <c r="A261" s="13">
        <v>254</v>
      </c>
      <c r="B261" s="29" t="s">
        <v>1274</v>
      </c>
      <c r="C261" s="29" t="s">
        <v>1253</v>
      </c>
      <c r="D261" s="30" t="s">
        <v>1130</v>
      </c>
      <c r="E261" s="30" t="s">
        <v>10</v>
      </c>
      <c r="F261" s="30" t="s">
        <v>186</v>
      </c>
      <c r="G261" s="30"/>
      <c r="H261" s="20" t="s">
        <v>222</v>
      </c>
      <c r="I261" s="20"/>
      <c r="J261" s="20"/>
      <c r="K261" s="20"/>
      <c r="L261" s="20"/>
      <c r="M261" s="20"/>
      <c r="N261" s="20"/>
      <c r="O261" s="29" t="s">
        <v>92</v>
      </c>
      <c r="P261" s="30"/>
      <c r="Q261" s="30" t="s">
        <v>104</v>
      </c>
      <c r="R261" s="30" t="s">
        <v>1173</v>
      </c>
      <c r="S261" s="30" t="s">
        <v>142</v>
      </c>
      <c r="T261" s="20" t="s">
        <v>70</v>
      </c>
      <c r="U261" s="30"/>
      <c r="V261" s="30" t="s">
        <v>190</v>
      </c>
      <c r="W261" s="30" t="s">
        <v>1174</v>
      </c>
      <c r="X261" s="30" t="s">
        <v>106</v>
      </c>
      <c r="Y261" s="30" t="s">
        <v>107</v>
      </c>
      <c r="Z261" s="20" t="s">
        <v>1169</v>
      </c>
      <c r="AA261" s="20"/>
      <c r="AB261" s="20"/>
      <c r="AC261" s="20"/>
      <c r="AD261" s="29"/>
      <c r="AE261" s="29"/>
      <c r="AF261" s="29"/>
      <c r="AG261" s="29"/>
      <c r="AH261" s="29"/>
      <c r="AI261" s="29"/>
      <c r="AJ261" s="29"/>
      <c r="AK261" s="29"/>
      <c r="AL261" s="29"/>
      <c r="AM261" s="20" t="s">
        <v>158</v>
      </c>
      <c r="AN261" s="30" t="s">
        <v>1152</v>
      </c>
      <c r="AO261" s="30"/>
      <c r="AP261" s="20"/>
      <c r="AQ261" s="29"/>
      <c r="AR261" s="29"/>
      <c r="AS261" s="30" t="s">
        <v>115</v>
      </c>
      <c r="AT261" s="30" t="s">
        <v>344</v>
      </c>
      <c r="AU261" s="30" t="s">
        <v>115</v>
      </c>
      <c r="AV261" s="30" t="s">
        <v>137</v>
      </c>
      <c r="AW261" s="31">
        <f t="shared" si="7"/>
        <v>1</v>
      </c>
      <c r="AX261" s="31">
        <f t="shared" si="8"/>
        <v>1</v>
      </c>
      <c r="AY261" s="32"/>
    </row>
    <row r="262" spans="1:51" ht="20.100000000000001" customHeight="1" x14ac:dyDescent="0.2">
      <c r="A262" s="13">
        <v>255</v>
      </c>
      <c r="B262" s="40" t="s">
        <v>1279</v>
      </c>
      <c r="C262" s="40" t="s">
        <v>1253</v>
      </c>
      <c r="D262" s="41" t="s">
        <v>285</v>
      </c>
      <c r="E262" s="41" t="s">
        <v>9</v>
      </c>
      <c r="F262" s="41" t="s">
        <v>186</v>
      </c>
      <c r="G262" s="41"/>
      <c r="H262" s="13" t="s">
        <v>83</v>
      </c>
      <c r="I262" s="13"/>
      <c r="J262" s="13"/>
      <c r="K262" s="13"/>
      <c r="L262" s="13"/>
      <c r="M262" s="13"/>
      <c r="N262" s="13"/>
      <c r="O262" s="40" t="s">
        <v>67</v>
      </c>
      <c r="P262" s="41"/>
      <c r="Q262" s="41" t="s">
        <v>218</v>
      </c>
      <c r="R262" s="41" t="s">
        <v>1280</v>
      </c>
      <c r="S262" s="41" t="s">
        <v>142</v>
      </c>
      <c r="T262" s="13" t="s">
        <v>70</v>
      </c>
      <c r="U262" s="41"/>
      <c r="V262" s="41" t="s">
        <v>453</v>
      </c>
      <c r="W262" s="41" t="s">
        <v>1281</v>
      </c>
      <c r="X262" s="41" t="s">
        <v>262</v>
      </c>
      <c r="Y262" s="41" t="s">
        <v>70</v>
      </c>
      <c r="Z262" s="13" t="s">
        <v>1282</v>
      </c>
      <c r="AA262" s="13"/>
      <c r="AB262" s="13"/>
      <c r="AC262" s="13"/>
      <c r="AD262" s="40">
        <v>216</v>
      </c>
      <c r="AE262" s="40"/>
      <c r="AF262" s="40"/>
      <c r="AG262" s="40"/>
      <c r="AH262" s="40"/>
      <c r="AI262" s="40"/>
      <c r="AJ262" s="40"/>
      <c r="AK262" s="40"/>
      <c r="AL262" s="40"/>
      <c r="AM262" s="47"/>
      <c r="AN262" s="41" t="s">
        <v>1283</v>
      </c>
      <c r="AO262" s="43">
        <v>255</v>
      </c>
      <c r="AP262" s="13">
        <v>22</v>
      </c>
      <c r="AQ262" s="40"/>
      <c r="AR262" s="40"/>
      <c r="AS262" s="6" t="s">
        <v>115</v>
      </c>
      <c r="AT262" s="6" t="s">
        <v>344</v>
      </c>
      <c r="AU262" s="6" t="s">
        <v>208</v>
      </c>
      <c r="AV262" s="6" t="s">
        <v>441</v>
      </c>
      <c r="AW262" s="12">
        <f t="shared" si="7"/>
        <v>21</v>
      </c>
      <c r="AX262" s="12" t="str">
        <f t="shared" si="8"/>
        <v/>
      </c>
      <c r="AY262" s="45"/>
    </row>
    <row r="263" spans="1:51" ht="20.100000000000001" customHeight="1" x14ac:dyDescent="0.2">
      <c r="A263" s="13">
        <v>256</v>
      </c>
      <c r="B263" s="40" t="s">
        <v>1279</v>
      </c>
      <c r="C263" s="40" t="s">
        <v>1253</v>
      </c>
      <c r="D263" s="41" t="s">
        <v>1269</v>
      </c>
      <c r="E263" s="41" t="s">
        <v>243</v>
      </c>
      <c r="F263" s="41"/>
      <c r="G263" s="41"/>
      <c r="H263" s="13" t="s">
        <v>7</v>
      </c>
      <c r="I263" s="13"/>
      <c r="J263" s="13"/>
      <c r="K263" s="13"/>
      <c r="L263" s="13"/>
      <c r="M263" s="13"/>
      <c r="N263" s="13"/>
      <c r="O263" s="40" t="s">
        <v>92</v>
      </c>
      <c r="P263" s="35" t="s">
        <v>104</v>
      </c>
      <c r="Q263" s="35" t="s">
        <v>218</v>
      </c>
      <c r="R263" s="41" t="s">
        <v>854</v>
      </c>
      <c r="S263" s="41" t="s">
        <v>369</v>
      </c>
      <c r="T263" s="13" t="s">
        <v>369</v>
      </c>
      <c r="U263" s="35" t="s">
        <v>256</v>
      </c>
      <c r="V263" s="35" t="s">
        <v>899</v>
      </c>
      <c r="W263" s="41" t="s">
        <v>1284</v>
      </c>
      <c r="X263" s="41" t="s">
        <v>106</v>
      </c>
      <c r="Y263" s="41" t="s">
        <v>107</v>
      </c>
      <c r="Z263" s="13">
        <v>0</v>
      </c>
      <c r="AA263" s="13"/>
      <c r="AB263" s="13"/>
      <c r="AC263" s="13"/>
      <c r="AD263" s="40">
        <v>114</v>
      </c>
      <c r="AE263" s="40"/>
      <c r="AF263" s="40"/>
      <c r="AG263" s="40"/>
      <c r="AH263" s="40"/>
      <c r="AI263" s="40"/>
      <c r="AJ263" s="40"/>
      <c r="AK263" s="40"/>
      <c r="AL263" s="40"/>
      <c r="AM263" s="50" t="s">
        <v>158</v>
      </c>
      <c r="AN263" s="41" t="s">
        <v>1285</v>
      </c>
      <c r="AO263" s="41"/>
      <c r="AP263" s="13"/>
      <c r="AQ263" s="40"/>
      <c r="AR263" s="40"/>
      <c r="AS263" s="6"/>
      <c r="AT263" s="6"/>
      <c r="AU263" s="6"/>
      <c r="AV263" s="6"/>
      <c r="AW263" s="12" t="str">
        <f t="shared" si="7"/>
        <v/>
      </c>
      <c r="AX263" s="12" t="str">
        <f t="shared" si="8"/>
        <v/>
      </c>
      <c r="AY263" s="45"/>
    </row>
    <row r="264" spans="1:51" ht="20.100000000000001" customHeight="1" x14ac:dyDescent="0.2">
      <c r="A264" s="13">
        <v>257</v>
      </c>
      <c r="B264" s="40" t="s">
        <v>1286</v>
      </c>
      <c r="C264" s="40" t="s">
        <v>1253</v>
      </c>
      <c r="D264" s="41" t="s">
        <v>1153</v>
      </c>
      <c r="E264" s="41" t="s">
        <v>6</v>
      </c>
      <c r="F264" s="41"/>
      <c r="G264" s="41"/>
      <c r="H264" s="13" t="s">
        <v>7</v>
      </c>
      <c r="I264" s="13"/>
      <c r="J264" s="13"/>
      <c r="K264" s="13"/>
      <c r="L264" s="13"/>
      <c r="M264" s="13"/>
      <c r="N264" s="13"/>
      <c r="O264" s="40" t="s">
        <v>67</v>
      </c>
      <c r="P264" s="41" t="s">
        <v>104</v>
      </c>
      <c r="Q264" s="41" t="s">
        <v>104</v>
      </c>
      <c r="R264" s="41" t="s">
        <v>1173</v>
      </c>
      <c r="S264" s="41" t="s">
        <v>106</v>
      </c>
      <c r="T264" s="13" t="s">
        <v>107</v>
      </c>
      <c r="U264" s="35" t="s">
        <v>361</v>
      </c>
      <c r="V264" s="35" t="s">
        <v>131</v>
      </c>
      <c r="W264" s="41" t="s">
        <v>1287</v>
      </c>
      <c r="X264" s="41" t="s">
        <v>73</v>
      </c>
      <c r="Y264" s="41" t="s">
        <v>70</v>
      </c>
      <c r="Z264" s="13">
        <v>0</v>
      </c>
      <c r="AA264" s="13"/>
      <c r="AB264" s="13"/>
      <c r="AC264" s="13"/>
      <c r="AD264" s="40">
        <v>144</v>
      </c>
      <c r="AE264" s="40"/>
      <c r="AF264" s="40"/>
      <c r="AG264" s="40"/>
      <c r="AH264" s="40"/>
      <c r="AI264" s="40"/>
      <c r="AJ264" s="40"/>
      <c r="AK264" s="40"/>
      <c r="AL264" s="40"/>
      <c r="AM264" s="50" t="s">
        <v>158</v>
      </c>
      <c r="AN264" s="41" t="s">
        <v>1279</v>
      </c>
      <c r="AO264" s="41"/>
      <c r="AP264" s="13"/>
      <c r="AQ264" s="40"/>
      <c r="AR264" s="40"/>
      <c r="AS264" s="6"/>
      <c r="AT264" s="6"/>
      <c r="AU264" s="6"/>
      <c r="AV264" s="6"/>
      <c r="AW264" s="12" t="str">
        <f t="shared" ref="AW264:AW326" si="9">IF(AS264*AU264&gt;0,(AS264-AU264)*12+(AT264-AV264),"")</f>
        <v/>
      </c>
      <c r="AX264" s="12" t="str">
        <f t="shared" si="8"/>
        <v/>
      </c>
      <c r="AY264" s="45"/>
    </row>
    <row r="265" spans="1:51" s="21" customFormat="1" ht="21" customHeight="1" x14ac:dyDescent="0.2">
      <c r="A265" s="13">
        <v>258</v>
      </c>
      <c r="B265" s="29" t="s">
        <v>1286</v>
      </c>
      <c r="C265" s="29" t="s">
        <v>1253</v>
      </c>
      <c r="D265" s="30" t="s">
        <v>1207</v>
      </c>
      <c r="E265" s="30" t="s">
        <v>8</v>
      </c>
      <c r="F265" s="30" t="s">
        <v>1235</v>
      </c>
      <c r="G265" s="30"/>
      <c r="H265" s="20" t="s">
        <v>83</v>
      </c>
      <c r="I265" s="20"/>
      <c r="J265" s="20"/>
      <c r="K265" s="20"/>
      <c r="L265" s="20"/>
      <c r="M265" s="20"/>
      <c r="N265" s="20"/>
      <c r="O265" s="29" t="s">
        <v>92</v>
      </c>
      <c r="P265" s="30"/>
      <c r="Q265" s="30" t="s">
        <v>68</v>
      </c>
      <c r="R265" s="30" t="s">
        <v>882</v>
      </c>
      <c r="S265" s="30" t="s">
        <v>106</v>
      </c>
      <c r="T265" s="20" t="s">
        <v>107</v>
      </c>
      <c r="U265" s="30"/>
      <c r="V265" s="30" t="s">
        <v>332</v>
      </c>
      <c r="W265" s="30" t="s">
        <v>1267</v>
      </c>
      <c r="X265" s="30" t="s">
        <v>69</v>
      </c>
      <c r="Y265" s="30" t="s">
        <v>70</v>
      </c>
      <c r="Z265" s="20" t="s">
        <v>1264</v>
      </c>
      <c r="AA265" s="20"/>
      <c r="AB265" s="20"/>
      <c r="AC265" s="20"/>
      <c r="AD265" s="29">
        <v>156</v>
      </c>
      <c r="AE265" s="29"/>
      <c r="AF265" s="29"/>
      <c r="AG265" s="29"/>
      <c r="AH265" s="29"/>
      <c r="AI265" s="29"/>
      <c r="AJ265" s="29"/>
      <c r="AK265" s="29"/>
      <c r="AL265" s="29"/>
      <c r="AM265" s="39" t="s">
        <v>158</v>
      </c>
      <c r="AN265" s="30" t="s">
        <v>1206</v>
      </c>
      <c r="AO265" s="36">
        <v>150</v>
      </c>
      <c r="AP265" s="20"/>
      <c r="AQ265" s="29"/>
      <c r="AR265" s="29"/>
      <c r="AS265" s="30" t="s">
        <v>115</v>
      </c>
      <c r="AT265" s="30" t="s">
        <v>344</v>
      </c>
      <c r="AU265" s="30" t="s">
        <v>115</v>
      </c>
      <c r="AV265" s="30" t="s">
        <v>344</v>
      </c>
      <c r="AW265" s="31">
        <f t="shared" si="9"/>
        <v>0</v>
      </c>
      <c r="AX265" s="31">
        <f t="shared" ref="AX265:AX327" si="10">IF(AW265&lt;13,AW265,"")</f>
        <v>0</v>
      </c>
      <c r="AY265" s="32" t="s">
        <v>1288</v>
      </c>
    </row>
    <row r="266" spans="1:51" ht="20.100000000000001" customHeight="1" x14ac:dyDescent="0.2">
      <c r="A266" s="13">
        <v>259</v>
      </c>
      <c r="B266" s="40" t="s">
        <v>1289</v>
      </c>
      <c r="C266" s="40" t="s">
        <v>1253</v>
      </c>
      <c r="D266" s="41" t="s">
        <v>1207</v>
      </c>
      <c r="E266" s="41" t="s">
        <v>19</v>
      </c>
      <c r="F266" s="41"/>
      <c r="G266" s="41"/>
      <c r="H266" s="13" t="s">
        <v>7</v>
      </c>
      <c r="I266" s="13"/>
      <c r="J266" s="13"/>
      <c r="K266" s="13"/>
      <c r="L266" s="13"/>
      <c r="M266" s="13"/>
      <c r="N266" s="13"/>
      <c r="O266" s="40" t="s">
        <v>92</v>
      </c>
      <c r="P266" s="41" t="s">
        <v>68</v>
      </c>
      <c r="Q266" s="41" t="s">
        <v>68</v>
      </c>
      <c r="R266" s="41" t="s">
        <v>1183</v>
      </c>
      <c r="S266" s="41" t="s">
        <v>106</v>
      </c>
      <c r="T266" s="13" t="s">
        <v>107</v>
      </c>
      <c r="U266" s="41" t="s">
        <v>332</v>
      </c>
      <c r="V266" s="41" t="s">
        <v>332</v>
      </c>
      <c r="W266" s="41" t="s">
        <v>1267</v>
      </c>
      <c r="X266" s="41" t="s">
        <v>69</v>
      </c>
      <c r="Y266" s="41" t="s">
        <v>70</v>
      </c>
      <c r="Z266" s="13">
        <v>0</v>
      </c>
      <c r="AA266" s="13"/>
      <c r="AB266" s="13"/>
      <c r="AC266" s="13"/>
      <c r="AD266" s="40">
        <v>156</v>
      </c>
      <c r="AE266" s="40"/>
      <c r="AF266" s="40"/>
      <c r="AG266" s="40"/>
      <c r="AH266" s="40"/>
      <c r="AI266" s="40"/>
      <c r="AJ266" s="40"/>
      <c r="AK266" s="40"/>
      <c r="AL266" s="40"/>
      <c r="AM266" s="47"/>
      <c r="AN266" s="41" t="s">
        <v>1290</v>
      </c>
      <c r="AO266" s="41"/>
      <c r="AP266" s="13"/>
      <c r="AQ266" s="40"/>
      <c r="AR266" s="40"/>
      <c r="AS266" s="6"/>
      <c r="AT266" s="6"/>
      <c r="AU266" s="6"/>
      <c r="AV266" s="6"/>
      <c r="AW266" s="12" t="str">
        <f t="shared" si="9"/>
        <v/>
      </c>
      <c r="AX266" s="12" t="str">
        <f t="shared" si="10"/>
        <v/>
      </c>
      <c r="AY266" s="45"/>
    </row>
    <row r="267" spans="1:51" ht="20.100000000000001" customHeight="1" x14ac:dyDescent="0.2">
      <c r="A267" s="13">
        <v>260</v>
      </c>
      <c r="B267" s="40" t="s">
        <v>1289</v>
      </c>
      <c r="C267" s="40" t="s">
        <v>1253</v>
      </c>
      <c r="D267" s="41" t="s">
        <v>1291</v>
      </c>
      <c r="E267" s="41" t="s">
        <v>8</v>
      </c>
      <c r="F267" s="41" t="s">
        <v>186</v>
      </c>
      <c r="G267" s="41"/>
      <c r="H267" s="13" t="s">
        <v>83</v>
      </c>
      <c r="I267" s="13"/>
      <c r="J267" s="13"/>
      <c r="K267" s="13"/>
      <c r="L267" s="13"/>
      <c r="M267" s="13"/>
      <c r="N267" s="13"/>
      <c r="O267" s="40" t="s">
        <v>67</v>
      </c>
      <c r="P267" s="41"/>
      <c r="Q267" s="41" t="s">
        <v>117</v>
      </c>
      <c r="R267" s="41" t="s">
        <v>1292</v>
      </c>
      <c r="S267" s="41" t="s">
        <v>69</v>
      </c>
      <c r="T267" s="13" t="s">
        <v>70</v>
      </c>
      <c r="U267" s="41"/>
      <c r="V267" s="41" t="s">
        <v>470</v>
      </c>
      <c r="W267" s="41" t="s">
        <v>1293</v>
      </c>
      <c r="X267" s="41" t="s">
        <v>119</v>
      </c>
      <c r="Y267" s="41" t="s">
        <v>107</v>
      </c>
      <c r="Z267" s="13" t="s">
        <v>1294</v>
      </c>
      <c r="AA267" s="13"/>
      <c r="AB267" s="13"/>
      <c r="AC267" s="13"/>
      <c r="AD267" s="40">
        <v>174</v>
      </c>
      <c r="AE267" s="40"/>
      <c r="AF267" s="40"/>
      <c r="AG267" s="40"/>
      <c r="AH267" s="40"/>
      <c r="AI267" s="40"/>
      <c r="AJ267" s="40"/>
      <c r="AK267" s="40"/>
      <c r="AL267" s="40"/>
      <c r="AM267" s="47"/>
      <c r="AN267" s="41" t="s">
        <v>1295</v>
      </c>
      <c r="AO267" s="43">
        <v>103</v>
      </c>
      <c r="AP267" s="13">
        <v>30</v>
      </c>
      <c r="AQ267" s="40"/>
      <c r="AR267" s="40"/>
      <c r="AS267" s="6" t="s">
        <v>115</v>
      </c>
      <c r="AT267" s="6" t="s">
        <v>344</v>
      </c>
      <c r="AU267" s="6" t="s">
        <v>400</v>
      </c>
      <c r="AV267" s="6" t="s">
        <v>266</v>
      </c>
      <c r="AW267" s="12">
        <f t="shared" si="9"/>
        <v>70</v>
      </c>
      <c r="AX267" s="12" t="str">
        <f t="shared" si="10"/>
        <v/>
      </c>
      <c r="AY267" s="45"/>
    </row>
    <row r="268" spans="1:51" s="21" customFormat="1" ht="31.15" customHeight="1" x14ac:dyDescent="0.2">
      <c r="A268" s="13">
        <v>261</v>
      </c>
      <c r="B268" s="29" t="s">
        <v>1296</v>
      </c>
      <c r="C268" s="29" t="s">
        <v>1253</v>
      </c>
      <c r="D268" s="30" t="s">
        <v>1297</v>
      </c>
      <c r="E268" s="30" t="s">
        <v>6</v>
      </c>
      <c r="F268" s="30" t="s">
        <v>186</v>
      </c>
      <c r="G268" s="30"/>
      <c r="H268" s="20" t="s">
        <v>83</v>
      </c>
      <c r="I268" s="20"/>
      <c r="J268" s="20"/>
      <c r="K268" s="20"/>
      <c r="L268" s="20"/>
      <c r="M268" s="20"/>
      <c r="N268" s="20"/>
      <c r="O268" s="29" t="s">
        <v>67</v>
      </c>
      <c r="P268" s="30"/>
      <c r="Q268" s="30" t="s">
        <v>68</v>
      </c>
      <c r="R268" s="30" t="s">
        <v>1298</v>
      </c>
      <c r="S268" s="30" t="s">
        <v>106</v>
      </c>
      <c r="T268" s="20" t="s">
        <v>107</v>
      </c>
      <c r="U268" s="30"/>
      <c r="V268" s="30" t="s">
        <v>263</v>
      </c>
      <c r="W268" s="30" t="s">
        <v>1299</v>
      </c>
      <c r="X268" s="30" t="s">
        <v>142</v>
      </c>
      <c r="Y268" s="30" t="s">
        <v>70</v>
      </c>
      <c r="Z268" s="20" t="s">
        <v>430</v>
      </c>
      <c r="AA268" s="20"/>
      <c r="AB268" s="20"/>
      <c r="AC268" s="20"/>
      <c r="AD268" s="29">
        <v>174</v>
      </c>
      <c r="AE268" s="29"/>
      <c r="AF268" s="29"/>
      <c r="AG268" s="29"/>
      <c r="AH268" s="29"/>
      <c r="AI268" s="29"/>
      <c r="AJ268" s="29"/>
      <c r="AK268" s="29"/>
      <c r="AL268" s="29"/>
      <c r="AM268" s="39"/>
      <c r="AN268" s="30" t="s">
        <v>1300</v>
      </c>
      <c r="AO268" s="36">
        <v>220</v>
      </c>
      <c r="AP268" s="20">
        <v>16</v>
      </c>
      <c r="AQ268" s="29"/>
      <c r="AR268" s="29"/>
      <c r="AS268" s="30" t="s">
        <v>115</v>
      </c>
      <c r="AT268" s="30" t="s">
        <v>344</v>
      </c>
      <c r="AU268" s="30" t="s">
        <v>136</v>
      </c>
      <c r="AV268" s="30" t="s">
        <v>260</v>
      </c>
      <c r="AW268" s="31">
        <f t="shared" si="9"/>
        <v>7</v>
      </c>
      <c r="AX268" s="31">
        <f t="shared" si="10"/>
        <v>7</v>
      </c>
      <c r="AY268" s="32" t="s">
        <v>1301</v>
      </c>
    </row>
    <row r="269" spans="1:51" ht="46.9" customHeight="1" x14ac:dyDescent="0.2">
      <c r="A269" s="13">
        <v>262</v>
      </c>
      <c r="B269" s="40" t="s">
        <v>1296</v>
      </c>
      <c r="C269" s="40" t="s">
        <v>1253</v>
      </c>
      <c r="D269" s="41" t="s">
        <v>1302</v>
      </c>
      <c r="E269" s="41" t="s">
        <v>6</v>
      </c>
      <c r="F269" s="41" t="s">
        <v>481</v>
      </c>
      <c r="G269" s="41"/>
      <c r="H269" s="13" t="s">
        <v>83</v>
      </c>
      <c r="I269" s="13"/>
      <c r="J269" s="13"/>
      <c r="K269" s="13"/>
      <c r="L269" s="13"/>
      <c r="M269" s="13"/>
      <c r="N269" s="13"/>
      <c r="O269" s="40" t="s">
        <v>67</v>
      </c>
      <c r="P269" s="41"/>
      <c r="Q269" s="41" t="s">
        <v>218</v>
      </c>
      <c r="R269" s="41" t="s">
        <v>1303</v>
      </c>
      <c r="S269" s="41" t="s">
        <v>262</v>
      </c>
      <c r="T269" s="13" t="s">
        <v>70</v>
      </c>
      <c r="U269" s="41"/>
      <c r="V269" s="41" t="s">
        <v>268</v>
      </c>
      <c r="W269" s="41" t="s">
        <v>1304</v>
      </c>
      <c r="X269" s="41" t="s">
        <v>262</v>
      </c>
      <c r="Y269" s="41" t="s">
        <v>70</v>
      </c>
      <c r="Z269" s="13" t="s">
        <v>1305</v>
      </c>
      <c r="AA269" s="13"/>
      <c r="AB269" s="13"/>
      <c r="AC269" s="13"/>
      <c r="AD269" s="40">
        <v>180</v>
      </c>
      <c r="AE269" s="40"/>
      <c r="AF269" s="40"/>
      <c r="AG269" s="40"/>
      <c r="AH269" s="40"/>
      <c r="AI269" s="40"/>
      <c r="AJ269" s="40"/>
      <c r="AK269" s="40"/>
      <c r="AL269" s="40"/>
      <c r="AM269" s="47"/>
      <c r="AN269" s="41" t="s">
        <v>1306</v>
      </c>
      <c r="AO269" s="43">
        <v>225</v>
      </c>
      <c r="AP269" s="13">
        <v>24</v>
      </c>
      <c r="AQ269" s="40"/>
      <c r="AR269" s="40"/>
      <c r="AS269" s="6" t="s">
        <v>115</v>
      </c>
      <c r="AT269" s="6" t="s">
        <v>344</v>
      </c>
      <c r="AU269" s="6" t="s">
        <v>348</v>
      </c>
      <c r="AV269" s="6" t="s">
        <v>235</v>
      </c>
      <c r="AW269" s="12">
        <f t="shared" si="9"/>
        <v>40</v>
      </c>
      <c r="AX269" s="12" t="str">
        <f t="shared" si="10"/>
        <v/>
      </c>
      <c r="AY269" s="45" t="s">
        <v>1307</v>
      </c>
    </row>
    <row r="270" spans="1:51" ht="20.100000000000001" customHeight="1" x14ac:dyDescent="0.2">
      <c r="A270" s="13">
        <v>263</v>
      </c>
      <c r="B270" s="40" t="s">
        <v>1308</v>
      </c>
      <c r="C270" s="40" t="s">
        <v>1253</v>
      </c>
      <c r="D270" s="41" t="s">
        <v>1291</v>
      </c>
      <c r="E270" s="41" t="s">
        <v>8</v>
      </c>
      <c r="F270" s="41"/>
      <c r="G270" s="41"/>
      <c r="H270" s="13" t="s">
        <v>7</v>
      </c>
      <c r="I270" s="13"/>
      <c r="J270" s="13"/>
      <c r="K270" s="13"/>
      <c r="L270" s="13"/>
      <c r="M270" s="13"/>
      <c r="N270" s="13"/>
      <c r="O270" s="40" t="s">
        <v>67</v>
      </c>
      <c r="P270" s="35" t="s">
        <v>117</v>
      </c>
      <c r="Q270" s="35" t="s">
        <v>68</v>
      </c>
      <c r="R270" s="41" t="s">
        <v>882</v>
      </c>
      <c r="S270" s="41" t="s">
        <v>106</v>
      </c>
      <c r="T270" s="13" t="s">
        <v>107</v>
      </c>
      <c r="U270" s="35" t="s">
        <v>470</v>
      </c>
      <c r="V270" s="35" t="s">
        <v>332</v>
      </c>
      <c r="W270" s="41" t="s">
        <v>1309</v>
      </c>
      <c r="X270" s="41" t="s">
        <v>142</v>
      </c>
      <c r="Y270" s="41" t="s">
        <v>70</v>
      </c>
      <c r="Z270" s="13">
        <v>0</v>
      </c>
      <c r="AA270" s="13"/>
      <c r="AB270" s="13"/>
      <c r="AC270" s="13"/>
      <c r="AD270" s="40">
        <v>174</v>
      </c>
      <c r="AE270" s="40"/>
      <c r="AF270" s="40"/>
      <c r="AG270" s="40"/>
      <c r="AH270" s="40"/>
      <c r="AI270" s="40"/>
      <c r="AJ270" s="40"/>
      <c r="AK270" s="40"/>
      <c r="AL270" s="40"/>
      <c r="AM270" s="50" t="s">
        <v>158</v>
      </c>
      <c r="AN270" s="41" t="s">
        <v>1308</v>
      </c>
      <c r="AO270" s="43">
        <v>163</v>
      </c>
      <c r="AP270" s="13">
        <v>22.5</v>
      </c>
      <c r="AQ270" s="40"/>
      <c r="AR270" s="40"/>
      <c r="AS270" s="6"/>
      <c r="AT270" s="6"/>
      <c r="AU270" s="6"/>
      <c r="AV270" s="6"/>
      <c r="AW270" s="12" t="str">
        <f t="shared" si="9"/>
        <v/>
      </c>
      <c r="AX270" s="12" t="str">
        <f t="shared" si="10"/>
        <v/>
      </c>
      <c r="AY270" s="45"/>
    </row>
    <row r="271" spans="1:51" ht="20.100000000000001" customHeight="1" x14ac:dyDescent="0.2">
      <c r="A271" s="13">
        <v>264</v>
      </c>
      <c r="B271" s="40" t="s">
        <v>1310</v>
      </c>
      <c r="C271" s="40" t="s">
        <v>1253</v>
      </c>
      <c r="D271" s="41" t="s">
        <v>1258</v>
      </c>
      <c r="E271" s="41" t="s">
        <v>9</v>
      </c>
      <c r="F271" s="41"/>
      <c r="G271" s="41"/>
      <c r="H271" s="13" t="s">
        <v>7</v>
      </c>
      <c r="I271" s="13"/>
      <c r="J271" s="13"/>
      <c r="K271" s="13"/>
      <c r="L271" s="13"/>
      <c r="M271" s="13"/>
      <c r="N271" s="13"/>
      <c r="O271" s="40" t="s">
        <v>93</v>
      </c>
      <c r="P271" s="41" t="s">
        <v>218</v>
      </c>
      <c r="Q271" s="41" t="s">
        <v>218</v>
      </c>
      <c r="R271" s="41" t="s">
        <v>1311</v>
      </c>
      <c r="S271" s="41" t="s">
        <v>106</v>
      </c>
      <c r="T271" s="13" t="s">
        <v>107</v>
      </c>
      <c r="U271" s="35" t="s">
        <v>899</v>
      </c>
      <c r="V271" s="35" t="s">
        <v>968</v>
      </c>
      <c r="W271" s="41" t="s">
        <v>1312</v>
      </c>
      <c r="X271" s="41" t="s">
        <v>444</v>
      </c>
      <c r="Y271" s="41" t="s">
        <v>107</v>
      </c>
      <c r="Z271" s="13">
        <v>0</v>
      </c>
      <c r="AA271" s="13"/>
      <c r="AB271" s="13"/>
      <c r="AC271" s="13"/>
      <c r="AD271" s="40">
        <v>240</v>
      </c>
      <c r="AE271" s="40"/>
      <c r="AF271" s="40"/>
      <c r="AG271" s="40"/>
      <c r="AH271" s="40"/>
      <c r="AI271" s="40"/>
      <c r="AJ271" s="40"/>
      <c r="AK271" s="40"/>
      <c r="AL271" s="40"/>
      <c r="AM271" s="50" t="s">
        <v>158</v>
      </c>
      <c r="AN271" s="41" t="s">
        <v>1308</v>
      </c>
      <c r="AO271" s="43">
        <v>191</v>
      </c>
      <c r="AP271" s="13">
        <v>32</v>
      </c>
      <c r="AQ271" s="40"/>
      <c r="AR271" s="40"/>
      <c r="AS271" s="6"/>
      <c r="AT271" s="6"/>
      <c r="AU271" s="6"/>
      <c r="AV271" s="6"/>
      <c r="AW271" s="12" t="str">
        <f t="shared" si="9"/>
        <v/>
      </c>
      <c r="AX271" s="12" t="str">
        <f t="shared" si="10"/>
        <v/>
      </c>
      <c r="AY271" s="45"/>
    </row>
    <row r="272" spans="1:51" s="21" customFormat="1" ht="20.100000000000001" customHeight="1" x14ac:dyDescent="0.2">
      <c r="A272" s="13">
        <v>265</v>
      </c>
      <c r="B272" s="29" t="s">
        <v>1310</v>
      </c>
      <c r="C272" s="29" t="s">
        <v>1253</v>
      </c>
      <c r="D272" s="30" t="s">
        <v>794</v>
      </c>
      <c r="E272" s="30" t="s">
        <v>8</v>
      </c>
      <c r="F272" s="30" t="s">
        <v>945</v>
      </c>
      <c r="G272" s="30"/>
      <c r="H272" s="20" t="s">
        <v>83</v>
      </c>
      <c r="I272" s="20"/>
      <c r="J272" s="20"/>
      <c r="K272" s="20"/>
      <c r="L272" s="20"/>
      <c r="M272" s="20"/>
      <c r="N272" s="20"/>
      <c r="O272" s="29" t="s">
        <v>92</v>
      </c>
      <c r="P272" s="30"/>
      <c r="Q272" s="30" t="s">
        <v>68</v>
      </c>
      <c r="R272" s="30" t="s">
        <v>691</v>
      </c>
      <c r="S272" s="30" t="s">
        <v>106</v>
      </c>
      <c r="T272" s="20" t="s">
        <v>107</v>
      </c>
      <c r="U272" s="30"/>
      <c r="V272" s="30" t="s">
        <v>332</v>
      </c>
      <c r="W272" s="30" t="s">
        <v>795</v>
      </c>
      <c r="X272" s="30" t="s">
        <v>106</v>
      </c>
      <c r="Y272" s="30" t="s">
        <v>107</v>
      </c>
      <c r="Z272" s="20" t="s">
        <v>781</v>
      </c>
      <c r="AA272" s="20"/>
      <c r="AB272" s="20"/>
      <c r="AC272" s="20"/>
      <c r="AD272" s="29">
        <v>144</v>
      </c>
      <c r="AE272" s="29"/>
      <c r="AF272" s="29"/>
      <c r="AG272" s="29"/>
      <c r="AH272" s="29"/>
      <c r="AI272" s="29"/>
      <c r="AJ272" s="29"/>
      <c r="AK272" s="29"/>
      <c r="AL272" s="29"/>
      <c r="AM272" s="39"/>
      <c r="AN272" s="30"/>
      <c r="AO272" s="36">
        <v>164</v>
      </c>
      <c r="AP272" s="20"/>
      <c r="AQ272" s="29"/>
      <c r="AR272" s="29"/>
      <c r="AS272" s="30" t="s">
        <v>115</v>
      </c>
      <c r="AT272" s="30" t="s">
        <v>344</v>
      </c>
      <c r="AU272" s="30" t="s">
        <v>115</v>
      </c>
      <c r="AV272" s="30" t="s">
        <v>124</v>
      </c>
      <c r="AW272" s="31">
        <f t="shared" si="9"/>
        <v>3</v>
      </c>
      <c r="AX272" s="31">
        <f t="shared" si="10"/>
        <v>3</v>
      </c>
      <c r="AY272" s="32"/>
    </row>
    <row r="273" spans="1:51" ht="20.100000000000001" customHeight="1" x14ac:dyDescent="0.2">
      <c r="A273" s="13">
        <v>266</v>
      </c>
      <c r="B273" s="40" t="s">
        <v>1313</v>
      </c>
      <c r="C273" s="40" t="s">
        <v>1253</v>
      </c>
      <c r="D273" s="41" t="s">
        <v>1314</v>
      </c>
      <c r="E273" s="41" t="s">
        <v>243</v>
      </c>
      <c r="F273" s="41" t="s">
        <v>945</v>
      </c>
      <c r="G273" s="41"/>
      <c r="H273" s="13" t="s">
        <v>83</v>
      </c>
      <c r="I273" s="13"/>
      <c r="J273" s="13"/>
      <c r="K273" s="13"/>
      <c r="L273" s="13"/>
      <c r="M273" s="13"/>
      <c r="N273" s="13"/>
      <c r="O273" s="40" t="s">
        <v>92</v>
      </c>
      <c r="P273" s="41"/>
      <c r="Q273" s="41" t="s">
        <v>334</v>
      </c>
      <c r="R273" s="41" t="s">
        <v>435</v>
      </c>
      <c r="S273" s="41" t="s">
        <v>369</v>
      </c>
      <c r="T273" s="13" t="s">
        <v>369</v>
      </c>
      <c r="U273" s="41"/>
      <c r="V273" s="41" t="s">
        <v>714</v>
      </c>
      <c r="W273" s="41" t="s">
        <v>435</v>
      </c>
      <c r="X273" s="41" t="s">
        <v>369</v>
      </c>
      <c r="Y273" s="41" t="s">
        <v>369</v>
      </c>
      <c r="Z273" s="13" t="s">
        <v>1315</v>
      </c>
      <c r="AA273" s="13"/>
      <c r="AB273" s="13"/>
      <c r="AC273" s="13"/>
      <c r="AD273" s="40">
        <v>108</v>
      </c>
      <c r="AE273" s="40"/>
      <c r="AF273" s="40"/>
      <c r="AG273" s="40"/>
      <c r="AH273" s="40"/>
      <c r="AI273" s="40"/>
      <c r="AJ273" s="40"/>
      <c r="AK273" s="40"/>
      <c r="AL273" s="40"/>
      <c r="AM273" s="47"/>
      <c r="AN273" s="41"/>
      <c r="AO273" s="41"/>
      <c r="AP273" s="13"/>
      <c r="AQ273" s="40"/>
      <c r="AR273" s="40"/>
      <c r="AS273" s="6" t="s">
        <v>115</v>
      </c>
      <c r="AT273" s="6" t="s">
        <v>344</v>
      </c>
      <c r="AU273" s="6" t="s">
        <v>495</v>
      </c>
      <c r="AV273" s="6" t="s">
        <v>296</v>
      </c>
      <c r="AW273" s="12">
        <f t="shared" si="9"/>
        <v>113</v>
      </c>
      <c r="AX273" s="12" t="str">
        <f t="shared" si="10"/>
        <v/>
      </c>
      <c r="AY273" s="45"/>
    </row>
    <row r="274" spans="1:51" ht="20.100000000000001" customHeight="1" x14ac:dyDescent="0.2">
      <c r="A274" s="13">
        <v>267</v>
      </c>
      <c r="B274" s="40" t="s">
        <v>1316</v>
      </c>
      <c r="C274" s="40" t="s">
        <v>1253</v>
      </c>
      <c r="D274" s="41" t="s">
        <v>637</v>
      </c>
      <c r="E274" s="41" t="s">
        <v>8</v>
      </c>
      <c r="F274" s="41"/>
      <c r="G274" s="41"/>
      <c r="H274" s="13" t="s">
        <v>7</v>
      </c>
      <c r="I274" s="13"/>
      <c r="J274" s="13"/>
      <c r="K274" s="13"/>
      <c r="L274" s="13"/>
      <c r="M274" s="13"/>
      <c r="N274" s="13"/>
      <c r="O274" s="40" t="s">
        <v>93</v>
      </c>
      <c r="P274" s="41"/>
      <c r="Q274" s="41" t="s">
        <v>68</v>
      </c>
      <c r="R274" s="41" t="s">
        <v>1127</v>
      </c>
      <c r="S274" s="41" t="s">
        <v>106</v>
      </c>
      <c r="T274" s="13" t="s">
        <v>107</v>
      </c>
      <c r="U274" s="41"/>
      <c r="V274" s="41" t="s">
        <v>332</v>
      </c>
      <c r="W274" s="41" t="s">
        <v>1317</v>
      </c>
      <c r="X274" s="41" t="s">
        <v>142</v>
      </c>
      <c r="Y274" s="41" t="s">
        <v>70</v>
      </c>
      <c r="Z274" s="13">
        <v>0</v>
      </c>
      <c r="AA274" s="13"/>
      <c r="AB274" s="13"/>
      <c r="AC274" s="13">
        <v>84</v>
      </c>
      <c r="AD274" s="40">
        <v>84</v>
      </c>
      <c r="AE274" s="40"/>
      <c r="AF274" s="40"/>
      <c r="AG274" s="40">
        <v>5</v>
      </c>
      <c r="AH274" s="41" t="s">
        <v>1318</v>
      </c>
      <c r="AI274" s="40">
        <v>112</v>
      </c>
      <c r="AJ274" s="40">
        <v>25</v>
      </c>
      <c r="AK274" s="40"/>
      <c r="AL274" s="40"/>
      <c r="AM274" s="15"/>
      <c r="AN274" s="41"/>
      <c r="AO274" s="43">
        <v>154</v>
      </c>
      <c r="AP274" s="13">
        <v>22</v>
      </c>
      <c r="AQ274" s="40"/>
      <c r="AR274" s="40"/>
      <c r="AS274" s="6"/>
      <c r="AT274" s="6"/>
      <c r="AU274" s="6"/>
      <c r="AV274" s="6"/>
      <c r="AW274" s="12" t="str">
        <f t="shared" si="9"/>
        <v/>
      </c>
      <c r="AX274" s="12" t="str">
        <f t="shared" si="10"/>
        <v/>
      </c>
      <c r="AY274" s="45"/>
    </row>
    <row r="275" spans="1:51" ht="20.100000000000001" customHeight="1" x14ac:dyDescent="0.2">
      <c r="A275" s="13">
        <v>268</v>
      </c>
      <c r="B275" s="40" t="s">
        <v>1319</v>
      </c>
      <c r="C275" s="40" t="s">
        <v>1253</v>
      </c>
      <c r="D275" s="41" t="s">
        <v>1320</v>
      </c>
      <c r="E275" s="41" t="s">
        <v>243</v>
      </c>
      <c r="F275" s="41" t="s">
        <v>456</v>
      </c>
      <c r="G275" s="41"/>
      <c r="H275" s="13" t="s">
        <v>83</v>
      </c>
      <c r="I275" s="13"/>
      <c r="J275" s="13"/>
      <c r="K275" s="13"/>
      <c r="L275" s="13"/>
      <c r="M275" s="13"/>
      <c r="N275" s="13"/>
      <c r="O275" s="40" t="s">
        <v>67</v>
      </c>
      <c r="P275" s="41"/>
      <c r="Q275" s="41" t="s">
        <v>117</v>
      </c>
      <c r="R275" s="41" t="s">
        <v>1321</v>
      </c>
      <c r="S275" s="41" t="s">
        <v>119</v>
      </c>
      <c r="T275" s="13" t="s">
        <v>107</v>
      </c>
      <c r="U275" s="41"/>
      <c r="V275" s="41" t="s">
        <v>470</v>
      </c>
      <c r="W275" s="41" t="s">
        <v>1322</v>
      </c>
      <c r="X275" s="41" t="s">
        <v>119</v>
      </c>
      <c r="Y275" s="41" t="s">
        <v>107</v>
      </c>
      <c r="Z275" s="13" t="s">
        <v>1323</v>
      </c>
      <c r="AA275" s="13"/>
      <c r="AB275" s="13"/>
      <c r="AC275" s="13"/>
      <c r="AD275" s="40">
        <v>165</v>
      </c>
      <c r="AE275" s="40"/>
      <c r="AF275" s="40"/>
      <c r="AG275" s="40"/>
      <c r="AH275" s="40"/>
      <c r="AI275" s="40"/>
      <c r="AJ275" s="40"/>
      <c r="AK275" s="40"/>
      <c r="AL275" s="40"/>
      <c r="AM275" s="47" t="s">
        <v>158</v>
      </c>
      <c r="AN275" s="41" t="s">
        <v>1324</v>
      </c>
      <c r="AO275" s="43">
        <v>103</v>
      </c>
      <c r="AP275" s="13">
        <v>30</v>
      </c>
      <c r="AQ275" s="40"/>
      <c r="AR275" s="40"/>
      <c r="AS275" s="6" t="s">
        <v>115</v>
      </c>
      <c r="AT275" s="6" t="s">
        <v>344</v>
      </c>
      <c r="AU275" s="6" t="s">
        <v>547</v>
      </c>
      <c r="AV275" s="6" t="s">
        <v>1247</v>
      </c>
      <c r="AW275" s="12">
        <f t="shared" si="9"/>
        <v>62</v>
      </c>
      <c r="AX275" s="12" t="str">
        <f t="shared" si="10"/>
        <v/>
      </c>
      <c r="AY275" s="45"/>
    </row>
    <row r="276" spans="1:51" ht="20.100000000000001" customHeight="1" x14ac:dyDescent="0.2">
      <c r="A276" s="13">
        <v>269</v>
      </c>
      <c r="B276" s="40" t="s">
        <v>1319</v>
      </c>
      <c r="C276" s="40" t="s">
        <v>1253</v>
      </c>
      <c r="D276" s="41" t="s">
        <v>1325</v>
      </c>
      <c r="E276" s="41" t="s">
        <v>243</v>
      </c>
      <c r="F276" s="41" t="s">
        <v>174</v>
      </c>
      <c r="G276" s="41"/>
      <c r="H276" s="13" t="s">
        <v>83</v>
      </c>
      <c r="I276" s="13"/>
      <c r="J276" s="13"/>
      <c r="K276" s="13"/>
      <c r="L276" s="13"/>
      <c r="M276" s="13"/>
      <c r="N276" s="13"/>
      <c r="O276" s="40" t="s">
        <v>67</v>
      </c>
      <c r="P276" s="41"/>
      <c r="Q276" s="41" t="s">
        <v>140</v>
      </c>
      <c r="R276" s="41" t="s">
        <v>1326</v>
      </c>
      <c r="S276" s="41" t="s">
        <v>119</v>
      </c>
      <c r="T276" s="13" t="s">
        <v>107</v>
      </c>
      <c r="U276" s="41"/>
      <c r="V276" s="41" t="s">
        <v>188</v>
      </c>
      <c r="W276" s="41" t="s">
        <v>1327</v>
      </c>
      <c r="X276" s="41" t="s">
        <v>119</v>
      </c>
      <c r="Y276" s="41" t="s">
        <v>107</v>
      </c>
      <c r="Z276" s="13" t="s">
        <v>1328</v>
      </c>
      <c r="AA276" s="13"/>
      <c r="AB276" s="13"/>
      <c r="AC276" s="13"/>
      <c r="AD276" s="40">
        <v>99</v>
      </c>
      <c r="AE276" s="40"/>
      <c r="AF276" s="40"/>
      <c r="AG276" s="40"/>
      <c r="AH276" s="40"/>
      <c r="AI276" s="40"/>
      <c r="AJ276" s="40"/>
      <c r="AK276" s="40"/>
      <c r="AL276" s="40"/>
      <c r="AM276" s="47"/>
      <c r="AN276" s="41" t="s">
        <v>1329</v>
      </c>
      <c r="AO276" s="43">
        <v>109</v>
      </c>
      <c r="AP276" s="13">
        <v>20</v>
      </c>
      <c r="AQ276" s="40"/>
      <c r="AR276" s="40"/>
      <c r="AS276" s="6" t="s">
        <v>115</v>
      </c>
      <c r="AT276" s="6" t="s">
        <v>344</v>
      </c>
      <c r="AU276" s="6" t="s">
        <v>400</v>
      </c>
      <c r="AV276" s="6" t="s">
        <v>148</v>
      </c>
      <c r="AW276" s="12">
        <f t="shared" si="9"/>
        <v>71</v>
      </c>
      <c r="AX276" s="12" t="str">
        <f t="shared" si="10"/>
        <v/>
      </c>
      <c r="AY276" s="45"/>
    </row>
    <row r="277" spans="1:51" ht="20.100000000000001" customHeight="1" x14ac:dyDescent="0.2">
      <c r="A277" s="13">
        <v>270</v>
      </c>
      <c r="B277" s="40" t="s">
        <v>1330</v>
      </c>
      <c r="C277" s="40" t="s">
        <v>1253</v>
      </c>
      <c r="D277" s="41" t="s">
        <v>1331</v>
      </c>
      <c r="E277" s="41" t="s">
        <v>8</v>
      </c>
      <c r="F277" s="41" t="s">
        <v>945</v>
      </c>
      <c r="G277" s="41"/>
      <c r="H277" s="13" t="s">
        <v>83</v>
      </c>
      <c r="I277" s="13"/>
      <c r="J277" s="13"/>
      <c r="K277" s="13"/>
      <c r="L277" s="13"/>
      <c r="M277" s="13"/>
      <c r="N277" s="13"/>
      <c r="O277" s="40" t="s">
        <v>67</v>
      </c>
      <c r="P277" s="41"/>
      <c r="Q277" s="41" t="s">
        <v>155</v>
      </c>
      <c r="R277" s="41" t="s">
        <v>1332</v>
      </c>
      <c r="S277" s="41" t="s">
        <v>142</v>
      </c>
      <c r="T277" s="13" t="s">
        <v>70</v>
      </c>
      <c r="U277" s="41"/>
      <c r="V277" s="41" t="s">
        <v>324</v>
      </c>
      <c r="W277" s="41" t="s">
        <v>1333</v>
      </c>
      <c r="X277" s="41" t="s">
        <v>142</v>
      </c>
      <c r="Y277" s="41" t="s">
        <v>70</v>
      </c>
      <c r="Z277" s="13" t="s">
        <v>1334</v>
      </c>
      <c r="AA277" s="13"/>
      <c r="AB277" s="13"/>
      <c r="AC277" s="13"/>
      <c r="AD277" s="40">
        <v>180</v>
      </c>
      <c r="AE277" s="40"/>
      <c r="AF277" s="40"/>
      <c r="AG277" s="40"/>
      <c r="AH277" s="40"/>
      <c r="AI277" s="40"/>
      <c r="AJ277" s="40"/>
      <c r="AK277" s="40"/>
      <c r="AL277" s="40"/>
      <c r="AM277" s="47"/>
      <c r="AN277" s="41" t="s">
        <v>1335</v>
      </c>
      <c r="AO277" s="41"/>
      <c r="AP277" s="13"/>
      <c r="AQ277" s="40"/>
      <c r="AR277" s="40"/>
      <c r="AS277" s="6" t="s">
        <v>115</v>
      </c>
      <c r="AT277" s="6" t="s">
        <v>344</v>
      </c>
      <c r="AU277" s="6" t="s">
        <v>348</v>
      </c>
      <c r="AV277" s="6" t="s">
        <v>114</v>
      </c>
      <c r="AW277" s="12">
        <f t="shared" si="9"/>
        <v>42</v>
      </c>
      <c r="AX277" s="12" t="str">
        <f t="shared" si="10"/>
        <v/>
      </c>
      <c r="AY277" s="45"/>
    </row>
    <row r="278" spans="1:51" ht="20.100000000000001" customHeight="1" x14ac:dyDescent="0.2">
      <c r="A278" s="13">
        <v>271</v>
      </c>
      <c r="B278" s="40" t="s">
        <v>1330</v>
      </c>
      <c r="C278" s="40" t="s">
        <v>1253</v>
      </c>
      <c r="D278" s="41" t="s">
        <v>1336</v>
      </c>
      <c r="E278" s="41" t="s">
        <v>8</v>
      </c>
      <c r="F278" s="41" t="s">
        <v>945</v>
      </c>
      <c r="G278" s="41"/>
      <c r="H278" s="13" t="s">
        <v>83</v>
      </c>
      <c r="I278" s="13"/>
      <c r="J278" s="13"/>
      <c r="K278" s="13"/>
      <c r="L278" s="13"/>
      <c r="M278" s="13"/>
      <c r="N278" s="13"/>
      <c r="O278" s="40" t="s">
        <v>93</v>
      </c>
      <c r="P278" s="41"/>
      <c r="Q278" s="41" t="s">
        <v>140</v>
      </c>
      <c r="R278" s="41" t="s">
        <v>1337</v>
      </c>
      <c r="S278" s="41" t="s">
        <v>262</v>
      </c>
      <c r="T278" s="13" t="s">
        <v>70</v>
      </c>
      <c r="U278" s="41"/>
      <c r="V278" s="41" t="s">
        <v>188</v>
      </c>
      <c r="W278" s="41" t="s">
        <v>1338</v>
      </c>
      <c r="X278" s="41" t="s">
        <v>119</v>
      </c>
      <c r="Y278" s="41" t="s">
        <v>107</v>
      </c>
      <c r="Z278" s="13" t="s">
        <v>1339</v>
      </c>
      <c r="AA278" s="13"/>
      <c r="AB278" s="13"/>
      <c r="AC278" s="13"/>
      <c r="AD278" s="40">
        <v>63</v>
      </c>
      <c r="AE278" s="40"/>
      <c r="AF278" s="40"/>
      <c r="AG278" s="40"/>
      <c r="AH278" s="40"/>
      <c r="AI278" s="40"/>
      <c r="AJ278" s="40"/>
      <c r="AK278" s="40"/>
      <c r="AL278" s="40"/>
      <c r="AM278" s="47" t="s">
        <v>158</v>
      </c>
      <c r="AN278" s="41" t="s">
        <v>1340</v>
      </c>
      <c r="AO278" s="43">
        <v>125</v>
      </c>
      <c r="AP278" s="13">
        <v>20</v>
      </c>
      <c r="AQ278" s="40"/>
      <c r="AR278" s="40"/>
      <c r="AS278" s="6" t="s">
        <v>115</v>
      </c>
      <c r="AT278" s="6" t="s">
        <v>344</v>
      </c>
      <c r="AU278" s="6" t="s">
        <v>123</v>
      </c>
      <c r="AV278" s="6" t="s">
        <v>260</v>
      </c>
      <c r="AW278" s="12">
        <f t="shared" si="9"/>
        <v>43</v>
      </c>
      <c r="AX278" s="12" t="str">
        <f t="shared" si="10"/>
        <v/>
      </c>
      <c r="AY278" s="45"/>
    </row>
    <row r="279" spans="1:51" ht="20.100000000000001" customHeight="1" x14ac:dyDescent="0.2">
      <c r="A279" s="13">
        <v>272</v>
      </c>
      <c r="B279" s="40" t="s">
        <v>1341</v>
      </c>
      <c r="C279" s="40" t="s">
        <v>1253</v>
      </c>
      <c r="D279" s="41" t="s">
        <v>1320</v>
      </c>
      <c r="E279" s="41" t="s">
        <v>243</v>
      </c>
      <c r="F279" s="41"/>
      <c r="G279" s="41"/>
      <c r="H279" s="13" t="s">
        <v>7</v>
      </c>
      <c r="I279" s="13"/>
      <c r="J279" s="13"/>
      <c r="K279" s="13"/>
      <c r="L279" s="13"/>
      <c r="M279" s="13"/>
      <c r="N279" s="13"/>
      <c r="O279" s="40" t="s">
        <v>67</v>
      </c>
      <c r="P279" s="35" t="s">
        <v>117</v>
      </c>
      <c r="Q279" s="35" t="s">
        <v>218</v>
      </c>
      <c r="R279" s="41" t="s">
        <v>1342</v>
      </c>
      <c r="S279" s="41" t="s">
        <v>106</v>
      </c>
      <c r="T279" s="13" t="s">
        <v>107</v>
      </c>
      <c r="U279" s="35" t="s">
        <v>470</v>
      </c>
      <c r="V279" s="35" t="s">
        <v>968</v>
      </c>
      <c r="W279" s="41" t="s">
        <v>1343</v>
      </c>
      <c r="X279" s="41" t="s">
        <v>444</v>
      </c>
      <c r="Y279" s="41" t="s">
        <v>107</v>
      </c>
      <c r="Z279" s="13"/>
      <c r="AA279" s="13"/>
      <c r="AB279" s="13">
        <v>200</v>
      </c>
      <c r="AC279" s="13">
        <v>165</v>
      </c>
      <c r="AD279" s="40">
        <v>165</v>
      </c>
      <c r="AE279" s="40">
        <v>46</v>
      </c>
      <c r="AF279" s="40">
        <v>79</v>
      </c>
      <c r="AG279" s="40">
        <v>9</v>
      </c>
      <c r="AH279" s="41" t="s">
        <v>1344</v>
      </c>
      <c r="AI279" s="40">
        <v>178</v>
      </c>
      <c r="AJ279" s="40">
        <v>33</v>
      </c>
      <c r="AK279" s="40"/>
      <c r="AL279" s="40"/>
      <c r="AM279" s="50" t="s">
        <v>158</v>
      </c>
      <c r="AN279" s="41"/>
      <c r="AO279" s="43">
        <v>178</v>
      </c>
      <c r="AP279" s="13">
        <v>33</v>
      </c>
      <c r="AQ279" s="40"/>
      <c r="AR279" s="40"/>
      <c r="AS279" s="6"/>
      <c r="AT279" s="6"/>
      <c r="AU279" s="6"/>
      <c r="AV279" s="6"/>
      <c r="AW279" s="12" t="str">
        <f t="shared" si="9"/>
        <v/>
      </c>
      <c r="AX279" s="12" t="str">
        <f t="shared" si="10"/>
        <v/>
      </c>
      <c r="AY279" s="45"/>
    </row>
    <row r="280" spans="1:51" ht="20.100000000000001" customHeight="1" x14ac:dyDescent="0.2">
      <c r="A280" s="13">
        <v>273</v>
      </c>
      <c r="B280" s="40" t="s">
        <v>1341</v>
      </c>
      <c r="C280" s="40" t="s">
        <v>1253</v>
      </c>
      <c r="D280" s="41" t="s">
        <v>1314</v>
      </c>
      <c r="E280" s="41" t="s">
        <v>243</v>
      </c>
      <c r="F280" s="41"/>
      <c r="G280" s="41"/>
      <c r="H280" s="13" t="s">
        <v>7</v>
      </c>
      <c r="I280" s="13"/>
      <c r="J280" s="13"/>
      <c r="K280" s="13"/>
      <c r="L280" s="13"/>
      <c r="M280" s="13"/>
      <c r="N280" s="13"/>
      <c r="O280" s="40" t="s">
        <v>92</v>
      </c>
      <c r="P280" s="35" t="s">
        <v>334</v>
      </c>
      <c r="Q280" s="35" t="s">
        <v>140</v>
      </c>
      <c r="R280" s="41" t="s">
        <v>1345</v>
      </c>
      <c r="S280" s="41" t="s">
        <v>106</v>
      </c>
      <c r="T280" s="13" t="s">
        <v>107</v>
      </c>
      <c r="U280" s="35" t="s">
        <v>714</v>
      </c>
      <c r="V280" s="35" t="s">
        <v>143</v>
      </c>
      <c r="W280" s="41" t="s">
        <v>1346</v>
      </c>
      <c r="X280" s="41" t="s">
        <v>106</v>
      </c>
      <c r="Y280" s="41" t="s">
        <v>107</v>
      </c>
      <c r="Z280" s="13"/>
      <c r="AA280" s="13"/>
      <c r="AB280" s="13"/>
      <c r="AC280" s="13">
        <v>108</v>
      </c>
      <c r="AD280" s="40">
        <v>108</v>
      </c>
      <c r="AE280" s="40"/>
      <c r="AF280" s="40"/>
      <c r="AG280" s="41">
        <v>0.5</v>
      </c>
      <c r="AH280" s="40">
        <v>20</v>
      </c>
      <c r="AI280" s="40">
        <v>100</v>
      </c>
      <c r="AJ280" s="40">
        <v>25</v>
      </c>
      <c r="AK280" s="40"/>
      <c r="AL280" s="40"/>
      <c r="AM280" s="50" t="s">
        <v>158</v>
      </c>
      <c r="AN280" s="41"/>
      <c r="AO280" s="43">
        <v>107</v>
      </c>
      <c r="AP280" s="13">
        <v>22</v>
      </c>
      <c r="AQ280" s="40"/>
      <c r="AR280" s="40"/>
      <c r="AS280" s="6"/>
      <c r="AT280" s="6"/>
      <c r="AU280" s="6"/>
      <c r="AV280" s="6"/>
      <c r="AW280" s="12" t="str">
        <f t="shared" si="9"/>
        <v/>
      </c>
      <c r="AX280" s="12" t="str">
        <f t="shared" si="10"/>
        <v/>
      </c>
      <c r="AY280" s="45"/>
    </row>
    <row r="281" spans="1:51" s="21" customFormat="1" ht="21" customHeight="1" x14ac:dyDescent="0.2">
      <c r="A281" s="13">
        <v>274</v>
      </c>
      <c r="B281" s="29" t="s">
        <v>1341</v>
      </c>
      <c r="C281" s="29" t="s">
        <v>1253</v>
      </c>
      <c r="D281" s="30" t="s">
        <v>1347</v>
      </c>
      <c r="E281" s="30" t="s">
        <v>19</v>
      </c>
      <c r="F281" s="30" t="s">
        <v>481</v>
      </c>
      <c r="G281" s="30"/>
      <c r="H281" s="20" t="s">
        <v>83</v>
      </c>
      <c r="I281" s="20"/>
      <c r="J281" s="20"/>
      <c r="K281" s="20"/>
      <c r="L281" s="20"/>
      <c r="M281" s="20"/>
      <c r="N281" s="20"/>
      <c r="O281" s="29" t="s">
        <v>93</v>
      </c>
      <c r="P281" s="30"/>
      <c r="Q281" s="30" t="s">
        <v>117</v>
      </c>
      <c r="R281" s="30" t="s">
        <v>1348</v>
      </c>
      <c r="S281" s="30" t="s">
        <v>369</v>
      </c>
      <c r="T281" s="20" t="s">
        <v>369</v>
      </c>
      <c r="U281" s="30"/>
      <c r="V281" s="30" t="s">
        <v>120</v>
      </c>
      <c r="W281" s="30" t="s">
        <v>1349</v>
      </c>
      <c r="X281" s="30" t="s">
        <v>119</v>
      </c>
      <c r="Y281" s="30" t="s">
        <v>107</v>
      </c>
      <c r="Z281" s="20" t="s">
        <v>1350</v>
      </c>
      <c r="AA281" s="20"/>
      <c r="AB281" s="20"/>
      <c r="AC281" s="20"/>
      <c r="AD281" s="29">
        <v>114</v>
      </c>
      <c r="AE281" s="29"/>
      <c r="AF281" s="29"/>
      <c r="AG281" s="29"/>
      <c r="AH281" s="29"/>
      <c r="AI281" s="29"/>
      <c r="AJ281" s="29"/>
      <c r="AK281" s="29"/>
      <c r="AL281" s="29"/>
      <c r="AM281" s="39"/>
      <c r="AN281" s="30" t="s">
        <v>1351</v>
      </c>
      <c r="AO281" s="36">
        <v>140</v>
      </c>
      <c r="AP281" s="20">
        <v>23</v>
      </c>
      <c r="AQ281" s="29"/>
      <c r="AR281" s="29"/>
      <c r="AS281" s="30" t="s">
        <v>115</v>
      </c>
      <c r="AT281" s="30" t="s">
        <v>344</v>
      </c>
      <c r="AU281" s="30" t="s">
        <v>136</v>
      </c>
      <c r="AV281" s="30" t="s">
        <v>260</v>
      </c>
      <c r="AW281" s="31">
        <f t="shared" si="9"/>
        <v>7</v>
      </c>
      <c r="AX281" s="31">
        <f t="shared" si="10"/>
        <v>7</v>
      </c>
      <c r="AY281" s="32" t="s">
        <v>1352</v>
      </c>
    </row>
    <row r="282" spans="1:51" s="19" customFormat="1" ht="20.100000000000001" customHeight="1" x14ac:dyDescent="0.2">
      <c r="A282" s="13">
        <v>275</v>
      </c>
      <c r="B282" s="16" t="s">
        <v>1353</v>
      </c>
      <c r="C282" s="16" t="s">
        <v>1253</v>
      </c>
      <c r="D282" s="6" t="s">
        <v>238</v>
      </c>
      <c r="E282" s="6" t="s">
        <v>6</v>
      </c>
      <c r="F282" s="6" t="s">
        <v>481</v>
      </c>
      <c r="G282" s="6"/>
      <c r="H282" s="15" t="s">
        <v>83</v>
      </c>
      <c r="I282" s="15"/>
      <c r="J282" s="15"/>
      <c r="K282" s="15"/>
      <c r="L282" s="15"/>
      <c r="M282" s="15"/>
      <c r="N282" s="15"/>
      <c r="O282" s="16" t="s">
        <v>67</v>
      </c>
      <c r="P282" s="6"/>
      <c r="Q282" s="6" t="s">
        <v>117</v>
      </c>
      <c r="R282" s="6" t="s">
        <v>1354</v>
      </c>
      <c r="S282" s="6" t="s">
        <v>69</v>
      </c>
      <c r="T282" s="15" t="s">
        <v>70</v>
      </c>
      <c r="U282" s="6"/>
      <c r="V282" s="6" t="s">
        <v>120</v>
      </c>
      <c r="W282" s="6" t="s">
        <v>1355</v>
      </c>
      <c r="X282" s="6" t="s">
        <v>119</v>
      </c>
      <c r="Y282" s="6" t="s">
        <v>107</v>
      </c>
      <c r="Z282" s="15" t="s">
        <v>1356</v>
      </c>
      <c r="AA282" s="15"/>
      <c r="AB282" s="15"/>
      <c r="AC282" s="15"/>
      <c r="AD282" s="16">
        <v>198</v>
      </c>
      <c r="AE282" s="16"/>
      <c r="AF282" s="16"/>
      <c r="AG282" s="16"/>
      <c r="AH282" s="16"/>
      <c r="AI282" s="16"/>
      <c r="AJ282" s="16"/>
      <c r="AK282" s="16"/>
      <c r="AL282" s="16"/>
      <c r="AM282" s="17" t="s">
        <v>158</v>
      </c>
      <c r="AN282" s="6"/>
      <c r="AO282" s="6"/>
      <c r="AP282" s="15"/>
      <c r="AQ282" s="16"/>
      <c r="AR282" s="16"/>
      <c r="AS282" s="6" t="s">
        <v>115</v>
      </c>
      <c r="AT282" s="6" t="s">
        <v>344</v>
      </c>
      <c r="AU282" s="6" t="s">
        <v>136</v>
      </c>
      <c r="AV282" s="6" t="s">
        <v>137</v>
      </c>
      <c r="AW282" s="46">
        <f t="shared" si="9"/>
        <v>13</v>
      </c>
      <c r="AX282" s="46" t="str">
        <f t="shared" si="10"/>
        <v/>
      </c>
      <c r="AY282" s="18" t="s">
        <v>1357</v>
      </c>
    </row>
    <row r="283" spans="1:51" ht="20.100000000000001" customHeight="1" x14ac:dyDescent="0.2">
      <c r="A283" s="13">
        <v>276</v>
      </c>
      <c r="B283" s="40" t="s">
        <v>1353</v>
      </c>
      <c r="C283" s="40" t="s">
        <v>1253</v>
      </c>
      <c r="D283" s="41" t="s">
        <v>1347</v>
      </c>
      <c r="E283" s="41" t="s">
        <v>19</v>
      </c>
      <c r="F283" s="41"/>
      <c r="G283" s="41"/>
      <c r="H283" s="13" t="s">
        <v>7</v>
      </c>
      <c r="I283" s="13"/>
      <c r="J283" s="13"/>
      <c r="K283" s="13"/>
      <c r="L283" s="13"/>
      <c r="M283" s="13"/>
      <c r="N283" s="13"/>
      <c r="O283" s="40" t="s">
        <v>93</v>
      </c>
      <c r="P283" s="35" t="s">
        <v>117</v>
      </c>
      <c r="Q283" s="35" t="s">
        <v>104</v>
      </c>
      <c r="R283" s="41" t="s">
        <v>1270</v>
      </c>
      <c r="S283" s="41" t="s">
        <v>106</v>
      </c>
      <c r="T283" s="13" t="s">
        <v>107</v>
      </c>
      <c r="U283" s="35" t="s">
        <v>120</v>
      </c>
      <c r="V283" s="35" t="s">
        <v>108</v>
      </c>
      <c r="W283" s="41" t="s">
        <v>1358</v>
      </c>
      <c r="X283" s="41" t="s">
        <v>142</v>
      </c>
      <c r="Y283" s="41" t="s">
        <v>70</v>
      </c>
      <c r="Z283" s="13"/>
      <c r="AA283" s="13"/>
      <c r="AB283" s="13"/>
      <c r="AC283" s="13"/>
      <c r="AD283" s="40"/>
      <c r="AE283" s="40"/>
      <c r="AF283" s="40"/>
      <c r="AG283" s="40"/>
      <c r="AH283" s="40"/>
      <c r="AI283" s="40"/>
      <c r="AJ283" s="40"/>
      <c r="AK283" s="40"/>
      <c r="AL283" s="40"/>
      <c r="AM283" s="50" t="s">
        <v>158</v>
      </c>
      <c r="AN283" s="41"/>
      <c r="AO283" s="43">
        <v>130</v>
      </c>
      <c r="AP283" s="13">
        <v>25</v>
      </c>
      <c r="AQ283" s="40"/>
      <c r="AR283" s="40"/>
      <c r="AS283" s="6"/>
      <c r="AT283" s="6"/>
      <c r="AU283" s="6"/>
      <c r="AV283" s="6"/>
      <c r="AW283" s="12" t="str">
        <f t="shared" si="9"/>
        <v/>
      </c>
      <c r="AX283" s="12" t="str">
        <f t="shared" si="10"/>
        <v/>
      </c>
      <c r="AY283" s="45"/>
    </row>
    <row r="284" spans="1:51" ht="20.100000000000001" customHeight="1" x14ac:dyDescent="0.2">
      <c r="A284" s="13">
        <v>277</v>
      </c>
      <c r="B284" s="40" t="s">
        <v>1359</v>
      </c>
      <c r="C284" s="40" t="s">
        <v>1360</v>
      </c>
      <c r="D284" s="41" t="s">
        <v>1331</v>
      </c>
      <c r="E284" s="41" t="s">
        <v>8</v>
      </c>
      <c r="F284" s="41"/>
      <c r="G284" s="41"/>
      <c r="H284" s="13" t="s">
        <v>7</v>
      </c>
      <c r="I284" s="13"/>
      <c r="J284" s="13"/>
      <c r="K284" s="13"/>
      <c r="L284" s="13"/>
      <c r="M284" s="13"/>
      <c r="N284" s="13"/>
      <c r="O284" s="40" t="s">
        <v>67</v>
      </c>
      <c r="P284" s="41" t="s">
        <v>155</v>
      </c>
      <c r="Q284" s="41" t="s">
        <v>155</v>
      </c>
      <c r="R284" s="41" t="s">
        <v>1361</v>
      </c>
      <c r="S284" s="41" t="s">
        <v>142</v>
      </c>
      <c r="T284" s="13" t="s">
        <v>70</v>
      </c>
      <c r="U284" s="35" t="s">
        <v>324</v>
      </c>
      <c r="V284" s="35" t="s">
        <v>170</v>
      </c>
      <c r="W284" s="41" t="s">
        <v>1362</v>
      </c>
      <c r="X284" s="41" t="s">
        <v>142</v>
      </c>
      <c r="Y284" s="41" t="s">
        <v>70</v>
      </c>
      <c r="Z284" s="13">
        <v>0</v>
      </c>
      <c r="AA284" s="13"/>
      <c r="AB284" s="13"/>
      <c r="AC284" s="13"/>
      <c r="AD284" s="40"/>
      <c r="AE284" s="40"/>
      <c r="AF284" s="40"/>
      <c r="AG284" s="40"/>
      <c r="AH284" s="40"/>
      <c r="AI284" s="40"/>
      <c r="AJ284" s="40"/>
      <c r="AK284" s="40"/>
      <c r="AL284" s="40"/>
      <c r="AM284" s="50" t="s">
        <v>158</v>
      </c>
      <c r="AN284" s="41"/>
      <c r="AO284" s="41"/>
      <c r="AP284" s="13"/>
      <c r="AQ284" s="40"/>
      <c r="AR284" s="40"/>
      <c r="AS284" s="6"/>
      <c r="AT284" s="6"/>
      <c r="AU284" s="6"/>
      <c r="AV284" s="6"/>
      <c r="AW284" s="12" t="str">
        <f t="shared" si="9"/>
        <v/>
      </c>
      <c r="AX284" s="12" t="str">
        <f t="shared" si="10"/>
        <v/>
      </c>
      <c r="AY284" s="45"/>
    </row>
    <row r="285" spans="1:51" ht="20.100000000000001" customHeight="1" x14ac:dyDescent="0.2">
      <c r="A285" s="13">
        <v>278</v>
      </c>
      <c r="B285" s="40" t="s">
        <v>1359</v>
      </c>
      <c r="C285" s="40" t="s">
        <v>1360</v>
      </c>
      <c r="D285" s="41" t="s">
        <v>794</v>
      </c>
      <c r="E285" s="41" t="s">
        <v>8</v>
      </c>
      <c r="F285" s="41"/>
      <c r="G285" s="41"/>
      <c r="H285" s="13" t="s">
        <v>7</v>
      </c>
      <c r="I285" s="13"/>
      <c r="J285" s="13"/>
      <c r="K285" s="13"/>
      <c r="L285" s="13"/>
      <c r="M285" s="13"/>
      <c r="N285" s="13"/>
      <c r="O285" s="40" t="s">
        <v>92</v>
      </c>
      <c r="P285" s="35" t="s">
        <v>68</v>
      </c>
      <c r="Q285" s="35" t="s">
        <v>155</v>
      </c>
      <c r="R285" s="41" t="s">
        <v>1363</v>
      </c>
      <c r="S285" s="41" t="s">
        <v>142</v>
      </c>
      <c r="T285" s="13" t="s">
        <v>70</v>
      </c>
      <c r="U285" s="35" t="s">
        <v>332</v>
      </c>
      <c r="V285" s="35" t="s">
        <v>167</v>
      </c>
      <c r="W285" s="41" t="s">
        <v>1364</v>
      </c>
      <c r="X285" s="41" t="s">
        <v>142</v>
      </c>
      <c r="Y285" s="41" t="s">
        <v>70</v>
      </c>
      <c r="Z285" s="13"/>
      <c r="AA285" s="13"/>
      <c r="AB285" s="13"/>
      <c r="AC285" s="13"/>
      <c r="AD285" s="40"/>
      <c r="AE285" s="40"/>
      <c r="AF285" s="40"/>
      <c r="AG285" s="40"/>
      <c r="AH285" s="40"/>
      <c r="AI285" s="40"/>
      <c r="AJ285" s="40"/>
      <c r="AK285" s="40"/>
      <c r="AL285" s="40"/>
      <c r="AM285" s="50" t="s">
        <v>158</v>
      </c>
      <c r="AN285" s="41"/>
      <c r="AO285" s="41"/>
      <c r="AP285" s="13"/>
      <c r="AQ285" s="40"/>
      <c r="AR285" s="40"/>
      <c r="AS285" s="6"/>
      <c r="AT285" s="6"/>
      <c r="AU285" s="6"/>
      <c r="AV285" s="6"/>
      <c r="AW285" s="12" t="str">
        <f t="shared" si="9"/>
        <v/>
      </c>
      <c r="AX285" s="12" t="str">
        <f t="shared" si="10"/>
        <v/>
      </c>
      <c r="AY285" s="45"/>
    </row>
    <row r="286" spans="1:51" ht="20.100000000000001" customHeight="1" x14ac:dyDescent="0.2">
      <c r="A286" s="13">
        <v>279</v>
      </c>
      <c r="B286" s="40" t="s">
        <v>1365</v>
      </c>
      <c r="C286" s="40" t="s">
        <v>1360</v>
      </c>
      <c r="D286" s="41" t="s">
        <v>238</v>
      </c>
      <c r="E286" s="41" t="s">
        <v>6</v>
      </c>
      <c r="F286" s="41"/>
      <c r="G286" s="41"/>
      <c r="H286" s="13" t="s">
        <v>7</v>
      </c>
      <c r="I286" s="13"/>
      <c r="J286" s="13"/>
      <c r="K286" s="13"/>
      <c r="L286" s="13"/>
      <c r="M286" s="13"/>
      <c r="N286" s="13"/>
      <c r="O286" s="40" t="s">
        <v>67</v>
      </c>
      <c r="P286" s="35" t="s">
        <v>117</v>
      </c>
      <c r="Q286" s="35" t="s">
        <v>104</v>
      </c>
      <c r="R286" s="41" t="s">
        <v>247</v>
      </c>
      <c r="S286" s="41" t="s">
        <v>106</v>
      </c>
      <c r="T286" s="13" t="s">
        <v>107</v>
      </c>
      <c r="U286" s="35" t="s">
        <v>120</v>
      </c>
      <c r="V286" s="35" t="s">
        <v>248</v>
      </c>
      <c r="W286" s="41" t="s">
        <v>249</v>
      </c>
      <c r="X286" s="41" t="s">
        <v>73</v>
      </c>
      <c r="Y286" s="41" t="s">
        <v>70</v>
      </c>
      <c r="Z286" s="13"/>
      <c r="AA286" s="13"/>
      <c r="AB286" s="13"/>
      <c r="AC286" s="13"/>
      <c r="AD286" s="40"/>
      <c r="AE286" s="40"/>
      <c r="AF286" s="40"/>
      <c r="AG286" s="40"/>
      <c r="AH286" s="40"/>
      <c r="AI286" s="40"/>
      <c r="AJ286" s="40"/>
      <c r="AK286" s="40"/>
      <c r="AL286" s="40"/>
      <c r="AM286" s="50" t="s">
        <v>158</v>
      </c>
      <c r="AN286" s="41"/>
      <c r="AO286" s="41"/>
      <c r="AP286" s="13"/>
      <c r="AQ286" s="40"/>
      <c r="AR286" s="40"/>
      <c r="AS286" s="6"/>
      <c r="AT286" s="6"/>
      <c r="AU286" s="6"/>
      <c r="AV286" s="6"/>
      <c r="AW286" s="12" t="str">
        <f t="shared" si="9"/>
        <v/>
      </c>
      <c r="AX286" s="12" t="str">
        <f t="shared" si="10"/>
        <v/>
      </c>
      <c r="AY286" s="45"/>
    </row>
    <row r="287" spans="1:51" ht="20.100000000000001" customHeight="1" x14ac:dyDescent="0.2">
      <c r="A287" s="13">
        <v>280</v>
      </c>
      <c r="B287" s="40" t="s">
        <v>1366</v>
      </c>
      <c r="C287" s="40" t="s">
        <v>1360</v>
      </c>
      <c r="D287" s="41" t="s">
        <v>474</v>
      </c>
      <c r="E287" s="41" t="s">
        <v>10</v>
      </c>
      <c r="F287" s="41"/>
      <c r="G287" s="41"/>
      <c r="H287" s="13" t="s">
        <v>7</v>
      </c>
      <c r="I287" s="13"/>
      <c r="J287" s="13"/>
      <c r="K287" s="13"/>
      <c r="L287" s="13"/>
      <c r="M287" s="13"/>
      <c r="N287" s="13"/>
      <c r="O287" s="40" t="s">
        <v>67</v>
      </c>
      <c r="P287" s="35" t="s">
        <v>117</v>
      </c>
      <c r="Q287" s="35" t="s">
        <v>769</v>
      </c>
      <c r="R287" s="41" t="s">
        <v>1367</v>
      </c>
      <c r="S287" s="41" t="s">
        <v>69</v>
      </c>
      <c r="T287" s="13" t="s">
        <v>70</v>
      </c>
      <c r="U287" s="35" t="s">
        <v>204</v>
      </c>
      <c r="V287" s="35" t="s">
        <v>979</v>
      </c>
      <c r="W287" s="41" t="s">
        <v>1368</v>
      </c>
      <c r="X287" s="41" t="s">
        <v>69</v>
      </c>
      <c r="Y287" s="41" t="s">
        <v>70</v>
      </c>
      <c r="Z287" s="13"/>
      <c r="AA287" s="13"/>
      <c r="AB287" s="13"/>
      <c r="AC287" s="13"/>
      <c r="AD287" s="40">
        <v>186</v>
      </c>
      <c r="AE287" s="40"/>
      <c r="AF287" s="40"/>
      <c r="AG287" s="40"/>
      <c r="AH287" s="40"/>
      <c r="AI287" s="40"/>
      <c r="AJ287" s="40"/>
      <c r="AK287" s="40"/>
      <c r="AL287" s="40"/>
      <c r="AM287" s="33" t="s">
        <v>158</v>
      </c>
      <c r="AN287" s="41" t="s">
        <v>1369</v>
      </c>
      <c r="AO287" s="41"/>
      <c r="AP287" s="13"/>
      <c r="AQ287" s="40"/>
      <c r="AR287" s="40"/>
      <c r="AS287" s="6"/>
      <c r="AT287" s="6"/>
      <c r="AU287" s="6"/>
      <c r="AV287" s="6"/>
      <c r="AW287" s="12" t="str">
        <f t="shared" si="9"/>
        <v/>
      </c>
      <c r="AX287" s="12" t="str">
        <f t="shared" si="10"/>
        <v/>
      </c>
      <c r="AY287" s="45"/>
    </row>
    <row r="288" spans="1:51" ht="20.100000000000001" customHeight="1" x14ac:dyDescent="0.2">
      <c r="A288" s="13">
        <v>281</v>
      </c>
      <c r="B288" s="40" t="s">
        <v>1370</v>
      </c>
      <c r="C288" s="40" t="s">
        <v>1360</v>
      </c>
      <c r="D288" s="41" t="s">
        <v>1053</v>
      </c>
      <c r="E288" s="41" t="s">
        <v>6</v>
      </c>
      <c r="F288" s="41"/>
      <c r="G288" s="41"/>
      <c r="H288" s="13" t="s">
        <v>7</v>
      </c>
      <c r="I288" s="13"/>
      <c r="J288" s="13"/>
      <c r="K288" s="13"/>
      <c r="L288" s="13"/>
      <c r="M288" s="13"/>
      <c r="N288" s="13"/>
      <c r="O288" s="40" t="s">
        <v>93</v>
      </c>
      <c r="P288" s="35" t="s">
        <v>104</v>
      </c>
      <c r="Q288" s="35" t="s">
        <v>68</v>
      </c>
      <c r="R288" s="41" t="s">
        <v>691</v>
      </c>
      <c r="S288" s="41" t="s">
        <v>106</v>
      </c>
      <c r="T288" s="13" t="s">
        <v>107</v>
      </c>
      <c r="U288" s="35" t="s">
        <v>108</v>
      </c>
      <c r="V288" s="35" t="s">
        <v>361</v>
      </c>
      <c r="W288" s="41" t="s">
        <v>1371</v>
      </c>
      <c r="X288" s="41" t="s">
        <v>106</v>
      </c>
      <c r="Y288" s="41" t="s">
        <v>107</v>
      </c>
      <c r="Z288" s="13">
        <v>0</v>
      </c>
      <c r="AA288" s="13"/>
      <c r="AB288" s="13"/>
      <c r="AC288" s="13"/>
      <c r="AD288" s="40">
        <v>192</v>
      </c>
      <c r="AE288" s="40"/>
      <c r="AF288" s="40"/>
      <c r="AG288" s="40"/>
      <c r="AH288" s="40"/>
      <c r="AI288" s="40"/>
      <c r="AJ288" s="40"/>
      <c r="AK288" s="40"/>
      <c r="AL288" s="40"/>
      <c r="AM288" s="50" t="s">
        <v>158</v>
      </c>
      <c r="AN288" s="41" t="s">
        <v>1366</v>
      </c>
      <c r="AO288" s="41"/>
      <c r="AP288" s="13"/>
      <c r="AQ288" s="40"/>
      <c r="AR288" s="40"/>
      <c r="AS288" s="6"/>
      <c r="AT288" s="6"/>
      <c r="AU288" s="6"/>
      <c r="AV288" s="6"/>
      <c r="AW288" s="12" t="str">
        <f t="shared" si="9"/>
        <v/>
      </c>
      <c r="AX288" s="12" t="str">
        <f t="shared" si="10"/>
        <v/>
      </c>
      <c r="AY288" s="45"/>
    </row>
    <row r="289" spans="1:51" ht="20.100000000000001" customHeight="1" x14ac:dyDescent="0.2">
      <c r="A289" s="13">
        <v>282</v>
      </c>
      <c r="B289" s="40" t="s">
        <v>1372</v>
      </c>
      <c r="C289" s="40" t="s">
        <v>1360</v>
      </c>
      <c r="D289" s="41" t="s">
        <v>1373</v>
      </c>
      <c r="E289" s="41" t="s">
        <v>19</v>
      </c>
      <c r="F289" s="41" t="s">
        <v>481</v>
      </c>
      <c r="G289" s="41"/>
      <c r="H289" s="13" t="s">
        <v>83</v>
      </c>
      <c r="I289" s="13"/>
      <c r="J289" s="13"/>
      <c r="K289" s="13"/>
      <c r="L289" s="13"/>
      <c r="M289" s="13"/>
      <c r="N289" s="13"/>
      <c r="O289" s="40" t="s">
        <v>92</v>
      </c>
      <c r="P289" s="41"/>
      <c r="Q289" s="41" t="s">
        <v>117</v>
      </c>
      <c r="R289" s="41" t="s">
        <v>435</v>
      </c>
      <c r="S289" s="41" t="s">
        <v>69</v>
      </c>
      <c r="T289" s="13" t="s">
        <v>70</v>
      </c>
      <c r="U289" s="41"/>
      <c r="V289" s="41" t="s">
        <v>1084</v>
      </c>
      <c r="W289" s="41" t="s">
        <v>435</v>
      </c>
      <c r="X289" s="41" t="s">
        <v>69</v>
      </c>
      <c r="Y289" s="41" t="s">
        <v>70</v>
      </c>
      <c r="Z289" s="13" t="s">
        <v>1374</v>
      </c>
      <c r="AA289" s="13"/>
      <c r="AB289" s="13"/>
      <c r="AC289" s="13"/>
      <c r="AD289" s="40">
        <v>78</v>
      </c>
      <c r="AE289" s="40"/>
      <c r="AF289" s="40"/>
      <c r="AG289" s="40"/>
      <c r="AH289" s="40"/>
      <c r="AI289" s="40"/>
      <c r="AJ289" s="40"/>
      <c r="AK289" s="40"/>
      <c r="AL289" s="40"/>
      <c r="AM289" s="47"/>
      <c r="AN289" s="41"/>
      <c r="AO289" s="41"/>
      <c r="AP289" s="13"/>
      <c r="AQ289" s="40"/>
      <c r="AR289" s="40"/>
      <c r="AS289" s="6" t="s">
        <v>115</v>
      </c>
      <c r="AT289" s="6" t="s">
        <v>148</v>
      </c>
      <c r="AU289" s="6" t="s">
        <v>1375</v>
      </c>
      <c r="AV289" s="6" t="s">
        <v>137</v>
      </c>
      <c r="AW289" s="12">
        <f t="shared" si="9"/>
        <v>170</v>
      </c>
      <c r="AX289" s="12" t="str">
        <f t="shared" si="10"/>
        <v/>
      </c>
      <c r="AY289" s="45"/>
    </row>
    <row r="290" spans="1:51" ht="20.100000000000001" customHeight="1" x14ac:dyDescent="0.2">
      <c r="A290" s="13">
        <v>283</v>
      </c>
      <c r="B290" s="40" t="s">
        <v>1372</v>
      </c>
      <c r="C290" s="40" t="s">
        <v>1360</v>
      </c>
      <c r="D290" s="41" t="s">
        <v>1376</v>
      </c>
      <c r="E290" s="41" t="s">
        <v>6</v>
      </c>
      <c r="F290" s="41" t="s">
        <v>222</v>
      </c>
      <c r="G290" s="41"/>
      <c r="H290" s="13" t="s">
        <v>222</v>
      </c>
      <c r="I290" s="13"/>
      <c r="J290" s="13"/>
      <c r="K290" s="13"/>
      <c r="L290" s="13"/>
      <c r="M290" s="13"/>
      <c r="N290" s="13"/>
      <c r="O290" s="40" t="s">
        <v>67</v>
      </c>
      <c r="P290" s="41"/>
      <c r="Q290" s="41" t="s">
        <v>140</v>
      </c>
      <c r="R290" s="41" t="s">
        <v>1377</v>
      </c>
      <c r="S290" s="41" t="s">
        <v>142</v>
      </c>
      <c r="T290" s="13" t="s">
        <v>70</v>
      </c>
      <c r="U290" s="41"/>
      <c r="V290" s="41" t="s">
        <v>338</v>
      </c>
      <c r="W290" s="41" t="s">
        <v>1378</v>
      </c>
      <c r="X290" s="41" t="s">
        <v>142</v>
      </c>
      <c r="Y290" s="41" t="s">
        <v>70</v>
      </c>
      <c r="Z290" s="13" t="s">
        <v>1379</v>
      </c>
      <c r="AA290" s="13"/>
      <c r="AB290" s="13"/>
      <c r="AC290" s="13"/>
      <c r="AD290" s="40">
        <v>186</v>
      </c>
      <c r="AE290" s="40"/>
      <c r="AF290" s="40"/>
      <c r="AG290" s="40"/>
      <c r="AH290" s="40"/>
      <c r="AI290" s="40"/>
      <c r="AJ290" s="40"/>
      <c r="AK290" s="40"/>
      <c r="AL290" s="40"/>
      <c r="AM290" s="47" t="s">
        <v>158</v>
      </c>
      <c r="AN290" s="41" t="s">
        <v>1190</v>
      </c>
      <c r="AO290" s="43">
        <v>204</v>
      </c>
      <c r="AP290" s="13">
        <v>10</v>
      </c>
      <c r="AQ290" s="40"/>
      <c r="AR290" s="40"/>
      <c r="AS290" s="6" t="s">
        <v>115</v>
      </c>
      <c r="AT290" s="6" t="s">
        <v>148</v>
      </c>
      <c r="AU290" s="6" t="s">
        <v>348</v>
      </c>
      <c r="AV290" s="6" t="s">
        <v>344</v>
      </c>
      <c r="AW290" s="12">
        <f t="shared" si="9"/>
        <v>37</v>
      </c>
      <c r="AX290" s="12" t="str">
        <f t="shared" si="10"/>
        <v/>
      </c>
      <c r="AY290" s="45"/>
    </row>
    <row r="291" spans="1:51" ht="20.100000000000001" customHeight="1" x14ac:dyDescent="0.2">
      <c r="A291" s="13">
        <v>284</v>
      </c>
      <c r="B291" s="40" t="s">
        <v>1372</v>
      </c>
      <c r="C291" s="40" t="s">
        <v>1360</v>
      </c>
      <c r="D291" s="41" t="s">
        <v>1376</v>
      </c>
      <c r="E291" s="41" t="s">
        <v>6</v>
      </c>
      <c r="F291" s="41" t="s">
        <v>192</v>
      </c>
      <c r="G291" s="41"/>
      <c r="H291" s="13" t="s">
        <v>7</v>
      </c>
      <c r="I291" s="13"/>
      <c r="J291" s="13"/>
      <c r="K291" s="13"/>
      <c r="L291" s="13"/>
      <c r="M291" s="13"/>
      <c r="N291" s="13"/>
      <c r="O291" s="40" t="s">
        <v>67</v>
      </c>
      <c r="P291" s="41" t="s">
        <v>429</v>
      </c>
      <c r="Q291" s="41" t="s">
        <v>140</v>
      </c>
      <c r="R291" s="41" t="s">
        <v>1380</v>
      </c>
      <c r="S291" s="41" t="s">
        <v>106</v>
      </c>
      <c r="T291" s="13" t="s">
        <v>107</v>
      </c>
      <c r="U291" s="41" t="s">
        <v>429</v>
      </c>
      <c r="V291" s="41" t="s">
        <v>131</v>
      </c>
      <c r="W291" s="41" t="s">
        <v>1381</v>
      </c>
      <c r="X291" s="41" t="s">
        <v>73</v>
      </c>
      <c r="Y291" s="41" t="s">
        <v>70</v>
      </c>
      <c r="Z291" s="13">
        <v>0</v>
      </c>
      <c r="AA291" s="13"/>
      <c r="AB291" s="13">
        <v>218.5</v>
      </c>
      <c r="AC291" s="13" t="s">
        <v>1382</v>
      </c>
      <c r="AD291" s="40">
        <v>204</v>
      </c>
      <c r="AE291" s="40">
        <v>158</v>
      </c>
      <c r="AF291" s="40">
        <v>179</v>
      </c>
      <c r="AG291" s="40">
        <v>12</v>
      </c>
      <c r="AH291" s="40">
        <v>20</v>
      </c>
      <c r="AI291" s="40">
        <v>211</v>
      </c>
      <c r="AJ291" s="40">
        <v>10</v>
      </c>
      <c r="AK291" s="40"/>
      <c r="AL291" s="40"/>
      <c r="AM291" s="47"/>
      <c r="AN291" s="41" t="s">
        <v>1369</v>
      </c>
      <c r="AO291" s="41"/>
      <c r="AP291" s="13"/>
      <c r="AQ291" s="40"/>
      <c r="AR291" s="40"/>
      <c r="AS291" s="6"/>
      <c r="AT291" s="6"/>
      <c r="AU291" s="6"/>
      <c r="AV291" s="6"/>
      <c r="AW291" s="12" t="str">
        <f t="shared" si="9"/>
        <v/>
      </c>
      <c r="AX291" s="12" t="str">
        <f t="shared" si="10"/>
        <v/>
      </c>
      <c r="AY291" s="45"/>
    </row>
    <row r="292" spans="1:51" ht="20.100000000000001" customHeight="1" x14ac:dyDescent="0.2">
      <c r="A292" s="13">
        <v>285</v>
      </c>
      <c r="B292" s="40" t="s">
        <v>1383</v>
      </c>
      <c r="C292" s="40" t="s">
        <v>1360</v>
      </c>
      <c r="D292" s="41" t="s">
        <v>1384</v>
      </c>
      <c r="E292" s="41" t="s">
        <v>8</v>
      </c>
      <c r="F292" s="41" t="s">
        <v>186</v>
      </c>
      <c r="G292" s="41"/>
      <c r="H292" s="13" t="s">
        <v>83</v>
      </c>
      <c r="I292" s="13"/>
      <c r="J292" s="13"/>
      <c r="K292" s="13"/>
      <c r="L292" s="13"/>
      <c r="M292" s="13"/>
      <c r="N292" s="13"/>
      <c r="O292" s="40" t="s">
        <v>93</v>
      </c>
      <c r="P292" s="41"/>
      <c r="Q292" s="41" t="s">
        <v>117</v>
      </c>
      <c r="R292" s="41" t="s">
        <v>1385</v>
      </c>
      <c r="S292" s="41" t="s">
        <v>369</v>
      </c>
      <c r="T292" s="13" t="s">
        <v>369</v>
      </c>
      <c r="U292" s="41"/>
      <c r="V292" s="41" t="s">
        <v>120</v>
      </c>
      <c r="W292" s="41" t="s">
        <v>1386</v>
      </c>
      <c r="X292" s="41" t="s">
        <v>574</v>
      </c>
      <c r="Y292" s="41" t="s">
        <v>107</v>
      </c>
      <c r="Z292" s="13" t="s">
        <v>1387</v>
      </c>
      <c r="AA292" s="13"/>
      <c r="AB292" s="13"/>
      <c r="AC292" s="13"/>
      <c r="AD292" s="40">
        <v>96</v>
      </c>
      <c r="AE292" s="40"/>
      <c r="AF292" s="40"/>
      <c r="AG292" s="40"/>
      <c r="AH292" s="40"/>
      <c r="AI292" s="40"/>
      <c r="AJ292" s="40"/>
      <c r="AK292" s="40"/>
      <c r="AL292" s="40"/>
      <c r="AM292" s="47"/>
      <c r="AN292" s="41" t="s">
        <v>1388</v>
      </c>
      <c r="AO292" s="43">
        <v>150</v>
      </c>
      <c r="AP292" s="13">
        <v>20</v>
      </c>
      <c r="AQ292" s="40"/>
      <c r="AR292" s="40"/>
      <c r="AS292" s="6" t="s">
        <v>115</v>
      </c>
      <c r="AT292" s="6" t="s">
        <v>148</v>
      </c>
      <c r="AU292" s="6" t="s">
        <v>348</v>
      </c>
      <c r="AV292" s="6" t="s">
        <v>344</v>
      </c>
      <c r="AW292" s="12">
        <f t="shared" si="9"/>
        <v>37</v>
      </c>
      <c r="AX292" s="12" t="str">
        <f t="shared" si="10"/>
        <v/>
      </c>
      <c r="AY292" s="45"/>
    </row>
    <row r="293" spans="1:51" ht="20.100000000000001" customHeight="1" x14ac:dyDescent="0.2">
      <c r="A293" s="13">
        <v>286</v>
      </c>
      <c r="B293" s="40" t="s">
        <v>1389</v>
      </c>
      <c r="C293" s="40" t="s">
        <v>1360</v>
      </c>
      <c r="D293" s="41" t="s">
        <v>1373</v>
      </c>
      <c r="E293" s="41" t="s">
        <v>19</v>
      </c>
      <c r="F293" s="41"/>
      <c r="G293" s="41"/>
      <c r="H293" s="13" t="s">
        <v>7</v>
      </c>
      <c r="I293" s="47" t="s">
        <v>158</v>
      </c>
      <c r="J293" s="13"/>
      <c r="K293" s="13"/>
      <c r="L293" s="13"/>
      <c r="M293" s="13"/>
      <c r="N293" s="13"/>
      <c r="O293" s="40" t="s">
        <v>92</v>
      </c>
      <c r="P293" s="35" t="s">
        <v>117</v>
      </c>
      <c r="Q293" s="35" t="s">
        <v>141</v>
      </c>
      <c r="R293" s="41" t="s">
        <v>1390</v>
      </c>
      <c r="S293" s="41" t="s">
        <v>106</v>
      </c>
      <c r="T293" s="13" t="s">
        <v>107</v>
      </c>
      <c r="U293" s="35" t="s">
        <v>1084</v>
      </c>
      <c r="V293" s="35" t="s">
        <v>998</v>
      </c>
      <c r="W293" s="41" t="s">
        <v>1391</v>
      </c>
      <c r="X293" s="41" t="s">
        <v>106</v>
      </c>
      <c r="Y293" s="13" t="s">
        <v>107</v>
      </c>
      <c r="Z293" s="13">
        <v>0</v>
      </c>
      <c r="AA293" s="13"/>
      <c r="AB293" s="13"/>
      <c r="AC293" s="13"/>
      <c r="AD293" s="40">
        <v>126</v>
      </c>
      <c r="AE293" s="40"/>
      <c r="AF293" s="40"/>
      <c r="AG293" s="40"/>
      <c r="AH293" s="40"/>
      <c r="AI293" s="40"/>
      <c r="AJ293" s="40"/>
      <c r="AK293" s="40"/>
      <c r="AL293" s="40"/>
      <c r="AM293" s="50" t="s">
        <v>158</v>
      </c>
      <c r="AN293" s="41" t="s">
        <v>1383</v>
      </c>
      <c r="AO293" s="41"/>
      <c r="AP293" s="13"/>
      <c r="AQ293" s="40"/>
      <c r="AR293" s="40"/>
      <c r="AS293" s="6"/>
      <c r="AT293" s="6"/>
      <c r="AU293" s="6"/>
      <c r="AV293" s="6"/>
      <c r="AW293" s="12" t="str">
        <f t="shared" si="9"/>
        <v/>
      </c>
      <c r="AX293" s="12" t="str">
        <f t="shared" si="10"/>
        <v/>
      </c>
      <c r="AY293" s="45"/>
    </row>
    <row r="294" spans="1:51" ht="20.100000000000001" customHeight="1" x14ac:dyDescent="0.2">
      <c r="A294" s="13">
        <v>287</v>
      </c>
      <c r="B294" s="40" t="s">
        <v>1392</v>
      </c>
      <c r="C294" s="40" t="s">
        <v>1360</v>
      </c>
      <c r="D294" s="41" t="s">
        <v>30</v>
      </c>
      <c r="E294" s="41" t="s">
        <v>19</v>
      </c>
      <c r="F294" s="41" t="s">
        <v>174</v>
      </c>
      <c r="G294" s="41"/>
      <c r="H294" s="13" t="s">
        <v>83</v>
      </c>
      <c r="I294" s="13"/>
      <c r="J294" s="13"/>
      <c r="K294" s="13"/>
      <c r="L294" s="13"/>
      <c r="M294" s="13"/>
      <c r="N294" s="13"/>
      <c r="O294" s="40" t="s">
        <v>92</v>
      </c>
      <c r="P294" s="41"/>
      <c r="Q294" s="41" t="s">
        <v>140</v>
      </c>
      <c r="R294" s="41" t="s">
        <v>1393</v>
      </c>
      <c r="S294" s="41" t="s">
        <v>69</v>
      </c>
      <c r="T294" s="13" t="s">
        <v>70</v>
      </c>
      <c r="U294" s="41"/>
      <c r="V294" s="41" t="s">
        <v>328</v>
      </c>
      <c r="W294" s="41" t="s">
        <v>1394</v>
      </c>
      <c r="X294" s="41" t="s">
        <v>119</v>
      </c>
      <c r="Y294" s="41" t="s">
        <v>107</v>
      </c>
      <c r="Z294" s="13" t="s">
        <v>1395</v>
      </c>
      <c r="AA294" s="13"/>
      <c r="AB294" s="13"/>
      <c r="AC294" s="13"/>
      <c r="AD294" s="40">
        <v>114</v>
      </c>
      <c r="AE294" s="40"/>
      <c r="AF294" s="40"/>
      <c r="AG294" s="40"/>
      <c r="AH294" s="40"/>
      <c r="AI294" s="40"/>
      <c r="AJ294" s="40"/>
      <c r="AK294" s="40"/>
      <c r="AL294" s="40"/>
      <c r="AM294" s="47"/>
      <c r="AN294" s="41" t="s">
        <v>1396</v>
      </c>
      <c r="AO294" s="43">
        <v>151</v>
      </c>
      <c r="AP294" s="13">
        <v>14</v>
      </c>
      <c r="AQ294" s="40"/>
      <c r="AR294" s="40"/>
      <c r="AS294" s="6" t="s">
        <v>115</v>
      </c>
      <c r="AT294" s="6" t="s">
        <v>148</v>
      </c>
      <c r="AU294" s="6" t="s">
        <v>400</v>
      </c>
      <c r="AV294" s="6" t="s">
        <v>266</v>
      </c>
      <c r="AW294" s="12">
        <f t="shared" si="9"/>
        <v>71</v>
      </c>
      <c r="AX294" s="12" t="str">
        <f t="shared" si="10"/>
        <v/>
      </c>
      <c r="AY294" s="45"/>
    </row>
    <row r="295" spans="1:51" s="21" customFormat="1" ht="21" customHeight="1" x14ac:dyDescent="0.2">
      <c r="A295" s="13">
        <v>288</v>
      </c>
      <c r="B295" s="29" t="s">
        <v>1392</v>
      </c>
      <c r="C295" s="29" t="s">
        <v>1360</v>
      </c>
      <c r="D295" s="30" t="s">
        <v>286</v>
      </c>
      <c r="E295" s="30" t="s">
        <v>9</v>
      </c>
      <c r="F295" s="30" t="s">
        <v>186</v>
      </c>
      <c r="G295" s="30"/>
      <c r="H295" s="20" t="s">
        <v>83</v>
      </c>
      <c r="I295" s="20"/>
      <c r="J295" s="20"/>
      <c r="K295" s="20"/>
      <c r="L295" s="20"/>
      <c r="M295" s="20"/>
      <c r="N295" s="20"/>
      <c r="O295" s="29" t="s">
        <v>67</v>
      </c>
      <c r="P295" s="30"/>
      <c r="Q295" s="30" t="s">
        <v>68</v>
      </c>
      <c r="R295" s="30" t="s">
        <v>301</v>
      </c>
      <c r="S295" s="30" t="s">
        <v>106</v>
      </c>
      <c r="T295" s="20" t="s">
        <v>107</v>
      </c>
      <c r="U295" s="30"/>
      <c r="V295" s="30" t="s">
        <v>263</v>
      </c>
      <c r="W295" s="30" t="s">
        <v>519</v>
      </c>
      <c r="X295" s="30" t="s">
        <v>106</v>
      </c>
      <c r="Y295" s="30" t="s">
        <v>107</v>
      </c>
      <c r="Z295" s="20" t="s">
        <v>917</v>
      </c>
      <c r="AA295" s="20"/>
      <c r="AB295" s="20"/>
      <c r="AC295" s="20"/>
      <c r="AD295" s="29">
        <v>186</v>
      </c>
      <c r="AE295" s="29"/>
      <c r="AF295" s="29"/>
      <c r="AG295" s="29"/>
      <c r="AH295" s="29"/>
      <c r="AI295" s="29"/>
      <c r="AJ295" s="29"/>
      <c r="AK295" s="29"/>
      <c r="AL295" s="29"/>
      <c r="AM295" s="39"/>
      <c r="AN295" s="30" t="s">
        <v>919</v>
      </c>
      <c r="AO295" s="30"/>
      <c r="AP295" s="20"/>
      <c r="AQ295" s="29"/>
      <c r="AR295" s="29"/>
      <c r="AS295" s="30" t="s">
        <v>115</v>
      </c>
      <c r="AT295" s="30" t="s">
        <v>148</v>
      </c>
      <c r="AU295" s="30" t="s">
        <v>115</v>
      </c>
      <c r="AV295" s="30" t="s">
        <v>124</v>
      </c>
      <c r="AW295" s="31">
        <f t="shared" si="9"/>
        <v>4</v>
      </c>
      <c r="AX295" s="31">
        <f t="shared" si="10"/>
        <v>4</v>
      </c>
      <c r="AY295" s="32" t="s">
        <v>1397</v>
      </c>
    </row>
    <row r="296" spans="1:51" s="21" customFormat="1" ht="38.450000000000003" customHeight="1" x14ac:dyDescent="0.2">
      <c r="A296" s="13">
        <v>289</v>
      </c>
      <c r="B296" s="29" t="s">
        <v>1392</v>
      </c>
      <c r="C296" s="29" t="s">
        <v>1360</v>
      </c>
      <c r="D296" s="30" t="s">
        <v>591</v>
      </c>
      <c r="E296" s="30" t="s">
        <v>9</v>
      </c>
      <c r="F296" s="30" t="s">
        <v>174</v>
      </c>
      <c r="G296" s="30" t="s">
        <v>1398</v>
      </c>
      <c r="H296" s="20" t="s">
        <v>83</v>
      </c>
      <c r="I296" s="20"/>
      <c r="J296" s="20"/>
      <c r="K296" s="20"/>
      <c r="L296" s="20"/>
      <c r="M296" s="20"/>
      <c r="N296" s="20"/>
      <c r="O296" s="29" t="s">
        <v>67</v>
      </c>
      <c r="P296" s="30"/>
      <c r="Q296" s="30" t="s">
        <v>155</v>
      </c>
      <c r="R296" s="30" t="s">
        <v>663</v>
      </c>
      <c r="S296" s="30" t="s">
        <v>106</v>
      </c>
      <c r="T296" s="20" t="s">
        <v>107</v>
      </c>
      <c r="U296" s="30"/>
      <c r="V296" s="30" t="s">
        <v>156</v>
      </c>
      <c r="W296" s="30" t="s">
        <v>195</v>
      </c>
      <c r="X296" s="30" t="s">
        <v>142</v>
      </c>
      <c r="Y296" s="30" t="s">
        <v>70</v>
      </c>
      <c r="Z296" s="20" t="s">
        <v>828</v>
      </c>
      <c r="AA296" s="20"/>
      <c r="AB296" s="20"/>
      <c r="AC296" s="20"/>
      <c r="AD296" s="29">
        <v>192</v>
      </c>
      <c r="AE296" s="29"/>
      <c r="AF296" s="29"/>
      <c r="AG296" s="29"/>
      <c r="AH296" s="29"/>
      <c r="AI296" s="29"/>
      <c r="AJ296" s="29"/>
      <c r="AK296" s="29"/>
      <c r="AL296" s="29"/>
      <c r="AM296" s="39" t="s">
        <v>158</v>
      </c>
      <c r="AN296" s="30" t="s">
        <v>819</v>
      </c>
      <c r="AO296" s="30"/>
      <c r="AP296" s="20"/>
      <c r="AQ296" s="29"/>
      <c r="AR296" s="29"/>
      <c r="AS296" s="30" t="s">
        <v>115</v>
      </c>
      <c r="AT296" s="30" t="s">
        <v>148</v>
      </c>
      <c r="AU296" s="30" t="s">
        <v>115</v>
      </c>
      <c r="AV296" s="30" t="s">
        <v>124</v>
      </c>
      <c r="AW296" s="31">
        <f t="shared" si="9"/>
        <v>4</v>
      </c>
      <c r="AX296" s="31">
        <f t="shared" si="10"/>
        <v>4</v>
      </c>
      <c r="AY296" s="51" t="s">
        <v>1399</v>
      </c>
    </row>
    <row r="297" spans="1:51" ht="20.100000000000001" customHeight="1" x14ac:dyDescent="0.2">
      <c r="A297" s="13">
        <v>290</v>
      </c>
      <c r="B297" s="40" t="s">
        <v>1400</v>
      </c>
      <c r="C297" s="40" t="s">
        <v>1360</v>
      </c>
      <c r="D297" s="41" t="s">
        <v>1401</v>
      </c>
      <c r="E297" s="41" t="s">
        <v>10</v>
      </c>
      <c r="F297" s="41" t="s">
        <v>192</v>
      </c>
      <c r="G297" s="41"/>
      <c r="H297" s="13" t="s">
        <v>7</v>
      </c>
      <c r="I297" s="47" t="s">
        <v>158</v>
      </c>
      <c r="J297" s="13"/>
      <c r="K297" s="13"/>
      <c r="L297" s="13"/>
      <c r="M297" s="13"/>
      <c r="N297" s="13"/>
      <c r="O297" s="40" t="s">
        <v>92</v>
      </c>
      <c r="P297" s="41" t="s">
        <v>429</v>
      </c>
      <c r="Q297" s="41" t="s">
        <v>155</v>
      </c>
      <c r="R297" s="41" t="s">
        <v>1402</v>
      </c>
      <c r="S297" s="41" t="s">
        <v>106</v>
      </c>
      <c r="T297" s="13" t="s">
        <v>107</v>
      </c>
      <c r="U297" s="41" t="s">
        <v>429</v>
      </c>
      <c r="V297" s="41" t="s">
        <v>324</v>
      </c>
      <c r="W297" s="41" t="s">
        <v>1237</v>
      </c>
      <c r="X297" s="41" t="s">
        <v>142</v>
      </c>
      <c r="Y297" s="41" t="s">
        <v>70</v>
      </c>
      <c r="Z297" s="13">
        <v>0</v>
      </c>
      <c r="AA297" s="13"/>
      <c r="AB297" s="13">
        <v>229</v>
      </c>
      <c r="AC297" s="13">
        <v>215</v>
      </c>
      <c r="AD297" s="40">
        <v>215</v>
      </c>
      <c r="AE297" s="40">
        <v>91</v>
      </c>
      <c r="AF297" s="40">
        <v>161</v>
      </c>
      <c r="AG297" s="40">
        <v>7</v>
      </c>
      <c r="AH297" s="40">
        <v>8</v>
      </c>
      <c r="AI297" s="40">
        <v>176</v>
      </c>
      <c r="AJ297" s="40">
        <v>23</v>
      </c>
      <c r="AK297" s="40"/>
      <c r="AL297" s="40"/>
      <c r="AM297" s="47"/>
      <c r="AN297" s="41" t="s">
        <v>1392</v>
      </c>
      <c r="AO297" s="41"/>
      <c r="AP297" s="13"/>
      <c r="AQ297" s="40"/>
      <c r="AR297" s="40"/>
      <c r="AS297" s="6"/>
      <c r="AT297" s="6"/>
      <c r="AU297" s="6"/>
      <c r="AV297" s="6"/>
      <c r="AW297" s="12" t="str">
        <f t="shared" si="9"/>
        <v/>
      </c>
      <c r="AX297" s="12" t="str">
        <f t="shared" si="10"/>
        <v/>
      </c>
      <c r="AY297" s="45"/>
    </row>
    <row r="298" spans="1:51" ht="20.100000000000001" customHeight="1" x14ac:dyDescent="0.2">
      <c r="A298" s="13">
        <v>291</v>
      </c>
      <c r="B298" s="40" t="s">
        <v>1403</v>
      </c>
      <c r="C298" s="40" t="s">
        <v>1360</v>
      </c>
      <c r="D298" s="41" t="s">
        <v>719</v>
      </c>
      <c r="E298" s="41" t="s">
        <v>6</v>
      </c>
      <c r="F298" s="41"/>
      <c r="G298" s="41"/>
      <c r="H298" s="13" t="s">
        <v>7</v>
      </c>
      <c r="I298" s="47" t="s">
        <v>158</v>
      </c>
      <c r="J298" s="13"/>
      <c r="K298" s="13"/>
      <c r="L298" s="13"/>
      <c r="M298" s="13"/>
      <c r="N298" s="13"/>
      <c r="O298" s="40" t="s">
        <v>67</v>
      </c>
      <c r="P298" s="35" t="s">
        <v>218</v>
      </c>
      <c r="Q298" s="35" t="s">
        <v>117</v>
      </c>
      <c r="R298" s="41" t="s">
        <v>1292</v>
      </c>
      <c r="S298" s="41" t="s">
        <v>106</v>
      </c>
      <c r="T298" s="13" t="s">
        <v>107</v>
      </c>
      <c r="U298" s="35" t="s">
        <v>268</v>
      </c>
      <c r="V298" s="35" t="s">
        <v>204</v>
      </c>
      <c r="W298" s="41" t="s">
        <v>1404</v>
      </c>
      <c r="X298" s="41" t="s">
        <v>106</v>
      </c>
      <c r="Y298" s="41" t="s">
        <v>107</v>
      </c>
      <c r="Z298" s="13">
        <v>0</v>
      </c>
      <c r="AA298" s="13"/>
      <c r="AB298" s="13">
        <v>178.5</v>
      </c>
      <c r="AC298" s="13">
        <v>168</v>
      </c>
      <c r="AD298" s="40">
        <v>168</v>
      </c>
      <c r="AE298" s="40">
        <v>105</v>
      </c>
      <c r="AF298" s="40">
        <v>143</v>
      </c>
      <c r="AG298" s="40">
        <v>3</v>
      </c>
      <c r="AH298" s="40">
        <v>52</v>
      </c>
      <c r="AI298" s="40">
        <v>198</v>
      </c>
      <c r="AJ298" s="40">
        <v>13</v>
      </c>
      <c r="AK298" s="40"/>
      <c r="AL298" s="40"/>
      <c r="AM298" s="50" t="s">
        <v>158</v>
      </c>
      <c r="AN298" s="41" t="s">
        <v>1400</v>
      </c>
      <c r="AO298" s="41"/>
      <c r="AP298" s="13"/>
      <c r="AQ298" s="40"/>
      <c r="AR298" s="40"/>
      <c r="AS298" s="6"/>
      <c r="AT298" s="6"/>
      <c r="AU298" s="6"/>
      <c r="AV298" s="6"/>
      <c r="AW298" s="12" t="str">
        <f t="shared" si="9"/>
        <v/>
      </c>
      <c r="AX298" s="12" t="str">
        <f t="shared" si="10"/>
        <v/>
      </c>
      <c r="AY298" s="45"/>
    </row>
    <row r="299" spans="1:51" s="19" customFormat="1" ht="20.100000000000001" customHeight="1" x14ac:dyDescent="0.2">
      <c r="A299" s="13">
        <v>292</v>
      </c>
      <c r="B299" s="16" t="s">
        <v>1403</v>
      </c>
      <c r="C299" s="16" t="s">
        <v>1360</v>
      </c>
      <c r="D299" s="6" t="s">
        <v>1405</v>
      </c>
      <c r="E299" s="6" t="s">
        <v>9</v>
      </c>
      <c r="F299" s="6" t="s">
        <v>186</v>
      </c>
      <c r="G299" s="6" t="s">
        <v>1406</v>
      </c>
      <c r="H299" s="15" t="s">
        <v>83</v>
      </c>
      <c r="I299" s="15"/>
      <c r="J299" s="15"/>
      <c r="K299" s="15"/>
      <c r="L299" s="15"/>
      <c r="M299" s="15"/>
      <c r="N299" s="15"/>
      <c r="O299" s="16" t="s">
        <v>93</v>
      </c>
      <c r="P299" s="6"/>
      <c r="Q299" s="6" t="s">
        <v>104</v>
      </c>
      <c r="R299" s="6"/>
      <c r="S299" s="6"/>
      <c r="T299" s="15"/>
      <c r="U299" s="6"/>
      <c r="V299" s="6" t="s">
        <v>108</v>
      </c>
      <c r="W299" s="6"/>
      <c r="X299" s="6"/>
      <c r="Y299" s="6"/>
      <c r="Z299" s="15" t="s">
        <v>1407</v>
      </c>
      <c r="AA299" s="15"/>
      <c r="AB299" s="15"/>
      <c r="AC299" s="15"/>
      <c r="AD299" s="16">
        <v>268</v>
      </c>
      <c r="AE299" s="16"/>
      <c r="AF299" s="16"/>
      <c r="AG299" s="16"/>
      <c r="AH299" s="16"/>
      <c r="AI299" s="16"/>
      <c r="AJ299" s="16"/>
      <c r="AK299" s="16"/>
      <c r="AL299" s="16"/>
      <c r="AM299" s="17"/>
      <c r="AN299" s="6"/>
      <c r="AO299" s="6"/>
      <c r="AP299" s="15"/>
      <c r="AQ299" s="16"/>
      <c r="AR299" s="16"/>
      <c r="AS299" s="6" t="s">
        <v>115</v>
      </c>
      <c r="AT299" s="6" t="s">
        <v>148</v>
      </c>
      <c r="AU299" s="6" t="s">
        <v>136</v>
      </c>
      <c r="AV299" s="6" t="s">
        <v>137</v>
      </c>
      <c r="AW299" s="46">
        <f t="shared" si="9"/>
        <v>14</v>
      </c>
      <c r="AX299" s="46" t="str">
        <f t="shared" si="10"/>
        <v/>
      </c>
      <c r="AY299" s="18"/>
    </row>
    <row r="300" spans="1:51" s="19" customFormat="1" ht="38.25" customHeight="1" x14ac:dyDescent="0.2">
      <c r="A300" s="13">
        <v>293</v>
      </c>
      <c r="B300" s="16" t="s">
        <v>1403</v>
      </c>
      <c r="C300" s="16" t="s">
        <v>1360</v>
      </c>
      <c r="D300" s="6" t="s">
        <v>1408</v>
      </c>
      <c r="E300" s="6" t="s">
        <v>9</v>
      </c>
      <c r="F300" s="6" t="s">
        <v>186</v>
      </c>
      <c r="G300" s="6"/>
      <c r="H300" s="15" t="s">
        <v>83</v>
      </c>
      <c r="I300" s="15"/>
      <c r="J300" s="15"/>
      <c r="K300" s="15"/>
      <c r="L300" s="15"/>
      <c r="M300" s="15"/>
      <c r="N300" s="15"/>
      <c r="O300" s="16" t="s">
        <v>93</v>
      </c>
      <c r="P300" s="6"/>
      <c r="Q300" s="6" t="s">
        <v>68</v>
      </c>
      <c r="R300" s="6" t="s">
        <v>1409</v>
      </c>
      <c r="S300" s="6" t="s">
        <v>69</v>
      </c>
      <c r="T300" s="15" t="s">
        <v>70</v>
      </c>
      <c r="U300" s="6"/>
      <c r="V300" s="6" t="s">
        <v>332</v>
      </c>
      <c r="W300" s="6" t="s">
        <v>1410</v>
      </c>
      <c r="X300" s="6" t="s">
        <v>119</v>
      </c>
      <c r="Y300" s="6" t="s">
        <v>107</v>
      </c>
      <c r="Z300" s="15" t="s">
        <v>1411</v>
      </c>
      <c r="AA300" s="15"/>
      <c r="AB300" s="15"/>
      <c r="AC300" s="15"/>
      <c r="AD300" s="16">
        <v>198</v>
      </c>
      <c r="AE300" s="16"/>
      <c r="AF300" s="16"/>
      <c r="AG300" s="16"/>
      <c r="AH300" s="16"/>
      <c r="AI300" s="16"/>
      <c r="AJ300" s="16"/>
      <c r="AK300" s="16"/>
      <c r="AL300" s="16"/>
      <c r="AM300" s="17"/>
      <c r="AN300" s="6" t="s">
        <v>1412</v>
      </c>
      <c r="AO300" s="25">
        <v>157</v>
      </c>
      <c r="AP300" s="15">
        <v>26</v>
      </c>
      <c r="AQ300" s="16"/>
      <c r="AR300" s="16"/>
      <c r="AS300" s="6" t="s">
        <v>115</v>
      </c>
      <c r="AT300" s="6" t="s">
        <v>148</v>
      </c>
      <c r="AU300" s="6" t="s">
        <v>136</v>
      </c>
      <c r="AV300" s="6" t="s">
        <v>137</v>
      </c>
      <c r="AW300" s="46">
        <f t="shared" si="9"/>
        <v>14</v>
      </c>
      <c r="AX300" s="46" t="str">
        <f t="shared" si="10"/>
        <v/>
      </c>
      <c r="AY300" s="52" t="s">
        <v>1413</v>
      </c>
    </row>
    <row r="301" spans="1:51" ht="20.100000000000001" customHeight="1" x14ac:dyDescent="0.2">
      <c r="A301" s="13">
        <v>294</v>
      </c>
      <c r="B301" s="40" t="s">
        <v>1414</v>
      </c>
      <c r="C301" s="40" t="s">
        <v>1360</v>
      </c>
      <c r="D301" s="41" t="s">
        <v>1415</v>
      </c>
      <c r="E301" s="41" t="s">
        <v>243</v>
      </c>
      <c r="F301" s="41"/>
      <c r="G301" s="41"/>
      <c r="H301" s="13" t="s">
        <v>7</v>
      </c>
      <c r="I301" s="47" t="s">
        <v>158</v>
      </c>
      <c r="J301" s="13"/>
      <c r="K301" s="13"/>
      <c r="L301" s="13"/>
      <c r="M301" s="13"/>
      <c r="N301" s="13"/>
      <c r="O301" s="40" t="s">
        <v>92</v>
      </c>
      <c r="P301" s="35" t="s">
        <v>104</v>
      </c>
      <c r="Q301" s="35" t="s">
        <v>141</v>
      </c>
      <c r="R301" s="41" t="s">
        <v>1416</v>
      </c>
      <c r="S301" s="41" t="s">
        <v>142</v>
      </c>
      <c r="T301" s="13" t="s">
        <v>70</v>
      </c>
      <c r="U301" s="35" t="s">
        <v>361</v>
      </c>
      <c r="V301" s="35" t="s">
        <v>1051</v>
      </c>
      <c r="W301" s="41" t="s">
        <v>1417</v>
      </c>
      <c r="X301" s="41" t="s">
        <v>73</v>
      </c>
      <c r="Y301" s="41" t="s">
        <v>70</v>
      </c>
      <c r="Z301" s="13">
        <v>0</v>
      </c>
      <c r="AA301" s="13"/>
      <c r="AB301" s="13"/>
      <c r="AC301" s="13"/>
      <c r="AD301" s="40">
        <v>183</v>
      </c>
      <c r="AE301" s="40"/>
      <c r="AF301" s="40"/>
      <c r="AG301" s="40"/>
      <c r="AH301" s="40"/>
      <c r="AI301" s="40"/>
      <c r="AJ301" s="40"/>
      <c r="AK301" s="40"/>
      <c r="AL301" s="40"/>
      <c r="AM301" s="50" t="s">
        <v>158</v>
      </c>
      <c r="AN301" s="41" t="s">
        <v>1403</v>
      </c>
      <c r="AO301" s="41"/>
      <c r="AP301" s="13"/>
      <c r="AQ301" s="40"/>
      <c r="AR301" s="40"/>
      <c r="AS301" s="6"/>
      <c r="AT301" s="6"/>
      <c r="AU301" s="6"/>
      <c r="AV301" s="6"/>
      <c r="AW301" s="12" t="str">
        <f t="shared" si="9"/>
        <v/>
      </c>
      <c r="AX301" s="12" t="str">
        <f t="shared" si="10"/>
        <v/>
      </c>
      <c r="AY301" s="45"/>
    </row>
    <row r="302" spans="1:51" s="19" customFormat="1" ht="20.100000000000001" customHeight="1" x14ac:dyDescent="0.2">
      <c r="A302" s="13">
        <v>295</v>
      </c>
      <c r="B302" s="16" t="s">
        <v>1414</v>
      </c>
      <c r="C302" s="16" t="s">
        <v>1360</v>
      </c>
      <c r="D302" s="6" t="s">
        <v>1418</v>
      </c>
      <c r="E302" s="6" t="s">
        <v>8</v>
      </c>
      <c r="F302" s="6" t="s">
        <v>174</v>
      </c>
      <c r="G302" s="6"/>
      <c r="H302" s="15" t="s">
        <v>83</v>
      </c>
      <c r="I302" s="15"/>
      <c r="J302" s="15"/>
      <c r="K302" s="15"/>
      <c r="L302" s="15"/>
      <c r="M302" s="15"/>
      <c r="N302" s="15"/>
      <c r="O302" s="16" t="s">
        <v>67</v>
      </c>
      <c r="P302" s="6"/>
      <c r="Q302" s="6" t="s">
        <v>117</v>
      </c>
      <c r="R302" s="6" t="s">
        <v>1419</v>
      </c>
      <c r="S302" s="6" t="s">
        <v>369</v>
      </c>
      <c r="T302" s="15" t="s">
        <v>369</v>
      </c>
      <c r="U302" s="6"/>
      <c r="V302" s="6" t="s">
        <v>204</v>
      </c>
      <c r="W302" s="6" t="s">
        <v>1420</v>
      </c>
      <c r="X302" s="6" t="s">
        <v>142</v>
      </c>
      <c r="Y302" s="6" t="s">
        <v>70</v>
      </c>
      <c r="Z302" s="15" t="s">
        <v>1421</v>
      </c>
      <c r="AA302" s="15"/>
      <c r="AB302" s="15"/>
      <c r="AC302" s="15"/>
      <c r="AD302" s="16">
        <v>192</v>
      </c>
      <c r="AE302" s="16"/>
      <c r="AF302" s="16"/>
      <c r="AG302" s="16"/>
      <c r="AH302" s="16"/>
      <c r="AI302" s="16"/>
      <c r="AJ302" s="16"/>
      <c r="AK302" s="16"/>
      <c r="AL302" s="16"/>
      <c r="AM302" s="17" t="s">
        <v>158</v>
      </c>
      <c r="AN302" s="6"/>
      <c r="AO302" s="6"/>
      <c r="AP302" s="15"/>
      <c r="AQ302" s="16"/>
      <c r="AR302" s="16"/>
      <c r="AS302" s="6"/>
      <c r="AT302" s="6"/>
      <c r="AU302" s="6"/>
      <c r="AV302" s="6"/>
      <c r="AW302" s="46" t="str">
        <f t="shared" si="9"/>
        <v/>
      </c>
      <c r="AX302" s="46" t="str">
        <f t="shared" si="10"/>
        <v/>
      </c>
      <c r="AY302" s="18"/>
    </row>
    <row r="303" spans="1:51" ht="20.100000000000001" customHeight="1" x14ac:dyDescent="0.2">
      <c r="A303" s="13">
        <v>296</v>
      </c>
      <c r="B303" s="40" t="s">
        <v>1422</v>
      </c>
      <c r="C303" s="40" t="s">
        <v>1360</v>
      </c>
      <c r="D303" s="41" t="s">
        <v>1423</v>
      </c>
      <c r="E303" s="41" t="s">
        <v>8</v>
      </c>
      <c r="F303" s="41" t="s">
        <v>945</v>
      </c>
      <c r="G303" s="41"/>
      <c r="H303" s="13" t="s">
        <v>83</v>
      </c>
      <c r="I303" s="13"/>
      <c r="J303" s="13"/>
      <c r="K303" s="13"/>
      <c r="L303" s="13"/>
      <c r="M303" s="13"/>
      <c r="N303" s="13"/>
      <c r="O303" s="40" t="s">
        <v>92</v>
      </c>
      <c r="P303" s="41"/>
      <c r="Q303" s="41" t="s">
        <v>104</v>
      </c>
      <c r="R303" s="41" t="s">
        <v>1424</v>
      </c>
      <c r="S303" s="41" t="s">
        <v>574</v>
      </c>
      <c r="T303" s="13" t="s">
        <v>107</v>
      </c>
      <c r="U303" s="41"/>
      <c r="V303" s="41" t="s">
        <v>108</v>
      </c>
      <c r="W303" s="41" t="s">
        <v>1425</v>
      </c>
      <c r="X303" s="41" t="s">
        <v>574</v>
      </c>
      <c r="Y303" s="41" t="s">
        <v>107</v>
      </c>
      <c r="Z303" s="13" t="s">
        <v>1426</v>
      </c>
      <c r="AA303" s="13"/>
      <c r="AB303" s="13"/>
      <c r="AC303" s="13"/>
      <c r="AD303" s="40">
        <v>102</v>
      </c>
      <c r="AE303" s="40"/>
      <c r="AF303" s="40"/>
      <c r="AG303" s="40"/>
      <c r="AH303" s="40"/>
      <c r="AI303" s="40"/>
      <c r="AJ303" s="40"/>
      <c r="AK303" s="40"/>
      <c r="AL303" s="40"/>
      <c r="AM303" s="47"/>
      <c r="AN303" s="41" t="s">
        <v>1427</v>
      </c>
      <c r="AO303" s="43">
        <v>132</v>
      </c>
      <c r="AP303" s="13">
        <v>27</v>
      </c>
      <c r="AQ303" s="40"/>
      <c r="AR303" s="40"/>
      <c r="AS303" s="6" t="s">
        <v>115</v>
      </c>
      <c r="AT303" s="6" t="s">
        <v>148</v>
      </c>
      <c r="AU303" s="6" t="s">
        <v>348</v>
      </c>
      <c r="AV303" s="6" t="s">
        <v>260</v>
      </c>
      <c r="AW303" s="12">
        <f t="shared" si="9"/>
        <v>32</v>
      </c>
      <c r="AX303" s="12" t="str">
        <f t="shared" si="10"/>
        <v/>
      </c>
      <c r="AY303" s="45"/>
    </row>
    <row r="304" spans="1:51" ht="20.100000000000001" customHeight="1" x14ac:dyDescent="0.2">
      <c r="A304" s="13">
        <v>297</v>
      </c>
      <c r="B304" s="40" t="s">
        <v>1422</v>
      </c>
      <c r="C304" s="40" t="s">
        <v>1360</v>
      </c>
      <c r="D304" s="41" t="s">
        <v>1405</v>
      </c>
      <c r="E304" s="41" t="s">
        <v>9</v>
      </c>
      <c r="F304" s="41"/>
      <c r="G304" s="41"/>
      <c r="H304" s="13" t="s">
        <v>7</v>
      </c>
      <c r="I304" s="47" t="s">
        <v>158</v>
      </c>
      <c r="J304" s="13"/>
      <c r="K304" s="13"/>
      <c r="L304" s="13"/>
      <c r="M304" s="13"/>
      <c r="N304" s="13"/>
      <c r="O304" s="40" t="s">
        <v>93</v>
      </c>
      <c r="P304" s="35" t="s">
        <v>104</v>
      </c>
      <c r="Q304" s="35" t="s">
        <v>68</v>
      </c>
      <c r="R304" s="41" t="s">
        <v>1428</v>
      </c>
      <c r="S304" s="41" t="s">
        <v>106</v>
      </c>
      <c r="T304" s="13" t="s">
        <v>107</v>
      </c>
      <c r="U304" s="35" t="s">
        <v>108</v>
      </c>
      <c r="V304" s="35" t="s">
        <v>332</v>
      </c>
      <c r="W304" s="41" t="s">
        <v>1429</v>
      </c>
      <c r="X304" s="41" t="s">
        <v>262</v>
      </c>
      <c r="Y304" s="41" t="s">
        <v>70</v>
      </c>
      <c r="Z304" s="13">
        <v>0</v>
      </c>
      <c r="AA304" s="13"/>
      <c r="AB304" s="13">
        <v>282</v>
      </c>
      <c r="AC304" s="13">
        <v>268</v>
      </c>
      <c r="AD304" s="40">
        <v>268</v>
      </c>
      <c r="AE304" s="40">
        <v>150</v>
      </c>
      <c r="AF304" s="40">
        <v>143</v>
      </c>
      <c r="AG304" s="40"/>
      <c r="AH304" s="40"/>
      <c r="AI304" s="40">
        <v>158</v>
      </c>
      <c r="AJ304" s="40">
        <v>30</v>
      </c>
      <c r="AK304" s="40"/>
      <c r="AL304" s="40"/>
      <c r="AM304" s="50" t="s">
        <v>158</v>
      </c>
      <c r="AN304" s="41" t="s">
        <v>1414</v>
      </c>
      <c r="AO304" s="41"/>
      <c r="AP304" s="13"/>
      <c r="AQ304" s="40"/>
      <c r="AR304" s="40"/>
      <c r="AS304" s="6"/>
      <c r="AT304" s="6"/>
      <c r="AU304" s="6"/>
      <c r="AV304" s="6"/>
      <c r="AW304" s="12" t="str">
        <f t="shared" si="9"/>
        <v/>
      </c>
      <c r="AX304" s="12" t="str">
        <f t="shared" si="10"/>
        <v/>
      </c>
      <c r="AY304" s="45"/>
    </row>
    <row r="305" spans="1:51" ht="20.100000000000001" customHeight="1" x14ac:dyDescent="0.2">
      <c r="A305" s="13">
        <v>299</v>
      </c>
      <c r="B305" s="40" t="s">
        <v>1430</v>
      </c>
      <c r="C305" s="40" t="s">
        <v>1360</v>
      </c>
      <c r="D305" s="41" t="s">
        <v>1431</v>
      </c>
      <c r="E305" s="41" t="s">
        <v>6</v>
      </c>
      <c r="F305" s="41" t="s">
        <v>481</v>
      </c>
      <c r="G305" s="41"/>
      <c r="H305" s="13" t="s">
        <v>83</v>
      </c>
      <c r="I305" s="13"/>
      <c r="J305" s="13"/>
      <c r="K305" s="13"/>
      <c r="L305" s="13"/>
      <c r="M305" s="13"/>
      <c r="N305" s="13"/>
      <c r="O305" s="40" t="s">
        <v>67</v>
      </c>
      <c r="P305" s="41"/>
      <c r="Q305" s="41" t="s">
        <v>140</v>
      </c>
      <c r="R305" s="41" t="s">
        <v>1432</v>
      </c>
      <c r="S305" s="41" t="s">
        <v>69</v>
      </c>
      <c r="T305" s="13" t="s">
        <v>70</v>
      </c>
      <c r="U305" s="41"/>
      <c r="V305" s="41" t="s">
        <v>338</v>
      </c>
      <c r="W305" s="41" t="s">
        <v>1433</v>
      </c>
      <c r="X305" s="41" t="s">
        <v>262</v>
      </c>
      <c r="Y305" s="41" t="s">
        <v>70</v>
      </c>
      <c r="Z305" s="13" t="s">
        <v>1434</v>
      </c>
      <c r="AA305" s="13"/>
      <c r="AB305" s="13"/>
      <c r="AC305" s="13"/>
      <c r="AD305" s="40">
        <v>136</v>
      </c>
      <c r="AE305" s="40"/>
      <c r="AF305" s="40"/>
      <c r="AG305" s="40"/>
      <c r="AH305" s="40"/>
      <c r="AI305" s="40"/>
      <c r="AJ305" s="40"/>
      <c r="AK305" s="40"/>
      <c r="AL305" s="40"/>
      <c r="AM305" s="47" t="s">
        <v>158</v>
      </c>
      <c r="AN305" s="41"/>
      <c r="AO305" s="43">
        <v>182</v>
      </c>
      <c r="AP305" s="13"/>
      <c r="AQ305" s="40"/>
      <c r="AR305" s="40"/>
      <c r="AS305" s="6" t="s">
        <v>115</v>
      </c>
      <c r="AT305" s="6" t="s">
        <v>148</v>
      </c>
      <c r="AU305" s="6" t="s">
        <v>400</v>
      </c>
      <c r="AV305" s="6" t="s">
        <v>148</v>
      </c>
      <c r="AW305" s="12">
        <f t="shared" si="9"/>
        <v>72</v>
      </c>
      <c r="AX305" s="12" t="str">
        <f t="shared" si="10"/>
        <v/>
      </c>
      <c r="AY305" s="45"/>
    </row>
    <row r="306" spans="1:51" ht="20.100000000000001" customHeight="1" x14ac:dyDescent="0.2">
      <c r="A306" s="13">
        <v>300</v>
      </c>
      <c r="B306" s="40" t="s">
        <v>1430</v>
      </c>
      <c r="C306" s="40" t="s">
        <v>1360</v>
      </c>
      <c r="D306" s="41" t="s">
        <v>1435</v>
      </c>
      <c r="E306" s="41" t="s">
        <v>6</v>
      </c>
      <c r="F306" s="41" t="s">
        <v>186</v>
      </c>
      <c r="G306" s="41"/>
      <c r="H306" s="13" t="s">
        <v>83</v>
      </c>
      <c r="I306" s="13"/>
      <c r="J306" s="13"/>
      <c r="K306" s="13"/>
      <c r="L306" s="13"/>
      <c r="M306" s="13"/>
      <c r="N306" s="13"/>
      <c r="O306" s="40" t="s">
        <v>92</v>
      </c>
      <c r="P306" s="41"/>
      <c r="Q306" s="41" t="s">
        <v>140</v>
      </c>
      <c r="R306" s="41" t="s">
        <v>1436</v>
      </c>
      <c r="S306" s="41" t="s">
        <v>574</v>
      </c>
      <c r="T306" s="13" t="s">
        <v>107</v>
      </c>
      <c r="U306" s="41"/>
      <c r="V306" s="41" t="s">
        <v>338</v>
      </c>
      <c r="W306" s="41" t="s">
        <v>1437</v>
      </c>
      <c r="X306" s="41" t="s">
        <v>574</v>
      </c>
      <c r="Y306" s="41" t="s">
        <v>107</v>
      </c>
      <c r="Z306" s="13" t="s">
        <v>1438</v>
      </c>
      <c r="AA306" s="13"/>
      <c r="AB306" s="13"/>
      <c r="AC306" s="13"/>
      <c r="AD306" s="40">
        <v>186</v>
      </c>
      <c r="AE306" s="40"/>
      <c r="AF306" s="40"/>
      <c r="AG306" s="40"/>
      <c r="AH306" s="40"/>
      <c r="AI306" s="40"/>
      <c r="AJ306" s="40"/>
      <c r="AK306" s="40"/>
      <c r="AL306" s="40"/>
      <c r="AM306" s="47" t="s">
        <v>158</v>
      </c>
      <c r="AN306" s="41" t="s">
        <v>1439</v>
      </c>
      <c r="AO306" s="43">
        <v>194</v>
      </c>
      <c r="AP306" s="13">
        <v>12</v>
      </c>
      <c r="AQ306" s="40"/>
      <c r="AR306" s="40"/>
      <c r="AS306" s="6" t="s">
        <v>115</v>
      </c>
      <c r="AT306" s="6" t="s">
        <v>148</v>
      </c>
      <c r="AU306" s="6" t="s">
        <v>348</v>
      </c>
      <c r="AV306" s="6" t="s">
        <v>137</v>
      </c>
      <c r="AW306" s="12">
        <f t="shared" si="9"/>
        <v>38</v>
      </c>
      <c r="AX306" s="12" t="str">
        <f t="shared" si="10"/>
        <v/>
      </c>
      <c r="AY306" s="45"/>
    </row>
    <row r="307" spans="1:51" ht="20.100000000000001" customHeight="1" x14ac:dyDescent="0.2">
      <c r="A307" s="13">
        <v>301</v>
      </c>
      <c r="B307" s="40" t="s">
        <v>1430</v>
      </c>
      <c r="C307" s="40" t="s">
        <v>1360</v>
      </c>
      <c r="D307" s="41" t="s">
        <v>1408</v>
      </c>
      <c r="E307" s="41" t="s">
        <v>9</v>
      </c>
      <c r="F307" s="41"/>
      <c r="G307" s="41"/>
      <c r="H307" s="13" t="s">
        <v>7</v>
      </c>
      <c r="I307" s="47" t="s">
        <v>158</v>
      </c>
      <c r="J307" s="13"/>
      <c r="K307" s="13"/>
      <c r="L307" s="13"/>
      <c r="M307" s="13"/>
      <c r="N307" s="13"/>
      <c r="O307" s="40" t="s">
        <v>93</v>
      </c>
      <c r="P307" s="35" t="s">
        <v>68</v>
      </c>
      <c r="Q307" s="35" t="s">
        <v>155</v>
      </c>
      <c r="R307" s="41" t="s">
        <v>194</v>
      </c>
      <c r="S307" s="41" t="s">
        <v>142</v>
      </c>
      <c r="T307" s="13" t="s">
        <v>70</v>
      </c>
      <c r="U307" s="35" t="s">
        <v>332</v>
      </c>
      <c r="V307" s="35" t="s">
        <v>324</v>
      </c>
      <c r="W307" s="41" t="s">
        <v>1440</v>
      </c>
      <c r="X307" s="41" t="s">
        <v>106</v>
      </c>
      <c r="Y307" s="41" t="s">
        <v>107</v>
      </c>
      <c r="Z307" s="13">
        <v>0</v>
      </c>
      <c r="AA307" s="13"/>
      <c r="AB307" s="13"/>
      <c r="AC307" s="13">
        <v>198</v>
      </c>
      <c r="AD307" s="40">
        <v>198</v>
      </c>
      <c r="AE307" s="40"/>
      <c r="AF307" s="40"/>
      <c r="AG307" s="40"/>
      <c r="AH307" s="40"/>
      <c r="AI307" s="40"/>
      <c r="AJ307" s="40"/>
      <c r="AK307" s="40"/>
      <c r="AL307" s="40"/>
      <c r="AM307" s="50" t="s">
        <v>158</v>
      </c>
      <c r="AN307" s="41" t="s">
        <v>1422</v>
      </c>
      <c r="AO307" s="41"/>
      <c r="AP307" s="13"/>
      <c r="AQ307" s="40"/>
      <c r="AR307" s="40"/>
      <c r="AS307" s="6"/>
      <c r="AT307" s="6"/>
      <c r="AU307" s="6"/>
      <c r="AV307" s="6"/>
      <c r="AW307" s="12" t="str">
        <f t="shared" si="9"/>
        <v/>
      </c>
      <c r="AX307" s="12" t="str">
        <f t="shared" si="10"/>
        <v/>
      </c>
      <c r="AY307" s="45"/>
    </row>
    <row r="308" spans="1:51" ht="20.100000000000001" customHeight="1" x14ac:dyDescent="0.2">
      <c r="A308" s="13">
        <v>302</v>
      </c>
      <c r="B308" s="40" t="s">
        <v>1441</v>
      </c>
      <c r="C308" s="40" t="s">
        <v>1360</v>
      </c>
      <c r="D308" s="41" t="s">
        <v>1442</v>
      </c>
      <c r="E308" s="41" t="s">
        <v>6</v>
      </c>
      <c r="F308" s="41" t="s">
        <v>1443</v>
      </c>
      <c r="G308" s="41"/>
      <c r="H308" s="13" t="s">
        <v>222</v>
      </c>
      <c r="I308" s="13"/>
      <c r="J308" s="13"/>
      <c r="K308" s="13"/>
      <c r="L308" s="13"/>
      <c r="M308" s="13"/>
      <c r="N308" s="13"/>
      <c r="O308" s="40" t="s">
        <v>92</v>
      </c>
      <c r="P308" s="41"/>
      <c r="Q308" s="41" t="s">
        <v>117</v>
      </c>
      <c r="R308" s="41" t="s">
        <v>1444</v>
      </c>
      <c r="S308" s="41" t="s">
        <v>119</v>
      </c>
      <c r="T308" s="13" t="s">
        <v>107</v>
      </c>
      <c r="U308" s="41"/>
      <c r="V308" s="41" t="s">
        <v>204</v>
      </c>
      <c r="W308" s="41" t="s">
        <v>1445</v>
      </c>
      <c r="X308" s="41" t="s">
        <v>444</v>
      </c>
      <c r="Y308" s="41" t="s">
        <v>107</v>
      </c>
      <c r="Z308" s="13" t="s">
        <v>1446</v>
      </c>
      <c r="AA308" s="13"/>
      <c r="AB308" s="13"/>
      <c r="AC308" s="13">
        <v>198</v>
      </c>
      <c r="AD308" s="40"/>
      <c r="AE308" s="40"/>
      <c r="AF308" s="40"/>
      <c r="AG308" s="40"/>
      <c r="AH308" s="40"/>
      <c r="AI308" s="40"/>
      <c r="AJ308" s="40"/>
      <c r="AK308" s="40"/>
      <c r="AL308" s="40"/>
      <c r="AM308" s="47"/>
      <c r="AN308" s="41" t="s">
        <v>1447</v>
      </c>
      <c r="AO308" s="43">
        <v>212</v>
      </c>
      <c r="AP308" s="13">
        <v>10</v>
      </c>
      <c r="AQ308" s="40"/>
      <c r="AR308" s="40"/>
      <c r="AS308" s="6" t="s">
        <v>115</v>
      </c>
      <c r="AT308" s="6" t="s">
        <v>148</v>
      </c>
      <c r="AU308" s="6" t="s">
        <v>123</v>
      </c>
      <c r="AV308" s="6" t="s">
        <v>137</v>
      </c>
      <c r="AW308" s="12">
        <f t="shared" si="9"/>
        <v>50</v>
      </c>
      <c r="AX308" s="12" t="str">
        <f t="shared" si="10"/>
        <v/>
      </c>
      <c r="AY308" s="45"/>
    </row>
    <row r="309" spans="1:51" ht="20.100000000000001" customHeight="1" x14ac:dyDescent="0.2">
      <c r="A309" s="13">
        <v>303</v>
      </c>
      <c r="B309" s="40" t="s">
        <v>1441</v>
      </c>
      <c r="C309" s="40" t="s">
        <v>1360</v>
      </c>
      <c r="D309" s="41" t="s">
        <v>21</v>
      </c>
      <c r="E309" s="41" t="s">
        <v>9</v>
      </c>
      <c r="F309" s="41"/>
      <c r="G309" s="41"/>
      <c r="H309" s="13" t="s">
        <v>7</v>
      </c>
      <c r="I309" s="13"/>
      <c r="J309" s="13"/>
      <c r="K309" s="13"/>
      <c r="L309" s="13"/>
      <c r="M309" s="13"/>
      <c r="N309" s="13"/>
      <c r="O309" s="40" t="s">
        <v>67</v>
      </c>
      <c r="P309" s="41" t="s">
        <v>117</v>
      </c>
      <c r="Q309" s="41" t="s">
        <v>117</v>
      </c>
      <c r="R309" s="41"/>
      <c r="S309" s="41" t="s">
        <v>106</v>
      </c>
      <c r="T309" s="13" t="s">
        <v>107</v>
      </c>
      <c r="U309" s="35" t="s">
        <v>120</v>
      </c>
      <c r="V309" s="35" t="s">
        <v>199</v>
      </c>
      <c r="W309" s="41" t="s">
        <v>200</v>
      </c>
      <c r="X309" s="41" t="s">
        <v>73</v>
      </c>
      <c r="Y309" s="41" t="s">
        <v>107</v>
      </c>
      <c r="Z309" s="13">
        <v>0</v>
      </c>
      <c r="AA309" s="13"/>
      <c r="AB309" s="13">
        <v>174.5</v>
      </c>
      <c r="AC309" s="13">
        <v>168</v>
      </c>
      <c r="AD309" s="40">
        <v>168</v>
      </c>
      <c r="AE309" s="40"/>
      <c r="AF309" s="40">
        <v>154</v>
      </c>
      <c r="AG309" s="40">
        <v>3</v>
      </c>
      <c r="AH309" s="40">
        <v>5</v>
      </c>
      <c r="AI309" s="40">
        <v>162</v>
      </c>
      <c r="AJ309" s="13">
        <v>16.600000000000001</v>
      </c>
      <c r="AK309" s="40"/>
      <c r="AL309" s="40"/>
      <c r="AM309" s="50" t="s">
        <v>158</v>
      </c>
      <c r="AN309" s="41" t="s">
        <v>1430</v>
      </c>
      <c r="AO309" s="43">
        <v>162</v>
      </c>
      <c r="AP309" s="13">
        <v>16</v>
      </c>
      <c r="AQ309" s="40"/>
      <c r="AR309" s="40"/>
      <c r="AS309" s="6"/>
      <c r="AT309" s="6"/>
      <c r="AU309" s="6"/>
      <c r="AV309" s="6"/>
      <c r="AW309" s="12" t="str">
        <f t="shared" si="9"/>
        <v/>
      </c>
      <c r="AX309" s="12" t="str">
        <f t="shared" si="10"/>
        <v/>
      </c>
      <c r="AY309" s="45"/>
    </row>
    <row r="310" spans="1:51" ht="20.100000000000001" customHeight="1" x14ac:dyDescent="0.2">
      <c r="A310" s="13">
        <v>304</v>
      </c>
      <c r="B310" s="40" t="s">
        <v>1441</v>
      </c>
      <c r="C310" s="40" t="s">
        <v>1360</v>
      </c>
      <c r="D310" s="41" t="s">
        <v>1336</v>
      </c>
      <c r="E310" s="41" t="s">
        <v>8</v>
      </c>
      <c r="F310" s="41"/>
      <c r="G310" s="41"/>
      <c r="H310" s="13" t="s">
        <v>7</v>
      </c>
      <c r="I310" s="13"/>
      <c r="J310" s="13"/>
      <c r="K310" s="13"/>
      <c r="L310" s="13"/>
      <c r="M310" s="13"/>
      <c r="N310" s="13"/>
      <c r="O310" s="40" t="s">
        <v>93</v>
      </c>
      <c r="P310" s="35" t="s">
        <v>140</v>
      </c>
      <c r="Q310" s="35" t="s">
        <v>104</v>
      </c>
      <c r="R310" s="41" t="s">
        <v>1448</v>
      </c>
      <c r="S310" s="41" t="s">
        <v>106</v>
      </c>
      <c r="T310" s="13" t="s">
        <v>107</v>
      </c>
      <c r="U310" s="35" t="s">
        <v>188</v>
      </c>
      <c r="V310" s="35" t="s">
        <v>108</v>
      </c>
      <c r="W310" s="41" t="s">
        <v>857</v>
      </c>
      <c r="X310" s="41" t="s">
        <v>106</v>
      </c>
      <c r="Y310" s="41" t="s">
        <v>107</v>
      </c>
      <c r="Z310" s="13">
        <v>0</v>
      </c>
      <c r="AA310" s="13"/>
      <c r="AB310" s="13">
        <v>142</v>
      </c>
      <c r="AC310" s="33">
        <v>63</v>
      </c>
      <c r="AD310" s="34">
        <v>132</v>
      </c>
      <c r="AE310" s="40">
        <v>43</v>
      </c>
      <c r="AF310" s="40">
        <v>72</v>
      </c>
      <c r="AG310" s="40">
        <v>6</v>
      </c>
      <c r="AH310" s="13">
        <v>6.5</v>
      </c>
      <c r="AI310" s="40">
        <v>143</v>
      </c>
      <c r="AJ310" s="40">
        <v>25</v>
      </c>
      <c r="AK310" s="40"/>
      <c r="AL310" s="40"/>
      <c r="AM310" s="50" t="s">
        <v>158</v>
      </c>
      <c r="AN310" s="41" t="s">
        <v>1430</v>
      </c>
      <c r="AO310" s="43">
        <v>143</v>
      </c>
      <c r="AP310" s="13">
        <v>25</v>
      </c>
      <c r="AQ310" s="40"/>
      <c r="AR310" s="40"/>
      <c r="AS310" s="53"/>
      <c r="AT310" s="53"/>
      <c r="AU310" s="53"/>
      <c r="AV310" s="53"/>
      <c r="AW310" s="12" t="str">
        <f t="shared" si="9"/>
        <v/>
      </c>
      <c r="AX310" s="12" t="str">
        <f t="shared" si="10"/>
        <v/>
      </c>
      <c r="AY310" s="45"/>
    </row>
    <row r="311" spans="1:51" ht="20.100000000000001" customHeight="1" x14ac:dyDescent="0.2">
      <c r="A311" s="13">
        <v>305</v>
      </c>
      <c r="B311" s="40" t="s">
        <v>1449</v>
      </c>
      <c r="C311" s="40" t="s">
        <v>1360</v>
      </c>
      <c r="D311" s="41" t="s">
        <v>1450</v>
      </c>
      <c r="E311" s="41" t="s">
        <v>19</v>
      </c>
      <c r="F311" s="41" t="s">
        <v>186</v>
      </c>
      <c r="G311" s="41"/>
      <c r="H311" s="13" t="s">
        <v>83</v>
      </c>
      <c r="I311" s="13"/>
      <c r="J311" s="13"/>
      <c r="K311" s="13"/>
      <c r="L311" s="13"/>
      <c r="M311" s="13"/>
      <c r="N311" s="13"/>
      <c r="O311" s="40" t="s">
        <v>92</v>
      </c>
      <c r="P311" s="41" t="s">
        <v>429</v>
      </c>
      <c r="Q311" s="41" t="s">
        <v>68</v>
      </c>
      <c r="R311" s="41" t="s">
        <v>1451</v>
      </c>
      <c r="S311" s="41" t="s">
        <v>444</v>
      </c>
      <c r="T311" s="13" t="s">
        <v>107</v>
      </c>
      <c r="U311" s="41" t="s">
        <v>429</v>
      </c>
      <c r="V311" s="41" t="s">
        <v>332</v>
      </c>
      <c r="W311" s="41" t="s">
        <v>1452</v>
      </c>
      <c r="X311" s="41" t="s">
        <v>444</v>
      </c>
      <c r="Y311" s="41" t="s">
        <v>107</v>
      </c>
      <c r="Z311" s="13" t="s">
        <v>1453</v>
      </c>
      <c r="AA311" s="13">
        <v>202</v>
      </c>
      <c r="AB311" s="13"/>
      <c r="AC311" s="13">
        <v>174</v>
      </c>
      <c r="AD311" s="40"/>
      <c r="AE311" s="41"/>
      <c r="AF311" s="40"/>
      <c r="AG311" s="40"/>
      <c r="AH311" s="13"/>
      <c r="AI311" s="40"/>
      <c r="AJ311" s="40"/>
      <c r="AK311" s="40"/>
      <c r="AL311" s="40"/>
      <c r="AM311" s="47"/>
      <c r="AN311" s="41" t="s">
        <v>1454</v>
      </c>
      <c r="AO311" s="43">
        <v>151</v>
      </c>
      <c r="AP311" s="13">
        <v>26</v>
      </c>
      <c r="AQ311" s="40"/>
      <c r="AR311" s="40"/>
      <c r="AS311" s="6">
        <v>1401</v>
      </c>
      <c r="AT311" s="6">
        <v>8</v>
      </c>
      <c r="AU311" s="6">
        <v>1393</v>
      </c>
      <c r="AV311" s="6">
        <v>7</v>
      </c>
      <c r="AW311" s="12">
        <f t="shared" si="9"/>
        <v>97</v>
      </c>
      <c r="AX311" s="12" t="str">
        <f t="shared" si="10"/>
        <v/>
      </c>
      <c r="AY311" s="45"/>
    </row>
    <row r="312" spans="1:51" ht="20.100000000000001" customHeight="1" x14ac:dyDescent="0.2">
      <c r="A312" s="13">
        <v>306</v>
      </c>
      <c r="B312" s="40" t="s">
        <v>1455</v>
      </c>
      <c r="C312" s="40" t="s">
        <v>1360</v>
      </c>
      <c r="D312" s="41" t="s">
        <v>1456</v>
      </c>
      <c r="E312" s="41" t="s">
        <v>8</v>
      </c>
      <c r="F312" s="41" t="s">
        <v>945</v>
      </c>
      <c r="G312" s="41"/>
      <c r="H312" s="13" t="s">
        <v>83</v>
      </c>
      <c r="I312" s="13"/>
      <c r="J312" s="13"/>
      <c r="K312" s="13"/>
      <c r="L312" s="13"/>
      <c r="M312" s="13"/>
      <c r="N312" s="13"/>
      <c r="O312" s="40" t="s">
        <v>93</v>
      </c>
      <c r="P312" s="41" t="s">
        <v>429</v>
      </c>
      <c r="Q312" s="41" t="s">
        <v>155</v>
      </c>
      <c r="R312" s="41" t="s">
        <v>1457</v>
      </c>
      <c r="S312" s="41" t="s">
        <v>119</v>
      </c>
      <c r="T312" s="13" t="s">
        <v>107</v>
      </c>
      <c r="U312" s="41" t="s">
        <v>429</v>
      </c>
      <c r="V312" s="41" t="s">
        <v>324</v>
      </c>
      <c r="W312" s="41" t="s">
        <v>1458</v>
      </c>
      <c r="X312" s="41" t="s">
        <v>119</v>
      </c>
      <c r="Y312" s="41" t="s">
        <v>107</v>
      </c>
      <c r="Z312" s="13" t="s">
        <v>1459</v>
      </c>
      <c r="AA312" s="13"/>
      <c r="AB312" s="13"/>
      <c r="AC312" s="13">
        <v>192</v>
      </c>
      <c r="AD312" s="40"/>
      <c r="AE312" s="40"/>
      <c r="AF312" s="40"/>
      <c r="AG312" s="40"/>
      <c r="AH312" s="13"/>
      <c r="AI312" s="40"/>
      <c r="AJ312" s="40"/>
      <c r="AK312" s="40"/>
      <c r="AL312" s="40"/>
      <c r="AM312" s="47"/>
      <c r="AN312" s="41" t="s">
        <v>1460</v>
      </c>
      <c r="AO312" s="43">
        <v>179</v>
      </c>
      <c r="AP312" s="13">
        <v>25</v>
      </c>
      <c r="AQ312" s="40"/>
      <c r="AR312" s="40"/>
      <c r="AS312" s="6" t="s">
        <v>115</v>
      </c>
      <c r="AT312" s="6" t="s">
        <v>148</v>
      </c>
      <c r="AU312" s="6" t="s">
        <v>136</v>
      </c>
      <c r="AV312" s="6" t="s">
        <v>114</v>
      </c>
      <c r="AW312" s="12">
        <f t="shared" si="9"/>
        <v>19</v>
      </c>
      <c r="AX312" s="12" t="str">
        <f t="shared" si="10"/>
        <v/>
      </c>
      <c r="AY312" s="45"/>
    </row>
    <row r="313" spans="1:51" ht="20.100000000000001" customHeight="1" x14ac:dyDescent="0.2">
      <c r="A313" s="13">
        <v>307</v>
      </c>
      <c r="B313" s="40" t="s">
        <v>1455</v>
      </c>
      <c r="C313" s="40" t="s">
        <v>1360</v>
      </c>
      <c r="D313" s="41" t="s">
        <v>1248</v>
      </c>
      <c r="E313" s="41" t="s">
        <v>10</v>
      </c>
      <c r="F313" s="41"/>
      <c r="G313" s="41"/>
      <c r="H313" s="13" t="s">
        <v>7</v>
      </c>
      <c r="I313" s="47" t="s">
        <v>158</v>
      </c>
      <c r="J313" s="13"/>
      <c r="K313" s="13"/>
      <c r="L313" s="13"/>
      <c r="M313" s="13"/>
      <c r="N313" s="13"/>
      <c r="O313" s="40" t="s">
        <v>92</v>
      </c>
      <c r="P313" s="35" t="s">
        <v>155</v>
      </c>
      <c r="Q313" s="35" t="s">
        <v>104</v>
      </c>
      <c r="R313" s="41" t="s">
        <v>1461</v>
      </c>
      <c r="S313" s="41" t="s">
        <v>106</v>
      </c>
      <c r="T313" s="13" t="s">
        <v>107</v>
      </c>
      <c r="U313" s="35" t="s">
        <v>167</v>
      </c>
      <c r="V313" s="35" t="s">
        <v>131</v>
      </c>
      <c r="W313" s="41" t="s">
        <v>1462</v>
      </c>
      <c r="X313" s="41" t="s">
        <v>73</v>
      </c>
      <c r="Y313" s="41" t="s">
        <v>107</v>
      </c>
      <c r="Z313" s="13">
        <v>0</v>
      </c>
      <c r="AA313" s="13">
        <v>204</v>
      </c>
      <c r="AB313" s="13">
        <v>204</v>
      </c>
      <c r="AC313" s="33">
        <v>180</v>
      </c>
      <c r="AD313" s="34">
        <v>186</v>
      </c>
      <c r="AE313" s="40">
        <v>143</v>
      </c>
      <c r="AF313" s="40">
        <v>163</v>
      </c>
      <c r="AG313" s="40">
        <v>5</v>
      </c>
      <c r="AH313" s="13">
        <v>22</v>
      </c>
      <c r="AI313" s="40">
        <v>190</v>
      </c>
      <c r="AJ313" s="40">
        <v>15</v>
      </c>
      <c r="AK313" s="40"/>
      <c r="AL313" s="40"/>
      <c r="AM313" s="33" t="s">
        <v>158</v>
      </c>
      <c r="AN313" s="41"/>
      <c r="AO313" s="43">
        <v>190</v>
      </c>
      <c r="AP313" s="13">
        <v>15</v>
      </c>
      <c r="AQ313" s="40"/>
      <c r="AR313" s="40"/>
      <c r="AS313" s="6"/>
      <c r="AT313" s="6"/>
      <c r="AU313" s="6"/>
      <c r="AV313" s="6"/>
      <c r="AW313" s="12" t="str">
        <f t="shared" si="9"/>
        <v/>
      </c>
      <c r="AX313" s="12" t="str">
        <f t="shared" si="10"/>
        <v/>
      </c>
      <c r="AY313" s="45"/>
    </row>
    <row r="314" spans="1:51" ht="20.100000000000001" customHeight="1" x14ac:dyDescent="0.2">
      <c r="A314" s="13">
        <v>308</v>
      </c>
      <c r="B314" s="40" t="s">
        <v>1455</v>
      </c>
      <c r="C314" s="40" t="s">
        <v>1360</v>
      </c>
      <c r="D314" s="41" t="s">
        <v>662</v>
      </c>
      <c r="E314" s="41" t="s">
        <v>10</v>
      </c>
      <c r="F314" s="41"/>
      <c r="G314" s="41"/>
      <c r="H314" s="13" t="s">
        <v>7</v>
      </c>
      <c r="I314" s="47" t="s">
        <v>158</v>
      </c>
      <c r="J314" s="13"/>
      <c r="K314" s="13"/>
      <c r="L314" s="13"/>
      <c r="M314" s="13"/>
      <c r="N314" s="13"/>
      <c r="O314" s="40" t="s">
        <v>67</v>
      </c>
      <c r="P314" s="41" t="s">
        <v>155</v>
      </c>
      <c r="Q314" s="41" t="s">
        <v>155</v>
      </c>
      <c r="R314" s="41" t="s">
        <v>913</v>
      </c>
      <c r="S314" s="41" t="s">
        <v>69</v>
      </c>
      <c r="T314" s="13" t="s">
        <v>70</v>
      </c>
      <c r="U314" s="41" t="s">
        <v>167</v>
      </c>
      <c r="V314" s="41" t="s">
        <v>167</v>
      </c>
      <c r="W314" s="41" t="s">
        <v>1463</v>
      </c>
      <c r="X314" s="41" t="s">
        <v>106</v>
      </c>
      <c r="Y314" s="41" t="s">
        <v>107</v>
      </c>
      <c r="Z314" s="13">
        <v>0</v>
      </c>
      <c r="AA314" s="13"/>
      <c r="AB314" s="13">
        <v>254</v>
      </c>
      <c r="AC314" s="13">
        <v>193</v>
      </c>
      <c r="AD314" s="40">
        <v>240</v>
      </c>
      <c r="AE314" s="40"/>
      <c r="AF314" s="40">
        <v>142</v>
      </c>
      <c r="AG314" s="40">
        <v>10</v>
      </c>
      <c r="AH314" s="13">
        <v>45</v>
      </c>
      <c r="AI314" s="40">
        <v>197</v>
      </c>
      <c r="AJ314" s="40">
        <v>25</v>
      </c>
      <c r="AK314" s="40"/>
      <c r="AL314" s="40"/>
      <c r="AM314" s="47"/>
      <c r="AN314" s="41" t="s">
        <v>1449</v>
      </c>
      <c r="AO314" s="43">
        <v>197</v>
      </c>
      <c r="AP314" s="13">
        <v>25</v>
      </c>
      <c r="AQ314" s="40"/>
      <c r="AR314" s="40"/>
      <c r="AS314" s="6"/>
      <c r="AT314" s="6"/>
      <c r="AU314" s="6"/>
      <c r="AV314" s="6"/>
      <c r="AW314" s="12" t="str">
        <f t="shared" si="9"/>
        <v/>
      </c>
      <c r="AX314" s="12" t="str">
        <f t="shared" si="10"/>
        <v/>
      </c>
      <c r="AY314" s="45"/>
    </row>
    <row r="315" spans="1:51" ht="20.100000000000001" customHeight="1" x14ac:dyDescent="0.2">
      <c r="A315" s="13">
        <v>309</v>
      </c>
      <c r="B315" s="40" t="s">
        <v>1464</v>
      </c>
      <c r="C315" s="40" t="s">
        <v>1360</v>
      </c>
      <c r="D315" s="41" t="s">
        <v>1465</v>
      </c>
      <c r="E315" s="41" t="s">
        <v>66</v>
      </c>
      <c r="F315" s="41" t="s">
        <v>192</v>
      </c>
      <c r="G315" s="41"/>
      <c r="H315" s="13" t="s">
        <v>7</v>
      </c>
      <c r="I315" s="13"/>
      <c r="J315" s="13"/>
      <c r="K315" s="13"/>
      <c r="L315" s="13"/>
      <c r="M315" s="13"/>
      <c r="N315" s="13"/>
      <c r="O315" s="40" t="s">
        <v>67</v>
      </c>
      <c r="P315" s="41" t="s">
        <v>429</v>
      </c>
      <c r="Q315" s="41" t="s">
        <v>140</v>
      </c>
      <c r="R315" s="41" t="s">
        <v>767</v>
      </c>
      <c r="S315" s="41" t="s">
        <v>106</v>
      </c>
      <c r="T315" s="13" t="s">
        <v>107</v>
      </c>
      <c r="U315" s="41" t="s">
        <v>429</v>
      </c>
      <c r="V315" s="41" t="s">
        <v>143</v>
      </c>
      <c r="W315" s="41" t="s">
        <v>1466</v>
      </c>
      <c r="X315" s="41" t="s">
        <v>142</v>
      </c>
      <c r="Y315" s="41" t="s">
        <v>70</v>
      </c>
      <c r="Z315" s="13">
        <v>0</v>
      </c>
      <c r="AA315" s="13"/>
      <c r="AB315" s="13"/>
      <c r="AC315" s="13">
        <v>0</v>
      </c>
      <c r="AD315" s="40">
        <v>192</v>
      </c>
      <c r="AE315" s="40"/>
      <c r="AF315" s="40">
        <v>73</v>
      </c>
      <c r="AG315" s="40">
        <v>10</v>
      </c>
      <c r="AH315" s="13">
        <v>6</v>
      </c>
      <c r="AI315" s="40">
        <v>89</v>
      </c>
      <c r="AJ315" s="40">
        <v>27</v>
      </c>
      <c r="AK315" s="40"/>
      <c r="AL315" s="40"/>
      <c r="AM315" s="47"/>
      <c r="AN315" s="41" t="s">
        <v>1455</v>
      </c>
      <c r="AO315" s="43">
        <v>89</v>
      </c>
      <c r="AP315" s="13">
        <v>27</v>
      </c>
      <c r="AQ315" s="40"/>
      <c r="AR315" s="40"/>
      <c r="AS315" s="6"/>
      <c r="AT315" s="6"/>
      <c r="AU315" s="6"/>
      <c r="AV315" s="6"/>
      <c r="AW315" s="12" t="str">
        <f t="shared" si="9"/>
        <v/>
      </c>
      <c r="AX315" s="12" t="str">
        <f t="shared" si="10"/>
        <v/>
      </c>
      <c r="AY315" s="45"/>
    </row>
    <row r="316" spans="1:51" ht="42" customHeight="1" x14ac:dyDescent="0.2">
      <c r="A316" s="13">
        <v>310</v>
      </c>
      <c r="B316" s="40" t="s">
        <v>1464</v>
      </c>
      <c r="C316" s="40" t="s">
        <v>1360</v>
      </c>
      <c r="D316" s="41" t="s">
        <v>1467</v>
      </c>
      <c r="E316" s="41" t="s">
        <v>19</v>
      </c>
      <c r="F316" s="41" t="s">
        <v>186</v>
      </c>
      <c r="G316" s="54" t="s">
        <v>1468</v>
      </c>
      <c r="H316" s="13" t="s">
        <v>83</v>
      </c>
      <c r="I316" s="13"/>
      <c r="J316" s="13"/>
      <c r="K316" s="13"/>
      <c r="L316" s="13"/>
      <c r="M316" s="13"/>
      <c r="N316" s="13"/>
      <c r="O316" s="40" t="s">
        <v>92</v>
      </c>
      <c r="P316" s="41" t="s">
        <v>429</v>
      </c>
      <c r="Q316" s="41" t="s">
        <v>141</v>
      </c>
      <c r="R316" s="41" t="s">
        <v>1469</v>
      </c>
      <c r="S316" s="41" t="s">
        <v>262</v>
      </c>
      <c r="T316" s="13" t="s">
        <v>70</v>
      </c>
      <c r="U316" s="41" t="s">
        <v>429</v>
      </c>
      <c r="V316" s="41" t="s">
        <v>492</v>
      </c>
      <c r="W316" s="41" t="s">
        <v>1470</v>
      </c>
      <c r="X316" s="41" t="s">
        <v>119</v>
      </c>
      <c r="Y316" s="41" t="s">
        <v>107</v>
      </c>
      <c r="Z316" s="13" t="s">
        <v>1471</v>
      </c>
      <c r="AA316" s="13">
        <v>220</v>
      </c>
      <c r="AB316" s="13">
        <v>220</v>
      </c>
      <c r="AC316" s="13">
        <v>156</v>
      </c>
      <c r="AD316" s="40"/>
      <c r="AE316" s="40"/>
      <c r="AF316" s="40"/>
      <c r="AG316" s="40"/>
      <c r="AH316" s="13"/>
      <c r="AI316" s="40"/>
      <c r="AJ316" s="40"/>
      <c r="AK316" s="40"/>
      <c r="AL316" s="40"/>
      <c r="AM316" s="47"/>
      <c r="AN316" s="41" t="s">
        <v>1472</v>
      </c>
      <c r="AO316" s="43">
        <v>111</v>
      </c>
      <c r="AP316" s="13">
        <v>17</v>
      </c>
      <c r="AQ316" s="40"/>
      <c r="AR316" s="40"/>
      <c r="AS316" s="6" t="s">
        <v>115</v>
      </c>
      <c r="AT316" s="6" t="s">
        <v>148</v>
      </c>
      <c r="AU316" s="6" t="s">
        <v>547</v>
      </c>
      <c r="AV316" s="6" t="s">
        <v>266</v>
      </c>
      <c r="AW316" s="12">
        <f t="shared" si="9"/>
        <v>59</v>
      </c>
      <c r="AX316" s="12" t="str">
        <f t="shared" si="10"/>
        <v/>
      </c>
      <c r="AY316" s="55" t="s">
        <v>1473</v>
      </c>
    </row>
    <row r="317" spans="1:51" ht="20.100000000000001" customHeight="1" x14ac:dyDescent="0.2">
      <c r="A317" s="13">
        <v>311</v>
      </c>
      <c r="B317" s="40" t="s">
        <v>1474</v>
      </c>
      <c r="C317" s="40" t="s">
        <v>1360</v>
      </c>
      <c r="D317" s="41" t="s">
        <v>1475</v>
      </c>
      <c r="E317" s="41" t="s">
        <v>6</v>
      </c>
      <c r="F317" s="41" t="s">
        <v>1443</v>
      </c>
      <c r="G317" s="41"/>
      <c r="H317" s="13" t="s">
        <v>222</v>
      </c>
      <c r="I317" s="13"/>
      <c r="J317" s="13"/>
      <c r="K317" s="13"/>
      <c r="L317" s="13"/>
      <c r="M317" s="13"/>
      <c r="N317" s="13"/>
      <c r="O317" s="40" t="s">
        <v>67</v>
      </c>
      <c r="P317" s="41" t="s">
        <v>429</v>
      </c>
      <c r="Q317" s="41" t="s">
        <v>141</v>
      </c>
      <c r="R317" s="41" t="s">
        <v>1476</v>
      </c>
      <c r="S317" s="41" t="s">
        <v>1477</v>
      </c>
      <c r="T317" s="13" t="s">
        <v>107</v>
      </c>
      <c r="U317" s="41" t="s">
        <v>429</v>
      </c>
      <c r="V317" s="41" t="s">
        <v>1478</v>
      </c>
      <c r="W317" s="41" t="s">
        <v>1479</v>
      </c>
      <c r="X317" s="41" t="s">
        <v>262</v>
      </c>
      <c r="Y317" s="41" t="s">
        <v>70</v>
      </c>
      <c r="Z317" s="13" t="s">
        <v>1480</v>
      </c>
      <c r="AA317" s="13">
        <v>227</v>
      </c>
      <c r="AB317" s="13"/>
      <c r="AC317" s="13">
        <v>210</v>
      </c>
      <c r="AD317" s="40"/>
      <c r="AE317" s="40"/>
      <c r="AF317" s="40"/>
      <c r="AG317" s="40"/>
      <c r="AH317" s="13"/>
      <c r="AI317" s="40"/>
      <c r="AJ317" s="40"/>
      <c r="AK317" s="40"/>
      <c r="AL317" s="40"/>
      <c r="AM317" s="47"/>
      <c r="AN317" s="41" t="s">
        <v>1481</v>
      </c>
      <c r="AO317" s="43">
        <v>182</v>
      </c>
      <c r="AP317" s="13">
        <v>9.5</v>
      </c>
      <c r="AQ317" s="40"/>
      <c r="AR317" s="40"/>
      <c r="AS317" s="6" t="s">
        <v>115</v>
      </c>
      <c r="AT317" s="6" t="s">
        <v>148</v>
      </c>
      <c r="AU317" s="6" t="s">
        <v>259</v>
      </c>
      <c r="AV317" s="6" t="s">
        <v>116</v>
      </c>
      <c r="AW317" s="12">
        <f t="shared" si="9"/>
        <v>81</v>
      </c>
      <c r="AX317" s="12" t="str">
        <f t="shared" si="10"/>
        <v/>
      </c>
      <c r="AY317" s="45"/>
    </row>
    <row r="318" spans="1:51" ht="20.100000000000001" customHeight="1" x14ac:dyDescent="0.2">
      <c r="A318" s="13">
        <v>312</v>
      </c>
      <c r="B318" s="40" t="s">
        <v>1474</v>
      </c>
      <c r="C318" s="40" t="s">
        <v>1360</v>
      </c>
      <c r="D318" s="41" t="s">
        <v>1176</v>
      </c>
      <c r="E318" s="41" t="s">
        <v>243</v>
      </c>
      <c r="F318" s="41"/>
      <c r="G318" s="41"/>
      <c r="H318" s="13" t="s">
        <v>7</v>
      </c>
      <c r="I318" s="47" t="s">
        <v>158</v>
      </c>
      <c r="J318" s="13"/>
      <c r="K318" s="13"/>
      <c r="L318" s="13"/>
      <c r="M318" s="13"/>
      <c r="N318" s="13"/>
      <c r="O318" s="40" t="s">
        <v>92</v>
      </c>
      <c r="P318" s="35" t="s">
        <v>140</v>
      </c>
      <c r="Q318" s="35" t="s">
        <v>140</v>
      </c>
      <c r="R318" s="41" t="s">
        <v>657</v>
      </c>
      <c r="S318" s="41" t="s">
        <v>106</v>
      </c>
      <c r="T318" s="13" t="s">
        <v>107</v>
      </c>
      <c r="U318" s="35" t="s">
        <v>338</v>
      </c>
      <c r="V318" s="35" t="s">
        <v>276</v>
      </c>
      <c r="W318" s="41" t="s">
        <v>1482</v>
      </c>
      <c r="X318" s="41" t="s">
        <v>73</v>
      </c>
      <c r="Y318" s="41" t="s">
        <v>107</v>
      </c>
      <c r="Z318" s="13">
        <v>0</v>
      </c>
      <c r="AA318" s="13">
        <v>200</v>
      </c>
      <c r="AB318" s="13">
        <v>200</v>
      </c>
      <c r="AC318" s="13">
        <v>186</v>
      </c>
      <c r="AD318" s="40">
        <v>186</v>
      </c>
      <c r="AE318" s="40">
        <v>56</v>
      </c>
      <c r="AF318" s="40">
        <v>149</v>
      </c>
      <c r="AG318" s="40">
        <v>10</v>
      </c>
      <c r="AH318" s="13">
        <v>10</v>
      </c>
      <c r="AI318" s="40">
        <v>169</v>
      </c>
      <c r="AJ318" s="40">
        <v>10</v>
      </c>
      <c r="AK318" s="40"/>
      <c r="AL318" s="40"/>
      <c r="AM318" s="33" t="s">
        <v>158</v>
      </c>
      <c r="AN318" s="41" t="s">
        <v>1464</v>
      </c>
      <c r="AO318" s="43">
        <v>169</v>
      </c>
      <c r="AP318" s="13">
        <v>10</v>
      </c>
      <c r="AQ318" s="40"/>
      <c r="AR318" s="40"/>
      <c r="AS318" s="6"/>
      <c r="AT318" s="6"/>
      <c r="AU318" s="6"/>
      <c r="AV318" s="6"/>
      <c r="AW318" s="12" t="str">
        <f t="shared" si="9"/>
        <v/>
      </c>
      <c r="AX318" s="12" t="str">
        <f t="shared" si="10"/>
        <v/>
      </c>
      <c r="AY318" s="55" t="s">
        <v>1483</v>
      </c>
    </row>
    <row r="319" spans="1:51" ht="20.100000000000001" customHeight="1" x14ac:dyDescent="0.2">
      <c r="A319" s="13">
        <v>313</v>
      </c>
      <c r="B319" s="40" t="s">
        <v>1484</v>
      </c>
      <c r="C319" s="40" t="s">
        <v>1360</v>
      </c>
      <c r="D319" s="41" t="s">
        <v>1485</v>
      </c>
      <c r="E319" s="41" t="s">
        <v>20</v>
      </c>
      <c r="F319" s="41" t="s">
        <v>186</v>
      </c>
      <c r="G319" s="41"/>
      <c r="H319" s="13" t="s">
        <v>83</v>
      </c>
      <c r="I319" s="13"/>
      <c r="J319" s="13"/>
      <c r="K319" s="13"/>
      <c r="L319" s="13"/>
      <c r="M319" s="13"/>
      <c r="N319" s="13"/>
      <c r="O319" s="40" t="s">
        <v>92</v>
      </c>
      <c r="P319" s="41" t="s">
        <v>429</v>
      </c>
      <c r="Q319" s="41" t="s">
        <v>140</v>
      </c>
      <c r="R319" s="41" t="s">
        <v>570</v>
      </c>
      <c r="S319" s="41" t="s">
        <v>69</v>
      </c>
      <c r="T319" s="13" t="s">
        <v>70</v>
      </c>
      <c r="U319" s="41" t="s">
        <v>429</v>
      </c>
      <c r="V319" s="41" t="s">
        <v>188</v>
      </c>
      <c r="W319" s="41" t="s">
        <v>1486</v>
      </c>
      <c r="X319" s="41" t="s">
        <v>574</v>
      </c>
      <c r="Y319" s="41" t="s">
        <v>107</v>
      </c>
      <c r="Z319" s="13" t="s">
        <v>1487</v>
      </c>
      <c r="AA319" s="13"/>
      <c r="AB319" s="13"/>
      <c r="AC319" s="13">
        <v>96</v>
      </c>
      <c r="AD319" s="40">
        <v>0</v>
      </c>
      <c r="AE319" s="40"/>
      <c r="AF319" s="40"/>
      <c r="AG319" s="40"/>
      <c r="AH319" s="13"/>
      <c r="AI319" s="40"/>
      <c r="AJ319" s="40"/>
      <c r="AK319" s="40"/>
      <c r="AL319" s="40"/>
      <c r="AM319" s="47"/>
      <c r="AN319" s="41" t="s">
        <v>1488</v>
      </c>
      <c r="AO319" s="43">
        <v>125</v>
      </c>
      <c r="AP319" s="13">
        <v>22</v>
      </c>
      <c r="AQ319" s="40"/>
      <c r="AR319" s="40"/>
      <c r="AS319" s="6" t="s">
        <v>115</v>
      </c>
      <c r="AT319" s="6" t="s">
        <v>148</v>
      </c>
      <c r="AU319" s="6" t="s">
        <v>208</v>
      </c>
      <c r="AV319" s="6" t="s">
        <v>137</v>
      </c>
      <c r="AW319" s="12">
        <f t="shared" si="9"/>
        <v>26</v>
      </c>
      <c r="AX319" s="12" t="str">
        <f t="shared" si="10"/>
        <v/>
      </c>
      <c r="AY319" s="45"/>
    </row>
    <row r="320" spans="1:51" s="21" customFormat="1" ht="43.5" x14ac:dyDescent="0.2">
      <c r="A320" s="13">
        <v>314</v>
      </c>
      <c r="B320" s="29" t="s">
        <v>1484</v>
      </c>
      <c r="C320" s="29" t="s">
        <v>1360</v>
      </c>
      <c r="D320" s="30" t="s">
        <v>897</v>
      </c>
      <c r="E320" s="30" t="s">
        <v>19</v>
      </c>
      <c r="F320" s="30" t="s">
        <v>481</v>
      </c>
      <c r="G320" s="56" t="s">
        <v>1489</v>
      </c>
      <c r="H320" s="20" t="s">
        <v>83</v>
      </c>
      <c r="I320" s="20"/>
      <c r="J320" s="20"/>
      <c r="K320" s="20"/>
      <c r="L320" s="20"/>
      <c r="M320" s="20"/>
      <c r="N320" s="20"/>
      <c r="O320" s="29" t="s">
        <v>67</v>
      </c>
      <c r="P320" s="30"/>
      <c r="Q320" s="30" t="s">
        <v>223</v>
      </c>
      <c r="R320" s="30" t="s">
        <v>898</v>
      </c>
      <c r="S320" s="30" t="s">
        <v>69</v>
      </c>
      <c r="T320" s="20" t="s">
        <v>70</v>
      </c>
      <c r="U320" s="30"/>
      <c r="V320" s="30" t="s">
        <v>230</v>
      </c>
      <c r="W320" s="30" t="s">
        <v>900</v>
      </c>
      <c r="X320" s="30" t="s">
        <v>73</v>
      </c>
      <c r="Y320" s="30" t="s">
        <v>70</v>
      </c>
      <c r="Z320" s="20" t="s">
        <v>1009</v>
      </c>
      <c r="AA320" s="20"/>
      <c r="AB320" s="20"/>
      <c r="AC320" s="20">
        <v>216</v>
      </c>
      <c r="AD320" s="29"/>
      <c r="AE320" s="29"/>
      <c r="AF320" s="29"/>
      <c r="AG320" s="29"/>
      <c r="AH320" s="20"/>
      <c r="AI320" s="29"/>
      <c r="AJ320" s="29"/>
      <c r="AK320" s="29"/>
      <c r="AL320" s="29"/>
      <c r="AM320" s="39"/>
      <c r="AN320" s="30" t="s">
        <v>879</v>
      </c>
      <c r="AO320" s="36">
        <v>150</v>
      </c>
      <c r="AP320" s="20">
        <v>8</v>
      </c>
      <c r="AQ320" s="29"/>
      <c r="AR320" s="29"/>
      <c r="AS320" s="30" t="s">
        <v>115</v>
      </c>
      <c r="AT320" s="30" t="s">
        <v>148</v>
      </c>
      <c r="AU320" s="30" t="s">
        <v>115</v>
      </c>
      <c r="AV320" s="30" t="s">
        <v>1247</v>
      </c>
      <c r="AW320" s="31">
        <f t="shared" si="9"/>
        <v>3</v>
      </c>
      <c r="AX320" s="31">
        <f t="shared" si="10"/>
        <v>3</v>
      </c>
      <c r="AY320" s="32"/>
    </row>
    <row r="321" spans="1:51" ht="20.100000000000001" customHeight="1" x14ac:dyDescent="0.2">
      <c r="A321" s="13">
        <v>315</v>
      </c>
      <c r="B321" s="40" t="s">
        <v>1490</v>
      </c>
      <c r="C321" s="40" t="s">
        <v>1360</v>
      </c>
      <c r="D321" s="41" t="s">
        <v>1491</v>
      </c>
      <c r="E321" s="41" t="s">
        <v>9</v>
      </c>
      <c r="F321" s="41" t="s">
        <v>1443</v>
      </c>
      <c r="G321" s="41"/>
      <c r="H321" s="13" t="s">
        <v>222</v>
      </c>
      <c r="I321" s="13"/>
      <c r="J321" s="13"/>
      <c r="K321" s="13"/>
      <c r="L321" s="13"/>
      <c r="M321" s="13"/>
      <c r="N321" s="13"/>
      <c r="O321" s="40" t="s">
        <v>67</v>
      </c>
      <c r="P321" s="41"/>
      <c r="Q321" s="41" t="s">
        <v>141</v>
      </c>
      <c r="R321" s="41" t="s">
        <v>1492</v>
      </c>
      <c r="S321" s="41" t="s">
        <v>369</v>
      </c>
      <c r="T321" s="13" t="s">
        <v>369</v>
      </c>
      <c r="U321" s="41"/>
      <c r="V321" s="41" t="s">
        <v>230</v>
      </c>
      <c r="W321" s="41" t="s">
        <v>1493</v>
      </c>
      <c r="X321" s="41" t="s">
        <v>119</v>
      </c>
      <c r="Y321" s="41" t="s">
        <v>107</v>
      </c>
      <c r="Z321" s="13" t="s">
        <v>1494</v>
      </c>
      <c r="AA321" s="13">
        <v>216</v>
      </c>
      <c r="AB321" s="13">
        <v>216</v>
      </c>
      <c r="AC321" s="13">
        <v>186</v>
      </c>
      <c r="AD321" s="40"/>
      <c r="AE321" s="40"/>
      <c r="AF321" s="40"/>
      <c r="AG321" s="40"/>
      <c r="AH321" s="13"/>
      <c r="AI321" s="40"/>
      <c r="AJ321" s="40"/>
      <c r="AK321" s="40"/>
      <c r="AL321" s="40"/>
      <c r="AM321" s="47"/>
      <c r="AN321" s="41" t="s">
        <v>1495</v>
      </c>
      <c r="AO321" s="43">
        <v>180</v>
      </c>
      <c r="AP321" s="13">
        <v>4</v>
      </c>
      <c r="AQ321" s="40"/>
      <c r="AR321" s="40"/>
      <c r="AS321" s="6" t="s">
        <v>115</v>
      </c>
      <c r="AT321" s="6" t="s">
        <v>148</v>
      </c>
      <c r="AU321" s="6" t="s">
        <v>547</v>
      </c>
      <c r="AV321" s="6" t="s">
        <v>116</v>
      </c>
      <c r="AW321" s="12">
        <f t="shared" si="9"/>
        <v>57</v>
      </c>
      <c r="AX321" s="12" t="str">
        <f t="shared" si="10"/>
        <v/>
      </c>
      <c r="AY321" s="45"/>
    </row>
    <row r="322" spans="1:51" ht="20.100000000000001" customHeight="1" x14ac:dyDescent="0.2">
      <c r="A322" s="13">
        <v>316</v>
      </c>
      <c r="B322" s="40" t="s">
        <v>1490</v>
      </c>
      <c r="C322" s="40" t="s">
        <v>1360</v>
      </c>
      <c r="D322" s="41" t="s">
        <v>1496</v>
      </c>
      <c r="E322" s="41" t="s">
        <v>9</v>
      </c>
      <c r="F322" s="41" t="s">
        <v>1443</v>
      </c>
      <c r="G322" s="41"/>
      <c r="H322" s="13" t="s">
        <v>222</v>
      </c>
      <c r="I322" s="13"/>
      <c r="J322" s="13"/>
      <c r="K322" s="13"/>
      <c r="L322" s="13"/>
      <c r="M322" s="13"/>
      <c r="N322" s="13"/>
      <c r="O322" s="40" t="s">
        <v>67</v>
      </c>
      <c r="P322" s="41"/>
      <c r="Q322" s="41" t="s">
        <v>116</v>
      </c>
      <c r="R322" s="41" t="s">
        <v>1497</v>
      </c>
      <c r="S322" s="41" t="s">
        <v>69</v>
      </c>
      <c r="T322" s="13" t="s">
        <v>70</v>
      </c>
      <c r="U322" s="41"/>
      <c r="V322" s="41" t="s">
        <v>1498</v>
      </c>
      <c r="W322" s="41" t="s">
        <v>1102</v>
      </c>
      <c r="X322" s="41" t="s">
        <v>69</v>
      </c>
      <c r="Y322" s="41" t="s">
        <v>70</v>
      </c>
      <c r="Z322" s="13" t="s">
        <v>1499</v>
      </c>
      <c r="AA322" s="13"/>
      <c r="AB322" s="13"/>
      <c r="AC322" s="13"/>
      <c r="AD322" s="40"/>
      <c r="AE322" s="40"/>
      <c r="AF322" s="40"/>
      <c r="AG322" s="40"/>
      <c r="AH322" s="13"/>
      <c r="AI322" s="40"/>
      <c r="AJ322" s="40"/>
      <c r="AK322" s="40"/>
      <c r="AL322" s="40"/>
      <c r="AM322" s="47"/>
      <c r="AN322" s="41"/>
      <c r="AO322" s="41"/>
      <c r="AP322" s="13"/>
      <c r="AQ322" s="40"/>
      <c r="AR322" s="40"/>
      <c r="AS322" s="6" t="s">
        <v>115</v>
      </c>
      <c r="AT322" s="6" t="s">
        <v>148</v>
      </c>
      <c r="AU322" s="6" t="s">
        <v>396</v>
      </c>
      <c r="AV322" s="6" t="s">
        <v>114</v>
      </c>
      <c r="AW322" s="12">
        <f t="shared" si="9"/>
        <v>103</v>
      </c>
      <c r="AX322" s="12" t="str">
        <f t="shared" si="10"/>
        <v/>
      </c>
      <c r="AY322" s="45"/>
    </row>
    <row r="323" spans="1:51" s="21" customFormat="1" ht="43.5" x14ac:dyDescent="0.2">
      <c r="A323" s="13">
        <v>317</v>
      </c>
      <c r="B323" s="29" t="s">
        <v>1500</v>
      </c>
      <c r="C323" s="29" t="s">
        <v>1360</v>
      </c>
      <c r="D323" s="30" t="s">
        <v>1501</v>
      </c>
      <c r="E323" s="30" t="s">
        <v>10</v>
      </c>
      <c r="F323" s="30" t="s">
        <v>504</v>
      </c>
      <c r="G323" s="56" t="s">
        <v>1502</v>
      </c>
      <c r="H323" s="20" t="s">
        <v>83</v>
      </c>
      <c r="I323" s="20"/>
      <c r="J323" s="20"/>
      <c r="K323" s="20"/>
      <c r="L323" s="20"/>
      <c r="M323" s="20"/>
      <c r="N323" s="20"/>
      <c r="O323" s="29" t="s">
        <v>92</v>
      </c>
      <c r="P323" s="30"/>
      <c r="Q323" s="30" t="s">
        <v>104</v>
      </c>
      <c r="R323" s="30" t="s">
        <v>1503</v>
      </c>
      <c r="S323" s="30" t="s">
        <v>106</v>
      </c>
      <c r="T323" s="20" t="s">
        <v>107</v>
      </c>
      <c r="U323" s="30"/>
      <c r="V323" s="30" t="s">
        <v>402</v>
      </c>
      <c r="W323" s="30" t="s">
        <v>1504</v>
      </c>
      <c r="X323" s="30" t="s">
        <v>106</v>
      </c>
      <c r="Y323" s="30" t="s">
        <v>107</v>
      </c>
      <c r="Z323" s="20" t="s">
        <v>1505</v>
      </c>
      <c r="AA323" s="20">
        <v>232</v>
      </c>
      <c r="AB323" s="20">
        <v>232</v>
      </c>
      <c r="AC323" s="20">
        <v>210</v>
      </c>
      <c r="AD323" s="29"/>
      <c r="AE323" s="29"/>
      <c r="AF323" s="29"/>
      <c r="AG323" s="29"/>
      <c r="AH323" s="20"/>
      <c r="AI323" s="29"/>
      <c r="AJ323" s="29"/>
      <c r="AK323" s="29"/>
      <c r="AL323" s="29"/>
      <c r="AM323" s="39"/>
      <c r="AN323" s="30" t="s">
        <v>1506</v>
      </c>
      <c r="AO323" s="36">
        <v>231</v>
      </c>
      <c r="AP323" s="20">
        <v>12</v>
      </c>
      <c r="AQ323" s="29"/>
      <c r="AR323" s="29"/>
      <c r="AS323" s="30" t="s">
        <v>115</v>
      </c>
      <c r="AT323" s="30" t="s">
        <v>148</v>
      </c>
      <c r="AU323" s="30" t="s">
        <v>136</v>
      </c>
      <c r="AV323" s="30" t="s">
        <v>116</v>
      </c>
      <c r="AW323" s="31">
        <f t="shared" si="9"/>
        <v>9</v>
      </c>
      <c r="AX323" s="31">
        <f t="shared" si="10"/>
        <v>9</v>
      </c>
      <c r="AY323" s="32"/>
    </row>
    <row r="324" spans="1:51" s="21" customFormat="1" ht="20.100000000000001" customHeight="1" x14ac:dyDescent="0.2">
      <c r="A324" s="13">
        <v>318</v>
      </c>
      <c r="B324" s="29" t="s">
        <v>1507</v>
      </c>
      <c r="C324" s="29" t="s">
        <v>1360</v>
      </c>
      <c r="D324" s="30" t="s">
        <v>1508</v>
      </c>
      <c r="E324" s="30" t="s">
        <v>10</v>
      </c>
      <c r="F324" s="30" t="s">
        <v>174</v>
      </c>
      <c r="G324" s="30"/>
      <c r="H324" s="20" t="s">
        <v>83</v>
      </c>
      <c r="I324" s="20"/>
      <c r="J324" s="20"/>
      <c r="K324" s="20"/>
      <c r="L324" s="20"/>
      <c r="M324" s="20"/>
      <c r="N324" s="20"/>
      <c r="O324" s="29" t="s">
        <v>92</v>
      </c>
      <c r="P324" s="30"/>
      <c r="Q324" s="30" t="s">
        <v>117</v>
      </c>
      <c r="R324" s="30" t="s">
        <v>1509</v>
      </c>
      <c r="S324" s="30" t="s">
        <v>106</v>
      </c>
      <c r="T324" s="20" t="s">
        <v>107</v>
      </c>
      <c r="U324" s="30"/>
      <c r="V324" s="30" t="s">
        <v>204</v>
      </c>
      <c r="W324" s="30" t="s">
        <v>1510</v>
      </c>
      <c r="X324" s="30" t="s">
        <v>106</v>
      </c>
      <c r="Y324" s="30" t="s">
        <v>107</v>
      </c>
      <c r="Z324" s="20" t="s">
        <v>1511</v>
      </c>
      <c r="AA324" s="20">
        <v>203</v>
      </c>
      <c r="AB324" s="20">
        <v>203</v>
      </c>
      <c r="AC324" s="20">
        <v>192</v>
      </c>
      <c r="AD324" s="29"/>
      <c r="AE324" s="29"/>
      <c r="AF324" s="29"/>
      <c r="AG324" s="29"/>
      <c r="AH324" s="20"/>
      <c r="AI324" s="29">
        <v>211</v>
      </c>
      <c r="AJ324" s="30" t="s">
        <v>1512</v>
      </c>
      <c r="AK324" s="29"/>
      <c r="AL324" s="29"/>
      <c r="AM324" s="39"/>
      <c r="AN324" s="30" t="s">
        <v>1513</v>
      </c>
      <c r="AO324" s="36">
        <v>211</v>
      </c>
      <c r="AP324" s="20">
        <v>12</v>
      </c>
      <c r="AQ324" s="29"/>
      <c r="AR324" s="29"/>
      <c r="AS324" s="30" t="s">
        <v>115</v>
      </c>
      <c r="AT324" s="30" t="s">
        <v>148</v>
      </c>
      <c r="AU324" s="30" t="s">
        <v>136</v>
      </c>
      <c r="AV324" s="30" t="s">
        <v>260</v>
      </c>
      <c r="AW324" s="31">
        <f t="shared" si="9"/>
        <v>8</v>
      </c>
      <c r="AX324" s="31">
        <f t="shared" si="10"/>
        <v>8</v>
      </c>
      <c r="AY324" s="32"/>
    </row>
    <row r="325" spans="1:51" ht="20.100000000000001" customHeight="1" x14ac:dyDescent="0.2">
      <c r="A325" s="13">
        <v>319</v>
      </c>
      <c r="B325" s="40" t="s">
        <v>1507</v>
      </c>
      <c r="C325" s="40" t="s">
        <v>1360</v>
      </c>
      <c r="D325" s="41" t="s">
        <v>1194</v>
      </c>
      <c r="E325" s="41" t="s">
        <v>6</v>
      </c>
      <c r="F325" s="41"/>
      <c r="G325" s="41"/>
      <c r="H325" s="13" t="s">
        <v>7</v>
      </c>
      <c r="I325" s="13"/>
      <c r="J325" s="13"/>
      <c r="K325" s="13"/>
      <c r="L325" s="13"/>
      <c r="M325" s="13"/>
      <c r="N325" s="13"/>
      <c r="O325" s="40" t="s">
        <v>93</v>
      </c>
      <c r="P325" s="35" t="s">
        <v>155</v>
      </c>
      <c r="Q325" s="35" t="s">
        <v>140</v>
      </c>
      <c r="R325" s="41" t="s">
        <v>1039</v>
      </c>
      <c r="S325" s="41" t="s">
        <v>106</v>
      </c>
      <c r="T325" s="13" t="s">
        <v>107</v>
      </c>
      <c r="U325" s="35" t="s">
        <v>156</v>
      </c>
      <c r="V325" s="35" t="s">
        <v>276</v>
      </c>
      <c r="W325" s="41" t="s">
        <v>1514</v>
      </c>
      <c r="X325" s="41" t="s">
        <v>73</v>
      </c>
      <c r="Y325" s="41" t="s">
        <v>107</v>
      </c>
      <c r="Z325" s="13">
        <v>0</v>
      </c>
      <c r="AA325" s="13">
        <v>203</v>
      </c>
      <c r="AB325" s="13">
        <v>203</v>
      </c>
      <c r="AC325" s="13">
        <v>192</v>
      </c>
      <c r="AD325" s="40">
        <v>195</v>
      </c>
      <c r="AE325" s="40">
        <v>165</v>
      </c>
      <c r="AF325" s="40">
        <v>180</v>
      </c>
      <c r="AG325" s="40">
        <v>7</v>
      </c>
      <c r="AH325" s="13">
        <v>40</v>
      </c>
      <c r="AI325" s="40">
        <v>227</v>
      </c>
      <c r="AJ325" s="40">
        <v>7</v>
      </c>
      <c r="AK325" s="40"/>
      <c r="AL325" s="40"/>
      <c r="AM325" s="47"/>
      <c r="AN325" s="41" t="s">
        <v>1500</v>
      </c>
      <c r="AO325" s="43">
        <v>227</v>
      </c>
      <c r="AP325" s="13">
        <v>7</v>
      </c>
      <c r="AQ325" s="40"/>
      <c r="AR325" s="40"/>
      <c r="AS325" s="6"/>
      <c r="AT325" s="6"/>
      <c r="AU325" s="6"/>
      <c r="AV325" s="6"/>
      <c r="AW325" s="12" t="str">
        <f t="shared" si="9"/>
        <v/>
      </c>
      <c r="AX325" s="12" t="str">
        <f t="shared" si="10"/>
        <v/>
      </c>
      <c r="AY325" s="45"/>
    </row>
    <row r="326" spans="1:51" s="21" customFormat="1" ht="18.75" customHeight="1" x14ac:dyDescent="0.2">
      <c r="A326" s="13">
        <v>320</v>
      </c>
      <c r="B326" s="29" t="s">
        <v>1515</v>
      </c>
      <c r="C326" s="29" t="s">
        <v>1360</v>
      </c>
      <c r="D326" s="30" t="s">
        <v>1516</v>
      </c>
      <c r="E326" s="30" t="s">
        <v>10</v>
      </c>
      <c r="F326" s="30" t="s">
        <v>174</v>
      </c>
      <c r="G326" s="30"/>
      <c r="H326" s="20" t="s">
        <v>83</v>
      </c>
      <c r="I326" s="20"/>
      <c r="J326" s="20"/>
      <c r="K326" s="20"/>
      <c r="L326" s="20"/>
      <c r="M326" s="20"/>
      <c r="N326" s="20"/>
      <c r="O326" s="29" t="s">
        <v>67</v>
      </c>
      <c r="P326" s="30"/>
      <c r="Q326" s="30" t="s">
        <v>117</v>
      </c>
      <c r="R326" s="30" t="s">
        <v>1517</v>
      </c>
      <c r="S326" s="30" t="s">
        <v>69</v>
      </c>
      <c r="T326" s="20" t="s">
        <v>70</v>
      </c>
      <c r="U326" s="30"/>
      <c r="V326" s="30" t="s">
        <v>306</v>
      </c>
      <c r="W326" s="30" t="s">
        <v>1518</v>
      </c>
      <c r="X326" s="30" t="s">
        <v>369</v>
      </c>
      <c r="Y326" s="30" t="s">
        <v>369</v>
      </c>
      <c r="Z326" s="20" t="s">
        <v>1519</v>
      </c>
      <c r="AA326" s="20">
        <v>216</v>
      </c>
      <c r="AB326" s="20">
        <v>216</v>
      </c>
      <c r="AC326" s="20">
        <v>192</v>
      </c>
      <c r="AD326" s="29"/>
      <c r="AE326" s="29"/>
      <c r="AF326" s="29"/>
      <c r="AG326" s="29"/>
      <c r="AH326" s="20"/>
      <c r="AI326" s="29">
        <v>208</v>
      </c>
      <c r="AJ326" s="29">
        <v>10</v>
      </c>
      <c r="AK326" s="29"/>
      <c r="AL326" s="29"/>
      <c r="AM326" s="39"/>
      <c r="AN326" s="30" t="s">
        <v>1520</v>
      </c>
      <c r="AO326" s="36">
        <v>208</v>
      </c>
      <c r="AP326" s="20">
        <v>10</v>
      </c>
      <c r="AQ326" s="29"/>
      <c r="AR326" s="29"/>
      <c r="AS326" s="30" t="s">
        <v>115</v>
      </c>
      <c r="AT326" s="30" t="s">
        <v>148</v>
      </c>
      <c r="AU326" s="30" t="s">
        <v>136</v>
      </c>
      <c r="AV326" s="30" t="s">
        <v>266</v>
      </c>
      <c r="AW326" s="31">
        <f t="shared" si="9"/>
        <v>11</v>
      </c>
      <c r="AX326" s="31">
        <f t="shared" si="10"/>
        <v>11</v>
      </c>
      <c r="AY326" s="32"/>
    </row>
    <row r="327" spans="1:51" s="21" customFormat="1" ht="43.5" x14ac:dyDescent="0.2">
      <c r="A327" s="13">
        <v>321</v>
      </c>
      <c r="B327" s="29" t="s">
        <v>1515</v>
      </c>
      <c r="C327" s="29" t="s">
        <v>1360</v>
      </c>
      <c r="D327" s="30" t="s">
        <v>1176</v>
      </c>
      <c r="E327" s="30" t="s">
        <v>243</v>
      </c>
      <c r="F327" s="30" t="s">
        <v>185</v>
      </c>
      <c r="G327" s="56" t="s">
        <v>1521</v>
      </c>
      <c r="H327" s="20" t="s">
        <v>83</v>
      </c>
      <c r="I327" s="20"/>
      <c r="J327" s="20"/>
      <c r="K327" s="20"/>
      <c r="L327" s="20"/>
      <c r="M327" s="20"/>
      <c r="N327" s="20"/>
      <c r="O327" s="29" t="s">
        <v>92</v>
      </c>
      <c r="P327" s="30"/>
      <c r="Q327" s="30" t="s">
        <v>140</v>
      </c>
      <c r="R327" s="30" t="s">
        <v>657</v>
      </c>
      <c r="S327" s="30" t="s">
        <v>106</v>
      </c>
      <c r="T327" s="20" t="s">
        <v>107</v>
      </c>
      <c r="U327" s="30"/>
      <c r="V327" s="30" t="s">
        <v>276</v>
      </c>
      <c r="W327" s="30" t="s">
        <v>1482</v>
      </c>
      <c r="X327" s="30" t="s">
        <v>73</v>
      </c>
      <c r="Y327" s="30" t="s">
        <v>107</v>
      </c>
      <c r="Z327" s="20" t="s">
        <v>1474</v>
      </c>
      <c r="AA327" s="20">
        <v>200</v>
      </c>
      <c r="AB327" s="20">
        <v>200</v>
      </c>
      <c r="AC327" s="20">
        <v>186</v>
      </c>
      <c r="AD327" s="29">
        <v>186</v>
      </c>
      <c r="AE327" s="29">
        <v>56</v>
      </c>
      <c r="AF327" s="29">
        <v>149</v>
      </c>
      <c r="AG327" s="29">
        <v>10</v>
      </c>
      <c r="AH327" s="20">
        <v>10</v>
      </c>
      <c r="AI327" s="29">
        <v>169</v>
      </c>
      <c r="AJ327" s="29">
        <v>10</v>
      </c>
      <c r="AK327" s="29"/>
      <c r="AL327" s="29"/>
      <c r="AM327" s="20"/>
      <c r="AN327" s="30" t="s">
        <v>1464</v>
      </c>
      <c r="AO327" s="36">
        <v>169</v>
      </c>
      <c r="AP327" s="20">
        <v>10</v>
      </c>
      <c r="AQ327" s="29"/>
      <c r="AR327" s="29"/>
      <c r="AS327" s="30" t="s">
        <v>115</v>
      </c>
      <c r="AT327" s="30" t="s">
        <v>148</v>
      </c>
      <c r="AU327" s="30" t="s">
        <v>115</v>
      </c>
      <c r="AV327" s="30" t="s">
        <v>148</v>
      </c>
      <c r="AW327" s="31">
        <f t="shared" ref="AW327:AW390" si="11">IF(AS327*AU327&gt;0,(AS327-AU327)*12+(AT327-AV327),"")</f>
        <v>0</v>
      </c>
      <c r="AX327" s="31">
        <f t="shared" si="10"/>
        <v>0</v>
      </c>
      <c r="AY327" s="32"/>
    </row>
    <row r="328" spans="1:51" ht="20.100000000000001" customHeight="1" x14ac:dyDescent="0.2">
      <c r="A328" s="13">
        <v>322</v>
      </c>
      <c r="B328" s="40" t="s">
        <v>1515</v>
      </c>
      <c r="C328" s="40" t="s">
        <v>1360</v>
      </c>
      <c r="D328" s="41" t="s">
        <v>1522</v>
      </c>
      <c r="E328" s="41" t="s">
        <v>10</v>
      </c>
      <c r="F328" s="41" t="s">
        <v>174</v>
      </c>
      <c r="G328" s="41"/>
      <c r="H328" s="13" t="s">
        <v>83</v>
      </c>
      <c r="I328" s="13"/>
      <c r="J328" s="13"/>
      <c r="K328" s="13"/>
      <c r="L328" s="13"/>
      <c r="M328" s="13"/>
      <c r="N328" s="13"/>
      <c r="O328" s="40" t="s">
        <v>93</v>
      </c>
      <c r="P328" s="41"/>
      <c r="Q328" s="41" t="s">
        <v>226</v>
      </c>
      <c r="R328" s="41" t="s">
        <v>1523</v>
      </c>
      <c r="S328" s="41" t="s">
        <v>444</v>
      </c>
      <c r="T328" s="13" t="s">
        <v>107</v>
      </c>
      <c r="U328" s="41"/>
      <c r="V328" s="41" t="s">
        <v>425</v>
      </c>
      <c r="W328" s="41" t="s">
        <v>1524</v>
      </c>
      <c r="X328" s="41" t="s">
        <v>444</v>
      </c>
      <c r="Y328" s="41" t="s">
        <v>107</v>
      </c>
      <c r="Z328" s="13" t="s">
        <v>1525</v>
      </c>
      <c r="AA328" s="13"/>
      <c r="AB328" s="13">
        <v>154</v>
      </c>
      <c r="AC328" s="13">
        <v>145</v>
      </c>
      <c r="AD328" s="40"/>
      <c r="AE328" s="40"/>
      <c r="AF328" s="40"/>
      <c r="AG328" s="40"/>
      <c r="AH328" s="13"/>
      <c r="AI328" s="40">
        <v>160</v>
      </c>
      <c r="AJ328" s="40">
        <v>5</v>
      </c>
      <c r="AK328" s="40"/>
      <c r="AL328" s="40"/>
      <c r="AM328" s="47"/>
      <c r="AN328" s="41" t="s">
        <v>1526</v>
      </c>
      <c r="AO328" s="43">
        <v>160</v>
      </c>
      <c r="AP328" s="13">
        <v>4.5</v>
      </c>
      <c r="AQ328" s="40"/>
      <c r="AR328" s="40"/>
      <c r="AS328" s="6" t="s">
        <v>115</v>
      </c>
      <c r="AT328" s="6" t="s">
        <v>148</v>
      </c>
      <c r="AU328" s="6" t="s">
        <v>348</v>
      </c>
      <c r="AV328" s="6" t="s">
        <v>124</v>
      </c>
      <c r="AW328" s="12">
        <f t="shared" si="11"/>
        <v>40</v>
      </c>
      <c r="AX328" s="12" t="str">
        <f t="shared" ref="AX328:AX391" si="12">IF(AW328&lt;13,AW328,"")</f>
        <v/>
      </c>
      <c r="AY328" s="45"/>
    </row>
    <row r="329" spans="1:51" ht="20.100000000000001" customHeight="1" x14ac:dyDescent="0.2">
      <c r="A329" s="13">
        <v>323</v>
      </c>
      <c r="B329" s="40" t="s">
        <v>1527</v>
      </c>
      <c r="C329" s="40" t="s">
        <v>1360</v>
      </c>
      <c r="D329" s="41" t="s">
        <v>1528</v>
      </c>
      <c r="E329" s="41" t="s">
        <v>66</v>
      </c>
      <c r="F329" s="41" t="s">
        <v>192</v>
      </c>
      <c r="G329" s="41"/>
      <c r="H329" s="13" t="s">
        <v>7</v>
      </c>
      <c r="I329" s="13"/>
      <c r="J329" s="13"/>
      <c r="K329" s="13"/>
      <c r="L329" s="13"/>
      <c r="M329" s="13"/>
      <c r="N329" s="13"/>
      <c r="O329" s="40" t="s">
        <v>1529</v>
      </c>
      <c r="P329" s="41"/>
      <c r="Q329" s="41" t="s">
        <v>116</v>
      </c>
      <c r="R329" s="41" t="s">
        <v>1497</v>
      </c>
      <c r="S329" s="41" t="s">
        <v>69</v>
      </c>
      <c r="T329" s="13" t="s">
        <v>70</v>
      </c>
      <c r="U329" s="41"/>
      <c r="V329" s="41" t="s">
        <v>1530</v>
      </c>
      <c r="W329" s="41" t="s">
        <v>1531</v>
      </c>
      <c r="X329" s="41" t="s">
        <v>106</v>
      </c>
      <c r="Y329" s="41" t="s">
        <v>107</v>
      </c>
      <c r="Z329" s="13"/>
      <c r="AA329" s="13"/>
      <c r="AB329" s="13"/>
      <c r="AC329" s="13"/>
      <c r="AD329" s="40"/>
      <c r="AE329" s="40"/>
      <c r="AF329" s="40"/>
      <c r="AG329" s="40"/>
      <c r="AH329" s="13"/>
      <c r="AI329" s="40"/>
      <c r="AJ329" s="40"/>
      <c r="AK329" s="40"/>
      <c r="AL329" s="40"/>
      <c r="AM329" s="47"/>
      <c r="AN329" s="41"/>
      <c r="AO329" s="41"/>
      <c r="AP329" s="13"/>
      <c r="AQ329" s="40"/>
      <c r="AR329" s="40"/>
      <c r="AS329" s="6"/>
      <c r="AT329" s="6"/>
      <c r="AU329" s="6"/>
      <c r="AV329" s="6"/>
      <c r="AW329" s="12" t="str">
        <f t="shared" si="11"/>
        <v/>
      </c>
      <c r="AX329" s="12" t="str">
        <f t="shared" si="12"/>
        <v/>
      </c>
      <c r="AY329" s="45"/>
    </row>
    <row r="330" spans="1:51" ht="20.100000000000001" customHeight="1" x14ac:dyDescent="0.2">
      <c r="A330" s="13">
        <v>324</v>
      </c>
      <c r="B330" s="40" t="s">
        <v>1527</v>
      </c>
      <c r="C330" s="40" t="s">
        <v>1360</v>
      </c>
      <c r="D330" s="41" t="s">
        <v>1532</v>
      </c>
      <c r="E330" s="41" t="s">
        <v>66</v>
      </c>
      <c r="F330" s="41" t="s">
        <v>192</v>
      </c>
      <c r="G330" s="41"/>
      <c r="H330" s="13" t="s">
        <v>7</v>
      </c>
      <c r="I330" s="13"/>
      <c r="J330" s="13"/>
      <c r="K330" s="13"/>
      <c r="L330" s="13"/>
      <c r="M330" s="13"/>
      <c r="N330" s="13"/>
      <c r="O330" s="40" t="s">
        <v>1529</v>
      </c>
      <c r="P330" s="41"/>
      <c r="Q330" s="41" t="s">
        <v>116</v>
      </c>
      <c r="R330" s="41" t="s">
        <v>1533</v>
      </c>
      <c r="S330" s="41" t="s">
        <v>69</v>
      </c>
      <c r="T330" s="13" t="s">
        <v>70</v>
      </c>
      <c r="U330" s="41"/>
      <c r="V330" s="41" t="s">
        <v>1534</v>
      </c>
      <c r="W330" s="41" t="s">
        <v>1535</v>
      </c>
      <c r="X330" s="41" t="s">
        <v>106</v>
      </c>
      <c r="Y330" s="41" t="s">
        <v>107</v>
      </c>
      <c r="Z330" s="13"/>
      <c r="AA330" s="13"/>
      <c r="AB330" s="13"/>
      <c r="AC330" s="13"/>
      <c r="AD330" s="40"/>
      <c r="AE330" s="40"/>
      <c r="AF330" s="40"/>
      <c r="AG330" s="40"/>
      <c r="AH330" s="13"/>
      <c r="AI330" s="40"/>
      <c r="AJ330" s="40"/>
      <c r="AK330" s="40"/>
      <c r="AL330" s="40"/>
      <c r="AM330" s="47"/>
      <c r="AN330" s="41"/>
      <c r="AO330" s="41"/>
      <c r="AP330" s="13"/>
      <c r="AQ330" s="40"/>
      <c r="AR330" s="40"/>
      <c r="AS330" s="6"/>
      <c r="AT330" s="6"/>
      <c r="AU330" s="6"/>
      <c r="AV330" s="6"/>
      <c r="AW330" s="12" t="str">
        <f t="shared" si="11"/>
        <v/>
      </c>
      <c r="AX330" s="12" t="str">
        <f t="shared" si="12"/>
        <v/>
      </c>
      <c r="AY330" s="45"/>
    </row>
    <row r="331" spans="1:51" ht="20.100000000000001" customHeight="1" x14ac:dyDescent="0.2">
      <c r="A331" s="13">
        <v>325</v>
      </c>
      <c r="B331" s="40" t="s">
        <v>1536</v>
      </c>
      <c r="C331" s="40" t="s">
        <v>1360</v>
      </c>
      <c r="D331" s="41" t="s">
        <v>977</v>
      </c>
      <c r="E331" s="41" t="s">
        <v>66</v>
      </c>
      <c r="F331" s="41"/>
      <c r="G331" s="41"/>
      <c r="H331" s="13" t="s">
        <v>83</v>
      </c>
      <c r="I331" s="13"/>
      <c r="J331" s="13"/>
      <c r="K331" s="13"/>
      <c r="L331" s="13"/>
      <c r="M331" s="13"/>
      <c r="N331" s="13"/>
      <c r="O331" s="40" t="s">
        <v>814</v>
      </c>
      <c r="P331" s="41"/>
      <c r="Q331" s="41"/>
      <c r="R331" s="41"/>
      <c r="S331" s="41"/>
      <c r="T331" s="13"/>
      <c r="U331" s="41"/>
      <c r="V331" s="41"/>
      <c r="W331" s="41"/>
      <c r="X331" s="41"/>
      <c r="Y331" s="41"/>
      <c r="Z331" s="13"/>
      <c r="AA331" s="13"/>
      <c r="AB331" s="13"/>
      <c r="AC331" s="13"/>
      <c r="AD331" s="40"/>
      <c r="AE331" s="40"/>
      <c r="AF331" s="40"/>
      <c r="AG331" s="40"/>
      <c r="AH331" s="13"/>
      <c r="AI331" s="40"/>
      <c r="AJ331" s="40"/>
      <c r="AK331" s="40"/>
      <c r="AL331" s="40"/>
      <c r="AM331" s="47"/>
      <c r="AN331" s="41"/>
      <c r="AO331" s="41"/>
      <c r="AP331" s="13"/>
      <c r="AQ331" s="40"/>
      <c r="AR331" s="40"/>
      <c r="AS331" s="6"/>
      <c r="AT331" s="6"/>
      <c r="AU331" s="6"/>
      <c r="AV331" s="6"/>
      <c r="AW331" s="12" t="str">
        <f t="shared" si="11"/>
        <v/>
      </c>
      <c r="AX331" s="12" t="str">
        <f t="shared" si="12"/>
        <v/>
      </c>
      <c r="AY331" s="45"/>
    </row>
    <row r="332" spans="1:51" ht="20.100000000000001" customHeight="1" x14ac:dyDescent="0.2">
      <c r="A332" s="13">
        <v>326</v>
      </c>
      <c r="B332" s="40" t="s">
        <v>1536</v>
      </c>
      <c r="C332" s="40" t="s">
        <v>1360</v>
      </c>
      <c r="D332" s="41" t="s">
        <v>1537</v>
      </c>
      <c r="E332" s="41" t="s">
        <v>10</v>
      </c>
      <c r="F332" s="41" t="s">
        <v>192</v>
      </c>
      <c r="G332" s="41"/>
      <c r="H332" s="13" t="s">
        <v>7</v>
      </c>
      <c r="I332" s="47" t="s">
        <v>158</v>
      </c>
      <c r="J332" s="13"/>
      <c r="K332" s="13"/>
      <c r="L332" s="13"/>
      <c r="M332" s="13"/>
      <c r="N332" s="13"/>
      <c r="O332" s="40" t="s">
        <v>67</v>
      </c>
      <c r="P332" s="41"/>
      <c r="Q332" s="41" t="s">
        <v>141</v>
      </c>
      <c r="R332" s="41" t="s">
        <v>1538</v>
      </c>
      <c r="S332" s="41" t="s">
        <v>69</v>
      </c>
      <c r="T332" s="13" t="s">
        <v>70</v>
      </c>
      <c r="U332" s="41"/>
      <c r="V332" s="41" t="s">
        <v>1478</v>
      </c>
      <c r="W332" s="41" t="s">
        <v>1539</v>
      </c>
      <c r="X332" s="41" t="s">
        <v>106</v>
      </c>
      <c r="Y332" s="41" t="s">
        <v>107</v>
      </c>
      <c r="Z332" s="13"/>
      <c r="AA332" s="13">
        <v>196</v>
      </c>
      <c r="AB332" s="13">
        <v>196</v>
      </c>
      <c r="AC332" s="13"/>
      <c r="AD332" s="40">
        <v>189</v>
      </c>
      <c r="AE332" s="40">
        <v>113</v>
      </c>
      <c r="AF332" s="40">
        <v>163</v>
      </c>
      <c r="AG332" s="40">
        <v>7</v>
      </c>
      <c r="AH332" s="13">
        <v>40</v>
      </c>
      <c r="AI332" s="40">
        <v>210</v>
      </c>
      <c r="AJ332" s="40">
        <v>8</v>
      </c>
      <c r="AK332" s="40"/>
      <c r="AL332" s="40"/>
      <c r="AM332" s="47"/>
      <c r="AN332" s="41" t="s">
        <v>1527</v>
      </c>
      <c r="AO332" s="43">
        <v>210</v>
      </c>
      <c r="AP332" s="13">
        <v>8</v>
      </c>
      <c r="AQ332" s="40"/>
      <c r="AR332" s="40"/>
      <c r="AS332" s="6"/>
      <c r="AT332" s="6"/>
      <c r="AU332" s="6"/>
      <c r="AV332" s="6"/>
      <c r="AW332" s="12" t="str">
        <f t="shared" si="11"/>
        <v/>
      </c>
      <c r="AX332" s="12" t="str">
        <f t="shared" si="12"/>
        <v/>
      </c>
      <c r="AY332" s="45"/>
    </row>
    <row r="333" spans="1:51" ht="63" customHeight="1" x14ac:dyDescent="0.2">
      <c r="A333" s="13">
        <v>327</v>
      </c>
      <c r="B333" s="40" t="s">
        <v>1536</v>
      </c>
      <c r="C333" s="40" t="s">
        <v>1360</v>
      </c>
      <c r="D333" s="41" t="s">
        <v>1176</v>
      </c>
      <c r="E333" s="41" t="s">
        <v>243</v>
      </c>
      <c r="F333" s="41"/>
      <c r="G333" s="57" t="s">
        <v>1540</v>
      </c>
      <c r="H333" s="13" t="s">
        <v>7</v>
      </c>
      <c r="I333" s="47" t="s">
        <v>158</v>
      </c>
      <c r="J333" s="13"/>
      <c r="K333" s="13"/>
      <c r="L333" s="13"/>
      <c r="M333" s="13"/>
      <c r="N333" s="13"/>
      <c r="O333" s="40" t="s">
        <v>92</v>
      </c>
      <c r="P333" s="35" t="s">
        <v>140</v>
      </c>
      <c r="Q333" s="35" t="s">
        <v>117</v>
      </c>
      <c r="R333" s="41" t="s">
        <v>815</v>
      </c>
      <c r="S333" s="41" t="s">
        <v>106</v>
      </c>
      <c r="T333" s="13" t="s">
        <v>107</v>
      </c>
      <c r="U333" s="41" t="s">
        <v>276</v>
      </c>
      <c r="V333" s="41" t="s">
        <v>276</v>
      </c>
      <c r="W333" s="41" t="s">
        <v>1482</v>
      </c>
      <c r="X333" s="41" t="s">
        <v>73</v>
      </c>
      <c r="Y333" s="41" t="s">
        <v>70</v>
      </c>
      <c r="Z333" s="13">
        <v>0</v>
      </c>
      <c r="AA333" s="13"/>
      <c r="AB333" s="13">
        <v>200</v>
      </c>
      <c r="AC333" s="13">
        <v>186</v>
      </c>
      <c r="AD333" s="40">
        <v>186</v>
      </c>
      <c r="AE333" s="40">
        <v>56</v>
      </c>
      <c r="AF333" s="40">
        <v>149</v>
      </c>
      <c r="AG333" s="40">
        <v>10</v>
      </c>
      <c r="AH333" s="13">
        <v>10</v>
      </c>
      <c r="AI333" s="40">
        <v>169</v>
      </c>
      <c r="AJ333" s="40">
        <v>10</v>
      </c>
      <c r="AK333" s="40"/>
      <c r="AL333" s="40"/>
      <c r="AM333" s="33" t="s">
        <v>158</v>
      </c>
      <c r="AN333" s="41" t="s">
        <v>1527</v>
      </c>
      <c r="AO333" s="43">
        <v>169</v>
      </c>
      <c r="AP333" s="13">
        <v>10</v>
      </c>
      <c r="AQ333" s="40"/>
      <c r="AR333" s="40"/>
      <c r="AS333" s="6"/>
      <c r="AT333" s="6"/>
      <c r="AU333" s="6"/>
      <c r="AV333" s="6"/>
      <c r="AW333" s="12" t="str">
        <f t="shared" si="11"/>
        <v/>
      </c>
      <c r="AX333" s="12" t="str">
        <f t="shared" si="12"/>
        <v/>
      </c>
      <c r="AY333" s="45" t="s">
        <v>1541</v>
      </c>
    </row>
    <row r="334" spans="1:51" ht="20.100000000000001" customHeight="1" x14ac:dyDescent="0.2">
      <c r="A334" s="13">
        <v>328</v>
      </c>
      <c r="B334" s="40" t="s">
        <v>1542</v>
      </c>
      <c r="C334" s="40" t="s">
        <v>1360</v>
      </c>
      <c r="D334" s="41" t="s">
        <v>1543</v>
      </c>
      <c r="E334" s="41" t="s">
        <v>6</v>
      </c>
      <c r="F334" s="41" t="s">
        <v>174</v>
      </c>
      <c r="G334" s="41"/>
      <c r="H334" s="13" t="s">
        <v>83</v>
      </c>
      <c r="I334" s="13"/>
      <c r="J334" s="13"/>
      <c r="K334" s="13"/>
      <c r="L334" s="13"/>
      <c r="M334" s="13"/>
      <c r="N334" s="13"/>
      <c r="O334" s="40" t="s">
        <v>67</v>
      </c>
      <c r="P334" s="41"/>
      <c r="Q334" s="41" t="s">
        <v>155</v>
      </c>
      <c r="R334" s="41" t="s">
        <v>1544</v>
      </c>
      <c r="S334" s="41" t="s">
        <v>369</v>
      </c>
      <c r="T334" s="13" t="s">
        <v>369</v>
      </c>
      <c r="U334" s="41"/>
      <c r="V334" s="41" t="s">
        <v>167</v>
      </c>
      <c r="W334" s="41" t="s">
        <v>1545</v>
      </c>
      <c r="X334" s="41" t="s">
        <v>119</v>
      </c>
      <c r="Y334" s="41" t="s">
        <v>107</v>
      </c>
      <c r="Z334" s="13" t="s">
        <v>1546</v>
      </c>
      <c r="AA334" s="13">
        <v>180</v>
      </c>
      <c r="AB334" s="13">
        <v>180</v>
      </c>
      <c r="AC334" s="13">
        <v>162</v>
      </c>
      <c r="AD334" s="40"/>
      <c r="AE334" s="40"/>
      <c r="AF334" s="40"/>
      <c r="AG334" s="40"/>
      <c r="AH334" s="13"/>
      <c r="AI334" s="40">
        <v>189</v>
      </c>
      <c r="AJ334" s="40">
        <v>27</v>
      </c>
      <c r="AK334" s="40"/>
      <c r="AL334" s="40"/>
      <c r="AM334" s="47"/>
      <c r="AN334" s="41" t="s">
        <v>1547</v>
      </c>
      <c r="AO334" s="43">
        <v>189</v>
      </c>
      <c r="AP334" s="13">
        <v>27</v>
      </c>
      <c r="AQ334" s="40"/>
      <c r="AR334" s="40"/>
      <c r="AS334" s="6" t="s">
        <v>115</v>
      </c>
      <c r="AT334" s="6" t="s">
        <v>148</v>
      </c>
      <c r="AU334" s="6" t="s">
        <v>400</v>
      </c>
      <c r="AV334" s="6" t="s">
        <v>137</v>
      </c>
      <c r="AW334" s="12">
        <f t="shared" si="11"/>
        <v>74</v>
      </c>
      <c r="AX334" s="12" t="str">
        <f t="shared" si="12"/>
        <v/>
      </c>
      <c r="AY334" s="45"/>
    </row>
    <row r="335" spans="1:51" ht="20.100000000000001" customHeight="1" x14ac:dyDescent="0.2">
      <c r="A335" s="13">
        <v>329</v>
      </c>
      <c r="B335" s="40" t="s">
        <v>1542</v>
      </c>
      <c r="C335" s="40" t="s">
        <v>1360</v>
      </c>
      <c r="D335" s="41" t="s">
        <v>1548</v>
      </c>
      <c r="E335" s="41" t="s">
        <v>8</v>
      </c>
      <c r="F335" s="41" t="s">
        <v>192</v>
      </c>
      <c r="G335" s="41"/>
      <c r="H335" s="13" t="s">
        <v>7</v>
      </c>
      <c r="I335" s="13"/>
      <c r="J335" s="13"/>
      <c r="K335" s="13"/>
      <c r="L335" s="13"/>
      <c r="M335" s="13"/>
      <c r="N335" s="13"/>
      <c r="O335" s="40" t="s">
        <v>93</v>
      </c>
      <c r="P335" s="41"/>
      <c r="Q335" s="41" t="s">
        <v>155</v>
      </c>
      <c r="R335" s="41" t="s">
        <v>946</v>
      </c>
      <c r="S335" s="41" t="s">
        <v>106</v>
      </c>
      <c r="T335" s="13" t="s">
        <v>107</v>
      </c>
      <c r="U335" s="41"/>
      <c r="V335" s="41" t="s">
        <v>324</v>
      </c>
      <c r="W335" s="41" t="s">
        <v>1549</v>
      </c>
      <c r="X335" s="41" t="s">
        <v>262</v>
      </c>
      <c r="Y335" s="41" t="s">
        <v>70</v>
      </c>
      <c r="Z335" s="13">
        <v>0</v>
      </c>
      <c r="AA335" s="13">
        <v>246</v>
      </c>
      <c r="AB335" s="13">
        <v>246</v>
      </c>
      <c r="AC335" s="13">
        <v>0</v>
      </c>
      <c r="AD335" s="40">
        <v>234</v>
      </c>
      <c r="AE335" s="40">
        <v>53</v>
      </c>
      <c r="AF335" s="40">
        <v>85</v>
      </c>
      <c r="AG335" s="40">
        <v>10</v>
      </c>
      <c r="AH335" s="13">
        <v>65</v>
      </c>
      <c r="AI335" s="40">
        <v>160</v>
      </c>
      <c r="AJ335" s="40">
        <v>26</v>
      </c>
      <c r="AK335" s="40">
        <v>0</v>
      </c>
      <c r="AL335" s="40">
        <v>0</v>
      </c>
      <c r="AM335" s="47"/>
      <c r="AN335" s="41" t="s">
        <v>1536</v>
      </c>
      <c r="AO335" s="43">
        <v>160</v>
      </c>
      <c r="AP335" s="13">
        <v>26</v>
      </c>
      <c r="AQ335" s="40"/>
      <c r="AR335" s="40"/>
      <c r="AS335" s="6"/>
      <c r="AT335" s="6"/>
      <c r="AU335" s="6"/>
      <c r="AV335" s="6"/>
      <c r="AW335" s="12" t="str">
        <f t="shared" si="11"/>
        <v/>
      </c>
      <c r="AX335" s="12" t="str">
        <f t="shared" si="12"/>
        <v/>
      </c>
      <c r="AY335" s="45"/>
    </row>
    <row r="336" spans="1:51" ht="20.100000000000001" customHeight="1" x14ac:dyDescent="0.2">
      <c r="A336" s="13">
        <v>330</v>
      </c>
      <c r="B336" s="40" t="s">
        <v>1550</v>
      </c>
      <c r="C336" s="40" t="s">
        <v>1360</v>
      </c>
      <c r="D336" s="41" t="s">
        <v>726</v>
      </c>
      <c r="E336" s="41" t="s">
        <v>6</v>
      </c>
      <c r="F336" s="41" t="s">
        <v>192</v>
      </c>
      <c r="G336" s="41"/>
      <c r="H336" s="13" t="s">
        <v>7</v>
      </c>
      <c r="I336" s="13"/>
      <c r="J336" s="13"/>
      <c r="K336" s="13"/>
      <c r="L336" s="13"/>
      <c r="M336" s="13"/>
      <c r="N336" s="13"/>
      <c r="O336" s="40" t="s">
        <v>67</v>
      </c>
      <c r="P336" s="35" t="s">
        <v>155</v>
      </c>
      <c r="Q336" s="35" t="s">
        <v>218</v>
      </c>
      <c r="R336" s="41" t="s">
        <v>1280</v>
      </c>
      <c r="S336" s="41" t="s">
        <v>106</v>
      </c>
      <c r="T336" s="13" t="s">
        <v>107</v>
      </c>
      <c r="U336" s="35" t="s">
        <v>170</v>
      </c>
      <c r="V336" s="35" t="s">
        <v>268</v>
      </c>
      <c r="W336" s="41" t="s">
        <v>1551</v>
      </c>
      <c r="X336" s="41" t="s">
        <v>106</v>
      </c>
      <c r="Y336" s="41" t="s">
        <v>107</v>
      </c>
      <c r="Z336" s="13">
        <v>0</v>
      </c>
      <c r="AA336" s="13">
        <v>234</v>
      </c>
      <c r="AB336" s="13">
        <v>234</v>
      </c>
      <c r="AC336" s="13">
        <v>0</v>
      </c>
      <c r="AD336" s="40">
        <v>219</v>
      </c>
      <c r="AE336" s="40">
        <v>133</v>
      </c>
      <c r="AF336" s="40">
        <v>140</v>
      </c>
      <c r="AG336" s="40">
        <v>10</v>
      </c>
      <c r="AH336" s="13">
        <v>65</v>
      </c>
      <c r="AI336" s="40">
        <v>215</v>
      </c>
      <c r="AJ336" s="40">
        <v>25</v>
      </c>
      <c r="AK336" s="40">
        <v>0</v>
      </c>
      <c r="AL336" s="40">
        <v>0</v>
      </c>
      <c r="AM336" s="33" t="s">
        <v>158</v>
      </c>
      <c r="AN336" s="41" t="s">
        <v>1542</v>
      </c>
      <c r="AO336" s="43">
        <v>215</v>
      </c>
      <c r="AP336" s="13">
        <v>25</v>
      </c>
      <c r="AQ336" s="40"/>
      <c r="AR336" s="40"/>
      <c r="AS336" s="6"/>
      <c r="AT336" s="6"/>
      <c r="AU336" s="6"/>
      <c r="AV336" s="6"/>
      <c r="AW336" s="12" t="str">
        <f t="shared" si="11"/>
        <v/>
      </c>
      <c r="AX336" s="12" t="str">
        <f t="shared" si="12"/>
        <v/>
      </c>
      <c r="AY336" s="45"/>
    </row>
    <row r="337" spans="1:51" ht="20.100000000000001" customHeight="1" x14ac:dyDescent="0.2">
      <c r="A337" s="13">
        <v>331</v>
      </c>
      <c r="B337" s="40" t="s">
        <v>1552</v>
      </c>
      <c r="C337" s="40" t="s">
        <v>1553</v>
      </c>
      <c r="D337" s="41" t="s">
        <v>591</v>
      </c>
      <c r="E337" s="41" t="s">
        <v>9</v>
      </c>
      <c r="F337" s="41"/>
      <c r="G337" s="41"/>
      <c r="H337" s="13" t="s">
        <v>7</v>
      </c>
      <c r="I337" s="47" t="s">
        <v>158</v>
      </c>
      <c r="J337" s="13"/>
      <c r="K337" s="13"/>
      <c r="L337" s="13"/>
      <c r="M337" s="13"/>
      <c r="N337" s="13"/>
      <c r="O337" s="40" t="s">
        <v>67</v>
      </c>
      <c r="P337" s="41"/>
      <c r="Q337" s="41" t="s">
        <v>104</v>
      </c>
      <c r="R337" s="41" t="s">
        <v>1006</v>
      </c>
      <c r="S337" s="41" t="s">
        <v>106</v>
      </c>
      <c r="T337" s="13" t="s">
        <v>107</v>
      </c>
      <c r="U337" s="41"/>
      <c r="V337" s="41" t="s">
        <v>402</v>
      </c>
      <c r="W337" s="41" t="s">
        <v>1554</v>
      </c>
      <c r="X337" s="41" t="s">
        <v>73</v>
      </c>
      <c r="Y337" s="41" t="s">
        <v>70</v>
      </c>
      <c r="Z337" s="13"/>
      <c r="AA337" s="13">
        <v>205</v>
      </c>
      <c r="AB337" s="13">
        <v>205</v>
      </c>
      <c r="AC337" s="13">
        <v>192</v>
      </c>
      <c r="AD337" s="40">
        <v>192</v>
      </c>
      <c r="AE337" s="40">
        <v>146</v>
      </c>
      <c r="AF337" s="40">
        <v>190</v>
      </c>
      <c r="AG337" s="40">
        <v>10</v>
      </c>
      <c r="AH337" s="13">
        <v>32</v>
      </c>
      <c r="AI337" s="40">
        <v>239</v>
      </c>
      <c r="AJ337" s="40">
        <v>12</v>
      </c>
      <c r="AK337" s="40">
        <v>0</v>
      </c>
      <c r="AL337" s="40">
        <v>0</v>
      </c>
      <c r="AM337" s="47"/>
      <c r="AN337" s="41" t="s">
        <v>1542</v>
      </c>
      <c r="AO337" s="43">
        <v>239</v>
      </c>
      <c r="AP337" s="13">
        <v>12</v>
      </c>
      <c r="AQ337" s="40"/>
      <c r="AR337" s="40"/>
      <c r="AS337" s="6"/>
      <c r="AT337" s="6"/>
      <c r="AU337" s="6"/>
      <c r="AV337" s="6"/>
      <c r="AW337" s="12" t="str">
        <f t="shared" si="11"/>
        <v/>
      </c>
      <c r="AX337" s="12" t="str">
        <f t="shared" si="12"/>
        <v/>
      </c>
      <c r="AY337" s="45"/>
    </row>
    <row r="338" spans="1:51" ht="20.100000000000001" customHeight="1" x14ac:dyDescent="0.2">
      <c r="A338" s="13">
        <v>332</v>
      </c>
      <c r="B338" s="40" t="s">
        <v>1555</v>
      </c>
      <c r="C338" s="40" t="s">
        <v>1553</v>
      </c>
      <c r="D338" s="41" t="s">
        <v>1501</v>
      </c>
      <c r="E338" s="41" t="s">
        <v>10</v>
      </c>
      <c r="F338" s="41"/>
      <c r="G338" s="41"/>
      <c r="H338" s="13" t="s">
        <v>7</v>
      </c>
      <c r="I338" s="47" t="s">
        <v>158</v>
      </c>
      <c r="J338" s="13"/>
      <c r="K338" s="13"/>
      <c r="L338" s="13"/>
      <c r="M338" s="13"/>
      <c r="N338" s="13"/>
      <c r="O338" s="40" t="s">
        <v>93</v>
      </c>
      <c r="P338" s="35" t="s">
        <v>104</v>
      </c>
      <c r="Q338" s="35" t="s">
        <v>140</v>
      </c>
      <c r="R338" s="41" t="s">
        <v>1556</v>
      </c>
      <c r="S338" s="41" t="s">
        <v>106</v>
      </c>
      <c r="T338" s="13" t="s">
        <v>107</v>
      </c>
      <c r="U338" s="35" t="s">
        <v>402</v>
      </c>
      <c r="V338" s="35" t="s">
        <v>153</v>
      </c>
      <c r="W338" s="41" t="s">
        <v>1557</v>
      </c>
      <c r="X338" s="41" t="s">
        <v>73</v>
      </c>
      <c r="Y338" s="41" t="s">
        <v>70</v>
      </c>
      <c r="Z338" s="13">
        <v>0</v>
      </c>
      <c r="AA338" s="13">
        <v>224</v>
      </c>
      <c r="AB338" s="13">
        <v>221</v>
      </c>
      <c r="AC338" s="13">
        <v>210</v>
      </c>
      <c r="AD338" s="40">
        <v>210</v>
      </c>
      <c r="AE338" s="40">
        <v>120</v>
      </c>
      <c r="AF338" s="40">
        <v>132</v>
      </c>
      <c r="AG338" s="40">
        <v>13</v>
      </c>
      <c r="AH338" s="13">
        <v>28</v>
      </c>
      <c r="AI338" s="40">
        <v>173</v>
      </c>
      <c r="AJ338" s="40">
        <v>11</v>
      </c>
      <c r="AK338" s="40">
        <v>0</v>
      </c>
      <c r="AL338" s="40">
        <v>0</v>
      </c>
      <c r="AM338" s="33" t="s">
        <v>158</v>
      </c>
      <c r="AN338" s="41" t="s">
        <v>1550</v>
      </c>
      <c r="AO338" s="43">
        <v>173</v>
      </c>
      <c r="AP338" s="13">
        <v>11</v>
      </c>
      <c r="AQ338" s="40"/>
      <c r="AR338" s="40"/>
      <c r="AS338" s="6"/>
      <c r="AT338" s="6"/>
      <c r="AU338" s="6"/>
      <c r="AV338" s="6"/>
      <c r="AW338" s="12" t="str">
        <f t="shared" si="11"/>
        <v/>
      </c>
      <c r="AX338" s="12" t="str">
        <f t="shared" si="12"/>
        <v/>
      </c>
      <c r="AY338" s="45"/>
    </row>
    <row r="339" spans="1:51" ht="20.100000000000001" customHeight="1" x14ac:dyDescent="0.2">
      <c r="A339" s="13">
        <v>333</v>
      </c>
      <c r="B339" s="40" t="s">
        <v>1555</v>
      </c>
      <c r="C339" s="40" t="s">
        <v>1553</v>
      </c>
      <c r="D339" s="41" t="s">
        <v>1558</v>
      </c>
      <c r="E339" s="41" t="s">
        <v>19</v>
      </c>
      <c r="F339" s="41" t="s">
        <v>456</v>
      </c>
      <c r="G339" s="41"/>
      <c r="H339" s="13" t="s">
        <v>83</v>
      </c>
      <c r="I339" s="13"/>
      <c r="J339" s="13"/>
      <c r="K339" s="13"/>
      <c r="L339" s="13"/>
      <c r="M339" s="13"/>
      <c r="N339" s="13"/>
      <c r="O339" s="40" t="s">
        <v>67</v>
      </c>
      <c r="P339" s="41"/>
      <c r="Q339" s="41" t="s">
        <v>68</v>
      </c>
      <c r="R339" s="41"/>
      <c r="S339" s="41" t="s">
        <v>142</v>
      </c>
      <c r="T339" s="13" t="s">
        <v>70</v>
      </c>
      <c r="U339" s="41"/>
      <c r="V339" s="41" t="s">
        <v>332</v>
      </c>
      <c r="W339" s="41" t="s">
        <v>1559</v>
      </c>
      <c r="X339" s="41" t="s">
        <v>142</v>
      </c>
      <c r="Y339" s="41" t="s">
        <v>70</v>
      </c>
      <c r="Z339" s="13" t="s">
        <v>891</v>
      </c>
      <c r="AA339" s="13">
        <v>249</v>
      </c>
      <c r="AB339" s="13">
        <v>0</v>
      </c>
      <c r="AC339" s="13">
        <v>234</v>
      </c>
      <c r="AD339" s="40"/>
      <c r="AE339" s="40">
        <v>62</v>
      </c>
      <c r="AF339" s="40">
        <v>134</v>
      </c>
      <c r="AG339" s="40"/>
      <c r="AH339" s="13"/>
      <c r="AI339" s="40"/>
      <c r="AJ339" s="40"/>
      <c r="AK339" s="40"/>
      <c r="AL339" s="40"/>
      <c r="AM339" s="47"/>
      <c r="AN339" s="41" t="s">
        <v>1560</v>
      </c>
      <c r="AO339" s="41"/>
      <c r="AP339" s="13"/>
      <c r="AQ339" s="40"/>
      <c r="AR339" s="40"/>
      <c r="AS339" s="6" t="s">
        <v>115</v>
      </c>
      <c r="AT339" s="6" t="s">
        <v>266</v>
      </c>
      <c r="AU339" s="6" t="s">
        <v>123</v>
      </c>
      <c r="AV339" s="6" t="s">
        <v>148</v>
      </c>
      <c r="AW339" s="12">
        <f t="shared" si="11"/>
        <v>49</v>
      </c>
      <c r="AX339" s="12" t="str">
        <f t="shared" si="12"/>
        <v/>
      </c>
      <c r="AY339" s="45"/>
    </row>
    <row r="340" spans="1:51" ht="20.100000000000001" customHeight="1" x14ac:dyDescent="0.2">
      <c r="A340" s="13">
        <v>334</v>
      </c>
      <c r="B340" s="40" t="s">
        <v>1561</v>
      </c>
      <c r="C340" s="40" t="s">
        <v>1553</v>
      </c>
      <c r="D340" s="41" t="s">
        <v>1562</v>
      </c>
      <c r="E340" s="41" t="s">
        <v>6</v>
      </c>
      <c r="F340" s="41" t="s">
        <v>192</v>
      </c>
      <c r="G340" s="41"/>
      <c r="H340" s="13" t="s">
        <v>7</v>
      </c>
      <c r="I340" s="13"/>
      <c r="J340" s="13"/>
      <c r="K340" s="13"/>
      <c r="L340" s="13"/>
      <c r="M340" s="13"/>
      <c r="N340" s="13"/>
      <c r="O340" s="40" t="s">
        <v>93</v>
      </c>
      <c r="P340" s="41"/>
      <c r="Q340" s="41" t="s">
        <v>155</v>
      </c>
      <c r="R340" s="41" t="s">
        <v>1093</v>
      </c>
      <c r="S340" s="41" t="s">
        <v>106</v>
      </c>
      <c r="T340" s="13" t="s">
        <v>107</v>
      </c>
      <c r="U340" s="41"/>
      <c r="V340" s="41" t="s">
        <v>324</v>
      </c>
      <c r="W340" s="41" t="s">
        <v>1028</v>
      </c>
      <c r="X340" s="41" t="s">
        <v>106</v>
      </c>
      <c r="Y340" s="41" t="s">
        <v>107</v>
      </c>
      <c r="Z340" s="13"/>
      <c r="AA340" s="13">
        <v>240</v>
      </c>
      <c r="AB340" s="13">
        <v>240</v>
      </c>
      <c r="AC340" s="13">
        <v>0</v>
      </c>
      <c r="AD340" s="40">
        <v>222</v>
      </c>
      <c r="AE340" s="40">
        <v>132</v>
      </c>
      <c r="AF340" s="40">
        <v>141</v>
      </c>
      <c r="AG340" s="40">
        <v>10</v>
      </c>
      <c r="AH340" s="13">
        <v>20</v>
      </c>
      <c r="AI340" s="40">
        <v>171</v>
      </c>
      <c r="AJ340" s="40">
        <v>25</v>
      </c>
      <c r="AK340" s="40">
        <v>0</v>
      </c>
      <c r="AL340" s="40">
        <v>0</v>
      </c>
      <c r="AM340" s="47"/>
      <c r="AN340" s="41" t="s">
        <v>1555</v>
      </c>
      <c r="AO340" s="43">
        <v>171</v>
      </c>
      <c r="AP340" s="13">
        <v>25</v>
      </c>
      <c r="AQ340" s="40"/>
      <c r="AR340" s="40"/>
      <c r="AS340" s="6"/>
      <c r="AT340" s="6"/>
      <c r="AU340" s="6"/>
      <c r="AV340" s="6"/>
      <c r="AW340" s="12" t="str">
        <f t="shared" si="11"/>
        <v/>
      </c>
      <c r="AX340" s="12" t="str">
        <f t="shared" si="12"/>
        <v/>
      </c>
      <c r="AY340" s="45"/>
    </row>
    <row r="341" spans="1:51" ht="20.100000000000001" customHeight="1" x14ac:dyDescent="0.2">
      <c r="A341" s="13">
        <v>335</v>
      </c>
      <c r="B341" s="40" t="s">
        <v>1561</v>
      </c>
      <c r="C341" s="40" t="s">
        <v>1553</v>
      </c>
      <c r="D341" s="41" t="s">
        <v>1563</v>
      </c>
      <c r="E341" s="41" t="s">
        <v>10</v>
      </c>
      <c r="F341" s="41" t="s">
        <v>192</v>
      </c>
      <c r="G341" s="41"/>
      <c r="H341" s="13" t="s">
        <v>7</v>
      </c>
      <c r="I341" s="13"/>
      <c r="J341" s="13"/>
      <c r="K341" s="13"/>
      <c r="L341" s="13"/>
      <c r="M341" s="13"/>
      <c r="N341" s="13"/>
      <c r="O341" s="40" t="s">
        <v>67</v>
      </c>
      <c r="P341" s="41"/>
      <c r="Q341" s="41" t="s">
        <v>334</v>
      </c>
      <c r="R341" s="41" t="s">
        <v>1564</v>
      </c>
      <c r="S341" s="41" t="s">
        <v>106</v>
      </c>
      <c r="T341" s="13" t="s">
        <v>107</v>
      </c>
      <c r="U341" s="41"/>
      <c r="V341" s="41" t="s">
        <v>991</v>
      </c>
      <c r="W341" s="41" t="s">
        <v>1565</v>
      </c>
      <c r="X341" s="41" t="s">
        <v>73</v>
      </c>
      <c r="Y341" s="41" t="s">
        <v>70</v>
      </c>
      <c r="Z341" s="13"/>
      <c r="AA341" s="13">
        <v>182.5</v>
      </c>
      <c r="AB341" s="13">
        <v>182.5</v>
      </c>
      <c r="AC341" s="13"/>
      <c r="AD341" s="40">
        <v>174</v>
      </c>
      <c r="AE341" s="40">
        <v>118</v>
      </c>
      <c r="AF341" s="40">
        <v>138</v>
      </c>
      <c r="AG341" s="40">
        <v>10</v>
      </c>
      <c r="AH341" s="13">
        <v>26</v>
      </c>
      <c r="AI341" s="40">
        <v>174</v>
      </c>
      <c r="AJ341" s="40">
        <v>8</v>
      </c>
      <c r="AK341" s="40">
        <v>0</v>
      </c>
      <c r="AL341" s="40">
        <v>0</v>
      </c>
      <c r="AM341" s="47"/>
      <c r="AN341" s="41" t="s">
        <v>1555</v>
      </c>
      <c r="AO341" s="43">
        <v>174</v>
      </c>
      <c r="AP341" s="13">
        <v>8</v>
      </c>
      <c r="AQ341" s="40"/>
      <c r="AR341" s="40"/>
      <c r="AS341" s="6"/>
      <c r="AT341" s="6"/>
      <c r="AU341" s="6"/>
      <c r="AV341" s="6"/>
      <c r="AW341" s="12" t="str">
        <f t="shared" si="11"/>
        <v/>
      </c>
      <c r="AX341" s="12" t="str">
        <f t="shared" si="12"/>
        <v/>
      </c>
      <c r="AY341" s="45"/>
    </row>
    <row r="342" spans="1:51" ht="20.100000000000001" customHeight="1" x14ac:dyDescent="0.2">
      <c r="A342" s="13">
        <v>336</v>
      </c>
      <c r="B342" s="40" t="s">
        <v>1566</v>
      </c>
      <c r="C342" s="40" t="s">
        <v>1553</v>
      </c>
      <c r="D342" s="41" t="s">
        <v>1418</v>
      </c>
      <c r="E342" s="41" t="s">
        <v>8</v>
      </c>
      <c r="F342" s="41"/>
      <c r="G342" s="41"/>
      <c r="H342" s="13" t="s">
        <v>7</v>
      </c>
      <c r="I342" s="47" t="s">
        <v>158</v>
      </c>
      <c r="J342" s="13"/>
      <c r="K342" s="13"/>
      <c r="L342" s="13"/>
      <c r="M342" s="13"/>
      <c r="N342" s="13"/>
      <c r="O342" s="40" t="s">
        <v>67</v>
      </c>
      <c r="P342" s="35"/>
      <c r="Q342" s="35" t="s">
        <v>140</v>
      </c>
      <c r="R342" s="41" t="s">
        <v>1393</v>
      </c>
      <c r="S342" s="41" t="s">
        <v>106</v>
      </c>
      <c r="T342" s="13" t="s">
        <v>107</v>
      </c>
      <c r="U342" s="35" t="s">
        <v>204</v>
      </c>
      <c r="V342" s="35" t="s">
        <v>153</v>
      </c>
      <c r="W342" s="41" t="s">
        <v>1567</v>
      </c>
      <c r="X342" s="41" t="s">
        <v>73</v>
      </c>
      <c r="Y342" s="41" t="s">
        <v>70</v>
      </c>
      <c r="Z342" s="13"/>
      <c r="AA342" s="13">
        <v>202</v>
      </c>
      <c r="AB342" s="13">
        <v>202</v>
      </c>
      <c r="AC342" s="13">
        <v>192</v>
      </c>
      <c r="AD342" s="40">
        <v>192</v>
      </c>
      <c r="AE342" s="40">
        <v>48</v>
      </c>
      <c r="AF342" s="40">
        <v>177</v>
      </c>
      <c r="AG342" s="40">
        <v>5</v>
      </c>
      <c r="AH342" s="13">
        <v>65</v>
      </c>
      <c r="AI342" s="40">
        <v>260</v>
      </c>
      <c r="AJ342" s="40">
        <v>7</v>
      </c>
      <c r="AK342" s="40">
        <v>0</v>
      </c>
      <c r="AL342" s="40">
        <v>0</v>
      </c>
      <c r="AM342" s="33" t="s">
        <v>158</v>
      </c>
      <c r="AN342" s="41" t="s">
        <v>1568</v>
      </c>
      <c r="AO342" s="43">
        <v>260</v>
      </c>
      <c r="AP342" s="13">
        <v>7</v>
      </c>
      <c r="AQ342" s="40"/>
      <c r="AR342" s="40"/>
      <c r="AS342" s="6"/>
      <c r="AT342" s="6"/>
      <c r="AU342" s="6"/>
      <c r="AV342" s="6"/>
      <c r="AW342" s="12" t="str">
        <f t="shared" si="11"/>
        <v/>
      </c>
      <c r="AX342" s="12" t="str">
        <f t="shared" si="12"/>
        <v/>
      </c>
      <c r="AY342" s="45"/>
    </row>
    <row r="343" spans="1:51" ht="20.100000000000001" customHeight="1" x14ac:dyDescent="0.2">
      <c r="A343" s="13">
        <v>337</v>
      </c>
      <c r="B343" s="40" t="s">
        <v>1569</v>
      </c>
      <c r="C343" s="40" t="s">
        <v>1553</v>
      </c>
      <c r="D343" s="41" t="s">
        <v>897</v>
      </c>
      <c r="E343" s="41" t="s">
        <v>19</v>
      </c>
      <c r="F343" s="41"/>
      <c r="G343" s="41"/>
      <c r="H343" s="13" t="s">
        <v>7</v>
      </c>
      <c r="I343" s="47" t="s">
        <v>158</v>
      </c>
      <c r="J343" s="13"/>
      <c r="K343" s="13"/>
      <c r="L343" s="13"/>
      <c r="M343" s="13"/>
      <c r="N343" s="13"/>
      <c r="O343" s="40" t="s">
        <v>92</v>
      </c>
      <c r="P343" s="41" t="s">
        <v>223</v>
      </c>
      <c r="Q343" s="41" t="s">
        <v>223</v>
      </c>
      <c r="R343" s="41" t="s">
        <v>1570</v>
      </c>
      <c r="S343" s="41" t="s">
        <v>73</v>
      </c>
      <c r="T343" s="13" t="s">
        <v>107</v>
      </c>
      <c r="U343" s="41" t="s">
        <v>230</v>
      </c>
      <c r="V343" s="41" t="s">
        <v>230</v>
      </c>
      <c r="W343" s="41" t="s">
        <v>1571</v>
      </c>
      <c r="X343" s="41" t="s">
        <v>106</v>
      </c>
      <c r="Y343" s="41" t="s">
        <v>107</v>
      </c>
      <c r="Z343" s="13">
        <v>0</v>
      </c>
      <c r="AA343" s="13">
        <v>235</v>
      </c>
      <c r="AB343" s="13">
        <v>235</v>
      </c>
      <c r="AC343" s="13">
        <v>216</v>
      </c>
      <c r="AD343" s="40">
        <v>216</v>
      </c>
      <c r="AE343" s="40">
        <v>75</v>
      </c>
      <c r="AF343" s="40">
        <v>77</v>
      </c>
      <c r="AG343" s="40">
        <v>35</v>
      </c>
      <c r="AH343" s="13">
        <v>30</v>
      </c>
      <c r="AI343" s="40">
        <v>142</v>
      </c>
      <c r="AJ343" s="40">
        <v>9</v>
      </c>
      <c r="AK343" s="40">
        <v>0</v>
      </c>
      <c r="AL343" s="40">
        <v>0</v>
      </c>
      <c r="AM343" s="47"/>
      <c r="AN343" s="41" t="s">
        <v>1566</v>
      </c>
      <c r="AO343" s="43">
        <v>142</v>
      </c>
      <c r="AP343" s="13">
        <v>8</v>
      </c>
      <c r="AQ343" s="40"/>
      <c r="AR343" s="40"/>
      <c r="AS343" s="6"/>
      <c r="AT343" s="6"/>
      <c r="AU343" s="6"/>
      <c r="AV343" s="6"/>
      <c r="AW343" s="12" t="str">
        <f t="shared" si="11"/>
        <v/>
      </c>
      <c r="AX343" s="12" t="str">
        <f t="shared" si="12"/>
        <v/>
      </c>
      <c r="AY343" s="45"/>
    </row>
    <row r="344" spans="1:51" ht="20.100000000000001" customHeight="1" x14ac:dyDescent="0.2">
      <c r="A344" s="13">
        <v>338</v>
      </c>
      <c r="B344" s="40" t="s">
        <v>1569</v>
      </c>
      <c r="C344" s="40" t="s">
        <v>1553</v>
      </c>
      <c r="D344" s="41" t="s">
        <v>1384</v>
      </c>
      <c r="E344" s="41" t="s">
        <v>8</v>
      </c>
      <c r="F344" s="41"/>
      <c r="G344" s="41"/>
      <c r="H344" s="13" t="s">
        <v>7</v>
      </c>
      <c r="I344" s="47" t="s">
        <v>158</v>
      </c>
      <c r="J344" s="13"/>
      <c r="K344" s="13"/>
      <c r="L344" s="13"/>
      <c r="M344" s="13"/>
      <c r="N344" s="13"/>
      <c r="O344" s="40" t="s">
        <v>67</v>
      </c>
      <c r="P344" s="35" t="s">
        <v>117</v>
      </c>
      <c r="Q344" s="35" t="s">
        <v>141</v>
      </c>
      <c r="R344" s="41" t="s">
        <v>1572</v>
      </c>
      <c r="S344" s="41" t="s">
        <v>106</v>
      </c>
      <c r="T344" s="13" t="s">
        <v>107</v>
      </c>
      <c r="U344" s="35" t="s">
        <v>120</v>
      </c>
      <c r="V344" s="35" t="s">
        <v>1478</v>
      </c>
      <c r="W344" s="41" t="s">
        <v>1034</v>
      </c>
      <c r="X344" s="41" t="s">
        <v>106</v>
      </c>
      <c r="Y344" s="41" t="s">
        <v>107</v>
      </c>
      <c r="Z344" s="13">
        <v>0</v>
      </c>
      <c r="AA344" s="13">
        <v>108</v>
      </c>
      <c r="AB344" s="13">
        <v>108</v>
      </c>
      <c r="AC344" s="13">
        <v>96</v>
      </c>
      <c r="AD344" s="40">
        <v>96</v>
      </c>
      <c r="AE344" s="40">
        <v>50</v>
      </c>
      <c r="AF344" s="40">
        <v>86</v>
      </c>
      <c r="AG344" s="40">
        <v>8</v>
      </c>
      <c r="AH344" s="13">
        <v>70</v>
      </c>
      <c r="AI344" s="40">
        <v>164</v>
      </c>
      <c r="AJ344" s="40">
        <v>10</v>
      </c>
      <c r="AK344" s="40"/>
      <c r="AL344" s="40"/>
      <c r="AM344" s="33" t="s">
        <v>158</v>
      </c>
      <c r="AN344" s="41" t="s">
        <v>1568</v>
      </c>
      <c r="AO344" s="43">
        <v>164</v>
      </c>
      <c r="AP344" s="13">
        <v>10</v>
      </c>
      <c r="AQ344" s="40"/>
      <c r="AR344" s="40"/>
      <c r="AS344" s="6"/>
      <c r="AT344" s="6"/>
      <c r="AU344" s="6"/>
      <c r="AV344" s="6"/>
      <c r="AW344" s="12" t="str">
        <f t="shared" si="11"/>
        <v/>
      </c>
      <c r="AX344" s="12" t="str">
        <f t="shared" si="12"/>
        <v/>
      </c>
      <c r="AY344" s="45"/>
    </row>
    <row r="345" spans="1:51" ht="20.100000000000001" customHeight="1" x14ac:dyDescent="0.2">
      <c r="A345" s="13">
        <v>339</v>
      </c>
      <c r="B345" s="40" t="s">
        <v>1573</v>
      </c>
      <c r="C345" s="40" t="s">
        <v>1553</v>
      </c>
      <c r="D345" s="41" t="s">
        <v>1543</v>
      </c>
      <c r="E345" s="41" t="s">
        <v>6</v>
      </c>
      <c r="F345" s="41"/>
      <c r="G345" s="41"/>
      <c r="H345" s="13" t="s">
        <v>7</v>
      </c>
      <c r="I345" s="47" t="s">
        <v>158</v>
      </c>
      <c r="J345" s="13"/>
      <c r="K345" s="13"/>
      <c r="L345" s="13"/>
      <c r="M345" s="13"/>
      <c r="N345" s="13"/>
      <c r="O345" s="40" t="s">
        <v>67</v>
      </c>
      <c r="P345" s="41" t="s">
        <v>155</v>
      </c>
      <c r="Q345" s="41" t="s">
        <v>155</v>
      </c>
      <c r="R345" s="41" t="s">
        <v>1574</v>
      </c>
      <c r="S345" s="41" t="s">
        <v>106</v>
      </c>
      <c r="T345" s="13" t="s">
        <v>107</v>
      </c>
      <c r="U345" s="35" t="s">
        <v>167</v>
      </c>
      <c r="V345" s="35" t="s">
        <v>324</v>
      </c>
      <c r="W345" s="41" t="s">
        <v>1575</v>
      </c>
      <c r="X345" s="41" t="s">
        <v>106</v>
      </c>
      <c r="Y345" s="41" t="s">
        <v>107</v>
      </c>
      <c r="Z345" s="13">
        <v>0</v>
      </c>
      <c r="AA345" s="13">
        <v>180</v>
      </c>
      <c r="AB345" s="13">
        <v>180</v>
      </c>
      <c r="AC345" s="13">
        <v>162</v>
      </c>
      <c r="AD345" s="40">
        <v>162</v>
      </c>
      <c r="AE345" s="40">
        <v>76</v>
      </c>
      <c r="AF345" s="40">
        <v>105</v>
      </c>
      <c r="AG345" s="40">
        <v>8</v>
      </c>
      <c r="AH345" s="13">
        <v>60</v>
      </c>
      <c r="AI345" s="40">
        <v>173</v>
      </c>
      <c r="AJ345" s="40">
        <v>25</v>
      </c>
      <c r="AK345" s="40"/>
      <c r="AL345" s="40"/>
      <c r="AM345" s="33" t="s">
        <v>158</v>
      </c>
      <c r="AN345" s="41" t="s">
        <v>1566</v>
      </c>
      <c r="AO345" s="43">
        <v>173</v>
      </c>
      <c r="AP345" s="13">
        <v>25</v>
      </c>
      <c r="AQ345" s="40"/>
      <c r="AR345" s="40"/>
      <c r="AS345" s="6"/>
      <c r="AT345" s="6"/>
      <c r="AU345" s="6"/>
      <c r="AV345" s="6"/>
      <c r="AW345" s="12" t="str">
        <f t="shared" si="11"/>
        <v/>
      </c>
      <c r="AX345" s="12" t="str">
        <f t="shared" si="12"/>
        <v/>
      </c>
      <c r="AY345" s="45"/>
    </row>
    <row r="346" spans="1:51" s="21" customFormat="1" ht="20.100000000000001" customHeight="1" x14ac:dyDescent="0.2">
      <c r="A346" s="13">
        <v>340</v>
      </c>
      <c r="B346" s="29" t="s">
        <v>1573</v>
      </c>
      <c r="C346" s="29" t="s">
        <v>1553</v>
      </c>
      <c r="D346" s="30" t="s">
        <v>1576</v>
      </c>
      <c r="E346" s="30" t="s">
        <v>9</v>
      </c>
      <c r="F346" s="30" t="s">
        <v>605</v>
      </c>
      <c r="G346" s="30" t="s">
        <v>1577</v>
      </c>
      <c r="H346" s="20" t="s">
        <v>83</v>
      </c>
      <c r="I346" s="20"/>
      <c r="J346" s="20"/>
      <c r="K346" s="20"/>
      <c r="L346" s="20"/>
      <c r="M346" s="20"/>
      <c r="N346" s="20"/>
      <c r="O346" s="29" t="s">
        <v>92</v>
      </c>
      <c r="P346" s="30"/>
      <c r="Q346" s="30" t="s">
        <v>117</v>
      </c>
      <c r="R346" s="30" t="s">
        <v>1578</v>
      </c>
      <c r="S346" s="30" t="s">
        <v>262</v>
      </c>
      <c r="T346" s="20" t="s">
        <v>70</v>
      </c>
      <c r="U346" s="30"/>
      <c r="V346" s="30" t="s">
        <v>402</v>
      </c>
      <c r="W346" s="30" t="s">
        <v>1579</v>
      </c>
      <c r="X346" s="30" t="s">
        <v>142</v>
      </c>
      <c r="Y346" s="30" t="s">
        <v>70</v>
      </c>
      <c r="Z346" s="20" t="s">
        <v>1580</v>
      </c>
      <c r="AA346" s="20"/>
      <c r="AB346" s="20">
        <v>240</v>
      </c>
      <c r="AC346" s="20">
        <v>234</v>
      </c>
      <c r="AD346" s="29"/>
      <c r="AE346" s="29"/>
      <c r="AF346" s="29"/>
      <c r="AG346" s="29"/>
      <c r="AH346" s="20"/>
      <c r="AI346" s="29"/>
      <c r="AJ346" s="29"/>
      <c r="AK346" s="29"/>
      <c r="AL346" s="29"/>
      <c r="AM346" s="39"/>
      <c r="AN346" s="30" t="s">
        <v>1387</v>
      </c>
      <c r="AO346" s="36">
        <v>182</v>
      </c>
      <c r="AP346" s="20">
        <v>14</v>
      </c>
      <c r="AQ346" s="29"/>
      <c r="AR346" s="29"/>
      <c r="AS346" s="30" t="s">
        <v>115</v>
      </c>
      <c r="AT346" s="30" t="s">
        <v>266</v>
      </c>
      <c r="AU346" s="30" t="s">
        <v>348</v>
      </c>
      <c r="AV346" s="30" t="s">
        <v>1581</v>
      </c>
      <c r="AW346" s="31">
        <f t="shared" si="11"/>
        <v>28</v>
      </c>
      <c r="AX346" s="31" t="str">
        <f t="shared" si="12"/>
        <v/>
      </c>
      <c r="AY346" s="32" t="s">
        <v>1582</v>
      </c>
    </row>
    <row r="347" spans="1:51" ht="20.100000000000001" customHeight="1" x14ac:dyDescent="0.2">
      <c r="A347" s="13">
        <v>341</v>
      </c>
      <c r="B347" s="40" t="s">
        <v>1583</v>
      </c>
      <c r="C347" s="40" t="s">
        <v>1553</v>
      </c>
      <c r="D347" s="41" t="s">
        <v>1148</v>
      </c>
      <c r="E347" s="41" t="s">
        <v>10</v>
      </c>
      <c r="F347" s="41"/>
      <c r="G347" s="41"/>
      <c r="H347" s="13" t="s">
        <v>7</v>
      </c>
      <c r="I347" s="47" t="s">
        <v>158</v>
      </c>
      <c r="J347" s="13"/>
      <c r="K347" s="13"/>
      <c r="L347" s="13"/>
      <c r="M347" s="13"/>
      <c r="N347" s="13"/>
      <c r="O347" s="40" t="s">
        <v>67</v>
      </c>
      <c r="P347" s="35" t="s">
        <v>218</v>
      </c>
      <c r="Q347" s="35" t="s">
        <v>68</v>
      </c>
      <c r="R347" s="41" t="s">
        <v>1584</v>
      </c>
      <c r="S347" s="41" t="s">
        <v>262</v>
      </c>
      <c r="T347" s="13" t="s">
        <v>70</v>
      </c>
      <c r="U347" s="35" t="s">
        <v>268</v>
      </c>
      <c r="V347" s="35" t="s">
        <v>263</v>
      </c>
      <c r="W347" s="41" t="s">
        <v>1585</v>
      </c>
      <c r="X347" s="41" t="s">
        <v>69</v>
      </c>
      <c r="Y347" s="41" t="s">
        <v>70</v>
      </c>
      <c r="Z347" s="13">
        <v>0</v>
      </c>
      <c r="AA347" s="13">
        <v>244</v>
      </c>
      <c r="AB347" s="13">
        <v>244</v>
      </c>
      <c r="AC347" s="33">
        <v>231</v>
      </c>
      <c r="AD347" s="34">
        <v>228</v>
      </c>
      <c r="AE347" s="40">
        <v>128</v>
      </c>
      <c r="AF347" s="40">
        <v>162</v>
      </c>
      <c r="AG347" s="40">
        <v>5</v>
      </c>
      <c r="AH347" s="13">
        <v>50</v>
      </c>
      <c r="AI347" s="40">
        <v>218</v>
      </c>
      <c r="AJ347" s="40">
        <v>18</v>
      </c>
      <c r="AK347" s="40"/>
      <c r="AL347" s="40"/>
      <c r="AM347" s="33" t="s">
        <v>158</v>
      </c>
      <c r="AN347" s="41" t="s">
        <v>1573</v>
      </c>
      <c r="AO347" s="43">
        <v>218</v>
      </c>
      <c r="AP347" s="13">
        <v>18</v>
      </c>
      <c r="AQ347" s="40"/>
      <c r="AR347" s="40"/>
      <c r="AS347" s="6"/>
      <c r="AT347" s="6"/>
      <c r="AU347" s="6"/>
      <c r="AV347" s="6"/>
      <c r="AW347" s="12" t="str">
        <f t="shared" si="11"/>
        <v/>
      </c>
      <c r="AX347" s="12" t="str">
        <f t="shared" si="12"/>
        <v/>
      </c>
      <c r="AY347" s="45"/>
    </row>
    <row r="348" spans="1:51" ht="20.100000000000001" customHeight="1" x14ac:dyDescent="0.2">
      <c r="A348" s="13">
        <v>342</v>
      </c>
      <c r="B348" s="40" t="s">
        <v>1583</v>
      </c>
      <c r="C348" s="40" t="s">
        <v>1553</v>
      </c>
      <c r="D348" s="41" t="s">
        <v>1586</v>
      </c>
      <c r="E348" s="41" t="s">
        <v>9</v>
      </c>
      <c r="F348" s="41" t="s">
        <v>222</v>
      </c>
      <c r="G348" s="41" t="s">
        <v>1587</v>
      </c>
      <c r="H348" s="13" t="s">
        <v>83</v>
      </c>
      <c r="I348" s="13"/>
      <c r="J348" s="13"/>
      <c r="K348" s="13"/>
      <c r="L348" s="13"/>
      <c r="M348" s="13"/>
      <c r="N348" s="13"/>
      <c r="O348" s="40" t="s">
        <v>92</v>
      </c>
      <c r="P348" s="41"/>
      <c r="Q348" s="41" t="s">
        <v>104</v>
      </c>
      <c r="R348" s="41" t="s">
        <v>1588</v>
      </c>
      <c r="S348" s="41" t="s">
        <v>119</v>
      </c>
      <c r="T348" s="13" t="s">
        <v>107</v>
      </c>
      <c r="U348" s="41"/>
      <c r="V348" s="41" t="s">
        <v>1589</v>
      </c>
      <c r="W348" s="41" t="s">
        <v>1590</v>
      </c>
      <c r="X348" s="41" t="s">
        <v>69</v>
      </c>
      <c r="Y348" s="41" t="s">
        <v>70</v>
      </c>
      <c r="Z348" s="13" t="s">
        <v>1591</v>
      </c>
      <c r="AA348" s="13"/>
      <c r="AB348" s="13">
        <v>204</v>
      </c>
      <c r="AC348" s="13">
        <v>186</v>
      </c>
      <c r="AD348" s="40"/>
      <c r="AE348" s="40"/>
      <c r="AF348" s="40"/>
      <c r="AG348" s="40"/>
      <c r="AH348" s="13"/>
      <c r="AI348" s="40"/>
      <c r="AJ348" s="40"/>
      <c r="AK348" s="40"/>
      <c r="AL348" s="40"/>
      <c r="AM348" s="47"/>
      <c r="AN348" s="41" t="s">
        <v>1592</v>
      </c>
      <c r="AO348" s="41"/>
      <c r="AP348" s="13"/>
      <c r="AQ348" s="40"/>
      <c r="AR348" s="40"/>
      <c r="AS348" s="6" t="s">
        <v>115</v>
      </c>
      <c r="AT348" s="6" t="s">
        <v>266</v>
      </c>
      <c r="AU348" s="6" t="s">
        <v>208</v>
      </c>
      <c r="AV348" s="6" t="s">
        <v>235</v>
      </c>
      <c r="AW348" s="12">
        <f t="shared" si="11"/>
        <v>30</v>
      </c>
      <c r="AX348" s="12" t="str">
        <f t="shared" si="12"/>
        <v/>
      </c>
      <c r="AY348" s="45"/>
    </row>
    <row r="349" spans="1:51" ht="20.100000000000001" customHeight="1" x14ac:dyDescent="0.2">
      <c r="A349" s="13">
        <v>343</v>
      </c>
      <c r="B349" s="40" t="s">
        <v>1583</v>
      </c>
      <c r="C349" s="40" t="s">
        <v>1553</v>
      </c>
      <c r="D349" s="41" t="s">
        <v>1593</v>
      </c>
      <c r="E349" s="41" t="s">
        <v>66</v>
      </c>
      <c r="F349" s="41"/>
      <c r="G349" s="41"/>
      <c r="H349" s="13" t="s">
        <v>7</v>
      </c>
      <c r="I349" s="47" t="s">
        <v>158</v>
      </c>
      <c r="J349" s="13"/>
      <c r="K349" s="13"/>
      <c r="L349" s="13"/>
      <c r="M349" s="13"/>
      <c r="N349" s="13"/>
      <c r="O349" s="40" t="s">
        <v>93</v>
      </c>
      <c r="P349" s="41"/>
      <c r="Q349" s="41" t="s">
        <v>68</v>
      </c>
      <c r="R349" s="41"/>
      <c r="S349" s="41" t="s">
        <v>69</v>
      </c>
      <c r="T349" s="13" t="s">
        <v>70</v>
      </c>
      <c r="U349" s="41"/>
      <c r="V349" s="41" t="s">
        <v>1594</v>
      </c>
      <c r="W349" s="41"/>
      <c r="X349" s="41" t="s">
        <v>73</v>
      </c>
      <c r="Y349" s="41" t="s">
        <v>70</v>
      </c>
      <c r="Z349" s="13">
        <v>0</v>
      </c>
      <c r="AA349" s="13"/>
      <c r="AB349" s="13"/>
      <c r="AC349" s="13"/>
      <c r="AD349" s="40">
        <v>282</v>
      </c>
      <c r="AE349" s="40"/>
      <c r="AF349" s="40"/>
      <c r="AG349" s="40"/>
      <c r="AH349" s="13"/>
      <c r="AI349" s="40"/>
      <c r="AJ349" s="40"/>
      <c r="AK349" s="40"/>
      <c r="AL349" s="40"/>
      <c r="AM349" s="47"/>
      <c r="AN349" s="41"/>
      <c r="AO349" s="41"/>
      <c r="AP349" s="13"/>
      <c r="AQ349" s="40"/>
      <c r="AR349" s="40"/>
      <c r="AS349" s="6"/>
      <c r="AT349" s="6"/>
      <c r="AU349" s="6"/>
      <c r="AV349" s="6"/>
      <c r="AW349" s="12" t="str">
        <f t="shared" si="11"/>
        <v/>
      </c>
      <c r="AX349" s="12" t="str">
        <f t="shared" si="12"/>
        <v/>
      </c>
      <c r="AY349" s="45" t="s">
        <v>1595</v>
      </c>
    </row>
    <row r="350" spans="1:51" s="21" customFormat="1" ht="20.100000000000001" customHeight="1" x14ac:dyDescent="0.2">
      <c r="A350" s="13">
        <v>344</v>
      </c>
      <c r="B350" s="29" t="s">
        <v>1596</v>
      </c>
      <c r="C350" s="29" t="s">
        <v>1553</v>
      </c>
      <c r="D350" s="30" t="s">
        <v>1118</v>
      </c>
      <c r="E350" s="30" t="s">
        <v>10</v>
      </c>
      <c r="F350" s="30" t="s">
        <v>174</v>
      </c>
      <c r="G350" s="37" t="s">
        <v>1597</v>
      </c>
      <c r="H350" s="20" t="s">
        <v>83</v>
      </c>
      <c r="I350" s="20"/>
      <c r="J350" s="20"/>
      <c r="K350" s="20"/>
      <c r="L350" s="20"/>
      <c r="M350" s="20"/>
      <c r="N350" s="20"/>
      <c r="O350" s="29" t="s">
        <v>92</v>
      </c>
      <c r="P350" s="30"/>
      <c r="Q350" s="30" t="s">
        <v>68</v>
      </c>
      <c r="R350" s="30" t="s">
        <v>673</v>
      </c>
      <c r="S350" s="30" t="s">
        <v>106</v>
      </c>
      <c r="T350" s="20" t="s">
        <v>107</v>
      </c>
      <c r="U350" s="30"/>
      <c r="V350" s="30" t="s">
        <v>263</v>
      </c>
      <c r="W350" s="30" t="s">
        <v>1139</v>
      </c>
      <c r="X350" s="30" t="s">
        <v>142</v>
      </c>
      <c r="Y350" s="30" t="s">
        <v>70</v>
      </c>
      <c r="Z350" s="20" t="s">
        <v>1133</v>
      </c>
      <c r="AA350" s="20"/>
      <c r="AB350" s="20">
        <v>216</v>
      </c>
      <c r="AC350" s="20">
        <v>168</v>
      </c>
      <c r="AD350" s="29"/>
      <c r="AE350" s="29"/>
      <c r="AF350" s="29"/>
      <c r="AG350" s="29"/>
      <c r="AH350" s="20"/>
      <c r="AI350" s="29"/>
      <c r="AJ350" s="29"/>
      <c r="AK350" s="29"/>
      <c r="AL350" s="29"/>
      <c r="AM350" s="39"/>
      <c r="AN350" s="30" t="s">
        <v>1123</v>
      </c>
      <c r="AO350" s="36">
        <v>194</v>
      </c>
      <c r="AP350" s="20">
        <v>22</v>
      </c>
      <c r="AQ350" s="29"/>
      <c r="AR350" s="29"/>
      <c r="AS350" s="30" t="s">
        <v>115</v>
      </c>
      <c r="AT350" s="30" t="s">
        <v>266</v>
      </c>
      <c r="AU350" s="30" t="s">
        <v>115</v>
      </c>
      <c r="AV350" s="30" t="s">
        <v>137</v>
      </c>
      <c r="AW350" s="31">
        <f t="shared" si="11"/>
        <v>3</v>
      </c>
      <c r="AX350" s="31">
        <f t="shared" si="12"/>
        <v>3</v>
      </c>
      <c r="AY350" s="32" t="s">
        <v>1598</v>
      </c>
    </row>
    <row r="351" spans="1:51" ht="20.100000000000001" customHeight="1" x14ac:dyDescent="0.2">
      <c r="A351" s="13">
        <v>345</v>
      </c>
      <c r="B351" s="40" t="s">
        <v>1596</v>
      </c>
      <c r="C351" s="40" t="s">
        <v>1553</v>
      </c>
      <c r="D351" s="41" t="s">
        <v>286</v>
      </c>
      <c r="E351" s="41" t="s">
        <v>9</v>
      </c>
      <c r="F351" s="41"/>
      <c r="G351" s="41"/>
      <c r="H351" s="13" t="s">
        <v>7</v>
      </c>
      <c r="I351" s="47" t="s">
        <v>158</v>
      </c>
      <c r="J351" s="13"/>
      <c r="K351" s="13"/>
      <c r="L351" s="13"/>
      <c r="M351" s="13"/>
      <c r="N351" s="13"/>
      <c r="O351" s="40" t="s">
        <v>67</v>
      </c>
      <c r="P351" s="35" t="s">
        <v>68</v>
      </c>
      <c r="Q351" s="35" t="s">
        <v>223</v>
      </c>
      <c r="R351" s="41"/>
      <c r="S351" s="41" t="s">
        <v>106</v>
      </c>
      <c r="T351" s="13" t="s">
        <v>107</v>
      </c>
      <c r="U351" s="35" t="s">
        <v>263</v>
      </c>
      <c r="V351" s="35" t="s">
        <v>298</v>
      </c>
      <c r="W351" s="41" t="s">
        <v>299</v>
      </c>
      <c r="X351" s="41" t="s">
        <v>69</v>
      </c>
      <c r="Y351" s="41" t="s">
        <v>70</v>
      </c>
      <c r="Z351" s="13">
        <v>0</v>
      </c>
      <c r="AA351" s="13"/>
      <c r="AB351" s="13">
        <v>202</v>
      </c>
      <c r="AC351" s="33">
        <v>186</v>
      </c>
      <c r="AD351" s="34">
        <v>192</v>
      </c>
      <c r="AE351" s="40">
        <v>166</v>
      </c>
      <c r="AF351" s="40">
        <v>185</v>
      </c>
      <c r="AG351" s="40">
        <v>7</v>
      </c>
      <c r="AH351" s="13">
        <v>45</v>
      </c>
      <c r="AI351" s="40">
        <v>237</v>
      </c>
      <c r="AJ351" s="40">
        <v>4</v>
      </c>
      <c r="AK351" s="40"/>
      <c r="AL351" s="40"/>
      <c r="AM351" s="33" t="s">
        <v>158</v>
      </c>
      <c r="AN351" s="41" t="s">
        <v>1583</v>
      </c>
      <c r="AO351" s="43">
        <v>237</v>
      </c>
      <c r="AP351" s="13">
        <v>4</v>
      </c>
      <c r="AQ351" s="40"/>
      <c r="AR351" s="40"/>
      <c r="AS351" s="6"/>
      <c r="AT351" s="6"/>
      <c r="AU351" s="6"/>
      <c r="AV351" s="6"/>
      <c r="AW351" s="12" t="str">
        <f t="shared" si="11"/>
        <v/>
      </c>
      <c r="AX351" s="12" t="str">
        <f t="shared" si="12"/>
        <v/>
      </c>
      <c r="AY351" s="45"/>
    </row>
    <row r="352" spans="1:51" ht="20.100000000000001" customHeight="1" x14ac:dyDescent="0.2">
      <c r="A352" s="13">
        <v>346</v>
      </c>
      <c r="B352" s="40" t="s">
        <v>1599</v>
      </c>
      <c r="C352" s="40" t="s">
        <v>1553</v>
      </c>
      <c r="D352" s="41" t="s">
        <v>1600</v>
      </c>
      <c r="E352" s="41" t="s">
        <v>66</v>
      </c>
      <c r="F352" s="41"/>
      <c r="G352" s="41"/>
      <c r="H352" s="13" t="s">
        <v>83</v>
      </c>
      <c r="I352" s="13"/>
      <c r="J352" s="13"/>
      <c r="K352" s="13"/>
      <c r="L352" s="13"/>
      <c r="M352" s="13"/>
      <c r="N352" s="13"/>
      <c r="O352" s="40" t="s">
        <v>67</v>
      </c>
      <c r="P352" s="41"/>
      <c r="Q352" s="41"/>
      <c r="R352" s="41"/>
      <c r="S352" s="41"/>
      <c r="T352" s="13"/>
      <c r="U352" s="41"/>
      <c r="V352" s="41"/>
      <c r="W352" s="41"/>
      <c r="X352" s="41"/>
      <c r="Y352" s="41"/>
      <c r="Z352" s="13"/>
      <c r="AA352" s="13"/>
      <c r="AB352" s="13"/>
      <c r="AC352" s="13"/>
      <c r="AD352" s="40"/>
      <c r="AE352" s="40"/>
      <c r="AF352" s="40"/>
      <c r="AG352" s="40"/>
      <c r="AH352" s="13"/>
      <c r="AI352" s="40"/>
      <c r="AJ352" s="40"/>
      <c r="AK352" s="40"/>
      <c r="AL352" s="40"/>
      <c r="AM352" s="47"/>
      <c r="AN352" s="41"/>
      <c r="AO352" s="41"/>
      <c r="AP352" s="13"/>
      <c r="AQ352" s="40"/>
      <c r="AR352" s="40"/>
      <c r="AS352" s="6"/>
      <c r="AT352" s="6"/>
      <c r="AU352" s="6"/>
      <c r="AV352" s="6"/>
      <c r="AW352" s="12" t="str">
        <f t="shared" si="11"/>
        <v/>
      </c>
      <c r="AX352" s="12" t="str">
        <f t="shared" si="12"/>
        <v/>
      </c>
      <c r="AY352" s="45"/>
    </row>
    <row r="353" spans="1:51" ht="20.100000000000001" customHeight="1" x14ac:dyDescent="0.2">
      <c r="A353" s="13">
        <v>347</v>
      </c>
      <c r="B353" s="40" t="s">
        <v>1599</v>
      </c>
      <c r="C353" s="40" t="s">
        <v>1553</v>
      </c>
      <c r="D353" s="41" t="s">
        <v>1600</v>
      </c>
      <c r="E353" s="41" t="s">
        <v>66</v>
      </c>
      <c r="F353" s="41"/>
      <c r="G353" s="41"/>
      <c r="H353" s="13" t="s">
        <v>7</v>
      </c>
      <c r="I353" s="13"/>
      <c r="J353" s="13"/>
      <c r="K353" s="13"/>
      <c r="L353" s="13"/>
      <c r="M353" s="13"/>
      <c r="N353" s="13"/>
      <c r="O353" s="40" t="s">
        <v>67</v>
      </c>
      <c r="P353" s="41"/>
      <c r="Q353" s="41"/>
      <c r="R353" s="41"/>
      <c r="S353" s="41"/>
      <c r="T353" s="13"/>
      <c r="U353" s="41"/>
      <c r="V353" s="41"/>
      <c r="W353" s="41"/>
      <c r="X353" s="41"/>
      <c r="Y353" s="41"/>
      <c r="Z353" s="13"/>
      <c r="AA353" s="13"/>
      <c r="AB353" s="13"/>
      <c r="AC353" s="13"/>
      <c r="AD353" s="40"/>
      <c r="AE353" s="40"/>
      <c r="AF353" s="40"/>
      <c r="AG353" s="40"/>
      <c r="AH353" s="13"/>
      <c r="AI353" s="40"/>
      <c r="AJ353" s="40"/>
      <c r="AK353" s="40"/>
      <c r="AL353" s="40"/>
      <c r="AM353" s="47"/>
      <c r="AN353" s="41"/>
      <c r="AO353" s="41"/>
      <c r="AP353" s="13"/>
      <c r="AQ353" s="40"/>
      <c r="AR353" s="40"/>
      <c r="AS353" s="6"/>
      <c r="AT353" s="6"/>
      <c r="AU353" s="6"/>
      <c r="AV353" s="6"/>
      <c r="AW353" s="12" t="str">
        <f t="shared" si="11"/>
        <v/>
      </c>
      <c r="AX353" s="12" t="str">
        <f t="shared" si="12"/>
        <v/>
      </c>
      <c r="AY353" s="45"/>
    </row>
    <row r="354" spans="1:51" ht="20.100000000000001" customHeight="1" x14ac:dyDescent="0.2">
      <c r="A354" s="13">
        <v>348</v>
      </c>
      <c r="B354" s="40" t="s">
        <v>1599</v>
      </c>
      <c r="C354" s="40" t="s">
        <v>1553</v>
      </c>
      <c r="D354" s="41" t="s">
        <v>1158</v>
      </c>
      <c r="E354" s="41" t="s">
        <v>10</v>
      </c>
      <c r="F354" s="41"/>
      <c r="G354" s="41"/>
      <c r="H354" s="13" t="s">
        <v>7</v>
      </c>
      <c r="I354" s="47" t="s">
        <v>158</v>
      </c>
      <c r="J354" s="13"/>
      <c r="K354" s="13"/>
      <c r="L354" s="13"/>
      <c r="M354" s="13"/>
      <c r="N354" s="13"/>
      <c r="O354" s="40" t="s">
        <v>92</v>
      </c>
      <c r="P354" s="35" t="s">
        <v>117</v>
      </c>
      <c r="Q354" s="35" t="s">
        <v>141</v>
      </c>
      <c r="R354" s="41" t="s">
        <v>1601</v>
      </c>
      <c r="S354" s="41" t="s">
        <v>73</v>
      </c>
      <c r="T354" s="13" t="s">
        <v>107</v>
      </c>
      <c r="U354" s="35" t="s">
        <v>204</v>
      </c>
      <c r="V354" s="35" t="s">
        <v>1602</v>
      </c>
      <c r="W354" s="41" t="s">
        <v>1603</v>
      </c>
      <c r="X354" s="41" t="s">
        <v>69</v>
      </c>
      <c r="Y354" s="41" t="s">
        <v>70</v>
      </c>
      <c r="Z354" s="13">
        <v>0</v>
      </c>
      <c r="AA354" s="13">
        <v>162</v>
      </c>
      <c r="AB354" s="13">
        <v>162</v>
      </c>
      <c r="AC354" s="13">
        <v>156</v>
      </c>
      <c r="AD354" s="40">
        <v>156</v>
      </c>
      <c r="AE354" s="40">
        <v>119</v>
      </c>
      <c r="AF354" s="40">
        <v>156</v>
      </c>
      <c r="AG354" s="40">
        <v>8</v>
      </c>
      <c r="AH354" s="13">
        <v>18</v>
      </c>
      <c r="AI354" s="40">
        <v>182</v>
      </c>
      <c r="AJ354" s="40">
        <v>8</v>
      </c>
      <c r="AK354" s="40"/>
      <c r="AL354" s="40"/>
      <c r="AM354" s="33" t="s">
        <v>158</v>
      </c>
      <c r="AN354" s="41" t="s">
        <v>1596</v>
      </c>
      <c r="AO354" s="43">
        <v>182</v>
      </c>
      <c r="AP354" s="13">
        <v>8</v>
      </c>
      <c r="AQ354" s="40"/>
      <c r="AR354" s="40"/>
      <c r="AS354" s="6"/>
      <c r="AT354" s="6"/>
      <c r="AU354" s="6"/>
      <c r="AV354" s="6"/>
      <c r="AW354" s="12" t="str">
        <f t="shared" si="11"/>
        <v/>
      </c>
      <c r="AX354" s="12" t="str">
        <f t="shared" si="12"/>
        <v/>
      </c>
      <c r="AY354" s="45"/>
    </row>
    <row r="355" spans="1:51" ht="20.100000000000001" customHeight="1" x14ac:dyDescent="0.2">
      <c r="A355" s="13">
        <v>349</v>
      </c>
      <c r="B355" s="40" t="s">
        <v>1604</v>
      </c>
      <c r="C355" s="40" t="s">
        <v>1553</v>
      </c>
      <c r="D355" s="41" t="s">
        <v>1605</v>
      </c>
      <c r="E355" s="41" t="s">
        <v>6</v>
      </c>
      <c r="F355" s="41" t="s">
        <v>174</v>
      </c>
      <c r="G355" s="41"/>
      <c r="H355" s="13" t="s">
        <v>83</v>
      </c>
      <c r="I355" s="13"/>
      <c r="J355" s="13"/>
      <c r="K355" s="13"/>
      <c r="L355" s="13"/>
      <c r="M355" s="13"/>
      <c r="N355" s="13"/>
      <c r="O355" s="40" t="s">
        <v>67</v>
      </c>
      <c r="P355" s="41"/>
      <c r="Q355" s="41" t="s">
        <v>68</v>
      </c>
      <c r="R355" s="41" t="s">
        <v>1606</v>
      </c>
      <c r="S355" s="41" t="s">
        <v>574</v>
      </c>
      <c r="T355" s="13" t="s">
        <v>107</v>
      </c>
      <c r="U355" s="41"/>
      <c r="V355" s="41" t="s">
        <v>263</v>
      </c>
      <c r="W355" s="41" t="s">
        <v>1607</v>
      </c>
      <c r="X355" s="41" t="s">
        <v>574</v>
      </c>
      <c r="Y355" s="41" t="s">
        <v>107</v>
      </c>
      <c r="Z355" s="13" t="s">
        <v>1608</v>
      </c>
      <c r="AA355" s="13"/>
      <c r="AB355" s="13"/>
      <c r="AC355" s="13"/>
      <c r="AD355" s="40">
        <v>186</v>
      </c>
      <c r="AE355" s="40"/>
      <c r="AF355" s="40"/>
      <c r="AG355" s="40"/>
      <c r="AH355" s="13"/>
      <c r="AI355" s="40"/>
      <c r="AJ355" s="40"/>
      <c r="AK355" s="40"/>
      <c r="AL355" s="40"/>
      <c r="AM355" s="47"/>
      <c r="AN355" s="41" t="s">
        <v>1609</v>
      </c>
      <c r="AO355" s="43">
        <v>215</v>
      </c>
      <c r="AP355" s="13">
        <v>17</v>
      </c>
      <c r="AQ355" s="40"/>
      <c r="AR355" s="40"/>
      <c r="AS355" s="6" t="s">
        <v>115</v>
      </c>
      <c r="AT355" s="6" t="s">
        <v>266</v>
      </c>
      <c r="AU355" s="6" t="s">
        <v>348</v>
      </c>
      <c r="AV355" s="6" t="s">
        <v>344</v>
      </c>
      <c r="AW355" s="12">
        <f t="shared" si="11"/>
        <v>38</v>
      </c>
      <c r="AX355" s="12" t="str">
        <f t="shared" si="12"/>
        <v/>
      </c>
      <c r="AY355" s="45"/>
    </row>
    <row r="356" spans="1:51" s="21" customFormat="1" ht="20.100000000000001" customHeight="1" x14ac:dyDescent="0.2">
      <c r="A356" s="13">
        <v>350</v>
      </c>
      <c r="B356" s="29" t="s">
        <v>1604</v>
      </c>
      <c r="C356" s="29" t="s">
        <v>1553</v>
      </c>
      <c r="D356" s="30" t="s">
        <v>1347</v>
      </c>
      <c r="E356" s="30" t="s">
        <v>66</v>
      </c>
      <c r="F356" s="30" t="s">
        <v>481</v>
      </c>
      <c r="G356" s="37" t="s">
        <v>1610</v>
      </c>
      <c r="H356" s="20" t="s">
        <v>83</v>
      </c>
      <c r="I356" s="20"/>
      <c r="J356" s="20"/>
      <c r="K356" s="20"/>
      <c r="L356" s="20"/>
      <c r="M356" s="20"/>
      <c r="N356" s="20"/>
      <c r="O356" s="29" t="s">
        <v>67</v>
      </c>
      <c r="P356" s="30"/>
      <c r="Q356" s="30" t="s">
        <v>104</v>
      </c>
      <c r="R356" s="30" t="s">
        <v>1270</v>
      </c>
      <c r="S356" s="30" t="s">
        <v>106</v>
      </c>
      <c r="T356" s="20" t="s">
        <v>107</v>
      </c>
      <c r="U356" s="30"/>
      <c r="V356" s="30" t="s">
        <v>108</v>
      </c>
      <c r="W356" s="30" t="s">
        <v>1358</v>
      </c>
      <c r="X356" s="30" t="s">
        <v>142</v>
      </c>
      <c r="Y356" s="30" t="s">
        <v>70</v>
      </c>
      <c r="Z356" s="20" t="s">
        <v>1341</v>
      </c>
      <c r="AA356" s="20"/>
      <c r="AB356" s="20"/>
      <c r="AC356" s="20"/>
      <c r="AD356" s="29">
        <v>114</v>
      </c>
      <c r="AE356" s="29"/>
      <c r="AF356" s="29"/>
      <c r="AG356" s="29"/>
      <c r="AH356" s="20"/>
      <c r="AI356" s="29"/>
      <c r="AJ356" s="29"/>
      <c r="AK356" s="29"/>
      <c r="AL356" s="29"/>
      <c r="AM356" s="39"/>
      <c r="AN356" s="30"/>
      <c r="AO356" s="30"/>
      <c r="AP356" s="20"/>
      <c r="AQ356" s="29"/>
      <c r="AR356" s="29"/>
      <c r="AS356" s="30" t="s">
        <v>115</v>
      </c>
      <c r="AT356" s="30" t="s">
        <v>266</v>
      </c>
      <c r="AU356" s="30" t="s">
        <v>115</v>
      </c>
      <c r="AV356" s="30" t="s">
        <v>344</v>
      </c>
      <c r="AW356" s="31">
        <f t="shared" si="11"/>
        <v>2</v>
      </c>
      <c r="AX356" s="31">
        <f t="shared" si="12"/>
        <v>2</v>
      </c>
      <c r="AY356" s="32" t="s">
        <v>1611</v>
      </c>
    </row>
    <row r="357" spans="1:51" ht="46.9" customHeight="1" x14ac:dyDescent="0.2">
      <c r="A357" s="13">
        <v>351</v>
      </c>
      <c r="B357" s="40" t="s">
        <v>1612</v>
      </c>
      <c r="C357" s="40" t="s">
        <v>1553</v>
      </c>
      <c r="D357" s="41" t="s">
        <v>1347</v>
      </c>
      <c r="E357" s="41" t="s">
        <v>66</v>
      </c>
      <c r="F357" s="41"/>
      <c r="G357" s="37" t="s">
        <v>1597</v>
      </c>
      <c r="H357" s="13" t="s">
        <v>7</v>
      </c>
      <c r="I357" s="47" t="s">
        <v>158</v>
      </c>
      <c r="J357" s="13"/>
      <c r="K357" s="13"/>
      <c r="L357" s="13"/>
      <c r="M357" s="13"/>
      <c r="N357" s="13"/>
      <c r="O357" s="40" t="s">
        <v>93</v>
      </c>
      <c r="P357" s="41" t="s">
        <v>104</v>
      </c>
      <c r="Q357" s="41" t="s">
        <v>104</v>
      </c>
      <c r="R357" s="41" t="s">
        <v>541</v>
      </c>
      <c r="S357" s="41" t="s">
        <v>106</v>
      </c>
      <c r="T357" s="13" t="s">
        <v>107</v>
      </c>
      <c r="U357" s="35" t="s">
        <v>108</v>
      </c>
      <c r="V357" s="35" t="s">
        <v>1613</v>
      </c>
      <c r="W357" s="41" t="s">
        <v>1614</v>
      </c>
      <c r="X357" s="41" t="s">
        <v>73</v>
      </c>
      <c r="Y357" s="41" t="s">
        <v>70</v>
      </c>
      <c r="Z357" s="13">
        <v>0</v>
      </c>
      <c r="AA357" s="13"/>
      <c r="AB357" s="13"/>
      <c r="AC357" s="13">
        <v>114</v>
      </c>
      <c r="AD357" s="40">
        <v>114</v>
      </c>
      <c r="AE357" s="40"/>
      <c r="AF357" s="40"/>
      <c r="AG357" s="40"/>
      <c r="AH357" s="13"/>
      <c r="AI357" s="40"/>
      <c r="AJ357" s="40"/>
      <c r="AK357" s="40"/>
      <c r="AL357" s="40"/>
      <c r="AM357" s="33" t="s">
        <v>158</v>
      </c>
      <c r="AN357" s="41" t="s">
        <v>1604</v>
      </c>
      <c r="AO357" s="41"/>
      <c r="AP357" s="13"/>
      <c r="AQ357" s="40"/>
      <c r="AR357" s="40"/>
      <c r="AS357" s="6"/>
      <c r="AT357" s="6"/>
      <c r="AU357" s="6"/>
      <c r="AV357" s="6"/>
      <c r="AW357" s="12" t="str">
        <f t="shared" si="11"/>
        <v/>
      </c>
      <c r="AX357" s="12" t="str">
        <f t="shared" si="12"/>
        <v/>
      </c>
      <c r="AY357" s="45" t="s">
        <v>1615</v>
      </c>
    </row>
    <row r="358" spans="1:51" ht="20.100000000000001" customHeight="1" x14ac:dyDescent="0.2">
      <c r="A358" s="13">
        <v>352</v>
      </c>
      <c r="B358" s="40" t="s">
        <v>1616</v>
      </c>
      <c r="C358" s="40" t="s">
        <v>1553</v>
      </c>
      <c r="D358" s="41" t="s">
        <v>1229</v>
      </c>
      <c r="E358" s="41" t="s">
        <v>10</v>
      </c>
      <c r="F358" s="41"/>
      <c r="G358" s="41"/>
      <c r="H358" s="13" t="s">
        <v>7</v>
      </c>
      <c r="I358" s="47" t="s">
        <v>158</v>
      </c>
      <c r="J358" s="13"/>
      <c r="K358" s="13"/>
      <c r="L358" s="13"/>
      <c r="M358" s="13"/>
      <c r="N358" s="13"/>
      <c r="O358" s="40" t="s">
        <v>93</v>
      </c>
      <c r="P358" s="35" t="s">
        <v>140</v>
      </c>
      <c r="Q358" s="35" t="s">
        <v>117</v>
      </c>
      <c r="R358" s="41" t="s">
        <v>1617</v>
      </c>
      <c r="S358" s="41" t="s">
        <v>106</v>
      </c>
      <c r="T358" s="13" t="s">
        <v>107</v>
      </c>
      <c r="U358" s="35" t="s">
        <v>338</v>
      </c>
      <c r="V358" s="35" t="s">
        <v>204</v>
      </c>
      <c r="W358" s="41" t="s">
        <v>1618</v>
      </c>
      <c r="X358" s="41" t="s">
        <v>69</v>
      </c>
      <c r="Y358" s="41" t="s">
        <v>70</v>
      </c>
      <c r="Z358" s="13"/>
      <c r="AA358" s="13">
        <v>204</v>
      </c>
      <c r="AB358" s="13">
        <v>204</v>
      </c>
      <c r="AC358" s="33">
        <v>186</v>
      </c>
      <c r="AD358" s="34">
        <v>192</v>
      </c>
      <c r="AE358" s="40">
        <v>162</v>
      </c>
      <c r="AF358" s="40">
        <v>178</v>
      </c>
      <c r="AG358" s="40">
        <v>4</v>
      </c>
      <c r="AH358" s="13">
        <v>20</v>
      </c>
      <c r="AI358" s="40">
        <v>202</v>
      </c>
      <c r="AJ358" s="40">
        <v>10</v>
      </c>
      <c r="AK358" s="40"/>
      <c r="AL358" s="40"/>
      <c r="AM358" s="33" t="s">
        <v>158</v>
      </c>
      <c r="AN358" s="41" t="s">
        <v>1612</v>
      </c>
      <c r="AO358" s="43">
        <v>202</v>
      </c>
      <c r="AP358" s="13">
        <v>10</v>
      </c>
      <c r="AQ358" s="40"/>
      <c r="AR358" s="40"/>
      <c r="AS358" s="6"/>
      <c r="AT358" s="6"/>
      <c r="AU358" s="6"/>
      <c r="AV358" s="6"/>
      <c r="AW358" s="12" t="str">
        <f t="shared" si="11"/>
        <v/>
      </c>
      <c r="AX358" s="12" t="str">
        <f t="shared" si="12"/>
        <v/>
      </c>
      <c r="AY358" s="45"/>
    </row>
    <row r="359" spans="1:51" ht="20.100000000000001" customHeight="1" x14ac:dyDescent="0.2">
      <c r="A359" s="13">
        <v>353</v>
      </c>
      <c r="B359" s="40" t="s">
        <v>1619</v>
      </c>
      <c r="C359" s="40" t="s">
        <v>1553</v>
      </c>
      <c r="D359" s="41" t="s">
        <v>870</v>
      </c>
      <c r="E359" s="41" t="s">
        <v>10</v>
      </c>
      <c r="F359" s="41"/>
      <c r="G359" s="41"/>
      <c r="H359" s="13" t="s">
        <v>7</v>
      </c>
      <c r="I359" s="47" t="s">
        <v>158</v>
      </c>
      <c r="J359" s="13"/>
      <c r="K359" s="13"/>
      <c r="L359" s="13"/>
      <c r="M359" s="13"/>
      <c r="N359" s="13"/>
      <c r="O359" s="40" t="s">
        <v>93</v>
      </c>
      <c r="P359" s="41" t="s">
        <v>104</v>
      </c>
      <c r="Q359" s="41" t="s">
        <v>104</v>
      </c>
      <c r="R359" s="41" t="s">
        <v>1620</v>
      </c>
      <c r="S359" s="41" t="s">
        <v>142</v>
      </c>
      <c r="T359" s="13" t="s">
        <v>70</v>
      </c>
      <c r="U359" s="35" t="s">
        <v>361</v>
      </c>
      <c r="V359" s="35" t="s">
        <v>131</v>
      </c>
      <c r="W359" s="41" t="s">
        <v>1621</v>
      </c>
      <c r="X359" s="41" t="s">
        <v>73</v>
      </c>
      <c r="Y359" s="41" t="s">
        <v>70</v>
      </c>
      <c r="Z359" s="13"/>
      <c r="AA359" s="13">
        <v>187</v>
      </c>
      <c r="AB359" s="13">
        <v>187</v>
      </c>
      <c r="AC359" s="33">
        <v>177</v>
      </c>
      <c r="AD359" s="34">
        <v>180</v>
      </c>
      <c r="AE359" s="40"/>
      <c r="AF359" s="40">
        <v>175</v>
      </c>
      <c r="AG359" s="40">
        <v>2</v>
      </c>
      <c r="AH359" s="13">
        <v>34</v>
      </c>
      <c r="AI359" s="40">
        <v>214</v>
      </c>
      <c r="AJ359" s="40">
        <v>14</v>
      </c>
      <c r="AK359" s="40"/>
      <c r="AL359" s="40"/>
      <c r="AM359" s="33" t="s">
        <v>158</v>
      </c>
      <c r="AN359" s="41" t="s">
        <v>1622</v>
      </c>
      <c r="AO359" s="43">
        <v>214</v>
      </c>
      <c r="AP359" s="13">
        <v>15</v>
      </c>
      <c r="AQ359" s="40"/>
      <c r="AR359" s="40"/>
      <c r="AS359" s="6"/>
      <c r="AT359" s="6"/>
      <c r="AU359" s="6"/>
      <c r="AV359" s="6"/>
      <c r="AW359" s="12" t="str">
        <f t="shared" si="11"/>
        <v/>
      </c>
      <c r="AX359" s="12" t="str">
        <f t="shared" si="12"/>
        <v/>
      </c>
      <c r="AY359" s="45"/>
    </row>
    <row r="360" spans="1:51" ht="20.100000000000001" customHeight="1" x14ac:dyDescent="0.2">
      <c r="A360" s="13">
        <v>354</v>
      </c>
      <c r="B360" s="40" t="s">
        <v>1619</v>
      </c>
      <c r="C360" s="40" t="s">
        <v>1553</v>
      </c>
      <c r="D360" s="41" t="s">
        <v>1623</v>
      </c>
      <c r="E360" s="41" t="s">
        <v>6</v>
      </c>
      <c r="F360" s="41" t="s">
        <v>504</v>
      </c>
      <c r="G360" s="41"/>
      <c r="H360" s="13" t="s">
        <v>83</v>
      </c>
      <c r="I360" s="13"/>
      <c r="J360" s="13"/>
      <c r="K360" s="13"/>
      <c r="L360" s="13"/>
      <c r="M360" s="13"/>
      <c r="N360" s="13"/>
      <c r="O360" s="40" t="s">
        <v>92</v>
      </c>
      <c r="P360" s="41"/>
      <c r="Q360" s="41" t="s">
        <v>117</v>
      </c>
      <c r="R360" s="41" t="s">
        <v>1624</v>
      </c>
      <c r="S360" s="41" t="s">
        <v>69</v>
      </c>
      <c r="T360" s="13" t="s">
        <v>70</v>
      </c>
      <c r="U360" s="41"/>
      <c r="V360" s="41" t="s">
        <v>204</v>
      </c>
      <c r="W360" s="41" t="s">
        <v>1625</v>
      </c>
      <c r="X360" s="41" t="s">
        <v>142</v>
      </c>
      <c r="Y360" s="41" t="s">
        <v>70</v>
      </c>
      <c r="Z360" s="13" t="s">
        <v>1626</v>
      </c>
      <c r="AA360" s="13"/>
      <c r="AB360" s="13"/>
      <c r="AC360" s="13">
        <v>186</v>
      </c>
      <c r="AD360" s="40"/>
      <c r="AE360" s="40"/>
      <c r="AF360" s="40"/>
      <c r="AG360" s="40"/>
      <c r="AH360" s="13"/>
      <c r="AI360" s="40">
        <v>212</v>
      </c>
      <c r="AJ360" s="40">
        <v>12</v>
      </c>
      <c r="AK360" s="40"/>
      <c r="AL360" s="40"/>
      <c r="AM360" s="47"/>
      <c r="AN360" s="41"/>
      <c r="AO360" s="41"/>
      <c r="AP360" s="13"/>
      <c r="AQ360" s="40"/>
      <c r="AR360" s="40"/>
      <c r="AS360" s="6" t="s">
        <v>115</v>
      </c>
      <c r="AT360" s="6" t="s">
        <v>266</v>
      </c>
      <c r="AU360" s="6" t="s">
        <v>208</v>
      </c>
      <c r="AV360" s="6" t="s">
        <v>1247</v>
      </c>
      <c r="AW360" s="12">
        <f t="shared" si="11"/>
        <v>28</v>
      </c>
      <c r="AX360" s="12" t="str">
        <f t="shared" si="12"/>
        <v/>
      </c>
      <c r="AY360" s="45"/>
    </row>
    <row r="361" spans="1:51" ht="20.100000000000001" customHeight="1" x14ac:dyDescent="0.2">
      <c r="A361" s="13">
        <v>355</v>
      </c>
      <c r="B361" s="40" t="s">
        <v>1619</v>
      </c>
      <c r="C361" s="40" t="s">
        <v>1553</v>
      </c>
      <c r="D361" s="41" t="s">
        <v>1086</v>
      </c>
      <c r="E361" s="41" t="s">
        <v>9</v>
      </c>
      <c r="F361" s="41"/>
      <c r="G361" s="41"/>
      <c r="H361" s="13" t="s">
        <v>7</v>
      </c>
      <c r="I361" s="47" t="s">
        <v>158</v>
      </c>
      <c r="J361" s="13"/>
      <c r="K361" s="13"/>
      <c r="L361" s="13"/>
      <c r="M361" s="13"/>
      <c r="N361" s="13"/>
      <c r="O361" s="40" t="s">
        <v>67</v>
      </c>
      <c r="P361" s="35" t="s">
        <v>155</v>
      </c>
      <c r="Q361" s="35" t="s">
        <v>140</v>
      </c>
      <c r="R361" s="41" t="s">
        <v>657</v>
      </c>
      <c r="S361" s="41" t="s">
        <v>106</v>
      </c>
      <c r="T361" s="13" t="s">
        <v>107</v>
      </c>
      <c r="U361" s="35" t="s">
        <v>156</v>
      </c>
      <c r="V361" s="35" t="s">
        <v>276</v>
      </c>
      <c r="W361" s="41" t="s">
        <v>1627</v>
      </c>
      <c r="X361" s="41" t="s">
        <v>73</v>
      </c>
      <c r="Y361" s="41" t="s">
        <v>70</v>
      </c>
      <c r="Z361" s="13"/>
      <c r="AA361" s="13">
        <v>213</v>
      </c>
      <c r="AB361" s="13">
        <v>213</v>
      </c>
      <c r="AC361" s="33">
        <v>204</v>
      </c>
      <c r="AD361" s="34">
        <v>207</v>
      </c>
      <c r="AE361" s="40">
        <v>160</v>
      </c>
      <c r="AF361" s="40">
        <v>200</v>
      </c>
      <c r="AG361" s="40">
        <v>3</v>
      </c>
      <c r="AH361" s="13">
        <v>30</v>
      </c>
      <c r="AI361" s="40">
        <v>233</v>
      </c>
      <c r="AJ361" s="40">
        <v>7</v>
      </c>
      <c r="AK361" s="40"/>
      <c r="AL361" s="40"/>
      <c r="AM361" s="33" t="s">
        <v>158</v>
      </c>
      <c r="AN361" s="41" t="s">
        <v>1622</v>
      </c>
      <c r="AO361" s="43">
        <v>233</v>
      </c>
      <c r="AP361" s="13">
        <v>7</v>
      </c>
      <c r="AQ361" s="40"/>
      <c r="AR361" s="40"/>
      <c r="AS361" s="6"/>
      <c r="AT361" s="6"/>
      <c r="AU361" s="6"/>
      <c r="AV361" s="6"/>
      <c r="AW361" s="12" t="str">
        <f t="shared" si="11"/>
        <v/>
      </c>
      <c r="AX361" s="12" t="str">
        <f t="shared" si="12"/>
        <v/>
      </c>
      <c r="AY361" s="45"/>
    </row>
    <row r="362" spans="1:51" ht="20.100000000000001" customHeight="1" x14ac:dyDescent="0.2">
      <c r="A362" s="13">
        <v>356</v>
      </c>
      <c r="B362" s="40" t="s">
        <v>1619</v>
      </c>
      <c r="C362" s="40" t="s">
        <v>1553</v>
      </c>
      <c r="D362" s="41" t="s">
        <v>1628</v>
      </c>
      <c r="E362" s="41" t="s">
        <v>66</v>
      </c>
      <c r="F362" s="41" t="s">
        <v>481</v>
      </c>
      <c r="G362" s="41"/>
      <c r="H362" s="13" t="s">
        <v>83</v>
      </c>
      <c r="I362" s="13"/>
      <c r="J362" s="13"/>
      <c r="K362" s="13"/>
      <c r="L362" s="13"/>
      <c r="M362" s="13"/>
      <c r="N362" s="13"/>
      <c r="O362" s="40" t="s">
        <v>93</v>
      </c>
      <c r="P362" s="41"/>
      <c r="Q362" s="41"/>
      <c r="R362" s="41"/>
      <c r="S362" s="41"/>
      <c r="T362" s="13"/>
      <c r="U362" s="41"/>
      <c r="V362" s="41"/>
      <c r="W362" s="41"/>
      <c r="X362" s="41"/>
      <c r="Y362" s="41"/>
      <c r="Z362" s="13"/>
      <c r="AA362" s="13"/>
      <c r="AB362" s="13"/>
      <c r="AC362" s="13"/>
      <c r="AD362" s="40"/>
      <c r="AE362" s="40"/>
      <c r="AF362" s="40"/>
      <c r="AG362" s="40"/>
      <c r="AH362" s="13"/>
      <c r="AI362" s="40"/>
      <c r="AJ362" s="40"/>
      <c r="AK362" s="40"/>
      <c r="AL362" s="40"/>
      <c r="AM362" s="47"/>
      <c r="AN362" s="41"/>
      <c r="AO362" s="41"/>
      <c r="AP362" s="13"/>
      <c r="AQ362" s="40"/>
      <c r="AR362" s="40"/>
      <c r="AS362" s="6"/>
      <c r="AT362" s="6"/>
      <c r="AU362" s="6"/>
      <c r="AV362" s="6"/>
      <c r="AW362" s="12" t="str">
        <f t="shared" si="11"/>
        <v/>
      </c>
      <c r="AX362" s="12" t="str">
        <f t="shared" si="12"/>
        <v/>
      </c>
      <c r="AY362" s="45"/>
    </row>
    <row r="363" spans="1:51" ht="20.100000000000001" customHeight="1" x14ac:dyDescent="0.2">
      <c r="A363" s="13">
        <v>357</v>
      </c>
      <c r="B363" s="40" t="s">
        <v>1619</v>
      </c>
      <c r="C363" s="40" t="s">
        <v>1553</v>
      </c>
      <c r="D363" s="41" t="s">
        <v>1628</v>
      </c>
      <c r="E363" s="41" t="s">
        <v>66</v>
      </c>
      <c r="F363" s="41"/>
      <c r="G363" s="41"/>
      <c r="H363" s="13" t="s">
        <v>7</v>
      </c>
      <c r="I363" s="47" t="s">
        <v>158</v>
      </c>
      <c r="J363" s="13"/>
      <c r="K363" s="13"/>
      <c r="L363" s="13"/>
      <c r="M363" s="13"/>
      <c r="N363" s="13"/>
      <c r="O363" s="40" t="s">
        <v>93</v>
      </c>
      <c r="P363" s="41"/>
      <c r="Q363" s="41" t="s">
        <v>555</v>
      </c>
      <c r="R363" s="41"/>
      <c r="S363" s="41" t="s">
        <v>69</v>
      </c>
      <c r="T363" s="13" t="s">
        <v>70</v>
      </c>
      <c r="U363" s="41"/>
      <c r="V363" s="41" t="s">
        <v>1629</v>
      </c>
      <c r="W363" s="41"/>
      <c r="X363" s="41" t="s">
        <v>69</v>
      </c>
      <c r="Y363" s="41" t="s">
        <v>70</v>
      </c>
      <c r="Z363" s="13"/>
      <c r="AA363" s="13"/>
      <c r="AB363" s="13"/>
      <c r="AC363" s="13"/>
      <c r="AD363" s="40">
        <v>72</v>
      </c>
      <c r="AE363" s="40"/>
      <c r="AF363" s="40"/>
      <c r="AG363" s="40"/>
      <c r="AH363" s="13"/>
      <c r="AI363" s="40"/>
      <c r="AJ363" s="40"/>
      <c r="AK363" s="40"/>
      <c r="AL363" s="40"/>
      <c r="AM363" s="47"/>
      <c r="AN363" s="41"/>
      <c r="AO363" s="41"/>
      <c r="AP363" s="13"/>
      <c r="AQ363" s="40"/>
      <c r="AR363" s="40"/>
      <c r="AS363" s="6"/>
      <c r="AT363" s="6"/>
      <c r="AU363" s="6"/>
      <c r="AV363" s="6"/>
      <c r="AW363" s="12" t="str">
        <f t="shared" si="11"/>
        <v/>
      </c>
      <c r="AX363" s="12" t="str">
        <f t="shared" si="12"/>
        <v/>
      </c>
      <c r="AY363" s="45"/>
    </row>
    <row r="364" spans="1:51" ht="20.100000000000001" customHeight="1" x14ac:dyDescent="0.2">
      <c r="A364" s="13">
        <v>358</v>
      </c>
      <c r="B364" s="40" t="s">
        <v>1630</v>
      </c>
      <c r="C364" s="40" t="s">
        <v>1553</v>
      </c>
      <c r="D364" s="41" t="s">
        <v>1631</v>
      </c>
      <c r="E364" s="41" t="s">
        <v>6</v>
      </c>
      <c r="F364" s="41" t="s">
        <v>222</v>
      </c>
      <c r="G364" s="41"/>
      <c r="H364" s="13" t="s">
        <v>222</v>
      </c>
      <c r="I364" s="13"/>
      <c r="J364" s="13"/>
      <c r="K364" s="13"/>
      <c r="L364" s="13"/>
      <c r="M364" s="13"/>
      <c r="N364" s="13"/>
      <c r="O364" s="40" t="s">
        <v>67</v>
      </c>
      <c r="P364" s="41"/>
      <c r="Q364" s="41" t="s">
        <v>155</v>
      </c>
      <c r="R364" s="41" t="s">
        <v>1632</v>
      </c>
      <c r="S364" s="41" t="s">
        <v>69</v>
      </c>
      <c r="T364" s="13" t="s">
        <v>70</v>
      </c>
      <c r="U364" s="41"/>
      <c r="V364" s="41" t="s">
        <v>167</v>
      </c>
      <c r="W364" s="41" t="s">
        <v>1250</v>
      </c>
      <c r="X364" s="41" t="s">
        <v>369</v>
      </c>
      <c r="Y364" s="41" t="s">
        <v>369</v>
      </c>
      <c r="Z364" s="13" t="s">
        <v>1633</v>
      </c>
      <c r="AA364" s="13"/>
      <c r="AB364" s="13"/>
      <c r="AC364" s="13">
        <v>192</v>
      </c>
      <c r="AD364" s="40"/>
      <c r="AE364" s="40"/>
      <c r="AF364" s="40"/>
      <c r="AG364" s="40"/>
      <c r="AH364" s="13"/>
      <c r="AI364" s="40"/>
      <c r="AJ364" s="40"/>
      <c r="AK364" s="40"/>
      <c r="AL364" s="40"/>
      <c r="AM364" s="47"/>
      <c r="AN364" s="41"/>
      <c r="AO364" s="41"/>
      <c r="AP364" s="13"/>
      <c r="AQ364" s="40"/>
      <c r="AR364" s="40"/>
      <c r="AS364" s="6" t="s">
        <v>115</v>
      </c>
      <c r="AT364" s="6" t="s">
        <v>266</v>
      </c>
      <c r="AU364" s="6" t="s">
        <v>547</v>
      </c>
      <c r="AV364" s="6" t="s">
        <v>1247</v>
      </c>
      <c r="AW364" s="12">
        <f t="shared" si="11"/>
        <v>64</v>
      </c>
      <c r="AX364" s="12" t="str">
        <f t="shared" si="12"/>
        <v/>
      </c>
      <c r="AY364" s="45"/>
    </row>
    <row r="365" spans="1:51" ht="20.100000000000001" customHeight="1" x14ac:dyDescent="0.2">
      <c r="A365" s="13">
        <v>359</v>
      </c>
      <c r="B365" s="40" t="s">
        <v>1630</v>
      </c>
      <c r="C365" s="40" t="s">
        <v>1553</v>
      </c>
      <c r="D365" s="41" t="s">
        <v>1634</v>
      </c>
      <c r="E365" s="41" t="s">
        <v>10</v>
      </c>
      <c r="F365" s="41" t="s">
        <v>481</v>
      </c>
      <c r="G365" s="41"/>
      <c r="H365" s="13" t="s">
        <v>83</v>
      </c>
      <c r="I365" s="13"/>
      <c r="J365" s="13"/>
      <c r="K365" s="13"/>
      <c r="L365" s="13"/>
      <c r="M365" s="13"/>
      <c r="N365" s="13"/>
      <c r="O365" s="40" t="s">
        <v>92</v>
      </c>
      <c r="P365" s="41"/>
      <c r="Q365" s="41" t="s">
        <v>155</v>
      </c>
      <c r="R365" s="41" t="s">
        <v>1635</v>
      </c>
      <c r="S365" s="41" t="s">
        <v>106</v>
      </c>
      <c r="T365" s="13" t="s">
        <v>107</v>
      </c>
      <c r="U365" s="41"/>
      <c r="V365" s="41" t="s">
        <v>170</v>
      </c>
      <c r="W365" s="41" t="s">
        <v>1636</v>
      </c>
      <c r="X365" s="41" t="s">
        <v>106</v>
      </c>
      <c r="Y365" s="41" t="s">
        <v>107</v>
      </c>
      <c r="Z365" s="13" t="s">
        <v>1637</v>
      </c>
      <c r="AA365" s="13"/>
      <c r="AB365" s="13"/>
      <c r="AC365" s="13">
        <v>210</v>
      </c>
      <c r="AD365" s="40"/>
      <c r="AE365" s="40"/>
      <c r="AF365" s="40"/>
      <c r="AG365" s="40"/>
      <c r="AH365" s="13"/>
      <c r="AI365" s="40"/>
      <c r="AJ365" s="40"/>
      <c r="AK365" s="40"/>
      <c r="AL365" s="40"/>
      <c r="AM365" s="47"/>
      <c r="AN365" s="41"/>
      <c r="AO365" s="41"/>
      <c r="AP365" s="13"/>
      <c r="AQ365" s="40"/>
      <c r="AR365" s="40"/>
      <c r="AS365" s="6" t="s">
        <v>115</v>
      </c>
      <c r="AT365" s="6" t="s">
        <v>266</v>
      </c>
      <c r="AU365" s="6" t="s">
        <v>136</v>
      </c>
      <c r="AV365" s="6" t="s">
        <v>235</v>
      </c>
      <c r="AW365" s="12">
        <f t="shared" si="11"/>
        <v>18</v>
      </c>
      <c r="AX365" s="12" t="str">
        <f t="shared" si="12"/>
        <v/>
      </c>
      <c r="AY365" s="45"/>
    </row>
    <row r="366" spans="1:51" ht="20.100000000000001" customHeight="1" x14ac:dyDescent="0.2">
      <c r="A366" s="13">
        <v>360</v>
      </c>
      <c r="B366" s="40" t="s">
        <v>1630</v>
      </c>
      <c r="C366" s="40" t="s">
        <v>1553</v>
      </c>
      <c r="D366" s="41" t="s">
        <v>1576</v>
      </c>
      <c r="E366" s="41" t="s">
        <v>9</v>
      </c>
      <c r="F366" s="41"/>
      <c r="G366" s="41"/>
      <c r="H366" s="13" t="s">
        <v>7</v>
      </c>
      <c r="I366" s="47" t="s">
        <v>158</v>
      </c>
      <c r="J366" s="13"/>
      <c r="K366" s="13"/>
      <c r="L366" s="13"/>
      <c r="M366" s="13"/>
      <c r="N366" s="13"/>
      <c r="O366" s="40" t="s">
        <v>93</v>
      </c>
      <c r="P366" s="35" t="s">
        <v>117</v>
      </c>
      <c r="Q366" s="35" t="s">
        <v>104</v>
      </c>
      <c r="R366" s="41" t="s">
        <v>1638</v>
      </c>
      <c r="S366" s="41" t="s">
        <v>106</v>
      </c>
      <c r="T366" s="13" t="s">
        <v>107</v>
      </c>
      <c r="U366" s="35" t="s">
        <v>402</v>
      </c>
      <c r="V366" s="35" t="s">
        <v>305</v>
      </c>
      <c r="W366" s="41" t="s">
        <v>1639</v>
      </c>
      <c r="X366" s="41" t="s">
        <v>106</v>
      </c>
      <c r="Y366" s="41" t="s">
        <v>107</v>
      </c>
      <c r="Z366" s="13"/>
      <c r="AA366" s="13">
        <v>240</v>
      </c>
      <c r="AB366" s="13">
        <v>240</v>
      </c>
      <c r="AC366" s="13">
        <v>234</v>
      </c>
      <c r="AD366" s="40">
        <v>234</v>
      </c>
      <c r="AE366" s="40">
        <v>128</v>
      </c>
      <c r="AF366" s="40">
        <v>194</v>
      </c>
      <c r="AG366" s="40">
        <v>5</v>
      </c>
      <c r="AH366" s="13">
        <v>5</v>
      </c>
      <c r="AI366" s="40">
        <v>204</v>
      </c>
      <c r="AJ366" s="40">
        <v>15</v>
      </c>
      <c r="AK366" s="40"/>
      <c r="AL366" s="40"/>
      <c r="AM366" s="33" t="s">
        <v>158</v>
      </c>
      <c r="AN366" s="41" t="s">
        <v>1619</v>
      </c>
      <c r="AO366" s="43">
        <v>204</v>
      </c>
      <c r="AP366" s="13">
        <v>15</v>
      </c>
      <c r="AQ366" s="40"/>
      <c r="AR366" s="40"/>
      <c r="AS366" s="6"/>
      <c r="AT366" s="6"/>
      <c r="AU366" s="6"/>
      <c r="AV366" s="6"/>
      <c r="AW366" s="12" t="str">
        <f t="shared" si="11"/>
        <v/>
      </c>
      <c r="AX366" s="12" t="str">
        <f t="shared" si="12"/>
        <v/>
      </c>
      <c r="AY366" s="45"/>
    </row>
    <row r="367" spans="1:51" ht="20.100000000000001" customHeight="1" x14ac:dyDescent="0.2">
      <c r="A367" s="13">
        <v>361</v>
      </c>
      <c r="B367" s="40" t="s">
        <v>1640</v>
      </c>
      <c r="C367" s="40" t="s">
        <v>1553</v>
      </c>
      <c r="D367" s="41" t="s">
        <v>1641</v>
      </c>
      <c r="E367" s="41" t="s">
        <v>20</v>
      </c>
      <c r="F367" s="41" t="s">
        <v>1642</v>
      </c>
      <c r="G367" s="41"/>
      <c r="H367" s="13" t="s">
        <v>83</v>
      </c>
      <c r="I367" s="13"/>
      <c r="J367" s="13"/>
      <c r="K367" s="13"/>
      <c r="L367" s="13"/>
      <c r="M367" s="13"/>
      <c r="N367" s="13"/>
      <c r="O367" s="40" t="s">
        <v>67</v>
      </c>
      <c r="P367" s="41"/>
      <c r="Q367" s="41" t="s">
        <v>140</v>
      </c>
      <c r="R367" s="41" t="s">
        <v>1643</v>
      </c>
      <c r="S367" s="41" t="s">
        <v>69</v>
      </c>
      <c r="T367" s="13" t="s">
        <v>70</v>
      </c>
      <c r="U367" s="41"/>
      <c r="V367" s="41" t="s">
        <v>957</v>
      </c>
      <c r="W367" s="41" t="s">
        <v>1644</v>
      </c>
      <c r="X367" s="41" t="s">
        <v>369</v>
      </c>
      <c r="Y367" s="41" t="s">
        <v>369</v>
      </c>
      <c r="Z367" s="13" t="s">
        <v>1645</v>
      </c>
      <c r="AA367" s="13"/>
      <c r="AB367" s="13"/>
      <c r="AC367" s="13">
        <v>126</v>
      </c>
      <c r="AD367" s="40"/>
      <c r="AE367" s="40"/>
      <c r="AF367" s="40"/>
      <c r="AG367" s="40"/>
      <c r="AH367" s="13"/>
      <c r="AI367" s="40"/>
      <c r="AJ367" s="40"/>
      <c r="AK367" s="40"/>
      <c r="AL367" s="40"/>
      <c r="AM367" s="47"/>
      <c r="AN367" s="41"/>
      <c r="AO367" s="41"/>
      <c r="AP367" s="13"/>
      <c r="AQ367" s="40"/>
      <c r="AR367" s="40"/>
      <c r="AS367" s="6" t="s">
        <v>115</v>
      </c>
      <c r="AT367" s="6" t="s">
        <v>266</v>
      </c>
      <c r="AU367" s="6" t="s">
        <v>123</v>
      </c>
      <c r="AV367" s="6" t="s">
        <v>266</v>
      </c>
      <c r="AW367" s="12">
        <f t="shared" si="11"/>
        <v>48</v>
      </c>
      <c r="AX367" s="12" t="str">
        <f t="shared" si="12"/>
        <v/>
      </c>
      <c r="AY367" s="45"/>
    </row>
    <row r="368" spans="1:51" ht="20.100000000000001" customHeight="1" x14ac:dyDescent="0.2">
      <c r="A368" s="13">
        <v>362</v>
      </c>
      <c r="B368" s="40" t="s">
        <v>1640</v>
      </c>
      <c r="C368" s="40" t="s">
        <v>1553</v>
      </c>
      <c r="D368" s="41" t="s">
        <v>1646</v>
      </c>
      <c r="E368" s="41" t="s">
        <v>66</v>
      </c>
      <c r="F368" s="41"/>
      <c r="G368" s="41"/>
      <c r="H368" s="13" t="s">
        <v>83</v>
      </c>
      <c r="I368" s="13"/>
      <c r="J368" s="13"/>
      <c r="K368" s="13"/>
      <c r="L368" s="13"/>
      <c r="M368" s="13"/>
      <c r="N368" s="13"/>
      <c r="O368" s="40" t="s">
        <v>67</v>
      </c>
      <c r="P368" s="41"/>
      <c r="Q368" s="41"/>
      <c r="R368" s="41"/>
      <c r="S368" s="41"/>
      <c r="T368" s="13"/>
      <c r="U368" s="41"/>
      <c r="V368" s="41"/>
      <c r="W368" s="41"/>
      <c r="X368" s="41"/>
      <c r="Y368" s="41"/>
      <c r="Z368" s="13"/>
      <c r="AA368" s="13"/>
      <c r="AB368" s="13"/>
      <c r="AC368" s="13"/>
      <c r="AD368" s="40"/>
      <c r="AE368" s="40"/>
      <c r="AF368" s="40"/>
      <c r="AG368" s="40"/>
      <c r="AH368" s="13"/>
      <c r="AI368" s="40"/>
      <c r="AJ368" s="40"/>
      <c r="AK368" s="40"/>
      <c r="AL368" s="40"/>
      <c r="AM368" s="47"/>
      <c r="AN368" s="41"/>
      <c r="AO368" s="41"/>
      <c r="AP368" s="13"/>
      <c r="AQ368" s="40"/>
      <c r="AR368" s="40"/>
      <c r="AS368" s="6"/>
      <c r="AT368" s="6"/>
      <c r="AU368" s="6"/>
      <c r="AV368" s="6"/>
      <c r="AW368" s="12" t="str">
        <f t="shared" si="11"/>
        <v/>
      </c>
      <c r="AX368" s="12" t="str">
        <f t="shared" si="12"/>
        <v/>
      </c>
      <c r="AY368" s="45"/>
    </row>
    <row r="369" spans="1:51" s="21" customFormat="1" ht="20.100000000000001" customHeight="1" x14ac:dyDescent="0.2">
      <c r="A369" s="13">
        <v>363</v>
      </c>
      <c r="B369" s="29" t="s">
        <v>1640</v>
      </c>
      <c r="C369" s="29" t="s">
        <v>1553</v>
      </c>
      <c r="D369" s="30" t="s">
        <v>1647</v>
      </c>
      <c r="E369" s="30" t="s">
        <v>20</v>
      </c>
      <c r="F369" s="30" t="s">
        <v>174</v>
      </c>
      <c r="G369" s="30"/>
      <c r="H369" s="20" t="s">
        <v>83</v>
      </c>
      <c r="I369" s="20"/>
      <c r="J369" s="20"/>
      <c r="K369" s="20"/>
      <c r="L369" s="20"/>
      <c r="M369" s="20"/>
      <c r="N369" s="20"/>
      <c r="O369" s="29" t="s">
        <v>92</v>
      </c>
      <c r="P369" s="30"/>
      <c r="Q369" s="30" t="s">
        <v>68</v>
      </c>
      <c r="R369" s="30" t="s">
        <v>1648</v>
      </c>
      <c r="S369" s="30" t="s">
        <v>119</v>
      </c>
      <c r="T369" s="20" t="s">
        <v>107</v>
      </c>
      <c r="U369" s="30"/>
      <c r="V369" s="30" t="s">
        <v>263</v>
      </c>
      <c r="W369" s="30" t="s">
        <v>1649</v>
      </c>
      <c r="X369" s="30" t="s">
        <v>119</v>
      </c>
      <c r="Y369" s="30" t="s">
        <v>107</v>
      </c>
      <c r="Z369" s="20" t="s">
        <v>1650</v>
      </c>
      <c r="AA369" s="20"/>
      <c r="AB369" s="20"/>
      <c r="AC369" s="20">
        <v>174</v>
      </c>
      <c r="AD369" s="29"/>
      <c r="AE369" s="29"/>
      <c r="AF369" s="29"/>
      <c r="AG369" s="29"/>
      <c r="AH369" s="20"/>
      <c r="AI369" s="29"/>
      <c r="AJ369" s="29"/>
      <c r="AK369" s="29"/>
      <c r="AL369" s="29"/>
      <c r="AM369" s="39"/>
      <c r="AN369" s="30"/>
      <c r="AO369" s="30"/>
      <c r="AP369" s="20"/>
      <c r="AQ369" s="29"/>
      <c r="AR369" s="29"/>
      <c r="AS369" s="30" t="s">
        <v>115</v>
      </c>
      <c r="AT369" s="30" t="s">
        <v>266</v>
      </c>
      <c r="AU369" s="30" t="s">
        <v>136</v>
      </c>
      <c r="AV369" s="30" t="s">
        <v>116</v>
      </c>
      <c r="AW369" s="31">
        <f t="shared" si="11"/>
        <v>10</v>
      </c>
      <c r="AX369" s="31">
        <f t="shared" si="12"/>
        <v>10</v>
      </c>
      <c r="AY369" s="32"/>
    </row>
    <row r="370" spans="1:51" s="21" customFormat="1" ht="20.100000000000001" customHeight="1" x14ac:dyDescent="0.2">
      <c r="A370" s="13">
        <v>364</v>
      </c>
      <c r="B370" s="29" t="s">
        <v>1651</v>
      </c>
      <c r="C370" s="29" t="s">
        <v>1553</v>
      </c>
      <c r="D370" s="30" t="s">
        <v>1652</v>
      </c>
      <c r="E370" s="30" t="s">
        <v>10</v>
      </c>
      <c r="F370" s="30" t="s">
        <v>922</v>
      </c>
      <c r="G370" s="30"/>
      <c r="H370" s="20" t="s">
        <v>83</v>
      </c>
      <c r="I370" s="20"/>
      <c r="J370" s="20"/>
      <c r="K370" s="20"/>
      <c r="L370" s="20"/>
      <c r="M370" s="20"/>
      <c r="N370" s="20"/>
      <c r="O370" s="29" t="s">
        <v>67</v>
      </c>
      <c r="P370" s="30"/>
      <c r="Q370" s="30" t="s">
        <v>155</v>
      </c>
      <c r="R370" s="30" t="s">
        <v>1653</v>
      </c>
      <c r="S370" s="30" t="s">
        <v>69</v>
      </c>
      <c r="T370" s="20" t="s">
        <v>70</v>
      </c>
      <c r="U370" s="30"/>
      <c r="V370" s="30" t="s">
        <v>324</v>
      </c>
      <c r="W370" s="30" t="s">
        <v>1654</v>
      </c>
      <c r="X370" s="30" t="s">
        <v>119</v>
      </c>
      <c r="Y370" s="30" t="s">
        <v>107</v>
      </c>
      <c r="Z370" s="20" t="s">
        <v>1655</v>
      </c>
      <c r="AA370" s="20"/>
      <c r="AB370" s="20"/>
      <c r="AC370" s="20">
        <v>210</v>
      </c>
      <c r="AD370" s="29"/>
      <c r="AE370" s="29"/>
      <c r="AF370" s="29"/>
      <c r="AG370" s="29"/>
      <c r="AH370" s="20"/>
      <c r="AI370" s="29"/>
      <c r="AJ370" s="29"/>
      <c r="AK370" s="29"/>
      <c r="AL370" s="29"/>
      <c r="AM370" s="39"/>
      <c r="AN370" s="30"/>
      <c r="AO370" s="30"/>
      <c r="AP370" s="20"/>
      <c r="AQ370" s="29"/>
      <c r="AR370" s="29"/>
      <c r="AS370" s="30" t="s">
        <v>115</v>
      </c>
      <c r="AT370" s="30" t="s">
        <v>266</v>
      </c>
      <c r="AU370" s="30" t="s">
        <v>136</v>
      </c>
      <c r="AV370" s="30" t="s">
        <v>260</v>
      </c>
      <c r="AW370" s="31">
        <f t="shared" si="11"/>
        <v>9</v>
      </c>
      <c r="AX370" s="31">
        <f t="shared" si="12"/>
        <v>9</v>
      </c>
      <c r="AY370" s="32"/>
    </row>
    <row r="371" spans="1:51" s="19" customFormat="1" ht="20.100000000000001" customHeight="1" x14ac:dyDescent="0.2">
      <c r="A371" s="13">
        <v>365</v>
      </c>
      <c r="B371" s="16" t="s">
        <v>1651</v>
      </c>
      <c r="C371" s="16" t="s">
        <v>1553</v>
      </c>
      <c r="D371" s="6" t="s">
        <v>1656</v>
      </c>
      <c r="E371" s="6" t="s">
        <v>243</v>
      </c>
      <c r="F371" s="6" t="s">
        <v>922</v>
      </c>
      <c r="G371" s="6"/>
      <c r="H371" s="15" t="s">
        <v>83</v>
      </c>
      <c r="I371" s="15"/>
      <c r="J371" s="15"/>
      <c r="K371" s="15"/>
      <c r="L371" s="15"/>
      <c r="M371" s="15"/>
      <c r="N371" s="15"/>
      <c r="O371" s="16" t="s">
        <v>92</v>
      </c>
      <c r="P371" s="6"/>
      <c r="Q371" s="6" t="s">
        <v>68</v>
      </c>
      <c r="R371" s="6" t="s">
        <v>1657</v>
      </c>
      <c r="S371" s="6" t="s">
        <v>69</v>
      </c>
      <c r="T371" s="15" t="s">
        <v>70</v>
      </c>
      <c r="U371" s="6"/>
      <c r="V371" s="6" t="s">
        <v>332</v>
      </c>
      <c r="W371" s="6" t="s">
        <v>1658</v>
      </c>
      <c r="X371" s="6" t="s">
        <v>69</v>
      </c>
      <c r="Y371" s="6" t="s">
        <v>70</v>
      </c>
      <c r="Z371" s="15" t="s">
        <v>1659</v>
      </c>
      <c r="AA371" s="15"/>
      <c r="AB371" s="15"/>
      <c r="AC371" s="15">
        <v>128</v>
      </c>
      <c r="AD371" s="16"/>
      <c r="AE371" s="16"/>
      <c r="AF371" s="16"/>
      <c r="AG371" s="16"/>
      <c r="AH371" s="15"/>
      <c r="AI371" s="16"/>
      <c r="AJ371" s="16"/>
      <c r="AK371" s="16"/>
      <c r="AL371" s="16"/>
      <c r="AM371" s="17"/>
      <c r="AN371" s="6"/>
      <c r="AO371" s="6"/>
      <c r="AP371" s="15"/>
      <c r="AQ371" s="16"/>
      <c r="AR371" s="16"/>
      <c r="AS371" s="6" t="s">
        <v>115</v>
      </c>
      <c r="AT371" s="6" t="s">
        <v>266</v>
      </c>
      <c r="AU371" s="6" t="s">
        <v>136</v>
      </c>
      <c r="AV371" s="6" t="s">
        <v>1247</v>
      </c>
      <c r="AW371" s="46">
        <f t="shared" si="11"/>
        <v>16</v>
      </c>
      <c r="AX371" s="46" t="str">
        <f t="shared" si="12"/>
        <v/>
      </c>
      <c r="AY371" s="18"/>
    </row>
    <row r="372" spans="1:51" ht="20.100000000000001" customHeight="1" x14ac:dyDescent="0.2">
      <c r="A372" s="13">
        <v>366</v>
      </c>
      <c r="B372" s="40" t="s">
        <v>1660</v>
      </c>
      <c r="C372" s="40" t="s">
        <v>1553</v>
      </c>
      <c r="D372" s="41" t="s">
        <v>1456</v>
      </c>
      <c r="E372" s="41" t="s">
        <v>8</v>
      </c>
      <c r="F372" s="41"/>
      <c r="G372" s="41"/>
      <c r="H372" s="13" t="s">
        <v>7</v>
      </c>
      <c r="I372" s="47" t="s">
        <v>158</v>
      </c>
      <c r="J372" s="13"/>
      <c r="K372" s="13"/>
      <c r="L372" s="13"/>
      <c r="M372" s="13"/>
      <c r="N372" s="13"/>
      <c r="O372" s="40" t="s">
        <v>92</v>
      </c>
      <c r="P372" s="41" t="s">
        <v>155</v>
      </c>
      <c r="Q372" s="41" t="s">
        <v>155</v>
      </c>
      <c r="R372" s="41" t="s">
        <v>1661</v>
      </c>
      <c r="S372" s="41" t="s">
        <v>69</v>
      </c>
      <c r="T372" s="13" t="s">
        <v>70</v>
      </c>
      <c r="U372" s="35" t="s">
        <v>324</v>
      </c>
      <c r="V372" s="35" t="s">
        <v>167</v>
      </c>
      <c r="W372" s="41" t="s">
        <v>1073</v>
      </c>
      <c r="X372" s="41" t="s">
        <v>106</v>
      </c>
      <c r="Y372" s="41" t="s">
        <v>107</v>
      </c>
      <c r="Z372" s="13">
        <v>0</v>
      </c>
      <c r="AA372" s="13">
        <v>209</v>
      </c>
      <c r="AB372" s="13">
        <v>209</v>
      </c>
      <c r="AC372" s="13">
        <v>192</v>
      </c>
      <c r="AD372" s="40">
        <v>192</v>
      </c>
      <c r="AE372" s="40">
        <v>100</v>
      </c>
      <c r="AF372" s="40">
        <v>132</v>
      </c>
      <c r="AG372" s="40">
        <v>5</v>
      </c>
      <c r="AH372" s="13">
        <v>71</v>
      </c>
      <c r="AI372" s="40">
        <v>208</v>
      </c>
      <c r="AJ372" s="40">
        <v>20</v>
      </c>
      <c r="AK372" s="40"/>
      <c r="AL372" s="40"/>
      <c r="AM372" s="33" t="s">
        <v>158</v>
      </c>
      <c r="AN372" s="41" t="s">
        <v>1662</v>
      </c>
      <c r="AO372" s="41" t="s">
        <v>1663</v>
      </c>
      <c r="AP372" s="13">
        <v>20</v>
      </c>
      <c r="AQ372" s="40"/>
      <c r="AR372" s="40"/>
      <c r="AS372" s="6"/>
      <c r="AT372" s="6"/>
      <c r="AU372" s="6"/>
      <c r="AV372" s="6"/>
      <c r="AW372" s="12" t="str">
        <f t="shared" si="11"/>
        <v/>
      </c>
      <c r="AX372" s="12" t="str">
        <f t="shared" si="12"/>
        <v/>
      </c>
      <c r="AY372" s="45"/>
    </row>
    <row r="373" spans="1:51" s="21" customFormat="1" ht="20.100000000000001" customHeight="1" x14ac:dyDescent="0.2">
      <c r="A373" s="13">
        <v>367</v>
      </c>
      <c r="B373" s="29" t="s">
        <v>1660</v>
      </c>
      <c r="C373" s="29" t="s">
        <v>1553</v>
      </c>
      <c r="D373" s="30" t="s">
        <v>1664</v>
      </c>
      <c r="E373" s="30" t="s">
        <v>19</v>
      </c>
      <c r="F373" s="30" t="s">
        <v>481</v>
      </c>
      <c r="G373" s="58" t="s">
        <v>1665</v>
      </c>
      <c r="H373" s="20" t="s">
        <v>83</v>
      </c>
      <c r="I373" s="20"/>
      <c r="J373" s="20"/>
      <c r="K373" s="20"/>
      <c r="L373" s="20"/>
      <c r="M373" s="20"/>
      <c r="N373" s="20"/>
      <c r="O373" s="29" t="s">
        <v>67</v>
      </c>
      <c r="P373" s="30"/>
      <c r="Q373" s="30" t="s">
        <v>104</v>
      </c>
      <c r="R373" s="30" t="s">
        <v>1666</v>
      </c>
      <c r="S373" s="30" t="s">
        <v>69</v>
      </c>
      <c r="T373" s="20" t="s">
        <v>70</v>
      </c>
      <c r="U373" s="30"/>
      <c r="V373" s="30" t="s">
        <v>402</v>
      </c>
      <c r="W373" s="30" t="s">
        <v>1667</v>
      </c>
      <c r="X373" s="30" t="s">
        <v>262</v>
      </c>
      <c r="Y373" s="30" t="s">
        <v>70</v>
      </c>
      <c r="Z373" s="20" t="s">
        <v>1668</v>
      </c>
      <c r="AA373" s="20"/>
      <c r="AB373" s="20"/>
      <c r="AC373" s="20">
        <v>204</v>
      </c>
      <c r="AD373" s="29"/>
      <c r="AE373" s="29"/>
      <c r="AF373" s="29"/>
      <c r="AG373" s="29"/>
      <c r="AH373" s="20"/>
      <c r="AI373" s="29"/>
      <c r="AJ373" s="29"/>
      <c r="AK373" s="29"/>
      <c r="AL373" s="29"/>
      <c r="AM373" s="39"/>
      <c r="AN373" s="30"/>
      <c r="AO373" s="30"/>
      <c r="AP373" s="20"/>
      <c r="AQ373" s="29"/>
      <c r="AR373" s="29"/>
      <c r="AS373" s="30" t="s">
        <v>115</v>
      </c>
      <c r="AT373" s="30" t="s">
        <v>266</v>
      </c>
      <c r="AU373" s="30" t="s">
        <v>136</v>
      </c>
      <c r="AV373" s="30" t="s">
        <v>260</v>
      </c>
      <c r="AW373" s="31">
        <f t="shared" si="11"/>
        <v>9</v>
      </c>
      <c r="AX373" s="31">
        <f t="shared" si="12"/>
        <v>9</v>
      </c>
      <c r="AY373" s="32"/>
    </row>
    <row r="374" spans="1:51" ht="20.100000000000001" customHeight="1" x14ac:dyDescent="0.2">
      <c r="A374" s="13">
        <v>368</v>
      </c>
      <c r="B374" s="40" t="s">
        <v>1669</v>
      </c>
      <c r="C374" s="40" t="s">
        <v>1553</v>
      </c>
      <c r="D374" s="41" t="s">
        <v>1670</v>
      </c>
      <c r="E374" s="41" t="s">
        <v>8</v>
      </c>
      <c r="F374" s="41"/>
      <c r="G374" s="41"/>
      <c r="H374" s="13" t="s">
        <v>7</v>
      </c>
      <c r="I374" s="47" t="s">
        <v>158</v>
      </c>
      <c r="J374" s="13"/>
      <c r="K374" s="13"/>
      <c r="L374" s="13"/>
      <c r="M374" s="13"/>
      <c r="N374" s="13"/>
      <c r="O374" s="40" t="s">
        <v>92</v>
      </c>
      <c r="P374" s="41" t="s">
        <v>140</v>
      </c>
      <c r="Q374" s="41" t="s">
        <v>140</v>
      </c>
      <c r="R374" s="41" t="s">
        <v>888</v>
      </c>
      <c r="S374" s="41" t="s">
        <v>106</v>
      </c>
      <c r="T374" s="13" t="s">
        <v>107</v>
      </c>
      <c r="U374" s="41" t="s">
        <v>143</v>
      </c>
      <c r="V374" s="41" t="s">
        <v>143</v>
      </c>
      <c r="W374" s="41" t="s">
        <v>1671</v>
      </c>
      <c r="X374" s="41" t="s">
        <v>106</v>
      </c>
      <c r="Y374" s="41" t="s">
        <v>107</v>
      </c>
      <c r="Z374" s="13">
        <v>0</v>
      </c>
      <c r="AA374" s="13">
        <v>167</v>
      </c>
      <c r="AB374" s="13">
        <v>167</v>
      </c>
      <c r="AC374" s="33">
        <v>96</v>
      </c>
      <c r="AD374" s="34">
        <v>156</v>
      </c>
      <c r="AE374" s="40">
        <v>46</v>
      </c>
      <c r="AF374" s="40"/>
      <c r="AG374" s="40">
        <v>7</v>
      </c>
      <c r="AH374" s="13">
        <v>60</v>
      </c>
      <c r="AI374" s="40">
        <v>95</v>
      </c>
      <c r="AJ374" s="40">
        <v>25</v>
      </c>
      <c r="AK374" s="40"/>
      <c r="AL374" s="40"/>
      <c r="AM374" s="47"/>
      <c r="AN374" s="41" t="s">
        <v>1660</v>
      </c>
      <c r="AO374" s="41" t="s">
        <v>1672</v>
      </c>
      <c r="AP374" s="13">
        <v>25</v>
      </c>
      <c r="AQ374" s="40"/>
      <c r="AR374" s="40"/>
      <c r="AS374" s="6"/>
      <c r="AT374" s="6"/>
      <c r="AU374" s="6"/>
      <c r="AV374" s="6"/>
      <c r="AW374" s="12" t="str">
        <f t="shared" si="11"/>
        <v/>
      </c>
      <c r="AX374" s="12" t="str">
        <f t="shared" si="12"/>
        <v/>
      </c>
      <c r="AY374" s="45"/>
    </row>
    <row r="375" spans="1:51" ht="20.100000000000001" customHeight="1" x14ac:dyDescent="0.2">
      <c r="A375" s="13">
        <v>369</v>
      </c>
      <c r="B375" s="40" t="s">
        <v>1669</v>
      </c>
      <c r="C375" s="40" t="s">
        <v>1553</v>
      </c>
      <c r="D375" s="41" t="s">
        <v>1508</v>
      </c>
      <c r="E375" s="41" t="s">
        <v>10</v>
      </c>
      <c r="F375" s="41"/>
      <c r="G375" s="41"/>
      <c r="H375" s="13" t="s">
        <v>7</v>
      </c>
      <c r="I375" s="47" t="s">
        <v>158</v>
      </c>
      <c r="J375" s="13"/>
      <c r="K375" s="13"/>
      <c r="L375" s="13"/>
      <c r="M375" s="13"/>
      <c r="N375" s="13"/>
      <c r="O375" s="40" t="s">
        <v>67</v>
      </c>
      <c r="P375" s="41" t="s">
        <v>117</v>
      </c>
      <c r="Q375" s="41" t="s">
        <v>117</v>
      </c>
      <c r="R375" s="41" t="s">
        <v>1419</v>
      </c>
      <c r="S375" s="41" t="s">
        <v>106</v>
      </c>
      <c r="T375" s="13" t="s">
        <v>107</v>
      </c>
      <c r="U375" s="35" t="s">
        <v>204</v>
      </c>
      <c r="V375" s="35" t="s">
        <v>153</v>
      </c>
      <c r="W375" s="41" t="s">
        <v>1673</v>
      </c>
      <c r="X375" s="41" t="s">
        <v>73</v>
      </c>
      <c r="Y375" s="41" t="s">
        <v>70</v>
      </c>
      <c r="Z375" s="13">
        <v>0</v>
      </c>
      <c r="AA375" s="13">
        <v>196</v>
      </c>
      <c r="AB375" s="13">
        <v>196</v>
      </c>
      <c r="AC375" s="13">
        <v>192</v>
      </c>
      <c r="AD375" s="40">
        <v>192</v>
      </c>
      <c r="AE375" s="40">
        <v>161</v>
      </c>
      <c r="AF375" s="40">
        <v>181</v>
      </c>
      <c r="AG375" s="40">
        <v>11</v>
      </c>
      <c r="AH375" s="13">
        <v>10</v>
      </c>
      <c r="AI375" s="40">
        <v>202</v>
      </c>
      <c r="AJ375" s="40">
        <v>10</v>
      </c>
      <c r="AK375" s="40"/>
      <c r="AL375" s="40"/>
      <c r="AM375" s="33" t="s">
        <v>158</v>
      </c>
      <c r="AN375" s="41" t="s">
        <v>1660</v>
      </c>
      <c r="AO375" s="41" t="s">
        <v>1674</v>
      </c>
      <c r="AP375" s="13">
        <v>10</v>
      </c>
      <c r="AQ375" s="40"/>
      <c r="AR375" s="40"/>
      <c r="AS375" s="6"/>
      <c r="AT375" s="6"/>
      <c r="AU375" s="6"/>
      <c r="AV375" s="6"/>
      <c r="AW375" s="12" t="str">
        <f t="shared" si="11"/>
        <v/>
      </c>
      <c r="AX375" s="12" t="str">
        <f t="shared" si="12"/>
        <v/>
      </c>
      <c r="AY375" s="45"/>
    </row>
    <row r="376" spans="1:51" ht="21.75" x14ac:dyDescent="0.2">
      <c r="A376" s="13">
        <v>370</v>
      </c>
      <c r="B376" s="40" t="s">
        <v>1669</v>
      </c>
      <c r="C376" s="40" t="s">
        <v>1553</v>
      </c>
      <c r="D376" s="41" t="s">
        <v>1675</v>
      </c>
      <c r="E376" s="41" t="s">
        <v>8</v>
      </c>
      <c r="F376" s="6" t="s">
        <v>186</v>
      </c>
      <c r="G376" s="37" t="s">
        <v>1597</v>
      </c>
      <c r="H376" s="13" t="s">
        <v>83</v>
      </c>
      <c r="I376" s="13"/>
      <c r="J376" s="13"/>
      <c r="K376" s="13"/>
      <c r="L376" s="13"/>
      <c r="M376" s="13"/>
      <c r="N376" s="13"/>
      <c r="O376" s="40" t="s">
        <v>93</v>
      </c>
      <c r="P376" s="41"/>
      <c r="Q376" s="41" t="s">
        <v>117</v>
      </c>
      <c r="R376" s="41" t="s">
        <v>1676</v>
      </c>
      <c r="S376" s="41" t="s">
        <v>574</v>
      </c>
      <c r="T376" s="13" t="s">
        <v>107</v>
      </c>
      <c r="U376" s="41"/>
      <c r="V376" s="41" t="s">
        <v>204</v>
      </c>
      <c r="W376" s="41" t="s">
        <v>1677</v>
      </c>
      <c r="X376" s="41" t="s">
        <v>142</v>
      </c>
      <c r="Y376" s="41" t="s">
        <v>70</v>
      </c>
      <c r="Z376" s="13" t="s">
        <v>1678</v>
      </c>
      <c r="AA376" s="13"/>
      <c r="AB376" s="13"/>
      <c r="AC376" s="13">
        <v>186</v>
      </c>
      <c r="AD376" s="40"/>
      <c r="AE376" s="40"/>
      <c r="AF376" s="40"/>
      <c r="AG376" s="40"/>
      <c r="AH376" s="13"/>
      <c r="AI376" s="40"/>
      <c r="AJ376" s="40"/>
      <c r="AK376" s="40"/>
      <c r="AL376" s="40"/>
      <c r="AM376" s="47"/>
      <c r="AN376" s="41"/>
      <c r="AO376" s="41"/>
      <c r="AP376" s="13"/>
      <c r="AQ376" s="40"/>
      <c r="AR376" s="40"/>
      <c r="AS376" s="6" t="s">
        <v>115</v>
      </c>
      <c r="AT376" s="6" t="s">
        <v>266</v>
      </c>
      <c r="AU376" s="6" t="s">
        <v>348</v>
      </c>
      <c r="AV376" s="6" t="s">
        <v>260</v>
      </c>
      <c r="AW376" s="12">
        <f t="shared" si="11"/>
        <v>33</v>
      </c>
      <c r="AX376" s="12" t="str">
        <f t="shared" si="12"/>
        <v/>
      </c>
      <c r="AY376" s="45" t="s">
        <v>1679</v>
      </c>
    </row>
    <row r="377" spans="1:51" ht="20.100000000000001" customHeight="1" x14ac:dyDescent="0.2">
      <c r="A377" s="13">
        <v>371</v>
      </c>
      <c r="B377" s="40" t="s">
        <v>1680</v>
      </c>
      <c r="C377" s="40" t="s">
        <v>1553</v>
      </c>
      <c r="D377" s="41" t="s">
        <v>1011</v>
      </c>
      <c r="E377" s="41" t="s">
        <v>66</v>
      </c>
      <c r="F377" s="41"/>
      <c r="G377" s="41"/>
      <c r="H377" s="13" t="s">
        <v>7</v>
      </c>
      <c r="I377" s="13"/>
      <c r="J377" s="13"/>
      <c r="K377" s="13"/>
      <c r="L377" s="13"/>
      <c r="M377" s="13"/>
      <c r="N377" s="13"/>
      <c r="O377" s="40" t="s">
        <v>814</v>
      </c>
      <c r="P377" s="41" t="s">
        <v>334</v>
      </c>
      <c r="Q377" s="41" t="s">
        <v>334</v>
      </c>
      <c r="R377" s="41" t="s">
        <v>1681</v>
      </c>
      <c r="S377" s="41" t="s">
        <v>106</v>
      </c>
      <c r="T377" s="13" t="s">
        <v>107</v>
      </c>
      <c r="U377" s="6" t="s">
        <v>1013</v>
      </c>
      <c r="V377" s="6" t="s">
        <v>1013</v>
      </c>
      <c r="W377" s="41" t="s">
        <v>1682</v>
      </c>
      <c r="X377" s="41" t="s">
        <v>106</v>
      </c>
      <c r="Y377" s="41" t="s">
        <v>107</v>
      </c>
      <c r="Z377" s="13" t="s">
        <v>1683</v>
      </c>
      <c r="AA377" s="13">
        <v>192</v>
      </c>
      <c r="AB377" s="13">
        <v>192</v>
      </c>
      <c r="AC377" s="13">
        <v>177</v>
      </c>
      <c r="AD377" s="40">
        <v>177</v>
      </c>
      <c r="AE377" s="40">
        <v>94</v>
      </c>
      <c r="AF377" s="40">
        <v>165</v>
      </c>
      <c r="AG377" s="40">
        <v>10</v>
      </c>
      <c r="AH377" s="13">
        <v>30</v>
      </c>
      <c r="AI377" s="40">
        <v>148</v>
      </c>
      <c r="AJ377" s="40">
        <v>9</v>
      </c>
      <c r="AK377" s="40"/>
      <c r="AL377" s="40"/>
      <c r="AM377" s="47"/>
      <c r="AN377" s="41"/>
      <c r="AO377" s="41"/>
      <c r="AP377" s="13"/>
      <c r="AQ377" s="40"/>
      <c r="AR377" s="40"/>
      <c r="AS377" s="6"/>
      <c r="AT377" s="6"/>
      <c r="AU377" s="6"/>
      <c r="AV377" s="6"/>
      <c r="AW377" s="12" t="str">
        <f t="shared" si="11"/>
        <v/>
      </c>
      <c r="AX377" s="12" t="str">
        <f t="shared" si="12"/>
        <v/>
      </c>
      <c r="AY377" s="45"/>
    </row>
    <row r="378" spans="1:51" s="19" customFormat="1" ht="20.100000000000001" customHeight="1" x14ac:dyDescent="0.2">
      <c r="A378" s="13">
        <v>372</v>
      </c>
      <c r="B378" s="16" t="s">
        <v>1680</v>
      </c>
      <c r="C378" s="16" t="s">
        <v>1553</v>
      </c>
      <c r="D378" s="6" t="s">
        <v>1684</v>
      </c>
      <c r="E378" s="6" t="s">
        <v>20</v>
      </c>
      <c r="F378" s="6" t="s">
        <v>186</v>
      </c>
      <c r="G378" s="6"/>
      <c r="H378" s="15" t="s">
        <v>83</v>
      </c>
      <c r="I378" s="15"/>
      <c r="J378" s="15"/>
      <c r="K378" s="15"/>
      <c r="L378" s="15"/>
      <c r="M378" s="15"/>
      <c r="N378" s="15"/>
      <c r="O378" s="16" t="s">
        <v>67</v>
      </c>
      <c r="P378" s="6"/>
      <c r="Q378" s="6" t="s">
        <v>104</v>
      </c>
      <c r="R378" s="6" t="s">
        <v>1685</v>
      </c>
      <c r="S378" s="6" t="s">
        <v>69</v>
      </c>
      <c r="T378" s="15" t="s">
        <v>70</v>
      </c>
      <c r="U378" s="6"/>
      <c r="V378" s="6" t="s">
        <v>1686</v>
      </c>
      <c r="W378" s="6" t="s">
        <v>1687</v>
      </c>
      <c r="X378" s="6" t="s">
        <v>73</v>
      </c>
      <c r="Y378" s="6" t="s">
        <v>70</v>
      </c>
      <c r="Z378" s="15" t="s">
        <v>1688</v>
      </c>
      <c r="AA378" s="15"/>
      <c r="AB378" s="15"/>
      <c r="AC378" s="15">
        <v>222</v>
      </c>
      <c r="AD378" s="16"/>
      <c r="AE378" s="16"/>
      <c r="AF378" s="16"/>
      <c r="AG378" s="16"/>
      <c r="AH378" s="15"/>
      <c r="AI378" s="16"/>
      <c r="AJ378" s="16"/>
      <c r="AK378" s="16"/>
      <c r="AL378" s="16"/>
      <c r="AM378" s="17"/>
      <c r="AN378" s="6"/>
      <c r="AO378" s="6"/>
      <c r="AP378" s="15"/>
      <c r="AQ378" s="16"/>
      <c r="AR378" s="16"/>
      <c r="AS378" s="6" t="s">
        <v>115</v>
      </c>
      <c r="AT378" s="6" t="s">
        <v>266</v>
      </c>
      <c r="AU378" s="6" t="s">
        <v>136</v>
      </c>
      <c r="AV378" s="6" t="s">
        <v>137</v>
      </c>
      <c r="AW378" s="46">
        <f t="shared" si="11"/>
        <v>15</v>
      </c>
      <c r="AX378" s="46" t="str">
        <f t="shared" si="12"/>
        <v/>
      </c>
      <c r="AY378" s="18"/>
    </row>
    <row r="379" spans="1:51" ht="20.100000000000001" customHeight="1" x14ac:dyDescent="0.2">
      <c r="A379" s="13">
        <v>373</v>
      </c>
      <c r="B379" s="40" t="s">
        <v>1680</v>
      </c>
      <c r="C379" s="40" t="s">
        <v>1553</v>
      </c>
      <c r="D379" s="41" t="s">
        <v>1689</v>
      </c>
      <c r="E379" s="41" t="s">
        <v>20</v>
      </c>
      <c r="F379" s="6" t="s">
        <v>186</v>
      </c>
      <c r="G379" s="41"/>
      <c r="H379" s="13" t="s">
        <v>83</v>
      </c>
      <c r="I379" s="13"/>
      <c r="J379" s="13"/>
      <c r="K379" s="13"/>
      <c r="L379" s="13"/>
      <c r="M379" s="13"/>
      <c r="N379" s="13"/>
      <c r="O379" s="40" t="s">
        <v>92</v>
      </c>
      <c r="P379" s="41"/>
      <c r="Q379" s="41" t="s">
        <v>104</v>
      </c>
      <c r="R379" s="41" t="s">
        <v>1690</v>
      </c>
      <c r="S379" s="41" t="s">
        <v>69</v>
      </c>
      <c r="T379" s="13" t="s">
        <v>70</v>
      </c>
      <c r="U379" s="41"/>
      <c r="V379" s="41" t="s">
        <v>1691</v>
      </c>
      <c r="W379" s="41" t="s">
        <v>1692</v>
      </c>
      <c r="X379" s="41" t="s">
        <v>69</v>
      </c>
      <c r="Y379" s="41" t="s">
        <v>70</v>
      </c>
      <c r="Z379" s="13" t="s">
        <v>1693</v>
      </c>
      <c r="AA379" s="13"/>
      <c r="AB379" s="13"/>
      <c r="AC379" s="13">
        <v>216</v>
      </c>
      <c r="AD379" s="40"/>
      <c r="AE379" s="40"/>
      <c r="AF379" s="40"/>
      <c r="AG379" s="40"/>
      <c r="AH379" s="13"/>
      <c r="AI379" s="40"/>
      <c r="AJ379" s="40"/>
      <c r="AK379" s="40"/>
      <c r="AL379" s="40"/>
      <c r="AM379" s="47"/>
      <c r="AN379" s="41"/>
      <c r="AO379" s="41"/>
      <c r="AP379" s="13"/>
      <c r="AQ379" s="40"/>
      <c r="AR379" s="40"/>
      <c r="AS379" s="6" t="s">
        <v>115</v>
      </c>
      <c r="AT379" s="6" t="s">
        <v>266</v>
      </c>
      <c r="AU379" s="6" t="s">
        <v>348</v>
      </c>
      <c r="AV379" s="6" t="s">
        <v>116</v>
      </c>
      <c r="AW379" s="12">
        <f t="shared" si="11"/>
        <v>34</v>
      </c>
      <c r="AX379" s="12" t="str">
        <f t="shared" si="12"/>
        <v/>
      </c>
      <c r="AY379" s="45"/>
    </row>
    <row r="380" spans="1:51" ht="20.100000000000001" customHeight="1" x14ac:dyDescent="0.2">
      <c r="A380" s="13">
        <v>374</v>
      </c>
      <c r="B380" s="40" t="s">
        <v>1694</v>
      </c>
      <c r="C380" s="40" t="s">
        <v>1553</v>
      </c>
      <c r="D380" s="41" t="s">
        <v>1656</v>
      </c>
      <c r="E380" s="41" t="s">
        <v>243</v>
      </c>
      <c r="F380" s="41"/>
      <c r="G380" s="41"/>
      <c r="H380" s="13" t="s">
        <v>7</v>
      </c>
      <c r="I380" s="47" t="s">
        <v>158</v>
      </c>
      <c r="J380" s="13"/>
      <c r="K380" s="13"/>
      <c r="L380" s="13"/>
      <c r="M380" s="13"/>
      <c r="N380" s="13"/>
      <c r="O380" s="40" t="s">
        <v>67</v>
      </c>
      <c r="P380" s="35" t="s">
        <v>68</v>
      </c>
      <c r="Q380" s="35" t="s">
        <v>155</v>
      </c>
      <c r="R380" s="41" t="s">
        <v>780</v>
      </c>
      <c r="S380" s="41" t="s">
        <v>106</v>
      </c>
      <c r="T380" s="13" t="s">
        <v>107</v>
      </c>
      <c r="U380" s="35" t="s">
        <v>332</v>
      </c>
      <c r="V380" s="35" t="s">
        <v>324</v>
      </c>
      <c r="W380" s="41" t="s">
        <v>1333</v>
      </c>
      <c r="X380" s="41" t="s">
        <v>106</v>
      </c>
      <c r="Y380" s="41" t="s">
        <v>107</v>
      </c>
      <c r="Z380" s="13">
        <v>0</v>
      </c>
      <c r="AA380" s="13">
        <v>215</v>
      </c>
      <c r="AB380" s="13">
        <v>215</v>
      </c>
      <c r="AC380" s="13">
        <v>128</v>
      </c>
      <c r="AD380" s="40">
        <v>128</v>
      </c>
      <c r="AE380" s="40">
        <v>59</v>
      </c>
      <c r="AF380" s="40">
        <v>92</v>
      </c>
      <c r="AG380" s="40">
        <v>8</v>
      </c>
      <c r="AH380" s="13">
        <v>63</v>
      </c>
      <c r="AI380" s="40">
        <v>163</v>
      </c>
      <c r="AJ380" s="40">
        <v>30</v>
      </c>
      <c r="AK380" s="40"/>
      <c r="AL380" s="40"/>
      <c r="AM380" s="33" t="s">
        <v>158</v>
      </c>
      <c r="AN380" s="41" t="s">
        <v>1695</v>
      </c>
      <c r="AO380" s="41" t="s">
        <v>1696</v>
      </c>
      <c r="AP380" s="13">
        <v>30</v>
      </c>
      <c r="AQ380" s="40"/>
      <c r="AR380" s="40"/>
      <c r="AS380" s="6"/>
      <c r="AT380" s="6"/>
      <c r="AU380" s="6"/>
      <c r="AV380" s="6"/>
      <c r="AW380" s="12" t="str">
        <f t="shared" si="11"/>
        <v/>
      </c>
      <c r="AX380" s="12" t="str">
        <f t="shared" si="12"/>
        <v/>
      </c>
      <c r="AY380" s="45"/>
    </row>
    <row r="381" spans="1:51" ht="20.100000000000001" customHeight="1" x14ac:dyDescent="0.2">
      <c r="A381" s="13">
        <v>375</v>
      </c>
      <c r="B381" s="40" t="s">
        <v>1697</v>
      </c>
      <c r="C381" s="40" t="s">
        <v>1553</v>
      </c>
      <c r="D381" s="41" t="s">
        <v>1698</v>
      </c>
      <c r="E381" s="41" t="s">
        <v>10</v>
      </c>
      <c r="F381" s="41" t="s">
        <v>1443</v>
      </c>
      <c r="G381" s="41"/>
      <c r="H381" s="13" t="s">
        <v>222</v>
      </c>
      <c r="I381" s="13"/>
      <c r="J381" s="13"/>
      <c r="K381" s="13"/>
      <c r="L381" s="13"/>
      <c r="M381" s="13"/>
      <c r="N381" s="13"/>
      <c r="O381" s="40" t="s">
        <v>67</v>
      </c>
      <c r="P381" s="41"/>
      <c r="Q381" s="41" t="s">
        <v>140</v>
      </c>
      <c r="R381" s="41" t="s">
        <v>1699</v>
      </c>
      <c r="S381" s="41" t="s">
        <v>574</v>
      </c>
      <c r="T381" s="13" t="s">
        <v>107</v>
      </c>
      <c r="U381" s="41"/>
      <c r="V381" s="41" t="s">
        <v>328</v>
      </c>
      <c r="W381" s="41" t="s">
        <v>1700</v>
      </c>
      <c r="X381" s="41" t="s">
        <v>69</v>
      </c>
      <c r="Y381" s="41" t="s">
        <v>70</v>
      </c>
      <c r="Z381" s="13" t="s">
        <v>1701</v>
      </c>
      <c r="AA381" s="13"/>
      <c r="AB381" s="13"/>
      <c r="AC381" s="13">
        <v>168</v>
      </c>
      <c r="AD381" s="40"/>
      <c r="AE381" s="40"/>
      <c r="AF381" s="40"/>
      <c r="AG381" s="40"/>
      <c r="AH381" s="13"/>
      <c r="AI381" s="40"/>
      <c r="AJ381" s="40"/>
      <c r="AK381" s="40"/>
      <c r="AL381" s="40"/>
      <c r="AM381" s="47"/>
      <c r="AN381" s="41"/>
      <c r="AO381" s="41"/>
      <c r="AP381" s="13"/>
      <c r="AQ381" s="40"/>
      <c r="AR381" s="40"/>
      <c r="AS381" s="6" t="s">
        <v>115</v>
      </c>
      <c r="AT381" s="6" t="s">
        <v>266</v>
      </c>
      <c r="AU381" s="6" t="s">
        <v>348</v>
      </c>
      <c r="AV381" s="6" t="s">
        <v>441</v>
      </c>
      <c r="AW381" s="12">
        <f t="shared" si="11"/>
        <v>35</v>
      </c>
      <c r="AX381" s="12" t="str">
        <f t="shared" si="12"/>
        <v/>
      </c>
      <c r="AY381" s="45"/>
    </row>
    <row r="382" spans="1:51" ht="21.75" x14ac:dyDescent="0.2">
      <c r="A382" s="13">
        <v>376</v>
      </c>
      <c r="B382" s="40" t="s">
        <v>1697</v>
      </c>
      <c r="C382" s="40" t="s">
        <v>1553</v>
      </c>
      <c r="D382" s="41" t="s">
        <v>1702</v>
      </c>
      <c r="E382" s="41" t="s">
        <v>19</v>
      </c>
      <c r="F382" s="41" t="s">
        <v>1703</v>
      </c>
      <c r="G382" s="37" t="s">
        <v>1597</v>
      </c>
      <c r="H382" s="13" t="s">
        <v>222</v>
      </c>
      <c r="I382" s="13"/>
      <c r="J382" s="13"/>
      <c r="K382" s="13"/>
      <c r="L382" s="13"/>
      <c r="M382" s="13"/>
      <c r="N382" s="13"/>
      <c r="O382" s="40" t="s">
        <v>92</v>
      </c>
      <c r="P382" s="41"/>
      <c r="Q382" s="41" t="s">
        <v>334</v>
      </c>
      <c r="R382" s="41" t="s">
        <v>985</v>
      </c>
      <c r="S382" s="41" t="s">
        <v>262</v>
      </c>
      <c r="T382" s="13" t="s">
        <v>70</v>
      </c>
      <c r="U382" s="41"/>
      <c r="V382" s="41" t="s">
        <v>1704</v>
      </c>
      <c r="W382" s="41" t="s">
        <v>1705</v>
      </c>
      <c r="X382" s="41" t="s">
        <v>119</v>
      </c>
      <c r="Y382" s="41" t="s">
        <v>107</v>
      </c>
      <c r="Z382" s="13" t="s">
        <v>524</v>
      </c>
      <c r="AA382" s="13"/>
      <c r="AB382" s="13"/>
      <c r="AC382" s="13">
        <v>126</v>
      </c>
      <c r="AD382" s="40"/>
      <c r="AE382" s="40"/>
      <c r="AF382" s="40"/>
      <c r="AG382" s="40"/>
      <c r="AH382" s="13"/>
      <c r="AI382" s="40"/>
      <c r="AJ382" s="40"/>
      <c r="AK382" s="40"/>
      <c r="AL382" s="40"/>
      <c r="AM382" s="47"/>
      <c r="AN382" s="41"/>
      <c r="AO382" s="41"/>
      <c r="AP382" s="13"/>
      <c r="AQ382" s="40"/>
      <c r="AR382" s="40"/>
      <c r="AS382" s="6" t="s">
        <v>115</v>
      </c>
      <c r="AT382" s="6" t="s">
        <v>266</v>
      </c>
      <c r="AU382" s="6" t="s">
        <v>123</v>
      </c>
      <c r="AV382" s="6" t="s">
        <v>235</v>
      </c>
      <c r="AW382" s="12">
        <f t="shared" si="11"/>
        <v>54</v>
      </c>
      <c r="AX382" s="12" t="str">
        <f t="shared" si="12"/>
        <v/>
      </c>
      <c r="AY382" s="45" t="s">
        <v>1706</v>
      </c>
    </row>
    <row r="383" spans="1:51" ht="20.100000000000001" customHeight="1" x14ac:dyDescent="0.2">
      <c r="A383" s="13">
        <v>377</v>
      </c>
      <c r="B383" s="40" t="s">
        <v>1707</v>
      </c>
      <c r="C383" s="40" t="s">
        <v>1553</v>
      </c>
      <c r="D383" s="41" t="s">
        <v>1708</v>
      </c>
      <c r="E383" s="41" t="s">
        <v>19</v>
      </c>
      <c r="F383" s="41" t="s">
        <v>1443</v>
      </c>
      <c r="G383" s="41"/>
      <c r="H383" s="13" t="s">
        <v>222</v>
      </c>
      <c r="I383" s="13"/>
      <c r="J383" s="13"/>
      <c r="K383" s="13"/>
      <c r="L383" s="13"/>
      <c r="M383" s="13"/>
      <c r="N383" s="13"/>
      <c r="O383" s="40" t="s">
        <v>93</v>
      </c>
      <c r="P383" s="41"/>
      <c r="Q383" s="41" t="s">
        <v>141</v>
      </c>
      <c r="R383" s="41" t="s">
        <v>1601</v>
      </c>
      <c r="S383" s="41" t="s">
        <v>262</v>
      </c>
      <c r="T383" s="13" t="s">
        <v>70</v>
      </c>
      <c r="U383" s="41"/>
      <c r="V383" s="41" t="s">
        <v>998</v>
      </c>
      <c r="W383" s="41" t="s">
        <v>1709</v>
      </c>
      <c r="X383" s="41" t="s">
        <v>119</v>
      </c>
      <c r="Y383" s="41" t="s">
        <v>107</v>
      </c>
      <c r="Z383" s="13" t="s">
        <v>1710</v>
      </c>
      <c r="AA383" s="13"/>
      <c r="AB383" s="13"/>
      <c r="AC383" s="13">
        <v>85</v>
      </c>
      <c r="AD383" s="40"/>
      <c r="AE383" s="40"/>
      <c r="AF383" s="40"/>
      <c r="AG383" s="40"/>
      <c r="AH383" s="13"/>
      <c r="AI383" s="40"/>
      <c r="AJ383" s="40"/>
      <c r="AK383" s="40"/>
      <c r="AL383" s="40"/>
      <c r="AM383" s="47"/>
      <c r="AN383" s="41"/>
      <c r="AO383" s="41"/>
      <c r="AP383" s="13"/>
      <c r="AQ383" s="40"/>
      <c r="AR383" s="40"/>
      <c r="AS383" s="6" t="s">
        <v>115</v>
      </c>
      <c r="AT383" s="6" t="s">
        <v>266</v>
      </c>
      <c r="AU383" s="6" t="s">
        <v>123</v>
      </c>
      <c r="AV383" s="6" t="s">
        <v>1247</v>
      </c>
      <c r="AW383" s="12">
        <f t="shared" si="11"/>
        <v>52</v>
      </c>
      <c r="AX383" s="12" t="str">
        <f t="shared" si="12"/>
        <v/>
      </c>
      <c r="AY383" s="45"/>
    </row>
    <row r="384" spans="1:51" s="21" customFormat="1" ht="20.100000000000001" customHeight="1" x14ac:dyDescent="0.2">
      <c r="A384" s="13">
        <v>378</v>
      </c>
      <c r="B384" s="29" t="s">
        <v>1707</v>
      </c>
      <c r="C384" s="29" t="s">
        <v>1553</v>
      </c>
      <c r="D384" s="30" t="s">
        <v>785</v>
      </c>
      <c r="E384" s="30" t="s">
        <v>6</v>
      </c>
      <c r="F384" s="30" t="s">
        <v>174</v>
      </c>
      <c r="G384" s="30"/>
      <c r="H384" s="20" t="s">
        <v>83</v>
      </c>
      <c r="I384" s="20"/>
      <c r="J384" s="20"/>
      <c r="K384" s="20"/>
      <c r="L384" s="20"/>
      <c r="M384" s="20"/>
      <c r="N384" s="20"/>
      <c r="O384" s="29" t="s">
        <v>67</v>
      </c>
      <c r="P384" s="30"/>
      <c r="Q384" s="30" t="s">
        <v>155</v>
      </c>
      <c r="R384" s="30" t="s">
        <v>817</v>
      </c>
      <c r="S384" s="30" t="s">
        <v>106</v>
      </c>
      <c r="T384" s="20" t="s">
        <v>107</v>
      </c>
      <c r="U384" s="30"/>
      <c r="V384" s="30" t="s">
        <v>156</v>
      </c>
      <c r="W384" s="30" t="s">
        <v>818</v>
      </c>
      <c r="X384" s="30" t="s">
        <v>142</v>
      </c>
      <c r="Y384" s="30" t="s">
        <v>70</v>
      </c>
      <c r="Z384" s="20" t="s">
        <v>812</v>
      </c>
      <c r="AA384" s="20"/>
      <c r="AB384" s="20"/>
      <c r="AC384" s="20">
        <v>168</v>
      </c>
      <c r="AD384" s="29"/>
      <c r="AE384" s="29"/>
      <c r="AF384" s="29"/>
      <c r="AG384" s="29"/>
      <c r="AH384" s="20"/>
      <c r="AI384" s="29"/>
      <c r="AJ384" s="29"/>
      <c r="AK384" s="29"/>
      <c r="AL384" s="29"/>
      <c r="AM384" s="39"/>
      <c r="AN384" s="30"/>
      <c r="AO384" s="30"/>
      <c r="AP384" s="20"/>
      <c r="AQ384" s="29"/>
      <c r="AR384" s="29"/>
      <c r="AS384" s="30" t="s">
        <v>115</v>
      </c>
      <c r="AT384" s="30" t="s">
        <v>266</v>
      </c>
      <c r="AU384" s="30" t="s">
        <v>115</v>
      </c>
      <c r="AV384" s="30" t="s">
        <v>124</v>
      </c>
      <c r="AW384" s="31">
        <f t="shared" si="11"/>
        <v>5</v>
      </c>
      <c r="AX384" s="31">
        <f t="shared" si="12"/>
        <v>5</v>
      </c>
      <c r="AY384" s="32" t="s">
        <v>1711</v>
      </c>
    </row>
    <row r="385" spans="1:51" ht="20.100000000000001" customHeight="1" x14ac:dyDescent="0.2">
      <c r="A385" s="13">
        <v>379</v>
      </c>
      <c r="B385" s="40" t="s">
        <v>1707</v>
      </c>
      <c r="C385" s="40" t="s">
        <v>1553</v>
      </c>
      <c r="D385" s="41" t="s">
        <v>1712</v>
      </c>
      <c r="E385" s="41" t="s">
        <v>9</v>
      </c>
      <c r="F385" s="41" t="s">
        <v>1443</v>
      </c>
      <c r="G385" s="41"/>
      <c r="H385" s="13" t="s">
        <v>83</v>
      </c>
      <c r="I385" s="13"/>
      <c r="J385" s="13"/>
      <c r="K385" s="13"/>
      <c r="L385" s="13"/>
      <c r="M385" s="13"/>
      <c r="N385" s="13"/>
      <c r="O385" s="40" t="s">
        <v>92</v>
      </c>
      <c r="P385" s="41"/>
      <c r="Q385" s="41" t="s">
        <v>155</v>
      </c>
      <c r="R385" s="41"/>
      <c r="S385" s="41" t="s">
        <v>119</v>
      </c>
      <c r="T385" s="13" t="s">
        <v>107</v>
      </c>
      <c r="U385" s="41"/>
      <c r="V385" s="41" t="s">
        <v>1713</v>
      </c>
      <c r="W385" s="41"/>
      <c r="X385" s="41" t="s">
        <v>119</v>
      </c>
      <c r="Y385" s="41" t="s">
        <v>107</v>
      </c>
      <c r="Z385" s="13" t="s">
        <v>1714</v>
      </c>
      <c r="AA385" s="13"/>
      <c r="AB385" s="13"/>
      <c r="AC385" s="13">
        <v>192</v>
      </c>
      <c r="AD385" s="40"/>
      <c r="AE385" s="40"/>
      <c r="AF385" s="40"/>
      <c r="AG385" s="40"/>
      <c r="AH385" s="13"/>
      <c r="AI385" s="40"/>
      <c r="AJ385" s="40"/>
      <c r="AK385" s="40"/>
      <c r="AL385" s="40"/>
      <c r="AM385" s="47"/>
      <c r="AN385" s="41"/>
      <c r="AO385" s="41"/>
      <c r="AP385" s="13"/>
      <c r="AQ385" s="40"/>
      <c r="AR385" s="40"/>
      <c r="AS385" s="6" t="s">
        <v>115</v>
      </c>
      <c r="AT385" s="6" t="s">
        <v>266</v>
      </c>
      <c r="AU385" s="6" t="s">
        <v>547</v>
      </c>
      <c r="AV385" s="6" t="s">
        <v>137</v>
      </c>
      <c r="AW385" s="12">
        <f t="shared" si="11"/>
        <v>63</v>
      </c>
      <c r="AX385" s="12" t="str">
        <f t="shared" si="12"/>
        <v/>
      </c>
      <c r="AY385" s="45"/>
    </row>
    <row r="386" spans="1:51" ht="20.100000000000001" customHeight="1" x14ac:dyDescent="0.2">
      <c r="A386" s="13">
        <v>380</v>
      </c>
      <c r="B386" s="40" t="s">
        <v>1715</v>
      </c>
      <c r="C386" s="40" t="s">
        <v>1553</v>
      </c>
      <c r="D386" s="41" t="s">
        <v>1431</v>
      </c>
      <c r="E386" s="41" t="s">
        <v>6</v>
      </c>
      <c r="F386" s="41"/>
      <c r="G386" s="41"/>
      <c r="H386" s="13" t="s">
        <v>7</v>
      </c>
      <c r="I386" s="47" t="s">
        <v>158</v>
      </c>
      <c r="J386" s="13"/>
      <c r="K386" s="13"/>
      <c r="L386" s="13"/>
      <c r="M386" s="13"/>
      <c r="N386" s="13"/>
      <c r="O386" s="40" t="s">
        <v>67</v>
      </c>
      <c r="P386" s="35" t="s">
        <v>140</v>
      </c>
      <c r="Q386" s="35" t="s">
        <v>223</v>
      </c>
      <c r="R386" s="41" t="s">
        <v>1716</v>
      </c>
      <c r="S386" s="41" t="s">
        <v>69</v>
      </c>
      <c r="T386" s="13" t="s">
        <v>70</v>
      </c>
      <c r="U386" s="35" t="s">
        <v>338</v>
      </c>
      <c r="V386" s="35" t="s">
        <v>224</v>
      </c>
      <c r="W386" s="41" t="s">
        <v>1717</v>
      </c>
      <c r="X386" s="41" t="s">
        <v>142</v>
      </c>
      <c r="Y386" s="41" t="s">
        <v>70</v>
      </c>
      <c r="Z386" s="13">
        <v>0</v>
      </c>
      <c r="AA386" s="13">
        <v>147</v>
      </c>
      <c r="AB386" s="13">
        <v>147</v>
      </c>
      <c r="AC386" s="13">
        <v>136</v>
      </c>
      <c r="AD386" s="40">
        <v>136</v>
      </c>
      <c r="AE386" s="40">
        <v>103</v>
      </c>
      <c r="AF386" s="40">
        <v>116</v>
      </c>
      <c r="AG386" s="40">
        <v>3</v>
      </c>
      <c r="AH386" s="13">
        <v>48</v>
      </c>
      <c r="AI386" s="40">
        <v>167</v>
      </c>
      <c r="AJ386" s="40">
        <v>7</v>
      </c>
      <c r="AK386" s="40"/>
      <c r="AL386" s="40"/>
      <c r="AM386" s="33" t="s">
        <v>158</v>
      </c>
      <c r="AN386" s="41" t="s">
        <v>1707</v>
      </c>
      <c r="AO386" s="41" t="s">
        <v>326</v>
      </c>
      <c r="AP386" s="13">
        <v>7</v>
      </c>
      <c r="AQ386" s="40" t="s">
        <v>1718</v>
      </c>
      <c r="AR386" s="40" t="s">
        <v>330</v>
      </c>
      <c r="AS386" s="6"/>
      <c r="AT386" s="6"/>
      <c r="AU386" s="6"/>
      <c r="AV386" s="6"/>
      <c r="AW386" s="12" t="str">
        <f t="shared" si="11"/>
        <v/>
      </c>
      <c r="AX386" s="12" t="str">
        <f t="shared" si="12"/>
        <v/>
      </c>
      <c r="AY386" s="45"/>
    </row>
    <row r="387" spans="1:51" ht="20.100000000000001" customHeight="1" x14ac:dyDescent="0.2">
      <c r="A387" s="13">
        <v>381</v>
      </c>
      <c r="B387" s="40" t="s">
        <v>1715</v>
      </c>
      <c r="C387" s="40" t="s">
        <v>1553</v>
      </c>
      <c r="D387" s="41" t="s">
        <v>1652</v>
      </c>
      <c r="E387" s="41" t="s">
        <v>10</v>
      </c>
      <c r="F387" s="41"/>
      <c r="G387" s="41"/>
      <c r="H387" s="13" t="s">
        <v>7</v>
      </c>
      <c r="I387" s="47" t="s">
        <v>158</v>
      </c>
      <c r="J387" s="13"/>
      <c r="K387" s="13"/>
      <c r="L387" s="13"/>
      <c r="M387" s="13"/>
      <c r="N387" s="13"/>
      <c r="O387" s="40" t="s">
        <v>92</v>
      </c>
      <c r="P387" s="35" t="s">
        <v>155</v>
      </c>
      <c r="Q387" s="35" t="s">
        <v>104</v>
      </c>
      <c r="R387" s="41" t="s">
        <v>1719</v>
      </c>
      <c r="S387" s="41" t="s">
        <v>106</v>
      </c>
      <c r="T387" s="13" t="s">
        <v>107</v>
      </c>
      <c r="U387" s="35" t="s">
        <v>324</v>
      </c>
      <c r="V387" s="35" t="s">
        <v>190</v>
      </c>
      <c r="W387" s="41" t="s">
        <v>1174</v>
      </c>
      <c r="X387" s="41" t="s">
        <v>106</v>
      </c>
      <c r="Y387" s="41" t="s">
        <v>107</v>
      </c>
      <c r="Z387" s="13">
        <v>0</v>
      </c>
      <c r="AA387" s="13">
        <v>220</v>
      </c>
      <c r="AB387" s="13">
        <v>220</v>
      </c>
      <c r="AC387" s="33">
        <v>210</v>
      </c>
      <c r="AD387" s="34">
        <v>204</v>
      </c>
      <c r="AE387" s="40">
        <v>107</v>
      </c>
      <c r="AF387" s="40">
        <v>125</v>
      </c>
      <c r="AG387" s="40">
        <v>5</v>
      </c>
      <c r="AH387" s="13">
        <v>61</v>
      </c>
      <c r="AI387" s="40">
        <v>191</v>
      </c>
      <c r="AJ387" s="40">
        <v>16</v>
      </c>
      <c r="AK387" s="40"/>
      <c r="AL387" s="40"/>
      <c r="AM387" s="33" t="s">
        <v>158</v>
      </c>
      <c r="AN387" s="41" t="s">
        <v>1707</v>
      </c>
      <c r="AO387" s="41" t="s">
        <v>1720</v>
      </c>
      <c r="AP387" s="13">
        <v>16</v>
      </c>
      <c r="AQ387" s="40" t="s">
        <v>1721</v>
      </c>
      <c r="AR387" s="40" t="s">
        <v>165</v>
      </c>
      <c r="AS387" s="6"/>
      <c r="AT387" s="6"/>
      <c r="AU387" s="6"/>
      <c r="AV387" s="6"/>
      <c r="AW387" s="12" t="str">
        <f t="shared" si="11"/>
        <v/>
      </c>
      <c r="AX387" s="12" t="str">
        <f t="shared" si="12"/>
        <v/>
      </c>
      <c r="AY387" s="45"/>
    </row>
    <row r="388" spans="1:51" ht="31.5" x14ac:dyDescent="0.2">
      <c r="A388" s="13">
        <v>382</v>
      </c>
      <c r="B388" s="40" t="s">
        <v>1722</v>
      </c>
      <c r="C388" s="40" t="s">
        <v>1553</v>
      </c>
      <c r="D388" s="41" t="s">
        <v>1224</v>
      </c>
      <c r="E388" s="41" t="s">
        <v>10</v>
      </c>
      <c r="F388" s="41"/>
      <c r="G388" s="37" t="s">
        <v>1597</v>
      </c>
      <c r="H388" s="13" t="s">
        <v>7</v>
      </c>
      <c r="I388" s="47" t="s">
        <v>158</v>
      </c>
      <c r="J388" s="13"/>
      <c r="K388" s="13"/>
      <c r="L388" s="13"/>
      <c r="M388" s="13"/>
      <c r="N388" s="13"/>
      <c r="O388" s="40" t="s">
        <v>92</v>
      </c>
      <c r="P388" s="35" t="s">
        <v>117</v>
      </c>
      <c r="Q388" s="35" t="s">
        <v>141</v>
      </c>
      <c r="R388" s="41" t="s">
        <v>997</v>
      </c>
      <c r="S388" s="41" t="s">
        <v>106</v>
      </c>
      <c r="T388" s="13" t="s">
        <v>107</v>
      </c>
      <c r="U388" s="35" t="s">
        <v>204</v>
      </c>
      <c r="V388" s="35" t="s">
        <v>1602</v>
      </c>
      <c r="W388" s="41" t="s">
        <v>1723</v>
      </c>
      <c r="X388" s="41" t="s">
        <v>106</v>
      </c>
      <c r="Y388" s="41" t="s">
        <v>107</v>
      </c>
      <c r="Z388" s="13">
        <v>0</v>
      </c>
      <c r="AA388" s="13">
        <v>194</v>
      </c>
      <c r="AB388" s="13">
        <v>194</v>
      </c>
      <c r="AC388" s="33">
        <v>180</v>
      </c>
      <c r="AD388" s="34">
        <v>183</v>
      </c>
      <c r="AE388" s="40">
        <v>97</v>
      </c>
      <c r="AF388" s="40">
        <v>178</v>
      </c>
      <c r="AG388" s="40">
        <v>1</v>
      </c>
      <c r="AH388" s="13">
        <v>35</v>
      </c>
      <c r="AI388" s="40">
        <v>214</v>
      </c>
      <c r="AJ388" s="40">
        <v>5</v>
      </c>
      <c r="AK388" s="40"/>
      <c r="AL388" s="40"/>
      <c r="AM388" s="33" t="s">
        <v>158</v>
      </c>
      <c r="AN388" s="41" t="s">
        <v>1715</v>
      </c>
      <c r="AO388" s="41" t="s">
        <v>1724</v>
      </c>
      <c r="AP388" s="13">
        <v>5</v>
      </c>
      <c r="AQ388" s="40" t="s">
        <v>1718</v>
      </c>
      <c r="AR388" s="40" t="s">
        <v>112</v>
      </c>
      <c r="AS388" s="6"/>
      <c r="AT388" s="6"/>
      <c r="AU388" s="6"/>
      <c r="AV388" s="6"/>
      <c r="AW388" s="12" t="str">
        <f t="shared" si="11"/>
        <v/>
      </c>
      <c r="AX388" s="12" t="str">
        <f t="shared" si="12"/>
        <v/>
      </c>
      <c r="AY388" s="45" t="s">
        <v>1725</v>
      </c>
    </row>
    <row r="389" spans="1:51" ht="20.100000000000001" customHeight="1" x14ac:dyDescent="0.2">
      <c r="A389" s="13">
        <v>383</v>
      </c>
      <c r="B389" s="40" t="s">
        <v>1722</v>
      </c>
      <c r="C389" s="40" t="s">
        <v>1553</v>
      </c>
      <c r="D389" s="41" t="s">
        <v>1675</v>
      </c>
      <c r="E389" s="41" t="s">
        <v>8</v>
      </c>
      <c r="F389" s="41"/>
      <c r="G389" s="41"/>
      <c r="H389" s="13" t="s">
        <v>7</v>
      </c>
      <c r="I389" s="47" t="s">
        <v>158</v>
      </c>
      <c r="J389" s="13"/>
      <c r="K389" s="13"/>
      <c r="L389" s="13"/>
      <c r="M389" s="13"/>
      <c r="N389" s="13"/>
      <c r="O389" s="40" t="s">
        <v>93</v>
      </c>
      <c r="P389" s="35" t="s">
        <v>117</v>
      </c>
      <c r="Q389" s="35" t="s">
        <v>104</v>
      </c>
      <c r="R389" s="41" t="s">
        <v>1726</v>
      </c>
      <c r="S389" s="41" t="s">
        <v>69</v>
      </c>
      <c r="T389" s="13" t="s">
        <v>70</v>
      </c>
      <c r="U389" s="35" t="s">
        <v>204</v>
      </c>
      <c r="V389" s="35" t="s">
        <v>1727</v>
      </c>
      <c r="W389" s="41" t="s">
        <v>1728</v>
      </c>
      <c r="X389" s="41" t="s">
        <v>106</v>
      </c>
      <c r="Y389" s="41" t="s">
        <v>107</v>
      </c>
      <c r="Z389" s="13">
        <v>0</v>
      </c>
      <c r="AA389" s="13">
        <v>220</v>
      </c>
      <c r="AB389" s="13">
        <v>220</v>
      </c>
      <c r="AC389" s="13">
        <v>186</v>
      </c>
      <c r="AD389" s="40">
        <v>186</v>
      </c>
      <c r="AE389" s="40">
        <v>62</v>
      </c>
      <c r="AF389" s="40">
        <v>160</v>
      </c>
      <c r="AG389" s="40">
        <v>2</v>
      </c>
      <c r="AH389" s="13">
        <v>62</v>
      </c>
      <c r="AI389" s="40">
        <v>226</v>
      </c>
      <c r="AJ389" s="40">
        <v>15</v>
      </c>
      <c r="AK389" s="40"/>
      <c r="AL389" s="40"/>
      <c r="AM389" s="33" t="s">
        <v>158</v>
      </c>
      <c r="AN389" s="41" t="s">
        <v>1715</v>
      </c>
      <c r="AO389" s="41" t="s">
        <v>1729</v>
      </c>
      <c r="AP389" s="13">
        <v>15</v>
      </c>
      <c r="AQ389" s="40" t="s">
        <v>1718</v>
      </c>
      <c r="AR389" s="40" t="s">
        <v>161</v>
      </c>
      <c r="AS389" s="6"/>
      <c r="AT389" s="6"/>
      <c r="AU389" s="6"/>
      <c r="AV389" s="6"/>
      <c r="AW389" s="12" t="str">
        <f t="shared" si="11"/>
        <v/>
      </c>
      <c r="AX389" s="12" t="str">
        <f t="shared" si="12"/>
        <v/>
      </c>
      <c r="AY389" s="45"/>
    </row>
    <row r="390" spans="1:51" ht="20.100000000000001" customHeight="1" x14ac:dyDescent="0.2">
      <c r="A390" s="13">
        <v>384</v>
      </c>
      <c r="B390" s="40" t="s">
        <v>1730</v>
      </c>
      <c r="C390" s="40" t="s">
        <v>1731</v>
      </c>
      <c r="D390" s="41" t="s">
        <v>1467</v>
      </c>
      <c r="E390" s="41" t="s">
        <v>19</v>
      </c>
      <c r="F390" s="41"/>
      <c r="G390" s="41"/>
      <c r="H390" s="13" t="s">
        <v>7</v>
      </c>
      <c r="I390" s="47" t="s">
        <v>158</v>
      </c>
      <c r="J390" s="13"/>
      <c r="K390" s="13"/>
      <c r="L390" s="13"/>
      <c r="M390" s="13"/>
      <c r="N390" s="13"/>
      <c r="O390" s="40" t="s">
        <v>92</v>
      </c>
      <c r="P390" s="41" t="s">
        <v>140</v>
      </c>
      <c r="Q390" s="41" t="s">
        <v>140</v>
      </c>
      <c r="R390" s="41" t="s">
        <v>1732</v>
      </c>
      <c r="S390" s="41" t="s">
        <v>69</v>
      </c>
      <c r="T390" s="13" t="s">
        <v>70</v>
      </c>
      <c r="U390" s="35" t="s">
        <v>328</v>
      </c>
      <c r="V390" s="35" t="s">
        <v>338</v>
      </c>
      <c r="W390" s="41" t="s">
        <v>1733</v>
      </c>
      <c r="X390" s="41" t="s">
        <v>106</v>
      </c>
      <c r="Y390" s="41" t="s">
        <v>107</v>
      </c>
      <c r="Z390" s="13">
        <v>0</v>
      </c>
      <c r="AA390" s="13">
        <v>167</v>
      </c>
      <c r="AB390" s="13">
        <v>167</v>
      </c>
      <c r="AC390" s="33">
        <v>156</v>
      </c>
      <c r="AD390" s="34">
        <v>159</v>
      </c>
      <c r="AE390" s="40">
        <v>51</v>
      </c>
      <c r="AF390" s="40">
        <v>156</v>
      </c>
      <c r="AG390" s="40">
        <v>3</v>
      </c>
      <c r="AH390" s="13">
        <v>28</v>
      </c>
      <c r="AI390" s="40">
        <v>187</v>
      </c>
      <c r="AJ390" s="40">
        <v>11</v>
      </c>
      <c r="AK390" s="40"/>
      <c r="AL390" s="40"/>
      <c r="AM390" s="33" t="s">
        <v>158</v>
      </c>
      <c r="AN390" s="41" t="s">
        <v>1734</v>
      </c>
      <c r="AO390" s="41" t="s">
        <v>1735</v>
      </c>
      <c r="AP390" s="13">
        <v>11</v>
      </c>
      <c r="AQ390" s="40" t="s">
        <v>1718</v>
      </c>
      <c r="AR390" s="40" t="s">
        <v>231</v>
      </c>
      <c r="AS390" s="6"/>
      <c r="AT390" s="6"/>
      <c r="AU390" s="6"/>
      <c r="AV390" s="6"/>
      <c r="AW390" s="12" t="str">
        <f t="shared" si="11"/>
        <v/>
      </c>
      <c r="AX390" s="12" t="str">
        <f t="shared" si="12"/>
        <v/>
      </c>
      <c r="AY390" s="45"/>
    </row>
    <row r="391" spans="1:51" ht="20.100000000000001" customHeight="1" x14ac:dyDescent="0.2">
      <c r="A391" s="13">
        <v>385</v>
      </c>
      <c r="B391" s="40" t="s">
        <v>1736</v>
      </c>
      <c r="C391" s="40" t="s">
        <v>1731</v>
      </c>
      <c r="D391" s="41" t="s">
        <v>1302</v>
      </c>
      <c r="E391" s="41" t="s">
        <v>6</v>
      </c>
      <c r="F391" s="41"/>
      <c r="G391" s="41"/>
      <c r="H391" s="13" t="s">
        <v>7</v>
      </c>
      <c r="I391" s="47" t="s">
        <v>158</v>
      </c>
      <c r="J391" s="13"/>
      <c r="K391" s="13"/>
      <c r="L391" s="13"/>
      <c r="M391" s="13"/>
      <c r="N391" s="13"/>
      <c r="O391" s="40" t="s">
        <v>67</v>
      </c>
      <c r="P391" s="35" t="s">
        <v>218</v>
      </c>
      <c r="Q391" s="35" t="s">
        <v>140</v>
      </c>
      <c r="R391" s="41" t="s">
        <v>1643</v>
      </c>
      <c r="S391" s="41" t="s">
        <v>106</v>
      </c>
      <c r="T391" s="13" t="s">
        <v>107</v>
      </c>
      <c r="U391" s="35" t="s">
        <v>268</v>
      </c>
      <c r="V391" s="35" t="s">
        <v>153</v>
      </c>
      <c r="W391" s="41" t="s">
        <v>1737</v>
      </c>
      <c r="X391" s="41" t="s">
        <v>106</v>
      </c>
      <c r="Y391" s="41" t="s">
        <v>107</v>
      </c>
      <c r="Z391" s="13">
        <v>0</v>
      </c>
      <c r="AA391" s="13">
        <v>204</v>
      </c>
      <c r="AB391" s="13">
        <v>204</v>
      </c>
      <c r="AC391" s="13">
        <v>180</v>
      </c>
      <c r="AD391" s="40">
        <v>180</v>
      </c>
      <c r="AE391" s="40"/>
      <c r="AF391" s="40">
        <v>173</v>
      </c>
      <c r="AG391" s="40">
        <v>2</v>
      </c>
      <c r="AH391" s="13">
        <v>65</v>
      </c>
      <c r="AI391" s="40">
        <v>240</v>
      </c>
      <c r="AJ391" s="40">
        <v>8</v>
      </c>
      <c r="AK391" s="40"/>
      <c r="AL391" s="40"/>
      <c r="AM391" s="33" t="s">
        <v>158</v>
      </c>
      <c r="AN391" s="41" t="s">
        <v>1730</v>
      </c>
      <c r="AO391" s="41" t="s">
        <v>1738</v>
      </c>
      <c r="AP391" s="13">
        <v>8</v>
      </c>
      <c r="AQ391" s="40" t="s">
        <v>1718</v>
      </c>
      <c r="AR391" s="40" t="s">
        <v>161</v>
      </c>
      <c r="AS391" s="6"/>
      <c r="AT391" s="6"/>
      <c r="AU391" s="6"/>
      <c r="AV391" s="6"/>
      <c r="AW391" s="12" t="str">
        <f t="shared" ref="AW391:AW454" si="13">IF(AS391*AU391&gt;0,(AS391-AU391)*12+(AT391-AV391),"")</f>
        <v/>
      </c>
      <c r="AX391" s="12" t="str">
        <f t="shared" si="12"/>
        <v/>
      </c>
      <c r="AY391" s="45"/>
    </row>
    <row r="392" spans="1:51" ht="20.100000000000001" customHeight="1" x14ac:dyDescent="0.2">
      <c r="A392" s="13">
        <v>386</v>
      </c>
      <c r="B392" s="40" t="s">
        <v>1736</v>
      </c>
      <c r="C392" s="40" t="s">
        <v>1731</v>
      </c>
      <c r="D392" s="41" t="s">
        <v>1739</v>
      </c>
      <c r="E392" s="41" t="s">
        <v>20</v>
      </c>
      <c r="F392" s="41" t="s">
        <v>1443</v>
      </c>
      <c r="G392" s="41"/>
      <c r="H392" s="13" t="s">
        <v>7</v>
      </c>
      <c r="I392" s="47" t="s">
        <v>158</v>
      </c>
      <c r="J392" s="13"/>
      <c r="K392" s="13"/>
      <c r="L392" s="13"/>
      <c r="M392" s="13"/>
      <c r="N392" s="13"/>
      <c r="O392" s="40" t="s">
        <v>92</v>
      </c>
      <c r="P392" s="41"/>
      <c r="Q392" s="41" t="s">
        <v>68</v>
      </c>
      <c r="R392" s="41" t="s">
        <v>803</v>
      </c>
      <c r="S392" s="41" t="s">
        <v>262</v>
      </c>
      <c r="T392" s="13" t="s">
        <v>70</v>
      </c>
      <c r="U392" s="41"/>
      <c r="V392" s="41" t="s">
        <v>332</v>
      </c>
      <c r="W392" s="41" t="s">
        <v>1740</v>
      </c>
      <c r="X392" s="41" t="s">
        <v>106</v>
      </c>
      <c r="Y392" s="41" t="s">
        <v>107</v>
      </c>
      <c r="Z392" s="13">
        <v>0</v>
      </c>
      <c r="AA392" s="13">
        <v>204</v>
      </c>
      <c r="AB392" s="13">
        <v>204</v>
      </c>
      <c r="AC392" s="13">
        <v>0</v>
      </c>
      <c r="AD392" s="40">
        <v>192</v>
      </c>
      <c r="AE392" s="40">
        <v>90</v>
      </c>
      <c r="AF392" s="40">
        <v>133</v>
      </c>
      <c r="AG392" s="40">
        <v>10</v>
      </c>
      <c r="AH392" s="13">
        <v>10</v>
      </c>
      <c r="AI392" s="40">
        <v>153</v>
      </c>
      <c r="AJ392" s="40">
        <v>20</v>
      </c>
      <c r="AK392" s="40"/>
      <c r="AL392" s="40"/>
      <c r="AM392" s="47"/>
      <c r="AN392" s="41" t="s">
        <v>1730</v>
      </c>
      <c r="AO392" s="41" t="s">
        <v>1741</v>
      </c>
      <c r="AP392" s="13">
        <v>20</v>
      </c>
      <c r="AQ392" s="40" t="s">
        <v>1721</v>
      </c>
      <c r="AR392" s="40" t="s">
        <v>193</v>
      </c>
      <c r="AS392" s="6"/>
      <c r="AT392" s="6"/>
      <c r="AU392" s="6"/>
      <c r="AV392" s="6"/>
      <c r="AW392" s="12" t="str">
        <f t="shared" si="13"/>
        <v/>
      </c>
      <c r="AX392" s="12" t="str">
        <f t="shared" ref="AX392:AX455" si="14">IF(AW392&lt;13,AW392,"")</f>
        <v/>
      </c>
      <c r="AY392" s="45"/>
    </row>
    <row r="393" spans="1:51" ht="20.100000000000001" customHeight="1" x14ac:dyDescent="0.2">
      <c r="A393" s="13">
        <v>387</v>
      </c>
      <c r="B393" s="40" t="s">
        <v>1742</v>
      </c>
      <c r="C393" s="40" t="s">
        <v>1731</v>
      </c>
      <c r="D393" s="41" t="s">
        <v>1516</v>
      </c>
      <c r="E393" s="41" t="s">
        <v>10</v>
      </c>
      <c r="F393" s="41"/>
      <c r="G393" s="41"/>
      <c r="H393" s="13" t="s">
        <v>7</v>
      </c>
      <c r="I393" s="47" t="s">
        <v>158</v>
      </c>
      <c r="J393" s="13"/>
      <c r="K393" s="13"/>
      <c r="L393" s="13"/>
      <c r="M393" s="13"/>
      <c r="N393" s="13"/>
      <c r="O393" s="40" t="s">
        <v>67</v>
      </c>
      <c r="P393" s="35" t="s">
        <v>117</v>
      </c>
      <c r="Q393" s="35" t="s">
        <v>334</v>
      </c>
      <c r="R393" s="41" t="s">
        <v>1743</v>
      </c>
      <c r="S393" s="41" t="s">
        <v>69</v>
      </c>
      <c r="T393" s="13" t="s">
        <v>70</v>
      </c>
      <c r="U393" s="35" t="s">
        <v>306</v>
      </c>
      <c r="V393" s="35" t="s">
        <v>336</v>
      </c>
      <c r="W393" s="41" t="s">
        <v>1744</v>
      </c>
      <c r="X393" s="41" t="s">
        <v>69</v>
      </c>
      <c r="Y393" s="41" t="s">
        <v>70</v>
      </c>
      <c r="Z393" s="13">
        <v>0</v>
      </c>
      <c r="AA393" s="13">
        <v>200</v>
      </c>
      <c r="AB393" s="13">
        <v>197</v>
      </c>
      <c r="AC393" s="33">
        <v>192</v>
      </c>
      <c r="AD393" s="34">
        <v>189</v>
      </c>
      <c r="AE393" s="40">
        <v>122</v>
      </c>
      <c r="AF393" s="40">
        <v>189</v>
      </c>
      <c r="AG393" s="40">
        <v>4</v>
      </c>
      <c r="AH393" s="13">
        <v>25</v>
      </c>
      <c r="AI393" s="40">
        <v>218</v>
      </c>
      <c r="AJ393" s="40">
        <v>5</v>
      </c>
      <c r="AK393" s="40"/>
      <c r="AL393" s="40"/>
      <c r="AM393" s="33" t="s">
        <v>158</v>
      </c>
      <c r="AN393" s="41" t="s">
        <v>1736</v>
      </c>
      <c r="AO393" s="41" t="s">
        <v>1745</v>
      </c>
      <c r="AP393" s="13">
        <v>5</v>
      </c>
      <c r="AQ393" s="40" t="s">
        <v>1718</v>
      </c>
      <c r="AR393" s="40" t="s">
        <v>112</v>
      </c>
      <c r="AS393" s="6"/>
      <c r="AT393" s="6"/>
      <c r="AU393" s="6"/>
      <c r="AV393" s="6"/>
      <c r="AW393" s="12" t="str">
        <f t="shared" si="13"/>
        <v/>
      </c>
      <c r="AX393" s="12" t="str">
        <f t="shared" si="14"/>
        <v/>
      </c>
      <c r="AY393" s="45"/>
    </row>
    <row r="394" spans="1:51" ht="20.100000000000001" customHeight="1" x14ac:dyDescent="0.2">
      <c r="A394" s="13">
        <v>388</v>
      </c>
      <c r="B394" s="40" t="s">
        <v>1742</v>
      </c>
      <c r="C394" s="40" t="s">
        <v>1731</v>
      </c>
      <c r="D394" s="41" t="s">
        <v>1634</v>
      </c>
      <c r="E394" s="41" t="s">
        <v>10</v>
      </c>
      <c r="F394" s="41"/>
      <c r="G394" s="41"/>
      <c r="H394" s="13" t="s">
        <v>7</v>
      </c>
      <c r="I394" s="47" t="s">
        <v>158</v>
      </c>
      <c r="J394" s="13"/>
      <c r="K394" s="13"/>
      <c r="L394" s="13"/>
      <c r="M394" s="13"/>
      <c r="N394" s="13"/>
      <c r="O394" s="40" t="s">
        <v>92</v>
      </c>
      <c r="P394" s="35" t="s">
        <v>155</v>
      </c>
      <c r="Q394" s="35" t="s">
        <v>218</v>
      </c>
      <c r="R394" s="41" t="s">
        <v>1746</v>
      </c>
      <c r="S394" s="41" t="s">
        <v>106</v>
      </c>
      <c r="T394" s="13" t="s">
        <v>107</v>
      </c>
      <c r="U394" s="35" t="s">
        <v>170</v>
      </c>
      <c r="V394" s="35" t="s">
        <v>453</v>
      </c>
      <c r="W394" s="41" t="s">
        <v>1281</v>
      </c>
      <c r="X394" s="41" t="s">
        <v>106</v>
      </c>
      <c r="Y394" s="41" t="s">
        <v>107</v>
      </c>
      <c r="Z394" s="13">
        <v>0</v>
      </c>
      <c r="AA394" s="13">
        <v>228</v>
      </c>
      <c r="AB394" s="13">
        <v>228</v>
      </c>
      <c r="AC394" s="13">
        <v>210</v>
      </c>
      <c r="AD394" s="40">
        <v>210</v>
      </c>
      <c r="AE394" s="40">
        <v>172</v>
      </c>
      <c r="AF394" s="40">
        <v>179</v>
      </c>
      <c r="AG394" s="40">
        <v>8</v>
      </c>
      <c r="AH394" s="13">
        <v>50</v>
      </c>
      <c r="AI394" s="40">
        <v>254</v>
      </c>
      <c r="AJ394" s="40">
        <v>20</v>
      </c>
      <c r="AK394" s="40"/>
      <c r="AL394" s="40"/>
      <c r="AM394" s="33" t="s">
        <v>158</v>
      </c>
      <c r="AN394" s="41" t="s">
        <v>1736</v>
      </c>
      <c r="AO394" s="41" t="s">
        <v>1747</v>
      </c>
      <c r="AP394" s="13">
        <v>20</v>
      </c>
      <c r="AQ394" s="40" t="s">
        <v>1721</v>
      </c>
      <c r="AR394" s="40" t="s">
        <v>165</v>
      </c>
      <c r="AS394" s="6"/>
      <c r="AT394" s="6"/>
      <c r="AU394" s="6"/>
      <c r="AV394" s="6"/>
      <c r="AW394" s="12" t="str">
        <f t="shared" si="13"/>
        <v/>
      </c>
      <c r="AX394" s="12" t="str">
        <f t="shared" si="14"/>
        <v/>
      </c>
      <c r="AY394" s="45"/>
    </row>
    <row r="395" spans="1:51" ht="20.100000000000001" customHeight="1" x14ac:dyDescent="0.2">
      <c r="A395" s="13">
        <v>389</v>
      </c>
      <c r="B395" s="40" t="s">
        <v>1748</v>
      </c>
      <c r="C395" s="40" t="s">
        <v>1731</v>
      </c>
      <c r="D395" s="41" t="s">
        <v>1325</v>
      </c>
      <c r="E395" s="41" t="s">
        <v>19</v>
      </c>
      <c r="F395" s="41"/>
      <c r="G395" s="41"/>
      <c r="H395" s="13" t="s">
        <v>7</v>
      </c>
      <c r="I395" s="47" t="s">
        <v>158</v>
      </c>
      <c r="J395" s="13"/>
      <c r="K395" s="13"/>
      <c r="L395" s="13"/>
      <c r="M395" s="13"/>
      <c r="N395" s="13"/>
      <c r="O395" s="40" t="s">
        <v>67</v>
      </c>
      <c r="P395" s="35" t="s">
        <v>140</v>
      </c>
      <c r="Q395" s="35" t="s">
        <v>116</v>
      </c>
      <c r="R395" s="41" t="s">
        <v>1749</v>
      </c>
      <c r="S395" s="41" t="s">
        <v>262</v>
      </c>
      <c r="T395" s="13" t="s">
        <v>70</v>
      </c>
      <c r="U395" s="35" t="s">
        <v>188</v>
      </c>
      <c r="V395" s="35" t="s">
        <v>1498</v>
      </c>
      <c r="W395" s="41" t="s">
        <v>1750</v>
      </c>
      <c r="X395" s="41" t="s">
        <v>106</v>
      </c>
      <c r="Y395" s="41" t="s">
        <v>107</v>
      </c>
      <c r="Z395" s="13">
        <v>0</v>
      </c>
      <c r="AA395" s="13">
        <v>105</v>
      </c>
      <c r="AB395" s="13">
        <v>105</v>
      </c>
      <c r="AC395" s="33">
        <v>99</v>
      </c>
      <c r="AD395" s="34">
        <v>96</v>
      </c>
      <c r="AE395" s="40">
        <v>52</v>
      </c>
      <c r="AF395" s="40">
        <v>96</v>
      </c>
      <c r="AG395" s="40">
        <v>3</v>
      </c>
      <c r="AH395" s="13">
        <v>25</v>
      </c>
      <c r="AI395" s="40">
        <v>124</v>
      </c>
      <c r="AJ395" s="40">
        <v>4</v>
      </c>
      <c r="AK395" s="40"/>
      <c r="AL395" s="40"/>
      <c r="AM395" s="33" t="s">
        <v>158</v>
      </c>
      <c r="AN395" s="41" t="s">
        <v>1751</v>
      </c>
      <c r="AO395" s="41" t="s">
        <v>1752</v>
      </c>
      <c r="AP395" s="13">
        <v>4</v>
      </c>
      <c r="AQ395" s="40" t="s">
        <v>1721</v>
      </c>
      <c r="AR395" s="40" t="s">
        <v>330</v>
      </c>
      <c r="AS395" s="6"/>
      <c r="AT395" s="6"/>
      <c r="AU395" s="6"/>
      <c r="AV395" s="6"/>
      <c r="AW395" s="12" t="str">
        <f t="shared" si="13"/>
        <v/>
      </c>
      <c r="AX395" s="12" t="str">
        <f t="shared" si="14"/>
        <v/>
      </c>
      <c r="AY395" s="45"/>
    </row>
    <row r="396" spans="1:51" ht="20.100000000000001" customHeight="1" x14ac:dyDescent="0.2">
      <c r="A396" s="13">
        <v>390</v>
      </c>
      <c r="B396" s="40" t="s">
        <v>1748</v>
      </c>
      <c r="C396" s="40" t="s">
        <v>1731</v>
      </c>
      <c r="D396" s="41" t="s">
        <v>1753</v>
      </c>
      <c r="E396" s="41" t="s">
        <v>243</v>
      </c>
      <c r="F396" s="41" t="s">
        <v>90</v>
      </c>
      <c r="G396" s="41"/>
      <c r="H396" s="13" t="s">
        <v>7</v>
      </c>
      <c r="I396" s="47" t="s">
        <v>158</v>
      </c>
      <c r="J396" s="13"/>
      <c r="K396" s="13"/>
      <c r="L396" s="13"/>
      <c r="M396" s="13"/>
      <c r="N396" s="13"/>
      <c r="O396" s="40" t="s">
        <v>92</v>
      </c>
      <c r="P396" s="41"/>
      <c r="Q396" s="41" t="s">
        <v>155</v>
      </c>
      <c r="R396" s="41" t="s">
        <v>1754</v>
      </c>
      <c r="S396" s="41" t="s">
        <v>69</v>
      </c>
      <c r="T396" s="13" t="s">
        <v>70</v>
      </c>
      <c r="U396" s="41"/>
      <c r="V396" s="41" t="s">
        <v>324</v>
      </c>
      <c r="W396" s="41" t="s">
        <v>1755</v>
      </c>
      <c r="X396" s="41" t="s">
        <v>106</v>
      </c>
      <c r="Y396" s="41" t="s">
        <v>107</v>
      </c>
      <c r="Z396" s="13">
        <v>0</v>
      </c>
      <c r="AA396" s="13">
        <v>234</v>
      </c>
      <c r="AB396" s="13">
        <v>234</v>
      </c>
      <c r="AC396" s="13">
        <v>0</v>
      </c>
      <c r="AD396" s="40">
        <v>222</v>
      </c>
      <c r="AE396" s="40">
        <v>75</v>
      </c>
      <c r="AF396" s="40">
        <v>165</v>
      </c>
      <c r="AG396" s="40">
        <v>10</v>
      </c>
      <c r="AH396" s="13">
        <v>10</v>
      </c>
      <c r="AI396" s="40">
        <v>185</v>
      </c>
      <c r="AJ396" s="40">
        <v>25</v>
      </c>
      <c r="AK396" s="40"/>
      <c r="AL396" s="40"/>
      <c r="AM396" s="47"/>
      <c r="AN396" s="41" t="s">
        <v>1742</v>
      </c>
      <c r="AO396" s="41" t="s">
        <v>1756</v>
      </c>
      <c r="AP396" s="13">
        <v>25</v>
      </c>
      <c r="AQ396" s="40" t="s">
        <v>1721</v>
      </c>
      <c r="AR396" s="40" t="s">
        <v>165</v>
      </c>
      <c r="AS396" s="6"/>
      <c r="AT396" s="6"/>
      <c r="AU396" s="6"/>
      <c r="AV396" s="6"/>
      <c r="AW396" s="12" t="str">
        <f t="shared" si="13"/>
        <v/>
      </c>
      <c r="AX396" s="12" t="str">
        <f t="shared" si="14"/>
        <v/>
      </c>
      <c r="AY396" s="45"/>
    </row>
    <row r="397" spans="1:51" ht="20.100000000000001" customHeight="1" x14ac:dyDescent="0.2">
      <c r="A397" s="13">
        <v>391</v>
      </c>
      <c r="B397" s="40" t="s">
        <v>1757</v>
      </c>
      <c r="C397" s="40" t="s">
        <v>1731</v>
      </c>
      <c r="D397" s="41" t="s">
        <v>1758</v>
      </c>
      <c r="E397" s="41" t="s">
        <v>66</v>
      </c>
      <c r="F397" s="41"/>
      <c r="G397" s="41"/>
      <c r="H397" s="13" t="s">
        <v>83</v>
      </c>
      <c r="I397" s="13"/>
      <c r="J397" s="13"/>
      <c r="K397" s="13"/>
      <c r="L397" s="13"/>
      <c r="M397" s="13"/>
      <c r="N397" s="13"/>
      <c r="O397" s="40" t="s">
        <v>93</v>
      </c>
      <c r="P397" s="41"/>
      <c r="Q397" s="41"/>
      <c r="R397" s="41"/>
      <c r="S397" s="41"/>
      <c r="T397" s="13"/>
      <c r="U397" s="41"/>
      <c r="V397" s="41"/>
      <c r="W397" s="41"/>
      <c r="X397" s="41"/>
      <c r="Y397" s="41"/>
      <c r="Z397" s="13"/>
      <c r="AA397" s="13"/>
      <c r="AB397" s="13"/>
      <c r="AC397" s="13"/>
      <c r="AD397" s="40"/>
      <c r="AE397" s="40"/>
      <c r="AF397" s="40"/>
      <c r="AG397" s="40"/>
      <c r="AH397" s="13"/>
      <c r="AI397" s="40"/>
      <c r="AJ397" s="40"/>
      <c r="AK397" s="40"/>
      <c r="AL397" s="40"/>
      <c r="AM397" s="47"/>
      <c r="AN397" s="41"/>
      <c r="AO397" s="41"/>
      <c r="AP397" s="13"/>
      <c r="AQ397" s="40"/>
      <c r="AR397" s="40"/>
      <c r="AS397" s="6"/>
      <c r="AT397" s="6"/>
      <c r="AU397" s="6"/>
      <c r="AV397" s="6"/>
      <c r="AW397" s="12" t="str">
        <f t="shared" si="13"/>
        <v/>
      </c>
      <c r="AX397" s="12" t="str">
        <f t="shared" si="14"/>
        <v/>
      </c>
      <c r="AY397" s="45"/>
    </row>
    <row r="398" spans="1:51" ht="20.100000000000001" customHeight="1" x14ac:dyDescent="0.2">
      <c r="A398" s="13">
        <v>392</v>
      </c>
      <c r="B398" s="40" t="s">
        <v>1759</v>
      </c>
      <c r="C398" s="40" t="s">
        <v>1731</v>
      </c>
      <c r="D398" s="41" t="s">
        <v>1130</v>
      </c>
      <c r="E398" s="41" t="s">
        <v>10</v>
      </c>
      <c r="F398" s="41"/>
      <c r="G398" s="41"/>
      <c r="H398" s="13" t="s">
        <v>7</v>
      </c>
      <c r="I398" s="47" t="s">
        <v>158</v>
      </c>
      <c r="J398" s="13"/>
      <c r="K398" s="13"/>
      <c r="L398" s="13"/>
      <c r="M398" s="13"/>
      <c r="N398" s="13"/>
      <c r="O398" s="40"/>
      <c r="P398" s="35" t="s">
        <v>104</v>
      </c>
      <c r="Q398" s="35" t="s">
        <v>141</v>
      </c>
      <c r="R398" s="41" t="s">
        <v>1760</v>
      </c>
      <c r="S398" s="41" t="s">
        <v>106</v>
      </c>
      <c r="T398" s="13" t="s">
        <v>107</v>
      </c>
      <c r="U398" s="35" t="s">
        <v>190</v>
      </c>
      <c r="V398" s="35" t="s">
        <v>1602</v>
      </c>
      <c r="W398" s="41" t="s">
        <v>1761</v>
      </c>
      <c r="X398" s="41" t="s">
        <v>69</v>
      </c>
      <c r="Y398" s="41" t="s">
        <v>70</v>
      </c>
      <c r="Z398" s="13">
        <v>0</v>
      </c>
      <c r="AA398" s="13"/>
      <c r="AB398" s="13"/>
      <c r="AC398" s="13">
        <v>192</v>
      </c>
      <c r="AD398" s="40">
        <v>192</v>
      </c>
      <c r="AE398" s="40">
        <v>162</v>
      </c>
      <c r="AF398" s="40">
        <v>192</v>
      </c>
      <c r="AG398" s="40">
        <v>4</v>
      </c>
      <c r="AH398" s="13">
        <v>26</v>
      </c>
      <c r="AI398" s="40">
        <v>222</v>
      </c>
      <c r="AJ398" s="40">
        <v>4</v>
      </c>
      <c r="AK398" s="40"/>
      <c r="AL398" s="40"/>
      <c r="AM398" s="33" t="s">
        <v>158</v>
      </c>
      <c r="AN398" s="41" t="s">
        <v>1757</v>
      </c>
      <c r="AO398" s="41" t="s">
        <v>1762</v>
      </c>
      <c r="AP398" s="13">
        <v>4</v>
      </c>
      <c r="AQ398" s="40" t="s">
        <v>1721</v>
      </c>
      <c r="AR398" s="40" t="s">
        <v>112</v>
      </c>
      <c r="AS398" s="6"/>
      <c r="AT398" s="6"/>
      <c r="AU398" s="6"/>
      <c r="AV398" s="6"/>
      <c r="AW398" s="12" t="str">
        <f t="shared" si="13"/>
        <v/>
      </c>
      <c r="AX398" s="12" t="str">
        <f t="shared" si="14"/>
        <v/>
      </c>
      <c r="AY398" s="45"/>
    </row>
    <row r="399" spans="1:51" s="21" customFormat="1" ht="20.100000000000001" customHeight="1" x14ac:dyDescent="0.2">
      <c r="A399" s="20">
        <v>393</v>
      </c>
      <c r="B399" s="29" t="s">
        <v>1763</v>
      </c>
      <c r="C399" s="29" t="s">
        <v>1731</v>
      </c>
      <c r="D399" s="30" t="s">
        <v>1764</v>
      </c>
      <c r="E399" s="30" t="s">
        <v>10</v>
      </c>
      <c r="F399" s="30" t="s">
        <v>174</v>
      </c>
      <c r="G399" s="30"/>
      <c r="H399" s="20" t="s">
        <v>83</v>
      </c>
      <c r="I399" s="20"/>
      <c r="J399" s="20"/>
      <c r="K399" s="20"/>
      <c r="L399" s="20"/>
      <c r="M399" s="20"/>
      <c r="N399" s="20"/>
      <c r="O399" s="29" t="s">
        <v>67</v>
      </c>
      <c r="P399" s="30"/>
      <c r="Q399" s="30" t="s">
        <v>104</v>
      </c>
      <c r="R399" s="30" t="s">
        <v>1765</v>
      </c>
      <c r="S399" s="30" t="s">
        <v>69</v>
      </c>
      <c r="T399" s="20" t="s">
        <v>70</v>
      </c>
      <c r="U399" s="30"/>
      <c r="V399" s="30" t="s">
        <v>125</v>
      </c>
      <c r="W399" s="30" t="s">
        <v>1766</v>
      </c>
      <c r="X399" s="30" t="s">
        <v>73</v>
      </c>
      <c r="Y399" s="30" t="s">
        <v>70</v>
      </c>
      <c r="Z399" s="20" t="s">
        <v>1767</v>
      </c>
      <c r="AA399" s="20"/>
      <c r="AB399" s="20"/>
      <c r="AC399" s="20">
        <v>192</v>
      </c>
      <c r="AD399" s="29"/>
      <c r="AE399" s="29"/>
      <c r="AF399" s="29"/>
      <c r="AG399" s="29"/>
      <c r="AH399" s="20"/>
      <c r="AI399" s="29"/>
      <c r="AJ399" s="29"/>
      <c r="AK399" s="29"/>
      <c r="AL399" s="29"/>
      <c r="AM399" s="39"/>
      <c r="AN399" s="30"/>
      <c r="AO399" s="30"/>
      <c r="AP399" s="20"/>
      <c r="AQ399" s="29" t="s">
        <v>1718</v>
      </c>
      <c r="AR399" s="29" t="s">
        <v>231</v>
      </c>
      <c r="AS399" s="30" t="s">
        <v>115</v>
      </c>
      <c r="AT399" s="30" t="s">
        <v>441</v>
      </c>
      <c r="AU399" s="30" t="s">
        <v>136</v>
      </c>
      <c r="AV399" s="30" t="s">
        <v>260</v>
      </c>
      <c r="AW399" s="31">
        <f t="shared" si="13"/>
        <v>10</v>
      </c>
      <c r="AX399" s="31">
        <f t="shared" si="14"/>
        <v>10</v>
      </c>
      <c r="AY399" s="32"/>
    </row>
    <row r="400" spans="1:51" ht="20.100000000000001" customHeight="1" x14ac:dyDescent="0.2">
      <c r="A400" s="13">
        <v>394</v>
      </c>
      <c r="B400" s="40" t="s">
        <v>1768</v>
      </c>
      <c r="C400" s="40" t="s">
        <v>1731</v>
      </c>
      <c r="D400" s="41" t="s">
        <v>1605</v>
      </c>
      <c r="E400" s="41" t="s">
        <v>6</v>
      </c>
      <c r="F400" s="41"/>
      <c r="G400" s="41"/>
      <c r="H400" s="13" t="s">
        <v>7</v>
      </c>
      <c r="I400" s="47" t="s">
        <v>158</v>
      </c>
      <c r="J400" s="13"/>
      <c r="K400" s="13"/>
      <c r="L400" s="13"/>
      <c r="M400" s="13"/>
      <c r="N400" s="13"/>
      <c r="O400" s="40"/>
      <c r="P400" s="35" t="s">
        <v>68</v>
      </c>
      <c r="Q400" s="35" t="s">
        <v>141</v>
      </c>
      <c r="R400" s="41" t="s">
        <v>1601</v>
      </c>
      <c r="S400" s="41" t="s">
        <v>106</v>
      </c>
      <c r="T400" s="13" t="s">
        <v>107</v>
      </c>
      <c r="U400" s="35" t="s">
        <v>263</v>
      </c>
      <c r="V400" s="35" t="s">
        <v>1602</v>
      </c>
      <c r="W400" s="41" t="s">
        <v>1769</v>
      </c>
      <c r="X400" s="41" t="s">
        <v>69</v>
      </c>
      <c r="Y400" s="41" t="s">
        <v>70</v>
      </c>
      <c r="Z400" s="13">
        <v>0</v>
      </c>
      <c r="AA400" s="13">
        <v>203</v>
      </c>
      <c r="AB400" s="13">
        <v>203</v>
      </c>
      <c r="AC400" s="33">
        <v>198</v>
      </c>
      <c r="AD400" s="34">
        <v>192</v>
      </c>
      <c r="AE400" s="40">
        <v>172</v>
      </c>
      <c r="AF400" s="40">
        <v>182</v>
      </c>
      <c r="AG400" s="40">
        <v>2</v>
      </c>
      <c r="AH400" s="13">
        <v>27</v>
      </c>
      <c r="AI400" s="40">
        <v>211</v>
      </c>
      <c r="AJ400" s="40">
        <v>7</v>
      </c>
      <c r="AK400" s="40"/>
      <c r="AL400" s="40"/>
      <c r="AM400" s="33" t="s">
        <v>158</v>
      </c>
      <c r="AN400" s="41" t="s">
        <v>1770</v>
      </c>
      <c r="AO400" s="41" t="s">
        <v>1771</v>
      </c>
      <c r="AP400" s="13">
        <v>7</v>
      </c>
      <c r="AQ400" s="40" t="s">
        <v>1718</v>
      </c>
      <c r="AR400" s="40" t="s">
        <v>231</v>
      </c>
      <c r="AS400" s="6"/>
      <c r="AT400" s="6"/>
      <c r="AU400" s="6"/>
      <c r="AV400" s="6"/>
      <c r="AW400" s="12" t="str">
        <f t="shared" si="13"/>
        <v/>
      </c>
      <c r="AX400" s="12" t="str">
        <f t="shared" si="14"/>
        <v/>
      </c>
      <c r="AY400" s="45"/>
    </row>
    <row r="401" spans="1:51" s="21" customFormat="1" ht="31.5" x14ac:dyDescent="0.2">
      <c r="A401" s="20">
        <v>395</v>
      </c>
      <c r="B401" s="29" t="s">
        <v>1772</v>
      </c>
      <c r="C401" s="29" t="s">
        <v>1731</v>
      </c>
      <c r="D401" s="30" t="s">
        <v>1401</v>
      </c>
      <c r="E401" s="30" t="s">
        <v>10</v>
      </c>
      <c r="F401" s="30" t="s">
        <v>1642</v>
      </c>
      <c r="G401" s="37" t="s">
        <v>1773</v>
      </c>
      <c r="H401" s="20" t="s">
        <v>83</v>
      </c>
      <c r="I401" s="20"/>
      <c r="J401" s="20"/>
      <c r="K401" s="20"/>
      <c r="L401" s="20"/>
      <c r="M401" s="20"/>
      <c r="N401" s="20"/>
      <c r="O401" s="29" t="s">
        <v>92</v>
      </c>
      <c r="P401" s="30"/>
      <c r="Q401" s="30" t="s">
        <v>155</v>
      </c>
      <c r="R401" s="30" t="s">
        <v>1402</v>
      </c>
      <c r="S401" s="30" t="s">
        <v>106</v>
      </c>
      <c r="T401" s="20" t="s">
        <v>107</v>
      </c>
      <c r="U401" s="30"/>
      <c r="V401" s="30" t="s">
        <v>324</v>
      </c>
      <c r="W401" s="30" t="s">
        <v>1237</v>
      </c>
      <c r="X401" s="30" t="s">
        <v>142</v>
      </c>
      <c r="Y401" s="30" t="s">
        <v>70</v>
      </c>
      <c r="Z401" s="20" t="s">
        <v>1774</v>
      </c>
      <c r="AA401" s="20"/>
      <c r="AB401" s="20"/>
      <c r="AC401" s="20">
        <v>216</v>
      </c>
      <c r="AD401" s="29"/>
      <c r="AE401" s="29"/>
      <c r="AF401" s="29"/>
      <c r="AG401" s="29"/>
      <c r="AH401" s="20"/>
      <c r="AI401" s="29"/>
      <c r="AJ401" s="29"/>
      <c r="AK401" s="29"/>
      <c r="AL401" s="29"/>
      <c r="AM401" s="39"/>
      <c r="AN401" s="30"/>
      <c r="AO401" s="30"/>
      <c r="AP401" s="20"/>
      <c r="AQ401" s="29" t="s">
        <v>1721</v>
      </c>
      <c r="AR401" s="29" t="s">
        <v>165</v>
      </c>
      <c r="AS401" s="30" t="s">
        <v>115</v>
      </c>
      <c r="AT401" s="30" t="s">
        <v>441</v>
      </c>
      <c r="AU401" s="30" t="s">
        <v>115</v>
      </c>
      <c r="AV401" s="30" t="s">
        <v>148</v>
      </c>
      <c r="AW401" s="31">
        <f t="shared" si="13"/>
        <v>2</v>
      </c>
      <c r="AX401" s="31">
        <f t="shared" si="14"/>
        <v>2</v>
      </c>
      <c r="AY401" s="32" t="s">
        <v>1775</v>
      </c>
    </row>
    <row r="402" spans="1:51" ht="20.100000000000001" customHeight="1" x14ac:dyDescent="0.2">
      <c r="A402" s="13">
        <v>396</v>
      </c>
      <c r="B402" s="40" t="s">
        <v>1776</v>
      </c>
      <c r="C402" s="40" t="s">
        <v>1731</v>
      </c>
      <c r="D402" s="41" t="s">
        <v>1435</v>
      </c>
      <c r="E402" s="41" t="s">
        <v>6</v>
      </c>
      <c r="F402" s="41"/>
      <c r="G402" s="41"/>
      <c r="H402" s="13" t="s">
        <v>7</v>
      </c>
      <c r="I402" s="47" t="s">
        <v>158</v>
      </c>
      <c r="J402" s="13"/>
      <c r="K402" s="13"/>
      <c r="L402" s="13"/>
      <c r="M402" s="13"/>
      <c r="N402" s="13"/>
      <c r="O402" s="40" t="s">
        <v>67</v>
      </c>
      <c r="P402" s="35" t="s">
        <v>140</v>
      </c>
      <c r="Q402" s="35" t="s">
        <v>226</v>
      </c>
      <c r="R402" s="41" t="s">
        <v>1777</v>
      </c>
      <c r="S402" s="41" t="s">
        <v>262</v>
      </c>
      <c r="T402" s="13" t="s">
        <v>70</v>
      </c>
      <c r="U402" s="35" t="s">
        <v>338</v>
      </c>
      <c r="V402" s="35" t="s">
        <v>1778</v>
      </c>
      <c r="W402" s="41" t="s">
        <v>1779</v>
      </c>
      <c r="X402" s="41" t="s">
        <v>69</v>
      </c>
      <c r="Y402" s="41" t="s">
        <v>70</v>
      </c>
      <c r="Z402" s="13">
        <v>0</v>
      </c>
      <c r="AA402" s="13">
        <v>199</v>
      </c>
      <c r="AB402" s="13">
        <v>199</v>
      </c>
      <c r="AC402" s="13">
        <v>186</v>
      </c>
      <c r="AD402" s="40">
        <v>186</v>
      </c>
      <c r="AE402" s="40">
        <v>76</v>
      </c>
      <c r="AF402" s="40">
        <v>161</v>
      </c>
      <c r="AG402" s="40">
        <v>4</v>
      </c>
      <c r="AH402" s="13">
        <v>30</v>
      </c>
      <c r="AI402" s="40">
        <v>195</v>
      </c>
      <c r="AJ402" s="40">
        <v>5</v>
      </c>
      <c r="AK402" s="40"/>
      <c r="AL402" s="40"/>
      <c r="AM402" s="33" t="s">
        <v>158</v>
      </c>
      <c r="AN402" s="41" t="s">
        <v>1780</v>
      </c>
      <c r="AO402" s="41" t="s">
        <v>1781</v>
      </c>
      <c r="AP402" s="13">
        <v>5</v>
      </c>
      <c r="AQ402" s="40" t="s">
        <v>1718</v>
      </c>
      <c r="AR402" s="40" t="s">
        <v>231</v>
      </c>
      <c r="AS402" s="6"/>
      <c r="AT402" s="6"/>
      <c r="AU402" s="6"/>
      <c r="AV402" s="6"/>
      <c r="AW402" s="12" t="str">
        <f t="shared" si="13"/>
        <v/>
      </c>
      <c r="AX402" s="12" t="str">
        <f t="shared" si="14"/>
        <v/>
      </c>
      <c r="AY402" s="45"/>
    </row>
    <row r="403" spans="1:51" ht="20.100000000000001" customHeight="1" x14ac:dyDescent="0.2">
      <c r="A403" s="13">
        <v>397</v>
      </c>
      <c r="B403" s="40" t="s">
        <v>1782</v>
      </c>
      <c r="C403" s="40" t="s">
        <v>1731</v>
      </c>
      <c r="D403" s="41" t="s">
        <v>1401</v>
      </c>
      <c r="E403" s="41" t="s">
        <v>10</v>
      </c>
      <c r="F403" s="41"/>
      <c r="G403" s="41"/>
      <c r="H403" s="13" t="s">
        <v>7</v>
      </c>
      <c r="I403" s="47" t="s">
        <v>158</v>
      </c>
      <c r="J403" s="13"/>
      <c r="K403" s="13"/>
      <c r="L403" s="13"/>
      <c r="M403" s="13"/>
      <c r="N403" s="13"/>
      <c r="O403" s="40" t="s">
        <v>92</v>
      </c>
      <c r="P403" s="35" t="s">
        <v>155</v>
      </c>
      <c r="Q403" s="35" t="s">
        <v>68</v>
      </c>
      <c r="R403" s="41" t="s">
        <v>909</v>
      </c>
      <c r="S403" s="41" t="s">
        <v>106</v>
      </c>
      <c r="T403" s="13" t="s">
        <v>107</v>
      </c>
      <c r="U403" s="35" t="s">
        <v>324</v>
      </c>
      <c r="V403" s="35" t="s">
        <v>263</v>
      </c>
      <c r="W403" s="41" t="s">
        <v>1783</v>
      </c>
      <c r="X403" s="41" t="s">
        <v>106</v>
      </c>
      <c r="Y403" s="41" t="s">
        <v>107</v>
      </c>
      <c r="Z403" s="13">
        <v>0</v>
      </c>
      <c r="AA403" s="13">
        <v>228</v>
      </c>
      <c r="AB403" s="13">
        <v>228</v>
      </c>
      <c r="AC403" s="13">
        <v>213</v>
      </c>
      <c r="AD403" s="40">
        <v>213</v>
      </c>
      <c r="AE403" s="40">
        <v>91</v>
      </c>
      <c r="AF403" s="40">
        <v>161</v>
      </c>
      <c r="AG403" s="40">
        <v>10</v>
      </c>
      <c r="AH403" s="13">
        <v>5</v>
      </c>
      <c r="AI403" s="40">
        <v>176</v>
      </c>
      <c r="AJ403" s="40">
        <v>19</v>
      </c>
      <c r="AK403" s="40"/>
      <c r="AL403" s="40"/>
      <c r="AM403" s="33" t="s">
        <v>158</v>
      </c>
      <c r="AN403" s="41" t="s">
        <v>1784</v>
      </c>
      <c r="AO403" s="41" t="s">
        <v>1785</v>
      </c>
      <c r="AP403" s="13">
        <v>19</v>
      </c>
      <c r="AQ403" s="40" t="s">
        <v>1721</v>
      </c>
      <c r="AR403" s="40" t="s">
        <v>165</v>
      </c>
      <c r="AS403" s="6"/>
      <c r="AT403" s="6"/>
      <c r="AU403" s="6"/>
      <c r="AV403" s="6"/>
      <c r="AW403" s="12" t="str">
        <f t="shared" si="13"/>
        <v/>
      </c>
      <c r="AX403" s="12" t="str">
        <f t="shared" si="14"/>
        <v/>
      </c>
      <c r="AY403" s="45"/>
    </row>
    <row r="404" spans="1:51" ht="20.100000000000001" customHeight="1" x14ac:dyDescent="0.2">
      <c r="A404" s="13">
        <v>398</v>
      </c>
      <c r="B404" s="40" t="s">
        <v>1782</v>
      </c>
      <c r="C404" s="40" t="s">
        <v>1731</v>
      </c>
      <c r="D404" s="41" t="s">
        <v>1664</v>
      </c>
      <c r="E404" s="41" t="s">
        <v>19</v>
      </c>
      <c r="F404" s="41"/>
      <c r="G404" s="41"/>
      <c r="H404" s="13" t="s">
        <v>7</v>
      </c>
      <c r="I404" s="47" t="s">
        <v>158</v>
      </c>
      <c r="J404" s="13"/>
      <c r="K404" s="13"/>
      <c r="L404" s="13"/>
      <c r="M404" s="13"/>
      <c r="N404" s="13"/>
      <c r="O404" s="40" t="s">
        <v>67</v>
      </c>
      <c r="P404" s="35" t="s">
        <v>104</v>
      </c>
      <c r="Q404" s="35" t="s">
        <v>223</v>
      </c>
      <c r="R404" s="41" t="s">
        <v>1786</v>
      </c>
      <c r="S404" s="41" t="s">
        <v>106</v>
      </c>
      <c r="T404" s="13" t="s">
        <v>107</v>
      </c>
      <c r="U404" s="35" t="s">
        <v>402</v>
      </c>
      <c r="V404" s="35" t="s">
        <v>224</v>
      </c>
      <c r="W404" s="41" t="s">
        <v>1787</v>
      </c>
      <c r="X404" s="41" t="s">
        <v>142</v>
      </c>
      <c r="Y404" s="41" t="s">
        <v>70</v>
      </c>
      <c r="Z404" s="13">
        <v>0</v>
      </c>
      <c r="AA404" s="13">
        <v>239</v>
      </c>
      <c r="AB404" s="13">
        <v>239</v>
      </c>
      <c r="AC404" s="33">
        <v>204</v>
      </c>
      <c r="AD404" s="34">
        <v>147</v>
      </c>
      <c r="AE404" s="40">
        <v>40</v>
      </c>
      <c r="AF404" s="40">
        <v>103</v>
      </c>
      <c r="AG404" s="40">
        <v>6</v>
      </c>
      <c r="AH404" s="13">
        <v>32</v>
      </c>
      <c r="AI404" s="40">
        <v>141</v>
      </c>
      <c r="AJ404" s="40">
        <v>8</v>
      </c>
      <c r="AK404" s="40"/>
      <c r="AL404" s="40"/>
      <c r="AM404" s="33" t="s">
        <v>158</v>
      </c>
      <c r="AN404" s="41" t="s">
        <v>1784</v>
      </c>
      <c r="AO404" s="41" t="s">
        <v>1788</v>
      </c>
      <c r="AP404" s="13">
        <v>8</v>
      </c>
      <c r="AQ404" s="40" t="s">
        <v>1721</v>
      </c>
      <c r="AR404" s="40" t="s">
        <v>330</v>
      </c>
      <c r="AS404" s="6"/>
      <c r="AT404" s="6"/>
      <c r="AU404" s="6"/>
      <c r="AV404" s="6"/>
      <c r="AW404" s="12" t="str">
        <f t="shared" si="13"/>
        <v/>
      </c>
      <c r="AX404" s="12" t="str">
        <f t="shared" si="14"/>
        <v/>
      </c>
      <c r="AY404" s="45"/>
    </row>
    <row r="405" spans="1:51" ht="20.100000000000001" customHeight="1" x14ac:dyDescent="0.2">
      <c r="A405" s="13">
        <v>399</v>
      </c>
      <c r="B405" s="40" t="s">
        <v>1789</v>
      </c>
      <c r="C405" s="40" t="s">
        <v>1731</v>
      </c>
      <c r="D405" s="41" t="s">
        <v>1790</v>
      </c>
      <c r="E405" s="41" t="s">
        <v>243</v>
      </c>
      <c r="F405" s="41" t="s">
        <v>185</v>
      </c>
      <c r="G405" s="41"/>
      <c r="H405" s="13" t="s">
        <v>83</v>
      </c>
      <c r="I405" s="13"/>
      <c r="J405" s="13"/>
      <c r="K405" s="13"/>
      <c r="L405" s="13"/>
      <c r="M405" s="13"/>
      <c r="N405" s="13"/>
      <c r="O405" s="40" t="s">
        <v>67</v>
      </c>
      <c r="P405" s="41"/>
      <c r="Q405" s="41" t="s">
        <v>155</v>
      </c>
      <c r="R405" s="41" t="s">
        <v>1791</v>
      </c>
      <c r="S405" s="41" t="s">
        <v>1477</v>
      </c>
      <c r="T405" s="13" t="s">
        <v>107</v>
      </c>
      <c r="U405" s="41"/>
      <c r="V405" s="41" t="s">
        <v>804</v>
      </c>
      <c r="W405" s="41" t="s">
        <v>1792</v>
      </c>
      <c r="X405" s="41" t="s">
        <v>145</v>
      </c>
      <c r="Y405" s="41" t="s">
        <v>107</v>
      </c>
      <c r="Z405" s="13" t="s">
        <v>1793</v>
      </c>
      <c r="AA405" s="13"/>
      <c r="AB405" s="13"/>
      <c r="AC405" s="13">
        <v>138</v>
      </c>
      <c r="AD405" s="40"/>
      <c r="AE405" s="40"/>
      <c r="AF405" s="40"/>
      <c r="AG405" s="40"/>
      <c r="AH405" s="13"/>
      <c r="AI405" s="40"/>
      <c r="AJ405" s="40"/>
      <c r="AK405" s="40"/>
      <c r="AL405" s="40"/>
      <c r="AM405" s="47"/>
      <c r="AN405" s="41"/>
      <c r="AO405" s="41"/>
      <c r="AP405" s="13"/>
      <c r="AQ405" s="40" t="s">
        <v>1718</v>
      </c>
      <c r="AR405" s="40"/>
      <c r="AS405" s="6" t="s">
        <v>115</v>
      </c>
      <c r="AT405" s="6" t="s">
        <v>441</v>
      </c>
      <c r="AU405" s="6" t="s">
        <v>348</v>
      </c>
      <c r="AV405" s="6" t="s">
        <v>148</v>
      </c>
      <c r="AW405" s="12">
        <f t="shared" si="13"/>
        <v>38</v>
      </c>
      <c r="AX405" s="12" t="str">
        <f t="shared" si="14"/>
        <v/>
      </c>
      <c r="AY405" s="45"/>
    </row>
    <row r="406" spans="1:51" s="21" customFormat="1" ht="31.5" x14ac:dyDescent="0.2">
      <c r="A406" s="20">
        <v>400</v>
      </c>
      <c r="B406" s="29" t="s">
        <v>1789</v>
      </c>
      <c r="C406" s="29" t="s">
        <v>1731</v>
      </c>
      <c r="D406" s="30" t="s">
        <v>990</v>
      </c>
      <c r="E406" s="30" t="s">
        <v>6</v>
      </c>
      <c r="F406" s="30" t="s">
        <v>481</v>
      </c>
      <c r="G406" s="37" t="s">
        <v>1794</v>
      </c>
      <c r="H406" s="20" t="s">
        <v>83</v>
      </c>
      <c r="I406" s="20"/>
      <c r="J406" s="20"/>
      <c r="K406" s="20"/>
      <c r="L406" s="20"/>
      <c r="M406" s="20"/>
      <c r="N406" s="20"/>
      <c r="O406" s="29" t="s">
        <v>92</v>
      </c>
      <c r="P406" s="30"/>
      <c r="Q406" s="30" t="s">
        <v>117</v>
      </c>
      <c r="R406" s="30" t="s">
        <v>992</v>
      </c>
      <c r="S406" s="30" t="s">
        <v>69</v>
      </c>
      <c r="T406" s="20" t="s">
        <v>70</v>
      </c>
      <c r="U406" s="30"/>
      <c r="V406" s="30" t="s">
        <v>125</v>
      </c>
      <c r="W406" s="30" t="s">
        <v>993</v>
      </c>
      <c r="X406" s="30" t="s">
        <v>142</v>
      </c>
      <c r="Y406" s="30" t="s">
        <v>70</v>
      </c>
      <c r="Z406" s="20" t="s">
        <v>1795</v>
      </c>
      <c r="AA406" s="20"/>
      <c r="AB406" s="20"/>
      <c r="AC406" s="20">
        <v>198</v>
      </c>
      <c r="AD406" s="29"/>
      <c r="AE406" s="29"/>
      <c r="AF406" s="29"/>
      <c r="AG406" s="29"/>
      <c r="AH406" s="20"/>
      <c r="AI406" s="29"/>
      <c r="AJ406" s="29"/>
      <c r="AK406" s="29"/>
      <c r="AL406" s="29"/>
      <c r="AM406" s="39"/>
      <c r="AN406" s="30"/>
      <c r="AO406" s="30"/>
      <c r="AP406" s="20"/>
      <c r="AQ406" s="29" t="s">
        <v>1721</v>
      </c>
      <c r="AR406" s="29" t="s">
        <v>161</v>
      </c>
      <c r="AS406" s="30" t="s">
        <v>115</v>
      </c>
      <c r="AT406" s="30" t="s">
        <v>441</v>
      </c>
      <c r="AU406" s="30" t="s">
        <v>115</v>
      </c>
      <c r="AV406" s="30" t="s">
        <v>1247</v>
      </c>
      <c r="AW406" s="31">
        <f t="shared" si="13"/>
        <v>5</v>
      </c>
      <c r="AX406" s="31">
        <f t="shared" si="14"/>
        <v>5</v>
      </c>
      <c r="AY406" s="32" t="s">
        <v>1796</v>
      </c>
    </row>
    <row r="407" spans="1:51" ht="20.100000000000001" customHeight="1" x14ac:dyDescent="0.2">
      <c r="A407" s="13">
        <v>401</v>
      </c>
      <c r="B407" s="40" t="s">
        <v>1789</v>
      </c>
      <c r="C407" s="40" t="s">
        <v>1731</v>
      </c>
      <c r="D407" s="41" t="s">
        <v>990</v>
      </c>
      <c r="E407" s="41" t="s">
        <v>6</v>
      </c>
      <c r="F407" s="41"/>
      <c r="G407" s="41"/>
      <c r="H407" s="13" t="s">
        <v>7</v>
      </c>
      <c r="I407" s="47" t="s">
        <v>158</v>
      </c>
      <c r="J407" s="13"/>
      <c r="K407" s="13"/>
      <c r="L407" s="13"/>
      <c r="M407" s="13"/>
      <c r="N407" s="13"/>
      <c r="O407" s="40" t="s">
        <v>92</v>
      </c>
      <c r="P407" s="41" t="s">
        <v>117</v>
      </c>
      <c r="Q407" s="41" t="s">
        <v>117</v>
      </c>
      <c r="R407" s="41" t="s">
        <v>1797</v>
      </c>
      <c r="S407" s="41" t="s">
        <v>69</v>
      </c>
      <c r="T407" s="13" t="s">
        <v>70</v>
      </c>
      <c r="U407" s="35" t="s">
        <v>125</v>
      </c>
      <c r="V407" s="35" t="s">
        <v>199</v>
      </c>
      <c r="W407" s="41" t="s">
        <v>1798</v>
      </c>
      <c r="X407" s="41" t="s">
        <v>73</v>
      </c>
      <c r="Y407" s="41" t="s">
        <v>70</v>
      </c>
      <c r="Z407" s="13">
        <v>0</v>
      </c>
      <c r="AA407" s="13">
        <v>220</v>
      </c>
      <c r="AB407" s="13">
        <v>220</v>
      </c>
      <c r="AC407" s="13">
        <v>198</v>
      </c>
      <c r="AD407" s="40">
        <v>198</v>
      </c>
      <c r="AE407" s="40">
        <v>104</v>
      </c>
      <c r="AF407" s="40">
        <v>131</v>
      </c>
      <c r="AG407" s="40">
        <v>10</v>
      </c>
      <c r="AH407" s="13">
        <v>25</v>
      </c>
      <c r="AI407" s="40">
        <v>176</v>
      </c>
      <c r="AJ407" s="40"/>
      <c r="AK407" s="40"/>
      <c r="AL407" s="40"/>
      <c r="AM407" s="33" t="s">
        <v>158</v>
      </c>
      <c r="AN407" s="41"/>
      <c r="AO407" s="41"/>
      <c r="AP407" s="13"/>
      <c r="AQ407" s="40" t="s">
        <v>1721</v>
      </c>
      <c r="AR407" s="40" t="s">
        <v>161</v>
      </c>
      <c r="AS407" s="6"/>
      <c r="AT407" s="6"/>
      <c r="AU407" s="6"/>
      <c r="AV407" s="6"/>
      <c r="AW407" s="12" t="str">
        <f t="shared" si="13"/>
        <v/>
      </c>
      <c r="AX407" s="12" t="str">
        <f t="shared" si="14"/>
        <v/>
      </c>
      <c r="AY407" s="45"/>
    </row>
    <row r="408" spans="1:51" ht="20.100000000000001" customHeight="1" x14ac:dyDescent="0.2">
      <c r="A408" s="13">
        <v>402</v>
      </c>
      <c r="B408" s="40" t="s">
        <v>1799</v>
      </c>
      <c r="C408" s="40" t="s">
        <v>1731</v>
      </c>
      <c r="D408" s="41" t="s">
        <v>864</v>
      </c>
      <c r="E408" s="41" t="s">
        <v>8</v>
      </c>
      <c r="F408" s="41"/>
      <c r="G408" s="41"/>
      <c r="H408" s="13" t="s">
        <v>7</v>
      </c>
      <c r="I408" s="47" t="s">
        <v>158</v>
      </c>
      <c r="J408" s="13"/>
      <c r="K408" s="13"/>
      <c r="L408" s="13"/>
      <c r="M408" s="13"/>
      <c r="N408" s="13"/>
      <c r="O408" s="40" t="s">
        <v>92</v>
      </c>
      <c r="P408" s="35" t="s">
        <v>104</v>
      </c>
      <c r="Q408" s="35" t="s">
        <v>68</v>
      </c>
      <c r="R408" s="41" t="s">
        <v>1800</v>
      </c>
      <c r="S408" s="41" t="s">
        <v>106</v>
      </c>
      <c r="T408" s="13" t="s">
        <v>107</v>
      </c>
      <c r="U408" s="35" t="s">
        <v>108</v>
      </c>
      <c r="V408" s="35" t="s">
        <v>332</v>
      </c>
      <c r="W408" s="41" t="s">
        <v>1801</v>
      </c>
      <c r="X408" s="41" t="s">
        <v>106</v>
      </c>
      <c r="Y408" s="41" t="s">
        <v>107</v>
      </c>
      <c r="Z408" s="13">
        <v>0</v>
      </c>
      <c r="AA408" s="13">
        <v>203</v>
      </c>
      <c r="AB408" s="13">
        <v>203</v>
      </c>
      <c r="AC408" s="33">
        <v>174</v>
      </c>
      <c r="AD408" s="34">
        <v>186</v>
      </c>
      <c r="AE408" s="40">
        <v>27</v>
      </c>
      <c r="AF408" s="40">
        <v>44</v>
      </c>
      <c r="AG408" s="40">
        <v>10</v>
      </c>
      <c r="AH408" s="13">
        <v>86</v>
      </c>
      <c r="AI408" s="40">
        <v>140</v>
      </c>
      <c r="AJ408" s="40">
        <v>29</v>
      </c>
      <c r="AK408" s="40"/>
      <c r="AL408" s="40"/>
      <c r="AM408" s="33" t="s">
        <v>158</v>
      </c>
      <c r="AN408" s="41" t="s">
        <v>1802</v>
      </c>
      <c r="AO408" s="41" t="s">
        <v>1803</v>
      </c>
      <c r="AP408" s="13">
        <v>29</v>
      </c>
      <c r="AQ408" s="40" t="s">
        <v>1718</v>
      </c>
      <c r="AR408" s="40" t="s">
        <v>161</v>
      </c>
      <c r="AS408" s="6"/>
      <c r="AT408" s="6"/>
      <c r="AU408" s="6"/>
      <c r="AV408" s="6"/>
      <c r="AW408" s="12" t="str">
        <f t="shared" si="13"/>
        <v/>
      </c>
      <c r="AX408" s="12" t="str">
        <f t="shared" si="14"/>
        <v/>
      </c>
      <c r="AY408" s="45"/>
    </row>
    <row r="409" spans="1:51" s="21" customFormat="1" ht="47.25" x14ac:dyDescent="0.2">
      <c r="A409" s="20">
        <v>403</v>
      </c>
      <c r="B409" s="29" t="s">
        <v>1804</v>
      </c>
      <c r="C409" s="29" t="s">
        <v>1731</v>
      </c>
      <c r="D409" s="30" t="s">
        <v>1435</v>
      </c>
      <c r="E409" s="30" t="s">
        <v>6</v>
      </c>
      <c r="F409" s="30" t="s">
        <v>185</v>
      </c>
      <c r="G409" s="37" t="s">
        <v>1794</v>
      </c>
      <c r="H409" s="20" t="s">
        <v>83</v>
      </c>
      <c r="I409" s="20"/>
      <c r="J409" s="20"/>
      <c r="K409" s="20"/>
      <c r="L409" s="20"/>
      <c r="M409" s="20"/>
      <c r="N409" s="20"/>
      <c r="O409" s="29" t="s">
        <v>67</v>
      </c>
      <c r="P409" s="30"/>
      <c r="Q409" s="30" t="s">
        <v>226</v>
      </c>
      <c r="R409" s="30" t="s">
        <v>1777</v>
      </c>
      <c r="S409" s="30" t="s">
        <v>262</v>
      </c>
      <c r="T409" s="20" t="s">
        <v>70</v>
      </c>
      <c r="U409" s="30"/>
      <c r="V409" s="30" t="s">
        <v>1778</v>
      </c>
      <c r="W409" s="30" t="s">
        <v>1779</v>
      </c>
      <c r="X409" s="30" t="s">
        <v>69</v>
      </c>
      <c r="Y409" s="30" t="s">
        <v>70</v>
      </c>
      <c r="Z409" s="20" t="s">
        <v>1784</v>
      </c>
      <c r="AA409" s="20"/>
      <c r="AB409" s="20"/>
      <c r="AC409" s="20">
        <v>186</v>
      </c>
      <c r="AD409" s="29"/>
      <c r="AE409" s="29"/>
      <c r="AF409" s="29"/>
      <c r="AG409" s="29"/>
      <c r="AH409" s="20"/>
      <c r="AI409" s="29"/>
      <c r="AJ409" s="29"/>
      <c r="AK409" s="29"/>
      <c r="AL409" s="29"/>
      <c r="AM409" s="39"/>
      <c r="AN409" s="30"/>
      <c r="AO409" s="30"/>
      <c r="AP409" s="20"/>
      <c r="AQ409" s="29" t="s">
        <v>1718</v>
      </c>
      <c r="AR409" s="29" t="s">
        <v>231</v>
      </c>
      <c r="AS409" s="30" t="s">
        <v>115</v>
      </c>
      <c r="AT409" s="30" t="s">
        <v>441</v>
      </c>
      <c r="AU409" s="30" t="s">
        <v>115</v>
      </c>
      <c r="AV409" s="30" t="s">
        <v>441</v>
      </c>
      <c r="AW409" s="31">
        <f t="shared" si="13"/>
        <v>0</v>
      </c>
      <c r="AX409" s="31">
        <f t="shared" si="14"/>
        <v>0</v>
      </c>
      <c r="AY409" s="32" t="s">
        <v>1805</v>
      </c>
    </row>
    <row r="410" spans="1:51" ht="20.100000000000001" customHeight="1" x14ac:dyDescent="0.2">
      <c r="A410" s="13">
        <v>404</v>
      </c>
      <c r="B410" s="40" t="s">
        <v>1804</v>
      </c>
      <c r="C410" s="40" t="s">
        <v>1731</v>
      </c>
      <c r="D410" s="41" t="s">
        <v>1806</v>
      </c>
      <c r="E410" s="41" t="s">
        <v>19</v>
      </c>
      <c r="F410" s="41"/>
      <c r="G410" s="41"/>
      <c r="H410" s="13" t="s">
        <v>7</v>
      </c>
      <c r="I410" s="47" t="s">
        <v>158</v>
      </c>
      <c r="J410" s="13"/>
      <c r="K410" s="13"/>
      <c r="L410" s="13"/>
      <c r="M410" s="13"/>
      <c r="N410" s="13"/>
      <c r="O410" s="40" t="s">
        <v>92</v>
      </c>
      <c r="P410" s="41" t="s">
        <v>104</v>
      </c>
      <c r="Q410" s="41" t="s">
        <v>104</v>
      </c>
      <c r="R410" s="41" t="s">
        <v>1588</v>
      </c>
      <c r="S410" s="41" t="s">
        <v>106</v>
      </c>
      <c r="T410" s="13" t="s">
        <v>107</v>
      </c>
      <c r="U410" s="35" t="s">
        <v>402</v>
      </c>
      <c r="V410" s="35" t="s">
        <v>305</v>
      </c>
      <c r="W410" s="41" t="s">
        <v>1807</v>
      </c>
      <c r="X410" s="41" t="s">
        <v>106</v>
      </c>
      <c r="Y410" s="41" t="s">
        <v>107</v>
      </c>
      <c r="Z410" s="13">
        <v>0</v>
      </c>
      <c r="AA410" s="13">
        <v>212</v>
      </c>
      <c r="AB410" s="13">
        <v>209</v>
      </c>
      <c r="AC410" s="33">
        <v>189</v>
      </c>
      <c r="AD410" s="34">
        <v>192</v>
      </c>
      <c r="AE410" s="40">
        <v>76</v>
      </c>
      <c r="AF410" s="40">
        <v>140</v>
      </c>
      <c r="AG410" s="40">
        <v>3</v>
      </c>
      <c r="AH410" s="13">
        <v>90</v>
      </c>
      <c r="AI410" s="40">
        <v>233</v>
      </c>
      <c r="AJ410" s="40"/>
      <c r="AK410" s="40"/>
      <c r="AL410" s="40"/>
      <c r="AM410" s="33" t="s">
        <v>158</v>
      </c>
      <c r="AN410" s="41" t="s">
        <v>1808</v>
      </c>
      <c r="AO410" s="41" t="s">
        <v>1809</v>
      </c>
      <c r="AP410" s="13"/>
      <c r="AQ410" s="40" t="s">
        <v>1718</v>
      </c>
      <c r="AR410" s="40" t="s">
        <v>161</v>
      </c>
      <c r="AS410" s="6"/>
      <c r="AT410" s="6"/>
      <c r="AU410" s="6"/>
      <c r="AV410" s="6"/>
      <c r="AW410" s="12" t="str">
        <f t="shared" si="13"/>
        <v/>
      </c>
      <c r="AX410" s="12" t="str">
        <f t="shared" si="14"/>
        <v/>
      </c>
      <c r="AY410" s="45"/>
    </row>
    <row r="411" spans="1:51" ht="20.100000000000001" customHeight="1" x14ac:dyDescent="0.2">
      <c r="A411" s="13">
        <v>405</v>
      </c>
      <c r="B411" s="40" t="s">
        <v>1810</v>
      </c>
      <c r="C411" s="40" t="s">
        <v>1731</v>
      </c>
      <c r="D411" s="41" t="s">
        <v>1811</v>
      </c>
      <c r="E411" s="41" t="s">
        <v>10</v>
      </c>
      <c r="F411" s="41" t="s">
        <v>186</v>
      </c>
      <c r="G411" s="41"/>
      <c r="H411" s="13" t="s">
        <v>83</v>
      </c>
      <c r="I411" s="13"/>
      <c r="J411" s="13"/>
      <c r="K411" s="13"/>
      <c r="L411" s="13"/>
      <c r="M411" s="13"/>
      <c r="N411" s="13"/>
      <c r="O411" s="40" t="s">
        <v>92</v>
      </c>
      <c r="P411" s="41"/>
      <c r="Q411" s="41" t="s">
        <v>68</v>
      </c>
      <c r="R411" s="41" t="s">
        <v>1812</v>
      </c>
      <c r="S411" s="41" t="s">
        <v>574</v>
      </c>
      <c r="T411" s="13" t="s">
        <v>107</v>
      </c>
      <c r="U411" s="41"/>
      <c r="V411" s="41" t="s">
        <v>263</v>
      </c>
      <c r="W411" s="41" t="s">
        <v>1813</v>
      </c>
      <c r="X411" s="41" t="s">
        <v>574</v>
      </c>
      <c r="Y411" s="41" t="s">
        <v>107</v>
      </c>
      <c r="Z411" s="13" t="s">
        <v>1814</v>
      </c>
      <c r="AA411" s="13"/>
      <c r="AB411" s="13"/>
      <c r="AC411" s="13">
        <v>180</v>
      </c>
      <c r="AD411" s="40"/>
      <c r="AE411" s="40"/>
      <c r="AF411" s="40"/>
      <c r="AG411" s="40"/>
      <c r="AH411" s="13"/>
      <c r="AI411" s="40"/>
      <c r="AJ411" s="40"/>
      <c r="AK411" s="40"/>
      <c r="AL411" s="40"/>
      <c r="AM411" s="47"/>
      <c r="AN411" s="41"/>
      <c r="AO411" s="41"/>
      <c r="AP411" s="13"/>
      <c r="AQ411" s="40" t="s">
        <v>1718</v>
      </c>
      <c r="AR411" s="40" t="s">
        <v>161</v>
      </c>
      <c r="AS411" s="6" t="s">
        <v>115</v>
      </c>
      <c r="AT411" s="6" t="s">
        <v>441</v>
      </c>
      <c r="AU411" s="6" t="s">
        <v>123</v>
      </c>
      <c r="AV411" s="6" t="s">
        <v>266</v>
      </c>
      <c r="AW411" s="12">
        <f t="shared" si="13"/>
        <v>49</v>
      </c>
      <c r="AX411" s="12" t="str">
        <f t="shared" si="14"/>
        <v/>
      </c>
      <c r="AY411" s="45"/>
    </row>
    <row r="412" spans="1:51" ht="20.100000000000001" customHeight="1" x14ac:dyDescent="0.2">
      <c r="A412" s="13">
        <v>406</v>
      </c>
      <c r="B412" s="40" t="s">
        <v>1810</v>
      </c>
      <c r="C412" s="40" t="s">
        <v>1731</v>
      </c>
      <c r="D412" s="41" t="s">
        <v>1815</v>
      </c>
      <c r="E412" s="41" t="s">
        <v>6</v>
      </c>
      <c r="F412" s="41" t="s">
        <v>481</v>
      </c>
      <c r="G412" s="41"/>
      <c r="H412" s="13" t="s">
        <v>83</v>
      </c>
      <c r="I412" s="13"/>
      <c r="J412" s="13"/>
      <c r="K412" s="13"/>
      <c r="L412" s="13"/>
      <c r="M412" s="13"/>
      <c r="N412" s="13"/>
      <c r="O412" s="40" t="s">
        <v>93</v>
      </c>
      <c r="P412" s="41"/>
      <c r="Q412" s="41" t="s">
        <v>218</v>
      </c>
      <c r="R412" s="41" t="s">
        <v>1816</v>
      </c>
      <c r="S412" s="41" t="s">
        <v>119</v>
      </c>
      <c r="T412" s="13" t="s">
        <v>107</v>
      </c>
      <c r="U412" s="41"/>
      <c r="V412" s="41" t="s">
        <v>453</v>
      </c>
      <c r="W412" s="41" t="s">
        <v>1817</v>
      </c>
      <c r="X412" s="41" t="s">
        <v>369</v>
      </c>
      <c r="Y412" s="41" t="s">
        <v>369</v>
      </c>
      <c r="Z412" s="13" t="s">
        <v>1818</v>
      </c>
      <c r="AA412" s="13"/>
      <c r="AB412" s="13"/>
      <c r="AC412" s="13">
        <v>180</v>
      </c>
      <c r="AD412" s="40"/>
      <c r="AE412" s="40"/>
      <c r="AF412" s="40"/>
      <c r="AG412" s="40"/>
      <c r="AH412" s="13"/>
      <c r="AI412" s="40"/>
      <c r="AJ412" s="40"/>
      <c r="AK412" s="40"/>
      <c r="AL412" s="40"/>
      <c r="AM412" s="47"/>
      <c r="AN412" s="41"/>
      <c r="AO412" s="41"/>
      <c r="AP412" s="13"/>
      <c r="AQ412" s="40" t="s">
        <v>1721</v>
      </c>
      <c r="AR412" s="40" t="s">
        <v>165</v>
      </c>
      <c r="AS412" s="6" t="s">
        <v>115</v>
      </c>
      <c r="AT412" s="6" t="s">
        <v>441</v>
      </c>
      <c r="AU412" s="6" t="s">
        <v>547</v>
      </c>
      <c r="AV412" s="6" t="s">
        <v>124</v>
      </c>
      <c r="AW412" s="12">
        <f t="shared" si="13"/>
        <v>66</v>
      </c>
      <c r="AX412" s="12" t="str">
        <f t="shared" si="14"/>
        <v/>
      </c>
      <c r="AY412" s="45"/>
    </row>
    <row r="413" spans="1:51" ht="20.100000000000001" customHeight="1" x14ac:dyDescent="0.2">
      <c r="A413" s="13">
        <v>407</v>
      </c>
      <c r="B413" s="40" t="s">
        <v>1819</v>
      </c>
      <c r="C413" s="40" t="s">
        <v>1731</v>
      </c>
      <c r="D413" s="41" t="s">
        <v>1820</v>
      </c>
      <c r="E413" s="41" t="s">
        <v>66</v>
      </c>
      <c r="F413" s="41"/>
      <c r="G413" s="41"/>
      <c r="H413" s="13" t="s">
        <v>83</v>
      </c>
      <c r="I413" s="13"/>
      <c r="J413" s="13"/>
      <c r="K413" s="13"/>
      <c r="L413" s="13"/>
      <c r="M413" s="13"/>
      <c r="N413" s="13"/>
      <c r="O413" s="40" t="s">
        <v>67</v>
      </c>
      <c r="P413" s="41"/>
      <c r="Q413" s="41"/>
      <c r="R413" s="41"/>
      <c r="S413" s="41"/>
      <c r="T413" s="13"/>
      <c r="U413" s="41"/>
      <c r="V413" s="41"/>
      <c r="W413" s="41"/>
      <c r="X413" s="41"/>
      <c r="Y413" s="41"/>
      <c r="Z413" s="13"/>
      <c r="AA413" s="13"/>
      <c r="AB413" s="13"/>
      <c r="AC413" s="13"/>
      <c r="AD413" s="40"/>
      <c r="AE413" s="40"/>
      <c r="AF413" s="40"/>
      <c r="AG413" s="40"/>
      <c r="AH413" s="13"/>
      <c r="AI413" s="40"/>
      <c r="AJ413" s="40"/>
      <c r="AK413" s="40"/>
      <c r="AL413" s="40"/>
      <c r="AM413" s="47"/>
      <c r="AN413" s="41"/>
      <c r="AO413" s="41"/>
      <c r="AP413" s="13"/>
      <c r="AQ413" s="40"/>
      <c r="AR413" s="40"/>
      <c r="AS413" s="6"/>
      <c r="AT413" s="6"/>
      <c r="AU413" s="6"/>
      <c r="AV413" s="6"/>
      <c r="AW413" s="12" t="str">
        <f t="shared" si="13"/>
        <v/>
      </c>
      <c r="AX413" s="12" t="str">
        <f t="shared" si="14"/>
        <v/>
      </c>
      <c r="AY413" s="45"/>
    </row>
    <row r="414" spans="1:51" ht="20.100000000000001" customHeight="1" x14ac:dyDescent="0.2">
      <c r="A414" s="13">
        <v>408</v>
      </c>
      <c r="B414" s="40" t="s">
        <v>1819</v>
      </c>
      <c r="C414" s="40" t="s">
        <v>1731</v>
      </c>
      <c r="D414" s="41" t="s">
        <v>1820</v>
      </c>
      <c r="E414" s="41" t="s">
        <v>66</v>
      </c>
      <c r="F414" s="41"/>
      <c r="G414" s="41"/>
      <c r="H414" s="13" t="s">
        <v>7</v>
      </c>
      <c r="I414" s="47"/>
      <c r="J414" s="13"/>
      <c r="K414" s="13"/>
      <c r="L414" s="13"/>
      <c r="M414" s="13"/>
      <c r="N414" s="13"/>
      <c r="O414" s="40" t="s">
        <v>67</v>
      </c>
      <c r="P414" s="41"/>
      <c r="Q414" s="41"/>
      <c r="R414" s="41"/>
      <c r="S414" s="41"/>
      <c r="T414" s="13"/>
      <c r="U414" s="41"/>
      <c r="V414" s="41"/>
      <c r="W414" s="41"/>
      <c r="X414" s="41"/>
      <c r="Y414" s="41"/>
      <c r="Z414" s="13"/>
      <c r="AA414" s="13"/>
      <c r="AB414" s="13"/>
      <c r="AC414" s="13"/>
      <c r="AD414" s="40"/>
      <c r="AE414" s="40"/>
      <c r="AF414" s="40"/>
      <c r="AG414" s="40"/>
      <c r="AH414" s="13"/>
      <c r="AI414" s="40"/>
      <c r="AJ414" s="40"/>
      <c r="AK414" s="40"/>
      <c r="AL414" s="40"/>
      <c r="AM414" s="47"/>
      <c r="AN414" s="41"/>
      <c r="AO414" s="41"/>
      <c r="AP414" s="13"/>
      <c r="AQ414" s="40"/>
      <c r="AR414" s="40"/>
      <c r="AS414" s="6"/>
      <c r="AT414" s="6"/>
      <c r="AU414" s="6"/>
      <c r="AV414" s="6"/>
      <c r="AW414" s="12" t="str">
        <f t="shared" si="13"/>
        <v/>
      </c>
      <c r="AX414" s="12" t="str">
        <f t="shared" si="14"/>
        <v/>
      </c>
      <c r="AY414" s="45"/>
    </row>
    <row r="415" spans="1:51" ht="20.100000000000001" customHeight="1" x14ac:dyDescent="0.2">
      <c r="A415" s="13">
        <v>409</v>
      </c>
      <c r="B415" s="40" t="s">
        <v>1821</v>
      </c>
      <c r="C415" s="40" t="s">
        <v>1731</v>
      </c>
      <c r="D415" s="41" t="s">
        <v>1435</v>
      </c>
      <c r="E415" s="41" t="s">
        <v>6</v>
      </c>
      <c r="F415" s="41"/>
      <c r="G415" s="41"/>
      <c r="H415" s="13" t="s">
        <v>7</v>
      </c>
      <c r="I415" s="47" t="s">
        <v>158</v>
      </c>
      <c r="J415" s="13"/>
      <c r="K415" s="13"/>
      <c r="L415" s="13"/>
      <c r="M415" s="13"/>
      <c r="N415" s="13"/>
      <c r="O415" s="40" t="s">
        <v>67</v>
      </c>
      <c r="P415" s="41" t="s">
        <v>226</v>
      </c>
      <c r="Q415" s="41" t="s">
        <v>226</v>
      </c>
      <c r="R415" s="41" t="s">
        <v>1777</v>
      </c>
      <c r="S415" s="41" t="s">
        <v>369</v>
      </c>
      <c r="T415" s="13" t="s">
        <v>369</v>
      </c>
      <c r="U415" s="41" t="s">
        <v>1778</v>
      </c>
      <c r="V415" s="41" t="s">
        <v>1778</v>
      </c>
      <c r="W415" s="41" t="s">
        <v>1779</v>
      </c>
      <c r="X415" s="41" t="s">
        <v>369</v>
      </c>
      <c r="Y415" s="41" t="s">
        <v>369</v>
      </c>
      <c r="Z415" s="13">
        <v>0</v>
      </c>
      <c r="AA415" s="13">
        <v>199</v>
      </c>
      <c r="AB415" s="13">
        <v>199</v>
      </c>
      <c r="AC415" s="13">
        <v>186</v>
      </c>
      <c r="AD415" s="40">
        <v>186</v>
      </c>
      <c r="AE415" s="40">
        <v>76</v>
      </c>
      <c r="AF415" s="40">
        <v>161</v>
      </c>
      <c r="AG415" s="40">
        <v>4</v>
      </c>
      <c r="AH415" s="13">
        <v>30</v>
      </c>
      <c r="AI415" s="40">
        <v>195</v>
      </c>
      <c r="AJ415" s="40">
        <v>5</v>
      </c>
      <c r="AK415" s="40"/>
      <c r="AL415" s="40"/>
      <c r="AM415" s="15"/>
      <c r="AN415" s="41" t="s">
        <v>1822</v>
      </c>
      <c r="AO415" s="41" t="s">
        <v>1781</v>
      </c>
      <c r="AP415" s="13">
        <v>5</v>
      </c>
      <c r="AQ415" s="40" t="s">
        <v>1718</v>
      </c>
      <c r="AR415" s="40" t="s">
        <v>231</v>
      </c>
      <c r="AS415" s="6"/>
      <c r="AT415" s="6"/>
      <c r="AU415" s="6"/>
      <c r="AV415" s="6"/>
      <c r="AW415" s="12" t="str">
        <f t="shared" si="13"/>
        <v/>
      </c>
      <c r="AX415" s="12" t="str">
        <f t="shared" si="14"/>
        <v/>
      </c>
      <c r="AY415" s="45"/>
    </row>
    <row r="416" spans="1:51" ht="20.100000000000001" customHeight="1" x14ac:dyDescent="0.2">
      <c r="A416" s="13">
        <v>410</v>
      </c>
      <c r="B416" s="40" t="s">
        <v>1821</v>
      </c>
      <c r="C416" s="40" t="s">
        <v>1731</v>
      </c>
      <c r="D416" s="41" t="s">
        <v>1623</v>
      </c>
      <c r="E416" s="41" t="s">
        <v>6</v>
      </c>
      <c r="F416" s="41"/>
      <c r="G416" s="41"/>
      <c r="H416" s="13" t="s">
        <v>7</v>
      </c>
      <c r="I416" s="47" t="s">
        <v>158</v>
      </c>
      <c r="J416" s="13"/>
      <c r="K416" s="13"/>
      <c r="L416" s="13"/>
      <c r="M416" s="13"/>
      <c r="N416" s="13"/>
      <c r="O416" s="40" t="s">
        <v>92</v>
      </c>
      <c r="P416" s="41" t="s">
        <v>117</v>
      </c>
      <c r="Q416" s="41" t="s">
        <v>117</v>
      </c>
      <c r="R416" s="41" t="s">
        <v>1823</v>
      </c>
      <c r="S416" s="41" t="s">
        <v>106</v>
      </c>
      <c r="T416" s="13" t="s">
        <v>107</v>
      </c>
      <c r="U416" s="35" t="s">
        <v>204</v>
      </c>
      <c r="V416" s="35" t="s">
        <v>306</v>
      </c>
      <c r="W416" s="41" t="s">
        <v>1824</v>
      </c>
      <c r="X416" s="41" t="s">
        <v>73</v>
      </c>
      <c r="Y416" s="41" t="s">
        <v>70</v>
      </c>
      <c r="Z416" s="13">
        <v>0</v>
      </c>
      <c r="AA416" s="13">
        <v>202</v>
      </c>
      <c r="AB416" s="13">
        <v>202</v>
      </c>
      <c r="AC416" s="33">
        <v>186</v>
      </c>
      <c r="AD416" s="34">
        <v>189</v>
      </c>
      <c r="AE416" s="40">
        <v>162</v>
      </c>
      <c r="AF416" s="40">
        <v>182</v>
      </c>
      <c r="AG416" s="40">
        <v>3</v>
      </c>
      <c r="AH416" s="13">
        <v>50</v>
      </c>
      <c r="AI416" s="40">
        <v>235</v>
      </c>
      <c r="AJ416" s="40">
        <v>9</v>
      </c>
      <c r="AK416" s="40"/>
      <c r="AL416" s="40"/>
      <c r="AM416" s="33" t="s">
        <v>158</v>
      </c>
      <c r="AN416" s="41" t="s">
        <v>1825</v>
      </c>
      <c r="AO416" s="41" t="s">
        <v>1826</v>
      </c>
      <c r="AP416" s="13">
        <v>9</v>
      </c>
      <c r="AQ416" s="40" t="s">
        <v>1718</v>
      </c>
      <c r="AR416" s="40" t="s">
        <v>161</v>
      </c>
      <c r="AS416" s="6"/>
      <c r="AT416" s="6"/>
      <c r="AU416" s="6"/>
      <c r="AV416" s="6"/>
      <c r="AW416" s="12" t="str">
        <f t="shared" si="13"/>
        <v/>
      </c>
      <c r="AX416" s="12" t="str">
        <f t="shared" si="14"/>
        <v/>
      </c>
      <c r="AY416" s="45"/>
    </row>
    <row r="417" spans="1:51" ht="20.100000000000001" customHeight="1" x14ac:dyDescent="0.2">
      <c r="A417" s="13">
        <v>411</v>
      </c>
      <c r="B417" s="40" t="s">
        <v>1827</v>
      </c>
      <c r="C417" s="40" t="s">
        <v>1731</v>
      </c>
      <c r="D417" s="41" t="s">
        <v>1828</v>
      </c>
      <c r="E417" s="41" t="s">
        <v>8</v>
      </c>
      <c r="F417" s="41" t="s">
        <v>186</v>
      </c>
      <c r="G417" s="41"/>
      <c r="H417" s="13" t="s">
        <v>83</v>
      </c>
      <c r="I417" s="13"/>
      <c r="J417" s="13"/>
      <c r="K417" s="13"/>
      <c r="L417" s="13"/>
      <c r="M417" s="13"/>
      <c r="N417" s="13"/>
      <c r="O417" s="40" t="s">
        <v>93</v>
      </c>
      <c r="P417" s="41"/>
      <c r="Q417" s="41" t="s">
        <v>104</v>
      </c>
      <c r="R417" s="41" t="s">
        <v>105</v>
      </c>
      <c r="S417" s="41" t="s">
        <v>369</v>
      </c>
      <c r="T417" s="13" t="s">
        <v>369</v>
      </c>
      <c r="U417" s="41"/>
      <c r="V417" s="41" t="s">
        <v>256</v>
      </c>
      <c r="W417" s="41" t="s">
        <v>1829</v>
      </c>
      <c r="X417" s="41" t="s">
        <v>145</v>
      </c>
      <c r="Y417" s="41" t="s">
        <v>107</v>
      </c>
      <c r="Z417" s="13" t="s">
        <v>1830</v>
      </c>
      <c r="AA417" s="13"/>
      <c r="AB417" s="13"/>
      <c r="AC417" s="13">
        <v>96</v>
      </c>
      <c r="AD417" s="40"/>
      <c r="AE417" s="40"/>
      <c r="AF417" s="40"/>
      <c r="AG417" s="40"/>
      <c r="AH417" s="13"/>
      <c r="AI417" s="40"/>
      <c r="AJ417" s="40"/>
      <c r="AK417" s="40"/>
      <c r="AL417" s="40"/>
      <c r="AM417" s="47"/>
      <c r="AN417" s="41"/>
      <c r="AO417" s="41"/>
      <c r="AP417" s="13"/>
      <c r="AQ417" s="40"/>
      <c r="AR417" s="40"/>
      <c r="AS417" s="6" t="s">
        <v>115</v>
      </c>
      <c r="AT417" s="6" t="s">
        <v>441</v>
      </c>
      <c r="AU417" s="6" t="s">
        <v>348</v>
      </c>
      <c r="AV417" s="6" t="s">
        <v>344</v>
      </c>
      <c r="AW417" s="12">
        <f t="shared" si="13"/>
        <v>39</v>
      </c>
      <c r="AX417" s="12" t="str">
        <f t="shared" si="14"/>
        <v/>
      </c>
      <c r="AY417" s="45"/>
    </row>
    <row r="418" spans="1:51" ht="20.100000000000001" customHeight="1" x14ac:dyDescent="0.2">
      <c r="A418" s="13">
        <v>412</v>
      </c>
      <c r="B418" s="40" t="s">
        <v>1827</v>
      </c>
      <c r="C418" s="40" t="s">
        <v>1731</v>
      </c>
      <c r="D418" s="41" t="s">
        <v>1450</v>
      </c>
      <c r="E418" s="41" t="s">
        <v>20</v>
      </c>
      <c r="F418" s="41"/>
      <c r="G418" s="41"/>
      <c r="H418" s="13" t="s">
        <v>7</v>
      </c>
      <c r="I418" s="47" t="s">
        <v>158</v>
      </c>
      <c r="J418" s="13"/>
      <c r="K418" s="13"/>
      <c r="L418" s="13"/>
      <c r="M418" s="13"/>
      <c r="N418" s="13"/>
      <c r="O418" s="40" t="s">
        <v>92</v>
      </c>
      <c r="P418" s="35" t="s">
        <v>68</v>
      </c>
      <c r="Q418" s="35" t="s">
        <v>141</v>
      </c>
      <c r="R418" s="41" t="s">
        <v>1469</v>
      </c>
      <c r="S418" s="41" t="s">
        <v>106</v>
      </c>
      <c r="T418" s="13" t="s">
        <v>107</v>
      </c>
      <c r="U418" s="35" t="s">
        <v>332</v>
      </c>
      <c r="V418" s="35" t="s">
        <v>1051</v>
      </c>
      <c r="W418" s="41" t="s">
        <v>1831</v>
      </c>
      <c r="X418" s="41" t="s">
        <v>73</v>
      </c>
      <c r="Y418" s="41" t="s">
        <v>70</v>
      </c>
      <c r="Z418" s="13">
        <v>0</v>
      </c>
      <c r="AA418" s="13">
        <v>198</v>
      </c>
      <c r="AB418" s="13">
        <v>198</v>
      </c>
      <c r="AC418" s="33">
        <v>174</v>
      </c>
      <c r="AD418" s="34">
        <v>186</v>
      </c>
      <c r="AE418" s="40">
        <v>93</v>
      </c>
      <c r="AF418" s="40">
        <v>145</v>
      </c>
      <c r="AG418" s="40">
        <v>10</v>
      </c>
      <c r="AH418" s="13">
        <v>25</v>
      </c>
      <c r="AI418" s="40">
        <v>180</v>
      </c>
      <c r="AJ418" s="40">
        <v>9</v>
      </c>
      <c r="AK418" s="40"/>
      <c r="AL418" s="40"/>
      <c r="AM418" s="33" t="s">
        <v>158</v>
      </c>
      <c r="AN418" s="41" t="s">
        <v>1832</v>
      </c>
      <c r="AO418" s="41" t="s">
        <v>1833</v>
      </c>
      <c r="AP418" s="13">
        <v>8</v>
      </c>
      <c r="AQ418" s="40" t="s">
        <v>1721</v>
      </c>
      <c r="AR418" s="40" t="s">
        <v>231</v>
      </c>
      <c r="AS418" s="6"/>
      <c r="AT418" s="6"/>
      <c r="AU418" s="6"/>
      <c r="AV418" s="6"/>
      <c r="AW418" s="12" t="str">
        <f t="shared" si="13"/>
        <v/>
      </c>
      <c r="AX418" s="12" t="str">
        <f t="shared" si="14"/>
        <v/>
      </c>
      <c r="AY418" s="45"/>
    </row>
    <row r="419" spans="1:51" ht="20.100000000000001" customHeight="1" x14ac:dyDescent="0.2">
      <c r="A419" s="13">
        <v>413</v>
      </c>
      <c r="B419" s="40" t="s">
        <v>1827</v>
      </c>
      <c r="C419" s="40" t="s">
        <v>1731</v>
      </c>
      <c r="D419" s="41" t="s">
        <v>1712</v>
      </c>
      <c r="E419" s="41" t="s">
        <v>9</v>
      </c>
      <c r="F419" s="41"/>
      <c r="G419" s="41"/>
      <c r="H419" s="13" t="s">
        <v>7</v>
      </c>
      <c r="I419" s="47" t="s">
        <v>158</v>
      </c>
      <c r="J419" s="13"/>
      <c r="K419" s="13"/>
      <c r="L419" s="13"/>
      <c r="M419" s="13"/>
      <c r="N419" s="13"/>
      <c r="O419" s="40" t="s">
        <v>67</v>
      </c>
      <c r="P419" s="35" t="s">
        <v>155</v>
      </c>
      <c r="Q419" s="35" t="s">
        <v>104</v>
      </c>
      <c r="R419" s="41" t="s">
        <v>1666</v>
      </c>
      <c r="S419" s="41" t="s">
        <v>369</v>
      </c>
      <c r="T419" s="13" t="s">
        <v>369</v>
      </c>
      <c r="U419" s="35" t="s">
        <v>324</v>
      </c>
      <c r="V419" s="35" t="s">
        <v>361</v>
      </c>
      <c r="W419" s="41" t="s">
        <v>1132</v>
      </c>
      <c r="X419" s="41" t="s">
        <v>106</v>
      </c>
      <c r="Y419" s="41" t="s">
        <v>107</v>
      </c>
      <c r="Z419" s="13">
        <v>0</v>
      </c>
      <c r="AA419" s="13">
        <v>198</v>
      </c>
      <c r="AB419" s="13">
        <v>198</v>
      </c>
      <c r="AC419" s="33">
        <v>192</v>
      </c>
      <c r="AD419" s="34">
        <v>186</v>
      </c>
      <c r="AE419" s="40">
        <v>142</v>
      </c>
      <c r="AF419" s="40">
        <v>161</v>
      </c>
      <c r="AG419" s="40">
        <v>5</v>
      </c>
      <c r="AH419" s="13">
        <v>30</v>
      </c>
      <c r="AI419" s="40">
        <v>196</v>
      </c>
      <c r="AJ419" s="40">
        <v>18</v>
      </c>
      <c r="AK419" s="40"/>
      <c r="AL419" s="40"/>
      <c r="AM419" s="33" t="s">
        <v>158</v>
      </c>
      <c r="AN419" s="41" t="s">
        <v>1834</v>
      </c>
      <c r="AO419" s="41" t="s">
        <v>1835</v>
      </c>
      <c r="AP419" s="13">
        <v>17</v>
      </c>
      <c r="AQ419" s="40" t="s">
        <v>1718</v>
      </c>
      <c r="AR419" s="40" t="s">
        <v>161</v>
      </c>
      <c r="AS419" s="6"/>
      <c r="AT419" s="6"/>
      <c r="AU419" s="6"/>
      <c r="AV419" s="6"/>
      <c r="AW419" s="12" t="str">
        <f t="shared" si="13"/>
        <v/>
      </c>
      <c r="AX419" s="12" t="str">
        <f t="shared" si="14"/>
        <v/>
      </c>
      <c r="AY419" s="45"/>
    </row>
    <row r="420" spans="1:51" s="21" customFormat="1" ht="20.100000000000001" customHeight="1" x14ac:dyDescent="0.2">
      <c r="A420" s="20">
        <v>414</v>
      </c>
      <c r="B420" s="29" t="s">
        <v>1836</v>
      </c>
      <c r="C420" s="29" t="s">
        <v>1731</v>
      </c>
      <c r="D420" s="30" t="s">
        <v>651</v>
      </c>
      <c r="E420" s="30" t="s">
        <v>6</v>
      </c>
      <c r="F420" s="30" t="s">
        <v>481</v>
      </c>
      <c r="G420" s="37"/>
      <c r="H420" s="20" t="s">
        <v>83</v>
      </c>
      <c r="I420" s="20"/>
      <c r="J420" s="20"/>
      <c r="K420" s="20"/>
      <c r="L420" s="20"/>
      <c r="M420" s="20"/>
      <c r="N420" s="20"/>
      <c r="O420" s="29" t="s">
        <v>92</v>
      </c>
      <c r="P420" s="30"/>
      <c r="Q420" s="30" t="s">
        <v>104</v>
      </c>
      <c r="R420" s="30" t="s">
        <v>841</v>
      </c>
      <c r="S420" s="30" t="s">
        <v>106</v>
      </c>
      <c r="T420" s="20" t="s">
        <v>107</v>
      </c>
      <c r="U420" s="30"/>
      <c r="V420" s="30" t="s">
        <v>190</v>
      </c>
      <c r="W420" s="30" t="s">
        <v>842</v>
      </c>
      <c r="X420" s="30" t="s">
        <v>142</v>
      </c>
      <c r="Y420" s="30" t="s">
        <v>70</v>
      </c>
      <c r="Z420" s="20" t="s">
        <v>1837</v>
      </c>
      <c r="AA420" s="20"/>
      <c r="AB420" s="20"/>
      <c r="AC420" s="20">
        <v>162</v>
      </c>
      <c r="AD420" s="29"/>
      <c r="AE420" s="29"/>
      <c r="AF420" s="29"/>
      <c r="AG420" s="29"/>
      <c r="AH420" s="20"/>
      <c r="AI420" s="29"/>
      <c r="AJ420" s="29"/>
      <c r="AK420" s="29"/>
      <c r="AL420" s="29"/>
      <c r="AM420" s="39"/>
      <c r="AN420" s="30"/>
      <c r="AO420" s="30"/>
      <c r="AP420" s="20"/>
      <c r="AQ420" s="29"/>
      <c r="AR420" s="29"/>
      <c r="AS420" s="30" t="s">
        <v>115</v>
      </c>
      <c r="AT420" s="30" t="s">
        <v>441</v>
      </c>
      <c r="AU420" s="30" t="s">
        <v>115</v>
      </c>
      <c r="AV420" s="30" t="s">
        <v>124</v>
      </c>
      <c r="AW420" s="31">
        <f t="shared" si="13"/>
        <v>6</v>
      </c>
      <c r="AX420" s="31">
        <f t="shared" si="14"/>
        <v>6</v>
      </c>
      <c r="AY420" s="32"/>
    </row>
    <row r="421" spans="1:51" ht="20.100000000000001" customHeight="1" x14ac:dyDescent="0.2">
      <c r="A421" s="13">
        <v>415</v>
      </c>
      <c r="B421" s="40" t="s">
        <v>1836</v>
      </c>
      <c r="C421" s="40" t="s">
        <v>1731</v>
      </c>
      <c r="D421" s="41" t="s">
        <v>1815</v>
      </c>
      <c r="E421" s="41" t="s">
        <v>6</v>
      </c>
      <c r="F421" s="41"/>
      <c r="G421" s="41"/>
      <c r="H421" s="13" t="s">
        <v>7</v>
      </c>
      <c r="I421" s="47" t="s">
        <v>158</v>
      </c>
      <c r="J421" s="13"/>
      <c r="K421" s="13"/>
      <c r="L421" s="13"/>
      <c r="M421" s="13"/>
      <c r="N421" s="13"/>
      <c r="O421" s="40" t="s">
        <v>67</v>
      </c>
      <c r="P421" s="35" t="s">
        <v>218</v>
      </c>
      <c r="Q421" s="35" t="s">
        <v>155</v>
      </c>
      <c r="R421" s="41" t="s">
        <v>1653</v>
      </c>
      <c r="S421" s="41" t="s">
        <v>106</v>
      </c>
      <c r="T421" s="13" t="s">
        <v>107</v>
      </c>
      <c r="U421" s="35" t="s">
        <v>453</v>
      </c>
      <c r="V421" s="35" t="s">
        <v>324</v>
      </c>
      <c r="W421" s="41" t="s">
        <v>1237</v>
      </c>
      <c r="X421" s="41" t="s">
        <v>106</v>
      </c>
      <c r="Y421" s="41" t="s">
        <v>107</v>
      </c>
      <c r="Z421" s="13">
        <v>0</v>
      </c>
      <c r="AA421" s="13">
        <v>190</v>
      </c>
      <c r="AB421" s="13">
        <v>190</v>
      </c>
      <c r="AC421" s="13">
        <v>180</v>
      </c>
      <c r="AD421" s="40">
        <v>180</v>
      </c>
      <c r="AE421" s="40">
        <v>134</v>
      </c>
      <c r="AF421" s="40">
        <v>161</v>
      </c>
      <c r="AG421" s="40">
        <v>5</v>
      </c>
      <c r="AH421" s="13">
        <v>70</v>
      </c>
      <c r="AI421" s="40">
        <v>236</v>
      </c>
      <c r="AJ421" s="40">
        <v>25</v>
      </c>
      <c r="AK421" s="40"/>
      <c r="AL421" s="40"/>
      <c r="AM421" s="33" t="s">
        <v>158</v>
      </c>
      <c r="AN421" s="41" t="s">
        <v>1838</v>
      </c>
      <c r="AO421" s="41" t="s">
        <v>422</v>
      </c>
      <c r="AP421" s="13">
        <v>25</v>
      </c>
      <c r="AQ421" s="40" t="s">
        <v>1721</v>
      </c>
      <c r="AR421" s="40" t="s">
        <v>193</v>
      </c>
      <c r="AS421" s="6"/>
      <c r="AT421" s="6"/>
      <c r="AU421" s="6"/>
      <c r="AV421" s="6"/>
      <c r="AW421" s="12" t="str">
        <f t="shared" si="13"/>
        <v/>
      </c>
      <c r="AX421" s="12" t="str">
        <f t="shared" si="14"/>
        <v/>
      </c>
      <c r="AY421" s="45"/>
    </row>
    <row r="422" spans="1:51" ht="20.100000000000001" customHeight="1" x14ac:dyDescent="0.2">
      <c r="A422" s="13">
        <v>416</v>
      </c>
      <c r="B422" s="40" t="s">
        <v>1836</v>
      </c>
      <c r="C422" s="40" t="s">
        <v>1731</v>
      </c>
      <c r="D422" s="41" t="s">
        <v>1839</v>
      </c>
      <c r="E422" s="41" t="s">
        <v>8</v>
      </c>
      <c r="F422" s="41" t="s">
        <v>185</v>
      </c>
      <c r="G422" s="41"/>
      <c r="H422" s="13" t="s">
        <v>83</v>
      </c>
      <c r="I422" s="13"/>
      <c r="J422" s="13"/>
      <c r="K422" s="13"/>
      <c r="L422" s="13"/>
      <c r="M422" s="13"/>
      <c r="N422" s="13"/>
      <c r="O422" s="40" t="s">
        <v>93</v>
      </c>
      <c r="P422" s="41"/>
      <c r="Q422" s="41"/>
      <c r="R422" s="41"/>
      <c r="S422" s="41"/>
      <c r="T422" s="13"/>
      <c r="U422" s="41"/>
      <c r="V422" s="41"/>
      <c r="W422" s="41"/>
      <c r="X422" s="41"/>
      <c r="Y422" s="41"/>
      <c r="Z422" s="13"/>
      <c r="AA422" s="13"/>
      <c r="AB422" s="13"/>
      <c r="AC422" s="13"/>
      <c r="AD422" s="40"/>
      <c r="AE422" s="40"/>
      <c r="AF422" s="40"/>
      <c r="AG422" s="40"/>
      <c r="AH422" s="13"/>
      <c r="AI422" s="40"/>
      <c r="AJ422" s="40"/>
      <c r="AK422" s="40"/>
      <c r="AL422" s="40"/>
      <c r="AM422" s="47"/>
      <c r="AN422" s="41"/>
      <c r="AO422" s="41"/>
      <c r="AP422" s="13"/>
      <c r="AQ422" s="40" t="s">
        <v>1718</v>
      </c>
      <c r="AR422" s="40" t="s">
        <v>330</v>
      </c>
      <c r="AS422" s="6"/>
      <c r="AT422" s="6"/>
      <c r="AU422" s="6"/>
      <c r="AV422" s="6"/>
      <c r="AW422" s="12" t="str">
        <f t="shared" si="13"/>
        <v/>
      </c>
      <c r="AX422" s="12" t="str">
        <f t="shared" si="14"/>
        <v/>
      </c>
      <c r="AY422" s="45"/>
    </row>
    <row r="423" spans="1:51" s="21" customFormat="1" ht="31.5" x14ac:dyDescent="0.2">
      <c r="A423" s="20">
        <v>417</v>
      </c>
      <c r="B423" s="29" t="s">
        <v>1836</v>
      </c>
      <c r="C423" s="29" t="s">
        <v>1731</v>
      </c>
      <c r="D423" s="30" t="s">
        <v>1675</v>
      </c>
      <c r="E423" s="30" t="s">
        <v>8</v>
      </c>
      <c r="F423" s="30" t="s">
        <v>481</v>
      </c>
      <c r="G423" s="37"/>
      <c r="H423" s="20" t="s">
        <v>83</v>
      </c>
      <c r="I423" s="20"/>
      <c r="J423" s="20"/>
      <c r="K423" s="20"/>
      <c r="L423" s="20"/>
      <c r="M423" s="20"/>
      <c r="N423" s="20"/>
      <c r="O423" s="29" t="s">
        <v>93</v>
      </c>
      <c r="P423" s="30"/>
      <c r="Q423" s="30" t="s">
        <v>104</v>
      </c>
      <c r="R423" s="30" t="s">
        <v>1726</v>
      </c>
      <c r="S423" s="30" t="s">
        <v>69</v>
      </c>
      <c r="T423" s="20" t="s">
        <v>70</v>
      </c>
      <c r="U423" s="30"/>
      <c r="V423" s="30" t="s">
        <v>1727</v>
      </c>
      <c r="W423" s="30" t="s">
        <v>1728</v>
      </c>
      <c r="X423" s="30" t="s">
        <v>106</v>
      </c>
      <c r="Y423" s="30" t="s">
        <v>107</v>
      </c>
      <c r="Z423" s="20" t="s">
        <v>1840</v>
      </c>
      <c r="AA423" s="20"/>
      <c r="AB423" s="20"/>
      <c r="AC423" s="20">
        <v>186</v>
      </c>
      <c r="AD423" s="29"/>
      <c r="AE423" s="29"/>
      <c r="AF423" s="29"/>
      <c r="AG423" s="29"/>
      <c r="AH423" s="20"/>
      <c r="AI423" s="29"/>
      <c r="AJ423" s="29"/>
      <c r="AK423" s="29"/>
      <c r="AL423" s="29"/>
      <c r="AM423" s="39"/>
      <c r="AN423" s="30"/>
      <c r="AO423" s="30"/>
      <c r="AP423" s="20"/>
      <c r="AQ423" s="29" t="s">
        <v>1718</v>
      </c>
      <c r="AR423" s="29"/>
      <c r="AS423" s="30" t="s">
        <v>115</v>
      </c>
      <c r="AT423" s="30" t="s">
        <v>441</v>
      </c>
      <c r="AU423" s="30" t="s">
        <v>115</v>
      </c>
      <c r="AV423" s="30" t="s">
        <v>266</v>
      </c>
      <c r="AW423" s="31">
        <f t="shared" si="13"/>
        <v>1</v>
      </c>
      <c r="AX423" s="31">
        <f t="shared" si="14"/>
        <v>1</v>
      </c>
      <c r="AY423" s="32" t="s">
        <v>1841</v>
      </c>
    </row>
    <row r="424" spans="1:51" ht="20.100000000000001" customHeight="1" x14ac:dyDescent="0.2">
      <c r="A424" s="13">
        <v>418</v>
      </c>
      <c r="B424" s="40" t="s">
        <v>1842</v>
      </c>
      <c r="C424" s="40" t="s">
        <v>1731</v>
      </c>
      <c r="D424" s="41" t="s">
        <v>1689</v>
      </c>
      <c r="E424" s="41" t="s">
        <v>20</v>
      </c>
      <c r="F424" s="41"/>
      <c r="G424" s="41"/>
      <c r="H424" s="13" t="s">
        <v>7</v>
      </c>
      <c r="I424" s="47" t="s">
        <v>158</v>
      </c>
      <c r="J424" s="13"/>
      <c r="K424" s="13"/>
      <c r="L424" s="13"/>
      <c r="M424" s="13"/>
      <c r="N424" s="13"/>
      <c r="O424" s="40" t="s">
        <v>92</v>
      </c>
      <c r="P424" s="35" t="s">
        <v>155</v>
      </c>
      <c r="Q424" s="35" t="s">
        <v>104</v>
      </c>
      <c r="R424" s="41" t="s">
        <v>923</v>
      </c>
      <c r="S424" s="41" t="s">
        <v>106</v>
      </c>
      <c r="T424" s="13" t="s">
        <v>107</v>
      </c>
      <c r="U424" s="35" t="s">
        <v>1843</v>
      </c>
      <c r="V424" s="35" t="s">
        <v>128</v>
      </c>
      <c r="W424" s="41" t="s">
        <v>1844</v>
      </c>
      <c r="X424" s="41" t="s">
        <v>73</v>
      </c>
      <c r="Y424" s="41" t="s">
        <v>70</v>
      </c>
      <c r="Z424" s="13"/>
      <c r="AA424" s="13"/>
      <c r="AB424" s="13"/>
      <c r="AC424" s="13"/>
      <c r="AD424" s="40">
        <v>216</v>
      </c>
      <c r="AE424" s="40"/>
      <c r="AF424" s="40"/>
      <c r="AG424" s="40"/>
      <c r="AH424" s="13"/>
      <c r="AI424" s="40"/>
      <c r="AJ424" s="40"/>
      <c r="AK424" s="40"/>
      <c r="AL424" s="40"/>
      <c r="AM424" s="33" t="s">
        <v>158</v>
      </c>
      <c r="AN424" s="41" t="s">
        <v>1836</v>
      </c>
      <c r="AO424" s="41"/>
      <c r="AP424" s="13"/>
      <c r="AQ424" s="40" t="s">
        <v>1721</v>
      </c>
      <c r="AR424" s="40" t="s">
        <v>193</v>
      </c>
      <c r="AS424" s="6"/>
      <c r="AT424" s="6"/>
      <c r="AU424" s="6"/>
      <c r="AV424" s="6"/>
      <c r="AW424" s="12" t="str">
        <f t="shared" si="13"/>
        <v/>
      </c>
      <c r="AX424" s="12" t="str">
        <f t="shared" si="14"/>
        <v/>
      </c>
      <c r="AY424" s="45"/>
    </row>
    <row r="425" spans="1:51" ht="20.100000000000001" customHeight="1" x14ac:dyDescent="0.2">
      <c r="A425" s="13">
        <v>419</v>
      </c>
      <c r="B425" s="40" t="s">
        <v>1842</v>
      </c>
      <c r="C425" s="40" t="s">
        <v>1731</v>
      </c>
      <c r="D425" s="41" t="s">
        <v>1845</v>
      </c>
      <c r="E425" s="41" t="s">
        <v>243</v>
      </c>
      <c r="F425" s="41" t="s">
        <v>481</v>
      </c>
      <c r="G425" s="41"/>
      <c r="H425" s="13" t="s">
        <v>83</v>
      </c>
      <c r="I425" s="13"/>
      <c r="J425" s="13"/>
      <c r="K425" s="13"/>
      <c r="L425" s="13"/>
      <c r="M425" s="13"/>
      <c r="N425" s="13"/>
      <c r="O425" s="40" t="s">
        <v>67</v>
      </c>
      <c r="P425" s="41"/>
      <c r="Q425" s="41" t="s">
        <v>68</v>
      </c>
      <c r="R425" s="41" t="s">
        <v>429</v>
      </c>
      <c r="S425" s="41" t="s">
        <v>69</v>
      </c>
      <c r="T425" s="13" t="s">
        <v>70</v>
      </c>
      <c r="U425" s="41"/>
      <c r="V425" s="41" t="s">
        <v>414</v>
      </c>
      <c r="W425" s="41"/>
      <c r="X425" s="41" t="s">
        <v>73</v>
      </c>
      <c r="Y425" s="41" t="s">
        <v>70</v>
      </c>
      <c r="Z425" s="13" t="s">
        <v>1846</v>
      </c>
      <c r="AA425" s="13"/>
      <c r="AB425" s="13"/>
      <c r="AC425" s="13">
        <v>228</v>
      </c>
      <c r="AD425" s="40"/>
      <c r="AE425" s="40"/>
      <c r="AF425" s="40"/>
      <c r="AG425" s="40"/>
      <c r="AH425" s="13"/>
      <c r="AI425" s="40"/>
      <c r="AJ425" s="40"/>
      <c r="AK425" s="40"/>
      <c r="AL425" s="40"/>
      <c r="AM425" s="47"/>
      <c r="AN425" s="41"/>
      <c r="AO425" s="41"/>
      <c r="AP425" s="13"/>
      <c r="AQ425" s="40" t="s">
        <v>1721</v>
      </c>
      <c r="AR425" s="40" t="s">
        <v>165</v>
      </c>
      <c r="AS425" s="6" t="s">
        <v>115</v>
      </c>
      <c r="AT425" s="6" t="s">
        <v>441</v>
      </c>
      <c r="AU425" s="6" t="s">
        <v>208</v>
      </c>
      <c r="AV425" s="6" t="s">
        <v>137</v>
      </c>
      <c r="AW425" s="12">
        <f t="shared" si="13"/>
        <v>28</v>
      </c>
      <c r="AX425" s="12" t="str">
        <f t="shared" si="14"/>
        <v/>
      </c>
      <c r="AY425" s="45"/>
    </row>
    <row r="426" spans="1:51" ht="20.100000000000001" customHeight="1" x14ac:dyDescent="0.2">
      <c r="A426" s="13">
        <v>420</v>
      </c>
      <c r="B426" s="40" t="s">
        <v>1842</v>
      </c>
      <c r="C426" s="40" t="s">
        <v>1731</v>
      </c>
      <c r="D426" s="41" t="s">
        <v>19</v>
      </c>
      <c r="E426" s="41" t="s">
        <v>19</v>
      </c>
      <c r="F426" s="41" t="s">
        <v>605</v>
      </c>
      <c r="G426" s="41"/>
      <c r="H426" s="13" t="s">
        <v>83</v>
      </c>
      <c r="I426" s="13"/>
      <c r="J426" s="13"/>
      <c r="K426" s="13"/>
      <c r="L426" s="13"/>
      <c r="M426" s="13"/>
      <c r="N426" s="13"/>
      <c r="O426" s="40" t="s">
        <v>93</v>
      </c>
      <c r="P426" s="41"/>
      <c r="Q426" s="41" t="s">
        <v>334</v>
      </c>
      <c r="R426" s="41" t="s">
        <v>1847</v>
      </c>
      <c r="S426" s="41" t="s">
        <v>262</v>
      </c>
      <c r="T426" s="13" t="s">
        <v>70</v>
      </c>
      <c r="U426" s="41"/>
      <c r="V426" s="41" t="s">
        <v>1848</v>
      </c>
      <c r="W426" s="41" t="s">
        <v>1849</v>
      </c>
      <c r="X426" s="41" t="s">
        <v>73</v>
      </c>
      <c r="Y426" s="41" t="s">
        <v>70</v>
      </c>
      <c r="Z426" s="13" t="s">
        <v>1850</v>
      </c>
      <c r="AA426" s="13"/>
      <c r="AB426" s="13"/>
      <c r="AC426" s="13">
        <v>90</v>
      </c>
      <c r="AD426" s="40"/>
      <c r="AE426" s="40"/>
      <c r="AF426" s="40"/>
      <c r="AG426" s="40"/>
      <c r="AH426" s="13"/>
      <c r="AI426" s="40"/>
      <c r="AJ426" s="40"/>
      <c r="AK426" s="40"/>
      <c r="AL426" s="40"/>
      <c r="AM426" s="47"/>
      <c r="AN426" s="41"/>
      <c r="AO426" s="41"/>
      <c r="AP426" s="13"/>
      <c r="AQ426" s="40" t="s">
        <v>1718</v>
      </c>
      <c r="AR426" s="40" t="s">
        <v>1851</v>
      </c>
      <c r="AS426" s="6" t="s">
        <v>115</v>
      </c>
      <c r="AT426" s="6" t="s">
        <v>441</v>
      </c>
      <c r="AU426" s="6" t="s">
        <v>123</v>
      </c>
      <c r="AV426" s="6" t="s">
        <v>137</v>
      </c>
      <c r="AW426" s="12">
        <f t="shared" si="13"/>
        <v>52</v>
      </c>
      <c r="AX426" s="12" t="str">
        <f t="shared" si="14"/>
        <v/>
      </c>
      <c r="AY426" s="45"/>
    </row>
    <row r="427" spans="1:51" ht="20.100000000000001" customHeight="1" x14ac:dyDescent="0.2">
      <c r="A427" s="13">
        <v>421</v>
      </c>
      <c r="B427" s="40" t="s">
        <v>1852</v>
      </c>
      <c r="C427" s="40" t="s">
        <v>1731</v>
      </c>
      <c r="D427" s="41" t="s">
        <v>1853</v>
      </c>
      <c r="E427" s="41" t="s">
        <v>243</v>
      </c>
      <c r="F427" s="41" t="s">
        <v>185</v>
      </c>
      <c r="G427" s="41"/>
      <c r="H427" s="13" t="s">
        <v>83</v>
      </c>
      <c r="I427" s="13"/>
      <c r="J427" s="13"/>
      <c r="K427" s="13"/>
      <c r="L427" s="13"/>
      <c r="M427" s="13"/>
      <c r="N427" s="13"/>
      <c r="O427" s="40" t="s">
        <v>93</v>
      </c>
      <c r="P427" s="41"/>
      <c r="Q427" s="41" t="s">
        <v>140</v>
      </c>
      <c r="R427" s="41" t="s">
        <v>155</v>
      </c>
      <c r="S427" s="41" t="s">
        <v>69</v>
      </c>
      <c r="T427" s="13" t="s">
        <v>70</v>
      </c>
      <c r="U427" s="41"/>
      <c r="V427" s="41" t="s">
        <v>143</v>
      </c>
      <c r="W427" s="41" t="s">
        <v>1854</v>
      </c>
      <c r="X427" s="41" t="s">
        <v>824</v>
      </c>
      <c r="Y427" s="41" t="s">
        <v>107</v>
      </c>
      <c r="Z427" s="13" t="s">
        <v>1855</v>
      </c>
      <c r="AA427" s="13"/>
      <c r="AB427" s="13"/>
      <c r="AC427" s="13">
        <v>162</v>
      </c>
      <c r="AD427" s="40"/>
      <c r="AE427" s="40"/>
      <c r="AF427" s="40"/>
      <c r="AG427" s="40"/>
      <c r="AH427" s="13"/>
      <c r="AI427" s="40"/>
      <c r="AJ427" s="40"/>
      <c r="AK427" s="40"/>
      <c r="AL427" s="40"/>
      <c r="AM427" s="47"/>
      <c r="AN427" s="41"/>
      <c r="AO427" s="41"/>
      <c r="AP427" s="13"/>
      <c r="AQ427" s="40" t="s">
        <v>1718</v>
      </c>
      <c r="AR427" s="40" t="s">
        <v>231</v>
      </c>
      <c r="AS427" s="6" t="s">
        <v>115</v>
      </c>
      <c r="AT427" s="6" t="s">
        <v>441</v>
      </c>
      <c r="AU427" s="6" t="s">
        <v>827</v>
      </c>
      <c r="AV427" s="6" t="s">
        <v>124</v>
      </c>
      <c r="AW427" s="12">
        <f t="shared" si="13"/>
        <v>150</v>
      </c>
      <c r="AX427" s="12" t="str">
        <f t="shared" si="14"/>
        <v/>
      </c>
      <c r="AY427" s="45"/>
    </row>
    <row r="428" spans="1:51" ht="20.100000000000001" customHeight="1" x14ac:dyDescent="0.2">
      <c r="A428" s="13">
        <v>422</v>
      </c>
      <c r="B428" s="40" t="s">
        <v>1852</v>
      </c>
      <c r="C428" s="40" t="s">
        <v>1731</v>
      </c>
      <c r="D428" s="41" t="s">
        <v>1845</v>
      </c>
      <c r="E428" s="41" t="s">
        <v>243</v>
      </c>
      <c r="F428" s="41"/>
      <c r="G428" s="41"/>
      <c r="H428" s="13" t="s">
        <v>7</v>
      </c>
      <c r="I428" s="47" t="s">
        <v>158</v>
      </c>
      <c r="J428" s="13"/>
      <c r="K428" s="13"/>
      <c r="L428" s="13"/>
      <c r="M428" s="13"/>
      <c r="N428" s="13"/>
      <c r="O428" s="40" t="s">
        <v>67</v>
      </c>
      <c r="P428" s="35" t="s">
        <v>68</v>
      </c>
      <c r="Q428" s="35" t="s">
        <v>104</v>
      </c>
      <c r="R428" s="41" t="s">
        <v>1690</v>
      </c>
      <c r="S428" s="41" t="s">
        <v>106</v>
      </c>
      <c r="T428" s="13" t="s">
        <v>107</v>
      </c>
      <c r="U428" s="35" t="s">
        <v>414</v>
      </c>
      <c r="V428" s="35" t="s">
        <v>402</v>
      </c>
      <c r="W428" s="41" t="s">
        <v>1856</v>
      </c>
      <c r="X428" s="41" t="s">
        <v>69</v>
      </c>
      <c r="Y428" s="41" t="s">
        <v>70</v>
      </c>
      <c r="Z428" s="13">
        <v>0</v>
      </c>
      <c r="AA428" s="13">
        <v>250</v>
      </c>
      <c r="AB428" s="13">
        <v>250</v>
      </c>
      <c r="AC428" s="13">
        <v>228</v>
      </c>
      <c r="AD428" s="40">
        <v>228</v>
      </c>
      <c r="AE428" s="40"/>
      <c r="AF428" s="40">
        <v>157</v>
      </c>
      <c r="AG428" s="40">
        <v>4</v>
      </c>
      <c r="AH428" s="13">
        <v>54</v>
      </c>
      <c r="AI428" s="40">
        <v>215</v>
      </c>
      <c r="AJ428" s="40">
        <v>12</v>
      </c>
      <c r="AK428" s="40"/>
      <c r="AL428" s="40"/>
      <c r="AM428" s="33" t="s">
        <v>158</v>
      </c>
      <c r="AN428" s="41" t="s">
        <v>1857</v>
      </c>
      <c r="AO428" s="41" t="s">
        <v>1858</v>
      </c>
      <c r="AP428" s="13">
        <v>11</v>
      </c>
      <c r="AQ428" s="40" t="s">
        <v>1721</v>
      </c>
      <c r="AR428" s="40" t="s">
        <v>165</v>
      </c>
      <c r="AS428" s="6"/>
      <c r="AT428" s="6"/>
      <c r="AU428" s="6"/>
      <c r="AV428" s="6"/>
      <c r="AW428" s="12" t="str">
        <f t="shared" si="13"/>
        <v/>
      </c>
      <c r="AX428" s="12" t="str">
        <f t="shared" si="14"/>
        <v/>
      </c>
      <c r="AY428" s="45"/>
    </row>
    <row r="429" spans="1:51" ht="20.100000000000001" customHeight="1" x14ac:dyDescent="0.2">
      <c r="A429" s="13">
        <v>423</v>
      </c>
      <c r="B429" s="40" t="s">
        <v>1852</v>
      </c>
      <c r="C429" s="40" t="s">
        <v>1731</v>
      </c>
      <c r="D429" s="41" t="s">
        <v>1790</v>
      </c>
      <c r="E429" s="41" t="s">
        <v>243</v>
      </c>
      <c r="F429" s="41"/>
      <c r="G429" s="41"/>
      <c r="H429" s="13" t="s">
        <v>7</v>
      </c>
      <c r="I429" s="47" t="s">
        <v>158</v>
      </c>
      <c r="J429" s="13"/>
      <c r="K429" s="13"/>
      <c r="L429" s="13"/>
      <c r="M429" s="13"/>
      <c r="N429" s="13"/>
      <c r="O429" s="40" t="s">
        <v>67</v>
      </c>
      <c r="P429" s="41" t="s">
        <v>155</v>
      </c>
      <c r="Q429" s="41" t="s">
        <v>155</v>
      </c>
      <c r="R429" s="41" t="s">
        <v>615</v>
      </c>
      <c r="S429" s="41" t="s">
        <v>106</v>
      </c>
      <c r="T429" s="13" t="s">
        <v>107</v>
      </c>
      <c r="U429" s="35" t="s">
        <v>804</v>
      </c>
      <c r="V429" s="35" t="s">
        <v>899</v>
      </c>
      <c r="W429" s="41" t="s">
        <v>1859</v>
      </c>
      <c r="X429" s="41" t="s">
        <v>145</v>
      </c>
      <c r="Y429" s="41" t="s">
        <v>107</v>
      </c>
      <c r="Z429" s="13">
        <v>0</v>
      </c>
      <c r="AA429" s="13">
        <v>200</v>
      </c>
      <c r="AB429" s="13">
        <v>200</v>
      </c>
      <c r="AC429" s="13">
        <v>138</v>
      </c>
      <c r="AD429" s="40">
        <v>138</v>
      </c>
      <c r="AE429" s="40">
        <v>37</v>
      </c>
      <c r="AF429" s="40">
        <v>84</v>
      </c>
      <c r="AG429" s="40">
        <v>12</v>
      </c>
      <c r="AH429" s="13">
        <v>50</v>
      </c>
      <c r="AI429" s="40">
        <v>146</v>
      </c>
      <c r="AJ429" s="40">
        <v>35</v>
      </c>
      <c r="AK429" s="40"/>
      <c r="AL429" s="40"/>
      <c r="AM429" s="33" t="s">
        <v>158</v>
      </c>
      <c r="AN429" s="41" t="s">
        <v>1860</v>
      </c>
      <c r="AO429" s="41" t="s">
        <v>1861</v>
      </c>
      <c r="AP429" s="13">
        <v>35</v>
      </c>
      <c r="AQ429" s="40" t="s">
        <v>1718</v>
      </c>
      <c r="AR429" s="40" t="s">
        <v>161</v>
      </c>
      <c r="AS429" s="6"/>
      <c r="AT429" s="6"/>
      <c r="AU429" s="6"/>
      <c r="AV429" s="6"/>
      <c r="AW429" s="12" t="str">
        <f t="shared" si="13"/>
        <v/>
      </c>
      <c r="AX429" s="12" t="str">
        <f t="shared" si="14"/>
        <v/>
      </c>
      <c r="AY429" s="45"/>
    </row>
    <row r="430" spans="1:51" ht="20.100000000000001" customHeight="1" x14ac:dyDescent="0.2">
      <c r="A430" s="13">
        <v>424</v>
      </c>
      <c r="B430" s="40" t="s">
        <v>1862</v>
      </c>
      <c r="C430" s="40" t="s">
        <v>1863</v>
      </c>
      <c r="D430" s="41" t="s">
        <v>1864</v>
      </c>
      <c r="E430" s="41" t="s">
        <v>19</v>
      </c>
      <c r="F430" s="41" t="s">
        <v>186</v>
      </c>
      <c r="G430" s="41"/>
      <c r="H430" s="13" t="s">
        <v>83</v>
      </c>
      <c r="I430" s="13"/>
      <c r="J430" s="13"/>
      <c r="K430" s="13"/>
      <c r="L430" s="13"/>
      <c r="M430" s="13"/>
      <c r="N430" s="13"/>
      <c r="O430" s="40" t="s">
        <v>92</v>
      </c>
      <c r="P430" s="41"/>
      <c r="Q430" s="41" t="s">
        <v>104</v>
      </c>
      <c r="R430" s="41" t="s">
        <v>1865</v>
      </c>
      <c r="S430" s="41" t="s">
        <v>262</v>
      </c>
      <c r="T430" s="13" t="s">
        <v>70</v>
      </c>
      <c r="U430" s="41"/>
      <c r="V430" s="41" t="s">
        <v>108</v>
      </c>
      <c r="W430" s="41" t="s">
        <v>1866</v>
      </c>
      <c r="X430" s="41" t="s">
        <v>69</v>
      </c>
      <c r="Y430" s="41" t="s">
        <v>70</v>
      </c>
      <c r="Z430" s="13" t="s">
        <v>1867</v>
      </c>
      <c r="AA430" s="13"/>
      <c r="AB430" s="13"/>
      <c r="AC430" s="13">
        <v>150</v>
      </c>
      <c r="AD430" s="40"/>
      <c r="AE430" s="40"/>
      <c r="AF430" s="40"/>
      <c r="AG430" s="40"/>
      <c r="AH430" s="13"/>
      <c r="AI430" s="40"/>
      <c r="AJ430" s="40"/>
      <c r="AK430" s="40"/>
      <c r="AL430" s="40"/>
      <c r="AM430" s="47"/>
      <c r="AN430" s="41"/>
      <c r="AO430" s="41"/>
      <c r="AP430" s="13"/>
      <c r="AQ430" s="40" t="s">
        <v>1718</v>
      </c>
      <c r="AR430" s="40" t="s">
        <v>1851</v>
      </c>
      <c r="AS430" s="6" t="s">
        <v>115</v>
      </c>
      <c r="AT430" s="6" t="s">
        <v>116</v>
      </c>
      <c r="AU430" s="6" t="s">
        <v>547</v>
      </c>
      <c r="AV430" s="6" t="s">
        <v>116</v>
      </c>
      <c r="AW430" s="12">
        <f t="shared" si="13"/>
        <v>60</v>
      </c>
      <c r="AX430" s="12" t="str">
        <f t="shared" si="14"/>
        <v/>
      </c>
      <c r="AY430" s="45"/>
    </row>
    <row r="431" spans="1:51" ht="20.100000000000001" customHeight="1" x14ac:dyDescent="0.2">
      <c r="A431" s="13">
        <v>425</v>
      </c>
      <c r="B431" s="40" t="s">
        <v>1862</v>
      </c>
      <c r="C431" s="40" t="s">
        <v>1863</v>
      </c>
      <c r="D431" s="41" t="s">
        <v>86</v>
      </c>
      <c r="E431" s="41" t="s">
        <v>8</v>
      </c>
      <c r="F431" s="41" t="s">
        <v>481</v>
      </c>
      <c r="G431" s="41" t="s">
        <v>1868</v>
      </c>
      <c r="H431" s="13" t="s">
        <v>83</v>
      </c>
      <c r="I431" s="13"/>
      <c r="J431" s="13"/>
      <c r="K431" s="13"/>
      <c r="L431" s="13"/>
      <c r="M431" s="13"/>
      <c r="N431" s="13"/>
      <c r="O431" s="40" t="s">
        <v>67</v>
      </c>
      <c r="P431" s="41"/>
      <c r="Q431" s="41" t="s">
        <v>117</v>
      </c>
      <c r="R431" s="41" t="s">
        <v>1869</v>
      </c>
      <c r="S431" s="41" t="s">
        <v>69</v>
      </c>
      <c r="T431" s="13" t="s">
        <v>70</v>
      </c>
      <c r="U431" s="41"/>
      <c r="V431" s="41" t="s">
        <v>120</v>
      </c>
      <c r="W431" s="41" t="s">
        <v>1870</v>
      </c>
      <c r="X431" s="41" t="s">
        <v>142</v>
      </c>
      <c r="Y431" s="41" t="s">
        <v>70</v>
      </c>
      <c r="Z431" s="13" t="s">
        <v>1871</v>
      </c>
      <c r="AA431" s="13"/>
      <c r="AB431" s="13"/>
      <c r="AC431" s="13">
        <v>162</v>
      </c>
      <c r="AD431" s="40"/>
      <c r="AE431" s="40"/>
      <c r="AF431" s="40"/>
      <c r="AG431" s="40"/>
      <c r="AH431" s="13"/>
      <c r="AI431" s="40"/>
      <c r="AJ431" s="40"/>
      <c r="AK431" s="40"/>
      <c r="AL431" s="40"/>
      <c r="AM431" s="47"/>
      <c r="AN431" s="41"/>
      <c r="AO431" s="41"/>
      <c r="AP431" s="13"/>
      <c r="AQ431" s="40" t="s">
        <v>1718</v>
      </c>
      <c r="AR431" s="40" t="s">
        <v>112</v>
      </c>
      <c r="AS431" s="6" t="s">
        <v>115</v>
      </c>
      <c r="AT431" s="6" t="s">
        <v>116</v>
      </c>
      <c r="AU431" s="6" t="s">
        <v>136</v>
      </c>
      <c r="AV431" s="6" t="s">
        <v>344</v>
      </c>
      <c r="AW431" s="12">
        <f t="shared" si="13"/>
        <v>16</v>
      </c>
      <c r="AX431" s="12" t="str">
        <f t="shared" si="14"/>
        <v/>
      </c>
      <c r="AY431" s="45"/>
    </row>
    <row r="432" spans="1:51" s="21" customFormat="1" ht="47.25" x14ac:dyDescent="0.2">
      <c r="A432" s="20">
        <v>426</v>
      </c>
      <c r="B432" s="29" t="s">
        <v>1872</v>
      </c>
      <c r="C432" s="29" t="s">
        <v>1863</v>
      </c>
      <c r="D432" s="30" t="s">
        <v>1815</v>
      </c>
      <c r="E432" s="30" t="s">
        <v>6</v>
      </c>
      <c r="F432" s="30" t="s">
        <v>3661</v>
      </c>
      <c r="G432" s="37" t="s">
        <v>1794</v>
      </c>
      <c r="H432" s="20" t="s">
        <v>83</v>
      </c>
      <c r="I432" s="20"/>
      <c r="J432" s="20"/>
      <c r="K432" s="20"/>
      <c r="L432" s="20"/>
      <c r="M432" s="20"/>
      <c r="N432" s="20"/>
      <c r="O432" s="29" t="s">
        <v>93</v>
      </c>
      <c r="P432" s="30"/>
      <c r="Q432" s="30" t="s">
        <v>155</v>
      </c>
      <c r="R432" s="30" t="s">
        <v>1653</v>
      </c>
      <c r="S432" s="30" t="s">
        <v>106</v>
      </c>
      <c r="T432" s="20" t="s">
        <v>107</v>
      </c>
      <c r="U432" s="30"/>
      <c r="V432" s="30" t="s">
        <v>324</v>
      </c>
      <c r="W432" s="30" t="s">
        <v>1237</v>
      </c>
      <c r="X432" s="30" t="s">
        <v>106</v>
      </c>
      <c r="Y432" s="30" t="s">
        <v>107</v>
      </c>
      <c r="Z432" s="20" t="s">
        <v>1836</v>
      </c>
      <c r="AA432" s="20"/>
      <c r="AB432" s="20"/>
      <c r="AC432" s="20">
        <v>180</v>
      </c>
      <c r="AD432" s="29"/>
      <c r="AE432" s="29"/>
      <c r="AF432" s="29"/>
      <c r="AG432" s="29"/>
      <c r="AH432" s="20"/>
      <c r="AI432" s="29"/>
      <c r="AJ432" s="29"/>
      <c r="AK432" s="29"/>
      <c r="AL432" s="29"/>
      <c r="AM432" s="39"/>
      <c r="AN432" s="30"/>
      <c r="AO432" s="30"/>
      <c r="AP432" s="20"/>
      <c r="AQ432" s="29" t="s">
        <v>1721</v>
      </c>
      <c r="AR432" s="29" t="s">
        <v>193</v>
      </c>
      <c r="AS432" s="30" t="s">
        <v>115</v>
      </c>
      <c r="AT432" s="30" t="s">
        <v>116</v>
      </c>
      <c r="AU432" s="30" t="s">
        <v>115</v>
      </c>
      <c r="AV432" s="30" t="s">
        <v>441</v>
      </c>
      <c r="AW432" s="31">
        <f t="shared" si="13"/>
        <v>1</v>
      </c>
      <c r="AX432" s="31">
        <f t="shared" si="14"/>
        <v>1</v>
      </c>
      <c r="AY432" s="32" t="s">
        <v>1873</v>
      </c>
    </row>
    <row r="433" spans="1:51" ht="20.100000000000001" customHeight="1" x14ac:dyDescent="0.2">
      <c r="A433" s="13">
        <v>427</v>
      </c>
      <c r="B433" s="40" t="s">
        <v>1872</v>
      </c>
      <c r="C433" s="40" t="s">
        <v>1863</v>
      </c>
      <c r="D433" s="41" t="s">
        <v>86</v>
      </c>
      <c r="E433" s="41" t="s">
        <v>8</v>
      </c>
      <c r="F433" s="41"/>
      <c r="G433" s="41"/>
      <c r="H433" s="13" t="s">
        <v>7</v>
      </c>
      <c r="I433" s="47" t="s">
        <v>158</v>
      </c>
      <c r="J433" s="13"/>
      <c r="K433" s="13"/>
      <c r="L433" s="13"/>
      <c r="M433" s="13"/>
      <c r="N433" s="13"/>
      <c r="O433" s="40" t="s">
        <v>67</v>
      </c>
      <c r="P433" s="35" t="s">
        <v>117</v>
      </c>
      <c r="Q433" s="35" t="s">
        <v>104</v>
      </c>
      <c r="R433" s="41" t="s">
        <v>105</v>
      </c>
      <c r="S433" s="41" t="s">
        <v>106</v>
      </c>
      <c r="T433" s="13" t="s">
        <v>107</v>
      </c>
      <c r="U433" s="35" t="s">
        <v>120</v>
      </c>
      <c r="V433" s="35" t="s">
        <v>108</v>
      </c>
      <c r="W433" s="41" t="s">
        <v>109</v>
      </c>
      <c r="X433" s="41" t="s">
        <v>106</v>
      </c>
      <c r="Y433" s="41" t="s">
        <v>107</v>
      </c>
      <c r="Z433" s="13">
        <v>0</v>
      </c>
      <c r="AA433" s="13">
        <v>220</v>
      </c>
      <c r="AB433" s="13">
        <v>220</v>
      </c>
      <c r="AC433" s="13">
        <v>162</v>
      </c>
      <c r="AD433" s="40">
        <v>162</v>
      </c>
      <c r="AE433" s="40">
        <v>38</v>
      </c>
      <c r="AF433" s="40">
        <v>60</v>
      </c>
      <c r="AG433" s="40">
        <v>7</v>
      </c>
      <c r="AH433" s="13">
        <v>70</v>
      </c>
      <c r="AI433" s="40">
        <v>137</v>
      </c>
      <c r="AJ433" s="40">
        <v>24</v>
      </c>
      <c r="AK433" s="40"/>
      <c r="AL433" s="40"/>
      <c r="AM433" s="33" t="s">
        <v>158</v>
      </c>
      <c r="AN433" s="41" t="s">
        <v>1874</v>
      </c>
      <c r="AO433" s="41" t="s">
        <v>1875</v>
      </c>
      <c r="AP433" s="13">
        <v>24</v>
      </c>
      <c r="AQ433" s="40" t="s">
        <v>1718</v>
      </c>
      <c r="AR433" s="40" t="s">
        <v>112</v>
      </c>
      <c r="AS433" s="6"/>
      <c r="AT433" s="6"/>
      <c r="AU433" s="6"/>
      <c r="AV433" s="6"/>
      <c r="AW433" s="12" t="str">
        <f t="shared" si="13"/>
        <v/>
      </c>
      <c r="AX433" s="12" t="str">
        <f t="shared" si="14"/>
        <v/>
      </c>
      <c r="AY433" s="45"/>
    </row>
    <row r="434" spans="1:51" ht="20.100000000000001" customHeight="1" x14ac:dyDescent="0.2">
      <c r="A434" s="13">
        <v>428</v>
      </c>
      <c r="B434" s="40" t="s">
        <v>1876</v>
      </c>
      <c r="C434" s="40" t="s">
        <v>1863</v>
      </c>
      <c r="D434" s="41" t="s">
        <v>1423</v>
      </c>
      <c r="E434" s="41" t="s">
        <v>8</v>
      </c>
      <c r="F434" s="41"/>
      <c r="G434" s="41"/>
      <c r="H434" s="13" t="s">
        <v>7</v>
      </c>
      <c r="I434" s="47" t="s">
        <v>158</v>
      </c>
      <c r="J434" s="13"/>
      <c r="K434" s="13"/>
      <c r="L434" s="13"/>
      <c r="M434" s="13"/>
      <c r="N434" s="13"/>
      <c r="O434" s="40" t="s">
        <v>92</v>
      </c>
      <c r="P434" s="41" t="s">
        <v>104</v>
      </c>
      <c r="Q434" s="41" t="s">
        <v>104</v>
      </c>
      <c r="R434" s="41" t="s">
        <v>4935</v>
      </c>
      <c r="S434" s="41" t="s">
        <v>106</v>
      </c>
      <c r="T434" s="13" t="s">
        <v>107</v>
      </c>
      <c r="U434" s="35" t="s">
        <v>108</v>
      </c>
      <c r="V434" s="35" t="s">
        <v>414</v>
      </c>
      <c r="W434" s="41" t="s">
        <v>1877</v>
      </c>
      <c r="X434" s="41" t="s">
        <v>73</v>
      </c>
      <c r="Y434" s="41" t="s">
        <v>70</v>
      </c>
      <c r="Z434" s="13">
        <v>0</v>
      </c>
      <c r="AA434" s="13">
        <v>235</v>
      </c>
      <c r="AB434" s="13">
        <v>235</v>
      </c>
      <c r="AC434" s="33">
        <v>102</v>
      </c>
      <c r="AD434" s="34">
        <v>222</v>
      </c>
      <c r="AE434" s="40">
        <v>52</v>
      </c>
      <c r="AF434" s="40">
        <v>96</v>
      </c>
      <c r="AG434" s="40">
        <v>5</v>
      </c>
      <c r="AH434" s="13">
        <v>70</v>
      </c>
      <c r="AI434" s="40">
        <v>171</v>
      </c>
      <c r="AJ434" s="40">
        <v>19</v>
      </c>
      <c r="AK434" s="40"/>
      <c r="AL434" s="40"/>
      <c r="AM434" s="33" t="s">
        <v>158</v>
      </c>
      <c r="AN434" s="41" t="s">
        <v>110</v>
      </c>
      <c r="AO434" s="41" t="s">
        <v>1878</v>
      </c>
      <c r="AP434" s="13">
        <v>19</v>
      </c>
      <c r="AQ434" s="40" t="s">
        <v>1721</v>
      </c>
      <c r="AR434" s="40" t="s">
        <v>193</v>
      </c>
      <c r="AS434" s="6"/>
      <c r="AT434" s="6"/>
      <c r="AU434" s="6"/>
      <c r="AV434" s="6"/>
      <c r="AW434" s="12" t="str">
        <f t="shared" si="13"/>
        <v/>
      </c>
      <c r="AX434" s="12" t="str">
        <f t="shared" si="14"/>
        <v/>
      </c>
      <c r="AY434" s="45"/>
    </row>
    <row r="435" spans="1:51" ht="20.100000000000001" customHeight="1" x14ac:dyDescent="0.2">
      <c r="A435" s="13">
        <v>429</v>
      </c>
      <c r="B435" s="40" t="s">
        <v>1879</v>
      </c>
      <c r="C435" s="40" t="s">
        <v>1863</v>
      </c>
      <c r="D435" s="41" t="s">
        <v>1815</v>
      </c>
      <c r="E435" s="41" t="s">
        <v>6</v>
      </c>
      <c r="F435" s="41"/>
      <c r="G435" s="41"/>
      <c r="H435" s="13" t="s">
        <v>7</v>
      </c>
      <c r="I435" s="47" t="s">
        <v>158</v>
      </c>
      <c r="J435" s="13"/>
      <c r="K435" s="13"/>
      <c r="L435" s="13"/>
      <c r="M435" s="13"/>
      <c r="N435" s="13"/>
      <c r="O435" s="40" t="s">
        <v>67</v>
      </c>
      <c r="P435" s="41" t="s">
        <v>155</v>
      </c>
      <c r="Q435" s="41" t="s">
        <v>155</v>
      </c>
      <c r="R435" s="41" t="s">
        <v>1880</v>
      </c>
      <c r="S435" s="41" t="s">
        <v>106</v>
      </c>
      <c r="T435" s="13" t="s">
        <v>107</v>
      </c>
      <c r="U435" s="35" t="s">
        <v>324</v>
      </c>
      <c r="V435" s="35" t="s">
        <v>156</v>
      </c>
      <c r="W435" s="41" t="s">
        <v>1881</v>
      </c>
      <c r="X435" s="41" t="s">
        <v>69</v>
      </c>
      <c r="Y435" s="41" t="s">
        <v>70</v>
      </c>
      <c r="Z435" s="13">
        <v>0</v>
      </c>
      <c r="AA435" s="13">
        <v>190</v>
      </c>
      <c r="AB435" s="13">
        <v>190</v>
      </c>
      <c r="AC435" s="13">
        <v>180</v>
      </c>
      <c r="AD435" s="40">
        <v>180</v>
      </c>
      <c r="AE435" s="40">
        <v>134</v>
      </c>
      <c r="AF435" s="40">
        <v>161</v>
      </c>
      <c r="AG435" s="40">
        <v>5</v>
      </c>
      <c r="AH435" s="13">
        <v>70</v>
      </c>
      <c r="AI435" s="40">
        <v>236</v>
      </c>
      <c r="AJ435" s="40">
        <v>25</v>
      </c>
      <c r="AK435" s="40"/>
      <c r="AL435" s="40"/>
      <c r="AM435" s="33" t="s">
        <v>158</v>
      </c>
      <c r="AN435" s="41" t="s">
        <v>1882</v>
      </c>
      <c r="AO435" s="41"/>
      <c r="AP435" s="13"/>
      <c r="AQ435" s="40" t="s">
        <v>1721</v>
      </c>
      <c r="AR435" s="40" t="s">
        <v>193</v>
      </c>
      <c r="AS435" s="6"/>
      <c r="AT435" s="6"/>
      <c r="AU435" s="6"/>
      <c r="AV435" s="6"/>
      <c r="AW435" s="12" t="str">
        <f t="shared" si="13"/>
        <v/>
      </c>
      <c r="AX435" s="12" t="str">
        <f t="shared" si="14"/>
        <v/>
      </c>
      <c r="AY435" s="45"/>
    </row>
    <row r="436" spans="1:51" ht="20.100000000000001" customHeight="1" x14ac:dyDescent="0.2">
      <c r="A436" s="13">
        <v>430</v>
      </c>
      <c r="B436" s="40" t="s">
        <v>1879</v>
      </c>
      <c r="C436" s="40" t="s">
        <v>1863</v>
      </c>
      <c r="D436" s="41" t="s">
        <v>1118</v>
      </c>
      <c r="E436" s="41" t="s">
        <v>10</v>
      </c>
      <c r="F436" s="41"/>
      <c r="G436" s="41"/>
      <c r="H436" s="13" t="s">
        <v>7</v>
      </c>
      <c r="I436" s="47" t="s">
        <v>158</v>
      </c>
      <c r="J436" s="13"/>
      <c r="K436" s="13"/>
      <c r="L436" s="13"/>
      <c r="M436" s="13"/>
      <c r="N436" s="13"/>
      <c r="O436" s="40" t="s">
        <v>92</v>
      </c>
      <c r="P436" s="35" t="s">
        <v>68</v>
      </c>
      <c r="Q436" s="35" t="s">
        <v>117</v>
      </c>
      <c r="R436" s="41" t="s">
        <v>1883</v>
      </c>
      <c r="S436" s="41" t="s">
        <v>69</v>
      </c>
      <c r="T436" s="13" t="s">
        <v>70</v>
      </c>
      <c r="U436" s="35" t="s">
        <v>263</v>
      </c>
      <c r="V436" s="35" t="s">
        <v>125</v>
      </c>
      <c r="W436" s="41" t="s">
        <v>1884</v>
      </c>
      <c r="X436" s="41" t="s">
        <v>73</v>
      </c>
      <c r="Y436" s="41" t="s">
        <v>70</v>
      </c>
      <c r="Z436" s="13">
        <v>0</v>
      </c>
      <c r="AA436" s="13">
        <v>197</v>
      </c>
      <c r="AB436" s="15">
        <v>197</v>
      </c>
      <c r="AC436" s="33">
        <v>168</v>
      </c>
      <c r="AD436" s="34">
        <v>186</v>
      </c>
      <c r="AE436" s="40">
        <v>129</v>
      </c>
      <c r="AF436" s="40">
        <v>152</v>
      </c>
      <c r="AG436" s="40">
        <v>3</v>
      </c>
      <c r="AH436" s="13">
        <v>50</v>
      </c>
      <c r="AI436" s="40">
        <v>205</v>
      </c>
      <c r="AJ436" s="40">
        <v>11</v>
      </c>
      <c r="AK436" s="40"/>
      <c r="AL436" s="40"/>
      <c r="AM436" s="33" t="s">
        <v>158</v>
      </c>
      <c r="AN436" s="41" t="s">
        <v>1882</v>
      </c>
      <c r="AO436" s="41" t="s">
        <v>1885</v>
      </c>
      <c r="AP436" s="13">
        <v>11</v>
      </c>
      <c r="AQ436" s="40" t="s">
        <v>1718</v>
      </c>
      <c r="AR436" s="40" t="s">
        <v>112</v>
      </c>
      <c r="AS436" s="6"/>
      <c r="AT436" s="6"/>
      <c r="AU436" s="6"/>
      <c r="AV436" s="6"/>
      <c r="AW436" s="12" t="str">
        <f t="shared" si="13"/>
        <v/>
      </c>
      <c r="AX436" s="12" t="str">
        <f t="shared" si="14"/>
        <v/>
      </c>
      <c r="AY436" s="45"/>
    </row>
    <row r="437" spans="1:51" ht="20.100000000000001" customHeight="1" x14ac:dyDescent="0.2">
      <c r="A437" s="13">
        <v>431</v>
      </c>
      <c r="B437" s="40" t="s">
        <v>1886</v>
      </c>
      <c r="C437" s="40" t="s">
        <v>1863</v>
      </c>
      <c r="D437" s="41" t="s">
        <v>1647</v>
      </c>
      <c r="E437" s="41" t="s">
        <v>20</v>
      </c>
      <c r="F437" s="41"/>
      <c r="G437" s="41"/>
      <c r="H437" s="13" t="s">
        <v>7</v>
      </c>
      <c r="I437" s="13"/>
      <c r="J437" s="13"/>
      <c r="K437" s="13"/>
      <c r="L437" s="13"/>
      <c r="M437" s="13"/>
      <c r="N437" s="13"/>
      <c r="O437" s="40" t="s">
        <v>92</v>
      </c>
      <c r="P437" s="35" t="s">
        <v>68</v>
      </c>
      <c r="Q437" s="35" t="s">
        <v>141</v>
      </c>
      <c r="R437" s="41" t="s">
        <v>1887</v>
      </c>
      <c r="S437" s="41" t="s">
        <v>106</v>
      </c>
      <c r="T437" s="13" t="s">
        <v>107</v>
      </c>
      <c r="U437" s="35" t="s">
        <v>263</v>
      </c>
      <c r="V437" s="35" t="s">
        <v>1051</v>
      </c>
      <c r="W437" s="41" t="s">
        <v>1888</v>
      </c>
      <c r="X437" s="41" t="s">
        <v>73</v>
      </c>
      <c r="Y437" s="41" t="s">
        <v>70</v>
      </c>
      <c r="Z437" s="13">
        <v>0</v>
      </c>
      <c r="AA437" s="13">
        <v>182</v>
      </c>
      <c r="AB437" s="15">
        <v>182</v>
      </c>
      <c r="AC437" s="15">
        <v>174</v>
      </c>
      <c r="AD437" s="16">
        <v>174</v>
      </c>
      <c r="AE437" s="40">
        <v>73</v>
      </c>
      <c r="AF437" s="40">
        <v>103</v>
      </c>
      <c r="AG437" s="40">
        <v>3</v>
      </c>
      <c r="AH437" s="13">
        <v>60</v>
      </c>
      <c r="AI437" s="40">
        <v>169</v>
      </c>
      <c r="AJ437" s="40">
        <v>9</v>
      </c>
      <c r="AK437" s="40"/>
      <c r="AL437" s="16"/>
      <c r="AM437" s="33" t="s">
        <v>158</v>
      </c>
      <c r="AN437" s="41" t="s">
        <v>1889</v>
      </c>
      <c r="AO437" s="41" t="s">
        <v>1890</v>
      </c>
      <c r="AP437" s="13">
        <v>9</v>
      </c>
      <c r="AQ437" s="40" t="s">
        <v>1721</v>
      </c>
      <c r="AR437" s="40" t="s">
        <v>231</v>
      </c>
      <c r="AS437" s="6"/>
      <c r="AT437" s="6"/>
      <c r="AU437" s="6"/>
      <c r="AV437" s="6"/>
      <c r="AW437" s="12" t="str">
        <f t="shared" si="13"/>
        <v/>
      </c>
      <c r="AX437" s="12" t="str">
        <f t="shared" si="14"/>
        <v/>
      </c>
      <c r="AY437" s="45"/>
    </row>
    <row r="438" spans="1:51" ht="20.100000000000001" customHeight="1" x14ac:dyDescent="0.2">
      <c r="A438" s="13">
        <v>432</v>
      </c>
      <c r="B438" s="40" t="s">
        <v>1891</v>
      </c>
      <c r="C438" s="40" t="s">
        <v>1863</v>
      </c>
      <c r="D438" s="41" t="s">
        <v>1828</v>
      </c>
      <c r="E438" s="41" t="s">
        <v>8</v>
      </c>
      <c r="F438" s="41"/>
      <c r="G438" s="41"/>
      <c r="H438" s="13" t="s">
        <v>7</v>
      </c>
      <c r="I438" s="13"/>
      <c r="J438" s="13"/>
      <c r="K438" s="13"/>
      <c r="L438" s="13"/>
      <c r="M438" s="13"/>
      <c r="N438" s="13"/>
      <c r="O438" s="40" t="s">
        <v>93</v>
      </c>
      <c r="P438" s="35" t="s">
        <v>104</v>
      </c>
      <c r="Q438" s="35" t="s">
        <v>155</v>
      </c>
      <c r="R438" s="41"/>
      <c r="S438" s="41" t="s">
        <v>106</v>
      </c>
      <c r="T438" s="13" t="s">
        <v>107</v>
      </c>
      <c r="U438" s="35" t="s">
        <v>256</v>
      </c>
      <c r="V438" s="35" t="s">
        <v>804</v>
      </c>
      <c r="W438" s="41" t="s">
        <v>1892</v>
      </c>
      <c r="X438" s="41" t="s">
        <v>145</v>
      </c>
      <c r="Y438" s="41" t="s">
        <v>107</v>
      </c>
      <c r="Z438" s="13">
        <v>0</v>
      </c>
      <c r="AA438" s="13">
        <v>105</v>
      </c>
      <c r="AB438" s="15">
        <v>105</v>
      </c>
      <c r="AC438" s="15">
        <v>96</v>
      </c>
      <c r="AD438" s="16">
        <v>96</v>
      </c>
      <c r="AE438" s="40">
        <v>60</v>
      </c>
      <c r="AF438" s="40">
        <v>71</v>
      </c>
      <c r="AG438" s="40">
        <v>10</v>
      </c>
      <c r="AH438" s="13">
        <v>61</v>
      </c>
      <c r="AI438" s="40">
        <v>142</v>
      </c>
      <c r="AJ438" s="40">
        <v>35</v>
      </c>
      <c r="AK438" s="40"/>
      <c r="AL438" s="16"/>
      <c r="AM438" s="33" t="s">
        <v>158</v>
      </c>
      <c r="AN438" s="41" t="s">
        <v>1893</v>
      </c>
      <c r="AO438" s="41" t="s">
        <v>1894</v>
      </c>
      <c r="AP438" s="13">
        <v>32</v>
      </c>
      <c r="AQ438" s="40" t="s">
        <v>1718</v>
      </c>
      <c r="AR438" s="40" t="s">
        <v>112</v>
      </c>
      <c r="AS438" s="6"/>
      <c r="AT438" s="6"/>
      <c r="AU438" s="6"/>
      <c r="AV438" s="6"/>
      <c r="AW438" s="12" t="str">
        <f t="shared" si="13"/>
        <v/>
      </c>
      <c r="AX438" s="12" t="str">
        <f t="shared" si="14"/>
        <v/>
      </c>
      <c r="AY438" s="45"/>
    </row>
    <row r="439" spans="1:51" ht="20.100000000000001" customHeight="1" x14ac:dyDescent="0.2">
      <c r="A439" s="13">
        <v>433</v>
      </c>
      <c r="B439" s="40" t="s">
        <v>1891</v>
      </c>
      <c r="C439" s="40" t="s">
        <v>1863</v>
      </c>
      <c r="D439" s="41" t="s">
        <v>180</v>
      </c>
      <c r="E439" s="41" t="s">
        <v>19</v>
      </c>
      <c r="F439" s="41" t="s">
        <v>186</v>
      </c>
      <c r="G439" s="41"/>
      <c r="H439" s="13" t="s">
        <v>83</v>
      </c>
      <c r="I439" s="13"/>
      <c r="J439" s="13"/>
      <c r="K439" s="13"/>
      <c r="L439" s="13"/>
      <c r="M439" s="13"/>
      <c r="N439" s="13"/>
      <c r="O439" s="40" t="s">
        <v>67</v>
      </c>
      <c r="P439" s="41"/>
      <c r="Q439" s="41" t="s">
        <v>68</v>
      </c>
      <c r="R439" s="41" t="s">
        <v>1895</v>
      </c>
      <c r="S439" s="41" t="s">
        <v>262</v>
      </c>
      <c r="T439" s="13" t="s">
        <v>107</v>
      </c>
      <c r="U439" s="6"/>
      <c r="V439" s="6" t="s">
        <v>332</v>
      </c>
      <c r="W439" s="41" t="s">
        <v>1896</v>
      </c>
      <c r="X439" s="41" t="s">
        <v>142</v>
      </c>
      <c r="Y439" s="41" t="s">
        <v>70</v>
      </c>
      <c r="Z439" s="13" t="s">
        <v>1897</v>
      </c>
      <c r="AA439" s="13"/>
      <c r="AB439" s="15"/>
      <c r="AC439" s="15">
        <v>222</v>
      </c>
      <c r="AD439" s="16"/>
      <c r="AE439" s="40"/>
      <c r="AF439" s="40"/>
      <c r="AG439" s="40"/>
      <c r="AH439" s="13"/>
      <c r="AI439" s="40"/>
      <c r="AJ439" s="40"/>
      <c r="AK439" s="40"/>
      <c r="AL439" s="16"/>
      <c r="AM439" s="15"/>
      <c r="AN439" s="41"/>
      <c r="AO439" s="41"/>
      <c r="AP439" s="13"/>
      <c r="AQ439" s="40" t="s">
        <v>1721</v>
      </c>
      <c r="AR439" s="40" t="s">
        <v>165</v>
      </c>
      <c r="AS439" s="6" t="s">
        <v>115</v>
      </c>
      <c r="AT439" s="6" t="s">
        <v>116</v>
      </c>
      <c r="AU439" s="6" t="s">
        <v>348</v>
      </c>
      <c r="AV439" s="6" t="s">
        <v>344</v>
      </c>
      <c r="AW439" s="12">
        <f t="shared" si="13"/>
        <v>40</v>
      </c>
      <c r="AX439" s="12" t="str">
        <f t="shared" si="14"/>
        <v/>
      </c>
      <c r="AY439" s="45"/>
    </row>
    <row r="440" spans="1:51" ht="20.100000000000001" customHeight="1" x14ac:dyDescent="0.2">
      <c r="A440" s="13">
        <v>434</v>
      </c>
      <c r="B440" s="40" t="s">
        <v>1898</v>
      </c>
      <c r="C440" s="40" t="s">
        <v>1863</v>
      </c>
      <c r="D440" s="41" t="s">
        <v>1899</v>
      </c>
      <c r="E440" s="41" t="s">
        <v>19</v>
      </c>
      <c r="F440" s="41" t="s">
        <v>174</v>
      </c>
      <c r="G440" s="41"/>
      <c r="H440" s="13" t="s">
        <v>83</v>
      </c>
      <c r="I440" s="13"/>
      <c r="J440" s="13"/>
      <c r="K440" s="13"/>
      <c r="L440" s="13"/>
      <c r="M440" s="13"/>
      <c r="N440" s="13"/>
      <c r="O440" s="40" t="s">
        <v>92</v>
      </c>
      <c r="P440" s="41"/>
      <c r="Q440" s="41" t="s">
        <v>140</v>
      </c>
      <c r="R440" s="41" t="s">
        <v>1900</v>
      </c>
      <c r="S440" s="41" t="s">
        <v>262</v>
      </c>
      <c r="T440" s="13" t="s">
        <v>70</v>
      </c>
      <c r="U440" s="6"/>
      <c r="V440" s="6" t="s">
        <v>328</v>
      </c>
      <c r="W440" s="41" t="s">
        <v>1901</v>
      </c>
      <c r="X440" s="41" t="s">
        <v>119</v>
      </c>
      <c r="Y440" s="41" t="s">
        <v>107</v>
      </c>
      <c r="Z440" s="13" t="s">
        <v>1902</v>
      </c>
      <c r="AA440" s="13"/>
      <c r="AB440" s="15"/>
      <c r="AC440" s="15">
        <v>132</v>
      </c>
      <c r="AD440" s="16"/>
      <c r="AE440" s="40"/>
      <c r="AF440" s="40"/>
      <c r="AG440" s="40"/>
      <c r="AH440" s="13"/>
      <c r="AI440" s="40"/>
      <c r="AJ440" s="40"/>
      <c r="AK440" s="40"/>
      <c r="AL440" s="16"/>
      <c r="AM440" s="15"/>
      <c r="AN440" s="41"/>
      <c r="AO440" s="41"/>
      <c r="AP440" s="13"/>
      <c r="AQ440" s="40" t="s">
        <v>1718</v>
      </c>
      <c r="AR440" s="40" t="s">
        <v>231</v>
      </c>
      <c r="AS440" s="6" t="s">
        <v>115</v>
      </c>
      <c r="AT440" s="6" t="s">
        <v>116</v>
      </c>
      <c r="AU440" s="6" t="s">
        <v>123</v>
      </c>
      <c r="AV440" s="6" t="s">
        <v>1247</v>
      </c>
      <c r="AW440" s="12">
        <f t="shared" si="13"/>
        <v>54</v>
      </c>
      <c r="AX440" s="12" t="str">
        <f t="shared" si="14"/>
        <v/>
      </c>
      <c r="AY440" s="45"/>
    </row>
    <row r="441" spans="1:51" ht="20.100000000000001" customHeight="1" x14ac:dyDescent="0.2">
      <c r="A441" s="13">
        <v>435</v>
      </c>
      <c r="B441" s="40" t="s">
        <v>1903</v>
      </c>
      <c r="C441" s="40" t="s">
        <v>1863</v>
      </c>
      <c r="D441" s="41" t="s">
        <v>1675</v>
      </c>
      <c r="E441" s="41" t="s">
        <v>8</v>
      </c>
      <c r="F441" s="41"/>
      <c r="G441" s="41"/>
      <c r="H441" s="13" t="s">
        <v>7</v>
      </c>
      <c r="I441" s="13"/>
      <c r="J441" s="13"/>
      <c r="K441" s="13"/>
      <c r="L441" s="13"/>
      <c r="M441" s="13"/>
      <c r="N441" s="13"/>
      <c r="O441" s="40" t="s">
        <v>92</v>
      </c>
      <c r="P441" s="35" t="s">
        <v>104</v>
      </c>
      <c r="Q441" s="35" t="s">
        <v>117</v>
      </c>
      <c r="R441" s="41" t="s">
        <v>138</v>
      </c>
      <c r="S441" s="41" t="s">
        <v>69</v>
      </c>
      <c r="T441" s="13" t="s">
        <v>70</v>
      </c>
      <c r="U441" s="35" t="s">
        <v>1727</v>
      </c>
      <c r="V441" s="35" t="s">
        <v>306</v>
      </c>
      <c r="W441" s="41" t="s">
        <v>1904</v>
      </c>
      <c r="X441" s="41" t="s">
        <v>106</v>
      </c>
      <c r="Y441" s="41" t="s">
        <v>107</v>
      </c>
      <c r="Z441" s="13">
        <v>0</v>
      </c>
      <c r="AA441" s="13">
        <v>190</v>
      </c>
      <c r="AB441" s="15">
        <v>190</v>
      </c>
      <c r="AC441" s="15">
        <v>180</v>
      </c>
      <c r="AD441" s="16">
        <v>180</v>
      </c>
      <c r="AE441" s="40">
        <v>38</v>
      </c>
      <c r="AF441" s="40">
        <v>141</v>
      </c>
      <c r="AG441" s="40">
        <v>3</v>
      </c>
      <c r="AH441" s="13">
        <v>62</v>
      </c>
      <c r="AI441" s="40">
        <v>206</v>
      </c>
      <c r="AJ441" s="40">
        <v>10</v>
      </c>
      <c r="AK441" s="40"/>
      <c r="AL441" s="16"/>
      <c r="AM441" s="33" t="s">
        <v>158</v>
      </c>
      <c r="AN441" s="41" t="s">
        <v>1905</v>
      </c>
      <c r="AO441" s="41" t="s">
        <v>1906</v>
      </c>
      <c r="AP441" s="13">
        <v>11</v>
      </c>
      <c r="AQ441" s="40" t="s">
        <v>1718</v>
      </c>
      <c r="AR441" s="40" t="s">
        <v>161</v>
      </c>
      <c r="AS441" s="6"/>
      <c r="AT441" s="6"/>
      <c r="AU441" s="6"/>
      <c r="AV441" s="6"/>
      <c r="AW441" s="12" t="str">
        <f t="shared" si="13"/>
        <v/>
      </c>
      <c r="AX441" s="12" t="str">
        <f t="shared" si="14"/>
        <v/>
      </c>
      <c r="AY441" s="45"/>
    </row>
    <row r="442" spans="1:51" s="21" customFormat="1" ht="157.5" x14ac:dyDescent="0.2">
      <c r="A442" s="20">
        <v>436</v>
      </c>
      <c r="B442" s="29" t="s">
        <v>1903</v>
      </c>
      <c r="C442" s="29" t="s">
        <v>1863</v>
      </c>
      <c r="D442" s="30" t="s">
        <v>1647</v>
      </c>
      <c r="E442" s="30" t="s">
        <v>20</v>
      </c>
      <c r="F442" s="30" t="s">
        <v>185</v>
      </c>
      <c r="G442" s="37" t="s">
        <v>1794</v>
      </c>
      <c r="H442" s="20" t="s">
        <v>83</v>
      </c>
      <c r="I442" s="20"/>
      <c r="J442" s="20"/>
      <c r="K442" s="20"/>
      <c r="L442" s="20"/>
      <c r="M442" s="20"/>
      <c r="N442" s="20"/>
      <c r="O442" s="29" t="s">
        <v>67</v>
      </c>
      <c r="P442" s="30"/>
      <c r="Q442" s="30" t="s">
        <v>141</v>
      </c>
      <c r="R442" s="30" t="s">
        <v>1887</v>
      </c>
      <c r="S442" s="30" t="s">
        <v>106</v>
      </c>
      <c r="T442" s="20" t="s">
        <v>107</v>
      </c>
      <c r="U442" s="30"/>
      <c r="V442" s="30" t="s">
        <v>1051</v>
      </c>
      <c r="W442" s="30" t="s">
        <v>1888</v>
      </c>
      <c r="X442" s="30" t="s">
        <v>73</v>
      </c>
      <c r="Y442" s="30" t="s">
        <v>70</v>
      </c>
      <c r="Z442" s="20" t="s">
        <v>1893</v>
      </c>
      <c r="AA442" s="20"/>
      <c r="AB442" s="20"/>
      <c r="AC442" s="20">
        <v>174</v>
      </c>
      <c r="AD442" s="29"/>
      <c r="AE442" s="29"/>
      <c r="AF442" s="29"/>
      <c r="AG442" s="29"/>
      <c r="AH442" s="20"/>
      <c r="AI442" s="29"/>
      <c r="AJ442" s="29"/>
      <c r="AK442" s="29"/>
      <c r="AL442" s="29"/>
      <c r="AM442" s="20"/>
      <c r="AN442" s="30"/>
      <c r="AO442" s="30"/>
      <c r="AP442" s="20"/>
      <c r="AQ442" s="29" t="s">
        <v>1721</v>
      </c>
      <c r="AR442" s="29" t="s">
        <v>231</v>
      </c>
      <c r="AS442" s="30" t="s">
        <v>115</v>
      </c>
      <c r="AT442" s="30" t="s">
        <v>116</v>
      </c>
      <c r="AU442" s="30" t="s">
        <v>115</v>
      </c>
      <c r="AV442" s="30" t="s">
        <v>116</v>
      </c>
      <c r="AW442" s="31">
        <f t="shared" si="13"/>
        <v>0</v>
      </c>
      <c r="AX442" s="31">
        <f t="shared" si="14"/>
        <v>0</v>
      </c>
      <c r="AY442" s="32" t="s">
        <v>1907</v>
      </c>
    </row>
    <row r="443" spans="1:51" ht="20.100000000000001" customHeight="1" x14ac:dyDescent="0.2">
      <c r="A443" s="13">
        <v>437</v>
      </c>
      <c r="B443" s="40" t="s">
        <v>1908</v>
      </c>
      <c r="C443" s="40" t="s">
        <v>1863</v>
      </c>
      <c r="D443" s="41" t="s">
        <v>1558</v>
      </c>
      <c r="E443" s="41" t="s">
        <v>19</v>
      </c>
      <c r="F443" s="41"/>
      <c r="G443" s="41"/>
      <c r="H443" s="13" t="s">
        <v>7</v>
      </c>
      <c r="I443" s="13"/>
      <c r="J443" s="13"/>
      <c r="K443" s="13"/>
      <c r="L443" s="13"/>
      <c r="M443" s="13"/>
      <c r="N443" s="13"/>
      <c r="O443" s="40" t="s">
        <v>67</v>
      </c>
      <c r="P443" s="35" t="s">
        <v>68</v>
      </c>
      <c r="Q443" s="35" t="s">
        <v>218</v>
      </c>
      <c r="R443" s="41" t="s">
        <v>1909</v>
      </c>
      <c r="S443" s="41" t="s">
        <v>262</v>
      </c>
      <c r="T443" s="13" t="s">
        <v>70</v>
      </c>
      <c r="U443" s="35" t="s">
        <v>332</v>
      </c>
      <c r="V443" s="35" t="s">
        <v>167</v>
      </c>
      <c r="W443" s="41" t="s">
        <v>1910</v>
      </c>
      <c r="X443" s="41" t="s">
        <v>106</v>
      </c>
      <c r="Y443" s="41" t="s">
        <v>107</v>
      </c>
      <c r="Z443" s="13">
        <v>0</v>
      </c>
      <c r="AA443" s="13">
        <v>242</v>
      </c>
      <c r="AB443" s="15">
        <v>242</v>
      </c>
      <c r="AC443" s="33">
        <v>234</v>
      </c>
      <c r="AD443" s="34">
        <v>238</v>
      </c>
      <c r="AE443" s="40">
        <v>58</v>
      </c>
      <c r="AF443" s="40">
        <v>115</v>
      </c>
      <c r="AG443" s="40">
        <v>7</v>
      </c>
      <c r="AH443" s="13">
        <v>76</v>
      </c>
      <c r="AI443" s="40">
        <v>198</v>
      </c>
      <c r="AJ443" s="40">
        <v>25</v>
      </c>
      <c r="AK443" s="40"/>
      <c r="AL443" s="16"/>
      <c r="AM443" s="33" t="s">
        <v>158</v>
      </c>
      <c r="AN443" s="41" t="s">
        <v>1905</v>
      </c>
      <c r="AO443" s="41" t="s">
        <v>1911</v>
      </c>
      <c r="AP443" s="13">
        <v>26</v>
      </c>
      <c r="AQ443" s="40" t="s">
        <v>1721</v>
      </c>
      <c r="AR443" s="40" t="s">
        <v>165</v>
      </c>
      <c r="AS443" s="6"/>
      <c r="AT443" s="6"/>
      <c r="AU443" s="6"/>
      <c r="AV443" s="6"/>
      <c r="AW443" s="12" t="str">
        <f t="shared" si="13"/>
        <v/>
      </c>
      <c r="AX443" s="12" t="str">
        <f t="shared" si="14"/>
        <v/>
      </c>
      <c r="AY443" s="45"/>
    </row>
    <row r="444" spans="1:51" ht="22.9" customHeight="1" x14ac:dyDescent="0.2">
      <c r="A444" s="13">
        <v>438</v>
      </c>
      <c r="B444" s="40" t="s">
        <v>1912</v>
      </c>
      <c r="C444" s="40" t="s">
        <v>1863</v>
      </c>
      <c r="D444" s="41" t="s">
        <v>1913</v>
      </c>
      <c r="E444" s="41" t="s">
        <v>20</v>
      </c>
      <c r="F444" s="41" t="s">
        <v>90</v>
      </c>
      <c r="G444" s="41"/>
      <c r="H444" s="13" t="s">
        <v>7</v>
      </c>
      <c r="I444" s="13"/>
      <c r="J444" s="13"/>
      <c r="K444" s="13"/>
      <c r="L444" s="13"/>
      <c r="M444" s="13"/>
      <c r="N444" s="13"/>
      <c r="O444" s="40" t="s">
        <v>92</v>
      </c>
      <c r="P444" s="41"/>
      <c r="Q444" s="41" t="s">
        <v>104</v>
      </c>
      <c r="R444" s="41" t="s">
        <v>1914</v>
      </c>
      <c r="S444" s="41" t="s">
        <v>69</v>
      </c>
      <c r="T444" s="13" t="s">
        <v>70</v>
      </c>
      <c r="U444" s="6"/>
      <c r="V444" s="6" t="s">
        <v>402</v>
      </c>
      <c r="W444" s="41" t="s">
        <v>1915</v>
      </c>
      <c r="X444" s="41" t="s">
        <v>69</v>
      </c>
      <c r="Y444" s="41" t="s">
        <v>70</v>
      </c>
      <c r="Z444" s="13">
        <v>0</v>
      </c>
      <c r="AA444" s="13">
        <v>167</v>
      </c>
      <c r="AB444" s="15">
        <v>167</v>
      </c>
      <c r="AC444" s="15">
        <v>0</v>
      </c>
      <c r="AD444" s="16">
        <v>153</v>
      </c>
      <c r="AE444" s="40">
        <v>88</v>
      </c>
      <c r="AF444" s="40">
        <v>113</v>
      </c>
      <c r="AG444" s="40">
        <v>3</v>
      </c>
      <c r="AH444" s="13">
        <v>100</v>
      </c>
      <c r="AI444" s="40">
        <v>216</v>
      </c>
      <c r="AJ444" s="40">
        <v>13</v>
      </c>
      <c r="AK444" s="40"/>
      <c r="AL444" s="16"/>
      <c r="AM444" s="15"/>
      <c r="AN444" s="41" t="s">
        <v>1903</v>
      </c>
      <c r="AO444" s="41" t="s">
        <v>1916</v>
      </c>
      <c r="AP444" s="13">
        <v>13.2</v>
      </c>
      <c r="AQ444" s="40" t="s">
        <v>1718</v>
      </c>
      <c r="AR444" s="40" t="s">
        <v>161</v>
      </c>
      <c r="AS444" s="6"/>
      <c r="AT444" s="6"/>
      <c r="AU444" s="6"/>
      <c r="AV444" s="6"/>
      <c r="AW444" s="12" t="str">
        <f t="shared" si="13"/>
        <v/>
      </c>
      <c r="AX444" s="12" t="str">
        <f t="shared" si="14"/>
        <v/>
      </c>
      <c r="AY444" s="45"/>
    </row>
    <row r="445" spans="1:51" ht="20.100000000000001" customHeight="1" x14ac:dyDescent="0.2">
      <c r="A445" s="13">
        <v>439</v>
      </c>
      <c r="B445" s="40" t="s">
        <v>1912</v>
      </c>
      <c r="C445" s="40" t="s">
        <v>1863</v>
      </c>
      <c r="D445" s="41" t="s">
        <v>1647</v>
      </c>
      <c r="E445" s="41" t="s">
        <v>20</v>
      </c>
      <c r="F445" s="41"/>
      <c r="G445" s="41"/>
      <c r="H445" s="13" t="s">
        <v>7</v>
      </c>
      <c r="I445" s="13"/>
      <c r="J445" s="13"/>
      <c r="K445" s="13"/>
      <c r="L445" s="13"/>
      <c r="M445" s="13"/>
      <c r="N445" s="13"/>
      <c r="O445" s="40" t="s">
        <v>67</v>
      </c>
      <c r="P445" s="35" t="s">
        <v>141</v>
      </c>
      <c r="Q445" s="35" t="s">
        <v>334</v>
      </c>
      <c r="R445" s="41"/>
      <c r="S445" s="41" t="s">
        <v>69</v>
      </c>
      <c r="T445" s="13" t="s">
        <v>70</v>
      </c>
      <c r="U445" s="35" t="s">
        <v>1051</v>
      </c>
      <c r="V445" s="35" t="s">
        <v>1013</v>
      </c>
      <c r="W445" s="41"/>
      <c r="X445" s="41" t="s">
        <v>69</v>
      </c>
      <c r="Y445" s="41" t="s">
        <v>70</v>
      </c>
      <c r="Z445" s="13">
        <v>0</v>
      </c>
      <c r="AA445" s="13">
        <v>182</v>
      </c>
      <c r="AB445" s="15">
        <v>182</v>
      </c>
      <c r="AC445" s="33">
        <v>174</v>
      </c>
      <c r="AD445" s="34">
        <v>168</v>
      </c>
      <c r="AE445" s="40">
        <v>73</v>
      </c>
      <c r="AF445" s="40">
        <v>90</v>
      </c>
      <c r="AG445" s="40">
        <v>3</v>
      </c>
      <c r="AH445" s="13">
        <v>60</v>
      </c>
      <c r="AI445" s="40">
        <v>153</v>
      </c>
      <c r="AJ445" s="40">
        <v>8</v>
      </c>
      <c r="AK445" s="40"/>
      <c r="AL445" s="16"/>
      <c r="AM445" s="33" t="s">
        <v>158</v>
      </c>
      <c r="AN445" s="41" t="s">
        <v>1917</v>
      </c>
      <c r="AO445" s="41" t="s">
        <v>1741</v>
      </c>
      <c r="AP445" s="13">
        <v>7</v>
      </c>
      <c r="AQ445" s="40" t="s">
        <v>1721</v>
      </c>
      <c r="AR445" s="40" t="s">
        <v>231</v>
      </c>
      <c r="AS445" s="6"/>
      <c r="AT445" s="6"/>
      <c r="AU445" s="6"/>
      <c r="AV445" s="6"/>
      <c r="AW445" s="12" t="str">
        <f t="shared" si="13"/>
        <v/>
      </c>
      <c r="AX445" s="12" t="str">
        <f t="shared" si="14"/>
        <v/>
      </c>
      <c r="AY445" s="45"/>
    </row>
    <row r="446" spans="1:51" ht="20.100000000000001" customHeight="1" x14ac:dyDescent="0.2">
      <c r="A446" s="13">
        <v>440</v>
      </c>
      <c r="B446" s="40" t="s">
        <v>1918</v>
      </c>
      <c r="C446" s="40" t="s">
        <v>1863</v>
      </c>
      <c r="D446" s="41" t="s">
        <v>1811</v>
      </c>
      <c r="E446" s="41" t="s">
        <v>10</v>
      </c>
      <c r="F446" s="41"/>
      <c r="G446" s="41"/>
      <c r="H446" s="13" t="s">
        <v>7</v>
      </c>
      <c r="I446" s="13"/>
      <c r="J446" s="13"/>
      <c r="K446" s="13"/>
      <c r="L446" s="13"/>
      <c r="M446" s="13"/>
      <c r="N446" s="13"/>
      <c r="O446" s="40" t="s">
        <v>92</v>
      </c>
      <c r="P446" s="35" t="s">
        <v>68</v>
      </c>
      <c r="Q446" s="35" t="s">
        <v>117</v>
      </c>
      <c r="R446" s="41" t="s">
        <v>1919</v>
      </c>
      <c r="S446" s="41" t="s">
        <v>106</v>
      </c>
      <c r="T446" s="13" t="s">
        <v>107</v>
      </c>
      <c r="U446" s="35" t="s">
        <v>263</v>
      </c>
      <c r="V446" s="35" t="s">
        <v>199</v>
      </c>
      <c r="W446" s="41" t="s">
        <v>1920</v>
      </c>
      <c r="X446" s="41" t="s">
        <v>73</v>
      </c>
      <c r="Y446" s="41" t="s">
        <v>70</v>
      </c>
      <c r="Z446" s="13">
        <v>0</v>
      </c>
      <c r="AA446" s="13">
        <v>188</v>
      </c>
      <c r="AB446" s="15">
        <v>188</v>
      </c>
      <c r="AC446" s="33">
        <v>180</v>
      </c>
      <c r="AD446" s="34">
        <v>174</v>
      </c>
      <c r="AE446" s="40">
        <v>108</v>
      </c>
      <c r="AF446" s="40">
        <v>123</v>
      </c>
      <c r="AG446" s="40">
        <v>4</v>
      </c>
      <c r="AH446" s="13">
        <v>40</v>
      </c>
      <c r="AI446" s="40">
        <v>167</v>
      </c>
      <c r="AJ446" s="40">
        <v>15</v>
      </c>
      <c r="AK446" s="40"/>
      <c r="AL446" s="16"/>
      <c r="AM446" s="33" t="s">
        <v>158</v>
      </c>
      <c r="AN446" s="41" t="s">
        <v>1912</v>
      </c>
      <c r="AO446" s="41" t="s">
        <v>326</v>
      </c>
      <c r="AP446" s="13">
        <v>14</v>
      </c>
      <c r="AQ446" s="40" t="s">
        <v>1718</v>
      </c>
      <c r="AR446" s="40" t="s">
        <v>112</v>
      </c>
      <c r="AS446" s="6"/>
      <c r="AT446" s="6"/>
      <c r="AU446" s="6"/>
      <c r="AV446" s="6"/>
      <c r="AW446" s="12" t="str">
        <f t="shared" si="13"/>
        <v/>
      </c>
      <c r="AX446" s="12" t="str">
        <f t="shared" si="14"/>
        <v/>
      </c>
      <c r="AY446" s="45"/>
    </row>
    <row r="447" spans="1:51" ht="20.100000000000001" customHeight="1" x14ac:dyDescent="0.2">
      <c r="A447" s="13">
        <v>441</v>
      </c>
      <c r="B447" s="40" t="s">
        <v>1921</v>
      </c>
      <c r="C447" s="40" t="s">
        <v>1863</v>
      </c>
      <c r="D447" s="41" t="s">
        <v>1922</v>
      </c>
      <c r="E447" s="41" t="s">
        <v>20</v>
      </c>
      <c r="F447" s="41" t="s">
        <v>185</v>
      </c>
      <c r="G447" s="41"/>
      <c r="H447" s="13" t="s">
        <v>83</v>
      </c>
      <c r="I447" s="13"/>
      <c r="J447" s="13"/>
      <c r="K447" s="13"/>
      <c r="L447" s="13"/>
      <c r="M447" s="13"/>
      <c r="N447" s="13"/>
      <c r="O447" s="40" t="s">
        <v>92</v>
      </c>
      <c r="P447" s="41"/>
      <c r="Q447" s="41" t="s">
        <v>104</v>
      </c>
      <c r="R447" s="41" t="s">
        <v>1923</v>
      </c>
      <c r="S447" s="41" t="s">
        <v>119</v>
      </c>
      <c r="T447" s="13" t="s">
        <v>107</v>
      </c>
      <c r="U447" s="6"/>
      <c r="V447" s="6" t="s">
        <v>108</v>
      </c>
      <c r="W447" s="41" t="s">
        <v>1924</v>
      </c>
      <c r="X447" s="41" t="s">
        <v>119</v>
      </c>
      <c r="Y447" s="41" t="s">
        <v>107</v>
      </c>
      <c r="Z447" s="13" t="s">
        <v>1925</v>
      </c>
      <c r="AA447" s="13"/>
      <c r="AB447" s="15"/>
      <c r="AC447" s="15">
        <v>168</v>
      </c>
      <c r="AD447" s="16"/>
      <c r="AE447" s="40"/>
      <c r="AF447" s="40"/>
      <c r="AG447" s="40"/>
      <c r="AH447" s="13"/>
      <c r="AI447" s="40"/>
      <c r="AJ447" s="40"/>
      <c r="AK447" s="40"/>
      <c r="AL447" s="16"/>
      <c r="AM447" s="15"/>
      <c r="AN447" s="41"/>
      <c r="AO447" s="41"/>
      <c r="AP447" s="13"/>
      <c r="AQ447" s="40"/>
      <c r="AR447" s="40"/>
      <c r="AS447" s="6" t="s">
        <v>115</v>
      </c>
      <c r="AT447" s="6" t="s">
        <v>116</v>
      </c>
      <c r="AU447" s="6" t="s">
        <v>547</v>
      </c>
      <c r="AV447" s="6" t="s">
        <v>1247</v>
      </c>
      <c r="AW447" s="12">
        <f t="shared" si="13"/>
        <v>66</v>
      </c>
      <c r="AX447" s="12" t="str">
        <f t="shared" si="14"/>
        <v/>
      </c>
      <c r="AY447" s="45"/>
    </row>
    <row r="448" spans="1:51" ht="20.100000000000001" customHeight="1" x14ac:dyDescent="0.2">
      <c r="A448" s="13">
        <v>442</v>
      </c>
      <c r="B448" s="40" t="s">
        <v>1926</v>
      </c>
      <c r="C448" s="40" t="s">
        <v>1863</v>
      </c>
      <c r="D448" s="41" t="s">
        <v>1022</v>
      </c>
      <c r="E448" s="41" t="s">
        <v>20</v>
      </c>
      <c r="F448" s="41"/>
      <c r="G448" s="41"/>
      <c r="H448" s="13" t="s">
        <v>7</v>
      </c>
      <c r="I448" s="13"/>
      <c r="J448" s="13"/>
      <c r="K448" s="13"/>
      <c r="L448" s="13"/>
      <c r="M448" s="13"/>
      <c r="N448" s="13"/>
      <c r="O448" s="40" t="s">
        <v>92</v>
      </c>
      <c r="P448" s="35" t="s">
        <v>769</v>
      </c>
      <c r="Q448" s="35" t="s">
        <v>1927</v>
      </c>
      <c r="R448" s="41" t="s">
        <v>1928</v>
      </c>
      <c r="S448" s="41" t="s">
        <v>73</v>
      </c>
      <c r="T448" s="13" t="s">
        <v>107</v>
      </c>
      <c r="U448" s="35" t="s">
        <v>757</v>
      </c>
      <c r="V448" s="35" t="s">
        <v>1929</v>
      </c>
      <c r="W448" s="41" t="s">
        <v>1930</v>
      </c>
      <c r="X448" s="41" t="s">
        <v>69</v>
      </c>
      <c r="Y448" s="41" t="s">
        <v>70</v>
      </c>
      <c r="Z448" s="13">
        <v>0</v>
      </c>
      <c r="AA448" s="13">
        <v>79</v>
      </c>
      <c r="AB448" s="15">
        <v>79</v>
      </c>
      <c r="AC448" s="15">
        <v>75</v>
      </c>
      <c r="AD448" s="16">
        <v>75</v>
      </c>
      <c r="AE448" s="40">
        <v>62</v>
      </c>
      <c r="AF448" s="40">
        <v>70</v>
      </c>
      <c r="AG448" s="40">
        <v>4</v>
      </c>
      <c r="AH448" s="13">
        <v>35</v>
      </c>
      <c r="AI448" s="40">
        <v>109</v>
      </c>
      <c r="AJ448" s="40">
        <v>2</v>
      </c>
      <c r="AK448" s="40"/>
      <c r="AL448" s="16"/>
      <c r="AM448" s="33" t="s">
        <v>158</v>
      </c>
      <c r="AN448" s="41" t="s">
        <v>1918</v>
      </c>
      <c r="AO448" s="41" t="s">
        <v>1931</v>
      </c>
      <c r="AP448" s="13">
        <v>2</v>
      </c>
      <c r="AQ448" s="40" t="s">
        <v>1721</v>
      </c>
      <c r="AR448" s="40" t="s">
        <v>1932</v>
      </c>
      <c r="AS448" s="6"/>
      <c r="AT448" s="6"/>
      <c r="AU448" s="6"/>
      <c r="AV448" s="6"/>
      <c r="AW448" s="12" t="str">
        <f t="shared" si="13"/>
        <v/>
      </c>
      <c r="AX448" s="12" t="str">
        <f t="shared" si="14"/>
        <v/>
      </c>
      <c r="AY448" s="45"/>
    </row>
    <row r="449" spans="1:51" ht="20.100000000000001" customHeight="1" x14ac:dyDescent="0.2">
      <c r="A449" s="13">
        <v>443</v>
      </c>
      <c r="B449" s="40" t="s">
        <v>1926</v>
      </c>
      <c r="C449" s="40" t="s">
        <v>1863</v>
      </c>
      <c r="D449" s="41" t="s">
        <v>1163</v>
      </c>
      <c r="E449" s="41" t="s">
        <v>20</v>
      </c>
      <c r="F449" s="41"/>
      <c r="G449" s="41"/>
      <c r="H449" s="13" t="s">
        <v>7</v>
      </c>
      <c r="I449" s="13"/>
      <c r="J449" s="13"/>
      <c r="K449" s="13"/>
      <c r="L449" s="13"/>
      <c r="M449" s="13"/>
      <c r="N449" s="13"/>
      <c r="O449" s="40" t="s">
        <v>92</v>
      </c>
      <c r="P449" s="35" t="s">
        <v>116</v>
      </c>
      <c r="Q449" s="35" t="s">
        <v>718</v>
      </c>
      <c r="R449" s="41" t="s">
        <v>1933</v>
      </c>
      <c r="S449" s="41" t="s">
        <v>142</v>
      </c>
      <c r="T449" s="13" t="s">
        <v>70</v>
      </c>
      <c r="U449" s="35" t="s">
        <v>1165</v>
      </c>
      <c r="V449" s="35" t="s">
        <v>1934</v>
      </c>
      <c r="W449" s="41" t="s">
        <v>1935</v>
      </c>
      <c r="X449" s="41" t="s">
        <v>142</v>
      </c>
      <c r="Y449" s="41" t="s">
        <v>70</v>
      </c>
      <c r="Z449" s="13">
        <v>0</v>
      </c>
      <c r="AA449" s="13">
        <v>104</v>
      </c>
      <c r="AB449" s="15">
        <v>104</v>
      </c>
      <c r="AC449" s="15">
        <v>99</v>
      </c>
      <c r="AD449" s="16">
        <v>99</v>
      </c>
      <c r="AE449" s="40">
        <v>68</v>
      </c>
      <c r="AF449" s="40">
        <v>96</v>
      </c>
      <c r="AG449" s="40">
        <v>4</v>
      </c>
      <c r="AH449" s="13">
        <v>25</v>
      </c>
      <c r="AI449" s="40">
        <v>125</v>
      </c>
      <c r="AJ449" s="40">
        <v>4</v>
      </c>
      <c r="AK449" s="40"/>
      <c r="AL449" s="16"/>
      <c r="AM449" s="33" t="s">
        <v>158</v>
      </c>
      <c r="AN449" s="41" t="s">
        <v>1918</v>
      </c>
      <c r="AO449" s="41" t="s">
        <v>1936</v>
      </c>
      <c r="AP449" s="13">
        <v>4</v>
      </c>
      <c r="AQ449" s="40" t="s">
        <v>1721</v>
      </c>
      <c r="AR449" s="40" t="s">
        <v>228</v>
      </c>
      <c r="AS449" s="6"/>
      <c r="AT449" s="6"/>
      <c r="AU449" s="6"/>
      <c r="AV449" s="6"/>
      <c r="AW449" s="12" t="str">
        <f t="shared" si="13"/>
        <v/>
      </c>
      <c r="AX449" s="12" t="str">
        <f t="shared" si="14"/>
        <v/>
      </c>
      <c r="AY449" s="45"/>
    </row>
    <row r="450" spans="1:51" s="64" customFormat="1" ht="36" x14ac:dyDescent="0.2">
      <c r="A450" s="59">
        <v>444</v>
      </c>
      <c r="B450" s="60" t="s">
        <v>1926</v>
      </c>
      <c r="C450" s="60" t="s">
        <v>1863</v>
      </c>
      <c r="D450" s="56" t="s">
        <v>963</v>
      </c>
      <c r="E450" s="56" t="s">
        <v>9</v>
      </c>
      <c r="F450" s="56" t="s">
        <v>185</v>
      </c>
      <c r="G450" s="61" t="s">
        <v>1794</v>
      </c>
      <c r="H450" s="59" t="s">
        <v>83</v>
      </c>
      <c r="I450" s="59"/>
      <c r="J450" s="59"/>
      <c r="K450" s="59"/>
      <c r="L450" s="59"/>
      <c r="M450" s="59"/>
      <c r="N450" s="59"/>
      <c r="O450" s="60" t="s">
        <v>67</v>
      </c>
      <c r="P450" s="56"/>
      <c r="Q450" s="56" t="s">
        <v>226</v>
      </c>
      <c r="R450" s="56" t="s">
        <v>964</v>
      </c>
      <c r="S450" s="56" t="s">
        <v>69</v>
      </c>
      <c r="T450" s="59" t="s">
        <v>70</v>
      </c>
      <c r="U450" s="56"/>
      <c r="V450" s="56" t="s">
        <v>425</v>
      </c>
      <c r="W450" s="56" t="s">
        <v>966</v>
      </c>
      <c r="X450" s="56" t="s">
        <v>69</v>
      </c>
      <c r="Y450" s="56" t="s">
        <v>70</v>
      </c>
      <c r="Z450" s="59" t="s">
        <v>1937</v>
      </c>
      <c r="AA450" s="59"/>
      <c r="AB450" s="59"/>
      <c r="AC450" s="59">
        <v>111</v>
      </c>
      <c r="AD450" s="60"/>
      <c r="AE450" s="60"/>
      <c r="AF450" s="60"/>
      <c r="AG450" s="60"/>
      <c r="AH450" s="59"/>
      <c r="AI450" s="60"/>
      <c r="AJ450" s="60"/>
      <c r="AK450" s="60"/>
      <c r="AL450" s="60"/>
      <c r="AM450" s="59"/>
      <c r="AN450" s="56"/>
      <c r="AO450" s="56"/>
      <c r="AP450" s="59"/>
      <c r="AQ450" s="60" t="s">
        <v>1718</v>
      </c>
      <c r="AR450" s="60" t="s">
        <v>228</v>
      </c>
      <c r="AS450" s="56" t="s">
        <v>115</v>
      </c>
      <c r="AT450" s="56" t="s">
        <v>116</v>
      </c>
      <c r="AU450" s="56" t="s">
        <v>115</v>
      </c>
      <c r="AV450" s="56" t="s">
        <v>1247</v>
      </c>
      <c r="AW450" s="62">
        <f t="shared" si="13"/>
        <v>6</v>
      </c>
      <c r="AX450" s="62">
        <f t="shared" si="14"/>
        <v>6</v>
      </c>
      <c r="AY450" s="63" t="s">
        <v>1938</v>
      </c>
    </row>
    <row r="451" spans="1:51" ht="20.100000000000001" customHeight="1" x14ac:dyDescent="0.2">
      <c r="A451" s="13">
        <v>445</v>
      </c>
      <c r="B451" s="40" t="s">
        <v>1939</v>
      </c>
      <c r="C451" s="40" t="s">
        <v>1863</v>
      </c>
      <c r="D451" s="41" t="s">
        <v>1853</v>
      </c>
      <c r="E451" s="41" t="s">
        <v>243</v>
      </c>
      <c r="F451" s="41"/>
      <c r="G451" s="41"/>
      <c r="H451" s="13" t="s">
        <v>7</v>
      </c>
      <c r="I451" s="13"/>
      <c r="J451" s="13"/>
      <c r="K451" s="13"/>
      <c r="L451" s="13"/>
      <c r="M451" s="13"/>
      <c r="N451" s="13"/>
      <c r="O451" s="40" t="s">
        <v>92</v>
      </c>
      <c r="P451" s="35" t="s">
        <v>140</v>
      </c>
      <c r="Q451" s="35" t="s">
        <v>104</v>
      </c>
      <c r="R451" s="41" t="s">
        <v>1940</v>
      </c>
      <c r="S451" s="41" t="s">
        <v>69</v>
      </c>
      <c r="T451" s="13" t="s">
        <v>70</v>
      </c>
      <c r="U451" s="35" t="s">
        <v>143</v>
      </c>
      <c r="V451" s="35" t="s">
        <v>108</v>
      </c>
      <c r="W451" s="41" t="s">
        <v>1941</v>
      </c>
      <c r="X451" s="41" t="s">
        <v>69</v>
      </c>
      <c r="Y451" s="41" t="s">
        <v>70</v>
      </c>
      <c r="Z451" s="13"/>
      <c r="AA451" s="13">
        <v>209</v>
      </c>
      <c r="AB451" s="15">
        <v>209</v>
      </c>
      <c r="AC451" s="33">
        <v>162</v>
      </c>
      <c r="AD451" s="34">
        <v>168</v>
      </c>
      <c r="AE451" s="40">
        <v>48</v>
      </c>
      <c r="AF451" s="40">
        <v>81</v>
      </c>
      <c r="AG451" s="40">
        <v>8</v>
      </c>
      <c r="AH451" s="13">
        <v>46</v>
      </c>
      <c r="AI451" s="40">
        <v>135</v>
      </c>
      <c r="AJ451" s="40">
        <v>25</v>
      </c>
      <c r="AK451" s="40"/>
      <c r="AL451" s="16"/>
      <c r="AM451" s="33" t="s">
        <v>158</v>
      </c>
      <c r="AN451" s="41" t="s">
        <v>1921</v>
      </c>
      <c r="AO451" s="41" t="s">
        <v>166</v>
      </c>
      <c r="AP451" s="13">
        <v>24</v>
      </c>
      <c r="AQ451" s="40" t="s">
        <v>1718</v>
      </c>
      <c r="AR451" s="40" t="s">
        <v>112</v>
      </c>
      <c r="AS451" s="6"/>
      <c r="AT451" s="6"/>
      <c r="AU451" s="6"/>
      <c r="AV451" s="6"/>
      <c r="AW451" s="12" t="str">
        <f t="shared" si="13"/>
        <v/>
      </c>
      <c r="AX451" s="12" t="str">
        <f t="shared" si="14"/>
        <v/>
      </c>
      <c r="AY451" s="45"/>
    </row>
    <row r="452" spans="1:51" ht="20.100000000000001" customHeight="1" x14ac:dyDescent="0.2">
      <c r="A452" s="13">
        <v>446</v>
      </c>
      <c r="B452" s="40" t="s">
        <v>1942</v>
      </c>
      <c r="C452" s="40" t="s">
        <v>1863</v>
      </c>
      <c r="D452" s="41" t="s">
        <v>1943</v>
      </c>
      <c r="E452" s="41" t="s">
        <v>9</v>
      </c>
      <c r="F452" s="41" t="s">
        <v>90</v>
      </c>
      <c r="G452" s="41"/>
      <c r="H452" s="13" t="s">
        <v>7</v>
      </c>
      <c r="I452" s="13"/>
      <c r="J452" s="13"/>
      <c r="K452" s="13"/>
      <c r="L452" s="13"/>
      <c r="M452" s="13"/>
      <c r="N452" s="13"/>
      <c r="O452" s="40" t="s">
        <v>67</v>
      </c>
      <c r="P452" s="41"/>
      <c r="Q452" s="41" t="s">
        <v>104</v>
      </c>
      <c r="R452" s="41" t="s">
        <v>1944</v>
      </c>
      <c r="S452" s="41" t="s">
        <v>106</v>
      </c>
      <c r="T452" s="13" t="s">
        <v>107</v>
      </c>
      <c r="U452" s="6"/>
      <c r="V452" s="6" t="s">
        <v>248</v>
      </c>
      <c r="W452" s="41" t="s">
        <v>1945</v>
      </c>
      <c r="X452" s="41" t="s">
        <v>73</v>
      </c>
      <c r="Y452" s="41" t="s">
        <v>70</v>
      </c>
      <c r="Z452" s="13">
        <v>0</v>
      </c>
      <c r="AA452" s="13">
        <v>217</v>
      </c>
      <c r="AB452" s="15">
        <v>217</v>
      </c>
      <c r="AC452" s="15">
        <v>0</v>
      </c>
      <c r="AD452" s="16">
        <v>204</v>
      </c>
      <c r="AE452" s="40">
        <v>132</v>
      </c>
      <c r="AF452" s="40">
        <v>148</v>
      </c>
      <c r="AG452" s="40">
        <v>7</v>
      </c>
      <c r="AH452" s="13">
        <v>5</v>
      </c>
      <c r="AI452" s="40">
        <v>160</v>
      </c>
      <c r="AJ452" s="40">
        <v>20</v>
      </c>
      <c r="AK452" s="40"/>
      <c r="AL452" s="16"/>
      <c r="AM452" s="15"/>
      <c r="AN452" s="41" t="s">
        <v>1939</v>
      </c>
      <c r="AO452" s="41" t="s">
        <v>1946</v>
      </c>
      <c r="AP452" s="13">
        <v>19</v>
      </c>
      <c r="AQ452" s="40" t="s">
        <v>1721</v>
      </c>
      <c r="AR452" s="40" t="s">
        <v>193</v>
      </c>
      <c r="AS452" s="6"/>
      <c r="AT452" s="6"/>
      <c r="AU452" s="6"/>
      <c r="AV452" s="6"/>
      <c r="AW452" s="12" t="str">
        <f t="shared" si="13"/>
        <v/>
      </c>
      <c r="AX452" s="12" t="str">
        <f t="shared" si="14"/>
        <v/>
      </c>
      <c r="AY452" s="45"/>
    </row>
    <row r="453" spans="1:51" ht="20.100000000000001" customHeight="1" x14ac:dyDescent="0.2">
      <c r="A453" s="13">
        <v>447</v>
      </c>
      <c r="B453" s="40" t="s">
        <v>1947</v>
      </c>
      <c r="C453" s="40" t="s">
        <v>1863</v>
      </c>
      <c r="D453" s="41" t="s">
        <v>1948</v>
      </c>
      <c r="E453" s="41" t="s">
        <v>20</v>
      </c>
      <c r="F453" s="41"/>
      <c r="G453" s="41"/>
      <c r="H453" s="13" t="s">
        <v>7</v>
      </c>
      <c r="I453" s="13"/>
      <c r="J453" s="13"/>
      <c r="K453" s="13"/>
      <c r="L453" s="13"/>
      <c r="M453" s="13"/>
      <c r="N453" s="13"/>
      <c r="O453" s="40" t="s">
        <v>92</v>
      </c>
      <c r="P453" s="41" t="s">
        <v>68</v>
      </c>
      <c r="Q453" s="41" t="s">
        <v>68</v>
      </c>
      <c r="R453" s="41" t="s">
        <v>592</v>
      </c>
      <c r="S453" s="41" t="s">
        <v>106</v>
      </c>
      <c r="T453" s="13" t="s">
        <v>107</v>
      </c>
      <c r="U453" s="6" t="s">
        <v>263</v>
      </c>
      <c r="V453" s="6" t="s">
        <v>263</v>
      </c>
      <c r="W453" s="41" t="s">
        <v>1949</v>
      </c>
      <c r="X453" s="41" t="s">
        <v>142</v>
      </c>
      <c r="Y453" s="41" t="s">
        <v>70</v>
      </c>
      <c r="Z453" s="13">
        <v>0</v>
      </c>
      <c r="AA453" s="13">
        <v>143</v>
      </c>
      <c r="AB453" s="15">
        <v>143</v>
      </c>
      <c r="AC453" s="33">
        <v>132</v>
      </c>
      <c r="AD453" s="34">
        <v>135</v>
      </c>
      <c r="AE453" s="40">
        <v>80</v>
      </c>
      <c r="AF453" s="40">
        <v>86</v>
      </c>
      <c r="AG453" s="40">
        <v>7</v>
      </c>
      <c r="AH453" s="13">
        <v>60</v>
      </c>
      <c r="AI453" s="40">
        <v>195</v>
      </c>
      <c r="AJ453" s="40">
        <v>22</v>
      </c>
      <c r="AK453" s="40"/>
      <c r="AL453" s="16"/>
      <c r="AM453" s="15"/>
      <c r="AN453" s="41" t="s">
        <v>1939</v>
      </c>
      <c r="AO453" s="41" t="s">
        <v>1781</v>
      </c>
      <c r="AP453" s="13">
        <v>18</v>
      </c>
      <c r="AQ453" s="40" t="s">
        <v>1718</v>
      </c>
      <c r="AR453" s="40" t="s">
        <v>112</v>
      </c>
      <c r="AS453" s="6"/>
      <c r="AT453" s="6"/>
      <c r="AU453" s="6"/>
      <c r="AV453" s="6"/>
      <c r="AW453" s="12" t="str">
        <f t="shared" si="13"/>
        <v/>
      </c>
      <c r="AX453" s="12" t="str">
        <f t="shared" si="14"/>
        <v/>
      </c>
      <c r="AY453" s="45"/>
    </row>
    <row r="454" spans="1:51" ht="20.100000000000001" customHeight="1" x14ac:dyDescent="0.2">
      <c r="A454" s="13">
        <v>448</v>
      </c>
      <c r="B454" s="40" t="s">
        <v>1947</v>
      </c>
      <c r="C454" s="40" t="s">
        <v>1863</v>
      </c>
      <c r="D454" s="41" t="s">
        <v>963</v>
      </c>
      <c r="E454" s="41" t="s">
        <v>9</v>
      </c>
      <c r="F454" s="41"/>
      <c r="G454" s="41"/>
      <c r="H454" s="13" t="s">
        <v>7</v>
      </c>
      <c r="I454" s="13"/>
      <c r="J454" s="13"/>
      <c r="K454" s="13"/>
      <c r="L454" s="13"/>
      <c r="M454" s="13"/>
      <c r="N454" s="13"/>
      <c r="O454" s="40" t="s">
        <v>67</v>
      </c>
      <c r="P454" s="35" t="s">
        <v>226</v>
      </c>
      <c r="Q454" s="35" t="s">
        <v>116</v>
      </c>
      <c r="R454" s="41" t="s">
        <v>1950</v>
      </c>
      <c r="S454" s="41" t="s">
        <v>142</v>
      </c>
      <c r="T454" s="13" t="s">
        <v>70</v>
      </c>
      <c r="U454" s="35" t="s">
        <v>425</v>
      </c>
      <c r="V454" s="35" t="s">
        <v>1498</v>
      </c>
      <c r="W454" s="41" t="s">
        <v>1951</v>
      </c>
      <c r="X454" s="41" t="s">
        <v>142</v>
      </c>
      <c r="Y454" s="41" t="s">
        <v>70</v>
      </c>
      <c r="Z454" s="13">
        <v>0</v>
      </c>
      <c r="AA454" s="13">
        <v>120</v>
      </c>
      <c r="AB454" s="15">
        <v>120</v>
      </c>
      <c r="AC454" s="15">
        <v>111</v>
      </c>
      <c r="AD454" s="16">
        <v>111</v>
      </c>
      <c r="AE454" s="40">
        <v>105</v>
      </c>
      <c r="AF454" s="40">
        <v>110</v>
      </c>
      <c r="AG454" s="40">
        <v>1</v>
      </c>
      <c r="AH454" s="13">
        <v>30</v>
      </c>
      <c r="AI454" s="40">
        <v>141</v>
      </c>
      <c r="AJ454" s="40">
        <v>3</v>
      </c>
      <c r="AK454" s="40"/>
      <c r="AL454" s="16"/>
      <c r="AM454" s="33" t="s">
        <v>158</v>
      </c>
      <c r="AN454" s="41" t="s">
        <v>1942</v>
      </c>
      <c r="AO454" s="41" t="s">
        <v>1788</v>
      </c>
      <c r="AP454" s="13">
        <v>3</v>
      </c>
      <c r="AQ454" s="40" t="s">
        <v>1718</v>
      </c>
      <c r="AR454" s="40" t="s">
        <v>228</v>
      </c>
      <c r="AS454" s="6"/>
      <c r="AT454" s="6"/>
      <c r="AU454" s="6"/>
      <c r="AV454" s="6"/>
      <c r="AW454" s="12" t="str">
        <f t="shared" si="13"/>
        <v/>
      </c>
      <c r="AX454" s="12" t="str">
        <f t="shared" si="14"/>
        <v/>
      </c>
      <c r="AY454" s="45"/>
    </row>
    <row r="455" spans="1:51" ht="20.100000000000001" customHeight="1" x14ac:dyDescent="0.2">
      <c r="A455" s="13">
        <v>449</v>
      </c>
      <c r="B455" s="40" t="s">
        <v>1952</v>
      </c>
      <c r="C455" s="40" t="s">
        <v>1863</v>
      </c>
      <c r="D455" s="41" t="s">
        <v>272</v>
      </c>
      <c r="E455" s="41" t="s">
        <v>20</v>
      </c>
      <c r="F455" s="41" t="s">
        <v>481</v>
      </c>
      <c r="G455" s="41"/>
      <c r="H455" s="13" t="s">
        <v>83</v>
      </c>
      <c r="I455" s="13"/>
      <c r="J455" s="13"/>
      <c r="K455" s="13"/>
      <c r="L455" s="13"/>
      <c r="M455" s="13"/>
      <c r="N455" s="13"/>
      <c r="O455" s="40" t="s">
        <v>92</v>
      </c>
      <c r="P455" s="41"/>
      <c r="Q455" s="41" t="s">
        <v>226</v>
      </c>
      <c r="R455" s="41" t="s">
        <v>1953</v>
      </c>
      <c r="S455" s="41" t="s">
        <v>145</v>
      </c>
      <c r="T455" s="13" t="s">
        <v>107</v>
      </c>
      <c r="U455" s="6"/>
      <c r="V455" s="6" t="s">
        <v>425</v>
      </c>
      <c r="W455" s="41" t="s">
        <v>1954</v>
      </c>
      <c r="X455" s="41" t="s">
        <v>145</v>
      </c>
      <c r="Y455" s="41" t="s">
        <v>107</v>
      </c>
      <c r="Z455" s="13" t="s">
        <v>1955</v>
      </c>
      <c r="AA455" s="13"/>
      <c r="AB455" s="15"/>
      <c r="AC455" s="15">
        <v>102</v>
      </c>
      <c r="AD455" s="16"/>
      <c r="AE455" s="40"/>
      <c r="AF455" s="40"/>
      <c r="AG455" s="40"/>
      <c r="AH455" s="13"/>
      <c r="AI455" s="40"/>
      <c r="AJ455" s="40"/>
      <c r="AK455" s="40"/>
      <c r="AL455" s="16"/>
      <c r="AM455" s="15"/>
      <c r="AN455" s="41"/>
      <c r="AO455" s="41"/>
      <c r="AP455" s="13"/>
      <c r="AQ455" s="40" t="s">
        <v>1718</v>
      </c>
      <c r="AR455" s="40" t="s">
        <v>1956</v>
      </c>
      <c r="AS455" s="6" t="s">
        <v>115</v>
      </c>
      <c r="AT455" s="6" t="s">
        <v>116</v>
      </c>
      <c r="AU455" s="6" t="s">
        <v>396</v>
      </c>
      <c r="AV455" s="6" t="s">
        <v>124</v>
      </c>
      <c r="AW455" s="12">
        <f t="shared" ref="AW455:AW514" si="15">IF(AS455*AU455&gt;0,(AS455-AU455)*12+(AT455-AV455),"")</f>
        <v>103</v>
      </c>
      <c r="AX455" s="12" t="str">
        <f t="shared" si="14"/>
        <v/>
      </c>
      <c r="AY455" s="45"/>
    </row>
    <row r="456" spans="1:51" ht="20.100000000000001" customHeight="1" x14ac:dyDescent="0.2">
      <c r="A456" s="13">
        <v>450</v>
      </c>
      <c r="B456" s="40" t="s">
        <v>1952</v>
      </c>
      <c r="C456" s="40" t="s">
        <v>1863</v>
      </c>
      <c r="D456" s="41" t="s">
        <v>1828</v>
      </c>
      <c r="E456" s="41" t="s">
        <v>8</v>
      </c>
      <c r="F456" s="41" t="s">
        <v>481</v>
      </c>
      <c r="G456" s="41"/>
      <c r="H456" s="13" t="s">
        <v>83</v>
      </c>
      <c r="I456" s="13"/>
      <c r="J456" s="13"/>
      <c r="K456" s="13"/>
      <c r="L456" s="13"/>
      <c r="M456" s="13"/>
      <c r="N456" s="13"/>
      <c r="O456" s="40" t="s">
        <v>93</v>
      </c>
      <c r="P456" s="6"/>
      <c r="Q456" s="6" t="s">
        <v>155</v>
      </c>
      <c r="R456" s="6"/>
      <c r="S456" s="6" t="s">
        <v>106</v>
      </c>
      <c r="T456" s="15" t="s">
        <v>107</v>
      </c>
      <c r="U456" s="6"/>
      <c r="V456" s="6" t="s">
        <v>804</v>
      </c>
      <c r="W456" s="41" t="s">
        <v>1892</v>
      </c>
      <c r="X456" s="41" t="s">
        <v>145</v>
      </c>
      <c r="Y456" s="41" t="s">
        <v>107</v>
      </c>
      <c r="Z456" s="13" t="s">
        <v>1891</v>
      </c>
      <c r="AA456" s="13"/>
      <c r="AB456" s="15"/>
      <c r="AC456" s="15">
        <v>96</v>
      </c>
      <c r="AD456" s="16"/>
      <c r="AE456" s="40"/>
      <c r="AF456" s="40"/>
      <c r="AG456" s="40"/>
      <c r="AH456" s="13"/>
      <c r="AI456" s="40"/>
      <c r="AJ456" s="40"/>
      <c r="AK456" s="40"/>
      <c r="AL456" s="16"/>
      <c r="AM456" s="15"/>
      <c r="AN456" s="41"/>
      <c r="AO456" s="41"/>
      <c r="AP456" s="13"/>
      <c r="AQ456" s="40" t="s">
        <v>1718</v>
      </c>
      <c r="AR456" s="40" t="s">
        <v>112</v>
      </c>
      <c r="AS456" s="6"/>
      <c r="AT456" s="6"/>
      <c r="AU456" s="6"/>
      <c r="AV456" s="6"/>
      <c r="AW456" s="12" t="str">
        <f t="shared" si="15"/>
        <v/>
      </c>
      <c r="AX456" s="12" t="str">
        <f t="shared" ref="AX456:AX514" si="16">IF(AW456&lt;13,AW456,"")</f>
        <v/>
      </c>
      <c r="AY456" s="45"/>
    </row>
    <row r="457" spans="1:51" ht="20.100000000000001" customHeight="1" x14ac:dyDescent="0.2">
      <c r="A457" s="13">
        <v>451</v>
      </c>
      <c r="B457" s="40" t="s">
        <v>1952</v>
      </c>
      <c r="C457" s="40" t="s">
        <v>1863</v>
      </c>
      <c r="D457" s="41" t="s">
        <v>180</v>
      </c>
      <c r="E457" s="41" t="s">
        <v>19</v>
      </c>
      <c r="F457" s="41"/>
      <c r="G457" s="41"/>
      <c r="H457" s="13" t="s">
        <v>7</v>
      </c>
      <c r="I457" s="13"/>
      <c r="J457" s="13"/>
      <c r="K457" s="13"/>
      <c r="L457" s="13"/>
      <c r="M457" s="13"/>
      <c r="N457" s="13"/>
      <c r="O457" s="40" t="s">
        <v>67</v>
      </c>
      <c r="P457" s="35" t="s">
        <v>68</v>
      </c>
      <c r="Q457" s="35" t="s">
        <v>155</v>
      </c>
      <c r="R457" s="41" t="s">
        <v>194</v>
      </c>
      <c r="S457" s="41" t="s">
        <v>106</v>
      </c>
      <c r="T457" s="13" t="s">
        <v>107</v>
      </c>
      <c r="U457" s="35" t="s">
        <v>332</v>
      </c>
      <c r="V457" s="35" t="s">
        <v>156</v>
      </c>
      <c r="W457" s="41" t="s">
        <v>195</v>
      </c>
      <c r="X457" s="41" t="s">
        <v>106</v>
      </c>
      <c r="Y457" s="13" t="s">
        <v>107</v>
      </c>
      <c r="Z457" s="13">
        <v>0</v>
      </c>
      <c r="AA457" s="13">
        <v>223</v>
      </c>
      <c r="AB457" s="15">
        <v>223</v>
      </c>
      <c r="AC457" s="33">
        <v>222</v>
      </c>
      <c r="AD457" s="34">
        <v>216</v>
      </c>
      <c r="AE457" s="40">
        <v>53</v>
      </c>
      <c r="AF457" s="40">
        <v>134</v>
      </c>
      <c r="AG457" s="40">
        <v>10</v>
      </c>
      <c r="AH457" s="13">
        <v>60</v>
      </c>
      <c r="AI457" s="40">
        <v>204</v>
      </c>
      <c r="AJ457" s="40">
        <v>22</v>
      </c>
      <c r="AK457" s="40"/>
      <c r="AL457" s="16"/>
      <c r="AM457" s="33" t="s">
        <v>158</v>
      </c>
      <c r="AN457" s="41" t="s">
        <v>1947</v>
      </c>
      <c r="AO457" s="41" t="s">
        <v>1957</v>
      </c>
      <c r="AP457" s="13">
        <v>19</v>
      </c>
      <c r="AQ457" s="40" t="s">
        <v>1721</v>
      </c>
      <c r="AR457" s="40" t="s">
        <v>165</v>
      </c>
      <c r="AS457" s="6"/>
      <c r="AT457" s="6"/>
      <c r="AU457" s="6"/>
      <c r="AV457" s="6"/>
      <c r="AW457" s="12" t="str">
        <f t="shared" si="15"/>
        <v/>
      </c>
      <c r="AX457" s="12" t="str">
        <f t="shared" si="16"/>
        <v/>
      </c>
      <c r="AY457" s="45"/>
    </row>
    <row r="458" spans="1:51" ht="20.100000000000001" customHeight="1" x14ac:dyDescent="0.2">
      <c r="A458" s="13">
        <v>452</v>
      </c>
      <c r="B458" s="40" t="s">
        <v>1958</v>
      </c>
      <c r="C458" s="40" t="s">
        <v>1863</v>
      </c>
      <c r="D458" s="41" t="s">
        <v>1922</v>
      </c>
      <c r="E458" s="41" t="s">
        <v>20</v>
      </c>
      <c r="F458" s="41"/>
      <c r="G458" s="41"/>
      <c r="H458" s="13" t="s">
        <v>7</v>
      </c>
      <c r="I458" s="13"/>
      <c r="J458" s="13"/>
      <c r="K458" s="13"/>
      <c r="L458" s="13"/>
      <c r="M458" s="13"/>
      <c r="N458" s="13"/>
      <c r="O458" s="40" t="s">
        <v>92</v>
      </c>
      <c r="P458" s="41" t="s">
        <v>104</v>
      </c>
      <c r="Q458" s="41" t="s">
        <v>104</v>
      </c>
      <c r="R458" s="41"/>
      <c r="S458" s="41" t="s">
        <v>69</v>
      </c>
      <c r="T458" s="13" t="s">
        <v>70</v>
      </c>
      <c r="U458" s="6" t="s">
        <v>108</v>
      </c>
      <c r="V458" s="6" t="s">
        <v>108</v>
      </c>
      <c r="W458" s="41" t="s">
        <v>1959</v>
      </c>
      <c r="X458" s="41" t="s">
        <v>106</v>
      </c>
      <c r="Y458" s="41" t="s">
        <v>107</v>
      </c>
      <c r="Z458" s="13">
        <v>0</v>
      </c>
      <c r="AA458" s="13">
        <v>180</v>
      </c>
      <c r="AB458" s="15">
        <v>180</v>
      </c>
      <c r="AC458" s="15">
        <v>168</v>
      </c>
      <c r="AD458" s="16">
        <v>168</v>
      </c>
      <c r="AE458" s="40">
        <v>73</v>
      </c>
      <c r="AF458" s="40">
        <v>104</v>
      </c>
      <c r="AG458" s="40">
        <v>8</v>
      </c>
      <c r="AH458" s="13">
        <v>28</v>
      </c>
      <c r="AI458" s="40">
        <v>140</v>
      </c>
      <c r="AJ458" s="40">
        <v>25</v>
      </c>
      <c r="AK458" s="40"/>
      <c r="AL458" s="16"/>
      <c r="AM458" s="15"/>
      <c r="AN458" s="41" t="s">
        <v>1952</v>
      </c>
      <c r="AO458" s="41" t="s">
        <v>1803</v>
      </c>
      <c r="AP458" s="13">
        <v>24</v>
      </c>
      <c r="AQ458" s="40" t="s">
        <v>1721</v>
      </c>
      <c r="AR458" s="40" t="s">
        <v>161</v>
      </c>
      <c r="AS458" s="6"/>
      <c r="AT458" s="6"/>
      <c r="AU458" s="6"/>
      <c r="AV458" s="6"/>
      <c r="AW458" s="12" t="str">
        <f t="shared" si="15"/>
        <v/>
      </c>
      <c r="AX458" s="12" t="str">
        <f t="shared" si="16"/>
        <v/>
      </c>
      <c r="AY458" s="45"/>
    </row>
    <row r="459" spans="1:51" ht="20.100000000000001" customHeight="1" x14ac:dyDescent="0.2">
      <c r="A459" s="13">
        <v>453</v>
      </c>
      <c r="B459" s="40" t="s">
        <v>1958</v>
      </c>
      <c r="C459" s="40" t="s">
        <v>1863</v>
      </c>
      <c r="D459" s="41" t="s">
        <v>56</v>
      </c>
      <c r="E459" s="41" t="s">
        <v>20</v>
      </c>
      <c r="F459" s="41" t="s">
        <v>90</v>
      </c>
      <c r="G459" s="41"/>
      <c r="H459" s="13" t="s">
        <v>7</v>
      </c>
      <c r="I459" s="13"/>
      <c r="J459" s="13"/>
      <c r="K459" s="13"/>
      <c r="L459" s="13"/>
      <c r="M459" s="13"/>
      <c r="N459" s="13"/>
      <c r="O459" s="40" t="s">
        <v>93</v>
      </c>
      <c r="P459" s="41" t="s">
        <v>429</v>
      </c>
      <c r="Q459" s="41" t="s">
        <v>218</v>
      </c>
      <c r="R459" s="41" t="s">
        <v>1960</v>
      </c>
      <c r="S459" s="41" t="s">
        <v>106</v>
      </c>
      <c r="T459" s="13" t="s">
        <v>107</v>
      </c>
      <c r="U459" s="6" t="s">
        <v>429</v>
      </c>
      <c r="V459" s="6" t="s">
        <v>167</v>
      </c>
      <c r="W459" s="41" t="s">
        <v>1961</v>
      </c>
      <c r="X459" s="41" t="s">
        <v>106</v>
      </c>
      <c r="Y459" s="41" t="s">
        <v>107</v>
      </c>
      <c r="Z459" s="13">
        <v>0</v>
      </c>
      <c r="AA459" s="13">
        <v>162</v>
      </c>
      <c r="AB459" s="15">
        <v>162</v>
      </c>
      <c r="AC459" s="15">
        <v>0</v>
      </c>
      <c r="AD459" s="16">
        <v>147</v>
      </c>
      <c r="AE459" s="40">
        <v>69</v>
      </c>
      <c r="AF459" s="40">
        <v>83</v>
      </c>
      <c r="AG459" s="40">
        <v>7</v>
      </c>
      <c r="AH459" s="13">
        <v>10</v>
      </c>
      <c r="AI459" s="40">
        <v>190</v>
      </c>
      <c r="AJ459" s="40">
        <v>25</v>
      </c>
      <c r="AK459" s="40"/>
      <c r="AL459" s="16"/>
      <c r="AM459" s="15"/>
      <c r="AN459" s="41" t="s">
        <v>1962</v>
      </c>
      <c r="AO459" s="41" t="s">
        <v>1963</v>
      </c>
      <c r="AP459" s="13">
        <v>23.5</v>
      </c>
      <c r="AQ459" s="40" t="s">
        <v>1721</v>
      </c>
      <c r="AR459" s="40" t="s">
        <v>193</v>
      </c>
      <c r="AS459" s="6"/>
      <c r="AT459" s="6"/>
      <c r="AU459" s="6"/>
      <c r="AV459" s="6"/>
      <c r="AW459" s="12" t="str">
        <f t="shared" si="15"/>
        <v/>
      </c>
      <c r="AX459" s="12" t="str">
        <f t="shared" si="16"/>
        <v/>
      </c>
      <c r="AY459" s="45"/>
    </row>
    <row r="460" spans="1:51" ht="20.100000000000001" customHeight="1" x14ac:dyDescent="0.2">
      <c r="A460" s="13">
        <v>454</v>
      </c>
      <c r="B460" s="40" t="s">
        <v>1964</v>
      </c>
      <c r="C460" s="40" t="s">
        <v>1863</v>
      </c>
      <c r="D460" s="41" t="s">
        <v>1965</v>
      </c>
      <c r="E460" s="41" t="s">
        <v>9</v>
      </c>
      <c r="F460" s="41" t="s">
        <v>185</v>
      </c>
      <c r="G460" s="41"/>
      <c r="H460" s="13" t="s">
        <v>83</v>
      </c>
      <c r="I460" s="13"/>
      <c r="J460" s="13"/>
      <c r="K460" s="13"/>
      <c r="L460" s="13"/>
      <c r="M460" s="13"/>
      <c r="N460" s="13"/>
      <c r="O460" s="40" t="s">
        <v>92</v>
      </c>
      <c r="P460" s="41" t="s">
        <v>429</v>
      </c>
      <c r="Q460" s="41" t="s">
        <v>140</v>
      </c>
      <c r="R460" s="41"/>
      <c r="S460" s="41" t="s">
        <v>142</v>
      </c>
      <c r="T460" s="13" t="s">
        <v>70</v>
      </c>
      <c r="U460" s="6" t="s">
        <v>429</v>
      </c>
      <c r="V460" s="6" t="s">
        <v>338</v>
      </c>
      <c r="W460" s="41" t="s">
        <v>1966</v>
      </c>
      <c r="X460" s="41" t="s">
        <v>106</v>
      </c>
      <c r="Y460" s="41" t="s">
        <v>107</v>
      </c>
      <c r="Z460" s="13" t="s">
        <v>1967</v>
      </c>
      <c r="AA460" s="13"/>
      <c r="AB460" s="15"/>
      <c r="AC460" s="15">
        <v>204</v>
      </c>
      <c r="AD460" s="16"/>
      <c r="AE460" s="40"/>
      <c r="AF460" s="40"/>
      <c r="AG460" s="40"/>
      <c r="AH460" s="13"/>
      <c r="AI460" s="40"/>
      <c r="AJ460" s="40"/>
      <c r="AK460" s="40"/>
      <c r="AL460" s="16"/>
      <c r="AM460" s="15"/>
      <c r="AN460" s="41"/>
      <c r="AO460" s="41"/>
      <c r="AP460" s="13"/>
      <c r="AQ460" s="40"/>
      <c r="AR460" s="40"/>
      <c r="AS460" s="6" t="s">
        <v>115</v>
      </c>
      <c r="AT460" s="6" t="s">
        <v>116</v>
      </c>
      <c r="AU460" s="6" t="s">
        <v>136</v>
      </c>
      <c r="AV460" s="6" t="s">
        <v>124</v>
      </c>
      <c r="AW460" s="12">
        <f t="shared" si="15"/>
        <v>19</v>
      </c>
      <c r="AX460" s="12" t="str">
        <f t="shared" si="16"/>
        <v/>
      </c>
      <c r="AY460" s="45"/>
    </row>
    <row r="461" spans="1:51" ht="20.100000000000001" customHeight="1" x14ac:dyDescent="0.2">
      <c r="A461" s="13">
        <v>455</v>
      </c>
      <c r="B461" s="40" t="s">
        <v>1964</v>
      </c>
      <c r="C461" s="40" t="s">
        <v>1863</v>
      </c>
      <c r="D461" s="41" t="s">
        <v>1764</v>
      </c>
      <c r="E461" s="41" t="s">
        <v>10</v>
      </c>
      <c r="F461" s="41"/>
      <c r="G461" s="41"/>
      <c r="H461" s="13" t="s">
        <v>7</v>
      </c>
      <c r="I461" s="13"/>
      <c r="J461" s="13"/>
      <c r="K461" s="13"/>
      <c r="L461" s="13"/>
      <c r="M461" s="13"/>
      <c r="N461" s="13"/>
      <c r="O461" s="40" t="s">
        <v>67</v>
      </c>
      <c r="P461" s="35" t="s">
        <v>104</v>
      </c>
      <c r="Q461" s="35" t="s">
        <v>141</v>
      </c>
      <c r="R461" s="41" t="s">
        <v>1887</v>
      </c>
      <c r="S461" s="41" t="s">
        <v>106</v>
      </c>
      <c r="T461" s="13" t="s">
        <v>107</v>
      </c>
      <c r="U461" s="35" t="s">
        <v>125</v>
      </c>
      <c r="V461" s="35" t="s">
        <v>1602</v>
      </c>
      <c r="W461" s="41" t="s">
        <v>1968</v>
      </c>
      <c r="X461" s="41" t="s">
        <v>69</v>
      </c>
      <c r="Y461" s="41" t="s">
        <v>70</v>
      </c>
      <c r="Z461" s="13">
        <v>0</v>
      </c>
      <c r="AA461" s="13">
        <v>207</v>
      </c>
      <c r="AB461" s="15">
        <v>207</v>
      </c>
      <c r="AC461" s="33">
        <v>186</v>
      </c>
      <c r="AD461" s="34">
        <v>192</v>
      </c>
      <c r="AE461" s="40">
        <v>157</v>
      </c>
      <c r="AF461" s="40">
        <v>169</v>
      </c>
      <c r="AG461" s="40">
        <v>7</v>
      </c>
      <c r="AH461" s="13">
        <v>20</v>
      </c>
      <c r="AI461" s="40">
        <v>196</v>
      </c>
      <c r="AJ461" s="40">
        <v>8</v>
      </c>
      <c r="AK461" s="40"/>
      <c r="AL461" s="16"/>
      <c r="AM461" s="33" t="s">
        <v>158</v>
      </c>
      <c r="AN461" s="41" t="s">
        <v>1958</v>
      </c>
      <c r="AO461" s="41" t="s">
        <v>1835</v>
      </c>
      <c r="AP461" s="13">
        <v>7.8</v>
      </c>
      <c r="AQ461" s="40" t="s">
        <v>1718</v>
      </c>
      <c r="AR461" s="40" t="s">
        <v>112</v>
      </c>
      <c r="AS461" s="6"/>
      <c r="AT461" s="6"/>
      <c r="AU461" s="6"/>
      <c r="AV461" s="6"/>
      <c r="AW461" s="12" t="str">
        <f t="shared" si="15"/>
        <v/>
      </c>
      <c r="AX461" s="12" t="str">
        <f t="shared" si="16"/>
        <v/>
      </c>
      <c r="AY461" s="45"/>
    </row>
    <row r="462" spans="1:51" ht="20.100000000000001" customHeight="1" x14ac:dyDescent="0.2">
      <c r="A462" s="13">
        <v>456</v>
      </c>
      <c r="B462" s="40" t="s">
        <v>1969</v>
      </c>
      <c r="C462" s="40" t="s">
        <v>1863</v>
      </c>
      <c r="D462" s="41" t="s">
        <v>19</v>
      </c>
      <c r="E462" s="41" t="s">
        <v>19</v>
      </c>
      <c r="F462" s="41"/>
      <c r="G462" s="41"/>
      <c r="H462" s="13" t="s">
        <v>7</v>
      </c>
      <c r="I462" s="13"/>
      <c r="J462" s="13"/>
      <c r="K462" s="13"/>
      <c r="L462" s="13"/>
      <c r="M462" s="13"/>
      <c r="N462" s="13"/>
      <c r="O462" s="40" t="s">
        <v>93</v>
      </c>
      <c r="P462" s="41" t="s">
        <v>334</v>
      </c>
      <c r="Q462" s="41" t="s">
        <v>334</v>
      </c>
      <c r="R462" s="41" t="s">
        <v>1970</v>
      </c>
      <c r="S462" s="41" t="s">
        <v>106</v>
      </c>
      <c r="T462" s="13" t="s">
        <v>107</v>
      </c>
      <c r="U462" s="35" t="s">
        <v>1848</v>
      </c>
      <c r="V462" s="35" t="s">
        <v>1971</v>
      </c>
      <c r="W462" s="41" t="s">
        <v>1972</v>
      </c>
      <c r="X462" s="41" t="s">
        <v>106</v>
      </c>
      <c r="Y462" s="13" t="s">
        <v>107</v>
      </c>
      <c r="Z462" s="13">
        <v>0</v>
      </c>
      <c r="AA462" s="13">
        <v>98</v>
      </c>
      <c r="AB462" s="15">
        <v>98</v>
      </c>
      <c r="AC462" s="33">
        <v>90</v>
      </c>
      <c r="AD462" s="34">
        <v>84</v>
      </c>
      <c r="AE462" s="40">
        <v>40</v>
      </c>
      <c r="AF462" s="40">
        <v>52</v>
      </c>
      <c r="AG462" s="40">
        <v>4</v>
      </c>
      <c r="AH462" s="13">
        <v>22</v>
      </c>
      <c r="AI462" s="40">
        <v>78</v>
      </c>
      <c r="AJ462" s="40">
        <v>20</v>
      </c>
      <c r="AK462" s="40"/>
      <c r="AL462" s="16"/>
      <c r="AM462" s="33" t="s">
        <v>158</v>
      </c>
      <c r="AN462" s="41"/>
      <c r="AO462" s="41"/>
      <c r="AP462" s="13"/>
      <c r="AQ462" s="40" t="s">
        <v>1718</v>
      </c>
      <c r="AR462" s="40" t="s">
        <v>330</v>
      </c>
      <c r="AS462" s="6"/>
      <c r="AT462" s="6"/>
      <c r="AU462" s="6"/>
      <c r="AV462" s="6"/>
      <c r="AW462" s="12" t="str">
        <f t="shared" si="15"/>
        <v/>
      </c>
      <c r="AX462" s="12" t="str">
        <f t="shared" si="16"/>
        <v/>
      </c>
      <c r="AY462" s="45"/>
    </row>
    <row r="463" spans="1:51" s="21" customFormat="1" ht="21.75" x14ac:dyDescent="0.2">
      <c r="A463" s="20">
        <v>457</v>
      </c>
      <c r="B463" s="29" t="s">
        <v>1973</v>
      </c>
      <c r="C463" s="29" t="s">
        <v>1863</v>
      </c>
      <c r="D463" s="30" t="s">
        <v>921</v>
      </c>
      <c r="E463" s="30" t="s">
        <v>10</v>
      </c>
      <c r="F463" s="30" t="s">
        <v>481</v>
      </c>
      <c r="G463" s="37" t="s">
        <v>1794</v>
      </c>
      <c r="H463" s="20" t="s">
        <v>83</v>
      </c>
      <c r="I463" s="20"/>
      <c r="J463" s="20"/>
      <c r="K463" s="20"/>
      <c r="L463" s="20"/>
      <c r="M463" s="20"/>
      <c r="N463" s="20"/>
      <c r="O463" s="29" t="s">
        <v>92</v>
      </c>
      <c r="P463" s="30"/>
      <c r="Q463" s="30" t="s">
        <v>104</v>
      </c>
      <c r="R463" s="30" t="s">
        <v>960</v>
      </c>
      <c r="S463" s="30" t="s">
        <v>106</v>
      </c>
      <c r="T463" s="20" t="s">
        <v>107</v>
      </c>
      <c r="U463" s="30"/>
      <c r="V463" s="30" t="s">
        <v>361</v>
      </c>
      <c r="W463" s="30" t="s">
        <v>961</v>
      </c>
      <c r="X463" s="30" t="s">
        <v>106</v>
      </c>
      <c r="Y463" s="30" t="s">
        <v>107</v>
      </c>
      <c r="Z463" s="20" t="s">
        <v>959</v>
      </c>
      <c r="AA463" s="20"/>
      <c r="AB463" s="20"/>
      <c r="AC463" s="20">
        <v>168</v>
      </c>
      <c r="AD463" s="29"/>
      <c r="AE463" s="29"/>
      <c r="AF463" s="29"/>
      <c r="AG463" s="29"/>
      <c r="AH463" s="20"/>
      <c r="AI463" s="29"/>
      <c r="AJ463" s="29"/>
      <c r="AK463" s="29"/>
      <c r="AL463" s="29"/>
      <c r="AM463" s="20"/>
      <c r="AN463" s="30"/>
      <c r="AO463" s="30"/>
      <c r="AP463" s="20"/>
      <c r="AQ463" s="29"/>
      <c r="AR463" s="29"/>
      <c r="AS463" s="30" t="s">
        <v>115</v>
      </c>
      <c r="AT463" s="30" t="s">
        <v>116</v>
      </c>
      <c r="AU463" s="30" t="s">
        <v>115</v>
      </c>
      <c r="AV463" s="30" t="s">
        <v>1247</v>
      </c>
      <c r="AW463" s="31">
        <f t="shared" si="15"/>
        <v>6</v>
      </c>
      <c r="AX463" s="31">
        <f t="shared" si="16"/>
        <v>6</v>
      </c>
      <c r="AY463" s="63" t="s">
        <v>1974</v>
      </c>
    </row>
    <row r="464" spans="1:51" ht="20.100000000000001" customHeight="1" x14ac:dyDescent="0.2">
      <c r="A464" s="13">
        <v>458</v>
      </c>
      <c r="B464" s="40" t="s">
        <v>1973</v>
      </c>
      <c r="C464" s="40" t="s">
        <v>1863</v>
      </c>
      <c r="D464" s="41" t="s">
        <v>285</v>
      </c>
      <c r="E464" s="41" t="s">
        <v>9</v>
      </c>
      <c r="F464" s="41"/>
      <c r="G464" s="41"/>
      <c r="H464" s="13" t="s">
        <v>7</v>
      </c>
      <c r="I464" s="13"/>
      <c r="J464" s="13"/>
      <c r="K464" s="13"/>
      <c r="L464" s="13"/>
      <c r="M464" s="13"/>
      <c r="N464" s="13"/>
      <c r="O464" s="40" t="s">
        <v>67</v>
      </c>
      <c r="P464" s="35" t="s">
        <v>218</v>
      </c>
      <c r="Q464" s="35" t="s">
        <v>117</v>
      </c>
      <c r="R464" s="41" t="s">
        <v>1975</v>
      </c>
      <c r="S464" s="41" t="s">
        <v>106</v>
      </c>
      <c r="T464" s="13" t="s">
        <v>107</v>
      </c>
      <c r="U464" s="35" t="s">
        <v>453</v>
      </c>
      <c r="V464" s="35" t="s">
        <v>306</v>
      </c>
      <c r="W464" s="41" t="s">
        <v>1976</v>
      </c>
      <c r="X464" s="41" t="s">
        <v>106</v>
      </c>
      <c r="Y464" s="41" t="s">
        <v>107</v>
      </c>
      <c r="Z464" s="13">
        <v>0</v>
      </c>
      <c r="AA464" s="13">
        <v>227</v>
      </c>
      <c r="AB464" s="15">
        <v>227</v>
      </c>
      <c r="AC464" s="15">
        <v>216</v>
      </c>
      <c r="AD464" s="16">
        <v>216</v>
      </c>
      <c r="AE464" s="40">
        <v>159</v>
      </c>
      <c r="AF464" s="40">
        <v>181</v>
      </c>
      <c r="AG464" s="40">
        <v>4</v>
      </c>
      <c r="AH464" s="13">
        <v>50</v>
      </c>
      <c r="AI464" s="40">
        <v>235</v>
      </c>
      <c r="AJ464" s="40">
        <v>9</v>
      </c>
      <c r="AK464" s="40"/>
      <c r="AL464" s="16"/>
      <c r="AM464" s="33" t="s">
        <v>158</v>
      </c>
      <c r="AN464" s="41"/>
      <c r="AO464" s="41"/>
      <c r="AP464" s="13"/>
      <c r="AQ464" s="40" t="s">
        <v>1718</v>
      </c>
      <c r="AR464" s="40" t="s">
        <v>112</v>
      </c>
      <c r="AS464" s="6"/>
      <c r="AT464" s="6"/>
      <c r="AU464" s="6"/>
      <c r="AV464" s="6"/>
      <c r="AW464" s="12" t="str">
        <f t="shared" si="15"/>
        <v/>
      </c>
      <c r="AX464" s="12" t="str">
        <f t="shared" si="16"/>
        <v/>
      </c>
      <c r="AY464" s="45"/>
    </row>
    <row r="465" spans="1:51" s="21" customFormat="1" ht="20.100000000000001" customHeight="1" x14ac:dyDescent="0.2">
      <c r="A465" s="20">
        <v>459</v>
      </c>
      <c r="B465" s="29" t="s">
        <v>1977</v>
      </c>
      <c r="C465" s="29" t="s">
        <v>1863</v>
      </c>
      <c r="D465" s="30" t="s">
        <v>1922</v>
      </c>
      <c r="E465" s="30" t="s">
        <v>20</v>
      </c>
      <c r="F465" s="30" t="s">
        <v>1978</v>
      </c>
      <c r="G465" s="37"/>
      <c r="H465" s="20" t="s">
        <v>83</v>
      </c>
      <c r="I465" s="20"/>
      <c r="J465" s="20"/>
      <c r="K465" s="20"/>
      <c r="L465" s="20"/>
      <c r="M465" s="20"/>
      <c r="N465" s="20"/>
      <c r="O465" s="29" t="s">
        <v>92</v>
      </c>
      <c r="P465" s="30"/>
      <c r="Q465" s="30" t="s">
        <v>104</v>
      </c>
      <c r="R465" s="30" t="s">
        <v>1979</v>
      </c>
      <c r="S465" s="30" t="s">
        <v>69</v>
      </c>
      <c r="T465" s="20" t="s">
        <v>70</v>
      </c>
      <c r="U465" s="30"/>
      <c r="V465" s="30" t="s">
        <v>108</v>
      </c>
      <c r="W465" s="30" t="s">
        <v>1959</v>
      </c>
      <c r="X465" s="30" t="s">
        <v>106</v>
      </c>
      <c r="Y465" s="30" t="s">
        <v>107</v>
      </c>
      <c r="Z465" s="20" t="s">
        <v>1958</v>
      </c>
      <c r="AA465" s="20"/>
      <c r="AB465" s="20"/>
      <c r="AC465" s="20">
        <v>168</v>
      </c>
      <c r="AD465" s="29"/>
      <c r="AE465" s="29"/>
      <c r="AF465" s="29"/>
      <c r="AG465" s="29"/>
      <c r="AH465" s="20"/>
      <c r="AI465" s="29"/>
      <c r="AJ465" s="29"/>
      <c r="AK465" s="29"/>
      <c r="AL465" s="29"/>
      <c r="AM465" s="20"/>
      <c r="AN465" s="30"/>
      <c r="AO465" s="30"/>
      <c r="AP465" s="20"/>
      <c r="AQ465" s="29" t="s">
        <v>1721</v>
      </c>
      <c r="AR465" s="29" t="s">
        <v>161</v>
      </c>
      <c r="AS465" s="30" t="s">
        <v>115</v>
      </c>
      <c r="AT465" s="30" t="s">
        <v>116</v>
      </c>
      <c r="AU465" s="30" t="s">
        <v>115</v>
      </c>
      <c r="AV465" s="30" t="s">
        <v>116</v>
      </c>
      <c r="AW465" s="31">
        <f t="shared" si="15"/>
        <v>0</v>
      </c>
      <c r="AX465" s="31">
        <f t="shared" si="16"/>
        <v>0</v>
      </c>
      <c r="AY465" s="63" t="s">
        <v>1980</v>
      </c>
    </row>
    <row r="466" spans="1:51" ht="20.100000000000001" customHeight="1" x14ac:dyDescent="0.2">
      <c r="A466" s="13">
        <v>460</v>
      </c>
      <c r="B466" s="40" t="s">
        <v>1977</v>
      </c>
      <c r="C466" s="40" t="s">
        <v>1863</v>
      </c>
      <c r="D466" s="41" t="s">
        <v>1922</v>
      </c>
      <c r="E466" s="41" t="s">
        <v>20</v>
      </c>
      <c r="F466" s="41"/>
      <c r="G466" s="41"/>
      <c r="H466" s="13" t="s">
        <v>7</v>
      </c>
      <c r="I466" s="13"/>
      <c r="J466" s="13"/>
      <c r="K466" s="13"/>
      <c r="L466" s="13"/>
      <c r="M466" s="13"/>
      <c r="N466" s="13"/>
      <c r="O466" s="40" t="s">
        <v>92</v>
      </c>
      <c r="P466" s="41" t="s">
        <v>104</v>
      </c>
      <c r="Q466" s="41" t="s">
        <v>104</v>
      </c>
      <c r="R466" s="41" t="s">
        <v>1981</v>
      </c>
      <c r="S466" s="41" t="s">
        <v>69</v>
      </c>
      <c r="T466" s="13" t="s">
        <v>70</v>
      </c>
      <c r="U466" s="6" t="s">
        <v>108</v>
      </c>
      <c r="V466" s="6" t="s">
        <v>108</v>
      </c>
      <c r="W466" s="41" t="s">
        <v>1959</v>
      </c>
      <c r="X466" s="41" t="s">
        <v>106</v>
      </c>
      <c r="Y466" s="41" t="s">
        <v>107</v>
      </c>
      <c r="Z466" s="13">
        <v>0</v>
      </c>
      <c r="AA466" s="13">
        <v>180</v>
      </c>
      <c r="AB466" s="15">
        <v>180</v>
      </c>
      <c r="AC466" s="15">
        <v>168</v>
      </c>
      <c r="AD466" s="16">
        <v>168</v>
      </c>
      <c r="AE466" s="40">
        <v>73</v>
      </c>
      <c r="AF466" s="40">
        <v>104</v>
      </c>
      <c r="AG466" s="40">
        <v>8</v>
      </c>
      <c r="AH466" s="13">
        <v>28</v>
      </c>
      <c r="AI466" s="40">
        <v>140</v>
      </c>
      <c r="AJ466" s="40">
        <v>25</v>
      </c>
      <c r="AK466" s="40"/>
      <c r="AL466" s="16"/>
      <c r="AM466" s="15"/>
      <c r="AN466" s="41" t="s">
        <v>1982</v>
      </c>
      <c r="AO466" s="41" t="s">
        <v>1803</v>
      </c>
      <c r="AP466" s="13">
        <v>24</v>
      </c>
      <c r="AQ466" s="40" t="s">
        <v>1721</v>
      </c>
      <c r="AR466" s="40" t="s">
        <v>161</v>
      </c>
      <c r="AS466" s="6"/>
      <c r="AT466" s="6"/>
      <c r="AU466" s="6"/>
      <c r="AV466" s="6"/>
      <c r="AW466" s="12" t="str">
        <f t="shared" si="15"/>
        <v/>
      </c>
      <c r="AX466" s="12" t="str">
        <f t="shared" si="16"/>
        <v/>
      </c>
      <c r="AY466" s="45"/>
    </row>
    <row r="467" spans="1:51" ht="20.100000000000001" customHeight="1" x14ac:dyDescent="0.2">
      <c r="A467" s="13">
        <v>461</v>
      </c>
      <c r="B467" s="40" t="s">
        <v>1983</v>
      </c>
      <c r="C467" s="40" t="s">
        <v>1863</v>
      </c>
      <c r="D467" s="41" t="s">
        <v>1984</v>
      </c>
      <c r="E467" s="41" t="s">
        <v>6</v>
      </c>
      <c r="F467" s="41" t="s">
        <v>172</v>
      </c>
      <c r="G467" s="41"/>
      <c r="H467" s="13" t="s">
        <v>83</v>
      </c>
      <c r="I467" s="13"/>
      <c r="J467" s="13"/>
      <c r="K467" s="13"/>
      <c r="L467" s="13"/>
      <c r="M467" s="13"/>
      <c r="N467" s="13"/>
      <c r="O467" s="40" t="s">
        <v>67</v>
      </c>
      <c r="P467" s="41"/>
      <c r="Q467" s="41" t="s">
        <v>155</v>
      </c>
      <c r="R467" s="41" t="s">
        <v>1985</v>
      </c>
      <c r="S467" s="41" t="s">
        <v>69</v>
      </c>
      <c r="T467" s="13" t="s">
        <v>70</v>
      </c>
      <c r="U467" s="6"/>
      <c r="V467" s="6" t="s">
        <v>167</v>
      </c>
      <c r="W467" s="41" t="s">
        <v>1986</v>
      </c>
      <c r="X467" s="41" t="s">
        <v>119</v>
      </c>
      <c r="Y467" s="41" t="s">
        <v>107</v>
      </c>
      <c r="Z467" s="13" t="s">
        <v>1987</v>
      </c>
      <c r="AA467" s="13"/>
      <c r="AB467" s="15"/>
      <c r="AC467" s="15">
        <v>186</v>
      </c>
      <c r="AD467" s="16"/>
      <c r="AE467" s="40"/>
      <c r="AF467" s="40"/>
      <c r="AG467" s="40"/>
      <c r="AH467" s="13"/>
      <c r="AI467" s="40"/>
      <c r="AJ467" s="40"/>
      <c r="AK467" s="40"/>
      <c r="AL467" s="16"/>
      <c r="AM467" s="15"/>
      <c r="AN467" s="41"/>
      <c r="AO467" s="41"/>
      <c r="AP467" s="13"/>
      <c r="AQ467" s="40"/>
      <c r="AR467" s="40"/>
      <c r="AS467" s="6" t="s">
        <v>115</v>
      </c>
      <c r="AT467" s="6" t="s">
        <v>116</v>
      </c>
      <c r="AU467" s="6" t="s">
        <v>208</v>
      </c>
      <c r="AV467" s="6" t="s">
        <v>441</v>
      </c>
      <c r="AW467" s="12">
        <f t="shared" si="15"/>
        <v>25</v>
      </c>
      <c r="AX467" s="12" t="str">
        <f t="shared" si="16"/>
        <v/>
      </c>
      <c r="AY467" s="45"/>
    </row>
    <row r="468" spans="1:51" ht="20.100000000000001" customHeight="1" x14ac:dyDescent="0.2">
      <c r="A468" s="13">
        <v>462</v>
      </c>
      <c r="B468" s="40" t="s">
        <v>1988</v>
      </c>
      <c r="C468" s="40" t="s">
        <v>1863</v>
      </c>
      <c r="D468" s="41" t="s">
        <v>1828</v>
      </c>
      <c r="E468" s="41" t="s">
        <v>8</v>
      </c>
      <c r="F468" s="41"/>
      <c r="G468" s="41"/>
      <c r="H468" s="13" t="s">
        <v>7</v>
      </c>
      <c r="I468" s="13"/>
      <c r="J468" s="13"/>
      <c r="K468" s="13"/>
      <c r="L468" s="13"/>
      <c r="M468" s="13"/>
      <c r="N468" s="13"/>
      <c r="O468" s="40" t="s">
        <v>93</v>
      </c>
      <c r="P468" s="41"/>
      <c r="Q468" s="41" t="s">
        <v>155</v>
      </c>
      <c r="R468" s="41" t="s">
        <v>817</v>
      </c>
      <c r="S468" s="41" t="s">
        <v>106</v>
      </c>
      <c r="T468" s="13" t="s">
        <v>107</v>
      </c>
      <c r="U468" s="6"/>
      <c r="V468" s="6" t="s">
        <v>804</v>
      </c>
      <c r="W468" s="41" t="s">
        <v>1989</v>
      </c>
      <c r="X468" s="41" t="s">
        <v>106</v>
      </c>
      <c r="Y468" s="41" t="s">
        <v>107</v>
      </c>
      <c r="Z468" s="13">
        <v>0</v>
      </c>
      <c r="AA468" s="13"/>
      <c r="AB468" s="15"/>
      <c r="AC468" s="15"/>
      <c r="AD468" s="16"/>
      <c r="AE468" s="40"/>
      <c r="AF468" s="40"/>
      <c r="AG468" s="40"/>
      <c r="AH468" s="13"/>
      <c r="AI468" s="40"/>
      <c r="AJ468" s="40"/>
      <c r="AK468" s="40"/>
      <c r="AL468" s="16"/>
      <c r="AM468" s="15"/>
      <c r="AN468" s="41"/>
      <c r="AO468" s="41"/>
      <c r="AP468" s="13"/>
      <c r="AQ468" s="40" t="s">
        <v>1718</v>
      </c>
      <c r="AR468" s="40" t="s">
        <v>112</v>
      </c>
      <c r="AS468" s="6"/>
      <c r="AT468" s="6"/>
      <c r="AU468" s="6"/>
      <c r="AV468" s="6"/>
      <c r="AW468" s="12" t="str">
        <f t="shared" si="15"/>
        <v/>
      </c>
      <c r="AX468" s="12" t="str">
        <f t="shared" si="16"/>
        <v/>
      </c>
      <c r="AY468" s="45"/>
    </row>
    <row r="469" spans="1:51" ht="20.100000000000001" customHeight="1" x14ac:dyDescent="0.2">
      <c r="A469" s="13">
        <v>463</v>
      </c>
      <c r="B469" s="40" t="s">
        <v>1990</v>
      </c>
      <c r="C469" s="40" t="s">
        <v>1863</v>
      </c>
      <c r="D469" s="41" t="s">
        <v>1965</v>
      </c>
      <c r="E469" s="41" t="s">
        <v>9</v>
      </c>
      <c r="F469" s="41"/>
      <c r="G469" s="41"/>
      <c r="H469" s="13" t="s">
        <v>7</v>
      </c>
      <c r="I469" s="13"/>
      <c r="J469" s="13"/>
      <c r="K469" s="13"/>
      <c r="L469" s="13"/>
      <c r="M469" s="13"/>
      <c r="N469" s="13"/>
      <c r="O469" s="40" t="s">
        <v>92</v>
      </c>
      <c r="P469" s="41" t="s">
        <v>140</v>
      </c>
      <c r="Q469" s="41" t="s">
        <v>140</v>
      </c>
      <c r="R469" s="41"/>
      <c r="S469" s="41" t="s">
        <v>106</v>
      </c>
      <c r="T469" s="13" t="s">
        <v>107</v>
      </c>
      <c r="U469" s="35" t="s">
        <v>338</v>
      </c>
      <c r="V469" s="35" t="s">
        <v>276</v>
      </c>
      <c r="W469" s="41"/>
      <c r="X469" s="41" t="s">
        <v>106</v>
      </c>
      <c r="Y469" s="41" t="s">
        <v>107</v>
      </c>
      <c r="Z469" s="13"/>
      <c r="AA469" s="13">
        <v>210</v>
      </c>
      <c r="AB469" s="15">
        <v>210</v>
      </c>
      <c r="AC469" s="15">
        <v>204</v>
      </c>
      <c r="AD469" s="16">
        <v>204</v>
      </c>
      <c r="AE469" s="40">
        <v>105</v>
      </c>
      <c r="AF469" s="40">
        <v>135</v>
      </c>
      <c r="AG469" s="40">
        <v>11</v>
      </c>
      <c r="AH469" s="13">
        <v>40</v>
      </c>
      <c r="AI469" s="40">
        <v>186</v>
      </c>
      <c r="AJ469" s="40">
        <v>10</v>
      </c>
      <c r="AK469" s="40"/>
      <c r="AL469" s="16"/>
      <c r="AM469" s="33" t="s">
        <v>158</v>
      </c>
      <c r="AN469" s="41" t="s">
        <v>1988</v>
      </c>
      <c r="AO469" s="41" t="s">
        <v>1991</v>
      </c>
      <c r="AP469" s="13">
        <v>10</v>
      </c>
      <c r="AQ469" s="40" t="s">
        <v>1721</v>
      </c>
      <c r="AR469" s="40" t="s">
        <v>193</v>
      </c>
      <c r="AS469" s="6"/>
      <c r="AT469" s="6"/>
      <c r="AU469" s="6"/>
      <c r="AV469" s="6"/>
      <c r="AW469" s="12" t="str">
        <f t="shared" si="15"/>
        <v/>
      </c>
      <c r="AX469" s="12" t="str">
        <f t="shared" si="16"/>
        <v/>
      </c>
      <c r="AY469" s="45"/>
    </row>
    <row r="470" spans="1:51" ht="20.100000000000001" customHeight="1" x14ac:dyDescent="0.2">
      <c r="A470" s="13">
        <v>464</v>
      </c>
      <c r="B470" s="40" t="s">
        <v>1992</v>
      </c>
      <c r="C470" s="40" t="s">
        <v>1993</v>
      </c>
      <c r="D470" s="41" t="s">
        <v>173</v>
      </c>
      <c r="E470" s="41" t="s">
        <v>9</v>
      </c>
      <c r="F470" s="41" t="s">
        <v>172</v>
      </c>
      <c r="G470" s="41"/>
      <c r="H470" s="13" t="s">
        <v>83</v>
      </c>
      <c r="I470" s="13"/>
      <c r="J470" s="13"/>
      <c r="K470" s="13"/>
      <c r="L470" s="13"/>
      <c r="M470" s="13"/>
      <c r="N470" s="13"/>
      <c r="O470" s="40" t="s">
        <v>92</v>
      </c>
      <c r="P470" s="41" t="s">
        <v>429</v>
      </c>
      <c r="Q470" s="41" t="s">
        <v>104</v>
      </c>
      <c r="R470" s="41" t="s">
        <v>1994</v>
      </c>
      <c r="S470" s="41" t="s">
        <v>574</v>
      </c>
      <c r="T470" s="13" t="s">
        <v>107</v>
      </c>
      <c r="U470" s="6" t="s">
        <v>429</v>
      </c>
      <c r="V470" s="6" t="s">
        <v>305</v>
      </c>
      <c r="W470" s="41" t="s">
        <v>1995</v>
      </c>
      <c r="X470" s="41" t="s">
        <v>574</v>
      </c>
      <c r="Y470" s="41" t="s">
        <v>107</v>
      </c>
      <c r="Z470" s="13" t="s">
        <v>1996</v>
      </c>
      <c r="AA470" s="13"/>
      <c r="AB470" s="15"/>
      <c r="AC470" s="15">
        <v>204</v>
      </c>
      <c r="AD470" s="16"/>
      <c r="AE470" s="40"/>
      <c r="AF470" s="40"/>
      <c r="AG470" s="40"/>
      <c r="AH470" s="13"/>
      <c r="AI470" s="40"/>
      <c r="AJ470" s="40"/>
      <c r="AK470" s="40"/>
      <c r="AL470" s="16"/>
      <c r="AM470" s="15"/>
      <c r="AN470" s="41"/>
      <c r="AO470" s="41"/>
      <c r="AP470" s="13"/>
      <c r="AQ470" s="40"/>
      <c r="AR470" s="40"/>
      <c r="AS470" s="6" t="s">
        <v>115</v>
      </c>
      <c r="AT470" s="6" t="s">
        <v>116</v>
      </c>
      <c r="AU470" s="6" t="s">
        <v>208</v>
      </c>
      <c r="AV470" s="6" t="s">
        <v>114</v>
      </c>
      <c r="AW470" s="12">
        <f t="shared" si="15"/>
        <v>34</v>
      </c>
      <c r="AX470" s="12" t="str">
        <f t="shared" si="16"/>
        <v/>
      </c>
      <c r="AY470" s="45"/>
    </row>
    <row r="471" spans="1:51" ht="20.100000000000001" customHeight="1" x14ac:dyDescent="0.2">
      <c r="A471" s="13">
        <v>465</v>
      </c>
      <c r="B471" s="40" t="s">
        <v>1997</v>
      </c>
      <c r="C471" s="40" t="s">
        <v>1998</v>
      </c>
      <c r="D471" s="41" t="s">
        <v>1999</v>
      </c>
      <c r="E471" s="41" t="s">
        <v>10</v>
      </c>
      <c r="F471" s="41" t="s">
        <v>481</v>
      </c>
      <c r="G471" s="41"/>
      <c r="H471" s="13" t="s">
        <v>83</v>
      </c>
      <c r="I471" s="13"/>
      <c r="J471" s="13"/>
      <c r="K471" s="13"/>
      <c r="L471" s="13"/>
      <c r="M471" s="13"/>
      <c r="N471" s="13"/>
      <c r="O471" s="40" t="s">
        <v>92</v>
      </c>
      <c r="P471" s="41" t="s">
        <v>429</v>
      </c>
      <c r="Q471" s="41" t="s">
        <v>104</v>
      </c>
      <c r="R471" s="41" t="s">
        <v>2000</v>
      </c>
      <c r="S471" s="41" t="s">
        <v>119</v>
      </c>
      <c r="T471" s="13" t="s">
        <v>107</v>
      </c>
      <c r="U471" s="6" t="s">
        <v>429</v>
      </c>
      <c r="V471" s="6" t="s">
        <v>361</v>
      </c>
      <c r="W471" s="41" t="s">
        <v>2001</v>
      </c>
      <c r="X471" s="41" t="s">
        <v>119</v>
      </c>
      <c r="Y471" s="41" t="s">
        <v>107</v>
      </c>
      <c r="Z471" s="13" t="s">
        <v>2002</v>
      </c>
      <c r="AA471" s="13"/>
      <c r="AB471" s="15"/>
      <c r="AC471" s="15">
        <v>192</v>
      </c>
      <c r="AD471" s="16"/>
      <c r="AE471" s="40"/>
      <c r="AF471" s="40"/>
      <c r="AG471" s="40"/>
      <c r="AH471" s="13"/>
      <c r="AI471" s="40"/>
      <c r="AJ471" s="40"/>
      <c r="AK471" s="40"/>
      <c r="AL471" s="16"/>
      <c r="AM471" s="15"/>
      <c r="AN471" s="41"/>
      <c r="AO471" s="41"/>
      <c r="AP471" s="13"/>
      <c r="AQ471" s="40"/>
      <c r="AR471" s="40"/>
      <c r="AS471" s="6" t="s">
        <v>115</v>
      </c>
      <c r="AT471" s="6" t="s">
        <v>260</v>
      </c>
      <c r="AU471" s="6" t="s">
        <v>136</v>
      </c>
      <c r="AV471" s="6" t="s">
        <v>137</v>
      </c>
      <c r="AW471" s="12">
        <f t="shared" si="15"/>
        <v>18</v>
      </c>
      <c r="AX471" s="12" t="str">
        <f t="shared" si="16"/>
        <v/>
      </c>
      <c r="AY471" s="45"/>
    </row>
    <row r="472" spans="1:51" ht="20.100000000000001" customHeight="1" x14ac:dyDescent="0.2">
      <c r="A472" s="13">
        <v>466</v>
      </c>
      <c r="B472" s="40" t="s">
        <v>2003</v>
      </c>
      <c r="C472" s="40" t="s">
        <v>1998</v>
      </c>
      <c r="D472" s="41" t="s">
        <v>2004</v>
      </c>
      <c r="E472" s="41" t="s">
        <v>6</v>
      </c>
      <c r="F472" s="41"/>
      <c r="G472" s="41"/>
      <c r="H472" s="13" t="s">
        <v>7</v>
      </c>
      <c r="I472" s="13"/>
      <c r="J472" s="13"/>
      <c r="K472" s="13"/>
      <c r="L472" s="13"/>
      <c r="M472" s="13"/>
      <c r="N472" s="13"/>
      <c r="O472" s="40" t="s">
        <v>67</v>
      </c>
      <c r="P472" s="35" t="s">
        <v>140</v>
      </c>
      <c r="Q472" s="35" t="s">
        <v>769</v>
      </c>
      <c r="R472" s="41" t="s">
        <v>2005</v>
      </c>
      <c r="S472" s="41" t="s">
        <v>69</v>
      </c>
      <c r="T472" s="13" t="s">
        <v>70</v>
      </c>
      <c r="U472" s="35" t="s">
        <v>2006</v>
      </c>
      <c r="V472" s="35" t="s">
        <v>979</v>
      </c>
      <c r="W472" s="41" t="s">
        <v>2007</v>
      </c>
      <c r="X472" s="41" t="s">
        <v>69</v>
      </c>
      <c r="Y472" s="41" t="s">
        <v>70</v>
      </c>
      <c r="Z472" s="13">
        <v>0</v>
      </c>
      <c r="AA472" s="13">
        <v>173</v>
      </c>
      <c r="AB472" s="15">
        <v>173</v>
      </c>
      <c r="AC472" s="15">
        <v>0</v>
      </c>
      <c r="AD472" s="16">
        <v>165</v>
      </c>
      <c r="AE472" s="40">
        <v>142</v>
      </c>
      <c r="AF472" s="40">
        <v>160</v>
      </c>
      <c r="AG472" s="40">
        <v>9</v>
      </c>
      <c r="AH472" s="13">
        <v>5</v>
      </c>
      <c r="AI472" s="40">
        <v>174</v>
      </c>
      <c r="AJ472" s="40">
        <v>4</v>
      </c>
      <c r="AK472" s="40"/>
      <c r="AL472" s="16"/>
      <c r="AM472" s="33" t="s">
        <v>158</v>
      </c>
      <c r="AN472" s="41" t="s">
        <v>1997</v>
      </c>
      <c r="AO472" s="41" t="s">
        <v>2008</v>
      </c>
      <c r="AP472" s="65">
        <v>3.5</v>
      </c>
      <c r="AQ472" s="40" t="s">
        <v>1718</v>
      </c>
      <c r="AR472" s="40" t="s">
        <v>1956</v>
      </c>
      <c r="AS472" s="6"/>
      <c r="AT472" s="6"/>
      <c r="AU472" s="6"/>
      <c r="AV472" s="6"/>
      <c r="AW472" s="12" t="str">
        <f t="shared" si="15"/>
        <v/>
      </c>
      <c r="AX472" s="12" t="str">
        <f t="shared" si="16"/>
        <v/>
      </c>
      <c r="AY472" s="45"/>
    </row>
    <row r="473" spans="1:51" ht="20.100000000000001" customHeight="1" x14ac:dyDescent="0.2">
      <c r="A473" s="13">
        <v>467</v>
      </c>
      <c r="B473" s="40" t="s">
        <v>2003</v>
      </c>
      <c r="C473" s="40" t="s">
        <v>1998</v>
      </c>
      <c r="D473" s="41" t="s">
        <v>1984</v>
      </c>
      <c r="E473" s="41" t="s">
        <v>6</v>
      </c>
      <c r="F473" s="41"/>
      <c r="G473" s="41"/>
      <c r="H473" s="13" t="s">
        <v>7</v>
      </c>
      <c r="I473" s="13"/>
      <c r="J473" s="13"/>
      <c r="K473" s="13"/>
      <c r="L473" s="13"/>
      <c r="M473" s="13"/>
      <c r="N473" s="13"/>
      <c r="O473" s="40" t="s">
        <v>67</v>
      </c>
      <c r="P473" s="35" t="s">
        <v>155</v>
      </c>
      <c r="Q473" s="35" t="s">
        <v>104</v>
      </c>
      <c r="R473" s="41" t="s">
        <v>1979</v>
      </c>
      <c r="S473" s="41" t="s">
        <v>369</v>
      </c>
      <c r="T473" s="13" t="s">
        <v>369</v>
      </c>
      <c r="U473" s="35" t="s">
        <v>167</v>
      </c>
      <c r="V473" s="35" t="s">
        <v>305</v>
      </c>
      <c r="W473" s="41" t="s">
        <v>2009</v>
      </c>
      <c r="X473" s="41" t="s">
        <v>106</v>
      </c>
      <c r="Y473" s="41" t="s">
        <v>107</v>
      </c>
      <c r="Z473" s="13">
        <v>0</v>
      </c>
      <c r="AA473" s="13">
        <v>200</v>
      </c>
      <c r="AB473" s="15">
        <v>200</v>
      </c>
      <c r="AC473" s="15">
        <v>186</v>
      </c>
      <c r="AD473" s="16">
        <v>186</v>
      </c>
      <c r="AE473" s="40">
        <v>121</v>
      </c>
      <c r="AF473" s="40">
        <v>164</v>
      </c>
      <c r="AG473" s="40">
        <v>4</v>
      </c>
      <c r="AH473" s="13">
        <v>55</v>
      </c>
      <c r="AI473" s="40">
        <v>223</v>
      </c>
      <c r="AJ473" s="40">
        <v>15</v>
      </c>
      <c r="AK473" s="40"/>
      <c r="AL473" s="16"/>
      <c r="AM473" s="33" t="s">
        <v>158</v>
      </c>
      <c r="AN473" s="41" t="s">
        <v>1997</v>
      </c>
      <c r="AO473" s="41" t="s">
        <v>2010</v>
      </c>
      <c r="AP473" s="43">
        <v>12</v>
      </c>
      <c r="AQ473" s="40" t="s">
        <v>1718</v>
      </c>
      <c r="AR473" s="40" t="s">
        <v>161</v>
      </c>
      <c r="AS473" s="6"/>
      <c r="AT473" s="6"/>
      <c r="AU473" s="6"/>
      <c r="AV473" s="6"/>
      <c r="AW473" s="12" t="str">
        <f t="shared" si="15"/>
        <v/>
      </c>
      <c r="AX473" s="12" t="str">
        <f t="shared" si="16"/>
        <v/>
      </c>
      <c r="AY473" s="45"/>
    </row>
    <row r="474" spans="1:51" ht="20.100000000000001" customHeight="1" x14ac:dyDescent="0.2">
      <c r="A474" s="13">
        <v>468</v>
      </c>
      <c r="B474" s="40" t="s">
        <v>2003</v>
      </c>
      <c r="C474" s="40" t="s">
        <v>1998</v>
      </c>
      <c r="D474" s="41" t="s">
        <v>921</v>
      </c>
      <c r="E474" s="41" t="s">
        <v>10</v>
      </c>
      <c r="F474" s="41"/>
      <c r="G474" s="41"/>
      <c r="H474" s="13" t="s">
        <v>7</v>
      </c>
      <c r="I474" s="13"/>
      <c r="J474" s="13"/>
      <c r="K474" s="13"/>
      <c r="L474" s="13"/>
      <c r="M474" s="13"/>
      <c r="N474" s="13"/>
      <c r="O474" s="40" t="s">
        <v>92</v>
      </c>
      <c r="P474" s="35" t="s">
        <v>117</v>
      </c>
      <c r="Q474" s="35" t="s">
        <v>334</v>
      </c>
      <c r="R474" s="41" t="s">
        <v>2011</v>
      </c>
      <c r="S474" s="41" t="s">
        <v>69</v>
      </c>
      <c r="T474" s="13" t="s">
        <v>70</v>
      </c>
      <c r="U474" s="35" t="s">
        <v>120</v>
      </c>
      <c r="V474" s="35" t="s">
        <v>336</v>
      </c>
      <c r="W474" s="41" t="s">
        <v>2012</v>
      </c>
      <c r="X474" s="41" t="s">
        <v>69</v>
      </c>
      <c r="Y474" s="41" t="s">
        <v>70</v>
      </c>
      <c r="Z474" s="13">
        <v>0</v>
      </c>
      <c r="AA474" s="13">
        <v>177</v>
      </c>
      <c r="AB474" s="15">
        <v>177</v>
      </c>
      <c r="AC474" s="15">
        <v>168</v>
      </c>
      <c r="AD474" s="16">
        <v>168</v>
      </c>
      <c r="AE474" s="40">
        <v>122</v>
      </c>
      <c r="AF474" s="40">
        <v>142</v>
      </c>
      <c r="AG474" s="40">
        <v>3</v>
      </c>
      <c r="AH474" s="13">
        <v>12</v>
      </c>
      <c r="AI474" s="40">
        <v>157</v>
      </c>
      <c r="AJ474" s="40">
        <v>8</v>
      </c>
      <c r="AK474" s="40"/>
      <c r="AL474" s="16"/>
      <c r="AM474" s="33" t="s">
        <v>158</v>
      </c>
      <c r="AN474" s="41" t="s">
        <v>1997</v>
      </c>
      <c r="AO474" s="41" t="s">
        <v>159</v>
      </c>
      <c r="AP474" s="13">
        <v>7</v>
      </c>
      <c r="AQ474" s="40" t="s">
        <v>1718</v>
      </c>
      <c r="AR474" s="40" t="s">
        <v>231</v>
      </c>
      <c r="AS474" s="6"/>
      <c r="AT474" s="6"/>
      <c r="AU474" s="6"/>
      <c r="AV474" s="6"/>
      <c r="AW474" s="12" t="str">
        <f t="shared" si="15"/>
        <v/>
      </c>
      <c r="AX474" s="12" t="str">
        <f t="shared" si="16"/>
        <v/>
      </c>
      <c r="AY474" s="45"/>
    </row>
    <row r="475" spans="1:51" ht="20.100000000000001" customHeight="1" x14ac:dyDescent="0.2">
      <c r="A475" s="13">
        <v>469</v>
      </c>
      <c r="B475" s="40" t="s">
        <v>2013</v>
      </c>
      <c r="C475" s="40" t="s">
        <v>1998</v>
      </c>
      <c r="D475" s="41" t="s">
        <v>844</v>
      </c>
      <c r="E475" s="41" t="s">
        <v>20</v>
      </c>
      <c r="F475" s="41"/>
      <c r="G475" s="41"/>
      <c r="H475" s="13" t="s">
        <v>7</v>
      </c>
      <c r="I475" s="13"/>
      <c r="J475" s="13"/>
      <c r="K475" s="13"/>
      <c r="L475" s="13"/>
      <c r="M475" s="13"/>
      <c r="N475" s="13"/>
      <c r="O475" s="40" t="s">
        <v>92</v>
      </c>
      <c r="P475" s="35" t="s">
        <v>140</v>
      </c>
      <c r="Q475" s="35" t="s">
        <v>116</v>
      </c>
      <c r="R475" s="41" t="s">
        <v>2014</v>
      </c>
      <c r="S475" s="41" t="s">
        <v>106</v>
      </c>
      <c r="T475" s="13" t="s">
        <v>107</v>
      </c>
      <c r="U475" s="35" t="s">
        <v>338</v>
      </c>
      <c r="V475" s="35" t="s">
        <v>1498</v>
      </c>
      <c r="W475" s="41" t="s">
        <v>2015</v>
      </c>
      <c r="X475" s="41" t="s">
        <v>69</v>
      </c>
      <c r="Y475" s="41" t="s">
        <v>70</v>
      </c>
      <c r="Z475" s="13">
        <v>0</v>
      </c>
      <c r="AA475" s="13">
        <v>142</v>
      </c>
      <c r="AB475" s="15">
        <v>142</v>
      </c>
      <c r="AC475" s="33">
        <v>138</v>
      </c>
      <c r="AD475" s="34">
        <v>135</v>
      </c>
      <c r="AE475" s="40">
        <v>79</v>
      </c>
      <c r="AF475" s="40">
        <v>98</v>
      </c>
      <c r="AG475" s="40">
        <v>3</v>
      </c>
      <c r="AH475" s="13">
        <v>27</v>
      </c>
      <c r="AI475" s="40">
        <v>128</v>
      </c>
      <c r="AJ475" s="40">
        <v>4</v>
      </c>
      <c r="AK475" s="40"/>
      <c r="AL475" s="16"/>
      <c r="AM475" s="33" t="s">
        <v>158</v>
      </c>
      <c r="AN475" s="41" t="s">
        <v>2003</v>
      </c>
      <c r="AO475" s="41" t="s">
        <v>2016</v>
      </c>
      <c r="AP475" s="13">
        <v>3.5</v>
      </c>
      <c r="AQ475" s="40" t="s">
        <v>1718</v>
      </c>
      <c r="AR475" s="40" t="s">
        <v>330</v>
      </c>
      <c r="AS475" s="6"/>
      <c r="AT475" s="6"/>
      <c r="AU475" s="6"/>
      <c r="AV475" s="6"/>
      <c r="AW475" s="12" t="str">
        <f t="shared" si="15"/>
        <v/>
      </c>
      <c r="AX475" s="12" t="str">
        <f t="shared" si="16"/>
        <v/>
      </c>
      <c r="AY475" s="45"/>
    </row>
    <row r="476" spans="1:51" ht="20.100000000000001" customHeight="1" x14ac:dyDescent="0.2">
      <c r="A476" s="13">
        <v>470</v>
      </c>
      <c r="B476" s="40" t="s">
        <v>2017</v>
      </c>
      <c r="C476" s="40" t="s">
        <v>1998</v>
      </c>
      <c r="D476" s="41" t="s">
        <v>2018</v>
      </c>
      <c r="E476" s="41" t="s">
        <v>243</v>
      </c>
      <c r="F476" s="41" t="s">
        <v>90</v>
      </c>
      <c r="G476" s="41"/>
      <c r="H476" s="13" t="s">
        <v>7</v>
      </c>
      <c r="I476" s="13"/>
      <c r="J476" s="13"/>
      <c r="K476" s="13"/>
      <c r="L476" s="13"/>
      <c r="M476" s="13"/>
      <c r="N476" s="13"/>
      <c r="O476" s="40" t="s">
        <v>92</v>
      </c>
      <c r="P476" s="41"/>
      <c r="Q476" s="41" t="s">
        <v>68</v>
      </c>
      <c r="R476" s="41" t="s">
        <v>2019</v>
      </c>
      <c r="S476" s="41" t="s">
        <v>69</v>
      </c>
      <c r="T476" s="13" t="s">
        <v>70</v>
      </c>
      <c r="U476" s="6"/>
      <c r="V476" s="6" t="s">
        <v>332</v>
      </c>
      <c r="W476" s="41" t="s">
        <v>2020</v>
      </c>
      <c r="X476" s="41" t="s">
        <v>262</v>
      </c>
      <c r="Y476" s="41" t="s">
        <v>70</v>
      </c>
      <c r="Z476" s="13">
        <v>0</v>
      </c>
      <c r="AA476" s="13">
        <v>215</v>
      </c>
      <c r="AB476" s="15">
        <v>215</v>
      </c>
      <c r="AC476" s="15"/>
      <c r="AD476" s="16">
        <v>198</v>
      </c>
      <c r="AE476" s="40"/>
      <c r="AF476" s="40">
        <v>107</v>
      </c>
      <c r="AG476" s="40">
        <v>10</v>
      </c>
      <c r="AH476" s="13">
        <v>40</v>
      </c>
      <c r="AI476" s="40">
        <v>157</v>
      </c>
      <c r="AJ476" s="40">
        <v>26</v>
      </c>
      <c r="AK476" s="40"/>
      <c r="AL476" s="16"/>
      <c r="AM476" s="15"/>
      <c r="AN476" s="41" t="s">
        <v>2013</v>
      </c>
      <c r="AO476" s="41" t="s">
        <v>159</v>
      </c>
      <c r="AP476" s="13">
        <v>25</v>
      </c>
      <c r="AQ476" s="40" t="s">
        <v>1721</v>
      </c>
      <c r="AR476" s="40" t="s">
        <v>165</v>
      </c>
      <c r="AS476" s="6"/>
      <c r="AT476" s="6"/>
      <c r="AU476" s="6"/>
      <c r="AV476" s="6"/>
      <c r="AW476" s="12" t="str">
        <f t="shared" si="15"/>
        <v/>
      </c>
      <c r="AX476" s="12" t="str">
        <f t="shared" si="16"/>
        <v/>
      </c>
      <c r="AY476" s="45"/>
    </row>
    <row r="477" spans="1:51" ht="20.100000000000001" customHeight="1" x14ac:dyDescent="0.2">
      <c r="A477" s="13">
        <v>471</v>
      </c>
      <c r="B477" s="40" t="s">
        <v>2017</v>
      </c>
      <c r="C477" s="40" t="s">
        <v>1998</v>
      </c>
      <c r="D477" s="41" t="s">
        <v>2021</v>
      </c>
      <c r="E477" s="41" t="s">
        <v>6</v>
      </c>
      <c r="F477" s="41" t="s">
        <v>481</v>
      </c>
      <c r="G477" s="41"/>
      <c r="H477" s="13" t="s">
        <v>83</v>
      </c>
      <c r="I477" s="13"/>
      <c r="J477" s="13"/>
      <c r="K477" s="13"/>
      <c r="L477" s="13"/>
      <c r="M477" s="13"/>
      <c r="N477" s="13"/>
      <c r="O477" s="40" t="s">
        <v>67</v>
      </c>
      <c r="P477" s="41"/>
      <c r="Q477" s="41" t="s">
        <v>68</v>
      </c>
      <c r="R477" s="41" t="s">
        <v>2022</v>
      </c>
      <c r="S477" s="41" t="s">
        <v>262</v>
      </c>
      <c r="T477" s="13" t="s">
        <v>70</v>
      </c>
      <c r="U477" s="6"/>
      <c r="V477" s="6" t="s">
        <v>332</v>
      </c>
      <c r="W477" s="41" t="s">
        <v>2023</v>
      </c>
      <c r="X477" s="41" t="s">
        <v>119</v>
      </c>
      <c r="Y477" s="41" t="s">
        <v>107</v>
      </c>
      <c r="Z477" s="13" t="s">
        <v>2024</v>
      </c>
      <c r="AA477" s="13"/>
      <c r="AB477" s="15"/>
      <c r="AC477" s="15">
        <v>186</v>
      </c>
      <c r="AD477" s="16"/>
      <c r="AE477" s="40"/>
      <c r="AF477" s="40"/>
      <c r="AG477" s="40"/>
      <c r="AH477" s="13"/>
      <c r="AI477" s="40"/>
      <c r="AJ477" s="40"/>
      <c r="AK477" s="40"/>
      <c r="AL477" s="16"/>
      <c r="AM477" s="15"/>
      <c r="AN477" s="41"/>
      <c r="AO477" s="41"/>
      <c r="AP477" s="13"/>
      <c r="AQ477" s="40"/>
      <c r="AR477" s="40"/>
      <c r="AS477" s="6" t="s">
        <v>115</v>
      </c>
      <c r="AT477" s="6" t="s">
        <v>260</v>
      </c>
      <c r="AU477" s="6" t="s">
        <v>400</v>
      </c>
      <c r="AV477" s="6" t="s">
        <v>266</v>
      </c>
      <c r="AW477" s="12">
        <f t="shared" si="15"/>
        <v>75</v>
      </c>
      <c r="AX477" s="12" t="str">
        <f t="shared" si="16"/>
        <v/>
      </c>
      <c r="AY477" s="45"/>
    </row>
    <row r="478" spans="1:51" ht="20.100000000000001" customHeight="1" x14ac:dyDescent="0.2">
      <c r="A478" s="13">
        <v>472</v>
      </c>
      <c r="B478" s="40" t="s">
        <v>2025</v>
      </c>
      <c r="C478" s="40" t="s">
        <v>1998</v>
      </c>
      <c r="D478" s="41" t="s">
        <v>1864</v>
      </c>
      <c r="E478" s="41" t="s">
        <v>19</v>
      </c>
      <c r="F478" s="41" t="s">
        <v>186</v>
      </c>
      <c r="G478" s="41"/>
      <c r="H478" s="13" t="s">
        <v>7</v>
      </c>
      <c r="I478" s="13"/>
      <c r="J478" s="13"/>
      <c r="K478" s="13"/>
      <c r="L478" s="13"/>
      <c r="M478" s="13"/>
      <c r="N478" s="13"/>
      <c r="O478" s="40" t="s">
        <v>92</v>
      </c>
      <c r="P478" s="35" t="s">
        <v>104</v>
      </c>
      <c r="Q478" s="35" t="s">
        <v>140</v>
      </c>
      <c r="R478" s="41" t="s">
        <v>2026</v>
      </c>
      <c r="S478" s="41" t="s">
        <v>106</v>
      </c>
      <c r="T478" s="13" t="s">
        <v>107</v>
      </c>
      <c r="U478" s="35" t="s">
        <v>108</v>
      </c>
      <c r="V478" s="35" t="s">
        <v>143</v>
      </c>
      <c r="W478" s="41" t="s">
        <v>2027</v>
      </c>
      <c r="X478" s="41" t="s">
        <v>106</v>
      </c>
      <c r="Y478" s="41" t="s">
        <v>107</v>
      </c>
      <c r="Z478" s="13">
        <v>0</v>
      </c>
      <c r="AA478" s="13">
        <v>170</v>
      </c>
      <c r="AB478" s="15">
        <v>170</v>
      </c>
      <c r="AC478" s="15">
        <v>150</v>
      </c>
      <c r="AD478" s="16">
        <v>150</v>
      </c>
      <c r="AE478" s="40">
        <v>35</v>
      </c>
      <c r="AF478" s="40">
        <v>65</v>
      </c>
      <c r="AG478" s="40">
        <v>8</v>
      </c>
      <c r="AH478" s="13">
        <v>20</v>
      </c>
      <c r="AI478" s="40">
        <v>93</v>
      </c>
      <c r="AJ478" s="40">
        <v>25</v>
      </c>
      <c r="AK478" s="40"/>
      <c r="AL478" s="16"/>
      <c r="AM478" s="33" t="s">
        <v>158</v>
      </c>
      <c r="AN478" s="41" t="s">
        <v>2028</v>
      </c>
      <c r="AO478" s="41" t="s">
        <v>2029</v>
      </c>
      <c r="AP478" s="13">
        <v>26</v>
      </c>
      <c r="AQ478" s="40" t="s">
        <v>1718</v>
      </c>
      <c r="AR478" s="40" t="s">
        <v>231</v>
      </c>
      <c r="AS478" s="6"/>
      <c r="AT478" s="6"/>
      <c r="AU478" s="6"/>
      <c r="AV478" s="6"/>
      <c r="AW478" s="12" t="str">
        <f t="shared" si="15"/>
        <v/>
      </c>
      <c r="AX478" s="12" t="str">
        <f t="shared" si="16"/>
        <v/>
      </c>
      <c r="AY478" s="45"/>
    </row>
    <row r="479" spans="1:51" ht="20.100000000000001" customHeight="1" x14ac:dyDescent="0.2">
      <c r="A479" s="13">
        <v>473</v>
      </c>
      <c r="B479" s="29" t="s">
        <v>2025</v>
      </c>
      <c r="C479" s="29" t="s">
        <v>1998</v>
      </c>
      <c r="D479" s="30" t="s">
        <v>1057</v>
      </c>
      <c r="E479" s="30" t="s">
        <v>8</v>
      </c>
      <c r="F479" s="30" t="s">
        <v>185</v>
      </c>
      <c r="G479" s="37"/>
      <c r="H479" s="20" t="s">
        <v>83</v>
      </c>
      <c r="I479" s="20"/>
      <c r="J479" s="20"/>
      <c r="K479" s="20"/>
      <c r="L479" s="20"/>
      <c r="M479" s="20"/>
      <c r="N479" s="20"/>
      <c r="O479" s="29" t="s">
        <v>93</v>
      </c>
      <c r="P479" s="30"/>
      <c r="Q479" s="30" t="s">
        <v>104</v>
      </c>
      <c r="R479" s="30" t="s">
        <v>1145</v>
      </c>
      <c r="S479" s="30" t="s">
        <v>106</v>
      </c>
      <c r="T479" s="20" t="s">
        <v>107</v>
      </c>
      <c r="U479" s="30"/>
      <c r="V479" s="30" t="s">
        <v>256</v>
      </c>
      <c r="W479" s="30" t="s">
        <v>1147</v>
      </c>
      <c r="X479" s="30" t="s">
        <v>106</v>
      </c>
      <c r="Y479" s="30" t="s">
        <v>107</v>
      </c>
      <c r="Z479" s="20" t="s">
        <v>1144</v>
      </c>
      <c r="AA479" s="20"/>
      <c r="AB479" s="20"/>
      <c r="AC479" s="20">
        <v>156</v>
      </c>
      <c r="AD479" s="29"/>
      <c r="AE479" s="29"/>
      <c r="AF479" s="29"/>
      <c r="AG479" s="29"/>
      <c r="AH479" s="20"/>
      <c r="AI479" s="29"/>
      <c r="AJ479" s="29"/>
      <c r="AK479" s="29"/>
      <c r="AL479" s="29"/>
      <c r="AM479" s="20"/>
      <c r="AN479" s="30"/>
      <c r="AO479" s="30"/>
      <c r="AP479" s="20"/>
      <c r="AQ479" s="29"/>
      <c r="AR479" s="29"/>
      <c r="AS479" s="30" t="s">
        <v>115</v>
      </c>
      <c r="AT479" s="30" t="s">
        <v>260</v>
      </c>
      <c r="AU479" s="30" t="s">
        <v>115</v>
      </c>
      <c r="AV479" s="30" t="s">
        <v>137</v>
      </c>
      <c r="AW479" s="31">
        <f t="shared" si="15"/>
        <v>6</v>
      </c>
      <c r="AX479" s="31">
        <f t="shared" si="16"/>
        <v>6</v>
      </c>
      <c r="AY479" s="45"/>
    </row>
    <row r="480" spans="1:51" ht="20.100000000000001" customHeight="1" x14ac:dyDescent="0.2">
      <c r="A480" s="13">
        <v>474</v>
      </c>
      <c r="B480" s="40" t="s">
        <v>2030</v>
      </c>
      <c r="C480" s="40" t="s">
        <v>1998</v>
      </c>
      <c r="D480" s="41" t="s">
        <v>2031</v>
      </c>
      <c r="E480" s="41" t="s">
        <v>66</v>
      </c>
      <c r="F480" s="41" t="s">
        <v>481</v>
      </c>
      <c r="G480" s="41"/>
      <c r="H480" s="13" t="s">
        <v>7</v>
      </c>
      <c r="I480" s="13"/>
      <c r="J480" s="13"/>
      <c r="K480" s="13"/>
      <c r="L480" s="13"/>
      <c r="M480" s="13"/>
      <c r="N480" s="13"/>
      <c r="O480" s="40" t="s">
        <v>93</v>
      </c>
      <c r="P480" s="35" t="s">
        <v>718</v>
      </c>
      <c r="Q480" s="35" t="s">
        <v>769</v>
      </c>
      <c r="R480" s="41" t="s">
        <v>2032</v>
      </c>
      <c r="S480" s="41" t="s">
        <v>106</v>
      </c>
      <c r="T480" s="13" t="s">
        <v>107</v>
      </c>
      <c r="U480" s="35" t="s">
        <v>1934</v>
      </c>
      <c r="V480" s="35" t="s">
        <v>2033</v>
      </c>
      <c r="W480" s="41" t="s">
        <v>2034</v>
      </c>
      <c r="X480" s="41" t="s">
        <v>73</v>
      </c>
      <c r="Y480" s="41" t="s">
        <v>70</v>
      </c>
      <c r="Z480" s="13">
        <v>0</v>
      </c>
      <c r="AA480" s="13">
        <v>112</v>
      </c>
      <c r="AB480" s="15">
        <v>112</v>
      </c>
      <c r="AC480" s="33">
        <v>112</v>
      </c>
      <c r="AD480" s="34">
        <v>96</v>
      </c>
      <c r="AE480" s="40">
        <v>31</v>
      </c>
      <c r="AF480" s="40">
        <v>39</v>
      </c>
      <c r="AG480" s="40">
        <v>12</v>
      </c>
      <c r="AH480" s="13">
        <v>25</v>
      </c>
      <c r="AI480" s="40">
        <v>76</v>
      </c>
      <c r="AJ480" s="40">
        <v>14</v>
      </c>
      <c r="AK480" s="40"/>
      <c r="AL480" s="16"/>
      <c r="AM480" s="33" t="s">
        <v>158</v>
      </c>
      <c r="AN480" s="41" t="s">
        <v>2035</v>
      </c>
      <c r="AO480" s="41" t="s">
        <v>2036</v>
      </c>
      <c r="AP480" s="13">
        <v>12</v>
      </c>
      <c r="AQ480" s="40" t="s">
        <v>1718</v>
      </c>
      <c r="AR480" s="40" t="s">
        <v>228</v>
      </c>
      <c r="AS480" s="6"/>
      <c r="AT480" s="6"/>
      <c r="AU480" s="6"/>
      <c r="AV480" s="6"/>
      <c r="AW480" s="12" t="str">
        <f t="shared" si="15"/>
        <v/>
      </c>
      <c r="AX480" s="12" t="str">
        <f t="shared" si="16"/>
        <v/>
      </c>
      <c r="AY480" s="45"/>
    </row>
    <row r="481" spans="1:51" ht="20.100000000000001" customHeight="1" x14ac:dyDescent="0.2">
      <c r="A481" s="13">
        <v>475</v>
      </c>
      <c r="B481" s="40" t="s">
        <v>2030</v>
      </c>
      <c r="C481" s="40" t="s">
        <v>1998</v>
      </c>
      <c r="D481" s="41" t="s">
        <v>2037</v>
      </c>
      <c r="E481" s="41" t="s">
        <v>19</v>
      </c>
      <c r="F481" s="41" t="s">
        <v>481</v>
      </c>
      <c r="G481" s="41"/>
      <c r="H481" s="13" t="s">
        <v>83</v>
      </c>
      <c r="I481" s="13"/>
      <c r="J481" s="13"/>
      <c r="K481" s="13"/>
      <c r="L481" s="13"/>
      <c r="M481" s="13"/>
      <c r="N481" s="13"/>
      <c r="O481" s="40" t="s">
        <v>92</v>
      </c>
      <c r="P481" s="35"/>
      <c r="Q481" s="35" t="s">
        <v>117</v>
      </c>
      <c r="R481" s="41"/>
      <c r="S481" s="41"/>
      <c r="T481" s="13"/>
      <c r="U481" s="35"/>
      <c r="V481" s="35" t="s">
        <v>120</v>
      </c>
      <c r="W481" s="41"/>
      <c r="X481" s="41"/>
      <c r="Y481" s="41"/>
      <c r="Z481" s="13" t="s">
        <v>2038</v>
      </c>
      <c r="AA481" s="13"/>
      <c r="AB481" s="15"/>
      <c r="AC481" s="15">
        <v>228</v>
      </c>
      <c r="AD481" s="16"/>
      <c r="AE481" s="40"/>
      <c r="AF481" s="40"/>
      <c r="AG481" s="40"/>
      <c r="AH481" s="13"/>
      <c r="AI481" s="40"/>
      <c r="AJ481" s="40"/>
      <c r="AK481" s="40"/>
      <c r="AL481" s="16"/>
      <c r="AM481" s="33"/>
      <c r="AN481" s="41"/>
      <c r="AO481" s="41"/>
      <c r="AP481" s="13"/>
      <c r="AQ481" s="40"/>
      <c r="AR481" s="40"/>
      <c r="AS481" s="6" t="s">
        <v>115</v>
      </c>
      <c r="AT481" s="6" t="s">
        <v>260</v>
      </c>
      <c r="AU481" s="6" t="s">
        <v>208</v>
      </c>
      <c r="AV481" s="6" t="s">
        <v>296</v>
      </c>
      <c r="AW481" s="12">
        <f t="shared" si="15"/>
        <v>34</v>
      </c>
      <c r="AX481" s="12" t="str">
        <f t="shared" si="16"/>
        <v/>
      </c>
      <c r="AY481" s="45"/>
    </row>
    <row r="482" spans="1:51" ht="20.100000000000001" customHeight="1" x14ac:dyDescent="0.2">
      <c r="A482" s="13">
        <v>476</v>
      </c>
      <c r="B482" s="40" t="s">
        <v>2039</v>
      </c>
      <c r="C482" s="40" t="s">
        <v>1998</v>
      </c>
      <c r="D482" s="41" t="s">
        <v>2037</v>
      </c>
      <c r="E482" s="41" t="s">
        <v>19</v>
      </c>
      <c r="F482" s="41" t="s">
        <v>481</v>
      </c>
      <c r="G482" s="41"/>
      <c r="H482" s="13" t="s">
        <v>7</v>
      </c>
      <c r="I482" s="13"/>
      <c r="J482" s="13"/>
      <c r="K482" s="13"/>
      <c r="L482" s="13"/>
      <c r="M482" s="13"/>
      <c r="N482" s="13"/>
      <c r="O482" s="40" t="s">
        <v>92</v>
      </c>
      <c r="P482" s="35" t="s">
        <v>117</v>
      </c>
      <c r="Q482" s="35" t="s">
        <v>334</v>
      </c>
      <c r="R482" s="41" t="s">
        <v>2040</v>
      </c>
      <c r="S482" s="41" t="s">
        <v>69</v>
      </c>
      <c r="T482" s="13" t="s">
        <v>70</v>
      </c>
      <c r="U482" s="35" t="s">
        <v>120</v>
      </c>
      <c r="V482" s="35" t="s">
        <v>559</v>
      </c>
      <c r="W482" s="41" t="s">
        <v>2041</v>
      </c>
      <c r="X482" s="41" t="s">
        <v>73</v>
      </c>
      <c r="Y482" s="41" t="s">
        <v>70</v>
      </c>
      <c r="Z482" s="13">
        <v>0</v>
      </c>
      <c r="AA482" s="13">
        <v>250</v>
      </c>
      <c r="AB482" s="15">
        <v>250</v>
      </c>
      <c r="AC482" s="15">
        <v>228</v>
      </c>
      <c r="AD482" s="16">
        <v>228</v>
      </c>
      <c r="AE482" s="40">
        <v>50</v>
      </c>
      <c r="AF482" s="40">
        <v>112</v>
      </c>
      <c r="AG482" s="40">
        <v>11</v>
      </c>
      <c r="AH482" s="13">
        <v>28</v>
      </c>
      <c r="AI482" s="40">
        <v>151</v>
      </c>
      <c r="AJ482" s="40">
        <v>9</v>
      </c>
      <c r="AK482" s="40"/>
      <c r="AL482" s="16"/>
      <c r="AM482" s="33" t="s">
        <v>158</v>
      </c>
      <c r="AN482" s="41" t="s">
        <v>2030</v>
      </c>
      <c r="AO482" s="41" t="s">
        <v>2042</v>
      </c>
      <c r="AP482" s="13">
        <v>8</v>
      </c>
      <c r="AQ482" s="40" t="s">
        <v>1718</v>
      </c>
      <c r="AR482" s="40" t="s">
        <v>231</v>
      </c>
      <c r="AS482" s="6"/>
      <c r="AT482" s="6"/>
      <c r="AU482" s="6"/>
      <c r="AV482" s="6"/>
      <c r="AW482" s="12" t="str">
        <f t="shared" si="15"/>
        <v/>
      </c>
      <c r="AX482" s="12" t="str">
        <f t="shared" si="16"/>
        <v/>
      </c>
      <c r="AY482" s="45"/>
    </row>
    <row r="483" spans="1:51" s="21" customFormat="1" ht="20.100000000000001" customHeight="1" x14ac:dyDescent="0.2">
      <c r="A483" s="20">
        <v>477</v>
      </c>
      <c r="B483" s="29" t="s">
        <v>2039</v>
      </c>
      <c r="C483" s="29" t="s">
        <v>1998</v>
      </c>
      <c r="D483" s="30" t="s">
        <v>1913</v>
      </c>
      <c r="E483" s="30" t="s">
        <v>20</v>
      </c>
      <c r="F483" s="30" t="s">
        <v>605</v>
      </c>
      <c r="G483" s="37" t="s">
        <v>1794</v>
      </c>
      <c r="H483" s="20" t="s">
        <v>83</v>
      </c>
      <c r="I483" s="20"/>
      <c r="J483" s="20"/>
      <c r="K483" s="20"/>
      <c r="L483" s="20"/>
      <c r="M483" s="20"/>
      <c r="N483" s="20"/>
      <c r="O483" s="29" t="s">
        <v>93</v>
      </c>
      <c r="P483" s="30"/>
      <c r="Q483" s="30" t="s">
        <v>104</v>
      </c>
      <c r="R483" s="30" t="s">
        <v>1914</v>
      </c>
      <c r="S483" s="30" t="s">
        <v>69</v>
      </c>
      <c r="T483" s="20" t="s">
        <v>70</v>
      </c>
      <c r="U483" s="30"/>
      <c r="V483" s="30" t="s">
        <v>402</v>
      </c>
      <c r="W483" s="30" t="s">
        <v>1915</v>
      </c>
      <c r="X483" s="30" t="s">
        <v>69</v>
      </c>
      <c r="Y483" s="30" t="s">
        <v>70</v>
      </c>
      <c r="Z483" s="20"/>
      <c r="AA483" s="20"/>
      <c r="AB483" s="20"/>
      <c r="AC483" s="20">
        <v>153</v>
      </c>
      <c r="AD483" s="29"/>
      <c r="AE483" s="29"/>
      <c r="AF483" s="29"/>
      <c r="AG483" s="29"/>
      <c r="AH483" s="20"/>
      <c r="AI483" s="29"/>
      <c r="AJ483" s="29"/>
      <c r="AK483" s="29"/>
      <c r="AL483" s="29"/>
      <c r="AM483" s="20"/>
      <c r="AN483" s="30"/>
      <c r="AO483" s="30"/>
      <c r="AP483" s="20"/>
      <c r="AQ483" s="29" t="s">
        <v>1721</v>
      </c>
      <c r="AR483" s="29"/>
      <c r="AS483" s="30" t="s">
        <v>115</v>
      </c>
      <c r="AT483" s="30" t="s">
        <v>260</v>
      </c>
      <c r="AU483" s="30" t="s">
        <v>115</v>
      </c>
      <c r="AV483" s="30" t="s">
        <v>116</v>
      </c>
      <c r="AW483" s="31">
        <f t="shared" si="15"/>
        <v>1</v>
      </c>
      <c r="AX483" s="31">
        <f t="shared" si="16"/>
        <v>1</v>
      </c>
      <c r="AY483" s="32" t="s">
        <v>2043</v>
      </c>
    </row>
    <row r="484" spans="1:51" ht="20.100000000000001" customHeight="1" x14ac:dyDescent="0.2">
      <c r="A484" s="13">
        <v>478</v>
      </c>
      <c r="B484" s="40" t="s">
        <v>2044</v>
      </c>
      <c r="C484" s="40" t="s">
        <v>1998</v>
      </c>
      <c r="D484" s="41" t="s">
        <v>2045</v>
      </c>
      <c r="E484" s="41" t="s">
        <v>6</v>
      </c>
      <c r="F484" s="41" t="s">
        <v>185</v>
      </c>
      <c r="G484" s="41"/>
      <c r="H484" s="13" t="s">
        <v>83</v>
      </c>
      <c r="I484" s="13"/>
      <c r="J484" s="13"/>
      <c r="K484" s="13"/>
      <c r="L484" s="13"/>
      <c r="M484" s="13"/>
      <c r="N484" s="13"/>
      <c r="O484" s="40" t="s">
        <v>92</v>
      </c>
      <c r="P484" s="41"/>
      <c r="Q484" s="41" t="s">
        <v>155</v>
      </c>
      <c r="R484" s="41" t="s">
        <v>2046</v>
      </c>
      <c r="S484" s="41" t="s">
        <v>119</v>
      </c>
      <c r="T484" s="13" t="s">
        <v>107</v>
      </c>
      <c r="U484" s="6"/>
      <c r="V484" s="6" t="s">
        <v>170</v>
      </c>
      <c r="W484" s="41" t="s">
        <v>2047</v>
      </c>
      <c r="X484" s="41" t="s">
        <v>119</v>
      </c>
      <c r="Y484" s="41" t="s">
        <v>107</v>
      </c>
      <c r="Z484" s="13" t="s">
        <v>2048</v>
      </c>
      <c r="AA484" s="13"/>
      <c r="AB484" s="15"/>
      <c r="AC484" s="15">
        <v>210</v>
      </c>
      <c r="AD484" s="16"/>
      <c r="AE484" s="40"/>
      <c r="AF484" s="40"/>
      <c r="AG484" s="40"/>
      <c r="AH484" s="13"/>
      <c r="AI484" s="40"/>
      <c r="AJ484" s="40"/>
      <c r="AK484" s="40"/>
      <c r="AL484" s="16"/>
      <c r="AM484" s="15"/>
      <c r="AN484" s="41"/>
      <c r="AO484" s="41"/>
      <c r="AP484" s="13"/>
      <c r="AQ484" s="40"/>
      <c r="AR484" s="40"/>
      <c r="AS484" s="6" t="s">
        <v>115</v>
      </c>
      <c r="AT484" s="6" t="s">
        <v>260</v>
      </c>
      <c r="AU484" s="6" t="s">
        <v>136</v>
      </c>
      <c r="AV484" s="6" t="s">
        <v>137</v>
      </c>
      <c r="AW484" s="12">
        <f t="shared" si="15"/>
        <v>18</v>
      </c>
      <c r="AX484" s="12" t="str">
        <f t="shared" si="16"/>
        <v/>
      </c>
      <c r="AY484" s="45"/>
    </row>
    <row r="485" spans="1:51" ht="20.100000000000001" customHeight="1" x14ac:dyDescent="0.2">
      <c r="A485" s="13">
        <v>479</v>
      </c>
      <c r="B485" s="40" t="s">
        <v>2049</v>
      </c>
      <c r="C485" s="40" t="s">
        <v>1998</v>
      </c>
      <c r="D485" s="41" t="s">
        <v>2050</v>
      </c>
      <c r="E485" s="41" t="s">
        <v>6</v>
      </c>
      <c r="F485" s="41" t="s">
        <v>186</v>
      </c>
      <c r="G485" s="41"/>
      <c r="H485" s="13" t="s">
        <v>83</v>
      </c>
      <c r="I485" s="13"/>
      <c r="J485" s="13"/>
      <c r="K485" s="13"/>
      <c r="L485" s="13"/>
      <c r="M485" s="13"/>
      <c r="N485" s="13"/>
      <c r="O485" s="40" t="s">
        <v>92</v>
      </c>
      <c r="P485" s="41"/>
      <c r="Q485" s="41" t="s">
        <v>155</v>
      </c>
      <c r="R485" s="41" t="s">
        <v>2051</v>
      </c>
      <c r="S485" s="41" t="s">
        <v>119</v>
      </c>
      <c r="T485" s="13" t="s">
        <v>107</v>
      </c>
      <c r="U485" s="6"/>
      <c r="V485" s="6" t="s">
        <v>167</v>
      </c>
      <c r="W485" s="41" t="s">
        <v>2052</v>
      </c>
      <c r="X485" s="41" t="s">
        <v>262</v>
      </c>
      <c r="Y485" s="41" t="s">
        <v>70</v>
      </c>
      <c r="Z485" s="13" t="s">
        <v>2053</v>
      </c>
      <c r="AA485" s="13"/>
      <c r="AB485" s="15"/>
      <c r="AC485" s="15">
        <v>234</v>
      </c>
      <c r="AD485" s="16"/>
      <c r="AE485" s="40"/>
      <c r="AF485" s="40"/>
      <c r="AG485" s="40"/>
      <c r="AH485" s="13"/>
      <c r="AI485" s="40"/>
      <c r="AJ485" s="40"/>
      <c r="AK485" s="40"/>
      <c r="AL485" s="16"/>
      <c r="AM485" s="15"/>
      <c r="AN485" s="41"/>
      <c r="AO485" s="41"/>
      <c r="AP485" s="13"/>
      <c r="AQ485" s="40"/>
      <c r="AR485" s="40"/>
      <c r="AS485" s="6" t="s">
        <v>115</v>
      </c>
      <c r="AT485" s="6" t="s">
        <v>260</v>
      </c>
      <c r="AU485" s="6" t="s">
        <v>547</v>
      </c>
      <c r="AV485" s="6" t="s">
        <v>235</v>
      </c>
      <c r="AW485" s="12">
        <f t="shared" si="15"/>
        <v>69</v>
      </c>
      <c r="AX485" s="12" t="str">
        <f t="shared" si="16"/>
        <v/>
      </c>
      <c r="AY485" s="45"/>
    </row>
    <row r="486" spans="1:51" ht="20.100000000000001" customHeight="1" x14ac:dyDescent="0.2">
      <c r="A486" s="13">
        <v>480</v>
      </c>
      <c r="B486" s="40" t="s">
        <v>2054</v>
      </c>
      <c r="C486" s="40" t="s">
        <v>1998</v>
      </c>
      <c r="D486" s="41" t="s">
        <v>2021</v>
      </c>
      <c r="E486" s="41" t="s">
        <v>6</v>
      </c>
      <c r="F486" s="41"/>
      <c r="G486" s="41"/>
      <c r="H486" s="13" t="s">
        <v>7</v>
      </c>
      <c r="I486" s="13"/>
      <c r="J486" s="13"/>
      <c r="K486" s="13"/>
      <c r="L486" s="13"/>
      <c r="M486" s="13"/>
      <c r="N486" s="13"/>
      <c r="O486" s="40" t="s">
        <v>92</v>
      </c>
      <c r="P486" s="35" t="s">
        <v>68</v>
      </c>
      <c r="Q486" s="35" t="s">
        <v>117</v>
      </c>
      <c r="R486" s="41" t="s">
        <v>2055</v>
      </c>
      <c r="S486" s="41" t="s">
        <v>69</v>
      </c>
      <c r="T486" s="13" t="s">
        <v>70</v>
      </c>
      <c r="U486" s="35" t="s">
        <v>332</v>
      </c>
      <c r="V486" s="35" t="s">
        <v>199</v>
      </c>
      <c r="W486" s="41" t="s">
        <v>2056</v>
      </c>
      <c r="X486" s="41" t="s">
        <v>73</v>
      </c>
      <c r="Y486" s="41" t="s">
        <v>107</v>
      </c>
      <c r="Z486" s="13">
        <v>0</v>
      </c>
      <c r="AA486" s="13">
        <v>196</v>
      </c>
      <c r="AB486" s="15">
        <v>196</v>
      </c>
      <c r="AC486" s="15">
        <v>186</v>
      </c>
      <c r="AD486" s="16">
        <v>186</v>
      </c>
      <c r="AE486" s="40">
        <v>112</v>
      </c>
      <c r="AF486" s="40">
        <v>122</v>
      </c>
      <c r="AG486" s="40">
        <v>4</v>
      </c>
      <c r="AH486" s="13">
        <v>39</v>
      </c>
      <c r="AI486" s="40">
        <v>165</v>
      </c>
      <c r="AJ486" s="40">
        <v>16</v>
      </c>
      <c r="AK486" s="40"/>
      <c r="AL486" s="16"/>
      <c r="AM486" s="33" t="s">
        <v>158</v>
      </c>
      <c r="AN486" s="41" t="s">
        <v>2057</v>
      </c>
      <c r="AO486" s="41" t="s">
        <v>2058</v>
      </c>
      <c r="AP486" s="13">
        <v>15</v>
      </c>
      <c r="AQ486" s="40" t="s">
        <v>1721</v>
      </c>
      <c r="AR486" s="40" t="s">
        <v>193</v>
      </c>
      <c r="AS486" s="6"/>
      <c r="AT486" s="6"/>
      <c r="AU486" s="6"/>
      <c r="AV486" s="6"/>
      <c r="AW486" s="12" t="str">
        <f t="shared" si="15"/>
        <v/>
      </c>
      <c r="AX486" s="12" t="str">
        <f t="shared" si="16"/>
        <v/>
      </c>
      <c r="AY486" s="45"/>
    </row>
    <row r="487" spans="1:51" ht="20.100000000000001" customHeight="1" x14ac:dyDescent="0.2">
      <c r="A487" s="13">
        <v>481</v>
      </c>
      <c r="B487" s="40" t="s">
        <v>2059</v>
      </c>
      <c r="C487" s="40" t="s">
        <v>1998</v>
      </c>
      <c r="D487" s="41" t="s">
        <v>1057</v>
      </c>
      <c r="E487" s="41" t="s">
        <v>8</v>
      </c>
      <c r="F487" s="41"/>
      <c r="G487" s="41"/>
      <c r="H487" s="13" t="s">
        <v>7</v>
      </c>
      <c r="I487" s="13"/>
      <c r="J487" s="13"/>
      <c r="K487" s="13"/>
      <c r="L487" s="13"/>
      <c r="M487" s="13"/>
      <c r="N487" s="13"/>
      <c r="O487" s="40" t="s">
        <v>93</v>
      </c>
      <c r="P487" s="41" t="s">
        <v>104</v>
      </c>
      <c r="Q487" s="41" t="s">
        <v>104</v>
      </c>
      <c r="R487" s="41" t="s">
        <v>1503</v>
      </c>
      <c r="S487" s="41" t="s">
        <v>106</v>
      </c>
      <c r="T487" s="13" t="s">
        <v>107</v>
      </c>
      <c r="U487" s="35" t="s">
        <v>256</v>
      </c>
      <c r="V487" s="35" t="s">
        <v>108</v>
      </c>
      <c r="W487" s="41" t="s">
        <v>2060</v>
      </c>
      <c r="X487" s="41" t="s">
        <v>106</v>
      </c>
      <c r="Y487" s="41" t="s">
        <v>107</v>
      </c>
      <c r="Z487" s="13">
        <v>0</v>
      </c>
      <c r="AA487" s="13">
        <v>187</v>
      </c>
      <c r="AB487" s="15">
        <v>187</v>
      </c>
      <c r="AC487" s="33">
        <v>156</v>
      </c>
      <c r="AD487" s="34">
        <v>168</v>
      </c>
      <c r="AE487" s="40"/>
      <c r="AF487" s="40"/>
      <c r="AG487" s="40">
        <v>10</v>
      </c>
      <c r="AH487" s="13">
        <v>68</v>
      </c>
      <c r="AI487" s="40">
        <v>136</v>
      </c>
      <c r="AJ487" s="40">
        <v>29</v>
      </c>
      <c r="AK487" s="40"/>
      <c r="AL487" s="16"/>
      <c r="AM487" s="33" t="s">
        <v>158</v>
      </c>
      <c r="AN487" s="41" t="s">
        <v>2054</v>
      </c>
      <c r="AO487" s="41" t="s">
        <v>279</v>
      </c>
      <c r="AP487" s="13">
        <v>29</v>
      </c>
      <c r="AQ487" s="40" t="s">
        <v>1718</v>
      </c>
      <c r="AR487" s="40" t="s">
        <v>112</v>
      </c>
      <c r="AS487" s="6"/>
      <c r="AT487" s="6"/>
      <c r="AU487" s="6"/>
      <c r="AV487" s="6"/>
      <c r="AW487" s="12" t="str">
        <f t="shared" si="15"/>
        <v/>
      </c>
      <c r="AX487" s="12" t="str">
        <f t="shared" si="16"/>
        <v/>
      </c>
      <c r="AY487" s="45"/>
    </row>
    <row r="488" spans="1:51" ht="20.100000000000001" customHeight="1" x14ac:dyDescent="0.2">
      <c r="A488" s="13">
        <v>482</v>
      </c>
      <c r="B488" s="40" t="s">
        <v>2059</v>
      </c>
      <c r="C488" s="40" t="s">
        <v>1998</v>
      </c>
      <c r="D488" s="41" t="s">
        <v>87</v>
      </c>
      <c r="E488" s="41" t="s">
        <v>6</v>
      </c>
      <c r="F488" s="41" t="s">
        <v>185</v>
      </c>
      <c r="G488" s="41"/>
      <c r="H488" s="13" t="s">
        <v>83</v>
      </c>
      <c r="I488" s="13"/>
      <c r="J488" s="13"/>
      <c r="K488" s="13"/>
      <c r="L488" s="13"/>
      <c r="M488" s="13"/>
      <c r="N488" s="13"/>
      <c r="O488" s="40" t="s">
        <v>92</v>
      </c>
      <c r="P488" s="41"/>
      <c r="Q488" s="41" t="s">
        <v>155</v>
      </c>
      <c r="R488" s="41" t="s">
        <v>2061</v>
      </c>
      <c r="S488" s="41" t="s">
        <v>142</v>
      </c>
      <c r="T488" s="13" t="s">
        <v>70</v>
      </c>
      <c r="U488" s="6"/>
      <c r="V488" s="6" t="s">
        <v>167</v>
      </c>
      <c r="W488" s="41" t="s">
        <v>2062</v>
      </c>
      <c r="X488" s="41" t="s">
        <v>142</v>
      </c>
      <c r="Y488" s="41" t="s">
        <v>70</v>
      </c>
      <c r="Z488" s="13" t="s">
        <v>2063</v>
      </c>
      <c r="AA488" s="13"/>
      <c r="AB488" s="15"/>
      <c r="AC488" s="15">
        <v>225</v>
      </c>
      <c r="AD488" s="16"/>
      <c r="AE488" s="40"/>
      <c r="AF488" s="40"/>
      <c r="AG488" s="40"/>
      <c r="AH488" s="13"/>
      <c r="AI488" s="40"/>
      <c r="AJ488" s="40"/>
      <c r="AK488" s="40"/>
      <c r="AL488" s="16"/>
      <c r="AM488" s="15"/>
      <c r="AN488" s="41"/>
      <c r="AO488" s="41"/>
      <c r="AP488" s="13"/>
      <c r="AQ488" s="40" t="s">
        <v>1721</v>
      </c>
      <c r="AR488" s="40" t="s">
        <v>165</v>
      </c>
      <c r="AS488" s="6" t="s">
        <v>115</v>
      </c>
      <c r="AT488" s="6" t="s">
        <v>260</v>
      </c>
      <c r="AU488" s="6" t="s">
        <v>348</v>
      </c>
      <c r="AV488" s="6" t="s">
        <v>1247</v>
      </c>
      <c r="AW488" s="12">
        <f t="shared" si="15"/>
        <v>43</v>
      </c>
      <c r="AX488" s="12" t="str">
        <f t="shared" si="16"/>
        <v/>
      </c>
      <c r="AY488" s="45"/>
    </row>
    <row r="489" spans="1:51" ht="20.100000000000001" customHeight="1" x14ac:dyDescent="0.2">
      <c r="A489" s="13">
        <v>483</v>
      </c>
      <c r="B489" s="40" t="s">
        <v>2059</v>
      </c>
      <c r="C489" s="40" t="s">
        <v>1998</v>
      </c>
      <c r="D489" s="41" t="s">
        <v>2064</v>
      </c>
      <c r="E489" s="41" t="s">
        <v>6</v>
      </c>
      <c r="F489" s="41" t="s">
        <v>185</v>
      </c>
      <c r="G489" s="41"/>
      <c r="H489" s="13" t="s">
        <v>83</v>
      </c>
      <c r="I489" s="13"/>
      <c r="J489" s="13"/>
      <c r="K489" s="13"/>
      <c r="L489" s="13"/>
      <c r="M489" s="13"/>
      <c r="N489" s="13"/>
      <c r="O489" s="40" t="s">
        <v>84</v>
      </c>
      <c r="P489" s="41"/>
      <c r="Q489" s="41" t="s">
        <v>155</v>
      </c>
      <c r="R489" s="41" t="s">
        <v>2065</v>
      </c>
      <c r="S489" s="41" t="s">
        <v>69</v>
      </c>
      <c r="T489" s="13" t="s">
        <v>70</v>
      </c>
      <c r="U489" s="6"/>
      <c r="V489" s="6" t="s">
        <v>167</v>
      </c>
      <c r="W489" s="41" t="s">
        <v>2066</v>
      </c>
      <c r="X489" s="41" t="s">
        <v>69</v>
      </c>
      <c r="Y489" s="41" t="s">
        <v>70</v>
      </c>
      <c r="Z489" s="13" t="s">
        <v>2067</v>
      </c>
      <c r="AA489" s="13"/>
      <c r="AB489" s="15"/>
      <c r="AC489" s="15">
        <v>210</v>
      </c>
      <c r="AD489" s="16"/>
      <c r="AE489" s="40"/>
      <c r="AF489" s="40"/>
      <c r="AG489" s="40"/>
      <c r="AH489" s="13"/>
      <c r="AI489" s="40"/>
      <c r="AJ489" s="40"/>
      <c r="AK489" s="40"/>
      <c r="AL489" s="16"/>
      <c r="AM489" s="15"/>
      <c r="AN489" s="41"/>
      <c r="AO489" s="41"/>
      <c r="AP489" s="13"/>
      <c r="AQ489" s="40" t="s">
        <v>1721</v>
      </c>
      <c r="AR489" s="40" t="s">
        <v>193</v>
      </c>
      <c r="AS489" s="6" t="s">
        <v>115</v>
      </c>
      <c r="AT489" s="6" t="s">
        <v>260</v>
      </c>
      <c r="AU489" s="6" t="s">
        <v>259</v>
      </c>
      <c r="AV489" s="6" t="s">
        <v>260</v>
      </c>
      <c r="AW489" s="12">
        <f t="shared" si="15"/>
        <v>84</v>
      </c>
      <c r="AX489" s="12" t="str">
        <f t="shared" si="16"/>
        <v/>
      </c>
      <c r="AY489" s="45"/>
    </row>
    <row r="490" spans="1:51" ht="20.100000000000001" customHeight="1" x14ac:dyDescent="0.2">
      <c r="A490" s="13">
        <v>484</v>
      </c>
      <c r="B490" s="40" t="s">
        <v>2068</v>
      </c>
      <c r="C490" s="40" t="s">
        <v>1998</v>
      </c>
      <c r="D490" s="41" t="s">
        <v>2064</v>
      </c>
      <c r="E490" s="41" t="s">
        <v>6</v>
      </c>
      <c r="F490" s="41"/>
      <c r="G490" s="41"/>
      <c r="H490" s="13" t="s">
        <v>7</v>
      </c>
      <c r="I490" s="13"/>
      <c r="J490" s="13"/>
      <c r="K490" s="13"/>
      <c r="L490" s="13"/>
      <c r="M490" s="13"/>
      <c r="N490" s="13"/>
      <c r="O490" s="40" t="s">
        <v>84</v>
      </c>
      <c r="P490" s="41" t="s">
        <v>155</v>
      </c>
      <c r="Q490" s="41" t="s">
        <v>155</v>
      </c>
      <c r="R490" s="41" t="s">
        <v>2069</v>
      </c>
      <c r="S490" s="41" t="s">
        <v>106</v>
      </c>
      <c r="T490" s="13" t="s">
        <v>107</v>
      </c>
      <c r="U490" s="6" t="s">
        <v>167</v>
      </c>
      <c r="V490" s="6" t="s">
        <v>167</v>
      </c>
      <c r="W490" s="41" t="s">
        <v>2070</v>
      </c>
      <c r="X490" s="41" t="s">
        <v>106</v>
      </c>
      <c r="Y490" s="41" t="s">
        <v>107</v>
      </c>
      <c r="Z490" s="13">
        <v>0</v>
      </c>
      <c r="AA490" s="13">
        <v>227</v>
      </c>
      <c r="AB490" s="15">
        <v>227</v>
      </c>
      <c r="AC490" s="15">
        <v>210</v>
      </c>
      <c r="AD490" s="16">
        <v>210</v>
      </c>
      <c r="AE490" s="40">
        <v>145</v>
      </c>
      <c r="AF490" s="40">
        <v>162</v>
      </c>
      <c r="AG490" s="40">
        <v>10</v>
      </c>
      <c r="AH490" s="13">
        <v>24</v>
      </c>
      <c r="AI490" s="40">
        <v>196</v>
      </c>
      <c r="AJ490" s="40">
        <v>25</v>
      </c>
      <c r="AK490" s="40"/>
      <c r="AL490" s="16"/>
      <c r="AM490" s="15"/>
      <c r="AN490" s="41" t="s">
        <v>2071</v>
      </c>
      <c r="AO490" s="41" t="s">
        <v>1835</v>
      </c>
      <c r="AP490" s="13">
        <v>25</v>
      </c>
      <c r="AQ490" s="40" t="s">
        <v>1721</v>
      </c>
      <c r="AR490" s="40" t="s">
        <v>193</v>
      </c>
      <c r="AS490" s="6"/>
      <c r="AT490" s="6"/>
      <c r="AU490" s="6"/>
      <c r="AV490" s="6"/>
      <c r="AW490" s="12" t="str">
        <f t="shared" si="15"/>
        <v/>
      </c>
      <c r="AX490" s="12" t="str">
        <f t="shared" si="16"/>
        <v/>
      </c>
      <c r="AY490" s="45"/>
    </row>
    <row r="491" spans="1:51" ht="20.100000000000001" customHeight="1" x14ac:dyDescent="0.2">
      <c r="A491" s="13">
        <v>485</v>
      </c>
      <c r="B491" s="40" t="s">
        <v>2068</v>
      </c>
      <c r="C491" s="40" t="s">
        <v>1998</v>
      </c>
      <c r="D491" s="41" t="s">
        <v>2072</v>
      </c>
      <c r="E491" s="41" t="s">
        <v>6</v>
      </c>
      <c r="F491" s="41" t="s">
        <v>185</v>
      </c>
      <c r="G491" s="41"/>
      <c r="H491" s="13" t="s">
        <v>83</v>
      </c>
      <c r="I491" s="13"/>
      <c r="J491" s="13"/>
      <c r="K491" s="13"/>
      <c r="L491" s="13"/>
      <c r="M491" s="13"/>
      <c r="N491" s="13"/>
      <c r="O491" s="40" t="s">
        <v>92</v>
      </c>
      <c r="P491" s="41"/>
      <c r="Q491" s="41" t="s">
        <v>218</v>
      </c>
      <c r="R491" s="41" t="s">
        <v>2073</v>
      </c>
      <c r="S491" s="41" t="s">
        <v>119</v>
      </c>
      <c r="T491" s="13" t="s">
        <v>107</v>
      </c>
      <c r="U491" s="6"/>
      <c r="V491" s="6" t="s">
        <v>899</v>
      </c>
      <c r="W491" s="41" t="s">
        <v>2074</v>
      </c>
      <c r="X491" s="41" t="s">
        <v>145</v>
      </c>
      <c r="Y491" s="41" t="s">
        <v>107</v>
      </c>
      <c r="Z491" s="13" t="s">
        <v>2075</v>
      </c>
      <c r="AA491" s="13"/>
      <c r="AB491" s="15"/>
      <c r="AC491" s="15">
        <v>198</v>
      </c>
      <c r="AD491" s="16"/>
      <c r="AE491" s="40"/>
      <c r="AF491" s="40"/>
      <c r="AG491" s="40"/>
      <c r="AH491" s="13"/>
      <c r="AI491" s="40"/>
      <c r="AJ491" s="40"/>
      <c r="AK491" s="40"/>
      <c r="AL491" s="16"/>
      <c r="AM491" s="15"/>
      <c r="AN491" s="41"/>
      <c r="AO491" s="41"/>
      <c r="AP491" s="13"/>
      <c r="AQ491" s="40" t="s">
        <v>1721</v>
      </c>
      <c r="AR491" s="40" t="s">
        <v>165</v>
      </c>
      <c r="AS491" s="6" t="s">
        <v>115</v>
      </c>
      <c r="AT491" s="6" t="s">
        <v>260</v>
      </c>
      <c r="AU491" s="6" t="s">
        <v>136</v>
      </c>
      <c r="AV491" s="6" t="s">
        <v>114</v>
      </c>
      <c r="AW491" s="12">
        <f t="shared" si="15"/>
        <v>23</v>
      </c>
      <c r="AX491" s="12" t="str">
        <f t="shared" si="16"/>
        <v/>
      </c>
      <c r="AY491" s="45"/>
    </row>
    <row r="492" spans="1:51" s="21" customFormat="1" ht="20.100000000000001" customHeight="1" x14ac:dyDescent="0.2">
      <c r="A492" s="20">
        <v>486</v>
      </c>
      <c r="B492" s="29" t="s">
        <v>2068</v>
      </c>
      <c r="C492" s="29" t="s">
        <v>1998</v>
      </c>
      <c r="D492" s="30" t="s">
        <v>290</v>
      </c>
      <c r="E492" s="30" t="s">
        <v>20</v>
      </c>
      <c r="F492" s="30" t="s">
        <v>174</v>
      </c>
      <c r="G492" s="37" t="s">
        <v>1794</v>
      </c>
      <c r="H492" s="20" t="s">
        <v>83</v>
      </c>
      <c r="I492" s="20"/>
      <c r="J492" s="20"/>
      <c r="K492" s="20"/>
      <c r="L492" s="20"/>
      <c r="M492" s="20"/>
      <c r="N492" s="20"/>
      <c r="O492" s="29" t="s">
        <v>93</v>
      </c>
      <c r="P492" s="30"/>
      <c r="Q492" s="30" t="s">
        <v>117</v>
      </c>
      <c r="R492" s="30" t="s">
        <v>752</v>
      </c>
      <c r="S492" s="30" t="s">
        <v>106</v>
      </c>
      <c r="T492" s="20" t="s">
        <v>107</v>
      </c>
      <c r="U492" s="30"/>
      <c r="V492" s="30" t="s">
        <v>204</v>
      </c>
      <c r="W492" s="30" t="s">
        <v>607</v>
      </c>
      <c r="X492" s="30" t="s">
        <v>369</v>
      </c>
      <c r="Y492" s="30" t="s">
        <v>369</v>
      </c>
      <c r="Z492" s="20" t="s">
        <v>2076</v>
      </c>
      <c r="AA492" s="20"/>
      <c r="AB492" s="20"/>
      <c r="AC492" s="20">
        <v>126</v>
      </c>
      <c r="AD492" s="29"/>
      <c r="AE492" s="29"/>
      <c r="AF492" s="29"/>
      <c r="AG492" s="29"/>
      <c r="AH492" s="20"/>
      <c r="AI492" s="29"/>
      <c r="AJ492" s="29"/>
      <c r="AK492" s="29"/>
      <c r="AL492" s="29"/>
      <c r="AM492" s="20"/>
      <c r="AN492" s="30"/>
      <c r="AO492" s="30"/>
      <c r="AP492" s="20"/>
      <c r="AQ492" s="29"/>
      <c r="AR492" s="29"/>
      <c r="AS492" s="30" t="s">
        <v>115</v>
      </c>
      <c r="AT492" s="30" t="s">
        <v>260</v>
      </c>
      <c r="AU492" s="30" t="s">
        <v>115</v>
      </c>
      <c r="AV492" s="30" t="s">
        <v>235</v>
      </c>
      <c r="AW492" s="31">
        <f t="shared" si="15"/>
        <v>9</v>
      </c>
      <c r="AX492" s="31">
        <f t="shared" si="16"/>
        <v>9</v>
      </c>
      <c r="AY492" s="32" t="s">
        <v>2077</v>
      </c>
    </row>
    <row r="493" spans="1:51" ht="20.100000000000001" customHeight="1" x14ac:dyDescent="0.2">
      <c r="A493" s="13">
        <v>487</v>
      </c>
      <c r="B493" s="40" t="s">
        <v>2078</v>
      </c>
      <c r="C493" s="40" t="s">
        <v>1998</v>
      </c>
      <c r="D493" s="41" t="s">
        <v>1999</v>
      </c>
      <c r="E493" s="41" t="s">
        <v>10</v>
      </c>
      <c r="F493" s="41"/>
      <c r="G493" s="41"/>
      <c r="H493" s="13" t="s">
        <v>7</v>
      </c>
      <c r="I493" s="13"/>
      <c r="J493" s="13"/>
      <c r="K493" s="13"/>
      <c r="L493" s="13"/>
      <c r="M493" s="13"/>
      <c r="N493" s="13"/>
      <c r="O493" s="40" t="s">
        <v>92</v>
      </c>
      <c r="P493" s="35" t="s">
        <v>104</v>
      </c>
      <c r="Q493" s="35" t="s">
        <v>117</v>
      </c>
      <c r="R493" s="41" t="s">
        <v>2079</v>
      </c>
      <c r="S493" s="41" t="s">
        <v>106</v>
      </c>
      <c r="T493" s="13" t="s">
        <v>107</v>
      </c>
      <c r="U493" s="35" t="s">
        <v>361</v>
      </c>
      <c r="V493" s="35" t="s">
        <v>199</v>
      </c>
      <c r="W493" s="41" t="s">
        <v>2080</v>
      </c>
      <c r="X493" s="41" t="s">
        <v>106</v>
      </c>
      <c r="Y493" s="41" t="s">
        <v>107</v>
      </c>
      <c r="Z493" s="13">
        <v>0</v>
      </c>
      <c r="AA493" s="13">
        <v>209</v>
      </c>
      <c r="AB493" s="15">
        <v>209</v>
      </c>
      <c r="AC493" s="15">
        <v>192</v>
      </c>
      <c r="AD493" s="16">
        <v>192</v>
      </c>
      <c r="AE493" s="40">
        <v>135</v>
      </c>
      <c r="AF493" s="40">
        <v>150</v>
      </c>
      <c r="AG493" s="40">
        <v>4</v>
      </c>
      <c r="AH493" s="13">
        <v>10</v>
      </c>
      <c r="AI493" s="40">
        <v>164</v>
      </c>
      <c r="AJ493" s="40">
        <v>17</v>
      </c>
      <c r="AK493" s="40"/>
      <c r="AL493" s="16"/>
      <c r="AM493" s="33" t="s">
        <v>158</v>
      </c>
      <c r="AN493" s="41" t="s">
        <v>2081</v>
      </c>
      <c r="AO493" s="41" t="s">
        <v>2082</v>
      </c>
      <c r="AP493" s="13">
        <v>15</v>
      </c>
      <c r="AQ493" s="40" t="s">
        <v>1721</v>
      </c>
      <c r="AR493" s="40" t="s">
        <v>193</v>
      </c>
      <c r="AS493" s="6"/>
      <c r="AT493" s="6"/>
      <c r="AU493" s="6"/>
      <c r="AV493" s="6"/>
      <c r="AW493" s="12" t="str">
        <f t="shared" si="15"/>
        <v/>
      </c>
      <c r="AX493" s="12" t="str">
        <f t="shared" si="16"/>
        <v/>
      </c>
      <c r="AY493" s="45"/>
    </row>
    <row r="494" spans="1:51" s="21" customFormat="1" ht="20.100000000000001" customHeight="1" x14ac:dyDescent="0.2">
      <c r="A494" s="20">
        <v>488</v>
      </c>
      <c r="B494" s="29" t="s">
        <v>2078</v>
      </c>
      <c r="C494" s="29" t="s">
        <v>1998</v>
      </c>
      <c r="D494" s="30" t="s">
        <v>739</v>
      </c>
      <c r="E494" s="30" t="s">
        <v>10</v>
      </c>
      <c r="F494" s="30" t="s">
        <v>1642</v>
      </c>
      <c r="G494" s="30"/>
      <c r="H494" s="20" t="s">
        <v>83</v>
      </c>
      <c r="I494" s="20"/>
      <c r="J494" s="20"/>
      <c r="K494" s="20"/>
      <c r="L494" s="20"/>
      <c r="M494" s="20"/>
      <c r="N494" s="20"/>
      <c r="O494" s="29" t="s">
        <v>93</v>
      </c>
      <c r="P494" s="30"/>
      <c r="Q494" s="30" t="s">
        <v>104</v>
      </c>
      <c r="R494" s="30" t="s">
        <v>2083</v>
      </c>
      <c r="S494" s="30" t="s">
        <v>106</v>
      </c>
      <c r="T494" s="20" t="s">
        <v>107</v>
      </c>
      <c r="U494" s="30"/>
      <c r="V494" s="30" t="s">
        <v>361</v>
      </c>
      <c r="W494" s="30" t="s">
        <v>2084</v>
      </c>
      <c r="X494" s="30" t="s">
        <v>106</v>
      </c>
      <c r="Y494" s="30" t="s">
        <v>107</v>
      </c>
      <c r="Z494" s="20" t="s">
        <v>2085</v>
      </c>
      <c r="AA494" s="20"/>
      <c r="AB494" s="20"/>
      <c r="AC494" s="20">
        <v>186</v>
      </c>
      <c r="AD494" s="29"/>
      <c r="AE494" s="29"/>
      <c r="AF494" s="29"/>
      <c r="AG494" s="29"/>
      <c r="AH494" s="20"/>
      <c r="AI494" s="29"/>
      <c r="AJ494" s="29"/>
      <c r="AK494" s="29"/>
      <c r="AL494" s="29"/>
      <c r="AM494" s="20"/>
      <c r="AN494" s="30"/>
      <c r="AO494" s="30"/>
      <c r="AP494" s="20"/>
      <c r="AQ494" s="29"/>
      <c r="AR494" s="29"/>
      <c r="AS494" s="30" t="s">
        <v>115</v>
      </c>
      <c r="AT494" s="30" t="s">
        <v>260</v>
      </c>
      <c r="AU494" s="30" t="s">
        <v>115</v>
      </c>
      <c r="AV494" s="30" t="s">
        <v>124</v>
      </c>
      <c r="AW494" s="31">
        <f t="shared" si="15"/>
        <v>8</v>
      </c>
      <c r="AX494" s="31">
        <f t="shared" si="16"/>
        <v>8</v>
      </c>
      <c r="AY494" s="32"/>
    </row>
    <row r="495" spans="1:51" ht="20.100000000000001" customHeight="1" x14ac:dyDescent="0.2">
      <c r="A495" s="13">
        <v>489</v>
      </c>
      <c r="B495" s="40" t="s">
        <v>2086</v>
      </c>
      <c r="C495" s="40" t="s">
        <v>1998</v>
      </c>
      <c r="D495" s="41" t="s">
        <v>2087</v>
      </c>
      <c r="E495" s="41" t="s">
        <v>20</v>
      </c>
      <c r="F495" s="41" t="s">
        <v>185</v>
      </c>
      <c r="G495" s="41"/>
      <c r="H495" s="13" t="s">
        <v>83</v>
      </c>
      <c r="I495" s="13"/>
      <c r="J495" s="13"/>
      <c r="K495" s="13"/>
      <c r="L495" s="13"/>
      <c r="M495" s="13"/>
      <c r="N495" s="13"/>
      <c r="O495" s="40" t="s">
        <v>84</v>
      </c>
      <c r="P495" s="41"/>
      <c r="Q495" s="41" t="s">
        <v>117</v>
      </c>
      <c r="R495" s="41" t="s">
        <v>304</v>
      </c>
      <c r="S495" s="41" t="s">
        <v>142</v>
      </c>
      <c r="T495" s="13" t="s">
        <v>70</v>
      </c>
      <c r="U495" s="6"/>
      <c r="V495" s="6" t="s">
        <v>470</v>
      </c>
      <c r="W495" s="41" t="s">
        <v>2088</v>
      </c>
      <c r="X495" s="41" t="s">
        <v>119</v>
      </c>
      <c r="Y495" s="41" t="s">
        <v>107</v>
      </c>
      <c r="Z495" s="13" t="s">
        <v>2089</v>
      </c>
      <c r="AA495" s="13"/>
      <c r="AB495" s="15"/>
      <c r="AC495" s="15">
        <v>132</v>
      </c>
      <c r="AD495" s="16"/>
      <c r="AE495" s="40"/>
      <c r="AF495" s="40"/>
      <c r="AG495" s="40"/>
      <c r="AH495" s="13"/>
      <c r="AI495" s="40"/>
      <c r="AJ495" s="40"/>
      <c r="AK495" s="40"/>
      <c r="AL495" s="16"/>
      <c r="AM495" s="15"/>
      <c r="AN495" s="41"/>
      <c r="AO495" s="41"/>
      <c r="AP495" s="13"/>
      <c r="AQ495" s="40" t="s">
        <v>1718</v>
      </c>
      <c r="AR495" s="40"/>
      <c r="AS495" s="6" t="s">
        <v>115</v>
      </c>
      <c r="AT495" s="6" t="s">
        <v>260</v>
      </c>
      <c r="AU495" s="6" t="s">
        <v>208</v>
      </c>
      <c r="AV495" s="6" t="s">
        <v>441</v>
      </c>
      <c r="AW495" s="12">
        <f t="shared" si="15"/>
        <v>26</v>
      </c>
      <c r="AX495" s="12" t="str">
        <f t="shared" si="16"/>
        <v/>
      </c>
      <c r="AY495" s="45"/>
    </row>
    <row r="496" spans="1:51" s="21" customFormat="1" ht="47.25" x14ac:dyDescent="0.2">
      <c r="A496" s="20">
        <v>490</v>
      </c>
      <c r="B496" s="29" t="s">
        <v>2086</v>
      </c>
      <c r="C496" s="29" t="s">
        <v>1998</v>
      </c>
      <c r="D496" s="30" t="s">
        <v>285</v>
      </c>
      <c r="E496" s="30" t="s">
        <v>9</v>
      </c>
      <c r="F496" s="30" t="s">
        <v>605</v>
      </c>
      <c r="G496" s="37" t="s">
        <v>1794</v>
      </c>
      <c r="H496" s="20" t="s">
        <v>83</v>
      </c>
      <c r="I496" s="20"/>
      <c r="J496" s="20"/>
      <c r="K496" s="20"/>
      <c r="L496" s="20"/>
      <c r="M496" s="20"/>
      <c r="N496" s="20"/>
      <c r="O496" s="29" t="s">
        <v>84</v>
      </c>
      <c r="P496" s="30"/>
      <c r="Q496" s="30" t="s">
        <v>117</v>
      </c>
      <c r="R496" s="30" t="s">
        <v>1975</v>
      </c>
      <c r="S496" s="30" t="s">
        <v>106</v>
      </c>
      <c r="T496" s="20" t="s">
        <v>107</v>
      </c>
      <c r="U496" s="30"/>
      <c r="V496" s="30" t="s">
        <v>306</v>
      </c>
      <c r="W496" s="30" t="s">
        <v>1976</v>
      </c>
      <c r="X496" s="30" t="s">
        <v>106</v>
      </c>
      <c r="Y496" s="30" t="s">
        <v>107</v>
      </c>
      <c r="Z496" s="20" t="s">
        <v>2090</v>
      </c>
      <c r="AA496" s="20"/>
      <c r="AB496" s="20"/>
      <c r="AC496" s="20">
        <v>216</v>
      </c>
      <c r="AD496" s="29"/>
      <c r="AE496" s="29"/>
      <c r="AF496" s="29"/>
      <c r="AG496" s="29"/>
      <c r="AH496" s="20"/>
      <c r="AI496" s="29"/>
      <c r="AJ496" s="29"/>
      <c r="AK496" s="29"/>
      <c r="AL496" s="29"/>
      <c r="AM496" s="20"/>
      <c r="AN496" s="30"/>
      <c r="AO496" s="30"/>
      <c r="AP496" s="20"/>
      <c r="AQ496" s="29"/>
      <c r="AR496" s="29"/>
      <c r="AS496" s="30" t="s">
        <v>115</v>
      </c>
      <c r="AT496" s="30" t="s">
        <v>260</v>
      </c>
      <c r="AU496" s="30" t="s">
        <v>115</v>
      </c>
      <c r="AV496" s="30" t="s">
        <v>116</v>
      </c>
      <c r="AW496" s="31">
        <f t="shared" si="15"/>
        <v>1</v>
      </c>
      <c r="AX496" s="31">
        <f t="shared" si="16"/>
        <v>1</v>
      </c>
      <c r="AY496" s="32" t="s">
        <v>2091</v>
      </c>
    </row>
    <row r="497" spans="1:51" ht="20.100000000000001" customHeight="1" x14ac:dyDescent="0.2">
      <c r="A497" s="13">
        <v>491</v>
      </c>
      <c r="B497" s="40" t="s">
        <v>2086</v>
      </c>
      <c r="C497" s="40" t="s">
        <v>1998</v>
      </c>
      <c r="D497" s="41" t="s">
        <v>2072</v>
      </c>
      <c r="E497" s="41" t="s">
        <v>6</v>
      </c>
      <c r="F497" s="41"/>
      <c r="G497" s="41"/>
      <c r="H497" s="13" t="s">
        <v>7</v>
      </c>
      <c r="I497" s="13"/>
      <c r="J497" s="13"/>
      <c r="K497" s="13"/>
      <c r="L497" s="13"/>
      <c r="M497" s="13"/>
      <c r="N497" s="13"/>
      <c r="O497" s="40" t="s">
        <v>92</v>
      </c>
      <c r="P497" s="35">
        <v>92</v>
      </c>
      <c r="Q497" s="35">
        <v>62</v>
      </c>
      <c r="R497" s="41">
        <v>3454</v>
      </c>
      <c r="S497" s="41" t="s">
        <v>106</v>
      </c>
      <c r="T497" s="13" t="s">
        <v>107</v>
      </c>
      <c r="U497" s="35" t="s">
        <v>899</v>
      </c>
      <c r="V497" s="35" t="s">
        <v>263</v>
      </c>
      <c r="W497" s="41" t="s">
        <v>2092</v>
      </c>
      <c r="X497" s="41" t="s">
        <v>106</v>
      </c>
      <c r="Y497" s="41" t="s">
        <v>107</v>
      </c>
      <c r="Z497" s="13">
        <v>0</v>
      </c>
      <c r="AA497" s="13">
        <v>205</v>
      </c>
      <c r="AB497" s="15">
        <v>205</v>
      </c>
      <c r="AC497" s="33">
        <v>198</v>
      </c>
      <c r="AD497" s="34">
        <v>192</v>
      </c>
      <c r="AE497" s="40">
        <v>141</v>
      </c>
      <c r="AF497" s="40">
        <v>155</v>
      </c>
      <c r="AG497" s="40">
        <v>7</v>
      </c>
      <c r="AH497" s="13">
        <v>49</v>
      </c>
      <c r="AI497" s="40">
        <v>211</v>
      </c>
      <c r="AJ497" s="40">
        <v>19</v>
      </c>
      <c r="AK497" s="40"/>
      <c r="AL497" s="16"/>
      <c r="AM497" s="33" t="s">
        <v>158</v>
      </c>
      <c r="AN497" s="41" t="s">
        <v>2093</v>
      </c>
      <c r="AO497" s="41" t="s">
        <v>1771</v>
      </c>
      <c r="AP497" s="13">
        <v>17</v>
      </c>
      <c r="AQ497" s="40" t="s">
        <v>1721</v>
      </c>
      <c r="AR497" s="40" t="s">
        <v>165</v>
      </c>
      <c r="AS497" s="6"/>
      <c r="AT497" s="6"/>
      <c r="AU497" s="6"/>
      <c r="AV497" s="6"/>
      <c r="AW497" s="12" t="str">
        <f t="shared" si="15"/>
        <v/>
      </c>
      <c r="AX497" s="12" t="str">
        <f t="shared" si="16"/>
        <v/>
      </c>
      <c r="AY497" s="45"/>
    </row>
    <row r="498" spans="1:51" ht="20.100000000000001" customHeight="1" x14ac:dyDescent="0.2">
      <c r="A498" s="13">
        <v>492</v>
      </c>
      <c r="B498" s="40" t="s">
        <v>2094</v>
      </c>
      <c r="C498" s="40" t="s">
        <v>1998</v>
      </c>
      <c r="D498" s="41" t="s">
        <v>739</v>
      </c>
      <c r="E498" s="41" t="s">
        <v>10</v>
      </c>
      <c r="F498" s="41"/>
      <c r="G498" s="41"/>
      <c r="H498" s="13" t="s">
        <v>7</v>
      </c>
      <c r="I498" s="13"/>
      <c r="J498" s="13"/>
      <c r="K498" s="13"/>
      <c r="L498" s="13"/>
      <c r="M498" s="13"/>
      <c r="N498" s="13"/>
      <c r="O498" s="40" t="s">
        <v>84</v>
      </c>
      <c r="P498" s="41" t="s">
        <v>104</v>
      </c>
      <c r="Q498" s="41" t="s">
        <v>104</v>
      </c>
      <c r="R498" s="41" t="s">
        <v>2095</v>
      </c>
      <c r="S498" s="41" t="s">
        <v>69</v>
      </c>
      <c r="T498" s="13" t="s">
        <v>70</v>
      </c>
      <c r="U498" s="35" t="s">
        <v>361</v>
      </c>
      <c r="V498" s="35" t="s">
        <v>1727</v>
      </c>
      <c r="W498" s="41" t="s">
        <v>2096</v>
      </c>
      <c r="X498" s="41" t="s">
        <v>106</v>
      </c>
      <c r="Y498" s="41" t="s">
        <v>107</v>
      </c>
      <c r="Z498" s="13">
        <v>0</v>
      </c>
      <c r="AA498" s="13">
        <v>200</v>
      </c>
      <c r="AB498" s="15">
        <v>200</v>
      </c>
      <c r="AC498" s="15">
        <v>186</v>
      </c>
      <c r="AD498" s="16">
        <v>186</v>
      </c>
      <c r="AE498" s="40">
        <v>150</v>
      </c>
      <c r="AF498" s="40">
        <v>173</v>
      </c>
      <c r="AG498" s="40">
        <v>4</v>
      </c>
      <c r="AH498" s="13">
        <v>20</v>
      </c>
      <c r="AI498" s="40">
        <v>197</v>
      </c>
      <c r="AJ498" s="40">
        <v>15</v>
      </c>
      <c r="AK498" s="40"/>
      <c r="AL498" s="16"/>
      <c r="AM498" s="33" t="s">
        <v>158</v>
      </c>
      <c r="AN498" s="41" t="s">
        <v>2097</v>
      </c>
      <c r="AO498" s="41" t="s">
        <v>2098</v>
      </c>
      <c r="AP498" s="13">
        <v>14</v>
      </c>
      <c r="AQ498" s="40" t="s">
        <v>1721</v>
      </c>
      <c r="AR498" s="40" t="s">
        <v>165</v>
      </c>
      <c r="AS498" s="6"/>
      <c r="AT498" s="6"/>
      <c r="AU498" s="6"/>
      <c r="AV498" s="6"/>
      <c r="AW498" s="12" t="str">
        <f t="shared" si="15"/>
        <v/>
      </c>
      <c r="AX498" s="12" t="str">
        <f t="shared" si="16"/>
        <v/>
      </c>
      <c r="AY498" s="45"/>
    </row>
    <row r="499" spans="1:51" ht="20.100000000000001" customHeight="1" x14ac:dyDescent="0.2">
      <c r="A499" s="13"/>
      <c r="B499" s="40" t="s">
        <v>2094</v>
      </c>
      <c r="C499" s="40" t="s">
        <v>1998</v>
      </c>
      <c r="D499" s="41" t="s">
        <v>1913</v>
      </c>
      <c r="E499" s="41" t="s">
        <v>20</v>
      </c>
      <c r="F499" s="41"/>
      <c r="G499" s="41"/>
      <c r="H499" s="13" t="s">
        <v>7</v>
      </c>
      <c r="I499" s="13"/>
      <c r="J499" s="13"/>
      <c r="K499" s="13"/>
      <c r="L499" s="13"/>
      <c r="M499" s="13"/>
      <c r="N499" s="13"/>
      <c r="O499" s="40" t="s">
        <v>92</v>
      </c>
      <c r="P499" s="41" t="s">
        <v>104</v>
      </c>
      <c r="Q499" s="41" t="s">
        <v>104</v>
      </c>
      <c r="R499" s="41" t="s">
        <v>1914</v>
      </c>
      <c r="S499" s="41" t="s">
        <v>69</v>
      </c>
      <c r="T499" s="13" t="s">
        <v>70</v>
      </c>
      <c r="U499" s="6" t="s">
        <v>402</v>
      </c>
      <c r="V499" s="6" t="s">
        <v>402</v>
      </c>
      <c r="W499" s="41" t="s">
        <v>1915</v>
      </c>
      <c r="X499" s="41" t="s">
        <v>69</v>
      </c>
      <c r="Y499" s="41" t="s">
        <v>70</v>
      </c>
      <c r="Z499" s="13">
        <v>0</v>
      </c>
      <c r="AA499" s="13"/>
      <c r="AB499" s="15"/>
      <c r="AC499" s="15">
        <v>153</v>
      </c>
      <c r="AD499" s="16">
        <v>153</v>
      </c>
      <c r="AE499" s="40"/>
      <c r="AF499" s="40"/>
      <c r="AG499" s="40"/>
      <c r="AH499" s="13"/>
      <c r="AI499" s="40"/>
      <c r="AJ499" s="40"/>
      <c r="AK499" s="40"/>
      <c r="AL499" s="16"/>
      <c r="AM499" s="33"/>
      <c r="AN499" s="41"/>
      <c r="AO499" s="41"/>
      <c r="AP499" s="13"/>
      <c r="AQ499" s="40"/>
      <c r="AR499" s="40"/>
      <c r="AS499" s="6"/>
      <c r="AT499" s="6"/>
      <c r="AU499" s="6"/>
      <c r="AV499" s="6"/>
      <c r="AW499" s="12" t="str">
        <f t="shared" si="15"/>
        <v/>
      </c>
      <c r="AX499" s="12"/>
      <c r="AY499" s="45"/>
    </row>
    <row r="500" spans="1:51" ht="20.100000000000001" customHeight="1" x14ac:dyDescent="0.2">
      <c r="A500" s="13"/>
      <c r="B500" s="40" t="s">
        <v>2099</v>
      </c>
      <c r="C500" s="40" t="s">
        <v>1998</v>
      </c>
      <c r="D500" s="41" t="s">
        <v>2087</v>
      </c>
      <c r="E500" s="41" t="s">
        <v>20</v>
      </c>
      <c r="F500" s="41"/>
      <c r="G500" s="41"/>
      <c r="H500" s="13" t="s">
        <v>7</v>
      </c>
      <c r="I500" s="13"/>
      <c r="J500" s="13"/>
      <c r="K500" s="13"/>
      <c r="L500" s="13"/>
      <c r="M500" s="13"/>
      <c r="N500" s="13"/>
      <c r="O500" s="40" t="s">
        <v>84</v>
      </c>
      <c r="P500" s="41" t="s">
        <v>117</v>
      </c>
      <c r="Q500" s="41" t="s">
        <v>117</v>
      </c>
      <c r="R500" s="41" t="s">
        <v>2100</v>
      </c>
      <c r="S500" s="41" t="s">
        <v>69</v>
      </c>
      <c r="T500" s="13" t="s">
        <v>70</v>
      </c>
      <c r="U500" s="35" t="s">
        <v>470</v>
      </c>
      <c r="V500" s="35" t="s">
        <v>120</v>
      </c>
      <c r="W500" s="41" t="s">
        <v>2101</v>
      </c>
      <c r="X500" s="41" t="s">
        <v>142</v>
      </c>
      <c r="Y500" s="41" t="s">
        <v>70</v>
      </c>
      <c r="Z500" s="13">
        <v>0</v>
      </c>
      <c r="AA500" s="13">
        <v>150</v>
      </c>
      <c r="AB500" s="15">
        <v>150</v>
      </c>
      <c r="AC500" s="15">
        <v>132</v>
      </c>
      <c r="AD500" s="16">
        <v>132</v>
      </c>
      <c r="AE500" s="40">
        <v>67</v>
      </c>
      <c r="AF500" s="40">
        <v>127</v>
      </c>
      <c r="AG500" s="40">
        <v>7</v>
      </c>
      <c r="AH500" s="13">
        <v>24</v>
      </c>
      <c r="AI500" s="40">
        <v>158</v>
      </c>
      <c r="AJ500" s="40">
        <v>21</v>
      </c>
      <c r="AK500" s="40"/>
      <c r="AL500" s="16"/>
      <c r="AM500" s="33" t="s">
        <v>158</v>
      </c>
      <c r="AN500" s="41" t="s">
        <v>2102</v>
      </c>
      <c r="AO500" s="41" t="s">
        <v>2103</v>
      </c>
      <c r="AP500" s="13">
        <v>19</v>
      </c>
      <c r="AQ500" s="40" t="s">
        <v>1718</v>
      </c>
      <c r="AR500" s="40" t="s">
        <v>112</v>
      </c>
      <c r="AS500" s="6"/>
      <c r="AT500" s="6"/>
      <c r="AU500" s="6"/>
      <c r="AV500" s="6"/>
      <c r="AW500" s="12" t="str">
        <f t="shared" si="15"/>
        <v/>
      </c>
      <c r="AX500" s="12"/>
      <c r="AY500" s="45"/>
    </row>
    <row r="501" spans="1:51" ht="20.100000000000001" customHeight="1" x14ac:dyDescent="0.2">
      <c r="A501" s="13"/>
      <c r="B501" s="40" t="s">
        <v>2099</v>
      </c>
      <c r="C501" s="40" t="s">
        <v>1998</v>
      </c>
      <c r="D501" s="41" t="s">
        <v>1108</v>
      </c>
      <c r="E501" s="41" t="s">
        <v>243</v>
      </c>
      <c r="F501" s="41"/>
      <c r="G501" s="41"/>
      <c r="H501" s="13" t="s">
        <v>7</v>
      </c>
      <c r="I501" s="13"/>
      <c r="J501" s="13"/>
      <c r="K501" s="13"/>
      <c r="L501" s="13"/>
      <c r="M501" s="13"/>
      <c r="N501" s="13"/>
      <c r="O501" s="40" t="s">
        <v>93</v>
      </c>
      <c r="P501" s="35" t="s">
        <v>251</v>
      </c>
      <c r="Q501" s="35" t="s">
        <v>104</v>
      </c>
      <c r="R501" s="41" t="s">
        <v>2104</v>
      </c>
      <c r="S501" s="41" t="s">
        <v>106</v>
      </c>
      <c r="T501" s="13" t="s">
        <v>107</v>
      </c>
      <c r="U501" s="35" t="s">
        <v>2105</v>
      </c>
      <c r="V501" s="35" t="s">
        <v>256</v>
      </c>
      <c r="W501" s="41" t="s">
        <v>2106</v>
      </c>
      <c r="X501" s="41" t="s">
        <v>106</v>
      </c>
      <c r="Y501" s="41" t="s">
        <v>107</v>
      </c>
      <c r="Z501" s="13">
        <v>0</v>
      </c>
      <c r="AA501" s="13">
        <v>138</v>
      </c>
      <c r="AB501" s="15">
        <v>138</v>
      </c>
      <c r="AC501" s="33">
        <v>99</v>
      </c>
      <c r="AD501" s="34">
        <v>96</v>
      </c>
      <c r="AE501" s="40">
        <v>30</v>
      </c>
      <c r="AF501" s="40">
        <v>45</v>
      </c>
      <c r="AG501" s="40">
        <v>4</v>
      </c>
      <c r="AH501" s="13">
        <v>55</v>
      </c>
      <c r="AI501" s="40">
        <v>104</v>
      </c>
      <c r="AJ501" s="40">
        <v>40</v>
      </c>
      <c r="AK501" s="40"/>
      <c r="AL501" s="16"/>
      <c r="AM501" s="33" t="s">
        <v>158</v>
      </c>
      <c r="AN501" s="41" t="s">
        <v>2102</v>
      </c>
      <c r="AO501" s="41" t="s">
        <v>2107</v>
      </c>
      <c r="AP501" s="13">
        <v>40</v>
      </c>
      <c r="AQ501" s="40" t="s">
        <v>1718</v>
      </c>
      <c r="AR501" s="40" t="s">
        <v>231</v>
      </c>
      <c r="AS501" s="6"/>
      <c r="AT501" s="6"/>
      <c r="AU501" s="6"/>
      <c r="AV501" s="6"/>
      <c r="AW501" s="12" t="str">
        <f t="shared" si="15"/>
        <v/>
      </c>
      <c r="AX501" s="12"/>
      <c r="AY501" s="45"/>
    </row>
    <row r="502" spans="1:51" ht="20.100000000000001" customHeight="1" x14ac:dyDescent="0.2">
      <c r="A502" s="13"/>
      <c r="B502" s="40" t="s">
        <v>2099</v>
      </c>
      <c r="C502" s="40" t="s">
        <v>1998</v>
      </c>
      <c r="D502" s="41" t="s">
        <v>2108</v>
      </c>
      <c r="E502" s="41" t="s">
        <v>10</v>
      </c>
      <c r="F502" s="41" t="s">
        <v>4796</v>
      </c>
      <c r="G502" s="41"/>
      <c r="H502" s="13" t="s">
        <v>83</v>
      </c>
      <c r="I502" s="13"/>
      <c r="J502" s="13"/>
      <c r="K502" s="13"/>
      <c r="L502" s="13"/>
      <c r="M502" s="13"/>
      <c r="N502" s="13"/>
      <c r="O502" s="40" t="s">
        <v>92</v>
      </c>
      <c r="P502" s="41"/>
      <c r="Q502" s="41" t="s">
        <v>104</v>
      </c>
      <c r="R502" s="41" t="s">
        <v>2109</v>
      </c>
      <c r="S502" s="41" t="s">
        <v>119</v>
      </c>
      <c r="T502" s="13" t="s">
        <v>107</v>
      </c>
      <c r="U502" s="6"/>
      <c r="V502" s="6" t="s">
        <v>120</v>
      </c>
      <c r="W502" s="41" t="s">
        <v>2110</v>
      </c>
      <c r="X502" s="41" t="s">
        <v>119</v>
      </c>
      <c r="Y502" s="41" t="s">
        <v>107</v>
      </c>
      <c r="Z502" s="13" t="s">
        <v>2111</v>
      </c>
      <c r="AA502" s="13"/>
      <c r="AB502" s="15"/>
      <c r="AC502" s="15">
        <v>162</v>
      </c>
      <c r="AD502" s="16"/>
      <c r="AE502" s="40"/>
      <c r="AF502" s="40"/>
      <c r="AG502" s="40"/>
      <c r="AH502" s="13"/>
      <c r="AI502" s="40"/>
      <c r="AJ502" s="40"/>
      <c r="AK502" s="40"/>
      <c r="AL502" s="16"/>
      <c r="AM502" s="15"/>
      <c r="AN502" s="41"/>
      <c r="AO502" s="41"/>
      <c r="AP502" s="13"/>
      <c r="AQ502" s="40"/>
      <c r="AR502" s="40"/>
      <c r="AS502" s="6" t="s">
        <v>115</v>
      </c>
      <c r="AT502" s="6" t="s">
        <v>260</v>
      </c>
      <c r="AU502" s="6" t="s">
        <v>208</v>
      </c>
      <c r="AV502" s="6" t="s">
        <v>137</v>
      </c>
      <c r="AW502" s="12">
        <f t="shared" si="15"/>
        <v>30</v>
      </c>
      <c r="AX502" s="12"/>
      <c r="AY502" s="45"/>
    </row>
    <row r="503" spans="1:51" s="21" customFormat="1" ht="20.100000000000001" customHeight="1" x14ac:dyDescent="0.2">
      <c r="A503" s="20"/>
      <c r="B503" s="29" t="s">
        <v>168</v>
      </c>
      <c r="C503" s="29" t="s">
        <v>1998</v>
      </c>
      <c r="D503" s="30" t="s">
        <v>1675</v>
      </c>
      <c r="E503" s="30" t="s">
        <v>8</v>
      </c>
      <c r="F503" s="30" t="s">
        <v>2112</v>
      </c>
      <c r="G503" s="37"/>
      <c r="H503" s="20" t="s">
        <v>83</v>
      </c>
      <c r="I503" s="20"/>
      <c r="J503" s="20"/>
      <c r="K503" s="20"/>
      <c r="L503" s="20"/>
      <c r="M503" s="20"/>
      <c r="N503" s="20"/>
      <c r="O503" s="29" t="s">
        <v>84</v>
      </c>
      <c r="P503" s="30"/>
      <c r="Q503" s="30" t="s">
        <v>104</v>
      </c>
      <c r="R503" s="30" t="s">
        <v>1726</v>
      </c>
      <c r="S503" s="30" t="s">
        <v>69</v>
      </c>
      <c r="T503" s="20" t="s">
        <v>70</v>
      </c>
      <c r="U503" s="30"/>
      <c r="V503" s="30" t="s">
        <v>1727</v>
      </c>
      <c r="W503" s="30" t="s">
        <v>1728</v>
      </c>
      <c r="X503" s="30" t="s">
        <v>106</v>
      </c>
      <c r="Y503" s="30" t="s">
        <v>107</v>
      </c>
      <c r="Z503" s="20" t="s">
        <v>1840</v>
      </c>
      <c r="AA503" s="20"/>
      <c r="AB503" s="20"/>
      <c r="AC503" s="20">
        <v>186</v>
      </c>
      <c r="AD503" s="29"/>
      <c r="AE503" s="29"/>
      <c r="AF503" s="29"/>
      <c r="AG503" s="29"/>
      <c r="AH503" s="20"/>
      <c r="AI503" s="29"/>
      <c r="AJ503" s="29"/>
      <c r="AK503" s="29"/>
      <c r="AL503" s="29"/>
      <c r="AM503" s="20"/>
      <c r="AN503" s="30"/>
      <c r="AO503" s="30"/>
      <c r="AP503" s="20"/>
      <c r="AQ503" s="29"/>
      <c r="AR503" s="29"/>
      <c r="AS503" s="30" t="s">
        <v>115</v>
      </c>
      <c r="AT503" s="30" t="s">
        <v>260</v>
      </c>
      <c r="AU503" s="30" t="s">
        <v>115</v>
      </c>
      <c r="AV503" s="30" t="s">
        <v>266</v>
      </c>
      <c r="AW503" s="31">
        <f t="shared" si="15"/>
        <v>3</v>
      </c>
      <c r="AX503" s="31"/>
      <c r="AY503" s="32"/>
    </row>
    <row r="504" spans="1:51" ht="20.100000000000001" customHeight="1" x14ac:dyDescent="0.2">
      <c r="A504" s="13"/>
      <c r="B504" s="40" t="s">
        <v>168</v>
      </c>
      <c r="C504" s="40" t="s">
        <v>1998</v>
      </c>
      <c r="D504" s="41" t="s">
        <v>2113</v>
      </c>
      <c r="E504" s="41" t="s">
        <v>10</v>
      </c>
      <c r="F504" s="41" t="s">
        <v>185</v>
      </c>
      <c r="G504" s="41"/>
      <c r="H504" s="13" t="s">
        <v>83</v>
      </c>
      <c r="I504" s="13"/>
      <c r="J504" s="13"/>
      <c r="K504" s="13"/>
      <c r="L504" s="13"/>
      <c r="M504" s="13"/>
      <c r="N504" s="13"/>
      <c r="O504" s="40" t="s">
        <v>84</v>
      </c>
      <c r="P504" s="41"/>
      <c r="Q504" s="41" t="s">
        <v>155</v>
      </c>
      <c r="R504" s="41" t="s">
        <v>2114</v>
      </c>
      <c r="S504" s="41" t="s">
        <v>73</v>
      </c>
      <c r="T504" s="13" t="s">
        <v>107</v>
      </c>
      <c r="U504" s="6"/>
      <c r="V504" s="6" t="s">
        <v>324</v>
      </c>
      <c r="W504" s="41" t="s">
        <v>2115</v>
      </c>
      <c r="X504" s="41" t="s">
        <v>119</v>
      </c>
      <c r="Y504" s="41" t="s">
        <v>107</v>
      </c>
      <c r="Z504" s="13" t="s">
        <v>2116</v>
      </c>
      <c r="AA504" s="13"/>
      <c r="AB504" s="15"/>
      <c r="AC504" s="15">
        <v>204</v>
      </c>
      <c r="AD504" s="16"/>
      <c r="AE504" s="40"/>
      <c r="AF504" s="40"/>
      <c r="AG504" s="40"/>
      <c r="AH504" s="13"/>
      <c r="AI504" s="40"/>
      <c r="AJ504" s="40"/>
      <c r="AK504" s="40"/>
      <c r="AL504" s="16"/>
      <c r="AM504" s="15"/>
      <c r="AN504" s="41"/>
      <c r="AO504" s="41"/>
      <c r="AP504" s="13"/>
      <c r="AQ504" s="40"/>
      <c r="AR504" s="40"/>
      <c r="AS504" s="6" t="s">
        <v>115</v>
      </c>
      <c r="AT504" s="6" t="s">
        <v>260</v>
      </c>
      <c r="AU504" s="6" t="s">
        <v>400</v>
      </c>
      <c r="AV504" s="6" t="s">
        <v>116</v>
      </c>
      <c r="AW504" s="12">
        <f t="shared" si="15"/>
        <v>73</v>
      </c>
      <c r="AX504" s="12"/>
      <c r="AY504" s="45"/>
    </row>
    <row r="505" spans="1:51" ht="20.100000000000001" customHeight="1" x14ac:dyDescent="0.2">
      <c r="A505" s="13"/>
      <c r="B505" s="40" t="s">
        <v>168</v>
      </c>
      <c r="C505" s="40" t="s">
        <v>1998</v>
      </c>
      <c r="D505" s="41" t="s">
        <v>2117</v>
      </c>
      <c r="E505" s="41" t="s">
        <v>20</v>
      </c>
      <c r="F505" s="41" t="s">
        <v>186</v>
      </c>
      <c r="G505" s="41"/>
      <c r="H505" s="13" t="s">
        <v>83</v>
      </c>
      <c r="I505" s="13"/>
      <c r="J505" s="13"/>
      <c r="K505" s="13"/>
      <c r="L505" s="13"/>
      <c r="M505" s="13"/>
      <c r="N505" s="13"/>
      <c r="O505" s="40" t="s">
        <v>93</v>
      </c>
      <c r="P505" s="41"/>
      <c r="Q505" s="41" t="s">
        <v>117</v>
      </c>
      <c r="R505" s="41" t="s">
        <v>2118</v>
      </c>
      <c r="S505" s="41" t="s">
        <v>69</v>
      </c>
      <c r="T505" s="13" t="s">
        <v>70</v>
      </c>
      <c r="U505" s="6"/>
      <c r="V505" s="6" t="s">
        <v>125</v>
      </c>
      <c r="W505" s="41" t="s">
        <v>2119</v>
      </c>
      <c r="X505" s="41" t="s">
        <v>69</v>
      </c>
      <c r="Y505" s="41" t="s">
        <v>70</v>
      </c>
      <c r="Z505" s="13" t="s">
        <v>2120</v>
      </c>
      <c r="AA505" s="13"/>
      <c r="AB505" s="15"/>
      <c r="AC505" s="15">
        <v>162</v>
      </c>
      <c r="AD505" s="16"/>
      <c r="AE505" s="40"/>
      <c r="AF505" s="40"/>
      <c r="AG505" s="40"/>
      <c r="AH505" s="13"/>
      <c r="AI505" s="40"/>
      <c r="AJ505" s="40"/>
      <c r="AK505" s="40"/>
      <c r="AL505" s="16"/>
      <c r="AM505" s="15"/>
      <c r="AN505" s="41"/>
      <c r="AO505" s="41"/>
      <c r="AP505" s="13"/>
      <c r="AQ505" s="40"/>
      <c r="AR505" s="40"/>
      <c r="AS505" s="6" t="s">
        <v>115</v>
      </c>
      <c r="AT505" s="6" t="s">
        <v>260</v>
      </c>
      <c r="AU505" s="6" t="s">
        <v>136</v>
      </c>
      <c r="AV505" s="6" t="s">
        <v>344</v>
      </c>
      <c r="AW505" s="12">
        <f t="shared" si="15"/>
        <v>17</v>
      </c>
      <c r="AX505" s="12"/>
      <c r="AY505" s="45"/>
    </row>
    <row r="506" spans="1:51" ht="20.100000000000001" customHeight="1" x14ac:dyDescent="0.2">
      <c r="A506" s="13"/>
      <c r="B506" s="40" t="s">
        <v>2121</v>
      </c>
      <c r="C506" s="40" t="s">
        <v>1998</v>
      </c>
      <c r="D506" s="41" t="s">
        <v>2117</v>
      </c>
      <c r="E506" s="41" t="s">
        <v>20</v>
      </c>
      <c r="F506" s="41"/>
      <c r="G506" s="41"/>
      <c r="H506" s="13" t="s">
        <v>7</v>
      </c>
      <c r="I506" s="13"/>
      <c r="J506" s="13"/>
      <c r="K506" s="13"/>
      <c r="L506" s="13"/>
      <c r="M506" s="13"/>
      <c r="N506" s="13"/>
      <c r="O506" s="40" t="s">
        <v>93</v>
      </c>
      <c r="P506" s="35" t="s">
        <v>117</v>
      </c>
      <c r="Q506" s="35" t="s">
        <v>104</v>
      </c>
      <c r="R506" s="41" t="s">
        <v>2122</v>
      </c>
      <c r="S506" s="41" t="s">
        <v>106</v>
      </c>
      <c r="T506" s="13" t="s">
        <v>107</v>
      </c>
      <c r="U506" s="35" t="s">
        <v>125</v>
      </c>
      <c r="V506" s="35" t="s">
        <v>361</v>
      </c>
      <c r="W506" s="41" t="s">
        <v>2123</v>
      </c>
      <c r="X506" s="41" t="s">
        <v>106</v>
      </c>
      <c r="Y506" s="41" t="s">
        <v>107</v>
      </c>
      <c r="Z506" s="13">
        <v>0</v>
      </c>
      <c r="AA506" s="13"/>
      <c r="AB506" s="15"/>
      <c r="AC506" s="15">
        <v>162</v>
      </c>
      <c r="AD506" s="16">
        <v>162</v>
      </c>
      <c r="AE506" s="40">
        <v>104</v>
      </c>
      <c r="AF506" s="40">
        <v>140</v>
      </c>
      <c r="AG506" s="40">
        <v>5</v>
      </c>
      <c r="AH506" s="13">
        <v>28</v>
      </c>
      <c r="AI506" s="40">
        <v>173</v>
      </c>
      <c r="AJ506" s="40">
        <v>22</v>
      </c>
      <c r="AK506" s="40"/>
      <c r="AL506" s="16"/>
      <c r="AM506" s="15"/>
      <c r="AN506" s="41"/>
      <c r="AO506" s="41" t="s">
        <v>416</v>
      </c>
      <c r="AP506" s="13">
        <v>19</v>
      </c>
      <c r="AQ506" s="40" t="s">
        <v>1721</v>
      </c>
      <c r="AR506" s="40" t="s">
        <v>193</v>
      </c>
      <c r="AS506" s="6"/>
      <c r="AT506" s="6"/>
      <c r="AU506" s="6"/>
      <c r="AV506" s="6"/>
      <c r="AW506" s="12" t="str">
        <f t="shared" si="15"/>
        <v/>
      </c>
      <c r="AX506" s="12"/>
      <c r="AY506" s="45"/>
    </row>
    <row r="507" spans="1:51" ht="20.100000000000001" customHeight="1" x14ac:dyDescent="0.2">
      <c r="A507" s="13"/>
      <c r="B507" s="40" t="s">
        <v>2124</v>
      </c>
      <c r="C507" s="40" t="s">
        <v>1998</v>
      </c>
      <c r="D507" s="41" t="s">
        <v>2113</v>
      </c>
      <c r="E507" s="41" t="s">
        <v>10</v>
      </c>
      <c r="F507" s="41"/>
      <c r="G507" s="41"/>
      <c r="H507" s="13" t="s">
        <v>7</v>
      </c>
      <c r="I507" s="13"/>
      <c r="J507" s="13"/>
      <c r="K507" s="13"/>
      <c r="L507" s="13"/>
      <c r="M507" s="13"/>
      <c r="N507" s="13"/>
      <c r="O507" s="40" t="s">
        <v>84</v>
      </c>
      <c r="P507" s="35" t="s">
        <v>155</v>
      </c>
      <c r="Q507" s="35" t="s">
        <v>68</v>
      </c>
      <c r="R507" s="41" t="s">
        <v>2125</v>
      </c>
      <c r="S507" s="41" t="s">
        <v>106</v>
      </c>
      <c r="T507" s="13" t="s">
        <v>107</v>
      </c>
      <c r="U507" s="35" t="s">
        <v>324</v>
      </c>
      <c r="V507" s="35" t="s">
        <v>332</v>
      </c>
      <c r="W507" s="41" t="s">
        <v>792</v>
      </c>
      <c r="X507" s="41" t="s">
        <v>106</v>
      </c>
      <c r="Y507" s="41" t="s">
        <v>107</v>
      </c>
      <c r="Z507" s="13">
        <v>0</v>
      </c>
      <c r="AA507" s="13">
        <v>222</v>
      </c>
      <c r="AB507" s="15">
        <v>222</v>
      </c>
      <c r="AC507" s="15">
        <v>204</v>
      </c>
      <c r="AD507" s="16">
        <v>204</v>
      </c>
      <c r="AE507" s="40">
        <v>135</v>
      </c>
      <c r="AF507" s="40">
        <v>180</v>
      </c>
      <c r="AG507" s="40">
        <v>6</v>
      </c>
      <c r="AH507" s="13">
        <v>20</v>
      </c>
      <c r="AI507" s="40">
        <v>206</v>
      </c>
      <c r="AJ507" s="40">
        <v>22</v>
      </c>
      <c r="AK507" s="40"/>
      <c r="AL507" s="16"/>
      <c r="AM507" s="15"/>
      <c r="AN507" s="41" t="s">
        <v>2126</v>
      </c>
      <c r="AO507" s="41" t="s">
        <v>1906</v>
      </c>
      <c r="AP507" s="13">
        <v>22</v>
      </c>
      <c r="AQ507" s="40" t="s">
        <v>1721</v>
      </c>
      <c r="AR507" s="40" t="s">
        <v>165</v>
      </c>
      <c r="AS507" s="6"/>
      <c r="AT507" s="6"/>
      <c r="AU507" s="6"/>
      <c r="AV507" s="6"/>
      <c r="AW507" s="12" t="str">
        <f t="shared" si="15"/>
        <v/>
      </c>
      <c r="AX507" s="12"/>
      <c r="AY507" s="45"/>
    </row>
    <row r="508" spans="1:51" ht="20.100000000000001" customHeight="1" x14ac:dyDescent="0.2">
      <c r="A508" s="13"/>
      <c r="B508" s="40" t="s">
        <v>2124</v>
      </c>
      <c r="C508" s="40" t="s">
        <v>1998</v>
      </c>
      <c r="D508" s="41" t="s">
        <v>2050</v>
      </c>
      <c r="E508" s="41" t="s">
        <v>6</v>
      </c>
      <c r="F508" s="41"/>
      <c r="G508" s="41"/>
      <c r="H508" s="13" t="s">
        <v>7</v>
      </c>
      <c r="I508" s="13"/>
      <c r="J508" s="13"/>
      <c r="K508" s="13"/>
      <c r="L508" s="13"/>
      <c r="M508" s="13"/>
      <c r="N508" s="13"/>
      <c r="O508" s="40" t="s">
        <v>92</v>
      </c>
      <c r="P508" s="35" t="s">
        <v>155</v>
      </c>
      <c r="Q508" s="35" t="s">
        <v>104</v>
      </c>
      <c r="R508" s="41" t="s">
        <v>4758</v>
      </c>
      <c r="S508" s="41" t="s">
        <v>69</v>
      </c>
      <c r="T508" s="13" t="s">
        <v>70</v>
      </c>
      <c r="U508" s="6" t="s">
        <v>167</v>
      </c>
      <c r="V508" s="6" t="s">
        <v>1727</v>
      </c>
      <c r="W508" s="41" t="s">
        <v>4711</v>
      </c>
      <c r="X508" s="41" t="s">
        <v>69</v>
      </c>
      <c r="Y508" s="41" t="s">
        <v>70</v>
      </c>
      <c r="Z508" s="13"/>
      <c r="AA508" s="13">
        <v>252</v>
      </c>
      <c r="AB508" s="15"/>
      <c r="AC508" s="15"/>
      <c r="AD508" s="16">
        <v>234</v>
      </c>
      <c r="AE508" s="40">
        <v>175</v>
      </c>
      <c r="AF508" s="40">
        <v>211</v>
      </c>
      <c r="AG508" s="40">
        <v>5</v>
      </c>
      <c r="AH508" s="13">
        <v>10</v>
      </c>
      <c r="AI508" s="40">
        <v>226</v>
      </c>
      <c r="AJ508" s="40">
        <v>15</v>
      </c>
      <c r="AK508" s="40"/>
      <c r="AL508" s="16"/>
      <c r="AM508" s="15"/>
      <c r="AN508" s="41"/>
      <c r="AO508" s="41"/>
      <c r="AP508" s="13"/>
      <c r="AQ508" s="40"/>
      <c r="AR508" s="40"/>
      <c r="AS508" s="6"/>
      <c r="AT508" s="6"/>
      <c r="AU508" s="6"/>
      <c r="AV508" s="6"/>
      <c r="AW508" s="12" t="str">
        <f t="shared" si="15"/>
        <v/>
      </c>
      <c r="AX508" s="12"/>
      <c r="AY508" s="45"/>
    </row>
    <row r="509" spans="1:51" ht="20.100000000000001" customHeight="1" x14ac:dyDescent="0.2">
      <c r="A509" s="13"/>
      <c r="B509" s="40" t="s">
        <v>2127</v>
      </c>
      <c r="C509" s="40" t="s">
        <v>1998</v>
      </c>
      <c r="D509" s="41" t="s">
        <v>433</v>
      </c>
      <c r="E509" s="41" t="s">
        <v>243</v>
      </c>
      <c r="F509" s="41" t="s">
        <v>185</v>
      </c>
      <c r="G509" s="41"/>
      <c r="H509" s="13" t="s">
        <v>83</v>
      </c>
      <c r="I509" s="13"/>
      <c r="J509" s="13"/>
      <c r="K509" s="13"/>
      <c r="L509" s="13"/>
      <c r="M509" s="13"/>
      <c r="N509" s="13"/>
      <c r="O509" s="40" t="s">
        <v>93</v>
      </c>
      <c r="P509" s="41"/>
      <c r="Q509" s="41"/>
      <c r="R509" s="41"/>
      <c r="S509" s="41"/>
      <c r="T509" s="13"/>
      <c r="U509" s="6"/>
      <c r="V509" s="6"/>
      <c r="W509" s="41"/>
      <c r="X509" s="41"/>
      <c r="Y509" s="41"/>
      <c r="Z509" s="13"/>
      <c r="AA509" s="13"/>
      <c r="AB509" s="15"/>
      <c r="AC509" s="15"/>
      <c r="AD509" s="16"/>
      <c r="AE509" s="40"/>
      <c r="AF509" s="40"/>
      <c r="AG509" s="40"/>
      <c r="AH509" s="13"/>
      <c r="AI509" s="40"/>
      <c r="AJ509" s="40"/>
      <c r="AK509" s="40"/>
      <c r="AL509" s="16"/>
      <c r="AM509" s="15"/>
      <c r="AN509" s="41"/>
      <c r="AO509" s="41"/>
      <c r="AP509" s="13"/>
      <c r="AQ509" s="40"/>
      <c r="AR509" s="40"/>
      <c r="AS509" s="6"/>
      <c r="AT509" s="6"/>
      <c r="AU509" s="6"/>
      <c r="AV509" s="6"/>
      <c r="AW509" s="12" t="str">
        <f t="shared" si="15"/>
        <v/>
      </c>
      <c r="AX509" s="12"/>
      <c r="AY509" s="45"/>
    </row>
    <row r="510" spans="1:51" ht="20.100000000000001" customHeight="1" x14ac:dyDescent="0.2">
      <c r="A510" s="13"/>
      <c r="B510" s="40" t="s">
        <v>2127</v>
      </c>
      <c r="C510" s="40" t="s">
        <v>1998</v>
      </c>
      <c r="D510" s="41" t="s">
        <v>2108</v>
      </c>
      <c r="E510" s="41" t="s">
        <v>10</v>
      </c>
      <c r="F510" s="41"/>
      <c r="G510" s="41"/>
      <c r="H510" s="13" t="s">
        <v>7</v>
      </c>
      <c r="I510" s="13"/>
      <c r="J510" s="13"/>
      <c r="K510" s="13"/>
      <c r="L510" s="13"/>
      <c r="M510" s="13"/>
      <c r="N510" s="13"/>
      <c r="O510" s="40" t="s">
        <v>92</v>
      </c>
      <c r="P510" s="35" t="s">
        <v>104</v>
      </c>
      <c r="Q510" s="35" t="s">
        <v>140</v>
      </c>
      <c r="R510" s="41" t="s">
        <v>2128</v>
      </c>
      <c r="S510" s="41" t="s">
        <v>106</v>
      </c>
      <c r="T510" s="13" t="s">
        <v>107</v>
      </c>
      <c r="U510" s="35" t="s">
        <v>120</v>
      </c>
      <c r="V510" s="35" t="s">
        <v>338</v>
      </c>
      <c r="W510" s="41" t="s">
        <v>768</v>
      </c>
      <c r="X510" s="41" t="s">
        <v>106</v>
      </c>
      <c r="Y510" s="41" t="s">
        <v>107</v>
      </c>
      <c r="Z510" s="13">
        <v>0</v>
      </c>
      <c r="AA510" s="13">
        <v>180</v>
      </c>
      <c r="AB510" s="15">
        <v>180</v>
      </c>
      <c r="AC510" s="15">
        <v>162</v>
      </c>
      <c r="AD510" s="16">
        <v>162</v>
      </c>
      <c r="AE510" s="40">
        <v>85</v>
      </c>
      <c r="AF510" s="40">
        <v>144</v>
      </c>
      <c r="AG510" s="40">
        <v>5</v>
      </c>
      <c r="AH510" s="13">
        <v>12</v>
      </c>
      <c r="AI510" s="40">
        <v>161</v>
      </c>
      <c r="AJ510" s="40">
        <v>16</v>
      </c>
      <c r="AK510" s="40"/>
      <c r="AL510" s="16"/>
      <c r="AM510" s="15"/>
      <c r="AN510" s="41" t="s">
        <v>2129</v>
      </c>
      <c r="AO510" s="41" t="s">
        <v>2130</v>
      </c>
      <c r="AP510" s="13">
        <v>15</v>
      </c>
      <c r="AQ510" s="40" t="s">
        <v>1718</v>
      </c>
      <c r="AR510" s="40" t="s">
        <v>112</v>
      </c>
      <c r="AS510" s="6"/>
      <c r="AT510" s="6"/>
      <c r="AU510" s="6"/>
      <c r="AV510" s="6"/>
      <c r="AW510" s="12" t="str">
        <f t="shared" si="15"/>
        <v/>
      </c>
      <c r="AX510" s="12"/>
      <c r="AY510" s="45"/>
    </row>
    <row r="511" spans="1:51" ht="20.100000000000001" customHeight="1" x14ac:dyDescent="0.2">
      <c r="A511" s="13"/>
      <c r="B511" s="40" t="s">
        <v>2131</v>
      </c>
      <c r="C511" s="40" t="s">
        <v>1998</v>
      </c>
      <c r="D511" s="41" t="s">
        <v>1675</v>
      </c>
      <c r="E511" s="41" t="s">
        <v>8</v>
      </c>
      <c r="F511" s="41"/>
      <c r="G511" s="41"/>
      <c r="H511" s="13" t="s">
        <v>7</v>
      </c>
      <c r="I511" s="13"/>
      <c r="J511" s="13"/>
      <c r="K511" s="13"/>
      <c r="L511" s="13"/>
      <c r="M511" s="13"/>
      <c r="N511" s="13"/>
      <c r="O511" s="40" t="s">
        <v>92</v>
      </c>
      <c r="P511" s="35" t="s">
        <v>104</v>
      </c>
      <c r="Q511" s="35" t="s">
        <v>117</v>
      </c>
      <c r="R511" s="41" t="s">
        <v>138</v>
      </c>
      <c r="S511" s="41" t="s">
        <v>69</v>
      </c>
      <c r="T511" s="13" t="s">
        <v>70</v>
      </c>
      <c r="U511" s="35" t="s">
        <v>1727</v>
      </c>
      <c r="V511" s="35" t="s">
        <v>306</v>
      </c>
      <c r="W511" s="41" t="s">
        <v>1904</v>
      </c>
      <c r="X511" s="41" t="s">
        <v>106</v>
      </c>
      <c r="Y511" s="41" t="s">
        <v>107</v>
      </c>
      <c r="Z511" s="13">
        <v>0</v>
      </c>
      <c r="AA511" s="13">
        <v>190</v>
      </c>
      <c r="AB511" s="15">
        <v>190</v>
      </c>
      <c r="AC511" s="15">
        <v>180</v>
      </c>
      <c r="AD511" s="16">
        <v>180</v>
      </c>
      <c r="AE511" s="40">
        <v>38</v>
      </c>
      <c r="AF511" s="40">
        <v>141</v>
      </c>
      <c r="AG511" s="40">
        <v>3</v>
      </c>
      <c r="AH511" s="13">
        <v>62</v>
      </c>
      <c r="AI511" s="40">
        <v>206</v>
      </c>
      <c r="AJ511" s="40">
        <v>10</v>
      </c>
      <c r="AK511" s="40"/>
      <c r="AL511" s="16"/>
      <c r="AM511" s="15"/>
      <c r="AN511" s="41" t="s">
        <v>2132</v>
      </c>
      <c r="AO511" s="41"/>
      <c r="AP511" s="13"/>
      <c r="AQ511" s="40" t="s">
        <v>1718</v>
      </c>
      <c r="AR511" s="40" t="s">
        <v>161</v>
      </c>
      <c r="AS511" s="6"/>
      <c r="AT511" s="6"/>
      <c r="AU511" s="6"/>
      <c r="AV511" s="6"/>
      <c r="AW511" s="12" t="str">
        <f t="shared" si="15"/>
        <v/>
      </c>
      <c r="AX511" s="12"/>
      <c r="AY511" s="45"/>
    </row>
    <row r="512" spans="1:51" ht="20.100000000000001" customHeight="1" x14ac:dyDescent="0.2">
      <c r="A512" s="13"/>
      <c r="B512" s="40" t="s">
        <v>2133</v>
      </c>
      <c r="C512" s="40" t="s">
        <v>1998</v>
      </c>
      <c r="D512" s="41" t="s">
        <v>433</v>
      </c>
      <c r="E512" s="41" t="s">
        <v>243</v>
      </c>
      <c r="F512" s="41"/>
      <c r="G512" s="41"/>
      <c r="H512" s="13" t="s">
        <v>7</v>
      </c>
      <c r="I512" s="13"/>
      <c r="J512" s="13"/>
      <c r="K512" s="13"/>
      <c r="L512" s="13"/>
      <c r="M512" s="13"/>
      <c r="N512" s="13"/>
      <c r="O512" s="40" t="s">
        <v>93</v>
      </c>
      <c r="P512" s="41"/>
      <c r="Q512" s="41"/>
      <c r="R512" s="41"/>
      <c r="S512" s="41"/>
      <c r="T512" s="13"/>
      <c r="U512" s="6"/>
      <c r="V512" s="6"/>
      <c r="W512" s="41"/>
      <c r="X512" s="41"/>
      <c r="Y512" s="41"/>
      <c r="Z512" s="13"/>
      <c r="AA512" s="13"/>
      <c r="AB512" s="15"/>
      <c r="AC512" s="15"/>
      <c r="AD512" s="16"/>
      <c r="AE512" s="40"/>
      <c r="AF512" s="40"/>
      <c r="AG512" s="40"/>
      <c r="AH512" s="13"/>
      <c r="AI512" s="40"/>
      <c r="AJ512" s="40"/>
      <c r="AK512" s="40"/>
      <c r="AL512" s="16"/>
      <c r="AM512" s="15"/>
      <c r="AN512" s="41"/>
      <c r="AO512" s="41"/>
      <c r="AP512" s="13"/>
      <c r="AQ512" s="40"/>
      <c r="AR512" s="40"/>
      <c r="AS512" s="6"/>
      <c r="AT512" s="6"/>
      <c r="AU512" s="6"/>
      <c r="AV512" s="6"/>
      <c r="AW512" s="12" t="str">
        <f t="shared" si="15"/>
        <v/>
      </c>
      <c r="AX512" s="12"/>
      <c r="AY512" s="45"/>
    </row>
    <row r="513" spans="1:51" ht="20.100000000000001" customHeight="1" x14ac:dyDescent="0.2">
      <c r="A513" s="13"/>
      <c r="B513" s="40" t="s">
        <v>2134</v>
      </c>
      <c r="C513" s="40" t="s">
        <v>1998</v>
      </c>
      <c r="D513" s="41" t="s">
        <v>1899</v>
      </c>
      <c r="E513" s="41" t="s">
        <v>19</v>
      </c>
      <c r="F513" s="41"/>
      <c r="G513" s="41"/>
      <c r="H513" s="13" t="s">
        <v>7</v>
      </c>
      <c r="I513" s="13"/>
      <c r="J513" s="13"/>
      <c r="K513" s="13"/>
      <c r="L513" s="13"/>
      <c r="M513" s="13"/>
      <c r="N513" s="13"/>
      <c r="O513" s="40" t="s">
        <v>93</v>
      </c>
      <c r="P513" s="41"/>
      <c r="Q513" s="41"/>
      <c r="R513" s="41"/>
      <c r="S513" s="41"/>
      <c r="T513" s="13"/>
      <c r="U513" s="6"/>
      <c r="V513" s="6"/>
      <c r="W513" s="41"/>
      <c r="X513" s="41"/>
      <c r="Y513" s="41"/>
      <c r="Z513" s="13"/>
      <c r="AA513" s="13"/>
      <c r="AB513" s="15"/>
      <c r="AC513" s="15"/>
      <c r="AD513" s="16"/>
      <c r="AE513" s="40"/>
      <c r="AF513" s="40"/>
      <c r="AG513" s="40"/>
      <c r="AH513" s="13"/>
      <c r="AI513" s="40"/>
      <c r="AJ513" s="40"/>
      <c r="AK513" s="40"/>
      <c r="AL513" s="16"/>
      <c r="AM513" s="15"/>
      <c r="AN513" s="41"/>
      <c r="AO513" s="41"/>
      <c r="AP513" s="13"/>
      <c r="AQ513" s="40"/>
      <c r="AR513" s="40"/>
      <c r="AS513" s="6"/>
      <c r="AT513" s="6"/>
      <c r="AU513" s="6"/>
      <c r="AV513" s="6"/>
      <c r="AW513" s="12" t="str">
        <f t="shared" si="15"/>
        <v/>
      </c>
      <c r="AX513" s="12"/>
      <c r="AY513" s="45"/>
    </row>
    <row r="514" spans="1:51" ht="20.100000000000001" customHeight="1" x14ac:dyDescent="0.2">
      <c r="A514" s="13">
        <v>493</v>
      </c>
      <c r="B514" s="40" t="s">
        <v>303</v>
      </c>
      <c r="C514" s="40"/>
      <c r="D514" s="41" t="s">
        <v>290</v>
      </c>
      <c r="E514" s="41" t="s">
        <v>20</v>
      </c>
      <c r="F514" s="41" t="s">
        <v>90</v>
      </c>
      <c r="G514" s="41"/>
      <c r="H514" s="13" t="s">
        <v>7</v>
      </c>
      <c r="I514" s="13"/>
      <c r="J514" s="13"/>
      <c r="K514" s="13"/>
      <c r="L514" s="13"/>
      <c r="M514" s="13"/>
      <c r="N514" s="13"/>
      <c r="O514" s="40" t="s">
        <v>93</v>
      </c>
      <c r="P514" s="41"/>
      <c r="Q514" s="41" t="s">
        <v>68</v>
      </c>
      <c r="R514" s="41" t="s">
        <v>301</v>
      </c>
      <c r="S514" s="41" t="s">
        <v>106</v>
      </c>
      <c r="T514" s="13" t="s">
        <v>107</v>
      </c>
      <c r="U514" s="6"/>
      <c r="V514" s="6" t="s">
        <v>120</v>
      </c>
      <c r="W514" s="41" t="s">
        <v>302</v>
      </c>
      <c r="X514" s="41" t="s">
        <v>106</v>
      </c>
      <c r="Y514" s="41" t="s">
        <v>107</v>
      </c>
      <c r="Z514" s="13"/>
      <c r="AA514" s="13">
        <v>217</v>
      </c>
      <c r="AB514" s="15">
        <v>217</v>
      </c>
      <c r="AC514" s="15"/>
      <c r="AD514" s="16">
        <v>210</v>
      </c>
      <c r="AE514" s="40">
        <v>78</v>
      </c>
      <c r="AF514" s="40">
        <v>105</v>
      </c>
      <c r="AG514" s="40">
        <v>10</v>
      </c>
      <c r="AH514" s="13">
        <v>34</v>
      </c>
      <c r="AI514" s="40">
        <v>149</v>
      </c>
      <c r="AJ514" s="40">
        <v>22</v>
      </c>
      <c r="AK514" s="40"/>
      <c r="AL514" s="16"/>
      <c r="AM514" s="15"/>
      <c r="AN514" s="41" t="s">
        <v>2135</v>
      </c>
      <c r="AO514" s="41" t="s">
        <v>424</v>
      </c>
      <c r="AP514" s="13">
        <v>19</v>
      </c>
      <c r="AQ514" s="40"/>
      <c r="AR514" s="40"/>
      <c r="AS514" s="6"/>
      <c r="AT514" s="6"/>
      <c r="AU514" s="6"/>
      <c r="AV514" s="6"/>
      <c r="AW514" s="12" t="str">
        <f t="shared" si="15"/>
        <v/>
      </c>
      <c r="AX514" s="12" t="str">
        <f t="shared" si="16"/>
        <v/>
      </c>
      <c r="AY514" s="45"/>
    </row>
    <row r="517" spans="1:51" ht="20.100000000000001" customHeight="1" x14ac:dyDescent="0.2">
      <c r="AF517" s="1" t="s">
        <v>3714</v>
      </c>
    </row>
  </sheetData>
  <autoFilter ref="A7:AY514" xr:uid="{6AB852DB-E7B4-4F55-BA81-B81AEA3AFD2E}"/>
  <mergeCells count="48">
    <mergeCell ref="AT5:AT7"/>
    <mergeCell ref="AU5:AU7"/>
    <mergeCell ref="AV5:AV7"/>
    <mergeCell ref="AW5:AW7"/>
    <mergeCell ref="AX5:AX7"/>
    <mergeCell ref="AY5:AY7"/>
    <mergeCell ref="AN5:AN7"/>
    <mergeCell ref="AO5:AO7"/>
    <mergeCell ref="AP5:AP7"/>
    <mergeCell ref="AQ5:AQ7"/>
    <mergeCell ref="AR5:AR7"/>
    <mergeCell ref="AS5:AS7"/>
    <mergeCell ref="AH5:AH7"/>
    <mergeCell ref="AI5:AI7"/>
    <mergeCell ref="AJ5:AJ7"/>
    <mergeCell ref="AK5:AK7"/>
    <mergeCell ref="AL5:AL7"/>
    <mergeCell ref="AM5:AM7"/>
    <mergeCell ref="AB5:AB7"/>
    <mergeCell ref="AC5:AC7"/>
    <mergeCell ref="AD5:AD7"/>
    <mergeCell ref="AE5:AE7"/>
    <mergeCell ref="AF5:AF7"/>
    <mergeCell ref="AG5:AG7"/>
    <mergeCell ref="M5:M7"/>
    <mergeCell ref="N5:N7"/>
    <mergeCell ref="O5:O7"/>
    <mergeCell ref="P5:Y5"/>
    <mergeCell ref="Z5:Z7"/>
    <mergeCell ref="AA5:AA7"/>
    <mergeCell ref="P6:T6"/>
    <mergeCell ref="U6:Y6"/>
    <mergeCell ref="G5:G7"/>
    <mergeCell ref="H5:H7"/>
    <mergeCell ref="I5:I7"/>
    <mergeCell ref="J5:J7"/>
    <mergeCell ref="K5:K7"/>
    <mergeCell ref="L5:L7"/>
    <mergeCell ref="A1:B1"/>
    <mergeCell ref="C1:D1"/>
    <mergeCell ref="E1:F1"/>
    <mergeCell ref="G1:H1"/>
    <mergeCell ref="A5:A7"/>
    <mergeCell ref="B5:B7"/>
    <mergeCell ref="C5:C7"/>
    <mergeCell ref="D5:D7"/>
    <mergeCell ref="E5:E7"/>
    <mergeCell ref="F5:F7"/>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187F9-A5F4-4576-A587-5C1FA77D83D8}">
  <sheetPr filterMode="1"/>
  <dimension ref="A1:Z326"/>
  <sheetViews>
    <sheetView rightToLeft="1" workbookViewId="0">
      <selection sqref="A1:A3"/>
    </sheetView>
  </sheetViews>
  <sheetFormatPr defaultColWidth="9.7109375" defaultRowHeight="20.100000000000001" customHeight="1" x14ac:dyDescent="0.2"/>
  <cols>
    <col min="1" max="1" width="4.7109375" style="2" bestFit="1" customWidth="1"/>
    <col min="2" max="2" width="10.42578125" style="5" bestFit="1" customWidth="1"/>
    <col min="3" max="3" width="20.140625" style="1" bestFit="1" customWidth="1"/>
    <col min="4" max="4" width="9.140625" style="1" customWidth="1"/>
    <col min="5" max="5" width="20.42578125" style="1" customWidth="1"/>
    <col min="6" max="6" width="9.140625" style="1" customWidth="1"/>
    <col min="7" max="7" width="10.42578125" style="7" customWidth="1"/>
    <col min="8" max="8" width="6.42578125" style="8" customWidth="1"/>
    <col min="9" max="9" width="12.42578125" style="1" customWidth="1"/>
    <col min="10" max="10" width="9.28515625" style="1" customWidth="1"/>
    <col min="11" max="11" width="9" style="8" customWidth="1"/>
    <col min="12" max="12" width="12.85546875" style="1" customWidth="1"/>
    <col min="13" max="13" width="9.42578125" style="1" customWidth="1"/>
    <col min="14" max="20" width="11.5703125" style="1" customWidth="1"/>
    <col min="21" max="21" width="8.28515625" style="4" customWidth="1"/>
    <col min="22" max="22" width="9.28515625" style="4" customWidth="1"/>
    <col min="23" max="23" width="8.140625" style="4" customWidth="1"/>
    <col min="24" max="24" width="9.7109375" style="4" customWidth="1"/>
    <col min="25" max="25" width="7.5703125" style="75" customWidth="1"/>
    <col min="26" max="26" width="48.28515625" style="4" customWidth="1"/>
    <col min="27" max="16384" width="9.7109375" style="4"/>
  </cols>
  <sheetData>
    <row r="1" spans="1:26" s="3" customFormat="1" ht="20.25" x14ac:dyDescent="0.2">
      <c r="A1" s="597" t="s">
        <v>6014</v>
      </c>
      <c r="B1" s="559" t="s">
        <v>1</v>
      </c>
      <c r="C1" s="559" t="s">
        <v>2</v>
      </c>
      <c r="D1" s="559" t="s">
        <v>5</v>
      </c>
      <c r="E1" s="559" t="s">
        <v>2136</v>
      </c>
      <c r="F1" s="559" t="s">
        <v>2137</v>
      </c>
      <c r="G1" s="559" t="s">
        <v>3</v>
      </c>
      <c r="H1" s="559" t="s">
        <v>17</v>
      </c>
      <c r="I1" s="559"/>
      <c r="J1" s="559"/>
      <c r="K1" s="559"/>
      <c r="L1" s="559"/>
      <c r="M1" s="559"/>
      <c r="N1" s="559" t="s">
        <v>4</v>
      </c>
      <c r="O1" s="559" t="s">
        <v>2138</v>
      </c>
      <c r="P1" s="559" t="s">
        <v>22</v>
      </c>
      <c r="Q1" s="553" t="s">
        <v>24</v>
      </c>
      <c r="R1" s="553" t="s">
        <v>2139</v>
      </c>
      <c r="S1" s="553" t="s">
        <v>2140</v>
      </c>
      <c r="T1" s="553" t="s">
        <v>23</v>
      </c>
      <c r="U1" s="600" t="s">
        <v>2141</v>
      </c>
      <c r="V1" s="600" t="s">
        <v>2142</v>
      </c>
      <c r="W1" s="600" t="s">
        <v>11</v>
      </c>
      <c r="X1" s="600" t="s">
        <v>12</v>
      </c>
      <c r="Y1" s="605" t="s">
        <v>13</v>
      </c>
      <c r="Z1" s="605" t="s">
        <v>2143</v>
      </c>
    </row>
    <row r="2" spans="1:26" s="3" customFormat="1" ht="20.25" x14ac:dyDescent="0.2">
      <c r="A2" s="597"/>
      <c r="B2" s="559"/>
      <c r="C2" s="559"/>
      <c r="D2" s="559"/>
      <c r="E2" s="559"/>
      <c r="F2" s="559"/>
      <c r="G2" s="559"/>
      <c r="H2" s="559" t="s">
        <v>18</v>
      </c>
      <c r="I2" s="559"/>
      <c r="J2" s="559"/>
      <c r="K2" s="559" t="s">
        <v>14</v>
      </c>
      <c r="L2" s="559"/>
      <c r="M2" s="559"/>
      <c r="N2" s="559"/>
      <c r="O2" s="559"/>
      <c r="P2" s="559"/>
      <c r="Q2" s="599"/>
      <c r="R2" s="599"/>
      <c r="S2" s="599"/>
      <c r="T2" s="599"/>
      <c r="U2" s="600"/>
      <c r="V2" s="600"/>
      <c r="W2" s="600"/>
      <c r="X2" s="600"/>
      <c r="Y2" s="605"/>
      <c r="Z2" s="605"/>
    </row>
    <row r="3" spans="1:26" s="3" customFormat="1" ht="58.5" customHeight="1" x14ac:dyDescent="0.2">
      <c r="A3" s="597"/>
      <c r="B3" s="559"/>
      <c r="C3" s="559"/>
      <c r="D3" s="559"/>
      <c r="E3" s="559"/>
      <c r="F3" s="559"/>
      <c r="G3" s="559"/>
      <c r="H3" s="66" t="s">
        <v>2144</v>
      </c>
      <c r="I3" s="9" t="s">
        <v>16</v>
      </c>
      <c r="J3" s="10" t="s">
        <v>15</v>
      </c>
      <c r="K3" s="11" t="s">
        <v>14</v>
      </c>
      <c r="L3" s="9" t="s">
        <v>16</v>
      </c>
      <c r="M3" s="10" t="s">
        <v>15</v>
      </c>
      <c r="N3" s="559"/>
      <c r="O3" s="559"/>
      <c r="P3" s="559"/>
      <c r="Q3" s="554"/>
      <c r="R3" s="554"/>
      <c r="S3" s="554"/>
      <c r="T3" s="554"/>
      <c r="U3" s="600"/>
      <c r="V3" s="600"/>
      <c r="W3" s="600"/>
      <c r="X3" s="600"/>
      <c r="Y3" s="605"/>
      <c r="Z3" s="605"/>
    </row>
    <row r="4" spans="1:26" ht="29.25" hidden="1" customHeight="1" x14ac:dyDescent="0.2">
      <c r="A4" s="15">
        <v>1</v>
      </c>
      <c r="B4" s="15" t="s">
        <v>2145</v>
      </c>
      <c r="C4" s="16" t="s">
        <v>2146</v>
      </c>
      <c r="D4" s="6" t="s">
        <v>8</v>
      </c>
      <c r="E4" s="6" t="s">
        <v>2147</v>
      </c>
      <c r="F4" s="15" t="s">
        <v>83</v>
      </c>
      <c r="G4" s="6" t="s">
        <v>92</v>
      </c>
      <c r="H4" s="6" t="s">
        <v>140</v>
      </c>
      <c r="I4" s="6"/>
      <c r="J4" s="6" t="s">
        <v>2148</v>
      </c>
      <c r="K4" s="6" t="s">
        <v>188</v>
      </c>
      <c r="L4" s="6" t="s">
        <v>142</v>
      </c>
      <c r="M4" s="6" t="s">
        <v>2148</v>
      </c>
      <c r="N4" s="6" t="s">
        <v>2148</v>
      </c>
      <c r="O4" s="6"/>
      <c r="P4" s="6"/>
      <c r="Q4" s="6"/>
      <c r="R4" s="6"/>
      <c r="S4" s="6"/>
      <c r="T4" s="6"/>
      <c r="U4" s="6"/>
      <c r="V4" s="15"/>
      <c r="W4" s="6"/>
      <c r="X4" s="15"/>
      <c r="Y4" s="15"/>
      <c r="Z4" s="15" t="s">
        <v>2149</v>
      </c>
    </row>
    <row r="5" spans="1:26" ht="29.25" hidden="1" customHeight="1" x14ac:dyDescent="0.2">
      <c r="A5" s="67">
        <v>2</v>
      </c>
      <c r="B5" s="67" t="s">
        <v>2145</v>
      </c>
      <c r="C5" s="68" t="s">
        <v>2146</v>
      </c>
      <c r="D5" s="69" t="s">
        <v>8</v>
      </c>
      <c r="E5" s="69"/>
      <c r="F5" s="69" t="s">
        <v>7</v>
      </c>
      <c r="G5" s="69" t="s">
        <v>92</v>
      </c>
      <c r="H5" s="69" t="s">
        <v>140</v>
      </c>
      <c r="I5" s="70" t="s">
        <v>119</v>
      </c>
      <c r="J5" s="70" t="s">
        <v>107</v>
      </c>
      <c r="K5" s="69" t="s">
        <v>188</v>
      </c>
      <c r="L5" s="69" t="s">
        <v>142</v>
      </c>
      <c r="M5" s="67" t="s">
        <v>70</v>
      </c>
      <c r="N5" s="67" t="s">
        <v>2148</v>
      </c>
      <c r="O5" s="67">
        <v>102</v>
      </c>
      <c r="P5" s="67"/>
      <c r="Q5" s="67">
        <v>125</v>
      </c>
      <c r="R5" s="67">
        <v>20</v>
      </c>
      <c r="S5" s="67" t="s">
        <v>2150</v>
      </c>
      <c r="T5" s="67" t="s">
        <v>111</v>
      </c>
      <c r="U5" s="69"/>
      <c r="V5" s="71"/>
      <c r="W5" s="72"/>
      <c r="X5" s="73"/>
      <c r="Y5" s="73"/>
      <c r="Z5" s="73" t="s">
        <v>2149</v>
      </c>
    </row>
    <row r="6" spans="1:26" ht="29.25" hidden="1" customHeight="1" x14ac:dyDescent="0.2">
      <c r="A6" s="15">
        <v>3</v>
      </c>
      <c r="B6" s="15" t="s">
        <v>2151</v>
      </c>
      <c r="C6" s="16" t="s">
        <v>2152</v>
      </c>
      <c r="D6" s="6" t="s">
        <v>19</v>
      </c>
      <c r="E6" s="6" t="s">
        <v>2147</v>
      </c>
      <c r="F6" s="15" t="s">
        <v>83</v>
      </c>
      <c r="G6" s="6" t="s">
        <v>92</v>
      </c>
      <c r="H6" s="6" t="s">
        <v>117</v>
      </c>
      <c r="I6" s="6" t="s">
        <v>73</v>
      </c>
      <c r="J6" s="6" t="s">
        <v>107</v>
      </c>
      <c r="K6" s="6" t="s">
        <v>204</v>
      </c>
      <c r="L6" s="6" t="s">
        <v>69</v>
      </c>
      <c r="M6" s="6" t="s">
        <v>70</v>
      </c>
      <c r="N6" s="6" t="s">
        <v>2153</v>
      </c>
      <c r="O6" s="6"/>
      <c r="P6" s="6"/>
      <c r="Q6" s="6"/>
      <c r="R6" s="6"/>
      <c r="S6" s="6"/>
      <c r="T6" s="6"/>
      <c r="U6" s="6"/>
      <c r="V6" s="15"/>
      <c r="W6" s="6"/>
      <c r="X6" s="15"/>
      <c r="Y6" s="15"/>
      <c r="Z6" s="15"/>
    </row>
    <row r="7" spans="1:26" ht="29.25" hidden="1" customHeight="1" x14ac:dyDescent="0.2">
      <c r="A7" s="67">
        <v>4</v>
      </c>
      <c r="B7" s="67" t="s">
        <v>2154</v>
      </c>
      <c r="C7" s="68" t="s">
        <v>2152</v>
      </c>
      <c r="D7" s="69" t="s">
        <v>19</v>
      </c>
      <c r="E7" s="69"/>
      <c r="F7" s="69" t="s">
        <v>7</v>
      </c>
      <c r="G7" s="69" t="s">
        <v>92</v>
      </c>
      <c r="H7" s="69" t="s">
        <v>140</v>
      </c>
      <c r="I7" s="70" t="s">
        <v>119</v>
      </c>
      <c r="J7" s="70" t="s">
        <v>107</v>
      </c>
      <c r="K7" s="69" t="s">
        <v>328</v>
      </c>
      <c r="L7" s="69" t="s">
        <v>142</v>
      </c>
      <c r="M7" s="67" t="s">
        <v>70</v>
      </c>
      <c r="N7" s="67" t="s">
        <v>2155</v>
      </c>
      <c r="O7" s="67">
        <v>186</v>
      </c>
      <c r="P7" s="67" t="s">
        <v>158</v>
      </c>
      <c r="Q7" s="67">
        <v>176</v>
      </c>
      <c r="R7" s="67">
        <v>12</v>
      </c>
      <c r="S7" s="67" t="s">
        <v>2156</v>
      </c>
      <c r="T7" s="67" t="s">
        <v>111</v>
      </c>
      <c r="U7" s="69"/>
      <c r="V7" s="71"/>
      <c r="W7" s="72"/>
      <c r="X7" s="73"/>
      <c r="Y7" s="73"/>
      <c r="Z7" s="73" t="s">
        <v>2157</v>
      </c>
    </row>
    <row r="8" spans="1:26" ht="29.25" hidden="1" customHeight="1" x14ac:dyDescent="0.2">
      <c r="A8" s="15">
        <v>5</v>
      </c>
      <c r="B8" s="15" t="s">
        <v>1460</v>
      </c>
      <c r="C8" s="16" t="s">
        <v>2158</v>
      </c>
      <c r="D8" s="6" t="s">
        <v>20</v>
      </c>
      <c r="E8" s="6" t="s">
        <v>192</v>
      </c>
      <c r="F8" s="15" t="s">
        <v>7</v>
      </c>
      <c r="G8" s="6" t="s">
        <v>92</v>
      </c>
      <c r="H8" s="6" t="s">
        <v>223</v>
      </c>
      <c r="I8" s="6" t="s">
        <v>119</v>
      </c>
      <c r="J8" s="6" t="s">
        <v>107</v>
      </c>
      <c r="K8" s="6" t="s">
        <v>230</v>
      </c>
      <c r="L8" s="6" t="s">
        <v>119</v>
      </c>
      <c r="M8" s="6" t="s">
        <v>107</v>
      </c>
      <c r="N8" s="6" t="s">
        <v>429</v>
      </c>
      <c r="O8" s="6" t="s">
        <v>1991</v>
      </c>
      <c r="P8" s="6" t="s">
        <v>192</v>
      </c>
      <c r="Q8" s="6" t="s">
        <v>2159</v>
      </c>
      <c r="R8" s="6" t="s">
        <v>2160</v>
      </c>
      <c r="S8" s="6" t="s">
        <v>2161</v>
      </c>
      <c r="T8" s="6" t="s">
        <v>111</v>
      </c>
      <c r="U8" s="6"/>
      <c r="V8" s="15"/>
      <c r="W8" s="6"/>
      <c r="X8" s="15"/>
      <c r="Y8" s="15"/>
      <c r="Z8" s="15"/>
    </row>
    <row r="9" spans="1:26" ht="29.25" hidden="1" customHeight="1" x14ac:dyDescent="0.2">
      <c r="A9" s="67">
        <v>6</v>
      </c>
      <c r="B9" s="67" t="s">
        <v>2162</v>
      </c>
      <c r="C9" s="68" t="s">
        <v>2163</v>
      </c>
      <c r="D9" s="69" t="s">
        <v>20</v>
      </c>
      <c r="E9" s="69" t="s">
        <v>922</v>
      </c>
      <c r="F9" s="69" t="s">
        <v>83</v>
      </c>
      <c r="G9" s="69" t="s">
        <v>92</v>
      </c>
      <c r="H9" s="69" t="s">
        <v>155</v>
      </c>
      <c r="I9" s="70" t="s">
        <v>119</v>
      </c>
      <c r="J9" s="70" t="s">
        <v>107</v>
      </c>
      <c r="K9" s="69" t="s">
        <v>156</v>
      </c>
      <c r="L9" s="69" t="s">
        <v>119</v>
      </c>
      <c r="M9" s="67" t="s">
        <v>107</v>
      </c>
      <c r="N9" s="67" t="s">
        <v>2164</v>
      </c>
      <c r="O9" s="67"/>
      <c r="P9" s="67"/>
      <c r="Q9" s="67"/>
      <c r="R9" s="67"/>
      <c r="S9" s="67"/>
      <c r="T9" s="67"/>
      <c r="U9" s="69"/>
      <c r="V9" s="71"/>
      <c r="W9" s="72"/>
      <c r="X9" s="73"/>
      <c r="Y9" s="73"/>
      <c r="Z9" s="73"/>
    </row>
    <row r="10" spans="1:26" ht="29.25" hidden="1" customHeight="1" x14ac:dyDescent="0.2">
      <c r="A10" s="15">
        <v>7</v>
      </c>
      <c r="B10" s="15" t="s">
        <v>2165</v>
      </c>
      <c r="C10" s="16" t="s">
        <v>2163</v>
      </c>
      <c r="D10" s="6" t="s">
        <v>20</v>
      </c>
      <c r="E10" s="6"/>
      <c r="F10" s="15" t="s">
        <v>7</v>
      </c>
      <c r="G10" s="6" t="s">
        <v>92</v>
      </c>
      <c r="H10" s="6" t="s">
        <v>117</v>
      </c>
      <c r="I10" s="6" t="s">
        <v>142</v>
      </c>
      <c r="J10" s="6" t="s">
        <v>70</v>
      </c>
      <c r="K10" s="6" t="s">
        <v>306</v>
      </c>
      <c r="L10" s="6" t="s">
        <v>69</v>
      </c>
      <c r="M10" s="6" t="s">
        <v>70</v>
      </c>
      <c r="N10" s="6" t="s">
        <v>429</v>
      </c>
      <c r="O10" s="6"/>
      <c r="P10" s="6" t="s">
        <v>158</v>
      </c>
      <c r="Q10" s="6"/>
      <c r="R10" s="6"/>
      <c r="S10" s="6"/>
      <c r="T10" s="6" t="s">
        <v>111</v>
      </c>
      <c r="U10" s="6"/>
      <c r="V10" s="15"/>
      <c r="W10" s="6"/>
      <c r="X10" s="15"/>
      <c r="Y10" s="15"/>
      <c r="Z10" s="15"/>
    </row>
    <row r="11" spans="1:26" ht="29.25" hidden="1" customHeight="1" x14ac:dyDescent="0.2">
      <c r="A11" s="67">
        <v>8</v>
      </c>
      <c r="B11" s="67" t="s">
        <v>2165</v>
      </c>
      <c r="C11" s="68" t="s">
        <v>2166</v>
      </c>
      <c r="D11" s="69" t="s">
        <v>9</v>
      </c>
      <c r="E11" s="69" t="s">
        <v>2147</v>
      </c>
      <c r="F11" s="69" t="s">
        <v>83</v>
      </c>
      <c r="G11" s="69" t="s">
        <v>2167</v>
      </c>
      <c r="H11" s="69" t="s">
        <v>334</v>
      </c>
      <c r="I11" s="70" t="s">
        <v>69</v>
      </c>
      <c r="J11" s="70" t="s">
        <v>70</v>
      </c>
      <c r="K11" s="69" t="s">
        <v>991</v>
      </c>
      <c r="L11" s="69" t="s">
        <v>262</v>
      </c>
      <c r="M11" s="67" t="s">
        <v>70</v>
      </c>
      <c r="N11" s="67" t="s">
        <v>2148</v>
      </c>
      <c r="O11" s="67"/>
      <c r="P11" s="67"/>
      <c r="Q11" s="67"/>
      <c r="R11" s="67"/>
      <c r="S11" s="67"/>
      <c r="T11" s="67"/>
      <c r="U11" s="69"/>
      <c r="V11" s="71"/>
      <c r="W11" s="72"/>
      <c r="X11" s="73"/>
      <c r="Y11" s="73"/>
      <c r="Z11" s="73"/>
    </row>
    <row r="12" spans="1:26" ht="29.25" hidden="1" customHeight="1" x14ac:dyDescent="0.2">
      <c r="A12" s="15">
        <v>9</v>
      </c>
      <c r="B12" s="15" t="s">
        <v>2165</v>
      </c>
      <c r="C12" s="16" t="s">
        <v>2166</v>
      </c>
      <c r="D12" s="6" t="s">
        <v>9</v>
      </c>
      <c r="E12" s="6"/>
      <c r="F12" s="15" t="s">
        <v>7</v>
      </c>
      <c r="G12" s="6" t="s">
        <v>2167</v>
      </c>
      <c r="H12" s="6" t="s">
        <v>141</v>
      </c>
      <c r="I12" s="6" t="s">
        <v>1210</v>
      </c>
      <c r="J12" s="6" t="s">
        <v>107</v>
      </c>
      <c r="K12" s="6" t="s">
        <v>1051</v>
      </c>
      <c r="L12" s="6" t="s">
        <v>1210</v>
      </c>
      <c r="M12" s="6" t="s">
        <v>107</v>
      </c>
      <c r="N12" s="6" t="s">
        <v>429</v>
      </c>
      <c r="O12" s="6" t="s">
        <v>1991</v>
      </c>
      <c r="P12" s="6" t="s">
        <v>158</v>
      </c>
      <c r="Q12" s="6" t="s">
        <v>1781</v>
      </c>
      <c r="R12" s="6" t="s">
        <v>2168</v>
      </c>
      <c r="S12" s="6" t="s">
        <v>2165</v>
      </c>
      <c r="T12" s="6" t="s">
        <v>111</v>
      </c>
      <c r="U12" s="6"/>
      <c r="V12" s="15"/>
      <c r="W12" s="6"/>
      <c r="X12" s="15"/>
      <c r="Y12" s="15"/>
      <c r="Z12" s="15" t="s">
        <v>2169</v>
      </c>
    </row>
    <row r="13" spans="1:26" ht="29.25" hidden="1" customHeight="1" x14ac:dyDescent="0.2">
      <c r="A13" s="67">
        <v>10</v>
      </c>
      <c r="B13" s="67" t="s">
        <v>2170</v>
      </c>
      <c r="C13" s="68" t="s">
        <v>474</v>
      </c>
      <c r="D13" s="69" t="s">
        <v>10</v>
      </c>
      <c r="E13" s="69" t="s">
        <v>456</v>
      </c>
      <c r="F13" s="69" t="s">
        <v>83</v>
      </c>
      <c r="G13" s="69" t="s">
        <v>92</v>
      </c>
      <c r="H13" s="69" t="s">
        <v>117</v>
      </c>
      <c r="I13" s="70" t="s">
        <v>119</v>
      </c>
      <c r="J13" s="70" t="s">
        <v>107</v>
      </c>
      <c r="K13" s="69" t="s">
        <v>204</v>
      </c>
      <c r="L13" s="69" t="s">
        <v>119</v>
      </c>
      <c r="M13" s="67" t="s">
        <v>369</v>
      </c>
      <c r="N13" s="67" t="s">
        <v>2171</v>
      </c>
      <c r="O13" s="67"/>
      <c r="P13" s="67"/>
      <c r="Q13" s="67"/>
      <c r="R13" s="67"/>
      <c r="S13" s="67"/>
      <c r="T13" s="67"/>
      <c r="U13" s="69"/>
      <c r="V13" s="71"/>
      <c r="W13" s="72"/>
      <c r="X13" s="73"/>
      <c r="Y13" s="73"/>
      <c r="Z13" s="73"/>
    </row>
    <row r="14" spans="1:26" ht="29.25" hidden="1" customHeight="1" x14ac:dyDescent="0.2">
      <c r="A14" s="15">
        <v>11</v>
      </c>
      <c r="B14" s="15" t="s">
        <v>475</v>
      </c>
      <c r="C14" s="16" t="s">
        <v>474</v>
      </c>
      <c r="D14" s="6" t="s">
        <v>10</v>
      </c>
      <c r="E14" s="6"/>
      <c r="F14" s="15" t="s">
        <v>7</v>
      </c>
      <c r="G14" s="6" t="s">
        <v>92</v>
      </c>
      <c r="H14" s="6" t="s">
        <v>117</v>
      </c>
      <c r="I14" s="6" t="s">
        <v>119</v>
      </c>
      <c r="J14" s="6" t="s">
        <v>107</v>
      </c>
      <c r="K14" s="6" t="s">
        <v>204</v>
      </c>
      <c r="L14" s="6" t="s">
        <v>119</v>
      </c>
      <c r="M14" s="6" t="s">
        <v>107</v>
      </c>
      <c r="N14" s="6" t="s">
        <v>429</v>
      </c>
      <c r="O14" s="6" t="s">
        <v>1833</v>
      </c>
      <c r="P14" s="6"/>
      <c r="Q14" s="6" t="s">
        <v>169</v>
      </c>
      <c r="R14" s="6" t="s">
        <v>2172</v>
      </c>
      <c r="S14" s="6" t="s">
        <v>2170</v>
      </c>
      <c r="T14" s="6" t="s">
        <v>111</v>
      </c>
      <c r="U14" s="6"/>
      <c r="V14" s="15"/>
      <c r="W14" s="6"/>
      <c r="X14" s="15"/>
      <c r="Y14" s="15"/>
      <c r="Z14" s="15"/>
    </row>
    <row r="15" spans="1:26" ht="29.25" hidden="1" customHeight="1" x14ac:dyDescent="0.2">
      <c r="A15" s="67">
        <v>12</v>
      </c>
      <c r="B15" s="67" t="s">
        <v>2173</v>
      </c>
      <c r="C15" s="68" t="s">
        <v>597</v>
      </c>
      <c r="D15" s="69" t="s">
        <v>6</v>
      </c>
      <c r="E15" s="69" t="s">
        <v>2174</v>
      </c>
      <c r="F15" s="69" t="s">
        <v>222</v>
      </c>
      <c r="G15" s="69" t="s">
        <v>92</v>
      </c>
      <c r="H15" s="69" t="s">
        <v>104</v>
      </c>
      <c r="I15" s="70" t="s">
        <v>206</v>
      </c>
      <c r="J15" s="70" t="s">
        <v>107</v>
      </c>
      <c r="K15" s="69" t="s">
        <v>402</v>
      </c>
      <c r="L15" s="69" t="s">
        <v>2175</v>
      </c>
      <c r="M15" s="67" t="s">
        <v>107</v>
      </c>
      <c r="N15" s="67" t="s">
        <v>2176</v>
      </c>
      <c r="O15" s="67"/>
      <c r="P15" s="67"/>
      <c r="Q15" s="67"/>
      <c r="R15" s="67"/>
      <c r="S15" s="67"/>
      <c r="T15" s="67"/>
      <c r="U15" s="69"/>
      <c r="V15" s="71"/>
      <c r="W15" s="72"/>
      <c r="X15" s="73"/>
      <c r="Y15" s="73"/>
      <c r="Z15" s="73"/>
    </row>
    <row r="16" spans="1:26" ht="29.25" hidden="1" customHeight="1" x14ac:dyDescent="0.2">
      <c r="A16" s="15">
        <v>13</v>
      </c>
      <c r="B16" s="15" t="s">
        <v>2177</v>
      </c>
      <c r="C16" s="16" t="s">
        <v>2178</v>
      </c>
      <c r="D16" s="6" t="s">
        <v>6</v>
      </c>
      <c r="E16" s="6" t="s">
        <v>2147</v>
      </c>
      <c r="F16" s="15" t="s">
        <v>83</v>
      </c>
      <c r="G16" s="6" t="s">
        <v>92</v>
      </c>
      <c r="H16" s="6" t="s">
        <v>155</v>
      </c>
      <c r="I16" s="6" t="s">
        <v>142</v>
      </c>
      <c r="J16" s="6" t="s">
        <v>70</v>
      </c>
      <c r="K16" s="6" t="s">
        <v>167</v>
      </c>
      <c r="L16" s="6" t="s">
        <v>119</v>
      </c>
      <c r="M16" s="6" t="s">
        <v>107</v>
      </c>
      <c r="N16" s="6" t="s">
        <v>2179</v>
      </c>
      <c r="O16" s="6"/>
      <c r="P16" s="6"/>
      <c r="Q16" s="6"/>
      <c r="R16" s="6"/>
      <c r="S16" s="6"/>
      <c r="T16" s="6"/>
      <c r="U16" s="6"/>
      <c r="V16" s="15"/>
      <c r="W16" s="6"/>
      <c r="X16" s="15"/>
      <c r="Y16" s="15"/>
      <c r="Z16" s="15"/>
    </row>
    <row r="17" spans="1:26" ht="29.25" hidden="1" customHeight="1" x14ac:dyDescent="0.2">
      <c r="A17" s="67">
        <v>14</v>
      </c>
      <c r="B17" s="67" t="s">
        <v>2180</v>
      </c>
      <c r="C17" s="68" t="s">
        <v>2178</v>
      </c>
      <c r="D17" s="69" t="s">
        <v>6</v>
      </c>
      <c r="E17" s="69"/>
      <c r="F17" s="69" t="s">
        <v>7</v>
      </c>
      <c r="G17" s="69" t="s">
        <v>92</v>
      </c>
      <c r="H17" s="69" t="s">
        <v>68</v>
      </c>
      <c r="I17" s="70" t="s">
        <v>119</v>
      </c>
      <c r="J17" s="70" t="s">
        <v>107</v>
      </c>
      <c r="K17" s="69" t="s">
        <v>263</v>
      </c>
      <c r="L17" s="69" t="s">
        <v>119</v>
      </c>
      <c r="M17" s="67" t="s">
        <v>107</v>
      </c>
      <c r="N17" s="67">
        <v>0</v>
      </c>
      <c r="O17" s="67">
        <v>135</v>
      </c>
      <c r="P17" s="67" t="s">
        <v>158</v>
      </c>
      <c r="Q17" s="67">
        <v>205</v>
      </c>
      <c r="R17" s="67">
        <v>20</v>
      </c>
      <c r="S17" s="67" t="s">
        <v>2154</v>
      </c>
      <c r="T17" s="67" t="s">
        <v>111</v>
      </c>
      <c r="U17" s="69"/>
      <c r="V17" s="71"/>
      <c r="W17" s="72"/>
      <c r="X17" s="73"/>
      <c r="Y17" s="73"/>
      <c r="Z17" s="73"/>
    </row>
    <row r="18" spans="1:26" ht="29.25" hidden="1" customHeight="1" x14ac:dyDescent="0.2">
      <c r="A18" s="15">
        <v>15</v>
      </c>
      <c r="B18" s="15" t="s">
        <v>2180</v>
      </c>
      <c r="C18" s="16" t="s">
        <v>286</v>
      </c>
      <c r="D18" s="6" t="s">
        <v>9</v>
      </c>
      <c r="E18" s="6" t="s">
        <v>1642</v>
      </c>
      <c r="F18" s="15" t="s">
        <v>83</v>
      </c>
      <c r="G18" s="6" t="s">
        <v>2167</v>
      </c>
      <c r="H18" s="6" t="s">
        <v>68</v>
      </c>
      <c r="I18" s="6" t="s">
        <v>206</v>
      </c>
      <c r="J18" s="6" t="s">
        <v>107</v>
      </c>
      <c r="K18" s="6" t="s">
        <v>263</v>
      </c>
      <c r="L18" s="6" t="s">
        <v>142</v>
      </c>
      <c r="M18" s="6" t="s">
        <v>70</v>
      </c>
      <c r="N18" s="6" t="s">
        <v>2181</v>
      </c>
      <c r="O18" s="6"/>
      <c r="P18" s="6"/>
      <c r="Q18" s="6"/>
      <c r="R18" s="6"/>
      <c r="S18" s="6"/>
      <c r="T18" s="6"/>
      <c r="U18" s="6"/>
      <c r="V18" s="15"/>
      <c r="W18" s="6"/>
      <c r="X18" s="15"/>
      <c r="Y18" s="15"/>
      <c r="Z18" s="15"/>
    </row>
    <row r="19" spans="1:26" ht="29.25" hidden="1" customHeight="1" x14ac:dyDescent="0.2">
      <c r="A19" s="67">
        <v>16</v>
      </c>
      <c r="B19" s="67" t="s">
        <v>2182</v>
      </c>
      <c r="C19" s="68" t="s">
        <v>2183</v>
      </c>
      <c r="D19" s="69" t="s">
        <v>20</v>
      </c>
      <c r="E19" s="69" t="s">
        <v>2184</v>
      </c>
      <c r="F19" s="69" t="s">
        <v>83</v>
      </c>
      <c r="G19" s="69" t="s">
        <v>92</v>
      </c>
      <c r="H19" s="69" t="s">
        <v>155</v>
      </c>
      <c r="I19" s="70" t="s">
        <v>206</v>
      </c>
      <c r="J19" s="70" t="s">
        <v>107</v>
      </c>
      <c r="K19" s="69" t="s">
        <v>156</v>
      </c>
      <c r="L19" s="69" t="s">
        <v>262</v>
      </c>
      <c r="M19" s="67" t="s">
        <v>70</v>
      </c>
      <c r="N19" s="67" t="s">
        <v>2185</v>
      </c>
      <c r="O19" s="67"/>
      <c r="P19" s="67"/>
      <c r="Q19" s="67"/>
      <c r="R19" s="67"/>
      <c r="S19" s="67"/>
      <c r="T19" s="67"/>
      <c r="U19" s="69"/>
      <c r="V19" s="71"/>
      <c r="W19" s="72"/>
      <c r="X19" s="73"/>
      <c r="Y19" s="73"/>
      <c r="Z19" s="73"/>
    </row>
    <row r="20" spans="1:26" ht="29.25" hidden="1" customHeight="1" x14ac:dyDescent="0.2">
      <c r="A20" s="15">
        <v>17</v>
      </c>
      <c r="B20" s="15" t="s">
        <v>911</v>
      </c>
      <c r="C20" s="16" t="s">
        <v>286</v>
      </c>
      <c r="D20" s="6" t="s">
        <v>9</v>
      </c>
      <c r="E20" s="6"/>
      <c r="F20" s="15" t="s">
        <v>7</v>
      </c>
      <c r="G20" s="6" t="s">
        <v>2167</v>
      </c>
      <c r="H20" s="6" t="s">
        <v>68</v>
      </c>
      <c r="I20" s="6" t="s">
        <v>119</v>
      </c>
      <c r="J20" s="6" t="s">
        <v>107</v>
      </c>
      <c r="K20" s="6" t="s">
        <v>263</v>
      </c>
      <c r="L20" s="6" t="s">
        <v>119</v>
      </c>
      <c r="M20" s="6" t="s">
        <v>107</v>
      </c>
      <c r="N20" s="6" t="s">
        <v>429</v>
      </c>
      <c r="O20" s="6" t="s">
        <v>1991</v>
      </c>
      <c r="P20" s="6"/>
      <c r="Q20" s="6" t="s">
        <v>1858</v>
      </c>
      <c r="R20" s="6" t="s">
        <v>2186</v>
      </c>
      <c r="S20" s="6" t="s">
        <v>475</v>
      </c>
      <c r="T20" s="6" t="s">
        <v>160</v>
      </c>
      <c r="U20" s="6"/>
      <c r="V20" s="15"/>
      <c r="W20" s="6"/>
      <c r="X20" s="15"/>
      <c r="Y20" s="15"/>
      <c r="Z20" s="15"/>
    </row>
    <row r="21" spans="1:26" ht="29.25" hidden="1" customHeight="1" x14ac:dyDescent="0.2">
      <c r="A21" s="67">
        <v>18</v>
      </c>
      <c r="B21" s="67" t="s">
        <v>911</v>
      </c>
      <c r="C21" s="68" t="s">
        <v>2183</v>
      </c>
      <c r="D21" s="69" t="s">
        <v>20</v>
      </c>
      <c r="E21" s="69"/>
      <c r="F21" s="69" t="s">
        <v>7</v>
      </c>
      <c r="G21" s="69" t="s">
        <v>92</v>
      </c>
      <c r="H21" s="69" t="s">
        <v>104</v>
      </c>
      <c r="I21" s="70" t="s">
        <v>142</v>
      </c>
      <c r="J21" s="70" t="s">
        <v>70</v>
      </c>
      <c r="K21" s="69" t="s">
        <v>128</v>
      </c>
      <c r="L21" s="69" t="s">
        <v>69</v>
      </c>
      <c r="M21" s="67" t="s">
        <v>70</v>
      </c>
      <c r="N21" s="67">
        <v>0</v>
      </c>
      <c r="O21" s="67">
        <v>222</v>
      </c>
      <c r="P21" s="67" t="s">
        <v>158</v>
      </c>
      <c r="Q21" s="67">
        <v>280</v>
      </c>
      <c r="R21" s="67">
        <v>9</v>
      </c>
      <c r="S21" s="67" t="s">
        <v>2187</v>
      </c>
      <c r="T21" s="67" t="s">
        <v>160</v>
      </c>
      <c r="U21" s="69"/>
      <c r="V21" s="71"/>
      <c r="W21" s="72"/>
      <c r="X21" s="73"/>
      <c r="Y21" s="73"/>
      <c r="Z21" s="73"/>
    </row>
    <row r="22" spans="1:26" ht="29.25" hidden="1" customHeight="1" x14ac:dyDescent="0.2">
      <c r="A22" s="15">
        <v>19</v>
      </c>
      <c r="B22" s="15" t="s">
        <v>2188</v>
      </c>
      <c r="C22" s="16" t="s">
        <v>1456</v>
      </c>
      <c r="D22" s="6"/>
      <c r="E22" s="6" t="s">
        <v>2147</v>
      </c>
      <c r="F22" s="15" t="s">
        <v>83</v>
      </c>
      <c r="G22" s="6" t="s">
        <v>92</v>
      </c>
      <c r="H22" s="6" t="s">
        <v>155</v>
      </c>
      <c r="I22" s="6" t="s">
        <v>142</v>
      </c>
      <c r="J22" s="6" t="s">
        <v>70</v>
      </c>
      <c r="K22" s="6" t="s">
        <v>324</v>
      </c>
      <c r="L22" s="6" t="s">
        <v>119</v>
      </c>
      <c r="M22" s="6" t="s">
        <v>107</v>
      </c>
      <c r="N22" s="6" t="s">
        <v>2189</v>
      </c>
      <c r="O22" s="6"/>
      <c r="P22" s="6"/>
      <c r="Q22" s="6"/>
      <c r="R22" s="6"/>
      <c r="S22" s="6"/>
      <c r="T22" s="6"/>
      <c r="U22" s="6"/>
      <c r="V22" s="15"/>
      <c r="W22" s="6"/>
      <c r="X22" s="15"/>
      <c r="Y22" s="15"/>
      <c r="Z22" s="15"/>
    </row>
    <row r="23" spans="1:26" ht="29.25" hidden="1" customHeight="1" x14ac:dyDescent="0.2">
      <c r="A23" s="67">
        <v>20</v>
      </c>
      <c r="B23" s="67" t="s">
        <v>2145</v>
      </c>
      <c r="C23" s="68" t="s">
        <v>1456</v>
      </c>
      <c r="D23" s="69"/>
      <c r="E23" s="69"/>
      <c r="F23" s="69" t="s">
        <v>7</v>
      </c>
      <c r="G23" s="69" t="s">
        <v>92</v>
      </c>
      <c r="H23" s="69" t="s">
        <v>155</v>
      </c>
      <c r="I23" s="70" t="s">
        <v>119</v>
      </c>
      <c r="J23" s="70" t="s">
        <v>107</v>
      </c>
      <c r="K23" s="69" t="s">
        <v>324</v>
      </c>
      <c r="L23" s="69" t="s">
        <v>119</v>
      </c>
      <c r="M23" s="67" t="s">
        <v>107</v>
      </c>
      <c r="N23" s="67">
        <v>0</v>
      </c>
      <c r="O23" s="67"/>
      <c r="P23" s="67"/>
      <c r="Q23" s="67"/>
      <c r="R23" s="67"/>
      <c r="S23" s="67"/>
      <c r="T23" s="67"/>
      <c r="U23" s="69"/>
      <c r="V23" s="71"/>
      <c r="W23" s="72"/>
      <c r="X23" s="73"/>
      <c r="Y23" s="73"/>
      <c r="Z23" s="73"/>
    </row>
    <row r="24" spans="1:26" ht="29.25" hidden="1" customHeight="1" x14ac:dyDescent="0.2">
      <c r="A24" s="15">
        <v>21</v>
      </c>
      <c r="B24" s="15" t="s">
        <v>2190</v>
      </c>
      <c r="C24" s="16" t="s">
        <v>2191</v>
      </c>
      <c r="D24" s="6" t="s">
        <v>20</v>
      </c>
      <c r="E24" s="6" t="s">
        <v>2147</v>
      </c>
      <c r="F24" s="15" t="s">
        <v>83</v>
      </c>
      <c r="G24" s="6" t="s">
        <v>92</v>
      </c>
      <c r="H24" s="6" t="s">
        <v>117</v>
      </c>
      <c r="I24" s="6" t="s">
        <v>262</v>
      </c>
      <c r="J24" s="6" t="s">
        <v>70</v>
      </c>
      <c r="K24" s="6" t="s">
        <v>470</v>
      </c>
      <c r="L24" s="6" t="s">
        <v>262</v>
      </c>
      <c r="M24" s="6" t="s">
        <v>70</v>
      </c>
      <c r="N24" s="6" t="s">
        <v>2192</v>
      </c>
      <c r="O24" s="6"/>
      <c r="P24" s="6"/>
      <c r="Q24" s="6"/>
      <c r="R24" s="6"/>
      <c r="S24" s="6"/>
      <c r="T24" s="6"/>
      <c r="U24" s="6"/>
      <c r="V24" s="15"/>
      <c r="W24" s="6"/>
      <c r="X24" s="15"/>
      <c r="Y24" s="15"/>
      <c r="Z24" s="15"/>
    </row>
    <row r="25" spans="1:26" ht="29.25" hidden="1" customHeight="1" x14ac:dyDescent="0.2">
      <c r="A25" s="67">
        <v>22</v>
      </c>
      <c r="B25" s="67" t="s">
        <v>2190</v>
      </c>
      <c r="C25" s="68" t="s">
        <v>2191</v>
      </c>
      <c r="D25" s="69" t="s">
        <v>20</v>
      </c>
      <c r="E25" s="69"/>
      <c r="F25" s="69" t="s">
        <v>7</v>
      </c>
      <c r="G25" s="69" t="s">
        <v>92</v>
      </c>
      <c r="H25" s="69" t="s">
        <v>104</v>
      </c>
      <c r="I25" s="70" t="s">
        <v>119</v>
      </c>
      <c r="J25" s="70" t="s">
        <v>107</v>
      </c>
      <c r="K25" s="69" t="s">
        <v>108</v>
      </c>
      <c r="L25" s="69" t="s">
        <v>119</v>
      </c>
      <c r="M25" s="67" t="s">
        <v>107</v>
      </c>
      <c r="N25" s="67">
        <v>0</v>
      </c>
      <c r="O25" s="67">
        <v>99</v>
      </c>
      <c r="P25" s="67" t="s">
        <v>158</v>
      </c>
      <c r="Q25" s="67">
        <v>150</v>
      </c>
      <c r="R25" s="67">
        <v>22</v>
      </c>
      <c r="S25" s="67" t="s">
        <v>2188</v>
      </c>
      <c r="T25" s="67" t="s">
        <v>111</v>
      </c>
      <c r="U25" s="69"/>
      <c r="V25" s="71"/>
      <c r="W25" s="72"/>
      <c r="X25" s="73"/>
      <c r="Y25" s="73"/>
      <c r="Z25" s="73"/>
    </row>
    <row r="26" spans="1:26" ht="29.25" hidden="1" customHeight="1" x14ac:dyDescent="0.2">
      <c r="A26" s="15">
        <v>23</v>
      </c>
      <c r="B26" s="15" t="s">
        <v>2193</v>
      </c>
      <c r="C26" s="16" t="s">
        <v>2072</v>
      </c>
      <c r="D26" s="6" t="s">
        <v>6</v>
      </c>
      <c r="E26" s="6" t="s">
        <v>2147</v>
      </c>
      <c r="F26" s="15" t="s">
        <v>83</v>
      </c>
      <c r="G26" s="6" t="s">
        <v>92</v>
      </c>
      <c r="H26" s="6" t="s">
        <v>218</v>
      </c>
      <c r="I26" s="6" t="s">
        <v>142</v>
      </c>
      <c r="J26" s="6" t="s">
        <v>70</v>
      </c>
      <c r="K26" s="6" t="s">
        <v>268</v>
      </c>
      <c r="L26" s="6" t="s">
        <v>119</v>
      </c>
      <c r="M26" s="6" t="s">
        <v>107</v>
      </c>
      <c r="N26" s="6" t="s">
        <v>2194</v>
      </c>
      <c r="O26" s="6"/>
      <c r="P26" s="6"/>
      <c r="Q26" s="6"/>
      <c r="R26" s="6"/>
      <c r="S26" s="6"/>
      <c r="T26" s="6"/>
      <c r="U26" s="6"/>
      <c r="V26" s="15"/>
      <c r="W26" s="6"/>
      <c r="X26" s="15"/>
      <c r="Y26" s="15"/>
      <c r="Z26" s="15"/>
    </row>
    <row r="27" spans="1:26" ht="29.25" hidden="1" customHeight="1" x14ac:dyDescent="0.2">
      <c r="A27" s="67">
        <v>24</v>
      </c>
      <c r="B27" s="67" t="s">
        <v>2195</v>
      </c>
      <c r="C27" s="68" t="s">
        <v>2072</v>
      </c>
      <c r="D27" s="69" t="s">
        <v>6</v>
      </c>
      <c r="E27" s="69"/>
      <c r="F27" s="69" t="s">
        <v>7</v>
      </c>
      <c r="G27" s="69" t="s">
        <v>92</v>
      </c>
      <c r="H27" s="69" t="s">
        <v>218</v>
      </c>
      <c r="I27" s="70" t="s">
        <v>119</v>
      </c>
      <c r="J27" s="70" t="s">
        <v>107</v>
      </c>
      <c r="K27" s="69" t="s">
        <v>899</v>
      </c>
      <c r="L27" s="69" t="s">
        <v>2175</v>
      </c>
      <c r="M27" s="67" t="s">
        <v>107</v>
      </c>
      <c r="N27" s="67">
        <v>0</v>
      </c>
      <c r="O27" s="67">
        <v>198</v>
      </c>
      <c r="P27" s="67" t="s">
        <v>158</v>
      </c>
      <c r="Q27" s="67">
        <v>155</v>
      </c>
      <c r="R27" s="67">
        <v>23.3</v>
      </c>
      <c r="S27" s="67" t="s">
        <v>2193</v>
      </c>
      <c r="T27" s="67" t="s">
        <v>160</v>
      </c>
      <c r="U27" s="69"/>
      <c r="V27" s="71"/>
      <c r="W27" s="72"/>
      <c r="X27" s="73"/>
      <c r="Y27" s="73"/>
      <c r="Z27" s="73"/>
    </row>
    <row r="28" spans="1:26" ht="29.25" hidden="1" customHeight="1" x14ac:dyDescent="0.2">
      <c r="A28" s="15">
        <v>25</v>
      </c>
      <c r="B28" s="15" t="s">
        <v>2196</v>
      </c>
      <c r="C28" s="16" t="s">
        <v>2197</v>
      </c>
      <c r="D28" s="6" t="s">
        <v>10</v>
      </c>
      <c r="E28" s="6" t="s">
        <v>2147</v>
      </c>
      <c r="F28" s="15" t="s">
        <v>83</v>
      </c>
      <c r="G28" s="6" t="s">
        <v>92</v>
      </c>
      <c r="H28" s="6" t="s">
        <v>218</v>
      </c>
      <c r="I28" s="6" t="s">
        <v>142</v>
      </c>
      <c r="J28" s="6" t="s">
        <v>70</v>
      </c>
      <c r="K28" s="6" t="s">
        <v>167</v>
      </c>
      <c r="L28" s="6" t="s">
        <v>119</v>
      </c>
      <c r="M28" s="6" t="s">
        <v>107</v>
      </c>
      <c r="N28" s="6" t="s">
        <v>2198</v>
      </c>
      <c r="O28" s="6"/>
      <c r="P28" s="6"/>
      <c r="Q28" s="6"/>
      <c r="R28" s="6"/>
      <c r="S28" s="6"/>
      <c r="T28" s="6"/>
      <c r="U28" s="6"/>
      <c r="V28" s="15"/>
      <c r="W28" s="6"/>
      <c r="X28" s="15"/>
      <c r="Y28" s="15"/>
      <c r="Z28" s="15"/>
    </row>
    <row r="29" spans="1:26" ht="29.25" hidden="1" customHeight="1" x14ac:dyDescent="0.2">
      <c r="A29" s="67">
        <v>26</v>
      </c>
      <c r="B29" s="67" t="s">
        <v>743</v>
      </c>
      <c r="C29" s="68" t="s">
        <v>739</v>
      </c>
      <c r="D29" s="69" t="s">
        <v>10</v>
      </c>
      <c r="E29" s="69" t="s">
        <v>2147</v>
      </c>
      <c r="F29" s="69" t="s">
        <v>83</v>
      </c>
      <c r="G29" s="69" t="s">
        <v>92</v>
      </c>
      <c r="H29" s="69" t="s">
        <v>104</v>
      </c>
      <c r="I29" s="70" t="s">
        <v>206</v>
      </c>
      <c r="J29" s="70" t="s">
        <v>107</v>
      </c>
      <c r="K29" s="69" t="s">
        <v>361</v>
      </c>
      <c r="L29" s="69" t="s">
        <v>206</v>
      </c>
      <c r="M29" s="67" t="s">
        <v>107</v>
      </c>
      <c r="N29" s="67" t="s">
        <v>2199</v>
      </c>
      <c r="O29" s="67"/>
      <c r="P29" s="67"/>
      <c r="Q29" s="67"/>
      <c r="R29" s="67"/>
      <c r="S29" s="67"/>
      <c r="T29" s="67"/>
      <c r="U29" s="69"/>
      <c r="V29" s="71"/>
      <c r="W29" s="72"/>
      <c r="X29" s="73"/>
      <c r="Y29" s="73"/>
      <c r="Z29" s="73"/>
    </row>
    <row r="30" spans="1:26" ht="29.25" hidden="1" customHeight="1" x14ac:dyDescent="0.2">
      <c r="A30" s="15">
        <v>27</v>
      </c>
      <c r="B30" s="15" t="s">
        <v>2200</v>
      </c>
      <c r="C30" s="16" t="s">
        <v>2197</v>
      </c>
      <c r="D30" s="6" t="s">
        <v>10</v>
      </c>
      <c r="E30" s="6"/>
      <c r="F30" s="15" t="s">
        <v>7</v>
      </c>
      <c r="G30" s="6" t="s">
        <v>92</v>
      </c>
      <c r="H30" s="6" t="s">
        <v>218</v>
      </c>
      <c r="I30" s="6" t="s">
        <v>119</v>
      </c>
      <c r="J30" s="6" t="s">
        <v>107</v>
      </c>
      <c r="K30" s="6" t="s">
        <v>167</v>
      </c>
      <c r="L30" s="6" t="s">
        <v>119</v>
      </c>
      <c r="M30" s="6" t="s">
        <v>107</v>
      </c>
      <c r="N30" s="6" t="s">
        <v>429</v>
      </c>
      <c r="O30" s="6" t="s">
        <v>2201</v>
      </c>
      <c r="P30" s="6"/>
      <c r="Q30" s="6" t="s">
        <v>2202</v>
      </c>
      <c r="R30" s="6" t="s">
        <v>865</v>
      </c>
      <c r="S30" s="6" t="s">
        <v>2196</v>
      </c>
      <c r="T30" s="6" t="s">
        <v>160</v>
      </c>
      <c r="U30" s="6"/>
      <c r="V30" s="15"/>
      <c r="W30" s="6"/>
      <c r="X30" s="15"/>
      <c r="Y30" s="15"/>
      <c r="Z30" s="15"/>
    </row>
    <row r="31" spans="1:26" ht="29.25" hidden="1" customHeight="1" x14ac:dyDescent="0.2">
      <c r="A31" s="67">
        <v>28</v>
      </c>
      <c r="B31" s="67" t="s">
        <v>742</v>
      </c>
      <c r="C31" s="68" t="s">
        <v>2203</v>
      </c>
      <c r="D31" s="69" t="s">
        <v>10</v>
      </c>
      <c r="E31" s="69"/>
      <c r="F31" s="69" t="s">
        <v>7</v>
      </c>
      <c r="G31" s="69" t="s">
        <v>92</v>
      </c>
      <c r="H31" s="69" t="s">
        <v>104</v>
      </c>
      <c r="I31" s="70" t="s">
        <v>119</v>
      </c>
      <c r="J31" s="70" t="s">
        <v>107</v>
      </c>
      <c r="K31" s="69" t="s">
        <v>361</v>
      </c>
      <c r="L31" s="69" t="s">
        <v>119</v>
      </c>
      <c r="M31" s="67" t="s">
        <v>107</v>
      </c>
      <c r="N31" s="67">
        <v>0</v>
      </c>
      <c r="O31" s="67">
        <v>186</v>
      </c>
      <c r="P31" s="67"/>
      <c r="Q31" s="67">
        <v>193</v>
      </c>
      <c r="R31" s="67">
        <v>19</v>
      </c>
      <c r="S31" s="67" t="s">
        <v>743</v>
      </c>
      <c r="T31" s="67" t="s">
        <v>111</v>
      </c>
      <c r="U31" s="69"/>
      <c r="V31" s="71"/>
      <c r="W31" s="72"/>
      <c r="X31" s="73"/>
      <c r="Y31" s="73"/>
      <c r="Z31" s="73"/>
    </row>
    <row r="32" spans="1:26" ht="29.25" hidden="1" customHeight="1" x14ac:dyDescent="0.2">
      <c r="A32" s="15">
        <v>29</v>
      </c>
      <c r="B32" s="15" t="s">
        <v>2204</v>
      </c>
      <c r="C32" s="16" t="s">
        <v>2205</v>
      </c>
      <c r="D32" s="6" t="s">
        <v>9</v>
      </c>
      <c r="E32" s="6"/>
      <c r="F32" s="15" t="s">
        <v>7</v>
      </c>
      <c r="G32" s="6" t="s">
        <v>92</v>
      </c>
      <c r="H32" s="6" t="s">
        <v>223</v>
      </c>
      <c r="I32" s="6" t="s">
        <v>142</v>
      </c>
      <c r="J32" s="6" t="s">
        <v>70</v>
      </c>
      <c r="K32" s="6" t="s">
        <v>230</v>
      </c>
      <c r="L32" s="6" t="s">
        <v>2175</v>
      </c>
      <c r="M32" s="6" t="s">
        <v>107</v>
      </c>
      <c r="N32" s="6" t="s">
        <v>429</v>
      </c>
      <c r="O32" s="6" t="s">
        <v>1916</v>
      </c>
      <c r="P32" s="6"/>
      <c r="Q32" s="6" t="s">
        <v>2082</v>
      </c>
      <c r="R32" s="6" t="s">
        <v>465</v>
      </c>
      <c r="S32" s="6" t="s">
        <v>2206</v>
      </c>
      <c r="T32" s="6" t="s">
        <v>2207</v>
      </c>
      <c r="U32" s="6"/>
      <c r="V32" s="15"/>
      <c r="W32" s="6"/>
      <c r="X32" s="15"/>
      <c r="Y32" s="15"/>
      <c r="Z32" s="15"/>
    </row>
    <row r="33" spans="1:26" ht="29.25" hidden="1" customHeight="1" x14ac:dyDescent="0.2">
      <c r="A33" s="67">
        <v>30</v>
      </c>
      <c r="B33" s="67" t="s">
        <v>2208</v>
      </c>
      <c r="C33" s="68" t="s">
        <v>2209</v>
      </c>
      <c r="D33" s="69" t="s">
        <v>66</v>
      </c>
      <c r="E33" s="69"/>
      <c r="F33" s="69" t="s">
        <v>222</v>
      </c>
      <c r="G33" s="69" t="s">
        <v>92</v>
      </c>
      <c r="H33" s="69"/>
      <c r="I33" s="70"/>
      <c r="J33" s="70"/>
      <c r="K33" s="69"/>
      <c r="L33" s="69"/>
      <c r="M33" s="67"/>
      <c r="N33" s="67"/>
      <c r="O33" s="67"/>
      <c r="P33" s="67"/>
      <c r="Q33" s="67"/>
      <c r="R33" s="67"/>
      <c r="S33" s="67"/>
      <c r="T33" s="67"/>
      <c r="U33" s="69"/>
      <c r="V33" s="71"/>
      <c r="W33" s="72"/>
      <c r="X33" s="73"/>
      <c r="Y33" s="73"/>
      <c r="Z33" s="73"/>
    </row>
    <row r="34" spans="1:26" ht="29.25" hidden="1" customHeight="1" x14ac:dyDescent="0.2">
      <c r="A34" s="15">
        <v>31</v>
      </c>
      <c r="B34" s="15" t="s">
        <v>2210</v>
      </c>
      <c r="C34" s="16" t="s">
        <v>2211</v>
      </c>
      <c r="D34" s="6" t="s">
        <v>10</v>
      </c>
      <c r="E34" s="6" t="s">
        <v>202</v>
      </c>
      <c r="F34" s="15" t="s">
        <v>83</v>
      </c>
      <c r="G34" s="6" t="s">
        <v>92</v>
      </c>
      <c r="H34" s="6" t="s">
        <v>155</v>
      </c>
      <c r="I34" s="6" t="s">
        <v>206</v>
      </c>
      <c r="J34" s="6" t="s">
        <v>107</v>
      </c>
      <c r="K34" s="6" t="s">
        <v>167</v>
      </c>
      <c r="L34" s="6" t="s">
        <v>206</v>
      </c>
      <c r="M34" s="6" t="s">
        <v>107</v>
      </c>
      <c r="N34" s="6" t="s">
        <v>2212</v>
      </c>
      <c r="O34" s="6"/>
      <c r="P34" s="6"/>
      <c r="Q34" s="6"/>
      <c r="R34" s="6"/>
      <c r="S34" s="6"/>
      <c r="T34" s="6"/>
      <c r="U34" s="6"/>
      <c r="V34" s="15"/>
      <c r="W34" s="6"/>
      <c r="X34" s="15"/>
      <c r="Y34" s="15"/>
      <c r="Z34" s="15"/>
    </row>
    <row r="35" spans="1:26" ht="29.25" hidden="1" customHeight="1" x14ac:dyDescent="0.2">
      <c r="A35" s="67">
        <v>32</v>
      </c>
      <c r="B35" s="67" t="s">
        <v>543</v>
      </c>
      <c r="C35" s="68" t="s">
        <v>540</v>
      </c>
      <c r="D35" s="69" t="s">
        <v>8</v>
      </c>
      <c r="E35" s="69" t="s">
        <v>2147</v>
      </c>
      <c r="F35" s="69" t="s">
        <v>83</v>
      </c>
      <c r="G35" s="69" t="s">
        <v>92</v>
      </c>
      <c r="H35" s="69" t="s">
        <v>104</v>
      </c>
      <c r="I35" s="70" t="s">
        <v>119</v>
      </c>
      <c r="J35" s="70" t="s">
        <v>107</v>
      </c>
      <c r="K35" s="69" t="s">
        <v>256</v>
      </c>
      <c r="L35" s="69" t="s">
        <v>1477</v>
      </c>
      <c r="M35" s="67" t="s">
        <v>107</v>
      </c>
      <c r="N35" s="67" t="s">
        <v>2213</v>
      </c>
      <c r="O35" s="67"/>
      <c r="P35" s="67"/>
      <c r="Q35" s="67"/>
      <c r="R35" s="67"/>
      <c r="S35" s="67"/>
      <c r="T35" s="67"/>
      <c r="U35" s="69"/>
      <c r="V35" s="71"/>
      <c r="W35" s="72"/>
      <c r="X35" s="73"/>
      <c r="Y35" s="73"/>
      <c r="Z35" s="73"/>
    </row>
    <row r="36" spans="1:26" ht="29.25" hidden="1" customHeight="1" x14ac:dyDescent="0.2">
      <c r="A36" s="15">
        <v>33</v>
      </c>
      <c r="B36" s="15" t="s">
        <v>543</v>
      </c>
      <c r="C36" s="16" t="s">
        <v>540</v>
      </c>
      <c r="D36" s="6" t="s">
        <v>8</v>
      </c>
      <c r="E36" s="6"/>
      <c r="F36" s="15" t="s">
        <v>7</v>
      </c>
      <c r="G36" s="6" t="s">
        <v>92</v>
      </c>
      <c r="H36" s="6" t="s">
        <v>104</v>
      </c>
      <c r="I36" s="6" t="s">
        <v>119</v>
      </c>
      <c r="J36" s="6" t="s">
        <v>107</v>
      </c>
      <c r="K36" s="6" t="s">
        <v>256</v>
      </c>
      <c r="L36" s="6" t="s">
        <v>119</v>
      </c>
      <c r="M36" s="6" t="s">
        <v>107</v>
      </c>
      <c r="N36" s="6">
        <v>0</v>
      </c>
      <c r="O36" s="6" t="s">
        <v>2214</v>
      </c>
      <c r="P36" s="6"/>
      <c r="Q36" s="6" t="s">
        <v>2215</v>
      </c>
      <c r="R36" s="6" t="s">
        <v>2216</v>
      </c>
      <c r="S36" s="6" t="s">
        <v>544</v>
      </c>
      <c r="T36" s="6" t="s">
        <v>111</v>
      </c>
      <c r="U36" s="6"/>
      <c r="V36" s="15"/>
      <c r="W36" s="6"/>
      <c r="X36" s="15"/>
      <c r="Y36" s="15"/>
      <c r="Z36" s="15"/>
    </row>
    <row r="37" spans="1:26" ht="29.25" hidden="1" customHeight="1" x14ac:dyDescent="0.2">
      <c r="A37" s="15">
        <v>149</v>
      </c>
      <c r="B37" s="15" t="s">
        <v>1411</v>
      </c>
      <c r="C37" s="16" t="s">
        <v>2217</v>
      </c>
      <c r="D37" s="6" t="s">
        <v>6</v>
      </c>
      <c r="E37" s="6" t="s">
        <v>202</v>
      </c>
      <c r="F37" s="15" t="s">
        <v>83</v>
      </c>
      <c r="G37" s="6" t="s">
        <v>92</v>
      </c>
      <c r="H37" s="6" t="s">
        <v>68</v>
      </c>
      <c r="I37" s="6" t="s">
        <v>119</v>
      </c>
      <c r="J37" s="6" t="s">
        <v>107</v>
      </c>
      <c r="K37" s="6" t="s">
        <v>263</v>
      </c>
      <c r="L37" s="6" t="s">
        <v>119</v>
      </c>
      <c r="M37" s="6" t="s">
        <v>107</v>
      </c>
      <c r="N37" s="6" t="s">
        <v>2218</v>
      </c>
      <c r="O37" s="6"/>
      <c r="P37" s="6"/>
      <c r="Q37" s="6"/>
      <c r="R37" s="6"/>
      <c r="S37" s="6"/>
      <c r="T37" s="6"/>
      <c r="U37" s="6"/>
      <c r="V37" s="15"/>
      <c r="W37" s="6"/>
      <c r="X37" s="15"/>
      <c r="Y37" s="15"/>
      <c r="Z37" s="15"/>
    </row>
    <row r="38" spans="1:26" ht="29.25" hidden="1" customHeight="1" x14ac:dyDescent="0.2">
      <c r="A38" s="67">
        <v>248</v>
      </c>
      <c r="B38" s="67" t="s">
        <v>2219</v>
      </c>
      <c r="C38" s="68" t="s">
        <v>2217</v>
      </c>
      <c r="D38" s="69" t="s">
        <v>6</v>
      </c>
      <c r="E38" s="69" t="s">
        <v>172</v>
      </c>
      <c r="F38" s="69" t="s">
        <v>83</v>
      </c>
      <c r="G38" s="69" t="s">
        <v>92</v>
      </c>
      <c r="H38" s="69" t="s">
        <v>104</v>
      </c>
      <c r="I38" s="70" t="s">
        <v>119</v>
      </c>
      <c r="J38" s="70" t="s">
        <v>107</v>
      </c>
      <c r="K38" s="69" t="s">
        <v>361</v>
      </c>
      <c r="L38" s="69" t="s">
        <v>142</v>
      </c>
      <c r="M38" s="67" t="s">
        <v>70</v>
      </c>
      <c r="N38" s="67" t="s">
        <v>2220</v>
      </c>
      <c r="O38" s="67"/>
      <c r="P38" s="67"/>
      <c r="Q38" s="67"/>
      <c r="R38" s="67"/>
      <c r="S38" s="67"/>
      <c r="T38" s="67"/>
      <c r="U38" s="69"/>
      <c r="V38" s="71"/>
      <c r="W38" s="72"/>
      <c r="X38" s="73"/>
      <c r="Y38" s="73"/>
      <c r="Z38" s="73"/>
    </row>
    <row r="39" spans="1:26" ht="29.25" hidden="1" customHeight="1" x14ac:dyDescent="0.2">
      <c r="A39" s="67">
        <v>36</v>
      </c>
      <c r="B39" s="67" t="s">
        <v>2221</v>
      </c>
      <c r="C39" s="68" t="s">
        <v>2222</v>
      </c>
      <c r="D39" s="69" t="s">
        <v>20</v>
      </c>
      <c r="E39" s="69" t="s">
        <v>2184</v>
      </c>
      <c r="F39" s="69" t="s">
        <v>83</v>
      </c>
      <c r="G39" s="69" t="s">
        <v>2167</v>
      </c>
      <c r="H39" s="69" t="s">
        <v>140</v>
      </c>
      <c r="I39" s="70" t="s">
        <v>444</v>
      </c>
      <c r="J39" s="70" t="s">
        <v>107</v>
      </c>
      <c r="K39" s="69" t="s">
        <v>328</v>
      </c>
      <c r="L39" s="69" t="s">
        <v>444</v>
      </c>
      <c r="M39" s="67" t="s">
        <v>107</v>
      </c>
      <c r="N39" s="67" t="s">
        <v>2223</v>
      </c>
      <c r="O39" s="67"/>
      <c r="P39" s="67"/>
      <c r="Q39" s="67"/>
      <c r="R39" s="67"/>
      <c r="S39" s="67"/>
      <c r="T39" s="67"/>
      <c r="U39" s="69"/>
      <c r="V39" s="71"/>
      <c r="W39" s="72"/>
      <c r="X39" s="73"/>
      <c r="Y39" s="73"/>
      <c r="Z39" s="73"/>
    </row>
    <row r="40" spans="1:26" ht="29.25" hidden="1" customHeight="1" x14ac:dyDescent="0.2">
      <c r="A40" s="15">
        <v>37</v>
      </c>
      <c r="B40" s="15" t="s">
        <v>2224</v>
      </c>
      <c r="C40" s="16" t="s">
        <v>2225</v>
      </c>
      <c r="D40" s="6" t="s">
        <v>66</v>
      </c>
      <c r="E40" s="6" t="s">
        <v>2147</v>
      </c>
      <c r="F40" s="15" t="s">
        <v>83</v>
      </c>
      <c r="G40" s="6" t="s">
        <v>92</v>
      </c>
      <c r="H40" s="6"/>
      <c r="I40" s="6"/>
      <c r="J40" s="6"/>
      <c r="K40" s="6"/>
      <c r="L40" s="6"/>
      <c r="M40" s="6"/>
      <c r="N40" s="6" t="s">
        <v>2148</v>
      </c>
      <c r="O40" s="6"/>
      <c r="P40" s="6"/>
      <c r="Q40" s="6"/>
      <c r="R40" s="6"/>
      <c r="S40" s="6"/>
      <c r="T40" s="6"/>
      <c r="U40" s="6"/>
      <c r="V40" s="15"/>
      <c r="W40" s="6"/>
      <c r="X40" s="15"/>
      <c r="Y40" s="15"/>
      <c r="Z40" s="15"/>
    </row>
    <row r="41" spans="1:26" ht="29.25" hidden="1" customHeight="1" x14ac:dyDescent="0.2">
      <c r="A41" s="67">
        <v>38</v>
      </c>
      <c r="B41" s="67" t="s">
        <v>2226</v>
      </c>
      <c r="C41" s="68" t="s">
        <v>5305</v>
      </c>
      <c r="D41" s="69" t="s">
        <v>66</v>
      </c>
      <c r="E41" s="69"/>
      <c r="F41" s="69" t="s">
        <v>7</v>
      </c>
      <c r="G41" s="69" t="s">
        <v>92</v>
      </c>
      <c r="H41" s="69" t="s">
        <v>68</v>
      </c>
      <c r="I41" s="70" t="s">
        <v>119</v>
      </c>
      <c r="J41" s="70" t="s">
        <v>107</v>
      </c>
      <c r="K41" s="69" t="s">
        <v>332</v>
      </c>
      <c r="L41" s="69" t="s">
        <v>119</v>
      </c>
      <c r="M41" s="67" t="s">
        <v>107</v>
      </c>
      <c r="N41" s="67"/>
      <c r="O41" s="67">
        <v>192</v>
      </c>
      <c r="P41" s="67"/>
      <c r="Q41" s="67"/>
      <c r="R41" s="67"/>
      <c r="S41" s="67"/>
      <c r="T41" s="67"/>
      <c r="U41" s="69"/>
      <c r="V41" s="71"/>
      <c r="W41" s="72"/>
      <c r="X41" s="73"/>
      <c r="Y41" s="73"/>
      <c r="Z41" s="73"/>
    </row>
    <row r="42" spans="1:26" ht="29.25" hidden="1" customHeight="1" x14ac:dyDescent="0.2">
      <c r="A42" s="15">
        <v>39</v>
      </c>
      <c r="B42" s="15" t="s">
        <v>2227</v>
      </c>
      <c r="C42" s="16" t="s">
        <v>2222</v>
      </c>
      <c r="D42" s="6" t="s">
        <v>20</v>
      </c>
      <c r="E42" s="6"/>
      <c r="F42" s="15" t="s">
        <v>7</v>
      </c>
      <c r="G42" s="6" t="s">
        <v>2167</v>
      </c>
      <c r="H42" s="6" t="s">
        <v>223</v>
      </c>
      <c r="I42" s="6" t="s">
        <v>119</v>
      </c>
      <c r="J42" s="6" t="s">
        <v>107</v>
      </c>
      <c r="K42" s="6" t="s">
        <v>1013</v>
      </c>
      <c r="L42" s="6" t="s">
        <v>119</v>
      </c>
      <c r="M42" s="6" t="s">
        <v>107</v>
      </c>
      <c r="N42" s="6">
        <v>0</v>
      </c>
      <c r="O42" s="6">
        <v>121</v>
      </c>
      <c r="P42" s="6" t="s">
        <v>158</v>
      </c>
      <c r="Q42" s="6">
        <v>141</v>
      </c>
      <c r="R42" s="6">
        <v>8</v>
      </c>
      <c r="S42" s="6" t="s">
        <v>2188</v>
      </c>
      <c r="T42" s="6" t="s">
        <v>160</v>
      </c>
      <c r="U42" s="6"/>
      <c r="V42" s="15"/>
      <c r="W42" s="6"/>
      <c r="X42" s="15"/>
      <c r="Y42" s="15"/>
      <c r="Z42" s="15"/>
    </row>
    <row r="43" spans="1:26" ht="29.25" hidden="1" customHeight="1" x14ac:dyDescent="0.2">
      <c r="A43" s="67">
        <v>40</v>
      </c>
      <c r="B43" s="67" t="s">
        <v>2228</v>
      </c>
      <c r="C43" s="68" t="s">
        <v>2229</v>
      </c>
      <c r="D43" s="69" t="s">
        <v>6</v>
      </c>
      <c r="E43" s="69" t="s">
        <v>2147</v>
      </c>
      <c r="F43" s="69" t="s">
        <v>83</v>
      </c>
      <c r="G43" s="69" t="s">
        <v>92</v>
      </c>
      <c r="H43" s="69" t="s">
        <v>140</v>
      </c>
      <c r="I43" s="70" t="s">
        <v>262</v>
      </c>
      <c r="J43" s="70" t="s">
        <v>70</v>
      </c>
      <c r="K43" s="69" t="s">
        <v>338</v>
      </c>
      <c r="L43" s="69" t="s">
        <v>2175</v>
      </c>
      <c r="M43" s="67" t="s">
        <v>107</v>
      </c>
      <c r="N43" s="67" t="s">
        <v>2230</v>
      </c>
      <c r="O43" s="67"/>
      <c r="P43" s="67"/>
      <c r="Q43" s="67"/>
      <c r="R43" s="67"/>
      <c r="S43" s="67"/>
      <c r="T43" s="67"/>
      <c r="U43" s="69"/>
      <c r="V43" s="71"/>
      <c r="W43" s="72"/>
      <c r="X43" s="73"/>
      <c r="Y43" s="73"/>
      <c r="Z43" s="73"/>
    </row>
    <row r="44" spans="1:26" ht="29.25" hidden="1" customHeight="1" x14ac:dyDescent="0.2">
      <c r="A44" s="15">
        <v>41</v>
      </c>
      <c r="B44" s="15" t="s">
        <v>2231</v>
      </c>
      <c r="C44" s="16" t="s">
        <v>2232</v>
      </c>
      <c r="D44" s="6" t="s">
        <v>9</v>
      </c>
      <c r="E44" s="6" t="s">
        <v>2147</v>
      </c>
      <c r="F44" s="15" t="s">
        <v>83</v>
      </c>
      <c r="G44" s="6" t="s">
        <v>92</v>
      </c>
      <c r="H44" s="6" t="s">
        <v>68</v>
      </c>
      <c r="I44" s="6" t="s">
        <v>69</v>
      </c>
      <c r="J44" s="6" t="s">
        <v>70</v>
      </c>
      <c r="K44" s="6" t="s">
        <v>263</v>
      </c>
      <c r="L44" s="6" t="s">
        <v>262</v>
      </c>
      <c r="M44" s="6" t="s">
        <v>70</v>
      </c>
      <c r="N44" s="6" t="s">
        <v>2233</v>
      </c>
      <c r="O44" s="6"/>
      <c r="P44" s="6"/>
      <c r="Q44" s="6"/>
      <c r="R44" s="6"/>
      <c r="S44" s="6"/>
      <c r="T44" s="6"/>
      <c r="U44" s="6"/>
      <c r="V44" s="15"/>
      <c r="W44" s="6"/>
      <c r="X44" s="15"/>
      <c r="Y44" s="15"/>
      <c r="Z44" s="15"/>
    </row>
    <row r="45" spans="1:26" ht="29.25" hidden="1" customHeight="1" x14ac:dyDescent="0.2">
      <c r="A45" s="67">
        <v>42</v>
      </c>
      <c r="B45" s="67" t="s">
        <v>2231</v>
      </c>
      <c r="C45" s="68" t="s">
        <v>2232</v>
      </c>
      <c r="D45" s="69" t="s">
        <v>9</v>
      </c>
      <c r="E45" s="69"/>
      <c r="F45" s="69" t="s">
        <v>7</v>
      </c>
      <c r="G45" s="69" t="s">
        <v>92</v>
      </c>
      <c r="H45" s="69" t="s">
        <v>68</v>
      </c>
      <c r="I45" s="70" t="s">
        <v>142</v>
      </c>
      <c r="J45" s="70" t="s">
        <v>70</v>
      </c>
      <c r="K45" s="69" t="s">
        <v>263</v>
      </c>
      <c r="L45" s="69" t="s">
        <v>69</v>
      </c>
      <c r="M45" s="67" t="s">
        <v>70</v>
      </c>
      <c r="N45" s="67">
        <v>0</v>
      </c>
      <c r="O45" s="67" t="s">
        <v>2234</v>
      </c>
      <c r="P45" s="67"/>
      <c r="Q45" s="67" t="s">
        <v>1858</v>
      </c>
      <c r="R45" s="67" t="s">
        <v>2186</v>
      </c>
      <c r="S45" s="67" t="s">
        <v>2228</v>
      </c>
      <c r="T45" s="67" t="s">
        <v>111</v>
      </c>
      <c r="U45" s="69"/>
      <c r="V45" s="71"/>
      <c r="W45" s="72"/>
      <c r="X45" s="73"/>
      <c r="Y45" s="73"/>
      <c r="Z45" s="73"/>
    </row>
    <row r="46" spans="1:26" ht="29.25" hidden="1" customHeight="1" x14ac:dyDescent="0.2">
      <c r="A46" s="15">
        <v>47</v>
      </c>
      <c r="B46" s="15" t="s">
        <v>2235</v>
      </c>
      <c r="C46" s="16" t="s">
        <v>455</v>
      </c>
      <c r="D46" s="6" t="s">
        <v>6</v>
      </c>
      <c r="E46" s="6" t="s">
        <v>202</v>
      </c>
      <c r="F46" s="15" t="s">
        <v>83</v>
      </c>
      <c r="G46" s="6" t="s">
        <v>92</v>
      </c>
      <c r="H46" s="6" t="s">
        <v>117</v>
      </c>
      <c r="I46" s="6" t="s">
        <v>262</v>
      </c>
      <c r="J46" s="6" t="s">
        <v>70</v>
      </c>
      <c r="K46" s="6" t="s">
        <v>328</v>
      </c>
      <c r="L46" s="6" t="s">
        <v>69</v>
      </c>
      <c r="M46" s="6" t="s">
        <v>70</v>
      </c>
      <c r="N46" s="6" t="s">
        <v>2236</v>
      </c>
      <c r="O46" s="6"/>
      <c r="P46" s="6"/>
      <c r="Q46" s="6"/>
      <c r="R46" s="6"/>
      <c r="S46" s="6"/>
      <c r="T46" s="6"/>
      <c r="U46" s="6"/>
      <c r="V46" s="15"/>
      <c r="W46" s="6"/>
      <c r="X46" s="15"/>
      <c r="Y46" s="15"/>
      <c r="Z46" s="15"/>
    </row>
    <row r="47" spans="1:26" ht="29.25" hidden="1" customHeight="1" x14ac:dyDescent="0.2">
      <c r="A47" s="67">
        <v>44</v>
      </c>
      <c r="B47" s="67" t="s">
        <v>2237</v>
      </c>
      <c r="C47" s="68" t="s">
        <v>1684</v>
      </c>
      <c r="D47" s="69" t="s">
        <v>20</v>
      </c>
      <c r="E47" s="69" t="s">
        <v>2147</v>
      </c>
      <c r="F47" s="69" t="s">
        <v>83</v>
      </c>
      <c r="G47" s="69" t="s">
        <v>92</v>
      </c>
      <c r="H47" s="69" t="s">
        <v>104</v>
      </c>
      <c r="I47" s="70" t="s">
        <v>206</v>
      </c>
      <c r="J47" s="70" t="s">
        <v>107</v>
      </c>
      <c r="K47" s="69" t="s">
        <v>1727</v>
      </c>
      <c r="L47" s="69" t="s">
        <v>206</v>
      </c>
      <c r="M47" s="67" t="s">
        <v>107</v>
      </c>
      <c r="N47" s="67" t="s">
        <v>1439</v>
      </c>
      <c r="O47" s="67"/>
      <c r="P47" s="67"/>
      <c r="Q47" s="67"/>
      <c r="R47" s="67"/>
      <c r="S47" s="67"/>
      <c r="T47" s="67"/>
      <c r="U47" s="69"/>
      <c r="V47" s="71"/>
      <c r="W47" s="72"/>
      <c r="X47" s="73"/>
      <c r="Y47" s="73"/>
      <c r="Z47" s="73"/>
    </row>
    <row r="48" spans="1:26" ht="29.25" hidden="1" customHeight="1" x14ac:dyDescent="0.2">
      <c r="A48" s="15">
        <v>45</v>
      </c>
      <c r="B48" s="15" t="s">
        <v>2237</v>
      </c>
      <c r="C48" s="16" t="s">
        <v>1646</v>
      </c>
      <c r="D48" s="6" t="s">
        <v>66</v>
      </c>
      <c r="E48" s="6" t="s">
        <v>2147</v>
      </c>
      <c r="F48" s="15" t="s">
        <v>83</v>
      </c>
      <c r="G48" s="6" t="s">
        <v>92</v>
      </c>
      <c r="H48" s="6"/>
      <c r="I48" s="6"/>
      <c r="J48" s="6"/>
      <c r="K48" s="6"/>
      <c r="L48" s="6"/>
      <c r="M48" s="6"/>
      <c r="N48" s="6" t="s">
        <v>2148</v>
      </c>
      <c r="O48" s="6"/>
      <c r="P48" s="6"/>
      <c r="Q48" s="6"/>
      <c r="R48" s="6"/>
      <c r="S48" s="6"/>
      <c r="T48" s="6"/>
      <c r="U48" s="6"/>
      <c r="V48" s="15"/>
      <c r="W48" s="6"/>
      <c r="X48" s="15"/>
      <c r="Y48" s="15"/>
      <c r="Z48" s="15"/>
    </row>
    <row r="49" spans="1:26" ht="29.25" hidden="1" customHeight="1" x14ac:dyDescent="0.2">
      <c r="A49" s="67">
        <v>46</v>
      </c>
      <c r="B49" s="67" t="s">
        <v>2238</v>
      </c>
      <c r="C49" s="68" t="s">
        <v>1646</v>
      </c>
      <c r="D49" s="69" t="s">
        <v>66</v>
      </c>
      <c r="E49" s="69"/>
      <c r="F49" s="69" t="s">
        <v>7</v>
      </c>
      <c r="G49" s="69" t="s">
        <v>92</v>
      </c>
      <c r="H49" s="69" t="s">
        <v>223</v>
      </c>
      <c r="I49" s="70" t="s">
        <v>69</v>
      </c>
      <c r="J49" s="70" t="s">
        <v>70</v>
      </c>
      <c r="K49" s="69" t="s">
        <v>230</v>
      </c>
      <c r="L49" s="69" t="s">
        <v>73</v>
      </c>
      <c r="M49" s="67" t="s">
        <v>70</v>
      </c>
      <c r="N49" s="67"/>
      <c r="O49" s="67">
        <v>144</v>
      </c>
      <c r="P49" s="67"/>
      <c r="Q49" s="67"/>
      <c r="R49" s="67"/>
      <c r="S49" s="67"/>
      <c r="T49" s="67"/>
      <c r="U49" s="69"/>
      <c r="V49" s="71"/>
      <c r="W49" s="72"/>
      <c r="X49" s="73"/>
      <c r="Y49" s="73"/>
      <c r="Z49" s="73"/>
    </row>
    <row r="50" spans="1:26" ht="29.25" hidden="1" customHeight="1" x14ac:dyDescent="0.2">
      <c r="A50" s="67">
        <v>166</v>
      </c>
      <c r="B50" s="67" t="s">
        <v>2239</v>
      </c>
      <c r="C50" s="68" t="s">
        <v>2045</v>
      </c>
      <c r="D50" s="69" t="s">
        <v>6</v>
      </c>
      <c r="E50" s="69" t="s">
        <v>172</v>
      </c>
      <c r="F50" s="69" t="s">
        <v>83</v>
      </c>
      <c r="G50" s="69" t="s">
        <v>92</v>
      </c>
      <c r="H50" s="69" t="s">
        <v>155</v>
      </c>
      <c r="I50" s="70" t="s">
        <v>119</v>
      </c>
      <c r="J50" s="70" t="s">
        <v>107</v>
      </c>
      <c r="K50" s="69" t="s">
        <v>170</v>
      </c>
      <c r="L50" s="69" t="s">
        <v>119</v>
      </c>
      <c r="M50" s="67" t="s">
        <v>107</v>
      </c>
      <c r="N50" s="67" t="s">
        <v>2240</v>
      </c>
      <c r="O50" s="67"/>
      <c r="P50" s="67"/>
      <c r="Q50" s="67"/>
      <c r="R50" s="67"/>
      <c r="S50" s="67"/>
      <c r="T50" s="67"/>
      <c r="U50" s="69"/>
      <c r="V50" s="71"/>
      <c r="W50" s="72"/>
      <c r="X50" s="73"/>
      <c r="Y50" s="73"/>
      <c r="Z50" s="73"/>
    </row>
    <row r="51" spans="1:26" ht="29.25" hidden="1" customHeight="1" x14ac:dyDescent="0.2">
      <c r="A51" s="67">
        <v>48</v>
      </c>
      <c r="B51" s="67" t="s">
        <v>2241</v>
      </c>
      <c r="C51" s="68" t="s">
        <v>2242</v>
      </c>
      <c r="D51" s="69" t="s">
        <v>9</v>
      </c>
      <c r="E51" s="69" t="s">
        <v>2147</v>
      </c>
      <c r="F51" s="69" t="s">
        <v>83</v>
      </c>
      <c r="G51" s="69" t="s">
        <v>92</v>
      </c>
      <c r="H51" s="69" t="s">
        <v>223</v>
      </c>
      <c r="I51" s="70" t="s">
        <v>69</v>
      </c>
      <c r="J51" s="70" t="s">
        <v>70</v>
      </c>
      <c r="K51" s="69" t="s">
        <v>370</v>
      </c>
      <c r="L51" s="69" t="s">
        <v>69</v>
      </c>
      <c r="M51" s="67" t="s">
        <v>70</v>
      </c>
      <c r="N51" s="67" t="s">
        <v>2243</v>
      </c>
      <c r="O51" s="67"/>
      <c r="P51" s="67"/>
      <c r="Q51" s="67"/>
      <c r="R51" s="67"/>
      <c r="S51" s="67"/>
      <c r="T51" s="67"/>
      <c r="U51" s="69"/>
      <c r="V51" s="71"/>
      <c r="W51" s="72"/>
      <c r="X51" s="73"/>
      <c r="Y51" s="73"/>
      <c r="Z51" s="73"/>
    </row>
    <row r="52" spans="1:26" ht="29.25" hidden="1" customHeight="1" x14ac:dyDescent="0.2">
      <c r="A52" s="15">
        <v>49</v>
      </c>
      <c r="B52" s="15" t="s">
        <v>2241</v>
      </c>
      <c r="C52" s="16" t="s">
        <v>2242</v>
      </c>
      <c r="D52" s="6" t="s">
        <v>9</v>
      </c>
      <c r="E52" s="6"/>
      <c r="F52" s="15" t="s">
        <v>7</v>
      </c>
      <c r="G52" s="6" t="s">
        <v>92</v>
      </c>
      <c r="H52" s="6" t="s">
        <v>226</v>
      </c>
      <c r="I52" s="6" t="s">
        <v>142</v>
      </c>
      <c r="J52" s="6" t="s">
        <v>70</v>
      </c>
      <c r="K52" s="6" t="s">
        <v>227</v>
      </c>
      <c r="L52" s="6" t="s">
        <v>73</v>
      </c>
      <c r="M52" s="6" t="s">
        <v>70</v>
      </c>
      <c r="N52" s="6" t="s">
        <v>429</v>
      </c>
      <c r="O52" s="6">
        <v>134</v>
      </c>
      <c r="P52" s="6" t="s">
        <v>158</v>
      </c>
      <c r="Q52" s="6">
        <v>132</v>
      </c>
      <c r="R52" s="6">
        <v>7</v>
      </c>
      <c r="S52" s="6" t="s">
        <v>2241</v>
      </c>
      <c r="T52" s="6" t="s">
        <v>111</v>
      </c>
      <c r="U52" s="6"/>
      <c r="V52" s="15"/>
      <c r="W52" s="6"/>
      <c r="X52" s="15"/>
      <c r="Y52" s="15"/>
      <c r="Z52" s="15"/>
    </row>
    <row r="53" spans="1:26" ht="29.25" hidden="1" customHeight="1" x14ac:dyDescent="0.2">
      <c r="A53" s="67">
        <v>50</v>
      </c>
      <c r="B53" s="67" t="s">
        <v>2244</v>
      </c>
      <c r="C53" s="68" t="s">
        <v>1684</v>
      </c>
      <c r="D53" s="69" t="s">
        <v>20</v>
      </c>
      <c r="E53" s="69"/>
      <c r="F53" s="69" t="s">
        <v>7</v>
      </c>
      <c r="G53" s="69" t="s">
        <v>92</v>
      </c>
      <c r="H53" s="69" t="s">
        <v>117</v>
      </c>
      <c r="I53" s="70" t="s">
        <v>119</v>
      </c>
      <c r="J53" s="70" t="s">
        <v>107</v>
      </c>
      <c r="K53" s="69" t="s">
        <v>306</v>
      </c>
      <c r="L53" s="69" t="s">
        <v>73</v>
      </c>
      <c r="M53" s="67" t="s">
        <v>70</v>
      </c>
      <c r="N53" s="67">
        <v>0</v>
      </c>
      <c r="O53" s="67" t="s">
        <v>1762</v>
      </c>
      <c r="P53" s="67" t="s">
        <v>158</v>
      </c>
      <c r="Q53" s="67" t="s">
        <v>2245</v>
      </c>
      <c r="R53" s="67" t="s">
        <v>555</v>
      </c>
      <c r="S53" s="67" t="s">
        <v>2235</v>
      </c>
      <c r="T53" s="67" t="s">
        <v>160</v>
      </c>
      <c r="U53" s="69"/>
      <c r="V53" s="71"/>
      <c r="W53" s="72"/>
      <c r="X53" s="73"/>
      <c r="Y53" s="73"/>
      <c r="Z53" s="73"/>
    </row>
    <row r="54" spans="1:26" ht="29.25" hidden="1" customHeight="1" x14ac:dyDescent="0.2">
      <c r="A54" s="15">
        <v>51</v>
      </c>
      <c r="B54" s="15" t="s">
        <v>2246</v>
      </c>
      <c r="C54" s="16" t="s">
        <v>2247</v>
      </c>
      <c r="D54" s="6" t="s">
        <v>10</v>
      </c>
      <c r="E54" s="6" t="s">
        <v>202</v>
      </c>
      <c r="F54" s="15" t="s">
        <v>83</v>
      </c>
      <c r="G54" s="6" t="s">
        <v>92</v>
      </c>
      <c r="H54" s="6" t="s">
        <v>140</v>
      </c>
      <c r="I54" s="6" t="s">
        <v>69</v>
      </c>
      <c r="J54" s="6" t="s">
        <v>70</v>
      </c>
      <c r="K54" s="6" t="s">
        <v>338</v>
      </c>
      <c r="L54" s="6" t="s">
        <v>1477</v>
      </c>
      <c r="M54" s="6" t="s">
        <v>107</v>
      </c>
      <c r="N54" s="6" t="s">
        <v>2248</v>
      </c>
      <c r="O54" s="6"/>
      <c r="P54" s="6"/>
      <c r="Q54" s="6"/>
      <c r="R54" s="6"/>
      <c r="S54" s="6"/>
      <c r="T54" s="6"/>
      <c r="U54" s="6"/>
      <c r="V54" s="15"/>
      <c r="W54" s="6"/>
      <c r="X54" s="15"/>
      <c r="Y54" s="15"/>
      <c r="Z54" s="15"/>
    </row>
    <row r="55" spans="1:26" ht="29.25" hidden="1" customHeight="1" x14ac:dyDescent="0.2">
      <c r="A55" s="67">
        <v>52</v>
      </c>
      <c r="B55" s="67" t="s">
        <v>654</v>
      </c>
      <c r="C55" s="68" t="s">
        <v>651</v>
      </c>
      <c r="D55" s="69" t="s">
        <v>6</v>
      </c>
      <c r="E55" s="69"/>
      <c r="F55" s="69" t="s">
        <v>7</v>
      </c>
      <c r="G55" s="69" t="s">
        <v>92</v>
      </c>
      <c r="H55" s="69" t="s">
        <v>104</v>
      </c>
      <c r="I55" s="70" t="s">
        <v>119</v>
      </c>
      <c r="J55" s="70" t="s">
        <v>107</v>
      </c>
      <c r="K55" s="69" t="s">
        <v>305</v>
      </c>
      <c r="L55" s="69" t="s">
        <v>119</v>
      </c>
      <c r="M55" s="67" t="s">
        <v>107</v>
      </c>
      <c r="N55" s="67" t="s">
        <v>429</v>
      </c>
      <c r="O55" s="67" t="s">
        <v>2249</v>
      </c>
      <c r="P55" s="67" t="s">
        <v>158</v>
      </c>
      <c r="Q55" s="67" t="s">
        <v>2250</v>
      </c>
      <c r="R55" s="67" t="s">
        <v>144</v>
      </c>
      <c r="S55" s="67" t="s">
        <v>655</v>
      </c>
      <c r="T55" s="67" t="s">
        <v>111</v>
      </c>
      <c r="U55" s="69"/>
      <c r="V55" s="71"/>
      <c r="W55" s="72"/>
      <c r="X55" s="73"/>
      <c r="Y55" s="73"/>
      <c r="Z55" s="73"/>
    </row>
    <row r="56" spans="1:26" ht="29.25" hidden="1" customHeight="1" x14ac:dyDescent="0.2">
      <c r="A56" s="15">
        <v>53</v>
      </c>
      <c r="B56" s="15" t="s">
        <v>2251</v>
      </c>
      <c r="C56" s="16" t="s">
        <v>2252</v>
      </c>
      <c r="D56" s="6"/>
      <c r="E56" s="6" t="s">
        <v>2147</v>
      </c>
      <c r="F56" s="15" t="s">
        <v>83</v>
      </c>
      <c r="G56" s="6" t="s">
        <v>92</v>
      </c>
      <c r="H56" s="6" t="s">
        <v>226</v>
      </c>
      <c r="I56" s="6" t="s">
        <v>262</v>
      </c>
      <c r="J56" s="6" t="s">
        <v>70</v>
      </c>
      <c r="K56" s="6" t="s">
        <v>2253</v>
      </c>
      <c r="L56" s="6" t="s">
        <v>69</v>
      </c>
      <c r="M56" s="6" t="s">
        <v>70</v>
      </c>
      <c r="N56" s="6" t="s">
        <v>2254</v>
      </c>
      <c r="O56" s="6"/>
      <c r="P56" s="6"/>
      <c r="Q56" s="6"/>
      <c r="R56" s="6"/>
      <c r="S56" s="6"/>
      <c r="T56" s="6"/>
      <c r="U56" s="6"/>
      <c r="V56" s="15"/>
      <c r="W56" s="6"/>
      <c r="X56" s="15"/>
      <c r="Y56" s="15"/>
      <c r="Z56" s="15"/>
    </row>
    <row r="57" spans="1:26" ht="29.25" hidden="1" customHeight="1" x14ac:dyDescent="0.2">
      <c r="A57" s="67">
        <v>54</v>
      </c>
      <c r="B57" s="67" t="s">
        <v>2255</v>
      </c>
      <c r="C57" s="68" t="s">
        <v>2256</v>
      </c>
      <c r="D57" s="69" t="s">
        <v>66</v>
      </c>
      <c r="E57" s="69" t="s">
        <v>2147</v>
      </c>
      <c r="F57" s="69" t="s">
        <v>83</v>
      </c>
      <c r="G57" s="69" t="s">
        <v>92</v>
      </c>
      <c r="H57" s="69"/>
      <c r="I57" s="70"/>
      <c r="J57" s="70"/>
      <c r="K57" s="69"/>
      <c r="L57" s="69"/>
      <c r="M57" s="67"/>
      <c r="N57" s="67" t="s">
        <v>2148</v>
      </c>
      <c r="O57" s="67"/>
      <c r="P57" s="67"/>
      <c r="Q57" s="67"/>
      <c r="R57" s="67"/>
      <c r="S57" s="67"/>
      <c r="T57" s="67"/>
      <c r="U57" s="69"/>
      <c r="V57" s="71"/>
      <c r="W57" s="72"/>
      <c r="X57" s="73"/>
      <c r="Y57" s="73"/>
      <c r="Z57" s="73"/>
    </row>
    <row r="58" spans="1:26" ht="29.25" hidden="1" customHeight="1" x14ac:dyDescent="0.2">
      <c r="A58" s="15">
        <v>55</v>
      </c>
      <c r="B58" s="15" t="s">
        <v>2255</v>
      </c>
      <c r="C58" s="16" t="s">
        <v>2256</v>
      </c>
      <c r="D58" s="6" t="s">
        <v>66</v>
      </c>
      <c r="E58" s="6"/>
      <c r="F58" s="15" t="s">
        <v>7</v>
      </c>
      <c r="G58" s="6" t="s">
        <v>92</v>
      </c>
      <c r="H58" s="6" t="s">
        <v>525</v>
      </c>
      <c r="I58" s="6" t="s">
        <v>69</v>
      </c>
      <c r="J58" s="6" t="s">
        <v>70</v>
      </c>
      <c r="K58" s="6" t="s">
        <v>1530</v>
      </c>
      <c r="L58" s="6" t="s">
        <v>106</v>
      </c>
      <c r="M58" s="6" t="s">
        <v>107</v>
      </c>
      <c r="N58" s="6"/>
      <c r="O58" s="6" t="s">
        <v>5304</v>
      </c>
      <c r="P58" s="6"/>
      <c r="Q58" s="6"/>
      <c r="R58" s="6"/>
      <c r="S58" s="6"/>
      <c r="T58" s="6"/>
      <c r="U58" s="6"/>
      <c r="V58" s="15"/>
      <c r="W58" s="6"/>
      <c r="X58" s="15"/>
      <c r="Y58" s="15"/>
      <c r="Z58" s="15"/>
    </row>
    <row r="59" spans="1:26" ht="29.25" hidden="1" customHeight="1" x14ac:dyDescent="0.2">
      <c r="A59" s="67">
        <v>56</v>
      </c>
      <c r="B59" s="67" t="s">
        <v>2257</v>
      </c>
      <c r="C59" s="68" t="s">
        <v>2252</v>
      </c>
      <c r="D59" s="69"/>
      <c r="E59" s="69"/>
      <c r="F59" s="69" t="s">
        <v>7</v>
      </c>
      <c r="G59" s="69" t="s">
        <v>92</v>
      </c>
      <c r="H59" s="69" t="s">
        <v>2258</v>
      </c>
      <c r="I59" s="70" t="s">
        <v>69</v>
      </c>
      <c r="J59" s="70" t="s">
        <v>70</v>
      </c>
      <c r="K59" s="69" t="s">
        <v>2259</v>
      </c>
      <c r="L59" s="69" t="s">
        <v>69</v>
      </c>
      <c r="M59" s="67" t="s">
        <v>70</v>
      </c>
      <c r="N59" s="67">
        <v>0</v>
      </c>
      <c r="O59" s="67"/>
      <c r="P59" s="67"/>
      <c r="Q59" s="67"/>
      <c r="R59" s="67"/>
      <c r="S59" s="67"/>
      <c r="T59" s="67"/>
      <c r="U59" s="69"/>
      <c r="V59" s="71"/>
      <c r="W59" s="72"/>
      <c r="X59" s="73"/>
      <c r="Y59" s="73"/>
      <c r="Z59" s="73"/>
    </row>
    <row r="60" spans="1:26" ht="29.25" hidden="1" customHeight="1" x14ac:dyDescent="0.2">
      <c r="A60" s="15">
        <v>57</v>
      </c>
      <c r="B60" s="15" t="s">
        <v>2260</v>
      </c>
      <c r="C60" s="16" t="s">
        <v>1118</v>
      </c>
      <c r="D60" s="6" t="s">
        <v>10</v>
      </c>
      <c r="E60" s="6" t="s">
        <v>2147</v>
      </c>
      <c r="F60" s="15" t="s">
        <v>83</v>
      </c>
      <c r="G60" s="6" t="s">
        <v>92</v>
      </c>
      <c r="H60" s="6" t="s">
        <v>218</v>
      </c>
      <c r="I60" s="6" t="s">
        <v>444</v>
      </c>
      <c r="J60" s="6" t="s">
        <v>107</v>
      </c>
      <c r="K60" s="6" t="s">
        <v>899</v>
      </c>
      <c r="L60" s="6" t="s">
        <v>444</v>
      </c>
      <c r="M60" s="6" t="s">
        <v>107</v>
      </c>
      <c r="N60" s="6" t="s">
        <v>2261</v>
      </c>
      <c r="O60" s="6"/>
      <c r="P60" s="6"/>
      <c r="Q60" s="6"/>
      <c r="R60" s="6"/>
      <c r="S60" s="6"/>
      <c r="T60" s="6"/>
      <c r="U60" s="6"/>
      <c r="V60" s="15"/>
      <c r="W60" s="6"/>
      <c r="X60" s="15"/>
      <c r="Y60" s="15"/>
      <c r="Z60" s="15"/>
    </row>
    <row r="61" spans="1:26" ht="29.25" hidden="1" customHeight="1" x14ac:dyDescent="0.2">
      <c r="A61" s="67">
        <v>58</v>
      </c>
      <c r="B61" s="67" t="s">
        <v>1121</v>
      </c>
      <c r="C61" s="68" t="s">
        <v>2262</v>
      </c>
      <c r="D61" s="69" t="s">
        <v>6</v>
      </c>
      <c r="E61" s="69" t="s">
        <v>2147</v>
      </c>
      <c r="F61" s="69" t="s">
        <v>83</v>
      </c>
      <c r="G61" s="69" t="s">
        <v>92</v>
      </c>
      <c r="H61" s="69" t="s">
        <v>218</v>
      </c>
      <c r="I61" s="70" t="s">
        <v>142</v>
      </c>
      <c r="J61" s="70" t="s">
        <v>70</v>
      </c>
      <c r="K61" s="69" t="s">
        <v>453</v>
      </c>
      <c r="L61" s="69" t="s">
        <v>142</v>
      </c>
      <c r="M61" s="67" t="s">
        <v>70</v>
      </c>
      <c r="N61" s="67" t="s">
        <v>2263</v>
      </c>
      <c r="O61" s="67"/>
      <c r="P61" s="67"/>
      <c r="Q61" s="67"/>
      <c r="R61" s="67"/>
      <c r="S61" s="67"/>
      <c r="T61" s="67"/>
      <c r="U61" s="69"/>
      <c r="V61" s="71"/>
      <c r="W61" s="72"/>
      <c r="X61" s="73"/>
      <c r="Y61" s="73"/>
      <c r="Z61" s="73"/>
    </row>
    <row r="62" spans="1:26" ht="29.25" hidden="1" customHeight="1" x14ac:dyDescent="0.2">
      <c r="A62" s="15">
        <v>59</v>
      </c>
      <c r="B62" s="15" t="s">
        <v>2264</v>
      </c>
      <c r="C62" s="16" t="s">
        <v>2265</v>
      </c>
      <c r="D62" s="6" t="s">
        <v>66</v>
      </c>
      <c r="E62" s="6" t="s">
        <v>2147</v>
      </c>
      <c r="F62" s="15" t="s">
        <v>83</v>
      </c>
      <c r="G62" s="6" t="s">
        <v>92</v>
      </c>
      <c r="H62" s="6"/>
      <c r="I62" s="6"/>
      <c r="J62" s="6"/>
      <c r="K62" s="6"/>
      <c r="L62" s="6"/>
      <c r="M62" s="6"/>
      <c r="N62" s="6" t="s">
        <v>2148</v>
      </c>
      <c r="O62" s="6"/>
      <c r="P62" s="6"/>
      <c r="Q62" s="6"/>
      <c r="R62" s="6"/>
      <c r="S62" s="6"/>
      <c r="T62" s="6"/>
      <c r="U62" s="6"/>
      <c r="V62" s="15"/>
      <c r="W62" s="6"/>
      <c r="X62" s="15"/>
      <c r="Y62" s="15"/>
      <c r="Z62" s="15"/>
    </row>
    <row r="63" spans="1:26" ht="29.25" hidden="1" customHeight="1" x14ac:dyDescent="0.2">
      <c r="A63" s="67">
        <v>60</v>
      </c>
      <c r="B63" s="67" t="s">
        <v>2264</v>
      </c>
      <c r="C63" s="68" t="s">
        <v>2265</v>
      </c>
      <c r="D63" s="69" t="s">
        <v>66</v>
      </c>
      <c r="E63" s="69"/>
      <c r="F63" s="69" t="s">
        <v>7</v>
      </c>
      <c r="G63" s="69" t="s">
        <v>92</v>
      </c>
      <c r="H63" s="69" t="s">
        <v>226</v>
      </c>
      <c r="I63" s="70" t="s">
        <v>69</v>
      </c>
      <c r="J63" s="70" t="s">
        <v>70</v>
      </c>
      <c r="K63" s="69" t="s">
        <v>227</v>
      </c>
      <c r="L63" s="69" t="s">
        <v>73</v>
      </c>
      <c r="M63" s="67" t="s">
        <v>70</v>
      </c>
      <c r="N63" s="67"/>
      <c r="O63" s="67">
        <v>39</v>
      </c>
      <c r="P63" s="67"/>
      <c r="Q63" s="67"/>
      <c r="R63" s="67"/>
      <c r="S63" s="67"/>
      <c r="T63" s="67"/>
      <c r="U63" s="69"/>
      <c r="V63" s="71"/>
      <c r="W63" s="72"/>
      <c r="X63" s="73"/>
      <c r="Y63" s="73"/>
      <c r="Z63" s="73"/>
    </row>
    <row r="64" spans="1:26" ht="29.25" hidden="1" customHeight="1" x14ac:dyDescent="0.2">
      <c r="A64" s="15">
        <v>61</v>
      </c>
      <c r="B64" s="15" t="s">
        <v>1120</v>
      </c>
      <c r="C64" s="16" t="s">
        <v>1118</v>
      </c>
      <c r="D64" s="6" t="s">
        <v>10</v>
      </c>
      <c r="E64" s="6"/>
      <c r="F64" s="15" t="s">
        <v>7</v>
      </c>
      <c r="G64" s="6" t="s">
        <v>92</v>
      </c>
      <c r="H64" s="6" t="s">
        <v>117</v>
      </c>
      <c r="I64" s="6" t="s">
        <v>119</v>
      </c>
      <c r="J64" s="6" t="s">
        <v>107</v>
      </c>
      <c r="K64" s="6" t="s">
        <v>204</v>
      </c>
      <c r="L64" s="6" t="s">
        <v>119</v>
      </c>
      <c r="M64" s="6" t="s">
        <v>107</v>
      </c>
      <c r="N64" s="6" t="s">
        <v>429</v>
      </c>
      <c r="O64" s="6">
        <v>186</v>
      </c>
      <c r="P64" s="6" t="s">
        <v>158</v>
      </c>
      <c r="Q64" s="6">
        <v>198</v>
      </c>
      <c r="R64" s="6">
        <v>13</v>
      </c>
      <c r="S64" s="6" t="s">
        <v>1121</v>
      </c>
      <c r="T64" s="6" t="s">
        <v>111</v>
      </c>
      <c r="U64" s="6"/>
      <c r="V64" s="15"/>
      <c r="W64" s="6"/>
      <c r="X64" s="15"/>
      <c r="Y64" s="15"/>
      <c r="Z64" s="15"/>
    </row>
    <row r="65" spans="1:26" ht="29.25" hidden="1" customHeight="1" x14ac:dyDescent="0.2">
      <c r="A65" s="67">
        <v>62</v>
      </c>
      <c r="B65" s="67" t="s">
        <v>2266</v>
      </c>
      <c r="C65" s="68" t="s">
        <v>2262</v>
      </c>
      <c r="D65" s="69" t="s">
        <v>6</v>
      </c>
      <c r="E65" s="69"/>
      <c r="F65" s="69" t="s">
        <v>7</v>
      </c>
      <c r="G65" s="69" t="s">
        <v>92</v>
      </c>
      <c r="H65" s="69" t="s">
        <v>218</v>
      </c>
      <c r="I65" s="70" t="s">
        <v>142</v>
      </c>
      <c r="J65" s="70" t="s">
        <v>70</v>
      </c>
      <c r="K65" s="69" t="s">
        <v>453</v>
      </c>
      <c r="L65" s="69" t="s">
        <v>119</v>
      </c>
      <c r="M65" s="67" t="s">
        <v>107</v>
      </c>
      <c r="N65" s="67">
        <v>0</v>
      </c>
      <c r="O65" s="67" t="s">
        <v>2267</v>
      </c>
      <c r="P65" s="67"/>
      <c r="Q65" s="67" t="s">
        <v>2268</v>
      </c>
      <c r="R65" s="67" t="s">
        <v>2269</v>
      </c>
      <c r="S65" s="67" t="s">
        <v>1120</v>
      </c>
      <c r="T65" s="67" t="s">
        <v>160</v>
      </c>
      <c r="U65" s="69"/>
      <c r="V65" s="71"/>
      <c r="W65" s="72"/>
      <c r="X65" s="73"/>
      <c r="Y65" s="73"/>
      <c r="Z65" s="73"/>
    </row>
    <row r="66" spans="1:26" ht="29.25" hidden="1" customHeight="1" x14ac:dyDescent="0.2">
      <c r="A66" s="15">
        <v>63</v>
      </c>
      <c r="B66" s="15" t="s">
        <v>2270</v>
      </c>
      <c r="C66" s="16" t="s">
        <v>2271</v>
      </c>
      <c r="D66" s="6" t="s">
        <v>66</v>
      </c>
      <c r="E66" s="6" t="s">
        <v>2147</v>
      </c>
      <c r="F66" s="15" t="s">
        <v>83</v>
      </c>
      <c r="G66" s="6" t="s">
        <v>92</v>
      </c>
      <c r="H66" s="6"/>
      <c r="I66" s="6"/>
      <c r="J66" s="6"/>
      <c r="K66" s="6"/>
      <c r="L66" s="6"/>
      <c r="M66" s="6"/>
      <c r="N66" s="6" t="s">
        <v>2148</v>
      </c>
      <c r="O66" s="6"/>
      <c r="P66" s="6"/>
      <c r="Q66" s="6"/>
      <c r="R66" s="6"/>
      <c r="S66" s="6"/>
      <c r="T66" s="6"/>
      <c r="U66" s="6"/>
      <c r="V66" s="15"/>
      <c r="W66" s="6"/>
      <c r="X66" s="15"/>
      <c r="Y66" s="15"/>
      <c r="Z66" s="15"/>
    </row>
    <row r="67" spans="1:26" ht="29.25" hidden="1" customHeight="1" x14ac:dyDescent="0.2">
      <c r="A67" s="67">
        <v>64</v>
      </c>
      <c r="B67" s="67" t="s">
        <v>2270</v>
      </c>
      <c r="C67" s="68" t="s">
        <v>2271</v>
      </c>
      <c r="D67" s="69" t="s">
        <v>66</v>
      </c>
      <c r="E67" s="69"/>
      <c r="F67" s="69" t="s">
        <v>7</v>
      </c>
      <c r="G67" s="69" t="s">
        <v>92</v>
      </c>
      <c r="H67" s="69" t="s">
        <v>140</v>
      </c>
      <c r="I67" s="70" t="s">
        <v>119</v>
      </c>
      <c r="J67" s="70" t="s">
        <v>107</v>
      </c>
      <c r="K67" s="69" t="s">
        <v>338</v>
      </c>
      <c r="L67" s="69" t="s">
        <v>2175</v>
      </c>
      <c r="M67" s="67" t="s">
        <v>107</v>
      </c>
      <c r="N67" s="67" t="s">
        <v>429</v>
      </c>
      <c r="O67" s="67"/>
      <c r="P67" s="67"/>
      <c r="Q67" s="67"/>
      <c r="R67" s="67"/>
      <c r="S67" s="67"/>
      <c r="T67" s="67"/>
      <c r="U67" s="69"/>
      <c r="V67" s="71"/>
      <c r="W67" s="72"/>
      <c r="X67" s="73"/>
      <c r="Y67" s="73"/>
      <c r="Z67" s="73"/>
    </row>
    <row r="68" spans="1:26" ht="29.25" hidden="1" customHeight="1" x14ac:dyDescent="0.2">
      <c r="A68" s="15">
        <v>65</v>
      </c>
      <c r="B68" s="15" t="s">
        <v>2272</v>
      </c>
      <c r="C68" s="16" t="s">
        <v>1297</v>
      </c>
      <c r="D68" s="6" t="s">
        <v>6</v>
      </c>
      <c r="E68" s="6" t="s">
        <v>2147</v>
      </c>
      <c r="F68" s="15" t="s">
        <v>83</v>
      </c>
      <c r="G68" s="6" t="s">
        <v>92</v>
      </c>
      <c r="H68" s="6" t="s">
        <v>155</v>
      </c>
      <c r="I68" s="6" t="s">
        <v>142</v>
      </c>
      <c r="J68" s="6" t="s">
        <v>2273</v>
      </c>
      <c r="K68" s="6" t="s">
        <v>324</v>
      </c>
      <c r="L68" s="6" t="s">
        <v>69</v>
      </c>
      <c r="M68" s="6" t="s">
        <v>70</v>
      </c>
      <c r="N68" s="6" t="s">
        <v>2274</v>
      </c>
      <c r="O68" s="6"/>
      <c r="P68" s="6"/>
      <c r="Q68" s="6"/>
      <c r="R68" s="6"/>
      <c r="S68" s="6"/>
      <c r="T68" s="6"/>
      <c r="U68" s="6"/>
      <c r="V68" s="15"/>
      <c r="W68" s="6"/>
      <c r="X68" s="15"/>
      <c r="Y68" s="15"/>
      <c r="Z68" s="15"/>
    </row>
    <row r="69" spans="1:26" ht="29.25" hidden="1" customHeight="1" x14ac:dyDescent="0.2">
      <c r="A69" s="67">
        <v>66</v>
      </c>
      <c r="B69" s="67" t="s">
        <v>2275</v>
      </c>
      <c r="C69" s="68" t="s">
        <v>1297</v>
      </c>
      <c r="D69" s="69" t="s">
        <v>6</v>
      </c>
      <c r="E69" s="69"/>
      <c r="F69" s="69" t="s">
        <v>7</v>
      </c>
      <c r="G69" s="69" t="s">
        <v>92</v>
      </c>
      <c r="H69" s="69" t="s">
        <v>68</v>
      </c>
      <c r="I69" s="70" t="s">
        <v>119</v>
      </c>
      <c r="J69" s="70" t="s">
        <v>107</v>
      </c>
      <c r="K69" s="69" t="s">
        <v>263</v>
      </c>
      <c r="L69" s="69" t="s">
        <v>142</v>
      </c>
      <c r="M69" s="67" t="s">
        <v>70</v>
      </c>
      <c r="N69" s="67">
        <v>0</v>
      </c>
      <c r="O69" s="67" t="s">
        <v>2008</v>
      </c>
      <c r="P69" s="67" t="s">
        <v>158</v>
      </c>
      <c r="Q69" s="67" t="s">
        <v>2276</v>
      </c>
      <c r="R69" s="67" t="s">
        <v>2258</v>
      </c>
      <c r="S69" s="67" t="s">
        <v>2002</v>
      </c>
      <c r="T69" s="67" t="s">
        <v>111</v>
      </c>
      <c r="U69" s="69"/>
      <c r="V69" s="71"/>
      <c r="W69" s="72"/>
      <c r="X69" s="73"/>
      <c r="Y69" s="73"/>
      <c r="Z69" s="73"/>
    </row>
    <row r="70" spans="1:26" ht="29.25" hidden="1" customHeight="1" x14ac:dyDescent="0.2">
      <c r="A70" s="15">
        <v>67</v>
      </c>
      <c r="B70" s="15" t="s">
        <v>2277</v>
      </c>
      <c r="C70" s="16" t="s">
        <v>2278</v>
      </c>
      <c r="D70" s="6" t="s">
        <v>243</v>
      </c>
      <c r="E70" s="6" t="s">
        <v>2147</v>
      </c>
      <c r="F70" s="15" t="s">
        <v>83</v>
      </c>
      <c r="G70" s="6" t="s">
        <v>92</v>
      </c>
      <c r="H70" s="6" t="s">
        <v>104</v>
      </c>
      <c r="I70" s="6" t="s">
        <v>262</v>
      </c>
      <c r="J70" s="6" t="s">
        <v>70</v>
      </c>
      <c r="K70" s="6" t="s">
        <v>256</v>
      </c>
      <c r="L70" s="6" t="s">
        <v>2175</v>
      </c>
      <c r="M70" s="6" t="s">
        <v>107</v>
      </c>
      <c r="N70" s="6" t="s">
        <v>2279</v>
      </c>
      <c r="O70" s="6"/>
      <c r="P70" s="6"/>
      <c r="Q70" s="6"/>
      <c r="R70" s="6"/>
      <c r="S70" s="6"/>
      <c r="T70" s="6"/>
      <c r="U70" s="6"/>
      <c r="V70" s="15"/>
      <c r="W70" s="6"/>
      <c r="X70" s="15"/>
      <c r="Y70" s="15"/>
      <c r="Z70" s="15"/>
    </row>
    <row r="71" spans="1:26" ht="29.25" hidden="1" customHeight="1" x14ac:dyDescent="0.2">
      <c r="A71" s="67">
        <v>68</v>
      </c>
      <c r="B71" s="67" t="s">
        <v>2280</v>
      </c>
      <c r="C71" s="68" t="s">
        <v>1634</v>
      </c>
      <c r="D71" s="69" t="s">
        <v>10</v>
      </c>
      <c r="E71" s="69" t="s">
        <v>2147</v>
      </c>
      <c r="F71" s="69" t="s">
        <v>83</v>
      </c>
      <c r="G71" s="69" t="s">
        <v>92</v>
      </c>
      <c r="H71" s="69" t="s">
        <v>155</v>
      </c>
      <c r="I71" s="70" t="s">
        <v>142</v>
      </c>
      <c r="J71" s="70" t="s">
        <v>70</v>
      </c>
      <c r="K71" s="69" t="s">
        <v>170</v>
      </c>
      <c r="L71" s="69" t="s">
        <v>142</v>
      </c>
      <c r="M71" s="67" t="s">
        <v>70</v>
      </c>
      <c r="N71" s="67" t="s">
        <v>2281</v>
      </c>
      <c r="O71" s="67"/>
      <c r="P71" s="67"/>
      <c r="Q71" s="67"/>
      <c r="R71" s="67"/>
      <c r="S71" s="67"/>
      <c r="T71" s="67"/>
      <c r="U71" s="69"/>
      <c r="V71" s="71"/>
      <c r="W71" s="72"/>
      <c r="X71" s="73"/>
      <c r="Y71" s="73"/>
      <c r="Z71" s="73"/>
    </row>
    <row r="72" spans="1:26" ht="29.25" hidden="1" customHeight="1" x14ac:dyDescent="0.2">
      <c r="A72" s="15">
        <v>69</v>
      </c>
      <c r="B72" s="15" t="s">
        <v>1637</v>
      </c>
      <c r="C72" s="16" t="s">
        <v>2278</v>
      </c>
      <c r="D72" s="6" t="s">
        <v>243</v>
      </c>
      <c r="E72" s="6"/>
      <c r="F72" s="15" t="s">
        <v>7</v>
      </c>
      <c r="G72" s="6" t="s">
        <v>92</v>
      </c>
      <c r="H72" s="6" t="s">
        <v>104</v>
      </c>
      <c r="I72" s="6" t="s">
        <v>119</v>
      </c>
      <c r="J72" s="6" t="s">
        <v>107</v>
      </c>
      <c r="K72" s="6" t="s">
        <v>256</v>
      </c>
      <c r="L72" s="6" t="s">
        <v>119</v>
      </c>
      <c r="M72" s="6" t="s">
        <v>107</v>
      </c>
      <c r="N72" s="6">
        <v>0</v>
      </c>
      <c r="O72" s="6">
        <v>138</v>
      </c>
      <c r="P72" s="6"/>
      <c r="Q72" s="6">
        <v>122</v>
      </c>
      <c r="R72" s="6">
        <v>33</v>
      </c>
      <c r="S72" s="6" t="s">
        <v>2277</v>
      </c>
      <c r="T72" s="6" t="s">
        <v>111</v>
      </c>
      <c r="U72" s="6"/>
      <c r="V72" s="15"/>
      <c r="W72" s="6"/>
      <c r="X72" s="15"/>
      <c r="Y72" s="15"/>
      <c r="Z72" s="15"/>
    </row>
    <row r="73" spans="1:26" ht="29.25" hidden="1" customHeight="1" x14ac:dyDescent="0.2">
      <c r="A73" s="67">
        <v>70</v>
      </c>
      <c r="B73" s="67" t="s">
        <v>2282</v>
      </c>
      <c r="C73" s="68" t="s">
        <v>1634</v>
      </c>
      <c r="D73" s="69" t="s">
        <v>10</v>
      </c>
      <c r="E73" s="69"/>
      <c r="F73" s="69" t="s">
        <v>7</v>
      </c>
      <c r="G73" s="69" t="s">
        <v>92</v>
      </c>
      <c r="H73" s="69" t="s">
        <v>155</v>
      </c>
      <c r="I73" s="70" t="s">
        <v>119</v>
      </c>
      <c r="J73" s="70" t="s">
        <v>107</v>
      </c>
      <c r="K73" s="69" t="s">
        <v>170</v>
      </c>
      <c r="L73" s="69" t="s">
        <v>119</v>
      </c>
      <c r="M73" s="67" t="s">
        <v>107</v>
      </c>
      <c r="N73" s="67" t="s">
        <v>429</v>
      </c>
      <c r="O73" s="67" t="s">
        <v>419</v>
      </c>
      <c r="P73" s="67"/>
      <c r="Q73" s="67" t="s">
        <v>2283</v>
      </c>
      <c r="R73" s="67" t="s">
        <v>226</v>
      </c>
      <c r="S73" s="67" t="s">
        <v>2280</v>
      </c>
      <c r="T73" s="67" t="s">
        <v>160</v>
      </c>
      <c r="U73" s="69"/>
      <c r="V73" s="71"/>
      <c r="W73" s="72"/>
      <c r="X73" s="73"/>
      <c r="Y73" s="73"/>
      <c r="Z73" s="73"/>
    </row>
    <row r="74" spans="1:26" ht="29.25" hidden="1" customHeight="1" x14ac:dyDescent="0.2">
      <c r="A74" s="15">
        <v>71</v>
      </c>
      <c r="B74" s="15" t="s">
        <v>2284</v>
      </c>
      <c r="C74" s="16" t="s">
        <v>643</v>
      </c>
      <c r="D74" s="6" t="s">
        <v>19</v>
      </c>
      <c r="E74" s="6" t="s">
        <v>2285</v>
      </c>
      <c r="F74" s="15" t="s">
        <v>83</v>
      </c>
      <c r="G74" s="6" t="s">
        <v>92</v>
      </c>
      <c r="H74" s="6" t="s">
        <v>68</v>
      </c>
      <c r="I74" s="6" t="s">
        <v>444</v>
      </c>
      <c r="J74" s="6" t="s">
        <v>107</v>
      </c>
      <c r="K74" s="6" t="s">
        <v>332</v>
      </c>
      <c r="L74" s="6" t="s">
        <v>444</v>
      </c>
      <c r="M74" s="6" t="s">
        <v>107</v>
      </c>
      <c r="N74" s="6" t="s">
        <v>2286</v>
      </c>
      <c r="O74" s="6"/>
      <c r="P74" s="6"/>
      <c r="Q74" s="6"/>
      <c r="R74" s="6"/>
      <c r="S74" s="6"/>
      <c r="T74" s="6"/>
      <c r="U74" s="6"/>
      <c r="V74" s="15"/>
      <c r="W74" s="6"/>
      <c r="X74" s="15"/>
      <c r="Y74" s="15"/>
      <c r="Z74" s="15"/>
    </row>
    <row r="75" spans="1:26" ht="29.25" hidden="1" customHeight="1" x14ac:dyDescent="0.2">
      <c r="A75" s="67">
        <v>72</v>
      </c>
      <c r="B75" s="67" t="s">
        <v>2287</v>
      </c>
      <c r="C75" s="68" t="s">
        <v>2288</v>
      </c>
      <c r="D75" s="69" t="s">
        <v>243</v>
      </c>
      <c r="E75" s="69" t="s">
        <v>2147</v>
      </c>
      <c r="F75" s="69" t="s">
        <v>83</v>
      </c>
      <c r="G75" s="69" t="s">
        <v>92</v>
      </c>
      <c r="H75" s="69" t="s">
        <v>68</v>
      </c>
      <c r="I75" s="70" t="s">
        <v>369</v>
      </c>
      <c r="J75" s="70" t="s">
        <v>369</v>
      </c>
      <c r="K75" s="69" t="s">
        <v>256</v>
      </c>
      <c r="L75" s="69" t="s">
        <v>369</v>
      </c>
      <c r="M75" s="67" t="s">
        <v>369</v>
      </c>
      <c r="N75" s="67" t="s">
        <v>2289</v>
      </c>
      <c r="O75" s="67"/>
      <c r="P75" s="67"/>
      <c r="Q75" s="67"/>
      <c r="R75" s="67"/>
      <c r="S75" s="67"/>
      <c r="T75" s="67"/>
      <c r="U75" s="69"/>
      <c r="V75" s="71"/>
      <c r="W75" s="72"/>
      <c r="X75" s="73"/>
      <c r="Y75" s="73"/>
      <c r="Z75" s="73"/>
    </row>
    <row r="76" spans="1:26" ht="29.25" hidden="1" customHeight="1" x14ac:dyDescent="0.2">
      <c r="A76" s="15">
        <v>73</v>
      </c>
      <c r="B76" s="15" t="s">
        <v>2290</v>
      </c>
      <c r="C76" s="16" t="s">
        <v>2291</v>
      </c>
      <c r="D76" s="6" t="s">
        <v>243</v>
      </c>
      <c r="E76" s="6"/>
      <c r="F76" s="15" t="s">
        <v>7</v>
      </c>
      <c r="G76" s="6" t="s">
        <v>92</v>
      </c>
      <c r="H76" s="6">
        <v>62</v>
      </c>
      <c r="I76" s="6" t="s">
        <v>119</v>
      </c>
      <c r="J76" s="6" t="s">
        <v>107</v>
      </c>
      <c r="K76" s="6" t="s">
        <v>256</v>
      </c>
      <c r="L76" s="6" t="s">
        <v>119</v>
      </c>
      <c r="M76" s="6" t="s">
        <v>107</v>
      </c>
      <c r="N76" s="6" t="s">
        <v>2155</v>
      </c>
      <c r="O76" s="6">
        <v>120</v>
      </c>
      <c r="P76" s="6"/>
      <c r="Q76" s="6">
        <v>122</v>
      </c>
      <c r="R76" s="6">
        <v>33</v>
      </c>
      <c r="S76" s="6" t="s">
        <v>2287</v>
      </c>
      <c r="T76" s="6" t="s">
        <v>111</v>
      </c>
      <c r="U76" s="6"/>
      <c r="V76" s="15"/>
      <c r="W76" s="6"/>
      <c r="X76" s="15"/>
      <c r="Y76" s="15"/>
      <c r="Z76" s="15"/>
    </row>
    <row r="77" spans="1:26" ht="29.25" hidden="1" customHeight="1" x14ac:dyDescent="0.2">
      <c r="A77" s="67">
        <v>74</v>
      </c>
      <c r="B77" s="67" t="s">
        <v>2292</v>
      </c>
      <c r="C77" s="68" t="s">
        <v>2293</v>
      </c>
      <c r="D77" s="69" t="s">
        <v>66</v>
      </c>
      <c r="E77" s="69" t="s">
        <v>2147</v>
      </c>
      <c r="F77" s="69" t="s">
        <v>83</v>
      </c>
      <c r="G77" s="69" t="s">
        <v>92</v>
      </c>
      <c r="H77" s="69"/>
      <c r="I77" s="70"/>
      <c r="J77" s="70"/>
      <c r="K77" s="69"/>
      <c r="L77" s="69"/>
      <c r="M77" s="67"/>
      <c r="N77" s="67" t="s">
        <v>2148</v>
      </c>
      <c r="O77" s="67"/>
      <c r="P77" s="67"/>
      <c r="Q77" s="67"/>
      <c r="R77" s="67"/>
      <c r="S77" s="67"/>
      <c r="T77" s="67"/>
      <c r="U77" s="69"/>
      <c r="V77" s="71"/>
      <c r="W77" s="72"/>
      <c r="X77" s="73"/>
      <c r="Y77" s="73"/>
      <c r="Z77" s="73"/>
    </row>
    <row r="78" spans="1:26" ht="29.25" hidden="1" customHeight="1" x14ac:dyDescent="0.2">
      <c r="A78" s="15">
        <v>75</v>
      </c>
      <c r="B78" s="15" t="s">
        <v>2294</v>
      </c>
      <c r="C78" s="16" t="s">
        <v>281</v>
      </c>
      <c r="D78" s="6" t="s">
        <v>8</v>
      </c>
      <c r="E78" s="6" t="s">
        <v>2147</v>
      </c>
      <c r="F78" s="15" t="s">
        <v>83</v>
      </c>
      <c r="G78" s="6" t="s">
        <v>92</v>
      </c>
      <c r="H78" s="6" t="s">
        <v>68</v>
      </c>
      <c r="I78" s="6" t="s">
        <v>119</v>
      </c>
      <c r="J78" s="6" t="s">
        <v>107</v>
      </c>
      <c r="K78" s="6" t="s">
        <v>263</v>
      </c>
      <c r="L78" s="6" t="s">
        <v>369</v>
      </c>
      <c r="M78" s="6" t="s">
        <v>369</v>
      </c>
      <c r="N78" s="6" t="s">
        <v>2295</v>
      </c>
      <c r="O78" s="6"/>
      <c r="P78" s="6"/>
      <c r="Q78" s="6"/>
      <c r="R78" s="6"/>
      <c r="S78" s="6"/>
      <c r="T78" s="6"/>
      <c r="U78" s="6"/>
      <c r="V78" s="15"/>
      <c r="W78" s="6"/>
      <c r="X78" s="15"/>
      <c r="Y78" s="15"/>
      <c r="Z78" s="15"/>
    </row>
    <row r="79" spans="1:26" ht="29.25" hidden="1" customHeight="1" x14ac:dyDescent="0.2">
      <c r="A79" s="67">
        <v>76</v>
      </c>
      <c r="B79" s="67" t="s">
        <v>2296</v>
      </c>
      <c r="C79" s="68" t="s">
        <v>281</v>
      </c>
      <c r="D79" s="69" t="s">
        <v>8</v>
      </c>
      <c r="E79" s="69"/>
      <c r="F79" s="69" t="s">
        <v>7</v>
      </c>
      <c r="G79" s="69" t="s">
        <v>92</v>
      </c>
      <c r="H79" s="69" t="s">
        <v>68</v>
      </c>
      <c r="I79" s="70" t="s">
        <v>69</v>
      </c>
      <c r="J79" s="70" t="s">
        <v>70</v>
      </c>
      <c r="K79" s="69" t="s">
        <v>263</v>
      </c>
      <c r="L79" s="69" t="s">
        <v>119</v>
      </c>
      <c r="M79" s="67" t="s">
        <v>107</v>
      </c>
      <c r="N79" s="67">
        <v>0</v>
      </c>
      <c r="O79" s="67" t="s">
        <v>1991</v>
      </c>
      <c r="P79" s="67"/>
      <c r="Q79" s="67" t="s">
        <v>1858</v>
      </c>
      <c r="R79" s="67" t="s">
        <v>2297</v>
      </c>
      <c r="S79" s="67" t="s">
        <v>2294</v>
      </c>
      <c r="T79" s="67" t="s">
        <v>111</v>
      </c>
      <c r="U79" s="69"/>
      <c r="V79" s="71"/>
      <c r="W79" s="72"/>
      <c r="X79" s="73"/>
      <c r="Y79" s="73"/>
      <c r="Z79" s="73"/>
    </row>
    <row r="80" spans="1:26" ht="29.25" hidden="1" customHeight="1" x14ac:dyDescent="0.2">
      <c r="A80" s="15">
        <v>77</v>
      </c>
      <c r="B80" s="15" t="s">
        <v>2298</v>
      </c>
      <c r="C80" s="16" t="s">
        <v>2299</v>
      </c>
      <c r="D80" s="6" t="s">
        <v>19</v>
      </c>
      <c r="E80" s="6" t="s">
        <v>2285</v>
      </c>
      <c r="F80" s="15" t="s">
        <v>83</v>
      </c>
      <c r="G80" s="6" t="s">
        <v>92</v>
      </c>
      <c r="H80" s="6" t="s">
        <v>334</v>
      </c>
      <c r="I80" s="6" t="s">
        <v>119</v>
      </c>
      <c r="J80" s="6" t="s">
        <v>107</v>
      </c>
      <c r="K80" s="6" t="s">
        <v>1704</v>
      </c>
      <c r="L80" s="6" t="s">
        <v>119</v>
      </c>
      <c r="M80" s="6" t="s">
        <v>107</v>
      </c>
      <c r="N80" s="6" t="s">
        <v>2300</v>
      </c>
      <c r="O80" s="6">
        <v>114</v>
      </c>
      <c r="P80" s="6"/>
      <c r="Q80" s="6"/>
      <c r="R80" s="6"/>
      <c r="S80" s="6"/>
      <c r="T80" s="6" t="s">
        <v>111</v>
      </c>
      <c r="U80" s="6"/>
      <c r="V80" s="15"/>
      <c r="W80" s="6"/>
      <c r="X80" s="15"/>
      <c r="Y80" s="15"/>
      <c r="Z80" s="15"/>
    </row>
    <row r="81" spans="1:26" ht="29.25" hidden="1" customHeight="1" x14ac:dyDescent="0.2">
      <c r="A81" s="67">
        <v>78</v>
      </c>
      <c r="B81" s="67" t="s">
        <v>2301</v>
      </c>
      <c r="C81" s="68" t="s">
        <v>2302</v>
      </c>
      <c r="D81" s="69" t="s">
        <v>8</v>
      </c>
      <c r="E81" s="69" t="s">
        <v>2147</v>
      </c>
      <c r="F81" s="69" t="s">
        <v>83</v>
      </c>
      <c r="G81" s="69" t="s">
        <v>92</v>
      </c>
      <c r="H81" s="69" t="s">
        <v>141</v>
      </c>
      <c r="I81" s="70" t="s">
        <v>444</v>
      </c>
      <c r="J81" s="70" t="s">
        <v>107</v>
      </c>
      <c r="K81" s="69" t="s">
        <v>492</v>
      </c>
      <c r="L81" s="69" t="s">
        <v>444</v>
      </c>
      <c r="M81" s="67" t="s">
        <v>107</v>
      </c>
      <c r="N81" s="67" t="s">
        <v>2303</v>
      </c>
      <c r="O81" s="67"/>
      <c r="P81" s="67"/>
      <c r="Q81" s="67"/>
      <c r="R81" s="67"/>
      <c r="S81" s="67"/>
      <c r="T81" s="67"/>
      <c r="U81" s="69"/>
      <c r="V81" s="71"/>
      <c r="W81" s="72"/>
      <c r="X81" s="73"/>
      <c r="Y81" s="73"/>
      <c r="Z81" s="73"/>
    </row>
    <row r="82" spans="1:26" ht="29.25" customHeight="1" x14ac:dyDescent="0.2">
      <c r="A82" s="15">
        <v>79</v>
      </c>
      <c r="B82" s="15" t="s">
        <v>2304</v>
      </c>
      <c r="C82" s="16" t="s">
        <v>82</v>
      </c>
      <c r="D82" s="6" t="s">
        <v>9</v>
      </c>
      <c r="E82" s="6"/>
      <c r="F82" s="15" t="s">
        <v>7</v>
      </c>
      <c r="G82" s="6" t="s">
        <v>92</v>
      </c>
      <c r="H82" s="6" t="s">
        <v>104</v>
      </c>
      <c r="I82" s="6" t="s">
        <v>119</v>
      </c>
      <c r="J82" s="6" t="s">
        <v>107</v>
      </c>
      <c r="K82" s="6" t="s">
        <v>361</v>
      </c>
      <c r="L82" s="6" t="s">
        <v>119</v>
      </c>
      <c r="M82" s="6" t="s">
        <v>107</v>
      </c>
      <c r="N82" s="6">
        <v>0</v>
      </c>
      <c r="O82" s="6">
        <v>222</v>
      </c>
      <c r="P82" s="6"/>
      <c r="Q82" s="6">
        <v>193</v>
      </c>
      <c r="R82" s="6">
        <v>19</v>
      </c>
      <c r="S82" s="6" t="s">
        <v>2298</v>
      </c>
      <c r="T82" s="6" t="s">
        <v>160</v>
      </c>
      <c r="U82" s="6"/>
      <c r="V82" s="15"/>
      <c r="W82" s="6"/>
      <c r="X82" s="15"/>
      <c r="Y82" s="15"/>
      <c r="Z82" s="15"/>
    </row>
    <row r="83" spans="1:26" ht="29.25" hidden="1" customHeight="1" x14ac:dyDescent="0.2">
      <c r="A83" s="67">
        <v>80</v>
      </c>
      <c r="B83" s="67" t="s">
        <v>2305</v>
      </c>
      <c r="C83" s="68" t="s">
        <v>2211</v>
      </c>
      <c r="D83" s="69" t="s">
        <v>10</v>
      </c>
      <c r="E83" s="69"/>
      <c r="F83" s="69" t="s">
        <v>7</v>
      </c>
      <c r="G83" s="69" t="s">
        <v>92</v>
      </c>
      <c r="H83" s="69">
        <v>73</v>
      </c>
      <c r="I83" s="70" t="s">
        <v>69</v>
      </c>
      <c r="J83" s="70" t="s">
        <v>70</v>
      </c>
      <c r="K83" s="69" t="s">
        <v>170</v>
      </c>
      <c r="L83" s="69" t="s">
        <v>119</v>
      </c>
      <c r="M83" s="67" t="s">
        <v>107</v>
      </c>
      <c r="N83" s="67">
        <v>0</v>
      </c>
      <c r="O83" s="67" t="s">
        <v>1663</v>
      </c>
      <c r="P83" s="67" t="s">
        <v>158</v>
      </c>
      <c r="Q83" s="67" t="s">
        <v>2283</v>
      </c>
      <c r="R83" s="67" t="s">
        <v>226</v>
      </c>
      <c r="S83" s="67" t="s">
        <v>2298</v>
      </c>
      <c r="T83" s="67" t="s">
        <v>160</v>
      </c>
      <c r="U83" s="69"/>
      <c r="V83" s="71"/>
      <c r="W83" s="72"/>
      <c r="X83" s="73"/>
      <c r="Y83" s="73"/>
      <c r="Z83" s="73"/>
    </row>
    <row r="84" spans="1:26" ht="29.25" hidden="1" customHeight="1" x14ac:dyDescent="0.2">
      <c r="A84" s="15">
        <v>81</v>
      </c>
      <c r="B84" s="15" t="s">
        <v>2306</v>
      </c>
      <c r="C84" s="16" t="s">
        <v>2242</v>
      </c>
      <c r="D84" s="6" t="s">
        <v>9</v>
      </c>
      <c r="E84" s="6"/>
      <c r="F84" s="15" t="s">
        <v>7</v>
      </c>
      <c r="G84" s="6" t="s">
        <v>92</v>
      </c>
      <c r="H84" s="6" t="s">
        <v>223</v>
      </c>
      <c r="I84" s="6" t="s">
        <v>142</v>
      </c>
      <c r="J84" s="6" t="s">
        <v>70</v>
      </c>
      <c r="K84" s="6" t="s">
        <v>965</v>
      </c>
      <c r="L84" s="6" t="s">
        <v>119</v>
      </c>
      <c r="M84" s="6" t="s">
        <v>107</v>
      </c>
      <c r="N84" s="6">
        <v>0</v>
      </c>
      <c r="O84" s="6">
        <v>128</v>
      </c>
      <c r="P84" s="6" t="s">
        <v>158</v>
      </c>
      <c r="Q84" s="6">
        <v>135</v>
      </c>
      <c r="R84" s="6">
        <v>8.3000000000000007</v>
      </c>
      <c r="S84" s="6" t="s">
        <v>2305</v>
      </c>
      <c r="T84" s="6" t="s">
        <v>111</v>
      </c>
      <c r="U84" s="6"/>
      <c r="V84" s="15"/>
      <c r="W84" s="6"/>
      <c r="X84" s="15"/>
      <c r="Y84" s="15"/>
      <c r="Z84" s="15"/>
    </row>
    <row r="85" spans="1:26" ht="29.25" hidden="1" customHeight="1" x14ac:dyDescent="0.2">
      <c r="A85" s="67">
        <v>82</v>
      </c>
      <c r="B85" s="67" t="s">
        <v>2307</v>
      </c>
      <c r="C85" s="68" t="s">
        <v>2308</v>
      </c>
      <c r="D85" s="69" t="s">
        <v>19</v>
      </c>
      <c r="E85" s="69" t="s">
        <v>2147</v>
      </c>
      <c r="F85" s="69" t="s">
        <v>83</v>
      </c>
      <c r="G85" s="69" t="s">
        <v>92</v>
      </c>
      <c r="H85" s="69" t="s">
        <v>104</v>
      </c>
      <c r="I85" s="70" t="s">
        <v>262</v>
      </c>
      <c r="J85" s="70" t="s">
        <v>70</v>
      </c>
      <c r="K85" s="69" t="s">
        <v>108</v>
      </c>
      <c r="L85" s="69" t="s">
        <v>1210</v>
      </c>
      <c r="M85" s="67" t="s">
        <v>70</v>
      </c>
      <c r="N85" s="67" t="s">
        <v>2309</v>
      </c>
      <c r="O85" s="67"/>
      <c r="P85" s="67"/>
      <c r="Q85" s="67"/>
      <c r="R85" s="67"/>
      <c r="S85" s="67"/>
      <c r="T85" s="67"/>
      <c r="U85" s="69"/>
      <c r="V85" s="71"/>
      <c r="W85" s="72"/>
      <c r="X85" s="73"/>
      <c r="Y85" s="73"/>
      <c r="Z85" s="73"/>
    </row>
    <row r="86" spans="1:26" ht="29.25" hidden="1" customHeight="1" x14ac:dyDescent="0.2">
      <c r="A86" s="15">
        <v>83</v>
      </c>
      <c r="B86" s="15" t="s">
        <v>2310</v>
      </c>
      <c r="C86" s="16" t="s">
        <v>2311</v>
      </c>
      <c r="D86" s="6" t="s">
        <v>9</v>
      </c>
      <c r="E86" s="6"/>
      <c r="F86" s="15" t="s">
        <v>7</v>
      </c>
      <c r="G86" s="6" t="s">
        <v>92</v>
      </c>
      <c r="H86" s="6">
        <v>62</v>
      </c>
      <c r="I86" s="6" t="s">
        <v>119</v>
      </c>
      <c r="J86" s="6" t="s">
        <v>107</v>
      </c>
      <c r="K86" s="6" t="s">
        <v>263</v>
      </c>
      <c r="L86" s="6" t="s">
        <v>119</v>
      </c>
      <c r="M86" s="6" t="s">
        <v>107</v>
      </c>
      <c r="N86" s="6">
        <v>0</v>
      </c>
      <c r="O86" s="6">
        <v>228</v>
      </c>
      <c r="P86" s="6" t="s">
        <v>158</v>
      </c>
      <c r="Q86" s="6">
        <v>215</v>
      </c>
      <c r="R86" s="6">
        <v>18</v>
      </c>
      <c r="S86" s="6" t="s">
        <v>2307</v>
      </c>
      <c r="T86" s="6" t="s">
        <v>160</v>
      </c>
      <c r="U86" s="6"/>
      <c r="V86" s="15"/>
      <c r="W86" s="6"/>
      <c r="X86" s="15"/>
      <c r="Y86" s="15"/>
      <c r="Z86" s="15" t="s">
        <v>1587</v>
      </c>
    </row>
    <row r="87" spans="1:26" ht="29.25" hidden="1" customHeight="1" x14ac:dyDescent="0.2">
      <c r="A87" s="67">
        <v>84</v>
      </c>
      <c r="B87" s="67" t="s">
        <v>2312</v>
      </c>
      <c r="C87" s="68" t="s">
        <v>2308</v>
      </c>
      <c r="D87" s="69" t="s">
        <v>19</v>
      </c>
      <c r="E87" s="69"/>
      <c r="F87" s="69" t="s">
        <v>7</v>
      </c>
      <c r="G87" s="69" t="s">
        <v>92</v>
      </c>
      <c r="H87" s="69" t="s">
        <v>140</v>
      </c>
      <c r="I87" s="70" t="s">
        <v>119</v>
      </c>
      <c r="J87" s="70" t="s">
        <v>107</v>
      </c>
      <c r="K87" s="69" t="s">
        <v>188</v>
      </c>
      <c r="L87" s="69" t="s">
        <v>119</v>
      </c>
      <c r="M87" s="67" t="s">
        <v>107</v>
      </c>
      <c r="N87" s="67">
        <v>0</v>
      </c>
      <c r="O87" s="67" t="s">
        <v>2249</v>
      </c>
      <c r="P87" s="67" t="s">
        <v>158</v>
      </c>
      <c r="Q87" s="67" t="s">
        <v>2313</v>
      </c>
      <c r="R87" s="67" t="s">
        <v>2186</v>
      </c>
      <c r="S87" s="67" t="s">
        <v>2310</v>
      </c>
      <c r="T87" s="67" t="s">
        <v>111</v>
      </c>
      <c r="U87" s="69"/>
      <c r="V87" s="71"/>
      <c r="W87" s="72"/>
      <c r="X87" s="73"/>
      <c r="Y87" s="73"/>
      <c r="Z87" s="73"/>
    </row>
    <row r="88" spans="1:26" ht="29.25" hidden="1" customHeight="1" x14ac:dyDescent="0.2">
      <c r="A88" s="15">
        <v>85</v>
      </c>
      <c r="B88" s="15" t="s">
        <v>2314</v>
      </c>
      <c r="C88" s="16" t="s">
        <v>2302</v>
      </c>
      <c r="D88" s="6" t="s">
        <v>8</v>
      </c>
      <c r="E88" s="6"/>
      <c r="F88" s="15" t="s">
        <v>7</v>
      </c>
      <c r="G88" s="6" t="s">
        <v>92</v>
      </c>
      <c r="H88" s="6" t="s">
        <v>141</v>
      </c>
      <c r="I88" s="6" t="s">
        <v>262</v>
      </c>
      <c r="J88" s="6" t="s">
        <v>70</v>
      </c>
      <c r="K88" s="6" t="s">
        <v>492</v>
      </c>
      <c r="L88" s="6" t="s">
        <v>119</v>
      </c>
      <c r="M88" s="6" t="s">
        <v>107</v>
      </c>
      <c r="N88" s="6">
        <v>0</v>
      </c>
      <c r="O88" s="6">
        <v>114</v>
      </c>
      <c r="P88" s="6"/>
      <c r="Q88" s="6">
        <v>125</v>
      </c>
      <c r="R88" s="6">
        <v>11</v>
      </c>
      <c r="S88" s="6" t="s">
        <v>2315</v>
      </c>
      <c r="T88" s="6" t="s">
        <v>111</v>
      </c>
      <c r="U88" s="6"/>
      <c r="V88" s="15"/>
      <c r="W88" s="6"/>
      <c r="X88" s="15"/>
      <c r="Y88" s="15"/>
      <c r="Z88" s="15"/>
    </row>
    <row r="89" spans="1:26" ht="29.25" hidden="1" customHeight="1" x14ac:dyDescent="0.2">
      <c r="A89" s="67">
        <v>86</v>
      </c>
      <c r="B89" s="67" t="s">
        <v>2316</v>
      </c>
      <c r="C89" s="68" t="s">
        <v>2317</v>
      </c>
      <c r="D89" s="69" t="s">
        <v>243</v>
      </c>
      <c r="E89" s="69" t="s">
        <v>2147</v>
      </c>
      <c r="F89" s="69" t="s">
        <v>83</v>
      </c>
      <c r="G89" s="69" t="s">
        <v>92</v>
      </c>
      <c r="H89" s="69">
        <v>55</v>
      </c>
      <c r="I89" s="70" t="s">
        <v>119</v>
      </c>
      <c r="J89" s="70" t="s">
        <v>107</v>
      </c>
      <c r="K89" s="69" t="s">
        <v>361</v>
      </c>
      <c r="L89" s="69" t="s">
        <v>142</v>
      </c>
      <c r="M89" s="67" t="s">
        <v>70</v>
      </c>
      <c r="N89" s="67" t="s">
        <v>2318</v>
      </c>
      <c r="O89" s="67"/>
      <c r="P89" s="67"/>
      <c r="Q89" s="67"/>
      <c r="R89" s="67"/>
      <c r="S89" s="67"/>
      <c r="T89" s="67"/>
      <c r="U89" s="69"/>
      <c r="V89" s="71"/>
      <c r="W89" s="72"/>
      <c r="X89" s="73"/>
      <c r="Y89" s="73"/>
      <c r="Z89" s="73"/>
    </row>
    <row r="90" spans="1:26" ht="29.25" hidden="1" customHeight="1" x14ac:dyDescent="0.2">
      <c r="A90" s="15">
        <v>87</v>
      </c>
      <c r="B90" s="15" t="s">
        <v>2319</v>
      </c>
      <c r="C90" s="16" t="s">
        <v>2320</v>
      </c>
      <c r="D90" s="6" t="s">
        <v>8</v>
      </c>
      <c r="E90" s="6" t="s">
        <v>922</v>
      </c>
      <c r="F90" s="15" t="s">
        <v>83</v>
      </c>
      <c r="G90" s="6" t="s">
        <v>92</v>
      </c>
      <c r="H90" s="6" t="s">
        <v>117</v>
      </c>
      <c r="I90" s="6" t="s">
        <v>206</v>
      </c>
      <c r="J90" s="6" t="s">
        <v>107</v>
      </c>
      <c r="K90" s="6" t="s">
        <v>120</v>
      </c>
      <c r="L90" s="6" t="s">
        <v>206</v>
      </c>
      <c r="M90" s="6" t="s">
        <v>107</v>
      </c>
      <c r="N90" s="6" t="s">
        <v>1190</v>
      </c>
      <c r="O90" s="6"/>
      <c r="P90" s="6"/>
      <c r="Q90" s="6"/>
      <c r="R90" s="6"/>
      <c r="S90" s="6"/>
      <c r="T90" s="6"/>
      <c r="U90" s="6"/>
      <c r="V90" s="15"/>
      <c r="W90" s="6"/>
      <c r="X90" s="15"/>
      <c r="Y90" s="15"/>
      <c r="Z90" s="15"/>
    </row>
    <row r="91" spans="1:26" ht="29.25" hidden="1" customHeight="1" x14ac:dyDescent="0.2">
      <c r="A91" s="67">
        <v>88</v>
      </c>
      <c r="B91" s="67" t="s">
        <v>1967</v>
      </c>
      <c r="C91" s="68" t="s">
        <v>2293</v>
      </c>
      <c r="D91" s="69" t="s">
        <v>66</v>
      </c>
      <c r="E91" s="69"/>
      <c r="F91" s="69" t="s">
        <v>7</v>
      </c>
      <c r="G91" s="69" t="s">
        <v>92</v>
      </c>
      <c r="H91" s="69" t="s">
        <v>140</v>
      </c>
      <c r="I91" s="70" t="s">
        <v>142</v>
      </c>
      <c r="J91" s="70" t="s">
        <v>70</v>
      </c>
      <c r="K91" s="69" t="s">
        <v>338</v>
      </c>
      <c r="L91" s="69" t="s">
        <v>119</v>
      </c>
      <c r="M91" s="67" t="s">
        <v>107</v>
      </c>
      <c r="N91" s="67">
        <v>0</v>
      </c>
      <c r="O91" s="67"/>
      <c r="P91" s="67"/>
      <c r="Q91" s="67"/>
      <c r="R91" s="67"/>
      <c r="S91" s="67"/>
      <c r="T91" s="67"/>
      <c r="U91" s="69"/>
      <c r="V91" s="71"/>
      <c r="W91" s="72"/>
      <c r="X91" s="73"/>
      <c r="Y91" s="73"/>
      <c r="Z91" s="73"/>
    </row>
    <row r="92" spans="1:26" ht="29.25" hidden="1" customHeight="1" x14ac:dyDescent="0.2">
      <c r="A92" s="15">
        <v>89</v>
      </c>
      <c r="B92" s="15" t="s">
        <v>2321</v>
      </c>
      <c r="C92" s="16" t="s">
        <v>2322</v>
      </c>
      <c r="D92" s="6" t="s">
        <v>66</v>
      </c>
      <c r="E92" s="6" t="s">
        <v>2147</v>
      </c>
      <c r="F92" s="15" t="s">
        <v>83</v>
      </c>
      <c r="G92" s="6" t="s">
        <v>92</v>
      </c>
      <c r="H92" s="6"/>
      <c r="I92" s="6"/>
      <c r="J92" s="6"/>
      <c r="K92" s="6"/>
      <c r="L92" s="6"/>
      <c r="M92" s="6"/>
      <c r="N92" s="6" t="s">
        <v>2148</v>
      </c>
      <c r="O92" s="6"/>
      <c r="P92" s="6"/>
      <c r="Q92" s="6"/>
      <c r="R92" s="6"/>
      <c r="S92" s="6"/>
      <c r="T92" s="6"/>
      <c r="U92" s="6"/>
      <c r="V92" s="15"/>
      <c r="W92" s="6"/>
      <c r="X92" s="15"/>
      <c r="Y92" s="15"/>
      <c r="Z92" s="15"/>
    </row>
    <row r="93" spans="1:26" ht="29.25" hidden="1" customHeight="1" x14ac:dyDescent="0.2">
      <c r="A93" s="67">
        <v>90</v>
      </c>
      <c r="B93" s="67" t="s">
        <v>2321</v>
      </c>
      <c r="C93" s="68" t="s">
        <v>2322</v>
      </c>
      <c r="D93" s="69" t="s">
        <v>66</v>
      </c>
      <c r="E93" s="69"/>
      <c r="F93" s="69" t="s">
        <v>7</v>
      </c>
      <c r="G93" s="69" t="s">
        <v>92</v>
      </c>
      <c r="H93" s="69" t="s">
        <v>718</v>
      </c>
      <c r="I93" s="70" t="s">
        <v>69</v>
      </c>
      <c r="J93" s="70" t="s">
        <v>70</v>
      </c>
      <c r="K93" s="69" t="s">
        <v>2368</v>
      </c>
      <c r="L93" s="69" t="s">
        <v>69</v>
      </c>
      <c r="M93" s="67" t="s">
        <v>70</v>
      </c>
      <c r="N93" s="67"/>
      <c r="O93" s="67">
        <v>114</v>
      </c>
      <c r="P93" s="67"/>
      <c r="Q93" s="67"/>
      <c r="R93" s="67"/>
      <c r="S93" s="67"/>
      <c r="T93" s="67"/>
      <c r="U93" s="69"/>
      <c r="V93" s="71"/>
      <c r="W93" s="72"/>
      <c r="X93" s="73"/>
      <c r="Y93" s="73"/>
      <c r="Z93" s="73"/>
    </row>
    <row r="94" spans="1:26" ht="29.25" hidden="1" customHeight="1" x14ac:dyDescent="0.2">
      <c r="A94" s="15">
        <v>91</v>
      </c>
      <c r="B94" s="15" t="s">
        <v>2323</v>
      </c>
      <c r="C94" s="16" t="s">
        <v>2320</v>
      </c>
      <c r="D94" s="6" t="s">
        <v>8</v>
      </c>
      <c r="E94" s="6"/>
      <c r="F94" s="15" t="s">
        <v>7</v>
      </c>
      <c r="G94" s="6" t="s">
        <v>92</v>
      </c>
      <c r="H94" s="6" t="s">
        <v>140</v>
      </c>
      <c r="I94" s="6" t="s">
        <v>69</v>
      </c>
      <c r="J94" s="6" t="s">
        <v>70</v>
      </c>
      <c r="K94" s="6" t="s">
        <v>188</v>
      </c>
      <c r="L94" s="6" t="s">
        <v>119</v>
      </c>
      <c r="M94" s="6" t="s">
        <v>107</v>
      </c>
      <c r="N94" s="6" t="s">
        <v>429</v>
      </c>
      <c r="O94" s="6">
        <v>90</v>
      </c>
      <c r="P94" s="6" t="s">
        <v>158</v>
      </c>
      <c r="Q94" s="6">
        <v>125</v>
      </c>
      <c r="R94" s="6">
        <v>23.6</v>
      </c>
      <c r="S94" s="6" t="s">
        <v>1967</v>
      </c>
      <c r="T94" s="6" t="s">
        <v>111</v>
      </c>
      <c r="U94" s="6"/>
      <c r="V94" s="15"/>
      <c r="W94" s="6"/>
      <c r="X94" s="15"/>
      <c r="Y94" s="15"/>
      <c r="Z94" s="15"/>
    </row>
    <row r="95" spans="1:26" s="21" customFormat="1" ht="29.25" hidden="1" customHeight="1" x14ac:dyDescent="0.2">
      <c r="A95" s="67">
        <v>92</v>
      </c>
      <c r="B95" s="67" t="s">
        <v>2324</v>
      </c>
      <c r="C95" s="68" t="s">
        <v>2317</v>
      </c>
      <c r="D95" s="69" t="s">
        <v>19</v>
      </c>
      <c r="E95" s="69"/>
      <c r="F95" s="69" t="s">
        <v>7</v>
      </c>
      <c r="G95" s="69" t="s">
        <v>92</v>
      </c>
      <c r="H95" s="69" t="s">
        <v>104</v>
      </c>
      <c r="I95" s="70" t="s">
        <v>119</v>
      </c>
      <c r="J95" s="70" t="s">
        <v>107</v>
      </c>
      <c r="K95" s="69" t="s">
        <v>361</v>
      </c>
      <c r="L95" s="69" t="s">
        <v>119</v>
      </c>
      <c r="M95" s="67" t="s">
        <v>107</v>
      </c>
      <c r="N95" s="67">
        <v>0</v>
      </c>
      <c r="O95" s="67" t="s">
        <v>1957</v>
      </c>
      <c r="P95" s="67"/>
      <c r="Q95" s="67" t="s">
        <v>2325</v>
      </c>
      <c r="R95" s="67" t="s">
        <v>2186</v>
      </c>
      <c r="S95" s="67" t="s">
        <v>2321</v>
      </c>
      <c r="T95" s="67" t="s">
        <v>160</v>
      </c>
      <c r="U95" s="69"/>
      <c r="V95" s="71"/>
      <c r="W95" s="72"/>
      <c r="X95" s="73"/>
      <c r="Y95" s="73"/>
      <c r="Z95" s="73"/>
    </row>
    <row r="96" spans="1:26" ht="29.25" hidden="1" customHeight="1" x14ac:dyDescent="0.2">
      <c r="A96" s="15">
        <v>93</v>
      </c>
      <c r="B96" s="15" t="s">
        <v>457</v>
      </c>
      <c r="C96" s="16" t="s">
        <v>455</v>
      </c>
      <c r="D96" s="6" t="s">
        <v>6</v>
      </c>
      <c r="E96" s="6"/>
      <c r="F96" s="15" t="s">
        <v>7</v>
      </c>
      <c r="G96" s="6" t="s">
        <v>92</v>
      </c>
      <c r="H96" s="6">
        <v>73</v>
      </c>
      <c r="I96" s="6" t="s">
        <v>119</v>
      </c>
      <c r="J96" s="6" t="s">
        <v>107</v>
      </c>
      <c r="K96" s="6" t="s">
        <v>324</v>
      </c>
      <c r="L96" s="6" t="s">
        <v>119</v>
      </c>
      <c r="M96" s="6" t="s">
        <v>107</v>
      </c>
      <c r="N96" s="6">
        <v>0</v>
      </c>
      <c r="O96" s="6">
        <v>210</v>
      </c>
      <c r="P96" s="6" t="s">
        <v>158</v>
      </c>
      <c r="Q96" s="6">
        <v>155</v>
      </c>
      <c r="R96" s="6">
        <v>30</v>
      </c>
      <c r="S96" s="6" t="s">
        <v>2323</v>
      </c>
      <c r="T96" s="6" t="s">
        <v>111</v>
      </c>
      <c r="U96" s="6"/>
      <c r="V96" s="15"/>
      <c r="W96" s="6"/>
      <c r="X96" s="15"/>
      <c r="Y96" s="15"/>
      <c r="Z96" s="15"/>
    </row>
    <row r="97" spans="1:26" ht="29.25" hidden="1" customHeight="1" x14ac:dyDescent="0.2">
      <c r="A97" s="67">
        <v>94</v>
      </c>
      <c r="B97" s="67" t="s">
        <v>2326</v>
      </c>
      <c r="C97" s="68" t="s">
        <v>2117</v>
      </c>
      <c r="D97" s="69" t="s">
        <v>66</v>
      </c>
      <c r="E97" s="69" t="s">
        <v>2147</v>
      </c>
      <c r="F97" s="69" t="s">
        <v>83</v>
      </c>
      <c r="G97" s="69" t="s">
        <v>92</v>
      </c>
      <c r="H97" s="69"/>
      <c r="I97" s="70"/>
      <c r="J97" s="70"/>
      <c r="K97" s="69"/>
      <c r="L97" s="69"/>
      <c r="M97" s="67"/>
      <c r="N97" s="67" t="s">
        <v>2148</v>
      </c>
      <c r="O97" s="67"/>
      <c r="P97" s="67"/>
      <c r="Q97" s="67"/>
      <c r="R97" s="67"/>
      <c r="S97" s="67"/>
      <c r="T97" s="67"/>
      <c r="U97" s="69"/>
      <c r="V97" s="71"/>
      <c r="W97" s="72"/>
      <c r="X97" s="73"/>
      <c r="Y97" s="73"/>
      <c r="Z97" s="73"/>
    </row>
    <row r="98" spans="1:26" ht="29.25" hidden="1" customHeight="1" x14ac:dyDescent="0.2">
      <c r="A98" s="15">
        <v>95</v>
      </c>
      <c r="B98" s="15" t="s">
        <v>2326</v>
      </c>
      <c r="C98" s="16" t="s">
        <v>2117</v>
      </c>
      <c r="D98" s="6" t="s">
        <v>66</v>
      </c>
      <c r="E98" s="6"/>
      <c r="F98" s="15" t="s">
        <v>7</v>
      </c>
      <c r="G98" s="6" t="s">
        <v>92</v>
      </c>
      <c r="H98" s="6" t="s">
        <v>117</v>
      </c>
      <c r="I98" s="6" t="s">
        <v>119</v>
      </c>
      <c r="J98" s="6" t="s">
        <v>107</v>
      </c>
      <c r="K98" s="6" t="s">
        <v>120</v>
      </c>
      <c r="L98" s="6" t="s">
        <v>119</v>
      </c>
      <c r="M98" s="6" t="s">
        <v>107</v>
      </c>
      <c r="N98" s="6">
        <v>0</v>
      </c>
      <c r="O98" s="6"/>
      <c r="P98" s="6"/>
      <c r="Q98" s="6"/>
      <c r="R98" s="6"/>
      <c r="S98" s="6"/>
      <c r="T98" s="6"/>
      <c r="U98" s="6"/>
      <c r="V98" s="15"/>
      <c r="W98" s="6"/>
      <c r="X98" s="15"/>
      <c r="Y98" s="15"/>
      <c r="Z98" s="15"/>
    </row>
    <row r="99" spans="1:26" ht="29.25" hidden="1" customHeight="1" x14ac:dyDescent="0.2">
      <c r="A99" s="67">
        <v>96</v>
      </c>
      <c r="B99" s="67" t="s">
        <v>2327</v>
      </c>
      <c r="C99" s="68" t="s">
        <v>1216</v>
      </c>
      <c r="D99" s="69" t="s">
        <v>243</v>
      </c>
      <c r="E99" s="69" t="s">
        <v>2147</v>
      </c>
      <c r="F99" s="69" t="s">
        <v>83</v>
      </c>
      <c r="G99" s="69" t="s">
        <v>92</v>
      </c>
      <c r="H99" s="69">
        <v>45</v>
      </c>
      <c r="I99" s="70" t="s">
        <v>119</v>
      </c>
      <c r="J99" s="70" t="s">
        <v>107</v>
      </c>
      <c r="K99" s="69" t="s">
        <v>470</v>
      </c>
      <c r="L99" s="69" t="s">
        <v>119</v>
      </c>
      <c r="M99" s="67" t="s">
        <v>107</v>
      </c>
      <c r="N99" s="67" t="s">
        <v>2328</v>
      </c>
      <c r="O99" s="67"/>
      <c r="P99" s="67"/>
      <c r="Q99" s="67"/>
      <c r="R99" s="67"/>
      <c r="S99" s="67"/>
      <c r="T99" s="67"/>
      <c r="U99" s="69"/>
      <c r="V99" s="71"/>
      <c r="W99" s="72"/>
      <c r="X99" s="73"/>
      <c r="Y99" s="73"/>
      <c r="Z99" s="73"/>
    </row>
    <row r="100" spans="1:26" ht="29.25" hidden="1" customHeight="1" x14ac:dyDescent="0.2">
      <c r="A100" s="15">
        <v>97</v>
      </c>
      <c r="B100" s="15" t="s">
        <v>2329</v>
      </c>
      <c r="C100" s="16" t="s">
        <v>2330</v>
      </c>
      <c r="D100" s="6" t="s">
        <v>66</v>
      </c>
      <c r="E100" s="6" t="s">
        <v>2147</v>
      </c>
      <c r="F100" s="15" t="s">
        <v>83</v>
      </c>
      <c r="G100" s="6" t="s">
        <v>92</v>
      </c>
      <c r="H100" s="6"/>
      <c r="I100" s="6"/>
      <c r="J100" s="6"/>
      <c r="K100" s="6"/>
      <c r="L100" s="6"/>
      <c r="M100" s="6"/>
      <c r="N100" s="6" t="s">
        <v>2148</v>
      </c>
      <c r="O100" s="6"/>
      <c r="P100" s="6"/>
      <c r="Q100" s="6"/>
      <c r="R100" s="6"/>
      <c r="S100" s="6"/>
      <c r="T100" s="6"/>
      <c r="U100" s="6"/>
      <c r="V100" s="15"/>
      <c r="W100" s="6"/>
      <c r="X100" s="15"/>
      <c r="Y100" s="15"/>
      <c r="Z100" s="15"/>
    </row>
    <row r="101" spans="1:26" ht="29.25" hidden="1" customHeight="1" x14ac:dyDescent="0.2">
      <c r="A101" s="67">
        <v>98</v>
      </c>
      <c r="B101" s="67" t="s">
        <v>2329</v>
      </c>
      <c r="C101" s="68" t="s">
        <v>2330</v>
      </c>
      <c r="D101" s="69" t="s">
        <v>66</v>
      </c>
      <c r="E101" s="69"/>
      <c r="F101" s="69" t="s">
        <v>7</v>
      </c>
      <c r="G101" s="69" t="s">
        <v>2167</v>
      </c>
      <c r="H101" s="69" t="s">
        <v>141</v>
      </c>
      <c r="I101" s="70" t="s">
        <v>262</v>
      </c>
      <c r="J101" s="70" t="s">
        <v>70</v>
      </c>
      <c r="K101" s="69" t="s">
        <v>1704</v>
      </c>
      <c r="L101" s="69" t="s">
        <v>142</v>
      </c>
      <c r="M101" s="67" t="s">
        <v>70</v>
      </c>
      <c r="N101" s="67">
        <v>0</v>
      </c>
      <c r="O101" s="67"/>
      <c r="P101" s="67"/>
      <c r="Q101" s="67"/>
      <c r="R101" s="67"/>
      <c r="S101" s="67"/>
      <c r="T101" s="67"/>
      <c r="U101" s="69"/>
      <c r="V101" s="71"/>
      <c r="W101" s="72"/>
      <c r="X101" s="73"/>
      <c r="Y101" s="73"/>
      <c r="Z101" s="73"/>
    </row>
    <row r="102" spans="1:26" ht="29.25" hidden="1" customHeight="1" x14ac:dyDescent="0.2">
      <c r="A102" s="15">
        <v>99</v>
      </c>
      <c r="B102" s="15" t="s">
        <v>2331</v>
      </c>
      <c r="C102" s="16" t="s">
        <v>1242</v>
      </c>
      <c r="D102" s="6" t="s">
        <v>66</v>
      </c>
      <c r="E102" s="6" t="s">
        <v>2147</v>
      </c>
      <c r="F102" s="15" t="s">
        <v>83</v>
      </c>
      <c r="G102" s="6" t="s">
        <v>92</v>
      </c>
      <c r="H102" s="6"/>
      <c r="I102" s="6"/>
      <c r="J102" s="6"/>
      <c r="K102" s="6"/>
      <c r="L102" s="6"/>
      <c r="M102" s="6"/>
      <c r="N102" s="6" t="s">
        <v>2148</v>
      </c>
      <c r="O102" s="6"/>
      <c r="P102" s="6"/>
      <c r="Q102" s="6"/>
      <c r="R102" s="6"/>
      <c r="S102" s="6"/>
      <c r="T102" s="6"/>
      <c r="U102" s="6"/>
      <c r="V102" s="15"/>
      <c r="W102" s="6"/>
      <c r="X102" s="15"/>
      <c r="Y102" s="15"/>
      <c r="Z102" s="15"/>
    </row>
    <row r="103" spans="1:26" ht="29.25" hidden="1" customHeight="1" x14ac:dyDescent="0.2">
      <c r="A103" s="67">
        <v>100</v>
      </c>
      <c r="B103" s="67" t="s">
        <v>2331</v>
      </c>
      <c r="C103" s="68" t="s">
        <v>1242</v>
      </c>
      <c r="D103" s="69" t="s">
        <v>66</v>
      </c>
      <c r="E103" s="69"/>
      <c r="F103" s="69" t="s">
        <v>7</v>
      </c>
      <c r="G103" s="69" t="s">
        <v>92</v>
      </c>
      <c r="H103" s="69" t="s">
        <v>226</v>
      </c>
      <c r="I103" s="70" t="s">
        <v>119</v>
      </c>
      <c r="J103" s="70" t="s">
        <v>107</v>
      </c>
      <c r="K103" s="69" t="s">
        <v>1243</v>
      </c>
      <c r="L103" s="69" t="s">
        <v>69</v>
      </c>
      <c r="M103" s="67" t="s">
        <v>70</v>
      </c>
      <c r="N103" s="67"/>
      <c r="O103" s="67">
        <v>106</v>
      </c>
      <c r="P103" s="67"/>
      <c r="Q103" s="67"/>
      <c r="R103" s="67"/>
      <c r="S103" s="67"/>
      <c r="T103" s="67"/>
      <c r="U103" s="69"/>
      <c r="V103" s="71"/>
      <c r="W103" s="72"/>
      <c r="X103" s="73"/>
      <c r="Y103" s="73"/>
      <c r="Z103" s="73"/>
    </row>
    <row r="104" spans="1:26" ht="29.25" hidden="1" customHeight="1" x14ac:dyDescent="0.2">
      <c r="A104" s="15">
        <v>101</v>
      </c>
      <c r="B104" s="15" t="s">
        <v>1278</v>
      </c>
      <c r="C104" s="16" t="s">
        <v>1216</v>
      </c>
      <c r="D104" s="6" t="s">
        <v>243</v>
      </c>
      <c r="E104" s="6"/>
      <c r="F104" s="15" t="s">
        <v>7</v>
      </c>
      <c r="G104" s="6" t="s">
        <v>92</v>
      </c>
      <c r="H104" s="6" t="s">
        <v>117</v>
      </c>
      <c r="I104" s="6" t="s">
        <v>119</v>
      </c>
      <c r="J104" s="6" t="s">
        <v>107</v>
      </c>
      <c r="K104" s="6" t="s">
        <v>470</v>
      </c>
      <c r="L104" s="6" t="s">
        <v>119</v>
      </c>
      <c r="M104" s="6" t="s">
        <v>107</v>
      </c>
      <c r="N104" s="6">
        <v>0</v>
      </c>
      <c r="O104" s="6">
        <v>114</v>
      </c>
      <c r="P104" s="6"/>
      <c r="Q104" s="6">
        <v>27</v>
      </c>
      <c r="R104" s="6">
        <v>113</v>
      </c>
      <c r="S104" s="6" t="s">
        <v>2332</v>
      </c>
      <c r="T104" s="6" t="s">
        <v>160</v>
      </c>
      <c r="U104" s="6"/>
      <c r="V104" s="15"/>
      <c r="W104" s="6"/>
      <c r="X104" s="15"/>
      <c r="Y104" s="15"/>
      <c r="Z104" s="15"/>
    </row>
    <row r="105" spans="1:26" ht="29.25" hidden="1" customHeight="1" x14ac:dyDescent="0.2">
      <c r="A105" s="67">
        <v>102</v>
      </c>
      <c r="B105" s="67" t="s">
        <v>926</v>
      </c>
      <c r="C105" s="68" t="s">
        <v>1275</v>
      </c>
      <c r="D105" s="69" t="s">
        <v>10</v>
      </c>
      <c r="E105" s="69"/>
      <c r="F105" s="69" t="s">
        <v>7</v>
      </c>
      <c r="G105" s="69" t="s">
        <v>2167</v>
      </c>
      <c r="H105" s="69">
        <v>45</v>
      </c>
      <c r="I105" s="70" t="s">
        <v>119</v>
      </c>
      <c r="J105" s="70" t="s">
        <v>107</v>
      </c>
      <c r="K105" s="69" t="s">
        <v>204</v>
      </c>
      <c r="L105" s="69" t="s">
        <v>119</v>
      </c>
      <c r="M105" s="67" t="s">
        <v>107</v>
      </c>
      <c r="N105" s="67">
        <v>0</v>
      </c>
      <c r="O105" s="67" t="s">
        <v>2008</v>
      </c>
      <c r="P105" s="67"/>
      <c r="Q105" s="67" t="s">
        <v>169</v>
      </c>
      <c r="R105" s="67" t="s">
        <v>260</v>
      </c>
      <c r="S105" s="67" t="s">
        <v>1278</v>
      </c>
      <c r="T105" s="67" t="s">
        <v>111</v>
      </c>
      <c r="U105" s="69"/>
      <c r="V105" s="71"/>
      <c r="W105" s="72"/>
      <c r="X105" s="73"/>
      <c r="Y105" s="73"/>
      <c r="Z105" s="73"/>
    </row>
    <row r="106" spans="1:26" ht="29.25" hidden="1" customHeight="1" x14ac:dyDescent="0.2">
      <c r="A106" s="15">
        <v>35</v>
      </c>
      <c r="B106" s="15" t="s">
        <v>2333</v>
      </c>
      <c r="C106" s="16" t="s">
        <v>2334</v>
      </c>
      <c r="D106" s="6" t="s">
        <v>243</v>
      </c>
      <c r="E106" s="6" t="s">
        <v>172</v>
      </c>
      <c r="F106" s="15" t="s">
        <v>83</v>
      </c>
      <c r="G106" s="6" t="s">
        <v>92</v>
      </c>
      <c r="H106" s="6" t="s">
        <v>104</v>
      </c>
      <c r="I106" s="6" t="s">
        <v>369</v>
      </c>
      <c r="J106" s="6" t="s">
        <v>369</v>
      </c>
      <c r="K106" s="6" t="s">
        <v>108</v>
      </c>
      <c r="L106" s="6" t="s">
        <v>369</v>
      </c>
      <c r="M106" s="6" t="s">
        <v>369</v>
      </c>
      <c r="N106" s="6" t="s">
        <v>2335</v>
      </c>
      <c r="O106" s="6"/>
      <c r="P106" s="6"/>
      <c r="Q106" s="6"/>
      <c r="R106" s="6"/>
      <c r="S106" s="6"/>
      <c r="T106" s="6"/>
      <c r="U106" s="6"/>
      <c r="V106" s="15"/>
      <c r="W106" s="6"/>
      <c r="X106" s="15"/>
      <c r="Y106" s="15"/>
      <c r="Z106" s="15"/>
    </row>
    <row r="107" spans="1:26" ht="29.25" hidden="1" customHeight="1" x14ac:dyDescent="0.2">
      <c r="A107" s="67">
        <v>104</v>
      </c>
      <c r="B107" s="67" t="s">
        <v>2336</v>
      </c>
      <c r="C107" s="68" t="s">
        <v>921</v>
      </c>
      <c r="D107" s="69" t="s">
        <v>10</v>
      </c>
      <c r="E107" s="69" t="s">
        <v>2147</v>
      </c>
      <c r="F107" s="69" t="s">
        <v>83</v>
      </c>
      <c r="G107" s="69" t="s">
        <v>92</v>
      </c>
      <c r="H107" s="69" t="s">
        <v>117</v>
      </c>
      <c r="I107" s="70" t="s">
        <v>119</v>
      </c>
      <c r="J107" s="70" t="s">
        <v>107</v>
      </c>
      <c r="K107" s="69" t="s">
        <v>120</v>
      </c>
      <c r="L107" s="69" t="s">
        <v>119</v>
      </c>
      <c r="M107" s="67" t="s">
        <v>107</v>
      </c>
      <c r="N107" s="67" t="s">
        <v>2337</v>
      </c>
      <c r="O107" s="67"/>
      <c r="P107" s="67"/>
      <c r="Q107" s="67"/>
      <c r="R107" s="67"/>
      <c r="S107" s="67"/>
      <c r="T107" s="67"/>
      <c r="U107" s="69"/>
      <c r="V107" s="71"/>
      <c r="W107" s="72"/>
      <c r="X107" s="73"/>
      <c r="Y107" s="73"/>
      <c r="Z107" s="73"/>
    </row>
    <row r="108" spans="1:26" s="19" customFormat="1" ht="29.25" hidden="1" customHeight="1" x14ac:dyDescent="0.2">
      <c r="A108" s="15">
        <v>105</v>
      </c>
      <c r="B108" s="15" t="s">
        <v>925</v>
      </c>
      <c r="C108" s="16" t="s">
        <v>921</v>
      </c>
      <c r="D108" s="6" t="s">
        <v>10</v>
      </c>
      <c r="E108" s="6"/>
      <c r="F108" s="15" t="s">
        <v>7</v>
      </c>
      <c r="G108" s="6" t="s">
        <v>92</v>
      </c>
      <c r="H108" s="6">
        <v>45</v>
      </c>
      <c r="I108" s="6" t="s">
        <v>119</v>
      </c>
      <c r="J108" s="6" t="s">
        <v>107</v>
      </c>
      <c r="K108" s="6" t="s">
        <v>120</v>
      </c>
      <c r="L108" s="6" t="s">
        <v>119</v>
      </c>
      <c r="M108" s="6" t="s">
        <v>107</v>
      </c>
      <c r="N108" s="6">
        <v>0</v>
      </c>
      <c r="O108" s="6">
        <v>156</v>
      </c>
      <c r="P108" s="6"/>
      <c r="Q108" s="6">
        <v>167</v>
      </c>
      <c r="R108" s="6">
        <v>19</v>
      </c>
      <c r="S108" s="6" t="s">
        <v>926</v>
      </c>
      <c r="T108" s="6" t="s">
        <v>111</v>
      </c>
      <c r="U108" s="6"/>
      <c r="V108" s="15"/>
      <c r="W108" s="6"/>
      <c r="X108" s="15"/>
      <c r="Y108" s="15"/>
      <c r="Z108" s="15"/>
    </row>
    <row r="109" spans="1:26" ht="29.25" hidden="1" customHeight="1" x14ac:dyDescent="0.2">
      <c r="A109" s="67">
        <v>106</v>
      </c>
      <c r="B109" s="67" t="s">
        <v>2338</v>
      </c>
      <c r="C109" s="68" t="s">
        <v>1086</v>
      </c>
      <c r="D109" s="69" t="s">
        <v>6</v>
      </c>
      <c r="E109" s="69" t="s">
        <v>2147</v>
      </c>
      <c r="F109" s="69" t="s">
        <v>83</v>
      </c>
      <c r="G109" s="69" t="s">
        <v>92</v>
      </c>
      <c r="H109" s="69" t="s">
        <v>218</v>
      </c>
      <c r="I109" s="70" t="s">
        <v>69</v>
      </c>
      <c r="J109" s="70" t="s">
        <v>70</v>
      </c>
      <c r="K109" s="69" t="s">
        <v>453</v>
      </c>
      <c r="L109" s="69" t="s">
        <v>262</v>
      </c>
      <c r="M109" s="67" t="s">
        <v>70</v>
      </c>
      <c r="N109" s="67" t="s">
        <v>2339</v>
      </c>
      <c r="O109" s="67"/>
      <c r="P109" s="67"/>
      <c r="Q109" s="67"/>
      <c r="R109" s="67"/>
      <c r="S109" s="67"/>
      <c r="T109" s="67"/>
      <c r="U109" s="69"/>
      <c r="V109" s="71"/>
      <c r="W109" s="72"/>
      <c r="X109" s="73"/>
      <c r="Y109" s="73"/>
      <c r="Z109" s="73"/>
    </row>
    <row r="110" spans="1:26" ht="29.25" hidden="1" customHeight="1" x14ac:dyDescent="0.2">
      <c r="A110" s="15">
        <v>107</v>
      </c>
      <c r="B110" s="15" t="s">
        <v>2340</v>
      </c>
      <c r="C110" s="16" t="s">
        <v>2341</v>
      </c>
      <c r="D110" s="6" t="s">
        <v>9</v>
      </c>
      <c r="E110" s="6" t="s">
        <v>2147</v>
      </c>
      <c r="F110" s="15" t="s">
        <v>83</v>
      </c>
      <c r="G110" s="6" t="s">
        <v>92</v>
      </c>
      <c r="H110" s="6">
        <v>92</v>
      </c>
      <c r="I110" s="6" t="s">
        <v>69</v>
      </c>
      <c r="J110" s="6" t="s">
        <v>70</v>
      </c>
      <c r="K110" s="6" t="s">
        <v>453</v>
      </c>
      <c r="L110" s="6" t="s">
        <v>69</v>
      </c>
      <c r="M110" s="6" t="s">
        <v>70</v>
      </c>
      <c r="N110" s="6" t="s">
        <v>2342</v>
      </c>
      <c r="O110" s="6"/>
      <c r="P110" s="6"/>
      <c r="Q110" s="6"/>
      <c r="R110" s="6"/>
      <c r="S110" s="6"/>
      <c r="T110" s="6"/>
      <c r="U110" s="6"/>
      <c r="V110" s="15"/>
      <c r="W110" s="6"/>
      <c r="X110" s="15"/>
      <c r="Y110" s="15"/>
      <c r="Z110" s="15"/>
    </row>
    <row r="111" spans="1:26" ht="29.25" hidden="1" customHeight="1" x14ac:dyDescent="0.2">
      <c r="A111" s="67">
        <v>108</v>
      </c>
      <c r="B111" s="67" t="s">
        <v>2343</v>
      </c>
      <c r="C111" s="68" t="s">
        <v>2344</v>
      </c>
      <c r="D111" s="69" t="s">
        <v>6</v>
      </c>
      <c r="E111" s="69" t="s">
        <v>2147</v>
      </c>
      <c r="F111" s="69" t="s">
        <v>83</v>
      </c>
      <c r="G111" s="69" t="s">
        <v>92</v>
      </c>
      <c r="H111" s="69" t="s">
        <v>155</v>
      </c>
      <c r="I111" s="70" t="s">
        <v>142</v>
      </c>
      <c r="J111" s="70" t="s">
        <v>70</v>
      </c>
      <c r="K111" s="69" t="s">
        <v>167</v>
      </c>
      <c r="L111" s="69" t="s">
        <v>142</v>
      </c>
      <c r="M111" s="67" t="s">
        <v>70</v>
      </c>
      <c r="N111" s="67" t="s">
        <v>1079</v>
      </c>
      <c r="O111" s="67"/>
      <c r="P111" s="67"/>
      <c r="Q111" s="67"/>
      <c r="R111" s="67"/>
      <c r="S111" s="67"/>
      <c r="T111" s="67"/>
      <c r="U111" s="69"/>
      <c r="V111" s="71"/>
      <c r="W111" s="72"/>
      <c r="X111" s="73"/>
      <c r="Y111" s="73"/>
      <c r="Z111" s="73"/>
    </row>
    <row r="112" spans="1:26" ht="29.25" hidden="1" customHeight="1" x14ac:dyDescent="0.2">
      <c r="A112" s="15">
        <v>109</v>
      </c>
      <c r="B112" s="15" t="s">
        <v>2343</v>
      </c>
      <c r="C112" s="16" t="s">
        <v>2345</v>
      </c>
      <c r="D112" s="6" t="s">
        <v>9</v>
      </c>
      <c r="E112" s="6" t="s">
        <v>2285</v>
      </c>
      <c r="F112" s="15" t="s">
        <v>83</v>
      </c>
      <c r="G112" s="6" t="s">
        <v>92</v>
      </c>
      <c r="H112" s="6" t="s">
        <v>140</v>
      </c>
      <c r="I112" s="6" t="s">
        <v>119</v>
      </c>
      <c r="J112" s="6" t="s">
        <v>107</v>
      </c>
      <c r="K112" s="6" t="s">
        <v>328</v>
      </c>
      <c r="L112" s="6" t="s">
        <v>119</v>
      </c>
      <c r="M112" s="6" t="s">
        <v>107</v>
      </c>
      <c r="N112" s="6" t="s">
        <v>2346</v>
      </c>
      <c r="O112" s="6"/>
      <c r="P112" s="6"/>
      <c r="Q112" s="6"/>
      <c r="R112" s="6"/>
      <c r="S112" s="6"/>
      <c r="T112" s="6"/>
      <c r="U112" s="6"/>
      <c r="V112" s="15"/>
      <c r="W112" s="6"/>
      <c r="X112" s="15"/>
      <c r="Y112" s="15"/>
      <c r="Z112" s="15"/>
    </row>
    <row r="113" spans="1:26" ht="29.25" hidden="1" customHeight="1" x14ac:dyDescent="0.2">
      <c r="A113" s="67">
        <v>110</v>
      </c>
      <c r="B113" s="67" t="s">
        <v>2347</v>
      </c>
      <c r="C113" s="68" t="s">
        <v>2345</v>
      </c>
      <c r="D113" s="69" t="s">
        <v>9</v>
      </c>
      <c r="E113" s="69"/>
      <c r="F113" s="69" t="s">
        <v>7</v>
      </c>
      <c r="G113" s="69" t="s">
        <v>92</v>
      </c>
      <c r="H113" s="69">
        <v>37</v>
      </c>
      <c r="I113" s="70" t="s">
        <v>69</v>
      </c>
      <c r="J113" s="70" t="s">
        <v>70</v>
      </c>
      <c r="K113" s="69" t="s">
        <v>328</v>
      </c>
      <c r="L113" s="69" t="s">
        <v>142</v>
      </c>
      <c r="M113" s="67" t="s">
        <v>70</v>
      </c>
      <c r="N113" s="67">
        <v>0</v>
      </c>
      <c r="O113" s="67" t="s">
        <v>2201</v>
      </c>
      <c r="P113" s="67"/>
      <c r="Q113" s="67" t="s">
        <v>2058</v>
      </c>
      <c r="R113" s="67" t="s">
        <v>2348</v>
      </c>
      <c r="S113" s="67" t="s">
        <v>2343</v>
      </c>
      <c r="T113" s="67" t="s">
        <v>160</v>
      </c>
      <c r="U113" s="69"/>
      <c r="V113" s="71"/>
      <c r="W113" s="72"/>
      <c r="X113" s="73"/>
      <c r="Y113" s="73"/>
      <c r="Z113" s="73"/>
    </row>
    <row r="114" spans="1:26" ht="29.25" hidden="1" customHeight="1" x14ac:dyDescent="0.2">
      <c r="A114" s="15">
        <v>111</v>
      </c>
      <c r="B114" s="15" t="s">
        <v>2349</v>
      </c>
      <c r="C114" s="16" t="s">
        <v>2350</v>
      </c>
      <c r="D114" s="6" t="s">
        <v>66</v>
      </c>
      <c r="E114" s="6" t="s">
        <v>2147</v>
      </c>
      <c r="F114" s="15" t="s">
        <v>83</v>
      </c>
      <c r="G114" s="6" t="s">
        <v>92</v>
      </c>
      <c r="H114" s="6"/>
      <c r="I114" s="6"/>
      <c r="J114" s="6"/>
      <c r="K114" s="6"/>
      <c r="L114" s="6"/>
      <c r="M114" s="6"/>
      <c r="N114" s="6" t="s">
        <v>2148</v>
      </c>
      <c r="O114" s="6"/>
      <c r="P114" s="6"/>
      <c r="Q114" s="6"/>
      <c r="R114" s="6"/>
      <c r="S114" s="6"/>
      <c r="T114" s="6"/>
      <c r="U114" s="6"/>
      <c r="V114" s="15"/>
      <c r="W114" s="6"/>
      <c r="X114" s="15"/>
      <c r="Y114" s="15"/>
      <c r="Z114" s="15"/>
    </row>
    <row r="115" spans="1:26" ht="29.25" hidden="1" customHeight="1" x14ac:dyDescent="0.2">
      <c r="A115" s="15">
        <v>207</v>
      </c>
      <c r="B115" s="15" t="s">
        <v>2351</v>
      </c>
      <c r="C115" s="16" t="s">
        <v>2191</v>
      </c>
      <c r="D115" s="6" t="s">
        <v>20</v>
      </c>
      <c r="E115" s="6" t="s">
        <v>172</v>
      </c>
      <c r="F115" s="15" t="s">
        <v>83</v>
      </c>
      <c r="G115" s="6" t="s">
        <v>92</v>
      </c>
      <c r="H115" s="6" t="s">
        <v>104</v>
      </c>
      <c r="I115" s="6" t="s">
        <v>119</v>
      </c>
      <c r="J115" s="6" t="s">
        <v>107</v>
      </c>
      <c r="K115" s="6" t="s">
        <v>108</v>
      </c>
      <c r="L115" s="6" t="s">
        <v>119</v>
      </c>
      <c r="M115" s="6" t="s">
        <v>107</v>
      </c>
      <c r="N115" s="6" t="s">
        <v>2352</v>
      </c>
      <c r="O115" s="6"/>
      <c r="P115" s="6"/>
      <c r="Q115" s="6"/>
      <c r="R115" s="6"/>
      <c r="S115" s="6"/>
      <c r="T115" s="6"/>
      <c r="U115" s="6"/>
      <c r="V115" s="15"/>
      <c r="W115" s="6"/>
      <c r="X115" s="15"/>
      <c r="Y115" s="15"/>
      <c r="Z115" s="15"/>
    </row>
    <row r="116" spans="1:26" ht="29.25" hidden="1" customHeight="1" x14ac:dyDescent="0.2">
      <c r="A116" s="15">
        <v>113</v>
      </c>
      <c r="B116" s="15" t="s">
        <v>2353</v>
      </c>
      <c r="C116" s="16" t="s">
        <v>2354</v>
      </c>
      <c r="D116" s="6" t="s">
        <v>66</v>
      </c>
      <c r="E116" s="6" t="s">
        <v>2184</v>
      </c>
      <c r="F116" s="15" t="s">
        <v>83</v>
      </c>
      <c r="G116" s="6" t="s">
        <v>92</v>
      </c>
      <c r="H116" s="6">
        <v>24</v>
      </c>
      <c r="I116" s="6" t="s">
        <v>2155</v>
      </c>
      <c r="J116" s="6" t="s">
        <v>2155</v>
      </c>
      <c r="K116" s="6" t="s">
        <v>559</v>
      </c>
      <c r="L116" s="6" t="s">
        <v>262</v>
      </c>
      <c r="M116" s="6" t="s">
        <v>70</v>
      </c>
      <c r="N116" s="6" t="s">
        <v>2148</v>
      </c>
      <c r="O116" s="6"/>
      <c r="P116" s="6"/>
      <c r="Q116" s="6"/>
      <c r="R116" s="6"/>
      <c r="S116" s="6"/>
      <c r="T116" s="6"/>
      <c r="U116" s="6"/>
      <c r="V116" s="15"/>
      <c r="W116" s="6"/>
      <c r="X116" s="15"/>
      <c r="Y116" s="15"/>
      <c r="Z116" s="15"/>
    </row>
    <row r="117" spans="1:26" ht="29.25" hidden="1" customHeight="1" x14ac:dyDescent="0.2">
      <c r="A117" s="67">
        <v>114</v>
      </c>
      <c r="B117" s="67" t="s">
        <v>2353</v>
      </c>
      <c r="C117" s="68" t="s">
        <v>2354</v>
      </c>
      <c r="D117" s="69" t="s">
        <v>66</v>
      </c>
      <c r="E117" s="69"/>
      <c r="F117" s="69" t="s">
        <v>7</v>
      </c>
      <c r="G117" s="69" t="s">
        <v>92</v>
      </c>
      <c r="H117" s="69" t="s">
        <v>223</v>
      </c>
      <c r="I117" s="70" t="s">
        <v>69</v>
      </c>
      <c r="J117" s="70" t="s">
        <v>70</v>
      </c>
      <c r="K117" s="69" t="s">
        <v>559</v>
      </c>
      <c r="L117" s="69" t="s">
        <v>119</v>
      </c>
      <c r="M117" s="67" t="s">
        <v>107</v>
      </c>
      <c r="N117" s="67" t="s">
        <v>429</v>
      </c>
      <c r="O117" s="67"/>
      <c r="P117" s="67"/>
      <c r="Q117" s="67"/>
      <c r="R117" s="67"/>
      <c r="S117" s="67"/>
      <c r="T117" s="67"/>
      <c r="U117" s="69"/>
      <c r="V117" s="71"/>
      <c r="W117" s="72"/>
      <c r="X117" s="73"/>
      <c r="Y117" s="73"/>
      <c r="Z117" s="73"/>
    </row>
    <row r="118" spans="1:26" ht="29.25" hidden="1" customHeight="1" x14ac:dyDescent="0.2">
      <c r="A118" s="15">
        <v>165</v>
      </c>
      <c r="B118" s="15" t="s">
        <v>2355</v>
      </c>
      <c r="C118" s="16" t="s">
        <v>2356</v>
      </c>
      <c r="D118" s="6" t="s">
        <v>10</v>
      </c>
      <c r="E118" s="6" t="s">
        <v>172</v>
      </c>
      <c r="F118" s="15" t="s">
        <v>83</v>
      </c>
      <c r="G118" s="6" t="s">
        <v>2167</v>
      </c>
      <c r="H118" s="6" t="s">
        <v>140</v>
      </c>
      <c r="I118" s="6" t="s">
        <v>69</v>
      </c>
      <c r="J118" s="6" t="s">
        <v>70</v>
      </c>
      <c r="K118" s="6" t="s">
        <v>957</v>
      </c>
      <c r="L118" s="6" t="s">
        <v>119</v>
      </c>
      <c r="M118" s="6" t="s">
        <v>107</v>
      </c>
      <c r="N118" s="6" t="s">
        <v>2357</v>
      </c>
      <c r="O118" s="6"/>
      <c r="P118" s="6"/>
      <c r="Q118" s="6"/>
      <c r="R118" s="6"/>
      <c r="S118" s="6"/>
      <c r="T118" s="6"/>
      <c r="U118" s="6"/>
      <c r="V118" s="15"/>
      <c r="W118" s="6"/>
      <c r="X118" s="15"/>
      <c r="Y118" s="15"/>
      <c r="Z118" s="15"/>
    </row>
    <row r="119" spans="1:26" ht="29.25" hidden="1" customHeight="1" x14ac:dyDescent="0.2">
      <c r="A119" s="67">
        <v>116</v>
      </c>
      <c r="B119" s="67" t="s">
        <v>538</v>
      </c>
      <c r="C119" s="68" t="s">
        <v>533</v>
      </c>
      <c r="D119" s="69" t="s">
        <v>243</v>
      </c>
      <c r="E119" s="69" t="s">
        <v>2147</v>
      </c>
      <c r="F119" s="69" t="s">
        <v>83</v>
      </c>
      <c r="G119" s="69" t="s">
        <v>92</v>
      </c>
      <c r="H119" s="69">
        <v>37</v>
      </c>
      <c r="I119" s="70" t="s">
        <v>119</v>
      </c>
      <c r="J119" s="70" t="s">
        <v>107</v>
      </c>
      <c r="K119" s="69" t="s">
        <v>188</v>
      </c>
      <c r="L119" s="69" t="s">
        <v>1477</v>
      </c>
      <c r="M119" s="67" t="s">
        <v>107</v>
      </c>
      <c r="N119" s="67" t="s">
        <v>2358</v>
      </c>
      <c r="O119" s="67"/>
      <c r="P119" s="67"/>
      <c r="Q119" s="67"/>
      <c r="R119" s="67"/>
      <c r="S119" s="67"/>
      <c r="T119" s="67"/>
      <c r="U119" s="69"/>
      <c r="V119" s="71"/>
      <c r="W119" s="72"/>
      <c r="X119" s="73"/>
      <c r="Y119" s="73"/>
      <c r="Z119" s="73"/>
    </row>
    <row r="120" spans="1:26" ht="29.25" hidden="1" customHeight="1" x14ac:dyDescent="0.2">
      <c r="A120" s="15">
        <v>117</v>
      </c>
      <c r="B120" s="15" t="s">
        <v>537</v>
      </c>
      <c r="C120" s="16" t="s">
        <v>533</v>
      </c>
      <c r="D120" s="6" t="s">
        <v>243</v>
      </c>
      <c r="E120" s="6"/>
      <c r="F120" s="15" t="s">
        <v>7</v>
      </c>
      <c r="G120" s="6" t="s">
        <v>92</v>
      </c>
      <c r="H120" s="6" t="s">
        <v>140</v>
      </c>
      <c r="I120" s="6" t="s">
        <v>69</v>
      </c>
      <c r="J120" s="6" t="s">
        <v>70</v>
      </c>
      <c r="K120" s="6" t="s">
        <v>188</v>
      </c>
      <c r="L120" s="6" t="s">
        <v>119</v>
      </c>
      <c r="M120" s="6" t="s">
        <v>107</v>
      </c>
      <c r="N120" s="6" t="s">
        <v>429</v>
      </c>
      <c r="O120" s="6">
        <v>106</v>
      </c>
      <c r="P120" s="6"/>
      <c r="Q120" s="6">
        <v>125</v>
      </c>
      <c r="R120" s="6">
        <v>22</v>
      </c>
      <c r="S120" s="6" t="s">
        <v>538</v>
      </c>
      <c r="T120" s="6" t="s">
        <v>111</v>
      </c>
      <c r="U120" s="6"/>
      <c r="V120" s="15"/>
      <c r="W120" s="6"/>
      <c r="X120" s="15"/>
      <c r="Y120" s="15"/>
      <c r="Z120" s="15"/>
    </row>
    <row r="121" spans="1:26" s="19" customFormat="1" ht="29.25" hidden="1" customHeight="1" x14ac:dyDescent="0.2">
      <c r="A121" s="67">
        <v>118</v>
      </c>
      <c r="B121" s="67" t="s">
        <v>788</v>
      </c>
      <c r="C121" s="68" t="s">
        <v>785</v>
      </c>
      <c r="D121" s="69" t="s">
        <v>6</v>
      </c>
      <c r="E121" s="69"/>
      <c r="F121" s="69" t="s">
        <v>7</v>
      </c>
      <c r="G121" s="69" t="s">
        <v>92</v>
      </c>
      <c r="H121" s="69" t="s">
        <v>155</v>
      </c>
      <c r="I121" s="70" t="s">
        <v>119</v>
      </c>
      <c r="J121" s="70" t="s">
        <v>107</v>
      </c>
      <c r="K121" s="69" t="s">
        <v>156</v>
      </c>
      <c r="L121" s="69" t="s">
        <v>119</v>
      </c>
      <c r="M121" s="67" t="s">
        <v>107</v>
      </c>
      <c r="N121" s="67">
        <v>0</v>
      </c>
      <c r="O121" s="67" t="s">
        <v>2359</v>
      </c>
      <c r="P121" s="67"/>
      <c r="Q121" s="67" t="s">
        <v>2360</v>
      </c>
      <c r="R121" s="67" t="s">
        <v>226</v>
      </c>
      <c r="S121" s="67" t="s">
        <v>789</v>
      </c>
      <c r="T121" s="67" t="s">
        <v>111</v>
      </c>
      <c r="U121" s="69"/>
      <c r="V121" s="71"/>
      <c r="W121" s="72"/>
      <c r="X121" s="73"/>
      <c r="Y121" s="73"/>
      <c r="Z121" s="73"/>
    </row>
    <row r="122" spans="1:26" ht="29.25" hidden="1" customHeight="1" x14ac:dyDescent="0.2">
      <c r="A122" s="15">
        <v>119</v>
      </c>
      <c r="B122" s="15" t="s">
        <v>788</v>
      </c>
      <c r="C122" s="16" t="s">
        <v>2350</v>
      </c>
      <c r="D122" s="6" t="s">
        <v>66</v>
      </c>
      <c r="E122" s="6"/>
      <c r="F122" s="15" t="s">
        <v>7</v>
      </c>
      <c r="G122" s="6" t="s">
        <v>2167</v>
      </c>
      <c r="H122" s="6">
        <v>11</v>
      </c>
      <c r="I122" s="6" t="s">
        <v>119</v>
      </c>
      <c r="J122" s="6" t="s">
        <v>107</v>
      </c>
      <c r="K122" s="6" t="s">
        <v>1243</v>
      </c>
      <c r="L122" s="6" t="s">
        <v>69</v>
      </c>
      <c r="M122" s="6" t="s">
        <v>70</v>
      </c>
      <c r="N122" s="6">
        <v>0</v>
      </c>
      <c r="O122" s="6"/>
      <c r="P122" s="6"/>
      <c r="Q122" s="6"/>
      <c r="R122" s="6"/>
      <c r="S122" s="6"/>
      <c r="T122" s="6"/>
      <c r="U122" s="6"/>
      <c r="V122" s="15"/>
      <c r="W122" s="6"/>
      <c r="X122" s="15"/>
      <c r="Y122" s="15"/>
      <c r="Z122" s="15"/>
    </row>
    <row r="123" spans="1:26" ht="29.25" hidden="1" customHeight="1" x14ac:dyDescent="0.2">
      <c r="A123" s="67">
        <v>120</v>
      </c>
      <c r="B123" s="67" t="s">
        <v>647</v>
      </c>
      <c r="C123" s="68" t="s">
        <v>643</v>
      </c>
      <c r="D123" s="69" t="s">
        <v>19</v>
      </c>
      <c r="E123" s="69"/>
      <c r="F123" s="69" t="s">
        <v>7</v>
      </c>
      <c r="G123" s="69" t="s">
        <v>92</v>
      </c>
      <c r="H123" s="69" t="s">
        <v>155</v>
      </c>
      <c r="I123" s="70" t="s">
        <v>119</v>
      </c>
      <c r="J123" s="70" t="s">
        <v>107</v>
      </c>
      <c r="K123" s="69" t="s">
        <v>324</v>
      </c>
      <c r="L123" s="69" t="s">
        <v>119</v>
      </c>
      <c r="M123" s="67" t="s">
        <v>107</v>
      </c>
      <c r="N123" s="67">
        <v>0</v>
      </c>
      <c r="O123" s="67" t="s">
        <v>2361</v>
      </c>
      <c r="P123" s="67" t="s">
        <v>158</v>
      </c>
      <c r="Q123" s="67" t="s">
        <v>2362</v>
      </c>
      <c r="R123" s="67" t="s">
        <v>865</v>
      </c>
      <c r="S123" s="67" t="s">
        <v>789</v>
      </c>
      <c r="T123" s="67" t="s">
        <v>111</v>
      </c>
      <c r="U123" s="69"/>
      <c r="V123" s="71"/>
      <c r="W123" s="72"/>
      <c r="X123" s="73"/>
      <c r="Y123" s="73"/>
      <c r="Z123" s="73"/>
    </row>
    <row r="124" spans="1:26" ht="29.25" hidden="1" customHeight="1" x14ac:dyDescent="0.2">
      <c r="A124" s="15">
        <v>121</v>
      </c>
      <c r="B124" s="15" t="s">
        <v>2363</v>
      </c>
      <c r="C124" s="16" t="s">
        <v>2364</v>
      </c>
      <c r="D124" s="6" t="s">
        <v>20</v>
      </c>
      <c r="E124" s="6" t="s">
        <v>2147</v>
      </c>
      <c r="F124" s="15" t="s">
        <v>83</v>
      </c>
      <c r="G124" s="6" t="s">
        <v>92</v>
      </c>
      <c r="H124" s="6" t="s">
        <v>104</v>
      </c>
      <c r="I124" s="6" t="s">
        <v>119</v>
      </c>
      <c r="J124" s="6" t="s">
        <v>107</v>
      </c>
      <c r="K124" s="6" t="s">
        <v>361</v>
      </c>
      <c r="L124" s="6" t="s">
        <v>369</v>
      </c>
      <c r="M124" s="6" t="s">
        <v>369</v>
      </c>
      <c r="N124" s="6" t="s">
        <v>2365</v>
      </c>
      <c r="O124" s="6"/>
      <c r="P124" s="6"/>
      <c r="Q124" s="6"/>
      <c r="R124" s="6"/>
      <c r="S124" s="6"/>
      <c r="T124" s="6"/>
      <c r="U124" s="6"/>
      <c r="V124" s="15"/>
      <c r="W124" s="6"/>
      <c r="X124" s="15"/>
      <c r="Y124" s="15"/>
      <c r="Z124" s="15"/>
    </row>
    <row r="125" spans="1:26" ht="29.25" hidden="1" customHeight="1" x14ac:dyDescent="0.2">
      <c r="A125" s="67">
        <v>122</v>
      </c>
      <c r="B125" s="67" t="s">
        <v>2366</v>
      </c>
      <c r="C125" s="68" t="s">
        <v>2367</v>
      </c>
      <c r="D125" s="69" t="s">
        <v>9</v>
      </c>
      <c r="E125" s="69" t="s">
        <v>2147</v>
      </c>
      <c r="F125" s="69" t="s">
        <v>83</v>
      </c>
      <c r="G125" s="69" t="s">
        <v>92</v>
      </c>
      <c r="H125" s="69" t="s">
        <v>1927</v>
      </c>
      <c r="I125" s="70" t="s">
        <v>119</v>
      </c>
      <c r="J125" s="70" t="s">
        <v>107</v>
      </c>
      <c r="K125" s="69" t="s">
        <v>2368</v>
      </c>
      <c r="L125" s="69" t="s">
        <v>69</v>
      </c>
      <c r="M125" s="67" t="s">
        <v>70</v>
      </c>
      <c r="N125" s="67" t="s">
        <v>2369</v>
      </c>
      <c r="O125" s="67"/>
      <c r="P125" s="67"/>
      <c r="Q125" s="67"/>
      <c r="R125" s="67"/>
      <c r="S125" s="67"/>
      <c r="T125" s="67"/>
      <c r="U125" s="69"/>
      <c r="V125" s="71"/>
      <c r="W125" s="72"/>
      <c r="X125" s="73"/>
      <c r="Y125" s="73"/>
      <c r="Z125" s="73" t="s">
        <v>2370</v>
      </c>
    </row>
    <row r="126" spans="1:26" ht="29.25" hidden="1" customHeight="1" x14ac:dyDescent="0.2">
      <c r="A126" s="15">
        <v>123</v>
      </c>
      <c r="B126" s="15" t="s">
        <v>2366</v>
      </c>
      <c r="C126" s="16" t="s">
        <v>2367</v>
      </c>
      <c r="D126" s="6" t="s">
        <v>9</v>
      </c>
      <c r="E126" s="6"/>
      <c r="F126" s="15" t="s">
        <v>7</v>
      </c>
      <c r="G126" s="6" t="s">
        <v>92</v>
      </c>
      <c r="H126" s="6" t="s">
        <v>116</v>
      </c>
      <c r="I126" s="6" t="s">
        <v>69</v>
      </c>
      <c r="J126" s="6" t="s">
        <v>70</v>
      </c>
      <c r="K126" s="6" t="s">
        <v>1243</v>
      </c>
      <c r="L126" s="6" t="s">
        <v>119</v>
      </c>
      <c r="M126" s="6" t="s">
        <v>107</v>
      </c>
      <c r="N126" s="6" t="s">
        <v>429</v>
      </c>
      <c r="O126" s="6">
        <v>142</v>
      </c>
      <c r="P126" s="6" t="s">
        <v>158</v>
      </c>
      <c r="Q126" s="6">
        <v>168</v>
      </c>
      <c r="R126" s="6">
        <v>2.2000000000000002</v>
      </c>
      <c r="S126" s="6" t="s">
        <v>2366</v>
      </c>
      <c r="T126" s="6" t="s">
        <v>111</v>
      </c>
      <c r="U126" s="6"/>
      <c r="V126" s="15"/>
      <c r="W126" s="6"/>
      <c r="X126" s="15"/>
      <c r="Y126" s="15"/>
      <c r="Z126" s="15"/>
    </row>
    <row r="127" spans="1:26" ht="29.25" hidden="1" customHeight="1" x14ac:dyDescent="0.2">
      <c r="A127" s="67">
        <v>124</v>
      </c>
      <c r="B127" s="67" t="s">
        <v>2371</v>
      </c>
      <c r="C127" s="68" t="s">
        <v>2372</v>
      </c>
      <c r="D127" s="69" t="s">
        <v>20</v>
      </c>
      <c r="E127" s="69"/>
      <c r="F127" s="69" t="s">
        <v>7</v>
      </c>
      <c r="G127" s="69" t="s">
        <v>92</v>
      </c>
      <c r="H127" s="69" t="s">
        <v>104</v>
      </c>
      <c r="I127" s="70" t="s">
        <v>119</v>
      </c>
      <c r="J127" s="70" t="s">
        <v>107</v>
      </c>
      <c r="K127" s="69" t="s">
        <v>361</v>
      </c>
      <c r="L127" s="69" t="s">
        <v>119</v>
      </c>
      <c r="M127" s="67" t="s">
        <v>107</v>
      </c>
      <c r="N127" s="67">
        <v>0</v>
      </c>
      <c r="O127" s="67" t="s">
        <v>1833</v>
      </c>
      <c r="P127" s="67"/>
      <c r="Q127" s="67" t="s">
        <v>2325</v>
      </c>
      <c r="R127" s="67" t="s">
        <v>2373</v>
      </c>
      <c r="S127" s="67" t="s">
        <v>2363</v>
      </c>
      <c r="T127" s="67" t="s">
        <v>111</v>
      </c>
      <c r="U127" s="69"/>
      <c r="V127" s="71"/>
      <c r="W127" s="72"/>
      <c r="X127" s="73"/>
      <c r="Y127" s="73"/>
      <c r="Z127" s="73"/>
    </row>
    <row r="128" spans="1:26" ht="29.25" hidden="1" customHeight="1" x14ac:dyDescent="0.2">
      <c r="A128" s="15">
        <v>125</v>
      </c>
      <c r="B128" s="15" t="s">
        <v>2374</v>
      </c>
      <c r="C128" s="16" t="s">
        <v>2375</v>
      </c>
      <c r="D128" s="6" t="s">
        <v>9</v>
      </c>
      <c r="E128" s="6" t="s">
        <v>2147</v>
      </c>
      <c r="F128" s="15" t="s">
        <v>83</v>
      </c>
      <c r="G128" s="6" t="s">
        <v>92</v>
      </c>
      <c r="H128" s="6" t="s">
        <v>68</v>
      </c>
      <c r="I128" s="6" t="s">
        <v>142</v>
      </c>
      <c r="J128" s="6" t="s">
        <v>70</v>
      </c>
      <c r="K128" s="6" t="s">
        <v>263</v>
      </c>
      <c r="L128" s="6" t="s">
        <v>142</v>
      </c>
      <c r="M128" s="6" t="s">
        <v>70</v>
      </c>
      <c r="N128" s="6" t="s">
        <v>2376</v>
      </c>
      <c r="O128" s="6"/>
      <c r="P128" s="6"/>
      <c r="Q128" s="6"/>
      <c r="R128" s="6"/>
      <c r="S128" s="6"/>
      <c r="T128" s="6"/>
      <c r="U128" s="6"/>
      <c r="V128" s="15"/>
      <c r="W128" s="6"/>
      <c r="X128" s="15"/>
      <c r="Y128" s="15"/>
      <c r="Z128" s="15"/>
    </row>
    <row r="129" spans="1:26" ht="29.25" hidden="1" customHeight="1" x14ac:dyDescent="0.2">
      <c r="A129" s="67">
        <v>126</v>
      </c>
      <c r="B129" s="67" t="s">
        <v>2374</v>
      </c>
      <c r="C129" s="68" t="s">
        <v>2375</v>
      </c>
      <c r="D129" s="69" t="s">
        <v>9</v>
      </c>
      <c r="E129" s="69"/>
      <c r="F129" s="69" t="s">
        <v>7</v>
      </c>
      <c r="G129" s="69" t="s">
        <v>92</v>
      </c>
      <c r="H129" s="69" t="s">
        <v>104</v>
      </c>
      <c r="I129" s="70" t="s">
        <v>69</v>
      </c>
      <c r="J129" s="70" t="s">
        <v>70</v>
      </c>
      <c r="K129" s="69" t="s">
        <v>361</v>
      </c>
      <c r="L129" s="69" t="s">
        <v>119</v>
      </c>
      <c r="M129" s="67" t="s">
        <v>107</v>
      </c>
      <c r="N129" s="67">
        <v>0</v>
      </c>
      <c r="O129" s="67">
        <v>221</v>
      </c>
      <c r="P129" s="67"/>
      <c r="Q129" s="67" t="s">
        <v>2377</v>
      </c>
      <c r="R129" s="67" t="s">
        <v>144</v>
      </c>
      <c r="S129" s="67" t="s">
        <v>2374</v>
      </c>
      <c r="T129" s="67" t="s">
        <v>160</v>
      </c>
      <c r="U129" s="69"/>
      <c r="V129" s="71"/>
      <c r="W129" s="72"/>
      <c r="X129" s="73"/>
      <c r="Y129" s="73"/>
      <c r="Z129" s="73"/>
    </row>
    <row r="130" spans="1:26" ht="29.25" hidden="1" customHeight="1" x14ac:dyDescent="0.2">
      <c r="A130" s="15">
        <v>127</v>
      </c>
      <c r="B130" s="15" t="s">
        <v>2374</v>
      </c>
      <c r="C130" s="16" t="s">
        <v>2378</v>
      </c>
      <c r="D130" s="6" t="s">
        <v>19</v>
      </c>
      <c r="E130" s="6" t="s">
        <v>1642</v>
      </c>
      <c r="F130" s="15" t="s">
        <v>83</v>
      </c>
      <c r="G130" s="6" t="s">
        <v>1529</v>
      </c>
      <c r="H130" s="6" t="s">
        <v>117</v>
      </c>
      <c r="I130" s="6" t="s">
        <v>262</v>
      </c>
      <c r="J130" s="6" t="s">
        <v>70</v>
      </c>
      <c r="K130" s="6" t="s">
        <v>1084</v>
      </c>
      <c r="L130" s="6" t="s">
        <v>119</v>
      </c>
      <c r="M130" s="6" t="s">
        <v>107</v>
      </c>
      <c r="N130" s="6" t="s">
        <v>2379</v>
      </c>
      <c r="O130" s="6"/>
      <c r="P130" s="6"/>
      <c r="Q130" s="6"/>
      <c r="R130" s="6"/>
      <c r="S130" s="6"/>
      <c r="T130" s="6"/>
      <c r="U130" s="6"/>
      <c r="V130" s="15"/>
      <c r="W130" s="6"/>
      <c r="X130" s="15"/>
      <c r="Y130" s="15"/>
      <c r="Z130" s="15"/>
    </row>
    <row r="131" spans="1:26" ht="29.25" hidden="1" customHeight="1" x14ac:dyDescent="0.2">
      <c r="A131" s="67">
        <v>128</v>
      </c>
      <c r="B131" s="67" t="s">
        <v>2374</v>
      </c>
      <c r="C131" s="68" t="s">
        <v>2378</v>
      </c>
      <c r="D131" s="69" t="s">
        <v>19</v>
      </c>
      <c r="E131" s="69"/>
      <c r="F131" s="69" t="s">
        <v>7</v>
      </c>
      <c r="G131" s="69" t="s">
        <v>1529</v>
      </c>
      <c r="H131" s="69" t="s">
        <v>140</v>
      </c>
      <c r="I131" s="70" t="s">
        <v>119</v>
      </c>
      <c r="J131" s="70" t="s">
        <v>107</v>
      </c>
      <c r="K131" s="69" t="s">
        <v>2380</v>
      </c>
      <c r="L131" s="69" t="s">
        <v>142</v>
      </c>
      <c r="M131" s="67" t="s">
        <v>70</v>
      </c>
      <c r="N131" s="67">
        <v>0</v>
      </c>
      <c r="O131" s="67">
        <v>3</v>
      </c>
      <c r="P131" s="67" t="s">
        <v>158</v>
      </c>
      <c r="Q131" s="67"/>
      <c r="R131" s="67"/>
      <c r="S131" s="67" t="s">
        <v>647</v>
      </c>
      <c r="T131" s="67"/>
      <c r="U131" s="69"/>
      <c r="V131" s="71"/>
      <c r="W131" s="72"/>
      <c r="X131" s="73"/>
      <c r="Y131" s="73"/>
      <c r="Z131" s="73"/>
    </row>
    <row r="132" spans="1:26" ht="29.25" hidden="1" customHeight="1" x14ac:dyDescent="0.2">
      <c r="A132" s="15">
        <v>129</v>
      </c>
      <c r="B132" s="15" t="s">
        <v>2381</v>
      </c>
      <c r="C132" s="16" t="s">
        <v>2382</v>
      </c>
      <c r="D132" s="6" t="s">
        <v>10</v>
      </c>
      <c r="E132" s="6" t="s">
        <v>2285</v>
      </c>
      <c r="F132" s="15" t="s">
        <v>83</v>
      </c>
      <c r="G132" s="6" t="s">
        <v>92</v>
      </c>
      <c r="H132" s="6" t="s">
        <v>104</v>
      </c>
      <c r="I132" s="6" t="s">
        <v>206</v>
      </c>
      <c r="J132" s="6" t="s">
        <v>107</v>
      </c>
      <c r="K132" s="6" t="s">
        <v>361</v>
      </c>
      <c r="L132" s="6" t="s">
        <v>206</v>
      </c>
      <c r="M132" s="6" t="s">
        <v>107</v>
      </c>
      <c r="N132" s="6" t="s">
        <v>2383</v>
      </c>
      <c r="O132" s="6"/>
      <c r="P132" s="6"/>
      <c r="Q132" s="6"/>
      <c r="R132" s="6"/>
      <c r="S132" s="6"/>
      <c r="T132" s="6"/>
      <c r="U132" s="6"/>
      <c r="V132" s="15"/>
      <c r="W132" s="6"/>
      <c r="X132" s="15"/>
      <c r="Y132" s="15"/>
      <c r="Z132" s="15"/>
    </row>
    <row r="133" spans="1:26" ht="29.25" hidden="1" customHeight="1" x14ac:dyDescent="0.2">
      <c r="A133" s="67">
        <v>130</v>
      </c>
      <c r="B133" s="67" t="s">
        <v>2381</v>
      </c>
      <c r="C133" s="68" t="s">
        <v>2382</v>
      </c>
      <c r="D133" s="69" t="s">
        <v>10</v>
      </c>
      <c r="E133" s="69"/>
      <c r="F133" s="69" t="s">
        <v>7</v>
      </c>
      <c r="G133" s="69" t="s">
        <v>92</v>
      </c>
      <c r="H133" s="69" t="s">
        <v>104</v>
      </c>
      <c r="I133" s="70" t="s">
        <v>119</v>
      </c>
      <c r="J133" s="70" t="s">
        <v>107</v>
      </c>
      <c r="K133" s="69" t="s">
        <v>361</v>
      </c>
      <c r="L133" s="69" t="s">
        <v>119</v>
      </c>
      <c r="M133" s="67" t="s">
        <v>107</v>
      </c>
      <c r="N133" s="67">
        <v>0</v>
      </c>
      <c r="O133" s="67" t="s">
        <v>2267</v>
      </c>
      <c r="P133" s="67"/>
      <c r="Q133" s="67" t="s">
        <v>1663</v>
      </c>
      <c r="R133" s="67" t="s">
        <v>769</v>
      </c>
      <c r="S133" s="67" t="s">
        <v>789</v>
      </c>
      <c r="T133" s="67" t="s">
        <v>111</v>
      </c>
      <c r="U133" s="69"/>
      <c r="V133" s="71"/>
      <c r="W133" s="72"/>
      <c r="X133" s="73"/>
      <c r="Y133" s="73"/>
      <c r="Z133" s="73"/>
    </row>
    <row r="134" spans="1:26" ht="29.25" hidden="1" customHeight="1" x14ac:dyDescent="0.2">
      <c r="A134" s="15">
        <v>131</v>
      </c>
      <c r="B134" s="15" t="s">
        <v>2381</v>
      </c>
      <c r="C134" s="16" t="s">
        <v>1086</v>
      </c>
      <c r="D134" s="6" t="s">
        <v>9</v>
      </c>
      <c r="E134" s="6" t="s">
        <v>2147</v>
      </c>
      <c r="F134" s="15" t="s">
        <v>83</v>
      </c>
      <c r="G134" s="6" t="s">
        <v>2167</v>
      </c>
      <c r="H134" s="6" t="s">
        <v>218</v>
      </c>
      <c r="I134" s="6" t="s">
        <v>69</v>
      </c>
      <c r="J134" s="6" t="s">
        <v>70</v>
      </c>
      <c r="K134" s="6" t="s">
        <v>453</v>
      </c>
      <c r="L134" s="6" t="s">
        <v>262</v>
      </c>
      <c r="M134" s="6" t="s">
        <v>70</v>
      </c>
      <c r="N134" s="6" t="s">
        <v>2339</v>
      </c>
      <c r="O134" s="6"/>
      <c r="P134" s="6"/>
      <c r="Q134" s="6"/>
      <c r="R134" s="6"/>
      <c r="S134" s="6"/>
      <c r="T134" s="6"/>
      <c r="U134" s="6"/>
      <c r="V134" s="15"/>
      <c r="W134" s="6"/>
      <c r="X134" s="15"/>
      <c r="Y134" s="15"/>
      <c r="Z134" s="15"/>
    </row>
    <row r="135" spans="1:26" ht="29.25" hidden="1" customHeight="1" x14ac:dyDescent="0.2">
      <c r="A135" s="67">
        <v>132</v>
      </c>
      <c r="B135" s="67" t="s">
        <v>2384</v>
      </c>
      <c r="C135" s="68" t="s">
        <v>2341</v>
      </c>
      <c r="D135" s="69" t="s">
        <v>9</v>
      </c>
      <c r="E135" s="69"/>
      <c r="F135" s="69" t="s">
        <v>7</v>
      </c>
      <c r="G135" s="69" t="s">
        <v>2167</v>
      </c>
      <c r="H135" s="69" t="s">
        <v>117</v>
      </c>
      <c r="I135" s="70" t="s">
        <v>69</v>
      </c>
      <c r="J135" s="70" t="s">
        <v>70</v>
      </c>
      <c r="K135" s="69" t="s">
        <v>306</v>
      </c>
      <c r="L135" s="69" t="s">
        <v>69</v>
      </c>
      <c r="M135" s="67" t="s">
        <v>70</v>
      </c>
      <c r="N135" s="67">
        <v>0</v>
      </c>
      <c r="O135" s="67" t="s">
        <v>1916</v>
      </c>
      <c r="P135" s="67" t="s">
        <v>158</v>
      </c>
      <c r="Q135" s="67" t="s">
        <v>2385</v>
      </c>
      <c r="R135" s="67" t="s">
        <v>116</v>
      </c>
      <c r="S135" s="67" t="s">
        <v>2381</v>
      </c>
      <c r="T135" s="67" t="s">
        <v>160</v>
      </c>
      <c r="U135" s="69"/>
      <c r="V135" s="71"/>
      <c r="W135" s="72"/>
      <c r="X135" s="73"/>
      <c r="Y135" s="73"/>
      <c r="Z135" s="73"/>
    </row>
    <row r="136" spans="1:26" ht="29.25" hidden="1" customHeight="1" x14ac:dyDescent="0.2">
      <c r="A136" s="15">
        <v>133</v>
      </c>
      <c r="B136" s="15" t="s">
        <v>2386</v>
      </c>
      <c r="C136" s="16" t="s">
        <v>2387</v>
      </c>
      <c r="D136" s="6" t="s">
        <v>66</v>
      </c>
      <c r="E136" s="6" t="s">
        <v>2147</v>
      </c>
      <c r="F136" s="15" t="s">
        <v>83</v>
      </c>
      <c r="G136" s="6" t="s">
        <v>92</v>
      </c>
      <c r="H136" s="6"/>
      <c r="I136" s="6"/>
      <c r="J136" s="6"/>
      <c r="K136" s="6"/>
      <c r="L136" s="6"/>
      <c r="M136" s="6"/>
      <c r="N136" s="6" t="s">
        <v>2148</v>
      </c>
      <c r="O136" s="6"/>
      <c r="P136" s="6"/>
      <c r="Q136" s="6"/>
      <c r="R136" s="6"/>
      <c r="S136" s="6"/>
      <c r="T136" s="6"/>
      <c r="U136" s="6"/>
      <c r="V136" s="15"/>
      <c r="W136" s="6"/>
      <c r="X136" s="15"/>
      <c r="Y136" s="15"/>
      <c r="Z136" s="15"/>
    </row>
    <row r="137" spans="1:26" ht="29.25" hidden="1" customHeight="1" x14ac:dyDescent="0.2">
      <c r="A137" s="67">
        <v>134</v>
      </c>
      <c r="B137" s="67" t="s">
        <v>2386</v>
      </c>
      <c r="C137" s="68" t="s">
        <v>2387</v>
      </c>
      <c r="D137" s="69" t="s">
        <v>66</v>
      </c>
      <c r="E137" s="69"/>
      <c r="F137" s="69" t="s">
        <v>7</v>
      </c>
      <c r="G137" s="69" t="s">
        <v>92</v>
      </c>
      <c r="H137" s="69"/>
      <c r="I137" s="70"/>
      <c r="J137" s="70"/>
      <c r="K137" s="69"/>
      <c r="L137" s="69"/>
      <c r="M137" s="67"/>
      <c r="N137" s="67"/>
      <c r="O137" s="67"/>
      <c r="P137" s="67"/>
      <c r="Q137" s="67"/>
      <c r="R137" s="67"/>
      <c r="S137" s="67"/>
      <c r="T137" s="67"/>
      <c r="U137" s="69"/>
      <c r="V137" s="71"/>
      <c r="W137" s="72"/>
      <c r="X137" s="73"/>
      <c r="Y137" s="73"/>
      <c r="Z137" s="73"/>
    </row>
    <row r="138" spans="1:26" ht="29.25" hidden="1" customHeight="1" x14ac:dyDescent="0.2">
      <c r="A138" s="15">
        <v>135</v>
      </c>
      <c r="B138" s="15" t="s">
        <v>2388</v>
      </c>
      <c r="C138" s="16" t="s">
        <v>86</v>
      </c>
      <c r="D138" s="6" t="s">
        <v>8</v>
      </c>
      <c r="E138" s="6" t="s">
        <v>2147</v>
      </c>
      <c r="F138" s="15" t="s">
        <v>83</v>
      </c>
      <c r="G138" s="6" t="s">
        <v>92</v>
      </c>
      <c r="H138" s="6" t="s">
        <v>117</v>
      </c>
      <c r="I138" s="6" t="s">
        <v>119</v>
      </c>
      <c r="J138" s="6" t="s">
        <v>107</v>
      </c>
      <c r="K138" s="6" t="s">
        <v>120</v>
      </c>
      <c r="L138" s="6" t="s">
        <v>142</v>
      </c>
      <c r="M138" s="6" t="s">
        <v>70</v>
      </c>
      <c r="N138" s="6" t="s">
        <v>582</v>
      </c>
      <c r="O138" s="6"/>
      <c r="P138" s="6"/>
      <c r="Q138" s="6"/>
      <c r="R138" s="6"/>
      <c r="S138" s="6"/>
      <c r="T138" s="6"/>
      <c r="U138" s="6"/>
      <c r="V138" s="15"/>
      <c r="W138" s="6"/>
      <c r="X138" s="15"/>
      <c r="Y138" s="15"/>
      <c r="Z138" s="15"/>
    </row>
    <row r="139" spans="1:26" ht="29.25" hidden="1" customHeight="1" x14ac:dyDescent="0.2">
      <c r="A139" s="67">
        <v>136</v>
      </c>
      <c r="B139" s="67" t="s">
        <v>2389</v>
      </c>
      <c r="C139" s="68" t="s">
        <v>1684</v>
      </c>
      <c r="D139" s="69" t="s">
        <v>20</v>
      </c>
      <c r="E139" s="69" t="s">
        <v>922</v>
      </c>
      <c r="F139" s="69" t="s">
        <v>83</v>
      </c>
      <c r="G139" s="69" t="s">
        <v>92</v>
      </c>
      <c r="H139" s="69" t="s">
        <v>104</v>
      </c>
      <c r="I139" s="70" t="s">
        <v>69</v>
      </c>
      <c r="J139" s="70" t="s">
        <v>70</v>
      </c>
      <c r="K139" s="69" t="s">
        <v>1686</v>
      </c>
      <c r="L139" s="69" t="s">
        <v>73</v>
      </c>
      <c r="M139" s="67" t="s">
        <v>70</v>
      </c>
      <c r="N139" s="67" t="s">
        <v>2390</v>
      </c>
      <c r="O139" s="67"/>
      <c r="P139" s="67"/>
      <c r="Q139" s="67"/>
      <c r="R139" s="67"/>
      <c r="S139" s="67"/>
      <c r="T139" s="67"/>
      <c r="U139" s="69"/>
      <c r="V139" s="71"/>
      <c r="W139" s="72"/>
      <c r="X139" s="73"/>
      <c r="Y139" s="73"/>
      <c r="Z139" s="73" t="s">
        <v>2391</v>
      </c>
    </row>
    <row r="140" spans="1:26" ht="29.25" hidden="1" customHeight="1" x14ac:dyDescent="0.2">
      <c r="A140" s="15">
        <v>137</v>
      </c>
      <c r="B140" s="15" t="s">
        <v>2392</v>
      </c>
      <c r="C140" s="16" t="s">
        <v>86</v>
      </c>
      <c r="D140" s="6" t="s">
        <v>8</v>
      </c>
      <c r="E140" s="6"/>
      <c r="F140" s="15" t="s">
        <v>7</v>
      </c>
      <c r="G140" s="6" t="s">
        <v>92</v>
      </c>
      <c r="H140" s="6" t="s">
        <v>117</v>
      </c>
      <c r="I140" s="6" t="s">
        <v>119</v>
      </c>
      <c r="J140" s="6" t="s">
        <v>107</v>
      </c>
      <c r="K140" s="6" t="s">
        <v>120</v>
      </c>
      <c r="L140" s="6" t="s">
        <v>119</v>
      </c>
      <c r="M140" s="6" t="s">
        <v>107</v>
      </c>
      <c r="N140" s="6" t="s">
        <v>429</v>
      </c>
      <c r="O140" s="6">
        <v>162</v>
      </c>
      <c r="P140" s="6"/>
      <c r="Q140" s="6">
        <v>167</v>
      </c>
      <c r="R140" s="6">
        <v>19</v>
      </c>
      <c r="S140" s="6" t="s">
        <v>2388</v>
      </c>
      <c r="T140" s="6" t="s">
        <v>111</v>
      </c>
      <c r="U140" s="6"/>
      <c r="V140" s="15"/>
      <c r="W140" s="6"/>
      <c r="X140" s="15"/>
      <c r="Y140" s="15"/>
      <c r="Z140" s="15"/>
    </row>
    <row r="141" spans="1:26" ht="29.25" hidden="1" customHeight="1" x14ac:dyDescent="0.2">
      <c r="A141" s="67">
        <v>138</v>
      </c>
      <c r="B141" s="67" t="s">
        <v>2393</v>
      </c>
      <c r="C141" s="68" t="s">
        <v>2394</v>
      </c>
      <c r="D141" s="69" t="s">
        <v>10</v>
      </c>
      <c r="E141" s="69" t="s">
        <v>222</v>
      </c>
      <c r="F141" s="69" t="s">
        <v>222</v>
      </c>
      <c r="G141" s="69" t="s">
        <v>92</v>
      </c>
      <c r="H141" s="69" t="s">
        <v>104</v>
      </c>
      <c r="I141" s="70" t="s">
        <v>142</v>
      </c>
      <c r="J141" s="70" t="s">
        <v>70</v>
      </c>
      <c r="K141" s="69" t="s">
        <v>263</v>
      </c>
      <c r="L141" s="69" t="s">
        <v>119</v>
      </c>
      <c r="M141" s="67" t="s">
        <v>107</v>
      </c>
      <c r="N141" s="67" t="s">
        <v>2395</v>
      </c>
      <c r="O141" s="67"/>
      <c r="P141" s="67"/>
      <c r="Q141" s="67"/>
      <c r="R141" s="67"/>
      <c r="S141" s="67"/>
      <c r="T141" s="67"/>
      <c r="U141" s="69"/>
      <c r="V141" s="71"/>
      <c r="W141" s="72"/>
      <c r="X141" s="73"/>
      <c r="Y141" s="73"/>
      <c r="Z141" s="73" t="s">
        <v>2396</v>
      </c>
    </row>
    <row r="142" spans="1:26" ht="29.25" hidden="1" customHeight="1" x14ac:dyDescent="0.2">
      <c r="A142" s="15">
        <v>139</v>
      </c>
      <c r="B142" s="15" t="s">
        <v>2397</v>
      </c>
      <c r="C142" s="16" t="s">
        <v>2382</v>
      </c>
      <c r="D142" s="6" t="s">
        <v>10</v>
      </c>
      <c r="E142" s="6" t="s">
        <v>2147</v>
      </c>
      <c r="F142" s="15" t="s">
        <v>83</v>
      </c>
      <c r="G142" s="6" t="s">
        <v>92</v>
      </c>
      <c r="H142" s="6" t="s">
        <v>104</v>
      </c>
      <c r="I142" s="6" t="s">
        <v>206</v>
      </c>
      <c r="J142" s="6" t="s">
        <v>107</v>
      </c>
      <c r="K142" s="6" t="s">
        <v>361</v>
      </c>
      <c r="L142" s="6" t="s">
        <v>206</v>
      </c>
      <c r="M142" s="6" t="s">
        <v>107</v>
      </c>
      <c r="N142" s="6" t="s">
        <v>2383</v>
      </c>
      <c r="O142" s="6"/>
      <c r="P142" s="6"/>
      <c r="Q142" s="6"/>
      <c r="R142" s="6"/>
      <c r="S142" s="6"/>
      <c r="T142" s="6"/>
      <c r="U142" s="6"/>
      <c r="V142" s="15"/>
      <c r="W142" s="6"/>
      <c r="X142" s="15"/>
      <c r="Y142" s="15"/>
      <c r="Z142" s="15"/>
    </row>
    <row r="143" spans="1:26" ht="29.25" hidden="1" customHeight="1" x14ac:dyDescent="0.2">
      <c r="A143" s="67">
        <v>140</v>
      </c>
      <c r="B143" s="67" t="s">
        <v>1688</v>
      </c>
      <c r="C143" s="68" t="s">
        <v>1684</v>
      </c>
      <c r="D143" s="69" t="s">
        <v>20</v>
      </c>
      <c r="E143" s="69"/>
      <c r="F143" s="69" t="s">
        <v>7</v>
      </c>
      <c r="G143" s="69" t="s">
        <v>92</v>
      </c>
      <c r="H143" s="69" t="s">
        <v>117</v>
      </c>
      <c r="I143" s="70" t="s">
        <v>119</v>
      </c>
      <c r="J143" s="70" t="s">
        <v>107</v>
      </c>
      <c r="K143" s="69" t="s">
        <v>306</v>
      </c>
      <c r="L143" s="69" t="s">
        <v>69</v>
      </c>
      <c r="M143" s="67" t="s">
        <v>70</v>
      </c>
      <c r="N143" s="67">
        <v>0</v>
      </c>
      <c r="O143" s="67" t="s">
        <v>1762</v>
      </c>
      <c r="P143" s="67" t="s">
        <v>158</v>
      </c>
      <c r="Q143" s="67" t="s">
        <v>2245</v>
      </c>
      <c r="R143" s="67" t="s">
        <v>555</v>
      </c>
      <c r="S143" s="67" t="s">
        <v>2397</v>
      </c>
      <c r="T143" s="67" t="s">
        <v>160</v>
      </c>
      <c r="U143" s="69"/>
      <c r="V143" s="71"/>
      <c r="W143" s="72"/>
      <c r="X143" s="73"/>
      <c r="Y143" s="73"/>
      <c r="Z143" s="73"/>
    </row>
    <row r="144" spans="1:26" ht="29.25" hidden="1" customHeight="1" x14ac:dyDescent="0.2">
      <c r="A144" s="15">
        <v>141</v>
      </c>
      <c r="B144" s="15" t="s">
        <v>2398</v>
      </c>
      <c r="C144" s="16" t="s">
        <v>2399</v>
      </c>
      <c r="D144" s="6" t="s">
        <v>66</v>
      </c>
      <c r="E144" s="6" t="s">
        <v>192</v>
      </c>
      <c r="F144" s="15" t="s">
        <v>7</v>
      </c>
      <c r="G144" s="6" t="s">
        <v>92</v>
      </c>
      <c r="H144" s="6" t="s">
        <v>223</v>
      </c>
      <c r="I144" s="6" t="s">
        <v>69</v>
      </c>
      <c r="J144" s="6" t="s">
        <v>70</v>
      </c>
      <c r="K144" s="6" t="s">
        <v>224</v>
      </c>
      <c r="L144" s="6" t="s">
        <v>69</v>
      </c>
      <c r="M144" s="6" t="s">
        <v>70</v>
      </c>
      <c r="N144" s="6"/>
      <c r="O144" s="6" t="s">
        <v>5306</v>
      </c>
      <c r="P144" s="6"/>
      <c r="Q144" s="6"/>
      <c r="R144" s="6"/>
      <c r="S144" s="6"/>
      <c r="T144" s="6"/>
      <c r="U144" s="6"/>
      <c r="V144" s="15"/>
      <c r="W144" s="6"/>
      <c r="X144" s="15"/>
      <c r="Y144" s="15"/>
      <c r="Z144" s="15"/>
    </row>
    <row r="145" spans="1:26" ht="29.25" hidden="1" customHeight="1" x14ac:dyDescent="0.2">
      <c r="A145" s="67">
        <v>142</v>
      </c>
      <c r="B145" s="67" t="s">
        <v>1412</v>
      </c>
      <c r="C145" s="68" t="s">
        <v>2400</v>
      </c>
      <c r="D145" s="69" t="s">
        <v>9</v>
      </c>
      <c r="E145" s="69" t="s">
        <v>456</v>
      </c>
      <c r="F145" s="69" t="s">
        <v>83</v>
      </c>
      <c r="G145" s="69" t="s">
        <v>92</v>
      </c>
      <c r="H145" s="69" t="s">
        <v>104</v>
      </c>
      <c r="I145" s="70" t="s">
        <v>142</v>
      </c>
      <c r="J145" s="70" t="s">
        <v>70</v>
      </c>
      <c r="K145" s="69" t="s">
        <v>361</v>
      </c>
      <c r="L145" s="69" t="s">
        <v>142</v>
      </c>
      <c r="M145" s="67" t="s">
        <v>70</v>
      </c>
      <c r="N145" s="67" t="s">
        <v>2401</v>
      </c>
      <c r="O145" s="67"/>
      <c r="P145" s="67"/>
      <c r="Q145" s="67"/>
      <c r="R145" s="67"/>
      <c r="S145" s="67"/>
      <c r="T145" s="67"/>
      <c r="U145" s="69"/>
      <c r="V145" s="71"/>
      <c r="W145" s="72"/>
      <c r="X145" s="73"/>
      <c r="Y145" s="73"/>
      <c r="Z145" s="73"/>
    </row>
    <row r="146" spans="1:26" ht="29.25" customHeight="1" x14ac:dyDescent="0.2">
      <c r="A146" s="15">
        <v>143</v>
      </c>
      <c r="B146" s="15" t="s">
        <v>2402</v>
      </c>
      <c r="C146" s="16" t="s">
        <v>82</v>
      </c>
      <c r="D146" s="6" t="s">
        <v>9</v>
      </c>
      <c r="E146" s="6"/>
      <c r="F146" s="15" t="s">
        <v>7</v>
      </c>
      <c r="G146" s="6" t="s">
        <v>92</v>
      </c>
      <c r="H146" s="6" t="s">
        <v>117</v>
      </c>
      <c r="I146" s="6" t="s">
        <v>119</v>
      </c>
      <c r="J146" s="6" t="s">
        <v>107</v>
      </c>
      <c r="K146" s="6" t="s">
        <v>125</v>
      </c>
      <c r="L146" s="6" t="s">
        <v>119</v>
      </c>
      <c r="M146" s="6" t="s">
        <v>107</v>
      </c>
      <c r="N146" s="6">
        <v>0</v>
      </c>
      <c r="O146" s="6" t="s">
        <v>1762</v>
      </c>
      <c r="P146" s="6"/>
      <c r="Q146" s="6" t="s">
        <v>1756</v>
      </c>
      <c r="R146" s="6" t="s">
        <v>2348</v>
      </c>
      <c r="S146" s="6" t="s">
        <v>2002</v>
      </c>
      <c r="T146" s="6" t="s">
        <v>160</v>
      </c>
      <c r="U146" s="6"/>
      <c r="V146" s="15"/>
      <c r="W146" s="6"/>
      <c r="X146" s="15"/>
      <c r="Y146" s="15"/>
      <c r="Z146" s="15"/>
    </row>
    <row r="147" spans="1:26" ht="29.25" hidden="1" customHeight="1" x14ac:dyDescent="0.2">
      <c r="A147" s="67">
        <v>144</v>
      </c>
      <c r="B147" s="67" t="s">
        <v>693</v>
      </c>
      <c r="C147" s="68" t="s">
        <v>2311</v>
      </c>
      <c r="D147" s="69" t="s">
        <v>9</v>
      </c>
      <c r="E147" s="69" t="s">
        <v>2147</v>
      </c>
      <c r="F147" s="69" t="s">
        <v>83</v>
      </c>
      <c r="G147" s="69" t="s">
        <v>92</v>
      </c>
      <c r="H147" s="69" t="s">
        <v>68</v>
      </c>
      <c r="I147" s="70" t="s">
        <v>119</v>
      </c>
      <c r="J147" s="70" t="s">
        <v>107</v>
      </c>
      <c r="K147" s="69" t="s">
        <v>263</v>
      </c>
      <c r="L147" s="69" t="s">
        <v>119</v>
      </c>
      <c r="M147" s="67" t="s">
        <v>107</v>
      </c>
      <c r="N147" s="67" t="s">
        <v>2307</v>
      </c>
      <c r="O147" s="67"/>
      <c r="P147" s="67"/>
      <c r="Q147" s="67"/>
      <c r="R147" s="67"/>
      <c r="S147" s="67"/>
      <c r="T147" s="67"/>
      <c r="U147" s="69"/>
      <c r="V147" s="71"/>
      <c r="W147" s="72"/>
      <c r="X147" s="73"/>
      <c r="Y147" s="73"/>
      <c r="Z147" s="73" t="s">
        <v>2403</v>
      </c>
    </row>
    <row r="148" spans="1:26" ht="29.25" hidden="1" customHeight="1" x14ac:dyDescent="0.2">
      <c r="A148" s="15">
        <v>145</v>
      </c>
      <c r="B148" s="15" t="s">
        <v>2404</v>
      </c>
      <c r="C148" s="16" t="s">
        <v>2311</v>
      </c>
      <c r="D148" s="6" t="s">
        <v>9</v>
      </c>
      <c r="E148" s="6"/>
      <c r="F148" s="15" t="s">
        <v>7</v>
      </c>
      <c r="G148" s="6" t="s">
        <v>92</v>
      </c>
      <c r="H148" s="6" t="s">
        <v>68</v>
      </c>
      <c r="I148" s="6" t="s">
        <v>69</v>
      </c>
      <c r="J148" s="6" t="s">
        <v>70</v>
      </c>
      <c r="K148" s="6" t="s">
        <v>263</v>
      </c>
      <c r="L148" s="6" t="s">
        <v>119</v>
      </c>
      <c r="M148" s="6" t="s">
        <v>107</v>
      </c>
      <c r="N148" s="6">
        <v>0</v>
      </c>
      <c r="O148" s="6" t="s">
        <v>2405</v>
      </c>
      <c r="P148" s="6"/>
      <c r="Q148" s="6" t="s">
        <v>1858</v>
      </c>
      <c r="R148" s="6" t="s">
        <v>226</v>
      </c>
      <c r="S148" s="6" t="s">
        <v>2404</v>
      </c>
      <c r="T148" s="6" t="s">
        <v>160</v>
      </c>
      <c r="U148" s="6"/>
      <c r="V148" s="15"/>
      <c r="W148" s="6"/>
      <c r="X148" s="15"/>
      <c r="Y148" s="15"/>
      <c r="Z148" s="15"/>
    </row>
    <row r="149" spans="1:26" s="21" customFormat="1" ht="29.25" hidden="1" customHeight="1" x14ac:dyDescent="0.2">
      <c r="A149" s="67">
        <v>146</v>
      </c>
      <c r="B149" s="67" t="s">
        <v>692</v>
      </c>
      <c r="C149" s="68" t="s">
        <v>2406</v>
      </c>
      <c r="D149" s="69" t="s">
        <v>20</v>
      </c>
      <c r="E149" s="69" t="s">
        <v>192</v>
      </c>
      <c r="F149" s="69" t="s">
        <v>7</v>
      </c>
      <c r="G149" s="69" t="s">
        <v>92</v>
      </c>
      <c r="H149" s="69" t="s">
        <v>68</v>
      </c>
      <c r="I149" s="70" t="s">
        <v>69</v>
      </c>
      <c r="J149" s="70" t="s">
        <v>70</v>
      </c>
      <c r="K149" s="69" t="s">
        <v>332</v>
      </c>
      <c r="L149" s="69" t="s">
        <v>119</v>
      </c>
      <c r="M149" s="67" t="s">
        <v>107</v>
      </c>
      <c r="N149" s="67" t="s">
        <v>429</v>
      </c>
      <c r="O149" s="67">
        <v>234</v>
      </c>
      <c r="P149" s="67" t="s">
        <v>192</v>
      </c>
      <c r="Q149" s="67">
        <v>159</v>
      </c>
      <c r="R149" s="67">
        <v>26</v>
      </c>
      <c r="S149" s="67" t="s">
        <v>693</v>
      </c>
      <c r="T149" s="67" t="s">
        <v>160</v>
      </c>
      <c r="U149" s="69"/>
      <c r="V149" s="71"/>
      <c r="W149" s="72"/>
      <c r="X149" s="73"/>
      <c r="Y149" s="73"/>
      <c r="Z149" s="73"/>
    </row>
    <row r="150" spans="1:26" ht="29.25" hidden="1" customHeight="1" x14ac:dyDescent="0.2">
      <c r="A150" s="15">
        <v>147</v>
      </c>
      <c r="B150" s="15" t="s">
        <v>2407</v>
      </c>
      <c r="C150" s="16" t="s">
        <v>1408</v>
      </c>
      <c r="D150" s="6" t="s">
        <v>9</v>
      </c>
      <c r="E150" s="6" t="s">
        <v>2147</v>
      </c>
      <c r="F150" s="15" t="s">
        <v>83</v>
      </c>
      <c r="G150" s="6" t="s">
        <v>92</v>
      </c>
      <c r="H150" s="6" t="s">
        <v>68</v>
      </c>
      <c r="I150" s="6" t="s">
        <v>142</v>
      </c>
      <c r="J150" s="6" t="s">
        <v>70</v>
      </c>
      <c r="K150" s="6" t="s">
        <v>332</v>
      </c>
      <c r="L150" s="6" t="s">
        <v>142</v>
      </c>
      <c r="M150" s="6" t="s">
        <v>70</v>
      </c>
      <c r="N150" s="6" t="s">
        <v>2408</v>
      </c>
      <c r="O150" s="6"/>
      <c r="P150" s="6"/>
      <c r="Q150" s="6"/>
      <c r="R150" s="6"/>
      <c r="S150" s="6"/>
      <c r="T150" s="6"/>
      <c r="U150" s="6"/>
      <c r="V150" s="15"/>
      <c r="W150" s="6"/>
      <c r="X150" s="15"/>
      <c r="Y150" s="15"/>
      <c r="Z150" s="15"/>
    </row>
    <row r="151" spans="1:26" ht="29.25" hidden="1" customHeight="1" x14ac:dyDescent="0.2">
      <c r="A151" s="67">
        <v>148</v>
      </c>
      <c r="B151" s="67" t="s">
        <v>1411</v>
      </c>
      <c r="C151" s="68" t="s">
        <v>1408</v>
      </c>
      <c r="D151" s="69" t="s">
        <v>9</v>
      </c>
      <c r="E151" s="69"/>
      <c r="F151" s="69" t="s">
        <v>7</v>
      </c>
      <c r="G151" s="69" t="s">
        <v>92</v>
      </c>
      <c r="H151" s="69" t="s">
        <v>68</v>
      </c>
      <c r="I151" s="70" t="s">
        <v>69</v>
      </c>
      <c r="J151" s="70" t="s">
        <v>70</v>
      </c>
      <c r="K151" s="69" t="s">
        <v>332</v>
      </c>
      <c r="L151" s="69" t="s">
        <v>119</v>
      </c>
      <c r="M151" s="67" t="s">
        <v>107</v>
      </c>
      <c r="N151" s="67" t="s">
        <v>429</v>
      </c>
      <c r="O151" s="67">
        <v>198</v>
      </c>
      <c r="P151" s="67"/>
      <c r="Q151" s="67">
        <v>157</v>
      </c>
      <c r="R151" s="67">
        <v>26</v>
      </c>
      <c r="S151" s="67" t="s">
        <v>1412</v>
      </c>
      <c r="T151" s="67" t="s">
        <v>160</v>
      </c>
      <c r="U151" s="69"/>
      <c r="V151" s="71"/>
      <c r="W151" s="72"/>
      <c r="X151" s="73"/>
      <c r="Y151" s="73"/>
      <c r="Z151" s="73"/>
    </row>
    <row r="152" spans="1:26" ht="29.25" hidden="1" customHeight="1" x14ac:dyDescent="0.2">
      <c r="A152" s="15">
        <v>233</v>
      </c>
      <c r="B152" s="15" t="s">
        <v>2409</v>
      </c>
      <c r="C152" s="16" t="s">
        <v>794</v>
      </c>
      <c r="D152" s="6" t="s">
        <v>8</v>
      </c>
      <c r="E152" s="6" t="s">
        <v>172</v>
      </c>
      <c r="F152" s="15" t="s">
        <v>83</v>
      </c>
      <c r="G152" s="6" t="s">
        <v>92</v>
      </c>
      <c r="H152" s="6" t="s">
        <v>68</v>
      </c>
      <c r="I152" s="6" t="s">
        <v>262</v>
      </c>
      <c r="J152" s="6" t="s">
        <v>70</v>
      </c>
      <c r="K152" s="6" t="s">
        <v>332</v>
      </c>
      <c r="L152" s="6" t="s">
        <v>262</v>
      </c>
      <c r="M152" s="6" t="s">
        <v>70</v>
      </c>
      <c r="N152" s="6" t="s">
        <v>2410</v>
      </c>
      <c r="O152" s="6"/>
      <c r="P152" s="6"/>
      <c r="Q152" s="6"/>
      <c r="R152" s="6"/>
      <c r="S152" s="6"/>
      <c r="T152" s="6"/>
      <c r="U152" s="6"/>
      <c r="V152" s="15"/>
      <c r="W152" s="6"/>
      <c r="X152" s="15"/>
      <c r="Y152" s="15"/>
      <c r="Z152" s="15"/>
    </row>
    <row r="153" spans="1:26" ht="29.25" hidden="1" customHeight="1" x14ac:dyDescent="0.2">
      <c r="A153" s="67">
        <v>150</v>
      </c>
      <c r="B153" s="67" t="s">
        <v>2411</v>
      </c>
      <c r="C153" s="68" t="s">
        <v>2412</v>
      </c>
      <c r="D153" s="69" t="s">
        <v>19</v>
      </c>
      <c r="E153" s="69" t="s">
        <v>2147</v>
      </c>
      <c r="F153" s="69" t="s">
        <v>83</v>
      </c>
      <c r="G153" s="69" t="s">
        <v>92</v>
      </c>
      <c r="H153" s="69" t="s">
        <v>141</v>
      </c>
      <c r="I153" s="70" t="s">
        <v>69</v>
      </c>
      <c r="J153" s="70" t="s">
        <v>70</v>
      </c>
      <c r="K153" s="69" t="s">
        <v>492</v>
      </c>
      <c r="L153" s="69" t="s">
        <v>824</v>
      </c>
      <c r="M153" s="67" t="s">
        <v>107</v>
      </c>
      <c r="N153" s="67" t="s">
        <v>2413</v>
      </c>
      <c r="O153" s="67"/>
      <c r="P153" s="67"/>
      <c r="Q153" s="67"/>
      <c r="R153" s="67"/>
      <c r="S153" s="67"/>
      <c r="T153" s="67"/>
      <c r="U153" s="69"/>
      <c r="V153" s="71"/>
      <c r="W153" s="72"/>
      <c r="X153" s="73"/>
      <c r="Y153" s="73"/>
      <c r="Z153" s="73"/>
    </row>
    <row r="154" spans="1:26" ht="29.25" hidden="1" customHeight="1" x14ac:dyDescent="0.2">
      <c r="A154" s="15">
        <v>151</v>
      </c>
      <c r="B154" s="15" t="s">
        <v>2411</v>
      </c>
      <c r="C154" s="16" t="s">
        <v>2412</v>
      </c>
      <c r="D154" s="6" t="s">
        <v>19</v>
      </c>
      <c r="E154" s="6"/>
      <c r="F154" s="15" t="s">
        <v>7</v>
      </c>
      <c r="G154" s="6" t="s">
        <v>92</v>
      </c>
      <c r="H154" s="6" t="s">
        <v>223</v>
      </c>
      <c r="I154" s="6" t="s">
        <v>69</v>
      </c>
      <c r="J154" s="6" t="s">
        <v>70</v>
      </c>
      <c r="K154" s="6" t="s">
        <v>965</v>
      </c>
      <c r="L154" s="6" t="s">
        <v>69</v>
      </c>
      <c r="M154" s="6" t="s">
        <v>70</v>
      </c>
      <c r="N154" s="6" t="s">
        <v>429</v>
      </c>
      <c r="O154" s="6" t="s">
        <v>2414</v>
      </c>
      <c r="P154" s="6" t="s">
        <v>158</v>
      </c>
      <c r="Q154" s="6" t="s">
        <v>216</v>
      </c>
      <c r="R154" s="6" t="s">
        <v>718</v>
      </c>
      <c r="S154" s="6" t="s">
        <v>2347</v>
      </c>
      <c r="T154" s="6" t="s">
        <v>111</v>
      </c>
      <c r="U154" s="6"/>
      <c r="V154" s="15"/>
      <c r="W154" s="6"/>
      <c r="X154" s="15"/>
      <c r="Y154" s="15"/>
      <c r="Z154" s="15"/>
    </row>
    <row r="155" spans="1:26" ht="29.25" hidden="1" customHeight="1" x14ac:dyDescent="0.2">
      <c r="A155" s="67">
        <v>152</v>
      </c>
      <c r="B155" s="67" t="s">
        <v>2415</v>
      </c>
      <c r="C155" s="68" t="s">
        <v>1297</v>
      </c>
      <c r="D155" s="69" t="s">
        <v>6</v>
      </c>
      <c r="E155" s="69" t="s">
        <v>456</v>
      </c>
      <c r="F155" s="69" t="s">
        <v>83</v>
      </c>
      <c r="G155" s="69" t="s">
        <v>92</v>
      </c>
      <c r="H155" s="69" t="s">
        <v>68</v>
      </c>
      <c r="I155" s="70" t="s">
        <v>119</v>
      </c>
      <c r="J155" s="70" t="s">
        <v>107</v>
      </c>
      <c r="K155" s="69" t="s">
        <v>361</v>
      </c>
      <c r="L155" s="69" t="s">
        <v>142</v>
      </c>
      <c r="M155" s="67" t="s">
        <v>70</v>
      </c>
      <c r="N155" s="67" t="s">
        <v>2272</v>
      </c>
      <c r="O155" s="67"/>
      <c r="P155" s="67"/>
      <c r="Q155" s="67"/>
      <c r="R155" s="67"/>
      <c r="S155" s="67"/>
      <c r="T155" s="67"/>
      <c r="U155" s="69"/>
      <c r="V155" s="71"/>
      <c r="W155" s="72"/>
      <c r="X155" s="73"/>
      <c r="Y155" s="73"/>
      <c r="Z155" s="73" t="s">
        <v>2416</v>
      </c>
    </row>
    <row r="156" spans="1:26" ht="29.25" hidden="1" customHeight="1" x14ac:dyDescent="0.2">
      <c r="A156" s="67">
        <v>226</v>
      </c>
      <c r="B156" s="67" t="s">
        <v>2417</v>
      </c>
      <c r="C156" s="68" t="s">
        <v>1664</v>
      </c>
      <c r="D156" s="69" t="s">
        <v>243</v>
      </c>
      <c r="E156" s="69" t="s">
        <v>172</v>
      </c>
      <c r="F156" s="69" t="s">
        <v>83</v>
      </c>
      <c r="G156" s="69" t="s">
        <v>92</v>
      </c>
      <c r="H156" s="69" t="s">
        <v>104</v>
      </c>
      <c r="I156" s="70" t="s">
        <v>206</v>
      </c>
      <c r="J156" s="70" t="s">
        <v>107</v>
      </c>
      <c r="K156" s="69" t="s">
        <v>108</v>
      </c>
      <c r="L156" s="69" t="s">
        <v>206</v>
      </c>
      <c r="M156" s="67" t="s">
        <v>107</v>
      </c>
      <c r="N156" s="67" t="s">
        <v>2418</v>
      </c>
      <c r="O156" s="67"/>
      <c r="P156" s="67"/>
      <c r="Q156" s="67"/>
      <c r="R156" s="67"/>
      <c r="S156" s="67"/>
      <c r="T156" s="67"/>
      <c r="U156" s="69"/>
      <c r="V156" s="71"/>
      <c r="W156" s="72"/>
      <c r="X156" s="73"/>
      <c r="Y156" s="73"/>
      <c r="Z156" s="73"/>
    </row>
    <row r="157" spans="1:26" ht="29.25" hidden="1" customHeight="1" x14ac:dyDescent="0.2">
      <c r="A157" s="67">
        <v>154</v>
      </c>
      <c r="B157" s="67" t="s">
        <v>2419</v>
      </c>
      <c r="C157" s="68" t="s">
        <v>238</v>
      </c>
      <c r="D157" s="69" t="s">
        <v>6</v>
      </c>
      <c r="E157" s="69" t="s">
        <v>2147</v>
      </c>
      <c r="F157" s="69" t="s">
        <v>83</v>
      </c>
      <c r="G157" s="69" t="s">
        <v>92</v>
      </c>
      <c r="H157" s="69" t="s">
        <v>68</v>
      </c>
      <c r="I157" s="70" t="s">
        <v>119</v>
      </c>
      <c r="J157" s="70" t="s">
        <v>107</v>
      </c>
      <c r="K157" s="69" t="s">
        <v>332</v>
      </c>
      <c r="L157" s="69" t="s">
        <v>119</v>
      </c>
      <c r="M157" s="67" t="s">
        <v>107</v>
      </c>
      <c r="N157" s="67" t="s">
        <v>2420</v>
      </c>
      <c r="O157" s="67"/>
      <c r="P157" s="67"/>
      <c r="Q157" s="67"/>
      <c r="R157" s="67"/>
      <c r="S157" s="67"/>
      <c r="T157" s="67"/>
      <c r="U157" s="69"/>
      <c r="V157" s="71"/>
      <c r="W157" s="72"/>
      <c r="X157" s="73"/>
      <c r="Y157" s="73"/>
      <c r="Z157" s="73"/>
    </row>
    <row r="158" spans="1:26" ht="29.25" hidden="1" customHeight="1" x14ac:dyDescent="0.2">
      <c r="A158" s="15">
        <v>155</v>
      </c>
      <c r="B158" s="15" t="s">
        <v>2419</v>
      </c>
      <c r="C158" s="16" t="s">
        <v>2421</v>
      </c>
      <c r="D158" s="6" t="s">
        <v>19</v>
      </c>
      <c r="E158" s="6"/>
      <c r="F158" s="15" t="s">
        <v>7</v>
      </c>
      <c r="G158" s="6" t="s">
        <v>2167</v>
      </c>
      <c r="H158" s="6" t="s">
        <v>140</v>
      </c>
      <c r="I158" s="6" t="s">
        <v>119</v>
      </c>
      <c r="J158" s="6" t="s">
        <v>107</v>
      </c>
      <c r="K158" s="6" t="s">
        <v>188</v>
      </c>
      <c r="L158" s="6" t="s">
        <v>119</v>
      </c>
      <c r="M158" s="6" t="s">
        <v>107</v>
      </c>
      <c r="N158" s="6">
        <v>0</v>
      </c>
      <c r="O158" s="6" t="s">
        <v>216</v>
      </c>
      <c r="P158" s="6" t="s">
        <v>158</v>
      </c>
      <c r="Q158" s="6" t="s">
        <v>2313</v>
      </c>
      <c r="R158" s="6" t="s">
        <v>2186</v>
      </c>
      <c r="S158" s="6" t="s">
        <v>1411</v>
      </c>
      <c r="T158" s="6" t="s">
        <v>111</v>
      </c>
      <c r="U158" s="6"/>
      <c r="V158" s="15"/>
      <c r="W158" s="6"/>
      <c r="X158" s="15"/>
      <c r="Y158" s="15"/>
      <c r="Z158" s="15"/>
    </row>
    <row r="159" spans="1:26" ht="29.25" hidden="1" customHeight="1" x14ac:dyDescent="0.2">
      <c r="A159" s="67">
        <v>156</v>
      </c>
      <c r="B159" s="67" t="s">
        <v>2161</v>
      </c>
      <c r="C159" s="68" t="s">
        <v>2422</v>
      </c>
      <c r="D159" s="69" t="s">
        <v>19</v>
      </c>
      <c r="E159" s="69" t="s">
        <v>2147</v>
      </c>
      <c r="F159" s="69" t="s">
        <v>83</v>
      </c>
      <c r="G159" s="69" t="s">
        <v>2167</v>
      </c>
      <c r="H159" s="69" t="s">
        <v>141</v>
      </c>
      <c r="I159" s="70" t="s">
        <v>206</v>
      </c>
      <c r="J159" s="70" t="s">
        <v>107</v>
      </c>
      <c r="K159" s="69" t="s">
        <v>998</v>
      </c>
      <c r="L159" s="69" t="s">
        <v>206</v>
      </c>
      <c r="M159" s="67" t="s">
        <v>107</v>
      </c>
      <c r="N159" s="67" t="s">
        <v>2423</v>
      </c>
      <c r="O159" s="67"/>
      <c r="P159" s="67"/>
      <c r="Q159" s="67"/>
      <c r="R159" s="67"/>
      <c r="S159" s="67"/>
      <c r="T159" s="67"/>
      <c r="U159" s="69"/>
      <c r="V159" s="71"/>
      <c r="W159" s="72"/>
      <c r="X159" s="73"/>
      <c r="Y159" s="73"/>
      <c r="Z159" s="73"/>
    </row>
    <row r="160" spans="1:26" ht="29.25" hidden="1" customHeight="1" x14ac:dyDescent="0.2">
      <c r="A160" s="15">
        <v>157</v>
      </c>
      <c r="B160" s="15" t="s">
        <v>2161</v>
      </c>
      <c r="C160" s="16" t="s">
        <v>1297</v>
      </c>
      <c r="D160" s="6" t="s">
        <v>6</v>
      </c>
      <c r="E160" s="6"/>
      <c r="F160" s="15" t="s">
        <v>7</v>
      </c>
      <c r="G160" s="6" t="s">
        <v>92</v>
      </c>
      <c r="H160" s="6" t="s">
        <v>68</v>
      </c>
      <c r="I160" s="6" t="s">
        <v>119</v>
      </c>
      <c r="J160" s="6" t="s">
        <v>107</v>
      </c>
      <c r="K160" s="6" t="s">
        <v>263</v>
      </c>
      <c r="L160" s="6" t="s">
        <v>119</v>
      </c>
      <c r="M160" s="6" t="s">
        <v>107</v>
      </c>
      <c r="N160" s="6">
        <v>0</v>
      </c>
      <c r="O160" s="6" t="s">
        <v>2008</v>
      </c>
      <c r="P160" s="6" t="s">
        <v>158</v>
      </c>
      <c r="Q160" s="6" t="s">
        <v>2276</v>
      </c>
      <c r="R160" s="6" t="s">
        <v>144</v>
      </c>
      <c r="S160" s="6" t="s">
        <v>2002</v>
      </c>
      <c r="T160" s="6" t="s">
        <v>111</v>
      </c>
      <c r="U160" s="6"/>
      <c r="V160" s="15"/>
      <c r="W160" s="6"/>
      <c r="X160" s="15"/>
      <c r="Y160" s="15"/>
      <c r="Z160" s="15"/>
    </row>
    <row r="161" spans="1:26" ht="29.25" hidden="1" customHeight="1" x14ac:dyDescent="0.2">
      <c r="A161" s="67">
        <v>158</v>
      </c>
      <c r="B161" s="67" t="s">
        <v>2424</v>
      </c>
      <c r="C161" s="68" t="s">
        <v>2425</v>
      </c>
      <c r="D161" s="69" t="s">
        <v>6</v>
      </c>
      <c r="E161" s="69" t="s">
        <v>2147</v>
      </c>
      <c r="F161" s="69" t="s">
        <v>83</v>
      </c>
      <c r="G161" s="69" t="s">
        <v>92</v>
      </c>
      <c r="H161" s="69" t="s">
        <v>155</v>
      </c>
      <c r="I161" s="70" t="s">
        <v>262</v>
      </c>
      <c r="J161" s="70" t="s">
        <v>70</v>
      </c>
      <c r="K161" s="69" t="s">
        <v>167</v>
      </c>
      <c r="L161" s="69" t="s">
        <v>119</v>
      </c>
      <c r="M161" s="67" t="s">
        <v>107</v>
      </c>
      <c r="N161" s="67" t="s">
        <v>2426</v>
      </c>
      <c r="O161" s="67"/>
      <c r="P161" s="67"/>
      <c r="Q161" s="67"/>
      <c r="R161" s="67"/>
      <c r="S161" s="67"/>
      <c r="T161" s="67"/>
      <c r="U161" s="69"/>
      <c r="V161" s="71"/>
      <c r="W161" s="72"/>
      <c r="X161" s="73"/>
      <c r="Y161" s="73"/>
      <c r="Z161" s="73"/>
    </row>
    <row r="162" spans="1:26" ht="29.25" hidden="1" customHeight="1" x14ac:dyDescent="0.2">
      <c r="A162" s="15">
        <v>159</v>
      </c>
      <c r="B162" s="15" t="s">
        <v>2424</v>
      </c>
      <c r="C162" s="16" t="s">
        <v>2422</v>
      </c>
      <c r="D162" s="6" t="s">
        <v>19</v>
      </c>
      <c r="E162" s="6"/>
      <c r="F162" s="15" t="s">
        <v>7</v>
      </c>
      <c r="G162" s="6" t="s">
        <v>2167</v>
      </c>
      <c r="H162" s="6" t="s">
        <v>141</v>
      </c>
      <c r="I162" s="6" t="s">
        <v>119</v>
      </c>
      <c r="J162" s="6" t="s">
        <v>107</v>
      </c>
      <c r="K162" s="6" t="s">
        <v>492</v>
      </c>
      <c r="L162" s="6" t="s">
        <v>119</v>
      </c>
      <c r="M162" s="6" t="s">
        <v>107</v>
      </c>
      <c r="N162" s="6">
        <v>0</v>
      </c>
      <c r="O162" s="6" t="s">
        <v>2427</v>
      </c>
      <c r="P162" s="6" t="s">
        <v>158</v>
      </c>
      <c r="Q162" s="6" t="s">
        <v>2029</v>
      </c>
      <c r="R162" s="6" t="s">
        <v>223</v>
      </c>
      <c r="S162" s="6" t="s">
        <v>1411</v>
      </c>
      <c r="T162" s="6" t="s">
        <v>111</v>
      </c>
      <c r="U162" s="6"/>
      <c r="V162" s="15"/>
      <c r="W162" s="6"/>
      <c r="X162" s="15"/>
      <c r="Y162" s="15"/>
      <c r="Z162" s="15"/>
    </row>
    <row r="163" spans="1:26" ht="29.25" hidden="1" customHeight="1" x14ac:dyDescent="0.2">
      <c r="A163" s="67">
        <v>160</v>
      </c>
      <c r="B163" s="67" t="s">
        <v>2424</v>
      </c>
      <c r="C163" s="68" t="s">
        <v>1126</v>
      </c>
      <c r="D163" s="69" t="s">
        <v>10</v>
      </c>
      <c r="E163" s="69" t="s">
        <v>2285</v>
      </c>
      <c r="F163" s="69" t="s">
        <v>83</v>
      </c>
      <c r="G163" s="69" t="s">
        <v>92</v>
      </c>
      <c r="H163" s="69" t="s">
        <v>68</v>
      </c>
      <c r="I163" s="70" t="s">
        <v>206</v>
      </c>
      <c r="J163" s="70" t="s">
        <v>107</v>
      </c>
      <c r="K163" s="69" t="s">
        <v>263</v>
      </c>
      <c r="L163" s="69" t="s">
        <v>206</v>
      </c>
      <c r="M163" s="67" t="s">
        <v>107</v>
      </c>
      <c r="N163" s="67" t="s">
        <v>2428</v>
      </c>
      <c r="O163" s="67"/>
      <c r="P163" s="67"/>
      <c r="Q163" s="67"/>
      <c r="R163" s="67"/>
      <c r="S163" s="67"/>
      <c r="T163" s="67"/>
      <c r="U163" s="69"/>
      <c r="V163" s="71"/>
      <c r="W163" s="72"/>
      <c r="X163" s="73"/>
      <c r="Y163" s="73"/>
      <c r="Z163" s="73"/>
    </row>
    <row r="164" spans="1:26" ht="29.25" hidden="1" customHeight="1" x14ac:dyDescent="0.2">
      <c r="A164" s="15">
        <v>161</v>
      </c>
      <c r="B164" s="15" t="s">
        <v>2424</v>
      </c>
      <c r="C164" s="16" t="s">
        <v>2429</v>
      </c>
      <c r="D164" s="6" t="s">
        <v>66</v>
      </c>
      <c r="E164" s="6" t="s">
        <v>2147</v>
      </c>
      <c r="F164" s="15" t="s">
        <v>83</v>
      </c>
      <c r="G164" s="6" t="s">
        <v>2430</v>
      </c>
      <c r="H164" s="6"/>
      <c r="I164" s="6"/>
      <c r="J164" s="6"/>
      <c r="K164" s="6"/>
      <c r="L164" s="6"/>
      <c r="M164" s="6"/>
      <c r="N164" s="6"/>
      <c r="O164" s="6"/>
      <c r="P164" s="6"/>
      <c r="Q164" s="6"/>
      <c r="R164" s="6"/>
      <c r="S164" s="6"/>
      <c r="T164" s="6"/>
      <c r="U164" s="6"/>
      <c r="V164" s="15"/>
      <c r="W164" s="6"/>
      <c r="X164" s="15"/>
      <c r="Y164" s="15"/>
      <c r="Z164" s="15"/>
    </row>
    <row r="165" spans="1:26" ht="29.25" hidden="1" customHeight="1" x14ac:dyDescent="0.2">
      <c r="A165" s="67">
        <v>162</v>
      </c>
      <c r="B165" s="67" t="s">
        <v>2424</v>
      </c>
      <c r="C165" s="68" t="s">
        <v>2429</v>
      </c>
      <c r="D165" s="69" t="s">
        <v>66</v>
      </c>
      <c r="E165" s="69"/>
      <c r="F165" s="69" t="s">
        <v>7</v>
      </c>
      <c r="G165" s="69" t="s">
        <v>2430</v>
      </c>
      <c r="H165" s="69" t="s">
        <v>223</v>
      </c>
      <c r="I165" s="70" t="s">
        <v>119</v>
      </c>
      <c r="J165" s="70" t="s">
        <v>107</v>
      </c>
      <c r="K165" s="69" t="s">
        <v>230</v>
      </c>
      <c r="L165" s="69" t="s">
        <v>119</v>
      </c>
      <c r="M165" s="67" t="s">
        <v>107</v>
      </c>
      <c r="N165" s="67"/>
      <c r="O165" s="67">
        <v>186</v>
      </c>
      <c r="P165" s="67"/>
      <c r="Q165" s="67"/>
      <c r="R165" s="67"/>
      <c r="S165" s="67"/>
      <c r="T165" s="67"/>
      <c r="U165" s="69"/>
      <c r="V165" s="71"/>
      <c r="W165" s="72"/>
      <c r="X165" s="73"/>
      <c r="Y165" s="73"/>
      <c r="Z165" s="73"/>
    </row>
    <row r="166" spans="1:26" ht="29.25" hidden="1" customHeight="1" x14ac:dyDescent="0.2">
      <c r="A166" s="15">
        <v>163</v>
      </c>
      <c r="B166" s="15" t="s">
        <v>1356</v>
      </c>
      <c r="C166" s="16" t="s">
        <v>238</v>
      </c>
      <c r="D166" s="6" t="s">
        <v>6</v>
      </c>
      <c r="E166" s="6"/>
      <c r="F166" s="15" t="s">
        <v>7</v>
      </c>
      <c r="G166" s="6" t="s">
        <v>92</v>
      </c>
      <c r="H166" s="6" t="s">
        <v>117</v>
      </c>
      <c r="I166" s="6" t="s">
        <v>69</v>
      </c>
      <c r="J166" s="6" t="s">
        <v>70</v>
      </c>
      <c r="K166" s="6" t="s">
        <v>120</v>
      </c>
      <c r="L166" s="6" t="s">
        <v>119</v>
      </c>
      <c r="M166" s="6" t="s">
        <v>107</v>
      </c>
      <c r="N166" s="6">
        <v>0</v>
      </c>
      <c r="O166" s="6" t="s">
        <v>1911</v>
      </c>
      <c r="P166" s="6" t="s">
        <v>158</v>
      </c>
      <c r="Q166" s="6" t="s">
        <v>2431</v>
      </c>
      <c r="R166" s="6" t="s">
        <v>2432</v>
      </c>
      <c r="S166" s="6" t="s">
        <v>2161</v>
      </c>
      <c r="T166" s="6" t="s">
        <v>160</v>
      </c>
      <c r="U166" s="6"/>
      <c r="V166" s="15"/>
      <c r="W166" s="6"/>
      <c r="X166" s="15"/>
      <c r="Y166" s="15"/>
      <c r="Z166" s="15"/>
    </row>
    <row r="167" spans="1:26" ht="29.25" hidden="1" customHeight="1" x14ac:dyDescent="0.2">
      <c r="A167" s="67">
        <v>164</v>
      </c>
      <c r="B167" s="67" t="s">
        <v>2433</v>
      </c>
      <c r="C167" s="68" t="s">
        <v>2344</v>
      </c>
      <c r="D167" s="69" t="s">
        <v>6</v>
      </c>
      <c r="E167" s="69"/>
      <c r="F167" s="69" t="s">
        <v>7</v>
      </c>
      <c r="G167" s="69" t="s">
        <v>92</v>
      </c>
      <c r="H167" s="69" t="s">
        <v>218</v>
      </c>
      <c r="I167" s="70" t="s">
        <v>119</v>
      </c>
      <c r="J167" s="70" t="s">
        <v>107</v>
      </c>
      <c r="K167" s="69" t="s">
        <v>167</v>
      </c>
      <c r="L167" s="69" t="s">
        <v>119</v>
      </c>
      <c r="M167" s="67" t="s">
        <v>107</v>
      </c>
      <c r="N167" s="67" t="s">
        <v>429</v>
      </c>
      <c r="O167" s="67">
        <v>222</v>
      </c>
      <c r="P167" s="67"/>
      <c r="Q167" s="67">
        <v>202</v>
      </c>
      <c r="R167" s="67">
        <v>24</v>
      </c>
      <c r="S167" s="67" t="s">
        <v>2424</v>
      </c>
      <c r="T167" s="67" t="s">
        <v>160</v>
      </c>
      <c r="U167" s="69"/>
      <c r="V167" s="71"/>
      <c r="W167" s="72"/>
      <c r="X167" s="73"/>
      <c r="Y167" s="73"/>
      <c r="Z167" s="73"/>
    </row>
    <row r="168" spans="1:26" ht="29.25" hidden="1" customHeight="1" x14ac:dyDescent="0.2">
      <c r="A168" s="67">
        <v>300</v>
      </c>
      <c r="B168" s="67" t="s">
        <v>1513</v>
      </c>
      <c r="C168" s="68" t="s">
        <v>1664</v>
      </c>
      <c r="D168" s="69" t="s">
        <v>243</v>
      </c>
      <c r="E168" s="69" t="s">
        <v>172</v>
      </c>
      <c r="F168" s="69" t="s">
        <v>83</v>
      </c>
      <c r="G168" s="69" t="s">
        <v>92</v>
      </c>
      <c r="H168" s="69" t="s">
        <v>104</v>
      </c>
      <c r="I168" s="70" t="s">
        <v>119</v>
      </c>
      <c r="J168" s="70" t="s">
        <v>107</v>
      </c>
      <c r="K168" s="69" t="s">
        <v>108</v>
      </c>
      <c r="L168" s="69" t="s">
        <v>206</v>
      </c>
      <c r="M168" s="67" t="s">
        <v>107</v>
      </c>
      <c r="N168" s="67" t="s">
        <v>2418</v>
      </c>
      <c r="O168" s="67">
        <v>204</v>
      </c>
      <c r="P168" s="67"/>
      <c r="Q168" s="67">
        <v>132</v>
      </c>
      <c r="R168" s="67">
        <v>27</v>
      </c>
      <c r="S168" s="67" t="s">
        <v>2434</v>
      </c>
      <c r="T168" s="67" t="s">
        <v>160</v>
      </c>
      <c r="U168" s="69"/>
      <c r="V168" s="71"/>
      <c r="W168" s="72"/>
      <c r="X168" s="73"/>
      <c r="Y168" s="73"/>
      <c r="Z168" s="73"/>
    </row>
    <row r="169" spans="1:26" ht="29.25" hidden="1" customHeight="1" x14ac:dyDescent="0.2">
      <c r="A169" s="67">
        <v>112</v>
      </c>
      <c r="B169" s="67" t="s">
        <v>2435</v>
      </c>
      <c r="C169" s="68" t="s">
        <v>2436</v>
      </c>
      <c r="D169" s="69" t="s">
        <v>10</v>
      </c>
      <c r="E169" s="69" t="s">
        <v>172</v>
      </c>
      <c r="F169" s="69" t="s">
        <v>83</v>
      </c>
      <c r="G169" s="69" t="s">
        <v>92</v>
      </c>
      <c r="H169" s="69" t="s">
        <v>104</v>
      </c>
      <c r="I169" s="70" t="s">
        <v>119</v>
      </c>
      <c r="J169" s="70" t="s">
        <v>107</v>
      </c>
      <c r="K169" s="69" t="s">
        <v>402</v>
      </c>
      <c r="L169" s="69" t="s">
        <v>262</v>
      </c>
      <c r="M169" s="67" t="s">
        <v>70</v>
      </c>
      <c r="N169" s="67" t="s">
        <v>2437</v>
      </c>
      <c r="O169" s="67"/>
      <c r="P169" s="67"/>
      <c r="Q169" s="67"/>
      <c r="R169" s="67"/>
      <c r="S169" s="67"/>
      <c r="T169" s="67"/>
      <c r="U169" s="69"/>
      <c r="V169" s="71"/>
      <c r="W169" s="72"/>
      <c r="X169" s="73"/>
      <c r="Y169" s="73"/>
      <c r="Z169" s="73"/>
    </row>
    <row r="170" spans="1:26" ht="29.25" hidden="1" customHeight="1" x14ac:dyDescent="0.2">
      <c r="A170" s="15">
        <v>167</v>
      </c>
      <c r="B170" s="15" t="s">
        <v>1407</v>
      </c>
      <c r="C170" s="16" t="s">
        <v>2438</v>
      </c>
      <c r="D170" s="6"/>
      <c r="E170" s="6" t="s">
        <v>2147</v>
      </c>
      <c r="F170" s="15" t="s">
        <v>83</v>
      </c>
      <c r="G170" s="6" t="s">
        <v>92</v>
      </c>
      <c r="H170" s="6"/>
      <c r="I170" s="6"/>
      <c r="J170" s="6"/>
      <c r="K170" s="6"/>
      <c r="L170" s="6"/>
      <c r="M170" s="6"/>
      <c r="N170" s="6"/>
      <c r="O170" s="6"/>
      <c r="P170" s="6"/>
      <c r="Q170" s="6"/>
      <c r="R170" s="6"/>
      <c r="S170" s="6"/>
      <c r="T170" s="6"/>
      <c r="U170" s="6"/>
      <c r="V170" s="15"/>
      <c r="W170" s="6"/>
      <c r="X170" s="15"/>
      <c r="Y170" s="15"/>
      <c r="Z170" s="15"/>
    </row>
    <row r="171" spans="1:26" ht="29.25" hidden="1" customHeight="1" x14ac:dyDescent="0.2">
      <c r="A171" s="67">
        <v>168</v>
      </c>
      <c r="B171" s="67" t="s">
        <v>2239</v>
      </c>
      <c r="C171" s="68" t="s">
        <v>2439</v>
      </c>
      <c r="D171" s="69" t="s">
        <v>20</v>
      </c>
      <c r="E171" s="69" t="s">
        <v>192</v>
      </c>
      <c r="F171" s="69" t="s">
        <v>7</v>
      </c>
      <c r="G171" s="69" t="s">
        <v>2167</v>
      </c>
      <c r="H171" s="69" t="s">
        <v>140</v>
      </c>
      <c r="I171" s="70" t="s">
        <v>69</v>
      </c>
      <c r="J171" s="70" t="s">
        <v>70</v>
      </c>
      <c r="K171" s="69" t="s">
        <v>328</v>
      </c>
      <c r="L171" s="69" t="s">
        <v>69</v>
      </c>
      <c r="M171" s="67" t="s">
        <v>70</v>
      </c>
      <c r="N171" s="67"/>
      <c r="O171" s="67"/>
      <c r="P171" s="67"/>
      <c r="Q171" s="67"/>
      <c r="R171" s="67"/>
      <c r="S171" s="67"/>
      <c r="T171" s="67"/>
      <c r="U171" s="69"/>
      <c r="V171" s="71"/>
      <c r="W171" s="72"/>
      <c r="X171" s="73"/>
      <c r="Y171" s="73"/>
      <c r="Z171" s="73"/>
    </row>
    <row r="172" spans="1:26" ht="29.25" hidden="1" customHeight="1" x14ac:dyDescent="0.2">
      <c r="A172" s="15">
        <v>169</v>
      </c>
      <c r="B172" s="15" t="s">
        <v>2440</v>
      </c>
      <c r="C172" s="16" t="s">
        <v>2425</v>
      </c>
      <c r="D172" s="6" t="s">
        <v>6</v>
      </c>
      <c r="E172" s="6"/>
      <c r="F172" s="15" t="s">
        <v>7</v>
      </c>
      <c r="G172" s="6" t="s">
        <v>92</v>
      </c>
      <c r="H172" s="6" t="s">
        <v>155</v>
      </c>
      <c r="I172" s="6" t="s">
        <v>69</v>
      </c>
      <c r="J172" s="6" t="s">
        <v>70</v>
      </c>
      <c r="K172" s="6" t="s">
        <v>167</v>
      </c>
      <c r="L172" s="6" t="s">
        <v>119</v>
      </c>
      <c r="M172" s="6" t="s">
        <v>107</v>
      </c>
      <c r="N172" s="6">
        <v>0</v>
      </c>
      <c r="O172" s="6" t="s">
        <v>1762</v>
      </c>
      <c r="P172" s="6"/>
      <c r="Q172" s="6" t="s">
        <v>214</v>
      </c>
      <c r="R172" s="6" t="s">
        <v>2441</v>
      </c>
      <c r="S172" s="6" t="s">
        <v>2239</v>
      </c>
      <c r="T172" s="6" t="s">
        <v>160</v>
      </c>
      <c r="U172" s="6"/>
      <c r="V172" s="15"/>
      <c r="W172" s="6"/>
      <c r="X172" s="15"/>
      <c r="Y172" s="15"/>
      <c r="Z172" s="15"/>
    </row>
    <row r="173" spans="1:26" ht="29.25" hidden="1" customHeight="1" x14ac:dyDescent="0.2">
      <c r="A173" s="67">
        <v>170</v>
      </c>
      <c r="B173" s="67" t="s">
        <v>2048</v>
      </c>
      <c r="C173" s="68" t="s">
        <v>2045</v>
      </c>
      <c r="D173" s="69" t="s">
        <v>6</v>
      </c>
      <c r="E173" s="69"/>
      <c r="F173" s="69" t="s">
        <v>7</v>
      </c>
      <c r="G173" s="69" t="s">
        <v>92</v>
      </c>
      <c r="H173" s="69" t="s">
        <v>155</v>
      </c>
      <c r="I173" s="70" t="s">
        <v>119</v>
      </c>
      <c r="J173" s="70" t="s">
        <v>107</v>
      </c>
      <c r="K173" s="69" t="s">
        <v>170</v>
      </c>
      <c r="L173" s="69" t="s">
        <v>119</v>
      </c>
      <c r="M173" s="67" t="s">
        <v>107</v>
      </c>
      <c r="N173" s="67" t="s">
        <v>429</v>
      </c>
      <c r="O173" s="67">
        <v>210</v>
      </c>
      <c r="P173" s="67"/>
      <c r="Q173" s="67">
        <v>278</v>
      </c>
      <c r="R173" s="67">
        <v>16.8</v>
      </c>
      <c r="S173" s="67" t="s">
        <v>1407</v>
      </c>
      <c r="T173" s="67" t="s">
        <v>160</v>
      </c>
      <c r="U173" s="69"/>
      <c r="V173" s="71"/>
      <c r="W173" s="72"/>
      <c r="X173" s="73"/>
      <c r="Y173" s="73"/>
      <c r="Z173" s="73"/>
    </row>
    <row r="174" spans="1:26" ht="29.25" hidden="1" customHeight="1" x14ac:dyDescent="0.2">
      <c r="A174" s="15">
        <v>171</v>
      </c>
      <c r="B174" s="15" t="s">
        <v>2442</v>
      </c>
      <c r="C174" s="16" t="s">
        <v>2443</v>
      </c>
      <c r="D174" s="6" t="s">
        <v>9</v>
      </c>
      <c r="E174" s="6" t="s">
        <v>2285</v>
      </c>
      <c r="F174" s="15" t="s">
        <v>83</v>
      </c>
      <c r="G174" s="6" t="s">
        <v>92</v>
      </c>
      <c r="H174" s="6" t="s">
        <v>68</v>
      </c>
      <c r="I174" s="6" t="s">
        <v>69</v>
      </c>
      <c r="J174" s="6" t="s">
        <v>70</v>
      </c>
      <c r="K174" s="6" t="s">
        <v>332</v>
      </c>
      <c r="L174" s="6" t="s">
        <v>1477</v>
      </c>
      <c r="M174" s="6" t="s">
        <v>107</v>
      </c>
      <c r="N174" s="6" t="s">
        <v>2444</v>
      </c>
      <c r="O174" s="6"/>
      <c r="P174" s="6"/>
      <c r="Q174" s="6"/>
      <c r="R174" s="6"/>
      <c r="S174" s="6"/>
      <c r="T174" s="6"/>
      <c r="U174" s="6"/>
      <c r="V174" s="15"/>
      <c r="W174" s="6"/>
      <c r="X174" s="15"/>
      <c r="Y174" s="15"/>
      <c r="Z174" s="15"/>
    </row>
    <row r="175" spans="1:26" ht="29.25" hidden="1" customHeight="1" x14ac:dyDescent="0.2">
      <c r="A175" s="15">
        <v>43</v>
      </c>
      <c r="B175" s="15" t="s">
        <v>2445</v>
      </c>
      <c r="C175" s="16" t="s">
        <v>365</v>
      </c>
      <c r="D175" s="6" t="s">
        <v>20</v>
      </c>
      <c r="E175" s="6" t="s">
        <v>174</v>
      </c>
      <c r="F175" s="15" t="s">
        <v>83</v>
      </c>
      <c r="G175" s="6" t="s">
        <v>92</v>
      </c>
      <c r="H175" s="6" t="s">
        <v>117</v>
      </c>
      <c r="I175" s="6" t="s">
        <v>69</v>
      </c>
      <c r="J175" s="6" t="s">
        <v>70</v>
      </c>
      <c r="K175" s="6" t="s">
        <v>2446</v>
      </c>
      <c r="L175" s="6" t="s">
        <v>69</v>
      </c>
      <c r="M175" s="6" t="s">
        <v>70</v>
      </c>
      <c r="N175" s="6" t="s">
        <v>2447</v>
      </c>
      <c r="O175" s="6"/>
      <c r="P175" s="6"/>
      <c r="Q175" s="6"/>
      <c r="R175" s="6"/>
      <c r="S175" s="6"/>
      <c r="T175" s="6"/>
      <c r="U175" s="6"/>
      <c r="V175" s="15"/>
      <c r="W175" s="6"/>
      <c r="X175" s="15"/>
      <c r="Y175" s="15"/>
      <c r="Z175" s="15"/>
    </row>
    <row r="176" spans="1:26" ht="29.25" hidden="1" customHeight="1" x14ac:dyDescent="0.2">
      <c r="A176" s="15">
        <v>173</v>
      </c>
      <c r="B176" s="15" t="s">
        <v>2448</v>
      </c>
      <c r="C176" s="16" t="s">
        <v>2412</v>
      </c>
      <c r="D176" s="6" t="s">
        <v>19</v>
      </c>
      <c r="E176" s="6" t="s">
        <v>2285</v>
      </c>
      <c r="F176" s="15" t="s">
        <v>83</v>
      </c>
      <c r="G176" s="6" t="s">
        <v>92</v>
      </c>
      <c r="H176" s="6" t="s">
        <v>223</v>
      </c>
      <c r="I176" s="6" t="s">
        <v>69</v>
      </c>
      <c r="J176" s="6" t="s">
        <v>70</v>
      </c>
      <c r="K176" s="6" t="s">
        <v>965</v>
      </c>
      <c r="L176" s="6" t="s">
        <v>69</v>
      </c>
      <c r="M176" s="6" t="s">
        <v>70</v>
      </c>
      <c r="N176" s="6" t="s">
        <v>2411</v>
      </c>
      <c r="O176" s="6"/>
      <c r="P176" s="6"/>
      <c r="Q176" s="6"/>
      <c r="R176" s="6"/>
      <c r="S176" s="6"/>
      <c r="T176" s="6"/>
      <c r="U176" s="6"/>
      <c r="V176" s="15"/>
      <c r="W176" s="6"/>
      <c r="X176" s="15"/>
      <c r="Y176" s="15"/>
      <c r="Z176" s="15"/>
    </row>
    <row r="177" spans="1:26" ht="29.25" hidden="1" customHeight="1" x14ac:dyDescent="0.2">
      <c r="A177" s="67">
        <v>174</v>
      </c>
      <c r="B177" s="67" t="s">
        <v>2448</v>
      </c>
      <c r="C177" s="68" t="s">
        <v>2412</v>
      </c>
      <c r="D177" s="69" t="s">
        <v>19</v>
      </c>
      <c r="E177" s="69"/>
      <c r="F177" s="69" t="s">
        <v>7</v>
      </c>
      <c r="G177" s="69" t="s">
        <v>92</v>
      </c>
      <c r="H177" s="69" t="s">
        <v>334</v>
      </c>
      <c r="I177" s="70" t="s">
        <v>69</v>
      </c>
      <c r="J177" s="70" t="s">
        <v>70</v>
      </c>
      <c r="K177" s="69" t="s">
        <v>230</v>
      </c>
      <c r="L177" s="69" t="s">
        <v>69</v>
      </c>
      <c r="M177" s="67" t="s">
        <v>70</v>
      </c>
      <c r="N177" s="67" t="s">
        <v>429</v>
      </c>
      <c r="O177" s="67">
        <v>156</v>
      </c>
      <c r="P177" s="67"/>
      <c r="Q177" s="67">
        <v>99</v>
      </c>
      <c r="R177" s="67">
        <v>11</v>
      </c>
      <c r="S177" s="67" t="s">
        <v>2442</v>
      </c>
      <c r="T177" s="67" t="s">
        <v>111</v>
      </c>
      <c r="U177" s="69"/>
      <c r="V177" s="71"/>
      <c r="W177" s="72"/>
      <c r="X177" s="73"/>
      <c r="Y177" s="73"/>
      <c r="Z177" s="73"/>
    </row>
    <row r="178" spans="1:26" ht="29.25" hidden="1" customHeight="1" x14ac:dyDescent="0.2">
      <c r="A178" s="15">
        <v>175</v>
      </c>
      <c r="B178" s="15" t="s">
        <v>1219</v>
      </c>
      <c r="C178" s="16" t="s">
        <v>1216</v>
      </c>
      <c r="D178" s="6" t="s">
        <v>243</v>
      </c>
      <c r="E178" s="6" t="s">
        <v>2147</v>
      </c>
      <c r="F178" s="15" t="s">
        <v>83</v>
      </c>
      <c r="G178" s="6" t="s">
        <v>92</v>
      </c>
      <c r="H178" s="6" t="s">
        <v>117</v>
      </c>
      <c r="I178" s="6" t="s">
        <v>119</v>
      </c>
      <c r="J178" s="6" t="s">
        <v>107</v>
      </c>
      <c r="K178" s="6" t="s">
        <v>470</v>
      </c>
      <c r="L178" s="6" t="s">
        <v>119</v>
      </c>
      <c r="M178" s="6" t="s">
        <v>107</v>
      </c>
      <c r="N178" s="6" t="s">
        <v>1278</v>
      </c>
      <c r="O178" s="6"/>
      <c r="P178" s="6"/>
      <c r="Q178" s="6"/>
      <c r="R178" s="6"/>
      <c r="S178" s="6"/>
      <c r="T178" s="6"/>
      <c r="U178" s="6"/>
      <c r="V178" s="15"/>
      <c r="W178" s="6"/>
      <c r="X178" s="15"/>
      <c r="Y178" s="15"/>
      <c r="Z178" s="15"/>
    </row>
    <row r="179" spans="1:26" ht="29.25" hidden="1" customHeight="1" x14ac:dyDescent="0.2">
      <c r="A179" s="67">
        <v>176</v>
      </c>
      <c r="B179" s="67" t="s">
        <v>1090</v>
      </c>
      <c r="C179" s="68" t="s">
        <v>1216</v>
      </c>
      <c r="D179" s="69" t="s">
        <v>243</v>
      </c>
      <c r="E179" s="69"/>
      <c r="F179" s="69" t="s">
        <v>7</v>
      </c>
      <c r="G179" s="69" t="s">
        <v>92</v>
      </c>
      <c r="H179" s="69" t="s">
        <v>117</v>
      </c>
      <c r="I179" s="70" t="s">
        <v>69</v>
      </c>
      <c r="J179" s="70" t="s">
        <v>70</v>
      </c>
      <c r="K179" s="69" t="s">
        <v>470</v>
      </c>
      <c r="L179" s="69" t="s">
        <v>69</v>
      </c>
      <c r="M179" s="67" t="s">
        <v>70</v>
      </c>
      <c r="N179" s="67" t="s">
        <v>429</v>
      </c>
      <c r="O179" s="67">
        <v>114</v>
      </c>
      <c r="P179" s="67"/>
      <c r="Q179" s="67">
        <v>113</v>
      </c>
      <c r="R179" s="67">
        <v>27</v>
      </c>
      <c r="S179" s="67" t="s">
        <v>1219</v>
      </c>
      <c r="T179" s="67" t="s">
        <v>160</v>
      </c>
      <c r="U179" s="69"/>
      <c r="V179" s="71"/>
      <c r="W179" s="72"/>
      <c r="X179" s="73"/>
      <c r="Y179" s="73"/>
      <c r="Z179" s="73"/>
    </row>
    <row r="180" spans="1:26" ht="29.25" hidden="1" customHeight="1" x14ac:dyDescent="0.2">
      <c r="A180" s="15">
        <v>177</v>
      </c>
      <c r="B180" s="15" t="s">
        <v>1089</v>
      </c>
      <c r="C180" s="16" t="s">
        <v>1086</v>
      </c>
      <c r="D180" s="6" t="s">
        <v>9</v>
      </c>
      <c r="E180" s="6"/>
      <c r="F180" s="15" t="s">
        <v>7</v>
      </c>
      <c r="G180" s="6" t="s">
        <v>92</v>
      </c>
      <c r="H180" s="6" t="s">
        <v>155</v>
      </c>
      <c r="I180" s="6" t="s">
        <v>119</v>
      </c>
      <c r="J180" s="6" t="s">
        <v>107</v>
      </c>
      <c r="K180" s="6" t="s">
        <v>156</v>
      </c>
      <c r="L180" s="6" t="s">
        <v>119</v>
      </c>
      <c r="M180" s="6" t="s">
        <v>107</v>
      </c>
      <c r="N180" s="6" t="s">
        <v>429</v>
      </c>
      <c r="O180" s="6" t="s">
        <v>1957</v>
      </c>
      <c r="P180" s="6" t="s">
        <v>158</v>
      </c>
      <c r="Q180" s="6" t="s">
        <v>1738</v>
      </c>
      <c r="R180" s="6" t="s">
        <v>226</v>
      </c>
      <c r="S180" s="6" t="s">
        <v>1090</v>
      </c>
      <c r="T180" s="6" t="s">
        <v>160</v>
      </c>
      <c r="U180" s="6"/>
      <c r="V180" s="15"/>
      <c r="W180" s="6"/>
      <c r="X180" s="15"/>
      <c r="Y180" s="15"/>
      <c r="Z180" s="15"/>
    </row>
    <row r="181" spans="1:26" ht="29.25" hidden="1" customHeight="1" x14ac:dyDescent="0.2">
      <c r="A181" s="67">
        <v>178</v>
      </c>
      <c r="B181" s="67" t="s">
        <v>2449</v>
      </c>
      <c r="C181" s="68" t="s">
        <v>2450</v>
      </c>
      <c r="D181" s="69" t="s">
        <v>6</v>
      </c>
      <c r="E181" s="69" t="s">
        <v>2147</v>
      </c>
      <c r="F181" s="69" t="s">
        <v>83</v>
      </c>
      <c r="G181" s="69" t="s">
        <v>92</v>
      </c>
      <c r="H181" s="69" t="s">
        <v>218</v>
      </c>
      <c r="I181" s="70" t="s">
        <v>1477</v>
      </c>
      <c r="J181" s="70" t="s">
        <v>107</v>
      </c>
      <c r="K181" s="69" t="s">
        <v>453</v>
      </c>
      <c r="L181" s="69" t="s">
        <v>1477</v>
      </c>
      <c r="M181" s="67" t="s">
        <v>107</v>
      </c>
      <c r="N181" s="67" t="s">
        <v>2451</v>
      </c>
      <c r="O181" s="67"/>
      <c r="P181" s="67"/>
      <c r="Q181" s="67"/>
      <c r="R181" s="67"/>
      <c r="S181" s="67"/>
      <c r="T181" s="67"/>
      <c r="U181" s="69"/>
      <c r="V181" s="71"/>
      <c r="W181" s="72"/>
      <c r="X181" s="73"/>
      <c r="Y181" s="73"/>
      <c r="Z181" s="73"/>
    </row>
    <row r="182" spans="1:26" ht="29.25" hidden="1" customHeight="1" x14ac:dyDescent="0.2">
      <c r="A182" s="15">
        <v>179</v>
      </c>
      <c r="B182" s="15" t="s">
        <v>2452</v>
      </c>
      <c r="C182" s="16" t="s">
        <v>88</v>
      </c>
      <c r="D182" s="6" t="s">
        <v>9</v>
      </c>
      <c r="E182" s="6" t="s">
        <v>2147</v>
      </c>
      <c r="F182" s="15" t="s">
        <v>83</v>
      </c>
      <c r="G182" s="6" t="s">
        <v>92</v>
      </c>
      <c r="H182" s="6" t="s">
        <v>104</v>
      </c>
      <c r="I182" s="6" t="s">
        <v>69</v>
      </c>
      <c r="J182" s="6" t="s">
        <v>70</v>
      </c>
      <c r="K182" s="6" t="s">
        <v>361</v>
      </c>
      <c r="L182" s="6" t="s">
        <v>119</v>
      </c>
      <c r="M182" s="6" t="s">
        <v>107</v>
      </c>
      <c r="N182" s="6" t="s">
        <v>501</v>
      </c>
      <c r="O182" s="6"/>
      <c r="P182" s="6"/>
      <c r="Q182" s="6"/>
      <c r="R182" s="6"/>
      <c r="S182" s="6"/>
      <c r="T182" s="6"/>
      <c r="U182" s="6"/>
      <c r="V182" s="15"/>
      <c r="W182" s="6"/>
      <c r="X182" s="15"/>
      <c r="Y182" s="15"/>
      <c r="Z182" s="15"/>
    </row>
    <row r="183" spans="1:26" ht="29.25" hidden="1" customHeight="1" x14ac:dyDescent="0.2">
      <c r="A183" s="67">
        <v>180</v>
      </c>
      <c r="B183" s="67" t="s">
        <v>1285</v>
      </c>
      <c r="C183" s="68" t="s">
        <v>1764</v>
      </c>
      <c r="D183" s="69" t="s">
        <v>10</v>
      </c>
      <c r="E183" s="69" t="s">
        <v>2147</v>
      </c>
      <c r="F183" s="69" t="s">
        <v>83</v>
      </c>
      <c r="G183" s="69" t="s">
        <v>92</v>
      </c>
      <c r="H183" s="69" t="s">
        <v>155</v>
      </c>
      <c r="I183" s="70" t="s">
        <v>262</v>
      </c>
      <c r="J183" s="70" t="s">
        <v>70</v>
      </c>
      <c r="K183" s="69" t="s">
        <v>324</v>
      </c>
      <c r="L183" s="69" t="s">
        <v>69</v>
      </c>
      <c r="M183" s="67" t="s">
        <v>107</v>
      </c>
      <c r="N183" s="67" t="s">
        <v>2453</v>
      </c>
      <c r="O183" s="67"/>
      <c r="P183" s="67"/>
      <c r="Q183" s="67"/>
      <c r="R183" s="67"/>
      <c r="S183" s="67"/>
      <c r="T183" s="67"/>
      <c r="U183" s="69"/>
      <c r="V183" s="71"/>
      <c r="W183" s="72"/>
      <c r="X183" s="73"/>
      <c r="Y183" s="73"/>
      <c r="Z183" s="73"/>
    </row>
    <row r="184" spans="1:26" ht="29.25" hidden="1" customHeight="1" x14ac:dyDescent="0.2">
      <c r="A184" s="15">
        <v>181</v>
      </c>
      <c r="B184" s="15" t="s">
        <v>2454</v>
      </c>
      <c r="C184" s="16" t="s">
        <v>2455</v>
      </c>
      <c r="D184" s="6" t="s">
        <v>66</v>
      </c>
      <c r="E184" s="6" t="s">
        <v>2147</v>
      </c>
      <c r="F184" s="15" t="s">
        <v>83</v>
      </c>
      <c r="G184" s="6" t="s">
        <v>92</v>
      </c>
      <c r="H184" s="6"/>
      <c r="I184" s="6"/>
      <c r="J184" s="6"/>
      <c r="K184" s="6"/>
      <c r="L184" s="6"/>
      <c r="M184" s="6"/>
      <c r="N184" s="6" t="s">
        <v>429</v>
      </c>
      <c r="O184" s="6"/>
      <c r="P184" s="6"/>
      <c r="Q184" s="6"/>
      <c r="R184" s="6"/>
      <c r="S184" s="6"/>
      <c r="T184" s="6"/>
      <c r="U184" s="6"/>
      <c r="V184" s="15"/>
      <c r="W184" s="6"/>
      <c r="X184" s="15"/>
      <c r="Y184" s="15"/>
      <c r="Z184" s="15"/>
    </row>
    <row r="185" spans="1:26" ht="29.25" hidden="1" customHeight="1" x14ac:dyDescent="0.2">
      <c r="A185" s="67">
        <v>182</v>
      </c>
      <c r="B185" s="67" t="s">
        <v>2454</v>
      </c>
      <c r="C185" s="68" t="s">
        <v>2455</v>
      </c>
      <c r="D185" s="69" t="s">
        <v>66</v>
      </c>
      <c r="E185" s="69"/>
      <c r="F185" s="69" t="s">
        <v>7</v>
      </c>
      <c r="G185" s="69" t="s">
        <v>92</v>
      </c>
      <c r="H185" s="69" t="s">
        <v>116</v>
      </c>
      <c r="I185" s="70" t="s">
        <v>69</v>
      </c>
      <c r="J185" s="70" t="s">
        <v>70</v>
      </c>
      <c r="K185" s="69" t="s">
        <v>1498</v>
      </c>
      <c r="L185" s="69" t="s">
        <v>69</v>
      </c>
      <c r="M185" s="67" t="s">
        <v>70</v>
      </c>
      <c r="N185" s="67">
        <v>0</v>
      </c>
      <c r="O185" s="67"/>
      <c r="P185" s="67"/>
      <c r="Q185" s="67"/>
      <c r="R185" s="67"/>
      <c r="S185" s="67"/>
      <c r="T185" s="67"/>
      <c r="U185" s="69"/>
      <c r="V185" s="71"/>
      <c r="W185" s="72"/>
      <c r="X185" s="73"/>
      <c r="Y185" s="73"/>
      <c r="Z185" s="73"/>
    </row>
    <row r="186" spans="1:26" ht="29.25" hidden="1" customHeight="1" x14ac:dyDescent="0.2">
      <c r="A186" s="15">
        <v>183</v>
      </c>
      <c r="B186" s="15" t="s">
        <v>2120</v>
      </c>
      <c r="C186" s="16" t="s">
        <v>2117</v>
      </c>
      <c r="D186" s="6" t="s">
        <v>66</v>
      </c>
      <c r="E186" s="6" t="s">
        <v>922</v>
      </c>
      <c r="F186" s="15" t="s">
        <v>83</v>
      </c>
      <c r="G186" s="6" t="s">
        <v>2167</v>
      </c>
      <c r="H186" s="6"/>
      <c r="I186" s="6"/>
      <c r="J186" s="6"/>
      <c r="K186" s="6"/>
      <c r="L186" s="6"/>
      <c r="M186" s="6"/>
      <c r="N186" s="6" t="s">
        <v>2326</v>
      </c>
      <c r="O186" s="6"/>
      <c r="P186" s="6"/>
      <c r="Q186" s="6"/>
      <c r="R186" s="6"/>
      <c r="S186" s="6"/>
      <c r="T186" s="6"/>
      <c r="U186" s="6"/>
      <c r="V186" s="15"/>
      <c r="W186" s="6"/>
      <c r="X186" s="15"/>
      <c r="Y186" s="15"/>
      <c r="Z186" s="15"/>
    </row>
    <row r="187" spans="1:26" ht="29.25" hidden="1" customHeight="1" x14ac:dyDescent="0.2">
      <c r="A187" s="67">
        <v>184</v>
      </c>
      <c r="B187" s="67" t="s">
        <v>2120</v>
      </c>
      <c r="C187" s="68" t="s">
        <v>2117</v>
      </c>
      <c r="D187" s="69" t="s">
        <v>9</v>
      </c>
      <c r="E187" s="69"/>
      <c r="F187" s="69" t="s">
        <v>7</v>
      </c>
      <c r="G187" s="69" t="s">
        <v>2167</v>
      </c>
      <c r="H187" s="69" t="s">
        <v>117</v>
      </c>
      <c r="I187" s="70" t="s">
        <v>69</v>
      </c>
      <c r="J187" s="70" t="s">
        <v>70</v>
      </c>
      <c r="K187" s="69" t="s">
        <v>125</v>
      </c>
      <c r="L187" s="69" t="s">
        <v>69</v>
      </c>
      <c r="M187" s="67" t="s">
        <v>70</v>
      </c>
      <c r="N187" s="67">
        <v>0</v>
      </c>
      <c r="O187" s="67">
        <v>162</v>
      </c>
      <c r="P187" s="67" t="s">
        <v>158</v>
      </c>
      <c r="Q187" s="67">
        <v>180</v>
      </c>
      <c r="R187" s="67">
        <v>13</v>
      </c>
      <c r="S187" s="67" t="s">
        <v>2120</v>
      </c>
      <c r="T187" s="67" t="s">
        <v>111</v>
      </c>
      <c r="U187" s="69"/>
      <c r="V187" s="71"/>
      <c r="W187" s="72"/>
      <c r="X187" s="73"/>
      <c r="Y187" s="73"/>
      <c r="Z187" s="73"/>
    </row>
    <row r="188" spans="1:26" ht="29.25" hidden="1" customHeight="1" x14ac:dyDescent="0.2">
      <c r="A188" s="15">
        <v>185</v>
      </c>
      <c r="B188" s="15" t="s">
        <v>2120</v>
      </c>
      <c r="C188" s="16" t="s">
        <v>2456</v>
      </c>
      <c r="D188" s="6" t="s">
        <v>66</v>
      </c>
      <c r="E188" s="6" t="s">
        <v>192</v>
      </c>
      <c r="F188" s="15" t="s">
        <v>7</v>
      </c>
      <c r="G188" s="6" t="s">
        <v>92</v>
      </c>
      <c r="H188" s="6" t="s">
        <v>2457</v>
      </c>
      <c r="I188" s="6" t="s">
        <v>119</v>
      </c>
      <c r="J188" s="6" t="s">
        <v>107</v>
      </c>
      <c r="K188" s="6" t="s">
        <v>227</v>
      </c>
      <c r="L188" s="6" t="s">
        <v>69</v>
      </c>
      <c r="M188" s="6" t="s">
        <v>70</v>
      </c>
      <c r="N188" s="6">
        <v>0</v>
      </c>
      <c r="O188" s="6"/>
      <c r="P188" s="6"/>
      <c r="Q188" s="6"/>
      <c r="R188" s="6"/>
      <c r="S188" s="6"/>
      <c r="T188" s="6"/>
      <c r="U188" s="6"/>
      <c r="V188" s="15"/>
      <c r="W188" s="6"/>
      <c r="X188" s="15"/>
      <c r="Y188" s="15"/>
      <c r="Z188" s="15"/>
    </row>
    <row r="189" spans="1:26" ht="29.25" hidden="1" customHeight="1" x14ac:dyDescent="0.2">
      <c r="A189" s="15">
        <v>251</v>
      </c>
      <c r="B189" s="15" t="s">
        <v>2458</v>
      </c>
      <c r="C189" s="16" t="s">
        <v>439</v>
      </c>
      <c r="D189" s="6" t="s">
        <v>10</v>
      </c>
      <c r="E189" s="6" t="s">
        <v>2147</v>
      </c>
      <c r="F189" s="15" t="s">
        <v>83</v>
      </c>
      <c r="G189" s="6" t="s">
        <v>92</v>
      </c>
      <c r="H189" s="6" t="s">
        <v>68</v>
      </c>
      <c r="I189" s="6" t="s">
        <v>119</v>
      </c>
      <c r="J189" s="6" t="s">
        <v>107</v>
      </c>
      <c r="K189" s="6" t="s">
        <v>263</v>
      </c>
      <c r="L189" s="6" t="s">
        <v>119</v>
      </c>
      <c r="M189" s="6" t="s">
        <v>107</v>
      </c>
      <c r="N189" s="6" t="s">
        <v>2459</v>
      </c>
      <c r="O189" s="6"/>
      <c r="P189" s="6"/>
      <c r="Q189" s="6"/>
      <c r="R189" s="6"/>
      <c r="S189" s="6"/>
      <c r="T189" s="6"/>
      <c r="U189" s="6"/>
      <c r="V189" s="15"/>
      <c r="W189" s="6"/>
      <c r="X189" s="15"/>
      <c r="Y189" s="15"/>
      <c r="Z189" s="15"/>
    </row>
    <row r="190" spans="1:26" ht="29.25" hidden="1" customHeight="1" x14ac:dyDescent="0.2">
      <c r="A190" s="15">
        <v>187</v>
      </c>
      <c r="B190" s="15" t="s">
        <v>2460</v>
      </c>
      <c r="C190" s="16" t="s">
        <v>2450</v>
      </c>
      <c r="D190" s="6" t="s">
        <v>6</v>
      </c>
      <c r="E190" s="6"/>
      <c r="F190" s="15" t="s">
        <v>7</v>
      </c>
      <c r="G190" s="6" t="s">
        <v>92</v>
      </c>
      <c r="H190" s="6" t="s">
        <v>218</v>
      </c>
      <c r="I190" s="6" t="s">
        <v>142</v>
      </c>
      <c r="J190" s="6" t="s">
        <v>107</v>
      </c>
      <c r="K190" s="6" t="s">
        <v>453</v>
      </c>
      <c r="L190" s="6" t="s">
        <v>119</v>
      </c>
      <c r="M190" s="6" t="s">
        <v>107</v>
      </c>
      <c r="N190" s="6">
        <v>0</v>
      </c>
      <c r="O190" s="6" t="s">
        <v>275</v>
      </c>
      <c r="P190" s="6"/>
      <c r="Q190" s="6" t="s">
        <v>2461</v>
      </c>
      <c r="R190" s="6" t="s">
        <v>2269</v>
      </c>
      <c r="S190" s="6" t="s">
        <v>2462</v>
      </c>
      <c r="T190" s="6" t="s">
        <v>160</v>
      </c>
      <c r="U190" s="6"/>
      <c r="V190" s="15"/>
      <c r="W190" s="6"/>
      <c r="X190" s="15"/>
      <c r="Y190" s="15"/>
      <c r="Z190" s="15"/>
    </row>
    <row r="191" spans="1:26" ht="29.25" hidden="1" customHeight="1" x14ac:dyDescent="0.2">
      <c r="A191" s="67">
        <v>188</v>
      </c>
      <c r="B191" s="67" t="s">
        <v>2463</v>
      </c>
      <c r="C191" s="68" t="s">
        <v>2464</v>
      </c>
      <c r="D191" s="69" t="s">
        <v>6</v>
      </c>
      <c r="E191" s="69" t="s">
        <v>2147</v>
      </c>
      <c r="F191" s="69" t="s">
        <v>83</v>
      </c>
      <c r="G191" s="69" t="s">
        <v>92</v>
      </c>
      <c r="H191" s="69" t="s">
        <v>155</v>
      </c>
      <c r="I191" s="70" t="s">
        <v>206</v>
      </c>
      <c r="J191" s="70" t="s">
        <v>107</v>
      </c>
      <c r="K191" s="69" t="s">
        <v>324</v>
      </c>
      <c r="L191" s="69" t="s">
        <v>206</v>
      </c>
      <c r="M191" s="67" t="s">
        <v>107</v>
      </c>
      <c r="N191" s="67" t="s">
        <v>2465</v>
      </c>
      <c r="O191" s="67"/>
      <c r="P191" s="67"/>
      <c r="Q191" s="67"/>
      <c r="R191" s="67"/>
      <c r="S191" s="67"/>
      <c r="T191" s="67"/>
      <c r="U191" s="69"/>
      <c r="V191" s="71"/>
      <c r="W191" s="72"/>
      <c r="X191" s="73"/>
      <c r="Y191" s="73"/>
      <c r="Z191" s="73"/>
    </row>
    <row r="192" spans="1:26" ht="29.25" hidden="1" customHeight="1" x14ac:dyDescent="0.2">
      <c r="A192" s="15">
        <v>189</v>
      </c>
      <c r="B192" s="15" t="s">
        <v>2466</v>
      </c>
      <c r="C192" s="16" t="s">
        <v>2467</v>
      </c>
      <c r="D192" s="6" t="s">
        <v>243</v>
      </c>
      <c r="E192" s="6" t="s">
        <v>2285</v>
      </c>
      <c r="F192" s="15" t="s">
        <v>83</v>
      </c>
      <c r="G192" s="6" t="s">
        <v>92</v>
      </c>
      <c r="H192" s="6" t="s">
        <v>68</v>
      </c>
      <c r="I192" s="6" t="s">
        <v>69</v>
      </c>
      <c r="J192" s="6" t="s">
        <v>70</v>
      </c>
      <c r="K192" s="6" t="s">
        <v>804</v>
      </c>
      <c r="L192" s="6" t="s">
        <v>444</v>
      </c>
      <c r="M192" s="6" t="s">
        <v>107</v>
      </c>
      <c r="N192" s="6" t="s">
        <v>2468</v>
      </c>
      <c r="O192" s="6"/>
      <c r="P192" s="6"/>
      <c r="Q192" s="6"/>
      <c r="R192" s="6"/>
      <c r="S192" s="6"/>
      <c r="T192" s="6"/>
      <c r="U192" s="6"/>
      <c r="V192" s="15"/>
      <c r="W192" s="6"/>
      <c r="X192" s="15"/>
      <c r="Y192" s="15"/>
      <c r="Z192" s="15" t="s">
        <v>2469</v>
      </c>
    </row>
    <row r="193" spans="1:26" ht="29.25" hidden="1" customHeight="1" x14ac:dyDescent="0.2">
      <c r="A193" s="67">
        <v>190</v>
      </c>
      <c r="B193" s="67" t="s">
        <v>2470</v>
      </c>
      <c r="C193" s="68" t="s">
        <v>2399</v>
      </c>
      <c r="D193" s="69" t="s">
        <v>66</v>
      </c>
      <c r="E193" s="69" t="s">
        <v>2285</v>
      </c>
      <c r="F193" s="69" t="s">
        <v>83</v>
      </c>
      <c r="G193" s="69" t="s">
        <v>2167</v>
      </c>
      <c r="H193" s="69" t="s">
        <v>334</v>
      </c>
      <c r="I193" s="70" t="s">
        <v>142</v>
      </c>
      <c r="J193" s="70" t="s">
        <v>70</v>
      </c>
      <c r="K193" s="69" t="s">
        <v>1013</v>
      </c>
      <c r="L193" s="69" t="s">
        <v>119</v>
      </c>
      <c r="M193" s="67" t="s">
        <v>107</v>
      </c>
      <c r="N193" s="67" t="s">
        <v>2398</v>
      </c>
      <c r="O193" s="67"/>
      <c r="P193" s="67"/>
      <c r="Q193" s="67"/>
      <c r="R193" s="67"/>
      <c r="S193" s="67"/>
      <c r="T193" s="67"/>
      <c r="U193" s="69"/>
      <c r="V193" s="71"/>
      <c r="W193" s="72"/>
      <c r="X193" s="73"/>
      <c r="Y193" s="73"/>
      <c r="Z193" s="73" t="s">
        <v>2471</v>
      </c>
    </row>
    <row r="194" spans="1:26" ht="29.25" hidden="1" customHeight="1" x14ac:dyDescent="0.2">
      <c r="A194" s="15">
        <v>191</v>
      </c>
      <c r="B194" s="15" t="s">
        <v>2470</v>
      </c>
      <c r="C194" s="16" t="s">
        <v>2399</v>
      </c>
      <c r="D194" s="6" t="s">
        <v>66</v>
      </c>
      <c r="E194" s="6"/>
      <c r="F194" s="15" t="s">
        <v>7</v>
      </c>
      <c r="G194" s="6" t="s">
        <v>2167</v>
      </c>
      <c r="H194" s="6" t="s">
        <v>223</v>
      </c>
      <c r="I194" s="6" t="s">
        <v>69</v>
      </c>
      <c r="J194" s="6" t="s">
        <v>70</v>
      </c>
      <c r="K194" s="6" t="s">
        <v>224</v>
      </c>
      <c r="L194" s="6" t="s">
        <v>69</v>
      </c>
      <c r="M194" s="6" t="s">
        <v>70</v>
      </c>
      <c r="N194" s="6">
        <v>0</v>
      </c>
      <c r="O194" s="6"/>
      <c r="P194" s="6"/>
      <c r="Q194" s="6"/>
      <c r="R194" s="6"/>
      <c r="S194" s="6"/>
      <c r="T194" s="6"/>
      <c r="U194" s="6"/>
      <c r="V194" s="15"/>
      <c r="W194" s="6"/>
      <c r="X194" s="15"/>
      <c r="Y194" s="15"/>
      <c r="Z194" s="15"/>
    </row>
    <row r="195" spans="1:26" s="21" customFormat="1" ht="29.25" hidden="1" customHeight="1" x14ac:dyDescent="0.2">
      <c r="A195" s="67">
        <v>192</v>
      </c>
      <c r="B195" s="67" t="s">
        <v>2470</v>
      </c>
      <c r="C195" s="68" t="s">
        <v>2334</v>
      </c>
      <c r="D195" s="69" t="s">
        <v>243</v>
      </c>
      <c r="E195" s="69"/>
      <c r="F195" s="69" t="s">
        <v>7</v>
      </c>
      <c r="G195" s="69" t="s">
        <v>92</v>
      </c>
      <c r="H195" s="69" t="s">
        <v>155</v>
      </c>
      <c r="I195" s="70" t="s">
        <v>119</v>
      </c>
      <c r="J195" s="70" t="s">
        <v>107</v>
      </c>
      <c r="K195" s="69" t="s">
        <v>324</v>
      </c>
      <c r="L195" s="69" t="s">
        <v>119</v>
      </c>
      <c r="M195" s="67" t="s">
        <v>107</v>
      </c>
      <c r="N195" s="67">
        <v>0</v>
      </c>
      <c r="O195" s="67">
        <v>138</v>
      </c>
      <c r="P195" s="67" t="s">
        <v>158</v>
      </c>
      <c r="Q195" s="67">
        <v>171</v>
      </c>
      <c r="R195" s="67">
        <v>27</v>
      </c>
      <c r="S195" s="67" t="s">
        <v>2466</v>
      </c>
      <c r="T195" s="67" t="s">
        <v>111</v>
      </c>
      <c r="U195" s="69"/>
      <c r="V195" s="71"/>
      <c r="W195" s="72"/>
      <c r="X195" s="73"/>
      <c r="Y195" s="73"/>
      <c r="Z195" s="73"/>
    </row>
    <row r="196" spans="1:26" ht="29.25" hidden="1" customHeight="1" x14ac:dyDescent="0.2">
      <c r="A196" s="15">
        <v>193</v>
      </c>
      <c r="B196" s="15" t="s">
        <v>2472</v>
      </c>
      <c r="C196" s="16" t="s">
        <v>1739</v>
      </c>
      <c r="D196" s="6" t="s">
        <v>20</v>
      </c>
      <c r="E196" s="6" t="s">
        <v>2473</v>
      </c>
      <c r="F196" s="15" t="s">
        <v>222</v>
      </c>
      <c r="G196" s="6" t="s">
        <v>92</v>
      </c>
      <c r="H196" s="6" t="s">
        <v>155</v>
      </c>
      <c r="I196" s="6" t="s">
        <v>444</v>
      </c>
      <c r="J196" s="6" t="s">
        <v>107</v>
      </c>
      <c r="K196" s="6" t="s">
        <v>324</v>
      </c>
      <c r="L196" s="6" t="s">
        <v>444</v>
      </c>
      <c r="M196" s="6" t="s">
        <v>107</v>
      </c>
      <c r="N196" s="6" t="s">
        <v>2474</v>
      </c>
      <c r="O196" s="6"/>
      <c r="P196" s="6"/>
      <c r="Q196" s="6"/>
      <c r="R196" s="6"/>
      <c r="S196" s="6"/>
      <c r="T196" s="6"/>
      <c r="U196" s="6"/>
      <c r="V196" s="15"/>
      <c r="W196" s="6"/>
      <c r="X196" s="15"/>
      <c r="Y196" s="15"/>
      <c r="Z196" s="15" t="s">
        <v>2475</v>
      </c>
    </row>
    <row r="197" spans="1:26" ht="29.25" hidden="1" customHeight="1" x14ac:dyDescent="0.2">
      <c r="A197" s="67">
        <v>194</v>
      </c>
      <c r="B197" s="67" t="s">
        <v>2220</v>
      </c>
      <c r="C197" s="68" t="s">
        <v>2217</v>
      </c>
      <c r="D197" s="69" t="s">
        <v>6</v>
      </c>
      <c r="E197" s="69"/>
      <c r="F197" s="69" t="s">
        <v>7</v>
      </c>
      <c r="G197" s="69" t="s">
        <v>92</v>
      </c>
      <c r="H197" s="69" t="s">
        <v>104</v>
      </c>
      <c r="I197" s="70" t="s">
        <v>119</v>
      </c>
      <c r="J197" s="70" t="s">
        <v>107</v>
      </c>
      <c r="K197" s="69" t="s">
        <v>361</v>
      </c>
      <c r="L197" s="69" t="s">
        <v>142</v>
      </c>
      <c r="M197" s="67" t="s">
        <v>70</v>
      </c>
      <c r="N197" s="67">
        <v>0</v>
      </c>
      <c r="O197" s="67">
        <v>214</v>
      </c>
      <c r="P197" s="67" t="s">
        <v>158</v>
      </c>
      <c r="Q197" s="67">
        <v>201</v>
      </c>
      <c r="R197" s="67">
        <v>17</v>
      </c>
      <c r="S197" s="67" t="s">
        <v>2476</v>
      </c>
      <c r="T197" s="67" t="s">
        <v>160</v>
      </c>
      <c r="U197" s="69"/>
      <c r="V197" s="71"/>
      <c r="W197" s="72"/>
      <c r="X197" s="73"/>
      <c r="Y197" s="73"/>
      <c r="Z197" s="73"/>
    </row>
    <row r="198" spans="1:26" ht="29.25" hidden="1" customHeight="1" x14ac:dyDescent="0.2">
      <c r="A198" s="15">
        <v>195</v>
      </c>
      <c r="B198" s="15" t="s">
        <v>2477</v>
      </c>
      <c r="C198" s="16" t="s">
        <v>86</v>
      </c>
      <c r="D198" s="6" t="s">
        <v>8</v>
      </c>
      <c r="E198" s="6" t="s">
        <v>2147</v>
      </c>
      <c r="F198" s="15" t="s">
        <v>83</v>
      </c>
      <c r="G198" s="6" t="s">
        <v>92</v>
      </c>
      <c r="H198" s="6" t="s">
        <v>117</v>
      </c>
      <c r="I198" s="6" t="s">
        <v>119</v>
      </c>
      <c r="J198" s="6" t="s">
        <v>107</v>
      </c>
      <c r="K198" s="6" t="s">
        <v>120</v>
      </c>
      <c r="L198" s="6" t="s">
        <v>119</v>
      </c>
      <c r="M198" s="6" t="s">
        <v>107</v>
      </c>
      <c r="N198" s="6" t="s">
        <v>2392</v>
      </c>
      <c r="O198" s="6"/>
      <c r="P198" s="6"/>
      <c r="Q198" s="6"/>
      <c r="R198" s="6"/>
      <c r="S198" s="6"/>
      <c r="T198" s="6"/>
      <c r="U198" s="6"/>
      <c r="V198" s="15"/>
      <c r="W198" s="6"/>
      <c r="X198" s="15"/>
      <c r="Y198" s="15"/>
      <c r="Z198" s="15"/>
    </row>
    <row r="199" spans="1:26" ht="29.25" hidden="1" customHeight="1" x14ac:dyDescent="0.2">
      <c r="A199" s="67">
        <v>196</v>
      </c>
      <c r="B199" s="67" t="s">
        <v>1871</v>
      </c>
      <c r="C199" s="68" t="s">
        <v>86</v>
      </c>
      <c r="D199" s="69" t="s">
        <v>8</v>
      </c>
      <c r="E199" s="69"/>
      <c r="F199" s="69" t="s">
        <v>7</v>
      </c>
      <c r="G199" s="69" t="s">
        <v>92</v>
      </c>
      <c r="H199" s="69" t="s">
        <v>117</v>
      </c>
      <c r="I199" s="70" t="s">
        <v>69</v>
      </c>
      <c r="J199" s="70" t="s">
        <v>70</v>
      </c>
      <c r="K199" s="69" t="s">
        <v>120</v>
      </c>
      <c r="L199" s="69" t="s">
        <v>142</v>
      </c>
      <c r="M199" s="67" t="s">
        <v>70</v>
      </c>
      <c r="N199" s="67">
        <v>0</v>
      </c>
      <c r="O199" s="67">
        <v>162</v>
      </c>
      <c r="P199" s="67"/>
      <c r="Q199" s="67">
        <v>167</v>
      </c>
      <c r="R199" s="67">
        <v>19</v>
      </c>
      <c r="S199" s="67" t="s">
        <v>2477</v>
      </c>
      <c r="T199" s="67" t="s">
        <v>111</v>
      </c>
      <c r="U199" s="69"/>
      <c r="V199" s="71"/>
      <c r="W199" s="72"/>
      <c r="X199" s="73"/>
      <c r="Y199" s="73"/>
      <c r="Z199" s="73"/>
    </row>
    <row r="200" spans="1:26" ht="29.25" hidden="1" customHeight="1" x14ac:dyDescent="0.2">
      <c r="A200" s="15">
        <v>197</v>
      </c>
      <c r="B200" s="15" t="s">
        <v>1129</v>
      </c>
      <c r="C200" s="16" t="s">
        <v>1126</v>
      </c>
      <c r="D200" s="6" t="s">
        <v>10</v>
      </c>
      <c r="E200" s="6"/>
      <c r="F200" s="15" t="s">
        <v>7</v>
      </c>
      <c r="G200" s="6" t="s">
        <v>92</v>
      </c>
      <c r="H200" s="6" t="s">
        <v>68</v>
      </c>
      <c r="I200" s="6" t="s">
        <v>119</v>
      </c>
      <c r="J200" s="6" t="s">
        <v>107</v>
      </c>
      <c r="K200" s="6" t="s">
        <v>263</v>
      </c>
      <c r="L200" s="6" t="s">
        <v>119</v>
      </c>
      <c r="M200" s="6" t="s">
        <v>107</v>
      </c>
      <c r="N200" s="6" t="s">
        <v>429</v>
      </c>
      <c r="O200" s="6" t="s">
        <v>2008</v>
      </c>
      <c r="P200" s="6"/>
      <c r="Q200" s="6" t="s">
        <v>2478</v>
      </c>
      <c r="R200" s="6" t="s">
        <v>2479</v>
      </c>
      <c r="S200" s="6" t="s">
        <v>1129</v>
      </c>
      <c r="T200" s="6" t="s">
        <v>111</v>
      </c>
      <c r="U200" s="6"/>
      <c r="V200" s="15"/>
      <c r="W200" s="6"/>
      <c r="X200" s="15"/>
      <c r="Y200" s="15"/>
      <c r="Z200" s="15"/>
    </row>
    <row r="201" spans="1:26" ht="29.25" hidden="1" customHeight="1" x14ac:dyDescent="0.2">
      <c r="A201" s="67">
        <v>198</v>
      </c>
      <c r="B201" s="67" t="s">
        <v>2480</v>
      </c>
      <c r="C201" s="68" t="s">
        <v>2247</v>
      </c>
      <c r="D201" s="69" t="s">
        <v>10</v>
      </c>
      <c r="E201" s="69"/>
      <c r="F201" s="69" t="s">
        <v>7</v>
      </c>
      <c r="G201" s="69" t="s">
        <v>92</v>
      </c>
      <c r="H201" s="69" t="s">
        <v>141</v>
      </c>
      <c r="I201" s="70" t="s">
        <v>69</v>
      </c>
      <c r="J201" s="70" t="s">
        <v>70</v>
      </c>
      <c r="K201" s="69" t="s">
        <v>991</v>
      </c>
      <c r="L201" s="69" t="s">
        <v>69</v>
      </c>
      <c r="M201" s="67" t="s">
        <v>70</v>
      </c>
      <c r="N201" s="67">
        <v>0</v>
      </c>
      <c r="O201" s="67">
        <v>168</v>
      </c>
      <c r="P201" s="67" t="s">
        <v>158</v>
      </c>
      <c r="Q201" s="67">
        <v>196</v>
      </c>
      <c r="R201" s="67">
        <v>7</v>
      </c>
      <c r="S201" s="67" t="s">
        <v>2481</v>
      </c>
      <c r="T201" s="67" t="s">
        <v>111</v>
      </c>
      <c r="U201" s="69"/>
      <c r="V201" s="71"/>
      <c r="W201" s="72"/>
      <c r="X201" s="73"/>
      <c r="Y201" s="73"/>
      <c r="Z201" s="73"/>
    </row>
    <row r="202" spans="1:26" ht="29.25" hidden="1" customHeight="1" x14ac:dyDescent="0.2">
      <c r="A202" s="15">
        <v>199</v>
      </c>
      <c r="B202" s="15" t="s">
        <v>2482</v>
      </c>
      <c r="C202" s="16" t="s">
        <v>2356</v>
      </c>
      <c r="D202" s="6" t="s">
        <v>10</v>
      </c>
      <c r="E202" s="6"/>
      <c r="F202" s="15" t="s">
        <v>7</v>
      </c>
      <c r="G202" s="6" t="s">
        <v>92</v>
      </c>
      <c r="H202" s="6" t="s">
        <v>140</v>
      </c>
      <c r="I202" s="6" t="s">
        <v>69</v>
      </c>
      <c r="J202" s="6" t="s">
        <v>70</v>
      </c>
      <c r="K202" s="6" t="s">
        <v>2006</v>
      </c>
      <c r="L202" s="6" t="s">
        <v>69</v>
      </c>
      <c r="M202" s="6" t="s">
        <v>70</v>
      </c>
      <c r="N202" s="6" t="s">
        <v>429</v>
      </c>
      <c r="O202" s="6" t="s">
        <v>2483</v>
      </c>
      <c r="P202" s="6" t="s">
        <v>158</v>
      </c>
      <c r="Q202" s="6" t="s">
        <v>2484</v>
      </c>
      <c r="R202" s="6" t="s">
        <v>2258</v>
      </c>
      <c r="S202" s="6" t="s">
        <v>2480</v>
      </c>
      <c r="T202" s="6" t="s">
        <v>111</v>
      </c>
      <c r="U202" s="6"/>
      <c r="V202" s="15"/>
      <c r="W202" s="6"/>
      <c r="X202" s="15"/>
      <c r="Y202" s="15"/>
      <c r="Z202" s="15"/>
    </row>
    <row r="203" spans="1:26" ht="29.25" hidden="1" customHeight="1" x14ac:dyDescent="0.2">
      <c r="A203" s="67">
        <v>200</v>
      </c>
      <c r="B203" s="67" t="s">
        <v>2485</v>
      </c>
      <c r="C203" s="68" t="s">
        <v>2486</v>
      </c>
      <c r="D203" s="69" t="s">
        <v>66</v>
      </c>
      <c r="E203" s="69" t="s">
        <v>2147</v>
      </c>
      <c r="F203" s="69" t="s">
        <v>83</v>
      </c>
      <c r="G203" s="69" t="s">
        <v>66</v>
      </c>
      <c r="H203" s="69"/>
      <c r="I203" s="70"/>
      <c r="J203" s="70"/>
      <c r="K203" s="69"/>
      <c r="L203" s="69"/>
      <c r="M203" s="67"/>
      <c r="N203" s="67">
        <v>0</v>
      </c>
      <c r="O203" s="67"/>
      <c r="P203" s="67"/>
      <c r="Q203" s="67"/>
      <c r="R203" s="67"/>
      <c r="S203" s="67"/>
      <c r="T203" s="67"/>
      <c r="U203" s="69"/>
      <c r="V203" s="71"/>
      <c r="W203" s="72"/>
      <c r="X203" s="73"/>
      <c r="Y203" s="73"/>
      <c r="Z203" s="73"/>
    </row>
    <row r="204" spans="1:26" ht="29.25" hidden="1" customHeight="1" x14ac:dyDescent="0.2">
      <c r="A204" s="15">
        <v>201</v>
      </c>
      <c r="B204" s="15" t="s">
        <v>2485</v>
      </c>
      <c r="C204" s="16" t="s">
        <v>2486</v>
      </c>
      <c r="D204" s="6" t="s">
        <v>66</v>
      </c>
      <c r="E204" s="6"/>
      <c r="F204" s="15" t="s">
        <v>7</v>
      </c>
      <c r="G204" s="6" t="s">
        <v>66</v>
      </c>
      <c r="H204" s="6" t="s">
        <v>2487</v>
      </c>
      <c r="I204" s="6" t="s">
        <v>119</v>
      </c>
      <c r="J204" s="6" t="s">
        <v>107</v>
      </c>
      <c r="K204" s="6" t="s">
        <v>2488</v>
      </c>
      <c r="L204" s="6" t="s">
        <v>119</v>
      </c>
      <c r="M204" s="6" t="s">
        <v>107</v>
      </c>
      <c r="N204" s="6" t="s">
        <v>429</v>
      </c>
      <c r="O204" s="6"/>
      <c r="P204" s="6"/>
      <c r="Q204" s="6"/>
      <c r="R204" s="6"/>
      <c r="S204" s="6"/>
      <c r="T204" s="6"/>
      <c r="U204" s="6"/>
      <c r="V204" s="15"/>
      <c r="W204" s="6"/>
      <c r="X204" s="15"/>
      <c r="Y204" s="15"/>
      <c r="Z204" s="15" t="s">
        <v>2489</v>
      </c>
    </row>
    <row r="205" spans="1:26" ht="29.25" hidden="1" customHeight="1" x14ac:dyDescent="0.2">
      <c r="A205" s="67">
        <v>230</v>
      </c>
      <c r="B205" s="67" t="s">
        <v>2490</v>
      </c>
      <c r="C205" s="68" t="s">
        <v>1116</v>
      </c>
      <c r="D205" s="69" t="s">
        <v>8</v>
      </c>
      <c r="E205" s="69" t="s">
        <v>172</v>
      </c>
      <c r="F205" s="69" t="s">
        <v>83</v>
      </c>
      <c r="G205" s="69" t="s">
        <v>92</v>
      </c>
      <c r="H205" s="69" t="s">
        <v>117</v>
      </c>
      <c r="I205" s="70" t="s">
        <v>206</v>
      </c>
      <c r="J205" s="70" t="s">
        <v>107</v>
      </c>
      <c r="K205" s="69" t="s">
        <v>470</v>
      </c>
      <c r="L205" s="69" t="s">
        <v>262</v>
      </c>
      <c r="M205" s="67" t="s">
        <v>70</v>
      </c>
      <c r="N205" s="67" t="s">
        <v>2491</v>
      </c>
      <c r="O205" s="67"/>
      <c r="P205" s="67"/>
      <c r="Q205" s="67"/>
      <c r="R205" s="67"/>
      <c r="S205" s="67"/>
      <c r="T205" s="67"/>
      <c r="U205" s="69"/>
      <c r="V205" s="71"/>
      <c r="W205" s="72"/>
      <c r="X205" s="73"/>
      <c r="Y205" s="73"/>
      <c r="Z205" s="73"/>
    </row>
    <row r="206" spans="1:26" ht="29.25" hidden="1" customHeight="1" x14ac:dyDescent="0.2">
      <c r="A206" s="15">
        <v>227</v>
      </c>
      <c r="B206" s="15" t="s">
        <v>2492</v>
      </c>
      <c r="C206" s="16" t="s">
        <v>2493</v>
      </c>
      <c r="D206" s="6" t="s">
        <v>20</v>
      </c>
      <c r="E206" s="6" t="s">
        <v>172</v>
      </c>
      <c r="F206" s="15" t="s">
        <v>83</v>
      </c>
      <c r="G206" s="6" t="s">
        <v>92</v>
      </c>
      <c r="H206" s="6" t="s">
        <v>104</v>
      </c>
      <c r="I206" s="6" t="s">
        <v>119</v>
      </c>
      <c r="J206" s="6" t="s">
        <v>107</v>
      </c>
      <c r="K206" s="6" t="s">
        <v>108</v>
      </c>
      <c r="L206" s="6" t="s">
        <v>119</v>
      </c>
      <c r="M206" s="6" t="s">
        <v>107</v>
      </c>
      <c r="N206" s="6" t="s">
        <v>2494</v>
      </c>
      <c r="O206" s="6"/>
      <c r="P206" s="6"/>
      <c r="Q206" s="6"/>
      <c r="R206" s="6"/>
      <c r="S206" s="6"/>
      <c r="T206" s="6"/>
      <c r="U206" s="6"/>
      <c r="V206" s="15"/>
      <c r="W206" s="6"/>
      <c r="X206" s="15"/>
      <c r="Y206" s="15"/>
      <c r="Z206" s="15"/>
    </row>
    <row r="207" spans="1:26" ht="29.25" hidden="1" customHeight="1" x14ac:dyDescent="0.2">
      <c r="A207" s="67">
        <v>204</v>
      </c>
      <c r="B207" s="67" t="s">
        <v>2495</v>
      </c>
      <c r="C207" s="68" t="s">
        <v>2496</v>
      </c>
      <c r="D207" s="69" t="s">
        <v>66</v>
      </c>
      <c r="E207" s="69" t="s">
        <v>192</v>
      </c>
      <c r="F207" s="69" t="s">
        <v>7</v>
      </c>
      <c r="G207" s="69" t="s">
        <v>92</v>
      </c>
      <c r="H207" s="69" t="s">
        <v>2497</v>
      </c>
      <c r="I207" s="70" t="s">
        <v>119</v>
      </c>
      <c r="J207" s="70" t="s">
        <v>107</v>
      </c>
      <c r="K207" s="69" t="s">
        <v>2498</v>
      </c>
      <c r="L207" s="69" t="s">
        <v>69</v>
      </c>
      <c r="M207" s="67" t="s">
        <v>70</v>
      </c>
      <c r="N207" s="67">
        <v>0</v>
      </c>
      <c r="O207" s="67"/>
      <c r="P207" s="67"/>
      <c r="Q207" s="67"/>
      <c r="R207" s="67"/>
      <c r="S207" s="67"/>
      <c r="T207" s="67"/>
      <c r="U207" s="69"/>
      <c r="V207" s="71"/>
      <c r="W207" s="72"/>
      <c r="X207" s="73"/>
      <c r="Y207" s="73"/>
      <c r="Z207" s="73" t="s">
        <v>2499</v>
      </c>
    </row>
    <row r="208" spans="1:26" ht="29.25" hidden="1" customHeight="1" x14ac:dyDescent="0.2">
      <c r="A208" s="15">
        <v>205</v>
      </c>
      <c r="B208" s="15" t="s">
        <v>2500</v>
      </c>
      <c r="C208" s="16" t="s">
        <v>2501</v>
      </c>
      <c r="D208" s="6" t="s">
        <v>9</v>
      </c>
      <c r="E208" s="6" t="s">
        <v>2147</v>
      </c>
      <c r="F208" s="15" t="s">
        <v>83</v>
      </c>
      <c r="G208" s="6" t="s">
        <v>92</v>
      </c>
      <c r="H208" s="6" t="s">
        <v>68</v>
      </c>
      <c r="I208" s="6" t="s">
        <v>206</v>
      </c>
      <c r="J208" s="6" t="s">
        <v>107</v>
      </c>
      <c r="K208" s="6" t="s">
        <v>263</v>
      </c>
      <c r="L208" s="6" t="s">
        <v>142</v>
      </c>
      <c r="M208" s="6" t="s">
        <v>70</v>
      </c>
      <c r="N208" s="6" t="s">
        <v>2502</v>
      </c>
      <c r="O208" s="6"/>
      <c r="P208" s="6"/>
      <c r="Q208" s="6"/>
      <c r="R208" s="6"/>
      <c r="S208" s="6"/>
      <c r="T208" s="6"/>
      <c r="U208" s="6"/>
      <c r="V208" s="15"/>
      <c r="W208" s="6"/>
      <c r="X208" s="15"/>
      <c r="Y208" s="15"/>
      <c r="Z208" s="15"/>
    </row>
    <row r="209" spans="1:26" ht="29.25" hidden="1" customHeight="1" x14ac:dyDescent="0.2">
      <c r="A209" s="67">
        <v>206</v>
      </c>
      <c r="B209" s="67" t="s">
        <v>2503</v>
      </c>
      <c r="C209" s="68" t="s">
        <v>2229</v>
      </c>
      <c r="D209" s="69" t="s">
        <v>6</v>
      </c>
      <c r="E209" s="69"/>
      <c r="F209" s="69" t="s">
        <v>7</v>
      </c>
      <c r="G209" s="69" t="s">
        <v>92</v>
      </c>
      <c r="H209" s="69" t="s">
        <v>141</v>
      </c>
      <c r="I209" s="70" t="s">
        <v>69</v>
      </c>
      <c r="J209" s="70" t="s">
        <v>70</v>
      </c>
      <c r="K209" s="69" t="s">
        <v>2504</v>
      </c>
      <c r="L209" s="69" t="s">
        <v>69</v>
      </c>
      <c r="M209" s="67" t="s">
        <v>70</v>
      </c>
      <c r="N209" s="67">
        <v>0</v>
      </c>
      <c r="O209" s="67">
        <v>195</v>
      </c>
      <c r="P209" s="67" t="s">
        <v>158</v>
      </c>
      <c r="Q209" s="67">
        <v>214</v>
      </c>
      <c r="R209" s="67">
        <v>7</v>
      </c>
      <c r="S209" s="67" t="s">
        <v>2500</v>
      </c>
      <c r="T209" s="67" t="s">
        <v>160</v>
      </c>
      <c r="U209" s="69"/>
      <c r="V209" s="71"/>
      <c r="W209" s="72"/>
      <c r="X209" s="73"/>
      <c r="Y209" s="73"/>
      <c r="Z209" s="73"/>
    </row>
    <row r="210" spans="1:26" ht="29.25" hidden="1" customHeight="1" x14ac:dyDescent="0.2">
      <c r="A210" s="15">
        <v>103</v>
      </c>
      <c r="B210" s="15" t="s">
        <v>926</v>
      </c>
      <c r="C210" s="16" t="s">
        <v>897</v>
      </c>
      <c r="D210" s="6" t="s">
        <v>19</v>
      </c>
      <c r="E210" s="6" t="s">
        <v>202</v>
      </c>
      <c r="F210" s="15" t="s">
        <v>83</v>
      </c>
      <c r="G210" s="6" t="s">
        <v>92</v>
      </c>
      <c r="H210" s="6" t="s">
        <v>218</v>
      </c>
      <c r="I210" s="6" t="s">
        <v>262</v>
      </c>
      <c r="J210" s="6" t="s">
        <v>70</v>
      </c>
      <c r="K210" s="6" t="s">
        <v>899</v>
      </c>
      <c r="L210" s="6" t="s">
        <v>262</v>
      </c>
      <c r="M210" s="6" t="s">
        <v>70</v>
      </c>
      <c r="N210" s="6" t="s">
        <v>2505</v>
      </c>
      <c r="O210" s="6"/>
      <c r="P210" s="6"/>
      <c r="Q210" s="6"/>
      <c r="R210" s="6"/>
      <c r="S210" s="6"/>
      <c r="T210" s="6"/>
      <c r="U210" s="6"/>
      <c r="V210" s="15"/>
      <c r="W210" s="6"/>
      <c r="X210" s="15"/>
      <c r="Y210" s="15"/>
      <c r="Z210" s="15"/>
    </row>
    <row r="211" spans="1:26" ht="29.25" hidden="1" customHeight="1" x14ac:dyDescent="0.2">
      <c r="A211" s="67">
        <v>208</v>
      </c>
      <c r="B211" s="67" t="s">
        <v>2506</v>
      </c>
      <c r="C211" s="68" t="s">
        <v>2501</v>
      </c>
      <c r="D211" s="69" t="s">
        <v>9</v>
      </c>
      <c r="E211" s="69"/>
      <c r="F211" s="69" t="s">
        <v>7</v>
      </c>
      <c r="G211" s="69" t="s">
        <v>92</v>
      </c>
      <c r="H211" s="69" t="s">
        <v>68</v>
      </c>
      <c r="I211" s="70" t="s">
        <v>119</v>
      </c>
      <c r="J211" s="70" t="s">
        <v>107</v>
      </c>
      <c r="K211" s="69" t="s">
        <v>263</v>
      </c>
      <c r="L211" s="69" t="s">
        <v>119</v>
      </c>
      <c r="M211" s="67" t="s">
        <v>107</v>
      </c>
      <c r="N211" s="67">
        <v>0</v>
      </c>
      <c r="O211" s="67">
        <v>216</v>
      </c>
      <c r="P211" s="67"/>
      <c r="Q211" s="67">
        <v>200</v>
      </c>
      <c r="R211" s="67">
        <v>20</v>
      </c>
      <c r="S211" s="67" t="s">
        <v>2500</v>
      </c>
      <c r="T211" s="67" t="s">
        <v>160</v>
      </c>
      <c r="U211" s="69"/>
      <c r="V211" s="71"/>
      <c r="W211" s="72"/>
      <c r="X211" s="73"/>
      <c r="Y211" s="73"/>
      <c r="Z211" s="73"/>
    </row>
    <row r="212" spans="1:26" ht="29.25" hidden="1" customHeight="1" x14ac:dyDescent="0.2">
      <c r="A212" s="67">
        <v>232</v>
      </c>
      <c r="B212" s="67" t="s">
        <v>2507</v>
      </c>
      <c r="C212" s="68" t="s">
        <v>856</v>
      </c>
      <c r="D212" s="69" t="s">
        <v>20</v>
      </c>
      <c r="E212" s="69" t="s">
        <v>172</v>
      </c>
      <c r="F212" s="69" t="s">
        <v>83</v>
      </c>
      <c r="G212" s="69" t="s">
        <v>92</v>
      </c>
      <c r="H212" s="69" t="s">
        <v>769</v>
      </c>
      <c r="I212" s="70" t="s">
        <v>824</v>
      </c>
      <c r="J212" s="70" t="s">
        <v>107</v>
      </c>
      <c r="K212" s="69" t="s">
        <v>757</v>
      </c>
      <c r="L212" s="69" t="s">
        <v>824</v>
      </c>
      <c r="M212" s="67" t="s">
        <v>107</v>
      </c>
      <c r="N212" s="67" t="s">
        <v>2508</v>
      </c>
      <c r="O212" s="67"/>
      <c r="P212" s="67"/>
      <c r="Q212" s="67"/>
      <c r="R212" s="67"/>
      <c r="S212" s="67"/>
      <c r="T212" s="67"/>
      <c r="U212" s="69"/>
      <c r="V212" s="71"/>
      <c r="W212" s="72"/>
      <c r="X212" s="73"/>
      <c r="Y212" s="73"/>
      <c r="Z212" s="73" t="s">
        <v>2509</v>
      </c>
    </row>
    <row r="213" spans="1:26" ht="29.25" hidden="1" customHeight="1" x14ac:dyDescent="0.2">
      <c r="A213" s="67">
        <v>210</v>
      </c>
      <c r="B213" s="67" t="s">
        <v>2510</v>
      </c>
      <c r="C213" s="68" t="s">
        <v>2511</v>
      </c>
      <c r="D213" s="69" t="s">
        <v>10</v>
      </c>
      <c r="E213" s="69" t="s">
        <v>2147</v>
      </c>
      <c r="F213" s="69" t="s">
        <v>83</v>
      </c>
      <c r="G213" s="69" t="s">
        <v>92</v>
      </c>
      <c r="H213" s="69" t="s">
        <v>104</v>
      </c>
      <c r="I213" s="70" t="s">
        <v>119</v>
      </c>
      <c r="J213" s="70" t="s">
        <v>107</v>
      </c>
      <c r="K213" s="69" t="s">
        <v>120</v>
      </c>
      <c r="L213" s="69" t="s">
        <v>119</v>
      </c>
      <c r="M213" s="67" t="s">
        <v>107</v>
      </c>
      <c r="N213" s="67" t="s">
        <v>2512</v>
      </c>
      <c r="O213" s="67"/>
      <c r="P213" s="67"/>
      <c r="Q213" s="67"/>
      <c r="R213" s="67"/>
      <c r="S213" s="67"/>
      <c r="T213" s="67"/>
      <c r="U213" s="69"/>
      <c r="V213" s="71"/>
      <c r="W213" s="72"/>
      <c r="X213" s="73"/>
      <c r="Y213" s="73"/>
      <c r="Z213" s="73"/>
    </row>
    <row r="214" spans="1:26" ht="29.25" hidden="1" customHeight="1" x14ac:dyDescent="0.2">
      <c r="A214" s="15">
        <v>211</v>
      </c>
      <c r="B214" s="15" t="s">
        <v>2513</v>
      </c>
      <c r="C214" s="16" t="s">
        <v>2443</v>
      </c>
      <c r="D214" s="6" t="s">
        <v>9</v>
      </c>
      <c r="E214" s="6"/>
      <c r="F214" s="15" t="s">
        <v>7</v>
      </c>
      <c r="G214" s="6" t="s">
        <v>92</v>
      </c>
      <c r="H214" s="6" t="s">
        <v>104</v>
      </c>
      <c r="I214" s="6" t="s">
        <v>69</v>
      </c>
      <c r="J214" s="6" t="s">
        <v>70</v>
      </c>
      <c r="K214" s="6" t="s">
        <v>1727</v>
      </c>
      <c r="L214" s="6" t="s">
        <v>119</v>
      </c>
      <c r="M214" s="6" t="s">
        <v>107</v>
      </c>
      <c r="N214" s="6" t="s">
        <v>429</v>
      </c>
      <c r="O214" s="6" t="s">
        <v>2359</v>
      </c>
      <c r="P214" s="6" t="s">
        <v>158</v>
      </c>
      <c r="Q214" s="6" t="s">
        <v>2478</v>
      </c>
      <c r="R214" s="6" t="s">
        <v>2514</v>
      </c>
      <c r="S214" s="6" t="s">
        <v>2515</v>
      </c>
      <c r="T214" s="6" t="s">
        <v>111</v>
      </c>
      <c r="U214" s="6"/>
      <c r="V214" s="15"/>
      <c r="W214" s="6"/>
      <c r="X214" s="15"/>
      <c r="Y214" s="15"/>
      <c r="Z214" s="15"/>
    </row>
    <row r="215" spans="1:26" ht="29.25" hidden="1" customHeight="1" x14ac:dyDescent="0.2">
      <c r="A215" s="67">
        <v>212</v>
      </c>
      <c r="B215" s="67" t="s">
        <v>2516</v>
      </c>
      <c r="C215" s="68" t="s">
        <v>2511</v>
      </c>
      <c r="D215" s="69" t="s">
        <v>10</v>
      </c>
      <c r="E215" s="69"/>
      <c r="F215" s="69" t="s">
        <v>7</v>
      </c>
      <c r="G215" s="69" t="s">
        <v>92</v>
      </c>
      <c r="H215" s="69" t="s">
        <v>117</v>
      </c>
      <c r="I215" s="70" t="s">
        <v>69</v>
      </c>
      <c r="J215" s="70" t="s">
        <v>70</v>
      </c>
      <c r="K215" s="69" t="s">
        <v>120</v>
      </c>
      <c r="L215" s="69" t="s">
        <v>369</v>
      </c>
      <c r="M215" s="67" t="s">
        <v>369</v>
      </c>
      <c r="N215" s="67" t="s">
        <v>429</v>
      </c>
      <c r="O215" s="67" t="s">
        <v>2008</v>
      </c>
      <c r="P215" s="67"/>
      <c r="Q215" s="67" t="s">
        <v>326</v>
      </c>
      <c r="R215" s="67" t="s">
        <v>2186</v>
      </c>
      <c r="S215" s="67" t="s">
        <v>2513</v>
      </c>
      <c r="T215" s="67" t="s">
        <v>111</v>
      </c>
      <c r="U215" s="69"/>
      <c r="V215" s="71"/>
      <c r="W215" s="72"/>
      <c r="X215" s="73"/>
      <c r="Y215" s="73"/>
      <c r="Z215" s="73"/>
    </row>
    <row r="216" spans="1:26" ht="29.25" hidden="1" customHeight="1" x14ac:dyDescent="0.2">
      <c r="A216" s="15">
        <v>213</v>
      </c>
      <c r="B216" s="15" t="s">
        <v>2517</v>
      </c>
      <c r="C216" s="16" t="s">
        <v>2518</v>
      </c>
      <c r="D216" s="6" t="s">
        <v>20</v>
      </c>
      <c r="E216" s="6" t="s">
        <v>2184</v>
      </c>
      <c r="F216" s="15" t="s">
        <v>83</v>
      </c>
      <c r="G216" s="6" t="s">
        <v>92</v>
      </c>
      <c r="H216" s="6" t="s">
        <v>141</v>
      </c>
      <c r="I216" s="6" t="s">
        <v>444</v>
      </c>
      <c r="J216" s="6" t="s">
        <v>107</v>
      </c>
      <c r="K216" s="6" t="s">
        <v>1704</v>
      </c>
      <c r="L216" s="6" t="s">
        <v>444</v>
      </c>
      <c r="M216" s="6" t="s">
        <v>107</v>
      </c>
      <c r="N216" s="6" t="s">
        <v>2519</v>
      </c>
      <c r="O216" s="6"/>
      <c r="P216" s="6"/>
      <c r="Q216" s="6"/>
      <c r="R216" s="6"/>
      <c r="S216" s="6"/>
      <c r="T216" s="6"/>
      <c r="U216" s="6"/>
      <c r="V216" s="15"/>
      <c r="W216" s="6"/>
      <c r="X216" s="15"/>
      <c r="Y216" s="15"/>
      <c r="Z216" s="15"/>
    </row>
    <row r="217" spans="1:26" ht="29.25" hidden="1" customHeight="1" x14ac:dyDescent="0.2">
      <c r="A217" s="67">
        <v>214</v>
      </c>
      <c r="B217" s="67" t="s">
        <v>2520</v>
      </c>
      <c r="C217" s="68" t="s">
        <v>2518</v>
      </c>
      <c r="D217" s="69" t="s">
        <v>20</v>
      </c>
      <c r="E217" s="69"/>
      <c r="F217" s="69" t="s">
        <v>7</v>
      </c>
      <c r="G217" s="69" t="s">
        <v>92</v>
      </c>
      <c r="H217" s="69" t="s">
        <v>141</v>
      </c>
      <c r="I217" s="70" t="s">
        <v>119</v>
      </c>
      <c r="J217" s="70" t="s">
        <v>107</v>
      </c>
      <c r="K217" s="69" t="s">
        <v>1704</v>
      </c>
      <c r="L217" s="69" t="s">
        <v>119</v>
      </c>
      <c r="M217" s="67" t="s">
        <v>107</v>
      </c>
      <c r="N217" s="67" t="s">
        <v>429</v>
      </c>
      <c r="O217" s="67" t="s">
        <v>2521</v>
      </c>
      <c r="P217" s="67"/>
      <c r="Q217" s="67" t="s">
        <v>2522</v>
      </c>
      <c r="R217" s="67" t="s">
        <v>2160</v>
      </c>
      <c r="S217" s="67" t="s">
        <v>2516</v>
      </c>
      <c r="T217" s="67" t="s">
        <v>111</v>
      </c>
      <c r="U217" s="69"/>
      <c r="V217" s="71"/>
      <c r="W217" s="72"/>
      <c r="X217" s="73"/>
      <c r="Y217" s="73"/>
      <c r="Z217" s="73"/>
    </row>
    <row r="218" spans="1:26" ht="29.25" hidden="1" customHeight="1" x14ac:dyDescent="0.2">
      <c r="A218" s="15">
        <v>215</v>
      </c>
      <c r="B218" s="15" t="s">
        <v>2520</v>
      </c>
      <c r="C218" s="16" t="s">
        <v>2523</v>
      </c>
      <c r="D218" s="6" t="s">
        <v>66</v>
      </c>
      <c r="E218" s="6" t="s">
        <v>192</v>
      </c>
      <c r="F218" s="15" t="s">
        <v>7</v>
      </c>
      <c r="G218" s="6" t="s">
        <v>2167</v>
      </c>
      <c r="H218" s="6" t="s">
        <v>117</v>
      </c>
      <c r="I218" s="6" t="s">
        <v>69</v>
      </c>
      <c r="J218" s="6" t="s">
        <v>70</v>
      </c>
      <c r="K218" s="6" t="s">
        <v>2524</v>
      </c>
      <c r="L218" s="6" t="s">
        <v>119</v>
      </c>
      <c r="M218" s="6" t="s">
        <v>107</v>
      </c>
      <c r="N218" s="6">
        <v>0</v>
      </c>
      <c r="O218" s="6"/>
      <c r="P218" s="6"/>
      <c r="Q218" s="6"/>
      <c r="R218" s="6"/>
      <c r="S218" s="6"/>
      <c r="T218" s="6"/>
      <c r="U218" s="6"/>
      <c r="V218" s="15"/>
      <c r="W218" s="6"/>
      <c r="X218" s="15"/>
      <c r="Y218" s="15"/>
      <c r="Z218" s="15"/>
    </row>
    <row r="219" spans="1:26" ht="29.25" hidden="1" customHeight="1" x14ac:dyDescent="0.2">
      <c r="A219" s="67">
        <v>216</v>
      </c>
      <c r="B219" s="67" t="s">
        <v>2525</v>
      </c>
      <c r="C219" s="68" t="s">
        <v>2501</v>
      </c>
      <c r="D219" s="69" t="s">
        <v>9</v>
      </c>
      <c r="E219" s="69" t="s">
        <v>2147</v>
      </c>
      <c r="F219" s="69" t="s">
        <v>83</v>
      </c>
      <c r="G219" s="69" t="s">
        <v>92</v>
      </c>
      <c r="H219" s="69" t="s">
        <v>68</v>
      </c>
      <c r="I219" s="70" t="s">
        <v>119</v>
      </c>
      <c r="J219" s="70" t="s">
        <v>107</v>
      </c>
      <c r="K219" s="69" t="s">
        <v>263</v>
      </c>
      <c r="L219" s="69" t="s">
        <v>119</v>
      </c>
      <c r="M219" s="67" t="s">
        <v>107</v>
      </c>
      <c r="N219" s="67" t="s">
        <v>2506</v>
      </c>
      <c r="O219" s="67"/>
      <c r="P219" s="67"/>
      <c r="Q219" s="67"/>
      <c r="R219" s="67"/>
      <c r="S219" s="67"/>
      <c r="T219" s="67"/>
      <c r="U219" s="69"/>
      <c r="V219" s="71"/>
      <c r="W219" s="72"/>
      <c r="X219" s="73"/>
      <c r="Y219" s="73"/>
      <c r="Z219" s="73" t="s">
        <v>2526</v>
      </c>
    </row>
    <row r="220" spans="1:26" ht="29.25" hidden="1" customHeight="1" x14ac:dyDescent="0.2">
      <c r="A220" s="15">
        <v>217</v>
      </c>
      <c r="B220" s="15" t="s">
        <v>2527</v>
      </c>
      <c r="C220" s="16" t="s">
        <v>2528</v>
      </c>
      <c r="D220" s="6" t="s">
        <v>10</v>
      </c>
      <c r="E220" s="6" t="s">
        <v>2285</v>
      </c>
      <c r="F220" s="15" t="s">
        <v>83</v>
      </c>
      <c r="G220" s="6" t="s">
        <v>92</v>
      </c>
      <c r="H220" s="6" t="s">
        <v>68</v>
      </c>
      <c r="I220" s="6" t="s">
        <v>69</v>
      </c>
      <c r="J220" s="6" t="s">
        <v>70</v>
      </c>
      <c r="K220" s="6" t="s">
        <v>263</v>
      </c>
      <c r="L220" s="6" t="s">
        <v>69</v>
      </c>
      <c r="M220" s="6" t="s">
        <v>70</v>
      </c>
      <c r="N220" s="6" t="s">
        <v>2529</v>
      </c>
      <c r="O220" s="6"/>
      <c r="P220" s="6"/>
      <c r="Q220" s="6"/>
      <c r="R220" s="6"/>
      <c r="S220" s="6"/>
      <c r="T220" s="6"/>
      <c r="U220" s="6"/>
      <c r="V220" s="15"/>
      <c r="W220" s="6"/>
      <c r="X220" s="15"/>
      <c r="Y220" s="15"/>
      <c r="Z220" s="15" t="s">
        <v>2530</v>
      </c>
    </row>
    <row r="221" spans="1:26" ht="29.25" hidden="1" customHeight="1" x14ac:dyDescent="0.2">
      <c r="A221" s="67">
        <v>218</v>
      </c>
      <c r="B221" s="67" t="s">
        <v>2531</v>
      </c>
      <c r="C221" s="68" t="s">
        <v>2532</v>
      </c>
      <c r="D221" s="69" t="s">
        <v>66</v>
      </c>
      <c r="E221" s="69"/>
      <c r="F221" s="69" t="s">
        <v>7</v>
      </c>
      <c r="G221" s="69" t="s">
        <v>92</v>
      </c>
      <c r="H221" s="69" t="s">
        <v>141</v>
      </c>
      <c r="I221" s="70" t="s">
        <v>69</v>
      </c>
      <c r="J221" s="70" t="s">
        <v>70</v>
      </c>
      <c r="K221" s="69" t="s">
        <v>2504</v>
      </c>
      <c r="L221" s="69" t="s">
        <v>69</v>
      </c>
      <c r="M221" s="67" t="s">
        <v>70</v>
      </c>
      <c r="N221" s="67" t="s">
        <v>429</v>
      </c>
      <c r="O221" s="67"/>
      <c r="P221" s="67"/>
      <c r="Q221" s="67"/>
      <c r="R221" s="67"/>
      <c r="S221" s="67"/>
      <c r="T221" s="67"/>
      <c r="U221" s="69"/>
      <c r="V221" s="71"/>
      <c r="W221" s="72"/>
      <c r="X221" s="73"/>
      <c r="Y221" s="73"/>
      <c r="Z221" s="73"/>
    </row>
    <row r="222" spans="1:26" ht="29.25" hidden="1" customHeight="1" x14ac:dyDescent="0.2">
      <c r="A222" s="15">
        <v>219</v>
      </c>
      <c r="B222" s="15" t="s">
        <v>2533</v>
      </c>
      <c r="C222" s="16" t="s">
        <v>2501</v>
      </c>
      <c r="D222" s="6" t="s">
        <v>9</v>
      </c>
      <c r="E222" s="6"/>
      <c r="F222" s="15" t="s">
        <v>7</v>
      </c>
      <c r="G222" s="6" t="s">
        <v>92</v>
      </c>
      <c r="H222" s="6" t="s">
        <v>68</v>
      </c>
      <c r="I222" s="6" t="s">
        <v>119</v>
      </c>
      <c r="J222" s="6" t="s">
        <v>107</v>
      </c>
      <c r="K222" s="6" t="s">
        <v>263</v>
      </c>
      <c r="L222" s="6" t="s">
        <v>119</v>
      </c>
      <c r="M222" s="6" t="s">
        <v>107</v>
      </c>
      <c r="N222" s="6">
        <v>0</v>
      </c>
      <c r="O222" s="6">
        <v>210</v>
      </c>
      <c r="P222" s="6"/>
      <c r="Q222" s="6">
        <v>200</v>
      </c>
      <c r="R222" s="6">
        <v>20</v>
      </c>
      <c r="S222" s="6" t="s">
        <v>2534</v>
      </c>
      <c r="T222" s="6" t="s">
        <v>160</v>
      </c>
      <c r="U222" s="6"/>
      <c r="V222" s="15"/>
      <c r="W222" s="6"/>
      <c r="X222" s="15"/>
      <c r="Y222" s="15"/>
      <c r="Z222" s="15"/>
    </row>
    <row r="223" spans="1:26" ht="29.25" hidden="1" customHeight="1" x14ac:dyDescent="0.2">
      <c r="A223" s="67">
        <v>220</v>
      </c>
      <c r="B223" s="67" t="s">
        <v>973</v>
      </c>
      <c r="C223" s="68" t="s">
        <v>21</v>
      </c>
      <c r="D223" s="69" t="s">
        <v>9</v>
      </c>
      <c r="E223" s="69"/>
      <c r="F223" s="69" t="s">
        <v>7</v>
      </c>
      <c r="G223" s="69" t="s">
        <v>92</v>
      </c>
      <c r="H223" s="69" t="s">
        <v>117</v>
      </c>
      <c r="I223" s="70" t="s">
        <v>119</v>
      </c>
      <c r="J223" s="70" t="s">
        <v>107</v>
      </c>
      <c r="K223" s="69" t="s">
        <v>120</v>
      </c>
      <c r="L223" s="69" t="s">
        <v>119</v>
      </c>
      <c r="M223" s="67" t="s">
        <v>107</v>
      </c>
      <c r="N223" s="67" t="s">
        <v>429</v>
      </c>
      <c r="O223" s="67" t="s">
        <v>2359</v>
      </c>
      <c r="P223" s="67" t="s">
        <v>158</v>
      </c>
      <c r="Q223" s="67" t="s">
        <v>326</v>
      </c>
      <c r="R223" s="67" t="s">
        <v>1581</v>
      </c>
      <c r="S223" s="67" t="s">
        <v>2535</v>
      </c>
      <c r="T223" s="67" t="s">
        <v>160</v>
      </c>
      <c r="U223" s="69"/>
      <c r="V223" s="71"/>
      <c r="W223" s="72"/>
      <c r="X223" s="73"/>
      <c r="Y223" s="73"/>
      <c r="Z223" s="73"/>
    </row>
    <row r="224" spans="1:26" ht="29.25" hidden="1" customHeight="1" x14ac:dyDescent="0.2">
      <c r="A224" s="15">
        <v>221</v>
      </c>
      <c r="B224" s="15" t="s">
        <v>1520</v>
      </c>
      <c r="C224" s="16" t="s">
        <v>2536</v>
      </c>
      <c r="D224" s="6" t="s">
        <v>10</v>
      </c>
      <c r="E224" s="6" t="s">
        <v>2147</v>
      </c>
      <c r="F224" s="15" t="s">
        <v>83</v>
      </c>
      <c r="G224" s="6" t="s">
        <v>92</v>
      </c>
      <c r="H224" s="6" t="s">
        <v>104</v>
      </c>
      <c r="I224" s="6" t="s">
        <v>206</v>
      </c>
      <c r="J224" s="6" t="s">
        <v>107</v>
      </c>
      <c r="K224" s="6" t="s">
        <v>361</v>
      </c>
      <c r="L224" s="6" t="s">
        <v>206</v>
      </c>
      <c r="M224" s="6" t="s">
        <v>107</v>
      </c>
      <c r="N224" s="6" t="s">
        <v>2537</v>
      </c>
      <c r="O224" s="6"/>
      <c r="P224" s="6"/>
      <c r="Q224" s="6"/>
      <c r="R224" s="6"/>
      <c r="S224" s="6"/>
      <c r="T224" s="6"/>
      <c r="U224" s="6"/>
      <c r="V224" s="15"/>
      <c r="W224" s="6"/>
      <c r="X224" s="15"/>
      <c r="Y224" s="15"/>
      <c r="Z224" s="15"/>
    </row>
    <row r="225" spans="1:26" ht="29.25" hidden="1" customHeight="1" x14ac:dyDescent="0.2">
      <c r="A225" s="67">
        <v>222</v>
      </c>
      <c r="B225" s="67" t="s">
        <v>1519</v>
      </c>
      <c r="C225" s="68" t="s">
        <v>2536</v>
      </c>
      <c r="D225" s="69" t="s">
        <v>10</v>
      </c>
      <c r="E225" s="69"/>
      <c r="F225" s="69" t="s">
        <v>7</v>
      </c>
      <c r="G225" s="69" t="s">
        <v>92</v>
      </c>
      <c r="H225" s="69" t="s">
        <v>117</v>
      </c>
      <c r="I225" s="70" t="s">
        <v>69</v>
      </c>
      <c r="J225" s="70" t="s">
        <v>70</v>
      </c>
      <c r="K225" s="69" t="s">
        <v>306</v>
      </c>
      <c r="L225" s="69" t="s">
        <v>369</v>
      </c>
      <c r="M225" s="67" t="s">
        <v>369</v>
      </c>
      <c r="N225" s="67" t="s">
        <v>429</v>
      </c>
      <c r="O225" s="67" t="s">
        <v>2267</v>
      </c>
      <c r="P225" s="67" t="s">
        <v>158</v>
      </c>
      <c r="Q225" s="67" t="s">
        <v>2201</v>
      </c>
      <c r="R225" s="67" t="s">
        <v>718</v>
      </c>
      <c r="S225" s="67" t="s">
        <v>1520</v>
      </c>
      <c r="T225" s="67" t="s">
        <v>111</v>
      </c>
      <c r="U225" s="69"/>
      <c r="V225" s="71"/>
      <c r="W225" s="72"/>
      <c r="X225" s="73"/>
      <c r="Y225" s="73"/>
      <c r="Z225" s="73"/>
    </row>
    <row r="226" spans="1:26" ht="29.25" hidden="1" customHeight="1" x14ac:dyDescent="0.2">
      <c r="A226" s="15">
        <v>223</v>
      </c>
      <c r="B226" s="15" t="s">
        <v>2538</v>
      </c>
      <c r="C226" s="16" t="s">
        <v>1943</v>
      </c>
      <c r="D226" s="6" t="s">
        <v>9</v>
      </c>
      <c r="E226" s="6" t="s">
        <v>2147</v>
      </c>
      <c r="F226" s="15" t="s">
        <v>83</v>
      </c>
      <c r="G226" s="6" t="s">
        <v>92</v>
      </c>
      <c r="H226" s="6" t="s">
        <v>140</v>
      </c>
      <c r="I226" s="6" t="s">
        <v>369</v>
      </c>
      <c r="J226" s="6" t="s">
        <v>369</v>
      </c>
      <c r="K226" s="6" t="s">
        <v>2539</v>
      </c>
      <c r="L226" s="6" t="s">
        <v>69</v>
      </c>
      <c r="M226" s="6" t="s">
        <v>70</v>
      </c>
      <c r="N226" s="6" t="s">
        <v>2540</v>
      </c>
      <c r="O226" s="6"/>
      <c r="P226" s="6"/>
      <c r="Q226" s="6"/>
      <c r="R226" s="6"/>
      <c r="S226" s="6"/>
      <c r="T226" s="6"/>
      <c r="U226" s="6"/>
      <c r="V226" s="15"/>
      <c r="W226" s="6"/>
      <c r="X226" s="15"/>
      <c r="Y226" s="15"/>
      <c r="Z226" s="15"/>
    </row>
    <row r="227" spans="1:26" ht="29.25" hidden="1" customHeight="1" x14ac:dyDescent="0.2">
      <c r="A227" s="67">
        <v>224</v>
      </c>
      <c r="B227" s="67" t="s">
        <v>2541</v>
      </c>
      <c r="C227" s="68" t="s">
        <v>1943</v>
      </c>
      <c r="D227" s="69" t="s">
        <v>9</v>
      </c>
      <c r="E227" s="69"/>
      <c r="F227" s="69" t="s">
        <v>7</v>
      </c>
      <c r="G227" s="69" t="s">
        <v>92</v>
      </c>
      <c r="H227" s="69" t="s">
        <v>140</v>
      </c>
      <c r="I227" s="70" t="s">
        <v>69</v>
      </c>
      <c r="J227" s="70" t="s">
        <v>70</v>
      </c>
      <c r="K227" s="69" t="s">
        <v>328</v>
      </c>
      <c r="L227" s="69" t="s">
        <v>119</v>
      </c>
      <c r="M227" s="67" t="s">
        <v>107</v>
      </c>
      <c r="N227" s="67" t="s">
        <v>429</v>
      </c>
      <c r="O227" s="67" t="s">
        <v>2249</v>
      </c>
      <c r="P227" s="67" t="s">
        <v>158</v>
      </c>
      <c r="Q227" s="67" t="s">
        <v>2058</v>
      </c>
      <c r="R227" s="67" t="s">
        <v>2258</v>
      </c>
      <c r="S227" s="67" t="s">
        <v>2533</v>
      </c>
      <c r="T227" s="67" t="s">
        <v>111</v>
      </c>
      <c r="U227" s="69"/>
      <c r="V227" s="71"/>
      <c r="W227" s="72"/>
      <c r="X227" s="73"/>
      <c r="Y227" s="73"/>
      <c r="Z227" s="73"/>
    </row>
    <row r="228" spans="1:26" ht="29.25" hidden="1" customHeight="1" x14ac:dyDescent="0.2">
      <c r="A228" s="67">
        <v>268</v>
      </c>
      <c r="B228" s="67" t="s">
        <v>2542</v>
      </c>
      <c r="C228" s="68" t="s">
        <v>2543</v>
      </c>
      <c r="D228" s="69" t="s">
        <v>20</v>
      </c>
      <c r="E228" s="69" t="s">
        <v>172</v>
      </c>
      <c r="F228" s="69" t="s">
        <v>83</v>
      </c>
      <c r="G228" s="69" t="s">
        <v>2167</v>
      </c>
      <c r="H228" s="69" t="s">
        <v>104</v>
      </c>
      <c r="I228" s="70" t="s">
        <v>142</v>
      </c>
      <c r="J228" s="70" t="s">
        <v>70</v>
      </c>
      <c r="K228" s="69" t="s">
        <v>108</v>
      </c>
      <c r="L228" s="69" t="s">
        <v>142</v>
      </c>
      <c r="M228" s="67" t="s">
        <v>70</v>
      </c>
      <c r="N228" s="67" t="s">
        <v>2544</v>
      </c>
      <c r="O228" s="67">
        <v>228</v>
      </c>
      <c r="P228" s="67"/>
      <c r="Q228" s="67"/>
      <c r="R228" s="67"/>
      <c r="S228" s="67"/>
      <c r="T228" s="67" t="s">
        <v>160</v>
      </c>
      <c r="U228" s="69"/>
      <c r="V228" s="71"/>
      <c r="W228" s="72"/>
      <c r="X228" s="73"/>
      <c r="Y228" s="73"/>
      <c r="Z228" s="73"/>
    </row>
    <row r="229" spans="1:26" ht="29.25" hidden="1" customHeight="1" x14ac:dyDescent="0.2">
      <c r="A229" s="67">
        <v>238</v>
      </c>
      <c r="B229" s="67" t="s">
        <v>2545</v>
      </c>
      <c r="C229" s="68" t="s">
        <v>1652</v>
      </c>
      <c r="D229" s="69" t="s">
        <v>10</v>
      </c>
      <c r="E229" s="69" t="s">
        <v>172</v>
      </c>
      <c r="F229" s="69" t="s">
        <v>83</v>
      </c>
      <c r="G229" s="69" t="s">
        <v>92</v>
      </c>
      <c r="H229" s="69" t="s">
        <v>155</v>
      </c>
      <c r="I229" s="70" t="s">
        <v>206</v>
      </c>
      <c r="J229" s="70" t="s">
        <v>107</v>
      </c>
      <c r="K229" s="69" t="s">
        <v>324</v>
      </c>
      <c r="L229" s="69" t="s">
        <v>206</v>
      </c>
      <c r="M229" s="67" t="s">
        <v>107</v>
      </c>
      <c r="N229" s="67" t="s">
        <v>2546</v>
      </c>
      <c r="O229" s="67"/>
      <c r="P229" s="67"/>
      <c r="Q229" s="67"/>
      <c r="R229" s="67"/>
      <c r="S229" s="67"/>
      <c r="T229" s="67"/>
      <c r="U229" s="69"/>
      <c r="V229" s="71"/>
      <c r="W229" s="72"/>
      <c r="X229" s="73"/>
      <c r="Y229" s="73"/>
      <c r="Z229" s="73"/>
    </row>
    <row r="230" spans="1:26" ht="29.25" customHeight="1" x14ac:dyDescent="0.2">
      <c r="A230" s="15">
        <v>115</v>
      </c>
      <c r="B230" s="15" t="s">
        <v>789</v>
      </c>
      <c r="C230" s="16" t="s">
        <v>82</v>
      </c>
      <c r="D230" s="6" t="s">
        <v>9</v>
      </c>
      <c r="E230" s="6" t="s">
        <v>202</v>
      </c>
      <c r="F230" s="15" t="s">
        <v>83</v>
      </c>
      <c r="G230" s="6" t="s">
        <v>92</v>
      </c>
      <c r="H230" s="6" t="s">
        <v>104</v>
      </c>
      <c r="I230" s="6" t="s">
        <v>119</v>
      </c>
      <c r="J230" s="6" t="s">
        <v>107</v>
      </c>
      <c r="K230" s="6" t="s">
        <v>361</v>
      </c>
      <c r="L230" s="6" t="s">
        <v>119</v>
      </c>
      <c r="M230" s="6" t="s">
        <v>107</v>
      </c>
      <c r="N230" s="6" t="s">
        <v>2304</v>
      </c>
      <c r="O230" s="6"/>
      <c r="P230" s="6"/>
      <c r="Q230" s="6"/>
      <c r="R230" s="6"/>
      <c r="S230" s="6"/>
      <c r="T230" s="6"/>
      <c r="U230" s="6"/>
      <c r="V230" s="15"/>
      <c r="W230" s="6"/>
      <c r="X230" s="15"/>
      <c r="Y230" s="15"/>
      <c r="Z230" s="15" t="s">
        <v>2547</v>
      </c>
    </row>
    <row r="231" spans="1:26" ht="29.25" hidden="1" customHeight="1" x14ac:dyDescent="0.2">
      <c r="A231" s="67">
        <v>228</v>
      </c>
      <c r="B231" s="67" t="s">
        <v>2548</v>
      </c>
      <c r="C231" s="68" t="s">
        <v>2549</v>
      </c>
      <c r="D231" s="69" t="s">
        <v>19</v>
      </c>
      <c r="E231" s="69"/>
      <c r="F231" s="69" t="s">
        <v>7</v>
      </c>
      <c r="G231" s="69" t="s">
        <v>92</v>
      </c>
      <c r="H231" s="69" t="s">
        <v>334</v>
      </c>
      <c r="I231" s="70" t="s">
        <v>369</v>
      </c>
      <c r="J231" s="70" t="s">
        <v>369</v>
      </c>
      <c r="K231" s="69" t="s">
        <v>2006</v>
      </c>
      <c r="L231" s="69" t="s">
        <v>69</v>
      </c>
      <c r="M231" s="67" t="s">
        <v>70</v>
      </c>
      <c r="N231" s="67" t="s">
        <v>429</v>
      </c>
      <c r="O231" s="67" t="s">
        <v>2550</v>
      </c>
      <c r="P231" s="67" t="s">
        <v>158</v>
      </c>
      <c r="Q231" s="67" t="s">
        <v>216</v>
      </c>
      <c r="R231" s="67" t="s">
        <v>718</v>
      </c>
      <c r="S231" s="67" t="s">
        <v>2551</v>
      </c>
      <c r="T231" s="67" t="s">
        <v>111</v>
      </c>
      <c r="U231" s="69"/>
      <c r="V231" s="71"/>
      <c r="W231" s="72"/>
      <c r="X231" s="73"/>
      <c r="Y231" s="73"/>
      <c r="Z231" s="73"/>
    </row>
    <row r="232" spans="1:26" ht="29.25" hidden="1" customHeight="1" x14ac:dyDescent="0.2">
      <c r="A232" s="15">
        <v>225</v>
      </c>
      <c r="B232" s="15" t="s">
        <v>2552</v>
      </c>
      <c r="C232" s="16" t="s">
        <v>2549</v>
      </c>
      <c r="D232" s="6" t="s">
        <v>19</v>
      </c>
      <c r="E232" s="6" t="s">
        <v>172</v>
      </c>
      <c r="F232" s="15" t="s">
        <v>83</v>
      </c>
      <c r="G232" s="6" t="s">
        <v>92</v>
      </c>
      <c r="H232" s="6" t="s">
        <v>141</v>
      </c>
      <c r="I232" s="6" t="s">
        <v>119</v>
      </c>
      <c r="J232" s="6" t="s">
        <v>107</v>
      </c>
      <c r="K232" s="6" t="s">
        <v>714</v>
      </c>
      <c r="L232" s="6" t="s">
        <v>119</v>
      </c>
      <c r="M232" s="6" t="s">
        <v>107</v>
      </c>
      <c r="N232" s="6" t="s">
        <v>2553</v>
      </c>
      <c r="O232" s="6"/>
      <c r="P232" s="6"/>
      <c r="Q232" s="6"/>
      <c r="R232" s="6"/>
      <c r="S232" s="6"/>
      <c r="T232" s="6"/>
      <c r="U232" s="6"/>
      <c r="V232" s="15"/>
      <c r="W232" s="6"/>
      <c r="X232" s="15"/>
      <c r="Y232" s="15"/>
      <c r="Z232" s="15"/>
    </row>
    <row r="233" spans="1:26" ht="29.25" hidden="1" customHeight="1" x14ac:dyDescent="0.2">
      <c r="A233" s="67">
        <v>202</v>
      </c>
      <c r="B233" s="67" t="s">
        <v>2554</v>
      </c>
      <c r="C233" s="68" t="s">
        <v>2555</v>
      </c>
      <c r="D233" s="69" t="s">
        <v>19</v>
      </c>
      <c r="E233" s="69" t="s">
        <v>172</v>
      </c>
      <c r="F233" s="69" t="s">
        <v>83</v>
      </c>
      <c r="G233" s="69" t="s">
        <v>92</v>
      </c>
      <c r="H233" s="69" t="s">
        <v>68</v>
      </c>
      <c r="I233" s="70" t="s">
        <v>142</v>
      </c>
      <c r="J233" s="70" t="s">
        <v>70</v>
      </c>
      <c r="K233" s="69" t="s">
        <v>332</v>
      </c>
      <c r="L233" s="69" t="s">
        <v>206</v>
      </c>
      <c r="M233" s="67" t="s">
        <v>107</v>
      </c>
      <c r="N233" s="67" t="s">
        <v>2556</v>
      </c>
      <c r="O233" s="67">
        <v>210</v>
      </c>
      <c r="P233" s="67"/>
      <c r="Q233" s="67"/>
      <c r="R233" s="67"/>
      <c r="S233" s="67"/>
      <c r="T233" s="67" t="s">
        <v>111</v>
      </c>
      <c r="U233" s="69"/>
      <c r="V233" s="71"/>
      <c r="W233" s="72"/>
      <c r="X233" s="73"/>
      <c r="Y233" s="73"/>
      <c r="Z233" s="73"/>
    </row>
    <row r="234" spans="1:26" s="19" customFormat="1" ht="29.25" hidden="1" customHeight="1" x14ac:dyDescent="0.2">
      <c r="A234" s="15">
        <v>231</v>
      </c>
      <c r="B234" s="15" t="s">
        <v>2557</v>
      </c>
      <c r="C234" s="16" t="s">
        <v>2558</v>
      </c>
      <c r="D234" s="6" t="s">
        <v>20</v>
      </c>
      <c r="E234" s="6" t="s">
        <v>172</v>
      </c>
      <c r="F234" s="15" t="s">
        <v>83</v>
      </c>
      <c r="G234" s="6" t="s">
        <v>92</v>
      </c>
      <c r="H234" s="6" t="s">
        <v>68</v>
      </c>
      <c r="I234" s="6" t="s">
        <v>369</v>
      </c>
      <c r="J234" s="6" t="s">
        <v>369</v>
      </c>
      <c r="K234" s="6" t="s">
        <v>332</v>
      </c>
      <c r="L234" s="6" t="s">
        <v>69</v>
      </c>
      <c r="M234" s="6" t="s">
        <v>70</v>
      </c>
      <c r="N234" s="6" t="s">
        <v>2559</v>
      </c>
      <c r="O234" s="6"/>
      <c r="P234" s="6"/>
      <c r="Q234" s="6"/>
      <c r="R234" s="6"/>
      <c r="S234" s="6"/>
      <c r="T234" s="6"/>
      <c r="U234" s="6"/>
      <c r="V234" s="15"/>
      <c r="W234" s="6"/>
      <c r="X234" s="15"/>
      <c r="Y234" s="15"/>
      <c r="Z234" s="15"/>
    </row>
    <row r="235" spans="1:26" ht="29.25" hidden="1" customHeight="1" x14ac:dyDescent="0.2">
      <c r="A235" s="15">
        <v>153</v>
      </c>
      <c r="B235" s="15" t="s">
        <v>2415</v>
      </c>
      <c r="C235" s="16" t="s">
        <v>2421</v>
      </c>
      <c r="D235" s="6" t="s">
        <v>19</v>
      </c>
      <c r="E235" s="6" t="s">
        <v>172</v>
      </c>
      <c r="F235" s="15" t="s">
        <v>83</v>
      </c>
      <c r="G235" s="6" t="s">
        <v>2167</v>
      </c>
      <c r="H235" s="6" t="s">
        <v>117</v>
      </c>
      <c r="I235" s="6" t="s">
        <v>119</v>
      </c>
      <c r="J235" s="6" t="s">
        <v>107</v>
      </c>
      <c r="K235" s="6" t="s">
        <v>470</v>
      </c>
      <c r="L235" s="6" t="s">
        <v>119</v>
      </c>
      <c r="M235" s="6" t="s">
        <v>107</v>
      </c>
      <c r="N235" s="6" t="s">
        <v>2560</v>
      </c>
      <c r="O235" s="6"/>
      <c r="P235" s="6"/>
      <c r="Q235" s="6"/>
      <c r="R235" s="6"/>
      <c r="S235" s="6"/>
      <c r="T235" s="6"/>
      <c r="U235" s="6"/>
      <c r="V235" s="15"/>
      <c r="W235" s="6"/>
      <c r="X235" s="15"/>
      <c r="Y235" s="15"/>
      <c r="Z235" s="15"/>
    </row>
    <row r="236" spans="1:26" ht="29.25" hidden="1" customHeight="1" x14ac:dyDescent="0.2">
      <c r="A236" s="15">
        <v>229</v>
      </c>
      <c r="B236" s="15" t="s">
        <v>2561</v>
      </c>
      <c r="C236" s="16" t="s">
        <v>2562</v>
      </c>
      <c r="D236" s="6" t="s">
        <v>8</v>
      </c>
      <c r="E236" s="6" t="s">
        <v>172</v>
      </c>
      <c r="F236" s="15" t="s">
        <v>83</v>
      </c>
      <c r="G236" s="6" t="s">
        <v>92</v>
      </c>
      <c r="H236" s="6" t="s">
        <v>117</v>
      </c>
      <c r="I236" s="6" t="s">
        <v>262</v>
      </c>
      <c r="J236" s="6" t="s">
        <v>70</v>
      </c>
      <c r="K236" s="6" t="s">
        <v>470</v>
      </c>
      <c r="L236" s="6" t="s">
        <v>142</v>
      </c>
      <c r="M236" s="6" t="s">
        <v>70</v>
      </c>
      <c r="N236" s="6" t="s">
        <v>2563</v>
      </c>
      <c r="O236" s="6"/>
      <c r="P236" s="6"/>
      <c r="Q236" s="6"/>
      <c r="R236" s="6"/>
      <c r="S236" s="6"/>
      <c r="T236" s="6"/>
      <c r="U236" s="6"/>
      <c r="V236" s="15"/>
      <c r="W236" s="6"/>
      <c r="X236" s="15"/>
      <c r="Y236" s="15"/>
      <c r="Z236" s="15"/>
    </row>
    <row r="237" spans="1:26" ht="29.25" hidden="1" customHeight="1" x14ac:dyDescent="0.2">
      <c r="A237" s="67">
        <v>234</v>
      </c>
      <c r="B237" s="67" t="s">
        <v>2564</v>
      </c>
      <c r="C237" s="68" t="s">
        <v>2493</v>
      </c>
      <c r="D237" s="69" t="s">
        <v>20</v>
      </c>
      <c r="E237" s="69"/>
      <c r="F237" s="69" t="s">
        <v>7</v>
      </c>
      <c r="G237" s="69" t="s">
        <v>92</v>
      </c>
      <c r="H237" s="69" t="s">
        <v>117</v>
      </c>
      <c r="I237" s="70" t="s">
        <v>69</v>
      </c>
      <c r="J237" s="70" t="s">
        <v>70</v>
      </c>
      <c r="K237" s="69" t="s">
        <v>120</v>
      </c>
      <c r="L237" s="69" t="s">
        <v>69</v>
      </c>
      <c r="M237" s="67" t="s">
        <v>70</v>
      </c>
      <c r="N237" s="67" t="s">
        <v>429</v>
      </c>
      <c r="O237" s="67" t="s">
        <v>2414</v>
      </c>
      <c r="P237" s="67" t="s">
        <v>158</v>
      </c>
      <c r="Q237" s="67" t="s">
        <v>326</v>
      </c>
      <c r="R237" s="67" t="s">
        <v>2186</v>
      </c>
      <c r="S237" s="67" t="s">
        <v>2507</v>
      </c>
      <c r="T237" s="67" t="s">
        <v>111</v>
      </c>
      <c r="U237" s="69"/>
      <c r="V237" s="71"/>
      <c r="W237" s="72"/>
      <c r="X237" s="73"/>
      <c r="Y237" s="73"/>
      <c r="Z237" s="73"/>
    </row>
    <row r="238" spans="1:26" ht="29.25" hidden="1" customHeight="1" x14ac:dyDescent="0.2">
      <c r="A238" s="15">
        <v>235</v>
      </c>
      <c r="B238" s="15" t="s">
        <v>2565</v>
      </c>
      <c r="C238" s="16" t="s">
        <v>2558</v>
      </c>
      <c r="D238" s="6" t="s">
        <v>20</v>
      </c>
      <c r="E238" s="6"/>
      <c r="F238" s="15" t="s">
        <v>7</v>
      </c>
      <c r="G238" s="6" t="s">
        <v>92</v>
      </c>
      <c r="H238" s="6" t="s">
        <v>2566</v>
      </c>
      <c r="I238" s="6" t="s">
        <v>119</v>
      </c>
      <c r="J238" s="6" t="s">
        <v>107</v>
      </c>
      <c r="K238" s="6" t="s">
        <v>120</v>
      </c>
      <c r="L238" s="6" t="s">
        <v>119</v>
      </c>
      <c r="M238" s="6" t="s">
        <v>107</v>
      </c>
      <c r="N238" s="6">
        <v>0</v>
      </c>
      <c r="O238" s="6">
        <v>162</v>
      </c>
      <c r="P238" s="6" t="s">
        <v>158</v>
      </c>
      <c r="Q238" s="6">
        <v>179</v>
      </c>
      <c r="R238" s="6">
        <v>16</v>
      </c>
      <c r="S238" s="6" t="s">
        <v>2507</v>
      </c>
      <c r="T238" s="6" t="s">
        <v>160</v>
      </c>
      <c r="U238" s="6"/>
      <c r="V238" s="15"/>
      <c r="W238" s="6"/>
      <c r="X238" s="15"/>
      <c r="Y238" s="15"/>
      <c r="Z238" s="15"/>
    </row>
    <row r="239" spans="1:26" ht="21.75" hidden="1" x14ac:dyDescent="0.2">
      <c r="A239" s="67">
        <v>236</v>
      </c>
      <c r="B239" s="67" t="s">
        <v>2567</v>
      </c>
      <c r="C239" s="68" t="s">
        <v>2518</v>
      </c>
      <c r="D239" s="69" t="s">
        <v>20</v>
      </c>
      <c r="E239" s="69" t="s">
        <v>2184</v>
      </c>
      <c r="F239" s="69" t="s">
        <v>83</v>
      </c>
      <c r="G239" s="69" t="s">
        <v>92</v>
      </c>
      <c r="H239" s="69" t="s">
        <v>141</v>
      </c>
      <c r="I239" s="70" t="s">
        <v>119</v>
      </c>
      <c r="J239" s="70" t="s">
        <v>107</v>
      </c>
      <c r="K239" s="69" t="s">
        <v>1704</v>
      </c>
      <c r="L239" s="69" t="s">
        <v>119</v>
      </c>
      <c r="M239" s="67" t="s">
        <v>107</v>
      </c>
      <c r="N239" s="67" t="s">
        <v>2520</v>
      </c>
      <c r="O239" s="67"/>
      <c r="P239" s="67"/>
      <c r="Q239" s="67"/>
      <c r="R239" s="67"/>
      <c r="S239" s="67"/>
      <c r="T239" s="67"/>
      <c r="U239" s="69"/>
      <c r="V239" s="71"/>
      <c r="W239" s="72"/>
      <c r="X239" s="73"/>
      <c r="Y239" s="73"/>
      <c r="Z239" s="73" t="s">
        <v>2568</v>
      </c>
    </row>
    <row r="240" spans="1:26" ht="29.25" hidden="1" customHeight="1" x14ac:dyDescent="0.2">
      <c r="A240" s="15">
        <v>237</v>
      </c>
      <c r="B240" s="15" t="s">
        <v>2569</v>
      </c>
      <c r="C240" s="16" t="s">
        <v>2518</v>
      </c>
      <c r="D240" s="6" t="s">
        <v>20</v>
      </c>
      <c r="E240" s="6"/>
      <c r="F240" s="15" t="s">
        <v>7</v>
      </c>
      <c r="G240" s="6" t="s">
        <v>92</v>
      </c>
      <c r="H240" s="6" t="s">
        <v>141</v>
      </c>
      <c r="I240" s="6" t="s">
        <v>369</v>
      </c>
      <c r="J240" s="6" t="s">
        <v>369</v>
      </c>
      <c r="K240" s="6" t="s">
        <v>1704</v>
      </c>
      <c r="L240" s="6" t="s">
        <v>369</v>
      </c>
      <c r="M240" s="6" t="s">
        <v>369</v>
      </c>
      <c r="N240" s="6">
        <v>0</v>
      </c>
      <c r="O240" s="6">
        <v>138</v>
      </c>
      <c r="P240" s="6"/>
      <c r="Q240" s="6">
        <v>132</v>
      </c>
      <c r="R240" s="6">
        <v>14.8</v>
      </c>
      <c r="S240" s="6" t="s">
        <v>2567</v>
      </c>
      <c r="T240" s="6" t="s">
        <v>111</v>
      </c>
      <c r="U240" s="6"/>
      <c r="V240" s="15"/>
      <c r="W240" s="6"/>
      <c r="X240" s="15"/>
      <c r="Y240" s="15"/>
      <c r="Z240" s="15"/>
    </row>
    <row r="241" spans="1:26" ht="21.75" hidden="1" x14ac:dyDescent="0.2">
      <c r="A241" s="67">
        <v>34</v>
      </c>
      <c r="B241" s="67" t="s">
        <v>543</v>
      </c>
      <c r="C241" s="68" t="s">
        <v>1275</v>
      </c>
      <c r="D241" s="69" t="s">
        <v>10</v>
      </c>
      <c r="E241" s="69" t="s">
        <v>202</v>
      </c>
      <c r="F241" s="69" t="s">
        <v>83</v>
      </c>
      <c r="G241" s="69" t="s">
        <v>2167</v>
      </c>
      <c r="H241" s="69" t="s">
        <v>117</v>
      </c>
      <c r="I241" s="70" t="s">
        <v>262</v>
      </c>
      <c r="J241" s="70" t="s">
        <v>70</v>
      </c>
      <c r="K241" s="69" t="s">
        <v>204</v>
      </c>
      <c r="L241" s="69" t="s">
        <v>119</v>
      </c>
      <c r="M241" s="67" t="s">
        <v>107</v>
      </c>
      <c r="N241" s="67" t="s">
        <v>2570</v>
      </c>
      <c r="O241" s="67"/>
      <c r="P241" s="67"/>
      <c r="Q241" s="67"/>
      <c r="R241" s="67"/>
      <c r="S241" s="67"/>
      <c r="T241" s="67"/>
      <c r="U241" s="69"/>
      <c r="V241" s="71"/>
      <c r="W241" s="72"/>
      <c r="X241" s="73"/>
      <c r="Y241" s="73"/>
      <c r="Z241" s="73"/>
    </row>
    <row r="242" spans="1:26" s="74" customFormat="1" ht="21.75" hidden="1" x14ac:dyDescent="0.2">
      <c r="A242" s="15">
        <v>239</v>
      </c>
      <c r="B242" s="15" t="s">
        <v>2571</v>
      </c>
      <c r="C242" s="16" t="s">
        <v>2572</v>
      </c>
      <c r="D242" s="6" t="s">
        <v>66</v>
      </c>
      <c r="E242" s="6" t="s">
        <v>2285</v>
      </c>
      <c r="F242" s="15" t="s">
        <v>7</v>
      </c>
      <c r="G242" s="6" t="s">
        <v>66</v>
      </c>
      <c r="H242" s="6" t="s">
        <v>116</v>
      </c>
      <c r="I242" s="6" t="s">
        <v>69</v>
      </c>
      <c r="J242" s="6" t="s">
        <v>70</v>
      </c>
      <c r="K242" s="6" t="s">
        <v>1498</v>
      </c>
      <c r="L242" s="6" t="s">
        <v>119</v>
      </c>
      <c r="M242" s="6" t="s">
        <v>107</v>
      </c>
      <c r="N242" s="6">
        <v>0</v>
      </c>
      <c r="O242" s="6"/>
      <c r="P242" s="6"/>
      <c r="Q242" s="6"/>
      <c r="R242" s="6"/>
      <c r="S242" s="6"/>
      <c r="T242" s="6"/>
      <c r="U242" s="6"/>
      <c r="V242" s="15"/>
      <c r="W242" s="6"/>
      <c r="X242" s="15"/>
      <c r="Y242" s="15"/>
      <c r="Z242" s="15" t="s">
        <v>2573</v>
      </c>
    </row>
    <row r="243" spans="1:26" ht="29.25" hidden="1" customHeight="1" x14ac:dyDescent="0.2">
      <c r="A243" s="67">
        <v>240</v>
      </c>
      <c r="B243" s="67" t="s">
        <v>2574</v>
      </c>
      <c r="C243" s="68" t="s">
        <v>2575</v>
      </c>
      <c r="D243" s="69" t="s">
        <v>243</v>
      </c>
      <c r="E243" s="69" t="s">
        <v>2147</v>
      </c>
      <c r="F243" s="69" t="s">
        <v>83</v>
      </c>
      <c r="G243" s="69" t="s">
        <v>92</v>
      </c>
      <c r="H243" s="69" t="s">
        <v>68</v>
      </c>
      <c r="I243" s="70" t="s">
        <v>142</v>
      </c>
      <c r="J243" s="70" t="s">
        <v>70</v>
      </c>
      <c r="K243" s="69" t="s">
        <v>332</v>
      </c>
      <c r="L243" s="69" t="s">
        <v>119</v>
      </c>
      <c r="M243" s="67" t="s">
        <v>107</v>
      </c>
      <c r="N243" s="67" t="s">
        <v>2576</v>
      </c>
      <c r="O243" s="67"/>
      <c r="P243" s="67"/>
      <c r="Q243" s="67"/>
      <c r="R243" s="67"/>
      <c r="S243" s="67"/>
      <c r="T243" s="67"/>
      <c r="U243" s="69"/>
      <c r="V243" s="71"/>
      <c r="W243" s="72"/>
      <c r="X243" s="73"/>
      <c r="Y243" s="73"/>
      <c r="Z243" s="73"/>
    </row>
    <row r="244" spans="1:26" ht="29.25" hidden="1" customHeight="1" x14ac:dyDescent="0.2">
      <c r="A244" s="15">
        <v>241</v>
      </c>
      <c r="B244" s="15" t="s">
        <v>2577</v>
      </c>
      <c r="C244" s="16" t="s">
        <v>2575</v>
      </c>
      <c r="D244" s="6" t="s">
        <v>243</v>
      </c>
      <c r="E244" s="6"/>
      <c r="F244" s="15" t="s">
        <v>7</v>
      </c>
      <c r="G244" s="6" t="s">
        <v>92</v>
      </c>
      <c r="H244" s="6" t="s">
        <v>68</v>
      </c>
      <c r="I244" s="6" t="s">
        <v>69</v>
      </c>
      <c r="J244" s="6" t="s">
        <v>70</v>
      </c>
      <c r="K244" s="6" t="s">
        <v>332</v>
      </c>
      <c r="L244" s="6" t="s">
        <v>69</v>
      </c>
      <c r="M244" s="6" t="s">
        <v>70</v>
      </c>
      <c r="N244" s="6">
        <v>0</v>
      </c>
      <c r="O244" s="6">
        <v>144</v>
      </c>
      <c r="P244" s="6"/>
      <c r="Q244" s="6">
        <v>151</v>
      </c>
      <c r="R244" s="6">
        <v>27.7</v>
      </c>
      <c r="S244" s="6" t="s">
        <v>2569</v>
      </c>
      <c r="T244" s="6" t="s">
        <v>111</v>
      </c>
      <c r="U244" s="6"/>
      <c r="V244" s="15"/>
      <c r="W244" s="6"/>
      <c r="X244" s="15"/>
      <c r="Y244" s="15"/>
      <c r="Z244" s="15"/>
    </row>
    <row r="245" spans="1:26" ht="29.25" hidden="1" customHeight="1" x14ac:dyDescent="0.2">
      <c r="A245" s="67">
        <v>242</v>
      </c>
      <c r="B245" s="67" t="s">
        <v>2578</v>
      </c>
      <c r="C245" s="68" t="s">
        <v>2579</v>
      </c>
      <c r="D245" s="69" t="s">
        <v>20</v>
      </c>
      <c r="E245" s="69" t="s">
        <v>2147</v>
      </c>
      <c r="F245" s="69" t="s">
        <v>83</v>
      </c>
      <c r="G245" s="69" t="s">
        <v>92</v>
      </c>
      <c r="H245" s="69" t="s">
        <v>140</v>
      </c>
      <c r="I245" s="70" t="s">
        <v>444</v>
      </c>
      <c r="J245" s="70" t="s">
        <v>107</v>
      </c>
      <c r="K245" s="69" t="s">
        <v>328</v>
      </c>
      <c r="L245" s="69" t="s">
        <v>444</v>
      </c>
      <c r="M245" s="67" t="s">
        <v>107</v>
      </c>
      <c r="N245" s="67" t="s">
        <v>2580</v>
      </c>
      <c r="O245" s="67"/>
      <c r="P245" s="67"/>
      <c r="Q245" s="67"/>
      <c r="R245" s="67"/>
      <c r="S245" s="67"/>
      <c r="T245" s="67"/>
      <c r="U245" s="69"/>
      <c r="V245" s="71"/>
      <c r="W245" s="72"/>
      <c r="X245" s="73"/>
      <c r="Y245" s="73"/>
      <c r="Z245" s="73"/>
    </row>
    <row r="246" spans="1:26" ht="29.25" hidden="1" customHeight="1" x14ac:dyDescent="0.2">
      <c r="A246" s="15">
        <v>243</v>
      </c>
      <c r="B246" s="15" t="s">
        <v>1273</v>
      </c>
      <c r="C246" s="16" t="s">
        <v>2579</v>
      </c>
      <c r="D246" s="6" t="s">
        <v>20</v>
      </c>
      <c r="E246" s="6"/>
      <c r="F246" s="15" t="s">
        <v>7</v>
      </c>
      <c r="G246" s="6" t="s">
        <v>92</v>
      </c>
      <c r="H246" s="6" t="s">
        <v>140</v>
      </c>
      <c r="I246" s="6" t="s">
        <v>69</v>
      </c>
      <c r="J246" s="6" t="s">
        <v>70</v>
      </c>
      <c r="K246" s="6" t="s">
        <v>328</v>
      </c>
      <c r="L246" s="6" t="s">
        <v>69</v>
      </c>
      <c r="M246" s="6" t="s">
        <v>70</v>
      </c>
      <c r="N246" s="6">
        <v>0</v>
      </c>
      <c r="O246" s="6">
        <v>120</v>
      </c>
      <c r="P246" s="6"/>
      <c r="Q246" s="6">
        <v>151</v>
      </c>
      <c r="R246" s="6">
        <v>15</v>
      </c>
      <c r="S246" s="6" t="s">
        <v>2578</v>
      </c>
      <c r="T246" s="6" t="s">
        <v>111</v>
      </c>
      <c r="U246" s="6"/>
      <c r="V246" s="15"/>
      <c r="W246" s="6"/>
      <c r="X246" s="15"/>
      <c r="Y246" s="15"/>
      <c r="Z246" s="15"/>
    </row>
    <row r="247" spans="1:26" ht="29.25" hidden="1" customHeight="1" x14ac:dyDescent="0.2">
      <c r="A247" s="67">
        <v>244</v>
      </c>
      <c r="B247" s="67" t="s">
        <v>1272</v>
      </c>
      <c r="C247" s="68" t="s">
        <v>1269</v>
      </c>
      <c r="D247" s="69" t="s">
        <v>243</v>
      </c>
      <c r="E247" s="69" t="s">
        <v>2147</v>
      </c>
      <c r="F247" s="69" t="s">
        <v>83</v>
      </c>
      <c r="G247" s="69" t="s">
        <v>92</v>
      </c>
      <c r="H247" s="69">
        <v>55</v>
      </c>
      <c r="I247" s="70" t="s">
        <v>206</v>
      </c>
      <c r="J247" s="70" t="s">
        <v>107</v>
      </c>
      <c r="K247" s="69" t="s">
        <v>256</v>
      </c>
      <c r="L247" s="69" t="s">
        <v>444</v>
      </c>
      <c r="M247" s="67" t="s">
        <v>107</v>
      </c>
      <c r="N247" s="67" t="s">
        <v>2581</v>
      </c>
      <c r="O247" s="67"/>
      <c r="P247" s="67"/>
      <c r="Q247" s="67"/>
      <c r="R247" s="67"/>
      <c r="S247" s="67"/>
      <c r="T247" s="67"/>
      <c r="U247" s="69"/>
      <c r="V247" s="71"/>
      <c r="W247" s="72"/>
      <c r="X247" s="73"/>
      <c r="Y247" s="73"/>
      <c r="Z247" s="73"/>
    </row>
    <row r="248" spans="1:26" ht="29.25" hidden="1" customHeight="1" x14ac:dyDescent="0.2">
      <c r="A248" s="15">
        <v>245</v>
      </c>
      <c r="B248" s="15"/>
      <c r="C248" s="16" t="s">
        <v>1269</v>
      </c>
      <c r="D248" s="6" t="s">
        <v>243</v>
      </c>
      <c r="E248" s="6"/>
      <c r="F248" s="15" t="s">
        <v>7</v>
      </c>
      <c r="G248" s="6" t="s">
        <v>92</v>
      </c>
      <c r="H248" s="6" t="s">
        <v>140</v>
      </c>
      <c r="I248" s="6" t="s">
        <v>69</v>
      </c>
      <c r="J248" s="6" t="s">
        <v>70</v>
      </c>
      <c r="K248" s="6" t="s">
        <v>256</v>
      </c>
      <c r="L248" s="6" t="s">
        <v>119</v>
      </c>
      <c r="M248" s="6" t="s">
        <v>107</v>
      </c>
      <c r="N248" s="6">
        <v>0</v>
      </c>
      <c r="O248" s="6">
        <v>114</v>
      </c>
      <c r="P248" s="6"/>
      <c r="Q248" s="6">
        <v>95</v>
      </c>
      <c r="R248" s="6">
        <v>44</v>
      </c>
      <c r="S248" s="6" t="s">
        <v>1273</v>
      </c>
      <c r="T248" s="6" t="s">
        <v>111</v>
      </c>
      <c r="U248" s="6"/>
      <c r="V248" s="15"/>
      <c r="W248" s="6"/>
      <c r="X248" s="15"/>
      <c r="Y248" s="15"/>
      <c r="Z248" s="15"/>
    </row>
    <row r="249" spans="1:26" ht="29.25" hidden="1" customHeight="1" x14ac:dyDescent="0.2">
      <c r="A249" s="67">
        <v>246</v>
      </c>
      <c r="B249" s="67" t="s">
        <v>2582</v>
      </c>
      <c r="C249" s="68" t="s">
        <v>2583</v>
      </c>
      <c r="D249" s="69" t="s">
        <v>19</v>
      </c>
      <c r="E249" s="69"/>
      <c r="F249" s="69" t="s">
        <v>7</v>
      </c>
      <c r="G249" s="69" t="s">
        <v>92</v>
      </c>
      <c r="H249" s="69" t="s">
        <v>117</v>
      </c>
      <c r="I249" s="70" t="s">
        <v>69</v>
      </c>
      <c r="J249" s="70" t="s">
        <v>70</v>
      </c>
      <c r="K249" s="69" t="s">
        <v>1254</v>
      </c>
      <c r="L249" s="69" t="s">
        <v>73</v>
      </c>
      <c r="M249" s="67" t="s">
        <v>70</v>
      </c>
      <c r="N249" s="67" t="s">
        <v>429</v>
      </c>
      <c r="O249" s="67" t="s">
        <v>2483</v>
      </c>
      <c r="P249" s="67" t="s">
        <v>158</v>
      </c>
      <c r="Q249" s="67">
        <v>130</v>
      </c>
      <c r="R249" s="67">
        <v>20</v>
      </c>
      <c r="S249" s="67" t="s">
        <v>1272</v>
      </c>
      <c r="T249" s="67" t="s">
        <v>111</v>
      </c>
      <c r="U249" s="69"/>
      <c r="V249" s="71"/>
      <c r="W249" s="72"/>
      <c r="X249" s="73"/>
      <c r="Y249" s="73"/>
      <c r="Z249" s="73"/>
    </row>
    <row r="250" spans="1:26" ht="29.25" hidden="1" customHeight="1" x14ac:dyDescent="0.2">
      <c r="A250" s="15">
        <v>247</v>
      </c>
      <c r="B250" s="15" t="s">
        <v>2584</v>
      </c>
      <c r="C250" s="16" t="s">
        <v>2341</v>
      </c>
      <c r="D250" s="6" t="s">
        <v>9</v>
      </c>
      <c r="E250" s="6" t="s">
        <v>2285</v>
      </c>
      <c r="F250" s="15" t="s">
        <v>7</v>
      </c>
      <c r="G250" s="6" t="s">
        <v>92</v>
      </c>
      <c r="H250" s="6" t="s">
        <v>104</v>
      </c>
      <c r="I250" s="6" t="s">
        <v>69</v>
      </c>
      <c r="J250" s="6" t="s">
        <v>70</v>
      </c>
      <c r="K250" s="6" t="s">
        <v>2585</v>
      </c>
      <c r="L250" s="6" t="s">
        <v>73</v>
      </c>
      <c r="M250" s="6" t="s">
        <v>70</v>
      </c>
      <c r="N250" s="6">
        <v>0</v>
      </c>
      <c r="O250" s="6">
        <v>228</v>
      </c>
      <c r="P250" s="6" t="s">
        <v>158</v>
      </c>
      <c r="Q250" s="6">
        <v>280</v>
      </c>
      <c r="R250" s="6">
        <v>11.7</v>
      </c>
      <c r="S250" s="6" t="s">
        <v>2582</v>
      </c>
      <c r="T250" s="6" t="s">
        <v>160</v>
      </c>
      <c r="U250" s="6"/>
      <c r="V250" s="15"/>
      <c r="W250" s="6"/>
      <c r="X250" s="15"/>
      <c r="Y250" s="15"/>
      <c r="Z250" s="15"/>
    </row>
    <row r="251" spans="1:26" ht="29.25" hidden="1" customHeight="1" x14ac:dyDescent="0.2">
      <c r="A251" s="67">
        <v>172</v>
      </c>
      <c r="B251" s="67" t="s">
        <v>2586</v>
      </c>
      <c r="C251" s="68" t="s">
        <v>2587</v>
      </c>
      <c r="D251" s="69" t="s">
        <v>9</v>
      </c>
      <c r="E251" s="69" t="s">
        <v>172</v>
      </c>
      <c r="F251" s="69" t="s">
        <v>83</v>
      </c>
      <c r="G251" s="69" t="s">
        <v>92</v>
      </c>
      <c r="H251" s="69" t="s">
        <v>104</v>
      </c>
      <c r="I251" s="70" t="s">
        <v>142</v>
      </c>
      <c r="J251" s="70" t="s">
        <v>70</v>
      </c>
      <c r="K251" s="69" t="s">
        <v>361</v>
      </c>
      <c r="L251" s="69" t="s">
        <v>142</v>
      </c>
      <c r="M251" s="67" t="s">
        <v>70</v>
      </c>
      <c r="N251" s="67" t="s">
        <v>2588</v>
      </c>
      <c r="O251" s="67"/>
      <c r="P251" s="67"/>
      <c r="Q251" s="67"/>
      <c r="R251" s="67"/>
      <c r="S251" s="67"/>
      <c r="T251" s="67"/>
      <c r="U251" s="69"/>
      <c r="V251" s="71"/>
      <c r="W251" s="72"/>
      <c r="X251" s="73"/>
      <c r="Y251" s="73"/>
      <c r="Z251" s="73"/>
    </row>
    <row r="252" spans="1:26" ht="29.25" hidden="1" customHeight="1" x14ac:dyDescent="0.2">
      <c r="A252" s="15">
        <v>249</v>
      </c>
      <c r="B252" s="15" t="s">
        <v>2589</v>
      </c>
      <c r="C252" s="16" t="s">
        <v>2590</v>
      </c>
      <c r="D252" s="6"/>
      <c r="E252" s="6" t="s">
        <v>2147</v>
      </c>
      <c r="F252" s="15" t="s">
        <v>83</v>
      </c>
      <c r="G252" s="6" t="s">
        <v>92</v>
      </c>
      <c r="H252" s="6" t="s">
        <v>218</v>
      </c>
      <c r="I252" s="6" t="s">
        <v>369</v>
      </c>
      <c r="J252" s="6" t="s">
        <v>369</v>
      </c>
      <c r="K252" s="6" t="s">
        <v>2591</v>
      </c>
      <c r="L252" s="6" t="s">
        <v>369</v>
      </c>
      <c r="M252" s="6" t="s">
        <v>369</v>
      </c>
      <c r="N252" s="6" t="s">
        <v>2592</v>
      </c>
      <c r="O252" s="6"/>
      <c r="P252" s="6"/>
      <c r="Q252" s="6"/>
      <c r="R252" s="6"/>
      <c r="S252" s="6"/>
      <c r="T252" s="6"/>
      <c r="U252" s="6"/>
      <c r="V252" s="15"/>
      <c r="W252" s="6"/>
      <c r="X252" s="15"/>
      <c r="Y252" s="15"/>
      <c r="Z252" s="15"/>
    </row>
    <row r="253" spans="1:26" ht="29.25" hidden="1" customHeight="1" x14ac:dyDescent="0.2">
      <c r="A253" s="67">
        <v>250</v>
      </c>
      <c r="B253" s="67" t="s">
        <v>2593</v>
      </c>
      <c r="C253" s="68" t="s">
        <v>2590</v>
      </c>
      <c r="D253" s="69" t="s">
        <v>243</v>
      </c>
      <c r="E253" s="69"/>
      <c r="F253" s="69" t="s">
        <v>7</v>
      </c>
      <c r="G253" s="69" t="s">
        <v>92</v>
      </c>
      <c r="H253" s="69" t="s">
        <v>104</v>
      </c>
      <c r="I253" s="70" t="s">
        <v>69</v>
      </c>
      <c r="J253" s="70" t="s">
        <v>70</v>
      </c>
      <c r="K253" s="69" t="s">
        <v>108</v>
      </c>
      <c r="L253" s="69" t="s">
        <v>142</v>
      </c>
      <c r="M253" s="67" t="s">
        <v>70</v>
      </c>
      <c r="N253" s="67" t="s">
        <v>429</v>
      </c>
      <c r="O253" s="67"/>
      <c r="P253" s="67"/>
      <c r="Q253" s="67"/>
      <c r="R253" s="67"/>
      <c r="S253" s="67"/>
      <c r="T253" s="67"/>
      <c r="U253" s="69"/>
      <c r="V253" s="71"/>
      <c r="W253" s="72"/>
      <c r="X253" s="73"/>
      <c r="Y253" s="73"/>
      <c r="Z253" s="73"/>
    </row>
    <row r="254" spans="1:26" ht="29.25" hidden="1" customHeight="1" x14ac:dyDescent="0.2">
      <c r="A254" s="67">
        <v>186</v>
      </c>
      <c r="B254" s="67" t="s">
        <v>2462</v>
      </c>
      <c r="C254" s="68" t="s">
        <v>1508</v>
      </c>
      <c r="D254" s="69" t="s">
        <v>10</v>
      </c>
      <c r="E254" s="69" t="s">
        <v>2285</v>
      </c>
      <c r="F254" s="69" t="s">
        <v>83</v>
      </c>
      <c r="G254" s="69" t="s">
        <v>92</v>
      </c>
      <c r="H254" s="69" t="s">
        <v>117</v>
      </c>
      <c r="I254" s="70" t="s">
        <v>119</v>
      </c>
      <c r="J254" s="70" t="s">
        <v>107</v>
      </c>
      <c r="K254" s="69" t="s">
        <v>204</v>
      </c>
      <c r="L254" s="69" t="s">
        <v>119</v>
      </c>
      <c r="M254" s="67" t="s">
        <v>107</v>
      </c>
      <c r="N254" s="67" t="s">
        <v>2594</v>
      </c>
      <c r="O254" s="67"/>
      <c r="P254" s="67"/>
      <c r="Q254" s="67"/>
      <c r="R254" s="67"/>
      <c r="S254" s="67"/>
      <c r="T254" s="67"/>
      <c r="U254" s="69"/>
      <c r="V254" s="71"/>
      <c r="W254" s="72"/>
      <c r="X254" s="73"/>
      <c r="Y254" s="73"/>
      <c r="Z254" s="73"/>
    </row>
    <row r="255" spans="1:26" ht="29.25" hidden="1" customHeight="1" x14ac:dyDescent="0.2">
      <c r="A255" s="67">
        <v>252</v>
      </c>
      <c r="B255" s="67" t="s">
        <v>2595</v>
      </c>
      <c r="C255" s="68" t="s">
        <v>2596</v>
      </c>
      <c r="D255" s="69" t="s">
        <v>9</v>
      </c>
      <c r="E255" s="69" t="s">
        <v>2147</v>
      </c>
      <c r="F255" s="69" t="s">
        <v>83</v>
      </c>
      <c r="G255" s="69" t="s">
        <v>92</v>
      </c>
      <c r="H255" s="69"/>
      <c r="I255" s="70"/>
      <c r="J255" s="70"/>
      <c r="K255" s="69"/>
      <c r="L255" s="69"/>
      <c r="M255" s="67"/>
      <c r="N255" s="67" t="s">
        <v>2148</v>
      </c>
      <c r="O255" s="67"/>
      <c r="P255" s="67"/>
      <c r="Q255" s="67"/>
      <c r="R255" s="67"/>
      <c r="S255" s="67"/>
      <c r="T255" s="67"/>
      <c r="U255" s="69"/>
      <c r="V255" s="71"/>
      <c r="W255" s="72"/>
      <c r="X255" s="73"/>
      <c r="Y255" s="73"/>
      <c r="Z255" s="73"/>
    </row>
    <row r="256" spans="1:26" ht="29.25" hidden="1" customHeight="1" x14ac:dyDescent="0.2">
      <c r="A256" s="15">
        <v>253</v>
      </c>
      <c r="B256" s="15" t="s">
        <v>2597</v>
      </c>
      <c r="C256" s="16" t="s">
        <v>2596</v>
      </c>
      <c r="D256" s="6" t="s">
        <v>9</v>
      </c>
      <c r="E256" s="6"/>
      <c r="F256" s="15" t="s">
        <v>7</v>
      </c>
      <c r="G256" s="6" t="s">
        <v>92</v>
      </c>
      <c r="H256" s="6" t="s">
        <v>68</v>
      </c>
      <c r="I256" s="6" t="s">
        <v>69</v>
      </c>
      <c r="J256" s="6" t="s">
        <v>70</v>
      </c>
      <c r="K256" s="6" t="s">
        <v>263</v>
      </c>
      <c r="L256" s="6" t="s">
        <v>119</v>
      </c>
      <c r="M256" s="6" t="s">
        <v>107</v>
      </c>
      <c r="N256" s="6">
        <v>0</v>
      </c>
      <c r="O256" s="6">
        <v>165</v>
      </c>
      <c r="P256" s="6"/>
      <c r="Q256" s="6">
        <v>215</v>
      </c>
      <c r="R256" s="6">
        <v>18.7</v>
      </c>
      <c r="S256" s="6" t="s">
        <v>2595</v>
      </c>
      <c r="T256" s="6" t="s">
        <v>111</v>
      </c>
      <c r="U256" s="6"/>
      <c r="V256" s="15"/>
      <c r="W256" s="6"/>
      <c r="X256" s="15"/>
      <c r="Y256" s="15"/>
      <c r="Z256" s="15"/>
    </row>
    <row r="257" spans="1:26" ht="29.25" hidden="1" customHeight="1" x14ac:dyDescent="0.2">
      <c r="A257" s="67">
        <v>254</v>
      </c>
      <c r="B257" s="67" t="s">
        <v>2598</v>
      </c>
      <c r="C257" s="68" t="s">
        <v>2191</v>
      </c>
      <c r="D257" s="69" t="s">
        <v>20</v>
      </c>
      <c r="E257" s="69"/>
      <c r="F257" s="69" t="s">
        <v>7</v>
      </c>
      <c r="G257" s="69" t="s">
        <v>92</v>
      </c>
      <c r="H257" s="69" t="s">
        <v>140</v>
      </c>
      <c r="I257" s="70" t="s">
        <v>69</v>
      </c>
      <c r="J257" s="70" t="s">
        <v>70</v>
      </c>
      <c r="K257" s="69" t="s">
        <v>2006</v>
      </c>
      <c r="L257" s="69" t="s">
        <v>142</v>
      </c>
      <c r="M257" s="67" t="s">
        <v>70</v>
      </c>
      <c r="N257" s="67" t="s">
        <v>429</v>
      </c>
      <c r="O257" s="67" t="s">
        <v>2214</v>
      </c>
      <c r="P257" s="67" t="s">
        <v>158</v>
      </c>
      <c r="Q257" s="67">
        <v>152</v>
      </c>
      <c r="R257" s="67">
        <v>12</v>
      </c>
      <c r="S257" s="67" t="s">
        <v>2458</v>
      </c>
      <c r="T257" s="67" t="s">
        <v>111</v>
      </c>
      <c r="U257" s="69"/>
      <c r="V257" s="71"/>
      <c r="W257" s="72"/>
      <c r="X257" s="73"/>
      <c r="Y257" s="73"/>
      <c r="Z257" s="73"/>
    </row>
    <row r="258" spans="1:26" ht="21.75" hidden="1" x14ac:dyDescent="0.2">
      <c r="A258" s="15">
        <v>255</v>
      </c>
      <c r="B258" s="15" t="s">
        <v>2599</v>
      </c>
      <c r="C258" s="16" t="s">
        <v>2511</v>
      </c>
      <c r="D258" s="6" t="s">
        <v>10</v>
      </c>
      <c r="E258" s="6" t="s">
        <v>2184</v>
      </c>
      <c r="F258" s="15" t="s">
        <v>83</v>
      </c>
      <c r="G258" s="6" t="s">
        <v>92</v>
      </c>
      <c r="H258" s="6" t="s">
        <v>117</v>
      </c>
      <c r="I258" s="6" t="s">
        <v>69</v>
      </c>
      <c r="J258" s="6" t="s">
        <v>70</v>
      </c>
      <c r="K258" s="6" t="s">
        <v>120</v>
      </c>
      <c r="L258" s="6" t="s">
        <v>369</v>
      </c>
      <c r="M258" s="6" t="s">
        <v>369</v>
      </c>
      <c r="N258" s="6" t="s">
        <v>2510</v>
      </c>
      <c r="O258" s="6"/>
      <c r="P258" s="6"/>
      <c r="Q258" s="6"/>
      <c r="R258" s="6"/>
      <c r="S258" s="6"/>
      <c r="T258" s="6"/>
      <c r="U258" s="6"/>
      <c r="V258" s="15"/>
      <c r="W258" s="6"/>
      <c r="X258" s="15"/>
      <c r="Y258" s="15"/>
      <c r="Z258" s="15" t="s">
        <v>2600</v>
      </c>
    </row>
    <row r="259" spans="1:26" ht="29.25" hidden="1" customHeight="1" x14ac:dyDescent="0.2">
      <c r="A259" s="67">
        <v>256</v>
      </c>
      <c r="B259" s="67" t="s">
        <v>440</v>
      </c>
      <c r="C259" s="68" t="s">
        <v>439</v>
      </c>
      <c r="D259" s="69" t="s">
        <v>10</v>
      </c>
      <c r="E259" s="69"/>
      <c r="F259" s="69" t="s">
        <v>7</v>
      </c>
      <c r="G259" s="69" t="s">
        <v>92</v>
      </c>
      <c r="H259" s="69" t="s">
        <v>104</v>
      </c>
      <c r="I259" s="70" t="s">
        <v>119</v>
      </c>
      <c r="J259" s="70" t="s">
        <v>107</v>
      </c>
      <c r="K259" s="69" t="s">
        <v>402</v>
      </c>
      <c r="L259" s="69" t="s">
        <v>119</v>
      </c>
      <c r="M259" s="67" t="s">
        <v>107</v>
      </c>
      <c r="N259" s="67" t="s">
        <v>429</v>
      </c>
      <c r="O259" s="67" t="s">
        <v>1835</v>
      </c>
      <c r="P259" s="67" t="s">
        <v>158</v>
      </c>
      <c r="Q259" s="67">
        <v>205</v>
      </c>
      <c r="R259" s="67">
        <v>13.5</v>
      </c>
      <c r="S259" s="67" t="s">
        <v>2599</v>
      </c>
      <c r="T259" s="67" t="s">
        <v>111</v>
      </c>
      <c r="U259" s="69"/>
      <c r="V259" s="71"/>
      <c r="W259" s="72"/>
      <c r="X259" s="73"/>
      <c r="Y259" s="73"/>
      <c r="Z259" s="73"/>
    </row>
    <row r="260" spans="1:26" ht="29.25" hidden="1" customHeight="1" x14ac:dyDescent="0.2">
      <c r="A260" s="15">
        <v>257</v>
      </c>
      <c r="B260" s="15" t="s">
        <v>2601</v>
      </c>
      <c r="C260" s="16" t="s">
        <v>2602</v>
      </c>
      <c r="D260" s="6" t="s">
        <v>20</v>
      </c>
      <c r="E260" s="6" t="s">
        <v>2147</v>
      </c>
      <c r="F260" s="15" t="s">
        <v>83</v>
      </c>
      <c r="G260" s="6" t="s">
        <v>92</v>
      </c>
      <c r="H260" s="6" t="s">
        <v>155</v>
      </c>
      <c r="I260" s="6" t="s">
        <v>142</v>
      </c>
      <c r="J260" s="6" t="s">
        <v>2273</v>
      </c>
      <c r="K260" s="6" t="s">
        <v>156</v>
      </c>
      <c r="L260" s="6" t="s">
        <v>206</v>
      </c>
      <c r="M260" s="6" t="s">
        <v>107</v>
      </c>
      <c r="N260" s="6" t="s">
        <v>511</v>
      </c>
      <c r="O260" s="6"/>
      <c r="P260" s="6"/>
      <c r="Q260" s="6"/>
      <c r="R260" s="6"/>
      <c r="S260" s="6"/>
      <c r="T260" s="6"/>
      <c r="U260" s="6"/>
      <c r="V260" s="15"/>
      <c r="W260" s="6"/>
      <c r="X260" s="15"/>
      <c r="Y260" s="15"/>
      <c r="Z260" s="15"/>
    </row>
    <row r="261" spans="1:26" ht="29.25" hidden="1" customHeight="1" x14ac:dyDescent="0.2">
      <c r="A261" s="67">
        <v>258</v>
      </c>
      <c r="B261" s="67" t="s">
        <v>2603</v>
      </c>
      <c r="C261" s="68" t="s">
        <v>2602</v>
      </c>
      <c r="D261" s="69" t="s">
        <v>20</v>
      </c>
      <c r="E261" s="69"/>
      <c r="F261" s="69" t="s">
        <v>7</v>
      </c>
      <c r="G261" s="69" t="s">
        <v>92</v>
      </c>
      <c r="H261" s="69" t="s">
        <v>68</v>
      </c>
      <c r="I261" s="70" t="s">
        <v>119</v>
      </c>
      <c r="J261" s="70" t="s">
        <v>107</v>
      </c>
      <c r="K261" s="69" t="s">
        <v>263</v>
      </c>
      <c r="L261" s="69" t="s">
        <v>119</v>
      </c>
      <c r="M261" s="67" t="s">
        <v>107</v>
      </c>
      <c r="N261" s="67" t="s">
        <v>429</v>
      </c>
      <c r="O261" s="67" t="s">
        <v>2361</v>
      </c>
      <c r="P261" s="67" t="s">
        <v>158</v>
      </c>
      <c r="Q261" s="67">
        <v>194</v>
      </c>
      <c r="R261" s="67">
        <v>22</v>
      </c>
      <c r="S261" s="67" t="s">
        <v>2601</v>
      </c>
      <c r="T261" s="67" t="s">
        <v>111</v>
      </c>
      <c r="U261" s="69"/>
      <c r="V261" s="71"/>
      <c r="W261" s="72"/>
      <c r="X261" s="73"/>
      <c r="Y261" s="73"/>
      <c r="Z261" s="73"/>
    </row>
    <row r="262" spans="1:26" ht="29.25" hidden="1" customHeight="1" x14ac:dyDescent="0.2">
      <c r="A262" s="15">
        <v>259</v>
      </c>
      <c r="B262" s="15" t="s">
        <v>2604</v>
      </c>
      <c r="C262" s="16" t="s">
        <v>2183</v>
      </c>
      <c r="D262" s="6" t="s">
        <v>20</v>
      </c>
      <c r="E262" s="6" t="s">
        <v>2285</v>
      </c>
      <c r="F262" s="15" t="s">
        <v>83</v>
      </c>
      <c r="G262" s="6" t="s">
        <v>92</v>
      </c>
      <c r="H262" s="6" t="s">
        <v>104</v>
      </c>
      <c r="I262" s="6" t="s">
        <v>142</v>
      </c>
      <c r="J262" s="6" t="s">
        <v>70</v>
      </c>
      <c r="K262" s="6" t="s">
        <v>128</v>
      </c>
      <c r="L262" s="6" t="s">
        <v>69</v>
      </c>
      <c r="M262" s="6" t="s">
        <v>70</v>
      </c>
      <c r="N262" s="6" t="s">
        <v>911</v>
      </c>
      <c r="O262" s="6"/>
      <c r="P262" s="6"/>
      <c r="Q262" s="6"/>
      <c r="R262" s="6"/>
      <c r="S262" s="6"/>
      <c r="T262" s="6"/>
      <c r="U262" s="6"/>
      <c r="V262" s="15"/>
      <c r="W262" s="6"/>
      <c r="X262" s="15"/>
      <c r="Y262" s="15"/>
      <c r="Z262" s="15"/>
    </row>
    <row r="263" spans="1:26" ht="29.25" hidden="1" customHeight="1" x14ac:dyDescent="0.2">
      <c r="A263" s="67">
        <v>260</v>
      </c>
      <c r="B263" s="67" t="s">
        <v>2605</v>
      </c>
      <c r="C263" s="68" t="s">
        <v>2511</v>
      </c>
      <c r="D263" s="69" t="s">
        <v>10</v>
      </c>
      <c r="E263" s="69"/>
      <c r="F263" s="69" t="s">
        <v>7</v>
      </c>
      <c r="G263" s="69" t="s">
        <v>92</v>
      </c>
      <c r="H263" s="69" t="s">
        <v>117</v>
      </c>
      <c r="I263" s="70" t="s">
        <v>369</v>
      </c>
      <c r="J263" s="70" t="s">
        <v>369</v>
      </c>
      <c r="K263" s="69" t="s">
        <v>120</v>
      </c>
      <c r="L263" s="69" t="s">
        <v>69</v>
      </c>
      <c r="M263" s="67" t="s">
        <v>70</v>
      </c>
      <c r="N263" s="67">
        <v>0</v>
      </c>
      <c r="O263" s="67">
        <v>174</v>
      </c>
      <c r="P263" s="67"/>
      <c r="Q263" s="67">
        <v>167</v>
      </c>
      <c r="R263" s="67">
        <v>19</v>
      </c>
      <c r="S263" s="67" t="s">
        <v>2603</v>
      </c>
      <c r="T263" s="67" t="s">
        <v>111</v>
      </c>
      <c r="U263" s="69"/>
      <c r="V263" s="71"/>
      <c r="W263" s="72"/>
      <c r="X263" s="73"/>
      <c r="Y263" s="73"/>
      <c r="Z263" s="73"/>
    </row>
    <row r="264" spans="1:26" ht="29.25" hidden="1" customHeight="1" x14ac:dyDescent="0.2">
      <c r="A264" s="15">
        <v>261</v>
      </c>
      <c r="B264" s="15" t="s">
        <v>2606</v>
      </c>
      <c r="C264" s="16" t="s">
        <v>2183</v>
      </c>
      <c r="D264" s="6" t="s">
        <v>20</v>
      </c>
      <c r="E264" s="6"/>
      <c r="F264" s="15" t="s">
        <v>7</v>
      </c>
      <c r="G264" s="6" t="s">
        <v>92</v>
      </c>
      <c r="H264" s="6" t="s">
        <v>104</v>
      </c>
      <c r="I264" s="6" t="s">
        <v>369</v>
      </c>
      <c r="J264" s="6" t="s">
        <v>369</v>
      </c>
      <c r="K264" s="6" t="s">
        <v>128</v>
      </c>
      <c r="L264" s="6" t="s">
        <v>369</v>
      </c>
      <c r="M264" s="6" t="s">
        <v>369</v>
      </c>
      <c r="N264" s="6" t="s">
        <v>429</v>
      </c>
      <c r="O264" s="6" t="s">
        <v>1762</v>
      </c>
      <c r="P264" s="6"/>
      <c r="Q264" s="6">
        <v>280</v>
      </c>
      <c r="R264" s="6">
        <v>9</v>
      </c>
      <c r="S264" s="6" t="s">
        <v>2603</v>
      </c>
      <c r="T264" s="6" t="s">
        <v>160</v>
      </c>
      <c r="U264" s="6"/>
      <c r="V264" s="15"/>
      <c r="W264" s="6"/>
      <c r="X264" s="15"/>
      <c r="Y264" s="15"/>
      <c r="Z264" s="15"/>
    </row>
    <row r="265" spans="1:26" ht="29.25" hidden="1" customHeight="1" x14ac:dyDescent="0.2">
      <c r="A265" s="67">
        <v>262</v>
      </c>
      <c r="B265" s="67" t="s">
        <v>2607</v>
      </c>
      <c r="C265" s="68" t="s">
        <v>2608</v>
      </c>
      <c r="D265" s="69" t="s">
        <v>20</v>
      </c>
      <c r="E265" s="69" t="s">
        <v>2184</v>
      </c>
      <c r="F265" s="69" t="s">
        <v>83</v>
      </c>
      <c r="G265" s="69" t="s">
        <v>92</v>
      </c>
      <c r="H265" s="69" t="s">
        <v>141</v>
      </c>
      <c r="I265" s="70" t="s">
        <v>69</v>
      </c>
      <c r="J265" s="70" t="s">
        <v>70</v>
      </c>
      <c r="K265" s="69" t="s">
        <v>1704</v>
      </c>
      <c r="L265" s="69" t="s">
        <v>444</v>
      </c>
      <c r="M265" s="67" t="s">
        <v>107</v>
      </c>
      <c r="N265" s="67" t="s">
        <v>2609</v>
      </c>
      <c r="O265" s="67"/>
      <c r="P265" s="67"/>
      <c r="Q265" s="67"/>
      <c r="R265" s="67"/>
      <c r="S265" s="67"/>
      <c r="T265" s="67"/>
      <c r="U265" s="69"/>
      <c r="V265" s="71"/>
      <c r="W265" s="72"/>
      <c r="X265" s="73"/>
      <c r="Y265" s="73"/>
      <c r="Z265" s="73"/>
    </row>
    <row r="266" spans="1:26" ht="29.25" hidden="1" customHeight="1" x14ac:dyDescent="0.2">
      <c r="A266" s="15">
        <v>263</v>
      </c>
      <c r="B266" s="15" t="s">
        <v>2610</v>
      </c>
      <c r="C266" s="16" t="s">
        <v>2511</v>
      </c>
      <c r="D266" s="6" t="s">
        <v>10</v>
      </c>
      <c r="E266" s="6" t="s">
        <v>2285</v>
      </c>
      <c r="F266" s="15" t="s">
        <v>83</v>
      </c>
      <c r="G266" s="6" t="s">
        <v>92</v>
      </c>
      <c r="H266" s="6" t="s">
        <v>2611</v>
      </c>
      <c r="I266" s="6" t="s">
        <v>69</v>
      </c>
      <c r="J266" s="6" t="s">
        <v>70</v>
      </c>
      <c r="K266" s="6" t="s">
        <v>120</v>
      </c>
      <c r="L266" s="6" t="s">
        <v>119</v>
      </c>
      <c r="M266" s="6" t="s">
        <v>107</v>
      </c>
      <c r="N266" s="6" t="s">
        <v>2605</v>
      </c>
      <c r="O266" s="6"/>
      <c r="P266" s="6"/>
      <c r="Q266" s="6"/>
      <c r="R266" s="6"/>
      <c r="S266" s="6"/>
      <c r="T266" s="6"/>
      <c r="U266" s="6"/>
      <c r="V266" s="15"/>
      <c r="W266" s="6"/>
      <c r="X266" s="15"/>
      <c r="Y266" s="15"/>
      <c r="Z266" s="15" t="s">
        <v>2612</v>
      </c>
    </row>
    <row r="267" spans="1:26" ht="29.25" hidden="1" customHeight="1" x14ac:dyDescent="0.2">
      <c r="A267" s="67">
        <v>264</v>
      </c>
      <c r="B267" s="67" t="s">
        <v>2613</v>
      </c>
      <c r="C267" s="68" t="s">
        <v>2608</v>
      </c>
      <c r="D267" s="69" t="s">
        <v>20</v>
      </c>
      <c r="E267" s="69"/>
      <c r="F267" s="69" t="s">
        <v>7</v>
      </c>
      <c r="G267" s="69" t="s">
        <v>92</v>
      </c>
      <c r="H267" s="69" t="s">
        <v>141</v>
      </c>
      <c r="I267" s="70" t="s">
        <v>69</v>
      </c>
      <c r="J267" s="70" t="s">
        <v>70</v>
      </c>
      <c r="K267" s="69" t="s">
        <v>957</v>
      </c>
      <c r="L267" s="69" t="s">
        <v>262</v>
      </c>
      <c r="M267" s="67" t="s">
        <v>70</v>
      </c>
      <c r="N267" s="67">
        <v>0</v>
      </c>
      <c r="O267" s="67">
        <v>186</v>
      </c>
      <c r="P267" s="67" t="s">
        <v>158</v>
      </c>
      <c r="Q267" s="67">
        <v>155</v>
      </c>
      <c r="R267" s="67">
        <v>13.2</v>
      </c>
      <c r="S267" s="67" t="s">
        <v>2610</v>
      </c>
      <c r="T267" s="67" t="s">
        <v>111</v>
      </c>
      <c r="U267" s="69"/>
      <c r="V267" s="71"/>
      <c r="W267" s="72"/>
      <c r="X267" s="73"/>
      <c r="Y267" s="73"/>
      <c r="Z267" s="73"/>
    </row>
    <row r="268" spans="1:26" ht="29.25" hidden="1" customHeight="1" x14ac:dyDescent="0.2">
      <c r="A268" s="15">
        <v>265</v>
      </c>
      <c r="B268" s="15" t="s">
        <v>2614</v>
      </c>
      <c r="C268" s="16" t="s">
        <v>2511</v>
      </c>
      <c r="D268" s="6" t="s">
        <v>10</v>
      </c>
      <c r="E268" s="6"/>
      <c r="F268" s="15" t="s">
        <v>7</v>
      </c>
      <c r="G268" s="6" t="s">
        <v>92</v>
      </c>
      <c r="H268" s="6" t="s">
        <v>117</v>
      </c>
      <c r="I268" s="6" t="s">
        <v>69</v>
      </c>
      <c r="J268" s="6" t="s">
        <v>70</v>
      </c>
      <c r="K268" s="6" t="s">
        <v>120</v>
      </c>
      <c r="L268" s="6" t="s">
        <v>119</v>
      </c>
      <c r="M268" s="6" t="s">
        <v>107</v>
      </c>
      <c r="N268" s="6" t="s">
        <v>429</v>
      </c>
      <c r="O268" s="6" t="s">
        <v>2008</v>
      </c>
      <c r="P268" s="6"/>
      <c r="Q268" s="6">
        <v>167</v>
      </c>
      <c r="R268" s="6">
        <v>19</v>
      </c>
      <c r="S268" s="6" t="s">
        <v>2603</v>
      </c>
      <c r="T268" s="6" t="s">
        <v>111</v>
      </c>
      <c r="U268" s="6"/>
      <c r="V268" s="15"/>
      <c r="W268" s="6"/>
      <c r="X268" s="15"/>
      <c r="Y268" s="15"/>
      <c r="Z268" s="15"/>
    </row>
    <row r="269" spans="1:26" ht="29.25" hidden="1" customHeight="1" x14ac:dyDescent="0.2">
      <c r="A269" s="67">
        <v>266</v>
      </c>
      <c r="B269" s="67" t="s">
        <v>2615</v>
      </c>
      <c r="C269" s="68" t="s">
        <v>1647</v>
      </c>
      <c r="D269" s="69" t="s">
        <v>20</v>
      </c>
      <c r="E269" s="69" t="s">
        <v>2147</v>
      </c>
      <c r="F269" s="69" t="s">
        <v>83</v>
      </c>
      <c r="G269" s="69" t="s">
        <v>92</v>
      </c>
      <c r="H269" s="69" t="s">
        <v>68</v>
      </c>
      <c r="I269" s="70" t="s">
        <v>206</v>
      </c>
      <c r="J269" s="70" t="s">
        <v>107</v>
      </c>
      <c r="K269" s="69" t="s">
        <v>263</v>
      </c>
      <c r="L269" s="69" t="s">
        <v>206</v>
      </c>
      <c r="M269" s="67" t="s">
        <v>107</v>
      </c>
      <c r="N269" s="67" t="s">
        <v>2616</v>
      </c>
      <c r="O269" s="67"/>
      <c r="P269" s="67"/>
      <c r="Q269" s="67"/>
      <c r="R269" s="67"/>
      <c r="S269" s="67"/>
      <c r="T269" s="67"/>
      <c r="U269" s="69"/>
      <c r="V269" s="71"/>
      <c r="W269" s="72"/>
      <c r="X269" s="73"/>
      <c r="Y269" s="73"/>
      <c r="Z269" s="73"/>
    </row>
    <row r="270" spans="1:26" ht="29.25" hidden="1" customHeight="1" x14ac:dyDescent="0.2">
      <c r="A270" s="15">
        <v>267</v>
      </c>
      <c r="B270" s="15" t="s">
        <v>2617</v>
      </c>
      <c r="C270" s="16" t="s">
        <v>452</v>
      </c>
      <c r="D270" s="6" t="s">
        <v>9</v>
      </c>
      <c r="E270" s="6" t="s">
        <v>2147</v>
      </c>
      <c r="F270" s="15" t="s">
        <v>83</v>
      </c>
      <c r="G270" s="6" t="s">
        <v>92</v>
      </c>
      <c r="H270" s="6" t="s">
        <v>218</v>
      </c>
      <c r="I270" s="6" t="s">
        <v>1477</v>
      </c>
      <c r="J270" s="6" t="s">
        <v>107</v>
      </c>
      <c r="K270" s="6" t="s">
        <v>453</v>
      </c>
      <c r="L270" s="6" t="s">
        <v>206</v>
      </c>
      <c r="M270" s="6" t="s">
        <v>107</v>
      </c>
      <c r="N270" s="6" t="s">
        <v>2618</v>
      </c>
      <c r="O270" s="6" t="s">
        <v>2405</v>
      </c>
      <c r="P270" s="6"/>
      <c r="Q270" s="6"/>
      <c r="R270" s="6"/>
      <c r="S270" s="6"/>
      <c r="T270" s="6"/>
      <c r="U270" s="6"/>
      <c r="V270" s="15"/>
      <c r="W270" s="6"/>
      <c r="X270" s="15"/>
      <c r="Y270" s="15"/>
      <c r="Z270" s="15" t="s">
        <v>2619</v>
      </c>
    </row>
    <row r="271" spans="1:26" ht="29.25" hidden="1" customHeight="1" x14ac:dyDescent="0.2">
      <c r="A271" s="15">
        <v>209</v>
      </c>
      <c r="B271" s="15" t="s">
        <v>2515</v>
      </c>
      <c r="C271" s="16" t="s">
        <v>2583</v>
      </c>
      <c r="D271" s="6" t="s">
        <v>19</v>
      </c>
      <c r="E271" s="6" t="s">
        <v>172</v>
      </c>
      <c r="F271" s="15" t="s">
        <v>83</v>
      </c>
      <c r="G271" s="6" t="s">
        <v>92</v>
      </c>
      <c r="H271" s="6" t="s">
        <v>117</v>
      </c>
      <c r="I271" s="6" t="s">
        <v>69</v>
      </c>
      <c r="J271" s="6" t="s">
        <v>70</v>
      </c>
      <c r="K271" s="6" t="s">
        <v>470</v>
      </c>
      <c r="L271" s="6" t="s">
        <v>119</v>
      </c>
      <c r="M271" s="6" t="s">
        <v>107</v>
      </c>
      <c r="N271" s="6" t="s">
        <v>2620</v>
      </c>
      <c r="O271" s="6"/>
      <c r="P271" s="6"/>
      <c r="Q271" s="6"/>
      <c r="R271" s="6"/>
      <c r="S271" s="6"/>
      <c r="T271" s="6"/>
      <c r="U271" s="6"/>
      <c r="V271" s="15"/>
      <c r="W271" s="6"/>
      <c r="X271" s="15"/>
      <c r="Y271" s="15"/>
      <c r="Z271" s="15"/>
    </row>
    <row r="272" spans="1:26" ht="29.25" hidden="1" customHeight="1" x14ac:dyDescent="0.2">
      <c r="A272" s="15">
        <v>269</v>
      </c>
      <c r="B272" s="15" t="s">
        <v>2621</v>
      </c>
      <c r="C272" s="16" t="s">
        <v>2291</v>
      </c>
      <c r="D272" s="6" t="s">
        <v>243</v>
      </c>
      <c r="E272" s="6" t="s">
        <v>2147</v>
      </c>
      <c r="F272" s="15" t="s">
        <v>83</v>
      </c>
      <c r="G272" s="6" t="s">
        <v>2167</v>
      </c>
      <c r="H272" s="6" t="s">
        <v>68</v>
      </c>
      <c r="I272" s="6" t="s">
        <v>119</v>
      </c>
      <c r="J272" s="6" t="s">
        <v>107</v>
      </c>
      <c r="K272" s="6" t="s">
        <v>256</v>
      </c>
      <c r="L272" s="6" t="s">
        <v>119</v>
      </c>
      <c r="M272" s="6" t="s">
        <v>107</v>
      </c>
      <c r="N272" s="6" t="s">
        <v>2290</v>
      </c>
      <c r="O272" s="6" t="s">
        <v>216</v>
      </c>
      <c r="P272" s="6"/>
      <c r="Q272" s="6"/>
      <c r="R272" s="6"/>
      <c r="S272" s="6"/>
      <c r="T272" s="6" t="s">
        <v>111</v>
      </c>
      <c r="U272" s="6"/>
      <c r="V272" s="15"/>
      <c r="W272" s="6"/>
      <c r="X272" s="15"/>
      <c r="Y272" s="15"/>
      <c r="Z272" s="15" t="s">
        <v>2622</v>
      </c>
    </row>
    <row r="273" spans="1:26" ht="29.25" hidden="1" customHeight="1" x14ac:dyDescent="0.2">
      <c r="A273" s="67">
        <v>270</v>
      </c>
      <c r="B273" s="67" t="s">
        <v>2621</v>
      </c>
      <c r="C273" s="68" t="s">
        <v>2623</v>
      </c>
      <c r="D273" s="69" t="s">
        <v>243</v>
      </c>
      <c r="E273" s="69" t="s">
        <v>172</v>
      </c>
      <c r="F273" s="69" t="s">
        <v>83</v>
      </c>
      <c r="G273" s="69" t="s">
        <v>2167</v>
      </c>
      <c r="H273" s="69" t="s">
        <v>155</v>
      </c>
      <c r="I273" s="70" t="s">
        <v>262</v>
      </c>
      <c r="J273" s="70" t="s">
        <v>70</v>
      </c>
      <c r="K273" s="69" t="s">
        <v>167</v>
      </c>
      <c r="L273" s="69" t="s">
        <v>262</v>
      </c>
      <c r="M273" s="67" t="s">
        <v>70</v>
      </c>
      <c r="N273" s="67" t="s">
        <v>2624</v>
      </c>
      <c r="O273" s="67">
        <v>216</v>
      </c>
      <c r="P273" s="67" t="s">
        <v>158</v>
      </c>
      <c r="Q273" s="67"/>
      <c r="R273" s="67"/>
      <c r="S273" s="67"/>
      <c r="T273" s="67" t="s">
        <v>160</v>
      </c>
      <c r="U273" s="69"/>
      <c r="V273" s="71"/>
      <c r="W273" s="72"/>
      <c r="X273" s="73"/>
      <c r="Y273" s="73"/>
      <c r="Z273" s="73"/>
    </row>
    <row r="274" spans="1:26" ht="29.25" hidden="1" customHeight="1" x14ac:dyDescent="0.2">
      <c r="A274" s="15">
        <v>271</v>
      </c>
      <c r="B274" s="15" t="s">
        <v>2625</v>
      </c>
      <c r="C274" s="16" t="s">
        <v>2626</v>
      </c>
      <c r="D274" s="6" t="s">
        <v>20</v>
      </c>
      <c r="E274" s="6" t="s">
        <v>2285</v>
      </c>
      <c r="F274" s="15" t="s">
        <v>83</v>
      </c>
      <c r="G274" s="6" t="s">
        <v>92</v>
      </c>
      <c r="H274" s="6" t="s">
        <v>117</v>
      </c>
      <c r="I274" s="6" t="s">
        <v>444</v>
      </c>
      <c r="J274" s="6" t="s">
        <v>107</v>
      </c>
      <c r="K274" s="6" t="s">
        <v>120</v>
      </c>
      <c r="L274" s="6" t="s">
        <v>824</v>
      </c>
      <c r="M274" s="6" t="s">
        <v>107</v>
      </c>
      <c r="N274" s="6" t="s">
        <v>2627</v>
      </c>
      <c r="O274" s="6" t="s">
        <v>2234</v>
      </c>
      <c r="P274" s="6"/>
      <c r="Q274" s="6"/>
      <c r="R274" s="6"/>
      <c r="S274" s="6"/>
      <c r="T274" s="6" t="s">
        <v>111</v>
      </c>
      <c r="U274" s="6"/>
      <c r="V274" s="15"/>
      <c r="W274" s="6"/>
      <c r="X274" s="15"/>
      <c r="Y274" s="15"/>
      <c r="Z274" s="15"/>
    </row>
    <row r="275" spans="1:26" ht="29.25" hidden="1" customHeight="1" x14ac:dyDescent="0.2">
      <c r="A275" s="67">
        <v>272</v>
      </c>
      <c r="B275" s="67" t="s">
        <v>2628</v>
      </c>
      <c r="C275" s="68" t="s">
        <v>2291</v>
      </c>
      <c r="D275" s="69" t="s">
        <v>243</v>
      </c>
      <c r="E275" s="69"/>
      <c r="F275" s="69" t="s">
        <v>7</v>
      </c>
      <c r="G275" s="69" t="s">
        <v>92</v>
      </c>
      <c r="H275" s="69" t="s">
        <v>104</v>
      </c>
      <c r="I275" s="70" t="s">
        <v>69</v>
      </c>
      <c r="J275" s="70" t="s">
        <v>70</v>
      </c>
      <c r="K275" s="69" t="s">
        <v>256</v>
      </c>
      <c r="L275" s="69" t="s">
        <v>119</v>
      </c>
      <c r="M275" s="67" t="s">
        <v>70</v>
      </c>
      <c r="N275" s="67">
        <v>0</v>
      </c>
      <c r="O275" s="67">
        <v>120</v>
      </c>
      <c r="P275" s="67"/>
      <c r="Q275" s="67">
        <v>127</v>
      </c>
      <c r="R275" s="67">
        <v>27</v>
      </c>
      <c r="S275" s="67" t="s">
        <v>2625</v>
      </c>
      <c r="T275" s="67" t="s">
        <v>111</v>
      </c>
      <c r="U275" s="69"/>
      <c r="V275" s="71"/>
      <c r="W275" s="72"/>
      <c r="X275" s="73"/>
      <c r="Y275" s="73"/>
      <c r="Z275" s="73"/>
    </row>
    <row r="276" spans="1:26" ht="29.25" hidden="1" customHeight="1" x14ac:dyDescent="0.2">
      <c r="A276" s="15">
        <v>273</v>
      </c>
      <c r="B276" s="15" t="s">
        <v>2629</v>
      </c>
      <c r="C276" s="16" t="s">
        <v>2626</v>
      </c>
      <c r="D276" s="6" t="s">
        <v>20</v>
      </c>
      <c r="E276" s="6"/>
      <c r="F276" s="15" t="s">
        <v>7</v>
      </c>
      <c r="G276" s="6" t="s">
        <v>92</v>
      </c>
      <c r="H276" s="6" t="s">
        <v>117</v>
      </c>
      <c r="I276" s="6" t="s">
        <v>69</v>
      </c>
      <c r="J276" s="6" t="s">
        <v>70</v>
      </c>
      <c r="K276" s="6" t="s">
        <v>120</v>
      </c>
      <c r="L276" s="6" t="s">
        <v>119</v>
      </c>
      <c r="M276" s="6" t="s">
        <v>107</v>
      </c>
      <c r="N276" s="6" t="s">
        <v>429</v>
      </c>
      <c r="O276" s="6" t="s">
        <v>2414</v>
      </c>
      <c r="P276" s="6"/>
      <c r="Q276" s="6">
        <v>167</v>
      </c>
      <c r="R276" s="6">
        <v>19</v>
      </c>
      <c r="S276" s="6" t="s">
        <v>2625</v>
      </c>
      <c r="T276" s="6" t="s">
        <v>111</v>
      </c>
      <c r="U276" s="6"/>
      <c r="V276" s="15"/>
      <c r="W276" s="6"/>
      <c r="X276" s="15"/>
      <c r="Y276" s="15"/>
      <c r="Z276" s="15" t="s">
        <v>2630</v>
      </c>
    </row>
    <row r="277" spans="1:26" ht="29.25" hidden="1" customHeight="1" x14ac:dyDescent="0.2">
      <c r="A277" s="67">
        <v>274</v>
      </c>
      <c r="B277" s="67" t="s">
        <v>2631</v>
      </c>
      <c r="C277" s="68" t="s">
        <v>102</v>
      </c>
      <c r="D277" s="69" t="s">
        <v>10</v>
      </c>
      <c r="E277" s="69" t="s">
        <v>2147</v>
      </c>
      <c r="F277" s="69" t="s">
        <v>83</v>
      </c>
      <c r="G277" s="69" t="s">
        <v>92</v>
      </c>
      <c r="H277" s="69" t="s">
        <v>68</v>
      </c>
      <c r="I277" s="70" t="s">
        <v>142</v>
      </c>
      <c r="J277" s="70" t="s">
        <v>70</v>
      </c>
      <c r="K277" s="69" t="s">
        <v>332</v>
      </c>
      <c r="L277" s="69" t="s">
        <v>69</v>
      </c>
      <c r="M277" s="67" t="s">
        <v>70</v>
      </c>
      <c r="N277" s="67" t="s">
        <v>2632</v>
      </c>
      <c r="O277" s="67">
        <v>214</v>
      </c>
      <c r="P277" s="67"/>
      <c r="Q277" s="67"/>
      <c r="R277" s="67"/>
      <c r="S277" s="67"/>
      <c r="T277" s="67" t="s">
        <v>111</v>
      </c>
      <c r="U277" s="69"/>
      <c r="V277" s="71"/>
      <c r="W277" s="72"/>
      <c r="X277" s="73"/>
      <c r="Y277" s="73"/>
      <c r="Z277" s="73"/>
    </row>
    <row r="278" spans="1:26" ht="29.25" hidden="1" customHeight="1" x14ac:dyDescent="0.2">
      <c r="A278" s="15">
        <v>275</v>
      </c>
      <c r="B278" s="15" t="s">
        <v>1650</v>
      </c>
      <c r="C278" s="16" t="s">
        <v>1647</v>
      </c>
      <c r="D278" s="6" t="s">
        <v>20</v>
      </c>
      <c r="E278" s="6"/>
      <c r="F278" s="15" t="s">
        <v>7</v>
      </c>
      <c r="G278" s="6" t="s">
        <v>92</v>
      </c>
      <c r="H278" s="6" t="s">
        <v>68</v>
      </c>
      <c r="I278" s="6" t="s">
        <v>119</v>
      </c>
      <c r="J278" s="6" t="s">
        <v>107</v>
      </c>
      <c r="K278" s="6" t="s">
        <v>263</v>
      </c>
      <c r="L278" s="6" t="s">
        <v>119</v>
      </c>
      <c r="M278" s="6" t="s">
        <v>107</v>
      </c>
      <c r="N278" s="6" t="s">
        <v>429</v>
      </c>
      <c r="O278" s="6" t="s">
        <v>2008</v>
      </c>
      <c r="P278" s="6"/>
      <c r="Q278" s="6"/>
      <c r="R278" s="6"/>
      <c r="S278" s="6"/>
      <c r="T278" s="6" t="s">
        <v>160</v>
      </c>
      <c r="U278" s="6"/>
      <c r="V278" s="15"/>
      <c r="W278" s="6"/>
      <c r="X278" s="15"/>
      <c r="Y278" s="15"/>
      <c r="Z278" s="15"/>
    </row>
    <row r="279" spans="1:26" ht="29.25" hidden="1" customHeight="1" x14ac:dyDescent="0.2">
      <c r="A279" s="67">
        <v>276</v>
      </c>
      <c r="B279" s="67" t="s">
        <v>2633</v>
      </c>
      <c r="C279" s="68" t="s">
        <v>2634</v>
      </c>
      <c r="D279" s="69" t="s">
        <v>8</v>
      </c>
      <c r="E279" s="69" t="s">
        <v>2147</v>
      </c>
      <c r="F279" s="69" t="s">
        <v>83</v>
      </c>
      <c r="G279" s="69" t="s">
        <v>92</v>
      </c>
      <c r="H279" s="69" t="s">
        <v>226</v>
      </c>
      <c r="I279" s="70" t="s">
        <v>206</v>
      </c>
      <c r="J279" s="70" t="s">
        <v>107</v>
      </c>
      <c r="K279" s="69" t="s">
        <v>2253</v>
      </c>
      <c r="L279" s="69" t="s">
        <v>69</v>
      </c>
      <c r="M279" s="67" t="s">
        <v>70</v>
      </c>
      <c r="N279" s="67" t="s">
        <v>2635</v>
      </c>
      <c r="O279" s="67">
        <v>132</v>
      </c>
      <c r="P279" s="67"/>
      <c r="Q279" s="67"/>
      <c r="R279" s="67"/>
      <c r="S279" s="67"/>
      <c r="T279" s="67" t="s">
        <v>111</v>
      </c>
      <c r="U279" s="69"/>
      <c r="V279" s="71"/>
      <c r="W279" s="72"/>
      <c r="X279" s="73"/>
      <c r="Y279" s="73"/>
      <c r="Z279" s="73"/>
    </row>
    <row r="280" spans="1:26" ht="29.25" hidden="1" customHeight="1" x14ac:dyDescent="0.2">
      <c r="A280" s="15">
        <v>277</v>
      </c>
      <c r="B280" s="15" t="s">
        <v>2633</v>
      </c>
      <c r="C280" s="16" t="s">
        <v>2634</v>
      </c>
      <c r="D280" s="6" t="s">
        <v>8</v>
      </c>
      <c r="E280" s="6"/>
      <c r="F280" s="15" t="s">
        <v>7</v>
      </c>
      <c r="G280" s="6" t="s">
        <v>92</v>
      </c>
      <c r="H280" s="6" t="s">
        <v>226</v>
      </c>
      <c r="I280" s="6" t="s">
        <v>142</v>
      </c>
      <c r="J280" s="6" t="s">
        <v>70</v>
      </c>
      <c r="K280" s="6" t="s">
        <v>2253</v>
      </c>
      <c r="L280" s="6" t="s">
        <v>119</v>
      </c>
      <c r="M280" s="6" t="s">
        <v>107</v>
      </c>
      <c r="N280" s="6" t="s">
        <v>429</v>
      </c>
      <c r="O280" s="6" t="s">
        <v>2361</v>
      </c>
      <c r="P280" s="6"/>
      <c r="Q280" s="6">
        <v>75</v>
      </c>
      <c r="R280" s="6">
        <v>14.9</v>
      </c>
      <c r="S280" s="6" t="s">
        <v>1650</v>
      </c>
      <c r="T280" s="6" t="s">
        <v>111</v>
      </c>
      <c r="U280" s="6"/>
      <c r="V280" s="15"/>
      <c r="W280" s="6"/>
      <c r="X280" s="15"/>
      <c r="Y280" s="15"/>
      <c r="Z280" s="15"/>
    </row>
    <row r="281" spans="1:26" ht="29.25" hidden="1" customHeight="1" x14ac:dyDescent="0.2">
      <c r="A281" s="67">
        <v>278</v>
      </c>
      <c r="B281" s="67" t="s">
        <v>521</v>
      </c>
      <c r="C281" s="68" t="s">
        <v>2299</v>
      </c>
      <c r="D281" s="69" t="s">
        <v>243</v>
      </c>
      <c r="E281" s="69"/>
      <c r="F281" s="69" t="s">
        <v>7</v>
      </c>
      <c r="G281" s="69" t="s">
        <v>92</v>
      </c>
      <c r="H281" s="69" t="s">
        <v>141</v>
      </c>
      <c r="I281" s="70" t="s">
        <v>119</v>
      </c>
      <c r="J281" s="70" t="s">
        <v>107</v>
      </c>
      <c r="K281" s="69" t="s">
        <v>957</v>
      </c>
      <c r="L281" s="69" t="s">
        <v>119</v>
      </c>
      <c r="M281" s="67" t="s">
        <v>107</v>
      </c>
      <c r="N281" s="67">
        <v>0</v>
      </c>
      <c r="O281" s="67">
        <v>126</v>
      </c>
      <c r="P281" s="67" t="s">
        <v>158</v>
      </c>
      <c r="Q281" s="67">
        <v>138</v>
      </c>
      <c r="R281" s="67">
        <v>14</v>
      </c>
      <c r="S281" s="67" t="s">
        <v>1650</v>
      </c>
      <c r="T281" s="67" t="s">
        <v>111</v>
      </c>
      <c r="U281" s="69"/>
      <c r="V281" s="71"/>
      <c r="W281" s="72"/>
      <c r="X281" s="73"/>
      <c r="Y281" s="73"/>
      <c r="Z281" s="73"/>
    </row>
    <row r="282" spans="1:26" ht="29.25" hidden="1" customHeight="1" x14ac:dyDescent="0.2">
      <c r="A282" s="15">
        <v>279</v>
      </c>
      <c r="B282" s="15" t="s">
        <v>520</v>
      </c>
      <c r="C282" s="16" t="s">
        <v>1670</v>
      </c>
      <c r="D282" s="6" t="s">
        <v>8</v>
      </c>
      <c r="E282" s="6" t="s">
        <v>2147</v>
      </c>
      <c r="F282" s="15" t="s">
        <v>83</v>
      </c>
      <c r="G282" s="6" t="s">
        <v>2167</v>
      </c>
      <c r="H282" s="6" t="s">
        <v>140</v>
      </c>
      <c r="I282" s="6" t="s">
        <v>206</v>
      </c>
      <c r="J282" s="6" t="s">
        <v>107</v>
      </c>
      <c r="K282" s="6" t="s">
        <v>143</v>
      </c>
      <c r="L282" s="6" t="s">
        <v>206</v>
      </c>
      <c r="M282" s="6" t="s">
        <v>107</v>
      </c>
      <c r="N282" s="6" t="s">
        <v>2636</v>
      </c>
      <c r="O282" s="6" t="s">
        <v>2637</v>
      </c>
      <c r="P282" s="6" t="s">
        <v>158</v>
      </c>
      <c r="Q282" s="6"/>
      <c r="R282" s="6"/>
      <c r="S282" s="6"/>
      <c r="T282" s="6" t="s">
        <v>111</v>
      </c>
      <c r="U282" s="6"/>
      <c r="V282" s="15"/>
      <c r="W282" s="6"/>
      <c r="X282" s="15"/>
      <c r="Y282" s="15"/>
      <c r="Z282" s="15"/>
    </row>
    <row r="283" spans="1:26" ht="29.25" hidden="1" customHeight="1" x14ac:dyDescent="0.2">
      <c r="A283" s="67">
        <v>280</v>
      </c>
      <c r="B283" s="67" t="s">
        <v>520</v>
      </c>
      <c r="C283" s="68" t="s">
        <v>2623</v>
      </c>
      <c r="D283" s="69" t="s">
        <v>243</v>
      </c>
      <c r="E283" s="69"/>
      <c r="F283" s="69" t="s">
        <v>7</v>
      </c>
      <c r="G283" s="69" t="s">
        <v>2167</v>
      </c>
      <c r="H283" s="69" t="s">
        <v>68</v>
      </c>
      <c r="I283" s="70" t="s">
        <v>69</v>
      </c>
      <c r="J283" s="70" t="s">
        <v>70</v>
      </c>
      <c r="K283" s="69" t="s">
        <v>263</v>
      </c>
      <c r="L283" s="69" t="s">
        <v>119</v>
      </c>
      <c r="M283" s="67" t="s">
        <v>107</v>
      </c>
      <c r="N283" s="67">
        <v>0</v>
      </c>
      <c r="O283" s="67">
        <v>216</v>
      </c>
      <c r="P283" s="67" t="s">
        <v>158</v>
      </c>
      <c r="Q283" s="67">
        <v>221</v>
      </c>
      <c r="R283" s="67">
        <v>17</v>
      </c>
      <c r="S283" s="67" t="s">
        <v>521</v>
      </c>
      <c r="T283" s="67" t="s">
        <v>160</v>
      </c>
      <c r="U283" s="69"/>
      <c r="V283" s="71"/>
      <c r="W283" s="72"/>
      <c r="X283" s="73"/>
      <c r="Y283" s="73"/>
      <c r="Z283" s="73"/>
    </row>
    <row r="284" spans="1:26" ht="29.25" hidden="1" customHeight="1" x14ac:dyDescent="0.2">
      <c r="A284" s="15">
        <v>281</v>
      </c>
      <c r="B284" s="15" t="s">
        <v>520</v>
      </c>
      <c r="C284" s="16" t="s">
        <v>102</v>
      </c>
      <c r="D284" s="6" t="s">
        <v>10</v>
      </c>
      <c r="E284" s="6"/>
      <c r="F284" s="15" t="s">
        <v>7</v>
      </c>
      <c r="G284" s="6" t="s">
        <v>92</v>
      </c>
      <c r="H284" s="6" t="s">
        <v>104</v>
      </c>
      <c r="I284" s="6" t="s">
        <v>69</v>
      </c>
      <c r="J284" s="6" t="s">
        <v>70</v>
      </c>
      <c r="K284" s="6" t="s">
        <v>361</v>
      </c>
      <c r="L284" s="6" t="s">
        <v>119</v>
      </c>
      <c r="M284" s="6" t="s">
        <v>107</v>
      </c>
      <c r="N284" s="6" t="s">
        <v>429</v>
      </c>
      <c r="O284" s="6" t="s">
        <v>1724</v>
      </c>
      <c r="P284" s="6" t="s">
        <v>158</v>
      </c>
      <c r="Q284" s="6">
        <v>185</v>
      </c>
      <c r="R284" s="6">
        <v>19</v>
      </c>
      <c r="S284" s="6" t="s">
        <v>2633</v>
      </c>
      <c r="T284" s="6" t="s">
        <v>111</v>
      </c>
      <c r="U284" s="6"/>
      <c r="V284" s="15"/>
      <c r="W284" s="6"/>
      <c r="X284" s="15"/>
      <c r="Y284" s="15"/>
      <c r="Z284" s="15"/>
    </row>
    <row r="285" spans="1:26" ht="29.25" hidden="1" customHeight="1" x14ac:dyDescent="0.2">
      <c r="A285" s="67">
        <v>282</v>
      </c>
      <c r="B285" s="67" t="s">
        <v>1506</v>
      </c>
      <c r="C285" s="68" t="s">
        <v>2555</v>
      </c>
      <c r="D285" s="69" t="s">
        <v>19</v>
      </c>
      <c r="E285" s="69"/>
      <c r="F285" s="69" t="s">
        <v>7</v>
      </c>
      <c r="G285" s="69" t="s">
        <v>92</v>
      </c>
      <c r="H285" s="69" t="s">
        <v>68</v>
      </c>
      <c r="I285" s="70" t="s">
        <v>69</v>
      </c>
      <c r="J285" s="70" t="s">
        <v>70</v>
      </c>
      <c r="K285" s="69" t="s">
        <v>332</v>
      </c>
      <c r="L285" s="69" t="s">
        <v>119</v>
      </c>
      <c r="M285" s="67" t="s">
        <v>107</v>
      </c>
      <c r="N285" s="67">
        <v>0</v>
      </c>
      <c r="O285" s="67">
        <v>210</v>
      </c>
      <c r="P285" s="67"/>
      <c r="Q285" s="67">
        <v>164</v>
      </c>
      <c r="R285" s="67">
        <v>24</v>
      </c>
      <c r="S285" s="67" t="s">
        <v>520</v>
      </c>
      <c r="T285" s="67" t="s">
        <v>111</v>
      </c>
      <c r="U285" s="69"/>
      <c r="V285" s="71"/>
      <c r="W285" s="72"/>
      <c r="X285" s="73"/>
      <c r="Y285" s="73"/>
      <c r="Z285" s="73"/>
    </row>
    <row r="286" spans="1:26" ht="29.25" hidden="1" customHeight="1" x14ac:dyDescent="0.2">
      <c r="A286" s="15">
        <v>283</v>
      </c>
      <c r="B286" s="15" t="s">
        <v>2638</v>
      </c>
      <c r="C286" s="16" t="s">
        <v>2543</v>
      </c>
      <c r="D286" s="6" t="s">
        <v>20</v>
      </c>
      <c r="E286" s="6"/>
      <c r="F286" s="15" t="s">
        <v>7</v>
      </c>
      <c r="G286" s="6" t="s">
        <v>2167</v>
      </c>
      <c r="H286" s="6" t="s">
        <v>117</v>
      </c>
      <c r="I286" s="6" t="s">
        <v>69</v>
      </c>
      <c r="J286" s="6" t="s">
        <v>70</v>
      </c>
      <c r="K286" s="6" t="s">
        <v>120</v>
      </c>
      <c r="L286" s="6" t="s">
        <v>69</v>
      </c>
      <c r="M286" s="6" t="s">
        <v>70</v>
      </c>
      <c r="N286" s="6" t="s">
        <v>429</v>
      </c>
      <c r="O286" s="6" t="s">
        <v>2405</v>
      </c>
      <c r="P286" s="6" t="s">
        <v>158</v>
      </c>
      <c r="Q286" s="6">
        <v>158</v>
      </c>
      <c r="R286" s="6">
        <v>20</v>
      </c>
      <c r="S286" s="6" t="s">
        <v>1506</v>
      </c>
      <c r="T286" s="6" t="s">
        <v>160</v>
      </c>
      <c r="U286" s="6"/>
      <c r="V286" s="15"/>
      <c r="W286" s="6"/>
      <c r="X286" s="15"/>
      <c r="Y286" s="15"/>
      <c r="Z286" s="15"/>
    </row>
    <row r="287" spans="1:26" ht="29.25" hidden="1" customHeight="1" x14ac:dyDescent="0.2">
      <c r="A287" s="67">
        <v>284</v>
      </c>
      <c r="B287" s="67" t="s">
        <v>2639</v>
      </c>
      <c r="C287" s="68" t="s">
        <v>2640</v>
      </c>
      <c r="D287" s="69" t="s">
        <v>10</v>
      </c>
      <c r="E287" s="69"/>
      <c r="F287" s="69" t="s">
        <v>7</v>
      </c>
      <c r="G287" s="69" t="s">
        <v>2641</v>
      </c>
      <c r="H287" s="69" t="s">
        <v>68</v>
      </c>
      <c r="I287" s="70" t="s">
        <v>69</v>
      </c>
      <c r="J287" s="70" t="s">
        <v>70</v>
      </c>
      <c r="K287" s="69" t="s">
        <v>332</v>
      </c>
      <c r="L287" s="69" t="s">
        <v>142</v>
      </c>
      <c r="M287" s="67" t="s">
        <v>70</v>
      </c>
      <c r="N287" s="67">
        <v>0</v>
      </c>
      <c r="O287" s="67">
        <v>213</v>
      </c>
      <c r="P287" s="67"/>
      <c r="Q287" s="67">
        <v>200</v>
      </c>
      <c r="R287" s="67">
        <v>12</v>
      </c>
      <c r="S287" s="67" t="s">
        <v>2642</v>
      </c>
      <c r="T287" s="67" t="s">
        <v>160</v>
      </c>
      <c r="U287" s="69"/>
      <c r="V287" s="71"/>
      <c r="W287" s="72"/>
      <c r="X287" s="73"/>
      <c r="Y287" s="73"/>
      <c r="Z287" s="73"/>
    </row>
    <row r="288" spans="1:26" ht="29.25" hidden="1" customHeight="1" x14ac:dyDescent="0.2">
      <c r="A288" s="15">
        <v>285</v>
      </c>
      <c r="B288" s="15" t="s">
        <v>1505</v>
      </c>
      <c r="C288" s="16" t="s">
        <v>1501</v>
      </c>
      <c r="D288" s="6" t="s">
        <v>10</v>
      </c>
      <c r="E288" s="6"/>
      <c r="F288" s="15" t="s">
        <v>7</v>
      </c>
      <c r="G288" s="6" t="s">
        <v>627</v>
      </c>
      <c r="H288" s="6" t="s">
        <v>104</v>
      </c>
      <c r="I288" s="6" t="s">
        <v>119</v>
      </c>
      <c r="J288" s="6" t="s">
        <v>107</v>
      </c>
      <c r="K288" s="6" t="s">
        <v>402</v>
      </c>
      <c r="L288" s="6" t="s">
        <v>119</v>
      </c>
      <c r="M288" s="6" t="s">
        <v>107</v>
      </c>
      <c r="N288" s="6" t="s">
        <v>429</v>
      </c>
      <c r="O288" s="6" t="s">
        <v>419</v>
      </c>
      <c r="P288" s="6" t="s">
        <v>158</v>
      </c>
      <c r="Q288" s="6">
        <v>231</v>
      </c>
      <c r="R288" s="6">
        <v>12</v>
      </c>
      <c r="S288" s="6" t="s">
        <v>1506</v>
      </c>
      <c r="T288" s="6" t="s">
        <v>160</v>
      </c>
      <c r="U288" s="6"/>
      <c r="V288" s="15"/>
      <c r="W288" s="6"/>
      <c r="X288" s="15"/>
      <c r="Y288" s="15"/>
      <c r="Z288" s="15"/>
    </row>
    <row r="289" spans="1:26" ht="29.25" hidden="1" customHeight="1" x14ac:dyDescent="0.2">
      <c r="A289" s="67">
        <v>286</v>
      </c>
      <c r="B289" s="67" t="s">
        <v>1505</v>
      </c>
      <c r="C289" s="68" t="s">
        <v>2643</v>
      </c>
      <c r="D289" s="69" t="s">
        <v>9</v>
      </c>
      <c r="E289" s="69" t="s">
        <v>2147</v>
      </c>
      <c r="F289" s="69" t="s">
        <v>83</v>
      </c>
      <c r="G289" s="69" t="s">
        <v>2167</v>
      </c>
      <c r="H289" s="69" t="s">
        <v>141</v>
      </c>
      <c r="I289" s="70"/>
      <c r="J289" s="70"/>
      <c r="K289" s="69" t="s">
        <v>1051</v>
      </c>
      <c r="L289" s="69"/>
      <c r="M289" s="67"/>
      <c r="N289" s="67" t="s">
        <v>2148</v>
      </c>
      <c r="O289" s="67">
        <v>126</v>
      </c>
      <c r="P289" s="67"/>
      <c r="Q289" s="67"/>
      <c r="R289" s="67"/>
      <c r="S289" s="67"/>
      <c r="T289" s="67" t="s">
        <v>111</v>
      </c>
      <c r="U289" s="69"/>
      <c r="V289" s="71"/>
      <c r="W289" s="72"/>
      <c r="X289" s="73"/>
      <c r="Y289" s="73"/>
      <c r="Z289" s="73"/>
    </row>
    <row r="290" spans="1:26" ht="29.25" hidden="1" customHeight="1" x14ac:dyDescent="0.2">
      <c r="A290" s="15">
        <v>287</v>
      </c>
      <c r="B290" s="15" t="s">
        <v>2644</v>
      </c>
      <c r="C290" s="16" t="s">
        <v>2643</v>
      </c>
      <c r="D290" s="6" t="s">
        <v>9</v>
      </c>
      <c r="E290" s="6" t="s">
        <v>192</v>
      </c>
      <c r="F290" s="15" t="s">
        <v>7</v>
      </c>
      <c r="G290" s="6" t="s">
        <v>2167</v>
      </c>
      <c r="H290" s="6" t="s">
        <v>141</v>
      </c>
      <c r="I290" s="6" t="s">
        <v>262</v>
      </c>
      <c r="J290" s="6" t="s">
        <v>70</v>
      </c>
      <c r="K290" s="6" t="s">
        <v>1051</v>
      </c>
      <c r="L290" s="6" t="s">
        <v>69</v>
      </c>
      <c r="M290" s="6" t="s">
        <v>70</v>
      </c>
      <c r="N290" s="6" t="s">
        <v>429</v>
      </c>
      <c r="O290" s="6" t="s">
        <v>2483</v>
      </c>
      <c r="P290" s="6"/>
      <c r="Q290" s="6"/>
      <c r="R290" s="6"/>
      <c r="S290" s="6"/>
      <c r="T290" s="6" t="s">
        <v>111</v>
      </c>
      <c r="U290" s="6"/>
      <c r="V290" s="15"/>
      <c r="W290" s="6"/>
      <c r="X290" s="15"/>
      <c r="Y290" s="15"/>
      <c r="Z290" s="15"/>
    </row>
    <row r="291" spans="1:26" ht="29.25" hidden="1" customHeight="1" x14ac:dyDescent="0.2">
      <c r="A291" s="67">
        <v>288</v>
      </c>
      <c r="B291" s="67" t="s">
        <v>2645</v>
      </c>
      <c r="C291" s="68" t="s">
        <v>2511</v>
      </c>
      <c r="D291" s="69" t="s">
        <v>10</v>
      </c>
      <c r="E291" s="69" t="s">
        <v>2285</v>
      </c>
      <c r="F291" s="69" t="s">
        <v>83</v>
      </c>
      <c r="G291" s="69" t="s">
        <v>627</v>
      </c>
      <c r="H291" s="69" t="s">
        <v>117</v>
      </c>
      <c r="I291" s="70" t="s">
        <v>69</v>
      </c>
      <c r="J291" s="70" t="s">
        <v>70</v>
      </c>
      <c r="K291" s="69" t="s">
        <v>120</v>
      </c>
      <c r="L291" s="69" t="s">
        <v>119</v>
      </c>
      <c r="M291" s="67" t="s">
        <v>107</v>
      </c>
      <c r="N291" s="67" t="s">
        <v>2614</v>
      </c>
      <c r="O291" s="67">
        <v>174</v>
      </c>
      <c r="P291" s="67"/>
      <c r="Q291" s="67"/>
      <c r="R291" s="67"/>
      <c r="S291" s="67"/>
      <c r="T291" s="67" t="s">
        <v>111</v>
      </c>
      <c r="U291" s="69"/>
      <c r="V291" s="71"/>
      <c r="W291" s="72"/>
      <c r="X291" s="73"/>
      <c r="Y291" s="73"/>
      <c r="Z291" s="73" t="s">
        <v>2646</v>
      </c>
    </row>
    <row r="292" spans="1:26" ht="29.25" hidden="1" customHeight="1" x14ac:dyDescent="0.2">
      <c r="A292" s="15">
        <v>289</v>
      </c>
      <c r="B292" s="15" t="s">
        <v>2647</v>
      </c>
      <c r="C292" s="16" t="s">
        <v>2511</v>
      </c>
      <c r="D292" s="6" t="s">
        <v>10</v>
      </c>
      <c r="E292" s="6"/>
      <c r="F292" s="15" t="s">
        <v>7</v>
      </c>
      <c r="G292" s="6" t="s">
        <v>92</v>
      </c>
      <c r="H292" s="6" t="s">
        <v>117</v>
      </c>
      <c r="I292" s="6" t="s">
        <v>369</v>
      </c>
      <c r="J292" s="6" t="s">
        <v>369</v>
      </c>
      <c r="K292" s="6" t="s">
        <v>120</v>
      </c>
      <c r="L292" s="6" t="s">
        <v>119</v>
      </c>
      <c r="M292" s="6" t="s">
        <v>107</v>
      </c>
      <c r="N292" s="6" t="s">
        <v>429</v>
      </c>
      <c r="O292" s="6" t="s">
        <v>2008</v>
      </c>
      <c r="P292" s="6"/>
      <c r="Q292" s="6">
        <v>167</v>
      </c>
      <c r="R292" s="6">
        <v>19</v>
      </c>
      <c r="S292" s="6" t="s">
        <v>2644</v>
      </c>
      <c r="T292" s="6" t="s">
        <v>111</v>
      </c>
      <c r="U292" s="6"/>
      <c r="V292" s="15"/>
      <c r="W292" s="6"/>
      <c r="X292" s="15"/>
      <c r="Y292" s="15"/>
      <c r="Z292" s="15" t="s">
        <v>2646</v>
      </c>
    </row>
    <row r="293" spans="1:26" ht="29.25" hidden="1" customHeight="1" x14ac:dyDescent="0.2">
      <c r="A293" s="67">
        <v>290</v>
      </c>
      <c r="B293" s="67" t="s">
        <v>2648</v>
      </c>
      <c r="C293" s="68" t="s">
        <v>967</v>
      </c>
      <c r="D293" s="69" t="s">
        <v>10</v>
      </c>
      <c r="E293" s="69" t="s">
        <v>2285</v>
      </c>
      <c r="F293" s="69" t="s">
        <v>83</v>
      </c>
      <c r="G293" s="69" t="s">
        <v>92</v>
      </c>
      <c r="H293" s="69" t="s">
        <v>155</v>
      </c>
      <c r="I293" s="70" t="s">
        <v>262</v>
      </c>
      <c r="J293" s="70" t="s">
        <v>70</v>
      </c>
      <c r="K293" s="69" t="s">
        <v>167</v>
      </c>
      <c r="L293" s="69" t="s">
        <v>119</v>
      </c>
      <c r="M293" s="67" t="s">
        <v>107</v>
      </c>
      <c r="N293" s="67" t="s">
        <v>2649</v>
      </c>
      <c r="O293" s="67">
        <v>186</v>
      </c>
      <c r="P293" s="67" t="s">
        <v>158</v>
      </c>
      <c r="Q293" s="67"/>
      <c r="R293" s="67"/>
      <c r="S293" s="67"/>
      <c r="T293" s="67" t="s">
        <v>111</v>
      </c>
      <c r="U293" s="69"/>
      <c r="V293" s="71"/>
      <c r="W293" s="72"/>
      <c r="X293" s="73"/>
      <c r="Y293" s="73"/>
      <c r="Z293" s="73"/>
    </row>
    <row r="294" spans="1:26" ht="29.25" hidden="1" customHeight="1" x14ac:dyDescent="0.2">
      <c r="A294" s="15">
        <v>291</v>
      </c>
      <c r="B294" s="15" t="s">
        <v>2650</v>
      </c>
      <c r="C294" s="16" t="s">
        <v>1038</v>
      </c>
      <c r="D294" s="6" t="s">
        <v>243</v>
      </c>
      <c r="E294" s="6" t="s">
        <v>2147</v>
      </c>
      <c r="F294" s="15" t="s">
        <v>83</v>
      </c>
      <c r="G294" s="6" t="s">
        <v>92</v>
      </c>
      <c r="H294" s="6" t="s">
        <v>104</v>
      </c>
      <c r="I294" s="6" t="s">
        <v>444</v>
      </c>
      <c r="J294" s="6" t="s">
        <v>107</v>
      </c>
      <c r="K294" s="6" t="s">
        <v>256</v>
      </c>
      <c r="L294" s="6" t="s">
        <v>824</v>
      </c>
      <c r="M294" s="6" t="s">
        <v>107</v>
      </c>
      <c r="N294" s="6" t="s">
        <v>2651</v>
      </c>
      <c r="O294" s="6" t="s">
        <v>2652</v>
      </c>
      <c r="P294" s="6"/>
      <c r="Q294" s="6"/>
      <c r="R294" s="6"/>
      <c r="S294" s="6"/>
      <c r="T294" s="6" t="s">
        <v>111</v>
      </c>
      <c r="U294" s="6"/>
      <c r="V294" s="15"/>
      <c r="W294" s="6"/>
      <c r="X294" s="15"/>
      <c r="Y294" s="15"/>
      <c r="Z294" s="15"/>
    </row>
    <row r="295" spans="1:26" ht="29.25" hidden="1" customHeight="1" x14ac:dyDescent="0.2">
      <c r="A295" s="67">
        <v>292</v>
      </c>
      <c r="B295" s="67" t="s">
        <v>2650</v>
      </c>
      <c r="C295" s="68" t="s">
        <v>1297</v>
      </c>
      <c r="D295" s="69" t="s">
        <v>6</v>
      </c>
      <c r="E295" s="69" t="s">
        <v>2285</v>
      </c>
      <c r="F295" s="69" t="s">
        <v>83</v>
      </c>
      <c r="G295" s="69" t="s">
        <v>2167</v>
      </c>
      <c r="H295" s="69" t="s">
        <v>68</v>
      </c>
      <c r="I295" s="70" t="s">
        <v>119</v>
      </c>
      <c r="J295" s="70" t="s">
        <v>107</v>
      </c>
      <c r="K295" s="69" t="s">
        <v>263</v>
      </c>
      <c r="L295" s="69" t="s">
        <v>119</v>
      </c>
      <c r="M295" s="67" t="s">
        <v>107</v>
      </c>
      <c r="N295" s="67" t="s">
        <v>2161</v>
      </c>
      <c r="O295" s="67">
        <v>174</v>
      </c>
      <c r="P295" s="67" t="s">
        <v>158</v>
      </c>
      <c r="Q295" s="67"/>
      <c r="R295" s="67"/>
      <c r="S295" s="67"/>
      <c r="T295" s="67" t="s">
        <v>111</v>
      </c>
      <c r="U295" s="69"/>
      <c r="V295" s="71"/>
      <c r="W295" s="72"/>
      <c r="X295" s="73"/>
      <c r="Y295" s="73"/>
      <c r="Z295" s="73"/>
    </row>
    <row r="296" spans="1:26" ht="29.25" hidden="1" customHeight="1" x14ac:dyDescent="0.2">
      <c r="A296" s="15">
        <v>293</v>
      </c>
      <c r="B296" s="15" t="s">
        <v>2653</v>
      </c>
      <c r="C296" s="16" t="s">
        <v>2217</v>
      </c>
      <c r="D296" s="6" t="s">
        <v>6</v>
      </c>
      <c r="E296" s="6"/>
      <c r="F296" s="15" t="s">
        <v>7</v>
      </c>
      <c r="G296" s="6" t="s">
        <v>92</v>
      </c>
      <c r="H296" s="6" t="s">
        <v>223</v>
      </c>
      <c r="I296" s="6" t="s">
        <v>369</v>
      </c>
      <c r="J296" s="6" t="s">
        <v>369</v>
      </c>
      <c r="K296" s="6" t="s">
        <v>1013</v>
      </c>
      <c r="L296" s="6" t="s">
        <v>69</v>
      </c>
      <c r="M296" s="6" t="s">
        <v>70</v>
      </c>
      <c r="N296" s="6" t="s">
        <v>429</v>
      </c>
      <c r="O296" s="6" t="s">
        <v>1762</v>
      </c>
      <c r="P296" s="6" t="s">
        <v>158</v>
      </c>
      <c r="Q296" s="6">
        <v>189</v>
      </c>
      <c r="R296" s="6">
        <v>5.2</v>
      </c>
      <c r="S296" s="6" t="s">
        <v>2650</v>
      </c>
      <c r="T296" s="6" t="s">
        <v>160</v>
      </c>
      <c r="U296" s="6"/>
      <c r="V296" s="15"/>
      <c r="W296" s="6"/>
      <c r="X296" s="15"/>
      <c r="Y296" s="15"/>
      <c r="Z296" s="15"/>
    </row>
    <row r="297" spans="1:26" ht="29.25" hidden="1" customHeight="1" x14ac:dyDescent="0.2">
      <c r="A297" s="67">
        <v>294</v>
      </c>
      <c r="B297" s="67" t="s">
        <v>2654</v>
      </c>
      <c r="C297" s="68" t="s">
        <v>1631</v>
      </c>
      <c r="D297" s="69" t="s">
        <v>6</v>
      </c>
      <c r="E297" s="69" t="s">
        <v>192</v>
      </c>
      <c r="F297" s="69" t="s">
        <v>7</v>
      </c>
      <c r="G297" s="69" t="s">
        <v>92</v>
      </c>
      <c r="H297" s="69" t="s">
        <v>155</v>
      </c>
      <c r="I297" s="70" t="s">
        <v>69</v>
      </c>
      <c r="J297" s="70" t="s">
        <v>70</v>
      </c>
      <c r="K297" s="69" t="s">
        <v>167</v>
      </c>
      <c r="L297" s="69" t="s">
        <v>119</v>
      </c>
      <c r="M297" s="67" t="s">
        <v>107</v>
      </c>
      <c r="N297" s="67">
        <v>0</v>
      </c>
      <c r="O297" s="67">
        <v>240</v>
      </c>
      <c r="P297" s="67"/>
      <c r="Q297" s="67">
        <v>189</v>
      </c>
      <c r="R297" s="67">
        <v>5.2</v>
      </c>
      <c r="S297" s="67" t="s">
        <v>2650</v>
      </c>
      <c r="T297" s="67" t="s">
        <v>160</v>
      </c>
      <c r="U297" s="69"/>
      <c r="V297" s="71"/>
      <c r="W297" s="72"/>
      <c r="X297" s="73"/>
      <c r="Y297" s="73"/>
      <c r="Z297" s="73"/>
    </row>
    <row r="298" spans="1:26" ht="29.25" hidden="1" customHeight="1" x14ac:dyDescent="0.2">
      <c r="A298" s="15">
        <v>295</v>
      </c>
      <c r="B298" s="15" t="s">
        <v>2655</v>
      </c>
      <c r="C298" s="16" t="s">
        <v>609</v>
      </c>
      <c r="D298" s="6" t="s">
        <v>6</v>
      </c>
      <c r="E298" s="6" t="s">
        <v>2285</v>
      </c>
      <c r="F298" s="15" t="s">
        <v>83</v>
      </c>
      <c r="G298" s="6" t="s">
        <v>92</v>
      </c>
      <c r="H298" s="6" t="s">
        <v>155</v>
      </c>
      <c r="I298" s="6" t="s">
        <v>142</v>
      </c>
      <c r="J298" s="6" t="s">
        <v>70</v>
      </c>
      <c r="K298" s="6" t="s">
        <v>167</v>
      </c>
      <c r="L298" s="6" t="s">
        <v>142</v>
      </c>
      <c r="M298" s="6" t="s">
        <v>70</v>
      </c>
      <c r="N298" s="6" t="s">
        <v>2656</v>
      </c>
      <c r="O298" s="6" t="s">
        <v>1963</v>
      </c>
      <c r="P298" s="6" t="s">
        <v>158</v>
      </c>
      <c r="Q298" s="6">
        <v>188</v>
      </c>
      <c r="R298" s="6">
        <v>28.2</v>
      </c>
      <c r="S298" s="6" t="s">
        <v>2657</v>
      </c>
      <c r="T298" s="6" t="s">
        <v>160</v>
      </c>
      <c r="U298" s="6"/>
      <c r="V298" s="15"/>
      <c r="W298" s="6"/>
      <c r="X298" s="15"/>
      <c r="Y298" s="15"/>
      <c r="Z298" s="15"/>
    </row>
    <row r="299" spans="1:26" ht="29.25" hidden="1" customHeight="1" x14ac:dyDescent="0.2">
      <c r="A299" s="67">
        <v>296</v>
      </c>
      <c r="B299" s="67" t="s">
        <v>613</v>
      </c>
      <c r="C299" s="68" t="s">
        <v>2658</v>
      </c>
      <c r="D299" s="69" t="s">
        <v>6</v>
      </c>
      <c r="E299" s="69" t="s">
        <v>2285</v>
      </c>
      <c r="F299" s="69" t="s">
        <v>83</v>
      </c>
      <c r="G299" s="69" t="s">
        <v>92</v>
      </c>
      <c r="H299" s="69" t="s">
        <v>155</v>
      </c>
      <c r="I299" s="70" t="s">
        <v>69</v>
      </c>
      <c r="J299" s="70" t="s">
        <v>70</v>
      </c>
      <c r="K299" s="69" t="s">
        <v>324</v>
      </c>
      <c r="L299" s="69" t="s">
        <v>69</v>
      </c>
      <c r="M299" s="67" t="s">
        <v>70</v>
      </c>
      <c r="N299" s="67" t="s">
        <v>2659</v>
      </c>
      <c r="O299" s="67">
        <v>156</v>
      </c>
      <c r="P299" s="67"/>
      <c r="Q299" s="67">
        <v>0</v>
      </c>
      <c r="R299" s="67">
        <v>0</v>
      </c>
      <c r="S299" s="67">
        <v>0</v>
      </c>
      <c r="T299" s="67" t="s">
        <v>111</v>
      </c>
      <c r="U299" s="69"/>
      <c r="V299" s="71"/>
      <c r="W299" s="72"/>
      <c r="X299" s="73"/>
      <c r="Y299" s="73"/>
      <c r="Z299" s="73"/>
    </row>
    <row r="300" spans="1:26" ht="29.25" hidden="1" customHeight="1" x14ac:dyDescent="0.2">
      <c r="A300" s="15">
        <v>297</v>
      </c>
      <c r="B300" s="15" t="s">
        <v>612</v>
      </c>
      <c r="C300" s="16" t="s">
        <v>609</v>
      </c>
      <c r="D300" s="6" t="s">
        <v>6</v>
      </c>
      <c r="E300" s="6"/>
      <c r="F300" s="15" t="s">
        <v>7</v>
      </c>
      <c r="G300" s="6" t="s">
        <v>92</v>
      </c>
      <c r="H300" s="6" t="s">
        <v>218</v>
      </c>
      <c r="I300" s="6" t="s">
        <v>119</v>
      </c>
      <c r="J300" s="6" t="s">
        <v>107</v>
      </c>
      <c r="K300" s="6" t="s">
        <v>268</v>
      </c>
      <c r="L300" s="6" t="s">
        <v>119</v>
      </c>
      <c r="M300" s="6" t="s">
        <v>107</v>
      </c>
      <c r="N300" s="6" t="s">
        <v>429</v>
      </c>
      <c r="O300" s="6" t="s">
        <v>1963</v>
      </c>
      <c r="P300" s="6" t="s">
        <v>158</v>
      </c>
      <c r="Q300" s="6">
        <v>221</v>
      </c>
      <c r="R300" s="6">
        <v>24</v>
      </c>
      <c r="S300" s="6" t="s">
        <v>613</v>
      </c>
      <c r="T300" s="6" t="s">
        <v>160</v>
      </c>
      <c r="U300" s="6"/>
      <c r="V300" s="15"/>
      <c r="W300" s="6"/>
      <c r="X300" s="15"/>
      <c r="Y300" s="15"/>
      <c r="Z300" s="15"/>
    </row>
    <row r="301" spans="1:26" ht="29.25" hidden="1" customHeight="1" x14ac:dyDescent="0.2">
      <c r="A301" s="67">
        <v>298</v>
      </c>
      <c r="B301" s="67" t="s">
        <v>2660</v>
      </c>
      <c r="C301" s="68" t="s">
        <v>2658</v>
      </c>
      <c r="D301" s="69" t="s">
        <v>6</v>
      </c>
      <c r="E301" s="69"/>
      <c r="F301" s="69" t="s">
        <v>7</v>
      </c>
      <c r="G301" s="69" t="s">
        <v>92</v>
      </c>
      <c r="H301" s="69" t="s">
        <v>155</v>
      </c>
      <c r="I301" s="70" t="s">
        <v>119</v>
      </c>
      <c r="J301" s="70" t="s">
        <v>107</v>
      </c>
      <c r="K301" s="69" t="s">
        <v>324</v>
      </c>
      <c r="L301" s="69" t="s">
        <v>142</v>
      </c>
      <c r="M301" s="67" t="s">
        <v>70</v>
      </c>
      <c r="N301" s="67">
        <v>0</v>
      </c>
      <c r="O301" s="67">
        <v>156</v>
      </c>
      <c r="P301" s="67"/>
      <c r="Q301" s="67">
        <v>170</v>
      </c>
      <c r="R301" s="67">
        <v>27</v>
      </c>
      <c r="S301" s="67" t="s">
        <v>612</v>
      </c>
      <c r="T301" s="67" t="s">
        <v>111</v>
      </c>
      <c r="U301" s="69"/>
      <c r="V301" s="71"/>
      <c r="W301" s="72"/>
      <c r="X301" s="73"/>
      <c r="Y301" s="73"/>
      <c r="Z301" s="73"/>
    </row>
    <row r="302" spans="1:26" ht="29.25" hidden="1" customHeight="1" x14ac:dyDescent="0.2">
      <c r="A302" s="15">
        <v>299</v>
      </c>
      <c r="B302" s="15" t="s">
        <v>2661</v>
      </c>
      <c r="C302" s="16" t="s">
        <v>2662</v>
      </c>
      <c r="D302" s="6" t="s">
        <v>20</v>
      </c>
      <c r="E302" s="6" t="s">
        <v>2147</v>
      </c>
      <c r="F302" s="15" t="s">
        <v>83</v>
      </c>
      <c r="G302" s="6" t="s">
        <v>627</v>
      </c>
      <c r="H302" s="6" t="s">
        <v>117</v>
      </c>
      <c r="I302" s="6" t="s">
        <v>142</v>
      </c>
      <c r="J302" s="6" t="s">
        <v>70</v>
      </c>
      <c r="K302" s="6" t="s">
        <v>338</v>
      </c>
      <c r="L302" s="6" t="s">
        <v>2175</v>
      </c>
      <c r="M302" s="6" t="s">
        <v>107</v>
      </c>
      <c r="N302" s="6" t="s">
        <v>2663</v>
      </c>
      <c r="O302" s="6" t="s">
        <v>2008</v>
      </c>
      <c r="P302" s="6"/>
      <c r="Q302" s="6" t="s">
        <v>1963</v>
      </c>
      <c r="R302" s="6" t="s">
        <v>2664</v>
      </c>
      <c r="S302" s="6" t="s">
        <v>2665</v>
      </c>
      <c r="T302" s="6" t="s">
        <v>111</v>
      </c>
      <c r="U302" s="6"/>
      <c r="V302" s="15"/>
      <c r="W302" s="6"/>
      <c r="X302" s="15"/>
      <c r="Y302" s="15"/>
      <c r="Z302" s="15"/>
    </row>
    <row r="303" spans="1:26" ht="29.25" hidden="1" customHeight="1" x14ac:dyDescent="0.2">
      <c r="A303" s="15">
        <v>203</v>
      </c>
      <c r="B303" s="15" t="s">
        <v>2666</v>
      </c>
      <c r="C303" s="16" t="s">
        <v>2341</v>
      </c>
      <c r="D303" s="6" t="s">
        <v>6</v>
      </c>
      <c r="E303" s="6" t="s">
        <v>172</v>
      </c>
      <c r="F303" s="15" t="s">
        <v>83</v>
      </c>
      <c r="G303" s="6" t="s">
        <v>92</v>
      </c>
      <c r="H303" s="6" t="s">
        <v>117</v>
      </c>
      <c r="I303" s="6" t="s">
        <v>69</v>
      </c>
      <c r="J303" s="6" t="s">
        <v>70</v>
      </c>
      <c r="K303" s="6" t="s">
        <v>306</v>
      </c>
      <c r="L303" s="6" t="s">
        <v>69</v>
      </c>
      <c r="M303" s="6" t="s">
        <v>70</v>
      </c>
      <c r="N303" s="6" t="s">
        <v>2384</v>
      </c>
      <c r="O303" s="6"/>
      <c r="P303" s="6"/>
      <c r="Q303" s="6"/>
      <c r="R303" s="6"/>
      <c r="S303" s="6"/>
      <c r="T303" s="6"/>
      <c r="U303" s="6"/>
      <c r="V303" s="15"/>
      <c r="W303" s="6"/>
      <c r="X303" s="15"/>
      <c r="Y303" s="15"/>
      <c r="Z303" s="15" t="s">
        <v>2667</v>
      </c>
    </row>
    <row r="304" spans="1:26" ht="29.25" hidden="1" customHeight="1" x14ac:dyDescent="0.2">
      <c r="A304" s="15">
        <v>301</v>
      </c>
      <c r="B304" s="15" t="s">
        <v>2668</v>
      </c>
      <c r="C304" s="16" t="s">
        <v>2669</v>
      </c>
      <c r="D304" s="6" t="s">
        <v>20</v>
      </c>
      <c r="E304" s="6" t="s">
        <v>2147</v>
      </c>
      <c r="F304" s="15" t="s">
        <v>83</v>
      </c>
      <c r="G304" s="6" t="s">
        <v>92</v>
      </c>
      <c r="H304" s="6" t="s">
        <v>140</v>
      </c>
      <c r="I304" s="6" t="s">
        <v>262</v>
      </c>
      <c r="J304" s="6" t="s">
        <v>70</v>
      </c>
      <c r="K304" s="6" t="s">
        <v>328</v>
      </c>
      <c r="L304" s="6" t="s">
        <v>206</v>
      </c>
      <c r="M304" s="6" t="s">
        <v>107</v>
      </c>
      <c r="N304" s="6" t="s">
        <v>2670</v>
      </c>
      <c r="O304" s="6" t="s">
        <v>2249</v>
      </c>
      <c r="P304" s="6" t="s">
        <v>158</v>
      </c>
      <c r="Q304" s="6" t="s">
        <v>1963</v>
      </c>
      <c r="R304" s="6" t="s">
        <v>718</v>
      </c>
      <c r="S304" s="6" t="s">
        <v>2671</v>
      </c>
      <c r="T304" s="6" t="s">
        <v>111</v>
      </c>
      <c r="U304" s="6"/>
      <c r="V304" s="15"/>
      <c r="W304" s="6"/>
      <c r="X304" s="15"/>
      <c r="Y304" s="15"/>
      <c r="Z304" s="15"/>
    </row>
    <row r="305" spans="1:26" ht="29.25" hidden="1" customHeight="1" x14ac:dyDescent="0.2">
      <c r="A305" s="67">
        <v>302</v>
      </c>
      <c r="B305" s="67" t="s">
        <v>2672</v>
      </c>
      <c r="C305" s="68" t="s">
        <v>452</v>
      </c>
      <c r="D305" s="69" t="s">
        <v>9</v>
      </c>
      <c r="E305" s="69" t="s">
        <v>2147</v>
      </c>
      <c r="F305" s="69" t="s">
        <v>83</v>
      </c>
      <c r="G305" s="69" t="s">
        <v>2167</v>
      </c>
      <c r="H305" s="69" t="s">
        <v>218</v>
      </c>
      <c r="I305" s="70" t="s">
        <v>1477</v>
      </c>
      <c r="J305" s="70" t="s">
        <v>107</v>
      </c>
      <c r="K305" s="69" t="s">
        <v>453</v>
      </c>
      <c r="L305" s="69" t="s">
        <v>206</v>
      </c>
      <c r="M305" s="67" t="s">
        <v>107</v>
      </c>
      <c r="N305" s="67" t="s">
        <v>2618</v>
      </c>
      <c r="O305" s="67" t="s">
        <v>2405</v>
      </c>
      <c r="P305" s="67"/>
      <c r="Q305" s="67" t="s">
        <v>1729</v>
      </c>
      <c r="R305" s="67" t="s">
        <v>1103</v>
      </c>
      <c r="S305" s="67" t="s">
        <v>2212</v>
      </c>
      <c r="T305" s="67" t="s">
        <v>111</v>
      </c>
      <c r="U305" s="69"/>
      <c r="V305" s="71"/>
      <c r="W305" s="72"/>
      <c r="X305" s="73"/>
      <c r="Y305" s="73"/>
      <c r="Z305" s="73"/>
    </row>
    <row r="306" spans="1:26" ht="29.25" hidden="1" customHeight="1" x14ac:dyDescent="0.2">
      <c r="A306" s="15">
        <v>303</v>
      </c>
      <c r="B306" s="15" t="s">
        <v>1511</v>
      </c>
      <c r="C306" s="16" t="s">
        <v>1508</v>
      </c>
      <c r="D306" s="6" t="s">
        <v>10</v>
      </c>
      <c r="E306" s="6"/>
      <c r="F306" s="15" t="s">
        <v>7</v>
      </c>
      <c r="G306" s="6" t="s">
        <v>92</v>
      </c>
      <c r="H306" s="6" t="s">
        <v>117</v>
      </c>
      <c r="I306" s="6" t="s">
        <v>106</v>
      </c>
      <c r="J306" s="6" t="s">
        <v>107</v>
      </c>
      <c r="K306" s="6" t="s">
        <v>204</v>
      </c>
      <c r="L306" s="6" t="s">
        <v>119</v>
      </c>
      <c r="M306" s="6" t="s">
        <v>107</v>
      </c>
      <c r="N306" s="6">
        <v>0</v>
      </c>
      <c r="O306" s="6">
        <v>192</v>
      </c>
      <c r="P306" s="6"/>
      <c r="Q306" s="6">
        <v>211</v>
      </c>
      <c r="R306" s="6">
        <v>11.5</v>
      </c>
      <c r="S306" s="6" t="s">
        <v>1513</v>
      </c>
      <c r="T306" s="6" t="s">
        <v>111</v>
      </c>
      <c r="U306" s="6"/>
      <c r="V306" s="15"/>
      <c r="W306" s="6"/>
      <c r="X306" s="15"/>
      <c r="Y306" s="15"/>
      <c r="Z306" s="15"/>
    </row>
    <row r="307" spans="1:26" ht="29.25" hidden="1" customHeight="1" x14ac:dyDescent="0.2">
      <c r="A307" s="67">
        <v>304</v>
      </c>
      <c r="B307" s="67" t="s">
        <v>2673</v>
      </c>
      <c r="C307" s="68" t="s">
        <v>2669</v>
      </c>
      <c r="D307" s="69" t="s">
        <v>20</v>
      </c>
      <c r="E307" s="69"/>
      <c r="F307" s="69" t="s">
        <v>7</v>
      </c>
      <c r="G307" s="69" t="s">
        <v>92</v>
      </c>
      <c r="H307" s="69" t="s">
        <v>140</v>
      </c>
      <c r="I307" s="70" t="s">
        <v>69</v>
      </c>
      <c r="J307" s="70" t="s">
        <v>70</v>
      </c>
      <c r="K307" s="69" t="s">
        <v>338</v>
      </c>
      <c r="L307" s="69" t="s">
        <v>142</v>
      </c>
      <c r="M307" s="67" t="s">
        <v>70</v>
      </c>
      <c r="N307" s="67" t="s">
        <v>429</v>
      </c>
      <c r="O307" s="67" t="s">
        <v>2249</v>
      </c>
      <c r="P307" s="67" t="s">
        <v>158</v>
      </c>
      <c r="Q307" s="67" t="s">
        <v>2674</v>
      </c>
      <c r="R307" s="67" t="s">
        <v>2675</v>
      </c>
      <c r="S307" s="67" t="s">
        <v>2672</v>
      </c>
      <c r="T307" s="67" t="s">
        <v>111</v>
      </c>
      <c r="U307" s="69"/>
      <c r="V307" s="71"/>
      <c r="W307" s="72"/>
      <c r="X307" s="73"/>
      <c r="Y307" s="73"/>
      <c r="Z307" s="73"/>
    </row>
    <row r="308" spans="1:26" ht="29.25" hidden="1" customHeight="1" x14ac:dyDescent="0.2">
      <c r="A308" s="15">
        <v>305</v>
      </c>
      <c r="B308" s="15" t="s">
        <v>1655</v>
      </c>
      <c r="C308" s="16" t="s">
        <v>1652</v>
      </c>
      <c r="D308" s="6" t="s">
        <v>10</v>
      </c>
      <c r="E308" s="6"/>
      <c r="F308" s="15" t="s">
        <v>7</v>
      </c>
      <c r="G308" s="6" t="s">
        <v>92</v>
      </c>
      <c r="H308" s="6" t="s">
        <v>155</v>
      </c>
      <c r="I308" s="6" t="s">
        <v>69</v>
      </c>
      <c r="J308" s="6" t="s">
        <v>70</v>
      </c>
      <c r="K308" s="6" t="s">
        <v>324</v>
      </c>
      <c r="L308" s="6" t="s">
        <v>119</v>
      </c>
      <c r="M308" s="6" t="s">
        <v>107</v>
      </c>
      <c r="N308" s="6">
        <v>0</v>
      </c>
      <c r="O308" s="6">
        <v>210</v>
      </c>
      <c r="P308" s="6"/>
      <c r="Q308" s="6">
        <v>170</v>
      </c>
      <c r="R308" s="6">
        <v>27.7</v>
      </c>
      <c r="S308" s="6" t="s">
        <v>2569</v>
      </c>
      <c r="T308" s="6" t="s">
        <v>160</v>
      </c>
      <c r="U308" s="6"/>
      <c r="V308" s="15"/>
      <c r="W308" s="6"/>
      <c r="X308" s="15"/>
      <c r="Y308" s="15"/>
      <c r="Z308" s="15"/>
    </row>
    <row r="309" spans="1:26" ht="29.25" hidden="1" customHeight="1" x14ac:dyDescent="0.2">
      <c r="A309" s="67">
        <v>306</v>
      </c>
      <c r="B309" s="67" t="s">
        <v>2676</v>
      </c>
      <c r="C309" s="68" t="s">
        <v>2662</v>
      </c>
      <c r="D309" s="69" t="s">
        <v>20</v>
      </c>
      <c r="E309" s="69"/>
      <c r="F309" s="69" t="s">
        <v>7</v>
      </c>
      <c r="G309" s="69" t="s">
        <v>92</v>
      </c>
      <c r="H309" s="69" t="s">
        <v>104</v>
      </c>
      <c r="I309" s="70" t="s">
        <v>69</v>
      </c>
      <c r="J309" s="70" t="s">
        <v>70</v>
      </c>
      <c r="K309" s="69" t="s">
        <v>120</v>
      </c>
      <c r="L309" s="69" t="s">
        <v>142</v>
      </c>
      <c r="M309" s="67" t="s">
        <v>70</v>
      </c>
      <c r="N309" s="67" t="s">
        <v>429</v>
      </c>
      <c r="O309" s="67" t="s">
        <v>2008</v>
      </c>
      <c r="P309" s="67" t="s">
        <v>158</v>
      </c>
      <c r="Q309" s="67" t="s">
        <v>2431</v>
      </c>
      <c r="R309" s="67" t="s">
        <v>2373</v>
      </c>
      <c r="S309" s="67" t="s">
        <v>1655</v>
      </c>
      <c r="T309" s="67" t="s">
        <v>111</v>
      </c>
      <c r="U309" s="69"/>
      <c r="V309" s="71"/>
      <c r="W309" s="72"/>
      <c r="X309" s="73"/>
      <c r="Y309" s="73"/>
      <c r="Z309" s="73"/>
    </row>
    <row r="310" spans="1:26" ht="29.25" hidden="1" customHeight="1" x14ac:dyDescent="0.2">
      <c r="A310" s="15">
        <v>307</v>
      </c>
      <c r="B310" s="15" t="s">
        <v>2677</v>
      </c>
      <c r="C310" s="16" t="s">
        <v>2211</v>
      </c>
      <c r="D310" s="6" t="s">
        <v>10</v>
      </c>
      <c r="E310" s="6" t="s">
        <v>202</v>
      </c>
      <c r="F310" s="15" t="s">
        <v>83</v>
      </c>
      <c r="G310" s="6" t="s">
        <v>92</v>
      </c>
      <c r="H310" s="6" t="s">
        <v>155</v>
      </c>
      <c r="I310" s="6" t="s">
        <v>69</v>
      </c>
      <c r="J310" s="6" t="s">
        <v>70</v>
      </c>
      <c r="K310" s="6" t="s">
        <v>170</v>
      </c>
      <c r="L310" s="6" t="s">
        <v>119</v>
      </c>
      <c r="M310" s="6" t="s">
        <v>107</v>
      </c>
      <c r="N310" s="6" t="s">
        <v>2305</v>
      </c>
      <c r="O310" s="6">
        <v>208</v>
      </c>
      <c r="P310" s="6" t="s">
        <v>158</v>
      </c>
      <c r="Q310" s="6">
        <v>278</v>
      </c>
      <c r="R310" s="6">
        <v>19.399999999999999</v>
      </c>
      <c r="S310" s="6" t="s">
        <v>2298</v>
      </c>
      <c r="T310" s="6" t="s">
        <v>160</v>
      </c>
      <c r="U310" s="6"/>
      <c r="V310" s="15"/>
      <c r="W310" s="6"/>
      <c r="X310" s="15"/>
      <c r="Y310" s="15"/>
      <c r="Z310" s="15"/>
    </row>
    <row r="311" spans="1:26" ht="29.25" hidden="1" customHeight="1" x14ac:dyDescent="0.2">
      <c r="A311" s="67">
        <v>308</v>
      </c>
      <c r="B311" s="67" t="s">
        <v>1767</v>
      </c>
      <c r="C311" s="68" t="s">
        <v>1764</v>
      </c>
      <c r="D311" s="69" t="s">
        <v>10</v>
      </c>
      <c r="E311" s="69"/>
      <c r="F311" s="69" t="s">
        <v>7</v>
      </c>
      <c r="G311" s="69" t="s">
        <v>92</v>
      </c>
      <c r="H311" s="69" t="s">
        <v>104</v>
      </c>
      <c r="I311" s="70" t="s">
        <v>69</v>
      </c>
      <c r="J311" s="70" t="s">
        <v>70</v>
      </c>
      <c r="K311" s="69" t="s">
        <v>125</v>
      </c>
      <c r="L311" s="69" t="s">
        <v>73</v>
      </c>
      <c r="M311" s="67" t="s">
        <v>70</v>
      </c>
      <c r="N311" s="67" t="s">
        <v>429</v>
      </c>
      <c r="O311" s="67" t="s">
        <v>2267</v>
      </c>
      <c r="P311" s="67" t="s">
        <v>158</v>
      </c>
      <c r="Q311" s="67" t="s">
        <v>1663</v>
      </c>
      <c r="R311" s="67" t="s">
        <v>2258</v>
      </c>
      <c r="S311" s="67" t="s">
        <v>2678</v>
      </c>
      <c r="T311" s="67" t="s">
        <v>111</v>
      </c>
      <c r="U311" s="69"/>
      <c r="V311" s="71"/>
      <c r="W311" s="72"/>
      <c r="X311" s="73"/>
      <c r="Y311" s="73"/>
      <c r="Z311" s="73"/>
    </row>
    <row r="312" spans="1:26" ht="29.25" hidden="1" customHeight="1" x14ac:dyDescent="0.2">
      <c r="A312" s="15">
        <v>309</v>
      </c>
      <c r="B312" s="15" t="s">
        <v>1351</v>
      </c>
      <c r="C312" s="16" t="s">
        <v>1347</v>
      </c>
      <c r="D312" s="6" t="s">
        <v>66</v>
      </c>
      <c r="E312" s="6" t="s">
        <v>2285</v>
      </c>
      <c r="F312" s="15" t="s">
        <v>83</v>
      </c>
      <c r="G312" s="6" t="s">
        <v>92</v>
      </c>
      <c r="H312" s="6" t="s">
        <v>117</v>
      </c>
      <c r="I312" s="6"/>
      <c r="J312" s="6"/>
      <c r="K312" s="6" t="s">
        <v>120</v>
      </c>
      <c r="L312" s="6"/>
      <c r="M312" s="6"/>
      <c r="N312" s="6">
        <v>0</v>
      </c>
      <c r="O312" s="6">
        <v>108</v>
      </c>
      <c r="P312" s="6"/>
      <c r="Q312" s="6">
        <v>0</v>
      </c>
      <c r="R312" s="6">
        <v>0</v>
      </c>
      <c r="S312" s="6">
        <v>0</v>
      </c>
      <c r="T312" s="6" t="s">
        <v>111</v>
      </c>
      <c r="U312" s="6"/>
      <c r="V312" s="15"/>
      <c r="W312" s="6"/>
      <c r="X312" s="15"/>
      <c r="Y312" s="15"/>
      <c r="Z312" s="15"/>
    </row>
    <row r="313" spans="1:26" ht="29.25" hidden="1" customHeight="1" x14ac:dyDescent="0.2">
      <c r="A313" s="67">
        <v>310</v>
      </c>
      <c r="B313" s="67" t="s">
        <v>1350</v>
      </c>
      <c r="C313" s="68" t="s">
        <v>1347</v>
      </c>
      <c r="D313" s="69" t="s">
        <v>66</v>
      </c>
      <c r="E313" s="69"/>
      <c r="F313" s="69" t="s">
        <v>7</v>
      </c>
      <c r="G313" s="69" t="s">
        <v>92</v>
      </c>
      <c r="H313" s="69" t="s">
        <v>117</v>
      </c>
      <c r="I313" s="70" t="s">
        <v>369</v>
      </c>
      <c r="J313" s="70" t="s">
        <v>369</v>
      </c>
      <c r="K313" s="69" t="s">
        <v>120</v>
      </c>
      <c r="L313" s="69" t="s">
        <v>119</v>
      </c>
      <c r="M313" s="67" t="s">
        <v>107</v>
      </c>
      <c r="N313" s="67" t="s">
        <v>429</v>
      </c>
      <c r="O313" s="67" t="s">
        <v>2679</v>
      </c>
      <c r="P313" s="67"/>
      <c r="Q313" s="67" t="s">
        <v>1803</v>
      </c>
      <c r="R313" s="67" t="s">
        <v>223</v>
      </c>
      <c r="S313" s="67" t="s">
        <v>1351</v>
      </c>
      <c r="T313" s="67" t="s">
        <v>111</v>
      </c>
      <c r="U313" s="69"/>
      <c r="V313" s="71"/>
      <c r="W313" s="72"/>
      <c r="X313" s="73"/>
      <c r="Y313" s="73"/>
      <c r="Z313" s="73"/>
    </row>
    <row r="314" spans="1:26" ht="29.25" hidden="1" customHeight="1" x14ac:dyDescent="0.2">
      <c r="A314" s="15">
        <v>311</v>
      </c>
      <c r="B314" s="15" t="s">
        <v>1668</v>
      </c>
      <c r="C314" s="16" t="s">
        <v>1664</v>
      </c>
      <c r="D314" s="6" t="s">
        <v>19</v>
      </c>
      <c r="E314" s="6"/>
      <c r="F314" s="15" t="s">
        <v>7</v>
      </c>
      <c r="G314" s="6" t="s">
        <v>92</v>
      </c>
      <c r="H314" s="6" t="s">
        <v>104</v>
      </c>
      <c r="I314" s="6" t="s">
        <v>69</v>
      </c>
      <c r="J314" s="6" t="s">
        <v>70</v>
      </c>
      <c r="K314" s="6" t="s">
        <v>402</v>
      </c>
      <c r="L314" s="6" t="s">
        <v>262</v>
      </c>
      <c r="M314" s="6" t="s">
        <v>70</v>
      </c>
      <c r="N314" s="6">
        <v>0</v>
      </c>
      <c r="O314" s="6">
        <v>204</v>
      </c>
      <c r="P314" s="6" t="s">
        <v>158</v>
      </c>
      <c r="Q314" s="6">
        <v>208</v>
      </c>
      <c r="R314" s="6">
        <v>13</v>
      </c>
      <c r="S314" s="6" t="s">
        <v>1350</v>
      </c>
      <c r="T314" s="6" t="s">
        <v>160</v>
      </c>
      <c r="U314" s="6"/>
      <c r="V314" s="15"/>
      <c r="W314" s="6"/>
      <c r="X314" s="15"/>
      <c r="Y314" s="15"/>
      <c r="Z314" s="15"/>
    </row>
    <row r="315" spans="1:26" ht="29.25" hidden="1" customHeight="1" x14ac:dyDescent="0.2">
      <c r="A315" s="67">
        <v>312</v>
      </c>
      <c r="B315" s="67" t="s">
        <v>1668</v>
      </c>
      <c r="C315" s="68" t="s">
        <v>2680</v>
      </c>
      <c r="D315" s="69" t="s">
        <v>20</v>
      </c>
      <c r="E315" s="69" t="s">
        <v>456</v>
      </c>
      <c r="F315" s="69" t="s">
        <v>83</v>
      </c>
      <c r="G315" s="69" t="s">
        <v>2167</v>
      </c>
      <c r="H315" s="69" t="s">
        <v>155</v>
      </c>
      <c r="I315" s="70" t="s">
        <v>142</v>
      </c>
      <c r="J315" s="70" t="s">
        <v>70</v>
      </c>
      <c r="K315" s="69" t="s">
        <v>324</v>
      </c>
      <c r="L315" s="69" t="s">
        <v>142</v>
      </c>
      <c r="M315" s="67" t="s">
        <v>70</v>
      </c>
      <c r="N315" s="67" t="s">
        <v>2681</v>
      </c>
      <c r="O315" s="67" t="s">
        <v>1916</v>
      </c>
      <c r="P315" s="67"/>
      <c r="Q315" s="67" t="s">
        <v>429</v>
      </c>
      <c r="R315" s="67" t="s">
        <v>429</v>
      </c>
      <c r="S315" s="67" t="s">
        <v>429</v>
      </c>
      <c r="T315" s="67" t="s">
        <v>160</v>
      </c>
      <c r="U315" s="69"/>
      <c r="V315" s="71"/>
      <c r="W315" s="72"/>
      <c r="X315" s="73"/>
      <c r="Y315" s="73"/>
      <c r="Z315" s="73"/>
    </row>
    <row r="316" spans="1:26" ht="29.25" hidden="1" customHeight="1" x14ac:dyDescent="0.2">
      <c r="A316" s="15">
        <v>313</v>
      </c>
      <c r="B316" s="15" t="s">
        <v>2682</v>
      </c>
      <c r="C316" s="16" t="s">
        <v>2683</v>
      </c>
      <c r="D316" s="6" t="s">
        <v>8</v>
      </c>
      <c r="E316" s="6" t="s">
        <v>2147</v>
      </c>
      <c r="F316" s="15" t="s">
        <v>83</v>
      </c>
      <c r="G316" s="6" t="s">
        <v>92</v>
      </c>
      <c r="H316" s="6" t="s">
        <v>140</v>
      </c>
      <c r="I316" s="6" t="s">
        <v>119</v>
      </c>
      <c r="J316" s="6" t="s">
        <v>107</v>
      </c>
      <c r="K316" s="6" t="s">
        <v>143</v>
      </c>
      <c r="L316" s="6" t="s">
        <v>119</v>
      </c>
      <c r="M316" s="6" t="s">
        <v>107</v>
      </c>
      <c r="N316" s="6" t="s">
        <v>1488</v>
      </c>
      <c r="O316" s="6">
        <v>174</v>
      </c>
      <c r="P316" s="6" t="s">
        <v>158</v>
      </c>
      <c r="Q316" s="6">
        <v>86</v>
      </c>
      <c r="R316" s="6">
        <v>30</v>
      </c>
      <c r="S316" s="6" t="s">
        <v>1488</v>
      </c>
      <c r="T316" s="6" t="s">
        <v>111</v>
      </c>
      <c r="U316" s="6"/>
      <c r="V316" s="15"/>
      <c r="W316" s="6"/>
      <c r="X316" s="15"/>
      <c r="Y316" s="15"/>
      <c r="Z316" s="15"/>
    </row>
    <row r="317" spans="1:26" ht="29.25" hidden="1" customHeight="1" x14ac:dyDescent="0.2">
      <c r="A317" s="67">
        <v>314</v>
      </c>
      <c r="B317" s="67" t="s">
        <v>665</v>
      </c>
      <c r="C317" s="68" t="s">
        <v>241</v>
      </c>
      <c r="D317" s="69" t="s">
        <v>8</v>
      </c>
      <c r="E317" s="69"/>
      <c r="F317" s="69" t="s">
        <v>83</v>
      </c>
      <c r="G317" s="69" t="s">
        <v>92</v>
      </c>
      <c r="H317" s="69" t="s">
        <v>155</v>
      </c>
      <c r="I317" s="70" t="s">
        <v>142</v>
      </c>
      <c r="J317" s="70" t="s">
        <v>70</v>
      </c>
      <c r="K317" s="69" t="s">
        <v>167</v>
      </c>
      <c r="L317" s="69" t="s">
        <v>142</v>
      </c>
      <c r="M317" s="67" t="s">
        <v>70</v>
      </c>
      <c r="N317" s="67" t="s">
        <v>2684</v>
      </c>
      <c r="O317" s="67" t="s">
        <v>419</v>
      </c>
      <c r="P317" s="67"/>
      <c r="Q317" s="67" t="s">
        <v>429</v>
      </c>
      <c r="R317" s="67" t="s">
        <v>429</v>
      </c>
      <c r="S317" s="67" t="s">
        <v>429</v>
      </c>
      <c r="T317" s="67" t="s">
        <v>160</v>
      </c>
      <c r="U317" s="69"/>
      <c r="V317" s="71"/>
      <c r="W317" s="72"/>
      <c r="X317" s="73"/>
      <c r="Y317" s="73"/>
      <c r="Z317" s="73"/>
    </row>
    <row r="318" spans="1:26" ht="29.25" hidden="1" customHeight="1" x14ac:dyDescent="0.2">
      <c r="A318" s="15">
        <v>315</v>
      </c>
      <c r="B318" s="15" t="s">
        <v>1041</v>
      </c>
      <c r="C318" s="16" t="s">
        <v>1038</v>
      </c>
      <c r="D318" s="6" t="s">
        <v>243</v>
      </c>
      <c r="E318" s="6"/>
      <c r="F318" s="15" t="s">
        <v>7</v>
      </c>
      <c r="G318" s="6" t="s">
        <v>92</v>
      </c>
      <c r="H318" s="6" t="s">
        <v>140</v>
      </c>
      <c r="I318" s="6" t="s">
        <v>106</v>
      </c>
      <c r="J318" s="6" t="s">
        <v>107</v>
      </c>
      <c r="K318" s="6" t="s">
        <v>143</v>
      </c>
      <c r="L318" s="6" t="s">
        <v>106</v>
      </c>
      <c r="M318" s="6" t="s">
        <v>107</v>
      </c>
      <c r="N318" s="6">
        <v>0</v>
      </c>
      <c r="O318" s="6">
        <v>90</v>
      </c>
      <c r="P318" s="6" t="s">
        <v>158</v>
      </c>
      <c r="Q318" s="6">
        <v>94</v>
      </c>
      <c r="R318" s="6">
        <v>27</v>
      </c>
      <c r="S318" s="6" t="s">
        <v>665</v>
      </c>
      <c r="T318" s="6" t="s">
        <v>111</v>
      </c>
      <c r="U318" s="6"/>
      <c r="V318" s="15"/>
      <c r="W318" s="6"/>
      <c r="X318" s="15"/>
      <c r="Y318" s="15"/>
      <c r="Z318" s="15"/>
    </row>
    <row r="319" spans="1:26" ht="29.25" hidden="1" customHeight="1" x14ac:dyDescent="0.2">
      <c r="A319" s="67">
        <v>316</v>
      </c>
      <c r="B319" s="67" t="s">
        <v>2685</v>
      </c>
      <c r="C319" s="68" t="s">
        <v>2211</v>
      </c>
      <c r="D319" s="69" t="s">
        <v>10</v>
      </c>
      <c r="E319" s="69"/>
      <c r="F319" s="69" t="s">
        <v>7</v>
      </c>
      <c r="G319" s="69" t="s">
        <v>627</v>
      </c>
      <c r="H319" s="69" t="s">
        <v>104</v>
      </c>
      <c r="I319" s="70" t="s">
        <v>142</v>
      </c>
      <c r="J319" s="70" t="s">
        <v>70</v>
      </c>
      <c r="K319" s="69" t="s">
        <v>190</v>
      </c>
      <c r="L319" s="69" t="s">
        <v>73</v>
      </c>
      <c r="M319" s="67" t="s">
        <v>70</v>
      </c>
      <c r="N319" s="67" t="s">
        <v>429</v>
      </c>
      <c r="O319" s="67" t="s">
        <v>1674</v>
      </c>
      <c r="P319" s="67" t="s">
        <v>158</v>
      </c>
      <c r="Q319" s="67" t="s">
        <v>2098</v>
      </c>
      <c r="R319" s="67" t="s">
        <v>769</v>
      </c>
      <c r="S319" s="67" t="s">
        <v>1041</v>
      </c>
      <c r="T319" s="67" t="s">
        <v>160</v>
      </c>
      <c r="U319" s="69"/>
      <c r="V319" s="71"/>
      <c r="W319" s="72"/>
      <c r="X319" s="73"/>
      <c r="Y319" s="73"/>
      <c r="Z319" s="73"/>
    </row>
    <row r="320" spans="1:26" ht="29.25" hidden="1" customHeight="1" x14ac:dyDescent="0.2">
      <c r="A320" s="15">
        <v>317</v>
      </c>
      <c r="B320" s="15" t="s">
        <v>2685</v>
      </c>
      <c r="C320" s="16" t="s">
        <v>2686</v>
      </c>
      <c r="D320" s="6" t="s">
        <v>19</v>
      </c>
      <c r="E320" s="6" t="s">
        <v>2285</v>
      </c>
      <c r="F320" s="15" t="s">
        <v>83</v>
      </c>
      <c r="G320" s="6" t="s">
        <v>92</v>
      </c>
      <c r="H320" s="6" t="s">
        <v>140</v>
      </c>
      <c r="I320" s="6" t="s">
        <v>119</v>
      </c>
      <c r="J320" s="6" t="s">
        <v>107</v>
      </c>
      <c r="K320" s="6" t="s">
        <v>188</v>
      </c>
      <c r="L320" s="6" t="s">
        <v>119</v>
      </c>
      <c r="M320" s="6" t="s">
        <v>107</v>
      </c>
      <c r="N320" s="6" t="s">
        <v>2419</v>
      </c>
      <c r="O320" s="6">
        <v>120</v>
      </c>
      <c r="P320" s="6" t="s">
        <v>158</v>
      </c>
      <c r="Q320" s="6">
        <v>133</v>
      </c>
      <c r="R320" s="6">
        <v>18.5</v>
      </c>
      <c r="S320" s="6" t="s">
        <v>2415</v>
      </c>
      <c r="T320" s="6" t="s">
        <v>111</v>
      </c>
      <c r="U320" s="6"/>
      <c r="V320" s="15"/>
      <c r="W320" s="6"/>
      <c r="X320" s="15"/>
      <c r="Y320" s="15"/>
      <c r="Z320" s="15"/>
    </row>
    <row r="321" spans="1:26" ht="29.25" hidden="1" customHeight="1" x14ac:dyDescent="0.2">
      <c r="A321" s="67">
        <v>318</v>
      </c>
      <c r="B321" s="67" t="s">
        <v>2687</v>
      </c>
      <c r="C321" s="68" t="s">
        <v>2686</v>
      </c>
      <c r="D321" s="69" t="s">
        <v>19</v>
      </c>
      <c r="E321" s="69"/>
      <c r="F321" s="69" t="s">
        <v>7</v>
      </c>
      <c r="G321" s="69" t="s">
        <v>92</v>
      </c>
      <c r="H321" s="69" t="s">
        <v>117</v>
      </c>
      <c r="I321" s="70" t="s">
        <v>106</v>
      </c>
      <c r="J321" s="70" t="s">
        <v>107</v>
      </c>
      <c r="K321" s="69" t="s">
        <v>470</v>
      </c>
      <c r="L321" s="69" t="s">
        <v>262</v>
      </c>
      <c r="M321" s="67" t="s">
        <v>70</v>
      </c>
      <c r="N321" s="67" t="s">
        <v>429</v>
      </c>
      <c r="O321" s="67" t="s">
        <v>216</v>
      </c>
      <c r="P321" s="67" t="s">
        <v>158</v>
      </c>
      <c r="Q321" s="67" t="s">
        <v>2688</v>
      </c>
      <c r="R321" s="67" t="s">
        <v>2186</v>
      </c>
      <c r="S321" s="67" t="s">
        <v>1041</v>
      </c>
      <c r="T321" s="67" t="s">
        <v>111</v>
      </c>
      <c r="U321" s="69"/>
      <c r="V321" s="71"/>
      <c r="W321" s="72"/>
      <c r="X321" s="73"/>
      <c r="Y321" s="73"/>
      <c r="Z321" s="73"/>
    </row>
    <row r="322" spans="1:26" ht="29.25" hidden="1" customHeight="1" x14ac:dyDescent="0.2">
      <c r="A322" s="15">
        <v>319</v>
      </c>
      <c r="B322" s="15" t="s">
        <v>2687</v>
      </c>
      <c r="C322" s="16" t="s">
        <v>448</v>
      </c>
      <c r="D322" s="6" t="s">
        <v>20</v>
      </c>
      <c r="E322" s="6" t="s">
        <v>2285</v>
      </c>
      <c r="F322" s="15" t="s">
        <v>83</v>
      </c>
      <c r="G322" s="6" t="s">
        <v>2167</v>
      </c>
      <c r="H322" s="6" t="s">
        <v>104</v>
      </c>
      <c r="I322" s="6" t="s">
        <v>69</v>
      </c>
      <c r="J322" s="6" t="s">
        <v>70</v>
      </c>
      <c r="K322" s="6" t="s">
        <v>305</v>
      </c>
      <c r="L322" s="6" t="s">
        <v>262</v>
      </c>
      <c r="M322" s="6" t="s">
        <v>70</v>
      </c>
      <c r="N322" s="6" t="s">
        <v>949</v>
      </c>
      <c r="O322" s="6">
        <v>204</v>
      </c>
      <c r="P322" s="6"/>
      <c r="Q322" s="6">
        <v>212</v>
      </c>
      <c r="R322" s="6">
        <v>15</v>
      </c>
      <c r="S322" s="6" t="s">
        <v>949</v>
      </c>
      <c r="T322" s="6" t="s">
        <v>111</v>
      </c>
      <c r="U322" s="6"/>
      <c r="V322" s="15"/>
      <c r="W322" s="6"/>
      <c r="X322" s="15"/>
      <c r="Y322" s="15"/>
      <c r="Z322" s="15"/>
    </row>
    <row r="323" spans="1:26" ht="29.25" hidden="1" customHeight="1" x14ac:dyDescent="0.2">
      <c r="A323" s="67">
        <v>320</v>
      </c>
      <c r="B323" s="67" t="s">
        <v>2689</v>
      </c>
      <c r="C323" s="68" t="s">
        <v>2690</v>
      </c>
      <c r="D323" s="69" t="s">
        <v>20</v>
      </c>
      <c r="E323" s="69" t="s">
        <v>456</v>
      </c>
      <c r="F323" s="69" t="s">
        <v>83</v>
      </c>
      <c r="G323" s="69" t="s">
        <v>2167</v>
      </c>
      <c r="H323" s="69" t="s">
        <v>218</v>
      </c>
      <c r="I323" s="70" t="s">
        <v>69</v>
      </c>
      <c r="J323" s="70" t="s">
        <v>70</v>
      </c>
      <c r="K323" s="69" t="s">
        <v>454</v>
      </c>
      <c r="L323" s="69" t="s">
        <v>69</v>
      </c>
      <c r="M323" s="67" t="s">
        <v>70</v>
      </c>
      <c r="N323" s="67" t="s">
        <v>2691</v>
      </c>
      <c r="O323" s="67" t="s">
        <v>2692</v>
      </c>
      <c r="P323" s="67"/>
      <c r="Q323" s="67" t="s">
        <v>2693</v>
      </c>
      <c r="R323" s="67" t="s">
        <v>493</v>
      </c>
      <c r="S323" s="67" t="s">
        <v>1151</v>
      </c>
      <c r="T323" s="67" t="s">
        <v>160</v>
      </c>
      <c r="U323" s="69"/>
      <c r="V323" s="71"/>
      <c r="W323" s="72"/>
      <c r="X323" s="73"/>
      <c r="Y323" s="73"/>
      <c r="Z323" s="73"/>
    </row>
    <row r="324" spans="1:26" ht="29.25" hidden="1" customHeight="1" x14ac:dyDescent="0.2">
      <c r="A324" s="15">
        <v>321</v>
      </c>
      <c r="B324" s="15" t="s">
        <v>2689</v>
      </c>
      <c r="C324" s="16" t="s">
        <v>2683</v>
      </c>
      <c r="D324" s="6" t="s">
        <v>8</v>
      </c>
      <c r="E324" s="6"/>
      <c r="F324" s="15" t="s">
        <v>7</v>
      </c>
      <c r="G324" s="6" t="s">
        <v>92</v>
      </c>
      <c r="H324" s="6" t="s">
        <v>117</v>
      </c>
      <c r="I324" s="6" t="s">
        <v>142</v>
      </c>
      <c r="J324" s="6" t="s">
        <v>70</v>
      </c>
      <c r="K324" s="6" t="s">
        <v>470</v>
      </c>
      <c r="L324" s="6" t="s">
        <v>119</v>
      </c>
      <c r="M324" s="6" t="s">
        <v>107</v>
      </c>
      <c r="N324" s="6">
        <v>0</v>
      </c>
      <c r="O324" s="6">
        <v>174</v>
      </c>
      <c r="P324" s="6" t="s">
        <v>158</v>
      </c>
      <c r="Q324" s="6">
        <v>113</v>
      </c>
      <c r="R324" s="6">
        <v>27</v>
      </c>
      <c r="S324" s="6" t="s">
        <v>2685</v>
      </c>
      <c r="T324" s="6" t="s">
        <v>111</v>
      </c>
      <c r="U324" s="6"/>
      <c r="V324" s="15"/>
      <c r="W324" s="6"/>
      <c r="X324" s="15"/>
      <c r="Y324" s="15"/>
      <c r="Z324" s="15"/>
    </row>
    <row r="325" spans="1:26" ht="29.25" hidden="1" customHeight="1" x14ac:dyDescent="0.2">
      <c r="A325" s="67">
        <v>322</v>
      </c>
      <c r="B325" s="67" t="s">
        <v>1300</v>
      </c>
      <c r="C325" s="68" t="s">
        <v>2680</v>
      </c>
      <c r="D325" s="69" t="s">
        <v>20</v>
      </c>
      <c r="E325" s="69"/>
      <c r="F325" s="69" t="s">
        <v>7</v>
      </c>
      <c r="G325" s="69" t="s">
        <v>2167</v>
      </c>
      <c r="H325" s="69" t="s">
        <v>155</v>
      </c>
      <c r="I325" s="70" t="s">
        <v>119</v>
      </c>
      <c r="J325" s="70" t="s">
        <v>107</v>
      </c>
      <c r="K325" s="69" t="s">
        <v>324</v>
      </c>
      <c r="L325" s="69" t="s">
        <v>119</v>
      </c>
      <c r="M325" s="67" t="s">
        <v>107</v>
      </c>
      <c r="N325" s="67" t="s">
        <v>429</v>
      </c>
      <c r="O325" s="67" t="s">
        <v>1916</v>
      </c>
      <c r="P325" s="67" t="s">
        <v>158</v>
      </c>
      <c r="Q325" s="67" t="s">
        <v>2694</v>
      </c>
      <c r="R325" s="67" t="s">
        <v>334</v>
      </c>
      <c r="S325" s="67" t="s">
        <v>2689</v>
      </c>
      <c r="T325" s="67" t="s">
        <v>160</v>
      </c>
      <c r="U325" s="69"/>
      <c r="V325" s="71"/>
      <c r="W325" s="72"/>
      <c r="X325" s="73"/>
      <c r="Y325" s="73"/>
      <c r="Z325" s="73"/>
    </row>
    <row r="326" spans="1:26" ht="29.25" hidden="1" customHeight="1" x14ac:dyDescent="0.2">
      <c r="A326" s="15">
        <v>323</v>
      </c>
      <c r="B326" s="15" t="s">
        <v>430</v>
      </c>
      <c r="C326" s="16" t="s">
        <v>1297</v>
      </c>
      <c r="D326" s="6" t="s">
        <v>6</v>
      </c>
      <c r="E326" s="6"/>
      <c r="F326" s="15" t="s">
        <v>7</v>
      </c>
      <c r="G326" s="6" t="s">
        <v>92</v>
      </c>
      <c r="H326" s="6" t="s">
        <v>68</v>
      </c>
      <c r="I326" s="6" t="s">
        <v>106</v>
      </c>
      <c r="J326" s="6" t="s">
        <v>107</v>
      </c>
      <c r="K326" s="6" t="s">
        <v>263</v>
      </c>
      <c r="L326" s="6" t="s">
        <v>142</v>
      </c>
      <c r="M326" s="6" t="s">
        <v>70</v>
      </c>
      <c r="N326" s="6">
        <v>0</v>
      </c>
      <c r="O326" s="6">
        <v>174</v>
      </c>
      <c r="P326" s="6"/>
      <c r="Q326" s="6">
        <v>220</v>
      </c>
      <c r="R326" s="6">
        <v>16</v>
      </c>
      <c r="S326" s="6" t="s">
        <v>1300</v>
      </c>
      <c r="T326" s="6" t="s">
        <v>111</v>
      </c>
      <c r="U326" s="6"/>
      <c r="V326" s="15"/>
      <c r="W326" s="6"/>
      <c r="X326" s="15"/>
      <c r="Y326" s="15"/>
      <c r="Z326" s="15"/>
    </row>
  </sheetData>
  <autoFilter ref="A3:Z326" xr:uid="{86E738FD-BD0D-43A1-81F3-5479CED95511}">
    <filterColumn colId="2">
      <filters>
        <filter val="شمس آباد 4"/>
      </filters>
    </filterColumn>
    <sortState xmlns:xlrd2="http://schemas.microsoft.com/office/spreadsheetml/2017/richdata2" ref="A297:Z297">
      <sortCondition ref="C3:C326"/>
    </sortState>
  </autoFilter>
  <mergeCells count="23">
    <mergeCell ref="X1:X3"/>
    <mergeCell ref="Y1:Y3"/>
    <mergeCell ref="Z1:Z3"/>
    <mergeCell ref="H2:J2"/>
    <mergeCell ref="K2:M2"/>
    <mergeCell ref="R1:R3"/>
    <mergeCell ref="S1:S3"/>
    <mergeCell ref="T1:T3"/>
    <mergeCell ref="U1:U3"/>
    <mergeCell ref="V1:V3"/>
    <mergeCell ref="W1:W3"/>
    <mergeCell ref="G1:G3"/>
    <mergeCell ref="H1:M1"/>
    <mergeCell ref="N1:N3"/>
    <mergeCell ref="O1:O3"/>
    <mergeCell ref="P1:P3"/>
    <mergeCell ref="Q1:Q3"/>
    <mergeCell ref="A1:A3"/>
    <mergeCell ref="B1:B3"/>
    <mergeCell ref="C1:C3"/>
    <mergeCell ref="D1:D3"/>
    <mergeCell ref="E1:E3"/>
    <mergeCell ref="F1:F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241F2-EA1F-46CE-8209-A716EB63D9D0}">
  <dimension ref="A1:U184"/>
  <sheetViews>
    <sheetView rightToLeft="1" workbookViewId="0">
      <selection sqref="A1:A3"/>
    </sheetView>
  </sheetViews>
  <sheetFormatPr defaultColWidth="9.7109375" defaultRowHeight="20.100000000000001" customHeight="1" x14ac:dyDescent="0.2"/>
  <cols>
    <col min="1" max="1" width="4.7109375" style="2" bestFit="1" customWidth="1"/>
    <col min="2" max="2" width="9.7109375" style="5" customWidth="1"/>
    <col min="3" max="3" width="11.7109375" style="1" customWidth="1"/>
    <col min="4" max="4" width="9.140625" style="1" customWidth="1"/>
    <col min="5" max="5" width="20.42578125" style="1" customWidth="1"/>
    <col min="6" max="6" width="9.140625" style="1" customWidth="1"/>
    <col min="7" max="7" width="10.42578125" style="7" customWidth="1"/>
    <col min="8" max="8" width="6.42578125" style="8" customWidth="1"/>
    <col min="9" max="9" width="7.42578125" style="1" customWidth="1"/>
    <col min="10" max="10" width="9.28515625" style="1" customWidth="1"/>
    <col min="11" max="11" width="9" style="8" bestFit="1" customWidth="1"/>
    <col min="12" max="12" width="8.28515625" style="1" customWidth="1"/>
    <col min="13" max="13" width="9.42578125" style="1" customWidth="1"/>
    <col min="14" max="14" width="10.42578125" style="1" bestFit="1" customWidth="1"/>
    <col min="15" max="15" width="8.28515625" style="4" customWidth="1"/>
    <col min="16" max="16" width="9.28515625" style="4" customWidth="1"/>
    <col min="17" max="17" width="8.140625" style="4" customWidth="1"/>
    <col min="18" max="18" width="9.7109375" style="4" customWidth="1"/>
    <col min="19" max="19" width="41.85546875" style="75" customWidth="1"/>
    <col min="20" max="20" width="3.42578125" style="77" customWidth="1"/>
    <col min="21" max="16384" width="9.7109375" style="4"/>
  </cols>
  <sheetData>
    <row r="1" spans="1:20" s="3" customFormat="1" ht="41.25" customHeight="1" x14ac:dyDescent="0.2">
      <c r="A1" s="597" t="s">
        <v>0</v>
      </c>
      <c r="B1" s="559" t="s">
        <v>1</v>
      </c>
      <c r="C1" s="559" t="s">
        <v>2</v>
      </c>
      <c r="D1" s="559" t="s">
        <v>5</v>
      </c>
      <c r="E1" s="559" t="s">
        <v>2136</v>
      </c>
      <c r="F1" s="559" t="s">
        <v>2137</v>
      </c>
      <c r="G1" s="559" t="s">
        <v>3</v>
      </c>
      <c r="H1" s="559" t="s">
        <v>17</v>
      </c>
      <c r="I1" s="559"/>
      <c r="J1" s="559"/>
      <c r="K1" s="559"/>
      <c r="L1" s="559"/>
      <c r="M1" s="559"/>
      <c r="N1" s="559" t="s">
        <v>4</v>
      </c>
      <c r="O1" s="600" t="s">
        <v>2141</v>
      </c>
      <c r="P1" s="600" t="s">
        <v>2142</v>
      </c>
      <c r="Q1" s="600" t="s">
        <v>11</v>
      </c>
      <c r="R1" s="600" t="s">
        <v>12</v>
      </c>
      <c r="S1" s="605" t="s">
        <v>13</v>
      </c>
      <c r="T1" s="76"/>
    </row>
    <row r="2" spans="1:20" s="3" customFormat="1" ht="20.25" x14ac:dyDescent="0.2">
      <c r="A2" s="597"/>
      <c r="B2" s="559"/>
      <c r="C2" s="559"/>
      <c r="D2" s="559"/>
      <c r="E2" s="559"/>
      <c r="F2" s="559"/>
      <c r="G2" s="559"/>
      <c r="H2" s="559" t="s">
        <v>18</v>
      </c>
      <c r="I2" s="559"/>
      <c r="J2" s="559"/>
      <c r="K2" s="559" t="s">
        <v>14</v>
      </c>
      <c r="L2" s="559"/>
      <c r="M2" s="559"/>
      <c r="N2" s="559"/>
      <c r="O2" s="600"/>
      <c r="P2" s="600"/>
      <c r="Q2" s="600"/>
      <c r="R2" s="600"/>
      <c r="S2" s="605"/>
      <c r="T2" s="76"/>
    </row>
    <row r="3" spans="1:20" s="3" customFormat="1" ht="58.5" customHeight="1" x14ac:dyDescent="0.2">
      <c r="A3" s="597"/>
      <c r="B3" s="559"/>
      <c r="C3" s="559"/>
      <c r="D3" s="559"/>
      <c r="E3" s="559"/>
      <c r="F3" s="559"/>
      <c r="G3" s="559"/>
      <c r="H3" s="66" t="s">
        <v>2144</v>
      </c>
      <c r="I3" s="9" t="s">
        <v>16</v>
      </c>
      <c r="J3" s="10" t="s">
        <v>15</v>
      </c>
      <c r="K3" s="11" t="s">
        <v>14</v>
      </c>
      <c r="L3" s="9" t="s">
        <v>16</v>
      </c>
      <c r="M3" s="10" t="s">
        <v>15</v>
      </c>
      <c r="N3" s="559"/>
      <c r="O3" s="600"/>
      <c r="P3" s="600"/>
      <c r="Q3" s="600"/>
      <c r="R3" s="600"/>
      <c r="S3" s="605"/>
      <c r="T3" s="76"/>
    </row>
    <row r="4" spans="1:20" ht="29.25" customHeight="1" x14ac:dyDescent="0.2">
      <c r="A4" s="15">
        <v>1</v>
      </c>
      <c r="B4" s="15" t="s">
        <v>2695</v>
      </c>
      <c r="C4" s="16" t="s">
        <v>695</v>
      </c>
      <c r="D4" s="6" t="s">
        <v>8</v>
      </c>
      <c r="E4" s="6" t="s">
        <v>202</v>
      </c>
      <c r="F4" s="15" t="s">
        <v>83</v>
      </c>
      <c r="G4" s="6" t="s">
        <v>92</v>
      </c>
      <c r="H4" s="6">
        <v>45</v>
      </c>
      <c r="I4" s="6" t="s">
        <v>69</v>
      </c>
      <c r="J4" s="6" t="s">
        <v>70</v>
      </c>
      <c r="K4" s="6" t="s">
        <v>470</v>
      </c>
      <c r="L4" s="6" t="s">
        <v>2175</v>
      </c>
      <c r="M4" s="6" t="s">
        <v>107</v>
      </c>
      <c r="N4" s="6" t="s">
        <v>2696</v>
      </c>
      <c r="O4" s="6"/>
      <c r="P4" s="15"/>
      <c r="Q4" s="6"/>
      <c r="R4" s="15"/>
      <c r="S4" s="15"/>
    </row>
    <row r="5" spans="1:20" ht="29.25" customHeight="1" x14ac:dyDescent="0.2">
      <c r="A5" s="67">
        <v>2</v>
      </c>
      <c r="B5" s="67" t="s">
        <v>2697</v>
      </c>
      <c r="C5" s="68" t="s">
        <v>173</v>
      </c>
      <c r="D5" s="69" t="s">
        <v>6</v>
      </c>
      <c r="E5" s="69" t="s">
        <v>185</v>
      </c>
      <c r="F5" s="69" t="s">
        <v>83</v>
      </c>
      <c r="G5" s="69" t="s">
        <v>92</v>
      </c>
      <c r="H5" s="69">
        <v>73</v>
      </c>
      <c r="I5" s="70" t="s">
        <v>1477</v>
      </c>
      <c r="J5" s="70" t="s">
        <v>107</v>
      </c>
      <c r="K5" s="69" t="s">
        <v>156</v>
      </c>
      <c r="L5" s="69" t="s">
        <v>142</v>
      </c>
      <c r="M5" s="67" t="s">
        <v>70</v>
      </c>
      <c r="N5" s="67" t="s">
        <v>2698</v>
      </c>
      <c r="O5" s="69"/>
      <c r="P5" s="71"/>
      <c r="Q5" s="72"/>
      <c r="R5" s="73"/>
      <c r="S5" s="73"/>
    </row>
    <row r="6" spans="1:20" ht="29.25" customHeight="1" x14ac:dyDescent="0.2">
      <c r="A6" s="15">
        <v>3</v>
      </c>
      <c r="B6" s="15" t="s">
        <v>1996</v>
      </c>
      <c r="C6" s="16" t="s">
        <v>173</v>
      </c>
      <c r="D6" s="6" t="s">
        <v>6</v>
      </c>
      <c r="E6" s="6"/>
      <c r="F6" s="15" t="s">
        <v>7</v>
      </c>
      <c r="G6" s="6" t="s">
        <v>92</v>
      </c>
      <c r="H6" s="6" t="s">
        <v>104</v>
      </c>
      <c r="I6" s="6" t="s">
        <v>2699</v>
      </c>
      <c r="J6" s="6" t="s">
        <v>107</v>
      </c>
      <c r="K6" s="6" t="s">
        <v>305</v>
      </c>
      <c r="L6" s="6" t="s">
        <v>206</v>
      </c>
      <c r="M6" s="6" t="s">
        <v>107</v>
      </c>
      <c r="N6" s="6" t="s">
        <v>2698</v>
      </c>
      <c r="O6" s="6"/>
      <c r="P6" s="15"/>
      <c r="Q6" s="6"/>
      <c r="R6" s="15"/>
      <c r="S6" s="15"/>
    </row>
    <row r="7" spans="1:20" ht="29.25" customHeight="1" x14ac:dyDescent="0.2">
      <c r="A7" s="67">
        <v>4</v>
      </c>
      <c r="B7" s="67" t="s">
        <v>2700</v>
      </c>
      <c r="C7" s="68" t="s">
        <v>1508</v>
      </c>
      <c r="D7" s="69" t="s">
        <v>10</v>
      </c>
      <c r="E7" s="69" t="s">
        <v>185</v>
      </c>
      <c r="F7" s="69" t="s">
        <v>83</v>
      </c>
      <c r="G7" s="69" t="s">
        <v>92</v>
      </c>
      <c r="H7" s="69" t="s">
        <v>104</v>
      </c>
      <c r="I7" s="70" t="s">
        <v>2699</v>
      </c>
      <c r="J7" s="70" t="s">
        <v>107</v>
      </c>
      <c r="K7" s="69" t="s">
        <v>361</v>
      </c>
      <c r="L7" s="69" t="s">
        <v>142</v>
      </c>
      <c r="M7" s="67" t="s">
        <v>70</v>
      </c>
      <c r="N7" s="67" t="s">
        <v>2701</v>
      </c>
      <c r="O7" s="69"/>
      <c r="P7" s="71"/>
      <c r="Q7" s="72"/>
      <c r="R7" s="73"/>
      <c r="S7" s="73"/>
    </row>
    <row r="8" spans="1:20" ht="29.25" customHeight="1" x14ac:dyDescent="0.2">
      <c r="A8" s="15">
        <v>5</v>
      </c>
      <c r="B8" s="15" t="s">
        <v>2702</v>
      </c>
      <c r="C8" s="16" t="s">
        <v>2037</v>
      </c>
      <c r="D8" s="6" t="s">
        <v>8</v>
      </c>
      <c r="E8" s="6" t="s">
        <v>185</v>
      </c>
      <c r="F8" s="15" t="s">
        <v>83</v>
      </c>
      <c r="G8" s="6" t="s">
        <v>92</v>
      </c>
      <c r="H8" s="6" t="s">
        <v>104</v>
      </c>
      <c r="I8" s="6" t="s">
        <v>262</v>
      </c>
      <c r="J8" s="6" t="s">
        <v>70</v>
      </c>
      <c r="K8" s="6" t="s">
        <v>108</v>
      </c>
      <c r="L8" s="6" t="s">
        <v>1477</v>
      </c>
      <c r="M8" s="6" t="s">
        <v>107</v>
      </c>
      <c r="N8" s="6" t="s">
        <v>2703</v>
      </c>
      <c r="O8" s="6"/>
      <c r="P8" s="15"/>
      <c r="Q8" s="6"/>
      <c r="R8" s="15"/>
      <c r="S8" s="15"/>
    </row>
    <row r="9" spans="1:20" ht="29.25" customHeight="1" x14ac:dyDescent="0.2">
      <c r="A9" s="67">
        <v>6</v>
      </c>
      <c r="B9" s="67" t="s">
        <v>2038</v>
      </c>
      <c r="C9" s="68" t="s">
        <v>2037</v>
      </c>
      <c r="D9" s="69" t="s">
        <v>8</v>
      </c>
      <c r="E9" s="69"/>
      <c r="F9" s="69" t="s">
        <v>7</v>
      </c>
      <c r="G9" s="69" t="s">
        <v>92</v>
      </c>
      <c r="H9" s="69" t="s">
        <v>117</v>
      </c>
      <c r="I9" s="70" t="s">
        <v>69</v>
      </c>
      <c r="J9" s="70" t="s">
        <v>70</v>
      </c>
      <c r="K9" s="69" t="s">
        <v>120</v>
      </c>
      <c r="L9" s="69" t="s">
        <v>142</v>
      </c>
      <c r="M9" s="67" t="s">
        <v>70</v>
      </c>
      <c r="N9" s="67" t="s">
        <v>2703</v>
      </c>
      <c r="O9" s="69"/>
      <c r="P9" s="71"/>
      <c r="Q9" s="72"/>
      <c r="R9" s="73"/>
      <c r="S9" s="73"/>
    </row>
    <row r="10" spans="1:20" ht="29.25" customHeight="1" x14ac:dyDescent="0.2">
      <c r="A10" s="15">
        <v>7</v>
      </c>
      <c r="B10" s="15" t="s">
        <v>2704</v>
      </c>
      <c r="C10" s="16" t="s">
        <v>1508</v>
      </c>
      <c r="D10" s="6" t="s">
        <v>10</v>
      </c>
      <c r="E10" s="6"/>
      <c r="F10" s="15" t="s">
        <v>7</v>
      </c>
      <c r="G10" s="6" t="s">
        <v>92</v>
      </c>
      <c r="H10" s="6" t="s">
        <v>104</v>
      </c>
      <c r="I10" s="6" t="s">
        <v>2699</v>
      </c>
      <c r="J10" s="6" t="s">
        <v>107</v>
      </c>
      <c r="K10" s="6" t="s">
        <v>361</v>
      </c>
      <c r="L10" s="6" t="s">
        <v>142</v>
      </c>
      <c r="M10" s="6" t="s">
        <v>2705</v>
      </c>
      <c r="N10" s="6" t="s">
        <v>2701</v>
      </c>
      <c r="O10" s="6"/>
      <c r="P10" s="15"/>
      <c r="Q10" s="6"/>
      <c r="R10" s="15"/>
      <c r="S10" s="15"/>
    </row>
    <row r="11" spans="1:20" ht="29.25" customHeight="1" x14ac:dyDescent="0.2">
      <c r="A11" s="67">
        <v>8</v>
      </c>
      <c r="B11" s="67" t="s">
        <v>2706</v>
      </c>
      <c r="C11" s="68" t="s">
        <v>2707</v>
      </c>
      <c r="D11" s="69" t="s">
        <v>6</v>
      </c>
      <c r="E11" s="69" t="s">
        <v>185</v>
      </c>
      <c r="F11" s="69" t="s">
        <v>83</v>
      </c>
      <c r="G11" s="69" t="s">
        <v>92</v>
      </c>
      <c r="H11" s="69" t="s">
        <v>2159</v>
      </c>
      <c r="I11" s="70" t="s">
        <v>69</v>
      </c>
      <c r="J11" s="70" t="s">
        <v>70</v>
      </c>
      <c r="K11" s="69" t="s">
        <v>2708</v>
      </c>
      <c r="L11" s="69" t="s">
        <v>69</v>
      </c>
      <c r="M11" s="67" t="s">
        <v>2705</v>
      </c>
      <c r="N11" s="67" t="s">
        <v>2709</v>
      </c>
      <c r="O11" s="69"/>
      <c r="P11" s="71"/>
      <c r="Q11" s="72"/>
      <c r="R11" s="73"/>
      <c r="S11" s="73"/>
    </row>
    <row r="12" spans="1:20" ht="29.25" customHeight="1" x14ac:dyDescent="0.2">
      <c r="A12" s="15">
        <v>9</v>
      </c>
      <c r="B12" s="15" t="s">
        <v>2710</v>
      </c>
      <c r="C12" s="16" t="s">
        <v>2707</v>
      </c>
      <c r="D12" s="6" t="s">
        <v>6</v>
      </c>
      <c r="E12" s="6"/>
      <c r="F12" s="15" t="s">
        <v>7</v>
      </c>
      <c r="G12" s="6" t="s">
        <v>92</v>
      </c>
      <c r="H12" s="6" t="s">
        <v>155</v>
      </c>
      <c r="I12" s="6" t="s">
        <v>142</v>
      </c>
      <c r="J12" s="6" t="s">
        <v>70</v>
      </c>
      <c r="K12" s="6" t="s">
        <v>324</v>
      </c>
      <c r="L12" s="6" t="s">
        <v>142</v>
      </c>
      <c r="M12" s="6" t="s">
        <v>2705</v>
      </c>
      <c r="N12" s="6" t="s">
        <v>2709</v>
      </c>
      <c r="O12" s="6"/>
      <c r="P12" s="15"/>
      <c r="Q12" s="6"/>
      <c r="R12" s="15"/>
      <c r="S12" s="15"/>
    </row>
    <row r="13" spans="1:20" ht="29.25" customHeight="1" x14ac:dyDescent="0.2">
      <c r="A13" s="67">
        <v>10</v>
      </c>
      <c r="B13" s="67" t="s">
        <v>2711</v>
      </c>
      <c r="C13" s="68" t="s">
        <v>1586</v>
      </c>
      <c r="D13" s="69" t="s">
        <v>9</v>
      </c>
      <c r="E13" s="69" t="s">
        <v>185</v>
      </c>
      <c r="F13" s="69" t="s">
        <v>83</v>
      </c>
      <c r="G13" s="69" t="s">
        <v>92</v>
      </c>
      <c r="H13" s="69" t="s">
        <v>117</v>
      </c>
      <c r="I13" s="70" t="s">
        <v>206</v>
      </c>
      <c r="J13" s="70" t="s">
        <v>107</v>
      </c>
      <c r="K13" s="69" t="s">
        <v>204</v>
      </c>
      <c r="L13" s="69" t="s">
        <v>206</v>
      </c>
      <c r="M13" s="67" t="s">
        <v>107</v>
      </c>
      <c r="N13" s="67" t="s">
        <v>2712</v>
      </c>
      <c r="O13" s="69"/>
      <c r="P13" s="71"/>
      <c r="Q13" s="72"/>
      <c r="R13" s="73"/>
      <c r="S13" s="73"/>
    </row>
    <row r="14" spans="1:20" ht="29.25" customHeight="1" x14ac:dyDescent="0.2">
      <c r="A14" s="15">
        <v>11</v>
      </c>
      <c r="B14" s="15" t="s">
        <v>2713</v>
      </c>
      <c r="C14" s="16" t="s">
        <v>88</v>
      </c>
      <c r="D14" s="6" t="s">
        <v>9</v>
      </c>
      <c r="E14" s="6"/>
      <c r="F14" s="15" t="s">
        <v>7</v>
      </c>
      <c r="G14" s="6" t="s">
        <v>92</v>
      </c>
      <c r="H14" s="6" t="s">
        <v>104</v>
      </c>
      <c r="I14" s="6" t="s">
        <v>206</v>
      </c>
      <c r="J14" s="6" t="s">
        <v>107</v>
      </c>
      <c r="K14" s="6" t="s">
        <v>361</v>
      </c>
      <c r="L14" s="6" t="s">
        <v>206</v>
      </c>
      <c r="M14" s="6" t="s">
        <v>107</v>
      </c>
      <c r="N14" s="6" t="s">
        <v>2714</v>
      </c>
      <c r="O14" s="6"/>
      <c r="P14" s="15"/>
      <c r="Q14" s="6"/>
      <c r="R14" s="15"/>
      <c r="S14" s="15"/>
    </row>
    <row r="15" spans="1:20" ht="29.25" customHeight="1" x14ac:dyDescent="0.2">
      <c r="A15" s="67">
        <v>12</v>
      </c>
      <c r="B15" s="67" t="s">
        <v>2715</v>
      </c>
      <c r="C15" s="68" t="s">
        <v>452</v>
      </c>
      <c r="D15" s="69" t="s">
        <v>9</v>
      </c>
      <c r="E15" s="69" t="s">
        <v>185</v>
      </c>
      <c r="F15" s="69" t="s">
        <v>83</v>
      </c>
      <c r="G15" s="69" t="s">
        <v>92</v>
      </c>
      <c r="H15" s="69" t="s">
        <v>251</v>
      </c>
      <c r="I15" s="70" t="s">
        <v>119</v>
      </c>
      <c r="J15" s="70" t="s">
        <v>107</v>
      </c>
      <c r="K15" s="69" t="s">
        <v>453</v>
      </c>
      <c r="L15" s="69" t="s">
        <v>119</v>
      </c>
      <c r="M15" s="67" t="s">
        <v>107</v>
      </c>
      <c r="N15" s="67" t="s">
        <v>2716</v>
      </c>
      <c r="O15" s="69"/>
      <c r="P15" s="71"/>
      <c r="Q15" s="72"/>
      <c r="R15" s="73"/>
      <c r="S15" s="73"/>
    </row>
    <row r="16" spans="1:20" ht="29.25" customHeight="1" x14ac:dyDescent="0.2">
      <c r="A16" s="15">
        <v>13</v>
      </c>
      <c r="B16" s="15" t="s">
        <v>2212</v>
      </c>
      <c r="C16" s="16" t="s">
        <v>2211</v>
      </c>
      <c r="D16" s="6" t="s">
        <v>10</v>
      </c>
      <c r="E16" s="6"/>
      <c r="F16" s="15" t="s">
        <v>7</v>
      </c>
      <c r="G16" s="6" t="s">
        <v>92</v>
      </c>
      <c r="H16" s="6" t="s">
        <v>155</v>
      </c>
      <c r="I16" s="6" t="s">
        <v>206</v>
      </c>
      <c r="J16" s="6" t="s">
        <v>107</v>
      </c>
      <c r="K16" s="6" t="s">
        <v>167</v>
      </c>
      <c r="L16" s="6" t="s">
        <v>206</v>
      </c>
      <c r="M16" s="6" t="s">
        <v>107</v>
      </c>
      <c r="N16" s="6" t="s">
        <v>2671</v>
      </c>
      <c r="O16" s="6"/>
      <c r="P16" s="15"/>
      <c r="Q16" s="6"/>
      <c r="R16" s="15"/>
      <c r="S16" s="15"/>
    </row>
    <row r="17" spans="1:20" ht="29.25" customHeight="1" x14ac:dyDescent="0.2">
      <c r="A17" s="67">
        <v>14</v>
      </c>
      <c r="B17" s="67" t="s">
        <v>2618</v>
      </c>
      <c r="C17" s="68" t="s">
        <v>452</v>
      </c>
      <c r="D17" s="69" t="s">
        <v>9</v>
      </c>
      <c r="E17" s="69"/>
      <c r="F17" s="69" t="s">
        <v>7</v>
      </c>
      <c r="G17" s="69" t="s">
        <v>92</v>
      </c>
      <c r="H17" s="69" t="s">
        <v>218</v>
      </c>
      <c r="I17" s="70" t="s">
        <v>206</v>
      </c>
      <c r="J17" s="70" t="s">
        <v>107</v>
      </c>
      <c r="K17" s="69" t="s">
        <v>453</v>
      </c>
      <c r="L17" s="69" t="s">
        <v>206</v>
      </c>
      <c r="M17" s="67" t="s">
        <v>107</v>
      </c>
      <c r="N17" s="67" t="s">
        <v>2717</v>
      </c>
      <c r="O17" s="69"/>
      <c r="P17" s="71"/>
      <c r="Q17" s="72"/>
      <c r="R17" s="73"/>
      <c r="S17" s="73"/>
    </row>
    <row r="18" spans="1:20" ht="29.25" customHeight="1" x14ac:dyDescent="0.2">
      <c r="A18" s="15">
        <v>15</v>
      </c>
      <c r="B18" s="15" t="s">
        <v>2718</v>
      </c>
      <c r="C18" s="16" t="s">
        <v>1082</v>
      </c>
      <c r="D18" s="6" t="s">
        <v>243</v>
      </c>
      <c r="E18" s="6" t="s">
        <v>185</v>
      </c>
      <c r="F18" s="15" t="s">
        <v>83</v>
      </c>
      <c r="G18" s="6" t="s">
        <v>92</v>
      </c>
      <c r="H18" s="6" t="s">
        <v>117</v>
      </c>
      <c r="I18" s="6" t="s">
        <v>1477</v>
      </c>
      <c r="J18" s="6" t="s">
        <v>107</v>
      </c>
      <c r="K18" s="6" t="s">
        <v>1084</v>
      </c>
      <c r="L18" s="6" t="s">
        <v>142</v>
      </c>
      <c r="M18" s="6" t="s">
        <v>70</v>
      </c>
      <c r="N18" s="6" t="s">
        <v>2719</v>
      </c>
      <c r="O18" s="6"/>
      <c r="P18" s="15"/>
      <c r="Q18" s="6"/>
      <c r="R18" s="15"/>
      <c r="S18" s="15"/>
    </row>
    <row r="19" spans="1:20" ht="29.25" customHeight="1" x14ac:dyDescent="0.2">
      <c r="A19" s="67">
        <v>16</v>
      </c>
      <c r="B19" s="67" t="s">
        <v>2718</v>
      </c>
      <c r="C19" s="68" t="s">
        <v>1082</v>
      </c>
      <c r="D19" s="69" t="s">
        <v>243</v>
      </c>
      <c r="E19" s="69"/>
      <c r="F19" s="69" t="s">
        <v>7</v>
      </c>
      <c r="G19" s="69" t="s">
        <v>92</v>
      </c>
      <c r="H19" s="69" t="s">
        <v>117</v>
      </c>
      <c r="I19" s="70" t="s">
        <v>206</v>
      </c>
      <c r="J19" s="70" t="s">
        <v>107</v>
      </c>
      <c r="K19" s="69" t="s">
        <v>1084</v>
      </c>
      <c r="L19" s="69" t="s">
        <v>206</v>
      </c>
      <c r="M19" s="67" t="s">
        <v>107</v>
      </c>
      <c r="N19" s="67" t="s">
        <v>2719</v>
      </c>
      <c r="O19" s="69"/>
      <c r="P19" s="71"/>
      <c r="Q19" s="72"/>
      <c r="R19" s="73"/>
      <c r="S19" s="73"/>
    </row>
    <row r="20" spans="1:20" ht="29.25" customHeight="1" x14ac:dyDescent="0.2">
      <c r="A20" s="15">
        <v>17</v>
      </c>
      <c r="B20" s="15" t="s">
        <v>2720</v>
      </c>
      <c r="C20" s="16" t="s">
        <v>2721</v>
      </c>
      <c r="D20" s="6" t="s">
        <v>9</v>
      </c>
      <c r="E20" s="6" t="s">
        <v>202</v>
      </c>
      <c r="F20" s="15" t="s">
        <v>83</v>
      </c>
      <c r="G20" s="6" t="s">
        <v>92</v>
      </c>
      <c r="H20" s="6" t="s">
        <v>117</v>
      </c>
      <c r="I20" s="6" t="s">
        <v>206</v>
      </c>
      <c r="J20" s="6" t="s">
        <v>107</v>
      </c>
      <c r="K20" s="6" t="s">
        <v>120</v>
      </c>
      <c r="L20" s="6" t="s">
        <v>206</v>
      </c>
      <c r="M20" s="6" t="s">
        <v>107</v>
      </c>
      <c r="N20" s="6" t="s">
        <v>2722</v>
      </c>
      <c r="O20" s="6"/>
      <c r="P20" s="15"/>
      <c r="Q20" s="6"/>
      <c r="R20" s="15"/>
      <c r="S20" s="15"/>
    </row>
    <row r="21" spans="1:20" ht="29.25" customHeight="1" x14ac:dyDescent="0.2">
      <c r="A21" s="67">
        <v>18</v>
      </c>
      <c r="B21" s="67" t="s">
        <v>2723</v>
      </c>
      <c r="C21" s="68" t="s">
        <v>2724</v>
      </c>
      <c r="D21" s="69" t="s">
        <v>243</v>
      </c>
      <c r="E21" s="69" t="s">
        <v>185</v>
      </c>
      <c r="F21" s="69" t="s">
        <v>83</v>
      </c>
      <c r="G21" s="69" t="s">
        <v>92</v>
      </c>
      <c r="H21" s="69" t="s">
        <v>141</v>
      </c>
      <c r="I21" s="70" t="s">
        <v>69</v>
      </c>
      <c r="J21" s="70" t="s">
        <v>70</v>
      </c>
      <c r="K21" s="69" t="s">
        <v>998</v>
      </c>
      <c r="L21" s="69" t="s">
        <v>69</v>
      </c>
      <c r="M21" s="67" t="s">
        <v>70</v>
      </c>
      <c r="N21" s="67" t="s">
        <v>2725</v>
      </c>
      <c r="O21" s="69"/>
      <c r="P21" s="71"/>
      <c r="Q21" s="72"/>
      <c r="R21" s="73"/>
      <c r="S21" s="73"/>
    </row>
    <row r="22" spans="1:20" s="2" customFormat="1" ht="30" customHeight="1" x14ac:dyDescent="0.2">
      <c r="A22" s="15">
        <v>19</v>
      </c>
      <c r="B22" s="15" t="s">
        <v>2723</v>
      </c>
      <c r="C22" s="16" t="s">
        <v>2724</v>
      </c>
      <c r="D22" s="6" t="s">
        <v>243</v>
      </c>
      <c r="E22" s="6"/>
      <c r="F22" s="15" t="s">
        <v>7</v>
      </c>
      <c r="G22" s="6" t="s">
        <v>92</v>
      </c>
      <c r="H22" s="6">
        <v>30</v>
      </c>
      <c r="I22" s="6" t="s">
        <v>2699</v>
      </c>
      <c r="J22" s="6" t="s">
        <v>107</v>
      </c>
      <c r="K22" s="6" t="s">
        <v>998</v>
      </c>
      <c r="L22" s="6" t="s">
        <v>206</v>
      </c>
      <c r="M22" s="6" t="s">
        <v>107</v>
      </c>
      <c r="N22" s="6" t="s">
        <v>2726</v>
      </c>
      <c r="O22" s="6"/>
      <c r="P22" s="15"/>
      <c r="Q22" s="6"/>
      <c r="R22" s="15"/>
      <c r="S22" s="15"/>
      <c r="T22" s="78"/>
    </row>
    <row r="23" spans="1:20" s="2" customFormat="1" ht="21.75" x14ac:dyDescent="0.2">
      <c r="A23" s="67">
        <v>20</v>
      </c>
      <c r="B23" s="67" t="s">
        <v>2727</v>
      </c>
      <c r="C23" s="68" t="s">
        <v>684</v>
      </c>
      <c r="D23" s="69" t="s">
        <v>6</v>
      </c>
      <c r="E23" s="69" t="s">
        <v>185</v>
      </c>
      <c r="F23" s="69" t="s">
        <v>83</v>
      </c>
      <c r="G23" s="69" t="s">
        <v>92</v>
      </c>
      <c r="H23" s="69">
        <v>92</v>
      </c>
      <c r="I23" s="70" t="s">
        <v>262</v>
      </c>
      <c r="J23" s="70" t="s">
        <v>70</v>
      </c>
      <c r="K23" s="69" t="s">
        <v>268</v>
      </c>
      <c r="L23" s="69" t="s">
        <v>262</v>
      </c>
      <c r="M23" s="67" t="s">
        <v>70</v>
      </c>
      <c r="N23" s="67" t="s">
        <v>2728</v>
      </c>
      <c r="O23" s="69"/>
      <c r="P23" s="71"/>
      <c r="Q23" s="72"/>
      <c r="R23" s="73"/>
      <c r="S23" s="73"/>
    </row>
    <row r="24" spans="1:20" s="2" customFormat="1" ht="30" customHeight="1" x14ac:dyDescent="0.2">
      <c r="A24" s="15">
        <v>21</v>
      </c>
      <c r="B24" s="15" t="s">
        <v>2729</v>
      </c>
      <c r="C24" s="16" t="s">
        <v>2721</v>
      </c>
      <c r="D24" s="6" t="s">
        <v>9</v>
      </c>
      <c r="E24" s="6"/>
      <c r="F24" s="15" t="s">
        <v>7</v>
      </c>
      <c r="G24" s="6" t="s">
        <v>92</v>
      </c>
      <c r="H24" s="6">
        <v>37</v>
      </c>
      <c r="I24" s="6" t="s">
        <v>2699</v>
      </c>
      <c r="J24" s="6" t="s">
        <v>107</v>
      </c>
      <c r="K24" s="6" t="s">
        <v>188</v>
      </c>
      <c r="L24" s="6" t="s">
        <v>206</v>
      </c>
      <c r="M24" s="6" t="s">
        <v>107</v>
      </c>
      <c r="N24" s="6" t="s">
        <v>2730</v>
      </c>
      <c r="O24" s="6"/>
      <c r="P24" s="15"/>
      <c r="Q24" s="6"/>
      <c r="R24" s="15"/>
      <c r="S24" s="15"/>
    </row>
    <row r="25" spans="1:20" s="2" customFormat="1" ht="30" customHeight="1" x14ac:dyDescent="0.2">
      <c r="A25" s="67">
        <v>22</v>
      </c>
      <c r="B25" s="67" t="s">
        <v>2731</v>
      </c>
      <c r="C25" s="68" t="s">
        <v>684</v>
      </c>
      <c r="D25" s="69" t="s">
        <v>6</v>
      </c>
      <c r="E25" s="69"/>
      <c r="F25" s="69" t="s">
        <v>7</v>
      </c>
      <c r="G25" s="69" t="s">
        <v>92</v>
      </c>
      <c r="H25" s="69">
        <v>92</v>
      </c>
      <c r="I25" s="70" t="s">
        <v>69</v>
      </c>
      <c r="J25" s="70" t="s">
        <v>70</v>
      </c>
      <c r="K25" s="69" t="s">
        <v>268</v>
      </c>
      <c r="L25" s="69" t="s">
        <v>262</v>
      </c>
      <c r="M25" s="67" t="s">
        <v>70</v>
      </c>
      <c r="N25" s="67" t="s">
        <v>2728</v>
      </c>
      <c r="O25" s="69"/>
      <c r="P25" s="71"/>
      <c r="Q25" s="72"/>
      <c r="R25" s="73"/>
      <c r="S25" s="73"/>
    </row>
    <row r="26" spans="1:20" s="2" customFormat="1" ht="30" customHeight="1" x14ac:dyDescent="0.2">
      <c r="A26" s="15">
        <v>23</v>
      </c>
      <c r="B26" s="15" t="s">
        <v>2732</v>
      </c>
      <c r="C26" s="16" t="s">
        <v>286</v>
      </c>
      <c r="D26" s="6" t="s">
        <v>9</v>
      </c>
      <c r="E26" s="6" t="s">
        <v>2285</v>
      </c>
      <c r="F26" s="15" t="s">
        <v>83</v>
      </c>
      <c r="G26" s="6" t="s">
        <v>92</v>
      </c>
      <c r="H26" s="6">
        <v>92</v>
      </c>
      <c r="I26" s="6" t="s">
        <v>369</v>
      </c>
      <c r="J26" s="6" t="s">
        <v>369</v>
      </c>
      <c r="K26" s="6" t="s">
        <v>268</v>
      </c>
      <c r="L26" s="6" t="s">
        <v>262</v>
      </c>
      <c r="M26" s="6" t="s">
        <v>70</v>
      </c>
      <c r="N26" s="6" t="s">
        <v>2733</v>
      </c>
      <c r="O26" s="6"/>
      <c r="P26" s="15"/>
      <c r="Q26" s="6"/>
      <c r="R26" s="15"/>
      <c r="S26" s="15"/>
    </row>
    <row r="27" spans="1:20" s="2" customFormat="1" ht="30" customHeight="1" x14ac:dyDescent="0.2">
      <c r="A27" s="67">
        <v>24</v>
      </c>
      <c r="B27" s="67" t="s">
        <v>2734</v>
      </c>
      <c r="C27" s="68" t="s">
        <v>1248</v>
      </c>
      <c r="D27" s="69" t="s">
        <v>10</v>
      </c>
      <c r="E27" s="69" t="s">
        <v>2285</v>
      </c>
      <c r="F27" s="69" t="s">
        <v>83</v>
      </c>
      <c r="G27" s="69" t="s">
        <v>92</v>
      </c>
      <c r="H27" s="69">
        <v>73</v>
      </c>
      <c r="I27" s="70" t="s">
        <v>69</v>
      </c>
      <c r="J27" s="70" t="s">
        <v>70</v>
      </c>
      <c r="K27" s="69" t="s">
        <v>167</v>
      </c>
      <c r="L27" s="69" t="s">
        <v>119</v>
      </c>
      <c r="M27" s="67" t="s">
        <v>107</v>
      </c>
      <c r="N27" s="67" t="s">
        <v>2735</v>
      </c>
      <c r="O27" s="69"/>
      <c r="P27" s="71"/>
      <c r="Q27" s="72"/>
      <c r="R27" s="73"/>
      <c r="S27" s="73"/>
    </row>
    <row r="28" spans="1:20" s="2" customFormat="1" ht="30" customHeight="1" x14ac:dyDescent="0.2">
      <c r="A28" s="15">
        <v>25</v>
      </c>
      <c r="B28" s="15" t="s">
        <v>577</v>
      </c>
      <c r="C28" s="16" t="s">
        <v>739</v>
      </c>
      <c r="D28" s="6" t="s">
        <v>10</v>
      </c>
      <c r="E28" s="6" t="s">
        <v>2285</v>
      </c>
      <c r="F28" s="15" t="s">
        <v>83</v>
      </c>
      <c r="G28" s="6" t="s">
        <v>92</v>
      </c>
      <c r="H28" s="6">
        <v>73</v>
      </c>
      <c r="I28" s="6" t="s">
        <v>119</v>
      </c>
      <c r="J28" s="6" t="s">
        <v>107</v>
      </c>
      <c r="K28" s="6" t="s">
        <v>324</v>
      </c>
      <c r="L28" s="6" t="s">
        <v>119</v>
      </c>
      <c r="M28" s="6" t="s">
        <v>107</v>
      </c>
      <c r="N28" s="6" t="s">
        <v>392</v>
      </c>
      <c r="O28" s="6"/>
      <c r="P28" s="15"/>
      <c r="Q28" s="6"/>
      <c r="R28" s="15"/>
      <c r="S28" s="15"/>
      <c r="T28" s="78"/>
    </row>
    <row r="29" spans="1:20" s="2" customFormat="1" ht="30" customHeight="1" x14ac:dyDescent="0.2">
      <c r="A29" s="67">
        <v>26</v>
      </c>
      <c r="B29" s="67" t="s">
        <v>2736</v>
      </c>
      <c r="C29" s="68" t="s">
        <v>2528</v>
      </c>
      <c r="D29" s="69" t="s">
        <v>10</v>
      </c>
      <c r="E29" s="69" t="s">
        <v>2737</v>
      </c>
      <c r="F29" s="69" t="s">
        <v>83</v>
      </c>
      <c r="G29" s="69" t="s">
        <v>92</v>
      </c>
      <c r="H29" s="69">
        <v>62</v>
      </c>
      <c r="I29" s="70" t="s">
        <v>69</v>
      </c>
      <c r="J29" s="70" t="s">
        <v>107</v>
      </c>
      <c r="K29" s="69" t="s">
        <v>263</v>
      </c>
      <c r="L29" s="69" t="s">
        <v>206</v>
      </c>
      <c r="M29" s="67" t="s">
        <v>107</v>
      </c>
      <c r="N29" s="67" t="s">
        <v>987</v>
      </c>
      <c r="O29" s="69"/>
      <c r="P29" s="71"/>
      <c r="Q29" s="72"/>
      <c r="R29" s="73"/>
      <c r="S29" s="73"/>
      <c r="T29" s="78"/>
    </row>
    <row r="30" spans="1:20" s="2" customFormat="1" ht="30" customHeight="1" x14ac:dyDescent="0.2">
      <c r="A30" s="15">
        <v>27</v>
      </c>
      <c r="B30" s="15" t="s">
        <v>576</v>
      </c>
      <c r="C30" s="16" t="s">
        <v>573</v>
      </c>
      <c r="D30" s="6" t="s">
        <v>9</v>
      </c>
      <c r="E30" s="6"/>
      <c r="F30" s="15" t="s">
        <v>7</v>
      </c>
      <c r="G30" s="6" t="s">
        <v>92</v>
      </c>
      <c r="H30" s="6">
        <v>73</v>
      </c>
      <c r="I30" s="6" t="s">
        <v>2699</v>
      </c>
      <c r="J30" s="6" t="s">
        <v>107</v>
      </c>
      <c r="K30" s="6" t="s">
        <v>156</v>
      </c>
      <c r="L30" s="6" t="s">
        <v>142</v>
      </c>
      <c r="M30" s="6" t="s">
        <v>70</v>
      </c>
      <c r="N30" s="6" t="s">
        <v>2738</v>
      </c>
      <c r="O30" s="6"/>
      <c r="P30" s="15"/>
      <c r="Q30" s="6"/>
      <c r="R30" s="15"/>
      <c r="S30" s="15"/>
      <c r="T30" s="78"/>
    </row>
    <row r="31" spans="1:20" s="2" customFormat="1" ht="30" customHeight="1" x14ac:dyDescent="0.2">
      <c r="A31" s="67">
        <v>28</v>
      </c>
      <c r="B31" s="67" t="s">
        <v>2199</v>
      </c>
      <c r="C31" s="68" t="s">
        <v>739</v>
      </c>
      <c r="D31" s="69" t="s">
        <v>10</v>
      </c>
      <c r="E31" s="69"/>
      <c r="F31" s="69" t="s">
        <v>7</v>
      </c>
      <c r="G31" s="69" t="s">
        <v>92</v>
      </c>
      <c r="H31" s="69">
        <v>55</v>
      </c>
      <c r="I31" s="70" t="s">
        <v>2699</v>
      </c>
      <c r="J31" s="70" t="s">
        <v>107</v>
      </c>
      <c r="K31" s="69" t="s">
        <v>361</v>
      </c>
      <c r="L31" s="69" t="s">
        <v>2699</v>
      </c>
      <c r="M31" s="67" t="s">
        <v>107</v>
      </c>
      <c r="N31" s="67" t="s">
        <v>392</v>
      </c>
      <c r="O31" s="69"/>
      <c r="P31" s="71"/>
      <c r="Q31" s="72"/>
      <c r="R31" s="73"/>
      <c r="S31" s="73"/>
      <c r="T31" s="78"/>
    </row>
    <row r="32" spans="1:20" s="2" customFormat="1" ht="30" customHeight="1" x14ac:dyDescent="0.2">
      <c r="A32" s="15">
        <v>29</v>
      </c>
      <c r="B32" s="15" t="s">
        <v>2739</v>
      </c>
      <c r="C32" s="16" t="s">
        <v>1042</v>
      </c>
      <c r="D32" s="6" t="s">
        <v>8</v>
      </c>
      <c r="E32" s="6" t="s">
        <v>185</v>
      </c>
      <c r="F32" s="15" t="s">
        <v>83</v>
      </c>
      <c r="G32" s="6" t="s">
        <v>92</v>
      </c>
      <c r="H32" s="6">
        <v>37</v>
      </c>
      <c r="I32" s="6" t="s">
        <v>369</v>
      </c>
      <c r="J32" s="6" t="s">
        <v>369</v>
      </c>
      <c r="K32" s="6" t="s">
        <v>338</v>
      </c>
      <c r="L32" s="6" t="s">
        <v>119</v>
      </c>
      <c r="M32" s="6" t="s">
        <v>107</v>
      </c>
      <c r="N32" s="6" t="s">
        <v>2740</v>
      </c>
      <c r="O32" s="6"/>
      <c r="P32" s="15"/>
      <c r="Q32" s="6"/>
      <c r="R32" s="15"/>
      <c r="S32" s="15"/>
      <c r="T32" s="78"/>
    </row>
    <row r="33" spans="1:20" s="2" customFormat="1" ht="30" customHeight="1" x14ac:dyDescent="0.2">
      <c r="A33" s="67">
        <v>30</v>
      </c>
      <c r="B33" s="67" t="s">
        <v>2741</v>
      </c>
      <c r="C33" s="68" t="s">
        <v>1042</v>
      </c>
      <c r="D33" s="69" t="s">
        <v>8</v>
      </c>
      <c r="E33" s="69"/>
      <c r="F33" s="69" t="s">
        <v>7</v>
      </c>
      <c r="G33" s="69" t="s">
        <v>92</v>
      </c>
      <c r="H33" s="69">
        <v>37</v>
      </c>
      <c r="I33" s="70" t="s">
        <v>2699</v>
      </c>
      <c r="J33" s="70" t="s">
        <v>107</v>
      </c>
      <c r="K33" s="69" t="s">
        <v>328</v>
      </c>
      <c r="L33" s="69" t="s">
        <v>206</v>
      </c>
      <c r="M33" s="67" t="s">
        <v>107</v>
      </c>
      <c r="N33" s="67" t="s">
        <v>2740</v>
      </c>
      <c r="O33" s="69"/>
      <c r="P33" s="71"/>
      <c r="Q33" s="72"/>
      <c r="R33" s="73"/>
      <c r="S33" s="73"/>
      <c r="T33" s="78"/>
    </row>
    <row r="34" spans="1:20" s="2" customFormat="1" ht="30" customHeight="1" x14ac:dyDescent="0.2">
      <c r="A34" s="15">
        <v>31</v>
      </c>
      <c r="B34" s="15" t="s">
        <v>2742</v>
      </c>
      <c r="C34" s="16" t="s">
        <v>1112</v>
      </c>
      <c r="D34" s="6" t="s">
        <v>8</v>
      </c>
      <c r="E34" s="6" t="s">
        <v>922</v>
      </c>
      <c r="F34" s="15" t="s">
        <v>83</v>
      </c>
      <c r="G34" s="6" t="s">
        <v>92</v>
      </c>
      <c r="H34" s="6">
        <v>37</v>
      </c>
      <c r="I34" s="6" t="s">
        <v>2699</v>
      </c>
      <c r="J34" s="6" t="s">
        <v>107</v>
      </c>
      <c r="K34" s="6" t="s">
        <v>328</v>
      </c>
      <c r="L34" s="6" t="s">
        <v>119</v>
      </c>
      <c r="M34" s="6" t="s">
        <v>107</v>
      </c>
      <c r="N34" s="6" t="s">
        <v>2743</v>
      </c>
      <c r="O34" s="6"/>
      <c r="P34" s="15"/>
      <c r="Q34" s="6"/>
      <c r="R34" s="15"/>
      <c r="S34" s="15"/>
      <c r="T34" s="78"/>
    </row>
    <row r="35" spans="1:20" s="2" customFormat="1" ht="30" customHeight="1" x14ac:dyDescent="0.2">
      <c r="A35" s="67">
        <v>32</v>
      </c>
      <c r="B35" s="67" t="s">
        <v>2744</v>
      </c>
      <c r="C35" s="68" t="s">
        <v>2745</v>
      </c>
      <c r="D35" s="69" t="s">
        <v>19</v>
      </c>
      <c r="E35" s="69" t="s">
        <v>185</v>
      </c>
      <c r="F35" s="69" t="s">
        <v>83</v>
      </c>
      <c r="G35" s="69" t="s">
        <v>2746</v>
      </c>
      <c r="H35" s="69">
        <v>30</v>
      </c>
      <c r="I35" s="70" t="s">
        <v>262</v>
      </c>
      <c r="J35" s="70" t="s">
        <v>70</v>
      </c>
      <c r="K35" s="69" t="s">
        <v>998</v>
      </c>
      <c r="L35" s="69" t="s">
        <v>119</v>
      </c>
      <c r="M35" s="67" t="s">
        <v>107</v>
      </c>
      <c r="N35" s="67" t="s">
        <v>2560</v>
      </c>
      <c r="O35" s="69"/>
      <c r="P35" s="71"/>
      <c r="Q35" s="72"/>
      <c r="R35" s="73"/>
      <c r="S35" s="73"/>
      <c r="T35" s="78"/>
    </row>
    <row r="36" spans="1:20" s="2" customFormat="1" ht="30" customHeight="1" x14ac:dyDescent="0.2">
      <c r="A36" s="15">
        <v>33</v>
      </c>
      <c r="B36" s="15" t="s">
        <v>2744</v>
      </c>
      <c r="C36" s="16" t="s">
        <v>2745</v>
      </c>
      <c r="D36" s="6" t="s">
        <v>19</v>
      </c>
      <c r="E36" s="6"/>
      <c r="F36" s="15" t="s">
        <v>7</v>
      </c>
      <c r="G36" s="6" t="s">
        <v>2746</v>
      </c>
      <c r="H36" s="6">
        <v>30</v>
      </c>
      <c r="I36" s="6" t="s">
        <v>2699</v>
      </c>
      <c r="J36" s="6" t="s">
        <v>107</v>
      </c>
      <c r="K36" s="6" t="s">
        <v>998</v>
      </c>
      <c r="L36" s="6" t="s">
        <v>2699</v>
      </c>
      <c r="M36" s="6" t="s">
        <v>107</v>
      </c>
      <c r="N36" s="6" t="s">
        <v>2560</v>
      </c>
      <c r="O36" s="6"/>
      <c r="P36" s="15"/>
      <c r="Q36" s="6"/>
      <c r="R36" s="15"/>
      <c r="S36" s="15"/>
      <c r="T36" s="78"/>
    </row>
    <row r="37" spans="1:20" s="2" customFormat="1" ht="30" customHeight="1" x14ac:dyDescent="0.2">
      <c r="A37" s="67">
        <v>34</v>
      </c>
      <c r="B37" s="67" t="s">
        <v>2747</v>
      </c>
      <c r="C37" s="68" t="s">
        <v>2330</v>
      </c>
      <c r="D37" s="69" t="s">
        <v>20</v>
      </c>
      <c r="E37" s="69" t="s">
        <v>185</v>
      </c>
      <c r="F37" s="69" t="s">
        <v>83</v>
      </c>
      <c r="G37" s="69" t="s">
        <v>92</v>
      </c>
      <c r="H37" s="69">
        <v>30</v>
      </c>
      <c r="I37" s="70"/>
      <c r="J37" s="70"/>
      <c r="K37" s="69" t="s">
        <v>1704</v>
      </c>
      <c r="L37" s="69"/>
      <c r="M37" s="67"/>
      <c r="N37" s="67"/>
      <c r="O37" s="69"/>
      <c r="P37" s="71"/>
      <c r="Q37" s="72"/>
      <c r="R37" s="73"/>
      <c r="S37" s="73"/>
      <c r="T37" s="78"/>
    </row>
    <row r="38" spans="1:20" s="2" customFormat="1" ht="30" customHeight="1" x14ac:dyDescent="0.2">
      <c r="A38" s="15">
        <v>35</v>
      </c>
      <c r="B38" s="15" t="s">
        <v>2747</v>
      </c>
      <c r="C38" s="16" t="s">
        <v>2330</v>
      </c>
      <c r="D38" s="6" t="s">
        <v>20</v>
      </c>
      <c r="E38" s="6"/>
      <c r="F38" s="15" t="s">
        <v>7</v>
      </c>
      <c r="G38" s="6" t="s">
        <v>92</v>
      </c>
      <c r="H38" s="6">
        <v>30</v>
      </c>
      <c r="I38" s="6" t="s">
        <v>2699</v>
      </c>
      <c r="J38" s="6" t="s">
        <v>107</v>
      </c>
      <c r="K38" s="6" t="s">
        <v>1704</v>
      </c>
      <c r="L38" s="6" t="s">
        <v>2699</v>
      </c>
      <c r="M38" s="6" t="s">
        <v>107</v>
      </c>
      <c r="N38" s="6"/>
      <c r="O38" s="6"/>
      <c r="P38" s="15"/>
      <c r="Q38" s="6"/>
      <c r="R38" s="15"/>
      <c r="S38" s="15"/>
      <c r="T38" s="78"/>
    </row>
    <row r="39" spans="1:20" s="2" customFormat="1" ht="30" customHeight="1" x14ac:dyDescent="0.2">
      <c r="A39" s="67">
        <v>36</v>
      </c>
      <c r="B39" s="67" t="s">
        <v>2748</v>
      </c>
      <c r="C39" s="68" t="s">
        <v>2749</v>
      </c>
      <c r="D39" s="69" t="s">
        <v>9</v>
      </c>
      <c r="E39" s="69" t="s">
        <v>222</v>
      </c>
      <c r="F39" s="69" t="s">
        <v>222</v>
      </c>
      <c r="G39" s="69" t="s">
        <v>67</v>
      </c>
      <c r="H39" s="69">
        <v>37</v>
      </c>
      <c r="I39" s="70" t="s">
        <v>206</v>
      </c>
      <c r="J39" s="70" t="s">
        <v>107</v>
      </c>
      <c r="K39" s="69" t="s">
        <v>338</v>
      </c>
      <c r="L39" s="69" t="s">
        <v>2699</v>
      </c>
      <c r="M39" s="67" t="s">
        <v>107</v>
      </c>
      <c r="N39" s="67" t="s">
        <v>2750</v>
      </c>
      <c r="O39" s="69"/>
      <c r="P39" s="71"/>
      <c r="Q39" s="72"/>
      <c r="R39" s="73"/>
      <c r="S39" s="73"/>
      <c r="T39" s="78"/>
    </row>
    <row r="40" spans="1:20" s="2" customFormat="1" ht="30" customHeight="1" x14ac:dyDescent="0.2">
      <c r="A40" s="15">
        <v>37</v>
      </c>
      <c r="B40" s="15" t="s">
        <v>2751</v>
      </c>
      <c r="C40" s="16" t="s">
        <v>2752</v>
      </c>
      <c r="D40" s="6" t="s">
        <v>9</v>
      </c>
      <c r="E40" s="6" t="s">
        <v>2285</v>
      </c>
      <c r="F40" s="15" t="s">
        <v>83</v>
      </c>
      <c r="G40" s="6" t="s">
        <v>92</v>
      </c>
      <c r="H40" s="6">
        <v>18</v>
      </c>
      <c r="I40" s="6" t="s">
        <v>69</v>
      </c>
      <c r="J40" s="6" t="s">
        <v>70</v>
      </c>
      <c r="K40" s="6" t="s">
        <v>2753</v>
      </c>
      <c r="L40" s="6" t="s">
        <v>2699</v>
      </c>
      <c r="M40" s="6" t="s">
        <v>107</v>
      </c>
      <c r="N40" s="6" t="s">
        <v>2754</v>
      </c>
      <c r="O40" s="6"/>
      <c r="P40" s="15"/>
      <c r="Q40" s="6"/>
      <c r="R40" s="15"/>
      <c r="S40" s="15"/>
      <c r="T40" s="78"/>
    </row>
    <row r="41" spans="1:20" s="2" customFormat="1" ht="30" customHeight="1" x14ac:dyDescent="0.2">
      <c r="A41" s="67">
        <v>38</v>
      </c>
      <c r="B41" s="67" t="s">
        <v>2751</v>
      </c>
      <c r="C41" s="68" t="s">
        <v>2752</v>
      </c>
      <c r="D41" s="69" t="s">
        <v>9</v>
      </c>
      <c r="E41" s="69"/>
      <c r="F41" s="69" t="s">
        <v>7</v>
      </c>
      <c r="G41" s="69" t="s">
        <v>92</v>
      </c>
      <c r="H41" s="69">
        <v>18</v>
      </c>
      <c r="I41" s="70" t="s">
        <v>206</v>
      </c>
      <c r="J41" s="70" t="s">
        <v>107</v>
      </c>
      <c r="K41" s="69" t="s">
        <v>425</v>
      </c>
      <c r="L41" s="69" t="s">
        <v>2699</v>
      </c>
      <c r="M41" s="67" t="s">
        <v>107</v>
      </c>
      <c r="N41" s="67" t="s">
        <v>2751</v>
      </c>
      <c r="O41" s="69"/>
      <c r="P41" s="71"/>
      <c r="Q41" s="72"/>
      <c r="R41" s="73"/>
      <c r="S41" s="73"/>
      <c r="T41" s="78"/>
    </row>
    <row r="42" spans="1:20" s="2" customFormat="1" ht="30" customHeight="1" x14ac:dyDescent="0.2">
      <c r="A42" s="15">
        <v>39</v>
      </c>
      <c r="B42" s="15" t="s">
        <v>2755</v>
      </c>
      <c r="C42" s="16" t="s">
        <v>2756</v>
      </c>
      <c r="D42" s="6" t="s">
        <v>8</v>
      </c>
      <c r="E42" s="6" t="s">
        <v>2285</v>
      </c>
      <c r="F42" s="15" t="s">
        <v>83</v>
      </c>
      <c r="G42" s="6" t="s">
        <v>92</v>
      </c>
      <c r="H42" s="6">
        <v>55</v>
      </c>
      <c r="I42" s="6" t="s">
        <v>69</v>
      </c>
      <c r="J42" s="6" t="s">
        <v>70</v>
      </c>
      <c r="K42" s="6" t="s">
        <v>108</v>
      </c>
      <c r="L42" s="6" t="s">
        <v>69</v>
      </c>
      <c r="M42" s="6" t="s">
        <v>70</v>
      </c>
      <c r="N42" s="6" t="s">
        <v>478</v>
      </c>
      <c r="O42" s="6"/>
      <c r="P42" s="15"/>
      <c r="Q42" s="6"/>
      <c r="R42" s="15"/>
      <c r="S42" s="15"/>
      <c r="T42" s="78"/>
    </row>
    <row r="43" spans="1:20" s="2" customFormat="1" ht="30" customHeight="1" x14ac:dyDescent="0.2">
      <c r="A43" s="67">
        <v>40</v>
      </c>
      <c r="B43" s="67" t="s">
        <v>2757</v>
      </c>
      <c r="C43" s="68" t="s">
        <v>2756</v>
      </c>
      <c r="D43" s="69" t="s">
        <v>8</v>
      </c>
      <c r="E43" s="69"/>
      <c r="F43" s="69" t="s">
        <v>7</v>
      </c>
      <c r="G43" s="69" t="s">
        <v>92</v>
      </c>
      <c r="H43" s="69">
        <v>55</v>
      </c>
      <c r="I43" s="70" t="s">
        <v>69</v>
      </c>
      <c r="J43" s="70" t="s">
        <v>70</v>
      </c>
      <c r="K43" s="69" t="s">
        <v>108</v>
      </c>
      <c r="L43" s="69" t="s">
        <v>69</v>
      </c>
      <c r="M43" s="67" t="s">
        <v>70</v>
      </c>
      <c r="N43" s="67" t="s">
        <v>478</v>
      </c>
      <c r="O43" s="69"/>
      <c r="P43" s="71"/>
      <c r="Q43" s="72"/>
      <c r="R43" s="73"/>
      <c r="S43" s="73"/>
      <c r="T43" s="78"/>
    </row>
    <row r="44" spans="1:20" s="2" customFormat="1" ht="30" customHeight="1" x14ac:dyDescent="0.2">
      <c r="A44" s="15">
        <v>41</v>
      </c>
      <c r="B44" s="15" t="s">
        <v>1591</v>
      </c>
      <c r="C44" s="16" t="s">
        <v>1586</v>
      </c>
      <c r="D44" s="6" t="s">
        <v>9</v>
      </c>
      <c r="E44" s="6"/>
      <c r="F44" s="15" t="s">
        <v>7</v>
      </c>
      <c r="G44" s="6" t="s">
        <v>92</v>
      </c>
      <c r="H44" s="6">
        <v>55</v>
      </c>
      <c r="I44" s="6" t="s">
        <v>119</v>
      </c>
      <c r="J44" s="6" t="s">
        <v>107</v>
      </c>
      <c r="K44" s="6" t="s">
        <v>1589</v>
      </c>
      <c r="L44" s="6" t="s">
        <v>69</v>
      </c>
      <c r="M44" s="6" t="s">
        <v>70</v>
      </c>
      <c r="N44" s="6" t="s">
        <v>2712</v>
      </c>
      <c r="O44" s="6"/>
      <c r="P44" s="15"/>
      <c r="Q44" s="6"/>
      <c r="R44" s="15"/>
      <c r="S44" s="15"/>
      <c r="T44" s="78"/>
    </row>
    <row r="45" spans="1:20" s="2" customFormat="1" ht="30" customHeight="1" x14ac:dyDescent="0.2">
      <c r="A45" s="67">
        <v>42</v>
      </c>
      <c r="B45" s="67" t="s">
        <v>2758</v>
      </c>
      <c r="C45" s="68" t="s">
        <v>286</v>
      </c>
      <c r="D45" s="69" t="s">
        <v>9</v>
      </c>
      <c r="E45" s="69"/>
      <c r="F45" s="69" t="s">
        <v>7</v>
      </c>
      <c r="G45" s="69" t="s">
        <v>92</v>
      </c>
      <c r="H45" s="69">
        <v>62</v>
      </c>
      <c r="I45" s="70" t="s">
        <v>206</v>
      </c>
      <c r="J45" s="70" t="s">
        <v>107</v>
      </c>
      <c r="K45" s="69" t="s">
        <v>263</v>
      </c>
      <c r="L45" s="69" t="s">
        <v>142</v>
      </c>
      <c r="M45" s="67" t="s">
        <v>70</v>
      </c>
      <c r="N45" s="67" t="s">
        <v>2733</v>
      </c>
      <c r="O45" s="69"/>
      <c r="P45" s="71"/>
      <c r="Q45" s="72"/>
      <c r="R45" s="73"/>
      <c r="S45" s="73"/>
      <c r="T45" s="78"/>
    </row>
    <row r="46" spans="1:20" s="2" customFormat="1" ht="30" customHeight="1" x14ac:dyDescent="0.2">
      <c r="A46" s="15">
        <v>43</v>
      </c>
      <c r="B46" s="15" t="s">
        <v>2759</v>
      </c>
      <c r="C46" s="16" t="s">
        <v>1562</v>
      </c>
      <c r="D46" s="6" t="s">
        <v>6</v>
      </c>
      <c r="E46" s="6" t="s">
        <v>202</v>
      </c>
      <c r="F46" s="15" t="s">
        <v>83</v>
      </c>
      <c r="G46" s="6" t="s">
        <v>92</v>
      </c>
      <c r="H46" s="6">
        <v>73</v>
      </c>
      <c r="I46" s="6" t="s">
        <v>142</v>
      </c>
      <c r="J46" s="6" t="s">
        <v>70</v>
      </c>
      <c r="K46" s="6" t="s">
        <v>324</v>
      </c>
      <c r="L46" s="6" t="s">
        <v>142</v>
      </c>
      <c r="M46" s="6" t="s">
        <v>70</v>
      </c>
      <c r="N46" s="6" t="s">
        <v>2760</v>
      </c>
      <c r="O46" s="6"/>
      <c r="P46" s="15"/>
      <c r="Q46" s="6"/>
      <c r="R46" s="15"/>
      <c r="S46" s="15"/>
      <c r="T46" s="78"/>
    </row>
    <row r="47" spans="1:20" s="2" customFormat="1" ht="30" customHeight="1" x14ac:dyDescent="0.2">
      <c r="A47" s="67">
        <v>44</v>
      </c>
      <c r="B47" s="67" t="s">
        <v>2761</v>
      </c>
      <c r="C47" s="68" t="s">
        <v>2762</v>
      </c>
      <c r="D47" s="69" t="s">
        <v>6</v>
      </c>
      <c r="E47" s="69" t="s">
        <v>202</v>
      </c>
      <c r="F47" s="69" t="s">
        <v>83</v>
      </c>
      <c r="G47" s="69" t="s">
        <v>92</v>
      </c>
      <c r="H47" s="69">
        <v>62</v>
      </c>
      <c r="I47" s="70" t="s">
        <v>206</v>
      </c>
      <c r="J47" s="70" t="s">
        <v>107</v>
      </c>
      <c r="K47" s="69" t="s">
        <v>332</v>
      </c>
      <c r="L47" s="69" t="s">
        <v>206</v>
      </c>
      <c r="M47" s="67" t="s">
        <v>107</v>
      </c>
      <c r="N47" s="67" t="s">
        <v>2763</v>
      </c>
      <c r="O47" s="69"/>
      <c r="P47" s="71"/>
      <c r="Q47" s="72"/>
      <c r="R47" s="73"/>
      <c r="S47" s="73"/>
      <c r="T47" s="78"/>
    </row>
    <row r="48" spans="1:20" s="2" customFormat="1" ht="30" customHeight="1" x14ac:dyDescent="0.2">
      <c r="A48" s="15">
        <v>45</v>
      </c>
      <c r="B48" s="15" t="s">
        <v>2764</v>
      </c>
      <c r="C48" s="16" t="s">
        <v>2762</v>
      </c>
      <c r="D48" s="6" t="s">
        <v>6</v>
      </c>
      <c r="E48" s="6"/>
      <c r="F48" s="15" t="s">
        <v>7</v>
      </c>
      <c r="G48" s="6" t="s">
        <v>92</v>
      </c>
      <c r="H48" s="6">
        <v>62</v>
      </c>
      <c r="I48" s="6" t="s">
        <v>369</v>
      </c>
      <c r="J48" s="6" t="s">
        <v>369</v>
      </c>
      <c r="K48" s="6" t="s">
        <v>332</v>
      </c>
      <c r="L48" s="6" t="s">
        <v>119</v>
      </c>
      <c r="M48" s="6" t="s">
        <v>107</v>
      </c>
      <c r="N48" s="6" t="s">
        <v>2763</v>
      </c>
      <c r="O48" s="6"/>
      <c r="P48" s="15"/>
      <c r="Q48" s="6"/>
      <c r="R48" s="15"/>
      <c r="S48" s="15"/>
      <c r="T48" s="78"/>
    </row>
    <row r="49" spans="1:20" s="2" customFormat="1" ht="30" customHeight="1" x14ac:dyDescent="0.2">
      <c r="A49" s="67">
        <v>46</v>
      </c>
      <c r="B49" s="67" t="s">
        <v>2765</v>
      </c>
      <c r="C49" s="68" t="s">
        <v>2766</v>
      </c>
      <c r="D49" s="69" t="s">
        <v>2767</v>
      </c>
      <c r="E49" s="69"/>
      <c r="F49" s="69" t="s">
        <v>7</v>
      </c>
      <c r="G49" s="69" t="s">
        <v>92</v>
      </c>
      <c r="H49" s="69">
        <v>30</v>
      </c>
      <c r="I49" s="70" t="s">
        <v>206</v>
      </c>
      <c r="J49" s="70" t="s">
        <v>107</v>
      </c>
      <c r="K49" s="69" t="s">
        <v>492</v>
      </c>
      <c r="L49" s="69" t="s">
        <v>206</v>
      </c>
      <c r="M49" s="67" t="s">
        <v>107</v>
      </c>
      <c r="N49" s="67"/>
      <c r="O49" s="69"/>
      <c r="P49" s="71"/>
      <c r="Q49" s="72"/>
      <c r="R49" s="73"/>
      <c r="S49" s="73" t="s">
        <v>2767</v>
      </c>
      <c r="T49" s="78"/>
    </row>
    <row r="50" spans="1:20" ht="20.100000000000001" customHeight="1" x14ac:dyDescent="0.2">
      <c r="A50" s="15">
        <v>47</v>
      </c>
      <c r="B50" s="15" t="s">
        <v>2768</v>
      </c>
      <c r="C50" s="16" t="s">
        <v>2756</v>
      </c>
      <c r="D50" s="6" t="s">
        <v>8</v>
      </c>
      <c r="E50" s="6" t="s">
        <v>185</v>
      </c>
      <c r="F50" s="15" t="s">
        <v>83</v>
      </c>
      <c r="G50" s="6" t="s">
        <v>92</v>
      </c>
      <c r="H50" s="6" t="s">
        <v>104</v>
      </c>
      <c r="I50" s="6" t="s">
        <v>69</v>
      </c>
      <c r="J50" s="6" t="s">
        <v>70</v>
      </c>
      <c r="K50" s="6" t="s">
        <v>108</v>
      </c>
      <c r="L50" s="6" t="s">
        <v>69</v>
      </c>
      <c r="M50" s="6" t="s">
        <v>70</v>
      </c>
      <c r="N50" s="6" t="s">
        <v>2757</v>
      </c>
      <c r="O50" s="6"/>
      <c r="P50" s="15"/>
      <c r="Q50" s="6"/>
      <c r="R50" s="15"/>
      <c r="S50" s="15"/>
    </row>
    <row r="51" spans="1:20" ht="20.100000000000001" customHeight="1" x14ac:dyDescent="0.2">
      <c r="A51" s="67">
        <v>48</v>
      </c>
      <c r="B51" s="67" t="s">
        <v>2769</v>
      </c>
      <c r="C51" s="68" t="s">
        <v>2770</v>
      </c>
      <c r="D51" s="69" t="s">
        <v>9</v>
      </c>
      <c r="E51" s="69" t="s">
        <v>185</v>
      </c>
      <c r="F51" s="69" t="s">
        <v>83</v>
      </c>
      <c r="G51" s="69" t="s">
        <v>67</v>
      </c>
      <c r="H51" s="69" t="s">
        <v>2457</v>
      </c>
      <c r="I51" s="70" t="s">
        <v>2148</v>
      </c>
      <c r="J51" s="70" t="s">
        <v>2148</v>
      </c>
      <c r="K51" s="69" t="s">
        <v>991</v>
      </c>
      <c r="L51" s="69" t="s">
        <v>2148</v>
      </c>
      <c r="M51" s="67" t="s">
        <v>2148</v>
      </c>
      <c r="N51" s="67" t="s">
        <v>2771</v>
      </c>
      <c r="O51" s="69"/>
      <c r="P51" s="71"/>
      <c r="Q51" s="72"/>
      <c r="R51" s="73"/>
      <c r="S51" s="73"/>
    </row>
    <row r="52" spans="1:20" ht="20.100000000000001" customHeight="1" x14ac:dyDescent="0.2">
      <c r="A52" s="15">
        <v>49</v>
      </c>
      <c r="B52" s="15" t="s">
        <v>2772</v>
      </c>
      <c r="C52" s="16" t="s">
        <v>2756</v>
      </c>
      <c r="D52" s="6" t="s">
        <v>8</v>
      </c>
      <c r="E52" s="6"/>
      <c r="F52" s="15" t="s">
        <v>7</v>
      </c>
      <c r="G52" s="6" t="s">
        <v>92</v>
      </c>
      <c r="H52" s="6" t="s">
        <v>104</v>
      </c>
      <c r="I52" s="6" t="s">
        <v>69</v>
      </c>
      <c r="J52" s="6" t="s">
        <v>70</v>
      </c>
      <c r="K52" s="6" t="s">
        <v>108</v>
      </c>
      <c r="L52" s="6" t="s">
        <v>142</v>
      </c>
      <c r="M52" s="6" t="s">
        <v>70</v>
      </c>
      <c r="N52" s="6" t="s">
        <v>429</v>
      </c>
      <c r="O52" s="6"/>
      <c r="P52" s="15"/>
      <c r="Q52" s="6"/>
      <c r="R52" s="15"/>
      <c r="S52" s="15"/>
    </row>
    <row r="53" spans="1:20" ht="20.100000000000001" customHeight="1" x14ac:dyDescent="0.2">
      <c r="A53" s="67">
        <v>50</v>
      </c>
      <c r="B53" s="67" t="s">
        <v>2773</v>
      </c>
      <c r="C53" s="68" t="s">
        <v>1067</v>
      </c>
      <c r="D53" s="69" t="s">
        <v>6</v>
      </c>
      <c r="E53" s="69" t="s">
        <v>202</v>
      </c>
      <c r="F53" s="69" t="s">
        <v>83</v>
      </c>
      <c r="G53" s="69" t="s">
        <v>67</v>
      </c>
      <c r="H53" s="69" t="s">
        <v>155</v>
      </c>
      <c r="I53" s="70" t="s">
        <v>119</v>
      </c>
      <c r="J53" s="70" t="s">
        <v>107</v>
      </c>
      <c r="K53" s="69" t="s">
        <v>156</v>
      </c>
      <c r="L53" s="69" t="s">
        <v>142</v>
      </c>
      <c r="M53" s="67" t="s">
        <v>70</v>
      </c>
      <c r="N53" s="67" t="s">
        <v>2774</v>
      </c>
      <c r="O53" s="69"/>
      <c r="P53" s="71"/>
      <c r="Q53" s="72"/>
      <c r="R53" s="73"/>
      <c r="S53" s="73"/>
    </row>
    <row r="54" spans="1:20" ht="20.100000000000001" customHeight="1" x14ac:dyDescent="0.2">
      <c r="A54" s="15">
        <v>51</v>
      </c>
      <c r="B54" s="15" t="s">
        <v>2775</v>
      </c>
      <c r="C54" s="16" t="s">
        <v>672</v>
      </c>
      <c r="D54" s="6" t="s">
        <v>9</v>
      </c>
      <c r="E54" s="6" t="s">
        <v>2285</v>
      </c>
      <c r="F54" s="15" t="s">
        <v>83</v>
      </c>
      <c r="G54" s="6" t="s">
        <v>92</v>
      </c>
      <c r="H54" s="6" t="s">
        <v>68</v>
      </c>
      <c r="I54" s="6" t="s">
        <v>119</v>
      </c>
      <c r="J54" s="6" t="s">
        <v>107</v>
      </c>
      <c r="K54" s="6" t="s">
        <v>332</v>
      </c>
      <c r="L54" s="6" t="s">
        <v>369</v>
      </c>
      <c r="M54" s="6" t="s">
        <v>369</v>
      </c>
      <c r="N54" s="6" t="s">
        <v>2776</v>
      </c>
      <c r="O54" s="6"/>
      <c r="P54" s="15"/>
      <c r="Q54" s="6"/>
      <c r="R54" s="15"/>
      <c r="S54" s="15"/>
    </row>
    <row r="55" spans="1:20" ht="20.100000000000001" customHeight="1" x14ac:dyDescent="0.2">
      <c r="A55" s="67">
        <v>52</v>
      </c>
      <c r="B55" s="67" t="s">
        <v>675</v>
      </c>
      <c r="C55" s="68" t="s">
        <v>672</v>
      </c>
      <c r="D55" s="69" t="s">
        <v>9</v>
      </c>
      <c r="E55" s="69"/>
      <c r="F55" s="69" t="s">
        <v>7</v>
      </c>
      <c r="G55" s="69" t="s">
        <v>92</v>
      </c>
      <c r="H55" s="69" t="s">
        <v>104</v>
      </c>
      <c r="I55" s="70" t="s">
        <v>206</v>
      </c>
      <c r="J55" s="70" t="s">
        <v>107</v>
      </c>
      <c r="K55" s="69" t="s">
        <v>361</v>
      </c>
      <c r="L55" s="69" t="s">
        <v>142</v>
      </c>
      <c r="M55" s="67" t="s">
        <v>70</v>
      </c>
      <c r="N55" s="67">
        <v>0</v>
      </c>
      <c r="O55" s="69"/>
      <c r="P55" s="71"/>
      <c r="Q55" s="72"/>
      <c r="R55" s="73"/>
      <c r="S55" s="73"/>
    </row>
    <row r="56" spans="1:20" ht="20.100000000000001" customHeight="1" x14ac:dyDescent="0.2">
      <c r="A56" s="15">
        <v>53</v>
      </c>
      <c r="B56" s="15" t="s">
        <v>2777</v>
      </c>
      <c r="C56" s="16" t="s">
        <v>2724</v>
      </c>
      <c r="D56" s="6" t="s">
        <v>243</v>
      </c>
      <c r="E56" s="6" t="s">
        <v>185</v>
      </c>
      <c r="F56" s="15" t="s">
        <v>83</v>
      </c>
      <c r="G56" s="6" t="s">
        <v>92</v>
      </c>
      <c r="H56" s="6" t="s">
        <v>141</v>
      </c>
      <c r="I56" s="6" t="s">
        <v>206</v>
      </c>
      <c r="J56" s="6" t="s">
        <v>107</v>
      </c>
      <c r="K56" s="6" t="s">
        <v>998</v>
      </c>
      <c r="L56" s="6" t="s">
        <v>206</v>
      </c>
      <c r="M56" s="6" t="s">
        <v>107</v>
      </c>
      <c r="N56" s="6" t="s">
        <v>2723</v>
      </c>
      <c r="O56" s="6"/>
      <c r="P56" s="15"/>
      <c r="Q56" s="6"/>
      <c r="R56" s="15"/>
      <c r="S56" s="15"/>
    </row>
    <row r="57" spans="1:20" ht="20.100000000000001" customHeight="1" x14ac:dyDescent="0.2">
      <c r="A57" s="67">
        <v>54</v>
      </c>
      <c r="B57" s="67" t="s">
        <v>2777</v>
      </c>
      <c r="C57" s="68" t="s">
        <v>2724</v>
      </c>
      <c r="D57" s="69" t="s">
        <v>243</v>
      </c>
      <c r="E57" s="69"/>
      <c r="F57" s="69" t="s">
        <v>7</v>
      </c>
      <c r="G57" s="69" t="s">
        <v>92</v>
      </c>
      <c r="H57" s="69" t="s">
        <v>334</v>
      </c>
      <c r="I57" s="70" t="s">
        <v>2175</v>
      </c>
      <c r="J57" s="70" t="s">
        <v>107</v>
      </c>
      <c r="K57" s="69" t="s">
        <v>2778</v>
      </c>
      <c r="L57" s="69" t="s">
        <v>119</v>
      </c>
      <c r="M57" s="67" t="s">
        <v>107</v>
      </c>
      <c r="N57" s="67">
        <v>0</v>
      </c>
      <c r="O57" s="69"/>
      <c r="P57" s="71"/>
      <c r="Q57" s="72"/>
      <c r="R57" s="73"/>
      <c r="S57" s="73"/>
    </row>
    <row r="58" spans="1:20" ht="20.100000000000001" customHeight="1" x14ac:dyDescent="0.2">
      <c r="A58" s="15">
        <v>55</v>
      </c>
      <c r="B58" s="15" t="s">
        <v>1137</v>
      </c>
      <c r="C58" s="16" t="s">
        <v>1112</v>
      </c>
      <c r="D58" s="6" t="s">
        <v>8</v>
      </c>
      <c r="E58" s="6"/>
      <c r="F58" s="15" t="s">
        <v>7</v>
      </c>
      <c r="G58" s="6" t="s">
        <v>92</v>
      </c>
      <c r="H58" s="6" t="s">
        <v>223</v>
      </c>
      <c r="I58" s="6" t="s">
        <v>369</v>
      </c>
      <c r="J58" s="6" t="s">
        <v>369</v>
      </c>
      <c r="K58" s="6" t="s">
        <v>224</v>
      </c>
      <c r="L58" s="6" t="s">
        <v>69</v>
      </c>
      <c r="M58" s="6" t="s">
        <v>107</v>
      </c>
      <c r="N58" s="6" t="s">
        <v>429</v>
      </c>
      <c r="O58" s="6"/>
      <c r="P58" s="15"/>
      <c r="Q58" s="6"/>
      <c r="R58" s="15"/>
      <c r="S58" s="15"/>
    </row>
    <row r="59" spans="1:20" ht="20.100000000000001" customHeight="1" x14ac:dyDescent="0.2">
      <c r="A59" s="67">
        <v>56</v>
      </c>
      <c r="B59" s="67" t="s">
        <v>2779</v>
      </c>
      <c r="C59" s="68" t="s">
        <v>2780</v>
      </c>
      <c r="D59" s="69" t="s">
        <v>2767</v>
      </c>
      <c r="E59" s="69"/>
      <c r="F59" s="69" t="s">
        <v>7</v>
      </c>
      <c r="G59" s="69" t="s">
        <v>92</v>
      </c>
      <c r="H59" s="69" t="s">
        <v>223</v>
      </c>
      <c r="I59" s="70" t="s">
        <v>69</v>
      </c>
      <c r="J59" s="70" t="s">
        <v>70</v>
      </c>
      <c r="K59" s="69" t="s">
        <v>224</v>
      </c>
      <c r="L59" s="69" t="s">
        <v>119</v>
      </c>
      <c r="M59" s="67" t="s">
        <v>107</v>
      </c>
      <c r="N59" s="67">
        <v>0</v>
      </c>
      <c r="O59" s="69"/>
      <c r="P59" s="71"/>
      <c r="Q59" s="72"/>
      <c r="R59" s="73"/>
      <c r="S59" s="73"/>
    </row>
    <row r="60" spans="1:20" ht="20.100000000000001" customHeight="1" x14ac:dyDescent="0.2">
      <c r="A60" s="15">
        <v>57</v>
      </c>
      <c r="B60" s="15" t="s">
        <v>2781</v>
      </c>
      <c r="C60" s="16" t="s">
        <v>455</v>
      </c>
      <c r="D60" s="6" t="s">
        <v>6</v>
      </c>
      <c r="E60" s="6" t="s">
        <v>185</v>
      </c>
      <c r="F60" s="15" t="s">
        <v>83</v>
      </c>
      <c r="G60" s="6" t="s">
        <v>92</v>
      </c>
      <c r="H60" s="6" t="s">
        <v>104</v>
      </c>
      <c r="I60" s="6" t="s">
        <v>262</v>
      </c>
      <c r="J60" s="6" t="s">
        <v>70</v>
      </c>
      <c r="K60" s="6" t="s">
        <v>108</v>
      </c>
      <c r="L60" s="6" t="s">
        <v>119</v>
      </c>
      <c r="M60" s="6" t="s">
        <v>107</v>
      </c>
      <c r="N60" s="6" t="s">
        <v>2782</v>
      </c>
      <c r="O60" s="6"/>
      <c r="P60" s="15"/>
      <c r="Q60" s="6"/>
      <c r="R60" s="15"/>
      <c r="S60" s="15"/>
    </row>
    <row r="61" spans="1:20" ht="20.100000000000001" customHeight="1" x14ac:dyDescent="0.2">
      <c r="A61" s="67">
        <v>58</v>
      </c>
      <c r="B61" s="67" t="s">
        <v>2236</v>
      </c>
      <c r="C61" s="68" t="s">
        <v>455</v>
      </c>
      <c r="D61" s="69" t="s">
        <v>6</v>
      </c>
      <c r="E61" s="69"/>
      <c r="F61" s="69" t="s">
        <v>7</v>
      </c>
      <c r="G61" s="69" t="s">
        <v>92</v>
      </c>
      <c r="H61" s="69" t="s">
        <v>117</v>
      </c>
      <c r="I61" s="70" t="s">
        <v>262</v>
      </c>
      <c r="J61" s="70" t="s">
        <v>70</v>
      </c>
      <c r="K61" s="69" t="s">
        <v>328</v>
      </c>
      <c r="L61" s="69" t="s">
        <v>69</v>
      </c>
      <c r="M61" s="67" t="s">
        <v>70</v>
      </c>
      <c r="N61" s="67">
        <v>0</v>
      </c>
      <c r="O61" s="69"/>
      <c r="P61" s="71"/>
      <c r="Q61" s="72"/>
      <c r="R61" s="73"/>
      <c r="S61" s="73"/>
    </row>
    <row r="62" spans="1:20" ht="20.100000000000001" customHeight="1" x14ac:dyDescent="0.2">
      <c r="A62" s="15">
        <v>59</v>
      </c>
      <c r="B62" s="15" t="s">
        <v>2783</v>
      </c>
      <c r="C62" s="16" t="s">
        <v>2784</v>
      </c>
      <c r="D62" s="6" t="s">
        <v>9</v>
      </c>
      <c r="E62" s="6" t="s">
        <v>185</v>
      </c>
      <c r="F62" s="15" t="s">
        <v>83</v>
      </c>
      <c r="G62" s="6" t="s">
        <v>92</v>
      </c>
      <c r="H62" s="6">
        <v>18</v>
      </c>
      <c r="I62" s="6" t="s">
        <v>206</v>
      </c>
      <c r="J62" s="6" t="s">
        <v>107</v>
      </c>
      <c r="K62" s="6" t="s">
        <v>425</v>
      </c>
      <c r="L62" s="6" t="s">
        <v>2699</v>
      </c>
      <c r="M62" s="6" t="s">
        <v>107</v>
      </c>
      <c r="N62" s="6" t="s">
        <v>2751</v>
      </c>
      <c r="O62" s="6"/>
      <c r="P62" s="15"/>
      <c r="Q62" s="6"/>
      <c r="R62" s="15"/>
      <c r="S62" s="15"/>
    </row>
    <row r="63" spans="1:20" ht="20.100000000000001" customHeight="1" x14ac:dyDescent="0.2">
      <c r="A63" s="67">
        <v>60</v>
      </c>
      <c r="B63" s="67" t="s">
        <v>2785</v>
      </c>
      <c r="C63" s="68" t="s">
        <v>2784</v>
      </c>
      <c r="D63" s="69" t="s">
        <v>9</v>
      </c>
      <c r="E63" s="69"/>
      <c r="F63" s="69" t="s">
        <v>7</v>
      </c>
      <c r="G63" s="69" t="s">
        <v>92</v>
      </c>
      <c r="H63" s="69" t="s">
        <v>226</v>
      </c>
      <c r="I63" s="70" t="s">
        <v>369</v>
      </c>
      <c r="J63" s="70" t="s">
        <v>369</v>
      </c>
      <c r="K63" s="69" t="s">
        <v>278</v>
      </c>
      <c r="L63" s="69" t="s">
        <v>69</v>
      </c>
      <c r="M63" s="67" t="s">
        <v>70</v>
      </c>
      <c r="N63" s="67">
        <v>0</v>
      </c>
      <c r="O63" s="69"/>
      <c r="P63" s="71"/>
      <c r="Q63" s="72"/>
      <c r="R63" s="73"/>
      <c r="S63" s="73"/>
    </row>
    <row r="64" spans="1:20" ht="20.100000000000001" customHeight="1" x14ac:dyDescent="0.2">
      <c r="A64" s="15">
        <v>61</v>
      </c>
      <c r="B64" s="15" t="s">
        <v>2786</v>
      </c>
      <c r="C64" s="16" t="s">
        <v>2787</v>
      </c>
      <c r="D64" s="6" t="s">
        <v>8</v>
      </c>
      <c r="E64" s="6" t="s">
        <v>185</v>
      </c>
      <c r="F64" s="15" t="s">
        <v>83</v>
      </c>
      <c r="G64" s="6" t="s">
        <v>92</v>
      </c>
      <c r="H64" s="6" t="s">
        <v>218</v>
      </c>
      <c r="I64" s="6" t="s">
        <v>1477</v>
      </c>
      <c r="J64" s="6" t="s">
        <v>107</v>
      </c>
      <c r="K64" s="6" t="s">
        <v>899</v>
      </c>
      <c r="L64" s="6" t="s">
        <v>2788</v>
      </c>
      <c r="M64" s="6" t="s">
        <v>70</v>
      </c>
      <c r="N64" s="6" t="s">
        <v>2789</v>
      </c>
      <c r="O64" s="6"/>
      <c r="P64" s="15"/>
      <c r="Q64" s="6"/>
      <c r="R64" s="15"/>
      <c r="S64" s="15"/>
    </row>
    <row r="65" spans="1:21" ht="20.100000000000001" customHeight="1" x14ac:dyDescent="0.2">
      <c r="A65" s="67">
        <v>62</v>
      </c>
      <c r="B65" s="67" t="s">
        <v>2790</v>
      </c>
      <c r="C65" s="68" t="s">
        <v>2787</v>
      </c>
      <c r="D65" s="69" t="s">
        <v>8</v>
      </c>
      <c r="E65" s="69"/>
      <c r="F65" s="69" t="s">
        <v>7</v>
      </c>
      <c r="G65" s="69" t="s">
        <v>92</v>
      </c>
      <c r="H65" s="69" t="s">
        <v>155</v>
      </c>
      <c r="I65" s="70" t="s">
        <v>119</v>
      </c>
      <c r="J65" s="70" t="s">
        <v>107</v>
      </c>
      <c r="K65" s="69" t="s">
        <v>324</v>
      </c>
      <c r="L65" s="69" t="s">
        <v>119</v>
      </c>
      <c r="M65" s="67" t="s">
        <v>107</v>
      </c>
      <c r="N65" s="67">
        <v>0</v>
      </c>
      <c r="O65" s="69"/>
      <c r="P65" s="71"/>
      <c r="Q65" s="72"/>
      <c r="R65" s="73"/>
      <c r="S65" s="73"/>
    </row>
    <row r="66" spans="1:21" ht="20.100000000000001" customHeight="1" x14ac:dyDescent="0.2">
      <c r="A66" s="15">
        <v>63</v>
      </c>
      <c r="B66" s="15" t="s">
        <v>2791</v>
      </c>
      <c r="C66" s="16" t="s">
        <v>2784</v>
      </c>
      <c r="D66" s="6" t="s">
        <v>9</v>
      </c>
      <c r="E66" s="6" t="s">
        <v>185</v>
      </c>
      <c r="F66" s="15" t="s">
        <v>83</v>
      </c>
      <c r="G66" s="6" t="s">
        <v>92</v>
      </c>
      <c r="H66" s="6" t="s">
        <v>2457</v>
      </c>
      <c r="I66" s="6" t="s">
        <v>262</v>
      </c>
      <c r="J66" s="6" t="s">
        <v>70</v>
      </c>
      <c r="K66" s="6" t="s">
        <v>425</v>
      </c>
      <c r="L66" s="6" t="s">
        <v>69</v>
      </c>
      <c r="M66" s="6" t="s">
        <v>70</v>
      </c>
      <c r="N66" s="6" t="s">
        <v>2792</v>
      </c>
      <c r="O66" s="6"/>
      <c r="P66" s="15"/>
      <c r="Q66" s="6"/>
      <c r="R66" s="15"/>
      <c r="S66" s="15"/>
    </row>
    <row r="67" spans="1:21" ht="20.100000000000001" customHeight="1" x14ac:dyDescent="0.2">
      <c r="A67" s="67">
        <v>64</v>
      </c>
      <c r="B67" s="67" t="s">
        <v>2793</v>
      </c>
      <c r="C67" s="68" t="s">
        <v>2794</v>
      </c>
      <c r="D67" s="69" t="s">
        <v>243</v>
      </c>
      <c r="E67" s="69" t="s">
        <v>185</v>
      </c>
      <c r="F67" s="69" t="s">
        <v>83</v>
      </c>
      <c r="G67" s="69" t="s">
        <v>92</v>
      </c>
      <c r="H67" s="69" t="s">
        <v>117</v>
      </c>
      <c r="I67" s="70" t="s">
        <v>444</v>
      </c>
      <c r="J67" s="70" t="s">
        <v>107</v>
      </c>
      <c r="K67" s="69" t="s">
        <v>470</v>
      </c>
      <c r="L67" s="69" t="s">
        <v>444</v>
      </c>
      <c r="M67" s="67" t="s">
        <v>107</v>
      </c>
      <c r="N67" s="67" t="s">
        <v>2795</v>
      </c>
      <c r="O67" s="69"/>
      <c r="P67" s="71"/>
      <c r="Q67" s="72"/>
      <c r="R67" s="73"/>
      <c r="S67" s="73"/>
    </row>
    <row r="68" spans="1:21" ht="20.100000000000001" customHeight="1" x14ac:dyDescent="0.2">
      <c r="A68" s="15">
        <v>65</v>
      </c>
      <c r="B68" s="15" t="s">
        <v>2793</v>
      </c>
      <c r="C68" s="16" t="s">
        <v>2794</v>
      </c>
      <c r="D68" s="6" t="s">
        <v>243</v>
      </c>
      <c r="E68" s="6"/>
      <c r="F68" s="15" t="s">
        <v>7</v>
      </c>
      <c r="G68" s="6" t="s">
        <v>92</v>
      </c>
      <c r="H68" s="6" t="s">
        <v>140</v>
      </c>
      <c r="I68" s="6" t="s">
        <v>69</v>
      </c>
      <c r="J68" s="6" t="s">
        <v>70</v>
      </c>
      <c r="K68" s="6" t="s">
        <v>143</v>
      </c>
      <c r="L68" s="6" t="s">
        <v>119</v>
      </c>
      <c r="M68" s="6" t="s">
        <v>107</v>
      </c>
      <c r="N68" s="6">
        <v>0</v>
      </c>
      <c r="O68" s="6"/>
      <c r="P68" s="15"/>
      <c r="Q68" s="6"/>
      <c r="R68" s="15"/>
      <c r="S68" s="15"/>
    </row>
    <row r="69" spans="1:21" ht="20.100000000000001" customHeight="1" x14ac:dyDescent="0.2">
      <c r="A69" s="67">
        <v>66</v>
      </c>
      <c r="B69" s="67" t="s">
        <v>2796</v>
      </c>
      <c r="C69" s="68" t="s">
        <v>2797</v>
      </c>
      <c r="D69" s="69" t="s">
        <v>2798</v>
      </c>
      <c r="E69" s="69"/>
      <c r="F69" s="69" t="s">
        <v>7</v>
      </c>
      <c r="G69" s="69" t="s">
        <v>92</v>
      </c>
      <c r="H69" s="69" t="s">
        <v>223</v>
      </c>
      <c r="I69" s="70" t="s">
        <v>119</v>
      </c>
      <c r="J69" s="70" t="s">
        <v>107</v>
      </c>
      <c r="K69" s="69" t="s">
        <v>2253</v>
      </c>
      <c r="L69" s="69" t="s">
        <v>69</v>
      </c>
      <c r="M69" s="67" t="s">
        <v>70</v>
      </c>
      <c r="N69" s="67">
        <v>0</v>
      </c>
      <c r="O69" s="69"/>
      <c r="P69" s="71"/>
      <c r="Q69" s="72"/>
      <c r="R69" s="73"/>
      <c r="S69" s="73"/>
      <c r="U69" s="21"/>
    </row>
    <row r="70" spans="1:21" ht="20.100000000000001" customHeight="1" x14ac:dyDescent="0.2">
      <c r="A70" s="15">
        <v>67</v>
      </c>
      <c r="B70" s="15" t="s">
        <v>2799</v>
      </c>
      <c r="C70" s="16" t="s">
        <v>2784</v>
      </c>
      <c r="D70" s="6" t="s">
        <v>9</v>
      </c>
      <c r="E70" s="6"/>
      <c r="F70" s="15" t="s">
        <v>7</v>
      </c>
      <c r="G70" s="6" t="s">
        <v>92</v>
      </c>
      <c r="H70" s="6" t="s">
        <v>2457</v>
      </c>
      <c r="I70" s="6" t="s">
        <v>119</v>
      </c>
      <c r="J70" s="6" t="s">
        <v>107</v>
      </c>
      <c r="K70" s="6" t="s">
        <v>2800</v>
      </c>
      <c r="L70" s="6" t="s">
        <v>69</v>
      </c>
      <c r="M70" s="6" t="s">
        <v>70</v>
      </c>
      <c r="N70" s="6" t="s">
        <v>2754</v>
      </c>
      <c r="O70" s="6"/>
      <c r="P70" s="15"/>
      <c r="Q70" s="6"/>
      <c r="R70" s="15"/>
      <c r="S70" s="15"/>
    </row>
    <row r="71" spans="1:21" ht="20.100000000000001" customHeight="1" x14ac:dyDescent="0.2">
      <c r="A71" s="67">
        <v>68</v>
      </c>
      <c r="B71" s="67" t="s">
        <v>2799</v>
      </c>
      <c r="C71" s="68" t="s">
        <v>320</v>
      </c>
      <c r="D71" s="69" t="s">
        <v>10</v>
      </c>
      <c r="E71" s="69" t="s">
        <v>2285</v>
      </c>
      <c r="F71" s="69" t="s">
        <v>83</v>
      </c>
      <c r="G71" s="69" t="s">
        <v>67</v>
      </c>
      <c r="H71" s="69" t="s">
        <v>68</v>
      </c>
      <c r="I71" s="70" t="s">
        <v>142</v>
      </c>
      <c r="J71" s="70" t="s">
        <v>70</v>
      </c>
      <c r="K71" s="69" t="s">
        <v>263</v>
      </c>
      <c r="L71" s="69" t="s">
        <v>142</v>
      </c>
      <c r="M71" s="67" t="s">
        <v>70</v>
      </c>
      <c r="N71" s="67" t="s">
        <v>2801</v>
      </c>
      <c r="O71" s="69"/>
      <c r="P71" s="71"/>
      <c r="Q71" s="72"/>
      <c r="R71" s="73"/>
      <c r="S71" s="73"/>
    </row>
    <row r="72" spans="1:21" ht="20.100000000000001" customHeight="1" x14ac:dyDescent="0.2">
      <c r="A72" s="15">
        <v>69</v>
      </c>
      <c r="B72" s="15" t="s">
        <v>2802</v>
      </c>
      <c r="C72" s="16" t="s">
        <v>2803</v>
      </c>
      <c r="D72" s="6" t="s">
        <v>10</v>
      </c>
      <c r="E72" s="6" t="s">
        <v>2285</v>
      </c>
      <c r="F72" s="15" t="s">
        <v>83</v>
      </c>
      <c r="G72" s="6" t="s">
        <v>92</v>
      </c>
      <c r="H72" s="6" t="s">
        <v>251</v>
      </c>
      <c r="I72" s="6" t="s">
        <v>444</v>
      </c>
      <c r="J72" s="6" t="s">
        <v>107</v>
      </c>
      <c r="K72" s="6" t="s">
        <v>2804</v>
      </c>
      <c r="L72" s="6" t="s">
        <v>444</v>
      </c>
      <c r="M72" s="6" t="s">
        <v>107</v>
      </c>
      <c r="N72" s="6" t="s">
        <v>2805</v>
      </c>
      <c r="O72" s="6"/>
      <c r="P72" s="15"/>
      <c r="Q72" s="6"/>
      <c r="R72" s="15"/>
      <c r="S72" s="15"/>
    </row>
    <row r="73" spans="1:21" ht="20.100000000000001" customHeight="1" x14ac:dyDescent="0.2">
      <c r="A73" s="67">
        <v>70</v>
      </c>
      <c r="B73" s="67" t="s">
        <v>2806</v>
      </c>
      <c r="C73" s="68" t="s">
        <v>2511</v>
      </c>
      <c r="D73" s="69" t="s">
        <v>10</v>
      </c>
      <c r="E73" s="69" t="s">
        <v>185</v>
      </c>
      <c r="F73" s="69" t="s">
        <v>83</v>
      </c>
      <c r="G73" s="69" t="s">
        <v>92</v>
      </c>
      <c r="H73" s="69" t="s">
        <v>68</v>
      </c>
      <c r="I73" s="70" t="s">
        <v>369</v>
      </c>
      <c r="J73" s="70" t="s">
        <v>369</v>
      </c>
      <c r="K73" s="69" t="s">
        <v>263</v>
      </c>
      <c r="L73" s="69" t="s">
        <v>369</v>
      </c>
      <c r="M73" s="67" t="s">
        <v>369</v>
      </c>
      <c r="N73" s="67" t="s">
        <v>2807</v>
      </c>
      <c r="O73" s="69"/>
      <c r="P73" s="71"/>
      <c r="Q73" s="72"/>
      <c r="R73" s="73"/>
      <c r="S73" s="73"/>
    </row>
    <row r="74" spans="1:21" ht="20.100000000000001" customHeight="1" x14ac:dyDescent="0.2">
      <c r="A74" s="15">
        <v>71</v>
      </c>
      <c r="B74" s="15" t="s">
        <v>2808</v>
      </c>
      <c r="C74" s="16" t="s">
        <v>2809</v>
      </c>
      <c r="D74" s="6" t="s">
        <v>8</v>
      </c>
      <c r="E74" s="6" t="s">
        <v>185</v>
      </c>
      <c r="F74" s="15" t="s">
        <v>83</v>
      </c>
      <c r="G74" s="6" t="s">
        <v>92</v>
      </c>
      <c r="H74" s="6" t="s">
        <v>141</v>
      </c>
      <c r="I74" s="6" t="s">
        <v>444</v>
      </c>
      <c r="J74" s="6" t="s">
        <v>107</v>
      </c>
      <c r="K74" s="6" t="s">
        <v>492</v>
      </c>
      <c r="L74" s="6" t="s">
        <v>444</v>
      </c>
      <c r="M74" s="6" t="s">
        <v>107</v>
      </c>
      <c r="N74" s="6" t="s">
        <v>2810</v>
      </c>
      <c r="O74" s="6"/>
      <c r="P74" s="15"/>
      <c r="Q74" s="6"/>
      <c r="R74" s="15"/>
      <c r="S74" s="15"/>
    </row>
    <row r="75" spans="1:21" ht="20.100000000000001" customHeight="1" x14ac:dyDescent="0.2">
      <c r="A75" s="67">
        <v>72</v>
      </c>
      <c r="B75" s="67" t="s">
        <v>2808</v>
      </c>
      <c r="C75" s="68" t="s">
        <v>2809</v>
      </c>
      <c r="D75" s="69" t="s">
        <v>8</v>
      </c>
      <c r="E75" s="69"/>
      <c r="F75" s="69" t="s">
        <v>7</v>
      </c>
      <c r="G75" s="69" t="s">
        <v>92</v>
      </c>
      <c r="H75" s="69" t="s">
        <v>141</v>
      </c>
      <c r="I75" s="70" t="s">
        <v>119</v>
      </c>
      <c r="J75" s="70" t="s">
        <v>107</v>
      </c>
      <c r="K75" s="69" t="s">
        <v>492</v>
      </c>
      <c r="L75" s="69" t="s">
        <v>119</v>
      </c>
      <c r="M75" s="67" t="s">
        <v>107</v>
      </c>
      <c r="N75" s="67">
        <v>0</v>
      </c>
      <c r="O75" s="69"/>
      <c r="P75" s="71"/>
      <c r="Q75" s="72"/>
      <c r="R75" s="73"/>
      <c r="S75" s="73"/>
    </row>
    <row r="76" spans="1:21" ht="20.100000000000001" customHeight="1" x14ac:dyDescent="0.2">
      <c r="A76" s="15">
        <v>73</v>
      </c>
      <c r="B76" s="15" t="s">
        <v>2512</v>
      </c>
      <c r="C76" s="16" t="s">
        <v>2511</v>
      </c>
      <c r="D76" s="6" t="s">
        <v>20</v>
      </c>
      <c r="E76" s="6"/>
      <c r="F76" s="15" t="s">
        <v>7</v>
      </c>
      <c r="G76" s="6" t="s">
        <v>92</v>
      </c>
      <c r="H76" s="6" t="s">
        <v>104</v>
      </c>
      <c r="I76" s="6" t="s">
        <v>119</v>
      </c>
      <c r="J76" s="6" t="s">
        <v>107</v>
      </c>
      <c r="K76" s="6" t="s">
        <v>120</v>
      </c>
      <c r="L76" s="6" t="s">
        <v>119</v>
      </c>
      <c r="M76" s="6" t="s">
        <v>107</v>
      </c>
      <c r="N76" s="6" t="s">
        <v>429</v>
      </c>
      <c r="O76" s="6"/>
      <c r="P76" s="15"/>
      <c r="Q76" s="6"/>
      <c r="R76" s="15"/>
      <c r="S76" s="15"/>
    </row>
    <row r="77" spans="1:21" ht="20.100000000000001" customHeight="1" x14ac:dyDescent="0.2">
      <c r="A77" s="67">
        <v>74</v>
      </c>
      <c r="B77" s="67" t="s">
        <v>2811</v>
      </c>
      <c r="C77" s="68" t="s">
        <v>1623</v>
      </c>
      <c r="D77" s="69" t="s">
        <v>6</v>
      </c>
      <c r="E77" s="69" t="s">
        <v>185</v>
      </c>
      <c r="F77" s="69" t="s">
        <v>83</v>
      </c>
      <c r="G77" s="69" t="s">
        <v>92</v>
      </c>
      <c r="H77" s="69" t="s">
        <v>117</v>
      </c>
      <c r="I77" s="70" t="s">
        <v>2699</v>
      </c>
      <c r="J77" s="70" t="s">
        <v>107</v>
      </c>
      <c r="K77" s="69" t="s">
        <v>204</v>
      </c>
      <c r="L77" s="69" t="s">
        <v>69</v>
      </c>
      <c r="M77" s="67" t="s">
        <v>70</v>
      </c>
      <c r="N77" s="67" t="s">
        <v>2812</v>
      </c>
      <c r="O77" s="69"/>
      <c r="P77" s="71"/>
      <c r="Q77" s="72"/>
      <c r="R77" s="73"/>
      <c r="S77" s="73"/>
    </row>
    <row r="78" spans="1:21" ht="20.100000000000001" customHeight="1" x14ac:dyDescent="0.2">
      <c r="A78" s="15">
        <v>75</v>
      </c>
      <c r="B78" s="15" t="s">
        <v>1626</v>
      </c>
      <c r="C78" s="16" t="s">
        <v>2813</v>
      </c>
      <c r="D78" s="6" t="s">
        <v>6</v>
      </c>
      <c r="E78" s="6" t="s">
        <v>185</v>
      </c>
      <c r="F78" s="15" t="s">
        <v>83</v>
      </c>
      <c r="G78" s="6" t="s">
        <v>92</v>
      </c>
      <c r="H78" s="6" t="s">
        <v>68</v>
      </c>
      <c r="I78" s="6" t="s">
        <v>1477</v>
      </c>
      <c r="J78" s="6" t="s">
        <v>107</v>
      </c>
      <c r="K78" s="6" t="s">
        <v>332</v>
      </c>
      <c r="L78" s="6" t="s">
        <v>1477</v>
      </c>
      <c r="M78" s="6" t="s">
        <v>107</v>
      </c>
      <c r="N78" s="6" t="s">
        <v>2814</v>
      </c>
      <c r="O78" s="6"/>
      <c r="P78" s="15"/>
      <c r="Q78" s="6"/>
      <c r="R78" s="15"/>
      <c r="S78" s="15"/>
    </row>
    <row r="79" spans="1:21" ht="20.100000000000001" customHeight="1" x14ac:dyDescent="0.2">
      <c r="A79" s="67">
        <v>76</v>
      </c>
      <c r="B79" s="67" t="s">
        <v>2815</v>
      </c>
      <c r="C79" s="68" t="s">
        <v>2813</v>
      </c>
      <c r="D79" s="69" t="s">
        <v>6</v>
      </c>
      <c r="E79" s="69"/>
      <c r="F79" s="69" t="s">
        <v>7</v>
      </c>
      <c r="G79" s="69" t="s">
        <v>92</v>
      </c>
      <c r="H79" s="69" t="s">
        <v>68</v>
      </c>
      <c r="I79" s="70" t="s">
        <v>119</v>
      </c>
      <c r="J79" s="70" t="s">
        <v>107</v>
      </c>
      <c r="K79" s="69" t="s">
        <v>332</v>
      </c>
      <c r="L79" s="69" t="s">
        <v>119</v>
      </c>
      <c r="M79" s="67" t="s">
        <v>107</v>
      </c>
      <c r="N79" s="67">
        <v>0</v>
      </c>
      <c r="O79" s="69"/>
      <c r="P79" s="71"/>
      <c r="Q79" s="72"/>
      <c r="R79" s="73"/>
      <c r="S79" s="73"/>
    </row>
    <row r="80" spans="1:21" ht="20.100000000000001" customHeight="1" x14ac:dyDescent="0.2">
      <c r="A80" s="15">
        <v>77</v>
      </c>
      <c r="B80" s="15" t="s">
        <v>895</v>
      </c>
      <c r="C80" s="16" t="s">
        <v>1623</v>
      </c>
      <c r="D80" s="6" t="s">
        <v>6</v>
      </c>
      <c r="E80" s="6"/>
      <c r="F80" s="15" t="s">
        <v>7</v>
      </c>
      <c r="G80" s="6" t="s">
        <v>92</v>
      </c>
      <c r="H80" s="6" t="s">
        <v>117</v>
      </c>
      <c r="I80" s="6" t="s">
        <v>69</v>
      </c>
      <c r="J80" s="6" t="s">
        <v>70</v>
      </c>
      <c r="K80" s="6" t="s">
        <v>204</v>
      </c>
      <c r="L80" s="6" t="s">
        <v>142</v>
      </c>
      <c r="M80" s="6" t="s">
        <v>107</v>
      </c>
      <c r="N80" s="6" t="s">
        <v>429</v>
      </c>
      <c r="O80" s="6"/>
      <c r="P80" s="15"/>
      <c r="Q80" s="6"/>
      <c r="R80" s="15"/>
      <c r="S80" s="15"/>
    </row>
    <row r="81" spans="1:19" ht="20.100000000000001" customHeight="1" x14ac:dyDescent="0.2">
      <c r="A81" s="67">
        <v>78</v>
      </c>
      <c r="B81" s="67" t="s">
        <v>2816</v>
      </c>
      <c r="C81" s="68" t="s">
        <v>2817</v>
      </c>
      <c r="D81" s="69" t="s">
        <v>8</v>
      </c>
      <c r="E81" s="69" t="s">
        <v>185</v>
      </c>
      <c r="F81" s="69" t="s">
        <v>83</v>
      </c>
      <c r="G81" s="69" t="s">
        <v>92</v>
      </c>
      <c r="H81" s="69" t="s">
        <v>140</v>
      </c>
      <c r="I81" s="70" t="s">
        <v>2699</v>
      </c>
      <c r="J81" s="70" t="s">
        <v>107</v>
      </c>
      <c r="K81" s="69" t="s">
        <v>143</v>
      </c>
      <c r="L81" s="69" t="s">
        <v>206</v>
      </c>
      <c r="M81" s="67" t="s">
        <v>107</v>
      </c>
      <c r="N81" s="67" t="s">
        <v>1191</v>
      </c>
      <c r="O81" s="69"/>
      <c r="P81" s="71"/>
      <c r="Q81" s="72"/>
      <c r="R81" s="73"/>
      <c r="S81" s="73"/>
    </row>
    <row r="82" spans="1:19" ht="20.100000000000001" customHeight="1" x14ac:dyDescent="0.2">
      <c r="A82" s="15">
        <v>79</v>
      </c>
      <c r="B82" s="15" t="s">
        <v>2816</v>
      </c>
      <c r="C82" s="16" t="s">
        <v>2817</v>
      </c>
      <c r="D82" s="6" t="s">
        <v>8</v>
      </c>
      <c r="E82" s="6"/>
      <c r="F82" s="15" t="s">
        <v>7</v>
      </c>
      <c r="G82" s="6" t="s">
        <v>92</v>
      </c>
      <c r="H82" s="6" t="s">
        <v>140</v>
      </c>
      <c r="I82" s="6" t="s">
        <v>119</v>
      </c>
      <c r="J82" s="6" t="s">
        <v>107</v>
      </c>
      <c r="K82" s="6" t="s">
        <v>143</v>
      </c>
      <c r="L82" s="6" t="s">
        <v>119</v>
      </c>
      <c r="M82" s="6" t="s">
        <v>107</v>
      </c>
      <c r="N82" s="6" t="s">
        <v>429</v>
      </c>
      <c r="O82" s="6"/>
      <c r="P82" s="15"/>
      <c r="Q82" s="6"/>
      <c r="R82" s="15"/>
      <c r="S82" s="15"/>
    </row>
    <row r="83" spans="1:19" ht="20.100000000000001" customHeight="1" x14ac:dyDescent="0.2">
      <c r="A83" s="67">
        <v>80</v>
      </c>
      <c r="B83" s="67" t="s">
        <v>1251</v>
      </c>
      <c r="C83" s="68" t="s">
        <v>1248</v>
      </c>
      <c r="D83" s="69" t="s">
        <v>10</v>
      </c>
      <c r="E83" s="69"/>
      <c r="F83" s="69" t="s">
        <v>7</v>
      </c>
      <c r="G83" s="69" t="s">
        <v>92</v>
      </c>
      <c r="H83" s="69" t="s">
        <v>155</v>
      </c>
      <c r="I83" s="70" t="s">
        <v>119</v>
      </c>
      <c r="J83" s="70" t="s">
        <v>107</v>
      </c>
      <c r="K83" s="69" t="s">
        <v>167</v>
      </c>
      <c r="L83" s="69" t="s">
        <v>119</v>
      </c>
      <c r="M83" s="67" t="s">
        <v>107</v>
      </c>
      <c r="N83" s="67">
        <v>0</v>
      </c>
      <c r="O83" s="69"/>
      <c r="P83" s="71"/>
      <c r="Q83" s="72"/>
      <c r="R83" s="73"/>
      <c r="S83" s="73"/>
    </row>
    <row r="84" spans="1:19" ht="20.100000000000001" customHeight="1" x14ac:dyDescent="0.2">
      <c r="A84" s="15">
        <v>81</v>
      </c>
      <c r="B84" s="15" t="s">
        <v>2818</v>
      </c>
      <c r="C84" s="16" t="s">
        <v>2819</v>
      </c>
      <c r="D84" s="6" t="s">
        <v>20</v>
      </c>
      <c r="E84" s="6" t="s">
        <v>922</v>
      </c>
      <c r="F84" s="15" t="s">
        <v>83</v>
      </c>
      <c r="G84" s="6" t="s">
        <v>92</v>
      </c>
      <c r="H84" s="6" t="s">
        <v>155</v>
      </c>
      <c r="I84" s="6" t="s">
        <v>206</v>
      </c>
      <c r="J84" s="6" t="s">
        <v>107</v>
      </c>
      <c r="K84" s="6" t="s">
        <v>170</v>
      </c>
      <c r="L84" s="6" t="s">
        <v>262</v>
      </c>
      <c r="M84" s="6" t="s">
        <v>70</v>
      </c>
      <c r="N84" s="6" t="s">
        <v>1061</v>
      </c>
      <c r="O84" s="6"/>
      <c r="P84" s="15"/>
      <c r="Q84" s="6"/>
      <c r="R84" s="15"/>
      <c r="S84" s="15"/>
    </row>
    <row r="85" spans="1:19" ht="20.100000000000001" customHeight="1" x14ac:dyDescent="0.2">
      <c r="A85" s="67">
        <v>82</v>
      </c>
      <c r="B85" s="67" t="s">
        <v>2820</v>
      </c>
      <c r="C85" s="68" t="s">
        <v>2819</v>
      </c>
      <c r="D85" s="69" t="s">
        <v>20</v>
      </c>
      <c r="E85" s="69"/>
      <c r="F85" s="69" t="s">
        <v>7</v>
      </c>
      <c r="G85" s="69" t="s">
        <v>92</v>
      </c>
      <c r="H85" s="69" t="s">
        <v>155</v>
      </c>
      <c r="I85" s="70" t="s">
        <v>119</v>
      </c>
      <c r="J85" s="70" t="s">
        <v>107</v>
      </c>
      <c r="K85" s="69" t="s">
        <v>156</v>
      </c>
      <c r="L85" s="69" t="s">
        <v>119</v>
      </c>
      <c r="M85" s="67" t="s">
        <v>107</v>
      </c>
      <c r="N85" s="67">
        <v>0</v>
      </c>
      <c r="O85" s="69"/>
      <c r="P85" s="71"/>
      <c r="Q85" s="72"/>
      <c r="R85" s="73"/>
      <c r="S85" s="73"/>
    </row>
    <row r="86" spans="1:19" ht="20.100000000000001" customHeight="1" x14ac:dyDescent="0.2">
      <c r="A86" s="15">
        <v>83</v>
      </c>
      <c r="B86" s="15" t="s">
        <v>1488</v>
      </c>
      <c r="C86" s="16" t="s">
        <v>2683</v>
      </c>
      <c r="D86" s="6" t="s">
        <v>8</v>
      </c>
      <c r="E86" s="6" t="s">
        <v>185</v>
      </c>
      <c r="F86" s="15" t="s">
        <v>83</v>
      </c>
      <c r="G86" s="6" t="s">
        <v>92</v>
      </c>
      <c r="H86" s="6" t="s">
        <v>117</v>
      </c>
      <c r="I86" s="6" t="s">
        <v>69</v>
      </c>
      <c r="J86" s="6" t="s">
        <v>70</v>
      </c>
      <c r="K86" s="6" t="s">
        <v>470</v>
      </c>
      <c r="L86" s="6" t="s">
        <v>69</v>
      </c>
      <c r="M86" s="6" t="s">
        <v>70</v>
      </c>
      <c r="N86" s="6" t="s">
        <v>2821</v>
      </c>
      <c r="O86" s="6"/>
      <c r="P86" s="15"/>
      <c r="Q86" s="6"/>
      <c r="R86" s="15"/>
      <c r="S86" s="15"/>
    </row>
    <row r="87" spans="1:19" ht="20.100000000000001" customHeight="1" x14ac:dyDescent="0.2">
      <c r="A87" s="67">
        <v>84</v>
      </c>
      <c r="B87" s="67" t="s">
        <v>2822</v>
      </c>
      <c r="C87" s="68" t="s">
        <v>2683</v>
      </c>
      <c r="D87" s="69" t="s">
        <v>8</v>
      </c>
      <c r="E87" s="69"/>
      <c r="F87" s="69" t="s">
        <v>7</v>
      </c>
      <c r="G87" s="69" t="s">
        <v>92</v>
      </c>
      <c r="H87" s="69" t="s">
        <v>140</v>
      </c>
      <c r="I87" s="70" t="s">
        <v>119</v>
      </c>
      <c r="J87" s="70" t="s">
        <v>107</v>
      </c>
      <c r="K87" s="69" t="s">
        <v>143</v>
      </c>
      <c r="L87" s="69" t="s">
        <v>119</v>
      </c>
      <c r="M87" s="67" t="s">
        <v>107</v>
      </c>
      <c r="N87" s="67">
        <v>0</v>
      </c>
      <c r="O87" s="69"/>
      <c r="P87" s="71"/>
      <c r="Q87" s="72"/>
      <c r="R87" s="73"/>
      <c r="S87" s="73"/>
    </row>
    <row r="88" spans="1:19" ht="20.100000000000001" customHeight="1" x14ac:dyDescent="0.2">
      <c r="A88" s="15">
        <v>85</v>
      </c>
      <c r="B88" s="15" t="s">
        <v>2823</v>
      </c>
      <c r="C88" s="16" t="s">
        <v>2824</v>
      </c>
      <c r="D88" s="6" t="s">
        <v>9</v>
      </c>
      <c r="E88" s="6" t="s">
        <v>185</v>
      </c>
      <c r="F88" s="15" t="s">
        <v>83</v>
      </c>
      <c r="G88" s="6" t="s">
        <v>92</v>
      </c>
      <c r="H88" s="6" t="s">
        <v>104</v>
      </c>
      <c r="I88" s="6" t="s">
        <v>262</v>
      </c>
      <c r="J88" s="6" t="s">
        <v>70</v>
      </c>
      <c r="K88" s="6" t="s">
        <v>361</v>
      </c>
      <c r="L88" s="6" t="s">
        <v>206</v>
      </c>
      <c r="M88" s="6" t="s">
        <v>107</v>
      </c>
      <c r="N88" s="6" t="s">
        <v>2825</v>
      </c>
      <c r="O88" s="6"/>
      <c r="P88" s="15"/>
      <c r="Q88" s="6"/>
      <c r="R88" s="15"/>
      <c r="S88" s="15"/>
    </row>
    <row r="89" spans="1:19" ht="20.100000000000001" customHeight="1" x14ac:dyDescent="0.2">
      <c r="A89" s="67">
        <v>86</v>
      </c>
      <c r="B89" s="67" t="s">
        <v>2826</v>
      </c>
      <c r="C89" s="68" t="s">
        <v>2824</v>
      </c>
      <c r="D89" s="69" t="s">
        <v>9</v>
      </c>
      <c r="E89" s="69"/>
      <c r="F89" s="69" t="s">
        <v>7</v>
      </c>
      <c r="G89" s="69" t="s">
        <v>92</v>
      </c>
      <c r="H89" s="69" t="s">
        <v>104</v>
      </c>
      <c r="I89" s="70" t="s">
        <v>119</v>
      </c>
      <c r="J89" s="70" t="s">
        <v>107</v>
      </c>
      <c r="K89" s="69" t="s">
        <v>361</v>
      </c>
      <c r="L89" s="69" t="s">
        <v>119</v>
      </c>
      <c r="M89" s="67" t="s">
        <v>107</v>
      </c>
      <c r="N89" s="67">
        <v>0</v>
      </c>
      <c r="O89" s="69"/>
      <c r="P89" s="71"/>
      <c r="Q89" s="72"/>
      <c r="R89" s="73"/>
      <c r="S89" s="73"/>
    </row>
    <row r="90" spans="1:19" ht="20.100000000000001" customHeight="1" x14ac:dyDescent="0.2">
      <c r="A90" s="15">
        <v>87</v>
      </c>
      <c r="B90" s="15" t="s">
        <v>1487</v>
      </c>
      <c r="C90" s="16" t="s">
        <v>1485</v>
      </c>
      <c r="D90" s="6" t="s">
        <v>243</v>
      </c>
      <c r="E90" s="6" t="s">
        <v>185</v>
      </c>
      <c r="F90" s="15" t="s">
        <v>83</v>
      </c>
      <c r="G90" s="6" t="s">
        <v>92</v>
      </c>
      <c r="H90" s="6" t="s">
        <v>140</v>
      </c>
      <c r="I90" s="6" t="s">
        <v>119</v>
      </c>
      <c r="J90" s="6" t="s">
        <v>107</v>
      </c>
      <c r="K90" s="6" t="s">
        <v>143</v>
      </c>
      <c r="L90" s="6" t="s">
        <v>119</v>
      </c>
      <c r="M90" s="6" t="s">
        <v>107</v>
      </c>
      <c r="N90" s="6" t="s">
        <v>2827</v>
      </c>
      <c r="O90" s="6"/>
      <c r="P90" s="15"/>
      <c r="Q90" s="6"/>
      <c r="R90" s="15"/>
      <c r="S90" s="15"/>
    </row>
    <row r="91" spans="1:19" ht="20.100000000000001" customHeight="1" x14ac:dyDescent="0.2">
      <c r="A91" s="67">
        <v>88</v>
      </c>
      <c r="B91" s="67" t="s">
        <v>1487</v>
      </c>
      <c r="C91" s="68" t="s">
        <v>1485</v>
      </c>
      <c r="D91" s="69" t="s">
        <v>243</v>
      </c>
      <c r="E91" s="69"/>
      <c r="F91" s="69" t="s">
        <v>7</v>
      </c>
      <c r="G91" s="69" t="s">
        <v>92</v>
      </c>
      <c r="H91" s="69" t="s">
        <v>140</v>
      </c>
      <c r="I91" s="70" t="s">
        <v>69</v>
      </c>
      <c r="J91" s="70" t="s">
        <v>70</v>
      </c>
      <c r="K91" s="69" t="s">
        <v>188</v>
      </c>
      <c r="L91" s="69" t="s">
        <v>119</v>
      </c>
      <c r="M91" s="67" t="s">
        <v>107</v>
      </c>
      <c r="N91" s="67">
        <v>0</v>
      </c>
      <c r="O91" s="69"/>
      <c r="P91" s="71"/>
      <c r="Q91" s="72"/>
      <c r="R91" s="73"/>
      <c r="S91" s="73"/>
    </row>
    <row r="92" spans="1:19" ht="20.100000000000001" customHeight="1" x14ac:dyDescent="0.2">
      <c r="A92" s="15">
        <v>89</v>
      </c>
      <c r="B92" s="15" t="s">
        <v>2828</v>
      </c>
      <c r="C92" s="16" t="s">
        <v>2824</v>
      </c>
      <c r="D92" s="6" t="s">
        <v>9</v>
      </c>
      <c r="E92" s="6" t="s">
        <v>185</v>
      </c>
      <c r="F92" s="15" t="s">
        <v>83</v>
      </c>
      <c r="G92" s="6" t="s">
        <v>92</v>
      </c>
      <c r="H92" s="6" t="s">
        <v>104</v>
      </c>
      <c r="I92" s="6" t="s">
        <v>119</v>
      </c>
      <c r="J92" s="6" t="s">
        <v>107</v>
      </c>
      <c r="K92" s="6" t="s">
        <v>361</v>
      </c>
      <c r="L92" s="6" t="s">
        <v>119</v>
      </c>
      <c r="M92" s="6" t="s">
        <v>107</v>
      </c>
      <c r="N92" s="6" t="s">
        <v>2826</v>
      </c>
      <c r="O92" s="6"/>
      <c r="P92" s="15"/>
      <c r="Q92" s="6"/>
      <c r="R92" s="15"/>
      <c r="S92" s="15" t="s">
        <v>2829</v>
      </c>
    </row>
    <row r="93" spans="1:19" ht="20.100000000000001" customHeight="1" x14ac:dyDescent="0.2">
      <c r="A93" s="67">
        <v>90</v>
      </c>
      <c r="B93" s="67" t="s">
        <v>404</v>
      </c>
      <c r="C93" s="68" t="s">
        <v>2824</v>
      </c>
      <c r="D93" s="69" t="s">
        <v>9</v>
      </c>
      <c r="E93" s="69"/>
      <c r="F93" s="69" t="s">
        <v>7</v>
      </c>
      <c r="G93" s="69" t="s">
        <v>92</v>
      </c>
      <c r="H93" s="69" t="s">
        <v>104</v>
      </c>
      <c r="I93" s="70" t="s">
        <v>119</v>
      </c>
      <c r="J93" s="70" t="s">
        <v>107</v>
      </c>
      <c r="K93" s="69" t="s">
        <v>402</v>
      </c>
      <c r="L93" s="69" t="s">
        <v>262</v>
      </c>
      <c r="M93" s="67" t="s">
        <v>70</v>
      </c>
      <c r="N93" s="67">
        <v>0</v>
      </c>
      <c r="O93" s="69"/>
      <c r="P93" s="71"/>
      <c r="Q93" s="72"/>
      <c r="R93" s="73"/>
      <c r="S93" s="73"/>
    </row>
    <row r="94" spans="1:19" ht="20.100000000000001" customHeight="1" x14ac:dyDescent="0.2">
      <c r="A94" s="15">
        <v>91</v>
      </c>
      <c r="B94" s="15" t="s">
        <v>2830</v>
      </c>
      <c r="C94" s="16" t="s">
        <v>2108</v>
      </c>
      <c r="D94" s="6" t="s">
        <v>10</v>
      </c>
      <c r="E94" s="6" t="s">
        <v>185</v>
      </c>
      <c r="F94" s="15" t="s">
        <v>83</v>
      </c>
      <c r="G94" s="6" t="s">
        <v>92</v>
      </c>
      <c r="H94" s="6" t="s">
        <v>104</v>
      </c>
      <c r="I94" s="6" t="s">
        <v>262</v>
      </c>
      <c r="J94" s="6" t="s">
        <v>70</v>
      </c>
      <c r="K94" s="6" t="s">
        <v>361</v>
      </c>
      <c r="L94" s="6" t="s">
        <v>206</v>
      </c>
      <c r="M94" s="6" t="s">
        <v>107</v>
      </c>
      <c r="N94" s="6" t="s">
        <v>2831</v>
      </c>
      <c r="O94" s="6"/>
      <c r="P94" s="15"/>
      <c r="Q94" s="6"/>
      <c r="R94" s="15"/>
      <c r="S94" s="15"/>
    </row>
    <row r="95" spans="1:19" ht="20.100000000000001" customHeight="1" x14ac:dyDescent="0.2">
      <c r="A95" s="67">
        <v>92</v>
      </c>
      <c r="B95" s="67" t="s">
        <v>2832</v>
      </c>
      <c r="C95" s="68" t="s">
        <v>2803</v>
      </c>
      <c r="D95" s="69" t="s">
        <v>10</v>
      </c>
      <c r="E95" s="69"/>
      <c r="F95" s="69" t="s">
        <v>7</v>
      </c>
      <c r="G95" s="69" t="s">
        <v>92</v>
      </c>
      <c r="H95" s="69" t="s">
        <v>218</v>
      </c>
      <c r="I95" s="70" t="s">
        <v>119</v>
      </c>
      <c r="J95" s="70" t="s">
        <v>107</v>
      </c>
      <c r="K95" s="69" t="s">
        <v>268</v>
      </c>
      <c r="L95" s="69" t="s">
        <v>142</v>
      </c>
      <c r="M95" s="67" t="s">
        <v>70</v>
      </c>
      <c r="N95" s="67">
        <v>0</v>
      </c>
      <c r="O95" s="69"/>
      <c r="P95" s="71"/>
      <c r="Q95" s="72"/>
      <c r="R95" s="73"/>
      <c r="S95" s="73"/>
    </row>
    <row r="96" spans="1:19" ht="20.100000000000001" customHeight="1" x14ac:dyDescent="0.2">
      <c r="A96" s="15">
        <v>93</v>
      </c>
      <c r="B96" s="15" t="s">
        <v>2833</v>
      </c>
      <c r="C96" s="16" t="s">
        <v>2108</v>
      </c>
      <c r="D96" s="6" t="s">
        <v>10</v>
      </c>
      <c r="E96" s="6"/>
      <c r="F96" s="15" t="s">
        <v>7</v>
      </c>
      <c r="G96" s="6" t="s">
        <v>92</v>
      </c>
      <c r="H96" s="6" t="s">
        <v>117</v>
      </c>
      <c r="I96" s="6" t="s">
        <v>119</v>
      </c>
      <c r="J96" s="6" t="s">
        <v>107</v>
      </c>
      <c r="K96" s="6" t="s">
        <v>120</v>
      </c>
      <c r="L96" s="6" t="s">
        <v>119</v>
      </c>
      <c r="M96" s="6" t="s">
        <v>107</v>
      </c>
      <c r="N96" s="6" t="s">
        <v>429</v>
      </c>
      <c r="O96" s="6"/>
      <c r="P96" s="15"/>
      <c r="Q96" s="6"/>
      <c r="R96" s="15"/>
      <c r="S96" s="15"/>
    </row>
    <row r="97" spans="1:19" ht="20.100000000000001" customHeight="1" x14ac:dyDescent="0.2">
      <c r="A97" s="67">
        <v>94</v>
      </c>
      <c r="B97" s="67" t="s">
        <v>2834</v>
      </c>
      <c r="C97" s="68" t="s">
        <v>2436</v>
      </c>
      <c r="D97" s="69" t="s">
        <v>10</v>
      </c>
      <c r="E97" s="69" t="s">
        <v>185</v>
      </c>
      <c r="F97" s="69" t="s">
        <v>83</v>
      </c>
      <c r="G97" s="69" t="s">
        <v>92</v>
      </c>
      <c r="H97" s="69" t="s">
        <v>68</v>
      </c>
      <c r="I97" s="70" t="s">
        <v>444</v>
      </c>
      <c r="J97" s="70" t="s">
        <v>107</v>
      </c>
      <c r="K97" s="69" t="s">
        <v>263</v>
      </c>
      <c r="L97" s="69" t="s">
        <v>444</v>
      </c>
      <c r="M97" s="67" t="s">
        <v>107</v>
      </c>
      <c r="N97" s="67" t="s">
        <v>2835</v>
      </c>
      <c r="O97" s="69"/>
      <c r="P97" s="71"/>
      <c r="Q97" s="72"/>
      <c r="R97" s="73"/>
      <c r="S97" s="73"/>
    </row>
    <row r="98" spans="1:19" ht="20.100000000000001" customHeight="1" x14ac:dyDescent="0.2">
      <c r="A98" s="15">
        <v>95</v>
      </c>
      <c r="B98" s="15" t="s">
        <v>2834</v>
      </c>
      <c r="C98" s="16" t="s">
        <v>2436</v>
      </c>
      <c r="D98" s="6" t="s">
        <v>10</v>
      </c>
      <c r="E98" s="6"/>
      <c r="F98" s="15" t="s">
        <v>7</v>
      </c>
      <c r="G98" s="6" t="s">
        <v>92</v>
      </c>
      <c r="H98" s="6" t="s">
        <v>104</v>
      </c>
      <c r="I98" s="6" t="s">
        <v>119</v>
      </c>
      <c r="J98" s="6" t="s">
        <v>107</v>
      </c>
      <c r="K98" s="6" t="s">
        <v>402</v>
      </c>
      <c r="L98" s="6" t="s">
        <v>262</v>
      </c>
      <c r="M98" s="6" t="s">
        <v>70</v>
      </c>
      <c r="N98" s="6" t="s">
        <v>429</v>
      </c>
      <c r="O98" s="6"/>
      <c r="P98" s="15"/>
      <c r="Q98" s="6"/>
      <c r="R98" s="15"/>
      <c r="S98" s="15"/>
    </row>
    <row r="99" spans="1:19" ht="20.100000000000001" customHeight="1" x14ac:dyDescent="0.2">
      <c r="A99" s="67">
        <v>96</v>
      </c>
      <c r="B99" s="67" t="s">
        <v>2836</v>
      </c>
      <c r="C99" s="68" t="s">
        <v>2837</v>
      </c>
      <c r="D99" s="69" t="s">
        <v>243</v>
      </c>
      <c r="E99" s="69" t="s">
        <v>185</v>
      </c>
      <c r="F99" s="69" t="s">
        <v>83</v>
      </c>
      <c r="G99" s="69" t="s">
        <v>92</v>
      </c>
      <c r="H99" s="69" t="s">
        <v>117</v>
      </c>
      <c r="I99" s="70" t="s">
        <v>262</v>
      </c>
      <c r="J99" s="70" t="s">
        <v>70</v>
      </c>
      <c r="K99" s="69" t="s">
        <v>204</v>
      </c>
      <c r="L99" s="69" t="s">
        <v>206</v>
      </c>
      <c r="M99" s="67" t="s">
        <v>107</v>
      </c>
      <c r="N99" s="67" t="s">
        <v>2838</v>
      </c>
      <c r="O99" s="69"/>
      <c r="P99" s="71"/>
      <c r="Q99" s="72"/>
      <c r="R99" s="73"/>
      <c r="S99" s="73"/>
    </row>
    <row r="100" spans="1:19" ht="20.100000000000001" customHeight="1" x14ac:dyDescent="0.2">
      <c r="A100" s="15">
        <v>97</v>
      </c>
      <c r="B100" s="15" t="s">
        <v>2839</v>
      </c>
      <c r="C100" s="16" t="s">
        <v>2837</v>
      </c>
      <c r="D100" s="6" t="s">
        <v>243</v>
      </c>
      <c r="E100" s="6"/>
      <c r="F100" s="15" t="s">
        <v>7</v>
      </c>
      <c r="G100" s="6" t="s">
        <v>92</v>
      </c>
      <c r="H100" s="6" t="s">
        <v>117</v>
      </c>
      <c r="I100" s="6" t="s">
        <v>119</v>
      </c>
      <c r="J100" s="6" t="s">
        <v>107</v>
      </c>
      <c r="K100" s="6" t="s">
        <v>204</v>
      </c>
      <c r="L100" s="6" t="s">
        <v>262</v>
      </c>
      <c r="M100" s="6" t="s">
        <v>70</v>
      </c>
      <c r="N100" s="6" t="s">
        <v>429</v>
      </c>
      <c r="O100" s="6"/>
      <c r="P100" s="15"/>
      <c r="Q100" s="6"/>
      <c r="R100" s="15"/>
      <c r="S100" s="15"/>
    </row>
    <row r="101" spans="1:19" ht="20.100000000000001" customHeight="1" x14ac:dyDescent="0.2">
      <c r="A101" s="67">
        <v>98</v>
      </c>
      <c r="B101" s="67" t="s">
        <v>1846</v>
      </c>
      <c r="C101" s="68" t="s">
        <v>2817</v>
      </c>
      <c r="D101" s="69" t="s">
        <v>8</v>
      </c>
      <c r="E101" s="69" t="s">
        <v>185</v>
      </c>
      <c r="F101" s="69" t="s">
        <v>83</v>
      </c>
      <c r="G101" s="69" t="s">
        <v>92</v>
      </c>
      <c r="H101" s="69" t="s">
        <v>140</v>
      </c>
      <c r="I101" s="70" t="s">
        <v>206</v>
      </c>
      <c r="J101" s="70" t="s">
        <v>107</v>
      </c>
      <c r="K101" s="69" t="s">
        <v>143</v>
      </c>
      <c r="L101" s="69" t="s">
        <v>206</v>
      </c>
      <c r="M101" s="67" t="s">
        <v>107</v>
      </c>
      <c r="N101" s="67" t="s">
        <v>1191</v>
      </c>
      <c r="O101" s="69"/>
      <c r="P101" s="71"/>
      <c r="Q101" s="72"/>
      <c r="R101" s="73"/>
      <c r="S101" s="73"/>
    </row>
    <row r="102" spans="1:19" ht="20.100000000000001" customHeight="1" x14ac:dyDescent="0.2">
      <c r="A102" s="15">
        <v>99</v>
      </c>
      <c r="B102" s="15" t="s">
        <v>1846</v>
      </c>
      <c r="C102" s="16" t="s">
        <v>2817</v>
      </c>
      <c r="D102" s="6" t="s">
        <v>8</v>
      </c>
      <c r="E102" s="6"/>
      <c r="F102" s="15" t="s">
        <v>7</v>
      </c>
      <c r="G102" s="6" t="s">
        <v>92</v>
      </c>
      <c r="H102" s="6" t="s">
        <v>140</v>
      </c>
      <c r="I102" s="6" t="s">
        <v>119</v>
      </c>
      <c r="J102" s="6" t="s">
        <v>107</v>
      </c>
      <c r="K102" s="6" t="s">
        <v>143</v>
      </c>
      <c r="L102" s="6" t="s">
        <v>119</v>
      </c>
      <c r="M102" s="6" t="s">
        <v>107</v>
      </c>
      <c r="N102" s="6" t="s">
        <v>429</v>
      </c>
      <c r="O102" s="6"/>
      <c r="P102" s="15"/>
      <c r="Q102" s="6"/>
      <c r="R102" s="15"/>
      <c r="S102" s="15"/>
    </row>
    <row r="103" spans="1:19" ht="20.100000000000001" customHeight="1" x14ac:dyDescent="0.2">
      <c r="A103" s="67">
        <v>100</v>
      </c>
      <c r="B103" s="67" t="s">
        <v>2840</v>
      </c>
      <c r="C103" s="68" t="s">
        <v>2770</v>
      </c>
      <c r="D103" s="69" t="s">
        <v>9</v>
      </c>
      <c r="E103" s="69"/>
      <c r="F103" s="69" t="s">
        <v>7</v>
      </c>
      <c r="G103" s="69" t="s">
        <v>92</v>
      </c>
      <c r="H103" s="69" t="s">
        <v>2457</v>
      </c>
      <c r="I103" s="70" t="s">
        <v>119</v>
      </c>
      <c r="J103" s="70" t="s">
        <v>107</v>
      </c>
      <c r="K103" s="69" t="s">
        <v>425</v>
      </c>
      <c r="L103" s="69" t="s">
        <v>119</v>
      </c>
      <c r="M103" s="67" t="s">
        <v>107</v>
      </c>
      <c r="N103" s="67">
        <v>0</v>
      </c>
      <c r="O103" s="69"/>
      <c r="P103" s="71"/>
      <c r="Q103" s="72"/>
      <c r="R103" s="73"/>
      <c r="S103" s="73"/>
    </row>
    <row r="104" spans="1:19" ht="20.100000000000001" customHeight="1" x14ac:dyDescent="0.2">
      <c r="A104" s="15">
        <v>101</v>
      </c>
      <c r="B104" s="15" t="s">
        <v>2841</v>
      </c>
      <c r="C104" s="16" t="s">
        <v>2842</v>
      </c>
      <c r="D104" s="6" t="s">
        <v>10</v>
      </c>
      <c r="E104" s="6"/>
      <c r="F104" s="15" t="s">
        <v>83</v>
      </c>
      <c r="G104" s="6" t="s">
        <v>92</v>
      </c>
      <c r="H104" s="6" t="s">
        <v>155</v>
      </c>
      <c r="I104" s="6" t="s">
        <v>262</v>
      </c>
      <c r="J104" s="6" t="s">
        <v>70</v>
      </c>
      <c r="K104" s="6" t="s">
        <v>156</v>
      </c>
      <c r="L104" s="6" t="s">
        <v>119</v>
      </c>
      <c r="M104" s="6" t="s">
        <v>107</v>
      </c>
      <c r="N104" s="6" t="s">
        <v>2843</v>
      </c>
      <c r="O104" s="6"/>
      <c r="P104" s="15"/>
      <c r="Q104" s="6"/>
      <c r="R104" s="15"/>
      <c r="S104" s="15"/>
    </row>
    <row r="105" spans="1:19" ht="21.75" x14ac:dyDescent="0.2">
      <c r="A105" s="67">
        <v>102</v>
      </c>
      <c r="B105" s="67" t="s">
        <v>2844</v>
      </c>
      <c r="C105" s="68" t="s">
        <v>912</v>
      </c>
      <c r="D105" s="69" t="s">
        <v>6</v>
      </c>
      <c r="E105" s="69" t="s">
        <v>2285</v>
      </c>
      <c r="F105" s="69" t="s">
        <v>83</v>
      </c>
      <c r="G105" s="69" t="s">
        <v>92</v>
      </c>
      <c r="H105" s="69" t="s">
        <v>155</v>
      </c>
      <c r="I105" s="70" t="s">
        <v>119</v>
      </c>
      <c r="J105" s="70" t="s">
        <v>107</v>
      </c>
      <c r="K105" s="69" t="s">
        <v>167</v>
      </c>
      <c r="L105" s="69" t="s">
        <v>119</v>
      </c>
      <c r="M105" s="67" t="s">
        <v>107</v>
      </c>
      <c r="N105" s="67" t="s">
        <v>2845</v>
      </c>
      <c r="O105" s="69"/>
      <c r="P105" s="71"/>
      <c r="Q105" s="72"/>
      <c r="R105" s="73"/>
      <c r="S105" s="73" t="s">
        <v>2846</v>
      </c>
    </row>
    <row r="106" spans="1:19" ht="21.75" x14ac:dyDescent="0.2">
      <c r="A106" s="15">
        <v>103</v>
      </c>
      <c r="B106" s="15" t="s">
        <v>2847</v>
      </c>
      <c r="C106" s="16" t="s">
        <v>318</v>
      </c>
      <c r="D106" s="6" t="s">
        <v>6</v>
      </c>
      <c r="E106" s="6" t="s">
        <v>185</v>
      </c>
      <c r="F106" s="15" t="s">
        <v>83</v>
      </c>
      <c r="G106" s="6" t="s">
        <v>92</v>
      </c>
      <c r="H106" s="6" t="s">
        <v>68</v>
      </c>
      <c r="I106" s="6" t="s">
        <v>142</v>
      </c>
      <c r="J106" s="6" t="s">
        <v>70</v>
      </c>
      <c r="K106" s="6" t="s">
        <v>332</v>
      </c>
      <c r="L106" s="6" t="s">
        <v>1477</v>
      </c>
      <c r="M106" s="6" t="s">
        <v>107</v>
      </c>
      <c r="N106" s="6" t="s">
        <v>2848</v>
      </c>
      <c r="O106" s="6"/>
      <c r="P106" s="15"/>
      <c r="Q106" s="6"/>
      <c r="R106" s="15"/>
      <c r="S106" s="15" t="s">
        <v>2849</v>
      </c>
    </row>
    <row r="107" spans="1:19" ht="20.100000000000001" customHeight="1" x14ac:dyDescent="0.2">
      <c r="A107" s="67">
        <v>104</v>
      </c>
      <c r="B107" s="67" t="s">
        <v>2529</v>
      </c>
      <c r="C107" s="68" t="s">
        <v>2528</v>
      </c>
      <c r="D107" s="69" t="s">
        <v>10</v>
      </c>
      <c r="E107" s="69" t="s">
        <v>185</v>
      </c>
      <c r="F107" s="69" t="s">
        <v>83</v>
      </c>
      <c r="G107" s="69" t="s">
        <v>92</v>
      </c>
      <c r="H107" s="69" t="s">
        <v>68</v>
      </c>
      <c r="I107" s="70" t="s">
        <v>369</v>
      </c>
      <c r="J107" s="70" t="s">
        <v>369</v>
      </c>
      <c r="K107" s="69" t="s">
        <v>263</v>
      </c>
      <c r="L107" s="69" t="s">
        <v>119</v>
      </c>
      <c r="M107" s="67" t="s">
        <v>107</v>
      </c>
      <c r="N107" s="67" t="s">
        <v>987</v>
      </c>
      <c r="O107" s="69"/>
      <c r="P107" s="71"/>
      <c r="Q107" s="72"/>
      <c r="R107" s="73"/>
      <c r="S107" s="73"/>
    </row>
    <row r="108" spans="1:19" ht="20.100000000000001" customHeight="1" x14ac:dyDescent="0.2">
      <c r="A108" s="15">
        <v>105</v>
      </c>
      <c r="B108" s="15" t="s">
        <v>2529</v>
      </c>
      <c r="C108" s="16" t="s">
        <v>2528</v>
      </c>
      <c r="D108" s="6" t="s">
        <v>10</v>
      </c>
      <c r="E108" s="6"/>
      <c r="F108" s="15" t="s">
        <v>7</v>
      </c>
      <c r="G108" s="6" t="s">
        <v>92</v>
      </c>
      <c r="H108" s="6" t="s">
        <v>68</v>
      </c>
      <c r="I108" s="6" t="s">
        <v>69</v>
      </c>
      <c r="J108" s="6" t="s">
        <v>70</v>
      </c>
      <c r="K108" s="6" t="s">
        <v>2850</v>
      </c>
      <c r="L108" s="6" t="s">
        <v>69</v>
      </c>
      <c r="M108" s="6" t="s">
        <v>70</v>
      </c>
      <c r="N108" s="6" t="s">
        <v>429</v>
      </c>
      <c r="O108" s="6"/>
      <c r="P108" s="15"/>
      <c r="Q108" s="6"/>
      <c r="R108" s="15"/>
      <c r="S108" s="15"/>
    </row>
    <row r="109" spans="1:19" ht="20.100000000000001" customHeight="1" x14ac:dyDescent="0.2">
      <c r="A109" s="67">
        <v>106</v>
      </c>
      <c r="B109" s="67" t="s">
        <v>916</v>
      </c>
      <c r="C109" s="68" t="s">
        <v>318</v>
      </c>
      <c r="D109" s="69" t="s">
        <v>6</v>
      </c>
      <c r="E109" s="69"/>
      <c r="F109" s="69" t="s">
        <v>7</v>
      </c>
      <c r="G109" s="69" t="s">
        <v>92</v>
      </c>
      <c r="H109" s="69" t="s">
        <v>68</v>
      </c>
      <c r="I109" s="70" t="s">
        <v>119</v>
      </c>
      <c r="J109" s="70" t="s">
        <v>107</v>
      </c>
      <c r="K109" s="69" t="s">
        <v>332</v>
      </c>
      <c r="L109" s="69" t="s">
        <v>69</v>
      </c>
      <c r="M109" s="67" t="s">
        <v>70</v>
      </c>
      <c r="N109" s="67">
        <v>0</v>
      </c>
      <c r="O109" s="69"/>
      <c r="P109" s="71"/>
      <c r="Q109" s="72"/>
      <c r="R109" s="73"/>
      <c r="S109" s="73"/>
    </row>
    <row r="110" spans="1:19" ht="20.100000000000001" customHeight="1" x14ac:dyDescent="0.2">
      <c r="A110" s="15">
        <v>107</v>
      </c>
      <c r="B110" s="15" t="s">
        <v>915</v>
      </c>
      <c r="C110" s="16" t="s">
        <v>912</v>
      </c>
      <c r="D110" s="6" t="s">
        <v>6</v>
      </c>
      <c r="E110" s="6"/>
      <c r="F110" s="15" t="s">
        <v>7</v>
      </c>
      <c r="G110" s="6" t="s">
        <v>92</v>
      </c>
      <c r="H110" s="6" t="s">
        <v>155</v>
      </c>
      <c r="I110" s="6" t="s">
        <v>2699</v>
      </c>
      <c r="J110" s="6" t="s">
        <v>107</v>
      </c>
      <c r="K110" s="6" t="s">
        <v>324</v>
      </c>
      <c r="L110" s="6" t="s">
        <v>2699</v>
      </c>
      <c r="M110" s="6" t="s">
        <v>107</v>
      </c>
      <c r="N110" s="6" t="s">
        <v>429</v>
      </c>
      <c r="O110" s="6"/>
      <c r="P110" s="15"/>
      <c r="Q110" s="6"/>
      <c r="R110" s="15"/>
      <c r="S110" s="15"/>
    </row>
    <row r="111" spans="1:19" ht="20.100000000000001" customHeight="1" x14ac:dyDescent="0.2">
      <c r="A111" s="67">
        <v>108</v>
      </c>
      <c r="B111" s="67" t="s">
        <v>2851</v>
      </c>
      <c r="C111" s="68" t="s">
        <v>285</v>
      </c>
      <c r="D111" s="69" t="s">
        <v>9</v>
      </c>
      <c r="E111" s="69" t="s">
        <v>185</v>
      </c>
      <c r="F111" s="69" t="s">
        <v>83</v>
      </c>
      <c r="G111" s="69" t="s">
        <v>92</v>
      </c>
      <c r="H111" s="69" t="s">
        <v>218</v>
      </c>
      <c r="I111" s="70" t="s">
        <v>1477</v>
      </c>
      <c r="J111" s="70" t="s">
        <v>107</v>
      </c>
      <c r="K111" s="69" t="s">
        <v>453</v>
      </c>
      <c r="L111" s="69" t="s">
        <v>1477</v>
      </c>
      <c r="M111" s="67" t="s">
        <v>107</v>
      </c>
      <c r="N111" s="67" t="s">
        <v>2852</v>
      </c>
      <c r="O111" s="69"/>
      <c r="P111" s="71"/>
      <c r="Q111" s="72"/>
      <c r="R111" s="73"/>
      <c r="S111" s="73" t="s">
        <v>2853</v>
      </c>
    </row>
    <row r="112" spans="1:19" ht="20.100000000000001" customHeight="1" x14ac:dyDescent="0.2">
      <c r="A112" s="15">
        <v>109</v>
      </c>
      <c r="B112" s="15" t="s">
        <v>2854</v>
      </c>
      <c r="C112" s="16" t="s">
        <v>448</v>
      </c>
      <c r="D112" s="6" t="s">
        <v>20</v>
      </c>
      <c r="E112" s="6" t="s">
        <v>922</v>
      </c>
      <c r="F112" s="15" t="s">
        <v>83</v>
      </c>
      <c r="G112" s="6" t="s">
        <v>67</v>
      </c>
      <c r="H112" s="6" t="s">
        <v>68</v>
      </c>
      <c r="I112" s="6" t="s">
        <v>69</v>
      </c>
      <c r="J112" s="6" t="s">
        <v>70</v>
      </c>
      <c r="K112" s="6" t="s">
        <v>263</v>
      </c>
      <c r="L112" s="6" t="s">
        <v>2699</v>
      </c>
      <c r="M112" s="6" t="s">
        <v>107</v>
      </c>
      <c r="N112" s="6" t="s">
        <v>2855</v>
      </c>
      <c r="O112" s="6"/>
      <c r="P112" s="15"/>
      <c r="Q112" s="6"/>
      <c r="R112" s="15"/>
      <c r="S112" s="15"/>
    </row>
    <row r="113" spans="1:19" ht="20.100000000000001" customHeight="1" x14ac:dyDescent="0.2">
      <c r="A113" s="67">
        <v>110</v>
      </c>
      <c r="B113" s="67" t="s">
        <v>2856</v>
      </c>
      <c r="C113" s="68" t="s">
        <v>448</v>
      </c>
      <c r="D113" s="69" t="s">
        <v>20</v>
      </c>
      <c r="E113" s="69"/>
      <c r="F113" s="69" t="s">
        <v>7</v>
      </c>
      <c r="G113" s="69" t="s">
        <v>67</v>
      </c>
      <c r="H113" s="69" t="s">
        <v>104</v>
      </c>
      <c r="I113" s="70" t="s">
        <v>69</v>
      </c>
      <c r="J113" s="70" t="s">
        <v>70</v>
      </c>
      <c r="K113" s="69" t="s">
        <v>305</v>
      </c>
      <c r="L113" s="69" t="s">
        <v>262</v>
      </c>
      <c r="M113" s="67" t="s">
        <v>70</v>
      </c>
      <c r="N113" s="67">
        <v>0</v>
      </c>
      <c r="O113" s="69"/>
      <c r="P113" s="71"/>
      <c r="Q113" s="72"/>
      <c r="R113" s="73"/>
      <c r="S113" s="73"/>
    </row>
    <row r="114" spans="1:19" ht="20.100000000000001" customHeight="1" x14ac:dyDescent="0.2">
      <c r="A114" s="15">
        <v>111</v>
      </c>
      <c r="B114" s="15" t="s">
        <v>2857</v>
      </c>
      <c r="C114" s="16" t="s">
        <v>944</v>
      </c>
      <c r="D114" s="6" t="s">
        <v>20</v>
      </c>
      <c r="E114" s="6" t="s">
        <v>185</v>
      </c>
      <c r="F114" s="15" t="s">
        <v>83</v>
      </c>
      <c r="G114" s="6" t="s">
        <v>67</v>
      </c>
      <c r="H114" s="6" t="s">
        <v>155</v>
      </c>
      <c r="I114" s="6" t="s">
        <v>2699</v>
      </c>
      <c r="J114" s="6" t="s">
        <v>107</v>
      </c>
      <c r="K114" s="6" t="s">
        <v>156</v>
      </c>
      <c r="L114" s="6" t="s">
        <v>262</v>
      </c>
      <c r="M114" s="6" t="s">
        <v>70</v>
      </c>
      <c r="N114" s="6" t="s">
        <v>2858</v>
      </c>
      <c r="O114" s="6"/>
      <c r="P114" s="15"/>
      <c r="Q114" s="6"/>
      <c r="R114" s="15"/>
      <c r="S114" s="15"/>
    </row>
    <row r="115" spans="1:19" ht="20.100000000000001" customHeight="1" x14ac:dyDescent="0.2">
      <c r="A115" s="67">
        <v>112</v>
      </c>
      <c r="B115" s="67" t="s">
        <v>948</v>
      </c>
      <c r="C115" s="68" t="s">
        <v>944</v>
      </c>
      <c r="D115" s="69" t="s">
        <v>20</v>
      </c>
      <c r="E115" s="69"/>
      <c r="F115" s="69" t="s">
        <v>7</v>
      </c>
      <c r="G115" s="69" t="s">
        <v>67</v>
      </c>
      <c r="H115" s="69" t="s">
        <v>155</v>
      </c>
      <c r="I115" s="70" t="s">
        <v>119</v>
      </c>
      <c r="J115" s="70" t="s">
        <v>107</v>
      </c>
      <c r="K115" s="69" t="s">
        <v>156</v>
      </c>
      <c r="L115" s="69" t="s">
        <v>119</v>
      </c>
      <c r="M115" s="67" t="s">
        <v>107</v>
      </c>
      <c r="N115" s="67">
        <v>0</v>
      </c>
      <c r="O115" s="69"/>
      <c r="P115" s="71"/>
      <c r="Q115" s="72"/>
      <c r="R115" s="73"/>
      <c r="S115" s="73"/>
    </row>
    <row r="116" spans="1:19" ht="20.100000000000001" customHeight="1" x14ac:dyDescent="0.2">
      <c r="A116" s="15">
        <v>113</v>
      </c>
      <c r="B116" s="15" t="s">
        <v>2859</v>
      </c>
      <c r="C116" s="16" t="s">
        <v>2045</v>
      </c>
      <c r="D116" s="6" t="s">
        <v>6</v>
      </c>
      <c r="E116" s="6" t="s">
        <v>2285</v>
      </c>
      <c r="F116" s="15" t="s">
        <v>83</v>
      </c>
      <c r="G116" s="6" t="s">
        <v>92</v>
      </c>
      <c r="H116" s="6" t="s">
        <v>155</v>
      </c>
      <c r="I116" s="6" t="s">
        <v>2699</v>
      </c>
      <c r="J116" s="6" t="s">
        <v>107</v>
      </c>
      <c r="K116" s="6" t="s">
        <v>170</v>
      </c>
      <c r="L116" s="6" t="s">
        <v>206</v>
      </c>
      <c r="M116" s="6" t="s">
        <v>107</v>
      </c>
      <c r="N116" s="6" t="s">
        <v>2860</v>
      </c>
      <c r="O116" s="6"/>
      <c r="P116" s="15"/>
      <c r="Q116" s="6"/>
      <c r="R116" s="15"/>
      <c r="S116" s="15"/>
    </row>
    <row r="117" spans="1:19" ht="20.100000000000001" customHeight="1" x14ac:dyDescent="0.2">
      <c r="A117" s="67">
        <v>114</v>
      </c>
      <c r="B117" s="67" t="s">
        <v>2635</v>
      </c>
      <c r="C117" s="68" t="s">
        <v>2634</v>
      </c>
      <c r="D117" s="69" t="s">
        <v>8</v>
      </c>
      <c r="E117" s="69"/>
      <c r="F117" s="69" t="s">
        <v>7</v>
      </c>
      <c r="G117" s="69" t="s">
        <v>92</v>
      </c>
      <c r="H117" s="69" t="s">
        <v>2457</v>
      </c>
      <c r="I117" s="70" t="s">
        <v>119</v>
      </c>
      <c r="J117" s="70" t="s">
        <v>107</v>
      </c>
      <c r="K117" s="69" t="s">
        <v>2253</v>
      </c>
      <c r="L117" s="69" t="s">
        <v>69</v>
      </c>
      <c r="M117" s="67" t="s">
        <v>70</v>
      </c>
      <c r="N117" s="67">
        <v>0</v>
      </c>
      <c r="O117" s="69"/>
      <c r="P117" s="71"/>
      <c r="Q117" s="72"/>
      <c r="R117" s="73"/>
      <c r="S117" s="73"/>
    </row>
    <row r="118" spans="1:19" ht="20.100000000000001" customHeight="1" x14ac:dyDescent="0.2">
      <c r="A118" s="15">
        <v>115</v>
      </c>
      <c r="B118" s="15" t="s">
        <v>2861</v>
      </c>
      <c r="C118" s="16" t="s">
        <v>2862</v>
      </c>
      <c r="D118" s="6" t="s">
        <v>2767</v>
      </c>
      <c r="E118" s="6"/>
      <c r="F118" s="15" t="s">
        <v>7</v>
      </c>
      <c r="G118" s="6" t="s">
        <v>92</v>
      </c>
      <c r="H118" s="6" t="s">
        <v>2863</v>
      </c>
      <c r="I118" s="6" t="s">
        <v>69</v>
      </c>
      <c r="J118" s="6" t="s">
        <v>70</v>
      </c>
      <c r="K118" s="6" t="s">
        <v>2864</v>
      </c>
      <c r="L118" s="6" t="s">
        <v>69</v>
      </c>
      <c r="M118" s="6" t="s">
        <v>70</v>
      </c>
      <c r="N118" s="6" t="s">
        <v>429</v>
      </c>
      <c r="O118" s="6"/>
      <c r="P118" s="15"/>
      <c r="Q118" s="6"/>
      <c r="R118" s="15"/>
      <c r="S118" s="15"/>
    </row>
    <row r="119" spans="1:19" ht="20.100000000000001" customHeight="1" x14ac:dyDescent="0.2">
      <c r="A119" s="67">
        <v>116</v>
      </c>
      <c r="B119" s="67" t="s">
        <v>2865</v>
      </c>
      <c r="C119" s="68" t="s">
        <v>951</v>
      </c>
      <c r="D119" s="69" t="s">
        <v>10</v>
      </c>
      <c r="E119" s="69" t="s">
        <v>202</v>
      </c>
      <c r="F119" s="69" t="s">
        <v>83</v>
      </c>
      <c r="G119" s="69" t="s">
        <v>92</v>
      </c>
      <c r="H119" s="69" t="s">
        <v>155</v>
      </c>
      <c r="I119" s="70" t="s">
        <v>69</v>
      </c>
      <c r="J119" s="70" t="s">
        <v>70</v>
      </c>
      <c r="K119" s="69" t="s">
        <v>2866</v>
      </c>
      <c r="L119" s="69" t="s">
        <v>69</v>
      </c>
      <c r="M119" s="67" t="s">
        <v>70</v>
      </c>
      <c r="N119" s="67" t="s">
        <v>2867</v>
      </c>
      <c r="O119" s="69"/>
      <c r="P119" s="71"/>
      <c r="Q119" s="72"/>
      <c r="R119" s="73"/>
      <c r="S119" s="73"/>
    </row>
    <row r="120" spans="1:19" ht="20.100000000000001" customHeight="1" x14ac:dyDescent="0.2">
      <c r="A120" s="15">
        <v>117</v>
      </c>
      <c r="B120" s="15" t="s">
        <v>2868</v>
      </c>
      <c r="C120" s="16" t="s">
        <v>88</v>
      </c>
      <c r="D120" s="6" t="s">
        <v>9</v>
      </c>
      <c r="E120" s="6" t="s">
        <v>185</v>
      </c>
      <c r="F120" s="15" t="s">
        <v>83</v>
      </c>
      <c r="G120" s="6" t="s">
        <v>92</v>
      </c>
      <c r="H120" s="6" t="s">
        <v>104</v>
      </c>
      <c r="I120" s="6" t="s">
        <v>2869</v>
      </c>
      <c r="J120" s="6" t="s">
        <v>107</v>
      </c>
      <c r="K120" s="6" t="s">
        <v>361</v>
      </c>
      <c r="L120" s="6" t="s">
        <v>2699</v>
      </c>
      <c r="M120" s="6" t="s">
        <v>107</v>
      </c>
      <c r="N120" s="6" t="s">
        <v>2713</v>
      </c>
      <c r="O120" s="6"/>
      <c r="P120" s="15"/>
      <c r="Q120" s="6"/>
      <c r="R120" s="15"/>
      <c r="S120" s="15"/>
    </row>
    <row r="121" spans="1:19" ht="20.100000000000001" customHeight="1" x14ac:dyDescent="0.2">
      <c r="A121" s="67">
        <v>118</v>
      </c>
      <c r="B121" s="67" t="s">
        <v>501</v>
      </c>
      <c r="C121" s="68" t="s">
        <v>88</v>
      </c>
      <c r="D121" s="69" t="s">
        <v>9</v>
      </c>
      <c r="E121" s="69"/>
      <c r="F121" s="69" t="s">
        <v>7</v>
      </c>
      <c r="G121" s="69" t="s">
        <v>92</v>
      </c>
      <c r="H121" s="69" t="s">
        <v>104</v>
      </c>
      <c r="I121" s="70" t="s">
        <v>69</v>
      </c>
      <c r="J121" s="70" t="s">
        <v>70</v>
      </c>
      <c r="K121" s="69" t="s">
        <v>361</v>
      </c>
      <c r="L121" s="69" t="s">
        <v>119</v>
      </c>
      <c r="M121" s="67" t="s">
        <v>107</v>
      </c>
      <c r="N121" s="67">
        <v>0</v>
      </c>
      <c r="O121" s="69"/>
      <c r="P121" s="71"/>
      <c r="Q121" s="72"/>
      <c r="R121" s="73"/>
      <c r="S121" s="73"/>
    </row>
    <row r="122" spans="1:19" ht="20.100000000000001" customHeight="1" x14ac:dyDescent="0.2">
      <c r="A122" s="15">
        <v>119</v>
      </c>
      <c r="B122" s="15" t="s">
        <v>2870</v>
      </c>
      <c r="C122" s="16" t="s">
        <v>182</v>
      </c>
      <c r="D122" s="6" t="s">
        <v>6</v>
      </c>
      <c r="E122" s="6" t="s">
        <v>185</v>
      </c>
      <c r="F122" s="15" t="s">
        <v>83</v>
      </c>
      <c r="G122" s="6" t="s">
        <v>92</v>
      </c>
      <c r="H122" s="6" t="s">
        <v>104</v>
      </c>
      <c r="I122" s="6" t="s">
        <v>119</v>
      </c>
      <c r="J122" s="6" t="s">
        <v>107</v>
      </c>
      <c r="K122" s="6" t="s">
        <v>361</v>
      </c>
      <c r="L122" s="6" t="s">
        <v>119</v>
      </c>
      <c r="M122" s="6" t="s">
        <v>107</v>
      </c>
      <c r="N122" s="6" t="s">
        <v>2871</v>
      </c>
      <c r="O122" s="6"/>
      <c r="P122" s="15"/>
      <c r="Q122" s="6"/>
      <c r="R122" s="15"/>
      <c r="S122" s="15"/>
    </row>
    <row r="123" spans="1:19" ht="20.100000000000001" customHeight="1" x14ac:dyDescent="0.2">
      <c r="A123" s="67">
        <v>120</v>
      </c>
      <c r="B123" s="67" t="s">
        <v>2872</v>
      </c>
      <c r="C123" s="68" t="s">
        <v>2004</v>
      </c>
      <c r="D123" s="69" t="s">
        <v>6</v>
      </c>
      <c r="E123" s="69" t="s">
        <v>1587</v>
      </c>
      <c r="F123" s="69" t="s">
        <v>222</v>
      </c>
      <c r="G123" s="69" t="s">
        <v>92</v>
      </c>
      <c r="H123" s="69" t="s">
        <v>140</v>
      </c>
      <c r="I123" s="70" t="s">
        <v>262</v>
      </c>
      <c r="J123" s="70" t="s">
        <v>70</v>
      </c>
      <c r="K123" s="69" t="s">
        <v>2006</v>
      </c>
      <c r="L123" s="69" t="s">
        <v>262</v>
      </c>
      <c r="M123" s="67" t="s">
        <v>70</v>
      </c>
      <c r="N123" s="67" t="s">
        <v>2873</v>
      </c>
      <c r="O123" s="69"/>
      <c r="P123" s="71"/>
      <c r="Q123" s="72"/>
      <c r="R123" s="73"/>
      <c r="S123" s="73" t="s">
        <v>2874</v>
      </c>
    </row>
    <row r="124" spans="1:19" ht="20.100000000000001" customHeight="1" x14ac:dyDescent="0.2">
      <c r="A124" s="15">
        <v>121</v>
      </c>
      <c r="B124" s="15" t="s">
        <v>2875</v>
      </c>
      <c r="C124" s="16" t="s">
        <v>2045</v>
      </c>
      <c r="D124" s="6" t="s">
        <v>6</v>
      </c>
      <c r="E124" s="6"/>
      <c r="F124" s="15" t="s">
        <v>7</v>
      </c>
      <c r="G124" s="6" t="s">
        <v>92</v>
      </c>
      <c r="H124" s="6" t="s">
        <v>155</v>
      </c>
      <c r="I124" s="6" t="s">
        <v>119</v>
      </c>
      <c r="J124" s="6" t="s">
        <v>107</v>
      </c>
      <c r="K124" s="6" t="s">
        <v>170</v>
      </c>
      <c r="L124" s="6" t="s">
        <v>119</v>
      </c>
      <c r="M124" s="6" t="s">
        <v>107</v>
      </c>
      <c r="N124" s="6" t="s">
        <v>429</v>
      </c>
      <c r="O124" s="6"/>
      <c r="P124" s="15"/>
      <c r="Q124" s="6"/>
      <c r="R124" s="15"/>
      <c r="S124" s="15"/>
    </row>
    <row r="125" spans="1:19" ht="20.100000000000001" customHeight="1" x14ac:dyDescent="0.2">
      <c r="A125" s="67">
        <v>122</v>
      </c>
      <c r="B125" s="67" t="s">
        <v>2876</v>
      </c>
      <c r="C125" s="68" t="s">
        <v>182</v>
      </c>
      <c r="D125" s="69" t="s">
        <v>6</v>
      </c>
      <c r="E125" s="69"/>
      <c r="F125" s="69" t="s">
        <v>7</v>
      </c>
      <c r="G125" s="69" t="s">
        <v>92</v>
      </c>
      <c r="H125" s="69" t="s">
        <v>117</v>
      </c>
      <c r="I125" s="70" t="s">
        <v>69</v>
      </c>
      <c r="J125" s="70" t="s">
        <v>70</v>
      </c>
      <c r="K125" s="69" t="s">
        <v>204</v>
      </c>
      <c r="L125" s="69" t="s">
        <v>2699</v>
      </c>
      <c r="M125" s="67" t="s">
        <v>107</v>
      </c>
      <c r="N125" s="67">
        <v>0</v>
      </c>
      <c r="O125" s="69"/>
      <c r="P125" s="71"/>
      <c r="Q125" s="72"/>
      <c r="R125" s="73"/>
      <c r="S125" s="73"/>
    </row>
    <row r="126" spans="1:19" ht="20.100000000000001" customHeight="1" x14ac:dyDescent="0.2">
      <c r="A126" s="15">
        <v>123</v>
      </c>
      <c r="B126" s="15" t="s">
        <v>2877</v>
      </c>
      <c r="C126" s="16" t="s">
        <v>2878</v>
      </c>
      <c r="D126" s="6" t="s">
        <v>243</v>
      </c>
      <c r="E126" s="6" t="s">
        <v>1587</v>
      </c>
      <c r="F126" s="15" t="s">
        <v>222</v>
      </c>
      <c r="G126" s="6" t="s">
        <v>92</v>
      </c>
      <c r="H126" s="6" t="s">
        <v>141</v>
      </c>
      <c r="I126" s="6" t="s">
        <v>444</v>
      </c>
      <c r="J126" s="6" t="s">
        <v>107</v>
      </c>
      <c r="K126" s="6" t="s">
        <v>998</v>
      </c>
      <c r="L126" s="6" t="s">
        <v>444</v>
      </c>
      <c r="M126" s="6" t="s">
        <v>107</v>
      </c>
      <c r="N126" s="6" t="s">
        <v>2879</v>
      </c>
      <c r="O126" s="6"/>
      <c r="P126" s="15"/>
      <c r="Q126" s="6"/>
      <c r="R126" s="15"/>
      <c r="S126" s="15"/>
    </row>
    <row r="127" spans="1:19" ht="20.100000000000001" customHeight="1" x14ac:dyDescent="0.2">
      <c r="A127" s="67">
        <v>124</v>
      </c>
      <c r="B127" s="67" t="s">
        <v>2880</v>
      </c>
      <c r="C127" s="68" t="s">
        <v>2881</v>
      </c>
      <c r="D127" s="69" t="s">
        <v>10</v>
      </c>
      <c r="E127" s="69"/>
      <c r="F127" s="69" t="s">
        <v>83</v>
      </c>
      <c r="G127" s="69" t="s">
        <v>92</v>
      </c>
      <c r="H127" s="69" t="s">
        <v>155</v>
      </c>
      <c r="I127" s="70" t="s">
        <v>262</v>
      </c>
      <c r="J127" s="70" t="s">
        <v>70</v>
      </c>
      <c r="K127" s="69" t="s">
        <v>167</v>
      </c>
      <c r="L127" s="69" t="s">
        <v>262</v>
      </c>
      <c r="M127" s="67" t="s">
        <v>70</v>
      </c>
      <c r="N127" s="67" t="s">
        <v>2882</v>
      </c>
      <c r="O127" s="69"/>
      <c r="P127" s="71"/>
      <c r="Q127" s="72"/>
      <c r="R127" s="73"/>
      <c r="S127" s="73"/>
    </row>
    <row r="128" spans="1:19" ht="20.100000000000001" customHeight="1" x14ac:dyDescent="0.2">
      <c r="A128" s="15">
        <v>125</v>
      </c>
      <c r="B128" s="15" t="s">
        <v>2883</v>
      </c>
      <c r="C128" s="16" t="s">
        <v>2881</v>
      </c>
      <c r="D128" s="6" t="s">
        <v>10</v>
      </c>
      <c r="E128" s="6"/>
      <c r="F128" s="15" t="s">
        <v>7</v>
      </c>
      <c r="G128" s="6" t="s">
        <v>92</v>
      </c>
      <c r="H128" s="6" t="s">
        <v>155</v>
      </c>
      <c r="I128" s="6" t="s">
        <v>69</v>
      </c>
      <c r="J128" s="6" t="s">
        <v>70</v>
      </c>
      <c r="K128" s="6" t="s">
        <v>167</v>
      </c>
      <c r="L128" s="6" t="s">
        <v>369</v>
      </c>
      <c r="M128" s="6" t="s">
        <v>369</v>
      </c>
      <c r="N128" s="6" t="s">
        <v>429</v>
      </c>
      <c r="O128" s="6"/>
      <c r="P128" s="15"/>
      <c r="Q128" s="6"/>
      <c r="R128" s="15"/>
      <c r="S128" s="15"/>
    </row>
    <row r="129" spans="1:19" ht="20.100000000000001" customHeight="1" x14ac:dyDescent="0.2">
      <c r="A129" s="67">
        <v>126</v>
      </c>
      <c r="B129" s="67" t="s">
        <v>2884</v>
      </c>
      <c r="C129" s="68" t="s">
        <v>2780</v>
      </c>
      <c r="D129" s="69" t="s">
        <v>2767</v>
      </c>
      <c r="E129" s="69" t="s">
        <v>1587</v>
      </c>
      <c r="F129" s="69" t="s">
        <v>222</v>
      </c>
      <c r="G129" s="69" t="s">
        <v>92</v>
      </c>
      <c r="H129" s="69" t="s">
        <v>334</v>
      </c>
      <c r="I129" s="70"/>
      <c r="J129" s="70"/>
      <c r="K129" s="69" t="s">
        <v>224</v>
      </c>
      <c r="L129" s="69"/>
      <c r="M129" s="67"/>
      <c r="N129" s="67"/>
      <c r="O129" s="69"/>
      <c r="P129" s="71"/>
      <c r="Q129" s="72"/>
      <c r="R129" s="73"/>
      <c r="S129" s="73"/>
    </row>
    <row r="130" spans="1:19" ht="20.100000000000001" customHeight="1" x14ac:dyDescent="0.2">
      <c r="A130" s="15">
        <v>127</v>
      </c>
      <c r="B130" s="15" t="s">
        <v>2885</v>
      </c>
      <c r="C130" s="16" t="s">
        <v>2886</v>
      </c>
      <c r="D130" s="6" t="s">
        <v>2767</v>
      </c>
      <c r="E130" s="6" t="s">
        <v>1587</v>
      </c>
      <c r="F130" s="15" t="s">
        <v>222</v>
      </c>
      <c r="G130" s="6" t="s">
        <v>92</v>
      </c>
      <c r="H130" s="6"/>
      <c r="I130" s="6"/>
      <c r="J130" s="6"/>
      <c r="K130" s="6"/>
      <c r="L130" s="6"/>
      <c r="M130" s="6"/>
      <c r="N130" s="6"/>
      <c r="O130" s="6"/>
      <c r="P130" s="15"/>
      <c r="Q130" s="6"/>
      <c r="R130" s="15"/>
      <c r="S130" s="15"/>
    </row>
    <row r="131" spans="1:19" ht="20.100000000000001" customHeight="1" x14ac:dyDescent="0.2">
      <c r="A131" s="67">
        <v>128</v>
      </c>
      <c r="B131" s="67" t="s">
        <v>2887</v>
      </c>
      <c r="C131" s="68" t="s">
        <v>2888</v>
      </c>
      <c r="D131" s="69" t="s">
        <v>2767</v>
      </c>
      <c r="E131" s="69" t="s">
        <v>1587</v>
      </c>
      <c r="F131" s="69" t="s">
        <v>222</v>
      </c>
      <c r="G131" s="69" t="s">
        <v>92</v>
      </c>
      <c r="H131" s="69"/>
      <c r="I131" s="70"/>
      <c r="J131" s="70"/>
      <c r="K131" s="69"/>
      <c r="L131" s="69"/>
      <c r="M131" s="67"/>
      <c r="N131" s="67"/>
      <c r="O131" s="69"/>
      <c r="P131" s="71"/>
      <c r="Q131" s="72"/>
      <c r="R131" s="73"/>
      <c r="S131" s="73"/>
    </row>
    <row r="132" spans="1:19" ht="20.100000000000001" customHeight="1" x14ac:dyDescent="0.2">
      <c r="A132" s="15">
        <v>129</v>
      </c>
      <c r="B132" s="15" t="s">
        <v>2889</v>
      </c>
      <c r="C132" s="16" t="s">
        <v>2890</v>
      </c>
      <c r="D132" s="6" t="s">
        <v>2767</v>
      </c>
      <c r="E132" s="6" t="s">
        <v>1587</v>
      </c>
      <c r="F132" s="15" t="s">
        <v>222</v>
      </c>
      <c r="G132" s="6" t="s">
        <v>92</v>
      </c>
      <c r="H132" s="6"/>
      <c r="I132" s="6"/>
      <c r="J132" s="6"/>
      <c r="K132" s="6"/>
      <c r="L132" s="6"/>
      <c r="M132" s="6"/>
      <c r="N132" s="6"/>
      <c r="O132" s="6"/>
      <c r="P132" s="15"/>
      <c r="Q132" s="6"/>
      <c r="R132" s="15"/>
      <c r="S132" s="15"/>
    </row>
    <row r="133" spans="1:19" ht="20.100000000000001" customHeight="1" x14ac:dyDescent="0.2">
      <c r="A133" s="67">
        <v>130</v>
      </c>
      <c r="B133" s="67" t="s">
        <v>955</v>
      </c>
      <c r="C133" s="68" t="s">
        <v>2891</v>
      </c>
      <c r="D133" s="69" t="s">
        <v>2767</v>
      </c>
      <c r="E133" s="69" t="s">
        <v>1587</v>
      </c>
      <c r="F133" s="69" t="s">
        <v>222</v>
      </c>
      <c r="G133" s="69" t="s">
        <v>92</v>
      </c>
      <c r="H133" s="69"/>
      <c r="I133" s="70"/>
      <c r="J133" s="70"/>
      <c r="K133" s="69"/>
      <c r="L133" s="69"/>
      <c r="M133" s="67"/>
      <c r="N133" s="67"/>
      <c r="O133" s="69"/>
      <c r="P133" s="71"/>
      <c r="Q133" s="72"/>
      <c r="R133" s="73"/>
      <c r="S133" s="73"/>
    </row>
    <row r="134" spans="1:19" ht="20.100000000000001" customHeight="1" x14ac:dyDescent="0.2">
      <c r="A134" s="15">
        <v>131</v>
      </c>
      <c r="B134" s="15" t="s">
        <v>954</v>
      </c>
      <c r="C134" s="16" t="s">
        <v>951</v>
      </c>
      <c r="D134" s="6" t="s">
        <v>10</v>
      </c>
      <c r="E134" s="6"/>
      <c r="F134" s="15" t="s">
        <v>7</v>
      </c>
      <c r="G134" s="6" t="s">
        <v>92</v>
      </c>
      <c r="H134" s="6" t="s">
        <v>155</v>
      </c>
      <c r="I134" s="6" t="s">
        <v>142</v>
      </c>
      <c r="J134" s="6" t="s">
        <v>107</v>
      </c>
      <c r="K134" s="6" t="s">
        <v>167</v>
      </c>
      <c r="L134" s="6" t="s">
        <v>119</v>
      </c>
      <c r="M134" s="6" t="s">
        <v>107</v>
      </c>
      <c r="N134" s="6" t="s">
        <v>429</v>
      </c>
      <c r="O134" s="6"/>
      <c r="P134" s="15"/>
      <c r="Q134" s="6"/>
      <c r="R134" s="15"/>
      <c r="S134" s="15"/>
    </row>
    <row r="135" spans="1:19" ht="20.100000000000001" customHeight="1" x14ac:dyDescent="0.2">
      <c r="A135" s="67">
        <v>132</v>
      </c>
      <c r="B135" s="67" t="s">
        <v>2892</v>
      </c>
      <c r="C135" s="68" t="s">
        <v>2893</v>
      </c>
      <c r="D135" s="69" t="s">
        <v>2767</v>
      </c>
      <c r="E135" s="69" t="s">
        <v>1587</v>
      </c>
      <c r="F135" s="69" t="s">
        <v>222</v>
      </c>
      <c r="G135" s="69" t="s">
        <v>92</v>
      </c>
      <c r="H135" s="69"/>
      <c r="I135" s="70"/>
      <c r="J135" s="70"/>
      <c r="K135" s="69"/>
      <c r="L135" s="69"/>
      <c r="M135" s="67"/>
      <c r="N135" s="67"/>
      <c r="O135" s="69"/>
      <c r="P135" s="71"/>
      <c r="Q135" s="72"/>
      <c r="R135" s="73"/>
      <c r="S135" s="73"/>
    </row>
    <row r="136" spans="1:19" ht="20.100000000000001" customHeight="1" x14ac:dyDescent="0.2">
      <c r="A136" s="15">
        <v>133</v>
      </c>
      <c r="B136" s="15" t="s">
        <v>2894</v>
      </c>
      <c r="C136" s="16" t="s">
        <v>2895</v>
      </c>
      <c r="D136" s="6" t="s">
        <v>2767</v>
      </c>
      <c r="E136" s="6" t="s">
        <v>222</v>
      </c>
      <c r="F136" s="15" t="s">
        <v>222</v>
      </c>
      <c r="G136" s="6" t="s">
        <v>92</v>
      </c>
      <c r="H136" s="6"/>
      <c r="I136" s="6"/>
      <c r="J136" s="6"/>
      <c r="K136" s="6"/>
      <c r="L136" s="6"/>
      <c r="M136" s="6"/>
      <c r="N136" s="6"/>
      <c r="O136" s="6"/>
      <c r="P136" s="15"/>
      <c r="Q136" s="6"/>
      <c r="R136" s="15"/>
      <c r="S136" s="15"/>
    </row>
    <row r="137" spans="1:19" ht="20.100000000000001" customHeight="1" x14ac:dyDescent="0.2">
      <c r="A137" s="67">
        <v>134</v>
      </c>
      <c r="B137" s="67" t="s">
        <v>2896</v>
      </c>
      <c r="C137" s="68" t="s">
        <v>2897</v>
      </c>
      <c r="D137" s="69" t="s">
        <v>8</v>
      </c>
      <c r="E137" s="69" t="s">
        <v>185</v>
      </c>
      <c r="F137" s="69" t="s">
        <v>83</v>
      </c>
      <c r="G137" s="69" t="s">
        <v>92</v>
      </c>
      <c r="H137" s="69" t="s">
        <v>104</v>
      </c>
      <c r="I137" s="70" t="s">
        <v>142</v>
      </c>
      <c r="J137" s="70" t="s">
        <v>70</v>
      </c>
      <c r="K137" s="69" t="s">
        <v>256</v>
      </c>
      <c r="L137" s="69" t="s">
        <v>2788</v>
      </c>
      <c r="M137" s="67" t="s">
        <v>70</v>
      </c>
      <c r="N137" s="67" t="s">
        <v>2898</v>
      </c>
      <c r="O137" s="69"/>
      <c r="P137" s="71"/>
      <c r="Q137" s="72"/>
      <c r="R137" s="73"/>
      <c r="S137" s="73"/>
    </row>
    <row r="138" spans="1:19" ht="20.100000000000001" customHeight="1" x14ac:dyDescent="0.2">
      <c r="A138" s="15">
        <v>135</v>
      </c>
      <c r="B138" s="15" t="s">
        <v>2899</v>
      </c>
      <c r="C138" s="16" t="s">
        <v>2897</v>
      </c>
      <c r="D138" s="6" t="s">
        <v>8</v>
      </c>
      <c r="E138" s="6"/>
      <c r="F138" s="15" t="s">
        <v>7</v>
      </c>
      <c r="G138" s="6" t="s">
        <v>92</v>
      </c>
      <c r="H138" s="6" t="s">
        <v>104</v>
      </c>
      <c r="I138" s="6" t="s">
        <v>69</v>
      </c>
      <c r="J138" s="6" t="s">
        <v>70</v>
      </c>
      <c r="K138" s="6" t="s">
        <v>256</v>
      </c>
      <c r="L138" s="6" t="s">
        <v>119</v>
      </c>
      <c r="M138" s="6" t="s">
        <v>107</v>
      </c>
      <c r="N138" s="6" t="s">
        <v>429</v>
      </c>
      <c r="O138" s="6"/>
      <c r="P138" s="15"/>
      <c r="Q138" s="6"/>
      <c r="R138" s="15"/>
      <c r="S138" s="15"/>
    </row>
    <row r="139" spans="1:19" ht="20.100000000000001" customHeight="1" x14ac:dyDescent="0.2">
      <c r="A139" s="67">
        <v>136</v>
      </c>
      <c r="B139" s="67" t="s">
        <v>2900</v>
      </c>
      <c r="C139" s="68" t="s">
        <v>2901</v>
      </c>
      <c r="D139" s="69" t="s">
        <v>9</v>
      </c>
      <c r="E139" s="69" t="s">
        <v>185</v>
      </c>
      <c r="F139" s="69" t="s">
        <v>83</v>
      </c>
      <c r="G139" s="69" t="s">
        <v>92</v>
      </c>
      <c r="H139" s="69" t="s">
        <v>140</v>
      </c>
      <c r="I139" s="70" t="s">
        <v>2699</v>
      </c>
      <c r="J139" s="70" t="s">
        <v>107</v>
      </c>
      <c r="K139" s="69" t="s">
        <v>188</v>
      </c>
      <c r="L139" s="69" t="s">
        <v>2699</v>
      </c>
      <c r="M139" s="67" t="s">
        <v>107</v>
      </c>
      <c r="N139" s="67" t="s">
        <v>2729</v>
      </c>
      <c r="O139" s="69"/>
      <c r="P139" s="71"/>
      <c r="Q139" s="72"/>
      <c r="R139" s="73"/>
      <c r="S139" s="73"/>
    </row>
    <row r="140" spans="1:19" ht="20.100000000000001" customHeight="1" x14ac:dyDescent="0.2">
      <c r="A140" s="15">
        <v>137</v>
      </c>
      <c r="B140" s="15" t="s">
        <v>2346</v>
      </c>
      <c r="C140" s="16" t="s">
        <v>2901</v>
      </c>
      <c r="D140" s="6" t="s">
        <v>9</v>
      </c>
      <c r="E140" s="6"/>
      <c r="F140" s="15" t="s">
        <v>7</v>
      </c>
      <c r="G140" s="6" t="s">
        <v>92</v>
      </c>
      <c r="H140" s="6" t="s">
        <v>140</v>
      </c>
      <c r="I140" s="6" t="s">
        <v>119</v>
      </c>
      <c r="J140" s="6" t="s">
        <v>107</v>
      </c>
      <c r="K140" s="6" t="s">
        <v>328</v>
      </c>
      <c r="L140" s="6" t="s">
        <v>119</v>
      </c>
      <c r="M140" s="6" t="s">
        <v>107</v>
      </c>
      <c r="N140" s="6" t="s">
        <v>429</v>
      </c>
      <c r="O140" s="6"/>
      <c r="P140" s="15"/>
      <c r="Q140" s="6"/>
      <c r="R140" s="15"/>
      <c r="S140" s="15"/>
    </row>
    <row r="141" spans="1:19" ht="20.100000000000001" customHeight="1" x14ac:dyDescent="0.2">
      <c r="A141" s="67">
        <v>138</v>
      </c>
      <c r="B141" s="67" t="s">
        <v>2902</v>
      </c>
      <c r="C141" s="68" t="s">
        <v>2903</v>
      </c>
      <c r="D141" s="69" t="s">
        <v>9</v>
      </c>
      <c r="E141" s="69" t="s">
        <v>185</v>
      </c>
      <c r="F141" s="69" t="s">
        <v>83</v>
      </c>
      <c r="G141" s="69" t="s">
        <v>92</v>
      </c>
      <c r="H141" s="69" t="s">
        <v>104</v>
      </c>
      <c r="I141" s="70" t="s">
        <v>142</v>
      </c>
      <c r="J141" s="70" t="s">
        <v>70</v>
      </c>
      <c r="K141" s="69" t="s">
        <v>361</v>
      </c>
      <c r="L141" s="69" t="s">
        <v>142</v>
      </c>
      <c r="M141" s="67" t="s">
        <v>70</v>
      </c>
      <c r="N141" s="67" t="s">
        <v>2376</v>
      </c>
      <c r="O141" s="69"/>
      <c r="P141" s="71"/>
      <c r="Q141" s="72"/>
      <c r="R141" s="73"/>
      <c r="S141" s="73"/>
    </row>
    <row r="142" spans="1:19" ht="20.100000000000001" customHeight="1" x14ac:dyDescent="0.2">
      <c r="A142" s="15">
        <v>139</v>
      </c>
      <c r="B142" s="15" t="s">
        <v>2904</v>
      </c>
      <c r="C142" s="16" t="s">
        <v>2905</v>
      </c>
      <c r="D142" s="6" t="s">
        <v>20</v>
      </c>
      <c r="E142" s="6" t="s">
        <v>185</v>
      </c>
      <c r="F142" s="15" t="s">
        <v>83</v>
      </c>
      <c r="G142" s="6" t="s">
        <v>92</v>
      </c>
      <c r="H142" s="6" t="s">
        <v>334</v>
      </c>
      <c r="I142" s="6" t="s">
        <v>119</v>
      </c>
      <c r="J142" s="6" t="s">
        <v>107</v>
      </c>
      <c r="K142" s="6" t="s">
        <v>1704</v>
      </c>
      <c r="L142" s="6" t="s">
        <v>119</v>
      </c>
      <c r="M142" s="6" t="s">
        <v>107</v>
      </c>
      <c r="N142" s="6" t="s">
        <v>2906</v>
      </c>
      <c r="O142" s="6"/>
      <c r="P142" s="15"/>
      <c r="Q142" s="6"/>
      <c r="R142" s="15"/>
      <c r="S142" s="15"/>
    </row>
    <row r="143" spans="1:19" ht="20.100000000000001" customHeight="1" x14ac:dyDescent="0.2">
      <c r="A143" s="67">
        <v>140</v>
      </c>
      <c r="B143" s="67" t="s">
        <v>2907</v>
      </c>
      <c r="C143" s="68" t="s">
        <v>2905</v>
      </c>
      <c r="D143" s="69" t="s">
        <v>20</v>
      </c>
      <c r="E143" s="69"/>
      <c r="F143" s="69" t="s">
        <v>7</v>
      </c>
      <c r="G143" s="69" t="s">
        <v>92</v>
      </c>
      <c r="H143" s="69" t="s">
        <v>334</v>
      </c>
      <c r="I143" s="70" t="s">
        <v>369</v>
      </c>
      <c r="J143" s="70" t="s">
        <v>369</v>
      </c>
      <c r="K143" s="69" t="s">
        <v>714</v>
      </c>
      <c r="L143" s="69" t="s">
        <v>119</v>
      </c>
      <c r="M143" s="67" t="s">
        <v>107</v>
      </c>
      <c r="N143" s="67">
        <v>0</v>
      </c>
      <c r="O143" s="69"/>
      <c r="P143" s="71"/>
      <c r="Q143" s="72"/>
      <c r="R143" s="73"/>
      <c r="S143" s="73"/>
    </row>
    <row r="144" spans="1:19" ht="20.100000000000001" customHeight="1" x14ac:dyDescent="0.2">
      <c r="A144" s="15">
        <v>141</v>
      </c>
      <c r="B144" s="15" t="s">
        <v>2908</v>
      </c>
      <c r="C144" s="16" t="s">
        <v>1056</v>
      </c>
      <c r="D144" s="6" t="s">
        <v>20</v>
      </c>
      <c r="E144" s="6" t="s">
        <v>185</v>
      </c>
      <c r="F144" s="15" t="s">
        <v>83</v>
      </c>
      <c r="G144" s="6" t="s">
        <v>92</v>
      </c>
      <c r="H144" s="6" t="s">
        <v>117</v>
      </c>
      <c r="I144" s="6" t="s">
        <v>444</v>
      </c>
      <c r="J144" s="6" t="s">
        <v>107</v>
      </c>
      <c r="K144" s="6" t="s">
        <v>120</v>
      </c>
      <c r="L144" s="6" t="s">
        <v>444</v>
      </c>
      <c r="M144" s="6" t="s">
        <v>107</v>
      </c>
      <c r="N144" s="6" t="s">
        <v>2909</v>
      </c>
      <c r="O144" s="6"/>
      <c r="P144" s="15"/>
      <c r="Q144" s="6"/>
      <c r="R144" s="15"/>
      <c r="S144" s="15"/>
    </row>
    <row r="145" spans="1:19" ht="20.100000000000001" customHeight="1" x14ac:dyDescent="0.2">
      <c r="A145" s="67">
        <v>142</v>
      </c>
      <c r="B145" s="67" t="s">
        <v>2908</v>
      </c>
      <c r="C145" s="68" t="s">
        <v>1056</v>
      </c>
      <c r="D145" s="69" t="s">
        <v>20</v>
      </c>
      <c r="E145" s="69"/>
      <c r="F145" s="69" t="s">
        <v>7</v>
      </c>
      <c r="G145" s="69" t="s">
        <v>92</v>
      </c>
      <c r="H145" s="69" t="s">
        <v>117</v>
      </c>
      <c r="I145" s="70" t="s">
        <v>69</v>
      </c>
      <c r="J145" s="70" t="s">
        <v>70</v>
      </c>
      <c r="K145" s="69" t="s">
        <v>120</v>
      </c>
      <c r="L145" s="69" t="s">
        <v>142</v>
      </c>
      <c r="M145" s="67" t="s">
        <v>70</v>
      </c>
      <c r="N145" s="67">
        <v>0</v>
      </c>
      <c r="O145" s="69"/>
      <c r="P145" s="71"/>
      <c r="Q145" s="72"/>
      <c r="R145" s="73"/>
      <c r="S145" s="73"/>
    </row>
    <row r="146" spans="1:19" ht="20.100000000000001" customHeight="1" x14ac:dyDescent="0.2">
      <c r="A146" s="15">
        <v>143</v>
      </c>
      <c r="B146" s="15" t="s">
        <v>2910</v>
      </c>
      <c r="C146" s="16" t="s">
        <v>2903</v>
      </c>
      <c r="D146" s="6" t="s">
        <v>9</v>
      </c>
      <c r="E146" s="6"/>
      <c r="F146" s="15" t="s">
        <v>7</v>
      </c>
      <c r="G146" s="6" t="s">
        <v>92</v>
      </c>
      <c r="H146" s="6" t="s">
        <v>104</v>
      </c>
      <c r="I146" s="6" t="s">
        <v>142</v>
      </c>
      <c r="J146" s="6" t="s">
        <v>70</v>
      </c>
      <c r="K146" s="6" t="s">
        <v>305</v>
      </c>
      <c r="L146" s="6" t="s">
        <v>262</v>
      </c>
      <c r="M146" s="6" t="s">
        <v>70</v>
      </c>
      <c r="N146" s="6" t="s">
        <v>429</v>
      </c>
      <c r="O146" s="6"/>
      <c r="P146" s="15"/>
      <c r="Q146" s="6"/>
      <c r="R146" s="15"/>
      <c r="S146" s="15"/>
    </row>
    <row r="147" spans="1:19" ht="20.100000000000001" customHeight="1" x14ac:dyDescent="0.2">
      <c r="A147" s="67">
        <v>144</v>
      </c>
      <c r="B147" s="67" t="s">
        <v>2911</v>
      </c>
      <c r="C147" s="68" t="s">
        <v>678</v>
      </c>
      <c r="D147" s="69" t="s">
        <v>6</v>
      </c>
      <c r="E147" s="69" t="s">
        <v>2285</v>
      </c>
      <c r="F147" s="69" t="s">
        <v>222</v>
      </c>
      <c r="G147" s="69" t="s">
        <v>92</v>
      </c>
      <c r="H147" s="69" t="s">
        <v>155</v>
      </c>
      <c r="I147" s="70" t="s">
        <v>119</v>
      </c>
      <c r="J147" s="70" t="s">
        <v>107</v>
      </c>
      <c r="K147" s="69" t="s">
        <v>156</v>
      </c>
      <c r="L147" s="69" t="s">
        <v>262</v>
      </c>
      <c r="M147" s="67" t="s">
        <v>70</v>
      </c>
      <c r="N147" s="67" t="s">
        <v>2912</v>
      </c>
      <c r="O147" s="69"/>
      <c r="P147" s="71"/>
      <c r="Q147" s="72"/>
      <c r="R147" s="73"/>
      <c r="S147" s="73"/>
    </row>
    <row r="148" spans="1:19" ht="20.100000000000001" customHeight="1" x14ac:dyDescent="0.2">
      <c r="A148" s="15">
        <v>145</v>
      </c>
      <c r="B148" s="15" t="s">
        <v>2913</v>
      </c>
      <c r="C148" s="16" t="s">
        <v>1984</v>
      </c>
      <c r="D148" s="6" t="s">
        <v>6</v>
      </c>
      <c r="E148" s="6" t="s">
        <v>185</v>
      </c>
      <c r="F148" s="15" t="s">
        <v>83</v>
      </c>
      <c r="G148" s="6" t="s">
        <v>92</v>
      </c>
      <c r="H148" s="6" t="s">
        <v>155</v>
      </c>
      <c r="I148" s="6" t="s">
        <v>69</v>
      </c>
      <c r="J148" s="6" t="s">
        <v>70</v>
      </c>
      <c r="K148" s="6" t="s">
        <v>167</v>
      </c>
      <c r="L148" s="6" t="s">
        <v>444</v>
      </c>
      <c r="M148" s="6" t="s">
        <v>107</v>
      </c>
      <c r="N148" s="6" t="s">
        <v>2914</v>
      </c>
      <c r="O148" s="6"/>
      <c r="P148" s="15"/>
      <c r="Q148" s="6"/>
      <c r="R148" s="15"/>
      <c r="S148" s="15"/>
    </row>
    <row r="149" spans="1:19" ht="20.100000000000001" customHeight="1" x14ac:dyDescent="0.2">
      <c r="A149" s="67">
        <v>146</v>
      </c>
      <c r="B149" s="67" t="s">
        <v>1987</v>
      </c>
      <c r="C149" s="68" t="s">
        <v>1984</v>
      </c>
      <c r="D149" s="69" t="s">
        <v>6</v>
      </c>
      <c r="E149" s="69"/>
      <c r="F149" s="69" t="s">
        <v>7</v>
      </c>
      <c r="G149" s="69" t="s">
        <v>92</v>
      </c>
      <c r="H149" s="69" t="s">
        <v>155</v>
      </c>
      <c r="I149" s="70" t="s">
        <v>69</v>
      </c>
      <c r="J149" s="70" t="s">
        <v>70</v>
      </c>
      <c r="K149" s="69" t="s">
        <v>167</v>
      </c>
      <c r="L149" s="69" t="s">
        <v>119</v>
      </c>
      <c r="M149" s="67" t="s">
        <v>107</v>
      </c>
      <c r="N149" s="67">
        <v>0</v>
      </c>
      <c r="O149" s="69"/>
      <c r="P149" s="71"/>
      <c r="Q149" s="72"/>
      <c r="R149" s="73"/>
      <c r="S149" s="73"/>
    </row>
    <row r="150" spans="1:19" ht="20.100000000000001" customHeight="1" x14ac:dyDescent="0.2">
      <c r="A150" s="15">
        <v>147</v>
      </c>
      <c r="B150" s="15" t="s">
        <v>1282</v>
      </c>
      <c r="C150" s="16" t="s">
        <v>285</v>
      </c>
      <c r="D150" s="6" t="s">
        <v>9</v>
      </c>
      <c r="E150" s="6"/>
      <c r="F150" s="15" t="s">
        <v>7</v>
      </c>
      <c r="G150" s="6" t="s">
        <v>92</v>
      </c>
      <c r="H150" s="6" t="s">
        <v>218</v>
      </c>
      <c r="I150" s="6" t="s">
        <v>142</v>
      </c>
      <c r="J150" s="6" t="s">
        <v>70</v>
      </c>
      <c r="K150" s="6" t="s">
        <v>453</v>
      </c>
      <c r="L150" s="6" t="s">
        <v>262</v>
      </c>
      <c r="M150" s="6" t="s">
        <v>70</v>
      </c>
      <c r="N150" s="6">
        <v>0</v>
      </c>
      <c r="O150" s="6"/>
      <c r="P150" s="15"/>
      <c r="Q150" s="6"/>
      <c r="R150" s="15"/>
      <c r="S150" s="15"/>
    </row>
    <row r="151" spans="1:19" ht="20.100000000000001" customHeight="1" x14ac:dyDescent="0.2">
      <c r="A151" s="67">
        <v>148</v>
      </c>
      <c r="B151" s="67" t="s">
        <v>2089</v>
      </c>
      <c r="C151" s="68" t="s">
        <v>2915</v>
      </c>
      <c r="D151" s="69" t="s">
        <v>20</v>
      </c>
      <c r="E151" s="69" t="s">
        <v>185</v>
      </c>
      <c r="F151" s="69" t="s">
        <v>83</v>
      </c>
      <c r="G151" s="69" t="s">
        <v>92</v>
      </c>
      <c r="H151" s="69" t="s">
        <v>117</v>
      </c>
      <c r="I151" s="70" t="s">
        <v>119</v>
      </c>
      <c r="J151" s="70" t="s">
        <v>107</v>
      </c>
      <c r="K151" s="69" t="s">
        <v>470</v>
      </c>
      <c r="L151" s="69" t="s">
        <v>69</v>
      </c>
      <c r="M151" s="67" t="s">
        <v>70</v>
      </c>
      <c r="N151" s="67" t="s">
        <v>2916</v>
      </c>
      <c r="O151" s="69"/>
      <c r="P151" s="71"/>
      <c r="Q151" s="72"/>
      <c r="R151" s="73"/>
      <c r="S151" s="73"/>
    </row>
    <row r="152" spans="1:19" ht="20.100000000000001" customHeight="1" x14ac:dyDescent="0.2">
      <c r="A152" s="15">
        <v>149</v>
      </c>
      <c r="B152" s="15" t="s">
        <v>2089</v>
      </c>
      <c r="C152" s="16" t="s">
        <v>2915</v>
      </c>
      <c r="D152" s="6" t="s">
        <v>20</v>
      </c>
      <c r="E152" s="6"/>
      <c r="F152" s="15" t="s">
        <v>7</v>
      </c>
      <c r="G152" s="6" t="s">
        <v>92</v>
      </c>
      <c r="H152" s="6" t="s">
        <v>117</v>
      </c>
      <c r="I152" s="6" t="s">
        <v>69</v>
      </c>
      <c r="J152" s="6" t="s">
        <v>70</v>
      </c>
      <c r="K152" s="6" t="s">
        <v>470</v>
      </c>
      <c r="L152" s="6" t="s">
        <v>119</v>
      </c>
      <c r="M152" s="6" t="s">
        <v>107</v>
      </c>
      <c r="N152" s="6">
        <v>0</v>
      </c>
      <c r="O152" s="6"/>
      <c r="P152" s="15"/>
      <c r="Q152" s="6"/>
      <c r="R152" s="15"/>
      <c r="S152" s="15"/>
    </row>
    <row r="153" spans="1:19" ht="20.100000000000001" customHeight="1" x14ac:dyDescent="0.2">
      <c r="A153" s="67">
        <v>150</v>
      </c>
      <c r="B153" s="67" t="s">
        <v>2917</v>
      </c>
      <c r="C153" s="68" t="s">
        <v>2918</v>
      </c>
      <c r="D153" s="69" t="s">
        <v>10</v>
      </c>
      <c r="E153" s="69" t="s">
        <v>185</v>
      </c>
      <c r="F153" s="69" t="s">
        <v>83</v>
      </c>
      <c r="G153" s="69" t="s">
        <v>92</v>
      </c>
      <c r="H153" s="69" t="s">
        <v>155</v>
      </c>
      <c r="I153" s="70" t="s">
        <v>142</v>
      </c>
      <c r="J153" s="70" t="s">
        <v>70</v>
      </c>
      <c r="K153" s="69" t="s">
        <v>156</v>
      </c>
      <c r="L153" s="69" t="s">
        <v>142</v>
      </c>
      <c r="M153" s="67" t="s">
        <v>70</v>
      </c>
      <c r="N153" s="67" t="s">
        <v>2919</v>
      </c>
      <c r="O153" s="69"/>
      <c r="P153" s="71"/>
      <c r="Q153" s="72"/>
      <c r="R153" s="73"/>
      <c r="S153" s="73"/>
    </row>
    <row r="154" spans="1:19" ht="20.100000000000001" customHeight="1" x14ac:dyDescent="0.2">
      <c r="A154" s="15">
        <v>151</v>
      </c>
      <c r="B154" s="15" t="s">
        <v>2920</v>
      </c>
      <c r="C154" s="16" t="s">
        <v>2918</v>
      </c>
      <c r="D154" s="6" t="s">
        <v>10</v>
      </c>
      <c r="E154" s="6"/>
      <c r="F154" s="15" t="s">
        <v>7</v>
      </c>
      <c r="G154" s="6" t="s">
        <v>92</v>
      </c>
      <c r="H154" s="6" t="s">
        <v>155</v>
      </c>
      <c r="I154" s="6" t="s">
        <v>119</v>
      </c>
      <c r="J154" s="6" t="s">
        <v>107</v>
      </c>
      <c r="K154" s="6" t="s">
        <v>156</v>
      </c>
      <c r="L154" s="6" t="s">
        <v>119</v>
      </c>
      <c r="M154" s="6" t="s">
        <v>107</v>
      </c>
      <c r="N154" s="6">
        <v>0</v>
      </c>
      <c r="O154" s="6"/>
      <c r="P154" s="15"/>
      <c r="Q154" s="6"/>
      <c r="R154" s="15"/>
      <c r="S154" s="15"/>
    </row>
    <row r="155" spans="1:19" ht="20.100000000000001" customHeight="1" x14ac:dyDescent="0.2">
      <c r="A155" s="67">
        <v>152</v>
      </c>
      <c r="B155" s="67" t="s">
        <v>2921</v>
      </c>
      <c r="C155" s="68" t="s">
        <v>4944</v>
      </c>
      <c r="D155" s="69" t="s">
        <v>2767</v>
      </c>
      <c r="E155" s="69"/>
      <c r="F155" s="69" t="s">
        <v>83</v>
      </c>
      <c r="G155" s="69" t="s">
        <v>92</v>
      </c>
      <c r="H155" s="69" t="s">
        <v>155</v>
      </c>
      <c r="I155" s="70"/>
      <c r="J155" s="70"/>
      <c r="K155" s="69" t="s">
        <v>170</v>
      </c>
      <c r="L155" s="69"/>
      <c r="M155" s="67"/>
      <c r="N155" s="67"/>
      <c r="O155" s="69"/>
      <c r="P155" s="71"/>
      <c r="Q155" s="72"/>
      <c r="R155" s="73"/>
      <c r="S155" s="73"/>
    </row>
    <row r="156" spans="1:19" ht="20.100000000000001" customHeight="1" x14ac:dyDescent="0.2">
      <c r="A156" s="15">
        <v>153</v>
      </c>
      <c r="B156" s="15" t="s">
        <v>981</v>
      </c>
      <c r="C156" s="16" t="s">
        <v>4944</v>
      </c>
      <c r="D156" s="6" t="s">
        <v>2767</v>
      </c>
      <c r="E156" s="6"/>
      <c r="F156" s="15" t="s">
        <v>7</v>
      </c>
      <c r="G156" s="6" t="s">
        <v>92</v>
      </c>
      <c r="H156" s="6" t="s">
        <v>155</v>
      </c>
      <c r="I156" s="6" t="s">
        <v>69</v>
      </c>
      <c r="J156" s="6" t="s">
        <v>70</v>
      </c>
      <c r="K156" s="6" t="s">
        <v>170</v>
      </c>
      <c r="L156" s="6" t="s">
        <v>142</v>
      </c>
      <c r="M156" s="6" t="s">
        <v>70</v>
      </c>
      <c r="N156" s="6">
        <v>0</v>
      </c>
      <c r="O156" s="6"/>
      <c r="P156" s="15"/>
      <c r="Q156" s="6"/>
      <c r="R156" s="15"/>
      <c r="S156" s="15"/>
    </row>
    <row r="157" spans="1:19" ht="20.100000000000001" customHeight="1" x14ac:dyDescent="0.2">
      <c r="A157" s="67">
        <v>154</v>
      </c>
      <c r="B157" s="67" t="s">
        <v>2922</v>
      </c>
      <c r="C157" s="68" t="s">
        <v>2923</v>
      </c>
      <c r="D157" s="69" t="s">
        <v>6</v>
      </c>
      <c r="E157" s="69" t="s">
        <v>185</v>
      </c>
      <c r="F157" s="69" t="s">
        <v>83</v>
      </c>
      <c r="G157" s="69" t="s">
        <v>92</v>
      </c>
      <c r="H157" s="69" t="s">
        <v>68</v>
      </c>
      <c r="I157" s="70" t="s">
        <v>119</v>
      </c>
      <c r="J157" s="70" t="s">
        <v>107</v>
      </c>
      <c r="K157" s="69" t="s">
        <v>332</v>
      </c>
      <c r="L157" s="69" t="s">
        <v>369</v>
      </c>
      <c r="M157" s="67" t="s">
        <v>369</v>
      </c>
      <c r="N157" s="67" t="s">
        <v>2924</v>
      </c>
      <c r="O157" s="69"/>
      <c r="P157" s="71"/>
      <c r="Q157" s="72"/>
      <c r="R157" s="73"/>
      <c r="S157" s="73"/>
    </row>
    <row r="158" spans="1:19" ht="20.100000000000001" customHeight="1" x14ac:dyDescent="0.2">
      <c r="A158" s="15">
        <v>155</v>
      </c>
      <c r="B158" s="15" t="s">
        <v>2922</v>
      </c>
      <c r="C158" s="16" t="s">
        <v>2923</v>
      </c>
      <c r="D158" s="6" t="s">
        <v>6</v>
      </c>
      <c r="E158" s="6"/>
      <c r="F158" s="15" t="s">
        <v>7</v>
      </c>
      <c r="G158" s="6" t="s">
        <v>92</v>
      </c>
      <c r="H158" s="6" t="s">
        <v>68</v>
      </c>
      <c r="I158" s="6" t="s">
        <v>119</v>
      </c>
      <c r="J158" s="6" t="s">
        <v>107</v>
      </c>
      <c r="K158" s="6" t="s">
        <v>332</v>
      </c>
      <c r="L158" s="6" t="s">
        <v>119</v>
      </c>
      <c r="M158" s="6" t="s">
        <v>107</v>
      </c>
      <c r="N158" s="6">
        <v>0</v>
      </c>
      <c r="O158" s="6"/>
      <c r="P158" s="15"/>
      <c r="Q158" s="6"/>
      <c r="R158" s="15"/>
      <c r="S158" s="15"/>
    </row>
    <row r="159" spans="1:19" ht="20.100000000000001" customHeight="1" x14ac:dyDescent="0.2">
      <c r="A159" s="67">
        <v>156</v>
      </c>
      <c r="B159" s="67" t="s">
        <v>2925</v>
      </c>
      <c r="C159" s="68" t="s">
        <v>2926</v>
      </c>
      <c r="D159" s="69" t="s">
        <v>2767</v>
      </c>
      <c r="E159" s="69"/>
      <c r="F159" s="69" t="s">
        <v>7</v>
      </c>
      <c r="G159" s="69" t="s">
        <v>92</v>
      </c>
      <c r="H159" s="69" t="s">
        <v>141</v>
      </c>
      <c r="I159" s="70" t="s">
        <v>119</v>
      </c>
      <c r="J159" s="70" t="s">
        <v>107</v>
      </c>
      <c r="K159" s="69" t="s">
        <v>957</v>
      </c>
      <c r="L159" s="69" t="s">
        <v>2699</v>
      </c>
      <c r="M159" s="67" t="s">
        <v>107</v>
      </c>
      <c r="N159" s="67">
        <v>0</v>
      </c>
      <c r="O159" s="69"/>
      <c r="P159" s="71"/>
      <c r="Q159" s="72"/>
      <c r="R159" s="73"/>
      <c r="S159" s="73"/>
    </row>
    <row r="160" spans="1:19" ht="20.100000000000001" customHeight="1" x14ac:dyDescent="0.2">
      <c r="A160" s="15">
        <v>157</v>
      </c>
      <c r="B160" s="15" t="s">
        <v>2927</v>
      </c>
      <c r="C160" s="16" t="s">
        <v>181</v>
      </c>
      <c r="D160" s="6" t="s">
        <v>2767</v>
      </c>
      <c r="E160" s="6"/>
      <c r="F160" s="15" t="s">
        <v>222</v>
      </c>
      <c r="G160" s="6" t="s">
        <v>92</v>
      </c>
      <c r="H160" s="6"/>
      <c r="I160" s="6"/>
      <c r="J160" s="6"/>
      <c r="K160" s="6"/>
      <c r="L160" s="6"/>
      <c r="M160" s="6"/>
      <c r="N160" s="6"/>
      <c r="O160" s="6"/>
      <c r="P160" s="15"/>
      <c r="Q160" s="6"/>
      <c r="R160" s="15"/>
      <c r="S160" s="15"/>
    </row>
    <row r="161" spans="1:19" ht="20.100000000000001" customHeight="1" x14ac:dyDescent="0.2">
      <c r="A161" s="67">
        <v>158</v>
      </c>
      <c r="B161" s="67" t="s">
        <v>2928</v>
      </c>
      <c r="C161" s="68" t="s">
        <v>2929</v>
      </c>
      <c r="D161" s="69" t="s">
        <v>2767</v>
      </c>
      <c r="E161" s="69"/>
      <c r="F161" s="69" t="s">
        <v>222</v>
      </c>
      <c r="G161" s="69" t="s">
        <v>92</v>
      </c>
      <c r="H161" s="69"/>
      <c r="I161" s="70"/>
      <c r="J161" s="70"/>
      <c r="K161" s="69"/>
      <c r="L161" s="69"/>
      <c r="M161" s="67"/>
      <c r="N161" s="67"/>
      <c r="O161" s="69"/>
      <c r="P161" s="71"/>
      <c r="Q161" s="72"/>
      <c r="R161" s="73"/>
      <c r="S161" s="73"/>
    </row>
    <row r="162" spans="1:19" ht="20.100000000000001" customHeight="1" x14ac:dyDescent="0.2">
      <c r="A162" s="15">
        <v>159</v>
      </c>
      <c r="B162" s="15" t="s">
        <v>2928</v>
      </c>
      <c r="C162" s="16" t="s">
        <v>2930</v>
      </c>
      <c r="D162" s="6" t="s">
        <v>2767</v>
      </c>
      <c r="E162" s="6"/>
      <c r="F162" s="15" t="s">
        <v>222</v>
      </c>
      <c r="G162" s="6" t="s">
        <v>92</v>
      </c>
      <c r="H162" s="6"/>
      <c r="I162" s="6"/>
      <c r="J162" s="6"/>
      <c r="K162" s="6"/>
      <c r="L162" s="6"/>
      <c r="M162" s="6"/>
      <c r="N162" s="6"/>
      <c r="O162" s="6"/>
      <c r="P162" s="15"/>
      <c r="Q162" s="6"/>
      <c r="R162" s="15"/>
      <c r="S162" s="15"/>
    </row>
    <row r="163" spans="1:19" ht="20.100000000000001" customHeight="1" x14ac:dyDescent="0.2">
      <c r="A163" s="67">
        <v>160</v>
      </c>
      <c r="B163" s="67" t="s">
        <v>2931</v>
      </c>
      <c r="C163" s="68" t="s">
        <v>2217</v>
      </c>
      <c r="D163" s="69" t="s">
        <v>6</v>
      </c>
      <c r="E163" s="69" t="s">
        <v>185</v>
      </c>
      <c r="F163" s="69" t="s">
        <v>83</v>
      </c>
      <c r="G163" s="69" t="s">
        <v>92</v>
      </c>
      <c r="H163" s="69" t="s">
        <v>68</v>
      </c>
      <c r="I163" s="70" t="s">
        <v>142</v>
      </c>
      <c r="J163" s="70" t="s">
        <v>70</v>
      </c>
      <c r="K163" s="69" t="s">
        <v>263</v>
      </c>
      <c r="L163" s="69" t="s">
        <v>142</v>
      </c>
      <c r="M163" s="67" t="s">
        <v>70</v>
      </c>
      <c r="N163" s="67" t="s">
        <v>2932</v>
      </c>
      <c r="O163" s="69"/>
      <c r="P163" s="71"/>
      <c r="Q163" s="72"/>
      <c r="R163" s="73"/>
      <c r="S163" s="73" t="s">
        <v>2933</v>
      </c>
    </row>
    <row r="164" spans="1:19" ht="20.100000000000001" customHeight="1" x14ac:dyDescent="0.2">
      <c r="A164" s="15">
        <v>161</v>
      </c>
      <c r="B164" s="15" t="s">
        <v>2218</v>
      </c>
      <c r="C164" s="16" t="s">
        <v>2217</v>
      </c>
      <c r="D164" s="6" t="s">
        <v>6</v>
      </c>
      <c r="E164" s="6"/>
      <c r="F164" s="15" t="s">
        <v>7</v>
      </c>
      <c r="G164" s="6" t="s">
        <v>92</v>
      </c>
      <c r="H164" s="6" t="s">
        <v>68</v>
      </c>
      <c r="I164" s="6" t="s">
        <v>119</v>
      </c>
      <c r="J164" s="6" t="s">
        <v>107</v>
      </c>
      <c r="K164" s="6" t="s">
        <v>263</v>
      </c>
      <c r="L164" s="6" t="s">
        <v>119</v>
      </c>
      <c r="M164" s="6" t="s">
        <v>107</v>
      </c>
      <c r="N164" s="6">
        <v>0</v>
      </c>
      <c r="O164" s="6"/>
      <c r="P164" s="15"/>
      <c r="Q164" s="6"/>
      <c r="R164" s="15"/>
      <c r="S164" s="15" t="s">
        <v>2934</v>
      </c>
    </row>
    <row r="165" spans="1:19" ht="20.100000000000001" customHeight="1" x14ac:dyDescent="0.2">
      <c r="A165" s="67">
        <v>162</v>
      </c>
      <c r="B165" s="67" t="s">
        <v>565</v>
      </c>
      <c r="C165" s="68" t="s">
        <v>562</v>
      </c>
      <c r="D165" s="69" t="s">
        <v>8</v>
      </c>
      <c r="E165" s="69" t="s">
        <v>185</v>
      </c>
      <c r="F165" s="69" t="s">
        <v>83</v>
      </c>
      <c r="G165" s="69" t="s">
        <v>92</v>
      </c>
      <c r="H165" s="69" t="s">
        <v>117</v>
      </c>
      <c r="I165" s="70" t="s">
        <v>444</v>
      </c>
      <c r="J165" s="70" t="s">
        <v>107</v>
      </c>
      <c r="K165" s="69" t="s">
        <v>470</v>
      </c>
      <c r="L165" s="69" t="s">
        <v>444</v>
      </c>
      <c r="M165" s="67" t="s">
        <v>107</v>
      </c>
      <c r="N165" s="67" t="s">
        <v>2935</v>
      </c>
      <c r="O165" s="69"/>
      <c r="P165" s="71"/>
      <c r="Q165" s="72"/>
      <c r="R165" s="73"/>
      <c r="S165" s="73" t="s">
        <v>2936</v>
      </c>
    </row>
    <row r="166" spans="1:19" ht="20.100000000000001" customHeight="1" x14ac:dyDescent="0.2">
      <c r="A166" s="15">
        <v>163</v>
      </c>
      <c r="B166" s="15" t="s">
        <v>2937</v>
      </c>
      <c r="C166" s="16" t="s">
        <v>562</v>
      </c>
      <c r="D166" s="6" t="s">
        <v>8</v>
      </c>
      <c r="E166" s="6"/>
      <c r="F166" s="15" t="s">
        <v>7</v>
      </c>
      <c r="G166" s="6" t="s">
        <v>92</v>
      </c>
      <c r="H166" s="6" t="s">
        <v>117</v>
      </c>
      <c r="I166" s="6" t="s">
        <v>119</v>
      </c>
      <c r="J166" s="6" t="s">
        <v>107</v>
      </c>
      <c r="K166" s="6" t="s">
        <v>470</v>
      </c>
      <c r="L166" s="6" t="s">
        <v>119</v>
      </c>
      <c r="M166" s="6" t="s">
        <v>107</v>
      </c>
      <c r="N166" s="6">
        <v>0</v>
      </c>
      <c r="O166" s="6"/>
      <c r="P166" s="15"/>
      <c r="Q166" s="6"/>
      <c r="R166" s="15"/>
      <c r="S166" s="15"/>
    </row>
    <row r="167" spans="1:19" ht="20.100000000000001" customHeight="1" x14ac:dyDescent="0.2">
      <c r="A167" s="67">
        <v>164</v>
      </c>
      <c r="B167" s="67" t="s">
        <v>564</v>
      </c>
      <c r="C167" s="68" t="s">
        <v>2938</v>
      </c>
      <c r="D167" s="69" t="s">
        <v>19</v>
      </c>
      <c r="E167" s="69" t="s">
        <v>922</v>
      </c>
      <c r="F167" s="69" t="s">
        <v>83</v>
      </c>
      <c r="G167" s="69" t="s">
        <v>92</v>
      </c>
      <c r="H167" s="69" t="s">
        <v>117</v>
      </c>
      <c r="I167" s="70" t="s">
        <v>262</v>
      </c>
      <c r="J167" s="70" t="s">
        <v>70</v>
      </c>
      <c r="K167" s="69" t="s">
        <v>470</v>
      </c>
      <c r="L167" s="69" t="s">
        <v>262</v>
      </c>
      <c r="M167" s="67" t="s">
        <v>70</v>
      </c>
      <c r="N167" s="67" t="s">
        <v>2939</v>
      </c>
      <c r="O167" s="69"/>
      <c r="P167" s="71"/>
      <c r="Q167" s="72"/>
      <c r="R167" s="73"/>
      <c r="S167" s="73" t="s">
        <v>2940</v>
      </c>
    </row>
    <row r="168" spans="1:19" ht="20.100000000000001" customHeight="1" x14ac:dyDescent="0.2">
      <c r="A168" s="15">
        <v>165</v>
      </c>
      <c r="B168" s="15" t="s">
        <v>564</v>
      </c>
      <c r="C168" s="16" t="s">
        <v>2938</v>
      </c>
      <c r="D168" s="6" t="s">
        <v>19</v>
      </c>
      <c r="E168" s="6"/>
      <c r="F168" s="15" t="s">
        <v>7</v>
      </c>
      <c r="G168" s="6" t="s">
        <v>92</v>
      </c>
      <c r="H168" s="6" t="s">
        <v>117</v>
      </c>
      <c r="I168" s="6" t="s">
        <v>119</v>
      </c>
      <c r="J168" s="6" t="s">
        <v>107</v>
      </c>
      <c r="K168" s="6" t="s">
        <v>256</v>
      </c>
      <c r="L168" s="6" t="s">
        <v>119</v>
      </c>
      <c r="M168" s="6" t="s">
        <v>107</v>
      </c>
      <c r="N168" s="6">
        <v>0</v>
      </c>
      <c r="O168" s="6"/>
      <c r="P168" s="15"/>
      <c r="Q168" s="6"/>
      <c r="R168" s="15"/>
      <c r="S168" s="15"/>
    </row>
    <row r="169" spans="1:19" ht="20.100000000000001" customHeight="1" x14ac:dyDescent="0.2">
      <c r="A169" s="67">
        <v>166</v>
      </c>
      <c r="B169" s="67" t="s">
        <v>2941</v>
      </c>
      <c r="C169" s="68" t="s">
        <v>651</v>
      </c>
      <c r="D169" s="69" t="s">
        <v>6</v>
      </c>
      <c r="E169" s="69" t="s">
        <v>2285</v>
      </c>
      <c r="F169" s="69" t="s">
        <v>83</v>
      </c>
      <c r="G169" s="69" t="s">
        <v>92</v>
      </c>
      <c r="H169" s="69" t="s">
        <v>155</v>
      </c>
      <c r="I169" s="70" t="s">
        <v>69</v>
      </c>
      <c r="J169" s="70" t="s">
        <v>70</v>
      </c>
      <c r="K169" s="69" t="s">
        <v>156</v>
      </c>
      <c r="L169" s="69" t="s">
        <v>262</v>
      </c>
      <c r="M169" s="67" t="s">
        <v>70</v>
      </c>
      <c r="N169" s="67" t="s">
        <v>2942</v>
      </c>
      <c r="O169" s="69"/>
      <c r="P169" s="71"/>
      <c r="Q169" s="72"/>
      <c r="R169" s="73"/>
      <c r="S169" s="73"/>
    </row>
    <row r="170" spans="1:19" ht="20.100000000000001" customHeight="1" x14ac:dyDescent="0.2">
      <c r="A170" s="15">
        <v>167</v>
      </c>
      <c r="B170" s="15" t="s">
        <v>2943</v>
      </c>
      <c r="C170" s="16" t="s">
        <v>785</v>
      </c>
      <c r="D170" s="6" t="s">
        <v>6</v>
      </c>
      <c r="E170" s="6" t="s">
        <v>922</v>
      </c>
      <c r="F170" s="15" t="s">
        <v>83</v>
      </c>
      <c r="G170" s="6" t="s">
        <v>92</v>
      </c>
      <c r="H170" s="6" t="s">
        <v>155</v>
      </c>
      <c r="I170" s="6" t="s">
        <v>262</v>
      </c>
      <c r="J170" s="6" t="s">
        <v>70</v>
      </c>
      <c r="K170" s="6" t="s">
        <v>156</v>
      </c>
      <c r="L170" s="6" t="s">
        <v>119</v>
      </c>
      <c r="M170" s="6" t="s">
        <v>107</v>
      </c>
      <c r="N170" s="6" t="s">
        <v>2944</v>
      </c>
      <c r="O170" s="6"/>
      <c r="P170" s="15"/>
      <c r="Q170" s="6"/>
      <c r="R170" s="15"/>
      <c r="S170" s="15"/>
    </row>
    <row r="171" spans="1:19" ht="20.100000000000001" customHeight="1" x14ac:dyDescent="0.2">
      <c r="A171" s="67">
        <v>168</v>
      </c>
      <c r="B171" s="67" t="s">
        <v>2945</v>
      </c>
      <c r="C171" s="68" t="s">
        <v>1508</v>
      </c>
      <c r="D171" s="69" t="s">
        <v>10</v>
      </c>
      <c r="E171" s="69" t="s">
        <v>185</v>
      </c>
      <c r="F171" s="69" t="s">
        <v>83</v>
      </c>
      <c r="G171" s="69" t="s">
        <v>92</v>
      </c>
      <c r="H171" s="69" t="s">
        <v>104</v>
      </c>
      <c r="I171" s="70" t="s">
        <v>2699</v>
      </c>
      <c r="J171" s="70" t="s">
        <v>107</v>
      </c>
      <c r="K171" s="69" t="s">
        <v>361</v>
      </c>
      <c r="L171" s="69" t="s">
        <v>142</v>
      </c>
      <c r="M171" s="67" t="s">
        <v>70</v>
      </c>
      <c r="N171" s="67" t="s">
        <v>2704</v>
      </c>
      <c r="O171" s="69"/>
      <c r="P171" s="71"/>
      <c r="Q171" s="72"/>
      <c r="R171" s="73"/>
      <c r="S171" s="73"/>
    </row>
    <row r="172" spans="1:19" ht="20.100000000000001" customHeight="1" x14ac:dyDescent="0.2">
      <c r="A172" s="15">
        <v>169</v>
      </c>
      <c r="B172" s="15" t="s">
        <v>2594</v>
      </c>
      <c r="C172" s="16" t="s">
        <v>1508</v>
      </c>
      <c r="D172" s="6" t="s">
        <v>10</v>
      </c>
      <c r="E172" s="6"/>
      <c r="F172" s="15" t="s">
        <v>7</v>
      </c>
      <c r="G172" s="6" t="s">
        <v>92</v>
      </c>
      <c r="H172" s="6" t="s">
        <v>117</v>
      </c>
      <c r="I172" s="6" t="s">
        <v>119</v>
      </c>
      <c r="J172" s="6" t="s">
        <v>107</v>
      </c>
      <c r="K172" s="6" t="s">
        <v>204</v>
      </c>
      <c r="L172" s="6" t="s">
        <v>119</v>
      </c>
      <c r="M172" s="6" t="s">
        <v>107</v>
      </c>
      <c r="N172" s="6">
        <v>0</v>
      </c>
      <c r="O172" s="6"/>
      <c r="P172" s="15"/>
      <c r="Q172" s="6"/>
      <c r="R172" s="15"/>
      <c r="S172" s="15"/>
    </row>
    <row r="173" spans="1:19" ht="20.100000000000001" customHeight="1" x14ac:dyDescent="0.2">
      <c r="A173" s="67">
        <v>170</v>
      </c>
      <c r="B173" s="67" t="s">
        <v>2946</v>
      </c>
      <c r="C173" s="68" t="s">
        <v>2797</v>
      </c>
      <c r="D173" s="69" t="s">
        <v>2767</v>
      </c>
      <c r="E173" s="69"/>
      <c r="F173" s="69" t="s">
        <v>83</v>
      </c>
      <c r="G173" s="69" t="s">
        <v>92</v>
      </c>
      <c r="H173" s="69"/>
      <c r="I173" s="70"/>
      <c r="J173" s="70"/>
      <c r="K173" s="69"/>
      <c r="L173" s="69"/>
      <c r="M173" s="67"/>
      <c r="N173" s="67"/>
      <c r="O173" s="69"/>
      <c r="P173" s="71"/>
      <c r="Q173" s="72"/>
      <c r="R173" s="73"/>
      <c r="S173" s="73"/>
    </row>
    <row r="174" spans="1:19" ht="20.100000000000001" customHeight="1" x14ac:dyDescent="0.2">
      <c r="A174" s="15">
        <v>171</v>
      </c>
      <c r="B174" s="15" t="s">
        <v>2947</v>
      </c>
      <c r="C174" s="16" t="s">
        <v>2797</v>
      </c>
      <c r="D174" s="6" t="s">
        <v>2767</v>
      </c>
      <c r="E174" s="6"/>
      <c r="F174" s="15" t="s">
        <v>7</v>
      </c>
      <c r="G174" s="6" t="s">
        <v>92</v>
      </c>
      <c r="H174" s="6"/>
      <c r="I174" s="6" t="s">
        <v>69</v>
      </c>
      <c r="J174" s="6" t="s">
        <v>70</v>
      </c>
      <c r="K174" s="6"/>
      <c r="L174" s="6" t="s">
        <v>69</v>
      </c>
      <c r="M174" s="6" t="s">
        <v>70</v>
      </c>
      <c r="N174" s="6"/>
      <c r="O174" s="6"/>
      <c r="P174" s="15"/>
      <c r="Q174" s="6"/>
      <c r="R174" s="15"/>
      <c r="S174" s="15"/>
    </row>
    <row r="175" spans="1:19" ht="20.100000000000001" customHeight="1" x14ac:dyDescent="0.2">
      <c r="A175" s="67">
        <v>172</v>
      </c>
      <c r="B175" s="67" t="s">
        <v>2948</v>
      </c>
      <c r="C175" s="68" t="s">
        <v>2949</v>
      </c>
      <c r="D175" s="69" t="s">
        <v>20</v>
      </c>
      <c r="E175" s="69" t="s">
        <v>192</v>
      </c>
      <c r="F175" s="69" t="s">
        <v>7</v>
      </c>
      <c r="G175" s="69" t="s">
        <v>92</v>
      </c>
      <c r="H175" s="69" t="s">
        <v>223</v>
      </c>
      <c r="I175" s="70" t="s">
        <v>119</v>
      </c>
      <c r="J175" s="70" t="s">
        <v>107</v>
      </c>
      <c r="K175" s="69" t="s">
        <v>230</v>
      </c>
      <c r="L175" s="69" t="s">
        <v>119</v>
      </c>
      <c r="M175" s="67" t="s">
        <v>107</v>
      </c>
      <c r="N175" s="67">
        <v>0</v>
      </c>
      <c r="O175" s="69"/>
      <c r="P175" s="71"/>
      <c r="Q175" s="72"/>
      <c r="R175" s="73"/>
      <c r="S175" s="73"/>
    </row>
    <row r="176" spans="1:19" ht="20.100000000000001" customHeight="1" x14ac:dyDescent="0.2">
      <c r="A176" s="15">
        <v>173</v>
      </c>
      <c r="B176" s="15" t="s">
        <v>2950</v>
      </c>
      <c r="C176" s="16" t="s">
        <v>2951</v>
      </c>
      <c r="D176" s="6" t="s">
        <v>8</v>
      </c>
      <c r="E176" s="6" t="s">
        <v>185</v>
      </c>
      <c r="F176" s="15" t="s">
        <v>83</v>
      </c>
      <c r="G176" s="6" t="s">
        <v>92</v>
      </c>
      <c r="H176" s="6" t="s">
        <v>104</v>
      </c>
      <c r="I176" s="6" t="s">
        <v>2699</v>
      </c>
      <c r="J176" s="6" t="s">
        <v>107</v>
      </c>
      <c r="K176" s="6" t="s">
        <v>108</v>
      </c>
      <c r="L176" s="6" t="s">
        <v>69</v>
      </c>
      <c r="M176" s="6" t="s">
        <v>70</v>
      </c>
      <c r="N176" s="6" t="s">
        <v>2952</v>
      </c>
      <c r="O176" s="6"/>
      <c r="P176" s="15"/>
      <c r="Q176" s="6"/>
      <c r="R176" s="15"/>
      <c r="S176" s="15"/>
    </row>
    <row r="177" spans="1:19" ht="20.100000000000001" customHeight="1" x14ac:dyDescent="0.2">
      <c r="A177" s="67">
        <v>174</v>
      </c>
      <c r="B177" s="67" t="s">
        <v>2950</v>
      </c>
      <c r="C177" s="68" t="s">
        <v>2951</v>
      </c>
      <c r="D177" s="69" t="s">
        <v>8</v>
      </c>
      <c r="E177" s="69"/>
      <c r="F177" s="69" t="s">
        <v>7</v>
      </c>
      <c r="G177" s="69" t="s">
        <v>92</v>
      </c>
      <c r="H177" s="69" t="s">
        <v>104</v>
      </c>
      <c r="I177" s="70" t="s">
        <v>142</v>
      </c>
      <c r="J177" s="70" t="s">
        <v>70</v>
      </c>
      <c r="K177" s="69" t="s">
        <v>108</v>
      </c>
      <c r="L177" s="69" t="s">
        <v>142</v>
      </c>
      <c r="M177" s="67" t="s">
        <v>70</v>
      </c>
      <c r="N177" s="67">
        <v>0</v>
      </c>
      <c r="O177" s="69"/>
      <c r="P177" s="71"/>
      <c r="Q177" s="72"/>
      <c r="R177" s="73"/>
      <c r="S177" s="73"/>
    </row>
    <row r="178" spans="1:19" ht="20.100000000000001" customHeight="1" x14ac:dyDescent="0.2">
      <c r="A178" s="15">
        <v>175</v>
      </c>
      <c r="B178" s="15" t="s">
        <v>2953</v>
      </c>
      <c r="C178" s="16" t="s">
        <v>2954</v>
      </c>
      <c r="D178" s="6" t="s">
        <v>20</v>
      </c>
      <c r="E178" s="6" t="s">
        <v>2955</v>
      </c>
      <c r="F178" s="15" t="s">
        <v>83</v>
      </c>
      <c r="G178" s="6" t="s">
        <v>92</v>
      </c>
      <c r="H178" s="6" t="s">
        <v>140</v>
      </c>
      <c r="I178" s="6" t="s">
        <v>142</v>
      </c>
      <c r="J178" s="6" t="s">
        <v>70</v>
      </c>
      <c r="K178" s="6" t="s">
        <v>204</v>
      </c>
      <c r="L178" s="6" t="s">
        <v>2699</v>
      </c>
      <c r="M178" s="6" t="s">
        <v>107</v>
      </c>
      <c r="N178" s="6" t="s">
        <v>2956</v>
      </c>
      <c r="O178" s="6"/>
      <c r="P178" s="15"/>
      <c r="Q178" s="6"/>
      <c r="R178" s="15"/>
      <c r="S178" s="15"/>
    </row>
    <row r="179" spans="1:19" ht="20.100000000000001" customHeight="1" x14ac:dyDescent="0.2">
      <c r="A179" s="67">
        <v>176</v>
      </c>
      <c r="B179" s="67" t="s">
        <v>2953</v>
      </c>
      <c r="C179" s="68" t="s">
        <v>2954</v>
      </c>
      <c r="D179" s="69" t="s">
        <v>20</v>
      </c>
      <c r="E179" s="69"/>
      <c r="F179" s="69" t="s">
        <v>7</v>
      </c>
      <c r="G179" s="69" t="s">
        <v>92</v>
      </c>
      <c r="H179" s="69" t="s">
        <v>117</v>
      </c>
      <c r="I179" s="70" t="s">
        <v>142</v>
      </c>
      <c r="J179" s="70" t="s">
        <v>70</v>
      </c>
      <c r="K179" s="69" t="s">
        <v>338</v>
      </c>
      <c r="L179" s="69" t="s">
        <v>444</v>
      </c>
      <c r="M179" s="67" t="s">
        <v>107</v>
      </c>
      <c r="N179" s="67"/>
      <c r="O179" s="69"/>
      <c r="P179" s="71"/>
      <c r="Q179" s="72"/>
      <c r="R179" s="73"/>
      <c r="S179" s="73"/>
    </row>
    <row r="180" spans="1:19" ht="20.100000000000001" customHeight="1" x14ac:dyDescent="0.2">
      <c r="A180" s="15">
        <v>177</v>
      </c>
      <c r="B180" s="15" t="s">
        <v>2957</v>
      </c>
      <c r="C180" s="16" t="s">
        <v>2958</v>
      </c>
      <c r="D180" s="6" t="s">
        <v>2767</v>
      </c>
      <c r="E180" s="6"/>
      <c r="F180" s="15" t="s">
        <v>7</v>
      </c>
      <c r="G180" s="6" t="s">
        <v>92</v>
      </c>
      <c r="H180" s="6" t="s">
        <v>68</v>
      </c>
      <c r="I180" s="6" t="s">
        <v>262</v>
      </c>
      <c r="J180" s="6" t="s">
        <v>70</v>
      </c>
      <c r="K180" s="6" t="s">
        <v>2959</v>
      </c>
      <c r="L180" s="6" t="s">
        <v>262</v>
      </c>
      <c r="M180" s="6" t="s">
        <v>70</v>
      </c>
      <c r="N180" s="6"/>
      <c r="O180" s="6"/>
      <c r="P180" s="15"/>
      <c r="Q180" s="6"/>
      <c r="R180" s="15"/>
      <c r="S180" s="15"/>
    </row>
    <row r="181" spans="1:19" ht="20.100000000000001" customHeight="1" x14ac:dyDescent="0.2">
      <c r="A181" s="67">
        <v>178</v>
      </c>
      <c r="B181" s="67" t="s">
        <v>2960</v>
      </c>
      <c r="C181" s="68" t="s">
        <v>2949</v>
      </c>
      <c r="D181" s="69" t="s">
        <v>2767</v>
      </c>
      <c r="E181" s="69"/>
      <c r="F181" s="69" t="s">
        <v>83</v>
      </c>
      <c r="G181" s="69" t="s">
        <v>92</v>
      </c>
      <c r="H181" s="69" t="s">
        <v>223</v>
      </c>
      <c r="I181" s="70"/>
      <c r="J181" s="70"/>
      <c r="K181" s="69" t="s">
        <v>2961</v>
      </c>
      <c r="L181" s="69"/>
      <c r="M181" s="67"/>
      <c r="N181" s="67"/>
      <c r="O181" s="69"/>
      <c r="P181" s="71"/>
      <c r="Q181" s="72"/>
      <c r="R181" s="73"/>
      <c r="S181" s="73"/>
    </row>
    <row r="182" spans="1:19" ht="20.100000000000001" customHeight="1" x14ac:dyDescent="0.2">
      <c r="A182" s="15">
        <v>179</v>
      </c>
      <c r="B182" s="15" t="s">
        <v>2962</v>
      </c>
      <c r="C182" s="16" t="s">
        <v>2949</v>
      </c>
      <c r="D182" s="6" t="s">
        <v>2767</v>
      </c>
      <c r="E182" s="6"/>
      <c r="F182" s="15" t="s">
        <v>7</v>
      </c>
      <c r="G182" s="6" t="s">
        <v>92</v>
      </c>
      <c r="H182" s="6" t="s">
        <v>223</v>
      </c>
      <c r="I182" s="6" t="s">
        <v>119</v>
      </c>
      <c r="J182" s="6" t="s">
        <v>107</v>
      </c>
      <c r="K182" s="6" t="s">
        <v>2961</v>
      </c>
      <c r="L182" s="6" t="s">
        <v>119</v>
      </c>
      <c r="M182" s="6" t="s">
        <v>107</v>
      </c>
      <c r="N182" s="6"/>
      <c r="O182" s="6"/>
      <c r="P182" s="15"/>
      <c r="Q182" s="6"/>
      <c r="R182" s="15"/>
      <c r="S182" s="15"/>
    </row>
    <row r="183" spans="1:19" ht="20.100000000000001" customHeight="1" x14ac:dyDescent="0.2">
      <c r="A183" s="67">
        <v>180</v>
      </c>
      <c r="B183" s="67" t="s">
        <v>2963</v>
      </c>
      <c r="C183" s="68" t="s">
        <v>2964</v>
      </c>
      <c r="D183" s="69" t="s">
        <v>20</v>
      </c>
      <c r="E183" s="69" t="s">
        <v>2965</v>
      </c>
      <c r="F183" s="69" t="s">
        <v>83</v>
      </c>
      <c r="G183" s="69" t="s">
        <v>92</v>
      </c>
      <c r="H183" s="69" t="s">
        <v>68</v>
      </c>
      <c r="I183" s="70"/>
      <c r="J183" s="70" t="s">
        <v>70</v>
      </c>
      <c r="K183" s="69" t="s">
        <v>332</v>
      </c>
      <c r="L183" s="69"/>
      <c r="M183" s="67" t="s">
        <v>70</v>
      </c>
      <c r="N183" s="67" t="s">
        <v>2185</v>
      </c>
      <c r="O183" s="69"/>
      <c r="P183" s="71"/>
      <c r="Q183" s="72"/>
      <c r="R183" s="73"/>
      <c r="S183" s="73"/>
    </row>
    <row r="184" spans="1:19" ht="20.100000000000001" customHeight="1" x14ac:dyDescent="0.2">
      <c r="A184" s="15">
        <v>181</v>
      </c>
      <c r="B184" s="15" t="s">
        <v>2963</v>
      </c>
      <c r="C184" s="16" t="s">
        <v>2964</v>
      </c>
      <c r="D184" s="6" t="s">
        <v>20</v>
      </c>
      <c r="E184" s="6"/>
      <c r="F184" s="15" t="s">
        <v>7</v>
      </c>
      <c r="G184" s="6" t="s">
        <v>92</v>
      </c>
      <c r="H184" s="6" t="s">
        <v>68</v>
      </c>
      <c r="I184" s="6"/>
      <c r="J184" s="6" t="s">
        <v>70</v>
      </c>
      <c r="K184" s="6" t="s">
        <v>332</v>
      </c>
      <c r="L184" s="6"/>
      <c r="M184" s="6" t="s">
        <v>70</v>
      </c>
      <c r="N184" s="6"/>
      <c r="O184" s="6"/>
      <c r="P184" s="15"/>
      <c r="Q184" s="6"/>
      <c r="R184" s="15"/>
      <c r="S184" s="15"/>
    </row>
  </sheetData>
  <autoFilter ref="A3:U184" xr:uid="{4993F089-FD8B-4731-B091-AD765D58E156}"/>
  <mergeCells count="16">
    <mergeCell ref="R1:R3"/>
    <mergeCell ref="S1:S3"/>
    <mergeCell ref="H2:J2"/>
    <mergeCell ref="K2:M2"/>
    <mergeCell ref="G1:G3"/>
    <mergeCell ref="H1:M1"/>
    <mergeCell ref="N1:N3"/>
    <mergeCell ref="O1:O3"/>
    <mergeCell ref="P1:P3"/>
    <mergeCell ref="Q1:Q3"/>
    <mergeCell ref="A1:A3"/>
    <mergeCell ref="B1:B3"/>
    <mergeCell ref="C1:C3"/>
    <mergeCell ref="D1:D3"/>
    <mergeCell ref="E1:E3"/>
    <mergeCell ref="F1:F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5DE8A-440A-41B0-8C07-A7FAC7E36B3A}">
  <dimension ref="A1:T199"/>
  <sheetViews>
    <sheetView rightToLeft="1" workbookViewId="0">
      <selection sqref="A1:A3"/>
    </sheetView>
  </sheetViews>
  <sheetFormatPr defaultColWidth="9.7109375" defaultRowHeight="20.100000000000001" customHeight="1" x14ac:dyDescent="0.2"/>
  <cols>
    <col min="1" max="1" width="4.7109375" style="2" bestFit="1" customWidth="1"/>
    <col min="2" max="2" width="9.7109375" style="5" customWidth="1"/>
    <col min="3" max="3" width="11.7109375" style="1" customWidth="1"/>
    <col min="4" max="4" width="9.140625" style="1" customWidth="1"/>
    <col min="5" max="5" width="20.42578125" style="1" customWidth="1"/>
    <col min="6" max="6" width="9.140625" style="1" bestFit="1" customWidth="1"/>
    <col min="7" max="8" width="10.42578125" style="7" customWidth="1"/>
    <col min="9" max="9" width="6.42578125" style="8" customWidth="1"/>
    <col min="10" max="10" width="6.28515625" style="1" customWidth="1"/>
    <col min="11" max="11" width="9.28515625" style="1" customWidth="1"/>
    <col min="12" max="12" width="9" style="8" bestFit="1" customWidth="1"/>
    <col min="13" max="13" width="8.28515625" style="1" customWidth="1"/>
    <col min="14" max="14" width="9.42578125" style="1" customWidth="1"/>
    <col min="15" max="15" width="10.42578125" style="1" bestFit="1" customWidth="1"/>
    <col min="16" max="16" width="8.28515625" style="4" customWidth="1"/>
    <col min="17" max="17" width="9.28515625" style="4" customWidth="1"/>
    <col min="18" max="18" width="8.140625" style="4" customWidth="1"/>
    <col min="19" max="19" width="9.7109375" style="4" customWidth="1"/>
    <col min="20" max="20" width="52.140625" style="75" bestFit="1" customWidth="1"/>
    <col min="21" max="16384" width="9.7109375" style="4"/>
  </cols>
  <sheetData>
    <row r="1" spans="1:20" s="3" customFormat="1" ht="41.25" customHeight="1" x14ac:dyDescent="0.2">
      <c r="A1" s="607" t="s">
        <v>0</v>
      </c>
      <c r="B1" s="606" t="s">
        <v>1</v>
      </c>
      <c r="C1" s="606" t="s">
        <v>2</v>
      </c>
      <c r="D1" s="606" t="s">
        <v>5</v>
      </c>
      <c r="E1" s="606" t="s">
        <v>2136</v>
      </c>
      <c r="F1" s="606" t="s">
        <v>2137</v>
      </c>
      <c r="G1" s="606" t="s">
        <v>3</v>
      </c>
      <c r="H1" s="613" t="s">
        <v>2966</v>
      </c>
      <c r="I1" s="606" t="s">
        <v>17</v>
      </c>
      <c r="J1" s="606"/>
      <c r="K1" s="606"/>
      <c r="L1" s="606"/>
      <c r="M1" s="606"/>
      <c r="N1" s="606"/>
      <c r="O1" s="606" t="s">
        <v>4</v>
      </c>
      <c r="P1" s="606" t="s">
        <v>2967</v>
      </c>
      <c r="Q1" s="606" t="s">
        <v>2968</v>
      </c>
      <c r="R1" s="606" t="s">
        <v>2969</v>
      </c>
      <c r="S1" s="606" t="s">
        <v>2970</v>
      </c>
      <c r="T1" s="610" t="s">
        <v>2971</v>
      </c>
    </row>
    <row r="2" spans="1:20" s="3" customFormat="1" ht="20.25" x14ac:dyDescent="0.2">
      <c r="A2" s="608"/>
      <c r="B2" s="554"/>
      <c r="C2" s="554"/>
      <c r="D2" s="554"/>
      <c r="E2" s="554"/>
      <c r="F2" s="554"/>
      <c r="G2" s="554"/>
      <c r="H2" s="599"/>
      <c r="I2" s="556" t="s">
        <v>18</v>
      </c>
      <c r="J2" s="557"/>
      <c r="K2" s="558"/>
      <c r="L2" s="556" t="s">
        <v>14</v>
      </c>
      <c r="M2" s="557"/>
      <c r="N2" s="558"/>
      <c r="O2" s="554"/>
      <c r="P2" s="554"/>
      <c r="Q2" s="554"/>
      <c r="R2" s="554"/>
      <c r="S2" s="554"/>
      <c r="T2" s="611"/>
    </row>
    <row r="3" spans="1:20" s="3" customFormat="1" ht="58.5" customHeight="1" x14ac:dyDescent="0.2">
      <c r="A3" s="609"/>
      <c r="B3" s="559"/>
      <c r="C3" s="559"/>
      <c r="D3" s="559"/>
      <c r="E3" s="559"/>
      <c r="F3" s="559"/>
      <c r="G3" s="559"/>
      <c r="H3" s="554"/>
      <c r="I3" s="66" t="s">
        <v>2144</v>
      </c>
      <c r="J3" s="9" t="s">
        <v>16</v>
      </c>
      <c r="K3" s="10" t="s">
        <v>15</v>
      </c>
      <c r="L3" s="11" t="s">
        <v>14</v>
      </c>
      <c r="M3" s="9" t="s">
        <v>16</v>
      </c>
      <c r="N3" s="10" t="s">
        <v>15</v>
      </c>
      <c r="O3" s="559"/>
      <c r="P3" s="559"/>
      <c r="Q3" s="559"/>
      <c r="R3" s="559"/>
      <c r="S3" s="559"/>
      <c r="T3" s="612"/>
    </row>
    <row r="4" spans="1:20" s="2" customFormat="1" ht="30" customHeight="1" x14ac:dyDescent="0.2">
      <c r="A4" s="79">
        <v>1</v>
      </c>
      <c r="B4" s="40" t="s">
        <v>2972</v>
      </c>
      <c r="C4" s="41" t="s">
        <v>2973</v>
      </c>
      <c r="D4" s="41" t="s">
        <v>8</v>
      </c>
      <c r="E4" s="41" t="s">
        <v>2974</v>
      </c>
      <c r="F4" s="41" t="s">
        <v>83</v>
      </c>
      <c r="G4" s="80" t="s">
        <v>2975</v>
      </c>
      <c r="H4" s="41"/>
      <c r="I4" s="81">
        <v>37</v>
      </c>
      <c r="J4" s="41"/>
      <c r="K4" s="6" t="s">
        <v>107</v>
      </c>
      <c r="L4" s="81">
        <v>76.8</v>
      </c>
      <c r="M4" s="41"/>
      <c r="N4" s="6" t="s">
        <v>107</v>
      </c>
      <c r="O4" s="6" t="s">
        <v>2976</v>
      </c>
      <c r="P4" s="13"/>
      <c r="Q4" s="41"/>
      <c r="R4" s="13"/>
      <c r="S4" s="13"/>
      <c r="T4" s="82"/>
    </row>
    <row r="5" spans="1:20" s="2" customFormat="1" ht="30" customHeight="1" x14ac:dyDescent="0.2">
      <c r="A5" s="83">
        <v>2</v>
      </c>
      <c r="B5" s="68" t="s">
        <v>2977</v>
      </c>
      <c r="C5" s="69" t="s">
        <v>2978</v>
      </c>
      <c r="D5" s="69" t="s">
        <v>10</v>
      </c>
      <c r="E5" s="67"/>
      <c r="F5" s="69" t="s">
        <v>7</v>
      </c>
      <c r="G5" s="84" t="s">
        <v>2975</v>
      </c>
      <c r="H5" s="84" t="s">
        <v>2979</v>
      </c>
      <c r="I5" s="70">
        <v>73</v>
      </c>
      <c r="J5" s="67"/>
      <c r="K5" s="69" t="s">
        <v>107</v>
      </c>
      <c r="L5" s="69" t="s">
        <v>167</v>
      </c>
      <c r="M5" s="67"/>
      <c r="N5" s="67" t="s">
        <v>107</v>
      </c>
      <c r="O5" s="69" t="s">
        <v>2980</v>
      </c>
      <c r="P5" s="71"/>
      <c r="Q5" s="72"/>
      <c r="R5" s="73"/>
      <c r="S5" s="73"/>
      <c r="T5" s="85"/>
    </row>
    <row r="6" spans="1:20" s="2" customFormat="1" ht="30" customHeight="1" x14ac:dyDescent="0.2">
      <c r="A6" s="79">
        <v>3</v>
      </c>
      <c r="B6" s="40" t="s">
        <v>2434</v>
      </c>
      <c r="C6" s="41" t="s">
        <v>1664</v>
      </c>
      <c r="D6" s="41" t="s">
        <v>2981</v>
      </c>
      <c r="E6" s="41" t="s">
        <v>2147</v>
      </c>
      <c r="F6" s="41" t="s">
        <v>83</v>
      </c>
      <c r="G6" s="80" t="s">
        <v>2975</v>
      </c>
      <c r="H6" s="41" t="s">
        <v>2982</v>
      </c>
      <c r="I6" s="81">
        <v>55</v>
      </c>
      <c r="J6" s="41" t="s">
        <v>69</v>
      </c>
      <c r="K6" s="6" t="s">
        <v>70</v>
      </c>
      <c r="L6" s="81" t="s">
        <v>108</v>
      </c>
      <c r="M6" s="41" t="s">
        <v>69</v>
      </c>
      <c r="N6" s="6" t="s">
        <v>70</v>
      </c>
      <c r="O6" s="6" t="s">
        <v>2983</v>
      </c>
      <c r="P6" s="13"/>
      <c r="Q6" s="41"/>
      <c r="R6" s="13"/>
      <c r="S6" s="13"/>
      <c r="T6" s="82"/>
    </row>
    <row r="7" spans="1:20" s="2" customFormat="1" ht="30" customHeight="1" x14ac:dyDescent="0.2">
      <c r="A7" s="83">
        <v>4</v>
      </c>
      <c r="B7" s="68" t="s">
        <v>2418</v>
      </c>
      <c r="C7" s="69" t="s">
        <v>1664</v>
      </c>
      <c r="D7" s="69" t="s">
        <v>2981</v>
      </c>
      <c r="E7" s="67"/>
      <c r="F7" s="69" t="s">
        <v>7</v>
      </c>
      <c r="G7" s="84" t="s">
        <v>2975</v>
      </c>
      <c r="H7" s="84" t="s">
        <v>2979</v>
      </c>
      <c r="I7" s="70">
        <v>55</v>
      </c>
      <c r="J7" s="67"/>
      <c r="K7" s="69" t="s">
        <v>107</v>
      </c>
      <c r="L7" s="69" t="s">
        <v>108</v>
      </c>
      <c r="M7" s="67"/>
      <c r="N7" s="67" t="s">
        <v>107</v>
      </c>
      <c r="O7" s="69" t="s">
        <v>2983</v>
      </c>
      <c r="P7" s="71"/>
      <c r="Q7" s="72"/>
      <c r="R7" s="73"/>
      <c r="S7" s="73"/>
      <c r="T7" s="85"/>
    </row>
    <row r="8" spans="1:20" s="2" customFormat="1" ht="30" customHeight="1" x14ac:dyDescent="0.2">
      <c r="A8" s="79">
        <v>5</v>
      </c>
      <c r="B8" s="40" t="s">
        <v>1334</v>
      </c>
      <c r="C8" s="41" t="s">
        <v>2984</v>
      </c>
      <c r="D8" s="41" t="s">
        <v>8</v>
      </c>
      <c r="E8" s="41" t="s">
        <v>2985</v>
      </c>
      <c r="F8" s="41" t="s">
        <v>222</v>
      </c>
      <c r="G8" s="80" t="s">
        <v>2975</v>
      </c>
      <c r="H8" s="41" t="s">
        <v>1334</v>
      </c>
      <c r="I8" s="81">
        <v>62</v>
      </c>
      <c r="J8" s="41"/>
      <c r="K8" s="6" t="s">
        <v>70</v>
      </c>
      <c r="L8" s="81" t="s">
        <v>332</v>
      </c>
      <c r="M8" s="41"/>
      <c r="N8" s="6" t="s">
        <v>107</v>
      </c>
      <c r="O8" s="6" t="s">
        <v>2986</v>
      </c>
      <c r="P8" s="13"/>
      <c r="Q8" s="41"/>
      <c r="R8" s="13"/>
      <c r="S8" s="13"/>
      <c r="T8" s="82"/>
    </row>
    <row r="9" spans="1:20" s="2" customFormat="1" ht="30" customHeight="1" x14ac:dyDescent="0.2">
      <c r="A9" s="83">
        <v>6</v>
      </c>
      <c r="B9" s="68" t="s">
        <v>583</v>
      </c>
      <c r="C9" s="69" t="s">
        <v>2987</v>
      </c>
      <c r="D9" s="69" t="s">
        <v>8</v>
      </c>
      <c r="E9" s="67" t="s">
        <v>2988</v>
      </c>
      <c r="F9" s="69" t="s">
        <v>222</v>
      </c>
      <c r="G9" s="84" t="s">
        <v>2975</v>
      </c>
      <c r="H9" s="84" t="s">
        <v>583</v>
      </c>
      <c r="I9" s="70">
        <v>55</v>
      </c>
      <c r="J9" s="67"/>
      <c r="K9" s="69" t="s">
        <v>70</v>
      </c>
      <c r="L9" s="69" t="s">
        <v>108</v>
      </c>
      <c r="M9" s="67"/>
      <c r="N9" s="67" t="s">
        <v>107</v>
      </c>
      <c r="O9" s="69" t="s">
        <v>2989</v>
      </c>
      <c r="P9" s="71"/>
      <c r="Q9" s="72"/>
      <c r="R9" s="73"/>
      <c r="S9" s="73"/>
      <c r="T9" s="85"/>
    </row>
    <row r="10" spans="1:20" s="2" customFormat="1" ht="30" customHeight="1" x14ac:dyDescent="0.2">
      <c r="A10" s="79">
        <v>7</v>
      </c>
      <c r="B10" s="40" t="s">
        <v>582</v>
      </c>
      <c r="C10" s="41" t="s">
        <v>2973</v>
      </c>
      <c r="D10" s="41" t="s">
        <v>8</v>
      </c>
      <c r="E10" s="41"/>
      <c r="F10" s="41" t="s">
        <v>7</v>
      </c>
      <c r="G10" s="80" t="s">
        <v>2975</v>
      </c>
      <c r="H10" s="41" t="s">
        <v>2979</v>
      </c>
      <c r="I10" s="81">
        <v>45</v>
      </c>
      <c r="J10" s="41"/>
      <c r="K10" s="6" t="s">
        <v>107</v>
      </c>
      <c r="L10" s="81" t="s">
        <v>120</v>
      </c>
      <c r="M10" s="41" t="s">
        <v>142</v>
      </c>
      <c r="N10" s="6" t="s">
        <v>70</v>
      </c>
      <c r="O10" s="6" t="s">
        <v>2990</v>
      </c>
      <c r="P10" s="13"/>
      <c r="Q10" s="41"/>
      <c r="R10" s="13"/>
      <c r="S10" s="13"/>
      <c r="T10" s="82"/>
    </row>
    <row r="11" spans="1:20" s="2" customFormat="1" ht="30" customHeight="1" x14ac:dyDescent="0.2">
      <c r="A11" s="83">
        <v>8</v>
      </c>
      <c r="B11" s="68" t="s">
        <v>2991</v>
      </c>
      <c r="C11" s="69" t="s">
        <v>2992</v>
      </c>
      <c r="D11" s="69" t="s">
        <v>2981</v>
      </c>
      <c r="E11" s="67" t="s">
        <v>185</v>
      </c>
      <c r="F11" s="69" t="s">
        <v>83</v>
      </c>
      <c r="G11" s="84" t="s">
        <v>2975</v>
      </c>
      <c r="H11" s="84" t="s">
        <v>2991</v>
      </c>
      <c r="I11" s="70">
        <v>30</v>
      </c>
      <c r="J11" s="67" t="s">
        <v>69</v>
      </c>
      <c r="K11" s="69" t="s">
        <v>70</v>
      </c>
      <c r="L11" s="69" t="s">
        <v>492</v>
      </c>
      <c r="M11" s="67" t="s">
        <v>119</v>
      </c>
      <c r="N11" s="67" t="s">
        <v>107</v>
      </c>
      <c r="O11" s="69" t="s">
        <v>1079</v>
      </c>
      <c r="P11" s="71"/>
      <c r="Q11" s="72"/>
      <c r="R11" s="73"/>
      <c r="S11" s="73"/>
      <c r="T11" s="85"/>
    </row>
    <row r="12" spans="1:20" s="2" customFormat="1" ht="30" customHeight="1" x14ac:dyDescent="0.2">
      <c r="A12" s="79">
        <v>9</v>
      </c>
      <c r="B12" s="40" t="s">
        <v>2993</v>
      </c>
      <c r="C12" s="41" t="s">
        <v>2992</v>
      </c>
      <c r="D12" s="41" t="s">
        <v>2981</v>
      </c>
      <c r="E12" s="41"/>
      <c r="F12" s="41" t="s">
        <v>7</v>
      </c>
      <c r="G12" s="80" t="s">
        <v>2975</v>
      </c>
      <c r="H12" s="41" t="s">
        <v>2979</v>
      </c>
      <c r="I12" s="81">
        <v>30</v>
      </c>
      <c r="J12" s="41"/>
      <c r="K12" s="6" t="s">
        <v>107</v>
      </c>
      <c r="L12" s="81" t="s">
        <v>492</v>
      </c>
      <c r="M12" s="41" t="s">
        <v>262</v>
      </c>
      <c r="N12" s="6" t="s">
        <v>70</v>
      </c>
      <c r="O12" s="6" t="s">
        <v>1079</v>
      </c>
      <c r="P12" s="13"/>
      <c r="Q12" s="41"/>
      <c r="R12" s="13"/>
      <c r="S12" s="13"/>
      <c r="T12" s="82"/>
    </row>
    <row r="13" spans="1:20" s="2" customFormat="1" ht="30" customHeight="1" x14ac:dyDescent="0.2">
      <c r="A13" s="83">
        <v>10</v>
      </c>
      <c r="B13" s="68" t="s">
        <v>2994</v>
      </c>
      <c r="C13" s="69" t="s">
        <v>1943</v>
      </c>
      <c r="D13" s="69" t="s">
        <v>9</v>
      </c>
      <c r="E13" s="67" t="s">
        <v>185</v>
      </c>
      <c r="F13" s="69" t="s">
        <v>83</v>
      </c>
      <c r="G13" s="84" t="s">
        <v>2975</v>
      </c>
      <c r="H13" s="84" t="s">
        <v>2994</v>
      </c>
      <c r="I13" s="70">
        <v>55</v>
      </c>
      <c r="J13" s="67" t="s">
        <v>2995</v>
      </c>
      <c r="K13" s="69" t="s">
        <v>107</v>
      </c>
      <c r="L13" s="69" t="s">
        <v>361</v>
      </c>
      <c r="M13" s="67" t="s">
        <v>574</v>
      </c>
      <c r="N13" s="67" t="s">
        <v>107</v>
      </c>
      <c r="O13" s="69" t="s">
        <v>554</v>
      </c>
      <c r="P13" s="71"/>
      <c r="Q13" s="72"/>
      <c r="R13" s="73"/>
      <c r="S13" s="73"/>
      <c r="T13" s="85"/>
    </row>
    <row r="14" spans="1:20" s="2" customFormat="1" ht="30" customHeight="1" x14ac:dyDescent="0.2">
      <c r="A14" s="79">
        <v>11</v>
      </c>
      <c r="B14" s="40" t="s">
        <v>2996</v>
      </c>
      <c r="C14" s="41" t="s">
        <v>2997</v>
      </c>
      <c r="D14" s="41" t="s">
        <v>243</v>
      </c>
      <c r="E14" s="41" t="s">
        <v>185</v>
      </c>
      <c r="F14" s="41" t="s">
        <v>83</v>
      </c>
      <c r="G14" s="80" t="s">
        <v>2975</v>
      </c>
      <c r="H14" s="41" t="s">
        <v>2996</v>
      </c>
      <c r="I14" s="81">
        <v>45</v>
      </c>
      <c r="J14" s="41"/>
      <c r="K14" s="6" t="s">
        <v>369</v>
      </c>
      <c r="L14" s="81" t="s">
        <v>120</v>
      </c>
      <c r="M14" s="41" t="s">
        <v>574</v>
      </c>
      <c r="N14" s="6" t="s">
        <v>107</v>
      </c>
      <c r="O14" s="6" t="s">
        <v>2998</v>
      </c>
      <c r="P14" s="13"/>
      <c r="Q14" s="41"/>
      <c r="R14" s="13"/>
      <c r="S14" s="13"/>
      <c r="T14" s="82"/>
    </row>
    <row r="15" spans="1:20" s="2" customFormat="1" ht="30" customHeight="1" x14ac:dyDescent="0.2">
      <c r="A15" s="83">
        <v>12</v>
      </c>
      <c r="B15" s="68" t="s">
        <v>2996</v>
      </c>
      <c r="C15" s="69" t="s">
        <v>2997</v>
      </c>
      <c r="D15" s="69" t="s">
        <v>243</v>
      </c>
      <c r="E15" s="67"/>
      <c r="F15" s="69" t="s">
        <v>7</v>
      </c>
      <c r="G15" s="84" t="s">
        <v>2975</v>
      </c>
      <c r="H15" s="84" t="s">
        <v>2999</v>
      </c>
      <c r="I15" s="70">
        <v>45</v>
      </c>
      <c r="J15" s="67"/>
      <c r="K15" s="69" t="s">
        <v>369</v>
      </c>
      <c r="L15" s="69" t="s">
        <v>120</v>
      </c>
      <c r="M15" s="67"/>
      <c r="N15" s="67" t="s">
        <v>107</v>
      </c>
      <c r="O15" s="69" t="s">
        <v>2998</v>
      </c>
      <c r="P15" s="71"/>
      <c r="Q15" s="72"/>
      <c r="R15" s="73"/>
      <c r="S15" s="73"/>
      <c r="T15" s="85"/>
    </row>
    <row r="16" spans="1:20" s="2" customFormat="1" ht="30" customHeight="1" x14ac:dyDescent="0.2">
      <c r="A16" s="79">
        <v>13</v>
      </c>
      <c r="B16" s="40" t="s">
        <v>3000</v>
      </c>
      <c r="C16" s="41" t="s">
        <v>3001</v>
      </c>
      <c r="D16" s="41" t="s">
        <v>8</v>
      </c>
      <c r="E16" s="41" t="s">
        <v>2285</v>
      </c>
      <c r="F16" s="41" t="s">
        <v>83</v>
      </c>
      <c r="G16" s="80" t="s">
        <v>2975</v>
      </c>
      <c r="H16" s="41" t="s">
        <v>3000</v>
      </c>
      <c r="I16" s="81">
        <v>9</v>
      </c>
      <c r="J16" s="41"/>
      <c r="K16" s="6" t="s">
        <v>70</v>
      </c>
      <c r="L16" s="81" t="s">
        <v>1530</v>
      </c>
      <c r="M16" s="41"/>
      <c r="N16" s="6" t="s">
        <v>70</v>
      </c>
      <c r="O16" s="6" t="s">
        <v>3002</v>
      </c>
      <c r="P16" s="13"/>
      <c r="Q16" s="41"/>
      <c r="R16" s="13"/>
      <c r="S16" s="13"/>
      <c r="T16" s="82"/>
    </row>
    <row r="17" spans="1:20" s="2" customFormat="1" ht="30" customHeight="1" x14ac:dyDescent="0.2">
      <c r="A17" s="83">
        <v>14</v>
      </c>
      <c r="B17" s="68" t="s">
        <v>3003</v>
      </c>
      <c r="C17" s="69" t="s">
        <v>3004</v>
      </c>
      <c r="D17" s="69" t="s">
        <v>2981</v>
      </c>
      <c r="E17" s="67" t="s">
        <v>2988</v>
      </c>
      <c r="F17" s="69" t="s">
        <v>222</v>
      </c>
      <c r="G17" s="84" t="s">
        <v>2975</v>
      </c>
      <c r="H17" s="84" t="s">
        <v>3000</v>
      </c>
      <c r="I17" s="70">
        <v>30</v>
      </c>
      <c r="J17" s="67"/>
      <c r="K17" s="69" t="s">
        <v>70</v>
      </c>
      <c r="L17" s="69" t="s">
        <v>998</v>
      </c>
      <c r="M17" s="67"/>
      <c r="N17" s="67" t="s">
        <v>107</v>
      </c>
      <c r="O17" s="69" t="s">
        <v>3005</v>
      </c>
      <c r="P17" s="71"/>
      <c r="Q17" s="72"/>
      <c r="R17" s="73"/>
      <c r="S17" s="73"/>
      <c r="T17" s="85"/>
    </row>
    <row r="18" spans="1:20" s="2" customFormat="1" ht="30" customHeight="1" x14ac:dyDescent="0.2">
      <c r="A18" s="79">
        <v>15</v>
      </c>
      <c r="B18" s="40" t="s">
        <v>3006</v>
      </c>
      <c r="C18" s="41" t="s">
        <v>3007</v>
      </c>
      <c r="D18" s="41" t="s">
        <v>243</v>
      </c>
      <c r="E18" s="41" t="s">
        <v>2974</v>
      </c>
      <c r="F18" s="41" t="s">
        <v>222</v>
      </c>
      <c r="G18" s="80" t="s">
        <v>2975</v>
      </c>
      <c r="H18" s="41" t="s">
        <v>3006</v>
      </c>
      <c r="I18" s="81">
        <v>37</v>
      </c>
      <c r="J18" s="41" t="s">
        <v>262</v>
      </c>
      <c r="K18" s="6" t="s">
        <v>70</v>
      </c>
      <c r="L18" s="81" t="s">
        <v>188</v>
      </c>
      <c r="M18" s="41" t="s">
        <v>119</v>
      </c>
      <c r="N18" s="6" t="s">
        <v>107</v>
      </c>
      <c r="O18" s="6" t="s">
        <v>3008</v>
      </c>
      <c r="P18" s="13"/>
      <c r="Q18" s="41"/>
      <c r="R18" s="13"/>
      <c r="S18" s="13"/>
      <c r="T18" s="82"/>
    </row>
    <row r="19" spans="1:20" s="2" customFormat="1" ht="30" customHeight="1" x14ac:dyDescent="0.2">
      <c r="A19" s="83">
        <v>16</v>
      </c>
      <c r="B19" s="68" t="s">
        <v>618</v>
      </c>
      <c r="C19" s="69" t="s">
        <v>614</v>
      </c>
      <c r="D19" s="69" t="s">
        <v>6</v>
      </c>
      <c r="E19" s="67" t="s">
        <v>185</v>
      </c>
      <c r="F19" s="69" t="s">
        <v>83</v>
      </c>
      <c r="G19" s="84" t="s">
        <v>2975</v>
      </c>
      <c r="H19" s="84" t="s">
        <v>618</v>
      </c>
      <c r="I19" s="70">
        <v>73</v>
      </c>
      <c r="J19" s="67" t="s">
        <v>119</v>
      </c>
      <c r="K19" s="69" t="s">
        <v>107</v>
      </c>
      <c r="L19" s="69" t="s">
        <v>156</v>
      </c>
      <c r="M19" s="67" t="s">
        <v>119</v>
      </c>
      <c r="N19" s="67" t="s">
        <v>107</v>
      </c>
      <c r="O19" s="69" t="s">
        <v>3009</v>
      </c>
      <c r="P19" s="71"/>
      <c r="Q19" s="72"/>
      <c r="R19" s="73"/>
      <c r="S19" s="73"/>
      <c r="T19" s="85"/>
    </row>
    <row r="20" spans="1:20" s="2" customFormat="1" ht="30" customHeight="1" x14ac:dyDescent="0.2">
      <c r="A20" s="79">
        <v>17</v>
      </c>
      <c r="B20" s="40" t="s">
        <v>3010</v>
      </c>
      <c r="C20" s="41" t="s">
        <v>3011</v>
      </c>
      <c r="D20" s="41" t="s">
        <v>6</v>
      </c>
      <c r="E20" s="41" t="s">
        <v>185</v>
      </c>
      <c r="F20" s="41" t="s">
        <v>83</v>
      </c>
      <c r="G20" s="80" t="s">
        <v>2975</v>
      </c>
      <c r="H20" s="41" t="s">
        <v>3010</v>
      </c>
      <c r="I20" s="81">
        <v>62</v>
      </c>
      <c r="J20" s="41" t="s">
        <v>119</v>
      </c>
      <c r="K20" s="6" t="s">
        <v>107</v>
      </c>
      <c r="L20" s="81" t="s">
        <v>263</v>
      </c>
      <c r="M20" s="41" t="s">
        <v>119</v>
      </c>
      <c r="N20" s="6" t="s">
        <v>107</v>
      </c>
      <c r="O20" s="6" t="s">
        <v>3012</v>
      </c>
      <c r="P20" s="13"/>
      <c r="Q20" s="41"/>
      <c r="R20" s="13"/>
      <c r="S20" s="13"/>
      <c r="T20" s="82" t="s">
        <v>3013</v>
      </c>
    </row>
    <row r="21" spans="1:20" s="2" customFormat="1" ht="30" customHeight="1" x14ac:dyDescent="0.2">
      <c r="A21" s="83">
        <v>18</v>
      </c>
      <c r="B21" s="68" t="s">
        <v>2982</v>
      </c>
      <c r="C21" s="69" t="s">
        <v>3011</v>
      </c>
      <c r="D21" s="69" t="s">
        <v>6</v>
      </c>
      <c r="E21" s="67"/>
      <c r="F21" s="69" t="s">
        <v>7</v>
      </c>
      <c r="G21" s="84" t="s">
        <v>2975</v>
      </c>
      <c r="H21" s="84" t="s">
        <v>2999</v>
      </c>
      <c r="I21" s="70">
        <v>55</v>
      </c>
      <c r="J21" s="67"/>
      <c r="K21" s="69" t="s">
        <v>107</v>
      </c>
      <c r="L21" s="69" t="s">
        <v>361</v>
      </c>
      <c r="M21" s="67"/>
      <c r="N21" s="67" t="s">
        <v>107</v>
      </c>
      <c r="O21" s="69" t="s">
        <v>3012</v>
      </c>
      <c r="P21" s="71"/>
      <c r="Q21" s="72"/>
      <c r="R21" s="73"/>
      <c r="S21" s="73"/>
      <c r="T21" s="85"/>
    </row>
    <row r="22" spans="1:20" s="2" customFormat="1" ht="30" customHeight="1" x14ac:dyDescent="0.2">
      <c r="A22" s="79">
        <v>19</v>
      </c>
      <c r="B22" s="40" t="s">
        <v>617</v>
      </c>
      <c r="C22" s="41" t="s">
        <v>614</v>
      </c>
      <c r="D22" s="41" t="s">
        <v>6</v>
      </c>
      <c r="E22" s="41"/>
      <c r="F22" s="41" t="s">
        <v>7</v>
      </c>
      <c r="G22" s="80" t="s">
        <v>2975</v>
      </c>
      <c r="H22" s="41" t="s">
        <v>2999</v>
      </c>
      <c r="I22" s="81">
        <v>73</v>
      </c>
      <c r="J22" s="41"/>
      <c r="K22" s="6" t="s">
        <v>107</v>
      </c>
      <c r="L22" s="81" t="s">
        <v>156</v>
      </c>
      <c r="M22" s="41"/>
      <c r="N22" s="6" t="s">
        <v>107</v>
      </c>
      <c r="O22" s="6" t="s">
        <v>3009</v>
      </c>
      <c r="P22" s="13"/>
      <c r="Q22" s="41"/>
      <c r="R22" s="13"/>
      <c r="S22" s="13"/>
      <c r="T22" s="82"/>
    </row>
    <row r="23" spans="1:20" s="2" customFormat="1" ht="30" customHeight="1" x14ac:dyDescent="0.2">
      <c r="A23" s="83">
        <v>20</v>
      </c>
      <c r="B23" s="68" t="s">
        <v>3014</v>
      </c>
      <c r="C23" s="69" t="s">
        <v>1229</v>
      </c>
      <c r="D23" s="69" t="s">
        <v>10</v>
      </c>
      <c r="E23" s="67" t="s">
        <v>185</v>
      </c>
      <c r="F23" s="69" t="s">
        <v>83</v>
      </c>
      <c r="G23" s="84" t="s">
        <v>2975</v>
      </c>
      <c r="H23" s="84" t="s">
        <v>3014</v>
      </c>
      <c r="I23" s="70">
        <v>55</v>
      </c>
      <c r="J23" s="67" t="s">
        <v>2995</v>
      </c>
      <c r="K23" s="69" t="s">
        <v>107</v>
      </c>
      <c r="L23" s="69" t="s">
        <v>361</v>
      </c>
      <c r="M23" s="67" t="s">
        <v>574</v>
      </c>
      <c r="N23" s="67" t="s">
        <v>107</v>
      </c>
      <c r="O23" s="69" t="s">
        <v>3015</v>
      </c>
      <c r="P23" s="71"/>
      <c r="Q23" s="72"/>
      <c r="R23" s="73"/>
      <c r="S23" s="73"/>
      <c r="T23" s="85"/>
    </row>
    <row r="24" spans="1:20" s="2" customFormat="1" ht="30" customHeight="1" x14ac:dyDescent="0.2">
      <c r="A24" s="79">
        <v>21</v>
      </c>
      <c r="B24" s="40" t="s">
        <v>1233</v>
      </c>
      <c r="C24" s="41" t="s">
        <v>870</v>
      </c>
      <c r="D24" s="41" t="s">
        <v>10</v>
      </c>
      <c r="E24" s="41" t="s">
        <v>2285</v>
      </c>
      <c r="F24" s="41" t="s">
        <v>83</v>
      </c>
      <c r="G24" s="80" t="s">
        <v>2975</v>
      </c>
      <c r="H24" s="41" t="s">
        <v>1233</v>
      </c>
      <c r="I24" s="81">
        <v>73</v>
      </c>
      <c r="J24" s="41" t="s">
        <v>69</v>
      </c>
      <c r="K24" s="6" t="s">
        <v>70</v>
      </c>
      <c r="L24" s="81" t="s">
        <v>324</v>
      </c>
      <c r="M24" s="41" t="s">
        <v>69</v>
      </c>
      <c r="N24" s="6" t="s">
        <v>70</v>
      </c>
      <c r="O24" s="6" t="s">
        <v>3016</v>
      </c>
      <c r="P24" s="13"/>
      <c r="Q24" s="41"/>
      <c r="R24" s="13"/>
      <c r="S24" s="13"/>
      <c r="T24" s="82"/>
    </row>
    <row r="25" spans="1:20" s="2" customFormat="1" ht="30" customHeight="1" x14ac:dyDescent="0.2">
      <c r="A25" s="83">
        <v>22</v>
      </c>
      <c r="B25" s="68" t="s">
        <v>1232</v>
      </c>
      <c r="C25" s="69" t="s">
        <v>1229</v>
      </c>
      <c r="D25" s="69" t="s">
        <v>10</v>
      </c>
      <c r="E25" s="67"/>
      <c r="F25" s="69" t="s">
        <v>7</v>
      </c>
      <c r="G25" s="84" t="s">
        <v>2975</v>
      </c>
      <c r="H25" s="84" t="s">
        <v>3010</v>
      </c>
      <c r="I25" s="70" t="s">
        <v>140</v>
      </c>
      <c r="J25" s="67" t="s">
        <v>262</v>
      </c>
      <c r="K25" s="69" t="s">
        <v>70</v>
      </c>
      <c r="L25" s="69" t="s">
        <v>338</v>
      </c>
      <c r="M25" s="67"/>
      <c r="N25" s="67" t="s">
        <v>107</v>
      </c>
      <c r="O25" s="69" t="s">
        <v>3015</v>
      </c>
      <c r="P25" s="71"/>
      <c r="Q25" s="72"/>
      <c r="R25" s="73"/>
      <c r="S25" s="73"/>
      <c r="T25" s="85"/>
    </row>
    <row r="26" spans="1:20" s="2" customFormat="1" ht="30" customHeight="1" x14ac:dyDescent="0.2">
      <c r="A26" s="79">
        <v>23</v>
      </c>
      <c r="B26" s="40" t="s">
        <v>3017</v>
      </c>
      <c r="C26" s="41" t="s">
        <v>3018</v>
      </c>
      <c r="D26" s="41" t="s">
        <v>9</v>
      </c>
      <c r="E26" s="41" t="s">
        <v>3019</v>
      </c>
      <c r="F26" s="41" t="s">
        <v>222</v>
      </c>
      <c r="G26" s="80" t="s">
        <v>2975</v>
      </c>
      <c r="H26" s="41" t="s">
        <v>3017</v>
      </c>
      <c r="I26" s="81">
        <v>30</v>
      </c>
      <c r="J26" s="41" t="s">
        <v>69</v>
      </c>
      <c r="K26" s="6" t="s">
        <v>70</v>
      </c>
      <c r="L26" s="81" t="s">
        <v>957</v>
      </c>
      <c r="M26" s="41"/>
      <c r="N26" s="6" t="s">
        <v>107</v>
      </c>
      <c r="O26" s="6" t="s">
        <v>3020</v>
      </c>
      <c r="P26" s="13"/>
      <c r="Q26" s="41"/>
      <c r="R26" s="13"/>
      <c r="S26" s="13"/>
      <c r="T26" s="82"/>
    </row>
    <row r="27" spans="1:20" s="2" customFormat="1" ht="30" customHeight="1" x14ac:dyDescent="0.2">
      <c r="A27" s="83">
        <v>24</v>
      </c>
      <c r="B27" s="68" t="s">
        <v>3021</v>
      </c>
      <c r="C27" s="69" t="s">
        <v>3022</v>
      </c>
      <c r="D27" s="69" t="s">
        <v>6</v>
      </c>
      <c r="E27" s="67" t="s">
        <v>3023</v>
      </c>
      <c r="F27" s="69" t="s">
        <v>83</v>
      </c>
      <c r="G27" s="84" t="s">
        <v>2975</v>
      </c>
      <c r="H27" s="84" t="s">
        <v>3021</v>
      </c>
      <c r="I27" s="70" t="s">
        <v>68</v>
      </c>
      <c r="J27" s="67" t="s">
        <v>262</v>
      </c>
      <c r="K27" s="69" t="s">
        <v>70</v>
      </c>
      <c r="L27" s="69" t="s">
        <v>263</v>
      </c>
      <c r="M27" s="67" t="s">
        <v>142</v>
      </c>
      <c r="N27" s="67" t="s">
        <v>70</v>
      </c>
      <c r="O27" s="69" t="s">
        <v>3024</v>
      </c>
      <c r="P27" s="71"/>
      <c r="Q27" s="72"/>
      <c r="R27" s="73"/>
      <c r="S27" s="73"/>
      <c r="T27" s="85"/>
    </row>
    <row r="28" spans="1:20" s="2" customFormat="1" ht="30" customHeight="1" x14ac:dyDescent="0.2">
      <c r="A28" s="79">
        <v>25</v>
      </c>
      <c r="B28" s="40" t="s">
        <v>3025</v>
      </c>
      <c r="C28" s="41" t="s">
        <v>2837</v>
      </c>
      <c r="D28" s="41" t="s">
        <v>243</v>
      </c>
      <c r="E28" s="41" t="s">
        <v>185</v>
      </c>
      <c r="F28" s="41" t="s">
        <v>83</v>
      </c>
      <c r="G28" s="80" t="s">
        <v>2975</v>
      </c>
      <c r="H28" s="41" t="s">
        <v>3025</v>
      </c>
      <c r="I28" s="81">
        <v>45</v>
      </c>
      <c r="J28" s="41"/>
      <c r="K28" s="6" t="s">
        <v>107</v>
      </c>
      <c r="L28" s="81" t="s">
        <v>204</v>
      </c>
      <c r="M28" s="41"/>
      <c r="N28" s="6" t="s">
        <v>107</v>
      </c>
      <c r="O28" s="6" t="s">
        <v>2805</v>
      </c>
      <c r="P28" s="13"/>
      <c r="Q28" s="41"/>
      <c r="R28" s="13"/>
      <c r="S28" s="13"/>
      <c r="T28" s="82"/>
    </row>
    <row r="29" spans="1:20" s="2" customFormat="1" ht="30" customHeight="1" x14ac:dyDescent="0.2">
      <c r="A29" s="83">
        <v>26</v>
      </c>
      <c r="B29" s="68" t="s">
        <v>2838</v>
      </c>
      <c r="C29" s="69" t="s">
        <v>2837</v>
      </c>
      <c r="D29" s="69" t="s">
        <v>243</v>
      </c>
      <c r="E29" s="67"/>
      <c r="F29" s="69" t="s">
        <v>7</v>
      </c>
      <c r="G29" s="84" t="s">
        <v>2975</v>
      </c>
      <c r="H29" s="84" t="s">
        <v>3010</v>
      </c>
      <c r="I29" s="70">
        <v>45</v>
      </c>
      <c r="J29" s="67" t="s">
        <v>69</v>
      </c>
      <c r="K29" s="69" t="s">
        <v>70</v>
      </c>
      <c r="L29" s="69" t="s">
        <v>204</v>
      </c>
      <c r="M29" s="67" t="s">
        <v>574</v>
      </c>
      <c r="N29" s="67" t="s">
        <v>107</v>
      </c>
      <c r="O29" s="69" t="s">
        <v>3026</v>
      </c>
      <c r="P29" s="71"/>
      <c r="Q29" s="72"/>
      <c r="R29" s="73"/>
      <c r="S29" s="73"/>
      <c r="T29" s="85"/>
    </row>
    <row r="30" spans="1:20" s="2" customFormat="1" ht="30" customHeight="1" x14ac:dyDescent="0.2">
      <c r="A30" s="79">
        <v>27</v>
      </c>
      <c r="B30" s="40" t="s">
        <v>3027</v>
      </c>
      <c r="C30" s="41" t="s">
        <v>3028</v>
      </c>
      <c r="D30" s="41" t="s">
        <v>8</v>
      </c>
      <c r="E30" s="41" t="s">
        <v>2285</v>
      </c>
      <c r="F30" s="41" t="s">
        <v>83</v>
      </c>
      <c r="G30" s="80" t="s">
        <v>2975</v>
      </c>
      <c r="H30" s="41" t="s">
        <v>3027</v>
      </c>
      <c r="I30" s="81" t="s">
        <v>2457</v>
      </c>
      <c r="J30" s="41" t="s">
        <v>119</v>
      </c>
      <c r="K30" s="6" t="s">
        <v>107</v>
      </c>
      <c r="L30" s="81" t="s">
        <v>757</v>
      </c>
      <c r="M30" s="41" t="s">
        <v>119</v>
      </c>
      <c r="N30" s="6" t="s">
        <v>107</v>
      </c>
      <c r="O30" s="6" t="s">
        <v>3029</v>
      </c>
      <c r="P30" s="13"/>
      <c r="Q30" s="41"/>
      <c r="R30" s="13"/>
      <c r="S30" s="13"/>
      <c r="T30" s="82"/>
    </row>
    <row r="31" spans="1:20" s="2" customFormat="1" ht="30" customHeight="1" x14ac:dyDescent="0.2">
      <c r="A31" s="83">
        <v>28</v>
      </c>
      <c r="B31" s="68" t="s">
        <v>1305</v>
      </c>
      <c r="C31" s="69" t="s">
        <v>1302</v>
      </c>
      <c r="D31" s="69" t="s">
        <v>6</v>
      </c>
      <c r="E31" s="67"/>
      <c r="F31" s="69" t="s">
        <v>7</v>
      </c>
      <c r="G31" s="84" t="s">
        <v>2975</v>
      </c>
      <c r="H31" s="84" t="s">
        <v>3010</v>
      </c>
      <c r="I31" s="70" t="s">
        <v>218</v>
      </c>
      <c r="J31" s="67" t="s">
        <v>262</v>
      </c>
      <c r="K31" s="69" t="s">
        <v>70</v>
      </c>
      <c r="L31" s="69" t="s">
        <v>268</v>
      </c>
      <c r="M31" s="67" t="s">
        <v>262</v>
      </c>
      <c r="N31" s="67" t="s">
        <v>70</v>
      </c>
      <c r="O31" s="69" t="s">
        <v>2281</v>
      </c>
      <c r="P31" s="71"/>
      <c r="Q31" s="72"/>
      <c r="R31" s="73"/>
      <c r="S31" s="73"/>
      <c r="T31" s="85"/>
    </row>
    <row r="32" spans="1:20" s="2" customFormat="1" ht="30" customHeight="1" x14ac:dyDescent="0.2">
      <c r="A32" s="79">
        <v>29</v>
      </c>
      <c r="B32" s="40" t="s">
        <v>3030</v>
      </c>
      <c r="C32" s="41" t="s">
        <v>870</v>
      </c>
      <c r="D32" s="41" t="s">
        <v>10</v>
      </c>
      <c r="E32" s="41"/>
      <c r="F32" s="41" t="s">
        <v>7</v>
      </c>
      <c r="G32" s="80" t="s">
        <v>2975</v>
      </c>
      <c r="H32" s="41" t="s">
        <v>3031</v>
      </c>
      <c r="I32" s="81" t="s">
        <v>104</v>
      </c>
      <c r="J32" s="41" t="s">
        <v>262</v>
      </c>
      <c r="K32" s="6" t="s">
        <v>70</v>
      </c>
      <c r="L32" s="81" t="s">
        <v>361</v>
      </c>
      <c r="M32" s="41"/>
      <c r="N32" s="6" t="s">
        <v>369</v>
      </c>
      <c r="O32" s="6" t="s">
        <v>3016</v>
      </c>
      <c r="P32" s="13"/>
      <c r="Q32" s="41"/>
      <c r="R32" s="13"/>
      <c r="S32" s="13"/>
      <c r="T32" s="82"/>
    </row>
    <row r="33" spans="1:20" s="2" customFormat="1" ht="30" customHeight="1" x14ac:dyDescent="0.2">
      <c r="A33" s="83">
        <v>30</v>
      </c>
      <c r="B33" s="68" t="s">
        <v>873</v>
      </c>
      <c r="C33" s="69" t="s">
        <v>3032</v>
      </c>
      <c r="D33" s="69" t="s">
        <v>2981</v>
      </c>
      <c r="E33" s="67" t="s">
        <v>1587</v>
      </c>
      <c r="F33" s="69" t="s">
        <v>222</v>
      </c>
      <c r="G33" s="84" t="s">
        <v>2975</v>
      </c>
      <c r="H33" s="84" t="s">
        <v>873</v>
      </c>
      <c r="I33" s="70" t="s">
        <v>117</v>
      </c>
      <c r="J33" s="67"/>
      <c r="K33" s="69" t="s">
        <v>70</v>
      </c>
      <c r="L33" s="69" t="s">
        <v>470</v>
      </c>
      <c r="M33" s="67"/>
      <c r="N33" s="67" t="s">
        <v>107</v>
      </c>
      <c r="O33" s="69" t="s">
        <v>2754</v>
      </c>
      <c r="P33" s="71"/>
      <c r="Q33" s="72"/>
      <c r="R33" s="73"/>
      <c r="S33" s="73"/>
      <c r="T33" s="85"/>
    </row>
    <row r="34" spans="1:20" s="2" customFormat="1" ht="30" customHeight="1" x14ac:dyDescent="0.2">
      <c r="A34" s="79">
        <v>31</v>
      </c>
      <c r="B34" s="40" t="s">
        <v>3033</v>
      </c>
      <c r="C34" s="41" t="s">
        <v>579</v>
      </c>
      <c r="D34" s="41" t="s">
        <v>9</v>
      </c>
      <c r="E34" s="41" t="s">
        <v>1587</v>
      </c>
      <c r="F34" s="41" t="s">
        <v>222</v>
      </c>
      <c r="G34" s="80" t="s">
        <v>2975</v>
      </c>
      <c r="H34" s="41" t="s">
        <v>3033</v>
      </c>
      <c r="I34" s="81" t="s">
        <v>104</v>
      </c>
      <c r="J34" s="41"/>
      <c r="K34" s="6" t="s">
        <v>107</v>
      </c>
      <c r="L34" s="81" t="s">
        <v>108</v>
      </c>
      <c r="M34" s="41"/>
      <c r="N34" s="6" t="s">
        <v>70</v>
      </c>
      <c r="O34" s="6" t="s">
        <v>3034</v>
      </c>
      <c r="P34" s="13"/>
      <c r="Q34" s="41"/>
      <c r="R34" s="13"/>
      <c r="S34" s="13"/>
      <c r="T34" s="82"/>
    </row>
    <row r="35" spans="1:20" s="2" customFormat="1" ht="30" customHeight="1" x14ac:dyDescent="0.2">
      <c r="A35" s="83">
        <v>32</v>
      </c>
      <c r="B35" s="68" t="s">
        <v>2540</v>
      </c>
      <c r="C35" s="69" t="s">
        <v>1943</v>
      </c>
      <c r="D35" s="69" t="s">
        <v>9</v>
      </c>
      <c r="E35" s="67"/>
      <c r="F35" s="69" t="s">
        <v>7</v>
      </c>
      <c r="G35" s="84" t="s">
        <v>2975</v>
      </c>
      <c r="H35" s="84"/>
      <c r="I35" s="70">
        <v>37</v>
      </c>
      <c r="J35" s="67"/>
      <c r="K35" s="69" t="s">
        <v>369</v>
      </c>
      <c r="L35" s="69" t="s">
        <v>2539</v>
      </c>
      <c r="M35" s="67" t="s">
        <v>69</v>
      </c>
      <c r="N35" s="67" t="s">
        <v>70</v>
      </c>
      <c r="O35" s="69" t="s">
        <v>3026</v>
      </c>
      <c r="P35" s="71"/>
      <c r="Q35" s="72"/>
      <c r="R35" s="73"/>
      <c r="S35" s="73"/>
      <c r="T35" s="85" t="s">
        <v>3035</v>
      </c>
    </row>
    <row r="36" spans="1:20" s="2" customFormat="1" ht="30" customHeight="1" x14ac:dyDescent="0.2">
      <c r="A36" s="79">
        <v>33</v>
      </c>
      <c r="B36" s="40" t="s">
        <v>3036</v>
      </c>
      <c r="C36" s="41" t="s">
        <v>3037</v>
      </c>
      <c r="D36" s="41" t="s">
        <v>9</v>
      </c>
      <c r="E36" s="41" t="s">
        <v>185</v>
      </c>
      <c r="F36" s="41" t="s">
        <v>83</v>
      </c>
      <c r="G36" s="80" t="s">
        <v>2975</v>
      </c>
      <c r="H36" s="41" t="s">
        <v>3036</v>
      </c>
      <c r="I36" s="81" t="s">
        <v>155</v>
      </c>
      <c r="J36" s="41" t="s">
        <v>262</v>
      </c>
      <c r="K36" s="6" t="s">
        <v>70</v>
      </c>
      <c r="L36" s="81" t="s">
        <v>167</v>
      </c>
      <c r="M36" s="41" t="s">
        <v>262</v>
      </c>
      <c r="N36" s="6" t="s">
        <v>70</v>
      </c>
      <c r="O36" s="6" t="s">
        <v>3038</v>
      </c>
      <c r="P36" s="13"/>
      <c r="Q36" s="41"/>
      <c r="R36" s="13"/>
      <c r="S36" s="13"/>
      <c r="T36" s="82"/>
    </row>
    <row r="37" spans="1:20" s="2" customFormat="1" ht="30" customHeight="1" x14ac:dyDescent="0.2">
      <c r="A37" s="83">
        <v>34</v>
      </c>
      <c r="B37" s="68" t="s">
        <v>3039</v>
      </c>
      <c r="C37" s="69" t="s">
        <v>3022</v>
      </c>
      <c r="D37" s="69" t="s">
        <v>6</v>
      </c>
      <c r="E37" s="67"/>
      <c r="F37" s="69" t="s">
        <v>222</v>
      </c>
      <c r="G37" s="84" t="s">
        <v>2975</v>
      </c>
      <c r="H37" s="84" t="s">
        <v>3039</v>
      </c>
      <c r="I37" s="70" t="s">
        <v>68</v>
      </c>
      <c r="J37" s="67"/>
      <c r="K37" s="69" t="s">
        <v>70</v>
      </c>
      <c r="L37" s="69" t="s">
        <v>263</v>
      </c>
      <c r="M37" s="67"/>
      <c r="N37" s="67" t="s">
        <v>70</v>
      </c>
      <c r="O37" s="69" t="s">
        <v>3024</v>
      </c>
      <c r="P37" s="71"/>
      <c r="Q37" s="72"/>
      <c r="R37" s="73"/>
      <c r="S37" s="73"/>
      <c r="T37" s="85"/>
    </row>
    <row r="38" spans="1:20" s="2" customFormat="1" ht="30" customHeight="1" x14ac:dyDescent="0.2">
      <c r="A38" s="79">
        <v>35</v>
      </c>
      <c r="B38" s="40" t="s">
        <v>3040</v>
      </c>
      <c r="C38" s="41" t="s">
        <v>2382</v>
      </c>
      <c r="D38" s="41" t="s">
        <v>10</v>
      </c>
      <c r="E38" s="41" t="s">
        <v>3041</v>
      </c>
      <c r="F38" s="41" t="s">
        <v>83</v>
      </c>
      <c r="G38" s="80" t="s">
        <v>2975</v>
      </c>
      <c r="H38" s="41" t="s">
        <v>3040</v>
      </c>
      <c r="I38" s="81" t="s">
        <v>104</v>
      </c>
      <c r="J38" s="41"/>
      <c r="K38" s="6" t="s">
        <v>107</v>
      </c>
      <c r="L38" s="81" t="s">
        <v>361</v>
      </c>
      <c r="M38" s="41"/>
      <c r="N38" s="6" t="s">
        <v>107</v>
      </c>
      <c r="O38" s="6" t="s">
        <v>3042</v>
      </c>
      <c r="P38" s="13"/>
      <c r="Q38" s="41"/>
      <c r="R38" s="13"/>
      <c r="S38" s="13"/>
      <c r="T38" s="82"/>
    </row>
    <row r="39" spans="1:20" s="2" customFormat="1" ht="30" customHeight="1" x14ac:dyDescent="0.2">
      <c r="A39" s="83">
        <v>36</v>
      </c>
      <c r="B39" s="68" t="s">
        <v>3043</v>
      </c>
      <c r="C39" s="69" t="s">
        <v>3044</v>
      </c>
      <c r="D39" s="69" t="s">
        <v>10</v>
      </c>
      <c r="E39" s="67" t="s">
        <v>3041</v>
      </c>
      <c r="F39" s="69" t="s">
        <v>83</v>
      </c>
      <c r="G39" s="84" t="s">
        <v>2975</v>
      </c>
      <c r="H39" s="84" t="s">
        <v>3043</v>
      </c>
      <c r="I39" s="70" t="s">
        <v>155</v>
      </c>
      <c r="J39" s="67" t="s">
        <v>69</v>
      </c>
      <c r="K39" s="69" t="s">
        <v>70</v>
      </c>
      <c r="L39" s="69" t="s">
        <v>804</v>
      </c>
      <c r="M39" s="67" t="s">
        <v>69</v>
      </c>
      <c r="N39" s="67" t="s">
        <v>70</v>
      </c>
      <c r="O39" s="69" t="s">
        <v>3045</v>
      </c>
      <c r="P39" s="71"/>
      <c r="Q39" s="72"/>
      <c r="R39" s="73"/>
      <c r="S39" s="73"/>
      <c r="T39" s="85"/>
    </row>
    <row r="40" spans="1:20" s="2" customFormat="1" ht="30" customHeight="1" x14ac:dyDescent="0.2">
      <c r="A40" s="79">
        <v>37</v>
      </c>
      <c r="B40" s="40" t="s">
        <v>3046</v>
      </c>
      <c r="C40" s="41" t="s">
        <v>3037</v>
      </c>
      <c r="D40" s="41" t="s">
        <v>9</v>
      </c>
      <c r="E40" s="41"/>
      <c r="F40" s="41" t="s">
        <v>7</v>
      </c>
      <c r="G40" s="80" t="s">
        <v>2975</v>
      </c>
      <c r="H40" s="41" t="s">
        <v>3047</v>
      </c>
      <c r="I40" s="81" t="s">
        <v>155</v>
      </c>
      <c r="J40" s="41" t="s">
        <v>142</v>
      </c>
      <c r="K40" s="6" t="s">
        <v>70</v>
      </c>
      <c r="L40" s="81" t="s">
        <v>170</v>
      </c>
      <c r="M40" s="41" t="s">
        <v>142</v>
      </c>
      <c r="N40" s="6" t="s">
        <v>70</v>
      </c>
      <c r="O40" s="6" t="s">
        <v>3048</v>
      </c>
      <c r="P40" s="13"/>
      <c r="Q40" s="41"/>
      <c r="R40" s="13"/>
      <c r="S40" s="13"/>
      <c r="T40" s="82"/>
    </row>
    <row r="41" spans="1:20" s="2" customFormat="1" ht="30" customHeight="1" x14ac:dyDescent="0.2">
      <c r="A41" s="83">
        <v>38</v>
      </c>
      <c r="B41" s="68" t="s">
        <v>2671</v>
      </c>
      <c r="C41" s="69" t="s">
        <v>3044</v>
      </c>
      <c r="D41" s="69" t="s">
        <v>10</v>
      </c>
      <c r="E41" s="67"/>
      <c r="F41" s="69" t="s">
        <v>7</v>
      </c>
      <c r="G41" s="84" t="s">
        <v>2975</v>
      </c>
      <c r="H41" s="84" t="s">
        <v>3047</v>
      </c>
      <c r="I41" s="70" t="s">
        <v>155</v>
      </c>
      <c r="J41" s="67" t="s">
        <v>3049</v>
      </c>
      <c r="K41" s="69"/>
      <c r="L41" s="69" t="s">
        <v>324</v>
      </c>
      <c r="M41" s="67" t="s">
        <v>69</v>
      </c>
      <c r="N41" s="67" t="s">
        <v>70</v>
      </c>
      <c r="O41" s="69" t="s">
        <v>3045</v>
      </c>
      <c r="P41" s="71"/>
      <c r="Q41" s="72"/>
      <c r="R41" s="73"/>
      <c r="S41" s="73"/>
      <c r="T41" s="85"/>
    </row>
    <row r="42" spans="1:20" s="2" customFormat="1" ht="30" customHeight="1" x14ac:dyDescent="0.2">
      <c r="A42" s="79">
        <v>39</v>
      </c>
      <c r="B42" s="40" t="s">
        <v>2670</v>
      </c>
      <c r="C42" s="41" t="s">
        <v>3050</v>
      </c>
      <c r="D42" s="41" t="s">
        <v>20</v>
      </c>
      <c r="E42" s="41" t="s">
        <v>185</v>
      </c>
      <c r="F42" s="41" t="s">
        <v>83</v>
      </c>
      <c r="G42" s="80" t="s">
        <v>2975</v>
      </c>
      <c r="H42" s="41" t="s">
        <v>2671</v>
      </c>
      <c r="I42" s="81" t="s">
        <v>104</v>
      </c>
      <c r="J42" s="41" t="s">
        <v>119</v>
      </c>
      <c r="K42" s="6" t="s">
        <v>107</v>
      </c>
      <c r="L42" s="81" t="s">
        <v>361</v>
      </c>
      <c r="M42" s="41" t="s">
        <v>119</v>
      </c>
      <c r="N42" s="6" t="s">
        <v>107</v>
      </c>
      <c r="O42" s="6" t="s">
        <v>3051</v>
      </c>
      <c r="P42" s="13"/>
      <c r="Q42" s="41"/>
      <c r="R42" s="13"/>
      <c r="S42" s="13"/>
      <c r="T42" s="82"/>
    </row>
    <row r="43" spans="1:20" s="2" customFormat="1" ht="30" customHeight="1" x14ac:dyDescent="0.2">
      <c r="A43" s="83">
        <v>40</v>
      </c>
      <c r="B43" s="68" t="s">
        <v>2670</v>
      </c>
      <c r="C43" s="69" t="s">
        <v>3050</v>
      </c>
      <c r="D43" s="69" t="s">
        <v>20</v>
      </c>
      <c r="E43" s="67"/>
      <c r="F43" s="69" t="s">
        <v>7</v>
      </c>
      <c r="G43" s="84" t="s">
        <v>2975</v>
      </c>
      <c r="H43" s="84" t="s">
        <v>2671</v>
      </c>
      <c r="I43" s="70" t="s">
        <v>104</v>
      </c>
      <c r="J43" s="67"/>
      <c r="K43" s="69" t="s">
        <v>107</v>
      </c>
      <c r="L43" s="69" t="s">
        <v>328</v>
      </c>
      <c r="M43" s="67"/>
      <c r="N43" s="67" t="s">
        <v>107</v>
      </c>
      <c r="O43" s="69" t="s">
        <v>3051</v>
      </c>
      <c r="P43" s="71"/>
      <c r="Q43" s="72"/>
      <c r="R43" s="73"/>
      <c r="S43" s="73"/>
      <c r="T43" s="85"/>
    </row>
    <row r="44" spans="1:20" s="2" customFormat="1" ht="30" customHeight="1" x14ac:dyDescent="0.2">
      <c r="A44" s="79">
        <v>41</v>
      </c>
      <c r="B44" s="40" t="s">
        <v>3052</v>
      </c>
      <c r="C44" s="41" t="s">
        <v>3053</v>
      </c>
      <c r="D44" s="41" t="s">
        <v>20</v>
      </c>
      <c r="E44" s="41" t="s">
        <v>185</v>
      </c>
      <c r="F44" s="41" t="s">
        <v>83</v>
      </c>
      <c r="G44" s="80" t="s">
        <v>2975</v>
      </c>
      <c r="H44" s="41" t="s">
        <v>2671</v>
      </c>
      <c r="I44" s="81" t="s">
        <v>155</v>
      </c>
      <c r="J44" s="41" t="s">
        <v>142</v>
      </c>
      <c r="K44" s="6" t="s">
        <v>70</v>
      </c>
      <c r="L44" s="81" t="s">
        <v>804</v>
      </c>
      <c r="M44" s="41" t="s">
        <v>142</v>
      </c>
      <c r="N44" s="6" t="s">
        <v>70</v>
      </c>
      <c r="O44" s="6" t="s">
        <v>3054</v>
      </c>
      <c r="P44" s="13"/>
      <c r="Q44" s="41"/>
      <c r="R44" s="13"/>
      <c r="S44" s="13"/>
      <c r="T44" s="82" t="s">
        <v>3055</v>
      </c>
    </row>
    <row r="45" spans="1:20" s="2" customFormat="1" ht="30" customHeight="1" x14ac:dyDescent="0.2">
      <c r="A45" s="83">
        <v>42</v>
      </c>
      <c r="B45" s="68" t="s">
        <v>3052</v>
      </c>
      <c r="C45" s="69" t="s">
        <v>3053</v>
      </c>
      <c r="D45" s="69" t="s">
        <v>20</v>
      </c>
      <c r="E45" s="67"/>
      <c r="F45" s="69" t="s">
        <v>7</v>
      </c>
      <c r="G45" s="84" t="s">
        <v>2975</v>
      </c>
      <c r="H45" s="84" t="s">
        <v>3047</v>
      </c>
      <c r="I45" s="70" t="s">
        <v>155</v>
      </c>
      <c r="J45" s="67" t="s">
        <v>69</v>
      </c>
      <c r="K45" s="69" t="s">
        <v>70</v>
      </c>
      <c r="L45" s="69" t="s">
        <v>167</v>
      </c>
      <c r="M45" s="67" t="s">
        <v>69</v>
      </c>
      <c r="N45" s="67" t="s">
        <v>70</v>
      </c>
      <c r="O45" s="69" t="s">
        <v>3054</v>
      </c>
      <c r="P45" s="71"/>
      <c r="Q45" s="72"/>
      <c r="R45" s="73"/>
      <c r="S45" s="73"/>
      <c r="T45" s="85"/>
    </row>
    <row r="46" spans="1:20" s="2" customFormat="1" ht="30" customHeight="1" x14ac:dyDescent="0.2">
      <c r="A46" s="79">
        <v>43</v>
      </c>
      <c r="B46" s="40" t="s">
        <v>1526</v>
      </c>
      <c r="C46" s="41" t="s">
        <v>1522</v>
      </c>
      <c r="D46" s="41" t="s">
        <v>10</v>
      </c>
      <c r="E46" s="41" t="s">
        <v>185</v>
      </c>
      <c r="F46" s="41" t="s">
        <v>83</v>
      </c>
      <c r="G46" s="80" t="s">
        <v>2975</v>
      </c>
      <c r="H46" s="41" t="s">
        <v>1526</v>
      </c>
      <c r="I46" s="81" t="s">
        <v>223</v>
      </c>
      <c r="J46" s="41"/>
      <c r="K46" s="6" t="s">
        <v>107</v>
      </c>
      <c r="L46" s="81" t="s">
        <v>1013</v>
      </c>
      <c r="M46" s="41" t="s">
        <v>3056</v>
      </c>
      <c r="N46" s="6" t="s">
        <v>107</v>
      </c>
      <c r="O46" s="6" t="s">
        <v>3057</v>
      </c>
      <c r="P46" s="13"/>
      <c r="Q46" s="41"/>
      <c r="R46" s="13"/>
      <c r="S46" s="13"/>
      <c r="T46" s="82"/>
    </row>
    <row r="47" spans="1:20" s="2" customFormat="1" ht="30" customHeight="1" x14ac:dyDescent="0.2">
      <c r="A47" s="83">
        <v>44</v>
      </c>
      <c r="B47" s="68" t="s">
        <v>1525</v>
      </c>
      <c r="C47" s="69" t="s">
        <v>1522</v>
      </c>
      <c r="D47" s="69" t="s">
        <v>10</v>
      </c>
      <c r="E47" s="67"/>
      <c r="F47" s="69" t="s">
        <v>7</v>
      </c>
      <c r="G47" s="84" t="s">
        <v>2975</v>
      </c>
      <c r="H47" s="84" t="s">
        <v>1074</v>
      </c>
      <c r="I47" s="70" t="s">
        <v>2457</v>
      </c>
      <c r="J47" s="67"/>
      <c r="K47" s="69" t="s">
        <v>107</v>
      </c>
      <c r="L47" s="69" t="s">
        <v>425</v>
      </c>
      <c r="M47" s="67"/>
      <c r="N47" s="67" t="s">
        <v>107</v>
      </c>
      <c r="O47" s="69" t="s">
        <v>3057</v>
      </c>
      <c r="P47" s="71"/>
      <c r="Q47" s="72"/>
      <c r="R47" s="73"/>
      <c r="S47" s="73"/>
      <c r="T47" s="85"/>
    </row>
    <row r="48" spans="1:20" s="2" customFormat="1" ht="30" customHeight="1" x14ac:dyDescent="0.2">
      <c r="A48" s="79">
        <v>45</v>
      </c>
      <c r="B48" s="40" t="s">
        <v>3058</v>
      </c>
      <c r="C48" s="41" t="s">
        <v>3059</v>
      </c>
      <c r="D48" s="41" t="s">
        <v>8</v>
      </c>
      <c r="E48" s="41" t="s">
        <v>3041</v>
      </c>
      <c r="F48" s="41" t="s">
        <v>83</v>
      </c>
      <c r="G48" s="80" t="s">
        <v>2975</v>
      </c>
      <c r="H48" s="41" t="s">
        <v>3058</v>
      </c>
      <c r="I48" s="81" t="s">
        <v>141</v>
      </c>
      <c r="J48" s="41"/>
      <c r="K48" s="6" t="s">
        <v>107</v>
      </c>
      <c r="L48" s="81" t="s">
        <v>998</v>
      </c>
      <c r="M48" s="41"/>
      <c r="N48" s="6" t="s">
        <v>107</v>
      </c>
      <c r="O48" s="6" t="s">
        <v>3060</v>
      </c>
      <c r="P48" s="13"/>
      <c r="Q48" s="41"/>
      <c r="R48" s="13"/>
      <c r="S48" s="13"/>
      <c r="T48" s="82"/>
    </row>
    <row r="49" spans="1:20" s="2" customFormat="1" ht="30" customHeight="1" x14ac:dyDescent="0.2">
      <c r="A49" s="83">
        <v>46</v>
      </c>
      <c r="B49" s="68" t="s">
        <v>3061</v>
      </c>
      <c r="C49" s="69" t="s">
        <v>3059</v>
      </c>
      <c r="D49" s="69" t="s">
        <v>8</v>
      </c>
      <c r="E49" s="67"/>
      <c r="F49" s="69" t="s">
        <v>7</v>
      </c>
      <c r="G49" s="84" t="s">
        <v>2975</v>
      </c>
      <c r="H49" s="84" t="s">
        <v>1074</v>
      </c>
      <c r="I49" s="70" t="s">
        <v>141</v>
      </c>
      <c r="J49" s="67"/>
      <c r="K49" s="69" t="s">
        <v>107</v>
      </c>
      <c r="L49" s="69" t="s">
        <v>998</v>
      </c>
      <c r="M49" s="67"/>
      <c r="N49" s="67" t="s">
        <v>107</v>
      </c>
      <c r="O49" s="69" t="s">
        <v>3060</v>
      </c>
      <c r="P49" s="71"/>
      <c r="Q49" s="72"/>
      <c r="R49" s="73"/>
      <c r="S49" s="73"/>
      <c r="T49" s="85"/>
    </row>
    <row r="50" spans="1:20" s="2" customFormat="1" ht="30" customHeight="1" x14ac:dyDescent="0.2">
      <c r="A50" s="79">
        <v>47</v>
      </c>
      <c r="B50" s="40" t="s">
        <v>3062</v>
      </c>
      <c r="C50" s="41" t="s">
        <v>1943</v>
      </c>
      <c r="D50" s="41" t="s">
        <v>9</v>
      </c>
      <c r="E50" s="41"/>
      <c r="F50" s="41" t="s">
        <v>7</v>
      </c>
      <c r="G50" s="80" t="s">
        <v>2975</v>
      </c>
      <c r="H50" s="41" t="s">
        <v>1074</v>
      </c>
      <c r="I50" s="81" t="s">
        <v>140</v>
      </c>
      <c r="J50" s="41"/>
      <c r="K50" s="6" t="s">
        <v>107</v>
      </c>
      <c r="L50" s="81" t="s">
        <v>2539</v>
      </c>
      <c r="M50" s="41" t="s">
        <v>69</v>
      </c>
      <c r="N50" s="6" t="s">
        <v>70</v>
      </c>
      <c r="O50" s="6" t="s">
        <v>2540</v>
      </c>
      <c r="P50" s="13"/>
      <c r="Q50" s="41"/>
      <c r="R50" s="13"/>
      <c r="S50" s="13"/>
      <c r="T50" s="82"/>
    </row>
    <row r="51" spans="1:20" s="2" customFormat="1" ht="30" customHeight="1" x14ac:dyDescent="0.2">
      <c r="A51" s="83">
        <v>48</v>
      </c>
      <c r="B51" s="68" t="s">
        <v>3063</v>
      </c>
      <c r="C51" s="69" t="s">
        <v>3064</v>
      </c>
      <c r="D51" s="69" t="s">
        <v>10</v>
      </c>
      <c r="E51" s="67" t="s">
        <v>185</v>
      </c>
      <c r="F51" s="69" t="s">
        <v>83</v>
      </c>
      <c r="G51" s="84" t="s">
        <v>2975</v>
      </c>
      <c r="H51" s="84" t="s">
        <v>3063</v>
      </c>
      <c r="I51" s="70" t="s">
        <v>155</v>
      </c>
      <c r="J51" s="67" t="s">
        <v>262</v>
      </c>
      <c r="K51" s="69" t="s">
        <v>70</v>
      </c>
      <c r="L51" s="69" t="s">
        <v>324</v>
      </c>
      <c r="M51" s="67"/>
      <c r="N51" s="67" t="s">
        <v>107</v>
      </c>
      <c r="O51" s="69" t="s">
        <v>3065</v>
      </c>
      <c r="P51" s="71"/>
      <c r="Q51" s="72"/>
      <c r="R51" s="73"/>
      <c r="S51" s="73"/>
      <c r="T51" s="85"/>
    </row>
    <row r="52" spans="1:20" s="2" customFormat="1" ht="30" customHeight="1" x14ac:dyDescent="0.2">
      <c r="A52" s="79">
        <v>49</v>
      </c>
      <c r="B52" s="40" t="s">
        <v>3066</v>
      </c>
      <c r="C52" s="41" t="s">
        <v>3064</v>
      </c>
      <c r="D52" s="41" t="s">
        <v>10</v>
      </c>
      <c r="E52" s="41"/>
      <c r="F52" s="41" t="s">
        <v>7</v>
      </c>
      <c r="G52" s="80" t="s">
        <v>2975</v>
      </c>
      <c r="H52" s="41" t="s">
        <v>1074</v>
      </c>
      <c r="I52" s="81" t="s">
        <v>155</v>
      </c>
      <c r="J52" s="41"/>
      <c r="K52" s="6" t="s">
        <v>107</v>
      </c>
      <c r="L52" s="81" t="s">
        <v>324</v>
      </c>
      <c r="M52" s="41"/>
      <c r="N52" s="6" t="s">
        <v>70</v>
      </c>
      <c r="O52" s="6" t="s">
        <v>3065</v>
      </c>
      <c r="P52" s="13"/>
      <c r="Q52" s="41"/>
      <c r="R52" s="13"/>
      <c r="S52" s="13"/>
      <c r="T52" s="82"/>
    </row>
    <row r="53" spans="1:20" s="2" customFormat="1" ht="30" customHeight="1" x14ac:dyDescent="0.2">
      <c r="A53" s="83">
        <v>50</v>
      </c>
      <c r="B53" s="68" t="s">
        <v>3067</v>
      </c>
      <c r="C53" s="69" t="s">
        <v>3068</v>
      </c>
      <c r="D53" s="69" t="s">
        <v>2981</v>
      </c>
      <c r="E53" s="67" t="s">
        <v>202</v>
      </c>
      <c r="F53" s="69" t="s">
        <v>83</v>
      </c>
      <c r="G53" s="84" t="s">
        <v>2975</v>
      </c>
      <c r="H53" s="84" t="s">
        <v>3067</v>
      </c>
      <c r="I53" s="70" t="s">
        <v>117</v>
      </c>
      <c r="J53" s="67" t="s">
        <v>142</v>
      </c>
      <c r="K53" s="69" t="s">
        <v>70</v>
      </c>
      <c r="L53" s="69" t="s">
        <v>470</v>
      </c>
      <c r="M53" s="67"/>
      <c r="N53" s="67" t="s">
        <v>107</v>
      </c>
      <c r="O53" s="69" t="s">
        <v>3069</v>
      </c>
      <c r="P53" s="71"/>
      <c r="Q53" s="72"/>
      <c r="R53" s="73"/>
      <c r="S53" s="73"/>
      <c r="T53" s="85"/>
    </row>
    <row r="54" spans="1:20" s="2" customFormat="1" ht="30" customHeight="1" x14ac:dyDescent="0.2">
      <c r="A54" s="79">
        <v>51</v>
      </c>
      <c r="B54" s="40" t="s">
        <v>3070</v>
      </c>
      <c r="C54" s="41" t="s">
        <v>3071</v>
      </c>
      <c r="D54" s="41" t="s">
        <v>6</v>
      </c>
      <c r="E54" s="41" t="s">
        <v>174</v>
      </c>
      <c r="F54" s="41" t="s">
        <v>83</v>
      </c>
      <c r="G54" s="80" t="s">
        <v>2975</v>
      </c>
      <c r="H54" s="41" t="s">
        <v>3070</v>
      </c>
      <c r="I54" s="81" t="s">
        <v>68</v>
      </c>
      <c r="J54" s="41"/>
      <c r="K54" s="6" t="s">
        <v>107</v>
      </c>
      <c r="L54" s="81" t="s">
        <v>263</v>
      </c>
      <c r="M54" s="41"/>
      <c r="N54" s="6" t="s">
        <v>70</v>
      </c>
      <c r="O54" s="6" t="s">
        <v>3072</v>
      </c>
      <c r="P54" s="13"/>
      <c r="Q54" s="41"/>
      <c r="R54" s="13"/>
      <c r="S54" s="13"/>
      <c r="T54" s="82"/>
    </row>
    <row r="55" spans="1:20" s="2" customFormat="1" ht="30" customHeight="1" x14ac:dyDescent="0.2">
      <c r="A55" s="83">
        <v>52</v>
      </c>
      <c r="B55" s="68" t="s">
        <v>3073</v>
      </c>
      <c r="C55" s="69" t="s">
        <v>3074</v>
      </c>
      <c r="D55" s="69" t="s">
        <v>2981</v>
      </c>
      <c r="E55" s="67" t="s">
        <v>185</v>
      </c>
      <c r="F55" s="69" t="s">
        <v>83</v>
      </c>
      <c r="G55" s="84" t="s">
        <v>2975</v>
      </c>
      <c r="H55" s="84" t="s">
        <v>3073</v>
      </c>
      <c r="I55" s="70" t="s">
        <v>104</v>
      </c>
      <c r="J55" s="67"/>
      <c r="K55" s="69" t="s">
        <v>107</v>
      </c>
      <c r="L55" s="69" t="s">
        <v>361</v>
      </c>
      <c r="M55" s="67"/>
      <c r="N55" s="67" t="s">
        <v>107</v>
      </c>
      <c r="O55" s="69" t="s">
        <v>3075</v>
      </c>
      <c r="P55" s="71"/>
      <c r="Q55" s="72"/>
      <c r="R55" s="73"/>
      <c r="S55" s="73"/>
      <c r="T55" s="85"/>
    </row>
    <row r="56" spans="1:20" s="2" customFormat="1" ht="30" customHeight="1" x14ac:dyDescent="0.2">
      <c r="A56" s="79">
        <v>53</v>
      </c>
      <c r="B56" s="40" t="s">
        <v>3076</v>
      </c>
      <c r="C56" s="41" t="s">
        <v>3074</v>
      </c>
      <c r="D56" s="41" t="s">
        <v>2981</v>
      </c>
      <c r="E56" s="41"/>
      <c r="F56" s="41" t="s">
        <v>7</v>
      </c>
      <c r="G56" s="80" t="s">
        <v>2975</v>
      </c>
      <c r="H56" s="41" t="s">
        <v>1438</v>
      </c>
      <c r="I56" s="81" t="s">
        <v>117</v>
      </c>
      <c r="J56" s="41"/>
      <c r="K56" s="6" t="s">
        <v>369</v>
      </c>
      <c r="L56" s="81" t="s">
        <v>120</v>
      </c>
      <c r="M56" s="41"/>
      <c r="N56" s="6" t="s">
        <v>107</v>
      </c>
      <c r="O56" s="6" t="s">
        <v>3075</v>
      </c>
      <c r="P56" s="13"/>
      <c r="Q56" s="41"/>
      <c r="R56" s="13"/>
      <c r="S56" s="13"/>
      <c r="T56" s="82"/>
    </row>
    <row r="57" spans="1:20" s="2" customFormat="1" ht="30" customHeight="1" x14ac:dyDescent="0.2">
      <c r="A57" s="83">
        <v>54</v>
      </c>
      <c r="B57" s="68" t="s">
        <v>3077</v>
      </c>
      <c r="C57" s="69" t="s">
        <v>2756</v>
      </c>
      <c r="D57" s="69" t="s">
        <v>8</v>
      </c>
      <c r="E57" s="67" t="s">
        <v>185</v>
      </c>
      <c r="F57" s="69" t="s">
        <v>83</v>
      </c>
      <c r="G57" s="84" t="s">
        <v>2975</v>
      </c>
      <c r="H57" s="84" t="s">
        <v>3077</v>
      </c>
      <c r="I57" s="70" t="s">
        <v>104</v>
      </c>
      <c r="J57" s="67"/>
      <c r="K57" s="69" t="s">
        <v>107</v>
      </c>
      <c r="L57" s="69" t="s">
        <v>108</v>
      </c>
      <c r="M57" s="67"/>
      <c r="N57" s="67" t="s">
        <v>70</v>
      </c>
      <c r="O57" s="69" t="s">
        <v>3078</v>
      </c>
      <c r="P57" s="71"/>
      <c r="Q57" s="72"/>
      <c r="R57" s="73"/>
      <c r="S57" s="73"/>
      <c r="T57" s="85"/>
    </row>
    <row r="58" spans="1:20" s="2" customFormat="1" ht="30" customHeight="1" x14ac:dyDescent="0.2">
      <c r="A58" s="79">
        <v>55</v>
      </c>
      <c r="B58" s="40" t="s">
        <v>478</v>
      </c>
      <c r="C58" s="41" t="s">
        <v>2756</v>
      </c>
      <c r="D58" s="41" t="s">
        <v>8</v>
      </c>
      <c r="E58" s="41"/>
      <c r="F58" s="41" t="s">
        <v>7</v>
      </c>
      <c r="G58" s="80" t="s">
        <v>2975</v>
      </c>
      <c r="H58" s="41" t="s">
        <v>1074</v>
      </c>
      <c r="I58" s="81" t="s">
        <v>104</v>
      </c>
      <c r="J58" s="41"/>
      <c r="K58" s="6" t="s">
        <v>107</v>
      </c>
      <c r="L58" s="81" t="s">
        <v>108</v>
      </c>
      <c r="M58" s="41"/>
      <c r="N58" s="6" t="s">
        <v>107</v>
      </c>
      <c r="O58" s="6" t="s">
        <v>3078</v>
      </c>
      <c r="P58" s="13"/>
      <c r="Q58" s="41"/>
      <c r="R58" s="13"/>
      <c r="S58" s="13"/>
      <c r="T58" s="82"/>
    </row>
    <row r="59" spans="1:20" s="2" customFormat="1" ht="30" customHeight="1" x14ac:dyDescent="0.2">
      <c r="A59" s="83">
        <v>56</v>
      </c>
      <c r="B59" s="68" t="s">
        <v>3079</v>
      </c>
      <c r="C59" s="69" t="s">
        <v>3059</v>
      </c>
      <c r="D59" s="69" t="s">
        <v>8</v>
      </c>
      <c r="E59" s="67" t="s">
        <v>3041</v>
      </c>
      <c r="F59" s="69" t="s">
        <v>83</v>
      </c>
      <c r="G59" s="84" t="s">
        <v>2975</v>
      </c>
      <c r="H59" s="84" t="s">
        <v>3079</v>
      </c>
      <c r="I59" s="70" t="s">
        <v>141</v>
      </c>
      <c r="J59" s="67"/>
      <c r="K59" s="69" t="s">
        <v>107</v>
      </c>
      <c r="L59" s="69" t="s">
        <v>998</v>
      </c>
      <c r="M59" s="67"/>
      <c r="N59" s="67" t="s">
        <v>107</v>
      </c>
      <c r="O59" s="69" t="s">
        <v>3061</v>
      </c>
      <c r="P59" s="71"/>
      <c r="Q59" s="72"/>
      <c r="R59" s="73"/>
      <c r="S59" s="73"/>
      <c r="T59" s="85" t="s">
        <v>3080</v>
      </c>
    </row>
    <row r="60" spans="1:20" s="2" customFormat="1" ht="30" customHeight="1" x14ac:dyDescent="0.2">
      <c r="A60" s="79">
        <v>57</v>
      </c>
      <c r="B60" s="40" t="s">
        <v>1075</v>
      </c>
      <c r="C60" s="41" t="s">
        <v>1071</v>
      </c>
      <c r="D60" s="41" t="s">
        <v>9</v>
      </c>
      <c r="E60" s="41" t="s">
        <v>185</v>
      </c>
      <c r="F60" s="41" t="s">
        <v>83</v>
      </c>
      <c r="G60" s="80" t="s">
        <v>2975</v>
      </c>
      <c r="H60" s="41" t="s">
        <v>1075</v>
      </c>
      <c r="I60" s="81" t="s">
        <v>155</v>
      </c>
      <c r="J60" s="41"/>
      <c r="K60" s="6" t="s">
        <v>70</v>
      </c>
      <c r="L60" s="81" t="s">
        <v>167</v>
      </c>
      <c r="M60" s="41"/>
      <c r="N60" s="6" t="s">
        <v>107</v>
      </c>
      <c r="O60" s="6" t="s">
        <v>582</v>
      </c>
      <c r="P60" s="13"/>
      <c r="Q60" s="41"/>
      <c r="R60" s="13"/>
      <c r="S60" s="13"/>
      <c r="T60" s="82"/>
    </row>
    <row r="61" spans="1:20" s="2" customFormat="1" ht="30" customHeight="1" x14ac:dyDescent="0.2">
      <c r="A61" s="83">
        <v>58</v>
      </c>
      <c r="B61" s="68" t="s">
        <v>1074</v>
      </c>
      <c r="C61" s="69" t="s">
        <v>1071</v>
      </c>
      <c r="D61" s="69" t="s">
        <v>9</v>
      </c>
      <c r="E61" s="67"/>
      <c r="F61" s="69" t="s">
        <v>7</v>
      </c>
      <c r="G61" s="84" t="s">
        <v>2975</v>
      </c>
      <c r="H61" s="84" t="s">
        <v>1074</v>
      </c>
      <c r="I61" s="70" t="s">
        <v>155</v>
      </c>
      <c r="J61" s="67"/>
      <c r="K61" s="69" t="s">
        <v>70</v>
      </c>
      <c r="L61" s="69" t="s">
        <v>167</v>
      </c>
      <c r="M61" s="67"/>
      <c r="N61" s="67" t="s">
        <v>70</v>
      </c>
      <c r="O61" s="69" t="s">
        <v>582</v>
      </c>
      <c r="P61" s="71"/>
      <c r="Q61" s="72"/>
      <c r="R61" s="73"/>
      <c r="S61" s="73"/>
      <c r="T61" s="85"/>
    </row>
    <row r="62" spans="1:20" s="2" customFormat="1" ht="30" customHeight="1" x14ac:dyDescent="0.2">
      <c r="A62" s="79">
        <v>59</v>
      </c>
      <c r="B62" s="40" t="s">
        <v>3081</v>
      </c>
      <c r="C62" s="41" t="s">
        <v>2400</v>
      </c>
      <c r="D62" s="41" t="s">
        <v>9</v>
      </c>
      <c r="E62" s="41" t="s">
        <v>202</v>
      </c>
      <c r="F62" s="41" t="s">
        <v>83</v>
      </c>
      <c r="G62" s="80" t="s">
        <v>2975</v>
      </c>
      <c r="H62" s="41" t="s">
        <v>3081</v>
      </c>
      <c r="I62" s="81" t="s">
        <v>155</v>
      </c>
      <c r="J62" s="41" t="s">
        <v>142</v>
      </c>
      <c r="K62" s="6" t="s">
        <v>70</v>
      </c>
      <c r="L62" s="81" t="s">
        <v>167</v>
      </c>
      <c r="M62" s="41"/>
      <c r="N62" s="6" t="s">
        <v>70</v>
      </c>
      <c r="O62" s="6" t="s">
        <v>3082</v>
      </c>
      <c r="P62" s="13"/>
      <c r="Q62" s="41"/>
      <c r="R62" s="13"/>
      <c r="S62" s="13"/>
      <c r="T62" s="82"/>
    </row>
    <row r="63" spans="1:20" s="2" customFormat="1" ht="30" customHeight="1" x14ac:dyDescent="0.2">
      <c r="A63" s="83">
        <v>60</v>
      </c>
      <c r="B63" s="68" t="s">
        <v>3083</v>
      </c>
      <c r="C63" s="69" t="s">
        <v>3084</v>
      </c>
      <c r="D63" s="69" t="s">
        <v>8</v>
      </c>
      <c r="E63" s="67" t="s">
        <v>3085</v>
      </c>
      <c r="F63" s="69" t="s">
        <v>83</v>
      </c>
      <c r="G63" s="84" t="s">
        <v>2975</v>
      </c>
      <c r="H63" s="84" t="s">
        <v>3083</v>
      </c>
      <c r="I63" s="70" t="s">
        <v>117</v>
      </c>
      <c r="J63" s="67"/>
      <c r="K63" s="69" t="s">
        <v>369</v>
      </c>
      <c r="L63" s="69" t="s">
        <v>470</v>
      </c>
      <c r="M63" s="67"/>
      <c r="N63" s="67" t="s">
        <v>107</v>
      </c>
      <c r="O63" s="69" t="s">
        <v>3086</v>
      </c>
      <c r="P63" s="71"/>
      <c r="Q63" s="72"/>
      <c r="R63" s="73"/>
      <c r="S63" s="73"/>
      <c r="T63" s="85"/>
    </row>
    <row r="64" spans="1:20" s="2" customFormat="1" ht="30" customHeight="1" x14ac:dyDescent="0.2">
      <c r="A64" s="79">
        <v>61</v>
      </c>
      <c r="B64" s="40" t="s">
        <v>2491</v>
      </c>
      <c r="C64" s="41" t="s">
        <v>3084</v>
      </c>
      <c r="D64" s="41" t="s">
        <v>8</v>
      </c>
      <c r="E64" s="41"/>
      <c r="F64" s="41" t="s">
        <v>7</v>
      </c>
      <c r="G64" s="80" t="s">
        <v>2975</v>
      </c>
      <c r="H64" s="41" t="s">
        <v>1438</v>
      </c>
      <c r="I64" s="81" t="s">
        <v>117</v>
      </c>
      <c r="J64" s="41"/>
      <c r="K64" s="6" t="s">
        <v>107</v>
      </c>
      <c r="L64" s="81" t="s">
        <v>470</v>
      </c>
      <c r="M64" s="41"/>
      <c r="N64" s="6" t="s">
        <v>70</v>
      </c>
      <c r="O64" s="6" t="s">
        <v>3086</v>
      </c>
      <c r="P64" s="13"/>
      <c r="Q64" s="41"/>
      <c r="R64" s="13"/>
      <c r="S64" s="13"/>
      <c r="T64" s="82"/>
    </row>
    <row r="65" spans="1:20" s="2" customFormat="1" ht="30" customHeight="1" x14ac:dyDescent="0.2">
      <c r="A65" s="83">
        <v>62</v>
      </c>
      <c r="B65" s="68" t="s">
        <v>2754</v>
      </c>
      <c r="C65" s="69" t="s">
        <v>3087</v>
      </c>
      <c r="D65" s="69" t="s">
        <v>9</v>
      </c>
      <c r="E65" s="67" t="s">
        <v>3041</v>
      </c>
      <c r="F65" s="69" t="s">
        <v>83</v>
      </c>
      <c r="G65" s="84" t="s">
        <v>2975</v>
      </c>
      <c r="H65" s="84" t="s">
        <v>2754</v>
      </c>
      <c r="I65" s="70" t="s">
        <v>2457</v>
      </c>
      <c r="J65" s="67" t="s">
        <v>262</v>
      </c>
      <c r="K65" s="69" t="s">
        <v>70</v>
      </c>
      <c r="L65" s="69" t="s">
        <v>425</v>
      </c>
      <c r="M65" s="67"/>
      <c r="N65" s="67" t="s">
        <v>70</v>
      </c>
      <c r="O65" s="69" t="s">
        <v>3088</v>
      </c>
      <c r="P65" s="71"/>
      <c r="Q65" s="72"/>
      <c r="R65" s="73"/>
      <c r="S65" s="73"/>
      <c r="T65" s="85"/>
    </row>
    <row r="66" spans="1:20" s="2" customFormat="1" ht="30" customHeight="1" x14ac:dyDescent="0.2">
      <c r="A66" s="79">
        <v>63</v>
      </c>
      <c r="B66" s="40" t="s">
        <v>2754</v>
      </c>
      <c r="C66" s="41" t="s">
        <v>3087</v>
      </c>
      <c r="D66" s="41" t="s">
        <v>9</v>
      </c>
      <c r="E66" s="41"/>
      <c r="F66" s="41" t="s">
        <v>7</v>
      </c>
      <c r="G66" s="80" t="s">
        <v>2975</v>
      </c>
      <c r="H66" s="41" t="s">
        <v>1438</v>
      </c>
      <c r="I66" s="81" t="s">
        <v>2457</v>
      </c>
      <c r="J66" s="41"/>
      <c r="K66" s="6" t="s">
        <v>107</v>
      </c>
      <c r="L66" s="81" t="s">
        <v>2753</v>
      </c>
      <c r="M66" s="41"/>
      <c r="N66" s="6" t="s">
        <v>107</v>
      </c>
      <c r="O66" s="6" t="s">
        <v>3088</v>
      </c>
      <c r="P66" s="13"/>
      <c r="Q66" s="41"/>
      <c r="R66" s="13"/>
      <c r="S66" s="13"/>
      <c r="T66" s="82"/>
    </row>
    <row r="67" spans="1:20" s="2" customFormat="1" ht="30" customHeight="1" x14ac:dyDescent="0.2">
      <c r="A67" s="83">
        <v>64</v>
      </c>
      <c r="B67" s="68" t="s">
        <v>3089</v>
      </c>
      <c r="C67" s="69" t="s">
        <v>3090</v>
      </c>
      <c r="D67" s="69" t="s">
        <v>243</v>
      </c>
      <c r="E67" s="67" t="s">
        <v>185</v>
      </c>
      <c r="F67" s="69" t="s">
        <v>83</v>
      </c>
      <c r="G67" s="84" t="s">
        <v>2975</v>
      </c>
      <c r="H67" s="84" t="s">
        <v>3091</v>
      </c>
      <c r="I67" s="70" t="s">
        <v>141</v>
      </c>
      <c r="J67" s="67"/>
      <c r="K67" s="69" t="s">
        <v>107</v>
      </c>
      <c r="L67" s="69" t="s">
        <v>492</v>
      </c>
      <c r="M67" s="67"/>
      <c r="N67" s="67" t="s">
        <v>70</v>
      </c>
      <c r="O67" s="69" t="s">
        <v>3092</v>
      </c>
      <c r="P67" s="71"/>
      <c r="Q67" s="72"/>
      <c r="R67" s="73"/>
      <c r="S67" s="73"/>
      <c r="T67" s="85"/>
    </row>
    <row r="68" spans="1:20" s="2" customFormat="1" ht="30" customHeight="1" x14ac:dyDescent="0.2">
      <c r="A68" s="79">
        <v>65</v>
      </c>
      <c r="B68" s="40" t="s">
        <v>3089</v>
      </c>
      <c r="C68" s="41" t="s">
        <v>3090</v>
      </c>
      <c r="D68" s="41" t="s">
        <v>243</v>
      </c>
      <c r="E68" s="41"/>
      <c r="F68" s="41" t="s">
        <v>7</v>
      </c>
      <c r="G68" s="80" t="s">
        <v>2975</v>
      </c>
      <c r="H68" s="41" t="s">
        <v>1438</v>
      </c>
      <c r="I68" s="81" t="s">
        <v>141</v>
      </c>
      <c r="J68" s="41"/>
      <c r="K68" s="6" t="s">
        <v>107</v>
      </c>
      <c r="L68" s="81" t="s">
        <v>492</v>
      </c>
      <c r="M68" s="41"/>
      <c r="N68" s="6" t="s">
        <v>107</v>
      </c>
      <c r="O68" s="6" t="s">
        <v>3092</v>
      </c>
      <c r="P68" s="13"/>
      <c r="Q68" s="41"/>
      <c r="R68" s="13"/>
      <c r="S68" s="13"/>
      <c r="T68" s="82"/>
    </row>
    <row r="69" spans="1:20" s="2" customFormat="1" ht="30" customHeight="1" x14ac:dyDescent="0.2">
      <c r="A69" s="83">
        <v>66</v>
      </c>
      <c r="B69" s="68" t="s">
        <v>3093</v>
      </c>
      <c r="C69" s="69" t="s">
        <v>2602</v>
      </c>
      <c r="D69" s="69" t="s">
        <v>20</v>
      </c>
      <c r="E69" s="67" t="s">
        <v>185</v>
      </c>
      <c r="F69" s="69" t="s">
        <v>83</v>
      </c>
      <c r="G69" s="84" t="s">
        <v>2975</v>
      </c>
      <c r="H69" s="84" t="s">
        <v>3093</v>
      </c>
      <c r="I69" s="70" t="s">
        <v>218</v>
      </c>
      <c r="J69" s="67"/>
      <c r="K69" s="69" t="s">
        <v>369</v>
      </c>
      <c r="L69" s="69" t="s">
        <v>968</v>
      </c>
      <c r="M69" s="67"/>
      <c r="N69" s="67" t="s">
        <v>107</v>
      </c>
      <c r="O69" s="69" t="s">
        <v>3094</v>
      </c>
      <c r="P69" s="71"/>
      <c r="Q69" s="72"/>
      <c r="R69" s="73"/>
      <c r="S69" s="73"/>
      <c r="T69" s="85"/>
    </row>
    <row r="70" spans="1:20" s="2" customFormat="1" ht="30" customHeight="1" x14ac:dyDescent="0.2">
      <c r="A70" s="79">
        <v>67</v>
      </c>
      <c r="B70" s="40" t="s">
        <v>2730</v>
      </c>
      <c r="C70" s="41" t="s">
        <v>2345</v>
      </c>
      <c r="D70" s="41" t="s">
        <v>9</v>
      </c>
      <c r="E70" s="41" t="s">
        <v>2965</v>
      </c>
      <c r="F70" s="41" t="s">
        <v>83</v>
      </c>
      <c r="G70" s="80" t="s">
        <v>2975</v>
      </c>
      <c r="H70" s="41" t="s">
        <v>2730</v>
      </c>
      <c r="I70" s="81" t="s">
        <v>117</v>
      </c>
      <c r="J70" s="41" t="s">
        <v>69</v>
      </c>
      <c r="K70" s="6" t="s">
        <v>70</v>
      </c>
      <c r="L70" s="81" t="s">
        <v>120</v>
      </c>
      <c r="M70" s="41"/>
      <c r="N70" s="6" t="s">
        <v>70</v>
      </c>
      <c r="O70" s="6" t="s">
        <v>3095</v>
      </c>
      <c r="P70" s="13"/>
      <c r="Q70" s="41"/>
      <c r="R70" s="13"/>
      <c r="S70" s="13"/>
      <c r="T70" s="82"/>
    </row>
    <row r="71" spans="1:20" s="2" customFormat="1" ht="30" customHeight="1" x14ac:dyDescent="0.2">
      <c r="A71" s="83">
        <v>68</v>
      </c>
      <c r="B71" s="68" t="s">
        <v>2722</v>
      </c>
      <c r="C71" s="69" t="s">
        <v>2345</v>
      </c>
      <c r="D71" s="69" t="s">
        <v>9</v>
      </c>
      <c r="E71" s="67"/>
      <c r="F71" s="69" t="s">
        <v>7</v>
      </c>
      <c r="G71" s="84" t="s">
        <v>2975</v>
      </c>
      <c r="H71" s="84" t="s">
        <v>1438</v>
      </c>
      <c r="I71" s="70" t="s">
        <v>117</v>
      </c>
      <c r="J71" s="67" t="s">
        <v>2995</v>
      </c>
      <c r="K71" s="69" t="s">
        <v>107</v>
      </c>
      <c r="L71" s="69" t="s">
        <v>120</v>
      </c>
      <c r="M71" s="67" t="s">
        <v>574</v>
      </c>
      <c r="N71" s="67" t="s">
        <v>107</v>
      </c>
      <c r="O71" s="69" t="s">
        <v>3095</v>
      </c>
      <c r="P71" s="71"/>
      <c r="Q71" s="72"/>
      <c r="R71" s="73"/>
      <c r="S71" s="73"/>
      <c r="T71" s="85"/>
    </row>
    <row r="72" spans="1:20" s="2" customFormat="1" ht="30" customHeight="1" x14ac:dyDescent="0.2">
      <c r="A72" s="79">
        <v>69</v>
      </c>
      <c r="B72" s="40" t="s">
        <v>3096</v>
      </c>
      <c r="C72" s="41" t="s">
        <v>3097</v>
      </c>
      <c r="D72" s="41" t="s">
        <v>8</v>
      </c>
      <c r="E72" s="41"/>
      <c r="F72" s="41" t="s">
        <v>7</v>
      </c>
      <c r="G72" s="80" t="s">
        <v>2975</v>
      </c>
      <c r="H72" s="41" t="s">
        <v>1438</v>
      </c>
      <c r="I72" s="81" t="s">
        <v>141</v>
      </c>
      <c r="J72" s="41"/>
      <c r="K72" s="6" t="s">
        <v>369</v>
      </c>
      <c r="L72" s="81" t="s">
        <v>998</v>
      </c>
      <c r="M72" s="41"/>
      <c r="N72" s="6" t="s">
        <v>107</v>
      </c>
      <c r="O72" s="6" t="s">
        <v>3061</v>
      </c>
      <c r="P72" s="13"/>
      <c r="Q72" s="41"/>
      <c r="R72" s="13"/>
      <c r="S72" s="13"/>
      <c r="T72" s="82"/>
    </row>
    <row r="73" spans="1:20" s="2" customFormat="1" ht="30" customHeight="1" x14ac:dyDescent="0.2">
      <c r="A73" s="83">
        <v>70</v>
      </c>
      <c r="B73" s="68" t="s">
        <v>3098</v>
      </c>
      <c r="C73" s="69" t="s">
        <v>1605</v>
      </c>
      <c r="D73" s="69" t="s">
        <v>6</v>
      </c>
      <c r="E73" s="67" t="s">
        <v>202</v>
      </c>
      <c r="F73" s="69" t="s">
        <v>83</v>
      </c>
      <c r="G73" s="84" t="s">
        <v>2975</v>
      </c>
      <c r="H73" s="84" t="s">
        <v>3098</v>
      </c>
      <c r="I73" s="70" t="s">
        <v>218</v>
      </c>
      <c r="J73" s="67"/>
      <c r="K73" s="69" t="s">
        <v>369</v>
      </c>
      <c r="L73" s="69" t="s">
        <v>268</v>
      </c>
      <c r="M73" s="67"/>
      <c r="N73" s="67" t="s">
        <v>107</v>
      </c>
      <c r="O73" s="69" t="s">
        <v>3099</v>
      </c>
      <c r="P73" s="71"/>
      <c r="Q73" s="72"/>
      <c r="R73" s="73"/>
      <c r="S73" s="73"/>
      <c r="T73" s="85"/>
    </row>
    <row r="74" spans="1:20" s="2" customFormat="1" ht="30" customHeight="1" x14ac:dyDescent="0.2">
      <c r="A74" s="79">
        <v>71</v>
      </c>
      <c r="B74" s="40" t="s">
        <v>3100</v>
      </c>
      <c r="C74" s="41" t="s">
        <v>1435</v>
      </c>
      <c r="D74" s="41" t="s">
        <v>6</v>
      </c>
      <c r="E74" s="41" t="s">
        <v>3041</v>
      </c>
      <c r="F74" s="41" t="s">
        <v>83</v>
      </c>
      <c r="G74" s="80" t="s">
        <v>2975</v>
      </c>
      <c r="H74" s="41" t="s">
        <v>3100</v>
      </c>
      <c r="I74" s="81" t="s">
        <v>117</v>
      </c>
      <c r="J74" s="41"/>
      <c r="K74" s="6" t="s">
        <v>107</v>
      </c>
      <c r="L74" s="81" t="s">
        <v>204</v>
      </c>
      <c r="M74" s="41"/>
      <c r="N74" s="6" t="s">
        <v>107</v>
      </c>
      <c r="O74" s="6" t="s">
        <v>3101</v>
      </c>
      <c r="P74" s="13"/>
      <c r="Q74" s="41"/>
      <c r="R74" s="13"/>
      <c r="S74" s="13"/>
      <c r="T74" s="82"/>
    </row>
    <row r="75" spans="1:20" s="2" customFormat="1" ht="30" customHeight="1" x14ac:dyDescent="0.2">
      <c r="A75" s="83">
        <v>72</v>
      </c>
      <c r="B75" s="68" t="s">
        <v>3102</v>
      </c>
      <c r="C75" s="69" t="s">
        <v>87</v>
      </c>
      <c r="D75" s="69" t="s">
        <v>6</v>
      </c>
      <c r="E75" s="67" t="s">
        <v>3041</v>
      </c>
      <c r="F75" s="69" t="s">
        <v>222</v>
      </c>
      <c r="G75" s="84" t="s">
        <v>2975</v>
      </c>
      <c r="H75" s="84" t="s">
        <v>3102</v>
      </c>
      <c r="I75" s="70" t="s">
        <v>117</v>
      </c>
      <c r="J75" s="67"/>
      <c r="K75" s="69" t="s">
        <v>70</v>
      </c>
      <c r="L75" s="69" t="s">
        <v>338</v>
      </c>
      <c r="M75" s="67"/>
      <c r="N75" s="67" t="s">
        <v>107</v>
      </c>
      <c r="O75" s="69" t="s">
        <v>3103</v>
      </c>
      <c r="P75" s="71"/>
      <c r="Q75" s="72"/>
      <c r="R75" s="73"/>
      <c r="S75" s="73"/>
      <c r="T75" s="85"/>
    </row>
    <row r="76" spans="1:20" s="2" customFormat="1" ht="30" customHeight="1" x14ac:dyDescent="0.2">
      <c r="A76" s="79">
        <v>73</v>
      </c>
      <c r="B76" s="40" t="s">
        <v>3104</v>
      </c>
      <c r="C76" s="41" t="s">
        <v>1586</v>
      </c>
      <c r="D76" s="41" t="s">
        <v>9</v>
      </c>
      <c r="E76" s="41" t="s">
        <v>185</v>
      </c>
      <c r="F76" s="41" t="s">
        <v>83</v>
      </c>
      <c r="G76" s="80" t="s">
        <v>2975</v>
      </c>
      <c r="H76" s="41" t="s">
        <v>3104</v>
      </c>
      <c r="I76" s="81" t="s">
        <v>155</v>
      </c>
      <c r="J76" s="41"/>
      <c r="K76" s="6" t="s">
        <v>107</v>
      </c>
      <c r="L76" s="81" t="s">
        <v>167</v>
      </c>
      <c r="M76" s="41"/>
      <c r="N76" s="6" t="s">
        <v>107</v>
      </c>
      <c r="O76" s="6" t="s">
        <v>3105</v>
      </c>
      <c r="P76" s="13"/>
      <c r="Q76" s="41"/>
      <c r="R76" s="13"/>
      <c r="S76" s="13"/>
      <c r="T76" s="82"/>
    </row>
    <row r="77" spans="1:20" s="2" customFormat="1" ht="30" customHeight="1" x14ac:dyDescent="0.2">
      <c r="A77" s="83">
        <v>74</v>
      </c>
      <c r="B77" s="68" t="s">
        <v>3106</v>
      </c>
      <c r="C77" s="69" t="s">
        <v>3107</v>
      </c>
      <c r="D77" s="69" t="s">
        <v>20</v>
      </c>
      <c r="E77" s="67" t="s">
        <v>185</v>
      </c>
      <c r="F77" s="69" t="s">
        <v>83</v>
      </c>
      <c r="G77" s="84" t="s">
        <v>2975</v>
      </c>
      <c r="H77" s="84" t="s">
        <v>3106</v>
      </c>
      <c r="I77" s="70" t="s">
        <v>155</v>
      </c>
      <c r="J77" s="67" t="s">
        <v>142</v>
      </c>
      <c r="K77" s="69" t="s">
        <v>70</v>
      </c>
      <c r="L77" s="69" t="s">
        <v>167</v>
      </c>
      <c r="M77" s="67" t="s">
        <v>142</v>
      </c>
      <c r="N77" s="67" t="s">
        <v>70</v>
      </c>
      <c r="O77" s="69" t="s">
        <v>3108</v>
      </c>
      <c r="P77" s="71"/>
      <c r="Q77" s="72"/>
      <c r="R77" s="73"/>
      <c r="S77" s="73"/>
      <c r="T77" s="85"/>
    </row>
    <row r="78" spans="1:20" s="2" customFormat="1" ht="30" customHeight="1" x14ac:dyDescent="0.2">
      <c r="A78" s="79">
        <v>75</v>
      </c>
      <c r="B78" s="40" t="s">
        <v>3106</v>
      </c>
      <c r="C78" s="41" t="s">
        <v>3107</v>
      </c>
      <c r="D78" s="41" t="s">
        <v>20</v>
      </c>
      <c r="E78" s="41"/>
      <c r="F78" s="41" t="s">
        <v>7</v>
      </c>
      <c r="G78" s="80" t="s">
        <v>2975</v>
      </c>
      <c r="H78" s="41" t="s">
        <v>1438</v>
      </c>
      <c r="I78" s="81" t="s">
        <v>155</v>
      </c>
      <c r="J78" s="41" t="s">
        <v>142</v>
      </c>
      <c r="K78" s="6" t="s">
        <v>70</v>
      </c>
      <c r="L78" s="81" t="s">
        <v>324</v>
      </c>
      <c r="M78" s="41"/>
      <c r="N78" s="6" t="s">
        <v>107</v>
      </c>
      <c r="O78" s="6" t="s">
        <v>3108</v>
      </c>
      <c r="P78" s="13"/>
      <c r="Q78" s="41"/>
      <c r="R78" s="13"/>
      <c r="S78" s="13"/>
      <c r="T78" s="82"/>
    </row>
    <row r="79" spans="1:20" s="2" customFormat="1" ht="30" customHeight="1" x14ac:dyDescent="0.2">
      <c r="A79" s="83">
        <v>76</v>
      </c>
      <c r="B79" s="68" t="s">
        <v>3109</v>
      </c>
      <c r="C79" s="69" t="s">
        <v>2422</v>
      </c>
      <c r="D79" s="69" t="s">
        <v>8</v>
      </c>
      <c r="E79" s="67" t="s">
        <v>185</v>
      </c>
      <c r="F79" s="69" t="s">
        <v>83</v>
      </c>
      <c r="G79" s="84" t="s">
        <v>2167</v>
      </c>
      <c r="H79" s="84" t="s">
        <v>3109</v>
      </c>
      <c r="I79" s="70" t="s">
        <v>141</v>
      </c>
      <c r="J79" s="67" t="s">
        <v>262</v>
      </c>
      <c r="K79" s="69" t="s">
        <v>70</v>
      </c>
      <c r="L79" s="69" t="s">
        <v>492</v>
      </c>
      <c r="M79" s="67"/>
      <c r="N79" s="67" t="s">
        <v>107</v>
      </c>
      <c r="O79" s="69" t="s">
        <v>3110</v>
      </c>
      <c r="P79" s="71"/>
      <c r="Q79" s="72"/>
      <c r="R79" s="73"/>
      <c r="S79" s="73"/>
      <c r="T79" s="85"/>
    </row>
    <row r="80" spans="1:20" s="2" customFormat="1" ht="30" customHeight="1" x14ac:dyDescent="0.2">
      <c r="A80" s="79">
        <v>77</v>
      </c>
      <c r="B80" s="40" t="s">
        <v>3109</v>
      </c>
      <c r="C80" s="41" t="s">
        <v>2422</v>
      </c>
      <c r="D80" s="41" t="s">
        <v>8</v>
      </c>
      <c r="E80" s="41"/>
      <c r="F80" s="41" t="s">
        <v>7</v>
      </c>
      <c r="G80" s="80" t="s">
        <v>2167</v>
      </c>
      <c r="H80" s="41" t="s">
        <v>1438</v>
      </c>
      <c r="I80" s="81" t="s">
        <v>141</v>
      </c>
      <c r="J80" s="41" t="s">
        <v>262</v>
      </c>
      <c r="K80" s="6" t="s">
        <v>70</v>
      </c>
      <c r="L80" s="81" t="s">
        <v>492</v>
      </c>
      <c r="M80" s="41"/>
      <c r="N80" s="6" t="s">
        <v>107</v>
      </c>
      <c r="O80" s="6" t="s">
        <v>3110</v>
      </c>
      <c r="P80" s="13"/>
      <c r="Q80" s="41"/>
      <c r="R80" s="13"/>
      <c r="S80" s="13"/>
      <c r="T80" s="82"/>
    </row>
    <row r="81" spans="1:20" s="2" customFormat="1" ht="30" customHeight="1" x14ac:dyDescent="0.2">
      <c r="A81" s="83">
        <v>78</v>
      </c>
      <c r="B81" s="68" t="s">
        <v>2712</v>
      </c>
      <c r="C81" s="69" t="s">
        <v>1586</v>
      </c>
      <c r="D81" s="69" t="s">
        <v>9</v>
      </c>
      <c r="E81" s="67"/>
      <c r="F81" s="69" t="s">
        <v>7</v>
      </c>
      <c r="G81" s="84" t="s">
        <v>2975</v>
      </c>
      <c r="H81" s="84" t="s">
        <v>1438</v>
      </c>
      <c r="I81" s="70" t="s">
        <v>117</v>
      </c>
      <c r="J81" s="67"/>
      <c r="K81" s="69" t="s">
        <v>107</v>
      </c>
      <c r="L81" s="69" t="s">
        <v>204</v>
      </c>
      <c r="M81" s="67"/>
      <c r="N81" s="67" t="s">
        <v>107</v>
      </c>
      <c r="O81" s="69" t="s">
        <v>3111</v>
      </c>
      <c r="P81" s="71"/>
      <c r="Q81" s="72"/>
      <c r="R81" s="73"/>
      <c r="S81" s="73"/>
      <c r="T81" s="85"/>
    </row>
    <row r="82" spans="1:20" s="2" customFormat="1" ht="30" customHeight="1" x14ac:dyDescent="0.2">
      <c r="A82" s="79">
        <v>79</v>
      </c>
      <c r="B82" s="40" t="s">
        <v>2383</v>
      </c>
      <c r="C82" s="41" t="s">
        <v>2382</v>
      </c>
      <c r="D82" s="41" t="s">
        <v>10</v>
      </c>
      <c r="E82" s="41"/>
      <c r="F82" s="41" t="s">
        <v>7</v>
      </c>
      <c r="G82" s="80" t="s">
        <v>2975</v>
      </c>
      <c r="H82" s="41" t="s">
        <v>1438</v>
      </c>
      <c r="I82" s="81" t="s">
        <v>104</v>
      </c>
      <c r="J82" s="41"/>
      <c r="K82" s="6" t="s">
        <v>107</v>
      </c>
      <c r="L82" s="81" t="s">
        <v>361</v>
      </c>
      <c r="M82" s="41"/>
      <c r="N82" s="6" t="s">
        <v>107</v>
      </c>
      <c r="O82" s="6" t="s">
        <v>3112</v>
      </c>
      <c r="P82" s="13"/>
      <c r="Q82" s="41"/>
      <c r="R82" s="13"/>
      <c r="S82" s="13"/>
      <c r="T82" s="82"/>
    </row>
    <row r="83" spans="1:20" s="2" customFormat="1" ht="30" customHeight="1" x14ac:dyDescent="0.2">
      <c r="A83" s="83">
        <v>80</v>
      </c>
      <c r="B83" s="68" t="s">
        <v>3113</v>
      </c>
      <c r="C83" s="69" t="s">
        <v>88</v>
      </c>
      <c r="D83" s="69" t="s">
        <v>9</v>
      </c>
      <c r="E83" s="67" t="s">
        <v>202</v>
      </c>
      <c r="F83" s="69" t="s">
        <v>83</v>
      </c>
      <c r="G83" s="84" t="s">
        <v>2975</v>
      </c>
      <c r="H83" s="84" t="s">
        <v>3113</v>
      </c>
      <c r="I83" s="70" t="s">
        <v>155</v>
      </c>
      <c r="J83" s="67"/>
      <c r="K83" s="69" t="s">
        <v>107</v>
      </c>
      <c r="L83" s="69" t="s">
        <v>324</v>
      </c>
      <c r="M83" s="67"/>
      <c r="N83" s="67" t="s">
        <v>107</v>
      </c>
      <c r="O83" s="69" t="s">
        <v>2714</v>
      </c>
      <c r="P83" s="71"/>
      <c r="Q83" s="72"/>
      <c r="R83" s="73"/>
      <c r="S83" s="73"/>
      <c r="T83" s="85"/>
    </row>
    <row r="84" spans="1:20" s="2" customFormat="1" ht="30" customHeight="1" x14ac:dyDescent="0.2">
      <c r="A84" s="79">
        <v>81</v>
      </c>
      <c r="B84" s="40" t="s">
        <v>3114</v>
      </c>
      <c r="C84" s="41" t="s">
        <v>319</v>
      </c>
      <c r="D84" s="41" t="s">
        <v>10</v>
      </c>
      <c r="E84" s="41" t="s">
        <v>202</v>
      </c>
      <c r="F84" s="41" t="s">
        <v>83</v>
      </c>
      <c r="G84" s="80" t="s">
        <v>2975</v>
      </c>
      <c r="H84" s="41" t="s">
        <v>3114</v>
      </c>
      <c r="I84" s="81" t="s">
        <v>155</v>
      </c>
      <c r="J84" s="41"/>
      <c r="K84" s="6" t="s">
        <v>107</v>
      </c>
      <c r="L84" s="81" t="s">
        <v>156</v>
      </c>
      <c r="M84" s="41" t="s">
        <v>142</v>
      </c>
      <c r="N84" s="6" t="s">
        <v>70</v>
      </c>
      <c r="O84" s="6" t="s">
        <v>3115</v>
      </c>
      <c r="P84" s="13"/>
      <c r="Q84" s="41"/>
      <c r="R84" s="13"/>
      <c r="S84" s="13"/>
      <c r="T84" s="82"/>
    </row>
    <row r="85" spans="1:20" s="2" customFormat="1" ht="30" customHeight="1" x14ac:dyDescent="0.2">
      <c r="A85" s="83">
        <v>82</v>
      </c>
      <c r="B85" s="68" t="s">
        <v>512</v>
      </c>
      <c r="C85" s="69" t="s">
        <v>984</v>
      </c>
      <c r="D85" s="69" t="s">
        <v>2981</v>
      </c>
      <c r="E85" s="67" t="s">
        <v>185</v>
      </c>
      <c r="F85" s="69" t="s">
        <v>83</v>
      </c>
      <c r="G85" s="84" t="s">
        <v>2975</v>
      </c>
      <c r="H85" s="84" t="s">
        <v>3114</v>
      </c>
      <c r="I85" s="70" t="s">
        <v>140</v>
      </c>
      <c r="J85" s="67" t="s">
        <v>69</v>
      </c>
      <c r="K85" s="69" t="s">
        <v>70</v>
      </c>
      <c r="L85" s="69" t="s">
        <v>188</v>
      </c>
      <c r="M85" s="67" t="s">
        <v>69</v>
      </c>
      <c r="N85" s="67" t="s">
        <v>70</v>
      </c>
      <c r="O85" s="69" t="s">
        <v>3116</v>
      </c>
      <c r="P85" s="71"/>
      <c r="Q85" s="72"/>
      <c r="R85" s="73"/>
      <c r="S85" s="73"/>
      <c r="T85" s="85"/>
    </row>
    <row r="86" spans="1:20" s="2" customFormat="1" ht="30" customHeight="1" x14ac:dyDescent="0.2">
      <c r="A86" s="79">
        <v>83</v>
      </c>
      <c r="B86" s="40" t="s">
        <v>1438</v>
      </c>
      <c r="C86" s="41" t="s">
        <v>1435</v>
      </c>
      <c r="D86" s="41" t="s">
        <v>6</v>
      </c>
      <c r="E86" s="41"/>
      <c r="F86" s="41" t="s">
        <v>7</v>
      </c>
      <c r="G86" s="80" t="s">
        <v>2975</v>
      </c>
      <c r="H86" s="41" t="s">
        <v>3117</v>
      </c>
      <c r="I86" s="81" t="s">
        <v>140</v>
      </c>
      <c r="J86" s="41"/>
      <c r="K86" s="6" t="s">
        <v>107</v>
      </c>
      <c r="L86" s="81" t="s">
        <v>338</v>
      </c>
      <c r="M86" s="41"/>
      <c r="N86" s="6" t="s">
        <v>107</v>
      </c>
      <c r="O86" s="6" t="s">
        <v>3118</v>
      </c>
      <c r="P86" s="13"/>
      <c r="Q86" s="41"/>
      <c r="R86" s="13"/>
      <c r="S86" s="13"/>
      <c r="T86" s="82"/>
    </row>
    <row r="87" spans="1:20" s="2" customFormat="1" ht="30" customHeight="1" x14ac:dyDescent="0.2">
      <c r="A87" s="83">
        <v>84</v>
      </c>
      <c r="B87" s="68" t="s">
        <v>511</v>
      </c>
      <c r="C87" s="69" t="s">
        <v>2602</v>
      </c>
      <c r="D87" s="69" t="s">
        <v>20</v>
      </c>
      <c r="E87" s="67"/>
      <c r="F87" s="69" t="s">
        <v>7</v>
      </c>
      <c r="G87" s="84" t="s">
        <v>2975</v>
      </c>
      <c r="H87" s="84" t="s">
        <v>3117</v>
      </c>
      <c r="I87" s="70" t="s">
        <v>155</v>
      </c>
      <c r="J87" s="67"/>
      <c r="K87" s="69" t="s">
        <v>107</v>
      </c>
      <c r="L87" s="69" t="s">
        <v>156</v>
      </c>
      <c r="M87" s="67"/>
      <c r="N87" s="67" t="s">
        <v>107</v>
      </c>
      <c r="O87" s="69" t="s">
        <v>3119</v>
      </c>
      <c r="P87" s="71"/>
      <c r="Q87" s="72"/>
      <c r="R87" s="73"/>
      <c r="S87" s="73"/>
      <c r="T87" s="85"/>
    </row>
    <row r="88" spans="1:20" s="2" customFormat="1" ht="30" customHeight="1" x14ac:dyDescent="0.2">
      <c r="A88" s="79">
        <v>85</v>
      </c>
      <c r="B88" s="40" t="s">
        <v>3120</v>
      </c>
      <c r="C88" s="41" t="s">
        <v>3071</v>
      </c>
      <c r="D88" s="41" t="s">
        <v>6</v>
      </c>
      <c r="E88" s="41"/>
      <c r="F88" s="41" t="s">
        <v>222</v>
      </c>
      <c r="G88" s="80" t="s">
        <v>2975</v>
      </c>
      <c r="H88" s="41"/>
      <c r="I88" s="81" t="s">
        <v>68</v>
      </c>
      <c r="J88" s="41"/>
      <c r="K88" s="6" t="s">
        <v>107</v>
      </c>
      <c r="L88" s="81" t="s">
        <v>120</v>
      </c>
      <c r="M88" s="41" t="s">
        <v>262</v>
      </c>
      <c r="N88" s="6" t="s">
        <v>70</v>
      </c>
      <c r="O88" s="6" t="s">
        <v>3121</v>
      </c>
      <c r="P88" s="13"/>
      <c r="Q88" s="41"/>
      <c r="R88" s="13"/>
      <c r="S88" s="13"/>
      <c r="T88" s="82"/>
    </row>
    <row r="89" spans="1:20" s="2" customFormat="1" ht="30" customHeight="1" x14ac:dyDescent="0.2">
      <c r="A89" s="83">
        <v>86</v>
      </c>
      <c r="B89" s="68" t="s">
        <v>3122</v>
      </c>
      <c r="C89" s="69" t="s">
        <v>3123</v>
      </c>
      <c r="D89" s="69" t="s">
        <v>243</v>
      </c>
      <c r="E89" s="67" t="s">
        <v>185</v>
      </c>
      <c r="F89" s="69" t="s">
        <v>83</v>
      </c>
      <c r="G89" s="84" t="s">
        <v>2975</v>
      </c>
      <c r="H89" s="84" t="s">
        <v>3122</v>
      </c>
      <c r="I89" s="70" t="s">
        <v>68</v>
      </c>
      <c r="J89" s="67" t="s">
        <v>262</v>
      </c>
      <c r="K89" s="69" t="s">
        <v>70</v>
      </c>
      <c r="L89" s="69" t="s">
        <v>263</v>
      </c>
      <c r="M89" s="67" t="s">
        <v>262</v>
      </c>
      <c r="N89" s="67" t="s">
        <v>70</v>
      </c>
      <c r="O89" s="69" t="s">
        <v>3124</v>
      </c>
      <c r="P89" s="71"/>
      <c r="Q89" s="72"/>
      <c r="R89" s="73"/>
      <c r="S89" s="73"/>
      <c r="T89" s="85"/>
    </row>
    <row r="90" spans="1:20" s="2" customFormat="1" ht="30" customHeight="1" x14ac:dyDescent="0.2">
      <c r="A90" s="79">
        <v>87</v>
      </c>
      <c r="B90" s="40" t="s">
        <v>3122</v>
      </c>
      <c r="C90" s="41" t="s">
        <v>3123</v>
      </c>
      <c r="D90" s="41" t="s">
        <v>243</v>
      </c>
      <c r="E90" s="41"/>
      <c r="F90" s="41" t="s">
        <v>7</v>
      </c>
      <c r="G90" s="80" t="s">
        <v>2975</v>
      </c>
      <c r="H90" s="41" t="s">
        <v>3117</v>
      </c>
      <c r="I90" s="81" t="s">
        <v>68</v>
      </c>
      <c r="J90" s="41" t="s">
        <v>142</v>
      </c>
      <c r="K90" s="6" t="s">
        <v>70</v>
      </c>
      <c r="L90" s="81" t="s">
        <v>263</v>
      </c>
      <c r="M90" s="41"/>
      <c r="N90" s="6" t="s">
        <v>107</v>
      </c>
      <c r="O90" s="6" t="s">
        <v>3124</v>
      </c>
      <c r="P90" s="13"/>
      <c r="Q90" s="41"/>
      <c r="R90" s="13"/>
      <c r="S90" s="13"/>
      <c r="T90" s="82"/>
    </row>
    <row r="91" spans="1:20" s="2" customFormat="1" ht="30" customHeight="1" x14ac:dyDescent="0.2">
      <c r="A91" s="83">
        <v>88</v>
      </c>
      <c r="B91" s="68" t="s">
        <v>3091</v>
      </c>
      <c r="C91" s="69" t="s">
        <v>1401</v>
      </c>
      <c r="D91" s="69" t="s">
        <v>10</v>
      </c>
      <c r="E91" s="67" t="s">
        <v>3041</v>
      </c>
      <c r="F91" s="69" t="s">
        <v>83</v>
      </c>
      <c r="G91" s="84" t="s">
        <v>2975</v>
      </c>
      <c r="H91" s="84" t="s">
        <v>3091</v>
      </c>
      <c r="I91" s="70" t="s">
        <v>141</v>
      </c>
      <c r="J91" s="67"/>
      <c r="K91" s="69" t="s">
        <v>107</v>
      </c>
      <c r="L91" s="69" t="s">
        <v>1704</v>
      </c>
      <c r="M91" s="67"/>
      <c r="N91" s="67" t="s">
        <v>107</v>
      </c>
      <c r="O91" s="69" t="s">
        <v>3125</v>
      </c>
      <c r="P91" s="71"/>
      <c r="Q91" s="72"/>
      <c r="R91" s="73"/>
      <c r="S91" s="73"/>
      <c r="T91" s="85"/>
    </row>
    <row r="92" spans="1:20" s="2" customFormat="1" ht="30" customHeight="1" x14ac:dyDescent="0.2">
      <c r="A92" s="79">
        <v>89</v>
      </c>
      <c r="B92" s="40" t="s">
        <v>3126</v>
      </c>
      <c r="C92" s="41" t="s">
        <v>1401</v>
      </c>
      <c r="D92" s="41" t="s">
        <v>10</v>
      </c>
      <c r="E92" s="41"/>
      <c r="F92" s="41" t="s">
        <v>7</v>
      </c>
      <c r="G92" s="80" t="s">
        <v>2975</v>
      </c>
      <c r="H92" s="41" t="s">
        <v>3117</v>
      </c>
      <c r="I92" s="81" t="s">
        <v>141</v>
      </c>
      <c r="J92" s="41"/>
      <c r="K92" s="6" t="s">
        <v>107</v>
      </c>
      <c r="L92" s="81" t="s">
        <v>714</v>
      </c>
      <c r="M92" s="41"/>
      <c r="N92" s="6" t="s">
        <v>107</v>
      </c>
      <c r="O92" s="6" t="s">
        <v>3125</v>
      </c>
      <c r="P92" s="13"/>
      <c r="Q92" s="41"/>
      <c r="R92" s="13"/>
      <c r="S92" s="13"/>
      <c r="T92" s="82" t="s">
        <v>3127</v>
      </c>
    </row>
    <row r="93" spans="1:20" s="2" customFormat="1" ht="30" customHeight="1" x14ac:dyDescent="0.2">
      <c r="A93" s="83">
        <v>90</v>
      </c>
      <c r="B93" s="68" t="s">
        <v>3128</v>
      </c>
      <c r="C93" s="69" t="s">
        <v>1684</v>
      </c>
      <c r="D93" s="69" t="s">
        <v>20</v>
      </c>
      <c r="E93" s="67" t="s">
        <v>3041</v>
      </c>
      <c r="F93" s="69" t="s">
        <v>83</v>
      </c>
      <c r="G93" s="84" t="s">
        <v>2975</v>
      </c>
      <c r="H93" s="84" t="s">
        <v>3128</v>
      </c>
      <c r="I93" s="70">
        <v>45</v>
      </c>
      <c r="J93" s="67" t="s">
        <v>142</v>
      </c>
      <c r="K93" s="69" t="s">
        <v>70</v>
      </c>
      <c r="L93" s="69" t="s">
        <v>204</v>
      </c>
      <c r="M93" s="67" t="s">
        <v>142</v>
      </c>
      <c r="N93" s="67" t="s">
        <v>70</v>
      </c>
      <c r="O93" s="69" t="s">
        <v>3129</v>
      </c>
      <c r="P93" s="71"/>
      <c r="Q93" s="72"/>
      <c r="R93" s="73"/>
      <c r="S93" s="73"/>
      <c r="T93" s="85"/>
    </row>
    <row r="94" spans="1:20" s="2" customFormat="1" ht="30" customHeight="1" x14ac:dyDescent="0.2">
      <c r="A94" s="79">
        <v>91</v>
      </c>
      <c r="B94" s="40" t="s">
        <v>3130</v>
      </c>
      <c r="C94" s="41" t="s">
        <v>2464</v>
      </c>
      <c r="D94" s="41" t="s">
        <v>6</v>
      </c>
      <c r="E94" s="41" t="s">
        <v>185</v>
      </c>
      <c r="F94" s="41" t="s">
        <v>83</v>
      </c>
      <c r="G94" s="80" t="s">
        <v>2975</v>
      </c>
      <c r="H94" s="41" t="s">
        <v>3130</v>
      </c>
      <c r="I94" s="81">
        <v>62</v>
      </c>
      <c r="J94" s="41"/>
      <c r="K94" s="6" t="s">
        <v>107</v>
      </c>
      <c r="L94" s="81" t="s">
        <v>332</v>
      </c>
      <c r="M94" s="41"/>
      <c r="N94" s="6" t="s">
        <v>107</v>
      </c>
      <c r="O94" s="6" t="s">
        <v>3131</v>
      </c>
      <c r="P94" s="13"/>
      <c r="Q94" s="41"/>
      <c r="R94" s="13"/>
      <c r="S94" s="13"/>
      <c r="T94" s="82"/>
    </row>
    <row r="95" spans="1:20" s="2" customFormat="1" ht="30" customHeight="1" x14ac:dyDescent="0.2">
      <c r="A95" s="83">
        <v>92</v>
      </c>
      <c r="B95" s="68" t="s">
        <v>2465</v>
      </c>
      <c r="C95" s="69" t="s">
        <v>2464</v>
      </c>
      <c r="D95" s="69" t="s">
        <v>6</v>
      </c>
      <c r="E95" s="67"/>
      <c r="F95" s="69" t="s">
        <v>7</v>
      </c>
      <c r="G95" s="84" t="s">
        <v>2975</v>
      </c>
      <c r="H95" s="84" t="s">
        <v>3132</v>
      </c>
      <c r="I95" s="70">
        <v>62</v>
      </c>
      <c r="J95" s="67"/>
      <c r="K95" s="69" t="s">
        <v>107</v>
      </c>
      <c r="L95" s="69" t="s">
        <v>332</v>
      </c>
      <c r="M95" s="67"/>
      <c r="N95" s="67" t="s">
        <v>107</v>
      </c>
      <c r="O95" s="69" t="s">
        <v>3131</v>
      </c>
      <c r="P95" s="71"/>
      <c r="Q95" s="72"/>
      <c r="R95" s="73"/>
      <c r="S95" s="73"/>
      <c r="T95" s="85"/>
    </row>
    <row r="96" spans="1:20" s="2" customFormat="1" ht="30" customHeight="1" x14ac:dyDescent="0.2">
      <c r="A96" s="79">
        <v>93</v>
      </c>
      <c r="B96" s="40" t="s">
        <v>3133</v>
      </c>
      <c r="C96" s="41" t="s">
        <v>3134</v>
      </c>
      <c r="D96" s="41" t="s">
        <v>6</v>
      </c>
      <c r="E96" s="41" t="s">
        <v>3041</v>
      </c>
      <c r="F96" s="41" t="s">
        <v>83</v>
      </c>
      <c r="G96" s="80" t="s">
        <v>2975</v>
      </c>
      <c r="H96" s="41" t="s">
        <v>3133</v>
      </c>
      <c r="I96" s="81">
        <v>62</v>
      </c>
      <c r="J96" s="41" t="s">
        <v>262</v>
      </c>
      <c r="K96" s="6" t="s">
        <v>70</v>
      </c>
      <c r="L96" s="81" t="s">
        <v>263</v>
      </c>
      <c r="M96" s="41" t="s">
        <v>262</v>
      </c>
      <c r="N96" s="6" t="s">
        <v>70</v>
      </c>
      <c r="O96" s="6" t="s">
        <v>3135</v>
      </c>
      <c r="P96" s="13"/>
      <c r="Q96" s="41"/>
      <c r="R96" s="13"/>
      <c r="S96" s="13"/>
      <c r="T96" s="82"/>
    </row>
    <row r="97" spans="1:20" s="2" customFormat="1" ht="30" customHeight="1" x14ac:dyDescent="0.2">
      <c r="A97" s="83">
        <v>94</v>
      </c>
      <c r="B97" s="68" t="s">
        <v>1609</v>
      </c>
      <c r="C97" s="69" t="s">
        <v>474</v>
      </c>
      <c r="D97" s="69" t="s">
        <v>10</v>
      </c>
      <c r="E97" s="67" t="s">
        <v>3041</v>
      </c>
      <c r="F97" s="69" t="s">
        <v>83</v>
      </c>
      <c r="G97" s="84" t="s">
        <v>2975</v>
      </c>
      <c r="H97" s="84" t="s">
        <v>1609</v>
      </c>
      <c r="I97" s="70">
        <v>62</v>
      </c>
      <c r="J97" s="67"/>
      <c r="K97" s="69" t="s">
        <v>107</v>
      </c>
      <c r="L97" s="69" t="s">
        <v>263</v>
      </c>
      <c r="M97" s="67" t="s">
        <v>142</v>
      </c>
      <c r="N97" s="67" t="s">
        <v>70</v>
      </c>
      <c r="O97" s="69" t="s">
        <v>3136</v>
      </c>
      <c r="P97" s="71"/>
      <c r="Q97" s="72"/>
      <c r="R97" s="73"/>
      <c r="S97" s="73"/>
      <c r="T97" s="85"/>
    </row>
    <row r="98" spans="1:20" s="2" customFormat="1" ht="30" customHeight="1" x14ac:dyDescent="0.2">
      <c r="A98" s="79">
        <v>95</v>
      </c>
      <c r="B98" s="40" t="s">
        <v>3137</v>
      </c>
      <c r="C98" s="41" t="s">
        <v>3138</v>
      </c>
      <c r="D98" s="41" t="s">
        <v>6</v>
      </c>
      <c r="E98" s="41" t="s">
        <v>2965</v>
      </c>
      <c r="F98" s="41" t="s">
        <v>83</v>
      </c>
      <c r="G98" s="80" t="s">
        <v>2167</v>
      </c>
      <c r="H98" s="41" t="s">
        <v>3137</v>
      </c>
      <c r="I98" s="81">
        <v>73</v>
      </c>
      <c r="J98" s="41" t="s">
        <v>142</v>
      </c>
      <c r="K98" s="6" t="s">
        <v>70</v>
      </c>
      <c r="L98" s="81" t="s">
        <v>167</v>
      </c>
      <c r="M98" s="41" t="s">
        <v>142</v>
      </c>
      <c r="N98" s="6" t="s">
        <v>70</v>
      </c>
      <c r="O98" s="6" t="s">
        <v>3139</v>
      </c>
      <c r="P98" s="13"/>
      <c r="Q98" s="41"/>
      <c r="R98" s="13"/>
      <c r="S98" s="13"/>
      <c r="T98" s="82"/>
    </row>
    <row r="99" spans="1:20" s="2" customFormat="1" ht="30" customHeight="1" x14ac:dyDescent="0.2">
      <c r="A99" s="83">
        <v>96</v>
      </c>
      <c r="B99" s="68" t="s">
        <v>1439</v>
      </c>
      <c r="C99" s="69" t="s">
        <v>1684</v>
      </c>
      <c r="D99" s="69" t="s">
        <v>20</v>
      </c>
      <c r="E99" s="67"/>
      <c r="F99" s="69" t="s">
        <v>7</v>
      </c>
      <c r="G99" s="84" t="s">
        <v>2975</v>
      </c>
      <c r="H99" s="84" t="s">
        <v>3140</v>
      </c>
      <c r="I99" s="70">
        <v>55</v>
      </c>
      <c r="J99" s="67"/>
      <c r="K99" s="69" t="s">
        <v>107</v>
      </c>
      <c r="L99" s="69" t="s">
        <v>1727</v>
      </c>
      <c r="M99" s="67"/>
      <c r="N99" s="67" t="s">
        <v>107</v>
      </c>
      <c r="O99" s="69" t="s">
        <v>3129</v>
      </c>
      <c r="P99" s="71"/>
      <c r="Q99" s="72"/>
      <c r="R99" s="73"/>
      <c r="S99" s="73"/>
      <c r="T99" s="85"/>
    </row>
    <row r="100" spans="1:20" s="2" customFormat="1" ht="30" customHeight="1" x14ac:dyDescent="0.2">
      <c r="A100" s="79">
        <v>97</v>
      </c>
      <c r="B100" s="40" t="s">
        <v>3141</v>
      </c>
      <c r="C100" s="41" t="s">
        <v>3068</v>
      </c>
      <c r="D100" s="41" t="s">
        <v>2981</v>
      </c>
      <c r="E100" s="41"/>
      <c r="F100" s="41" t="s">
        <v>7</v>
      </c>
      <c r="G100" s="80" t="s">
        <v>2975</v>
      </c>
      <c r="H100" s="41" t="s">
        <v>3140</v>
      </c>
      <c r="I100" s="81">
        <v>45</v>
      </c>
      <c r="J100" s="41"/>
      <c r="K100" s="6" t="s">
        <v>107</v>
      </c>
      <c r="L100" s="81" t="s">
        <v>470</v>
      </c>
      <c r="M100" s="41"/>
      <c r="N100" s="6" t="s">
        <v>107</v>
      </c>
      <c r="O100" s="6" t="s">
        <v>3069</v>
      </c>
      <c r="P100" s="13"/>
      <c r="Q100" s="41"/>
      <c r="R100" s="13"/>
      <c r="S100" s="13"/>
      <c r="T100" s="82"/>
    </row>
    <row r="101" spans="1:20" s="2" customFormat="1" ht="30" customHeight="1" x14ac:dyDescent="0.2">
      <c r="A101" s="83">
        <v>98</v>
      </c>
      <c r="B101" s="68" t="s">
        <v>1608</v>
      </c>
      <c r="C101" s="69" t="s">
        <v>1605</v>
      </c>
      <c r="D101" s="69" t="s">
        <v>6</v>
      </c>
      <c r="E101" s="67"/>
      <c r="F101" s="69" t="s">
        <v>7</v>
      </c>
      <c r="G101" s="84" t="s">
        <v>2975</v>
      </c>
      <c r="H101" s="84" t="s">
        <v>3140</v>
      </c>
      <c r="I101" s="70">
        <v>62</v>
      </c>
      <c r="J101" s="67"/>
      <c r="K101" s="69" t="s">
        <v>107</v>
      </c>
      <c r="L101" s="69" t="s">
        <v>263</v>
      </c>
      <c r="M101" s="67"/>
      <c r="N101" s="67" t="s">
        <v>107</v>
      </c>
      <c r="O101" s="69" t="s">
        <v>3099</v>
      </c>
      <c r="P101" s="71"/>
      <c r="Q101" s="72"/>
      <c r="R101" s="73"/>
      <c r="S101" s="73"/>
      <c r="T101" s="85"/>
    </row>
    <row r="102" spans="1:20" s="2" customFormat="1" ht="30" customHeight="1" x14ac:dyDescent="0.2">
      <c r="A102" s="79">
        <v>99</v>
      </c>
      <c r="B102" s="40" t="s">
        <v>3142</v>
      </c>
      <c r="C102" s="41" t="s">
        <v>1376</v>
      </c>
      <c r="D102" s="41" t="s">
        <v>6</v>
      </c>
      <c r="E102" s="41" t="s">
        <v>3041</v>
      </c>
      <c r="F102" s="41" t="s">
        <v>83</v>
      </c>
      <c r="G102" s="80" t="s">
        <v>2975</v>
      </c>
      <c r="H102" s="41" t="s">
        <v>3140</v>
      </c>
      <c r="I102" s="81">
        <v>73</v>
      </c>
      <c r="J102" s="41"/>
      <c r="K102" s="6" t="s">
        <v>107</v>
      </c>
      <c r="L102" s="81" t="s">
        <v>167</v>
      </c>
      <c r="M102" s="41"/>
      <c r="N102" s="6" t="s">
        <v>107</v>
      </c>
      <c r="O102" s="6" t="s">
        <v>3143</v>
      </c>
      <c r="P102" s="13"/>
      <c r="Q102" s="41"/>
      <c r="R102" s="13"/>
      <c r="S102" s="13"/>
      <c r="T102" s="82"/>
    </row>
    <row r="103" spans="1:20" s="2" customFormat="1" ht="30" customHeight="1" x14ac:dyDescent="0.2">
      <c r="A103" s="83">
        <v>100</v>
      </c>
      <c r="B103" s="68" t="s">
        <v>3144</v>
      </c>
      <c r="C103" s="69" t="s">
        <v>1623</v>
      </c>
      <c r="D103" s="69" t="s">
        <v>6</v>
      </c>
      <c r="E103" s="67"/>
      <c r="F103" s="69" t="s">
        <v>7</v>
      </c>
      <c r="G103" s="84" t="s">
        <v>2975</v>
      </c>
      <c r="H103" s="84" t="s">
        <v>3132</v>
      </c>
      <c r="I103" s="70">
        <v>55</v>
      </c>
      <c r="J103" s="67"/>
      <c r="K103" s="69" t="s">
        <v>107</v>
      </c>
      <c r="L103" s="69" t="s">
        <v>361</v>
      </c>
      <c r="M103" s="67"/>
      <c r="N103" s="67" t="s">
        <v>107</v>
      </c>
      <c r="O103" s="69" t="s">
        <v>3135</v>
      </c>
      <c r="P103" s="71"/>
      <c r="Q103" s="72"/>
      <c r="R103" s="73"/>
      <c r="S103" s="73"/>
      <c r="T103" s="85"/>
    </row>
    <row r="104" spans="1:20" s="2" customFormat="1" ht="30" customHeight="1" x14ac:dyDescent="0.2">
      <c r="A104" s="79">
        <v>101</v>
      </c>
      <c r="B104" s="40" t="s">
        <v>3140</v>
      </c>
      <c r="C104" s="41" t="s">
        <v>180</v>
      </c>
      <c r="D104" s="41" t="s">
        <v>2981</v>
      </c>
      <c r="E104" s="41" t="s">
        <v>2965</v>
      </c>
      <c r="F104" s="41" t="s">
        <v>83</v>
      </c>
      <c r="G104" s="80" t="s">
        <v>2975</v>
      </c>
      <c r="H104" s="41" t="s">
        <v>3140</v>
      </c>
      <c r="I104" s="81">
        <v>62</v>
      </c>
      <c r="J104" s="41"/>
      <c r="K104" s="6" t="s">
        <v>107</v>
      </c>
      <c r="L104" s="81" t="s">
        <v>332</v>
      </c>
      <c r="M104" s="41"/>
      <c r="N104" s="6" t="s">
        <v>107</v>
      </c>
      <c r="O104" s="6" t="s">
        <v>3145</v>
      </c>
      <c r="P104" s="13"/>
      <c r="Q104" s="41"/>
      <c r="R104" s="13"/>
      <c r="S104" s="13"/>
      <c r="T104" s="82"/>
    </row>
    <row r="105" spans="1:20" s="2" customFormat="1" ht="30" customHeight="1" x14ac:dyDescent="0.2">
      <c r="A105" s="83">
        <v>102</v>
      </c>
      <c r="B105" s="68" t="s">
        <v>3146</v>
      </c>
      <c r="C105" s="69" t="s">
        <v>3138</v>
      </c>
      <c r="D105" s="69" t="s">
        <v>6</v>
      </c>
      <c r="E105" s="67"/>
      <c r="F105" s="69" t="s">
        <v>7</v>
      </c>
      <c r="G105" s="84" t="s">
        <v>2167</v>
      </c>
      <c r="H105" s="84" t="s">
        <v>3147</v>
      </c>
      <c r="I105" s="70">
        <v>73</v>
      </c>
      <c r="J105" s="67" t="s">
        <v>69</v>
      </c>
      <c r="K105" s="69" t="s">
        <v>70</v>
      </c>
      <c r="L105" s="69" t="s">
        <v>167</v>
      </c>
      <c r="M105" s="67" t="s">
        <v>69</v>
      </c>
      <c r="N105" s="67" t="s">
        <v>70</v>
      </c>
      <c r="O105" s="69" t="s">
        <v>3139</v>
      </c>
      <c r="P105" s="71"/>
      <c r="Q105" s="72"/>
      <c r="R105" s="73"/>
      <c r="S105" s="73"/>
      <c r="T105" s="85"/>
    </row>
    <row r="106" spans="1:20" s="2" customFormat="1" ht="30" customHeight="1" x14ac:dyDescent="0.2">
      <c r="A106" s="79">
        <v>103</v>
      </c>
      <c r="B106" s="40" t="s">
        <v>3132</v>
      </c>
      <c r="C106" s="41" t="s">
        <v>1401</v>
      </c>
      <c r="D106" s="41" t="s">
        <v>10</v>
      </c>
      <c r="E106" s="41" t="s">
        <v>3148</v>
      </c>
      <c r="F106" s="41" t="s">
        <v>83</v>
      </c>
      <c r="G106" s="80" t="s">
        <v>2975</v>
      </c>
      <c r="H106" s="41" t="s">
        <v>3132</v>
      </c>
      <c r="I106" s="81">
        <v>30</v>
      </c>
      <c r="J106" s="41"/>
      <c r="K106" s="6" t="s">
        <v>107</v>
      </c>
      <c r="L106" s="81" t="s">
        <v>1704</v>
      </c>
      <c r="M106" s="41"/>
      <c r="N106" s="6" t="s">
        <v>107</v>
      </c>
      <c r="O106" s="6" t="s">
        <v>3126</v>
      </c>
      <c r="P106" s="13"/>
      <c r="Q106" s="41"/>
      <c r="R106" s="13"/>
      <c r="S106" s="13"/>
      <c r="T106" s="82"/>
    </row>
    <row r="107" spans="1:20" s="2" customFormat="1" ht="30" customHeight="1" x14ac:dyDescent="0.2">
      <c r="A107" s="83">
        <v>104</v>
      </c>
      <c r="B107" s="68" t="s">
        <v>3132</v>
      </c>
      <c r="C107" s="69" t="s">
        <v>3149</v>
      </c>
      <c r="D107" s="69" t="s">
        <v>9</v>
      </c>
      <c r="E107" s="67" t="s">
        <v>185</v>
      </c>
      <c r="F107" s="69" t="s">
        <v>83</v>
      </c>
      <c r="G107" s="84" t="s">
        <v>2975</v>
      </c>
      <c r="H107" s="84" t="s">
        <v>3132</v>
      </c>
      <c r="I107" s="70">
        <v>73</v>
      </c>
      <c r="J107" s="67"/>
      <c r="K107" s="69" t="s">
        <v>107</v>
      </c>
      <c r="L107" s="69" t="s">
        <v>156</v>
      </c>
      <c r="M107" s="67"/>
      <c r="N107" s="67" t="s">
        <v>107</v>
      </c>
      <c r="O107" s="69" t="s">
        <v>3150</v>
      </c>
      <c r="P107" s="71"/>
      <c r="Q107" s="72"/>
      <c r="R107" s="73"/>
      <c r="S107" s="73"/>
      <c r="T107" s="85"/>
    </row>
    <row r="108" spans="1:20" s="2" customFormat="1" ht="30" customHeight="1" x14ac:dyDescent="0.2">
      <c r="A108" s="79">
        <v>105</v>
      </c>
      <c r="B108" s="40" t="s">
        <v>3151</v>
      </c>
      <c r="C108" s="41" t="s">
        <v>1401</v>
      </c>
      <c r="D108" s="41" t="s">
        <v>10</v>
      </c>
      <c r="E108" s="41"/>
      <c r="F108" s="41" t="s">
        <v>7</v>
      </c>
      <c r="G108" s="80" t="s">
        <v>2975</v>
      </c>
      <c r="H108" s="41" t="s">
        <v>3147</v>
      </c>
      <c r="I108" s="81">
        <v>22</v>
      </c>
      <c r="J108" s="41"/>
      <c r="K108" s="6" t="s">
        <v>369</v>
      </c>
      <c r="L108" s="81" t="s">
        <v>224</v>
      </c>
      <c r="M108" s="41"/>
      <c r="N108" s="6" t="s">
        <v>107</v>
      </c>
      <c r="O108" s="6" t="s">
        <v>3126</v>
      </c>
      <c r="P108" s="13"/>
      <c r="Q108" s="41"/>
      <c r="R108" s="13"/>
      <c r="S108" s="13"/>
      <c r="T108" s="82"/>
    </row>
    <row r="109" spans="1:20" s="2" customFormat="1" ht="30" customHeight="1" x14ac:dyDescent="0.2">
      <c r="A109" s="83">
        <v>106</v>
      </c>
      <c r="B109" s="68" t="s">
        <v>987</v>
      </c>
      <c r="C109" s="69" t="s">
        <v>984</v>
      </c>
      <c r="D109" s="69" t="s">
        <v>2981</v>
      </c>
      <c r="E109" s="67"/>
      <c r="F109" s="69" t="s">
        <v>7</v>
      </c>
      <c r="G109" s="84" t="s">
        <v>2975</v>
      </c>
      <c r="H109" s="84" t="s">
        <v>3147</v>
      </c>
      <c r="I109" s="70">
        <v>37</v>
      </c>
      <c r="J109" s="67"/>
      <c r="K109" s="69" t="s">
        <v>107</v>
      </c>
      <c r="L109" s="69" t="s">
        <v>188</v>
      </c>
      <c r="M109" s="67"/>
      <c r="N109" s="67" t="s">
        <v>107</v>
      </c>
      <c r="O109" s="69" t="s">
        <v>3116</v>
      </c>
      <c r="P109" s="71"/>
      <c r="Q109" s="72"/>
      <c r="R109" s="73"/>
      <c r="S109" s="73"/>
      <c r="T109" s="85"/>
    </row>
    <row r="110" spans="1:20" s="2" customFormat="1" ht="30" customHeight="1" x14ac:dyDescent="0.2">
      <c r="A110" s="79">
        <v>107</v>
      </c>
      <c r="B110" s="40" t="s">
        <v>3152</v>
      </c>
      <c r="C110" s="41" t="s">
        <v>2528</v>
      </c>
      <c r="D110" s="41" t="s">
        <v>10</v>
      </c>
      <c r="E110" s="41" t="s">
        <v>185</v>
      </c>
      <c r="F110" s="41" t="s">
        <v>83</v>
      </c>
      <c r="G110" s="80" t="s">
        <v>2975</v>
      </c>
      <c r="H110" s="41" t="s">
        <v>3152</v>
      </c>
      <c r="I110" s="81">
        <v>55</v>
      </c>
      <c r="J110" s="41"/>
      <c r="K110" s="6" t="s">
        <v>107</v>
      </c>
      <c r="L110" s="81" t="s">
        <v>361</v>
      </c>
      <c r="M110" s="41"/>
      <c r="N110" s="6" t="s">
        <v>107</v>
      </c>
      <c r="O110" s="6" t="s">
        <v>3153</v>
      </c>
      <c r="P110" s="13"/>
      <c r="Q110" s="41"/>
      <c r="R110" s="13"/>
      <c r="S110" s="13"/>
      <c r="T110" s="82"/>
    </row>
    <row r="111" spans="1:20" s="2" customFormat="1" ht="30" customHeight="1" x14ac:dyDescent="0.2">
      <c r="A111" s="83">
        <v>108</v>
      </c>
      <c r="B111" s="68" t="s">
        <v>3152</v>
      </c>
      <c r="C111" s="69" t="s">
        <v>2528</v>
      </c>
      <c r="D111" s="69" t="s">
        <v>10</v>
      </c>
      <c r="E111" s="67"/>
      <c r="F111" s="69" t="s">
        <v>7</v>
      </c>
      <c r="G111" s="84" t="s">
        <v>2975</v>
      </c>
      <c r="H111" s="84" t="s">
        <v>3147</v>
      </c>
      <c r="I111" s="70">
        <v>62</v>
      </c>
      <c r="J111" s="67" t="s">
        <v>69</v>
      </c>
      <c r="K111" s="69" t="s">
        <v>70</v>
      </c>
      <c r="L111" s="69" t="s">
        <v>263</v>
      </c>
      <c r="M111" s="67"/>
      <c r="N111" s="67" t="s">
        <v>107</v>
      </c>
      <c r="O111" s="69" t="s">
        <v>3153</v>
      </c>
      <c r="P111" s="71"/>
      <c r="Q111" s="72"/>
      <c r="R111" s="73"/>
      <c r="S111" s="73"/>
      <c r="T111" s="85"/>
    </row>
    <row r="112" spans="1:20" s="2" customFormat="1" ht="30" customHeight="1" x14ac:dyDescent="0.2">
      <c r="A112" s="79">
        <v>109</v>
      </c>
      <c r="B112" s="40" t="s">
        <v>3154</v>
      </c>
      <c r="C112" s="41" t="s">
        <v>319</v>
      </c>
      <c r="D112" s="41" t="s">
        <v>10</v>
      </c>
      <c r="E112" s="41"/>
      <c r="F112" s="41" t="s">
        <v>7</v>
      </c>
      <c r="G112" s="80" t="s">
        <v>2975</v>
      </c>
      <c r="H112" s="41" t="s">
        <v>3147</v>
      </c>
      <c r="I112" s="81">
        <v>62</v>
      </c>
      <c r="J112" s="41"/>
      <c r="K112" s="6" t="s">
        <v>107</v>
      </c>
      <c r="L112" s="81" t="s">
        <v>263</v>
      </c>
      <c r="M112" s="41"/>
      <c r="N112" s="6" t="s">
        <v>107</v>
      </c>
      <c r="O112" s="6" t="s">
        <v>3115</v>
      </c>
      <c r="P112" s="13"/>
      <c r="Q112" s="41"/>
      <c r="R112" s="13"/>
      <c r="S112" s="13"/>
      <c r="T112" s="82"/>
    </row>
    <row r="113" spans="1:20" s="2" customFormat="1" ht="30" customHeight="1" x14ac:dyDescent="0.2">
      <c r="A113" s="83">
        <v>110</v>
      </c>
      <c r="B113" s="68" t="s">
        <v>1897</v>
      </c>
      <c r="C113" s="69" t="s">
        <v>180</v>
      </c>
      <c r="D113" s="69" t="s">
        <v>2981</v>
      </c>
      <c r="E113" s="67"/>
      <c r="F113" s="69" t="s">
        <v>7</v>
      </c>
      <c r="G113" s="84" t="s">
        <v>2975</v>
      </c>
      <c r="H113" s="84" t="s">
        <v>3147</v>
      </c>
      <c r="I113" s="70">
        <v>62</v>
      </c>
      <c r="J113" s="67"/>
      <c r="K113" s="69" t="s">
        <v>107</v>
      </c>
      <c r="L113" s="69" t="s">
        <v>332</v>
      </c>
      <c r="M113" s="67" t="s">
        <v>142</v>
      </c>
      <c r="N113" s="67" t="s">
        <v>70</v>
      </c>
      <c r="O113" s="69" t="s">
        <v>3145</v>
      </c>
      <c r="P113" s="71"/>
      <c r="Q113" s="72"/>
      <c r="R113" s="73"/>
      <c r="S113" s="73"/>
      <c r="T113" s="85"/>
    </row>
    <row r="114" spans="1:20" s="2" customFormat="1" ht="30" customHeight="1" x14ac:dyDescent="0.2">
      <c r="A114" s="79">
        <v>111</v>
      </c>
      <c r="B114" s="40" t="s">
        <v>3155</v>
      </c>
      <c r="C114" s="41" t="s">
        <v>474</v>
      </c>
      <c r="D114" s="41" t="s">
        <v>10</v>
      </c>
      <c r="E114" s="41"/>
      <c r="F114" s="41" t="s">
        <v>7</v>
      </c>
      <c r="G114" s="80" t="s">
        <v>2975</v>
      </c>
      <c r="H114" s="41" t="s">
        <v>3147</v>
      </c>
      <c r="I114" s="81">
        <v>45</v>
      </c>
      <c r="J114" s="41"/>
      <c r="K114" s="6" t="s">
        <v>107</v>
      </c>
      <c r="L114" s="81" t="s">
        <v>204</v>
      </c>
      <c r="M114" s="41"/>
      <c r="N114" s="6" t="s">
        <v>369</v>
      </c>
      <c r="O114" s="6" t="s">
        <v>3136</v>
      </c>
      <c r="P114" s="13"/>
      <c r="Q114" s="41"/>
      <c r="R114" s="13"/>
      <c r="S114" s="13"/>
      <c r="T114" s="82"/>
    </row>
    <row r="115" spans="1:20" s="2" customFormat="1" ht="30" customHeight="1" x14ac:dyDescent="0.2">
      <c r="A115" s="83">
        <v>112</v>
      </c>
      <c r="B115" s="68" t="s">
        <v>1388</v>
      </c>
      <c r="C115" s="69" t="s">
        <v>1384</v>
      </c>
      <c r="D115" s="69" t="s">
        <v>8</v>
      </c>
      <c r="E115" s="67" t="s">
        <v>3041</v>
      </c>
      <c r="F115" s="69" t="s">
        <v>83</v>
      </c>
      <c r="G115" s="84" t="s">
        <v>2975</v>
      </c>
      <c r="H115" s="84" t="s">
        <v>1190</v>
      </c>
      <c r="I115" s="70">
        <v>45</v>
      </c>
      <c r="J115" s="67"/>
      <c r="K115" s="69" t="s">
        <v>107</v>
      </c>
      <c r="L115" s="69" t="s">
        <v>120</v>
      </c>
      <c r="M115" s="67" t="s">
        <v>142</v>
      </c>
      <c r="N115" s="67" t="s">
        <v>70</v>
      </c>
      <c r="O115" s="69" t="s">
        <v>2544</v>
      </c>
      <c r="P115" s="71"/>
      <c r="Q115" s="72"/>
      <c r="R115" s="73"/>
      <c r="S115" s="73"/>
      <c r="T115" s="85" t="s">
        <v>3156</v>
      </c>
    </row>
    <row r="116" spans="1:20" s="2" customFormat="1" ht="30" customHeight="1" x14ac:dyDescent="0.2">
      <c r="A116" s="79">
        <v>113</v>
      </c>
      <c r="B116" s="40" t="s">
        <v>1388</v>
      </c>
      <c r="C116" s="41" t="s">
        <v>2422</v>
      </c>
      <c r="D116" s="41" t="s">
        <v>8</v>
      </c>
      <c r="E116" s="41" t="s">
        <v>185</v>
      </c>
      <c r="F116" s="41" t="s">
        <v>83</v>
      </c>
      <c r="G116" s="80" t="s">
        <v>2167</v>
      </c>
      <c r="H116" s="41" t="s">
        <v>1388</v>
      </c>
      <c r="I116" s="81">
        <v>30</v>
      </c>
      <c r="J116" s="41" t="s">
        <v>262</v>
      </c>
      <c r="K116" s="6" t="s">
        <v>70</v>
      </c>
      <c r="L116" s="81" t="s">
        <v>492</v>
      </c>
      <c r="M116" s="41"/>
      <c r="N116" s="6" t="s">
        <v>107</v>
      </c>
      <c r="O116" s="6" t="s">
        <v>3109</v>
      </c>
      <c r="P116" s="13"/>
      <c r="Q116" s="41"/>
      <c r="R116" s="13"/>
      <c r="S116" s="13"/>
      <c r="T116" s="82"/>
    </row>
    <row r="117" spans="1:20" s="2" customFormat="1" ht="30" customHeight="1" x14ac:dyDescent="0.2">
      <c r="A117" s="83">
        <v>114</v>
      </c>
      <c r="B117" s="68" t="s">
        <v>3157</v>
      </c>
      <c r="C117" s="69" t="s">
        <v>2817</v>
      </c>
      <c r="D117" s="69" t="s">
        <v>8</v>
      </c>
      <c r="E117" s="67" t="s">
        <v>3041</v>
      </c>
      <c r="F117" s="69" t="s">
        <v>83</v>
      </c>
      <c r="G117" s="84" t="s">
        <v>2975</v>
      </c>
      <c r="H117" s="84" t="s">
        <v>3157</v>
      </c>
      <c r="I117" s="70">
        <v>45</v>
      </c>
      <c r="J117" s="67"/>
      <c r="K117" s="69" t="s">
        <v>107</v>
      </c>
      <c r="L117" s="69" t="s">
        <v>470</v>
      </c>
      <c r="M117" s="67"/>
      <c r="N117" s="67" t="s">
        <v>107</v>
      </c>
      <c r="O117" s="69" t="s">
        <v>3072</v>
      </c>
      <c r="P117" s="71"/>
      <c r="Q117" s="72"/>
      <c r="R117" s="73"/>
      <c r="S117" s="73"/>
      <c r="T117" s="85" t="s">
        <v>644</v>
      </c>
    </row>
    <row r="118" spans="1:20" s="2" customFormat="1" ht="30" customHeight="1" x14ac:dyDescent="0.2">
      <c r="A118" s="79">
        <v>115</v>
      </c>
      <c r="B118" s="40" t="s">
        <v>3157</v>
      </c>
      <c r="C118" s="41" t="s">
        <v>1576</v>
      </c>
      <c r="D118" s="41" t="s">
        <v>9</v>
      </c>
      <c r="E118" s="41" t="s">
        <v>185</v>
      </c>
      <c r="F118" s="41" t="s">
        <v>83</v>
      </c>
      <c r="G118" s="80" t="s">
        <v>2167</v>
      </c>
      <c r="H118" s="41" t="s">
        <v>3157</v>
      </c>
      <c r="I118" s="81">
        <v>62</v>
      </c>
      <c r="J118" s="41"/>
      <c r="K118" s="6" t="s">
        <v>107</v>
      </c>
      <c r="L118" s="81" t="s">
        <v>263</v>
      </c>
      <c r="M118" s="41"/>
      <c r="N118" s="6" t="s">
        <v>107</v>
      </c>
      <c r="O118" s="6" t="s">
        <v>3158</v>
      </c>
      <c r="P118" s="13"/>
      <c r="Q118" s="41"/>
      <c r="R118" s="13"/>
      <c r="S118" s="13"/>
      <c r="T118" s="82"/>
    </row>
    <row r="119" spans="1:20" s="2" customFormat="1" ht="30" customHeight="1" x14ac:dyDescent="0.2">
      <c r="A119" s="83">
        <v>116</v>
      </c>
      <c r="B119" s="68" t="s">
        <v>3157</v>
      </c>
      <c r="C119" s="69" t="s">
        <v>3149</v>
      </c>
      <c r="D119" s="69" t="s">
        <v>9</v>
      </c>
      <c r="E119" s="67"/>
      <c r="F119" s="69" t="s">
        <v>7</v>
      </c>
      <c r="G119" s="84" t="s">
        <v>2167</v>
      </c>
      <c r="H119" s="84" t="s">
        <v>3147</v>
      </c>
      <c r="I119" s="70">
        <v>62</v>
      </c>
      <c r="J119" s="67" t="s">
        <v>142</v>
      </c>
      <c r="K119" s="69" t="s">
        <v>70</v>
      </c>
      <c r="L119" s="69" t="s">
        <v>263</v>
      </c>
      <c r="M119" s="67" t="s">
        <v>142</v>
      </c>
      <c r="N119" s="67" t="s">
        <v>70</v>
      </c>
      <c r="O119" s="69" t="s">
        <v>3150</v>
      </c>
      <c r="P119" s="71"/>
      <c r="Q119" s="72"/>
      <c r="R119" s="73"/>
      <c r="S119" s="73"/>
      <c r="T119" s="85"/>
    </row>
    <row r="120" spans="1:20" s="2" customFormat="1" ht="30" customHeight="1" x14ac:dyDescent="0.2">
      <c r="A120" s="79">
        <v>117</v>
      </c>
      <c r="B120" s="40" t="s">
        <v>1387</v>
      </c>
      <c r="C120" s="41" t="s">
        <v>1384</v>
      </c>
      <c r="D120" s="41" t="s">
        <v>8</v>
      </c>
      <c r="E120" s="41"/>
      <c r="F120" s="41" t="s">
        <v>7</v>
      </c>
      <c r="G120" s="80" t="s">
        <v>2975</v>
      </c>
      <c r="H120" s="41" t="s">
        <v>3147</v>
      </c>
      <c r="I120" s="81">
        <v>45</v>
      </c>
      <c r="J120" s="41"/>
      <c r="K120" s="6" t="s">
        <v>369</v>
      </c>
      <c r="L120" s="81" t="s">
        <v>120</v>
      </c>
      <c r="M120" s="41"/>
      <c r="N120" s="6" t="s">
        <v>107</v>
      </c>
      <c r="O120" s="6" t="s">
        <v>2544</v>
      </c>
      <c r="P120" s="13"/>
      <c r="Q120" s="41"/>
      <c r="R120" s="13"/>
      <c r="S120" s="13"/>
      <c r="T120" s="82"/>
    </row>
    <row r="121" spans="1:20" s="2" customFormat="1" ht="30" customHeight="1" x14ac:dyDescent="0.2">
      <c r="A121" s="83">
        <v>118</v>
      </c>
      <c r="B121" s="68" t="s">
        <v>1580</v>
      </c>
      <c r="C121" s="69" t="s">
        <v>3159</v>
      </c>
      <c r="D121" s="69" t="s">
        <v>9</v>
      </c>
      <c r="E121" s="67" t="s">
        <v>185</v>
      </c>
      <c r="F121" s="69" t="s">
        <v>83</v>
      </c>
      <c r="G121" s="84" t="s">
        <v>2975</v>
      </c>
      <c r="H121" s="84" t="s">
        <v>1387</v>
      </c>
      <c r="I121" s="70">
        <v>73</v>
      </c>
      <c r="J121" s="67" t="s">
        <v>262</v>
      </c>
      <c r="K121" s="69" t="s">
        <v>70</v>
      </c>
      <c r="L121" s="69" t="s">
        <v>167</v>
      </c>
      <c r="M121" s="67" t="s">
        <v>262</v>
      </c>
      <c r="N121" s="67" t="s">
        <v>70</v>
      </c>
      <c r="O121" s="69" t="s">
        <v>3160</v>
      </c>
      <c r="P121" s="71"/>
      <c r="Q121" s="72"/>
      <c r="R121" s="73"/>
      <c r="S121" s="73"/>
      <c r="T121" s="85"/>
    </row>
    <row r="122" spans="1:20" s="2" customFormat="1" ht="30" customHeight="1" x14ac:dyDescent="0.2">
      <c r="A122" s="79">
        <v>119</v>
      </c>
      <c r="B122" s="40" t="s">
        <v>1580</v>
      </c>
      <c r="C122" s="41" t="s">
        <v>1576</v>
      </c>
      <c r="D122" s="41" t="s">
        <v>9</v>
      </c>
      <c r="E122" s="41"/>
      <c r="F122" s="41" t="s">
        <v>7</v>
      </c>
      <c r="G122" s="80" t="s">
        <v>2167</v>
      </c>
      <c r="H122" s="41" t="s">
        <v>3147</v>
      </c>
      <c r="I122" s="81">
        <v>45</v>
      </c>
      <c r="J122" s="41" t="s">
        <v>262</v>
      </c>
      <c r="K122" s="6" t="s">
        <v>70</v>
      </c>
      <c r="L122" s="81" t="s">
        <v>402</v>
      </c>
      <c r="M122" s="41" t="s">
        <v>142</v>
      </c>
      <c r="N122" s="6" t="s">
        <v>70</v>
      </c>
      <c r="O122" s="6" t="s">
        <v>3158</v>
      </c>
      <c r="P122" s="13"/>
      <c r="Q122" s="41"/>
      <c r="R122" s="13"/>
      <c r="S122" s="13"/>
      <c r="T122" s="82"/>
    </row>
    <row r="123" spans="1:20" s="2" customFormat="1" ht="30" customHeight="1" x14ac:dyDescent="0.2">
      <c r="A123" s="83">
        <v>120</v>
      </c>
      <c r="B123" s="68" t="s">
        <v>3161</v>
      </c>
      <c r="C123" s="69" t="s">
        <v>3162</v>
      </c>
      <c r="D123" s="69" t="s">
        <v>20</v>
      </c>
      <c r="E123" s="67" t="s">
        <v>3041</v>
      </c>
      <c r="F123" s="69" t="s">
        <v>83</v>
      </c>
      <c r="G123" s="84" t="s">
        <v>2975</v>
      </c>
      <c r="H123" s="84" t="s">
        <v>3161</v>
      </c>
      <c r="I123" s="70">
        <v>55</v>
      </c>
      <c r="J123" s="67" t="s">
        <v>262</v>
      </c>
      <c r="K123" s="69" t="s">
        <v>70</v>
      </c>
      <c r="L123" s="69" t="s">
        <v>804</v>
      </c>
      <c r="M123" s="67"/>
      <c r="N123" s="67" t="s">
        <v>107</v>
      </c>
      <c r="O123" s="69" t="s">
        <v>3163</v>
      </c>
      <c r="P123" s="71"/>
      <c r="Q123" s="72"/>
      <c r="R123" s="73"/>
      <c r="S123" s="73"/>
      <c r="T123" s="85"/>
    </row>
    <row r="124" spans="1:20" s="2" customFormat="1" ht="30" customHeight="1" x14ac:dyDescent="0.2">
      <c r="A124" s="79">
        <v>121</v>
      </c>
      <c r="B124" s="40" t="s">
        <v>3161</v>
      </c>
      <c r="C124" s="41" t="s">
        <v>3162</v>
      </c>
      <c r="D124" s="41" t="s">
        <v>20</v>
      </c>
      <c r="E124" s="41"/>
      <c r="F124" s="41" t="s">
        <v>7</v>
      </c>
      <c r="G124" s="80" t="s">
        <v>2975</v>
      </c>
      <c r="H124" s="41" t="s">
        <v>3147</v>
      </c>
      <c r="I124" s="81">
        <v>55</v>
      </c>
      <c r="J124" s="41" t="s">
        <v>142</v>
      </c>
      <c r="K124" s="6" t="s">
        <v>70</v>
      </c>
      <c r="L124" s="81" t="s">
        <v>108</v>
      </c>
      <c r="M124" s="41"/>
      <c r="N124" s="6" t="s">
        <v>107</v>
      </c>
      <c r="O124" s="6" t="s">
        <v>3163</v>
      </c>
      <c r="P124" s="13"/>
      <c r="Q124" s="41"/>
      <c r="R124" s="13"/>
      <c r="S124" s="13"/>
      <c r="T124" s="82"/>
    </row>
    <row r="125" spans="1:20" s="2" customFormat="1" ht="30" customHeight="1" x14ac:dyDescent="0.2">
      <c r="A125" s="83">
        <v>122</v>
      </c>
      <c r="B125" s="68" t="s">
        <v>2423</v>
      </c>
      <c r="C125" s="69" t="s">
        <v>2422</v>
      </c>
      <c r="D125" s="69" t="s">
        <v>8</v>
      </c>
      <c r="E125" s="67"/>
      <c r="F125" s="69" t="s">
        <v>7</v>
      </c>
      <c r="G125" s="84" t="s">
        <v>2167</v>
      </c>
      <c r="H125" s="84" t="s">
        <v>3147</v>
      </c>
      <c r="I125" s="70">
        <v>30</v>
      </c>
      <c r="J125" s="67"/>
      <c r="K125" s="69" t="s">
        <v>107</v>
      </c>
      <c r="L125" s="69" t="s">
        <v>998</v>
      </c>
      <c r="M125" s="67"/>
      <c r="N125" s="67" t="s">
        <v>107</v>
      </c>
      <c r="O125" s="69" t="s">
        <v>3109</v>
      </c>
      <c r="P125" s="71"/>
      <c r="Q125" s="72"/>
      <c r="R125" s="73"/>
      <c r="S125" s="73"/>
      <c r="T125" s="85"/>
    </row>
    <row r="126" spans="1:20" s="2" customFormat="1" ht="30" customHeight="1" x14ac:dyDescent="0.2">
      <c r="A126" s="79">
        <v>123</v>
      </c>
      <c r="B126" s="40" t="s">
        <v>1191</v>
      </c>
      <c r="C126" s="41" t="s">
        <v>2817</v>
      </c>
      <c r="D126" s="41" t="s">
        <v>8</v>
      </c>
      <c r="E126" s="41"/>
      <c r="F126" s="41" t="s">
        <v>7</v>
      </c>
      <c r="G126" s="80" t="s">
        <v>2975</v>
      </c>
      <c r="H126" s="41" t="s">
        <v>3147</v>
      </c>
      <c r="I126" s="81">
        <v>37</v>
      </c>
      <c r="J126" s="41"/>
      <c r="K126" s="6" t="s">
        <v>107</v>
      </c>
      <c r="L126" s="81" t="s">
        <v>143</v>
      </c>
      <c r="M126" s="41"/>
      <c r="N126" s="6" t="s">
        <v>107</v>
      </c>
      <c r="O126" s="6" t="s">
        <v>3072</v>
      </c>
      <c r="P126" s="13"/>
      <c r="Q126" s="41"/>
      <c r="R126" s="13"/>
      <c r="S126" s="13"/>
      <c r="T126" s="82"/>
    </row>
    <row r="127" spans="1:20" s="2" customFormat="1" ht="30" customHeight="1" x14ac:dyDescent="0.2">
      <c r="A127" s="83">
        <v>124</v>
      </c>
      <c r="B127" s="68" t="s">
        <v>1830</v>
      </c>
      <c r="C127" s="69" t="s">
        <v>1828</v>
      </c>
      <c r="D127" s="69" t="s">
        <v>8</v>
      </c>
      <c r="E127" s="67" t="s">
        <v>185</v>
      </c>
      <c r="F127" s="69" t="s">
        <v>83</v>
      </c>
      <c r="G127" s="84" t="s">
        <v>2975</v>
      </c>
      <c r="H127" s="84" t="s">
        <v>1830</v>
      </c>
      <c r="I127" s="70">
        <v>55</v>
      </c>
      <c r="J127" s="67"/>
      <c r="K127" s="69" t="s">
        <v>107</v>
      </c>
      <c r="L127" s="69" t="s">
        <v>361</v>
      </c>
      <c r="M127" s="67"/>
      <c r="N127" s="67" t="s">
        <v>107</v>
      </c>
      <c r="O127" s="69" t="s">
        <v>3164</v>
      </c>
      <c r="P127" s="71"/>
      <c r="Q127" s="72"/>
      <c r="R127" s="73"/>
      <c r="S127" s="73"/>
      <c r="T127" s="85"/>
    </row>
    <row r="128" spans="1:20" s="2" customFormat="1" ht="30" customHeight="1" x14ac:dyDescent="0.2">
      <c r="A128" s="79">
        <v>125</v>
      </c>
      <c r="B128" s="40" t="s">
        <v>1830</v>
      </c>
      <c r="C128" s="41" t="s">
        <v>1828</v>
      </c>
      <c r="D128" s="41" t="s">
        <v>8</v>
      </c>
      <c r="E128" s="41"/>
      <c r="F128" s="41" t="s">
        <v>7</v>
      </c>
      <c r="G128" s="80" t="s">
        <v>2975</v>
      </c>
      <c r="H128" s="41" t="s">
        <v>3147</v>
      </c>
      <c r="I128" s="81">
        <v>55</v>
      </c>
      <c r="J128" s="41"/>
      <c r="K128" s="6" t="s">
        <v>369</v>
      </c>
      <c r="L128" s="81" t="s">
        <v>256</v>
      </c>
      <c r="M128" s="41"/>
      <c r="N128" s="6" t="s">
        <v>107</v>
      </c>
      <c r="O128" s="6" t="s">
        <v>3164</v>
      </c>
      <c r="P128" s="13"/>
      <c r="Q128" s="41"/>
      <c r="R128" s="13"/>
      <c r="S128" s="13"/>
      <c r="T128" s="82"/>
    </row>
    <row r="129" spans="1:20" s="2" customFormat="1" ht="30" customHeight="1" x14ac:dyDescent="0.2">
      <c r="A129" s="83">
        <v>126</v>
      </c>
      <c r="B129" s="68" t="s">
        <v>3165</v>
      </c>
      <c r="C129" s="69" t="s">
        <v>2320</v>
      </c>
      <c r="D129" s="69" t="s">
        <v>8</v>
      </c>
      <c r="E129" s="67" t="s">
        <v>3085</v>
      </c>
      <c r="F129" s="69" t="s">
        <v>83</v>
      </c>
      <c r="G129" s="84" t="s">
        <v>2975</v>
      </c>
      <c r="H129" s="84" t="s">
        <v>3165</v>
      </c>
      <c r="I129" s="70">
        <v>45</v>
      </c>
      <c r="J129" s="67"/>
      <c r="K129" s="69" t="s">
        <v>369</v>
      </c>
      <c r="L129" s="69" t="s">
        <v>120</v>
      </c>
      <c r="M129" s="67"/>
      <c r="N129" s="67" t="s">
        <v>107</v>
      </c>
      <c r="O129" s="69" t="s">
        <v>3166</v>
      </c>
      <c r="P129" s="71"/>
      <c r="Q129" s="72"/>
      <c r="R129" s="73"/>
      <c r="S129" s="73"/>
      <c r="T129" s="85"/>
    </row>
    <row r="130" spans="1:20" s="2" customFormat="1" ht="30" customHeight="1" x14ac:dyDescent="0.2">
      <c r="A130" s="79">
        <v>127</v>
      </c>
      <c r="B130" s="40" t="s">
        <v>3167</v>
      </c>
      <c r="C130" s="41" t="s">
        <v>3159</v>
      </c>
      <c r="D130" s="41" t="s">
        <v>9</v>
      </c>
      <c r="E130" s="41"/>
      <c r="F130" s="41" t="s">
        <v>7</v>
      </c>
      <c r="G130" s="80" t="s">
        <v>2975</v>
      </c>
      <c r="H130" s="41" t="s">
        <v>3147</v>
      </c>
      <c r="I130" s="81">
        <v>73</v>
      </c>
      <c r="J130" s="41"/>
      <c r="K130" s="6" t="s">
        <v>107</v>
      </c>
      <c r="L130" s="81" t="s">
        <v>156</v>
      </c>
      <c r="M130" s="41" t="s">
        <v>69</v>
      </c>
      <c r="N130" s="6" t="s">
        <v>70</v>
      </c>
      <c r="O130" s="6" t="s">
        <v>3160</v>
      </c>
      <c r="P130" s="13"/>
      <c r="Q130" s="41"/>
      <c r="R130" s="13"/>
      <c r="S130" s="13"/>
      <c r="T130" s="82"/>
    </row>
    <row r="131" spans="1:20" s="2" customFormat="1" ht="30" customHeight="1" x14ac:dyDescent="0.2">
      <c r="A131" s="83">
        <v>128</v>
      </c>
      <c r="B131" s="68" t="s">
        <v>1190</v>
      </c>
      <c r="C131" s="69" t="s">
        <v>2320</v>
      </c>
      <c r="D131" s="69" t="s">
        <v>8</v>
      </c>
      <c r="E131" s="67"/>
      <c r="F131" s="69" t="s">
        <v>7</v>
      </c>
      <c r="G131" s="84" t="s">
        <v>2975</v>
      </c>
      <c r="H131" s="84" t="s">
        <v>3147</v>
      </c>
      <c r="I131" s="70">
        <v>45</v>
      </c>
      <c r="J131" s="67"/>
      <c r="K131" s="69" t="s">
        <v>107</v>
      </c>
      <c r="L131" s="69" t="s">
        <v>120</v>
      </c>
      <c r="M131" s="67"/>
      <c r="N131" s="67" t="s">
        <v>107</v>
      </c>
      <c r="O131" s="69" t="s">
        <v>3166</v>
      </c>
      <c r="P131" s="71"/>
      <c r="Q131" s="72"/>
      <c r="R131" s="73"/>
      <c r="S131" s="73"/>
      <c r="T131" s="85"/>
    </row>
    <row r="132" spans="1:20" s="2" customFormat="1" ht="30" customHeight="1" x14ac:dyDescent="0.2">
      <c r="A132" s="79">
        <v>129</v>
      </c>
      <c r="B132" s="40" t="s">
        <v>1379</v>
      </c>
      <c r="C132" s="41" t="s">
        <v>1376</v>
      </c>
      <c r="D132" s="41" t="s">
        <v>6</v>
      </c>
      <c r="E132" s="41"/>
      <c r="F132" s="41" t="s">
        <v>7</v>
      </c>
      <c r="G132" s="80" t="s">
        <v>2975</v>
      </c>
      <c r="H132" s="41" t="s">
        <v>3147</v>
      </c>
      <c r="I132" s="81">
        <v>37</v>
      </c>
      <c r="J132" s="41" t="s">
        <v>142</v>
      </c>
      <c r="K132" s="6" t="s">
        <v>70</v>
      </c>
      <c r="L132" s="81" t="s">
        <v>338</v>
      </c>
      <c r="M132" s="41" t="s">
        <v>142</v>
      </c>
      <c r="N132" s="6" t="s">
        <v>70</v>
      </c>
      <c r="O132" s="6" t="s">
        <v>3143</v>
      </c>
      <c r="P132" s="13"/>
      <c r="Q132" s="41"/>
      <c r="R132" s="13"/>
      <c r="S132" s="13"/>
      <c r="T132" s="82"/>
    </row>
    <row r="133" spans="1:20" s="2" customFormat="1" ht="30" customHeight="1" x14ac:dyDescent="0.2">
      <c r="A133" s="83">
        <v>130</v>
      </c>
      <c r="B133" s="68" t="s">
        <v>3168</v>
      </c>
      <c r="C133" s="69" t="s">
        <v>474</v>
      </c>
      <c r="D133" s="69" t="s">
        <v>10</v>
      </c>
      <c r="E133" s="67" t="s">
        <v>185</v>
      </c>
      <c r="F133" s="69" t="s">
        <v>83</v>
      </c>
      <c r="G133" s="84" t="s">
        <v>2975</v>
      </c>
      <c r="H133" s="84" t="s">
        <v>3168</v>
      </c>
      <c r="I133" s="70">
        <v>45</v>
      </c>
      <c r="J133" s="67"/>
      <c r="K133" s="69" t="s">
        <v>369</v>
      </c>
      <c r="L133" s="69" t="s">
        <v>204</v>
      </c>
      <c r="M133" s="67"/>
      <c r="N133" s="67" t="s">
        <v>107</v>
      </c>
      <c r="O133" s="69" t="s">
        <v>3155</v>
      </c>
      <c r="P133" s="71"/>
      <c r="Q133" s="72"/>
      <c r="R133" s="73"/>
      <c r="S133" s="73"/>
      <c r="T133" s="85"/>
    </row>
    <row r="134" spans="1:20" ht="30" customHeight="1" x14ac:dyDescent="0.2">
      <c r="A134" s="79">
        <v>131</v>
      </c>
      <c r="B134" s="40" t="s">
        <v>3169</v>
      </c>
      <c r="C134" s="41" t="s">
        <v>2045</v>
      </c>
      <c r="D134" s="41" t="s">
        <v>6</v>
      </c>
      <c r="E134" s="41" t="s">
        <v>2965</v>
      </c>
      <c r="F134" s="41" t="s">
        <v>83</v>
      </c>
      <c r="G134" s="80" t="s">
        <v>2975</v>
      </c>
      <c r="H134" s="41" t="s">
        <v>3169</v>
      </c>
      <c r="I134" s="81" t="s">
        <v>218</v>
      </c>
      <c r="J134" s="41" t="s">
        <v>142</v>
      </c>
      <c r="K134" s="6" t="s">
        <v>70</v>
      </c>
      <c r="L134" s="81" t="s">
        <v>268</v>
      </c>
      <c r="M134" s="41" t="s">
        <v>142</v>
      </c>
      <c r="N134" s="6" t="s">
        <v>70</v>
      </c>
      <c r="O134" s="6" t="s">
        <v>3170</v>
      </c>
      <c r="P134" s="13"/>
      <c r="Q134" s="41"/>
      <c r="R134" s="13"/>
      <c r="S134" s="13"/>
      <c r="T134" s="82"/>
    </row>
    <row r="135" spans="1:20" ht="30" customHeight="1" x14ac:dyDescent="0.2">
      <c r="A135" s="83">
        <v>132</v>
      </c>
      <c r="B135" s="68" t="s">
        <v>3171</v>
      </c>
      <c r="C135" s="69" t="s">
        <v>474</v>
      </c>
      <c r="D135" s="69" t="s">
        <v>10</v>
      </c>
      <c r="E135" s="67"/>
      <c r="F135" s="69" t="s">
        <v>7</v>
      </c>
      <c r="G135" s="84" t="s">
        <v>2975</v>
      </c>
      <c r="H135" s="84" t="s">
        <v>3147</v>
      </c>
      <c r="I135" s="70" t="s">
        <v>117</v>
      </c>
      <c r="J135" s="67"/>
      <c r="K135" s="69" t="s">
        <v>107</v>
      </c>
      <c r="L135" s="69" t="s">
        <v>204</v>
      </c>
      <c r="M135" s="67"/>
      <c r="N135" s="67" t="s">
        <v>369</v>
      </c>
      <c r="O135" s="69" t="s">
        <v>3155</v>
      </c>
      <c r="P135" s="71"/>
      <c r="Q135" s="72"/>
      <c r="R135" s="73"/>
      <c r="S135" s="73"/>
      <c r="T135" s="85"/>
    </row>
    <row r="136" spans="1:20" ht="30" customHeight="1" x14ac:dyDescent="0.2">
      <c r="A136" s="79">
        <v>133</v>
      </c>
      <c r="B136" s="40" t="s">
        <v>2860</v>
      </c>
      <c r="C136" s="41" t="s">
        <v>2045</v>
      </c>
      <c r="D136" s="41" t="s">
        <v>6</v>
      </c>
      <c r="E136" s="41"/>
      <c r="F136" s="41" t="s">
        <v>7</v>
      </c>
      <c r="G136" s="80" t="s">
        <v>2975</v>
      </c>
      <c r="H136" s="41" t="s">
        <v>3147</v>
      </c>
      <c r="I136" s="81" t="s">
        <v>155</v>
      </c>
      <c r="J136" s="41"/>
      <c r="K136" s="6" t="s">
        <v>107</v>
      </c>
      <c r="L136" s="81" t="s">
        <v>170</v>
      </c>
      <c r="M136" s="41"/>
      <c r="N136" s="6" t="s">
        <v>107</v>
      </c>
      <c r="O136" s="6" t="s">
        <v>3170</v>
      </c>
      <c r="P136" s="13"/>
      <c r="Q136" s="41"/>
      <c r="R136" s="13"/>
      <c r="S136" s="13"/>
      <c r="T136" s="82"/>
    </row>
    <row r="137" spans="1:20" ht="30" customHeight="1" x14ac:dyDescent="0.2">
      <c r="A137" s="83">
        <v>134</v>
      </c>
      <c r="B137" s="68" t="s">
        <v>2956</v>
      </c>
      <c r="C137" s="69" t="s">
        <v>2954</v>
      </c>
      <c r="D137" s="69" t="s">
        <v>20</v>
      </c>
      <c r="E137" s="67" t="s">
        <v>174</v>
      </c>
      <c r="F137" s="69" t="s">
        <v>83</v>
      </c>
      <c r="G137" s="84" t="s">
        <v>2975</v>
      </c>
      <c r="H137" s="84" t="s">
        <v>3147</v>
      </c>
      <c r="I137" s="70" t="s">
        <v>68</v>
      </c>
      <c r="J137" s="67"/>
      <c r="K137" s="69" t="s">
        <v>107</v>
      </c>
      <c r="L137" s="69" t="s">
        <v>332</v>
      </c>
      <c r="M137" s="67"/>
      <c r="N137" s="67" t="s">
        <v>107</v>
      </c>
      <c r="O137" s="69" t="s">
        <v>3172</v>
      </c>
      <c r="P137" s="71"/>
      <c r="Q137" s="72"/>
      <c r="R137" s="73"/>
      <c r="S137" s="73"/>
      <c r="T137" s="85"/>
    </row>
    <row r="138" spans="1:20" ht="30" customHeight="1" x14ac:dyDescent="0.2">
      <c r="A138" s="79">
        <v>135</v>
      </c>
      <c r="B138" s="40" t="s">
        <v>2956</v>
      </c>
      <c r="C138" s="41" t="s">
        <v>2954</v>
      </c>
      <c r="D138" s="41" t="s">
        <v>20</v>
      </c>
      <c r="E138" s="41"/>
      <c r="F138" s="41" t="s">
        <v>7</v>
      </c>
      <c r="G138" s="80" t="s">
        <v>2975</v>
      </c>
      <c r="H138" s="41" t="s">
        <v>3147</v>
      </c>
      <c r="I138" s="81" t="s">
        <v>140</v>
      </c>
      <c r="J138" s="41" t="s">
        <v>142</v>
      </c>
      <c r="K138" s="6" t="s">
        <v>70</v>
      </c>
      <c r="L138" s="81" t="s">
        <v>204</v>
      </c>
      <c r="M138" s="41"/>
      <c r="N138" s="6" t="s">
        <v>107</v>
      </c>
      <c r="O138" s="6" t="s">
        <v>3173</v>
      </c>
      <c r="P138" s="13"/>
      <c r="Q138" s="41"/>
      <c r="R138" s="13"/>
      <c r="S138" s="13"/>
      <c r="T138" s="82"/>
    </row>
    <row r="139" spans="1:20" ht="30" customHeight="1" x14ac:dyDescent="0.2">
      <c r="A139" s="83">
        <v>136</v>
      </c>
      <c r="B139" s="68" t="s">
        <v>3174</v>
      </c>
      <c r="C139" s="69" t="s">
        <v>3175</v>
      </c>
      <c r="D139" s="69" t="s">
        <v>6</v>
      </c>
      <c r="E139" s="67" t="s">
        <v>185</v>
      </c>
      <c r="F139" s="69" t="s">
        <v>83</v>
      </c>
      <c r="G139" s="84" t="s">
        <v>2975</v>
      </c>
      <c r="H139" s="84" t="s">
        <v>3174</v>
      </c>
      <c r="I139" s="70" t="s">
        <v>104</v>
      </c>
      <c r="J139" s="67" t="s">
        <v>69</v>
      </c>
      <c r="K139" s="69" t="s">
        <v>70</v>
      </c>
      <c r="L139" s="69" t="s">
        <v>361</v>
      </c>
      <c r="M139" s="67" t="s">
        <v>69</v>
      </c>
      <c r="N139" s="67" t="s">
        <v>70</v>
      </c>
      <c r="O139" s="69" t="s">
        <v>3176</v>
      </c>
      <c r="P139" s="71"/>
      <c r="Q139" s="72"/>
      <c r="R139" s="73"/>
      <c r="S139" s="73"/>
      <c r="T139" s="85"/>
    </row>
    <row r="140" spans="1:20" ht="30" customHeight="1" x14ac:dyDescent="0.2">
      <c r="A140" s="79">
        <v>137</v>
      </c>
      <c r="B140" s="40" t="s">
        <v>3177</v>
      </c>
      <c r="C140" s="41" t="s">
        <v>3175</v>
      </c>
      <c r="D140" s="41" t="s">
        <v>6</v>
      </c>
      <c r="E140" s="41"/>
      <c r="F140" s="41" t="s">
        <v>7</v>
      </c>
      <c r="G140" s="80" t="s">
        <v>2975</v>
      </c>
      <c r="H140" s="41" t="s">
        <v>2860</v>
      </c>
      <c r="I140" s="81" t="s">
        <v>104</v>
      </c>
      <c r="J140" s="41" t="s">
        <v>142</v>
      </c>
      <c r="K140" s="6" t="s">
        <v>70</v>
      </c>
      <c r="L140" s="81" t="s">
        <v>361</v>
      </c>
      <c r="M140" s="41"/>
      <c r="N140" s="6" t="s">
        <v>107</v>
      </c>
      <c r="O140" s="6" t="s">
        <v>3176</v>
      </c>
      <c r="P140" s="13"/>
      <c r="Q140" s="41"/>
      <c r="R140" s="13"/>
      <c r="S140" s="13"/>
      <c r="T140" s="82"/>
    </row>
    <row r="141" spans="1:20" ht="30" customHeight="1" x14ac:dyDescent="0.2">
      <c r="A141" s="83">
        <v>138</v>
      </c>
      <c r="B141" s="68" t="s">
        <v>3178</v>
      </c>
      <c r="C141" s="69" t="s">
        <v>591</v>
      </c>
      <c r="D141" s="69" t="s">
        <v>9</v>
      </c>
      <c r="E141" s="67" t="s">
        <v>3041</v>
      </c>
      <c r="F141" s="69" t="s">
        <v>83</v>
      </c>
      <c r="G141" s="84" t="s">
        <v>2975</v>
      </c>
      <c r="H141" s="84" t="s">
        <v>3178</v>
      </c>
      <c r="I141" s="70" t="s">
        <v>155</v>
      </c>
      <c r="J141" s="67" t="s">
        <v>142</v>
      </c>
      <c r="K141" s="69" t="s">
        <v>70</v>
      </c>
      <c r="L141" s="69" t="s">
        <v>324</v>
      </c>
      <c r="M141" s="67"/>
      <c r="N141" s="67" t="s">
        <v>70</v>
      </c>
      <c r="O141" s="69" t="s">
        <v>3179</v>
      </c>
      <c r="P141" s="71"/>
      <c r="Q141" s="72"/>
      <c r="R141" s="73"/>
      <c r="S141" s="73"/>
      <c r="T141" s="85"/>
    </row>
    <row r="142" spans="1:20" ht="30" customHeight="1" x14ac:dyDescent="0.2">
      <c r="A142" s="79">
        <v>139</v>
      </c>
      <c r="B142" s="40" t="s">
        <v>595</v>
      </c>
      <c r="C142" s="41" t="s">
        <v>1689</v>
      </c>
      <c r="D142" s="41" t="s">
        <v>20</v>
      </c>
      <c r="E142" s="41" t="s">
        <v>174</v>
      </c>
      <c r="F142" s="41" t="s">
        <v>83</v>
      </c>
      <c r="G142" s="80" t="s">
        <v>2975</v>
      </c>
      <c r="H142" s="41" t="s">
        <v>595</v>
      </c>
      <c r="I142" s="81">
        <v>55</v>
      </c>
      <c r="J142" s="41" t="s">
        <v>69</v>
      </c>
      <c r="K142" s="6" t="s">
        <v>70</v>
      </c>
      <c r="L142" s="81" t="s">
        <v>1691</v>
      </c>
      <c r="M142" s="41" t="s">
        <v>69</v>
      </c>
      <c r="N142" s="6" t="s">
        <v>70</v>
      </c>
      <c r="O142" s="6" t="s">
        <v>595</v>
      </c>
      <c r="P142" s="13"/>
      <c r="Q142" s="41"/>
      <c r="R142" s="13"/>
      <c r="S142" s="13"/>
      <c r="T142" s="82"/>
    </row>
    <row r="143" spans="1:20" ht="30" customHeight="1" x14ac:dyDescent="0.2">
      <c r="A143" s="83">
        <v>140</v>
      </c>
      <c r="B143" s="68" t="s">
        <v>594</v>
      </c>
      <c r="C143" s="69" t="s">
        <v>591</v>
      </c>
      <c r="D143" s="69" t="s">
        <v>9</v>
      </c>
      <c r="E143" s="67"/>
      <c r="F143" s="69" t="s">
        <v>7</v>
      </c>
      <c r="G143" s="84" t="s">
        <v>2975</v>
      </c>
      <c r="H143" s="84" t="s">
        <v>3180</v>
      </c>
      <c r="I143" s="70" t="s">
        <v>104</v>
      </c>
      <c r="J143" s="67" t="s">
        <v>142</v>
      </c>
      <c r="K143" s="69" t="s">
        <v>70</v>
      </c>
      <c r="L143" s="69" t="s">
        <v>361</v>
      </c>
      <c r="M143" s="67" t="s">
        <v>142</v>
      </c>
      <c r="N143" s="67" t="s">
        <v>70</v>
      </c>
      <c r="O143" s="69" t="s">
        <v>3179</v>
      </c>
      <c r="P143" s="71"/>
      <c r="Q143" s="72"/>
      <c r="R143" s="73"/>
      <c r="S143" s="73"/>
      <c r="T143" s="85"/>
    </row>
    <row r="144" spans="1:20" ht="30" customHeight="1" x14ac:dyDescent="0.2">
      <c r="A144" s="79">
        <v>141</v>
      </c>
      <c r="B144" s="40" t="s">
        <v>3181</v>
      </c>
      <c r="C144" s="41" t="s">
        <v>3182</v>
      </c>
      <c r="D144" s="41" t="s">
        <v>20</v>
      </c>
      <c r="E144" s="41" t="s">
        <v>174</v>
      </c>
      <c r="F144" s="41" t="s">
        <v>83</v>
      </c>
      <c r="G144" s="80" t="s">
        <v>2975</v>
      </c>
      <c r="H144" s="41" t="s">
        <v>3181</v>
      </c>
      <c r="I144" s="81">
        <v>73</v>
      </c>
      <c r="J144" s="41" t="s">
        <v>142</v>
      </c>
      <c r="K144" s="6" t="s">
        <v>70</v>
      </c>
      <c r="L144" s="81" t="s">
        <v>156</v>
      </c>
      <c r="M144" s="41" t="s">
        <v>142</v>
      </c>
      <c r="N144" s="6" t="s">
        <v>70</v>
      </c>
      <c r="O144" s="6" t="s">
        <v>3181</v>
      </c>
      <c r="P144" s="13"/>
      <c r="Q144" s="41"/>
      <c r="R144" s="13"/>
      <c r="S144" s="13"/>
      <c r="T144" s="82"/>
    </row>
    <row r="145" spans="1:20" ht="30" customHeight="1" x14ac:dyDescent="0.2">
      <c r="A145" s="83">
        <v>142</v>
      </c>
      <c r="B145" s="68" t="s">
        <v>3183</v>
      </c>
      <c r="C145" s="69" t="s">
        <v>1516</v>
      </c>
      <c r="D145" s="69" t="s">
        <v>10</v>
      </c>
      <c r="E145" s="67" t="s">
        <v>185</v>
      </c>
      <c r="F145" s="69" t="s">
        <v>83</v>
      </c>
      <c r="G145" s="84" t="s">
        <v>2975</v>
      </c>
      <c r="H145" s="84" t="s">
        <v>3183</v>
      </c>
      <c r="I145" s="70" t="s">
        <v>104</v>
      </c>
      <c r="J145" s="67"/>
      <c r="K145" s="69" t="s">
        <v>107</v>
      </c>
      <c r="L145" s="69" t="s">
        <v>361</v>
      </c>
      <c r="M145" s="67"/>
      <c r="N145" s="67" t="s">
        <v>107</v>
      </c>
      <c r="O145" s="69" t="s">
        <v>3184</v>
      </c>
      <c r="P145" s="71"/>
      <c r="Q145" s="72"/>
      <c r="R145" s="73"/>
      <c r="S145" s="73"/>
      <c r="T145" s="85"/>
    </row>
    <row r="146" spans="1:20" ht="30" customHeight="1" x14ac:dyDescent="0.2">
      <c r="A146" s="79">
        <v>143</v>
      </c>
      <c r="B146" s="40" t="s">
        <v>2537</v>
      </c>
      <c r="C146" s="41" t="s">
        <v>1516</v>
      </c>
      <c r="D146" s="41" t="s">
        <v>10</v>
      </c>
      <c r="E146" s="41"/>
      <c r="F146" s="41" t="s">
        <v>7</v>
      </c>
      <c r="G146" s="80" t="s">
        <v>2975</v>
      </c>
      <c r="H146" s="41" t="s">
        <v>3180</v>
      </c>
      <c r="I146" s="81" t="s">
        <v>104</v>
      </c>
      <c r="J146" s="41"/>
      <c r="K146" s="6" t="s">
        <v>107</v>
      </c>
      <c r="L146" s="81" t="s">
        <v>361</v>
      </c>
      <c r="M146" s="41"/>
      <c r="N146" s="6" t="s">
        <v>107</v>
      </c>
      <c r="O146" s="6" t="s">
        <v>3184</v>
      </c>
      <c r="P146" s="13"/>
      <c r="Q146" s="41"/>
      <c r="R146" s="13"/>
      <c r="S146" s="13"/>
      <c r="T146" s="82"/>
    </row>
    <row r="147" spans="1:20" ht="30" customHeight="1" x14ac:dyDescent="0.2">
      <c r="A147" s="83">
        <v>144</v>
      </c>
      <c r="B147" s="68" t="s">
        <v>3185</v>
      </c>
      <c r="C147" s="69" t="s">
        <v>1092</v>
      </c>
      <c r="D147" s="69" t="s">
        <v>6</v>
      </c>
      <c r="E147" s="67" t="s">
        <v>185</v>
      </c>
      <c r="F147" s="69" t="s">
        <v>83</v>
      </c>
      <c r="G147" s="84" t="s">
        <v>2975</v>
      </c>
      <c r="H147" s="84" t="s">
        <v>3185</v>
      </c>
      <c r="I147" s="70" t="s">
        <v>155</v>
      </c>
      <c r="J147" s="67" t="s">
        <v>142</v>
      </c>
      <c r="K147" s="69" t="s">
        <v>70</v>
      </c>
      <c r="L147" s="69" t="s">
        <v>324</v>
      </c>
      <c r="M147" s="67"/>
      <c r="N147" s="67" t="s">
        <v>70</v>
      </c>
      <c r="O147" s="69" t="s">
        <v>3186</v>
      </c>
      <c r="P147" s="71"/>
      <c r="Q147" s="72"/>
      <c r="R147" s="73"/>
      <c r="S147" s="73"/>
      <c r="T147" s="85"/>
    </row>
    <row r="148" spans="1:20" ht="30" customHeight="1" x14ac:dyDescent="0.2">
      <c r="A148" s="79">
        <v>145</v>
      </c>
      <c r="B148" s="40" t="s">
        <v>1095</v>
      </c>
      <c r="C148" s="41" t="s">
        <v>1092</v>
      </c>
      <c r="D148" s="41" t="s">
        <v>6</v>
      </c>
      <c r="E148" s="41"/>
      <c r="F148" s="41" t="s">
        <v>7</v>
      </c>
      <c r="G148" s="80" t="s">
        <v>2975</v>
      </c>
      <c r="H148" s="41" t="s">
        <v>3187</v>
      </c>
      <c r="I148" s="81" t="s">
        <v>155</v>
      </c>
      <c r="J148" s="41"/>
      <c r="K148" s="6" t="s">
        <v>107</v>
      </c>
      <c r="L148" s="81" t="s">
        <v>324</v>
      </c>
      <c r="M148" s="41" t="s">
        <v>142</v>
      </c>
      <c r="N148" s="6" t="s">
        <v>70</v>
      </c>
      <c r="O148" s="6" t="s">
        <v>3188</v>
      </c>
      <c r="P148" s="13"/>
      <c r="Q148" s="41"/>
      <c r="R148" s="13"/>
      <c r="S148" s="13"/>
      <c r="T148" s="82"/>
    </row>
    <row r="149" spans="1:20" ht="30" customHeight="1" x14ac:dyDescent="0.2">
      <c r="A149" s="83">
        <v>146</v>
      </c>
      <c r="B149" s="68" t="s">
        <v>3189</v>
      </c>
      <c r="C149" s="69" t="s">
        <v>831</v>
      </c>
      <c r="D149" s="69" t="s">
        <v>10</v>
      </c>
      <c r="E149" s="67" t="s">
        <v>185</v>
      </c>
      <c r="F149" s="69" t="s">
        <v>83</v>
      </c>
      <c r="G149" s="84" t="s">
        <v>2975</v>
      </c>
      <c r="H149" s="84" t="s">
        <v>3189</v>
      </c>
      <c r="I149" s="70" t="s">
        <v>155</v>
      </c>
      <c r="J149" s="67" t="s">
        <v>69</v>
      </c>
      <c r="K149" s="69" t="s">
        <v>70</v>
      </c>
      <c r="L149" s="69" t="s">
        <v>324</v>
      </c>
      <c r="M149" s="67" t="s">
        <v>69</v>
      </c>
      <c r="N149" s="67" t="s">
        <v>70</v>
      </c>
      <c r="O149" s="69" t="s">
        <v>826</v>
      </c>
      <c r="P149" s="71"/>
      <c r="Q149" s="72"/>
      <c r="R149" s="73"/>
      <c r="S149" s="73"/>
      <c r="T149" s="85"/>
    </row>
    <row r="150" spans="1:20" ht="30" customHeight="1" x14ac:dyDescent="0.2">
      <c r="A150" s="79">
        <v>147</v>
      </c>
      <c r="B150" s="40" t="s">
        <v>3190</v>
      </c>
      <c r="C150" s="41" t="s">
        <v>831</v>
      </c>
      <c r="D150" s="41" t="s">
        <v>10</v>
      </c>
      <c r="E150" s="41"/>
      <c r="F150" s="41" t="s">
        <v>7</v>
      </c>
      <c r="G150" s="80" t="s">
        <v>2975</v>
      </c>
      <c r="H150" s="41" t="s">
        <v>3187</v>
      </c>
      <c r="I150" s="81" t="s">
        <v>104</v>
      </c>
      <c r="J150" s="41"/>
      <c r="K150" s="6" t="s">
        <v>107</v>
      </c>
      <c r="L150" s="81" t="s">
        <v>361</v>
      </c>
      <c r="M150" s="41" t="s">
        <v>142</v>
      </c>
      <c r="N150" s="6" t="s">
        <v>70</v>
      </c>
      <c r="O150" s="6" t="s">
        <v>3191</v>
      </c>
      <c r="P150" s="13"/>
      <c r="Q150" s="41"/>
      <c r="R150" s="13"/>
      <c r="S150" s="13"/>
      <c r="T150" s="82"/>
    </row>
    <row r="151" spans="1:20" ht="30" customHeight="1" x14ac:dyDescent="0.2">
      <c r="A151" s="83">
        <v>148</v>
      </c>
      <c r="B151" s="68" t="s">
        <v>3192</v>
      </c>
      <c r="C151" s="69" t="s">
        <v>3193</v>
      </c>
      <c r="D151" s="69" t="s">
        <v>6</v>
      </c>
      <c r="E151" s="67" t="s">
        <v>174</v>
      </c>
      <c r="F151" s="69" t="s">
        <v>83</v>
      </c>
      <c r="G151" s="84" t="s">
        <v>2975</v>
      </c>
      <c r="H151" s="84" t="s">
        <v>3192</v>
      </c>
      <c r="I151" s="70" t="s">
        <v>68</v>
      </c>
      <c r="J151" s="67"/>
      <c r="K151" s="69" t="s">
        <v>107</v>
      </c>
      <c r="L151" s="69" t="s">
        <v>361</v>
      </c>
      <c r="M151" s="67"/>
      <c r="N151" s="67" t="s">
        <v>107</v>
      </c>
      <c r="O151" s="69" t="s">
        <v>3194</v>
      </c>
      <c r="P151" s="71"/>
      <c r="Q151" s="72"/>
      <c r="R151" s="73"/>
      <c r="S151" s="73"/>
      <c r="T151" s="85"/>
    </row>
    <row r="152" spans="1:20" ht="30" customHeight="1" x14ac:dyDescent="0.2">
      <c r="A152" s="79">
        <v>149</v>
      </c>
      <c r="B152" s="40" t="s">
        <v>3195</v>
      </c>
      <c r="C152" s="41" t="s">
        <v>1269</v>
      </c>
      <c r="D152" s="41" t="s">
        <v>243</v>
      </c>
      <c r="E152" s="41" t="s">
        <v>185</v>
      </c>
      <c r="F152" s="41" t="s">
        <v>83</v>
      </c>
      <c r="G152" s="80" t="s">
        <v>2975</v>
      </c>
      <c r="H152" s="41" t="s">
        <v>3195</v>
      </c>
      <c r="I152" s="81" t="s">
        <v>104</v>
      </c>
      <c r="J152" s="41"/>
      <c r="K152" s="6" t="s">
        <v>107</v>
      </c>
      <c r="L152" s="81" t="s">
        <v>256</v>
      </c>
      <c r="M152" s="41"/>
      <c r="N152" s="6" t="s">
        <v>107</v>
      </c>
      <c r="O152" s="6" t="s">
        <v>3196</v>
      </c>
      <c r="P152" s="13"/>
      <c r="Q152" s="41"/>
      <c r="R152" s="13"/>
      <c r="S152" s="13"/>
      <c r="T152" s="82"/>
    </row>
    <row r="153" spans="1:20" ht="30" customHeight="1" x14ac:dyDescent="0.2">
      <c r="A153" s="83">
        <v>150</v>
      </c>
      <c r="B153" s="68" t="s">
        <v>2581</v>
      </c>
      <c r="C153" s="69" t="s">
        <v>1269</v>
      </c>
      <c r="D153" s="69" t="s">
        <v>243</v>
      </c>
      <c r="E153" s="67"/>
      <c r="F153" s="69" t="s">
        <v>7</v>
      </c>
      <c r="G153" s="84" t="s">
        <v>2975</v>
      </c>
      <c r="H153" s="84" t="s">
        <v>3187</v>
      </c>
      <c r="I153" s="70" t="s">
        <v>104</v>
      </c>
      <c r="J153" s="67"/>
      <c r="K153" s="69" t="s">
        <v>107</v>
      </c>
      <c r="L153" s="69" t="s">
        <v>256</v>
      </c>
      <c r="M153" s="67"/>
      <c r="N153" s="67" t="s">
        <v>107</v>
      </c>
      <c r="O153" s="69" t="s">
        <v>3196</v>
      </c>
      <c r="P153" s="71"/>
      <c r="Q153" s="72"/>
      <c r="R153" s="73"/>
      <c r="S153" s="73"/>
      <c r="T153" s="85"/>
    </row>
    <row r="154" spans="1:20" ht="30" customHeight="1" x14ac:dyDescent="0.2">
      <c r="A154" s="79">
        <v>151</v>
      </c>
      <c r="B154" s="40" t="s">
        <v>3197</v>
      </c>
      <c r="C154" s="41" t="s">
        <v>1508</v>
      </c>
      <c r="D154" s="41" t="s">
        <v>10</v>
      </c>
      <c r="E154" s="41" t="s">
        <v>202</v>
      </c>
      <c r="F154" s="41" t="s">
        <v>83</v>
      </c>
      <c r="G154" s="80" t="s">
        <v>2975</v>
      </c>
      <c r="H154" s="41" t="s">
        <v>3197</v>
      </c>
      <c r="I154" s="81" t="s">
        <v>104</v>
      </c>
      <c r="J154" s="41" t="s">
        <v>262</v>
      </c>
      <c r="K154" s="6" t="s">
        <v>107</v>
      </c>
      <c r="L154" s="81" t="s">
        <v>361</v>
      </c>
      <c r="M154" s="41"/>
      <c r="N154" s="6" t="s">
        <v>70</v>
      </c>
      <c r="O154" s="6" t="s">
        <v>3198</v>
      </c>
      <c r="P154" s="13"/>
      <c r="Q154" s="41"/>
      <c r="R154" s="13"/>
      <c r="S154" s="13"/>
      <c r="T154" s="82"/>
    </row>
    <row r="155" spans="1:20" ht="30" customHeight="1" x14ac:dyDescent="0.2">
      <c r="A155" s="83">
        <v>152</v>
      </c>
      <c r="B155" s="68" t="s">
        <v>3199</v>
      </c>
      <c r="C155" s="69" t="s">
        <v>3200</v>
      </c>
      <c r="D155" s="69" t="s">
        <v>6</v>
      </c>
      <c r="E155" s="67" t="s">
        <v>185</v>
      </c>
      <c r="F155" s="69" t="s">
        <v>83</v>
      </c>
      <c r="G155" s="84" t="s">
        <v>2975</v>
      </c>
      <c r="H155" s="84" t="s">
        <v>3201</v>
      </c>
      <c r="I155" s="70" t="s">
        <v>155</v>
      </c>
      <c r="J155" s="67" t="s">
        <v>69</v>
      </c>
      <c r="K155" s="69" t="s">
        <v>70</v>
      </c>
      <c r="L155" s="69" t="s">
        <v>156</v>
      </c>
      <c r="M155" s="67" t="s">
        <v>69</v>
      </c>
      <c r="N155" s="67" t="s">
        <v>70</v>
      </c>
      <c r="O155" s="69" t="s">
        <v>3202</v>
      </c>
      <c r="P155" s="71"/>
      <c r="Q155" s="72"/>
      <c r="R155" s="73"/>
      <c r="S155" s="73"/>
      <c r="T155" s="85"/>
    </row>
    <row r="156" spans="1:20" ht="30" customHeight="1" x14ac:dyDescent="0.2">
      <c r="A156" s="79">
        <v>153</v>
      </c>
      <c r="B156" s="40" t="s">
        <v>3187</v>
      </c>
      <c r="C156" s="41" t="s">
        <v>3203</v>
      </c>
      <c r="D156" s="41" t="s">
        <v>8</v>
      </c>
      <c r="E156" s="41" t="s">
        <v>3041</v>
      </c>
      <c r="F156" s="41" t="s">
        <v>83</v>
      </c>
      <c r="G156" s="80" t="s">
        <v>2975</v>
      </c>
      <c r="H156" s="41" t="s">
        <v>3204</v>
      </c>
      <c r="I156" s="81" t="s">
        <v>140</v>
      </c>
      <c r="J156" s="41" t="s">
        <v>3205</v>
      </c>
      <c r="K156" s="6" t="s">
        <v>107</v>
      </c>
      <c r="L156" s="81" t="s">
        <v>143</v>
      </c>
      <c r="M156" s="41" t="s">
        <v>3205</v>
      </c>
      <c r="N156" s="6" t="s">
        <v>107</v>
      </c>
      <c r="O156" s="6" t="s">
        <v>3206</v>
      </c>
      <c r="P156" s="13"/>
      <c r="Q156" s="41"/>
      <c r="R156" s="13"/>
      <c r="S156" s="13"/>
      <c r="T156" s="82"/>
    </row>
    <row r="157" spans="1:20" ht="30" customHeight="1" x14ac:dyDescent="0.2">
      <c r="A157" s="83">
        <v>154</v>
      </c>
      <c r="B157" s="68" t="s">
        <v>3207</v>
      </c>
      <c r="C157" s="69" t="s">
        <v>1537</v>
      </c>
      <c r="D157" s="69" t="s">
        <v>10</v>
      </c>
      <c r="E157" s="67" t="s">
        <v>185</v>
      </c>
      <c r="F157" s="69" t="s">
        <v>83</v>
      </c>
      <c r="G157" s="84" t="s">
        <v>2975</v>
      </c>
      <c r="H157" s="84"/>
      <c r="I157" s="70">
        <v>37</v>
      </c>
      <c r="J157" s="67" t="s">
        <v>1477</v>
      </c>
      <c r="K157" s="69" t="s">
        <v>107</v>
      </c>
      <c r="L157" s="69" t="s">
        <v>338</v>
      </c>
      <c r="M157" s="67" t="s">
        <v>1477</v>
      </c>
      <c r="N157" s="67" t="s">
        <v>107</v>
      </c>
      <c r="O157" s="69" t="s">
        <v>3208</v>
      </c>
      <c r="P157" s="71"/>
      <c r="Q157" s="72"/>
      <c r="R157" s="73"/>
      <c r="S157" s="73"/>
      <c r="T157" s="85"/>
    </row>
    <row r="158" spans="1:20" ht="30" customHeight="1" x14ac:dyDescent="0.2">
      <c r="A158" s="79">
        <v>155</v>
      </c>
      <c r="B158" s="40" t="s">
        <v>2563</v>
      </c>
      <c r="C158" s="41" t="s">
        <v>3203</v>
      </c>
      <c r="D158" s="41" t="s">
        <v>8</v>
      </c>
      <c r="E158" s="41"/>
      <c r="F158" s="41" t="s">
        <v>7</v>
      </c>
      <c r="G158" s="80" t="s">
        <v>2975</v>
      </c>
      <c r="H158" s="41" t="s">
        <v>3204</v>
      </c>
      <c r="I158" s="81">
        <v>45</v>
      </c>
      <c r="J158" s="41" t="s">
        <v>262</v>
      </c>
      <c r="K158" s="6" t="s">
        <v>70</v>
      </c>
      <c r="L158" s="81" t="s">
        <v>470</v>
      </c>
      <c r="M158" s="41" t="s">
        <v>142</v>
      </c>
      <c r="N158" s="6" t="s">
        <v>70</v>
      </c>
      <c r="O158" s="6" t="s">
        <v>3206</v>
      </c>
      <c r="P158" s="13"/>
      <c r="Q158" s="41"/>
      <c r="R158" s="13"/>
      <c r="S158" s="13"/>
      <c r="T158" s="82"/>
    </row>
    <row r="159" spans="1:20" ht="30" customHeight="1" x14ac:dyDescent="0.2">
      <c r="A159" s="83">
        <v>156</v>
      </c>
      <c r="B159" s="68" t="s">
        <v>3209</v>
      </c>
      <c r="C159" s="69" t="s">
        <v>3200</v>
      </c>
      <c r="D159" s="69" t="s">
        <v>6</v>
      </c>
      <c r="E159" s="67"/>
      <c r="F159" s="69" t="s">
        <v>7</v>
      </c>
      <c r="G159" s="84" t="s">
        <v>2975</v>
      </c>
      <c r="H159" s="84" t="s">
        <v>3207</v>
      </c>
      <c r="I159" s="70">
        <v>73</v>
      </c>
      <c r="J159" s="67"/>
      <c r="K159" s="69" t="s">
        <v>107</v>
      </c>
      <c r="L159" s="69" t="s">
        <v>156</v>
      </c>
      <c r="M159" s="67" t="s">
        <v>142</v>
      </c>
      <c r="N159" s="67" t="s">
        <v>70</v>
      </c>
      <c r="O159" s="69" t="s">
        <v>3210</v>
      </c>
      <c r="P159" s="71"/>
      <c r="Q159" s="72"/>
      <c r="R159" s="73"/>
      <c r="S159" s="73"/>
      <c r="T159" s="85"/>
    </row>
    <row r="160" spans="1:20" ht="30" customHeight="1" x14ac:dyDescent="0.2">
      <c r="A160" s="79">
        <v>157</v>
      </c>
      <c r="B160" s="40" t="s">
        <v>3211</v>
      </c>
      <c r="C160" s="41" t="s">
        <v>3212</v>
      </c>
      <c r="D160" s="41" t="s">
        <v>6</v>
      </c>
      <c r="E160" s="41" t="s">
        <v>174</v>
      </c>
      <c r="F160" s="41" t="s">
        <v>83</v>
      </c>
      <c r="G160" s="80" t="s">
        <v>2975</v>
      </c>
      <c r="H160" s="41" t="s">
        <v>3211</v>
      </c>
      <c r="I160" s="81">
        <v>73</v>
      </c>
      <c r="J160" s="41" t="s">
        <v>2788</v>
      </c>
      <c r="K160" s="6" t="s">
        <v>70</v>
      </c>
      <c r="L160" s="81" t="s">
        <v>167</v>
      </c>
      <c r="M160" s="41" t="s">
        <v>3205</v>
      </c>
      <c r="N160" s="6" t="s">
        <v>107</v>
      </c>
      <c r="O160" s="6" t="s">
        <v>3213</v>
      </c>
      <c r="P160" s="13"/>
      <c r="Q160" s="41"/>
      <c r="R160" s="13"/>
      <c r="S160" s="13"/>
      <c r="T160" s="82"/>
    </row>
    <row r="161" spans="1:20" ht="30" customHeight="1" x14ac:dyDescent="0.2">
      <c r="A161" s="83">
        <v>158</v>
      </c>
      <c r="B161" s="68" t="s">
        <v>3214</v>
      </c>
      <c r="C161" s="69" t="s">
        <v>1194</v>
      </c>
      <c r="D161" s="69" t="s">
        <v>6</v>
      </c>
      <c r="E161" s="67" t="s">
        <v>174</v>
      </c>
      <c r="F161" s="69" t="s">
        <v>83</v>
      </c>
      <c r="G161" s="84" t="s">
        <v>2975</v>
      </c>
      <c r="H161" s="84" t="s">
        <v>3214</v>
      </c>
      <c r="I161" s="70">
        <v>73</v>
      </c>
      <c r="J161" s="67"/>
      <c r="K161" s="69" t="s">
        <v>369</v>
      </c>
      <c r="L161" s="69" t="s">
        <v>156</v>
      </c>
      <c r="M161" s="67" t="s">
        <v>69</v>
      </c>
      <c r="N161" s="67" t="s">
        <v>70</v>
      </c>
      <c r="O161" s="69" t="s">
        <v>3215</v>
      </c>
      <c r="P161" s="71"/>
      <c r="Q161" s="72"/>
      <c r="R161" s="73"/>
      <c r="S161" s="73"/>
      <c r="T161" s="85"/>
    </row>
    <row r="162" spans="1:20" ht="30" customHeight="1" x14ac:dyDescent="0.2">
      <c r="A162" s="79">
        <v>159</v>
      </c>
      <c r="B162" s="40" t="s">
        <v>3216</v>
      </c>
      <c r="C162" s="41" t="s">
        <v>3217</v>
      </c>
      <c r="D162" s="41" t="s">
        <v>10</v>
      </c>
      <c r="E162" s="41" t="s">
        <v>174</v>
      </c>
      <c r="F162" s="41" t="s">
        <v>83</v>
      </c>
      <c r="G162" s="80" t="s">
        <v>2975</v>
      </c>
      <c r="H162" s="41"/>
      <c r="I162" s="81">
        <v>73</v>
      </c>
      <c r="J162" s="41" t="s">
        <v>3205</v>
      </c>
      <c r="K162" s="6" t="s">
        <v>107</v>
      </c>
      <c r="L162" s="81" t="s">
        <v>170</v>
      </c>
      <c r="M162" s="41" t="s">
        <v>3205</v>
      </c>
      <c r="N162" s="6" t="s">
        <v>107</v>
      </c>
      <c r="O162" s="6" t="s">
        <v>3218</v>
      </c>
      <c r="P162" s="13"/>
      <c r="Q162" s="41"/>
      <c r="R162" s="13"/>
      <c r="S162" s="13"/>
      <c r="T162" s="82"/>
    </row>
    <row r="163" spans="1:20" ht="30" customHeight="1" x14ac:dyDescent="0.2">
      <c r="A163" s="83">
        <v>160</v>
      </c>
      <c r="B163" s="68" t="s">
        <v>1701</v>
      </c>
      <c r="C163" s="69" t="s">
        <v>1537</v>
      </c>
      <c r="D163" s="69" t="s">
        <v>10</v>
      </c>
      <c r="E163" s="67"/>
      <c r="F163" s="69" t="s">
        <v>7</v>
      </c>
      <c r="G163" s="84" t="s">
        <v>2975</v>
      </c>
      <c r="H163" s="84" t="s">
        <v>3204</v>
      </c>
      <c r="I163" s="70">
        <v>37</v>
      </c>
      <c r="J163" s="67" t="s">
        <v>2699</v>
      </c>
      <c r="K163" s="69" t="s">
        <v>107</v>
      </c>
      <c r="L163" s="69" t="s">
        <v>328</v>
      </c>
      <c r="M163" s="67" t="s">
        <v>69</v>
      </c>
      <c r="N163" s="67" t="s">
        <v>70</v>
      </c>
      <c r="O163" s="69" t="s">
        <v>3208</v>
      </c>
      <c r="P163" s="71"/>
      <c r="Q163" s="72"/>
      <c r="R163" s="73"/>
      <c r="S163" s="73"/>
      <c r="T163" s="85"/>
    </row>
    <row r="164" spans="1:20" ht="30" customHeight="1" x14ac:dyDescent="0.2">
      <c r="A164" s="79">
        <v>161</v>
      </c>
      <c r="B164" s="40" t="s">
        <v>3219</v>
      </c>
      <c r="C164" s="41" t="s">
        <v>1647</v>
      </c>
      <c r="D164" s="41" t="s">
        <v>20</v>
      </c>
      <c r="E164" s="41" t="s">
        <v>3041</v>
      </c>
      <c r="F164" s="41" t="s">
        <v>83</v>
      </c>
      <c r="G164" s="80" t="s">
        <v>2975</v>
      </c>
      <c r="H164" s="41"/>
      <c r="I164" s="81">
        <v>62</v>
      </c>
      <c r="J164" s="41" t="s">
        <v>142</v>
      </c>
      <c r="K164" s="6" t="s">
        <v>70</v>
      </c>
      <c r="L164" s="81" t="s">
        <v>263</v>
      </c>
      <c r="M164" s="41" t="s">
        <v>142</v>
      </c>
      <c r="N164" s="6" t="s">
        <v>70</v>
      </c>
      <c r="O164" s="6" t="s">
        <v>3220</v>
      </c>
      <c r="P164" s="13"/>
      <c r="Q164" s="41"/>
      <c r="R164" s="13"/>
      <c r="S164" s="13"/>
      <c r="T164" s="82"/>
    </row>
    <row r="165" spans="1:20" ht="30" customHeight="1" x14ac:dyDescent="0.2">
      <c r="A165" s="83">
        <v>162</v>
      </c>
      <c r="B165" s="68" t="s">
        <v>2701</v>
      </c>
      <c r="C165" s="69" t="s">
        <v>1508</v>
      </c>
      <c r="D165" s="69" t="s">
        <v>10</v>
      </c>
      <c r="E165" s="67"/>
      <c r="F165" s="69" t="s">
        <v>7</v>
      </c>
      <c r="G165" s="84" t="s">
        <v>2975</v>
      </c>
      <c r="H165" s="84"/>
      <c r="I165" s="70">
        <v>55</v>
      </c>
      <c r="J165" s="67" t="s">
        <v>2699</v>
      </c>
      <c r="K165" s="69" t="s">
        <v>107</v>
      </c>
      <c r="L165" s="69" t="s">
        <v>361</v>
      </c>
      <c r="M165" s="67" t="s">
        <v>142</v>
      </c>
      <c r="N165" s="67" t="s">
        <v>70</v>
      </c>
      <c r="O165" s="69" t="s">
        <v>3198</v>
      </c>
      <c r="P165" s="71"/>
      <c r="Q165" s="72"/>
      <c r="R165" s="73"/>
      <c r="S165" s="73"/>
      <c r="T165" s="85"/>
    </row>
    <row r="166" spans="1:20" ht="30" customHeight="1" x14ac:dyDescent="0.2">
      <c r="A166" s="79">
        <v>163</v>
      </c>
      <c r="B166" s="40" t="s">
        <v>3221</v>
      </c>
      <c r="C166" s="41" t="s">
        <v>1739</v>
      </c>
      <c r="D166" s="41" t="s">
        <v>9</v>
      </c>
      <c r="E166" s="41" t="s">
        <v>185</v>
      </c>
      <c r="F166" s="41" t="s">
        <v>83</v>
      </c>
      <c r="G166" s="80" t="s">
        <v>2975</v>
      </c>
      <c r="H166" s="41"/>
      <c r="I166" s="81" t="s">
        <v>2457</v>
      </c>
      <c r="J166" s="41" t="s">
        <v>69</v>
      </c>
      <c r="K166" s="6" t="s">
        <v>70</v>
      </c>
      <c r="L166" s="81" t="s">
        <v>965</v>
      </c>
      <c r="M166" s="41" t="s">
        <v>69</v>
      </c>
      <c r="N166" s="6" t="s">
        <v>70</v>
      </c>
      <c r="O166" s="6" t="s">
        <v>3222</v>
      </c>
      <c r="P166" s="13"/>
      <c r="Q166" s="41"/>
      <c r="R166" s="13"/>
      <c r="S166" s="13"/>
      <c r="T166" s="82"/>
    </row>
    <row r="167" spans="1:20" ht="30" customHeight="1" x14ac:dyDescent="0.2">
      <c r="A167" s="83">
        <v>164</v>
      </c>
      <c r="B167" s="68" t="s">
        <v>3223</v>
      </c>
      <c r="C167" s="69" t="s">
        <v>3224</v>
      </c>
      <c r="D167" s="69" t="s">
        <v>10</v>
      </c>
      <c r="E167" s="67" t="s">
        <v>202</v>
      </c>
      <c r="F167" s="69" t="s">
        <v>83</v>
      </c>
      <c r="G167" s="84" t="s">
        <v>2975</v>
      </c>
      <c r="H167" s="84"/>
      <c r="I167" s="70">
        <v>73</v>
      </c>
      <c r="J167" s="67"/>
      <c r="K167" s="69" t="s">
        <v>369</v>
      </c>
      <c r="L167" s="69" t="s">
        <v>324</v>
      </c>
      <c r="M167" s="67" t="s">
        <v>69</v>
      </c>
      <c r="N167" s="67" t="s">
        <v>70</v>
      </c>
      <c r="O167" s="69" t="s">
        <v>2671</v>
      </c>
      <c r="P167" s="71"/>
      <c r="Q167" s="72"/>
      <c r="R167" s="73"/>
      <c r="S167" s="73"/>
      <c r="T167" s="85"/>
    </row>
    <row r="168" spans="1:20" ht="30" customHeight="1" x14ac:dyDescent="0.2">
      <c r="A168" s="79">
        <v>165</v>
      </c>
      <c r="B168" s="40" t="s">
        <v>3119</v>
      </c>
      <c r="C168" s="41" t="s">
        <v>3212</v>
      </c>
      <c r="D168" s="41" t="s">
        <v>6</v>
      </c>
      <c r="E168" s="41"/>
      <c r="F168" s="41" t="s">
        <v>7</v>
      </c>
      <c r="G168" s="80" t="s">
        <v>2975</v>
      </c>
      <c r="H168" s="41" t="s">
        <v>3204</v>
      </c>
      <c r="I168" s="81">
        <v>62</v>
      </c>
      <c r="J168" s="41" t="s">
        <v>2699</v>
      </c>
      <c r="K168" s="6" t="s">
        <v>107</v>
      </c>
      <c r="L168" s="81" t="s">
        <v>263</v>
      </c>
      <c r="M168" s="41" t="s">
        <v>142</v>
      </c>
      <c r="N168" s="6" t="s">
        <v>70</v>
      </c>
      <c r="O168" s="6" t="s">
        <v>3213</v>
      </c>
      <c r="P168" s="13"/>
      <c r="Q168" s="41"/>
      <c r="R168" s="13"/>
      <c r="S168" s="13"/>
      <c r="T168" s="82"/>
    </row>
    <row r="169" spans="1:20" ht="30" customHeight="1" x14ac:dyDescent="0.2">
      <c r="A169" s="83">
        <v>166</v>
      </c>
      <c r="B169" s="68" t="s">
        <v>2616</v>
      </c>
      <c r="C169" s="69" t="s">
        <v>1647</v>
      </c>
      <c r="D169" s="69" t="s">
        <v>20</v>
      </c>
      <c r="E169" s="67"/>
      <c r="F169" s="69" t="s">
        <v>7</v>
      </c>
      <c r="G169" s="84" t="s">
        <v>2975</v>
      </c>
      <c r="H169" s="84" t="s">
        <v>3204</v>
      </c>
      <c r="I169" s="70">
        <v>62</v>
      </c>
      <c r="J169" s="67" t="s">
        <v>2699</v>
      </c>
      <c r="K169" s="69" t="s">
        <v>107</v>
      </c>
      <c r="L169" s="69" t="s">
        <v>361</v>
      </c>
      <c r="M169" s="67" t="s">
        <v>2699</v>
      </c>
      <c r="N169" s="67" t="s">
        <v>107</v>
      </c>
      <c r="O169" s="69" t="s">
        <v>3220</v>
      </c>
      <c r="P169" s="71"/>
      <c r="Q169" s="72"/>
      <c r="R169" s="73"/>
      <c r="S169" s="73"/>
      <c r="T169" s="85"/>
    </row>
    <row r="170" spans="1:20" ht="30" customHeight="1" x14ac:dyDescent="0.2">
      <c r="A170" s="79">
        <v>167</v>
      </c>
      <c r="B170" s="40" t="s">
        <v>3225</v>
      </c>
      <c r="C170" s="41" t="s">
        <v>1153</v>
      </c>
      <c r="D170" s="41" t="s">
        <v>6</v>
      </c>
      <c r="E170" s="41" t="s">
        <v>185</v>
      </c>
      <c r="F170" s="41" t="s">
        <v>83</v>
      </c>
      <c r="G170" s="80" t="s">
        <v>2975</v>
      </c>
      <c r="H170" s="41" t="s">
        <v>3225</v>
      </c>
      <c r="I170" s="81" t="s">
        <v>104</v>
      </c>
      <c r="J170" s="41" t="s">
        <v>262</v>
      </c>
      <c r="K170" s="6" t="s">
        <v>70</v>
      </c>
      <c r="L170" s="81" t="s">
        <v>361</v>
      </c>
      <c r="M170" s="41" t="s">
        <v>1477</v>
      </c>
      <c r="N170" s="6" t="s">
        <v>107</v>
      </c>
      <c r="O170" s="6" t="s">
        <v>3226</v>
      </c>
      <c r="P170" s="13"/>
      <c r="Q170" s="41"/>
      <c r="R170" s="13"/>
      <c r="S170" s="13"/>
      <c r="T170" s="82"/>
    </row>
    <row r="171" spans="1:20" ht="30" customHeight="1" x14ac:dyDescent="0.2">
      <c r="A171" s="83">
        <v>168</v>
      </c>
      <c r="B171" s="68" t="s">
        <v>1157</v>
      </c>
      <c r="C171" s="69" t="s">
        <v>626</v>
      </c>
      <c r="D171" s="69" t="s">
        <v>9</v>
      </c>
      <c r="E171" s="67" t="s">
        <v>174</v>
      </c>
      <c r="F171" s="69" t="s">
        <v>83</v>
      </c>
      <c r="G171" s="84" t="s">
        <v>2975</v>
      </c>
      <c r="H171" s="84" t="s">
        <v>1157</v>
      </c>
      <c r="I171" s="70" t="s">
        <v>68</v>
      </c>
      <c r="J171" s="67" t="s">
        <v>69</v>
      </c>
      <c r="K171" s="69" t="s">
        <v>70</v>
      </c>
      <c r="L171" s="69" t="s">
        <v>263</v>
      </c>
      <c r="M171" s="67" t="s">
        <v>119</v>
      </c>
      <c r="N171" s="67" t="s">
        <v>107</v>
      </c>
      <c r="O171" s="69" t="s">
        <v>3227</v>
      </c>
      <c r="P171" s="71"/>
      <c r="Q171" s="72"/>
      <c r="R171" s="73"/>
      <c r="S171" s="73"/>
      <c r="T171" s="85"/>
    </row>
    <row r="172" spans="1:20" ht="30" customHeight="1" x14ac:dyDescent="0.2">
      <c r="A172" s="79">
        <v>169</v>
      </c>
      <c r="B172" s="40" t="s">
        <v>1156</v>
      </c>
      <c r="C172" s="41" t="s">
        <v>1153</v>
      </c>
      <c r="D172" s="41" t="s">
        <v>6</v>
      </c>
      <c r="E172" s="41"/>
      <c r="F172" s="41" t="s">
        <v>7</v>
      </c>
      <c r="G172" s="80" t="s">
        <v>2975</v>
      </c>
      <c r="H172" s="41" t="s">
        <v>3204</v>
      </c>
      <c r="I172" s="81">
        <v>55</v>
      </c>
      <c r="J172" s="41" t="s">
        <v>2699</v>
      </c>
      <c r="K172" s="6" t="s">
        <v>107</v>
      </c>
      <c r="L172" s="81" t="s">
        <v>361</v>
      </c>
      <c r="M172" s="41" t="s">
        <v>2699</v>
      </c>
      <c r="N172" s="6" t="s">
        <v>107</v>
      </c>
      <c r="O172" s="6" t="s">
        <v>3226</v>
      </c>
      <c r="P172" s="13"/>
      <c r="Q172" s="41"/>
      <c r="R172" s="13"/>
      <c r="S172" s="13"/>
      <c r="T172" s="82"/>
    </row>
    <row r="173" spans="1:20" ht="30" customHeight="1" x14ac:dyDescent="0.2">
      <c r="A173" s="83">
        <v>170</v>
      </c>
      <c r="B173" s="68" t="s">
        <v>3228</v>
      </c>
      <c r="C173" s="69" t="s">
        <v>3229</v>
      </c>
      <c r="D173" s="69" t="s">
        <v>6</v>
      </c>
      <c r="E173" s="67" t="s">
        <v>185</v>
      </c>
      <c r="F173" s="69" t="s">
        <v>83</v>
      </c>
      <c r="G173" s="84" t="s">
        <v>2975</v>
      </c>
      <c r="H173" s="84" t="s">
        <v>3228</v>
      </c>
      <c r="I173" s="70">
        <v>62</v>
      </c>
      <c r="J173" s="67" t="s">
        <v>2699</v>
      </c>
      <c r="K173" s="69" t="s">
        <v>107</v>
      </c>
      <c r="L173" s="69" t="s">
        <v>263</v>
      </c>
      <c r="M173" s="67" t="s">
        <v>2699</v>
      </c>
      <c r="N173" s="67" t="s">
        <v>107</v>
      </c>
      <c r="O173" s="69" t="s">
        <v>3144</v>
      </c>
      <c r="P173" s="71"/>
      <c r="Q173" s="72"/>
      <c r="R173" s="73"/>
      <c r="S173" s="73"/>
      <c r="T173" s="85"/>
    </row>
    <row r="174" spans="1:20" ht="30" customHeight="1" x14ac:dyDescent="0.2">
      <c r="A174" s="79">
        <v>171</v>
      </c>
      <c r="B174" s="68" t="s">
        <v>3230</v>
      </c>
      <c r="C174" s="69" t="s">
        <v>1401</v>
      </c>
      <c r="D174" s="69"/>
      <c r="E174" s="67" t="s">
        <v>3041</v>
      </c>
      <c r="F174" s="69" t="s">
        <v>222</v>
      </c>
      <c r="G174" s="84" t="s">
        <v>2975</v>
      </c>
      <c r="H174" s="84" t="s">
        <v>3230</v>
      </c>
      <c r="I174" s="70">
        <v>22</v>
      </c>
      <c r="J174" s="67"/>
      <c r="K174" s="69"/>
      <c r="L174" s="69" t="s">
        <v>224</v>
      </c>
      <c r="M174" s="67"/>
      <c r="N174" s="67"/>
      <c r="O174" s="69" t="s">
        <v>3231</v>
      </c>
      <c r="P174" s="71"/>
      <c r="Q174" s="72"/>
      <c r="R174" s="73"/>
      <c r="S174" s="73"/>
      <c r="T174" s="85"/>
    </row>
    <row r="175" spans="1:20" ht="30" customHeight="1" x14ac:dyDescent="0.2">
      <c r="A175" s="83">
        <v>172</v>
      </c>
      <c r="B175" s="40" t="s">
        <v>1198</v>
      </c>
      <c r="C175" s="41" t="s">
        <v>3232</v>
      </c>
      <c r="D175" s="41" t="s">
        <v>9</v>
      </c>
      <c r="E175" s="41" t="s">
        <v>3041</v>
      </c>
      <c r="F175" s="41" t="s">
        <v>222</v>
      </c>
      <c r="G175" s="80" t="s">
        <v>2975</v>
      </c>
      <c r="H175" s="41" t="s">
        <v>3233</v>
      </c>
      <c r="I175" s="81">
        <v>55</v>
      </c>
      <c r="J175" s="41"/>
      <c r="K175" s="6"/>
      <c r="L175" s="81" t="s">
        <v>361</v>
      </c>
      <c r="M175" s="41"/>
      <c r="N175" s="6"/>
      <c r="O175" s="6" t="s">
        <v>3234</v>
      </c>
      <c r="P175" s="13"/>
      <c r="Q175" s="41"/>
      <c r="R175" s="13"/>
      <c r="S175" s="13"/>
      <c r="T175" s="82"/>
    </row>
    <row r="176" spans="1:20" ht="30" customHeight="1" x14ac:dyDescent="0.2">
      <c r="A176" s="79">
        <v>173</v>
      </c>
      <c r="B176" s="68" t="s">
        <v>1197</v>
      </c>
      <c r="C176" s="69" t="s">
        <v>1194</v>
      </c>
      <c r="D176" s="69" t="s">
        <v>6</v>
      </c>
      <c r="E176" s="67"/>
      <c r="F176" s="69" t="s">
        <v>7</v>
      </c>
      <c r="G176" s="84" t="s">
        <v>2975</v>
      </c>
      <c r="H176" s="84" t="s">
        <v>3204</v>
      </c>
      <c r="I176" s="70">
        <v>73</v>
      </c>
      <c r="J176" s="67" t="s">
        <v>2699</v>
      </c>
      <c r="K176" s="69" t="s">
        <v>107</v>
      </c>
      <c r="L176" s="69" t="s">
        <v>156</v>
      </c>
      <c r="M176" s="67" t="s">
        <v>142</v>
      </c>
      <c r="N176" s="67" t="s">
        <v>107</v>
      </c>
      <c r="O176" s="69" t="s">
        <v>3215</v>
      </c>
      <c r="P176" s="71"/>
      <c r="Q176" s="72"/>
      <c r="R176" s="73"/>
      <c r="S176" s="73"/>
      <c r="T176" s="85"/>
    </row>
    <row r="177" spans="1:20" ht="30" customHeight="1" x14ac:dyDescent="0.2">
      <c r="A177" s="83">
        <v>174</v>
      </c>
      <c r="B177" s="40" t="s">
        <v>3235</v>
      </c>
      <c r="C177" s="41" t="s">
        <v>3193</v>
      </c>
      <c r="D177" s="41" t="s">
        <v>6</v>
      </c>
      <c r="E177" s="41"/>
      <c r="F177" s="41" t="s">
        <v>7</v>
      </c>
      <c r="G177" s="80" t="s">
        <v>2975</v>
      </c>
      <c r="H177" s="41" t="s">
        <v>3235</v>
      </c>
      <c r="I177" s="81">
        <v>37</v>
      </c>
      <c r="J177" s="41" t="s">
        <v>2699</v>
      </c>
      <c r="K177" s="6" t="s">
        <v>107</v>
      </c>
      <c r="L177" s="81" t="s">
        <v>338</v>
      </c>
      <c r="M177" s="41" t="s">
        <v>119</v>
      </c>
      <c r="N177" s="6" t="s">
        <v>107</v>
      </c>
      <c r="O177" s="6" t="s">
        <v>3236</v>
      </c>
      <c r="P177" s="13"/>
      <c r="Q177" s="41"/>
      <c r="R177" s="13"/>
      <c r="S177" s="13"/>
      <c r="T177" s="82"/>
    </row>
    <row r="178" spans="1:20" ht="30" customHeight="1" x14ac:dyDescent="0.2">
      <c r="A178" s="79">
        <v>175</v>
      </c>
      <c r="B178" s="68" t="s">
        <v>3237</v>
      </c>
      <c r="C178" s="69" t="s">
        <v>1224</v>
      </c>
      <c r="D178" s="69" t="s">
        <v>10</v>
      </c>
      <c r="E178" s="67" t="s">
        <v>185</v>
      </c>
      <c r="F178" s="69" t="s">
        <v>83</v>
      </c>
      <c r="G178" s="84" t="s">
        <v>2975</v>
      </c>
      <c r="H178" s="84" t="s">
        <v>1228</v>
      </c>
      <c r="I178" s="70">
        <v>55</v>
      </c>
      <c r="J178" s="67" t="s">
        <v>262</v>
      </c>
      <c r="K178" s="69" t="s">
        <v>70</v>
      </c>
      <c r="L178" s="69" t="s">
        <v>361</v>
      </c>
      <c r="M178" s="67" t="s">
        <v>119</v>
      </c>
      <c r="N178" s="67" t="s">
        <v>107</v>
      </c>
      <c r="O178" s="69" t="s">
        <v>3238</v>
      </c>
      <c r="P178" s="71"/>
      <c r="Q178" s="72"/>
      <c r="R178" s="73"/>
      <c r="S178" s="73"/>
      <c r="T178" s="85"/>
    </row>
    <row r="179" spans="1:20" ht="30" customHeight="1" x14ac:dyDescent="0.2">
      <c r="A179" s="83">
        <v>176</v>
      </c>
      <c r="B179" s="40" t="s">
        <v>1227</v>
      </c>
      <c r="C179" s="41" t="s">
        <v>1224</v>
      </c>
      <c r="D179" s="41"/>
      <c r="E179" s="41"/>
      <c r="F179" s="41" t="s">
        <v>7</v>
      </c>
      <c r="G179" s="80" t="s">
        <v>2975</v>
      </c>
      <c r="H179" s="41" t="s">
        <v>3239</v>
      </c>
      <c r="I179" s="81">
        <v>45</v>
      </c>
      <c r="J179" s="41" t="s">
        <v>2699</v>
      </c>
      <c r="K179" s="6" t="s">
        <v>107</v>
      </c>
      <c r="L179" s="81" t="s">
        <v>204</v>
      </c>
      <c r="M179" s="41" t="s">
        <v>142</v>
      </c>
      <c r="N179" s="6" t="s">
        <v>70</v>
      </c>
      <c r="O179" s="6" t="s">
        <v>3238</v>
      </c>
      <c r="P179" s="13"/>
      <c r="Q179" s="41"/>
      <c r="R179" s="13"/>
      <c r="S179" s="13"/>
      <c r="T179" s="82"/>
    </row>
    <row r="180" spans="1:20" ht="30" customHeight="1" x14ac:dyDescent="0.2">
      <c r="A180" s="79">
        <v>177</v>
      </c>
      <c r="B180" s="68" t="s">
        <v>3233</v>
      </c>
      <c r="C180" s="69" t="s">
        <v>1739</v>
      </c>
      <c r="D180" s="69"/>
      <c r="E180" s="67"/>
      <c r="F180" s="69" t="s">
        <v>7</v>
      </c>
      <c r="G180" s="84" t="s">
        <v>2975</v>
      </c>
      <c r="H180" s="84" t="s">
        <v>3239</v>
      </c>
      <c r="I180" s="70">
        <v>18.5</v>
      </c>
      <c r="J180" s="67" t="s">
        <v>2699</v>
      </c>
      <c r="K180" s="69" t="s">
        <v>107</v>
      </c>
      <c r="L180" s="69" t="s">
        <v>278</v>
      </c>
      <c r="M180" s="67" t="s">
        <v>69</v>
      </c>
      <c r="N180" s="67" t="s">
        <v>70</v>
      </c>
      <c r="O180" s="69" t="s">
        <v>3240</v>
      </c>
      <c r="P180" s="71"/>
      <c r="Q180" s="72"/>
      <c r="R180" s="73"/>
      <c r="S180" s="73"/>
      <c r="T180" s="85"/>
    </row>
    <row r="181" spans="1:20" ht="30" customHeight="1" x14ac:dyDescent="0.2">
      <c r="A181" s="83">
        <v>178</v>
      </c>
      <c r="B181" s="40" t="s">
        <v>2401</v>
      </c>
      <c r="C181" s="41" t="s">
        <v>3241</v>
      </c>
      <c r="D181" s="41" t="s">
        <v>10</v>
      </c>
      <c r="E181" s="41" t="s">
        <v>185</v>
      </c>
      <c r="F181" s="41" t="s">
        <v>83</v>
      </c>
      <c r="G181" s="80" t="s">
        <v>2975</v>
      </c>
      <c r="H181" s="41" t="s">
        <v>3242</v>
      </c>
      <c r="I181" s="81">
        <v>45</v>
      </c>
      <c r="J181" s="41"/>
      <c r="K181" s="6" t="s">
        <v>70</v>
      </c>
      <c r="L181" s="81" t="s">
        <v>120</v>
      </c>
      <c r="M181" s="41"/>
      <c r="N181" s="6" t="s">
        <v>70</v>
      </c>
      <c r="O181" s="6" t="s">
        <v>3243</v>
      </c>
      <c r="P181" s="13"/>
      <c r="Q181" s="41"/>
      <c r="R181" s="13"/>
      <c r="S181" s="13"/>
      <c r="T181" s="82"/>
    </row>
    <row r="182" spans="1:20" ht="30" customHeight="1" x14ac:dyDescent="0.2">
      <c r="A182" s="79">
        <v>179</v>
      </c>
      <c r="B182" s="68" t="s">
        <v>2401</v>
      </c>
      <c r="C182" s="69" t="s">
        <v>3241</v>
      </c>
      <c r="D182" s="69" t="s">
        <v>10</v>
      </c>
      <c r="E182" s="67"/>
      <c r="F182" s="69" t="s">
        <v>7</v>
      </c>
      <c r="G182" s="84" t="s">
        <v>2975</v>
      </c>
      <c r="H182" s="84" t="s">
        <v>3239</v>
      </c>
      <c r="I182" s="70">
        <v>45</v>
      </c>
      <c r="J182" s="67" t="s">
        <v>2699</v>
      </c>
      <c r="K182" s="69" t="s">
        <v>107</v>
      </c>
      <c r="L182" s="69" t="s">
        <v>120</v>
      </c>
      <c r="M182" s="67" t="s">
        <v>142</v>
      </c>
      <c r="N182" s="67" t="s">
        <v>70</v>
      </c>
      <c r="O182" s="69" t="s">
        <v>3243</v>
      </c>
      <c r="P182" s="71"/>
      <c r="Q182" s="72"/>
      <c r="R182" s="73"/>
      <c r="S182" s="73"/>
      <c r="T182" s="85"/>
    </row>
    <row r="183" spans="1:20" ht="30" customHeight="1" x14ac:dyDescent="0.2">
      <c r="A183" s="83">
        <v>180</v>
      </c>
      <c r="B183" s="40" t="s">
        <v>3244</v>
      </c>
      <c r="C183" s="41" t="s">
        <v>573</v>
      </c>
      <c r="D183" s="41" t="s">
        <v>9</v>
      </c>
      <c r="E183" s="41" t="s">
        <v>185</v>
      </c>
      <c r="F183" s="41" t="s">
        <v>83</v>
      </c>
      <c r="G183" s="80" t="s">
        <v>2975</v>
      </c>
      <c r="H183" s="41" t="s">
        <v>3244</v>
      </c>
      <c r="I183" s="81">
        <v>73</v>
      </c>
      <c r="J183" s="41"/>
      <c r="K183" s="6" t="s">
        <v>369</v>
      </c>
      <c r="L183" s="81" t="s">
        <v>156</v>
      </c>
      <c r="M183" s="41" t="s">
        <v>119</v>
      </c>
      <c r="N183" s="6" t="s">
        <v>107</v>
      </c>
      <c r="O183" s="6" t="s">
        <v>2738</v>
      </c>
      <c r="P183" s="13"/>
      <c r="Q183" s="41"/>
      <c r="R183" s="13"/>
      <c r="S183" s="13"/>
      <c r="T183" s="82"/>
    </row>
    <row r="184" spans="1:20" ht="30" customHeight="1" x14ac:dyDescent="0.2">
      <c r="A184" s="79">
        <v>181</v>
      </c>
      <c r="B184" s="68" t="s">
        <v>3245</v>
      </c>
      <c r="C184" s="69" t="s">
        <v>3246</v>
      </c>
      <c r="D184" s="69" t="s">
        <v>20</v>
      </c>
      <c r="E184" s="67" t="s">
        <v>922</v>
      </c>
      <c r="F184" s="69" t="s">
        <v>83</v>
      </c>
      <c r="G184" s="84" t="s">
        <v>2975</v>
      </c>
      <c r="H184" s="84" t="s">
        <v>3244</v>
      </c>
      <c r="I184" s="70">
        <v>37</v>
      </c>
      <c r="J184" s="67" t="s">
        <v>3205</v>
      </c>
      <c r="K184" s="69" t="s">
        <v>107</v>
      </c>
      <c r="L184" s="69" t="s">
        <v>188</v>
      </c>
      <c r="M184" s="67" t="s">
        <v>3205</v>
      </c>
      <c r="N184" s="67" t="s">
        <v>107</v>
      </c>
      <c r="O184" s="69" t="s">
        <v>720</v>
      </c>
      <c r="P184" s="71"/>
      <c r="Q184" s="72"/>
      <c r="R184" s="73"/>
      <c r="S184" s="73"/>
      <c r="T184" s="85"/>
    </row>
    <row r="185" spans="1:20" ht="30" customHeight="1" x14ac:dyDescent="0.2">
      <c r="A185" s="83">
        <v>182</v>
      </c>
      <c r="B185" s="40" t="s">
        <v>3245</v>
      </c>
      <c r="C185" s="41" t="s">
        <v>3246</v>
      </c>
      <c r="D185" s="41"/>
      <c r="E185" s="41"/>
      <c r="F185" s="41" t="s">
        <v>7</v>
      </c>
      <c r="G185" s="80" t="s">
        <v>2975</v>
      </c>
      <c r="H185" s="41" t="s">
        <v>3239</v>
      </c>
      <c r="I185" s="81">
        <v>30</v>
      </c>
      <c r="J185" s="41" t="s">
        <v>2699</v>
      </c>
      <c r="K185" s="6" t="s">
        <v>107</v>
      </c>
      <c r="L185" s="81" t="s">
        <v>1704</v>
      </c>
      <c r="M185" s="41" t="s">
        <v>262</v>
      </c>
      <c r="N185" s="6" t="s">
        <v>70</v>
      </c>
      <c r="O185" s="6" t="s">
        <v>720</v>
      </c>
      <c r="P185" s="13"/>
      <c r="Q185" s="41"/>
      <c r="R185" s="13"/>
      <c r="S185" s="13"/>
      <c r="T185" s="82"/>
    </row>
    <row r="186" spans="1:20" ht="30" customHeight="1" x14ac:dyDescent="0.2">
      <c r="A186" s="79">
        <v>183</v>
      </c>
      <c r="B186" s="68" t="s">
        <v>3247</v>
      </c>
      <c r="C186" s="69" t="s">
        <v>3248</v>
      </c>
      <c r="D186" s="69" t="s">
        <v>8</v>
      </c>
      <c r="E186" s="67" t="s">
        <v>185</v>
      </c>
      <c r="F186" s="69" t="s">
        <v>83</v>
      </c>
      <c r="G186" s="84" t="s">
        <v>2975</v>
      </c>
      <c r="H186" s="84" t="s">
        <v>3245</v>
      </c>
      <c r="I186" s="70">
        <v>37</v>
      </c>
      <c r="J186" s="67" t="s">
        <v>2699</v>
      </c>
      <c r="K186" s="69" t="s">
        <v>107</v>
      </c>
      <c r="L186" s="69" t="s">
        <v>188</v>
      </c>
      <c r="M186" s="67" t="s">
        <v>2699</v>
      </c>
      <c r="N186" s="67" t="s">
        <v>107</v>
      </c>
      <c r="O186" s="69" t="s">
        <v>3249</v>
      </c>
      <c r="P186" s="71"/>
      <c r="Q186" s="72"/>
      <c r="R186" s="73"/>
      <c r="S186" s="73"/>
      <c r="T186" s="85"/>
    </row>
    <row r="187" spans="1:20" ht="30" customHeight="1" x14ac:dyDescent="0.2">
      <c r="A187" s="83">
        <v>184</v>
      </c>
      <c r="B187" s="40" t="s">
        <v>3247</v>
      </c>
      <c r="C187" s="41" t="s">
        <v>3248</v>
      </c>
      <c r="D187" s="41"/>
      <c r="E187" s="41"/>
      <c r="F187" s="41" t="s">
        <v>7</v>
      </c>
      <c r="G187" s="80" t="s">
        <v>2975</v>
      </c>
      <c r="H187" s="41" t="s">
        <v>3239</v>
      </c>
      <c r="I187" s="81">
        <v>37</v>
      </c>
      <c r="J187" s="41" t="s">
        <v>142</v>
      </c>
      <c r="K187" s="6" t="s">
        <v>70</v>
      </c>
      <c r="L187" s="81" t="s">
        <v>188</v>
      </c>
      <c r="M187" s="41" t="s">
        <v>2699</v>
      </c>
      <c r="N187" s="6" t="s">
        <v>107</v>
      </c>
      <c r="O187" s="6" t="s">
        <v>3249</v>
      </c>
      <c r="P187" s="13"/>
      <c r="Q187" s="41"/>
      <c r="R187" s="13"/>
      <c r="S187" s="13"/>
      <c r="T187" s="82"/>
    </row>
    <row r="188" spans="1:20" ht="30" customHeight="1" x14ac:dyDescent="0.2">
      <c r="A188" s="79">
        <v>185</v>
      </c>
      <c r="B188" s="68" t="s">
        <v>3250</v>
      </c>
      <c r="C188" s="69" t="s">
        <v>1423</v>
      </c>
      <c r="D188" s="69" t="s">
        <v>9</v>
      </c>
      <c r="E188" s="67" t="s">
        <v>185</v>
      </c>
      <c r="F188" s="69" t="s">
        <v>83</v>
      </c>
      <c r="G188" s="84" t="s">
        <v>2975</v>
      </c>
      <c r="H188" s="84" t="s">
        <v>2812</v>
      </c>
      <c r="I188" s="70">
        <v>55</v>
      </c>
      <c r="J188" s="67" t="s">
        <v>262</v>
      </c>
      <c r="K188" s="69" t="s">
        <v>70</v>
      </c>
      <c r="L188" s="69" t="s">
        <v>108</v>
      </c>
      <c r="M188" s="67" t="s">
        <v>119</v>
      </c>
      <c r="N188" s="67" t="s">
        <v>107</v>
      </c>
      <c r="O188" s="69" t="s">
        <v>3251</v>
      </c>
      <c r="P188" s="71"/>
      <c r="Q188" s="72"/>
      <c r="R188" s="73"/>
      <c r="S188" s="73"/>
      <c r="T188" s="85"/>
    </row>
    <row r="189" spans="1:20" ht="30" customHeight="1" x14ac:dyDescent="0.2">
      <c r="A189" s="83">
        <v>186</v>
      </c>
      <c r="B189" s="40" t="s">
        <v>3250</v>
      </c>
      <c r="C189" s="41" t="s">
        <v>1423</v>
      </c>
      <c r="D189" s="41" t="s">
        <v>8</v>
      </c>
      <c r="E189" s="41"/>
      <c r="F189" s="41" t="s">
        <v>7</v>
      </c>
      <c r="G189" s="80" t="s">
        <v>2975</v>
      </c>
      <c r="H189" s="41" t="s">
        <v>2812</v>
      </c>
      <c r="I189" s="81">
        <v>55</v>
      </c>
      <c r="J189" s="41" t="s">
        <v>2699</v>
      </c>
      <c r="K189" s="6" t="s">
        <v>107</v>
      </c>
      <c r="L189" s="81" t="s">
        <v>108</v>
      </c>
      <c r="M189" s="41" t="s">
        <v>2699</v>
      </c>
      <c r="N189" s="6" t="s">
        <v>107</v>
      </c>
      <c r="O189" s="6" t="s">
        <v>3251</v>
      </c>
      <c r="P189" s="13"/>
      <c r="Q189" s="41"/>
      <c r="R189" s="13"/>
      <c r="S189" s="13"/>
      <c r="T189" s="82"/>
    </row>
    <row r="190" spans="1:20" ht="30" customHeight="1" x14ac:dyDescent="0.2">
      <c r="A190" s="79">
        <v>187</v>
      </c>
      <c r="B190" s="68" t="s">
        <v>1426</v>
      </c>
      <c r="C190" s="69" t="s">
        <v>1675</v>
      </c>
      <c r="D190" s="69" t="s">
        <v>8</v>
      </c>
      <c r="E190" s="67" t="s">
        <v>3041</v>
      </c>
      <c r="F190" s="69" t="s">
        <v>83</v>
      </c>
      <c r="G190" s="84" t="s">
        <v>2975</v>
      </c>
      <c r="H190" s="84" t="s">
        <v>1426</v>
      </c>
      <c r="I190" s="70">
        <v>45</v>
      </c>
      <c r="J190" s="67" t="s">
        <v>3205</v>
      </c>
      <c r="K190" s="69" t="s">
        <v>107</v>
      </c>
      <c r="L190" s="69" t="s">
        <v>204</v>
      </c>
      <c r="M190" s="67" t="s">
        <v>3205</v>
      </c>
      <c r="N190" s="67" t="s">
        <v>107</v>
      </c>
      <c r="O190" s="69" t="s">
        <v>3252</v>
      </c>
      <c r="P190" s="71"/>
      <c r="Q190" s="72"/>
      <c r="R190" s="73"/>
      <c r="S190" s="73"/>
      <c r="T190" s="85"/>
    </row>
    <row r="191" spans="1:20" ht="30" customHeight="1" x14ac:dyDescent="0.2">
      <c r="A191" s="83">
        <v>188</v>
      </c>
      <c r="B191" s="40" t="s">
        <v>1678</v>
      </c>
      <c r="C191" s="41" t="s">
        <v>1675</v>
      </c>
      <c r="D191" s="41"/>
      <c r="E191" s="41"/>
      <c r="F191" s="41" t="s">
        <v>7</v>
      </c>
      <c r="G191" s="80" t="s">
        <v>2975</v>
      </c>
      <c r="H191" s="41" t="s">
        <v>3253</v>
      </c>
      <c r="I191" s="81">
        <v>45</v>
      </c>
      <c r="J191" s="41" t="s">
        <v>2699</v>
      </c>
      <c r="K191" s="6" t="s">
        <v>107</v>
      </c>
      <c r="L191" s="81" t="s">
        <v>204</v>
      </c>
      <c r="M191" s="41" t="s">
        <v>142</v>
      </c>
      <c r="N191" s="6" t="s">
        <v>70</v>
      </c>
      <c r="O191" s="6" t="s">
        <v>3252</v>
      </c>
      <c r="P191" s="13"/>
      <c r="Q191" s="41"/>
      <c r="R191" s="13"/>
      <c r="S191" s="13"/>
      <c r="T191" s="82"/>
    </row>
    <row r="192" spans="1:20" ht="30" customHeight="1" x14ac:dyDescent="0.2">
      <c r="A192" s="79">
        <v>189</v>
      </c>
      <c r="B192" s="68" t="s">
        <v>3254</v>
      </c>
      <c r="C192" s="69" t="s">
        <v>3255</v>
      </c>
      <c r="D192" s="69" t="s">
        <v>8</v>
      </c>
      <c r="E192" s="67" t="s">
        <v>185</v>
      </c>
      <c r="F192" s="69" t="s">
        <v>83</v>
      </c>
      <c r="G192" s="84" t="s">
        <v>2975</v>
      </c>
      <c r="H192" s="84" t="s">
        <v>3254</v>
      </c>
      <c r="I192" s="70">
        <v>37</v>
      </c>
      <c r="J192" s="67" t="s">
        <v>69</v>
      </c>
      <c r="K192" s="69" t="s">
        <v>70</v>
      </c>
      <c r="L192" s="69" t="s">
        <v>143</v>
      </c>
      <c r="M192" s="67" t="s">
        <v>3205</v>
      </c>
      <c r="N192" s="67" t="s">
        <v>107</v>
      </c>
      <c r="O192" s="69" t="s">
        <v>3256</v>
      </c>
      <c r="P192" s="71"/>
      <c r="Q192" s="72"/>
      <c r="R192" s="73"/>
      <c r="S192" s="73"/>
      <c r="T192" s="85"/>
    </row>
    <row r="193" spans="1:20" ht="30" customHeight="1" x14ac:dyDescent="0.2">
      <c r="A193" s="83">
        <v>190</v>
      </c>
      <c r="B193" s="40" t="s">
        <v>3257</v>
      </c>
      <c r="C193" s="41" t="s">
        <v>3255</v>
      </c>
      <c r="D193" s="41"/>
      <c r="E193" s="41"/>
      <c r="F193" s="41" t="s">
        <v>7</v>
      </c>
      <c r="G193" s="80" t="s">
        <v>2975</v>
      </c>
      <c r="H193" s="41" t="s">
        <v>2812</v>
      </c>
      <c r="I193" s="81">
        <v>37</v>
      </c>
      <c r="J193" s="41" t="s">
        <v>262</v>
      </c>
      <c r="K193" s="6" t="s">
        <v>70</v>
      </c>
      <c r="L193" s="81" t="s">
        <v>143</v>
      </c>
      <c r="M193" s="41" t="s">
        <v>262</v>
      </c>
      <c r="N193" s="6" t="s">
        <v>70</v>
      </c>
      <c r="O193" s="6" t="s">
        <v>3256</v>
      </c>
      <c r="P193" s="13"/>
      <c r="Q193" s="41"/>
      <c r="R193" s="13"/>
      <c r="S193" s="13"/>
      <c r="T193" s="82"/>
    </row>
    <row r="194" spans="1:20" ht="30" customHeight="1" x14ac:dyDescent="0.2">
      <c r="A194" s="79">
        <v>191</v>
      </c>
      <c r="B194" s="68" t="s">
        <v>3258</v>
      </c>
      <c r="C194" s="69" t="s">
        <v>3259</v>
      </c>
      <c r="D194" s="69" t="s">
        <v>6</v>
      </c>
      <c r="E194" s="67" t="s">
        <v>2965</v>
      </c>
      <c r="F194" s="69" t="s">
        <v>83</v>
      </c>
      <c r="G194" s="84" t="s">
        <v>2975</v>
      </c>
      <c r="H194" s="84" t="s">
        <v>3258</v>
      </c>
      <c r="I194" s="70">
        <v>73</v>
      </c>
      <c r="J194" s="67" t="s">
        <v>69</v>
      </c>
      <c r="K194" s="69" t="s">
        <v>70</v>
      </c>
      <c r="L194" s="69" t="s">
        <v>324</v>
      </c>
      <c r="M194" s="67" t="s">
        <v>3205</v>
      </c>
      <c r="N194" s="67" t="s">
        <v>107</v>
      </c>
      <c r="O194" s="69" t="s">
        <v>3260</v>
      </c>
      <c r="P194" s="71"/>
      <c r="Q194" s="72"/>
      <c r="R194" s="73"/>
      <c r="S194" s="73"/>
      <c r="T194" s="85"/>
    </row>
    <row r="195" spans="1:20" ht="30" customHeight="1" x14ac:dyDescent="0.2">
      <c r="A195" s="83">
        <v>192</v>
      </c>
      <c r="B195" s="40" t="s">
        <v>3261</v>
      </c>
      <c r="C195" s="41" t="s">
        <v>3259</v>
      </c>
      <c r="D195" s="41"/>
      <c r="E195" s="41"/>
      <c r="F195" s="41" t="s">
        <v>7</v>
      </c>
      <c r="G195" s="80" t="s">
        <v>2975</v>
      </c>
      <c r="H195" s="41" t="s">
        <v>2812</v>
      </c>
      <c r="I195" s="81">
        <v>73</v>
      </c>
      <c r="J195" s="41" t="s">
        <v>2699</v>
      </c>
      <c r="K195" s="6" t="s">
        <v>107</v>
      </c>
      <c r="L195" s="81" t="s">
        <v>324</v>
      </c>
      <c r="M195" s="41" t="s">
        <v>2699</v>
      </c>
      <c r="N195" s="6" t="s">
        <v>107</v>
      </c>
      <c r="O195" s="6" t="s">
        <v>3260</v>
      </c>
      <c r="P195" s="13"/>
      <c r="Q195" s="41"/>
      <c r="R195" s="13"/>
      <c r="S195" s="13"/>
      <c r="T195" s="82"/>
    </row>
    <row r="196" spans="1:20" ht="30" customHeight="1" x14ac:dyDescent="0.2">
      <c r="A196" s="79">
        <v>193</v>
      </c>
      <c r="B196" s="68" t="s">
        <v>3262</v>
      </c>
      <c r="C196" s="69" t="s">
        <v>3263</v>
      </c>
      <c r="D196" s="69" t="s">
        <v>6</v>
      </c>
      <c r="E196" s="67" t="s">
        <v>185</v>
      </c>
      <c r="F196" s="69" t="s">
        <v>83</v>
      </c>
      <c r="G196" s="84" t="s">
        <v>2975</v>
      </c>
      <c r="H196" s="84" t="s">
        <v>3262</v>
      </c>
      <c r="I196" s="70">
        <v>73</v>
      </c>
      <c r="J196" s="67" t="s">
        <v>142</v>
      </c>
      <c r="K196" s="69" t="s">
        <v>70</v>
      </c>
      <c r="L196" s="69" t="s">
        <v>167</v>
      </c>
      <c r="M196" s="67" t="s">
        <v>3205</v>
      </c>
      <c r="N196" s="67" t="s">
        <v>107</v>
      </c>
      <c r="O196" s="69" t="s">
        <v>3264</v>
      </c>
      <c r="P196" s="71"/>
      <c r="Q196" s="72"/>
      <c r="R196" s="73"/>
      <c r="S196" s="73"/>
      <c r="T196" s="85"/>
    </row>
    <row r="197" spans="1:20" ht="30" customHeight="1" x14ac:dyDescent="0.2">
      <c r="A197" s="83">
        <v>194</v>
      </c>
      <c r="B197" s="40" t="s">
        <v>3253</v>
      </c>
      <c r="C197" s="41" t="s">
        <v>3263</v>
      </c>
      <c r="D197" s="41"/>
      <c r="E197" s="41"/>
      <c r="F197" s="41" t="s">
        <v>7</v>
      </c>
      <c r="G197" s="80" t="s">
        <v>2975</v>
      </c>
      <c r="H197" s="41" t="s">
        <v>2812</v>
      </c>
      <c r="I197" s="81">
        <v>73</v>
      </c>
      <c r="J197" s="41" t="s">
        <v>2699</v>
      </c>
      <c r="K197" s="6" t="s">
        <v>107</v>
      </c>
      <c r="L197" s="81" t="s">
        <v>324</v>
      </c>
      <c r="M197" s="41" t="s">
        <v>2699</v>
      </c>
      <c r="N197" s="6" t="s">
        <v>107</v>
      </c>
      <c r="O197" s="6" t="s">
        <v>3264</v>
      </c>
      <c r="P197" s="13"/>
      <c r="Q197" s="41"/>
      <c r="R197" s="13"/>
      <c r="S197" s="13"/>
      <c r="T197" s="82"/>
    </row>
    <row r="198" spans="1:20" ht="30" customHeight="1" x14ac:dyDescent="0.2">
      <c r="A198" s="79">
        <v>195</v>
      </c>
      <c r="B198" s="68" t="s">
        <v>3265</v>
      </c>
      <c r="C198" s="69" t="s">
        <v>3217</v>
      </c>
      <c r="D198" s="69" t="s">
        <v>10</v>
      </c>
      <c r="E198" s="67"/>
      <c r="F198" s="69" t="s">
        <v>7</v>
      </c>
      <c r="G198" s="84" t="s">
        <v>2975</v>
      </c>
      <c r="H198" s="84" t="s">
        <v>3265</v>
      </c>
      <c r="I198" s="70">
        <v>37</v>
      </c>
      <c r="J198" s="67" t="s">
        <v>142</v>
      </c>
      <c r="K198" s="69" t="s">
        <v>70</v>
      </c>
      <c r="L198" s="69" t="s">
        <v>338</v>
      </c>
      <c r="M198" s="67" t="s">
        <v>142</v>
      </c>
      <c r="N198" s="67" t="s">
        <v>70</v>
      </c>
      <c r="O198" s="69" t="s">
        <v>3218</v>
      </c>
      <c r="P198" s="71"/>
      <c r="Q198" s="72"/>
      <c r="R198" s="73"/>
      <c r="S198" s="73"/>
      <c r="T198" s="85"/>
    </row>
    <row r="199" spans="1:20" ht="30" customHeight="1" x14ac:dyDescent="0.2">
      <c r="A199" s="83">
        <v>196</v>
      </c>
      <c r="B199" s="40" t="s">
        <v>2812</v>
      </c>
      <c r="C199" s="41" t="s">
        <v>1623</v>
      </c>
      <c r="D199" s="41" t="s">
        <v>6</v>
      </c>
      <c r="E199" s="41"/>
      <c r="F199" s="41" t="s">
        <v>7</v>
      </c>
      <c r="G199" s="80" t="s">
        <v>2975</v>
      </c>
      <c r="H199" s="41" t="s">
        <v>2812</v>
      </c>
      <c r="I199" s="81">
        <v>45</v>
      </c>
      <c r="J199" s="41" t="s">
        <v>2699</v>
      </c>
      <c r="K199" s="6" t="s">
        <v>107</v>
      </c>
      <c r="L199" s="81" t="s">
        <v>204</v>
      </c>
      <c r="M199" s="41" t="s">
        <v>142</v>
      </c>
      <c r="N199" s="6" t="s">
        <v>70</v>
      </c>
      <c r="O199" s="6" t="s">
        <v>3144</v>
      </c>
      <c r="P199" s="13"/>
      <c r="Q199" s="41"/>
      <c r="R199" s="13"/>
      <c r="S199" s="13"/>
      <c r="T199" s="82"/>
    </row>
  </sheetData>
  <autoFilter ref="A3:T199" xr:uid="{C568E409-CEA5-4745-A0E9-EB8F3961A11B}"/>
  <mergeCells count="17">
    <mergeCell ref="R1:R3"/>
    <mergeCell ref="S1:S3"/>
    <mergeCell ref="T1:T3"/>
    <mergeCell ref="I2:K2"/>
    <mergeCell ref="L2:N2"/>
    <mergeCell ref="G1:G3"/>
    <mergeCell ref="H1:H3"/>
    <mergeCell ref="I1:N1"/>
    <mergeCell ref="O1:O3"/>
    <mergeCell ref="P1:P3"/>
    <mergeCell ref="Q1:Q3"/>
    <mergeCell ref="A1:A3"/>
    <mergeCell ref="B1:B3"/>
    <mergeCell ref="C1:C3"/>
    <mergeCell ref="D1:D3"/>
    <mergeCell ref="E1:E3"/>
    <mergeCell ref="F1:F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6113-2B11-49C6-9AE6-53FC8C6F74FA}">
  <dimension ref="A1:AJ69"/>
  <sheetViews>
    <sheetView rightToLeft="1" workbookViewId="0">
      <selection sqref="A1:A3"/>
    </sheetView>
  </sheetViews>
  <sheetFormatPr defaultColWidth="9.7109375" defaultRowHeight="20.100000000000001" customHeight="1" x14ac:dyDescent="0.2"/>
  <cols>
    <col min="1" max="1" width="4.7109375" style="2" bestFit="1" customWidth="1"/>
    <col min="2" max="2" width="10.42578125" style="5" bestFit="1" customWidth="1"/>
    <col min="3" max="3" width="15" style="1" customWidth="1"/>
    <col min="4" max="4" width="9.140625" style="1" customWidth="1"/>
    <col min="5" max="5" width="20.42578125" style="1" customWidth="1"/>
    <col min="6" max="6" width="23" style="1" customWidth="1"/>
    <col min="7" max="7" width="13.7109375" style="1" customWidth="1"/>
    <col min="8" max="8" width="5.85546875" style="1" hidden="1" customWidth="1"/>
    <col min="9" max="13" width="5.7109375" style="1" hidden="1" customWidth="1"/>
    <col min="14" max="14" width="10.42578125" style="7" customWidth="1"/>
    <col min="15" max="15" width="7.85546875" style="136" customWidth="1"/>
    <col min="16" max="16" width="5.7109375" style="140" customWidth="1"/>
    <col min="17" max="17" width="12.42578125" style="1" customWidth="1"/>
    <col min="18" max="19" width="9.28515625" style="1" customWidth="1"/>
    <col min="20" max="20" width="9" style="138" customWidth="1"/>
    <col min="21" max="21" width="12.85546875" style="1" customWidth="1"/>
    <col min="22" max="22" width="8.28515625" style="1" customWidth="1"/>
    <col min="23" max="23" width="11.5703125" style="1" customWidth="1"/>
    <col min="24" max="26" width="5.7109375" style="1" customWidth="1"/>
    <col min="27" max="30" width="9.140625" style="151" customWidth="1"/>
    <col min="31" max="31" width="8" customWidth="1"/>
    <col min="32" max="32" width="6" customWidth="1"/>
    <col min="33" max="33" width="59" style="4" customWidth="1"/>
    <col min="34" max="16384" width="9.7109375" style="4"/>
  </cols>
  <sheetData>
    <row r="1" spans="1:36" s="3" customFormat="1" ht="20.25" customHeight="1" x14ac:dyDescent="0.2">
      <c r="A1" s="597" t="s">
        <v>0</v>
      </c>
      <c r="B1" s="559" t="s">
        <v>1</v>
      </c>
      <c r="C1" s="559" t="s">
        <v>2</v>
      </c>
      <c r="D1" s="559" t="s">
        <v>5</v>
      </c>
      <c r="E1" s="559" t="s">
        <v>40</v>
      </c>
      <c r="F1" s="559" t="s">
        <v>41</v>
      </c>
      <c r="G1" s="559" t="s">
        <v>55</v>
      </c>
      <c r="H1" s="597" t="s">
        <v>52</v>
      </c>
      <c r="I1" s="597" t="s">
        <v>43</v>
      </c>
      <c r="J1" s="597" t="s">
        <v>44</v>
      </c>
      <c r="K1" s="597" t="s">
        <v>42</v>
      </c>
      <c r="L1" s="597" t="s">
        <v>45</v>
      </c>
      <c r="M1" s="597" t="s">
        <v>46</v>
      </c>
      <c r="N1" s="559" t="s">
        <v>3</v>
      </c>
      <c r="O1" s="559" t="s">
        <v>17</v>
      </c>
      <c r="P1" s="559"/>
      <c r="Q1" s="559"/>
      <c r="R1" s="559"/>
      <c r="S1" s="559"/>
      <c r="T1" s="559"/>
      <c r="U1" s="559"/>
      <c r="V1" s="559"/>
      <c r="W1" s="559" t="s">
        <v>4</v>
      </c>
      <c r="X1" s="597" t="s">
        <v>149</v>
      </c>
      <c r="Y1" s="597" t="s">
        <v>48</v>
      </c>
      <c r="Z1" s="597" t="s">
        <v>47</v>
      </c>
      <c r="AA1" s="615" t="s">
        <v>27</v>
      </c>
      <c r="AB1" s="615" t="s">
        <v>28</v>
      </c>
      <c r="AC1" s="615" t="s">
        <v>11</v>
      </c>
      <c r="AD1" s="615" t="s">
        <v>12</v>
      </c>
      <c r="AE1" s="601" t="s">
        <v>13</v>
      </c>
      <c r="AF1" s="601" t="s">
        <v>54</v>
      </c>
      <c r="AG1" s="602" t="s">
        <v>29</v>
      </c>
      <c r="AH1" s="602" t="s">
        <v>3317</v>
      </c>
      <c r="AI1" s="602"/>
      <c r="AJ1" s="602"/>
    </row>
    <row r="2" spans="1:36" s="3" customFormat="1" ht="20.25" x14ac:dyDescent="0.2">
      <c r="A2" s="597"/>
      <c r="B2" s="559"/>
      <c r="C2" s="559"/>
      <c r="D2" s="559"/>
      <c r="E2" s="559"/>
      <c r="F2" s="559"/>
      <c r="G2" s="559"/>
      <c r="H2" s="597"/>
      <c r="I2" s="597"/>
      <c r="J2" s="597"/>
      <c r="K2" s="597"/>
      <c r="L2" s="597"/>
      <c r="M2" s="597"/>
      <c r="N2" s="559"/>
      <c r="O2" s="559" t="s">
        <v>18</v>
      </c>
      <c r="P2" s="559"/>
      <c r="Q2" s="559"/>
      <c r="R2" s="559"/>
      <c r="S2" s="559" t="s">
        <v>14</v>
      </c>
      <c r="T2" s="559"/>
      <c r="U2" s="559"/>
      <c r="V2" s="559"/>
      <c r="W2" s="559"/>
      <c r="X2" s="597"/>
      <c r="Y2" s="597"/>
      <c r="Z2" s="597"/>
      <c r="AA2" s="615"/>
      <c r="AB2" s="615"/>
      <c r="AC2" s="615"/>
      <c r="AD2" s="615"/>
      <c r="AE2" s="601"/>
      <c r="AF2" s="601"/>
      <c r="AG2" s="602"/>
      <c r="AH2" s="602"/>
      <c r="AI2" s="602"/>
      <c r="AJ2" s="602"/>
    </row>
    <row r="3" spans="1:36" s="3" customFormat="1" ht="87" x14ac:dyDescent="0.2">
      <c r="A3" s="597"/>
      <c r="B3" s="559"/>
      <c r="C3" s="559"/>
      <c r="D3" s="559"/>
      <c r="E3" s="559"/>
      <c r="F3" s="559"/>
      <c r="G3" s="559"/>
      <c r="H3" s="597"/>
      <c r="I3" s="597"/>
      <c r="J3" s="597"/>
      <c r="K3" s="597"/>
      <c r="L3" s="597"/>
      <c r="M3" s="597"/>
      <c r="N3" s="559"/>
      <c r="O3" s="127" t="s">
        <v>50</v>
      </c>
      <c r="P3" s="127" t="s">
        <v>51</v>
      </c>
      <c r="Q3" s="9" t="s">
        <v>16</v>
      </c>
      <c r="R3" s="10" t="s">
        <v>15</v>
      </c>
      <c r="S3" s="10" t="s">
        <v>36</v>
      </c>
      <c r="T3" s="141" t="s">
        <v>49</v>
      </c>
      <c r="U3" s="9" t="s">
        <v>16</v>
      </c>
      <c r="V3" s="10" t="s">
        <v>15</v>
      </c>
      <c r="W3" s="559"/>
      <c r="X3" s="597"/>
      <c r="Y3" s="597"/>
      <c r="Z3" s="597"/>
      <c r="AA3" s="615"/>
      <c r="AB3" s="615"/>
      <c r="AC3" s="615"/>
      <c r="AD3" s="615"/>
      <c r="AE3" s="601"/>
      <c r="AF3" s="601"/>
      <c r="AG3" s="602"/>
      <c r="AH3" s="602"/>
      <c r="AI3" s="602"/>
      <c r="AJ3" s="602"/>
    </row>
    <row r="4" spans="1:36" s="3" customFormat="1" ht="35.1" customHeight="1" x14ac:dyDescent="0.2">
      <c r="A4" s="625">
        <v>1</v>
      </c>
      <c r="B4" s="106"/>
      <c r="C4" s="626" t="s">
        <v>82</v>
      </c>
      <c r="D4" s="626" t="s">
        <v>9</v>
      </c>
      <c r="E4" s="616" t="s">
        <v>94</v>
      </c>
      <c r="F4" s="616" t="s">
        <v>98</v>
      </c>
      <c r="G4" s="106" t="s">
        <v>7</v>
      </c>
      <c r="H4" s="107"/>
      <c r="I4" s="107"/>
      <c r="J4" s="107"/>
      <c r="K4" s="107"/>
      <c r="L4" s="107"/>
      <c r="M4" s="107"/>
      <c r="N4" s="106"/>
      <c r="O4" s="128"/>
      <c r="P4" s="128"/>
      <c r="Q4" s="108"/>
      <c r="R4" s="69"/>
      <c r="S4" s="69"/>
      <c r="T4" s="124"/>
      <c r="U4" s="108"/>
      <c r="V4" s="69"/>
      <c r="W4" s="106"/>
      <c r="X4" s="107"/>
      <c r="Y4" s="107"/>
      <c r="Z4" s="107"/>
      <c r="AA4" s="142"/>
      <c r="AB4" s="142"/>
      <c r="AC4" s="142"/>
      <c r="AD4" s="142"/>
      <c r="AE4" s="109"/>
      <c r="AF4" s="109"/>
      <c r="AG4" s="616" t="s">
        <v>97</v>
      </c>
      <c r="AH4" s="110"/>
      <c r="AI4" s="110"/>
      <c r="AJ4" s="110"/>
    </row>
    <row r="5" spans="1:36" s="19" customFormat="1" ht="35.1" customHeight="1" x14ac:dyDescent="0.2">
      <c r="A5" s="625"/>
      <c r="B5" s="68" t="s">
        <v>81</v>
      </c>
      <c r="C5" s="626"/>
      <c r="D5" s="626"/>
      <c r="E5" s="617"/>
      <c r="F5" s="617"/>
      <c r="G5" s="67" t="s">
        <v>83</v>
      </c>
      <c r="H5" s="67"/>
      <c r="I5" s="67"/>
      <c r="J5" s="67"/>
      <c r="K5" s="67"/>
      <c r="L5" s="67"/>
      <c r="M5" s="67"/>
      <c r="N5" s="68" t="s">
        <v>84</v>
      </c>
      <c r="O5" s="129"/>
      <c r="P5" s="129" t="s">
        <v>117</v>
      </c>
      <c r="Q5" s="69" t="s">
        <v>119</v>
      </c>
      <c r="R5" s="67" t="s">
        <v>107</v>
      </c>
      <c r="S5" s="69"/>
      <c r="T5" s="124" t="s">
        <v>125</v>
      </c>
      <c r="U5" s="69" t="s">
        <v>119</v>
      </c>
      <c r="V5" s="69" t="s">
        <v>107</v>
      </c>
      <c r="W5" s="67" t="s">
        <v>135</v>
      </c>
      <c r="X5" s="67"/>
      <c r="Y5" s="67">
        <v>222</v>
      </c>
      <c r="Z5" s="68"/>
      <c r="AA5" s="143" t="s">
        <v>113</v>
      </c>
      <c r="AB5" s="143" t="s">
        <v>114</v>
      </c>
      <c r="AC5" s="143" t="s">
        <v>136</v>
      </c>
      <c r="AD5" s="143" t="s">
        <v>137</v>
      </c>
      <c r="AE5" s="111">
        <f>IF(AA5*AC5&gt;0,(AA5-AC5)*12+(AB5-AD5),"")</f>
        <v>19</v>
      </c>
      <c r="AF5" s="111" t="str">
        <f>IF(AE5&lt;13,AE5,"")</f>
        <v/>
      </c>
      <c r="AG5" s="617"/>
      <c r="AH5" s="112"/>
      <c r="AI5" s="112"/>
      <c r="AJ5" s="112"/>
    </row>
    <row r="6" spans="1:36" s="19" customFormat="1" ht="35.1" customHeight="1" x14ac:dyDescent="0.2">
      <c r="A6" s="625"/>
      <c r="B6" s="68"/>
      <c r="C6" s="626"/>
      <c r="D6" s="626"/>
      <c r="E6" s="618"/>
      <c r="F6" s="618"/>
      <c r="G6" s="67" t="s">
        <v>7</v>
      </c>
      <c r="H6" s="67"/>
      <c r="I6" s="67"/>
      <c r="J6" s="67"/>
      <c r="K6" s="67"/>
      <c r="L6" s="67"/>
      <c r="M6" s="67"/>
      <c r="N6" s="68"/>
      <c r="O6" s="129"/>
      <c r="P6" s="129"/>
      <c r="Q6" s="69"/>
      <c r="R6" s="67"/>
      <c r="S6" s="69"/>
      <c r="T6" s="124"/>
      <c r="U6" s="69"/>
      <c r="V6" s="69"/>
      <c r="W6" s="67"/>
      <c r="X6" s="67"/>
      <c r="Y6" s="67"/>
      <c r="Z6" s="68"/>
      <c r="AA6" s="143"/>
      <c r="AB6" s="143"/>
      <c r="AC6" s="143"/>
      <c r="AD6" s="143"/>
      <c r="AE6" s="111"/>
      <c r="AF6" s="111"/>
      <c r="AG6" s="618"/>
      <c r="AH6" s="112"/>
      <c r="AI6" s="112"/>
      <c r="AJ6" s="112"/>
    </row>
    <row r="7" spans="1:36" s="19" customFormat="1" ht="35.1" customHeight="1" x14ac:dyDescent="0.2">
      <c r="A7" s="637">
        <v>2</v>
      </c>
      <c r="B7" s="16"/>
      <c r="C7" s="636" t="s">
        <v>321</v>
      </c>
      <c r="D7" s="636" t="s">
        <v>20</v>
      </c>
      <c r="E7" s="619" t="s">
        <v>94</v>
      </c>
      <c r="F7" s="619"/>
      <c r="G7" s="15" t="s">
        <v>7</v>
      </c>
      <c r="H7" s="15"/>
      <c r="I7" s="15"/>
      <c r="J7" s="15"/>
      <c r="K7" s="15"/>
      <c r="L7" s="15"/>
      <c r="M7" s="15"/>
      <c r="N7" s="16"/>
      <c r="O7" s="130"/>
      <c r="P7" s="130"/>
      <c r="Q7" s="6"/>
      <c r="R7" s="15"/>
      <c r="S7" s="6"/>
      <c r="T7" s="125"/>
      <c r="U7" s="6"/>
      <c r="V7" s="6"/>
      <c r="W7" s="15"/>
      <c r="X7" s="15"/>
      <c r="Y7" s="15"/>
      <c r="Z7" s="16"/>
      <c r="AA7" s="144"/>
      <c r="AB7" s="144"/>
      <c r="AC7" s="144"/>
      <c r="AD7" s="144"/>
      <c r="AE7" s="46"/>
      <c r="AF7" s="46"/>
      <c r="AG7" s="619"/>
      <c r="AH7" s="91"/>
      <c r="AI7" s="91"/>
      <c r="AJ7" s="91"/>
    </row>
    <row r="8" spans="1:36" s="19" customFormat="1" ht="35.1" customHeight="1" x14ac:dyDescent="0.2">
      <c r="A8" s="637"/>
      <c r="B8" s="16" t="s">
        <v>317</v>
      </c>
      <c r="C8" s="636"/>
      <c r="D8" s="636"/>
      <c r="E8" s="620"/>
      <c r="F8" s="620"/>
      <c r="G8" s="15" t="s">
        <v>83</v>
      </c>
      <c r="H8" s="15"/>
      <c r="I8" s="15"/>
      <c r="J8" s="15"/>
      <c r="K8" s="15"/>
      <c r="L8" s="15"/>
      <c r="M8" s="15"/>
      <c r="N8" s="16" t="s">
        <v>92</v>
      </c>
      <c r="O8" s="130"/>
      <c r="P8" s="130" t="s">
        <v>140</v>
      </c>
      <c r="Q8" s="6" t="s">
        <v>73</v>
      </c>
      <c r="R8" s="15" t="s">
        <v>107</v>
      </c>
      <c r="S8" s="6"/>
      <c r="T8" s="125" t="s">
        <v>338</v>
      </c>
      <c r="U8" s="6" t="s">
        <v>69</v>
      </c>
      <c r="V8" s="6" t="s">
        <v>70</v>
      </c>
      <c r="W8" s="15" t="s">
        <v>354</v>
      </c>
      <c r="X8" s="15"/>
      <c r="Y8" s="15">
        <v>168</v>
      </c>
      <c r="Z8" s="16"/>
      <c r="AA8" s="144" t="s">
        <v>113</v>
      </c>
      <c r="AB8" s="144" t="s">
        <v>296</v>
      </c>
      <c r="AC8" s="144" t="s">
        <v>115</v>
      </c>
      <c r="AD8" s="144" t="s">
        <v>137</v>
      </c>
      <c r="AE8" s="46">
        <f>IF(AA8*AC8&gt;0,(AA8-AC8)*12+(AB8-AD8),"")</f>
        <v>8</v>
      </c>
      <c r="AF8" s="46">
        <f>IF(AE8&lt;13,AE8,"")</f>
        <v>8</v>
      </c>
      <c r="AG8" s="620"/>
      <c r="AH8" s="91"/>
      <c r="AI8" s="91"/>
      <c r="AJ8" s="91"/>
    </row>
    <row r="9" spans="1:36" s="19" customFormat="1" ht="35.1" customHeight="1" x14ac:dyDescent="0.2">
      <c r="A9" s="637"/>
      <c r="B9" s="16"/>
      <c r="C9" s="636"/>
      <c r="D9" s="636"/>
      <c r="E9" s="621"/>
      <c r="F9" s="621"/>
      <c r="G9" s="15" t="s">
        <v>7</v>
      </c>
      <c r="H9" s="15"/>
      <c r="I9" s="15"/>
      <c r="J9" s="15"/>
      <c r="K9" s="15"/>
      <c r="L9" s="15"/>
      <c r="M9" s="15"/>
      <c r="N9" s="16"/>
      <c r="O9" s="130"/>
      <c r="P9" s="130"/>
      <c r="Q9" s="6"/>
      <c r="R9" s="15"/>
      <c r="S9" s="6"/>
      <c r="T9" s="125"/>
      <c r="U9" s="6"/>
      <c r="V9" s="6"/>
      <c r="W9" s="15"/>
      <c r="X9" s="15"/>
      <c r="Y9" s="15"/>
      <c r="Z9" s="16"/>
      <c r="AA9" s="144"/>
      <c r="AB9" s="144"/>
      <c r="AC9" s="144"/>
      <c r="AD9" s="144"/>
      <c r="AE9" s="46"/>
      <c r="AF9" s="46"/>
      <c r="AG9" s="621"/>
      <c r="AH9" s="91"/>
      <c r="AI9" s="91"/>
      <c r="AJ9" s="91"/>
    </row>
    <row r="10" spans="1:36" s="19" customFormat="1" ht="35.1" customHeight="1" x14ac:dyDescent="0.2">
      <c r="A10" s="639">
        <v>3</v>
      </c>
      <c r="B10" s="68"/>
      <c r="C10" s="633" t="s">
        <v>238</v>
      </c>
      <c r="D10" s="633" t="s">
        <v>6</v>
      </c>
      <c r="E10" s="616" t="s">
        <v>202</v>
      </c>
      <c r="F10" s="616"/>
      <c r="G10" s="67" t="s">
        <v>7</v>
      </c>
      <c r="H10" s="67"/>
      <c r="I10" s="67"/>
      <c r="J10" s="67"/>
      <c r="K10" s="67"/>
      <c r="L10" s="67"/>
      <c r="M10" s="67"/>
      <c r="N10" s="68"/>
      <c r="O10" s="129"/>
      <c r="P10" s="129"/>
      <c r="Q10" s="69"/>
      <c r="R10" s="67"/>
      <c r="S10" s="69"/>
      <c r="T10" s="124"/>
      <c r="U10" s="69"/>
      <c r="V10" s="69"/>
      <c r="W10" s="67"/>
      <c r="X10" s="67"/>
      <c r="Y10" s="67"/>
      <c r="Z10" s="68"/>
      <c r="AA10" s="143"/>
      <c r="AB10" s="143"/>
      <c r="AC10" s="143"/>
      <c r="AD10" s="143"/>
      <c r="AE10" s="111"/>
      <c r="AF10" s="111"/>
      <c r="AG10" s="651"/>
      <c r="AH10" s="112"/>
      <c r="AI10" s="112"/>
      <c r="AJ10" s="112"/>
    </row>
    <row r="11" spans="1:36" s="19" customFormat="1" ht="35.1" customHeight="1" x14ac:dyDescent="0.2">
      <c r="A11" s="640"/>
      <c r="B11" s="68" t="s">
        <v>237</v>
      </c>
      <c r="C11" s="634"/>
      <c r="D11" s="634"/>
      <c r="E11" s="617"/>
      <c r="F11" s="617"/>
      <c r="G11" s="67" t="s">
        <v>83</v>
      </c>
      <c r="H11" s="67"/>
      <c r="I11" s="67"/>
      <c r="J11" s="67"/>
      <c r="K11" s="67"/>
      <c r="L11" s="67"/>
      <c r="M11" s="67"/>
      <c r="N11" s="68" t="s">
        <v>84</v>
      </c>
      <c r="O11" s="129"/>
      <c r="P11" s="129" t="s">
        <v>104</v>
      </c>
      <c r="Q11" s="69" t="s">
        <v>106</v>
      </c>
      <c r="R11" s="67" t="s">
        <v>107</v>
      </c>
      <c r="S11" s="69"/>
      <c r="T11" s="124" t="s">
        <v>248</v>
      </c>
      <c r="U11" s="69" t="s">
        <v>73</v>
      </c>
      <c r="V11" s="69" t="s">
        <v>70</v>
      </c>
      <c r="W11" s="67" t="s">
        <v>250</v>
      </c>
      <c r="X11" s="67"/>
      <c r="Y11" s="67">
        <v>195</v>
      </c>
      <c r="Z11" s="68"/>
      <c r="AA11" s="143" t="s">
        <v>113</v>
      </c>
      <c r="AB11" s="143" t="s">
        <v>114</v>
      </c>
      <c r="AC11" s="143" t="s">
        <v>115</v>
      </c>
      <c r="AD11" s="143" t="s">
        <v>148</v>
      </c>
      <c r="AE11" s="111">
        <f>IF(AA11*AC11&gt;0,(AA11-AC11)*12+(AB11-AD11),"")</f>
        <v>5</v>
      </c>
      <c r="AF11" s="111">
        <f>IF(AE11&lt;13,AE11,"")</f>
        <v>5</v>
      </c>
      <c r="AG11" s="652"/>
      <c r="AH11" s="112"/>
      <c r="AI11" s="112"/>
      <c r="AJ11" s="112"/>
    </row>
    <row r="12" spans="1:36" s="19" customFormat="1" ht="35.1" customHeight="1" x14ac:dyDescent="0.2">
      <c r="A12" s="641"/>
      <c r="B12" s="68"/>
      <c r="C12" s="635"/>
      <c r="D12" s="635"/>
      <c r="E12" s="618"/>
      <c r="F12" s="618"/>
      <c r="G12" s="67" t="s">
        <v>7</v>
      </c>
      <c r="H12" s="67"/>
      <c r="I12" s="67"/>
      <c r="J12" s="67"/>
      <c r="K12" s="67"/>
      <c r="L12" s="67"/>
      <c r="M12" s="67"/>
      <c r="N12" s="68"/>
      <c r="O12" s="129"/>
      <c r="P12" s="129"/>
      <c r="Q12" s="69"/>
      <c r="R12" s="67"/>
      <c r="S12" s="69"/>
      <c r="T12" s="124"/>
      <c r="U12" s="69"/>
      <c r="V12" s="69"/>
      <c r="W12" s="67"/>
      <c r="X12" s="67"/>
      <c r="Y12" s="67"/>
      <c r="Z12" s="68"/>
      <c r="AA12" s="143"/>
      <c r="AB12" s="143"/>
      <c r="AC12" s="143"/>
      <c r="AD12" s="143"/>
      <c r="AE12" s="111"/>
      <c r="AF12" s="111"/>
      <c r="AG12" s="653"/>
      <c r="AH12" s="112"/>
      <c r="AI12" s="112"/>
      <c r="AJ12" s="112"/>
    </row>
    <row r="13" spans="1:36" s="19" customFormat="1" ht="35.1" customHeight="1" x14ac:dyDescent="0.2">
      <c r="A13" s="637">
        <v>4</v>
      </c>
      <c r="B13" s="16"/>
      <c r="C13" s="636" t="s">
        <v>739</v>
      </c>
      <c r="D13" s="636" t="s">
        <v>10</v>
      </c>
      <c r="E13" s="619" t="s">
        <v>605</v>
      </c>
      <c r="F13" s="619" t="s">
        <v>197</v>
      </c>
      <c r="G13" s="15" t="s">
        <v>7</v>
      </c>
      <c r="H13" s="15"/>
      <c r="I13" s="15"/>
      <c r="J13" s="15"/>
      <c r="K13" s="15"/>
      <c r="L13" s="15"/>
      <c r="M13" s="15"/>
      <c r="N13" s="16"/>
      <c r="O13" s="130"/>
      <c r="P13" s="130"/>
      <c r="Q13" s="6"/>
      <c r="R13" s="15"/>
      <c r="S13" s="6"/>
      <c r="T13" s="125"/>
      <c r="U13" s="6"/>
      <c r="V13" s="6"/>
      <c r="W13" s="15"/>
      <c r="X13" s="15"/>
      <c r="Y13" s="15"/>
      <c r="Z13" s="16"/>
      <c r="AA13" s="144"/>
      <c r="AB13" s="144"/>
      <c r="AC13" s="144"/>
      <c r="AD13" s="144"/>
      <c r="AE13" s="46"/>
      <c r="AF13" s="46"/>
      <c r="AG13" s="654" t="s">
        <v>3307</v>
      </c>
      <c r="AH13" s="91"/>
      <c r="AI13" s="91"/>
      <c r="AJ13" s="91"/>
    </row>
    <row r="14" spans="1:36" s="19" customFormat="1" ht="35.1" customHeight="1" x14ac:dyDescent="0.2">
      <c r="A14" s="637"/>
      <c r="B14" s="16" t="s">
        <v>3268</v>
      </c>
      <c r="C14" s="636"/>
      <c r="D14" s="636"/>
      <c r="E14" s="620"/>
      <c r="F14" s="620"/>
      <c r="G14" s="15" t="s">
        <v>83</v>
      </c>
      <c r="H14" s="15"/>
      <c r="I14" s="15"/>
      <c r="J14" s="15"/>
      <c r="K14" s="15"/>
      <c r="L14" s="15"/>
      <c r="M14" s="15"/>
      <c r="N14" s="16" t="s">
        <v>84</v>
      </c>
      <c r="O14" s="130"/>
      <c r="P14" s="130" t="s">
        <v>104</v>
      </c>
      <c r="Q14" s="6" t="s">
        <v>69</v>
      </c>
      <c r="R14" s="15" t="s">
        <v>70</v>
      </c>
      <c r="S14" s="6"/>
      <c r="T14" s="125" t="s">
        <v>1727</v>
      </c>
      <c r="U14" s="6" t="s">
        <v>106</v>
      </c>
      <c r="V14" s="6" t="s">
        <v>107</v>
      </c>
      <c r="W14" s="15" t="s">
        <v>2102</v>
      </c>
      <c r="X14" s="15">
        <v>200</v>
      </c>
      <c r="Y14" s="15">
        <v>186</v>
      </c>
      <c r="Z14" s="15"/>
      <c r="AA14" s="144" t="s">
        <v>113</v>
      </c>
      <c r="AB14" s="144" t="s">
        <v>296</v>
      </c>
      <c r="AC14" s="144" t="s">
        <v>115</v>
      </c>
      <c r="AD14" s="144" t="s">
        <v>260</v>
      </c>
      <c r="AE14" s="46">
        <f>IF(AA14*AC14&gt;0,(AA14-AC14)*12+(AB14-AD14),"")</f>
        <v>2</v>
      </c>
      <c r="AF14" s="46">
        <f>IF(AE14&lt;13,AE14,"")</f>
        <v>2</v>
      </c>
      <c r="AG14" s="655"/>
      <c r="AH14" s="90" t="s">
        <v>3315</v>
      </c>
      <c r="AI14" s="91"/>
      <c r="AJ14" s="91"/>
    </row>
    <row r="15" spans="1:36" s="19" customFormat="1" ht="35.1" customHeight="1" x14ac:dyDescent="0.2">
      <c r="A15" s="637"/>
      <c r="B15" s="16"/>
      <c r="C15" s="636"/>
      <c r="D15" s="636"/>
      <c r="E15" s="621"/>
      <c r="F15" s="621"/>
      <c r="G15" s="15" t="s">
        <v>7</v>
      </c>
      <c r="H15" s="15"/>
      <c r="I15" s="15"/>
      <c r="J15" s="15"/>
      <c r="K15" s="15"/>
      <c r="L15" s="15"/>
      <c r="M15" s="15"/>
      <c r="N15" s="16"/>
      <c r="O15" s="130"/>
      <c r="P15" s="130"/>
      <c r="Q15" s="6"/>
      <c r="R15" s="15"/>
      <c r="S15" s="6"/>
      <c r="T15" s="125"/>
      <c r="U15" s="6"/>
      <c r="V15" s="6"/>
      <c r="W15" s="15"/>
      <c r="X15" s="15"/>
      <c r="Y15" s="15"/>
      <c r="Z15" s="15"/>
      <c r="AA15" s="144"/>
      <c r="AB15" s="144"/>
      <c r="AC15" s="144"/>
      <c r="AD15" s="144"/>
      <c r="AE15" s="46"/>
      <c r="AF15" s="46"/>
      <c r="AG15" s="656"/>
      <c r="AH15" s="90"/>
      <c r="AI15" s="91"/>
      <c r="AJ15" s="91"/>
    </row>
    <row r="16" spans="1:36" s="19" customFormat="1" ht="35.1" customHeight="1" x14ac:dyDescent="0.2">
      <c r="A16" s="638">
        <v>5</v>
      </c>
      <c r="B16" s="68"/>
      <c r="C16" s="626" t="s">
        <v>180</v>
      </c>
      <c r="D16" s="626" t="s">
        <v>19</v>
      </c>
      <c r="E16" s="616" t="s">
        <v>186</v>
      </c>
      <c r="F16" s="616" t="s">
        <v>197</v>
      </c>
      <c r="G16" s="67" t="s">
        <v>7</v>
      </c>
      <c r="H16" s="67"/>
      <c r="I16" s="67"/>
      <c r="J16" s="67"/>
      <c r="K16" s="67"/>
      <c r="L16" s="67"/>
      <c r="M16" s="67"/>
      <c r="N16" s="68"/>
      <c r="O16" s="129"/>
      <c r="P16" s="129"/>
      <c r="Q16" s="69"/>
      <c r="R16" s="67"/>
      <c r="S16" s="69"/>
      <c r="T16" s="124"/>
      <c r="U16" s="69"/>
      <c r="V16" s="69"/>
      <c r="W16" s="67"/>
      <c r="X16" s="67"/>
      <c r="Y16" s="67"/>
      <c r="Z16" s="67"/>
      <c r="AA16" s="143"/>
      <c r="AB16" s="143"/>
      <c r="AC16" s="143"/>
      <c r="AD16" s="143"/>
      <c r="AE16" s="111"/>
      <c r="AF16" s="111"/>
      <c r="AG16" s="657" t="s">
        <v>219</v>
      </c>
      <c r="AH16" s="113"/>
      <c r="AI16" s="112"/>
      <c r="AJ16" s="112"/>
    </row>
    <row r="17" spans="1:36" s="19" customFormat="1" ht="35.1" customHeight="1" x14ac:dyDescent="0.2">
      <c r="A17" s="638"/>
      <c r="B17" s="68" t="s">
        <v>177</v>
      </c>
      <c r="C17" s="626"/>
      <c r="D17" s="626"/>
      <c r="E17" s="617"/>
      <c r="F17" s="617"/>
      <c r="G17" s="67" t="s">
        <v>83</v>
      </c>
      <c r="H17" s="67"/>
      <c r="I17" s="67"/>
      <c r="J17" s="67"/>
      <c r="K17" s="67"/>
      <c r="L17" s="67"/>
      <c r="M17" s="67"/>
      <c r="N17" s="68" t="s">
        <v>84</v>
      </c>
      <c r="O17" s="129"/>
      <c r="P17" s="129" t="s">
        <v>155</v>
      </c>
      <c r="Q17" s="69" t="s">
        <v>106</v>
      </c>
      <c r="R17" s="67" t="s">
        <v>107</v>
      </c>
      <c r="S17" s="69"/>
      <c r="T17" s="124" t="s">
        <v>156</v>
      </c>
      <c r="U17" s="69" t="s">
        <v>106</v>
      </c>
      <c r="V17" s="69" t="s">
        <v>107</v>
      </c>
      <c r="W17" s="67" t="s">
        <v>196</v>
      </c>
      <c r="X17" s="67"/>
      <c r="Y17" s="67"/>
      <c r="Z17" s="68">
        <v>216</v>
      </c>
      <c r="AA17" s="143" t="s">
        <v>113</v>
      </c>
      <c r="AB17" s="143" t="s">
        <v>114</v>
      </c>
      <c r="AC17" s="143" t="s">
        <v>115</v>
      </c>
      <c r="AD17" s="143" t="s">
        <v>116</v>
      </c>
      <c r="AE17" s="111">
        <f>IF(AA17*AC17&gt;0,(AA17-AC17)*12+(AB17-AD17),"")</f>
        <v>2</v>
      </c>
      <c r="AF17" s="111">
        <f>IF(AE17&lt;13,AE17,"")</f>
        <v>2</v>
      </c>
      <c r="AG17" s="658"/>
      <c r="AH17" s="112"/>
      <c r="AI17" s="112"/>
      <c r="AJ17" s="112"/>
    </row>
    <row r="18" spans="1:36" s="19" customFormat="1" ht="35.1" customHeight="1" x14ac:dyDescent="0.2">
      <c r="A18" s="638"/>
      <c r="B18" s="68"/>
      <c r="C18" s="626"/>
      <c r="D18" s="626"/>
      <c r="E18" s="618"/>
      <c r="F18" s="618"/>
      <c r="G18" s="67" t="s">
        <v>7</v>
      </c>
      <c r="H18" s="67"/>
      <c r="I18" s="67"/>
      <c r="J18" s="67"/>
      <c r="K18" s="67"/>
      <c r="L18" s="67"/>
      <c r="M18" s="67"/>
      <c r="N18" s="68"/>
      <c r="O18" s="129"/>
      <c r="P18" s="129"/>
      <c r="Q18" s="69"/>
      <c r="R18" s="67"/>
      <c r="S18" s="69"/>
      <c r="T18" s="124"/>
      <c r="U18" s="69"/>
      <c r="V18" s="69"/>
      <c r="W18" s="67"/>
      <c r="X18" s="67"/>
      <c r="Y18" s="67"/>
      <c r="Z18" s="68"/>
      <c r="AA18" s="143"/>
      <c r="AB18" s="143"/>
      <c r="AC18" s="143"/>
      <c r="AD18" s="143"/>
      <c r="AE18" s="111"/>
      <c r="AF18" s="111"/>
      <c r="AG18" s="659"/>
      <c r="AH18" s="112"/>
      <c r="AI18" s="112"/>
      <c r="AJ18" s="112"/>
    </row>
    <row r="19" spans="1:36" s="19" customFormat="1" ht="35.1" customHeight="1" x14ac:dyDescent="0.2">
      <c r="A19" s="627">
        <v>6</v>
      </c>
      <c r="B19" s="16"/>
      <c r="C19" s="630" t="s">
        <v>86</v>
      </c>
      <c r="D19" s="630" t="s">
        <v>8</v>
      </c>
      <c r="E19" s="619" t="s">
        <v>96</v>
      </c>
      <c r="F19" s="619" t="s">
        <v>99</v>
      </c>
      <c r="G19" s="15" t="s">
        <v>7</v>
      </c>
      <c r="H19" s="15"/>
      <c r="I19" s="15"/>
      <c r="J19" s="15"/>
      <c r="K19" s="15"/>
      <c r="L19" s="15"/>
      <c r="M19" s="15"/>
      <c r="N19" s="16"/>
      <c r="O19" s="130"/>
      <c r="P19" s="130"/>
      <c r="Q19" s="6"/>
      <c r="R19" s="15"/>
      <c r="S19" s="6"/>
      <c r="T19" s="125"/>
      <c r="U19" s="6"/>
      <c r="V19" s="6"/>
      <c r="W19" s="15"/>
      <c r="X19" s="15"/>
      <c r="Y19" s="15"/>
      <c r="Z19" s="16"/>
      <c r="AA19" s="144"/>
      <c r="AB19" s="144"/>
      <c r="AC19" s="144"/>
      <c r="AD19" s="144"/>
      <c r="AE19" s="46"/>
      <c r="AF19" s="46"/>
      <c r="AG19" s="622"/>
      <c r="AH19" s="91"/>
      <c r="AI19" s="91"/>
      <c r="AJ19" s="91"/>
    </row>
    <row r="20" spans="1:36" s="19" customFormat="1" ht="35.1" customHeight="1" x14ac:dyDescent="0.2">
      <c r="A20" s="628"/>
      <c r="B20" s="16" t="s">
        <v>75</v>
      </c>
      <c r="C20" s="631"/>
      <c r="D20" s="631"/>
      <c r="E20" s="620"/>
      <c r="F20" s="620"/>
      <c r="G20" s="15" t="s">
        <v>83</v>
      </c>
      <c r="H20" s="15"/>
      <c r="I20" s="15"/>
      <c r="J20" s="15"/>
      <c r="K20" s="15"/>
      <c r="L20" s="15"/>
      <c r="M20" s="15"/>
      <c r="N20" s="16" t="s">
        <v>93</v>
      </c>
      <c r="O20" s="130"/>
      <c r="P20" s="130" t="s">
        <v>104</v>
      </c>
      <c r="Q20" s="6" t="s">
        <v>106</v>
      </c>
      <c r="R20" s="15" t="s">
        <v>107</v>
      </c>
      <c r="S20" s="6"/>
      <c r="T20" s="125" t="s">
        <v>108</v>
      </c>
      <c r="U20" s="6" t="s">
        <v>106</v>
      </c>
      <c r="V20" s="6" t="s">
        <v>107</v>
      </c>
      <c r="W20" s="15" t="s">
        <v>110</v>
      </c>
      <c r="X20" s="15"/>
      <c r="Y20" s="15">
        <v>162</v>
      </c>
      <c r="Z20" s="16"/>
      <c r="AA20" s="144" t="s">
        <v>113</v>
      </c>
      <c r="AB20" s="144" t="s">
        <v>114</v>
      </c>
      <c r="AC20" s="144" t="s">
        <v>115</v>
      </c>
      <c r="AD20" s="144" t="s">
        <v>116</v>
      </c>
      <c r="AE20" s="46">
        <f>IF(AA20*AC20&gt;0,(AA20-AC20)*12+(AB20-AD20),"")</f>
        <v>2</v>
      </c>
      <c r="AF20" s="46">
        <f>IF(AE20&lt;13,AE20,"")</f>
        <v>2</v>
      </c>
      <c r="AG20" s="623"/>
      <c r="AH20" s="91"/>
      <c r="AI20" s="91"/>
      <c r="AJ20" s="91"/>
    </row>
    <row r="21" spans="1:36" s="19" customFormat="1" ht="35.1" customHeight="1" x14ac:dyDescent="0.2">
      <c r="A21" s="629"/>
      <c r="B21" s="16"/>
      <c r="C21" s="632"/>
      <c r="D21" s="632"/>
      <c r="E21" s="621"/>
      <c r="F21" s="621"/>
      <c r="G21" s="15" t="s">
        <v>7</v>
      </c>
      <c r="H21" s="15"/>
      <c r="I21" s="15"/>
      <c r="J21" s="15"/>
      <c r="K21" s="15"/>
      <c r="L21" s="15"/>
      <c r="M21" s="15"/>
      <c r="N21" s="16"/>
      <c r="O21" s="130"/>
      <c r="P21" s="130"/>
      <c r="Q21" s="6"/>
      <c r="R21" s="15"/>
      <c r="S21" s="6"/>
      <c r="T21" s="125"/>
      <c r="U21" s="6"/>
      <c r="V21" s="6"/>
      <c r="W21" s="15"/>
      <c r="X21" s="15"/>
      <c r="Y21" s="15"/>
      <c r="Z21" s="16"/>
      <c r="AA21" s="144"/>
      <c r="AB21" s="144"/>
      <c r="AC21" s="144"/>
      <c r="AD21" s="144"/>
      <c r="AE21" s="46"/>
      <c r="AF21" s="46"/>
      <c r="AG21" s="624"/>
      <c r="AH21" s="91"/>
      <c r="AI21" s="91"/>
      <c r="AJ21" s="91"/>
    </row>
    <row r="22" spans="1:36" s="19" customFormat="1" ht="35.1" customHeight="1" x14ac:dyDescent="0.2">
      <c r="A22" s="639">
        <v>7</v>
      </c>
      <c r="B22" s="68"/>
      <c r="C22" s="633" t="s">
        <v>21</v>
      </c>
      <c r="D22" s="633" t="s">
        <v>9</v>
      </c>
      <c r="E22" s="616" t="s">
        <v>174</v>
      </c>
      <c r="F22" s="616"/>
      <c r="G22" s="67" t="s">
        <v>7</v>
      </c>
      <c r="H22" s="67"/>
      <c r="I22" s="67"/>
      <c r="J22" s="67"/>
      <c r="K22" s="67"/>
      <c r="L22" s="67"/>
      <c r="M22" s="67"/>
      <c r="N22" s="68"/>
      <c r="O22" s="129"/>
      <c r="P22" s="129"/>
      <c r="Q22" s="69"/>
      <c r="R22" s="67"/>
      <c r="S22" s="69"/>
      <c r="T22" s="124"/>
      <c r="U22" s="69"/>
      <c r="V22" s="69"/>
      <c r="W22" s="67"/>
      <c r="X22" s="67"/>
      <c r="Y22" s="67"/>
      <c r="Z22" s="68"/>
      <c r="AA22" s="143"/>
      <c r="AB22" s="143"/>
      <c r="AC22" s="143"/>
      <c r="AD22" s="143"/>
      <c r="AE22" s="111"/>
      <c r="AF22" s="111"/>
      <c r="AG22" s="651"/>
      <c r="AH22" s="112"/>
      <c r="AI22" s="112"/>
      <c r="AJ22" s="112"/>
    </row>
    <row r="23" spans="1:36" s="19" customFormat="1" ht="35.1" customHeight="1" x14ac:dyDescent="0.2">
      <c r="A23" s="640"/>
      <c r="B23" s="68" t="s">
        <v>177</v>
      </c>
      <c r="C23" s="634"/>
      <c r="D23" s="634"/>
      <c r="E23" s="617"/>
      <c r="F23" s="617"/>
      <c r="G23" s="67" t="s">
        <v>83</v>
      </c>
      <c r="H23" s="67"/>
      <c r="I23" s="67"/>
      <c r="J23" s="67"/>
      <c r="K23" s="67"/>
      <c r="L23" s="67"/>
      <c r="M23" s="67"/>
      <c r="N23" s="68" t="s">
        <v>84</v>
      </c>
      <c r="O23" s="129"/>
      <c r="P23" s="129" t="s">
        <v>117</v>
      </c>
      <c r="Q23" s="69" t="s">
        <v>106</v>
      </c>
      <c r="R23" s="67" t="s">
        <v>107</v>
      </c>
      <c r="S23" s="69"/>
      <c r="T23" s="124" t="s">
        <v>199</v>
      </c>
      <c r="U23" s="69" t="s">
        <v>73</v>
      </c>
      <c r="V23" s="69" t="s">
        <v>70</v>
      </c>
      <c r="W23" s="67" t="s">
        <v>201</v>
      </c>
      <c r="X23" s="67"/>
      <c r="Y23" s="67"/>
      <c r="Z23" s="68">
        <v>168</v>
      </c>
      <c r="AA23" s="143" t="s">
        <v>113</v>
      </c>
      <c r="AB23" s="143" t="s">
        <v>114</v>
      </c>
      <c r="AC23" s="143" t="s">
        <v>115</v>
      </c>
      <c r="AD23" s="143" t="s">
        <v>148</v>
      </c>
      <c r="AE23" s="111">
        <f>IF(AA23*AC23&gt;0,(AA23-AC23)*12+(AB23-AD23),"")</f>
        <v>5</v>
      </c>
      <c r="AF23" s="111">
        <f>IF(AE23&lt;13,AE23,"")</f>
        <v>5</v>
      </c>
      <c r="AG23" s="652"/>
      <c r="AH23" s="112"/>
      <c r="AI23" s="112"/>
      <c r="AJ23" s="112"/>
    </row>
    <row r="24" spans="1:36" s="19" customFormat="1" ht="35.1" customHeight="1" x14ac:dyDescent="0.2">
      <c r="A24" s="641"/>
      <c r="B24" s="68"/>
      <c r="C24" s="635"/>
      <c r="D24" s="635"/>
      <c r="E24" s="618"/>
      <c r="F24" s="618"/>
      <c r="G24" s="67" t="s">
        <v>7</v>
      </c>
      <c r="H24" s="67"/>
      <c r="I24" s="67"/>
      <c r="J24" s="67"/>
      <c r="K24" s="67"/>
      <c r="L24" s="67"/>
      <c r="M24" s="67"/>
      <c r="N24" s="68"/>
      <c r="O24" s="129"/>
      <c r="P24" s="129"/>
      <c r="Q24" s="69"/>
      <c r="R24" s="67"/>
      <c r="S24" s="69"/>
      <c r="T24" s="124"/>
      <c r="U24" s="69"/>
      <c r="V24" s="69"/>
      <c r="W24" s="67"/>
      <c r="X24" s="67"/>
      <c r="Y24" s="67"/>
      <c r="Z24" s="68"/>
      <c r="AA24" s="143"/>
      <c r="AB24" s="143"/>
      <c r="AC24" s="143"/>
      <c r="AD24" s="143"/>
      <c r="AE24" s="111"/>
      <c r="AF24" s="111"/>
      <c r="AG24" s="653"/>
      <c r="AH24" s="112"/>
      <c r="AI24" s="112"/>
      <c r="AJ24" s="112"/>
    </row>
    <row r="25" spans="1:36" s="19" customFormat="1" ht="35.1" customHeight="1" x14ac:dyDescent="0.2">
      <c r="A25" s="627">
        <v>8</v>
      </c>
      <c r="B25" s="16"/>
      <c r="C25" s="630" t="s">
        <v>286</v>
      </c>
      <c r="D25" s="630" t="s">
        <v>9</v>
      </c>
      <c r="E25" s="619"/>
      <c r="F25" s="619"/>
      <c r="G25" s="15" t="s">
        <v>7</v>
      </c>
      <c r="H25" s="15"/>
      <c r="I25" s="15"/>
      <c r="J25" s="15"/>
      <c r="K25" s="15"/>
      <c r="L25" s="15"/>
      <c r="M25" s="15"/>
      <c r="N25" s="16"/>
      <c r="O25" s="130"/>
      <c r="P25" s="130"/>
      <c r="Q25" s="6"/>
      <c r="R25" s="15"/>
      <c r="S25" s="6"/>
      <c r="T25" s="125"/>
      <c r="U25" s="6"/>
      <c r="V25" s="6"/>
      <c r="W25" s="15"/>
      <c r="X25" s="15"/>
      <c r="Y25" s="15"/>
      <c r="Z25" s="16"/>
      <c r="AA25" s="144"/>
      <c r="AB25" s="144"/>
      <c r="AC25" s="144"/>
      <c r="AD25" s="144"/>
      <c r="AE25" s="46"/>
      <c r="AF25" s="46"/>
      <c r="AG25" s="663" t="s">
        <v>313</v>
      </c>
      <c r="AH25" s="91"/>
      <c r="AI25" s="91"/>
      <c r="AJ25" s="91"/>
    </row>
    <row r="26" spans="1:36" s="19" customFormat="1" ht="35.1" customHeight="1" x14ac:dyDescent="0.2">
      <c r="A26" s="628"/>
      <c r="B26" s="16" t="s">
        <v>284</v>
      </c>
      <c r="C26" s="631"/>
      <c r="D26" s="631"/>
      <c r="E26" s="620"/>
      <c r="F26" s="620"/>
      <c r="G26" s="15" t="s">
        <v>83</v>
      </c>
      <c r="H26" s="15"/>
      <c r="I26" s="15"/>
      <c r="J26" s="15"/>
      <c r="K26" s="15"/>
      <c r="L26" s="15"/>
      <c r="M26" s="15"/>
      <c r="N26" s="16" t="s">
        <v>92</v>
      </c>
      <c r="O26" s="130"/>
      <c r="P26" s="130" t="s">
        <v>223</v>
      </c>
      <c r="Q26" s="6" t="s">
        <v>106</v>
      </c>
      <c r="R26" s="15" t="s">
        <v>107</v>
      </c>
      <c r="S26" s="6"/>
      <c r="T26" s="125" t="s">
        <v>298</v>
      </c>
      <c r="U26" s="6" t="s">
        <v>69</v>
      </c>
      <c r="V26" s="6" t="s">
        <v>70</v>
      </c>
      <c r="W26" s="15" t="s">
        <v>300</v>
      </c>
      <c r="X26" s="15"/>
      <c r="Y26" s="15">
        <v>192</v>
      </c>
      <c r="Z26" s="16"/>
      <c r="AA26" s="144" t="s">
        <v>113</v>
      </c>
      <c r="AB26" s="144" t="s">
        <v>114</v>
      </c>
      <c r="AC26" s="144" t="s">
        <v>115</v>
      </c>
      <c r="AD26" s="144" t="s">
        <v>266</v>
      </c>
      <c r="AE26" s="46">
        <f>IF(AA26*AC26&gt;0,(AA26-AC26)*12+(AB26-AD26),"")</f>
        <v>4</v>
      </c>
      <c r="AF26" s="46">
        <f>IF(AE26&lt;13,AE26,"")</f>
        <v>4</v>
      </c>
      <c r="AG26" s="664"/>
      <c r="AH26" s="91"/>
      <c r="AI26" s="91"/>
      <c r="AJ26" s="91"/>
    </row>
    <row r="27" spans="1:36" s="19" customFormat="1" ht="35.1" customHeight="1" x14ac:dyDescent="0.2">
      <c r="A27" s="629"/>
      <c r="B27" s="16"/>
      <c r="C27" s="632"/>
      <c r="D27" s="632"/>
      <c r="E27" s="621"/>
      <c r="F27" s="621"/>
      <c r="G27" s="15" t="s">
        <v>7</v>
      </c>
      <c r="H27" s="15"/>
      <c r="I27" s="15"/>
      <c r="J27" s="15"/>
      <c r="K27" s="15"/>
      <c r="L27" s="15"/>
      <c r="M27" s="15"/>
      <c r="N27" s="16"/>
      <c r="O27" s="130"/>
      <c r="P27" s="130"/>
      <c r="Q27" s="6"/>
      <c r="R27" s="15"/>
      <c r="S27" s="6"/>
      <c r="T27" s="125"/>
      <c r="U27" s="6"/>
      <c r="V27" s="6"/>
      <c r="W27" s="15"/>
      <c r="X27" s="15"/>
      <c r="Y27" s="15"/>
      <c r="Z27" s="16"/>
      <c r="AA27" s="144"/>
      <c r="AB27" s="144"/>
      <c r="AC27" s="144"/>
      <c r="AD27" s="144"/>
      <c r="AE27" s="46"/>
      <c r="AF27" s="46"/>
      <c r="AG27" s="665"/>
      <c r="AH27" s="91"/>
      <c r="AI27" s="91"/>
      <c r="AJ27" s="91"/>
    </row>
    <row r="28" spans="1:36" s="19" customFormat="1" ht="35.1" customHeight="1" x14ac:dyDescent="0.2">
      <c r="A28" s="639">
        <v>9</v>
      </c>
      <c r="B28" s="68"/>
      <c r="C28" s="633" t="s">
        <v>290</v>
      </c>
      <c r="D28" s="633" t="s">
        <v>20</v>
      </c>
      <c r="E28" s="616"/>
      <c r="F28" s="616"/>
      <c r="G28" s="67" t="s">
        <v>7</v>
      </c>
      <c r="H28" s="67"/>
      <c r="I28" s="67"/>
      <c r="J28" s="67"/>
      <c r="K28" s="67"/>
      <c r="L28" s="67"/>
      <c r="M28" s="67"/>
      <c r="N28" s="68"/>
      <c r="O28" s="129"/>
      <c r="P28" s="129"/>
      <c r="Q28" s="69"/>
      <c r="R28" s="67"/>
      <c r="S28" s="69"/>
      <c r="T28" s="124"/>
      <c r="U28" s="69"/>
      <c r="V28" s="69"/>
      <c r="W28" s="67"/>
      <c r="X28" s="67"/>
      <c r="Y28" s="67"/>
      <c r="Z28" s="68"/>
      <c r="AA28" s="143"/>
      <c r="AB28" s="143"/>
      <c r="AC28" s="143"/>
      <c r="AD28" s="143"/>
      <c r="AE28" s="111"/>
      <c r="AF28" s="111"/>
      <c r="AG28" s="660" t="s">
        <v>312</v>
      </c>
      <c r="AH28" s="112"/>
      <c r="AI28" s="112"/>
      <c r="AJ28" s="112"/>
    </row>
    <row r="29" spans="1:36" s="19" customFormat="1" ht="35.1" customHeight="1" x14ac:dyDescent="0.2">
      <c r="A29" s="640"/>
      <c r="B29" s="68" t="s">
        <v>289</v>
      </c>
      <c r="C29" s="634"/>
      <c r="D29" s="634"/>
      <c r="E29" s="617"/>
      <c r="F29" s="617"/>
      <c r="G29" s="67" t="s">
        <v>83</v>
      </c>
      <c r="H29" s="67"/>
      <c r="I29" s="67"/>
      <c r="J29" s="67"/>
      <c r="K29" s="67"/>
      <c r="L29" s="67"/>
      <c r="M29" s="67"/>
      <c r="N29" s="68" t="s">
        <v>84</v>
      </c>
      <c r="O29" s="129"/>
      <c r="P29" s="129" t="s">
        <v>68</v>
      </c>
      <c r="Q29" s="69" t="s">
        <v>106</v>
      </c>
      <c r="R29" s="67" t="s">
        <v>107</v>
      </c>
      <c r="S29" s="69"/>
      <c r="T29" s="124" t="s">
        <v>120</v>
      </c>
      <c r="U29" s="69" t="s">
        <v>106</v>
      </c>
      <c r="V29" s="69" t="s">
        <v>107</v>
      </c>
      <c r="W29" s="67" t="s">
        <v>303</v>
      </c>
      <c r="X29" s="67"/>
      <c r="Y29" s="67">
        <v>210</v>
      </c>
      <c r="Z29" s="68"/>
      <c r="AA29" s="143" t="s">
        <v>113</v>
      </c>
      <c r="AB29" s="143" t="s">
        <v>296</v>
      </c>
      <c r="AC29" s="143" t="s">
        <v>115</v>
      </c>
      <c r="AD29" s="143" t="s">
        <v>260</v>
      </c>
      <c r="AE29" s="111">
        <f>IF(AA29*AC29&gt;0,(AA29-AC29)*12+(AB29-AD29),"")</f>
        <v>2</v>
      </c>
      <c r="AF29" s="111">
        <f>IF(AE29&lt;13,AE29,"")</f>
        <v>2</v>
      </c>
      <c r="AG29" s="661"/>
      <c r="AH29" s="112"/>
      <c r="AI29" s="112"/>
      <c r="AJ29" s="112"/>
    </row>
    <row r="30" spans="1:36" s="19" customFormat="1" ht="35.1" customHeight="1" x14ac:dyDescent="0.2">
      <c r="A30" s="641"/>
      <c r="B30" s="68"/>
      <c r="C30" s="635"/>
      <c r="D30" s="635"/>
      <c r="E30" s="618"/>
      <c r="F30" s="618"/>
      <c r="G30" s="67" t="s">
        <v>7</v>
      </c>
      <c r="H30" s="67"/>
      <c r="I30" s="67"/>
      <c r="J30" s="67"/>
      <c r="K30" s="67"/>
      <c r="L30" s="67"/>
      <c r="M30" s="67"/>
      <c r="N30" s="68"/>
      <c r="O30" s="129"/>
      <c r="P30" s="129"/>
      <c r="Q30" s="69"/>
      <c r="R30" s="67"/>
      <c r="S30" s="69"/>
      <c r="T30" s="124"/>
      <c r="U30" s="69"/>
      <c r="V30" s="69"/>
      <c r="W30" s="67"/>
      <c r="X30" s="67"/>
      <c r="Y30" s="67"/>
      <c r="Z30" s="68"/>
      <c r="AA30" s="143"/>
      <c r="AB30" s="143"/>
      <c r="AC30" s="143"/>
      <c r="AD30" s="143"/>
      <c r="AE30" s="111"/>
      <c r="AF30" s="111"/>
      <c r="AG30" s="662"/>
      <c r="AH30" s="112"/>
      <c r="AI30" s="112"/>
      <c r="AJ30" s="112"/>
    </row>
    <row r="31" spans="1:36" s="19" customFormat="1" ht="35.1" customHeight="1" x14ac:dyDescent="0.2">
      <c r="A31" s="627">
        <v>10</v>
      </c>
      <c r="B31" s="16"/>
      <c r="C31" s="630" t="s">
        <v>1739</v>
      </c>
      <c r="D31" s="630" t="s">
        <v>20</v>
      </c>
      <c r="E31" s="619"/>
      <c r="F31" s="619" t="s">
        <v>197</v>
      </c>
      <c r="G31" s="15" t="s">
        <v>7</v>
      </c>
      <c r="H31" s="15"/>
      <c r="I31" s="15"/>
      <c r="J31" s="15"/>
      <c r="K31" s="15"/>
      <c r="L31" s="15"/>
      <c r="M31" s="15"/>
      <c r="N31" s="16"/>
      <c r="O31" s="130"/>
      <c r="P31" s="130"/>
      <c r="Q31" s="6"/>
      <c r="R31" s="15"/>
      <c r="S31" s="6"/>
      <c r="T31" s="125"/>
      <c r="U31" s="6"/>
      <c r="V31" s="6"/>
      <c r="W31" s="15"/>
      <c r="X31" s="15"/>
      <c r="Y31" s="15"/>
      <c r="Z31" s="16"/>
      <c r="AA31" s="144"/>
      <c r="AB31" s="144"/>
      <c r="AC31" s="144"/>
      <c r="AD31" s="144"/>
      <c r="AE31" s="46"/>
      <c r="AF31" s="46"/>
      <c r="AG31" s="654"/>
      <c r="AH31" s="91"/>
      <c r="AI31" s="91"/>
      <c r="AJ31" s="91"/>
    </row>
    <row r="32" spans="1:36" s="19" customFormat="1" ht="35.1" customHeight="1" x14ac:dyDescent="0.2">
      <c r="A32" s="628"/>
      <c r="B32" s="16" t="s">
        <v>405</v>
      </c>
      <c r="C32" s="631"/>
      <c r="D32" s="631"/>
      <c r="E32" s="620"/>
      <c r="F32" s="620"/>
      <c r="G32" s="15" t="s">
        <v>83</v>
      </c>
      <c r="H32" s="15"/>
      <c r="I32" s="15"/>
      <c r="J32" s="15"/>
      <c r="K32" s="15"/>
      <c r="L32" s="15"/>
      <c r="M32" s="15"/>
      <c r="N32" s="16" t="s">
        <v>84</v>
      </c>
      <c r="O32" s="130"/>
      <c r="P32" s="130" t="s">
        <v>68</v>
      </c>
      <c r="Q32" s="6" t="s">
        <v>262</v>
      </c>
      <c r="R32" s="15" t="s">
        <v>70</v>
      </c>
      <c r="S32" s="6"/>
      <c r="T32" s="125" t="s">
        <v>332</v>
      </c>
      <c r="U32" s="6" t="s">
        <v>106</v>
      </c>
      <c r="V32" s="6" t="s">
        <v>107</v>
      </c>
      <c r="W32" s="15" t="s">
        <v>3278</v>
      </c>
      <c r="X32" s="15"/>
      <c r="Y32" s="15">
        <v>192</v>
      </c>
      <c r="Z32" s="16"/>
      <c r="AA32" s="144" t="s">
        <v>113</v>
      </c>
      <c r="AB32" s="144" t="s">
        <v>296</v>
      </c>
      <c r="AC32" s="144" t="s">
        <v>115</v>
      </c>
      <c r="AD32" s="144" t="s">
        <v>441</v>
      </c>
      <c r="AE32" s="46">
        <f>IF(AA32*AC32&gt;0,(AA32-AC32)*12+(AB32-AD32),"")</f>
        <v>4</v>
      </c>
      <c r="AF32" s="46">
        <f>IF(AE32&lt;13,AE32,"")</f>
        <v>4</v>
      </c>
      <c r="AG32" s="655"/>
      <c r="AH32" s="91"/>
      <c r="AI32" s="91"/>
      <c r="AJ32" s="91"/>
    </row>
    <row r="33" spans="1:36" s="19" customFormat="1" ht="35.1" customHeight="1" x14ac:dyDescent="0.2">
      <c r="A33" s="629"/>
      <c r="B33" s="16"/>
      <c r="C33" s="632"/>
      <c r="D33" s="632"/>
      <c r="E33" s="621"/>
      <c r="F33" s="621"/>
      <c r="G33" s="15" t="s">
        <v>7</v>
      </c>
      <c r="H33" s="15"/>
      <c r="I33" s="15"/>
      <c r="J33" s="15"/>
      <c r="K33" s="15"/>
      <c r="L33" s="15"/>
      <c r="M33" s="15"/>
      <c r="N33" s="16"/>
      <c r="O33" s="130"/>
      <c r="P33" s="130"/>
      <c r="Q33" s="6"/>
      <c r="R33" s="15"/>
      <c r="S33" s="6"/>
      <c r="T33" s="125"/>
      <c r="U33" s="6"/>
      <c r="V33" s="6"/>
      <c r="W33" s="15"/>
      <c r="X33" s="15"/>
      <c r="Y33" s="15"/>
      <c r="Z33" s="16"/>
      <c r="AA33" s="144"/>
      <c r="AB33" s="144"/>
      <c r="AC33" s="144"/>
      <c r="AD33" s="144"/>
      <c r="AE33" s="46"/>
      <c r="AF33" s="46"/>
      <c r="AG33" s="656"/>
      <c r="AH33" s="91"/>
      <c r="AI33" s="91"/>
      <c r="AJ33" s="91"/>
    </row>
    <row r="34" spans="1:36" s="19" customFormat="1" ht="35.1" customHeight="1" x14ac:dyDescent="0.2">
      <c r="A34" s="639">
        <v>11</v>
      </c>
      <c r="B34" s="68"/>
      <c r="C34" s="633" t="s">
        <v>3309</v>
      </c>
      <c r="D34" s="633" t="s">
        <v>8</v>
      </c>
      <c r="E34" s="616" t="s">
        <v>186</v>
      </c>
      <c r="F34" s="616" t="s">
        <v>3311</v>
      </c>
      <c r="G34" s="67" t="s">
        <v>7</v>
      </c>
      <c r="H34" s="67"/>
      <c r="I34" s="67"/>
      <c r="J34" s="67"/>
      <c r="K34" s="67"/>
      <c r="L34" s="67"/>
      <c r="M34" s="67"/>
      <c r="N34" s="68"/>
      <c r="O34" s="129"/>
      <c r="P34" s="129"/>
      <c r="Q34" s="69"/>
      <c r="R34" s="67"/>
      <c r="S34" s="69"/>
      <c r="T34" s="124"/>
      <c r="U34" s="69"/>
      <c r="V34" s="69"/>
      <c r="W34" s="67"/>
      <c r="X34" s="67"/>
      <c r="Y34" s="67"/>
      <c r="Z34" s="68"/>
      <c r="AA34" s="143"/>
      <c r="AB34" s="143"/>
      <c r="AC34" s="143"/>
      <c r="AD34" s="143"/>
      <c r="AE34" s="111"/>
      <c r="AF34" s="111"/>
      <c r="AG34" s="660" t="s">
        <v>3329</v>
      </c>
      <c r="AH34" s="112"/>
      <c r="AI34" s="112"/>
      <c r="AJ34" s="112"/>
    </row>
    <row r="35" spans="1:36" s="19" customFormat="1" ht="35.1" customHeight="1" x14ac:dyDescent="0.2">
      <c r="A35" s="640"/>
      <c r="B35" s="68" t="s">
        <v>3308</v>
      </c>
      <c r="C35" s="634"/>
      <c r="D35" s="634"/>
      <c r="E35" s="617"/>
      <c r="F35" s="617"/>
      <c r="G35" s="67" t="s">
        <v>83</v>
      </c>
      <c r="H35" s="67"/>
      <c r="I35" s="67"/>
      <c r="J35" s="67"/>
      <c r="K35" s="67"/>
      <c r="L35" s="67"/>
      <c r="M35" s="67"/>
      <c r="N35" s="68" t="s">
        <v>84</v>
      </c>
      <c r="O35" s="129"/>
      <c r="P35" s="129" t="s">
        <v>68</v>
      </c>
      <c r="Q35" s="69" t="s">
        <v>106</v>
      </c>
      <c r="R35" s="67" t="s">
        <v>107</v>
      </c>
      <c r="S35" s="69"/>
      <c r="T35" s="124" t="s">
        <v>332</v>
      </c>
      <c r="U35" s="69" t="s">
        <v>69</v>
      </c>
      <c r="V35" s="69" t="s">
        <v>70</v>
      </c>
      <c r="W35" s="67" t="s">
        <v>3310</v>
      </c>
      <c r="X35" s="67"/>
      <c r="Y35" s="67">
        <v>156</v>
      </c>
      <c r="Z35" s="68"/>
      <c r="AA35" s="143" t="s">
        <v>113</v>
      </c>
      <c r="AB35" s="143" t="s">
        <v>496</v>
      </c>
      <c r="AC35" s="143" t="s">
        <v>115</v>
      </c>
      <c r="AD35" s="143" t="s">
        <v>555</v>
      </c>
      <c r="AE35" s="111">
        <f>IF(AA35*AC35&gt;0,(AA35-AC35)*12+(AB35-AD35),"")</f>
        <v>7</v>
      </c>
      <c r="AF35" s="111">
        <f>IF(AE35&lt;13,AE35,"")</f>
        <v>7</v>
      </c>
      <c r="AG35" s="661"/>
      <c r="AH35" s="113" t="s">
        <v>3319</v>
      </c>
      <c r="AI35" s="113" t="s">
        <v>3318</v>
      </c>
      <c r="AJ35" s="112"/>
    </row>
    <row r="36" spans="1:36" s="19" customFormat="1" ht="35.1" customHeight="1" x14ac:dyDescent="0.2">
      <c r="A36" s="641"/>
      <c r="B36" s="68"/>
      <c r="C36" s="635"/>
      <c r="D36" s="635"/>
      <c r="E36" s="618"/>
      <c r="F36" s="618"/>
      <c r="G36" s="67" t="s">
        <v>7</v>
      </c>
      <c r="H36" s="67"/>
      <c r="I36" s="67"/>
      <c r="J36" s="67"/>
      <c r="K36" s="67"/>
      <c r="L36" s="67"/>
      <c r="M36" s="67"/>
      <c r="N36" s="68"/>
      <c r="O36" s="129"/>
      <c r="P36" s="129"/>
      <c r="Q36" s="69"/>
      <c r="R36" s="67"/>
      <c r="S36" s="69"/>
      <c r="T36" s="124"/>
      <c r="U36" s="69"/>
      <c r="V36" s="69"/>
      <c r="W36" s="67"/>
      <c r="X36" s="67"/>
      <c r="Y36" s="67"/>
      <c r="Z36" s="68"/>
      <c r="AA36" s="143"/>
      <c r="AB36" s="143"/>
      <c r="AC36" s="143"/>
      <c r="AD36" s="143"/>
      <c r="AE36" s="111"/>
      <c r="AF36" s="111"/>
      <c r="AG36" s="662"/>
      <c r="AH36" s="113"/>
      <c r="AI36" s="113"/>
      <c r="AJ36" s="112"/>
    </row>
    <row r="37" spans="1:36" s="19" customFormat="1" ht="35.1" customHeight="1" x14ac:dyDescent="0.2">
      <c r="A37" s="627">
        <v>12</v>
      </c>
      <c r="B37" s="16"/>
      <c r="C37" s="642" t="s">
        <v>439</v>
      </c>
      <c r="D37" s="630" t="s">
        <v>10</v>
      </c>
      <c r="E37" s="619" t="s">
        <v>186</v>
      </c>
      <c r="F37" s="619"/>
      <c r="G37" s="15" t="s">
        <v>7</v>
      </c>
      <c r="H37" s="15"/>
      <c r="I37" s="15"/>
      <c r="J37" s="15"/>
      <c r="K37" s="15"/>
      <c r="L37" s="15"/>
      <c r="M37" s="15"/>
      <c r="N37" s="16"/>
      <c r="O37" s="130"/>
      <c r="P37" s="130"/>
      <c r="Q37" s="6"/>
      <c r="R37" s="15"/>
      <c r="S37" s="6"/>
      <c r="T37" s="125"/>
      <c r="U37" s="6"/>
      <c r="V37" s="6"/>
      <c r="W37" s="15"/>
      <c r="X37" s="15"/>
      <c r="Y37" s="15"/>
      <c r="Z37" s="16"/>
      <c r="AA37" s="144"/>
      <c r="AB37" s="144"/>
      <c r="AC37" s="144"/>
      <c r="AD37" s="144"/>
      <c r="AE37" s="46"/>
      <c r="AF37" s="46"/>
      <c r="AG37" s="654" t="s">
        <v>3332</v>
      </c>
      <c r="AH37" s="90"/>
      <c r="AI37" s="90"/>
      <c r="AJ37" s="91"/>
    </row>
    <row r="38" spans="1:36" s="19" customFormat="1" ht="35.1" customHeight="1" x14ac:dyDescent="0.2">
      <c r="A38" s="628"/>
      <c r="B38" s="16" t="s">
        <v>3320</v>
      </c>
      <c r="C38" s="643"/>
      <c r="D38" s="631"/>
      <c r="E38" s="620"/>
      <c r="F38" s="620"/>
      <c r="G38" s="15" t="s">
        <v>83</v>
      </c>
      <c r="H38" s="15"/>
      <c r="I38" s="15"/>
      <c r="J38" s="15"/>
      <c r="K38" s="15"/>
      <c r="L38" s="15"/>
      <c r="M38" s="15"/>
      <c r="N38" s="16" t="s">
        <v>92</v>
      </c>
      <c r="O38" s="130"/>
      <c r="P38" s="130" t="s">
        <v>68</v>
      </c>
      <c r="Q38" s="6" t="s">
        <v>106</v>
      </c>
      <c r="R38" s="15" t="s">
        <v>107</v>
      </c>
      <c r="S38" s="6"/>
      <c r="T38" s="125" t="s">
        <v>204</v>
      </c>
      <c r="U38" s="6" t="s">
        <v>106</v>
      </c>
      <c r="V38" s="6" t="s">
        <v>107</v>
      </c>
      <c r="W38" s="15" t="s">
        <v>3322</v>
      </c>
      <c r="X38" s="15"/>
      <c r="Y38" s="15">
        <v>199</v>
      </c>
      <c r="Z38" s="16"/>
      <c r="AA38" s="144" t="s">
        <v>113</v>
      </c>
      <c r="AB38" s="144" t="s">
        <v>525</v>
      </c>
      <c r="AC38" s="144" t="s">
        <v>115</v>
      </c>
      <c r="AD38" s="144" t="s">
        <v>435</v>
      </c>
      <c r="AE38" s="46">
        <f>IF(AA38*AC38&gt;0,(AA38-AC38)*12+(AB38-AD38),"")</f>
        <v>14</v>
      </c>
      <c r="AF38" s="46" t="str">
        <f>IF(AE38&lt;13,AE38,"")</f>
        <v/>
      </c>
      <c r="AG38" s="655"/>
      <c r="AH38" s="90" t="s">
        <v>3319</v>
      </c>
      <c r="AI38" s="15"/>
      <c r="AJ38" s="15"/>
    </row>
    <row r="39" spans="1:36" s="19" customFormat="1" ht="35.1" customHeight="1" x14ac:dyDescent="0.2">
      <c r="A39" s="629"/>
      <c r="B39" s="16"/>
      <c r="C39" s="644"/>
      <c r="D39" s="632"/>
      <c r="E39" s="621"/>
      <c r="F39" s="621"/>
      <c r="G39" s="15" t="s">
        <v>7</v>
      </c>
      <c r="H39" s="15"/>
      <c r="I39" s="15"/>
      <c r="J39" s="15"/>
      <c r="K39" s="15"/>
      <c r="L39" s="15"/>
      <c r="M39" s="15"/>
      <c r="N39" s="16"/>
      <c r="O39" s="130"/>
      <c r="P39" s="130"/>
      <c r="Q39" s="6"/>
      <c r="R39" s="15"/>
      <c r="S39" s="6"/>
      <c r="T39" s="125"/>
      <c r="U39" s="6"/>
      <c r="V39" s="6"/>
      <c r="W39" s="15"/>
      <c r="X39" s="15"/>
      <c r="Y39" s="15"/>
      <c r="Z39" s="16"/>
      <c r="AA39" s="144"/>
      <c r="AB39" s="144"/>
      <c r="AC39" s="144"/>
      <c r="AD39" s="144"/>
      <c r="AE39" s="46"/>
      <c r="AF39" s="46"/>
      <c r="AG39" s="656"/>
      <c r="AH39" s="90"/>
      <c r="AI39" s="15"/>
      <c r="AJ39" s="15"/>
    </row>
    <row r="40" spans="1:36" s="19" customFormat="1" ht="35.1" customHeight="1" x14ac:dyDescent="0.2">
      <c r="A40" s="625">
        <v>13</v>
      </c>
      <c r="B40" s="68" t="s">
        <v>175</v>
      </c>
      <c r="C40" s="626" t="s">
        <v>179</v>
      </c>
      <c r="D40" s="626" t="s">
        <v>19</v>
      </c>
      <c r="E40" s="616" t="s">
        <v>94</v>
      </c>
      <c r="F40" s="648" t="s">
        <v>3375</v>
      </c>
      <c r="G40" s="67" t="s">
        <v>7</v>
      </c>
      <c r="H40" s="68" t="s">
        <v>84</v>
      </c>
      <c r="I40" s="69"/>
      <c r="J40" s="69" t="s">
        <v>104</v>
      </c>
      <c r="K40" s="69" t="s">
        <v>217</v>
      </c>
      <c r="L40" s="69" t="s">
        <v>106</v>
      </c>
      <c r="M40" s="67" t="s">
        <v>107</v>
      </c>
      <c r="N40" s="69" t="s">
        <v>84</v>
      </c>
      <c r="O40" s="129"/>
      <c r="P40" s="129" t="s">
        <v>104</v>
      </c>
      <c r="Q40" s="69" t="s">
        <v>106</v>
      </c>
      <c r="R40" s="69" t="s">
        <v>107</v>
      </c>
      <c r="S40" s="67"/>
      <c r="T40" s="124">
        <v>6609.14</v>
      </c>
      <c r="U40" s="68" t="s">
        <v>73</v>
      </c>
      <c r="V40" s="68" t="s">
        <v>70</v>
      </c>
      <c r="W40" s="68"/>
      <c r="X40" s="68">
        <v>20</v>
      </c>
      <c r="Y40" s="68">
        <v>175</v>
      </c>
      <c r="Z40" s="68">
        <v>18</v>
      </c>
      <c r="AA40" s="152"/>
      <c r="AB40" s="145"/>
      <c r="AC40" s="145"/>
      <c r="AD40" s="145"/>
      <c r="AE40" s="111" t="str">
        <f>IF(AA40*AC40&gt;0,(AA40-AC40)*12+(AB40-AD40),"")</f>
        <v/>
      </c>
      <c r="AF40" s="111" t="str">
        <f>IF(AE40&lt;13,AE40,"")</f>
        <v/>
      </c>
      <c r="AG40" s="614" t="s">
        <v>3374</v>
      </c>
      <c r="AH40" s="67"/>
      <c r="AI40" s="67"/>
      <c r="AJ40" s="67"/>
    </row>
    <row r="41" spans="1:36" ht="35.1" customHeight="1" x14ac:dyDescent="0.2">
      <c r="A41" s="625"/>
      <c r="B41" s="68" t="s">
        <v>3371</v>
      </c>
      <c r="C41" s="626"/>
      <c r="D41" s="626"/>
      <c r="E41" s="617"/>
      <c r="F41" s="649"/>
      <c r="G41" s="67" t="s">
        <v>83</v>
      </c>
      <c r="H41" s="68"/>
      <c r="I41" s="69"/>
      <c r="J41" s="69"/>
      <c r="K41" s="69"/>
      <c r="L41" s="69"/>
      <c r="M41" s="67"/>
      <c r="N41" s="69" t="s">
        <v>92</v>
      </c>
      <c r="O41" s="129"/>
      <c r="P41" s="129" t="s">
        <v>104</v>
      </c>
      <c r="Q41" s="69" t="s">
        <v>106</v>
      </c>
      <c r="R41" s="69" t="s">
        <v>107</v>
      </c>
      <c r="S41" s="114"/>
      <c r="T41" s="124">
        <v>6609.14</v>
      </c>
      <c r="U41" s="68" t="s">
        <v>73</v>
      </c>
      <c r="V41" s="68" t="s">
        <v>70</v>
      </c>
      <c r="W41" s="68"/>
      <c r="X41" s="114"/>
      <c r="Y41" s="114"/>
      <c r="Z41" s="114"/>
      <c r="AA41" s="143">
        <v>1402</v>
      </c>
      <c r="AB41" s="143">
        <v>3</v>
      </c>
      <c r="AC41" s="143">
        <v>1402</v>
      </c>
      <c r="AD41" s="143">
        <v>1</v>
      </c>
      <c r="AE41" s="111">
        <f>IF(AA41*AC41&gt;0,(AA41-AC41)*12+(AB41-AD41),"")</f>
        <v>2</v>
      </c>
      <c r="AF41" s="111">
        <f>IF(AE41&lt;13,AE41,"")</f>
        <v>2</v>
      </c>
      <c r="AG41" s="614"/>
      <c r="AH41" s="113" t="s">
        <v>3319</v>
      </c>
      <c r="AI41" s="113" t="s">
        <v>3390</v>
      </c>
      <c r="AJ41" s="67"/>
    </row>
    <row r="42" spans="1:36" ht="35.1" customHeight="1" x14ac:dyDescent="0.2">
      <c r="A42" s="625"/>
      <c r="B42" s="68" t="s">
        <v>3372</v>
      </c>
      <c r="C42" s="626"/>
      <c r="D42" s="626"/>
      <c r="E42" s="618"/>
      <c r="F42" s="650"/>
      <c r="G42" s="67" t="s">
        <v>7</v>
      </c>
      <c r="H42" s="68"/>
      <c r="I42" s="69"/>
      <c r="J42" s="69"/>
      <c r="K42" s="69"/>
      <c r="L42" s="69"/>
      <c r="M42" s="67"/>
      <c r="N42" s="69" t="s">
        <v>92</v>
      </c>
      <c r="O42" s="129"/>
      <c r="P42" s="129">
        <v>55</v>
      </c>
      <c r="Q42" s="69" t="s">
        <v>106</v>
      </c>
      <c r="R42" s="114" t="s">
        <v>107</v>
      </c>
      <c r="S42" s="114"/>
      <c r="T42" s="124">
        <v>6609.14</v>
      </c>
      <c r="U42" s="68" t="s">
        <v>3373</v>
      </c>
      <c r="V42" s="68" t="s">
        <v>107</v>
      </c>
      <c r="W42" s="114"/>
      <c r="X42" s="114"/>
      <c r="Y42" s="114"/>
      <c r="Z42" s="114"/>
      <c r="AA42" s="147"/>
      <c r="AB42" s="147"/>
      <c r="AC42" s="147"/>
      <c r="AD42" s="147"/>
      <c r="AE42" s="111" t="str">
        <f>IF(AA42*AC42&gt;0,(AA42-AC42)*12+(AB42-AD42),"")</f>
        <v/>
      </c>
      <c r="AF42" s="111" t="str">
        <f>IF(AE42&lt;13,AE42,"")</f>
        <v/>
      </c>
      <c r="AG42" s="614"/>
      <c r="AH42" s="113"/>
      <c r="AI42" s="67"/>
      <c r="AJ42" s="67"/>
    </row>
    <row r="43" spans="1:36" ht="35.1" customHeight="1" x14ac:dyDescent="0.2">
      <c r="A43" s="637">
        <v>14</v>
      </c>
      <c r="B43" s="101"/>
      <c r="C43" s="636" t="s">
        <v>3280</v>
      </c>
      <c r="D43" s="636" t="s">
        <v>6</v>
      </c>
      <c r="E43" s="619" t="s">
        <v>202</v>
      </c>
      <c r="F43" s="645"/>
      <c r="G43" s="17" t="s">
        <v>7</v>
      </c>
      <c r="H43" s="17"/>
      <c r="I43" s="17"/>
      <c r="J43" s="17"/>
      <c r="K43" s="17"/>
      <c r="L43" s="17"/>
      <c r="M43" s="17"/>
      <c r="N43" s="102"/>
      <c r="O43" s="131"/>
      <c r="P43" s="135"/>
      <c r="Q43" s="17"/>
      <c r="R43" s="17"/>
      <c r="S43" s="17"/>
      <c r="T43" s="126"/>
      <c r="U43" s="17"/>
      <c r="V43" s="17"/>
      <c r="W43" s="17"/>
      <c r="X43" s="17"/>
      <c r="Y43" s="17"/>
      <c r="Z43" s="17"/>
      <c r="AA43" s="148"/>
      <c r="AB43" s="148"/>
      <c r="AC43" s="148"/>
      <c r="AD43" s="148"/>
      <c r="AE43" s="103"/>
      <c r="AF43" s="103"/>
      <c r="AG43" s="627" t="s">
        <v>3389</v>
      </c>
      <c r="AH43" s="91"/>
      <c r="AI43" s="91"/>
      <c r="AJ43" s="91"/>
    </row>
    <row r="44" spans="1:36" s="19" customFormat="1" ht="35.1" customHeight="1" x14ac:dyDescent="0.2">
      <c r="A44" s="637"/>
      <c r="B44" s="16" t="s">
        <v>3388</v>
      </c>
      <c r="C44" s="636"/>
      <c r="D44" s="636"/>
      <c r="E44" s="620"/>
      <c r="F44" s="646"/>
      <c r="G44" s="15" t="s">
        <v>83</v>
      </c>
      <c r="H44" s="16" t="s">
        <v>93</v>
      </c>
      <c r="I44" s="6"/>
      <c r="J44" s="6" t="s">
        <v>155</v>
      </c>
      <c r="K44" s="6" t="s">
        <v>3295</v>
      </c>
      <c r="L44" s="6" t="s">
        <v>106</v>
      </c>
      <c r="M44" s="15" t="s">
        <v>107</v>
      </c>
      <c r="N44" s="6"/>
      <c r="O44" s="130"/>
      <c r="P44" s="130"/>
      <c r="Q44" s="6"/>
      <c r="R44" s="15">
        <v>0</v>
      </c>
      <c r="S44" s="15"/>
      <c r="T44" s="125">
        <v>345.9</v>
      </c>
      <c r="U44" s="6" t="s">
        <v>106</v>
      </c>
      <c r="V44" s="6" t="s">
        <v>107</v>
      </c>
      <c r="W44" s="16"/>
      <c r="X44" s="16"/>
      <c r="Y44" s="16"/>
      <c r="Z44" s="16"/>
      <c r="AA44" s="146"/>
      <c r="AB44" s="146"/>
      <c r="AC44" s="146"/>
      <c r="AD44" s="146"/>
      <c r="AE44" s="91"/>
      <c r="AF44" s="91"/>
      <c r="AG44" s="628"/>
      <c r="AH44" s="90" t="s">
        <v>3319</v>
      </c>
      <c r="AI44" s="90" t="s">
        <v>3318</v>
      </c>
      <c r="AJ44" s="91"/>
    </row>
    <row r="45" spans="1:36" ht="35.1" customHeight="1" x14ac:dyDescent="0.2">
      <c r="A45" s="637"/>
      <c r="B45" s="101"/>
      <c r="C45" s="636"/>
      <c r="D45" s="636"/>
      <c r="E45" s="621"/>
      <c r="F45" s="647"/>
      <c r="G45" s="17" t="s">
        <v>7</v>
      </c>
      <c r="H45" s="17"/>
      <c r="I45" s="17"/>
      <c r="J45" s="17"/>
      <c r="K45" s="17"/>
      <c r="L45" s="17"/>
      <c r="M45" s="17"/>
      <c r="N45" s="102"/>
      <c r="O45" s="131"/>
      <c r="P45" s="135"/>
      <c r="Q45" s="17"/>
      <c r="R45" s="17"/>
      <c r="S45" s="17"/>
      <c r="T45" s="126"/>
      <c r="U45" s="17"/>
      <c r="V45" s="17"/>
      <c r="W45" s="17"/>
      <c r="X45" s="17"/>
      <c r="Y45" s="17"/>
      <c r="Z45" s="17"/>
      <c r="AA45" s="148"/>
      <c r="AB45" s="148"/>
      <c r="AC45" s="148"/>
      <c r="AD45" s="148"/>
      <c r="AE45" s="103"/>
      <c r="AF45" s="103"/>
      <c r="AG45" s="629"/>
      <c r="AH45" s="91"/>
      <c r="AI45" s="91"/>
      <c r="AJ45" s="91"/>
    </row>
    <row r="46" spans="1:36" ht="35.1" customHeight="1" x14ac:dyDescent="0.2">
      <c r="A46" s="625">
        <v>15</v>
      </c>
      <c r="B46" s="116"/>
      <c r="C46" s="626" t="s">
        <v>1053</v>
      </c>
      <c r="D46" s="626" t="s">
        <v>6</v>
      </c>
      <c r="E46" s="616" t="s">
        <v>605</v>
      </c>
      <c r="F46" s="616" t="s">
        <v>197</v>
      </c>
      <c r="G46" s="114" t="s">
        <v>7</v>
      </c>
      <c r="H46" s="114"/>
      <c r="I46" s="114"/>
      <c r="J46" s="114"/>
      <c r="K46" s="114"/>
      <c r="L46" s="114"/>
      <c r="M46" s="114"/>
      <c r="N46" s="117"/>
      <c r="O46" s="132"/>
      <c r="P46" s="139"/>
      <c r="Q46" s="114"/>
      <c r="R46" s="114"/>
      <c r="S46" s="114"/>
      <c r="T46" s="137"/>
      <c r="U46" s="114"/>
      <c r="V46" s="114"/>
      <c r="W46" s="114"/>
      <c r="X46" s="114"/>
      <c r="Y46" s="114"/>
      <c r="Z46" s="114"/>
      <c r="AA46" s="147"/>
      <c r="AB46" s="147"/>
      <c r="AC46" s="147"/>
      <c r="AD46" s="147"/>
      <c r="AE46" s="115"/>
      <c r="AF46" s="115"/>
      <c r="AG46" s="651" t="s">
        <v>3410</v>
      </c>
      <c r="AH46" s="112"/>
      <c r="AI46" s="112"/>
      <c r="AJ46" s="112"/>
    </row>
    <row r="47" spans="1:36" s="19" customFormat="1" ht="35.1" customHeight="1" x14ac:dyDescent="0.2">
      <c r="A47" s="625"/>
      <c r="B47" s="68" t="s">
        <v>3399</v>
      </c>
      <c r="C47" s="626"/>
      <c r="D47" s="626"/>
      <c r="E47" s="617"/>
      <c r="F47" s="617"/>
      <c r="G47" s="67" t="s">
        <v>83</v>
      </c>
      <c r="H47" s="67"/>
      <c r="I47" s="67"/>
      <c r="J47" s="67"/>
      <c r="K47" s="67"/>
      <c r="L47" s="67"/>
      <c r="M47" s="67"/>
      <c r="N47" s="68" t="s">
        <v>93</v>
      </c>
      <c r="O47" s="129" t="s">
        <v>429</v>
      </c>
      <c r="P47" s="129" t="s">
        <v>68</v>
      </c>
      <c r="Q47" s="69" t="s">
        <v>106</v>
      </c>
      <c r="R47" s="67" t="s">
        <v>107</v>
      </c>
      <c r="S47" s="69" t="s">
        <v>429</v>
      </c>
      <c r="T47" s="124" t="s">
        <v>361</v>
      </c>
      <c r="U47" s="69" t="s">
        <v>106</v>
      </c>
      <c r="V47" s="69" t="s">
        <v>107</v>
      </c>
      <c r="W47" s="67" t="s">
        <v>3409</v>
      </c>
      <c r="X47" s="67"/>
      <c r="Y47" s="67">
        <v>192</v>
      </c>
      <c r="Z47" s="68"/>
      <c r="AA47" s="143" t="s">
        <v>113</v>
      </c>
      <c r="AB47" s="143" t="s">
        <v>235</v>
      </c>
      <c r="AC47" s="143" t="s">
        <v>115</v>
      </c>
      <c r="AD47" s="143" t="s">
        <v>148</v>
      </c>
      <c r="AE47" s="111">
        <f>IF(AA47*AC47&gt;0,(AA47-AC47)*12+(AB47-AD47),"")</f>
        <v>7</v>
      </c>
      <c r="AF47" s="111">
        <f>IF(AE47&lt;13,AE47,"")</f>
        <v>7</v>
      </c>
      <c r="AG47" s="652"/>
      <c r="AH47" s="112"/>
      <c r="AI47" s="112"/>
      <c r="AJ47" s="112"/>
    </row>
    <row r="48" spans="1:36" ht="35.1" customHeight="1" x14ac:dyDescent="0.2">
      <c r="A48" s="625"/>
      <c r="B48" s="116"/>
      <c r="C48" s="626"/>
      <c r="D48" s="626"/>
      <c r="E48" s="618"/>
      <c r="F48" s="618"/>
      <c r="G48" s="114" t="s">
        <v>7</v>
      </c>
      <c r="H48" s="114"/>
      <c r="I48" s="114"/>
      <c r="J48" s="114"/>
      <c r="K48" s="114"/>
      <c r="L48" s="114"/>
      <c r="M48" s="114"/>
      <c r="N48" s="117"/>
      <c r="O48" s="132"/>
      <c r="P48" s="139"/>
      <c r="Q48" s="114"/>
      <c r="R48" s="114"/>
      <c r="S48" s="114"/>
      <c r="T48" s="137"/>
      <c r="U48" s="114"/>
      <c r="V48" s="114"/>
      <c r="W48" s="114"/>
      <c r="X48" s="114"/>
      <c r="Y48" s="114"/>
      <c r="Z48" s="114"/>
      <c r="AA48" s="147"/>
      <c r="AB48" s="147"/>
      <c r="AC48" s="147"/>
      <c r="AD48" s="147"/>
      <c r="AE48" s="115"/>
      <c r="AF48" s="115"/>
      <c r="AG48" s="653"/>
      <c r="AH48" s="112"/>
      <c r="AI48" s="112"/>
      <c r="AJ48" s="112"/>
    </row>
    <row r="49" spans="1:36" ht="35.1" customHeight="1" x14ac:dyDescent="0.5">
      <c r="A49" s="637">
        <v>16</v>
      </c>
      <c r="B49" s="16"/>
      <c r="C49" s="636" t="s">
        <v>523</v>
      </c>
      <c r="D49" s="636" t="s">
        <v>10</v>
      </c>
      <c r="E49" s="619"/>
      <c r="F49" s="619" t="s">
        <v>3795</v>
      </c>
      <c r="G49" s="6" t="s">
        <v>7</v>
      </c>
      <c r="H49" s="6"/>
      <c r="I49" s="6"/>
      <c r="J49" s="6"/>
      <c r="K49" s="6"/>
      <c r="L49" s="6"/>
      <c r="M49" s="6"/>
      <c r="N49" s="104" t="s">
        <v>92</v>
      </c>
      <c r="O49" s="133"/>
      <c r="P49" s="130">
        <v>73</v>
      </c>
      <c r="Q49" s="6" t="s">
        <v>106</v>
      </c>
      <c r="R49" s="6" t="s">
        <v>107</v>
      </c>
      <c r="S49" s="6" t="s">
        <v>429</v>
      </c>
      <c r="T49" s="125" t="s">
        <v>156</v>
      </c>
      <c r="U49" s="6" t="s">
        <v>119</v>
      </c>
      <c r="V49" s="6" t="s">
        <v>107</v>
      </c>
      <c r="W49" s="6"/>
      <c r="X49" s="6"/>
      <c r="Y49" s="6" t="s">
        <v>419</v>
      </c>
      <c r="Z49" s="6" t="s">
        <v>419</v>
      </c>
      <c r="AA49" s="149"/>
      <c r="AB49" s="149"/>
      <c r="AC49" s="149"/>
      <c r="AD49" s="149"/>
      <c r="AE49" s="105"/>
      <c r="AF49" s="105"/>
      <c r="AG49" s="627"/>
      <c r="AH49" s="15"/>
      <c r="AI49" s="15"/>
      <c r="AJ49" s="15"/>
    </row>
    <row r="50" spans="1:36" ht="35.1" customHeight="1" x14ac:dyDescent="0.5">
      <c r="A50" s="637"/>
      <c r="B50" s="16" t="s">
        <v>316</v>
      </c>
      <c r="C50" s="636"/>
      <c r="D50" s="636"/>
      <c r="E50" s="620"/>
      <c r="F50" s="620"/>
      <c r="G50" s="6" t="s">
        <v>83</v>
      </c>
      <c r="H50" s="6"/>
      <c r="I50" s="6"/>
      <c r="J50" s="6"/>
      <c r="K50" s="6"/>
      <c r="L50" s="6"/>
      <c r="M50" s="6"/>
      <c r="N50" s="104" t="s">
        <v>84</v>
      </c>
      <c r="O50" s="130">
        <v>0</v>
      </c>
      <c r="P50" s="130">
        <v>73</v>
      </c>
      <c r="Q50" s="6" t="s">
        <v>106</v>
      </c>
      <c r="R50" s="6" t="s">
        <v>107</v>
      </c>
      <c r="S50" s="6" t="s">
        <v>429</v>
      </c>
      <c r="T50" s="125" t="s">
        <v>156</v>
      </c>
      <c r="U50" s="6" t="s">
        <v>119</v>
      </c>
      <c r="V50" s="6" t="s">
        <v>107</v>
      </c>
      <c r="W50" s="6" t="s">
        <v>3770</v>
      </c>
      <c r="X50" s="6"/>
      <c r="Y50" s="6" t="s">
        <v>419</v>
      </c>
      <c r="Z50" s="6" t="s">
        <v>419</v>
      </c>
      <c r="AA50" s="149">
        <v>1402</v>
      </c>
      <c r="AB50" s="149">
        <v>2</v>
      </c>
      <c r="AC50" s="149">
        <v>1401</v>
      </c>
      <c r="AD50" s="149">
        <v>2</v>
      </c>
      <c r="AE50" s="105">
        <f>IF(AA50*AC50&gt;0,(AA50-AC50)*12+(AB50-AD50),"")</f>
        <v>12</v>
      </c>
      <c r="AF50" s="105">
        <f>IF(AE50&lt;13,AE50,"")</f>
        <v>12</v>
      </c>
      <c r="AG50" s="628"/>
      <c r="AH50" s="15"/>
      <c r="AI50" s="15"/>
      <c r="AJ50" s="15"/>
    </row>
    <row r="51" spans="1:36" ht="35.1" customHeight="1" x14ac:dyDescent="0.5">
      <c r="A51" s="637"/>
      <c r="B51" s="16" t="s">
        <v>3806</v>
      </c>
      <c r="C51" s="636"/>
      <c r="D51" s="636"/>
      <c r="E51" s="621"/>
      <c r="F51" s="621"/>
      <c r="G51" s="6" t="s">
        <v>7</v>
      </c>
      <c r="H51" s="6"/>
      <c r="I51" s="6"/>
      <c r="J51" s="6"/>
      <c r="K51" s="6"/>
      <c r="L51" s="6"/>
      <c r="M51" s="6"/>
      <c r="N51" s="104" t="s">
        <v>84</v>
      </c>
      <c r="O51" s="130">
        <v>73</v>
      </c>
      <c r="P51" s="130">
        <v>73</v>
      </c>
      <c r="Q51" s="6" t="s">
        <v>106</v>
      </c>
      <c r="R51" s="6" t="s">
        <v>107</v>
      </c>
      <c r="S51" s="6" t="s">
        <v>156</v>
      </c>
      <c r="T51" s="125" t="s">
        <v>156</v>
      </c>
      <c r="U51" s="6" t="s">
        <v>106</v>
      </c>
      <c r="V51" s="6" t="s">
        <v>107</v>
      </c>
      <c r="W51" s="6"/>
      <c r="X51" s="6" t="s">
        <v>3925</v>
      </c>
      <c r="Y51" s="6" t="s">
        <v>419</v>
      </c>
      <c r="Z51" s="6" t="s">
        <v>419</v>
      </c>
      <c r="AA51" s="149"/>
      <c r="AB51" s="149"/>
      <c r="AC51" s="149"/>
      <c r="AD51" s="149"/>
      <c r="AE51" s="105"/>
      <c r="AF51" s="105"/>
      <c r="AG51" s="629"/>
      <c r="AH51" s="15"/>
      <c r="AI51" s="15"/>
      <c r="AJ51" s="15"/>
    </row>
    <row r="52" spans="1:36" ht="35.1" customHeight="1" x14ac:dyDescent="0.5">
      <c r="A52" s="625">
        <v>17</v>
      </c>
      <c r="B52" s="68" t="s">
        <v>3749</v>
      </c>
      <c r="C52" s="626" t="s">
        <v>3706</v>
      </c>
      <c r="D52" s="626" t="s">
        <v>9</v>
      </c>
      <c r="E52" s="616" t="s">
        <v>186</v>
      </c>
      <c r="F52" s="616" t="s">
        <v>3796</v>
      </c>
      <c r="G52" s="69" t="s">
        <v>7</v>
      </c>
      <c r="H52" s="69"/>
      <c r="I52" s="69"/>
      <c r="J52" s="69"/>
      <c r="K52" s="69"/>
      <c r="L52" s="69"/>
      <c r="M52" s="69"/>
      <c r="N52" s="84" t="s">
        <v>3926</v>
      </c>
      <c r="O52" s="134">
        <v>0</v>
      </c>
      <c r="P52" s="129">
        <v>92</v>
      </c>
      <c r="Q52" s="69" t="s">
        <v>142</v>
      </c>
      <c r="R52" s="69" t="s">
        <v>70</v>
      </c>
      <c r="S52" s="69" t="s">
        <v>429</v>
      </c>
      <c r="T52" s="25" t="s">
        <v>899</v>
      </c>
      <c r="U52" s="69" t="s">
        <v>142</v>
      </c>
      <c r="V52" s="69" t="s">
        <v>70</v>
      </c>
      <c r="W52" s="69"/>
      <c r="X52" s="69"/>
      <c r="Y52" s="69"/>
      <c r="Z52" s="69" t="s">
        <v>1911</v>
      </c>
      <c r="AA52" s="150"/>
      <c r="AB52" s="150"/>
      <c r="AC52" s="150"/>
      <c r="AD52" s="150"/>
      <c r="AE52" s="118"/>
      <c r="AF52" s="118"/>
      <c r="AG52" s="639"/>
      <c r="AH52" s="67"/>
      <c r="AI52" s="67"/>
      <c r="AJ52" s="67"/>
    </row>
    <row r="53" spans="1:36" ht="35.1" customHeight="1" x14ac:dyDescent="0.2">
      <c r="A53" s="625"/>
      <c r="B53" s="68" t="s">
        <v>3704</v>
      </c>
      <c r="C53" s="626"/>
      <c r="D53" s="626"/>
      <c r="E53" s="617"/>
      <c r="F53" s="617"/>
      <c r="G53" s="69" t="s">
        <v>83</v>
      </c>
      <c r="H53" s="69"/>
      <c r="I53" s="69"/>
      <c r="J53" s="69"/>
      <c r="K53" s="69"/>
      <c r="L53" s="69"/>
      <c r="M53" s="69"/>
      <c r="N53" s="84" t="s">
        <v>93</v>
      </c>
      <c r="O53" s="128" t="s">
        <v>429</v>
      </c>
      <c r="P53" s="129">
        <v>92</v>
      </c>
      <c r="Q53" s="69" t="s">
        <v>142</v>
      </c>
      <c r="R53" s="69" t="s">
        <v>70</v>
      </c>
      <c r="S53" s="69" t="s">
        <v>429</v>
      </c>
      <c r="T53" s="124" t="s">
        <v>899</v>
      </c>
      <c r="U53" s="69" t="s">
        <v>142</v>
      </c>
      <c r="V53" s="69" t="s">
        <v>70</v>
      </c>
      <c r="W53" s="69" t="s">
        <v>3749</v>
      </c>
      <c r="X53" s="69"/>
      <c r="Y53" s="69"/>
      <c r="Z53" s="69" t="s">
        <v>1911</v>
      </c>
      <c r="AA53" s="150">
        <v>1402</v>
      </c>
      <c r="AB53" s="150">
        <v>7</v>
      </c>
      <c r="AC53" s="150">
        <v>1394</v>
      </c>
      <c r="AD53" s="150">
        <v>6</v>
      </c>
      <c r="AE53" s="111">
        <f>IF(AA53*AC53&gt;0,(AA53-AC53)*12+(AB53-AD53),"")</f>
        <v>97</v>
      </c>
      <c r="AF53" s="111" t="str">
        <f>IF(AE53&lt;13,AE53,"")</f>
        <v/>
      </c>
      <c r="AG53" s="640"/>
      <c r="AH53" s="67"/>
      <c r="AI53" s="67"/>
      <c r="AJ53" s="67"/>
    </row>
    <row r="54" spans="1:36" ht="35.1" customHeight="1" x14ac:dyDescent="0.5">
      <c r="A54" s="625"/>
      <c r="B54" s="68" t="s">
        <v>3712</v>
      </c>
      <c r="C54" s="626"/>
      <c r="D54" s="626"/>
      <c r="E54" s="618"/>
      <c r="F54" s="618"/>
      <c r="G54" s="69" t="s">
        <v>7</v>
      </c>
      <c r="H54" s="69"/>
      <c r="I54" s="69"/>
      <c r="J54" s="69"/>
      <c r="K54" s="69"/>
      <c r="L54" s="69"/>
      <c r="M54" s="69"/>
      <c r="N54" s="84" t="s">
        <v>93</v>
      </c>
      <c r="O54" s="128">
        <v>92</v>
      </c>
      <c r="P54" s="129">
        <v>73</v>
      </c>
      <c r="Q54" s="69" t="s">
        <v>262</v>
      </c>
      <c r="R54" s="69" t="s">
        <v>70</v>
      </c>
      <c r="S54" s="69" t="s">
        <v>899</v>
      </c>
      <c r="T54" s="124" t="s">
        <v>167</v>
      </c>
      <c r="U54" s="69" t="s">
        <v>106</v>
      </c>
      <c r="V54" s="69" t="s">
        <v>107</v>
      </c>
      <c r="W54" s="69" t="s">
        <v>429</v>
      </c>
      <c r="X54" s="69" t="s">
        <v>419</v>
      </c>
      <c r="Y54" s="69" t="s">
        <v>1911</v>
      </c>
      <c r="Z54" s="69" t="s">
        <v>1911</v>
      </c>
      <c r="AA54" s="150"/>
      <c r="AB54" s="150"/>
      <c r="AC54" s="150"/>
      <c r="AD54" s="150"/>
      <c r="AE54" s="118"/>
      <c r="AF54" s="118"/>
      <c r="AG54" s="641"/>
      <c r="AH54" s="67"/>
      <c r="AI54" s="67"/>
      <c r="AJ54" s="67"/>
    </row>
    <row r="55" spans="1:36" ht="35.1" customHeight="1" x14ac:dyDescent="0.5">
      <c r="A55" s="637">
        <v>18</v>
      </c>
      <c r="B55" s="16"/>
      <c r="C55" s="636" t="s">
        <v>2558</v>
      </c>
      <c r="D55" s="636" t="s">
        <v>20</v>
      </c>
      <c r="E55" s="619" t="s">
        <v>3798</v>
      </c>
      <c r="F55" s="619" t="s">
        <v>3797</v>
      </c>
      <c r="G55" s="6" t="s">
        <v>7</v>
      </c>
      <c r="H55" s="6"/>
      <c r="I55" s="6"/>
      <c r="J55" s="6"/>
      <c r="K55" s="6"/>
      <c r="L55" s="6"/>
      <c r="M55" s="6"/>
      <c r="N55" s="104"/>
      <c r="O55" s="133"/>
      <c r="P55" s="130"/>
      <c r="Q55" s="6"/>
      <c r="R55" s="6"/>
      <c r="S55" s="6"/>
      <c r="T55" s="125"/>
      <c r="U55" s="6"/>
      <c r="V55" s="6"/>
      <c r="W55" s="6"/>
      <c r="X55" s="6"/>
      <c r="Y55" s="6"/>
      <c r="Z55" s="6"/>
      <c r="AA55" s="149"/>
      <c r="AB55" s="149"/>
      <c r="AC55" s="149"/>
      <c r="AD55" s="149"/>
      <c r="AE55" s="105"/>
      <c r="AF55" s="105"/>
      <c r="AG55" s="627"/>
      <c r="AH55" s="15"/>
      <c r="AI55" s="15"/>
      <c r="AJ55" s="15"/>
    </row>
    <row r="56" spans="1:36" ht="35.1" customHeight="1" x14ac:dyDescent="0.5">
      <c r="A56" s="637"/>
      <c r="B56" s="16"/>
      <c r="C56" s="636"/>
      <c r="D56" s="636"/>
      <c r="E56" s="620"/>
      <c r="F56" s="620"/>
      <c r="G56" s="6" t="s">
        <v>83</v>
      </c>
      <c r="H56" s="6"/>
      <c r="I56" s="6"/>
      <c r="J56" s="6"/>
      <c r="K56" s="6"/>
      <c r="L56" s="6"/>
      <c r="M56" s="6"/>
      <c r="N56" s="104"/>
      <c r="O56" s="133"/>
      <c r="P56" s="130"/>
      <c r="Q56" s="6"/>
      <c r="R56" s="6"/>
      <c r="S56" s="6"/>
      <c r="T56" s="125"/>
      <c r="U56" s="6"/>
      <c r="V56" s="6"/>
      <c r="W56" s="6"/>
      <c r="X56" s="6"/>
      <c r="Y56" s="6"/>
      <c r="Z56" s="6"/>
      <c r="AA56" s="149"/>
      <c r="AB56" s="149"/>
      <c r="AC56" s="149"/>
      <c r="AD56" s="149"/>
      <c r="AE56" s="105" t="str">
        <f>IF(AA56*AC56&gt;0,(AA56-AC56)*12+(AB56-AD56),"")</f>
        <v/>
      </c>
      <c r="AF56" s="105" t="str">
        <f>IF(AE56&lt;13,AE56,"")</f>
        <v/>
      </c>
      <c r="AG56" s="628"/>
      <c r="AH56" s="15"/>
      <c r="AI56" s="15"/>
      <c r="AJ56" s="15"/>
    </row>
    <row r="57" spans="1:36" ht="35.1" customHeight="1" x14ac:dyDescent="0.5">
      <c r="A57" s="637"/>
      <c r="B57" s="16"/>
      <c r="C57" s="636"/>
      <c r="D57" s="636"/>
      <c r="E57" s="621"/>
      <c r="F57" s="621"/>
      <c r="G57" s="6" t="s">
        <v>7</v>
      </c>
      <c r="H57" s="6"/>
      <c r="I57" s="6"/>
      <c r="J57" s="6"/>
      <c r="K57" s="6"/>
      <c r="L57" s="6"/>
      <c r="M57" s="6"/>
      <c r="N57" s="104"/>
      <c r="O57" s="133"/>
      <c r="P57" s="130"/>
      <c r="Q57" s="6"/>
      <c r="R57" s="6"/>
      <c r="S57" s="6"/>
      <c r="T57" s="125"/>
      <c r="U57" s="6"/>
      <c r="V57" s="6"/>
      <c r="W57" s="6"/>
      <c r="X57" s="6"/>
      <c r="Y57" s="6"/>
      <c r="Z57" s="6"/>
      <c r="AA57" s="149"/>
      <c r="AB57" s="149"/>
      <c r="AC57" s="149"/>
      <c r="AD57" s="149"/>
      <c r="AE57" s="105"/>
      <c r="AF57" s="105"/>
      <c r="AG57" s="629"/>
      <c r="AH57" s="15"/>
      <c r="AI57" s="15"/>
      <c r="AJ57" s="15"/>
    </row>
    <row r="58" spans="1:36" ht="35.1" customHeight="1" x14ac:dyDescent="0.5">
      <c r="A58" s="637">
        <v>20</v>
      </c>
      <c r="B58" s="16" t="s">
        <v>3711</v>
      </c>
      <c r="C58" s="636" t="s">
        <v>1739</v>
      </c>
      <c r="D58" s="636" t="s">
        <v>9</v>
      </c>
      <c r="E58" s="636" t="s">
        <v>174</v>
      </c>
      <c r="F58" s="636" t="s">
        <v>3799</v>
      </c>
      <c r="G58" s="6" t="s">
        <v>7</v>
      </c>
      <c r="H58" s="6"/>
      <c r="I58" s="6"/>
      <c r="J58" s="6"/>
      <c r="K58" s="6"/>
      <c r="L58" s="6"/>
      <c r="M58" s="6"/>
      <c r="N58" s="104" t="s">
        <v>84</v>
      </c>
      <c r="O58" s="130">
        <v>18</v>
      </c>
      <c r="P58" s="130">
        <v>22</v>
      </c>
      <c r="Q58" s="6" t="s">
        <v>106</v>
      </c>
      <c r="R58" s="6" t="s">
        <v>107</v>
      </c>
      <c r="S58" s="6" t="s">
        <v>278</v>
      </c>
      <c r="T58" s="125" t="s">
        <v>425</v>
      </c>
      <c r="U58" s="6" t="s">
        <v>69</v>
      </c>
      <c r="V58" s="6" t="s">
        <v>70</v>
      </c>
      <c r="W58" s="6"/>
      <c r="X58" s="6" t="s">
        <v>3924</v>
      </c>
      <c r="Y58" s="6" t="s">
        <v>3306</v>
      </c>
      <c r="Z58" s="6" t="s">
        <v>3306</v>
      </c>
      <c r="AA58" s="149"/>
      <c r="AB58" s="149"/>
      <c r="AC58" s="149"/>
      <c r="AD58" s="149"/>
      <c r="AE58" s="105"/>
      <c r="AF58" s="105"/>
      <c r="AG58" s="627"/>
      <c r="AH58" s="15"/>
      <c r="AI58" s="15"/>
      <c r="AJ58" s="15"/>
    </row>
    <row r="59" spans="1:36" ht="35.1" customHeight="1" x14ac:dyDescent="0.5">
      <c r="A59" s="637"/>
      <c r="B59" s="16" t="s">
        <v>3782</v>
      </c>
      <c r="C59" s="636"/>
      <c r="D59" s="636"/>
      <c r="E59" s="636"/>
      <c r="F59" s="636"/>
      <c r="G59" s="6" t="s">
        <v>83</v>
      </c>
      <c r="H59" s="6"/>
      <c r="I59" s="6"/>
      <c r="J59" s="6"/>
      <c r="K59" s="6"/>
      <c r="L59" s="6"/>
      <c r="M59" s="6"/>
      <c r="N59" s="104" t="s">
        <v>92</v>
      </c>
      <c r="O59" s="133"/>
      <c r="P59" s="130">
        <v>22</v>
      </c>
      <c r="Q59" s="6" t="s">
        <v>106</v>
      </c>
      <c r="R59" s="6" t="s">
        <v>107</v>
      </c>
      <c r="S59" s="6" t="s">
        <v>429</v>
      </c>
      <c r="T59" s="125" t="s">
        <v>425</v>
      </c>
      <c r="U59" s="6" t="s">
        <v>69</v>
      </c>
      <c r="V59" s="6" t="s">
        <v>70</v>
      </c>
      <c r="W59" s="6"/>
      <c r="X59" s="6" t="s">
        <v>3924</v>
      </c>
      <c r="Y59" s="6" t="s">
        <v>3306</v>
      </c>
      <c r="Z59" s="6" t="s">
        <v>3306</v>
      </c>
      <c r="AA59" s="144">
        <v>1402</v>
      </c>
      <c r="AB59" s="144">
        <v>6</v>
      </c>
      <c r="AC59" s="144">
        <v>1402</v>
      </c>
      <c r="AD59" s="144">
        <v>6</v>
      </c>
      <c r="AE59" s="105"/>
      <c r="AF59" s="105"/>
      <c r="AG59" s="628"/>
      <c r="AH59" s="15"/>
      <c r="AI59" s="15"/>
      <c r="AJ59" s="15"/>
    </row>
    <row r="60" spans="1:36" ht="35.1" customHeight="1" x14ac:dyDescent="0.5">
      <c r="A60" s="637"/>
      <c r="B60" s="16" t="s">
        <v>3800</v>
      </c>
      <c r="C60" s="636"/>
      <c r="D60" s="636"/>
      <c r="E60" s="636"/>
      <c r="F60" s="636"/>
      <c r="G60" s="6" t="s">
        <v>7</v>
      </c>
      <c r="H60" s="6"/>
      <c r="I60" s="6"/>
      <c r="J60" s="6"/>
      <c r="K60" s="6"/>
      <c r="L60" s="6"/>
      <c r="M60" s="6"/>
      <c r="N60" s="104" t="s">
        <v>92</v>
      </c>
      <c r="O60" s="130">
        <v>22</v>
      </c>
      <c r="P60" s="130">
        <v>9</v>
      </c>
      <c r="Q60" s="6" t="s">
        <v>106</v>
      </c>
      <c r="R60" s="6" t="s">
        <v>107</v>
      </c>
      <c r="S60" s="6" t="s">
        <v>425</v>
      </c>
      <c r="T60" s="125" t="s">
        <v>1934</v>
      </c>
      <c r="U60" s="6" t="s">
        <v>69</v>
      </c>
      <c r="V60" s="6" t="s">
        <v>70</v>
      </c>
      <c r="W60" s="6"/>
      <c r="X60" s="6" t="s">
        <v>3924</v>
      </c>
      <c r="Y60" s="6" t="s">
        <v>3306</v>
      </c>
      <c r="Z60" s="6" t="s">
        <v>3306</v>
      </c>
      <c r="AA60" s="149"/>
      <c r="AB60" s="149"/>
      <c r="AC60" s="149"/>
      <c r="AD60" s="149"/>
      <c r="AE60" s="105"/>
      <c r="AF60" s="105"/>
      <c r="AG60" s="629"/>
      <c r="AH60" s="15"/>
      <c r="AI60" s="15"/>
      <c r="AJ60" s="15"/>
    </row>
    <row r="61" spans="1:36" ht="35.1" customHeight="1" x14ac:dyDescent="0.2">
      <c r="A61" s="625">
        <v>21</v>
      </c>
      <c r="B61" s="106"/>
      <c r="C61" s="626" t="s">
        <v>2242</v>
      </c>
      <c r="D61" s="626" t="s">
        <v>9</v>
      </c>
      <c r="E61" s="616" t="s">
        <v>94</v>
      </c>
      <c r="F61" s="616" t="s">
        <v>3922</v>
      </c>
      <c r="G61" s="106" t="s">
        <v>7</v>
      </c>
      <c r="H61" s="107"/>
      <c r="I61" s="107"/>
      <c r="J61" s="107"/>
      <c r="K61" s="107"/>
      <c r="L61" s="107"/>
      <c r="M61" s="107"/>
      <c r="N61" s="106" t="s">
        <v>92</v>
      </c>
      <c r="O61" s="128" t="s">
        <v>223</v>
      </c>
      <c r="P61" s="128" t="s">
        <v>223</v>
      </c>
      <c r="Q61" s="108" t="s">
        <v>69</v>
      </c>
      <c r="R61" s="122" t="s">
        <v>70</v>
      </c>
      <c r="S61" s="122" t="s">
        <v>965</v>
      </c>
      <c r="T61" s="124">
        <v>734.22222222222217</v>
      </c>
      <c r="U61" s="108" t="s">
        <v>73</v>
      </c>
      <c r="V61" s="122" t="s">
        <v>70</v>
      </c>
      <c r="W61" s="106"/>
      <c r="X61" s="107"/>
      <c r="Y61" s="107" t="s">
        <v>2016</v>
      </c>
      <c r="Z61" s="107" t="s">
        <v>2016</v>
      </c>
      <c r="AA61" s="142"/>
      <c r="AB61" s="142"/>
      <c r="AC61" s="142"/>
      <c r="AD61" s="142"/>
      <c r="AE61" s="109"/>
      <c r="AF61" s="109"/>
      <c r="AG61" s="616" t="s">
        <v>3921</v>
      </c>
      <c r="AH61" s="110"/>
      <c r="AI61" s="110"/>
      <c r="AJ61" s="110"/>
    </row>
    <row r="62" spans="1:36" s="19" customFormat="1" ht="35.1" customHeight="1" x14ac:dyDescent="0.2">
      <c r="A62" s="625"/>
      <c r="B62" s="68" t="s">
        <v>3895</v>
      </c>
      <c r="C62" s="626"/>
      <c r="D62" s="626"/>
      <c r="E62" s="617"/>
      <c r="F62" s="617"/>
      <c r="G62" s="121" t="s">
        <v>83</v>
      </c>
      <c r="H62" s="121" t="s">
        <v>83</v>
      </c>
      <c r="I62" s="121"/>
      <c r="J62" s="121"/>
      <c r="K62" s="121"/>
      <c r="L62" s="121"/>
      <c r="M62" s="121"/>
      <c r="N62" s="68" t="s">
        <v>93</v>
      </c>
      <c r="O62" s="129"/>
      <c r="P62" s="129" t="s">
        <v>429</v>
      </c>
      <c r="Q62" s="122" t="s">
        <v>369</v>
      </c>
      <c r="R62" s="121" t="s">
        <v>369</v>
      </c>
      <c r="S62" s="122"/>
      <c r="T62" s="124" t="s">
        <v>965</v>
      </c>
      <c r="U62" s="122" t="s">
        <v>73</v>
      </c>
      <c r="V62" s="122" t="s">
        <v>70</v>
      </c>
      <c r="W62" s="121" t="s">
        <v>3869</v>
      </c>
      <c r="X62" s="121"/>
      <c r="Y62" s="121">
        <v>128</v>
      </c>
      <c r="Z62" s="68">
        <v>128</v>
      </c>
      <c r="AA62" s="143" t="s">
        <v>113</v>
      </c>
      <c r="AB62" s="143" t="s">
        <v>344</v>
      </c>
      <c r="AC62" s="143" t="s">
        <v>113</v>
      </c>
      <c r="AD62" s="143" t="s">
        <v>344</v>
      </c>
      <c r="AE62" s="111">
        <f>IF(AA62*AC62&gt;0,(AA62-AC62)*12+(AB62-AD62),"")</f>
        <v>0</v>
      </c>
      <c r="AF62" s="111">
        <f>IF(AE62&lt;13,AE62,"")</f>
        <v>0</v>
      </c>
      <c r="AG62" s="617"/>
      <c r="AH62" s="112"/>
      <c r="AI62" s="112"/>
      <c r="AJ62" s="112"/>
    </row>
    <row r="63" spans="1:36" ht="35.1" customHeight="1" x14ac:dyDescent="0.2">
      <c r="A63" s="625"/>
      <c r="B63" s="68"/>
      <c r="C63" s="626"/>
      <c r="D63" s="626"/>
      <c r="E63" s="618"/>
      <c r="F63" s="618"/>
      <c r="G63" s="121" t="s">
        <v>7</v>
      </c>
      <c r="H63" s="121"/>
      <c r="I63" s="121"/>
      <c r="J63" s="121"/>
      <c r="K63" s="121"/>
      <c r="L63" s="121"/>
      <c r="M63" s="121"/>
      <c r="N63" s="68"/>
      <c r="O63" s="129" t="s">
        <v>223</v>
      </c>
      <c r="P63" s="129" t="s">
        <v>223</v>
      </c>
      <c r="Q63" s="122" t="s">
        <v>69</v>
      </c>
      <c r="R63" s="121" t="s">
        <v>70</v>
      </c>
      <c r="S63" s="122" t="s">
        <v>965</v>
      </c>
      <c r="T63" s="124" t="s">
        <v>2753</v>
      </c>
      <c r="U63" s="122" t="s">
        <v>69</v>
      </c>
      <c r="V63" s="122" t="s">
        <v>70</v>
      </c>
      <c r="W63" s="121"/>
      <c r="X63" s="121"/>
      <c r="Y63" s="121">
        <v>128</v>
      </c>
      <c r="Z63" s="68">
        <v>128</v>
      </c>
      <c r="AA63" s="143"/>
      <c r="AB63" s="143"/>
      <c r="AC63" s="143"/>
      <c r="AD63" s="143"/>
      <c r="AE63" s="111"/>
      <c r="AF63" s="111"/>
      <c r="AG63" s="618"/>
      <c r="AH63" s="112"/>
      <c r="AI63" s="112"/>
      <c r="AJ63" s="112"/>
    </row>
    <row r="64" spans="1:36" s="19" customFormat="1" ht="35.1" customHeight="1" x14ac:dyDescent="0.5">
      <c r="A64" s="637">
        <v>22</v>
      </c>
      <c r="B64" s="16" t="s">
        <v>3543</v>
      </c>
      <c r="C64" s="636" t="s">
        <v>1253</v>
      </c>
      <c r="D64" s="636" t="s">
        <v>3536</v>
      </c>
      <c r="E64" s="636" t="s">
        <v>8</v>
      </c>
      <c r="F64" s="636"/>
      <c r="G64" s="120" t="s">
        <v>7</v>
      </c>
      <c r="H64" s="120"/>
      <c r="I64" s="120"/>
      <c r="J64" s="120"/>
      <c r="K64" s="120"/>
      <c r="L64" s="120"/>
      <c r="M64" s="120"/>
      <c r="N64" s="104" t="s">
        <v>84</v>
      </c>
      <c r="O64" s="130">
        <v>62</v>
      </c>
      <c r="P64" s="130">
        <v>62</v>
      </c>
      <c r="Q64" s="120" t="s">
        <v>106</v>
      </c>
      <c r="R64" s="120" t="s">
        <v>107</v>
      </c>
      <c r="S64" s="120" t="s">
        <v>332</v>
      </c>
      <c r="T64" s="125" t="s">
        <v>332</v>
      </c>
      <c r="U64" s="120" t="s">
        <v>106</v>
      </c>
      <c r="V64" s="120" t="s">
        <v>107</v>
      </c>
      <c r="W64" s="120" t="s">
        <v>3923</v>
      </c>
      <c r="X64" s="120" t="s">
        <v>2674</v>
      </c>
      <c r="Y64" s="120" t="s">
        <v>2008</v>
      </c>
      <c r="Z64" s="120" t="s">
        <v>2008</v>
      </c>
      <c r="AA64" s="149"/>
      <c r="AB64" s="149"/>
      <c r="AC64" s="149"/>
      <c r="AD64" s="149"/>
      <c r="AE64" s="105"/>
      <c r="AF64" s="105"/>
      <c r="AG64" s="637"/>
      <c r="AH64" s="119"/>
      <c r="AI64" s="119"/>
      <c r="AJ64" s="119"/>
    </row>
    <row r="65" spans="1:36" s="19" customFormat="1" ht="35.1" customHeight="1" x14ac:dyDescent="0.2">
      <c r="A65" s="637"/>
      <c r="B65" s="16" t="s">
        <v>3914</v>
      </c>
      <c r="C65" s="636"/>
      <c r="D65" s="636"/>
      <c r="E65" s="636"/>
      <c r="F65" s="636"/>
      <c r="G65" s="120" t="s">
        <v>83</v>
      </c>
      <c r="H65" s="120" t="s">
        <v>83</v>
      </c>
      <c r="I65" s="120"/>
      <c r="J65" s="120"/>
      <c r="K65" s="120"/>
      <c r="L65" s="120"/>
      <c r="M65" s="120"/>
      <c r="N65" s="104" t="s">
        <v>84</v>
      </c>
      <c r="O65" s="135"/>
      <c r="P65" s="130" t="s">
        <v>429</v>
      </c>
      <c r="Q65" s="120" t="s">
        <v>106</v>
      </c>
      <c r="R65" s="120" t="s">
        <v>107</v>
      </c>
      <c r="S65" s="81"/>
      <c r="T65" s="125" t="s">
        <v>332</v>
      </c>
      <c r="U65" s="120" t="s">
        <v>119</v>
      </c>
      <c r="V65" s="120" t="s">
        <v>107</v>
      </c>
      <c r="W65" s="120" t="s">
        <v>3543</v>
      </c>
      <c r="X65" s="120" t="s">
        <v>2674</v>
      </c>
      <c r="Y65" s="123">
        <v>174</v>
      </c>
      <c r="Z65" s="123">
        <v>174</v>
      </c>
      <c r="AA65" s="144" t="s">
        <v>113</v>
      </c>
      <c r="AB65" s="144" t="s">
        <v>344</v>
      </c>
      <c r="AC65" s="144" t="s">
        <v>113</v>
      </c>
      <c r="AD65" s="144" t="s">
        <v>124</v>
      </c>
      <c r="AE65" s="46">
        <f>IF(AA65*AC65&gt;0,(AA65-AC65)*12+(AB65-AD65),"")</f>
        <v>3</v>
      </c>
      <c r="AF65" s="46">
        <f>IF(AE65&lt;13,AE65,"")</f>
        <v>3</v>
      </c>
      <c r="AG65" s="637"/>
      <c r="AH65" s="119"/>
      <c r="AI65" s="119"/>
      <c r="AJ65" s="119"/>
    </row>
    <row r="66" spans="1:36" s="19" customFormat="1" ht="35.1" customHeight="1" x14ac:dyDescent="0.5">
      <c r="A66" s="637"/>
      <c r="B66" s="16"/>
      <c r="C66" s="636"/>
      <c r="D66" s="636"/>
      <c r="E66" s="636"/>
      <c r="F66" s="636"/>
      <c r="G66" s="120"/>
      <c r="H66" s="120"/>
      <c r="I66" s="120"/>
      <c r="J66" s="120"/>
      <c r="K66" s="120"/>
      <c r="L66" s="120"/>
      <c r="M66" s="120"/>
      <c r="N66" s="104"/>
      <c r="O66" s="133"/>
      <c r="P66" s="130"/>
      <c r="Q66" s="120"/>
      <c r="R66" s="120"/>
      <c r="S66" s="120"/>
      <c r="T66" s="125"/>
      <c r="U66" s="120"/>
      <c r="V66" s="120"/>
      <c r="W66" s="120"/>
      <c r="X66" s="120"/>
      <c r="Y66" s="120"/>
      <c r="Z66" s="120"/>
      <c r="AA66" s="149"/>
      <c r="AB66" s="149"/>
      <c r="AC66" s="149"/>
      <c r="AD66" s="149"/>
      <c r="AE66" s="105"/>
      <c r="AF66" s="105"/>
      <c r="AG66" s="637"/>
      <c r="AH66" s="119"/>
      <c r="AI66" s="119"/>
      <c r="AJ66" s="119"/>
    </row>
    <row r="69" spans="1:36" ht="15" customHeight="1" x14ac:dyDescent="0.2"/>
  </sheetData>
  <mergeCells count="155">
    <mergeCell ref="A64:A66"/>
    <mergeCell ref="C64:C66"/>
    <mergeCell ref="D64:D66"/>
    <mergeCell ref="E64:E66"/>
    <mergeCell ref="F64:F66"/>
    <mergeCell ref="AG64:AG66"/>
    <mergeCell ref="A61:A63"/>
    <mergeCell ref="C61:C63"/>
    <mergeCell ref="D61:D63"/>
    <mergeCell ref="E61:E63"/>
    <mergeCell ref="F61:F63"/>
    <mergeCell ref="AG61:AG63"/>
    <mergeCell ref="AG43:AG45"/>
    <mergeCell ref="AG37:AG39"/>
    <mergeCell ref="AG16:AG18"/>
    <mergeCell ref="AG13:AG15"/>
    <mergeCell ref="AG10:AG12"/>
    <mergeCell ref="AG34:AG36"/>
    <mergeCell ref="AG31:AG33"/>
    <mergeCell ref="AG28:AG30"/>
    <mergeCell ref="AG25:AG27"/>
    <mergeCell ref="AG22:AG24"/>
    <mergeCell ref="AG58:AG60"/>
    <mergeCell ref="AG55:AG57"/>
    <mergeCell ref="AG52:AG54"/>
    <mergeCell ref="AG49:AG51"/>
    <mergeCell ref="AG46:AG48"/>
    <mergeCell ref="E16:E18"/>
    <mergeCell ref="F16:F18"/>
    <mergeCell ref="E34:E36"/>
    <mergeCell ref="F34:F36"/>
    <mergeCell ref="E31:E33"/>
    <mergeCell ref="E13:E15"/>
    <mergeCell ref="F13:F15"/>
    <mergeCell ref="E10:E12"/>
    <mergeCell ref="F10:F12"/>
    <mergeCell ref="E4:E6"/>
    <mergeCell ref="F4:F6"/>
    <mergeCell ref="E7:E9"/>
    <mergeCell ref="F7:F9"/>
    <mergeCell ref="F31:F33"/>
    <mergeCell ref="E22:E24"/>
    <mergeCell ref="F22:F24"/>
    <mergeCell ref="F25:F27"/>
    <mergeCell ref="E25:E27"/>
    <mergeCell ref="E46:E48"/>
    <mergeCell ref="F46:F48"/>
    <mergeCell ref="E43:E45"/>
    <mergeCell ref="F43:F45"/>
    <mergeCell ref="F40:F42"/>
    <mergeCell ref="E37:E39"/>
    <mergeCell ref="F37:F39"/>
    <mergeCell ref="A58:A60"/>
    <mergeCell ref="E58:E60"/>
    <mergeCell ref="C58:C60"/>
    <mergeCell ref="D58:D60"/>
    <mergeCell ref="F58:F60"/>
    <mergeCell ref="F55:F57"/>
    <mergeCell ref="E55:E57"/>
    <mergeCell ref="E52:E54"/>
    <mergeCell ref="E28:E30"/>
    <mergeCell ref="F28:F30"/>
    <mergeCell ref="E40:E42"/>
    <mergeCell ref="F49:F51"/>
    <mergeCell ref="E49:E51"/>
    <mergeCell ref="A49:A51"/>
    <mergeCell ref="A31:A33"/>
    <mergeCell ref="C31:C33"/>
    <mergeCell ref="D31:D33"/>
    <mergeCell ref="A34:A36"/>
    <mergeCell ref="F52:F54"/>
    <mergeCell ref="A46:A48"/>
    <mergeCell ref="C49:C51"/>
    <mergeCell ref="D49:D51"/>
    <mergeCell ref="D52:D54"/>
    <mergeCell ref="C52:C54"/>
    <mergeCell ref="D46:D48"/>
    <mergeCell ref="C46:C48"/>
    <mergeCell ref="C55:C57"/>
    <mergeCell ref="D55:D57"/>
    <mergeCell ref="A37:A39"/>
    <mergeCell ref="C37:C39"/>
    <mergeCell ref="D37:D39"/>
    <mergeCell ref="A52:A54"/>
    <mergeCell ref="A55:A57"/>
    <mergeCell ref="C43:C45"/>
    <mergeCell ref="D43:D45"/>
    <mergeCell ref="A43:A45"/>
    <mergeCell ref="C19:C21"/>
    <mergeCell ref="D19:D21"/>
    <mergeCell ref="D25:D27"/>
    <mergeCell ref="A28:A30"/>
    <mergeCell ref="C28:C30"/>
    <mergeCell ref="D28:D30"/>
    <mergeCell ref="A22:A24"/>
    <mergeCell ref="C22:C24"/>
    <mergeCell ref="D22:D24"/>
    <mergeCell ref="C1:C3"/>
    <mergeCell ref="D1:D3"/>
    <mergeCell ref="A7:A9"/>
    <mergeCell ref="C7:C9"/>
    <mergeCell ref="D7:D9"/>
    <mergeCell ref="A16:A18"/>
    <mergeCell ref="C16:C18"/>
    <mergeCell ref="D16:D18"/>
    <mergeCell ref="A10:A12"/>
    <mergeCell ref="A13:A15"/>
    <mergeCell ref="E1:E3"/>
    <mergeCell ref="W1:W3"/>
    <mergeCell ref="O2:R2"/>
    <mergeCell ref="S2:V2"/>
    <mergeCell ref="F1:F3"/>
    <mergeCell ref="G1:G3"/>
    <mergeCell ref="H1:H3"/>
    <mergeCell ref="I1:I3"/>
    <mergeCell ref="AG1:AG3"/>
    <mergeCell ref="AA1:AA3"/>
    <mergeCell ref="J1:J3"/>
    <mergeCell ref="C4:C6"/>
    <mergeCell ref="D4:D6"/>
    <mergeCell ref="A4:A6"/>
    <mergeCell ref="L1:L3"/>
    <mergeCell ref="M1:M3"/>
    <mergeCell ref="A1:A3"/>
    <mergeCell ref="B1:B3"/>
    <mergeCell ref="C13:C15"/>
    <mergeCell ref="D13:D15"/>
    <mergeCell ref="X1:X3"/>
    <mergeCell ref="Y1:Y3"/>
    <mergeCell ref="Z1:Z3"/>
    <mergeCell ref="N1:N3"/>
    <mergeCell ref="K1:K3"/>
    <mergeCell ref="C10:C12"/>
    <mergeCell ref="D10:D12"/>
    <mergeCell ref="O1:V1"/>
    <mergeCell ref="F19:F21"/>
    <mergeCell ref="E19:E21"/>
    <mergeCell ref="A40:A42"/>
    <mergeCell ref="C40:C42"/>
    <mergeCell ref="D40:D42"/>
    <mergeCell ref="A25:A27"/>
    <mergeCell ref="C25:C27"/>
    <mergeCell ref="C34:C36"/>
    <mergeCell ref="D34:D36"/>
    <mergeCell ref="A19:A21"/>
    <mergeCell ref="AG40:AG42"/>
    <mergeCell ref="AH1:AJ3"/>
    <mergeCell ref="AB1:AB3"/>
    <mergeCell ref="AC1:AC3"/>
    <mergeCell ref="AD1:AD3"/>
    <mergeCell ref="AE1:AE3"/>
    <mergeCell ref="AF1:AF3"/>
    <mergeCell ref="AG4:AG6"/>
    <mergeCell ref="AG7:AG9"/>
    <mergeCell ref="AG19:AG21"/>
  </mergeCells>
  <hyperlinks>
    <hyperlink ref="AH14" r:id="rId1" xr:uid="{EE65EF10-1FC7-4EB8-B157-58C1EE83DE29}"/>
    <hyperlink ref="AH35" r:id="rId2" xr:uid="{0EA0B73B-C545-4361-827C-4FDC5A623638}"/>
    <hyperlink ref="AI35" r:id="rId3" xr:uid="{80B753D3-8977-4BA5-A2BF-B357BB90D491}"/>
    <hyperlink ref="AH41" r:id="rId4" xr:uid="{56F71734-BC35-4F16-977A-C6C621FA4E72}"/>
    <hyperlink ref="AI41" r:id="rId5" xr:uid="{9D6D2BFF-F821-4943-8B1C-8C49BC29DEFD}"/>
    <hyperlink ref="AH44" r:id="rId6" xr:uid="{D49BB4AF-359D-4B7B-82D7-2AAED57A0E5F}"/>
    <hyperlink ref="AI44" r:id="rId7" xr:uid="{587D8B35-E060-4CA0-B480-AD4456534F9E}"/>
    <hyperlink ref="AH38" r:id="rId8" xr:uid="{351A7CDF-EDED-4C40-AD06-C30D14412E95}"/>
  </hyperlinks>
  <printOptions horizontalCentered="1"/>
  <pageMargins left="0" right="0" top="0" bottom="0" header="0.51181102362204722" footer="0.51181102362204722"/>
  <pageSetup paperSize="9" scale="80" orientation="landscape" horizontalDpi="300" verticalDpi="300" r:id="rId9"/>
  <headerFooter alignWithMargins="0"/>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67389-021E-46C6-8041-F2483718E279}">
  <dimension ref="C8:H24"/>
  <sheetViews>
    <sheetView rightToLeft="1" workbookViewId="0"/>
  </sheetViews>
  <sheetFormatPr defaultRowHeight="12.75" x14ac:dyDescent="0.2"/>
  <sheetData>
    <row r="8" spans="3:8" ht="49.5" customHeight="1" x14ac:dyDescent="0.2">
      <c r="C8" s="92" t="s">
        <v>3323</v>
      </c>
      <c r="D8" s="92" t="s">
        <v>3324</v>
      </c>
      <c r="E8" s="92" t="s">
        <v>3325</v>
      </c>
      <c r="F8" s="92" t="s">
        <v>3326</v>
      </c>
      <c r="G8" s="93" t="s">
        <v>3327</v>
      </c>
      <c r="H8" s="93" t="s">
        <v>3328</v>
      </c>
    </row>
    <row r="9" spans="3:8" s="94" customFormat="1" ht="23.25" customHeight="1" x14ac:dyDescent="0.2">
      <c r="C9" s="92">
        <v>88</v>
      </c>
      <c r="D9" s="92">
        <v>38.880000000000003</v>
      </c>
      <c r="E9" s="92">
        <v>41.5</v>
      </c>
      <c r="F9" s="92">
        <v>39</v>
      </c>
      <c r="G9" s="92">
        <f>E9-F9</f>
        <v>2.5</v>
      </c>
      <c r="H9" s="92">
        <f>D9-F9</f>
        <v>-0.11999999999999744</v>
      </c>
    </row>
    <row r="10" spans="3:8" s="94" customFormat="1" ht="23.25" customHeight="1" x14ac:dyDescent="0.2">
      <c r="C10" s="92">
        <v>105</v>
      </c>
      <c r="D10" s="92">
        <v>36.11</v>
      </c>
      <c r="E10" s="92">
        <v>38.700000000000003</v>
      </c>
      <c r="F10" s="92">
        <v>35.5</v>
      </c>
      <c r="G10" s="92">
        <f t="shared" ref="G10:G15" si="0">E10-F10</f>
        <v>3.2000000000000028</v>
      </c>
      <c r="H10" s="92">
        <f t="shared" ref="H10:H15" si="1">D10-F10</f>
        <v>0.60999999999999943</v>
      </c>
    </row>
    <row r="11" spans="3:8" s="94" customFormat="1" ht="23.25" customHeight="1" x14ac:dyDescent="0.2">
      <c r="C11" s="92">
        <v>123</v>
      </c>
      <c r="D11" s="92">
        <v>33.33</v>
      </c>
      <c r="E11" s="92">
        <v>34.299999999999997</v>
      </c>
      <c r="F11" s="92">
        <v>32.5</v>
      </c>
      <c r="G11" s="92">
        <f t="shared" si="0"/>
        <v>1.7999999999999972</v>
      </c>
      <c r="H11" s="92">
        <f t="shared" si="1"/>
        <v>0.82999999999999829</v>
      </c>
    </row>
    <row r="12" spans="3:8" s="94" customFormat="1" ht="23.25" customHeight="1" x14ac:dyDescent="0.2">
      <c r="C12" s="92">
        <v>138</v>
      </c>
      <c r="D12" s="92">
        <v>30.55</v>
      </c>
      <c r="E12" s="92">
        <v>31.7</v>
      </c>
      <c r="F12" s="92">
        <v>28.5</v>
      </c>
      <c r="G12" s="92">
        <f t="shared" si="0"/>
        <v>3.1999999999999993</v>
      </c>
      <c r="H12" s="92">
        <f t="shared" si="1"/>
        <v>2.0500000000000007</v>
      </c>
    </row>
    <row r="13" spans="3:8" s="94" customFormat="1" ht="23.25" customHeight="1" x14ac:dyDescent="0.2">
      <c r="C13" s="95">
        <v>151</v>
      </c>
      <c r="D13" s="95">
        <v>27.77</v>
      </c>
      <c r="E13" s="95">
        <v>28.7</v>
      </c>
      <c r="F13" s="95">
        <v>25</v>
      </c>
      <c r="G13" s="95">
        <f t="shared" si="0"/>
        <v>3.6999999999999993</v>
      </c>
      <c r="H13" s="95">
        <f t="shared" si="1"/>
        <v>2.7699999999999996</v>
      </c>
    </row>
    <row r="14" spans="3:8" s="94" customFormat="1" ht="23.25" customHeight="1" x14ac:dyDescent="0.2">
      <c r="C14" s="92">
        <v>164</v>
      </c>
      <c r="D14" s="92">
        <v>25</v>
      </c>
      <c r="E14" s="92">
        <v>24.3</v>
      </c>
      <c r="F14" s="92">
        <v>20</v>
      </c>
      <c r="G14" s="92">
        <f t="shared" si="0"/>
        <v>4.3000000000000007</v>
      </c>
      <c r="H14" s="92">
        <f t="shared" si="1"/>
        <v>5</v>
      </c>
    </row>
    <row r="15" spans="3:8" s="94" customFormat="1" ht="23.25" customHeight="1" x14ac:dyDescent="0.2">
      <c r="C15" s="92">
        <v>171</v>
      </c>
      <c r="D15" s="92">
        <v>22.22</v>
      </c>
      <c r="E15" s="92">
        <v>19.600000000000001</v>
      </c>
      <c r="F15" s="92">
        <v>15.8</v>
      </c>
      <c r="G15" s="92">
        <f t="shared" si="0"/>
        <v>3.8000000000000007</v>
      </c>
      <c r="H15" s="92">
        <f t="shared" si="1"/>
        <v>6.4199999999999982</v>
      </c>
    </row>
    <row r="19" spans="7:7" x14ac:dyDescent="0.2">
      <c r="G19">
        <v>0</v>
      </c>
    </row>
    <row r="20" spans="7:7" x14ac:dyDescent="0.2">
      <c r="G20">
        <v>0.02</v>
      </c>
    </row>
    <row r="21" spans="7:7" x14ac:dyDescent="0.2">
      <c r="G21">
        <v>0.15</v>
      </c>
    </row>
    <row r="22" spans="7:7" x14ac:dyDescent="0.2">
      <c r="G22">
        <v>0.6</v>
      </c>
    </row>
    <row r="23" spans="7:7" x14ac:dyDescent="0.2">
      <c r="G23">
        <v>7860</v>
      </c>
    </row>
    <row r="24" spans="7:7" x14ac:dyDescent="0.2">
      <c r="G24">
        <f>G20*G21*G22*G23</f>
        <v>14.148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220D-279C-4892-B794-EA6E27BDF6FD}">
  <sheetPr filterMode="1"/>
  <dimension ref="A1:AY50"/>
  <sheetViews>
    <sheetView rightToLeft="1" topLeftCell="A3" workbookViewId="0">
      <selection sqref="A1:A3"/>
    </sheetView>
  </sheetViews>
  <sheetFormatPr defaultColWidth="9.7109375" defaultRowHeight="20.100000000000001" customHeight="1" x14ac:dyDescent="0.2"/>
  <cols>
    <col min="1" max="1" width="4.7109375" style="2" bestFit="1" customWidth="1"/>
    <col min="2" max="2" width="10.42578125" style="5" bestFit="1" customWidth="1"/>
    <col min="3" max="3" width="20.140625" style="1" customWidth="1"/>
    <col min="4" max="4" width="9.140625" style="1" hidden="1" customWidth="1"/>
    <col min="5" max="5" width="20.42578125" style="1" customWidth="1"/>
    <col min="6" max="6" width="25.7109375" style="1" customWidth="1"/>
    <col min="7" max="7" width="12.5703125" style="1" customWidth="1"/>
    <col min="8" max="8" width="5.85546875" style="1" hidden="1" customWidth="1"/>
    <col min="9" max="13" width="5.7109375" style="1" hidden="1" customWidth="1"/>
    <col min="14" max="14" width="10.42578125" style="7" customWidth="1"/>
    <col min="15" max="15" width="5.7109375" style="7" hidden="1" customWidth="1"/>
    <col min="16" max="16" width="5.7109375" style="8" customWidth="1"/>
    <col min="17" max="17" width="9.140625" style="8" hidden="1" customWidth="1"/>
    <col min="18" max="18" width="12.42578125" style="1" customWidth="1"/>
    <col min="19" max="19" width="9.28515625" style="1" customWidth="1"/>
    <col min="20" max="20" width="9.28515625" style="1" hidden="1" customWidth="1"/>
    <col min="21" max="22" width="9" style="8" customWidth="1"/>
    <col min="23" max="23" width="9" style="8" hidden="1" customWidth="1"/>
    <col min="24" max="24" width="12.85546875" style="1" customWidth="1"/>
    <col min="25" max="25" width="8.28515625" style="1" customWidth="1"/>
    <col min="26" max="26" width="11.5703125" style="1" customWidth="1"/>
    <col min="27" max="27" width="16.28515625" style="1" hidden="1" customWidth="1"/>
    <col min="28" max="28" width="5.7109375" style="1" hidden="1" customWidth="1"/>
    <col min="29" max="30" width="5.7109375" style="1" customWidth="1"/>
    <col min="31" max="39" width="5.7109375" style="1" hidden="1" customWidth="1"/>
    <col min="40" max="40" width="11.5703125" style="1" hidden="1" customWidth="1"/>
    <col min="41" max="42" width="5.7109375" style="1" hidden="1" customWidth="1"/>
    <col min="43" max="44" width="11.5703125" style="1" hidden="1" customWidth="1"/>
    <col min="45" max="48" width="9.140625" customWidth="1"/>
    <col min="49" max="49" width="8" customWidth="1"/>
    <col min="50" max="50" width="6" customWidth="1"/>
    <col min="51" max="51" width="97.28515625" style="4" customWidth="1"/>
    <col min="52" max="16384" width="9.7109375" style="4"/>
  </cols>
  <sheetData>
    <row r="1" spans="1:51" s="3" customFormat="1" ht="20.25" customHeight="1" x14ac:dyDescent="0.2">
      <c r="A1" s="597" t="s">
        <v>0</v>
      </c>
      <c r="B1" s="559" t="s">
        <v>1</v>
      </c>
      <c r="C1" s="559" t="s">
        <v>2</v>
      </c>
      <c r="D1" s="559" t="s">
        <v>5</v>
      </c>
      <c r="E1" s="559" t="s">
        <v>40</v>
      </c>
      <c r="F1" s="559" t="s">
        <v>41</v>
      </c>
      <c r="G1" s="559" t="s">
        <v>55</v>
      </c>
      <c r="H1" s="597" t="s">
        <v>52</v>
      </c>
      <c r="I1" s="597" t="s">
        <v>43</v>
      </c>
      <c r="J1" s="597" t="s">
        <v>44</v>
      </c>
      <c r="K1" s="597" t="s">
        <v>42</v>
      </c>
      <c r="L1" s="597" t="s">
        <v>45</v>
      </c>
      <c r="M1" s="597" t="s">
        <v>46</v>
      </c>
      <c r="N1" s="559" t="s">
        <v>3</v>
      </c>
      <c r="O1" s="559" t="s">
        <v>17</v>
      </c>
      <c r="P1" s="559"/>
      <c r="Q1" s="559"/>
      <c r="R1" s="559"/>
      <c r="S1" s="559"/>
      <c r="T1" s="559"/>
      <c r="U1" s="559"/>
      <c r="V1" s="559"/>
      <c r="W1" s="559"/>
      <c r="X1" s="559"/>
      <c r="Y1" s="559"/>
      <c r="Z1" s="559" t="s">
        <v>4</v>
      </c>
      <c r="AA1" s="597" t="s">
        <v>150</v>
      </c>
      <c r="AB1" s="597" t="s">
        <v>149</v>
      </c>
      <c r="AC1" s="597" t="s">
        <v>48</v>
      </c>
      <c r="AD1" s="597" t="s">
        <v>47</v>
      </c>
      <c r="AE1" s="597" t="s">
        <v>31</v>
      </c>
      <c r="AF1" s="597" t="s">
        <v>32</v>
      </c>
      <c r="AG1" s="597" t="s">
        <v>33</v>
      </c>
      <c r="AH1" s="597" t="s">
        <v>34</v>
      </c>
      <c r="AI1" s="597" t="s">
        <v>35</v>
      </c>
      <c r="AJ1" s="597" t="s">
        <v>37</v>
      </c>
      <c r="AK1" s="597" t="s">
        <v>3740</v>
      </c>
      <c r="AL1" s="597" t="s">
        <v>39</v>
      </c>
      <c r="AM1" s="559" t="s">
        <v>22</v>
      </c>
      <c r="AN1" s="559" t="s">
        <v>61</v>
      </c>
      <c r="AO1" s="559" t="s">
        <v>24</v>
      </c>
      <c r="AP1" s="559" t="s">
        <v>25</v>
      </c>
      <c r="AQ1" s="559" t="s">
        <v>23</v>
      </c>
      <c r="AR1" s="553" t="s">
        <v>60</v>
      </c>
      <c r="AS1" s="600" t="s">
        <v>27</v>
      </c>
      <c r="AT1" s="600" t="s">
        <v>28</v>
      </c>
      <c r="AU1" s="600" t="s">
        <v>11</v>
      </c>
      <c r="AV1" s="600" t="s">
        <v>12</v>
      </c>
      <c r="AW1" s="601" t="s">
        <v>13</v>
      </c>
      <c r="AX1" s="601" t="s">
        <v>54</v>
      </c>
      <c r="AY1" s="602" t="s">
        <v>29</v>
      </c>
    </row>
    <row r="2" spans="1:51" s="3" customFormat="1" ht="20.25" x14ac:dyDescent="0.2">
      <c r="A2" s="597"/>
      <c r="B2" s="559"/>
      <c r="C2" s="559"/>
      <c r="D2" s="559"/>
      <c r="E2" s="559"/>
      <c r="F2" s="559"/>
      <c r="G2" s="559"/>
      <c r="H2" s="597"/>
      <c r="I2" s="597"/>
      <c r="J2" s="597"/>
      <c r="K2" s="597"/>
      <c r="L2" s="597"/>
      <c r="M2" s="597"/>
      <c r="N2" s="559"/>
      <c r="O2" s="559" t="s">
        <v>18</v>
      </c>
      <c r="P2" s="559"/>
      <c r="Q2" s="559"/>
      <c r="R2" s="559"/>
      <c r="S2" s="559"/>
      <c r="T2" s="559" t="s">
        <v>14</v>
      </c>
      <c r="U2" s="559"/>
      <c r="V2" s="559"/>
      <c r="W2" s="559"/>
      <c r="X2" s="559"/>
      <c r="Y2" s="559"/>
      <c r="Z2" s="559"/>
      <c r="AA2" s="597"/>
      <c r="AB2" s="597"/>
      <c r="AC2" s="597"/>
      <c r="AD2" s="597"/>
      <c r="AE2" s="597"/>
      <c r="AF2" s="597"/>
      <c r="AG2" s="597"/>
      <c r="AH2" s="597"/>
      <c r="AI2" s="597"/>
      <c r="AJ2" s="597"/>
      <c r="AK2" s="597"/>
      <c r="AL2" s="597"/>
      <c r="AM2" s="559"/>
      <c r="AN2" s="559"/>
      <c r="AO2" s="559"/>
      <c r="AP2" s="559"/>
      <c r="AQ2" s="559"/>
      <c r="AR2" s="599"/>
      <c r="AS2" s="600"/>
      <c r="AT2" s="600"/>
      <c r="AU2" s="600"/>
      <c r="AV2" s="600"/>
      <c r="AW2" s="601"/>
      <c r="AX2" s="601"/>
      <c r="AY2" s="602"/>
    </row>
    <row r="3" spans="1:51" s="3" customFormat="1" ht="87" x14ac:dyDescent="0.2">
      <c r="A3" s="597"/>
      <c r="B3" s="559"/>
      <c r="C3" s="559"/>
      <c r="D3" s="559"/>
      <c r="E3" s="559"/>
      <c r="F3" s="559"/>
      <c r="G3" s="559"/>
      <c r="H3" s="597"/>
      <c r="I3" s="597"/>
      <c r="J3" s="597"/>
      <c r="K3" s="597"/>
      <c r="L3" s="597"/>
      <c r="M3" s="597"/>
      <c r="N3" s="559"/>
      <c r="O3" s="9" t="s">
        <v>50</v>
      </c>
      <c r="P3" s="9" t="s">
        <v>51</v>
      </c>
      <c r="Q3" s="9" t="s">
        <v>26</v>
      </c>
      <c r="R3" s="9" t="s">
        <v>16</v>
      </c>
      <c r="S3" s="10" t="s">
        <v>15</v>
      </c>
      <c r="T3" s="10" t="s">
        <v>36</v>
      </c>
      <c r="U3" s="11" t="s">
        <v>49</v>
      </c>
      <c r="V3" s="11" t="s">
        <v>3676</v>
      </c>
      <c r="W3" s="11" t="s">
        <v>26</v>
      </c>
      <c r="X3" s="9" t="s">
        <v>16</v>
      </c>
      <c r="Y3" s="10" t="s">
        <v>15</v>
      </c>
      <c r="Z3" s="559"/>
      <c r="AA3" s="597"/>
      <c r="AB3" s="597"/>
      <c r="AC3" s="597"/>
      <c r="AD3" s="597"/>
      <c r="AE3" s="597"/>
      <c r="AF3" s="597"/>
      <c r="AG3" s="597"/>
      <c r="AH3" s="597"/>
      <c r="AI3" s="597"/>
      <c r="AJ3" s="597"/>
      <c r="AK3" s="597"/>
      <c r="AL3" s="597"/>
      <c r="AM3" s="559"/>
      <c r="AN3" s="559"/>
      <c r="AO3" s="559"/>
      <c r="AP3" s="559"/>
      <c r="AQ3" s="559"/>
      <c r="AR3" s="554"/>
      <c r="AS3" s="600"/>
      <c r="AT3" s="600"/>
      <c r="AU3" s="600"/>
      <c r="AV3" s="600"/>
      <c r="AW3" s="601"/>
      <c r="AX3" s="601"/>
      <c r="AY3" s="602"/>
    </row>
    <row r="4" spans="1:51" s="2" customFormat="1" ht="20.100000000000001" hidden="1" customHeight="1" x14ac:dyDescent="0.2">
      <c r="A4" s="13">
        <v>1</v>
      </c>
      <c r="B4" s="40" t="s">
        <v>317</v>
      </c>
      <c r="C4" s="41" t="s">
        <v>321</v>
      </c>
      <c r="D4" s="41" t="s">
        <v>20</v>
      </c>
      <c r="E4" s="41" t="s">
        <v>94</v>
      </c>
      <c r="F4" s="41"/>
      <c r="G4" s="13" t="s">
        <v>83</v>
      </c>
      <c r="H4" s="13"/>
      <c r="I4" s="13"/>
      <c r="J4" s="13"/>
      <c r="K4" s="13"/>
      <c r="L4" s="13"/>
      <c r="M4" s="13"/>
      <c r="N4" s="40" t="s">
        <v>92</v>
      </c>
      <c r="O4" s="41"/>
      <c r="P4" s="41" t="s">
        <v>140</v>
      </c>
      <c r="Q4" s="41" t="s">
        <v>352</v>
      </c>
      <c r="R4" s="41" t="s">
        <v>73</v>
      </c>
      <c r="S4" s="13" t="s">
        <v>107</v>
      </c>
      <c r="T4" s="41"/>
      <c r="U4" s="41" t="s">
        <v>2245</v>
      </c>
      <c r="V4" s="41" t="s">
        <v>116</v>
      </c>
      <c r="W4" s="41" t="s">
        <v>353</v>
      </c>
      <c r="X4" s="41" t="s">
        <v>69</v>
      </c>
      <c r="Y4" s="41" t="s">
        <v>70</v>
      </c>
      <c r="Z4" s="13" t="s">
        <v>354</v>
      </c>
      <c r="AA4" s="13" t="s">
        <v>163</v>
      </c>
      <c r="AB4" s="13"/>
      <c r="AC4" s="13">
        <v>168</v>
      </c>
      <c r="AD4" s="40"/>
      <c r="AE4" s="40"/>
      <c r="AF4" s="40"/>
      <c r="AG4" s="40"/>
      <c r="AH4" s="40"/>
      <c r="AI4" s="40"/>
      <c r="AJ4" s="40"/>
      <c r="AK4" s="40"/>
      <c r="AL4" s="40"/>
      <c r="AM4" s="47"/>
      <c r="AN4" s="41"/>
      <c r="AO4" s="43"/>
      <c r="AP4" s="13"/>
      <c r="AQ4" s="40"/>
      <c r="AR4" s="40"/>
      <c r="AS4" s="41" t="s">
        <v>113</v>
      </c>
      <c r="AT4" s="41" t="s">
        <v>296</v>
      </c>
      <c r="AU4" s="41" t="s">
        <v>115</v>
      </c>
      <c r="AV4" s="41" t="s">
        <v>137</v>
      </c>
      <c r="AW4" s="49">
        <f t="shared" ref="AW4:AW15" si="0">IF(AS4*AU4&gt;0,(AS4-AU4)*12+(AT4-AV4),"")</f>
        <v>8</v>
      </c>
      <c r="AX4" s="49">
        <f t="shared" ref="AX4:AX15" si="1">IF(AW4&lt;13,AW4,"")</f>
        <v>8</v>
      </c>
      <c r="AY4" s="97"/>
    </row>
    <row r="5" spans="1:51" s="2" customFormat="1" ht="20.100000000000001" hidden="1" customHeight="1" x14ac:dyDescent="0.2">
      <c r="A5" s="13">
        <v>2</v>
      </c>
      <c r="B5" s="40" t="s">
        <v>76</v>
      </c>
      <c r="C5" s="41" t="s">
        <v>88</v>
      </c>
      <c r="D5" s="41" t="s">
        <v>9</v>
      </c>
      <c r="E5" s="41" t="s">
        <v>94</v>
      </c>
      <c r="F5" s="41"/>
      <c r="G5" s="13" t="s">
        <v>83</v>
      </c>
      <c r="H5" s="13"/>
      <c r="I5" s="13"/>
      <c r="J5" s="13"/>
      <c r="K5" s="13"/>
      <c r="L5" s="13"/>
      <c r="M5" s="13"/>
      <c r="N5" s="40" t="s">
        <v>67</v>
      </c>
      <c r="O5" s="41"/>
      <c r="P5" s="41" t="s">
        <v>104</v>
      </c>
      <c r="Q5" s="41" t="s">
        <v>127</v>
      </c>
      <c r="R5" s="41" t="s">
        <v>106</v>
      </c>
      <c r="S5" s="13" t="s">
        <v>107</v>
      </c>
      <c r="T5" s="41"/>
      <c r="U5" s="41" t="s">
        <v>2961</v>
      </c>
      <c r="V5" s="41" t="s">
        <v>493</v>
      </c>
      <c r="W5" s="41" t="s">
        <v>129</v>
      </c>
      <c r="X5" s="41" t="s">
        <v>73</v>
      </c>
      <c r="Y5" s="41" t="s">
        <v>70</v>
      </c>
      <c r="Z5" s="13" t="s">
        <v>130</v>
      </c>
      <c r="AA5" s="13" t="s">
        <v>162</v>
      </c>
      <c r="AB5" s="13"/>
      <c r="AC5" s="13">
        <v>216</v>
      </c>
      <c r="AD5" s="40"/>
      <c r="AE5" s="40"/>
      <c r="AF5" s="40"/>
      <c r="AG5" s="40"/>
      <c r="AH5" s="40"/>
      <c r="AI5" s="40"/>
      <c r="AJ5" s="40"/>
      <c r="AK5" s="40"/>
      <c r="AL5" s="40"/>
      <c r="AM5" s="13"/>
      <c r="AN5" s="41"/>
      <c r="AO5" s="41"/>
      <c r="AP5" s="13"/>
      <c r="AQ5" s="40"/>
      <c r="AR5" s="40"/>
      <c r="AS5" s="41" t="s">
        <v>113</v>
      </c>
      <c r="AT5" s="41" t="s">
        <v>114</v>
      </c>
      <c r="AU5" s="41" t="s">
        <v>115</v>
      </c>
      <c r="AV5" s="41" t="s">
        <v>114</v>
      </c>
      <c r="AW5" s="49">
        <f t="shared" si="0"/>
        <v>12</v>
      </c>
      <c r="AX5" s="49">
        <f t="shared" si="1"/>
        <v>12</v>
      </c>
      <c r="AY5" s="97"/>
    </row>
    <row r="6" spans="1:51" s="2" customFormat="1" ht="20.100000000000001" hidden="1" customHeight="1" x14ac:dyDescent="0.2">
      <c r="A6" s="13">
        <v>3</v>
      </c>
      <c r="B6" s="40" t="s">
        <v>237</v>
      </c>
      <c r="C6" s="41" t="s">
        <v>238</v>
      </c>
      <c r="D6" s="41" t="s">
        <v>6</v>
      </c>
      <c r="E6" s="41" t="s">
        <v>202</v>
      </c>
      <c r="F6" s="41"/>
      <c r="G6" s="13" t="s">
        <v>83</v>
      </c>
      <c r="H6" s="13"/>
      <c r="I6" s="13"/>
      <c r="J6" s="13"/>
      <c r="K6" s="13"/>
      <c r="L6" s="13"/>
      <c r="M6" s="13"/>
      <c r="N6" s="40" t="s">
        <v>84</v>
      </c>
      <c r="O6" s="41"/>
      <c r="P6" s="41" t="s">
        <v>104</v>
      </c>
      <c r="Q6" s="41" t="s">
        <v>247</v>
      </c>
      <c r="R6" s="41" t="s">
        <v>106</v>
      </c>
      <c r="S6" s="13" t="s">
        <v>107</v>
      </c>
      <c r="T6" s="41"/>
      <c r="U6" s="41" t="s">
        <v>3680</v>
      </c>
      <c r="V6" s="41" t="s">
        <v>260</v>
      </c>
      <c r="W6" s="41" t="s">
        <v>249</v>
      </c>
      <c r="X6" s="41" t="s">
        <v>73</v>
      </c>
      <c r="Y6" s="41" t="s">
        <v>70</v>
      </c>
      <c r="Z6" s="13" t="s">
        <v>250</v>
      </c>
      <c r="AA6" s="13" t="s">
        <v>162</v>
      </c>
      <c r="AB6" s="13"/>
      <c r="AC6" s="13">
        <v>195</v>
      </c>
      <c r="AD6" s="40"/>
      <c r="AE6" s="40"/>
      <c r="AF6" s="40"/>
      <c r="AG6" s="40"/>
      <c r="AH6" s="40"/>
      <c r="AI6" s="40"/>
      <c r="AJ6" s="40"/>
      <c r="AK6" s="40"/>
      <c r="AL6" s="40"/>
      <c r="AM6" s="13"/>
      <c r="AN6" s="41"/>
      <c r="AO6" s="43"/>
      <c r="AP6" s="13"/>
      <c r="AQ6" s="40"/>
      <c r="AR6" s="40"/>
      <c r="AS6" s="41" t="s">
        <v>113</v>
      </c>
      <c r="AT6" s="41" t="s">
        <v>114</v>
      </c>
      <c r="AU6" s="41" t="s">
        <v>115</v>
      </c>
      <c r="AV6" s="41" t="s">
        <v>148</v>
      </c>
      <c r="AW6" s="49">
        <f t="shared" si="0"/>
        <v>5</v>
      </c>
      <c r="AX6" s="49">
        <f t="shared" si="1"/>
        <v>5</v>
      </c>
      <c r="AY6" s="97"/>
    </row>
    <row r="7" spans="1:51" s="2" customFormat="1" ht="43.5" hidden="1" customHeight="1" x14ac:dyDescent="0.2">
      <c r="A7" s="13">
        <v>4</v>
      </c>
      <c r="B7" s="40" t="s">
        <v>3268</v>
      </c>
      <c r="C7" s="41" t="s">
        <v>739</v>
      </c>
      <c r="D7" s="41" t="s">
        <v>10</v>
      </c>
      <c r="E7" s="41" t="s">
        <v>605</v>
      </c>
      <c r="F7" s="41" t="s">
        <v>197</v>
      </c>
      <c r="G7" s="13" t="s">
        <v>83</v>
      </c>
      <c r="H7" s="13"/>
      <c r="I7" s="13"/>
      <c r="J7" s="13"/>
      <c r="K7" s="13"/>
      <c r="L7" s="13"/>
      <c r="M7" s="13"/>
      <c r="N7" s="40" t="s">
        <v>84</v>
      </c>
      <c r="O7" s="41"/>
      <c r="P7" s="41" t="s">
        <v>104</v>
      </c>
      <c r="Q7" s="41" t="s">
        <v>2095</v>
      </c>
      <c r="R7" s="41" t="s">
        <v>69</v>
      </c>
      <c r="S7" s="13" t="s">
        <v>70</v>
      </c>
      <c r="T7" s="41"/>
      <c r="U7" s="41" t="s">
        <v>2245</v>
      </c>
      <c r="V7" s="41" t="s">
        <v>769</v>
      </c>
      <c r="W7" s="41" t="s">
        <v>2096</v>
      </c>
      <c r="X7" s="41" t="s">
        <v>106</v>
      </c>
      <c r="Y7" s="41" t="s">
        <v>107</v>
      </c>
      <c r="Z7" s="13" t="s">
        <v>2102</v>
      </c>
      <c r="AA7" s="13"/>
      <c r="AB7" s="13">
        <v>200</v>
      </c>
      <c r="AC7" s="13">
        <v>186</v>
      </c>
      <c r="AD7" s="13"/>
      <c r="AE7" s="40"/>
      <c r="AF7" s="40"/>
      <c r="AG7" s="40"/>
      <c r="AH7" s="40"/>
      <c r="AI7" s="13"/>
      <c r="AJ7" s="40"/>
      <c r="AK7" s="40"/>
      <c r="AL7" s="40"/>
      <c r="AM7" s="13"/>
      <c r="AN7" s="41"/>
      <c r="AO7" s="43"/>
      <c r="AP7" s="13"/>
      <c r="AQ7" s="40"/>
      <c r="AR7" s="40"/>
      <c r="AS7" s="41" t="s">
        <v>113</v>
      </c>
      <c r="AT7" s="41" t="s">
        <v>296</v>
      </c>
      <c r="AU7" s="41" t="s">
        <v>115</v>
      </c>
      <c r="AV7" s="41" t="s">
        <v>260</v>
      </c>
      <c r="AW7" s="49">
        <f t="shared" si="0"/>
        <v>2</v>
      </c>
      <c r="AX7" s="49">
        <f t="shared" si="1"/>
        <v>2</v>
      </c>
      <c r="AY7" s="98" t="s">
        <v>3307</v>
      </c>
    </row>
    <row r="8" spans="1:51" s="2" customFormat="1" ht="20.100000000000001" hidden="1" customHeight="1" x14ac:dyDescent="0.2">
      <c r="A8" s="13">
        <v>5</v>
      </c>
      <c r="B8" s="40" t="s">
        <v>177</v>
      </c>
      <c r="C8" s="41" t="s">
        <v>180</v>
      </c>
      <c r="D8" s="41" t="s">
        <v>19</v>
      </c>
      <c r="E8" s="41" t="s">
        <v>186</v>
      </c>
      <c r="F8" s="41" t="s">
        <v>197</v>
      </c>
      <c r="G8" s="13" t="s">
        <v>83</v>
      </c>
      <c r="H8" s="13"/>
      <c r="I8" s="13"/>
      <c r="J8" s="13"/>
      <c r="K8" s="13"/>
      <c r="L8" s="13"/>
      <c r="M8" s="13"/>
      <c r="N8" s="40" t="s">
        <v>84</v>
      </c>
      <c r="O8" s="41"/>
      <c r="P8" s="41" t="s">
        <v>155</v>
      </c>
      <c r="Q8" s="41" t="s">
        <v>194</v>
      </c>
      <c r="R8" s="41" t="s">
        <v>106</v>
      </c>
      <c r="S8" s="13" t="s">
        <v>107</v>
      </c>
      <c r="T8" s="41"/>
      <c r="U8" s="41" t="s">
        <v>3677</v>
      </c>
      <c r="V8" s="41" t="s">
        <v>485</v>
      </c>
      <c r="W8" s="41" t="s">
        <v>195</v>
      </c>
      <c r="X8" s="41" t="s">
        <v>106</v>
      </c>
      <c r="Y8" s="41" t="s">
        <v>107</v>
      </c>
      <c r="Z8" s="13" t="s">
        <v>196</v>
      </c>
      <c r="AA8" s="13" t="s">
        <v>163</v>
      </c>
      <c r="AB8" s="13"/>
      <c r="AC8" s="13"/>
      <c r="AD8" s="40">
        <v>216</v>
      </c>
      <c r="AE8" s="40"/>
      <c r="AF8" s="40"/>
      <c r="AG8" s="40"/>
      <c r="AH8" s="40"/>
      <c r="AI8" s="40"/>
      <c r="AJ8" s="40"/>
      <c r="AK8" s="40"/>
      <c r="AL8" s="40"/>
      <c r="AM8" s="41"/>
      <c r="AN8" s="41"/>
      <c r="AO8" s="43"/>
      <c r="AP8" s="13"/>
      <c r="AQ8" s="40" t="s">
        <v>160</v>
      </c>
      <c r="AR8" s="40" t="s">
        <v>165</v>
      </c>
      <c r="AS8" s="41" t="s">
        <v>113</v>
      </c>
      <c r="AT8" s="41" t="s">
        <v>114</v>
      </c>
      <c r="AU8" s="41" t="s">
        <v>115</v>
      </c>
      <c r="AV8" s="41" t="s">
        <v>116</v>
      </c>
      <c r="AW8" s="49">
        <f t="shared" si="0"/>
        <v>2</v>
      </c>
      <c r="AX8" s="49">
        <f t="shared" si="1"/>
        <v>2</v>
      </c>
      <c r="AY8" s="99" t="s">
        <v>219</v>
      </c>
    </row>
    <row r="9" spans="1:51" s="2" customFormat="1" ht="20.100000000000001" hidden="1" customHeight="1" x14ac:dyDescent="0.2">
      <c r="A9" s="13">
        <v>6</v>
      </c>
      <c r="B9" s="40" t="s">
        <v>75</v>
      </c>
      <c r="C9" s="41" t="s">
        <v>86</v>
      </c>
      <c r="D9" s="41" t="s">
        <v>8</v>
      </c>
      <c r="E9" s="41" t="s">
        <v>96</v>
      </c>
      <c r="F9" s="41" t="s">
        <v>99</v>
      </c>
      <c r="G9" s="13" t="s">
        <v>83</v>
      </c>
      <c r="H9" s="13"/>
      <c r="I9" s="13"/>
      <c r="J9" s="13"/>
      <c r="K9" s="13"/>
      <c r="L9" s="13"/>
      <c r="M9" s="13"/>
      <c r="N9" s="40" t="s">
        <v>93</v>
      </c>
      <c r="O9" s="41"/>
      <c r="P9" s="41" t="s">
        <v>104</v>
      </c>
      <c r="Q9" s="41" t="s">
        <v>105</v>
      </c>
      <c r="R9" s="41" t="s">
        <v>106</v>
      </c>
      <c r="S9" s="13" t="s">
        <v>107</v>
      </c>
      <c r="T9" s="41"/>
      <c r="U9" s="41" t="s">
        <v>3679</v>
      </c>
      <c r="V9" s="41" t="s">
        <v>555</v>
      </c>
      <c r="W9" s="41" t="s">
        <v>109</v>
      </c>
      <c r="X9" s="41" t="s">
        <v>106</v>
      </c>
      <c r="Y9" s="41" t="s">
        <v>107</v>
      </c>
      <c r="Z9" s="13" t="s">
        <v>110</v>
      </c>
      <c r="AA9" s="13" t="s">
        <v>163</v>
      </c>
      <c r="AB9" s="13"/>
      <c r="AC9" s="13">
        <v>162</v>
      </c>
      <c r="AD9" s="40"/>
      <c r="AE9" s="40"/>
      <c r="AF9" s="40"/>
      <c r="AG9" s="40"/>
      <c r="AH9" s="40"/>
      <c r="AI9" s="40"/>
      <c r="AJ9" s="40"/>
      <c r="AK9" s="40"/>
      <c r="AL9" s="40"/>
      <c r="AM9" s="13"/>
      <c r="AN9" s="41"/>
      <c r="AO9" s="41"/>
      <c r="AP9" s="13"/>
      <c r="AQ9" s="40" t="s">
        <v>111</v>
      </c>
      <c r="AR9" s="40" t="s">
        <v>112</v>
      </c>
      <c r="AS9" s="41" t="s">
        <v>113</v>
      </c>
      <c r="AT9" s="41" t="s">
        <v>114</v>
      </c>
      <c r="AU9" s="41" t="s">
        <v>115</v>
      </c>
      <c r="AV9" s="41" t="s">
        <v>116</v>
      </c>
      <c r="AW9" s="49">
        <f t="shared" si="0"/>
        <v>2</v>
      </c>
      <c r="AX9" s="49">
        <f t="shared" si="1"/>
        <v>2</v>
      </c>
      <c r="AY9" s="97"/>
    </row>
    <row r="10" spans="1:51" s="2" customFormat="1" ht="21.75" hidden="1" x14ac:dyDescent="0.2">
      <c r="A10" s="13">
        <v>7</v>
      </c>
      <c r="B10" s="40" t="s">
        <v>177</v>
      </c>
      <c r="C10" s="41" t="s">
        <v>21</v>
      </c>
      <c r="D10" s="41" t="s">
        <v>9</v>
      </c>
      <c r="E10" s="41" t="s">
        <v>174</v>
      </c>
      <c r="F10" s="41"/>
      <c r="G10" s="13" t="s">
        <v>83</v>
      </c>
      <c r="H10" s="13"/>
      <c r="I10" s="13"/>
      <c r="J10" s="13"/>
      <c r="K10" s="13"/>
      <c r="L10" s="13"/>
      <c r="M10" s="13"/>
      <c r="N10" s="40" t="s">
        <v>84</v>
      </c>
      <c r="O10" s="41"/>
      <c r="P10" s="41" t="s">
        <v>117</v>
      </c>
      <c r="Q10" s="41" t="s">
        <v>198</v>
      </c>
      <c r="R10" s="41" t="s">
        <v>106</v>
      </c>
      <c r="S10" s="13" t="s">
        <v>107</v>
      </c>
      <c r="T10" s="41"/>
      <c r="U10" s="41" t="s">
        <v>1510</v>
      </c>
      <c r="V10" s="41" t="s">
        <v>2258</v>
      </c>
      <c r="W10" s="41" t="s">
        <v>200</v>
      </c>
      <c r="X10" s="41" t="s">
        <v>73</v>
      </c>
      <c r="Y10" s="41" t="s">
        <v>70</v>
      </c>
      <c r="Z10" s="13" t="s">
        <v>201</v>
      </c>
      <c r="AA10" s="13" t="s">
        <v>163</v>
      </c>
      <c r="AB10" s="13"/>
      <c r="AC10" s="13"/>
      <c r="AD10" s="40">
        <v>168</v>
      </c>
      <c r="AE10" s="40"/>
      <c r="AF10" s="40"/>
      <c r="AG10" s="40"/>
      <c r="AH10" s="40"/>
      <c r="AI10" s="40"/>
      <c r="AJ10" s="40"/>
      <c r="AK10" s="40"/>
      <c r="AL10" s="40"/>
      <c r="AM10" s="41"/>
      <c r="AN10" s="41"/>
      <c r="AO10" s="41"/>
      <c r="AP10" s="13"/>
      <c r="AQ10" s="40" t="s">
        <v>111</v>
      </c>
      <c r="AR10" s="40" t="s">
        <v>112</v>
      </c>
      <c r="AS10" s="41" t="s">
        <v>113</v>
      </c>
      <c r="AT10" s="41" t="s">
        <v>114</v>
      </c>
      <c r="AU10" s="41" t="s">
        <v>115</v>
      </c>
      <c r="AV10" s="41" t="s">
        <v>148</v>
      </c>
      <c r="AW10" s="49">
        <f t="shared" si="0"/>
        <v>5</v>
      </c>
      <c r="AX10" s="49">
        <f t="shared" si="1"/>
        <v>5</v>
      </c>
      <c r="AY10" s="97"/>
    </row>
    <row r="11" spans="1:51" s="2" customFormat="1" ht="20.100000000000001" customHeight="1" x14ac:dyDescent="0.2">
      <c r="A11" s="13">
        <v>8</v>
      </c>
      <c r="B11" s="40" t="s">
        <v>284</v>
      </c>
      <c r="C11" s="41" t="s">
        <v>286</v>
      </c>
      <c r="D11" s="41" t="s">
        <v>9</v>
      </c>
      <c r="E11" s="41"/>
      <c r="F11" s="41"/>
      <c r="G11" s="13" t="s">
        <v>83</v>
      </c>
      <c r="H11" s="13"/>
      <c r="I11" s="13"/>
      <c r="J11" s="13"/>
      <c r="K11" s="13"/>
      <c r="L11" s="13"/>
      <c r="M11" s="13"/>
      <c r="N11" s="40" t="s">
        <v>92</v>
      </c>
      <c r="O11" s="41"/>
      <c r="P11" s="41" t="s">
        <v>223</v>
      </c>
      <c r="Q11" s="41" t="s">
        <v>297</v>
      </c>
      <c r="R11" s="41" t="s">
        <v>106</v>
      </c>
      <c r="S11" s="13" t="s">
        <v>107</v>
      </c>
      <c r="T11" s="41"/>
      <c r="U11" s="41" t="s">
        <v>2325</v>
      </c>
      <c r="V11" s="41" t="s">
        <v>144</v>
      </c>
      <c r="W11" s="41" t="s">
        <v>299</v>
      </c>
      <c r="X11" s="41" t="s">
        <v>69</v>
      </c>
      <c r="Y11" s="41" t="s">
        <v>70</v>
      </c>
      <c r="Z11" s="13" t="s">
        <v>300</v>
      </c>
      <c r="AA11" s="13" t="s">
        <v>163</v>
      </c>
      <c r="AB11" s="13"/>
      <c r="AC11" s="13">
        <v>192</v>
      </c>
      <c r="AD11" s="40"/>
      <c r="AE11" s="40"/>
      <c r="AF11" s="40"/>
      <c r="AG11" s="40"/>
      <c r="AH11" s="40"/>
      <c r="AI11" s="40"/>
      <c r="AJ11" s="40"/>
      <c r="AK11" s="40"/>
      <c r="AL11" s="40"/>
      <c r="AM11" s="41"/>
      <c r="AN11" s="41"/>
      <c r="AO11" s="43"/>
      <c r="AP11" s="13"/>
      <c r="AQ11" s="40"/>
      <c r="AR11" s="40"/>
      <c r="AS11" s="41" t="s">
        <v>113</v>
      </c>
      <c r="AT11" s="41" t="s">
        <v>114</v>
      </c>
      <c r="AU11" s="41" t="s">
        <v>115</v>
      </c>
      <c r="AV11" s="41" t="s">
        <v>266</v>
      </c>
      <c r="AW11" s="49">
        <f t="shared" si="0"/>
        <v>4</v>
      </c>
      <c r="AX11" s="49">
        <f t="shared" si="1"/>
        <v>4</v>
      </c>
      <c r="AY11" s="97" t="s">
        <v>313</v>
      </c>
    </row>
    <row r="12" spans="1:51" s="2" customFormat="1" ht="20.100000000000001" hidden="1" customHeight="1" x14ac:dyDescent="0.2">
      <c r="A12" s="13">
        <v>9</v>
      </c>
      <c r="B12" s="40" t="s">
        <v>289</v>
      </c>
      <c r="C12" s="41" t="s">
        <v>290</v>
      </c>
      <c r="D12" s="41" t="s">
        <v>20</v>
      </c>
      <c r="E12" s="41"/>
      <c r="F12" s="41"/>
      <c r="G12" s="13" t="s">
        <v>83</v>
      </c>
      <c r="H12" s="13"/>
      <c r="I12" s="13"/>
      <c r="J12" s="13"/>
      <c r="K12" s="13"/>
      <c r="L12" s="13"/>
      <c r="M12" s="13"/>
      <c r="N12" s="40" t="s">
        <v>84</v>
      </c>
      <c r="O12" s="41"/>
      <c r="P12" s="41" t="s">
        <v>68</v>
      </c>
      <c r="Q12" s="41" t="s">
        <v>301</v>
      </c>
      <c r="R12" s="41" t="s">
        <v>106</v>
      </c>
      <c r="S12" s="13" t="s">
        <v>107</v>
      </c>
      <c r="T12" s="41"/>
      <c r="U12" s="41" t="s">
        <v>3677</v>
      </c>
      <c r="V12" s="41" t="s">
        <v>465</v>
      </c>
      <c r="W12" s="41" t="s">
        <v>302</v>
      </c>
      <c r="X12" s="41" t="s">
        <v>106</v>
      </c>
      <c r="Y12" s="41" t="s">
        <v>107</v>
      </c>
      <c r="Z12" s="13" t="s">
        <v>303</v>
      </c>
      <c r="AA12" s="13" t="s">
        <v>163</v>
      </c>
      <c r="AB12" s="13"/>
      <c r="AC12" s="13">
        <v>210</v>
      </c>
      <c r="AD12" s="40"/>
      <c r="AE12" s="40"/>
      <c r="AF12" s="40"/>
      <c r="AG12" s="40"/>
      <c r="AH12" s="40"/>
      <c r="AI12" s="40"/>
      <c r="AJ12" s="40"/>
      <c r="AK12" s="40"/>
      <c r="AL12" s="40"/>
      <c r="AM12" s="41"/>
      <c r="AN12" s="41"/>
      <c r="AO12" s="41"/>
      <c r="AP12" s="13"/>
      <c r="AQ12" s="40"/>
      <c r="AR12" s="40"/>
      <c r="AS12" s="41" t="s">
        <v>113</v>
      </c>
      <c r="AT12" s="41" t="s">
        <v>296</v>
      </c>
      <c r="AU12" s="41" t="s">
        <v>115</v>
      </c>
      <c r="AV12" s="41" t="s">
        <v>260</v>
      </c>
      <c r="AW12" s="49">
        <f t="shared" si="0"/>
        <v>2</v>
      </c>
      <c r="AX12" s="49">
        <f t="shared" si="1"/>
        <v>2</v>
      </c>
      <c r="AY12" s="97" t="s">
        <v>312</v>
      </c>
    </row>
    <row r="13" spans="1:51" s="2" customFormat="1" ht="20.100000000000001" hidden="1" customHeight="1" x14ac:dyDescent="0.2">
      <c r="A13" s="13">
        <v>10</v>
      </c>
      <c r="B13" s="40" t="s">
        <v>405</v>
      </c>
      <c r="C13" s="41" t="s">
        <v>1739</v>
      </c>
      <c r="D13" s="41" t="s">
        <v>20</v>
      </c>
      <c r="E13" s="41"/>
      <c r="F13" s="41" t="s">
        <v>197</v>
      </c>
      <c r="G13" s="13" t="s">
        <v>83</v>
      </c>
      <c r="H13" s="13"/>
      <c r="I13" s="13"/>
      <c r="J13" s="13"/>
      <c r="K13" s="13"/>
      <c r="L13" s="13"/>
      <c r="M13" s="13"/>
      <c r="N13" s="40" t="s">
        <v>84</v>
      </c>
      <c r="O13" s="41"/>
      <c r="P13" s="41" t="s">
        <v>68</v>
      </c>
      <c r="Q13" s="41" t="s">
        <v>803</v>
      </c>
      <c r="R13" s="41" t="s">
        <v>262</v>
      </c>
      <c r="S13" s="13" t="s">
        <v>70</v>
      </c>
      <c r="T13" s="41"/>
      <c r="U13" s="41" t="s">
        <v>3679</v>
      </c>
      <c r="V13" s="41" t="s">
        <v>485</v>
      </c>
      <c r="W13" s="41" t="s">
        <v>1740</v>
      </c>
      <c r="X13" s="41" t="s">
        <v>106</v>
      </c>
      <c r="Y13" s="41" t="s">
        <v>107</v>
      </c>
      <c r="Z13" s="13" t="s">
        <v>3278</v>
      </c>
      <c r="AA13" s="13"/>
      <c r="AB13" s="13"/>
      <c r="AC13" s="13">
        <v>192</v>
      </c>
      <c r="AD13" s="40"/>
      <c r="AE13" s="40"/>
      <c r="AF13" s="40"/>
      <c r="AG13" s="40"/>
      <c r="AH13" s="40"/>
      <c r="AI13" s="40"/>
      <c r="AJ13" s="40"/>
      <c r="AK13" s="40"/>
      <c r="AL13" s="40"/>
      <c r="AM13" s="13"/>
      <c r="AN13" s="41"/>
      <c r="AO13" s="41"/>
      <c r="AP13" s="13"/>
      <c r="AQ13" s="40"/>
      <c r="AR13" s="40"/>
      <c r="AS13" s="41" t="s">
        <v>113</v>
      </c>
      <c r="AT13" s="41" t="s">
        <v>296</v>
      </c>
      <c r="AU13" s="41" t="s">
        <v>115</v>
      </c>
      <c r="AV13" s="41" t="s">
        <v>441</v>
      </c>
      <c r="AW13" s="49">
        <f t="shared" si="0"/>
        <v>4</v>
      </c>
      <c r="AX13" s="49">
        <f t="shared" si="1"/>
        <v>4</v>
      </c>
      <c r="AY13" s="97"/>
    </row>
    <row r="14" spans="1:51" s="2" customFormat="1" ht="20.100000000000001" hidden="1" customHeight="1" x14ac:dyDescent="0.2">
      <c r="A14" s="13">
        <v>11</v>
      </c>
      <c r="B14" s="40" t="s">
        <v>245</v>
      </c>
      <c r="C14" s="41" t="s">
        <v>241</v>
      </c>
      <c r="D14" s="41" t="s">
        <v>8</v>
      </c>
      <c r="E14" s="41"/>
      <c r="F14" s="41"/>
      <c r="G14" s="13" t="s">
        <v>83</v>
      </c>
      <c r="H14" s="13"/>
      <c r="I14" s="13"/>
      <c r="J14" s="13"/>
      <c r="K14" s="13"/>
      <c r="L14" s="13"/>
      <c r="M14" s="13"/>
      <c r="N14" s="40" t="s">
        <v>92</v>
      </c>
      <c r="O14" s="41"/>
      <c r="P14" s="41" t="s">
        <v>218</v>
      </c>
      <c r="Q14" s="41" t="s">
        <v>267</v>
      </c>
      <c r="R14" s="41" t="s">
        <v>262</v>
      </c>
      <c r="S14" s="13" t="s">
        <v>70</v>
      </c>
      <c r="T14" s="41"/>
      <c r="U14" s="41" t="s">
        <v>3679</v>
      </c>
      <c r="V14" s="41" t="s">
        <v>116</v>
      </c>
      <c r="W14" s="41" t="s">
        <v>269</v>
      </c>
      <c r="X14" s="41" t="s">
        <v>142</v>
      </c>
      <c r="Y14" s="41" t="s">
        <v>70</v>
      </c>
      <c r="Z14" s="13" t="s">
        <v>270</v>
      </c>
      <c r="AA14" s="13" t="s">
        <v>162</v>
      </c>
      <c r="AB14" s="13"/>
      <c r="AC14" s="13">
        <v>210</v>
      </c>
      <c r="AD14" s="40"/>
      <c r="AE14" s="40"/>
      <c r="AF14" s="40"/>
      <c r="AG14" s="40"/>
      <c r="AH14" s="40"/>
      <c r="AI14" s="40"/>
      <c r="AJ14" s="40"/>
      <c r="AK14" s="40"/>
      <c r="AL14" s="40"/>
      <c r="AM14" s="41"/>
      <c r="AN14" s="41"/>
      <c r="AO14" s="41"/>
      <c r="AP14" s="13"/>
      <c r="AQ14" s="40"/>
      <c r="AR14" s="40"/>
      <c r="AS14" s="41" t="s">
        <v>113</v>
      </c>
      <c r="AT14" s="41" t="s">
        <v>114</v>
      </c>
      <c r="AU14" s="41" t="s">
        <v>115</v>
      </c>
      <c r="AV14" s="41" t="s">
        <v>114</v>
      </c>
      <c r="AW14" s="49">
        <f t="shared" si="0"/>
        <v>12</v>
      </c>
      <c r="AX14" s="49">
        <f t="shared" si="1"/>
        <v>12</v>
      </c>
      <c r="AY14" s="97"/>
    </row>
    <row r="15" spans="1:51" s="2" customFormat="1" ht="20.100000000000001" hidden="1" customHeight="1" x14ac:dyDescent="0.2">
      <c r="A15" s="13">
        <v>12</v>
      </c>
      <c r="B15" s="40" t="s">
        <v>317</v>
      </c>
      <c r="C15" s="41" t="s">
        <v>322</v>
      </c>
      <c r="D15" s="41" t="s">
        <v>19</v>
      </c>
      <c r="E15" s="41"/>
      <c r="F15" s="41"/>
      <c r="G15" s="13" t="s">
        <v>83</v>
      </c>
      <c r="H15" s="13"/>
      <c r="I15" s="13"/>
      <c r="J15" s="13"/>
      <c r="K15" s="13"/>
      <c r="L15" s="13"/>
      <c r="M15" s="13"/>
      <c r="N15" s="40" t="s">
        <v>84</v>
      </c>
      <c r="O15" s="41"/>
      <c r="P15" s="41" t="s">
        <v>140</v>
      </c>
      <c r="Q15" s="41" t="s">
        <v>355</v>
      </c>
      <c r="R15" s="41" t="s">
        <v>106</v>
      </c>
      <c r="S15" s="13" t="s">
        <v>107</v>
      </c>
      <c r="T15" s="41"/>
      <c r="U15" s="41" t="s">
        <v>2245</v>
      </c>
      <c r="V15" s="41" t="s">
        <v>116</v>
      </c>
      <c r="W15" s="41" t="s">
        <v>356</v>
      </c>
      <c r="X15" s="41" t="s">
        <v>106</v>
      </c>
      <c r="Y15" s="41" t="s">
        <v>107</v>
      </c>
      <c r="Z15" s="13" t="s">
        <v>357</v>
      </c>
      <c r="AA15" s="13" t="s">
        <v>163</v>
      </c>
      <c r="AB15" s="13"/>
      <c r="AC15" s="13">
        <v>180</v>
      </c>
      <c r="AD15" s="40"/>
      <c r="AE15" s="40"/>
      <c r="AF15" s="40"/>
      <c r="AG15" s="40"/>
      <c r="AH15" s="40"/>
      <c r="AI15" s="40"/>
      <c r="AJ15" s="40"/>
      <c r="AK15" s="40"/>
      <c r="AL15" s="40"/>
      <c r="AM15" s="47"/>
      <c r="AN15" s="41"/>
      <c r="AO15" s="43"/>
      <c r="AP15" s="13"/>
      <c r="AQ15" s="40"/>
      <c r="AR15" s="40"/>
      <c r="AS15" s="41" t="s">
        <v>113</v>
      </c>
      <c r="AT15" s="41" t="s">
        <v>296</v>
      </c>
      <c r="AU15" s="41" t="s">
        <v>115</v>
      </c>
      <c r="AV15" s="41" t="s">
        <v>235</v>
      </c>
      <c r="AW15" s="49">
        <f t="shared" si="0"/>
        <v>11</v>
      </c>
      <c r="AX15" s="49">
        <f t="shared" si="1"/>
        <v>11</v>
      </c>
      <c r="AY15" s="97"/>
    </row>
    <row r="16" spans="1:51" s="2" customFormat="1" ht="20.100000000000001" hidden="1" customHeight="1" x14ac:dyDescent="0.2">
      <c r="A16" s="13">
        <v>13</v>
      </c>
      <c r="B16" s="40" t="s">
        <v>3266</v>
      </c>
      <c r="C16" s="41" t="s">
        <v>695</v>
      </c>
      <c r="D16" s="41" t="s">
        <v>19</v>
      </c>
      <c r="E16" s="41"/>
      <c r="F16" s="41"/>
      <c r="G16" s="13" t="s">
        <v>83</v>
      </c>
      <c r="H16" s="13"/>
      <c r="I16" s="13"/>
      <c r="J16" s="13"/>
      <c r="K16" s="13"/>
      <c r="L16" s="13"/>
      <c r="M16" s="13"/>
      <c r="N16" s="40" t="s">
        <v>84</v>
      </c>
      <c r="O16" s="41"/>
      <c r="P16" s="41" t="s">
        <v>140</v>
      </c>
      <c r="Q16" s="41" t="s">
        <v>696</v>
      </c>
      <c r="R16" s="41" t="s">
        <v>106</v>
      </c>
      <c r="S16" s="13" t="s">
        <v>107</v>
      </c>
      <c r="T16" s="41"/>
      <c r="U16" s="41" t="s">
        <v>2245</v>
      </c>
      <c r="V16" s="41" t="s">
        <v>116</v>
      </c>
      <c r="W16" s="41" t="s">
        <v>697</v>
      </c>
      <c r="X16" s="41" t="s">
        <v>69</v>
      </c>
      <c r="Y16" s="41" t="s">
        <v>70</v>
      </c>
      <c r="Z16" s="13" t="s">
        <v>3274</v>
      </c>
      <c r="AA16" s="13"/>
      <c r="AB16" s="13"/>
      <c r="AC16" s="13">
        <v>216</v>
      </c>
      <c r="AD16" s="40"/>
      <c r="AE16" s="40"/>
      <c r="AF16" s="40"/>
      <c r="AG16" s="40"/>
      <c r="AH16" s="40"/>
      <c r="AI16" s="40"/>
      <c r="AJ16" s="40"/>
      <c r="AK16" s="40"/>
      <c r="AL16" s="40"/>
      <c r="AM16" s="47"/>
      <c r="AN16" s="41"/>
      <c r="AO16" s="41"/>
      <c r="AP16" s="13"/>
      <c r="AQ16" s="40"/>
      <c r="AR16" s="40"/>
      <c r="AS16" s="41" t="s">
        <v>113</v>
      </c>
      <c r="AT16" s="41" t="s">
        <v>296</v>
      </c>
      <c r="AU16" s="41" t="s">
        <v>115</v>
      </c>
      <c r="AV16" s="41" t="s">
        <v>235</v>
      </c>
      <c r="AW16" s="49">
        <f t="shared" ref="AW16:AW25" si="2">IF(AS16*AU16&gt;0,(AS16-AU16)*12+(AT16-AV16),"")</f>
        <v>11</v>
      </c>
      <c r="AX16" s="49">
        <f t="shared" ref="AX16:AX25" si="3">IF(AW16&lt;13,AW16,"")</f>
        <v>11</v>
      </c>
      <c r="AY16" s="97"/>
    </row>
    <row r="17" spans="1:51" s="2" customFormat="1" ht="41.25" hidden="1" customHeight="1" x14ac:dyDescent="0.2">
      <c r="A17" s="13">
        <v>14</v>
      </c>
      <c r="B17" s="40" t="s">
        <v>3308</v>
      </c>
      <c r="C17" s="41" t="s">
        <v>3309</v>
      </c>
      <c r="D17" s="41" t="s">
        <v>8</v>
      </c>
      <c r="E17" s="41" t="s">
        <v>186</v>
      </c>
      <c r="F17" s="41" t="s">
        <v>3311</v>
      </c>
      <c r="G17" s="13" t="s">
        <v>83</v>
      </c>
      <c r="H17" s="13"/>
      <c r="I17" s="13"/>
      <c r="J17" s="13"/>
      <c r="K17" s="13"/>
      <c r="L17" s="13"/>
      <c r="M17" s="13"/>
      <c r="N17" s="40" t="s">
        <v>84</v>
      </c>
      <c r="O17" s="41"/>
      <c r="P17" s="41" t="s">
        <v>68</v>
      </c>
      <c r="Q17" s="41" t="s">
        <v>882</v>
      </c>
      <c r="R17" s="41" t="s">
        <v>106</v>
      </c>
      <c r="S17" s="13" t="s">
        <v>107</v>
      </c>
      <c r="T17" s="41"/>
      <c r="U17" s="41" t="s">
        <v>3679</v>
      </c>
      <c r="V17" s="41" t="s">
        <v>485</v>
      </c>
      <c r="W17" s="41" t="s">
        <v>1267</v>
      </c>
      <c r="X17" s="41" t="s">
        <v>69</v>
      </c>
      <c r="Y17" s="41" t="s">
        <v>70</v>
      </c>
      <c r="Z17" s="13" t="s">
        <v>3310</v>
      </c>
      <c r="AA17" s="13"/>
      <c r="AB17" s="13"/>
      <c r="AC17" s="13">
        <v>156</v>
      </c>
      <c r="AD17" s="40"/>
      <c r="AE17" s="40"/>
      <c r="AF17" s="40"/>
      <c r="AG17" s="40"/>
      <c r="AH17" s="40"/>
      <c r="AI17" s="40"/>
      <c r="AJ17" s="40"/>
      <c r="AK17" s="40"/>
      <c r="AL17" s="40"/>
      <c r="AM17" s="47"/>
      <c r="AN17" s="41"/>
      <c r="AO17" s="43"/>
      <c r="AP17" s="13"/>
      <c r="AQ17" s="40"/>
      <c r="AR17" s="40"/>
      <c r="AS17" s="41" t="s">
        <v>113</v>
      </c>
      <c r="AT17" s="41" t="s">
        <v>496</v>
      </c>
      <c r="AU17" s="41" t="s">
        <v>115</v>
      </c>
      <c r="AV17" s="41" t="s">
        <v>555</v>
      </c>
      <c r="AW17" s="49">
        <f t="shared" si="2"/>
        <v>7</v>
      </c>
      <c r="AX17" s="49">
        <f t="shared" si="3"/>
        <v>7</v>
      </c>
      <c r="AY17" s="100" t="s">
        <v>3316</v>
      </c>
    </row>
    <row r="18" spans="1:51" s="2" customFormat="1" ht="20.100000000000001" hidden="1" customHeight="1" x14ac:dyDescent="0.2">
      <c r="A18" s="13">
        <v>15</v>
      </c>
      <c r="B18" s="40" t="s">
        <v>3353</v>
      </c>
      <c r="C18" s="41" t="s">
        <v>835</v>
      </c>
      <c r="D18" s="41" t="s">
        <v>20</v>
      </c>
      <c r="E18" s="41" t="s">
        <v>186</v>
      </c>
      <c r="F18" s="41"/>
      <c r="G18" s="13" t="s">
        <v>83</v>
      </c>
      <c r="H18" s="13"/>
      <c r="I18" s="13"/>
      <c r="J18" s="13"/>
      <c r="K18" s="13"/>
      <c r="L18" s="13"/>
      <c r="M18" s="13"/>
      <c r="N18" s="40" t="s">
        <v>84</v>
      </c>
      <c r="O18" s="41"/>
      <c r="P18" s="41" t="s">
        <v>218</v>
      </c>
      <c r="Q18" s="41" t="s">
        <v>836</v>
      </c>
      <c r="R18" s="41" t="s">
        <v>106</v>
      </c>
      <c r="S18" s="13" t="s">
        <v>107</v>
      </c>
      <c r="T18" s="41"/>
      <c r="U18" s="41" t="s">
        <v>3677</v>
      </c>
      <c r="V18" s="41" t="s">
        <v>260</v>
      </c>
      <c r="W18" s="41" t="s">
        <v>837</v>
      </c>
      <c r="X18" s="41" t="s">
        <v>69</v>
      </c>
      <c r="Y18" s="41" t="s">
        <v>70</v>
      </c>
      <c r="Z18" s="13" t="s">
        <v>3358</v>
      </c>
      <c r="AA18" s="13"/>
      <c r="AB18" s="13"/>
      <c r="AC18" s="13">
        <v>237</v>
      </c>
      <c r="AD18" s="40"/>
      <c r="AE18" s="40"/>
      <c r="AF18" s="40"/>
      <c r="AG18" s="40"/>
      <c r="AH18" s="40"/>
      <c r="AI18" s="40"/>
      <c r="AJ18" s="40"/>
      <c r="AK18" s="40"/>
      <c r="AL18" s="40"/>
      <c r="AM18" s="13"/>
      <c r="AN18" s="41"/>
      <c r="AO18" s="41"/>
      <c r="AP18" s="13"/>
      <c r="AQ18" s="40"/>
      <c r="AR18" s="40"/>
      <c r="AS18" s="41" t="s">
        <v>113</v>
      </c>
      <c r="AT18" s="41" t="s">
        <v>235</v>
      </c>
      <c r="AU18" s="41" t="s">
        <v>115</v>
      </c>
      <c r="AV18" s="41" t="s">
        <v>124</v>
      </c>
      <c r="AW18" s="49">
        <f t="shared" si="2"/>
        <v>11</v>
      </c>
      <c r="AX18" s="49">
        <f t="shared" si="3"/>
        <v>11</v>
      </c>
      <c r="AY18" s="97"/>
    </row>
    <row r="19" spans="1:51" s="2" customFormat="1" ht="20.100000000000001" hidden="1" customHeight="1" x14ac:dyDescent="0.2">
      <c r="A19" s="13">
        <v>16</v>
      </c>
      <c r="B19" s="40" t="s">
        <v>3377</v>
      </c>
      <c r="C19" s="41" t="s">
        <v>3378</v>
      </c>
      <c r="D19" s="41" t="s">
        <v>10</v>
      </c>
      <c r="E19" s="41"/>
      <c r="F19" s="41"/>
      <c r="G19" s="13" t="s">
        <v>83</v>
      </c>
      <c r="H19" s="13"/>
      <c r="I19" s="13"/>
      <c r="J19" s="13"/>
      <c r="K19" s="13"/>
      <c r="L19" s="13"/>
      <c r="M19" s="13"/>
      <c r="N19" s="40" t="s">
        <v>93</v>
      </c>
      <c r="O19" s="41" t="s">
        <v>429</v>
      </c>
      <c r="P19" s="41" t="s">
        <v>155</v>
      </c>
      <c r="Q19" s="41" t="s">
        <v>3387</v>
      </c>
      <c r="R19" s="41" t="s">
        <v>106</v>
      </c>
      <c r="S19" s="13" t="s">
        <v>107</v>
      </c>
      <c r="T19" s="41" t="s">
        <v>429</v>
      </c>
      <c r="U19" s="41" t="s">
        <v>3678</v>
      </c>
      <c r="V19" s="41" t="s">
        <v>555</v>
      </c>
      <c r="W19" s="41" t="s">
        <v>3386</v>
      </c>
      <c r="X19" s="41" t="s">
        <v>106</v>
      </c>
      <c r="Y19" s="41" t="s">
        <v>107</v>
      </c>
      <c r="Z19" s="13"/>
      <c r="AA19" s="13"/>
      <c r="AB19" s="13"/>
      <c r="AC19" s="13">
        <v>231</v>
      </c>
      <c r="AD19" s="40"/>
      <c r="AE19" s="40"/>
      <c r="AF19" s="40"/>
      <c r="AG19" s="40"/>
      <c r="AH19" s="40"/>
      <c r="AI19" s="40"/>
      <c r="AJ19" s="40"/>
      <c r="AK19" s="40"/>
      <c r="AL19" s="40"/>
      <c r="AM19" s="47"/>
      <c r="AN19" s="41"/>
      <c r="AO19" s="43"/>
      <c r="AP19" s="13"/>
      <c r="AQ19" s="40"/>
      <c r="AR19" s="40"/>
      <c r="AS19" s="41" t="s">
        <v>113</v>
      </c>
      <c r="AT19" s="41" t="s">
        <v>235</v>
      </c>
      <c r="AU19" s="41" t="s">
        <v>115</v>
      </c>
      <c r="AV19" s="41" t="s">
        <v>1247</v>
      </c>
      <c r="AW19" s="49">
        <f t="shared" si="2"/>
        <v>10</v>
      </c>
      <c r="AX19" s="49">
        <f t="shared" si="3"/>
        <v>10</v>
      </c>
      <c r="AY19" s="97"/>
    </row>
    <row r="20" spans="1:51" s="2" customFormat="1" ht="31.5" hidden="1" x14ac:dyDescent="0.2">
      <c r="A20" s="13">
        <v>17</v>
      </c>
      <c r="B20" s="40" t="s">
        <v>3371</v>
      </c>
      <c r="C20" s="41" t="s">
        <v>179</v>
      </c>
      <c r="D20" s="41" t="s">
        <v>19</v>
      </c>
      <c r="E20" s="41"/>
      <c r="F20" s="41"/>
      <c r="G20" s="13" t="s">
        <v>83</v>
      </c>
      <c r="H20" s="13"/>
      <c r="I20" s="13"/>
      <c r="J20" s="13"/>
      <c r="K20" s="13"/>
      <c r="L20" s="13"/>
      <c r="M20" s="13"/>
      <c r="N20" s="40" t="s">
        <v>92</v>
      </c>
      <c r="O20" s="41" t="s">
        <v>429</v>
      </c>
      <c r="P20" s="41" t="s">
        <v>104</v>
      </c>
      <c r="Q20" s="41" t="s">
        <v>217</v>
      </c>
      <c r="R20" s="41" t="s">
        <v>106</v>
      </c>
      <c r="S20" s="13" t="s">
        <v>107</v>
      </c>
      <c r="T20" s="41" t="s">
        <v>429</v>
      </c>
      <c r="U20" s="41" t="s">
        <v>1510</v>
      </c>
      <c r="V20" s="41" t="s">
        <v>2348</v>
      </c>
      <c r="W20" s="41" t="s">
        <v>191</v>
      </c>
      <c r="X20" s="41" t="s">
        <v>73</v>
      </c>
      <c r="Y20" s="41" t="s">
        <v>70</v>
      </c>
      <c r="Z20" s="13">
        <v>0</v>
      </c>
      <c r="AA20" s="13"/>
      <c r="AB20" s="13"/>
      <c r="AC20" s="13">
        <v>234</v>
      </c>
      <c r="AD20" s="40"/>
      <c r="AE20" s="40"/>
      <c r="AF20" s="40"/>
      <c r="AG20" s="40"/>
      <c r="AH20" s="40"/>
      <c r="AI20" s="40"/>
      <c r="AJ20" s="40"/>
      <c r="AK20" s="40"/>
      <c r="AL20" s="40"/>
      <c r="AM20" s="47"/>
      <c r="AN20" s="41"/>
      <c r="AO20" s="43"/>
      <c r="AP20" s="13"/>
      <c r="AQ20" s="40"/>
      <c r="AR20" s="40"/>
      <c r="AS20" s="41" t="s">
        <v>113</v>
      </c>
      <c r="AT20" s="41" t="s">
        <v>235</v>
      </c>
      <c r="AU20" s="41" t="s">
        <v>113</v>
      </c>
      <c r="AV20" s="41" t="s">
        <v>114</v>
      </c>
      <c r="AW20" s="49">
        <f t="shared" si="2"/>
        <v>2</v>
      </c>
      <c r="AX20" s="49">
        <f t="shared" si="3"/>
        <v>2</v>
      </c>
      <c r="AY20" s="97" t="s">
        <v>3374</v>
      </c>
    </row>
    <row r="21" spans="1:51" s="2" customFormat="1" ht="20.100000000000001" hidden="1" customHeight="1" x14ac:dyDescent="0.2">
      <c r="A21" s="13">
        <v>18</v>
      </c>
      <c r="B21" s="40" t="s">
        <v>3371</v>
      </c>
      <c r="C21" s="41" t="s">
        <v>1038</v>
      </c>
      <c r="D21" s="41" t="s">
        <v>243</v>
      </c>
      <c r="E21" s="41"/>
      <c r="F21" s="41"/>
      <c r="G21" s="13" t="s">
        <v>83</v>
      </c>
      <c r="H21" s="13"/>
      <c r="I21" s="13"/>
      <c r="J21" s="13"/>
      <c r="K21" s="13"/>
      <c r="L21" s="13"/>
      <c r="M21" s="13"/>
      <c r="N21" s="40" t="s">
        <v>93</v>
      </c>
      <c r="O21" s="41" t="s">
        <v>429</v>
      </c>
      <c r="P21" s="41" t="s">
        <v>117</v>
      </c>
      <c r="Q21" s="41" t="s">
        <v>1044</v>
      </c>
      <c r="R21" s="41" t="s">
        <v>106</v>
      </c>
      <c r="S21" s="13" t="s">
        <v>107</v>
      </c>
      <c r="T21" s="41" t="s">
        <v>429</v>
      </c>
      <c r="U21" s="41" t="s">
        <v>3679</v>
      </c>
      <c r="V21" s="41" t="s">
        <v>465</v>
      </c>
      <c r="W21" s="41" t="s">
        <v>1045</v>
      </c>
      <c r="X21" s="41" t="s">
        <v>262</v>
      </c>
      <c r="Y21" s="41" t="s">
        <v>70</v>
      </c>
      <c r="Z21" s="13">
        <v>0</v>
      </c>
      <c r="AA21" s="13"/>
      <c r="AB21" s="13"/>
      <c r="AC21" s="13">
        <v>90</v>
      </c>
      <c r="AD21" s="40"/>
      <c r="AE21" s="40"/>
      <c r="AF21" s="40"/>
      <c r="AG21" s="40"/>
      <c r="AH21" s="40"/>
      <c r="AI21" s="40"/>
      <c r="AJ21" s="40"/>
      <c r="AK21" s="40"/>
      <c r="AL21" s="40"/>
      <c r="AM21" s="47"/>
      <c r="AN21" s="41"/>
      <c r="AO21" s="43"/>
      <c r="AP21" s="13"/>
      <c r="AQ21" s="40"/>
      <c r="AR21" s="40"/>
      <c r="AS21" s="41" t="s">
        <v>113</v>
      </c>
      <c r="AT21" s="41" t="s">
        <v>235</v>
      </c>
      <c r="AU21" s="41" t="s">
        <v>115</v>
      </c>
      <c r="AV21" s="41" t="s">
        <v>1247</v>
      </c>
      <c r="AW21" s="49">
        <f t="shared" si="2"/>
        <v>10</v>
      </c>
      <c r="AX21" s="49">
        <f t="shared" si="3"/>
        <v>10</v>
      </c>
      <c r="AY21" s="97"/>
    </row>
    <row r="22" spans="1:51" s="2" customFormat="1" ht="20.100000000000001" hidden="1" customHeight="1" x14ac:dyDescent="0.2">
      <c r="A22" s="13">
        <v>19</v>
      </c>
      <c r="B22" s="40" t="s">
        <v>3388</v>
      </c>
      <c r="C22" s="41" t="s">
        <v>3280</v>
      </c>
      <c r="D22" s="41" t="s">
        <v>6</v>
      </c>
      <c r="E22" s="41" t="s">
        <v>202</v>
      </c>
      <c r="F22" s="41" t="s">
        <v>197</v>
      </c>
      <c r="G22" s="13" t="s">
        <v>83</v>
      </c>
      <c r="H22" s="13"/>
      <c r="I22" s="13"/>
      <c r="J22" s="13"/>
      <c r="K22" s="13"/>
      <c r="L22" s="13"/>
      <c r="M22" s="13"/>
      <c r="N22" s="40" t="s">
        <v>93</v>
      </c>
      <c r="O22" s="41"/>
      <c r="P22" s="41" t="s">
        <v>155</v>
      </c>
      <c r="Q22" s="41" t="s">
        <v>3295</v>
      </c>
      <c r="R22" s="41" t="s">
        <v>106</v>
      </c>
      <c r="S22" s="13" t="s">
        <v>107</v>
      </c>
      <c r="T22" s="41"/>
      <c r="U22" s="41" t="s">
        <v>3677</v>
      </c>
      <c r="V22" s="41" t="s">
        <v>718</v>
      </c>
      <c r="W22" s="41" t="s">
        <v>3296</v>
      </c>
      <c r="X22" s="41" t="s">
        <v>106</v>
      </c>
      <c r="Y22" s="41" t="s">
        <v>107</v>
      </c>
      <c r="Z22" s="13">
        <v>0</v>
      </c>
      <c r="AA22" s="13"/>
      <c r="AB22" s="13"/>
      <c r="AC22" s="13"/>
      <c r="AD22" s="40">
        <v>216</v>
      </c>
      <c r="AE22" s="40"/>
      <c r="AF22" s="40"/>
      <c r="AG22" s="40"/>
      <c r="AH22" s="40"/>
      <c r="AI22" s="40"/>
      <c r="AJ22" s="40"/>
      <c r="AK22" s="40"/>
      <c r="AL22" s="40"/>
      <c r="AM22" s="47"/>
      <c r="AN22" s="41"/>
      <c r="AO22" s="43"/>
      <c r="AP22" s="13"/>
      <c r="AQ22" s="40"/>
      <c r="AR22" s="40"/>
      <c r="AS22" s="41" t="s">
        <v>113</v>
      </c>
      <c r="AT22" s="41" t="s">
        <v>235</v>
      </c>
      <c r="AU22" s="41" t="s">
        <v>113</v>
      </c>
      <c r="AV22" s="41" t="s">
        <v>296</v>
      </c>
      <c r="AW22" s="49">
        <f t="shared" si="2"/>
        <v>1</v>
      </c>
      <c r="AX22" s="49">
        <f t="shared" si="3"/>
        <v>1</v>
      </c>
      <c r="AY22" s="97" t="s">
        <v>3389</v>
      </c>
    </row>
    <row r="23" spans="1:51" s="2" customFormat="1" ht="20.100000000000001" customHeight="1" x14ac:dyDescent="0.2">
      <c r="A23" s="13">
        <v>20</v>
      </c>
      <c r="B23" s="40" t="s">
        <v>3391</v>
      </c>
      <c r="C23" s="41" t="s">
        <v>2528</v>
      </c>
      <c r="D23" s="41" t="s">
        <v>10</v>
      </c>
      <c r="E23" s="41"/>
      <c r="F23" s="41" t="s">
        <v>197</v>
      </c>
      <c r="G23" s="13" t="s">
        <v>83</v>
      </c>
      <c r="H23" s="13"/>
      <c r="I23" s="13"/>
      <c r="J23" s="13"/>
      <c r="K23" s="13"/>
      <c r="L23" s="13"/>
      <c r="M23" s="13"/>
      <c r="N23" s="40" t="s">
        <v>93</v>
      </c>
      <c r="O23" s="41"/>
      <c r="P23" s="41" t="s">
        <v>769</v>
      </c>
      <c r="Q23" s="41" t="s">
        <v>3331</v>
      </c>
      <c r="R23" s="41" t="s">
        <v>106</v>
      </c>
      <c r="S23" s="13" t="s">
        <v>107</v>
      </c>
      <c r="T23" s="41"/>
      <c r="U23" s="41" t="s">
        <v>2325</v>
      </c>
      <c r="V23" s="41" t="s">
        <v>260</v>
      </c>
      <c r="W23" s="41" t="s">
        <v>3394</v>
      </c>
      <c r="X23" s="41" t="s">
        <v>69</v>
      </c>
      <c r="Y23" s="41" t="s">
        <v>70</v>
      </c>
      <c r="Z23" s="13" t="s">
        <v>3330</v>
      </c>
      <c r="AA23" s="13"/>
      <c r="AB23" s="13"/>
      <c r="AC23" s="13">
        <v>144</v>
      </c>
      <c r="AD23" s="40"/>
      <c r="AE23" s="40"/>
      <c r="AF23" s="40"/>
      <c r="AG23" s="40"/>
      <c r="AH23" s="40"/>
      <c r="AI23" s="40"/>
      <c r="AJ23" s="40"/>
      <c r="AK23" s="40"/>
      <c r="AL23" s="40"/>
      <c r="AM23" s="13"/>
      <c r="AN23" s="41"/>
      <c r="AO23" s="43"/>
      <c r="AP23" s="13"/>
      <c r="AQ23" s="40" t="s">
        <v>111</v>
      </c>
      <c r="AR23" s="40" t="s">
        <v>231</v>
      </c>
      <c r="AS23" s="41" t="s">
        <v>113</v>
      </c>
      <c r="AT23" s="41" t="s">
        <v>235</v>
      </c>
      <c r="AU23" s="41" t="s">
        <v>113</v>
      </c>
      <c r="AV23" s="41" t="s">
        <v>235</v>
      </c>
      <c r="AW23" s="49">
        <f t="shared" si="2"/>
        <v>0</v>
      </c>
      <c r="AX23" s="49">
        <f t="shared" si="3"/>
        <v>0</v>
      </c>
      <c r="AY23" s="97"/>
    </row>
    <row r="24" spans="1:51" s="2" customFormat="1" ht="20.100000000000001" hidden="1" customHeight="1" x14ac:dyDescent="0.2">
      <c r="A24" s="13">
        <v>21</v>
      </c>
      <c r="B24" s="40" t="s">
        <v>3393</v>
      </c>
      <c r="C24" s="41" t="s">
        <v>667</v>
      </c>
      <c r="D24" s="41" t="s">
        <v>20</v>
      </c>
      <c r="E24" s="41"/>
      <c r="F24" s="41"/>
      <c r="G24" s="13" t="s">
        <v>83</v>
      </c>
      <c r="H24" s="13"/>
      <c r="I24" s="13"/>
      <c r="J24" s="13"/>
      <c r="K24" s="13"/>
      <c r="L24" s="13"/>
      <c r="M24" s="13"/>
      <c r="N24" s="40" t="s">
        <v>93</v>
      </c>
      <c r="O24" s="41" t="s">
        <v>429</v>
      </c>
      <c r="P24" s="41" t="s">
        <v>68</v>
      </c>
      <c r="Q24" s="41" t="s">
        <v>682</v>
      </c>
      <c r="R24" s="41" t="s">
        <v>106</v>
      </c>
      <c r="S24" s="13" t="s">
        <v>107</v>
      </c>
      <c r="T24" s="41" t="s">
        <v>429</v>
      </c>
      <c r="U24" s="41" t="s">
        <v>3679</v>
      </c>
      <c r="V24" s="41" t="s">
        <v>485</v>
      </c>
      <c r="W24" s="41" t="s">
        <v>683</v>
      </c>
      <c r="X24" s="41" t="s">
        <v>106</v>
      </c>
      <c r="Y24" s="41" t="s">
        <v>107</v>
      </c>
      <c r="Z24" s="13" t="s">
        <v>3403</v>
      </c>
      <c r="AA24" s="13"/>
      <c r="AB24" s="13"/>
      <c r="AC24" s="13">
        <v>174</v>
      </c>
      <c r="AD24" s="40"/>
      <c r="AE24" s="40"/>
      <c r="AF24" s="40"/>
      <c r="AG24" s="40"/>
      <c r="AH24" s="40"/>
      <c r="AI24" s="40"/>
      <c r="AJ24" s="40"/>
      <c r="AK24" s="40"/>
      <c r="AL24" s="40"/>
      <c r="AM24" s="47"/>
      <c r="AN24" s="41"/>
      <c r="AO24" s="43"/>
      <c r="AP24" s="13"/>
      <c r="AQ24" s="40"/>
      <c r="AR24" s="40"/>
      <c r="AS24" s="41" t="s">
        <v>113</v>
      </c>
      <c r="AT24" s="41" t="s">
        <v>235</v>
      </c>
      <c r="AU24" s="41" t="s">
        <v>115</v>
      </c>
      <c r="AV24" s="41" t="s">
        <v>235</v>
      </c>
      <c r="AW24" s="49">
        <f t="shared" si="2"/>
        <v>12</v>
      </c>
      <c r="AX24" s="49">
        <f t="shared" si="3"/>
        <v>12</v>
      </c>
      <c r="AY24" s="97"/>
    </row>
    <row r="25" spans="1:51" s="2" customFormat="1" ht="20.100000000000001" hidden="1" customHeight="1" x14ac:dyDescent="0.2">
      <c r="A25" s="13">
        <v>22</v>
      </c>
      <c r="B25" s="40" t="s">
        <v>3399</v>
      </c>
      <c r="C25" s="41" t="s">
        <v>1053</v>
      </c>
      <c r="D25" s="41" t="s">
        <v>6</v>
      </c>
      <c r="E25" s="41"/>
      <c r="F25" s="41" t="s">
        <v>197</v>
      </c>
      <c r="G25" s="13" t="s">
        <v>83</v>
      </c>
      <c r="H25" s="13"/>
      <c r="I25" s="13"/>
      <c r="J25" s="13"/>
      <c r="K25" s="13"/>
      <c r="L25" s="13"/>
      <c r="M25" s="13"/>
      <c r="N25" s="40" t="s">
        <v>93</v>
      </c>
      <c r="O25" s="41" t="s">
        <v>429</v>
      </c>
      <c r="P25" s="41" t="s">
        <v>68</v>
      </c>
      <c r="Q25" s="41" t="s">
        <v>691</v>
      </c>
      <c r="R25" s="41" t="s">
        <v>106</v>
      </c>
      <c r="S25" s="13" t="s">
        <v>107</v>
      </c>
      <c r="T25" s="41" t="s">
        <v>429</v>
      </c>
      <c r="U25" s="41" t="s">
        <v>3677</v>
      </c>
      <c r="V25" s="41" t="s">
        <v>555</v>
      </c>
      <c r="W25" s="41" t="s">
        <v>1371</v>
      </c>
      <c r="X25" s="41" t="s">
        <v>106</v>
      </c>
      <c r="Y25" s="41" t="s">
        <v>107</v>
      </c>
      <c r="Z25" s="13" t="s">
        <v>3409</v>
      </c>
      <c r="AA25" s="13"/>
      <c r="AB25" s="13"/>
      <c r="AC25" s="13">
        <v>192</v>
      </c>
      <c r="AD25" s="40"/>
      <c r="AE25" s="40"/>
      <c r="AF25" s="40"/>
      <c r="AG25" s="40"/>
      <c r="AH25" s="40"/>
      <c r="AI25" s="40"/>
      <c r="AJ25" s="40"/>
      <c r="AK25" s="40"/>
      <c r="AL25" s="40"/>
      <c r="AM25" s="47"/>
      <c r="AN25" s="41"/>
      <c r="AO25" s="43"/>
      <c r="AP25" s="13"/>
      <c r="AQ25" s="40"/>
      <c r="AR25" s="40"/>
      <c r="AS25" s="41" t="s">
        <v>113</v>
      </c>
      <c r="AT25" s="41" t="s">
        <v>235</v>
      </c>
      <c r="AU25" s="41" t="s">
        <v>115</v>
      </c>
      <c r="AV25" s="41" t="s">
        <v>148</v>
      </c>
      <c r="AW25" s="49">
        <f t="shared" si="2"/>
        <v>7</v>
      </c>
      <c r="AX25" s="49">
        <f t="shared" si="3"/>
        <v>7</v>
      </c>
      <c r="AY25" s="97" t="s">
        <v>3410</v>
      </c>
    </row>
    <row r="26" spans="1:51" s="2" customFormat="1" ht="20.100000000000001" hidden="1" customHeight="1" x14ac:dyDescent="0.2">
      <c r="A26" s="13">
        <v>23</v>
      </c>
      <c r="B26" s="40" t="s">
        <v>3438</v>
      </c>
      <c r="C26" s="41" t="s">
        <v>1067</v>
      </c>
      <c r="D26" s="41" t="s">
        <v>9</v>
      </c>
      <c r="E26" s="41"/>
      <c r="F26" s="41"/>
      <c r="G26" s="13" t="s">
        <v>83</v>
      </c>
      <c r="H26" s="13"/>
      <c r="I26" s="13"/>
      <c r="J26" s="13"/>
      <c r="K26" s="13"/>
      <c r="L26" s="13"/>
      <c r="M26" s="13"/>
      <c r="N26" s="40" t="s">
        <v>93</v>
      </c>
      <c r="O26" s="41" t="s">
        <v>429</v>
      </c>
      <c r="P26" s="41" t="s">
        <v>104</v>
      </c>
      <c r="Q26" s="41" t="s">
        <v>1068</v>
      </c>
      <c r="R26" s="41" t="s">
        <v>262</v>
      </c>
      <c r="S26" s="13" t="s">
        <v>70</v>
      </c>
      <c r="T26" s="41" t="s">
        <v>429</v>
      </c>
      <c r="U26" s="41" t="s">
        <v>3677</v>
      </c>
      <c r="V26" s="41" t="s">
        <v>555</v>
      </c>
      <c r="W26" s="41" t="s">
        <v>1007</v>
      </c>
      <c r="X26" s="41" t="s">
        <v>106</v>
      </c>
      <c r="Y26" s="41" t="s">
        <v>107</v>
      </c>
      <c r="Z26" s="13" t="s">
        <v>3440</v>
      </c>
      <c r="AA26" s="13"/>
      <c r="AB26" s="13"/>
      <c r="AC26" s="13">
        <v>213</v>
      </c>
      <c r="AD26" s="40"/>
      <c r="AE26" s="40"/>
      <c r="AF26" s="40"/>
      <c r="AG26" s="40"/>
      <c r="AH26" s="40"/>
      <c r="AI26" s="40"/>
      <c r="AJ26" s="40"/>
      <c r="AK26" s="40"/>
      <c r="AL26" s="40"/>
      <c r="AM26" s="13"/>
      <c r="AN26" s="41"/>
      <c r="AO26" s="43"/>
      <c r="AP26" s="13"/>
      <c r="AQ26" s="40"/>
      <c r="AR26" s="40"/>
      <c r="AS26" s="41" t="s">
        <v>113</v>
      </c>
      <c r="AT26" s="41" t="s">
        <v>235</v>
      </c>
      <c r="AU26" s="41" t="s">
        <v>115</v>
      </c>
      <c r="AV26" s="41" t="s">
        <v>137</v>
      </c>
      <c r="AW26" s="49">
        <f t="shared" ref="AW26:AW34" si="4">IF(AS26*AU26&gt;0,(AS26-AU26)*12+(AT26-AV26),"")</f>
        <v>9</v>
      </c>
      <c r="AX26" s="49">
        <f t="shared" ref="AX26:AX34" si="5">IF(AW26&lt;13,AW26,"")</f>
        <v>9</v>
      </c>
      <c r="AY26" s="97"/>
    </row>
    <row r="27" spans="1:51" s="2" customFormat="1" ht="20.100000000000001" hidden="1" customHeight="1" x14ac:dyDescent="0.2">
      <c r="A27" s="13">
        <v>24</v>
      </c>
      <c r="B27" s="40" t="s">
        <v>3500</v>
      </c>
      <c r="C27" s="41" t="s">
        <v>1712</v>
      </c>
      <c r="D27" s="41" t="s">
        <v>9</v>
      </c>
      <c r="E27" s="41" t="s">
        <v>202</v>
      </c>
      <c r="F27" s="41"/>
      <c r="G27" s="13" t="s">
        <v>83</v>
      </c>
      <c r="H27" s="13"/>
      <c r="I27" s="13"/>
      <c r="J27" s="13"/>
      <c r="K27" s="13"/>
      <c r="L27" s="13"/>
      <c r="M27" s="13"/>
      <c r="N27" s="40" t="s">
        <v>93</v>
      </c>
      <c r="O27" s="41"/>
      <c r="P27" s="41" t="s">
        <v>104</v>
      </c>
      <c r="Q27" s="41" t="s">
        <v>1666</v>
      </c>
      <c r="R27" s="41" t="s">
        <v>369</v>
      </c>
      <c r="S27" s="13" t="s">
        <v>369</v>
      </c>
      <c r="T27" s="41"/>
      <c r="U27" s="41" t="s">
        <v>3677</v>
      </c>
      <c r="V27" s="41" t="s">
        <v>555</v>
      </c>
      <c r="W27" s="41" t="s">
        <v>1132</v>
      </c>
      <c r="X27" s="41" t="s">
        <v>106</v>
      </c>
      <c r="Y27" s="41" t="s">
        <v>107</v>
      </c>
      <c r="Z27" s="13" t="s">
        <v>1838</v>
      </c>
      <c r="AA27" s="13"/>
      <c r="AB27" s="13"/>
      <c r="AC27" s="13">
        <v>186</v>
      </c>
      <c r="AD27" s="40"/>
      <c r="AE27" s="40"/>
      <c r="AF27" s="40"/>
      <c r="AG27" s="40"/>
      <c r="AH27" s="40"/>
      <c r="AI27" s="40"/>
      <c r="AJ27" s="40"/>
      <c r="AK27" s="40"/>
      <c r="AL27" s="40"/>
      <c r="AM27" s="13"/>
      <c r="AN27" s="41"/>
      <c r="AO27" s="43"/>
      <c r="AP27" s="13"/>
      <c r="AQ27" s="40"/>
      <c r="AR27" s="40"/>
      <c r="AS27" s="41" t="s">
        <v>113</v>
      </c>
      <c r="AT27" s="41" t="s">
        <v>124</v>
      </c>
      <c r="AU27" s="41" t="s">
        <v>115</v>
      </c>
      <c r="AV27" s="41" t="s">
        <v>441</v>
      </c>
      <c r="AW27" s="49">
        <f t="shared" si="4"/>
        <v>6</v>
      </c>
      <c r="AX27" s="49">
        <f t="shared" si="5"/>
        <v>6</v>
      </c>
      <c r="AY27" s="97"/>
    </row>
    <row r="28" spans="1:51" s="2" customFormat="1" ht="20.100000000000001" hidden="1" customHeight="1" x14ac:dyDescent="0.2">
      <c r="A28" s="13">
        <v>25</v>
      </c>
      <c r="B28" s="40" t="s">
        <v>3506</v>
      </c>
      <c r="C28" s="41" t="s">
        <v>3272</v>
      </c>
      <c r="D28" s="41" t="s">
        <v>19</v>
      </c>
      <c r="E28" s="41" t="s">
        <v>202</v>
      </c>
      <c r="F28" s="41"/>
      <c r="G28" s="13" t="s">
        <v>83</v>
      </c>
      <c r="H28" s="13"/>
      <c r="I28" s="13"/>
      <c r="J28" s="13"/>
      <c r="K28" s="13"/>
      <c r="L28" s="13"/>
      <c r="M28" s="13"/>
      <c r="N28" s="40" t="s">
        <v>84</v>
      </c>
      <c r="O28" s="41"/>
      <c r="P28" s="41" t="s">
        <v>68</v>
      </c>
      <c r="Q28" s="41" t="s">
        <v>3426</v>
      </c>
      <c r="R28" s="41" t="s">
        <v>106</v>
      </c>
      <c r="S28" s="13" t="s">
        <v>107</v>
      </c>
      <c r="T28" s="41"/>
      <c r="U28" s="41" t="s">
        <v>3677</v>
      </c>
      <c r="V28" s="41" t="s">
        <v>485</v>
      </c>
      <c r="W28" s="41" t="s">
        <v>3427</v>
      </c>
      <c r="X28" s="41" t="s">
        <v>106</v>
      </c>
      <c r="Y28" s="41" t="s">
        <v>107</v>
      </c>
      <c r="Z28" s="13" t="s">
        <v>3422</v>
      </c>
      <c r="AA28" s="13"/>
      <c r="AB28" s="13"/>
      <c r="AC28" s="13">
        <v>156</v>
      </c>
      <c r="AD28" s="40"/>
      <c r="AE28" s="40"/>
      <c r="AF28" s="40"/>
      <c r="AG28" s="40"/>
      <c r="AH28" s="40"/>
      <c r="AI28" s="40"/>
      <c r="AJ28" s="40"/>
      <c r="AK28" s="40"/>
      <c r="AL28" s="40"/>
      <c r="AM28" s="13"/>
      <c r="AN28" s="41"/>
      <c r="AO28" s="43"/>
      <c r="AP28" s="13"/>
      <c r="AQ28" s="40"/>
      <c r="AR28" s="40"/>
      <c r="AS28" s="41" t="s">
        <v>113</v>
      </c>
      <c r="AT28" s="41" t="s">
        <v>124</v>
      </c>
      <c r="AU28" s="41" t="s">
        <v>113</v>
      </c>
      <c r="AV28" s="41" t="s">
        <v>235</v>
      </c>
      <c r="AW28" s="49">
        <f t="shared" si="4"/>
        <v>1</v>
      </c>
      <c r="AX28" s="49">
        <f t="shared" si="5"/>
        <v>1</v>
      </c>
      <c r="AY28" s="97"/>
    </row>
    <row r="29" spans="1:51" s="2" customFormat="1" ht="20.100000000000001" customHeight="1" x14ac:dyDescent="0.2">
      <c r="A29" s="13">
        <v>26</v>
      </c>
      <c r="B29" s="40" t="s">
        <v>3507</v>
      </c>
      <c r="C29" s="41" t="s">
        <v>844</v>
      </c>
      <c r="D29" s="41" t="s">
        <v>20</v>
      </c>
      <c r="E29" s="41"/>
      <c r="F29" s="41"/>
      <c r="G29" s="13" t="s">
        <v>83</v>
      </c>
      <c r="H29" s="13"/>
      <c r="I29" s="13"/>
      <c r="J29" s="13"/>
      <c r="K29" s="13"/>
      <c r="L29" s="13"/>
      <c r="M29" s="13"/>
      <c r="N29" s="40" t="s">
        <v>92</v>
      </c>
      <c r="O29" s="41"/>
      <c r="P29" s="41" t="s">
        <v>116</v>
      </c>
      <c r="Q29" s="41" t="s">
        <v>2014</v>
      </c>
      <c r="R29" s="41" t="s">
        <v>106</v>
      </c>
      <c r="S29" s="13" t="s">
        <v>107</v>
      </c>
      <c r="T29" s="41"/>
      <c r="U29" s="41" t="s">
        <v>2325</v>
      </c>
      <c r="V29" s="41" t="s">
        <v>718</v>
      </c>
      <c r="W29" s="41" t="s">
        <v>2015</v>
      </c>
      <c r="X29" s="41" t="s">
        <v>69</v>
      </c>
      <c r="Y29" s="41" t="s">
        <v>70</v>
      </c>
      <c r="Z29" s="13" t="s">
        <v>3515</v>
      </c>
      <c r="AA29" s="13"/>
      <c r="AB29" s="13"/>
      <c r="AC29" s="13">
        <v>135</v>
      </c>
      <c r="AD29" s="40"/>
      <c r="AE29" s="40"/>
      <c r="AF29" s="40"/>
      <c r="AG29" s="40"/>
      <c r="AH29" s="40"/>
      <c r="AI29" s="40"/>
      <c r="AJ29" s="40"/>
      <c r="AK29" s="40"/>
      <c r="AL29" s="40"/>
      <c r="AM29" s="13"/>
      <c r="AN29" s="41"/>
      <c r="AO29" s="43"/>
      <c r="AP29" s="13"/>
      <c r="AQ29" s="40"/>
      <c r="AR29" s="40"/>
      <c r="AS29" s="41" t="s">
        <v>113</v>
      </c>
      <c r="AT29" s="41" t="s">
        <v>124</v>
      </c>
      <c r="AU29" s="41" t="s">
        <v>115</v>
      </c>
      <c r="AV29" s="41" t="s">
        <v>260</v>
      </c>
      <c r="AW29" s="49">
        <f t="shared" si="4"/>
        <v>4</v>
      </c>
      <c r="AX29" s="49">
        <f t="shared" si="5"/>
        <v>4</v>
      </c>
      <c r="AY29" s="97"/>
    </row>
    <row r="30" spans="1:51" s="2" customFormat="1" ht="20.100000000000001" hidden="1" customHeight="1" x14ac:dyDescent="0.2">
      <c r="A30" s="13">
        <v>27</v>
      </c>
      <c r="B30" s="40" t="s">
        <v>3534</v>
      </c>
      <c r="C30" s="41" t="s">
        <v>3536</v>
      </c>
      <c r="D30" s="41" t="s">
        <v>19</v>
      </c>
      <c r="E30" s="41" t="s">
        <v>186</v>
      </c>
      <c r="F30" s="41"/>
      <c r="G30" s="13" t="s">
        <v>83</v>
      </c>
      <c r="H30" s="13"/>
      <c r="I30" s="13"/>
      <c r="J30" s="13"/>
      <c r="K30" s="13"/>
      <c r="L30" s="13"/>
      <c r="M30" s="13"/>
      <c r="N30" s="40" t="s">
        <v>84</v>
      </c>
      <c r="O30" s="41" t="s">
        <v>429</v>
      </c>
      <c r="P30" s="41" t="s">
        <v>68</v>
      </c>
      <c r="Q30" s="41" t="s">
        <v>882</v>
      </c>
      <c r="R30" s="41" t="s">
        <v>106</v>
      </c>
      <c r="S30" s="13" t="s">
        <v>107</v>
      </c>
      <c r="T30" s="41" t="s">
        <v>429</v>
      </c>
      <c r="U30" s="41" t="s">
        <v>3679</v>
      </c>
      <c r="V30" s="41" t="s">
        <v>485</v>
      </c>
      <c r="W30" s="41" t="s">
        <v>1309</v>
      </c>
      <c r="X30" s="41" t="s">
        <v>142</v>
      </c>
      <c r="Y30" s="41" t="s">
        <v>70</v>
      </c>
      <c r="Z30" s="13" t="s">
        <v>3538</v>
      </c>
      <c r="AA30" s="13"/>
      <c r="AB30" s="13"/>
      <c r="AC30" s="13"/>
      <c r="AD30" s="40">
        <v>174</v>
      </c>
      <c r="AE30" s="40"/>
      <c r="AF30" s="40"/>
      <c r="AG30" s="40"/>
      <c r="AH30" s="40"/>
      <c r="AI30" s="40"/>
      <c r="AJ30" s="40"/>
      <c r="AK30" s="40"/>
      <c r="AL30" s="40"/>
      <c r="AM30" s="13"/>
      <c r="AN30" s="41"/>
      <c r="AO30" s="43"/>
      <c r="AP30" s="13"/>
      <c r="AQ30" s="40"/>
      <c r="AR30" s="40"/>
      <c r="AS30" s="41" t="s">
        <v>113</v>
      </c>
      <c r="AT30" s="41" t="s">
        <v>124</v>
      </c>
      <c r="AU30" s="41" t="s">
        <v>115</v>
      </c>
      <c r="AV30" s="41" t="s">
        <v>344</v>
      </c>
      <c r="AW30" s="49">
        <f t="shared" si="4"/>
        <v>9</v>
      </c>
      <c r="AX30" s="49">
        <f t="shared" si="5"/>
        <v>9</v>
      </c>
      <c r="AY30" s="97"/>
    </row>
    <row r="31" spans="1:51" s="2" customFormat="1" ht="20.100000000000001" hidden="1" customHeight="1" x14ac:dyDescent="0.2">
      <c r="A31" s="13">
        <v>28</v>
      </c>
      <c r="B31" s="40" t="s">
        <v>3535</v>
      </c>
      <c r="C31" s="41" t="s">
        <v>2558</v>
      </c>
      <c r="D31" s="41" t="s">
        <v>20</v>
      </c>
      <c r="E31" s="41"/>
      <c r="F31" s="41"/>
      <c r="G31" s="13" t="s">
        <v>83</v>
      </c>
      <c r="H31" s="13"/>
      <c r="I31" s="13"/>
      <c r="J31" s="13"/>
      <c r="K31" s="13"/>
      <c r="L31" s="13"/>
      <c r="M31" s="13"/>
      <c r="N31" s="40" t="s">
        <v>84</v>
      </c>
      <c r="O31" s="41"/>
      <c r="P31" s="41" t="s">
        <v>68</v>
      </c>
      <c r="Q31" s="41" t="s">
        <v>3457</v>
      </c>
      <c r="R31" s="41" t="s">
        <v>106</v>
      </c>
      <c r="S31" s="13" t="s">
        <v>107</v>
      </c>
      <c r="T31" s="41"/>
      <c r="U31" s="41" t="s">
        <v>3677</v>
      </c>
      <c r="V31" s="41" t="s">
        <v>485</v>
      </c>
      <c r="W31" s="41" t="s">
        <v>3458</v>
      </c>
      <c r="X31" s="41" t="s">
        <v>106</v>
      </c>
      <c r="Y31" s="41" t="s">
        <v>107</v>
      </c>
      <c r="Z31" s="13" t="s">
        <v>3433</v>
      </c>
      <c r="AA31" s="13"/>
      <c r="AB31" s="13"/>
      <c r="AC31" s="13"/>
      <c r="AD31" s="40">
        <v>162</v>
      </c>
      <c r="AE31" s="40"/>
      <c r="AF31" s="40"/>
      <c r="AG31" s="40"/>
      <c r="AH31" s="40"/>
      <c r="AI31" s="40"/>
      <c r="AJ31" s="40"/>
      <c r="AK31" s="40"/>
      <c r="AL31" s="40"/>
      <c r="AM31" s="13"/>
      <c r="AN31" s="41"/>
      <c r="AO31" s="43"/>
      <c r="AP31" s="13"/>
      <c r="AQ31" s="40"/>
      <c r="AR31" s="40"/>
      <c r="AS31" s="41" t="s">
        <v>113</v>
      </c>
      <c r="AT31" s="41" t="s">
        <v>124</v>
      </c>
      <c r="AU31" s="41" t="s">
        <v>113</v>
      </c>
      <c r="AV31" s="41" t="s">
        <v>235</v>
      </c>
      <c r="AW31" s="49">
        <f t="shared" si="4"/>
        <v>1</v>
      </c>
      <c r="AX31" s="49">
        <f t="shared" si="5"/>
        <v>1</v>
      </c>
      <c r="AY31" s="97"/>
    </row>
    <row r="32" spans="1:51" s="2" customFormat="1" ht="20.100000000000001" hidden="1" customHeight="1" x14ac:dyDescent="0.2">
      <c r="A32" s="13">
        <v>29</v>
      </c>
      <c r="B32" s="40" t="s">
        <v>3556</v>
      </c>
      <c r="C32" s="41" t="s">
        <v>30</v>
      </c>
      <c r="D32" s="41" t="s">
        <v>19</v>
      </c>
      <c r="E32" s="41" t="s">
        <v>94</v>
      </c>
      <c r="F32" s="41"/>
      <c r="G32" s="13" t="s">
        <v>83</v>
      </c>
      <c r="H32" s="13"/>
      <c r="I32" s="13"/>
      <c r="J32" s="13"/>
      <c r="K32" s="13"/>
      <c r="L32" s="13"/>
      <c r="M32" s="13"/>
      <c r="N32" s="40" t="s">
        <v>84</v>
      </c>
      <c r="O32" s="41"/>
      <c r="P32" s="41" t="s">
        <v>223</v>
      </c>
      <c r="Q32" s="41" t="s">
        <v>327</v>
      </c>
      <c r="R32" s="41" t="s">
        <v>142</v>
      </c>
      <c r="S32" s="13" t="s">
        <v>70</v>
      </c>
      <c r="T32" s="41"/>
      <c r="U32" s="41" t="s">
        <v>1809</v>
      </c>
      <c r="V32" s="41" t="s">
        <v>260</v>
      </c>
      <c r="W32" s="41" t="s">
        <v>329</v>
      </c>
      <c r="X32" s="41" t="s">
        <v>106</v>
      </c>
      <c r="Y32" s="41" t="s">
        <v>107</v>
      </c>
      <c r="Z32" s="13" t="s">
        <v>314</v>
      </c>
      <c r="AA32" s="13"/>
      <c r="AB32" s="13"/>
      <c r="AC32" s="13">
        <v>150</v>
      </c>
      <c r="AD32" s="40"/>
      <c r="AE32" s="40"/>
      <c r="AF32" s="40"/>
      <c r="AG32" s="40"/>
      <c r="AH32" s="40"/>
      <c r="AI32" s="40"/>
      <c r="AJ32" s="40"/>
      <c r="AK32" s="40"/>
      <c r="AL32" s="40"/>
      <c r="AM32" s="13"/>
      <c r="AN32" s="41"/>
      <c r="AO32" s="43"/>
      <c r="AP32" s="13"/>
      <c r="AQ32" s="40"/>
      <c r="AR32" s="40"/>
      <c r="AS32" s="41" t="s">
        <v>113</v>
      </c>
      <c r="AT32" s="41" t="s">
        <v>124</v>
      </c>
      <c r="AU32" s="41" t="s">
        <v>113</v>
      </c>
      <c r="AV32" s="41" t="s">
        <v>296</v>
      </c>
      <c r="AW32" s="49">
        <f t="shared" si="4"/>
        <v>2</v>
      </c>
      <c r="AX32" s="49">
        <f t="shared" si="5"/>
        <v>2</v>
      </c>
      <c r="AY32" s="97" t="s">
        <v>3568</v>
      </c>
    </row>
    <row r="33" spans="1:51" s="2" customFormat="1" ht="20.100000000000001" hidden="1" customHeight="1" x14ac:dyDescent="0.2">
      <c r="A33" s="13">
        <v>30</v>
      </c>
      <c r="B33" s="40" t="s">
        <v>3562</v>
      </c>
      <c r="C33" s="41" t="s">
        <v>967</v>
      </c>
      <c r="D33" s="41" t="s">
        <v>10</v>
      </c>
      <c r="E33" s="41"/>
      <c r="F33" s="41"/>
      <c r="G33" s="13" t="s">
        <v>83</v>
      </c>
      <c r="H33" s="13"/>
      <c r="I33" s="13"/>
      <c r="J33" s="13"/>
      <c r="K33" s="13"/>
      <c r="L33" s="13"/>
      <c r="M33" s="13"/>
      <c r="N33" s="40" t="s">
        <v>93</v>
      </c>
      <c r="O33" s="41"/>
      <c r="P33" s="41" t="s">
        <v>104</v>
      </c>
      <c r="Q33" s="41" t="s">
        <v>1047</v>
      </c>
      <c r="R33" s="41" t="s">
        <v>69</v>
      </c>
      <c r="S33" s="13" t="s">
        <v>70</v>
      </c>
      <c r="T33" s="41"/>
      <c r="U33" s="41" t="s">
        <v>2245</v>
      </c>
      <c r="V33" s="41" t="s">
        <v>260</v>
      </c>
      <c r="W33" s="41" t="s">
        <v>3563</v>
      </c>
      <c r="X33" s="41" t="s">
        <v>69</v>
      </c>
      <c r="Y33" s="41" t="s">
        <v>70</v>
      </c>
      <c r="Z33" s="13" t="s">
        <v>3564</v>
      </c>
      <c r="AA33" s="13"/>
      <c r="AB33" s="13"/>
      <c r="AC33" s="13">
        <v>195</v>
      </c>
      <c r="AD33" s="40"/>
      <c r="AE33" s="40"/>
      <c r="AF33" s="40"/>
      <c r="AG33" s="40"/>
      <c r="AH33" s="40"/>
      <c r="AI33" s="40"/>
      <c r="AJ33" s="40"/>
      <c r="AK33" s="40"/>
      <c r="AL33" s="40"/>
      <c r="AM33" s="13"/>
      <c r="AN33" s="41"/>
      <c r="AO33" s="43"/>
      <c r="AP33" s="13"/>
      <c r="AQ33" s="40" t="s">
        <v>111</v>
      </c>
      <c r="AR33" s="40" t="s">
        <v>193</v>
      </c>
      <c r="AS33" s="41" t="s">
        <v>113</v>
      </c>
      <c r="AT33" s="41" t="s">
        <v>124</v>
      </c>
      <c r="AU33" s="41" t="s">
        <v>115</v>
      </c>
      <c r="AV33" s="41" t="s">
        <v>1247</v>
      </c>
      <c r="AW33" s="49">
        <f t="shared" si="4"/>
        <v>11</v>
      </c>
      <c r="AX33" s="49">
        <f t="shared" si="5"/>
        <v>11</v>
      </c>
      <c r="AY33" s="97"/>
    </row>
    <row r="34" spans="1:51" s="2" customFormat="1" ht="20.100000000000001" hidden="1" customHeight="1" x14ac:dyDescent="0.2">
      <c r="A34" s="13">
        <v>31</v>
      </c>
      <c r="B34" s="40" t="s">
        <v>3573</v>
      </c>
      <c r="C34" s="41" t="s">
        <v>3309</v>
      </c>
      <c r="D34" s="41" t="s">
        <v>8</v>
      </c>
      <c r="E34" s="41"/>
      <c r="F34" s="41"/>
      <c r="G34" s="13" t="s">
        <v>83</v>
      </c>
      <c r="H34" s="13"/>
      <c r="I34" s="13"/>
      <c r="J34" s="13"/>
      <c r="K34" s="13"/>
      <c r="L34" s="13"/>
      <c r="M34" s="13"/>
      <c r="N34" s="40" t="s">
        <v>84</v>
      </c>
      <c r="O34" s="41"/>
      <c r="P34" s="41" t="s">
        <v>68</v>
      </c>
      <c r="Q34" s="41" t="s">
        <v>882</v>
      </c>
      <c r="R34" s="41" t="s">
        <v>106</v>
      </c>
      <c r="S34" s="13" t="s">
        <v>107</v>
      </c>
      <c r="T34" s="41"/>
      <c r="U34" s="41" t="s">
        <v>3679</v>
      </c>
      <c r="V34" s="41" t="s">
        <v>485</v>
      </c>
      <c r="W34" s="41" t="s">
        <v>1267</v>
      </c>
      <c r="X34" s="41" t="s">
        <v>69</v>
      </c>
      <c r="Y34" s="41" t="s">
        <v>70</v>
      </c>
      <c r="Z34" s="13" t="s">
        <v>3310</v>
      </c>
      <c r="AA34" s="13"/>
      <c r="AB34" s="13"/>
      <c r="AC34" s="13">
        <v>156</v>
      </c>
      <c r="AD34" s="40"/>
      <c r="AE34" s="40"/>
      <c r="AF34" s="40"/>
      <c r="AG34" s="40"/>
      <c r="AH34" s="40"/>
      <c r="AI34" s="40"/>
      <c r="AJ34" s="40"/>
      <c r="AK34" s="40"/>
      <c r="AL34" s="40"/>
      <c r="AM34" s="13"/>
      <c r="AN34" s="41"/>
      <c r="AO34" s="43"/>
      <c r="AP34" s="13"/>
      <c r="AQ34" s="40"/>
      <c r="AR34" s="40"/>
      <c r="AS34" s="41" t="s">
        <v>113</v>
      </c>
      <c r="AT34" s="41" t="s">
        <v>124</v>
      </c>
      <c r="AU34" s="41" t="s">
        <v>115</v>
      </c>
      <c r="AV34" s="41" t="s">
        <v>344</v>
      </c>
      <c r="AW34" s="49">
        <f t="shared" si="4"/>
        <v>9</v>
      </c>
      <c r="AX34" s="49">
        <f t="shared" si="5"/>
        <v>9</v>
      </c>
      <c r="AY34" s="97"/>
    </row>
    <row r="35" spans="1:51" s="2" customFormat="1" ht="20.100000000000001" hidden="1" customHeight="1" x14ac:dyDescent="0.2">
      <c r="A35" s="13">
        <v>32</v>
      </c>
      <c r="B35" s="40" t="s">
        <v>3602</v>
      </c>
      <c r="C35" s="41" t="s">
        <v>1537</v>
      </c>
      <c r="D35" s="41" t="s">
        <v>10</v>
      </c>
      <c r="E35" s="41"/>
      <c r="F35" s="41"/>
      <c r="G35" s="13" t="s">
        <v>83</v>
      </c>
      <c r="H35" s="13"/>
      <c r="I35" s="13"/>
      <c r="J35" s="13"/>
      <c r="K35" s="13"/>
      <c r="L35" s="13"/>
      <c r="M35" s="13"/>
      <c r="N35" s="40" t="s">
        <v>93</v>
      </c>
      <c r="O35" s="41"/>
      <c r="P35" s="41" t="s">
        <v>141</v>
      </c>
      <c r="Q35" s="41" t="s">
        <v>1538</v>
      </c>
      <c r="R35" s="41" t="s">
        <v>69</v>
      </c>
      <c r="S35" s="13" t="s">
        <v>70</v>
      </c>
      <c r="T35" s="41"/>
      <c r="U35" s="41" t="s">
        <v>2961</v>
      </c>
      <c r="V35" s="41" t="s">
        <v>2348</v>
      </c>
      <c r="W35" s="41" t="s">
        <v>1539</v>
      </c>
      <c r="X35" s="41" t="s">
        <v>106</v>
      </c>
      <c r="Y35" s="41" t="s">
        <v>107</v>
      </c>
      <c r="Z35" s="13">
        <v>0</v>
      </c>
      <c r="AA35" s="13"/>
      <c r="AB35" s="13"/>
      <c r="AC35" s="13">
        <v>189</v>
      </c>
      <c r="AD35" s="40"/>
      <c r="AE35" s="40"/>
      <c r="AF35" s="40"/>
      <c r="AG35" s="40"/>
      <c r="AH35" s="40"/>
      <c r="AI35" s="40"/>
      <c r="AJ35" s="40"/>
      <c r="AK35" s="40"/>
      <c r="AL35" s="40"/>
      <c r="AM35" s="13"/>
      <c r="AN35" s="41"/>
      <c r="AO35" s="43"/>
      <c r="AP35" s="13"/>
      <c r="AQ35" s="40" t="s">
        <v>111</v>
      </c>
      <c r="AR35" s="40"/>
      <c r="AS35" s="41" t="s">
        <v>113</v>
      </c>
      <c r="AT35" s="41" t="s">
        <v>124</v>
      </c>
      <c r="AU35" s="41" t="s">
        <v>115</v>
      </c>
      <c r="AV35" s="41" t="s">
        <v>148</v>
      </c>
      <c r="AW35" s="49">
        <f t="shared" ref="AW35:AW43" si="6">IF(AS35*AU35&gt;0,(AS35-AU35)*12+(AT35-AV35),"")</f>
        <v>8</v>
      </c>
      <c r="AX35" s="49">
        <f t="shared" ref="AX35:AX43" si="7">IF(AW35&lt;13,AW35,"")</f>
        <v>8</v>
      </c>
      <c r="AY35" s="97"/>
    </row>
    <row r="36" spans="1:51" s="2" customFormat="1" ht="20.100000000000001" hidden="1" customHeight="1" x14ac:dyDescent="0.2">
      <c r="A36" s="13">
        <v>33</v>
      </c>
      <c r="B36" s="40" t="s">
        <v>3607</v>
      </c>
      <c r="C36" s="41" t="s">
        <v>364</v>
      </c>
      <c r="D36" s="41" t="s">
        <v>19</v>
      </c>
      <c r="E36" s="41" t="s">
        <v>174</v>
      </c>
      <c r="F36" s="41"/>
      <c r="G36" s="13" t="s">
        <v>83</v>
      </c>
      <c r="H36" s="13"/>
      <c r="I36" s="13"/>
      <c r="J36" s="13"/>
      <c r="K36" s="13"/>
      <c r="L36" s="13"/>
      <c r="M36" s="13"/>
      <c r="N36" s="40" t="s">
        <v>93</v>
      </c>
      <c r="O36" s="41"/>
      <c r="P36" s="41" t="s">
        <v>140</v>
      </c>
      <c r="Q36" s="41" t="s">
        <v>3544</v>
      </c>
      <c r="R36" s="41" t="s">
        <v>106</v>
      </c>
      <c r="S36" s="13" t="s">
        <v>107</v>
      </c>
      <c r="T36" s="41"/>
      <c r="U36" s="41" t="s">
        <v>3680</v>
      </c>
      <c r="V36" s="41" t="s">
        <v>485</v>
      </c>
      <c r="W36" s="41" t="s">
        <v>3545</v>
      </c>
      <c r="X36" s="41" t="s">
        <v>73</v>
      </c>
      <c r="Y36" s="41" t="s">
        <v>70</v>
      </c>
      <c r="Z36" s="13" t="s">
        <v>3534</v>
      </c>
      <c r="AA36" s="13"/>
      <c r="AB36" s="13"/>
      <c r="AC36" s="13">
        <v>105</v>
      </c>
      <c r="AD36" s="40"/>
      <c r="AE36" s="40"/>
      <c r="AF36" s="40"/>
      <c r="AG36" s="40"/>
      <c r="AH36" s="40"/>
      <c r="AI36" s="40"/>
      <c r="AJ36" s="40"/>
      <c r="AK36" s="40"/>
      <c r="AL36" s="40"/>
      <c r="AM36" s="13"/>
      <c r="AN36" s="41"/>
      <c r="AO36" s="43"/>
      <c r="AP36" s="13"/>
      <c r="AQ36" s="40" t="s">
        <v>111</v>
      </c>
      <c r="AR36" s="40" t="s">
        <v>231</v>
      </c>
      <c r="AS36" s="41" t="s">
        <v>113</v>
      </c>
      <c r="AT36" s="41" t="s">
        <v>1247</v>
      </c>
      <c r="AU36" s="41" t="s">
        <v>113</v>
      </c>
      <c r="AV36" s="41" t="s">
        <v>124</v>
      </c>
      <c r="AW36" s="49">
        <f t="shared" si="6"/>
        <v>1</v>
      </c>
      <c r="AX36" s="49">
        <f t="shared" si="7"/>
        <v>1</v>
      </c>
      <c r="AY36" s="97"/>
    </row>
    <row r="37" spans="1:51" s="2" customFormat="1" ht="20.100000000000001" hidden="1" customHeight="1" x14ac:dyDescent="0.2">
      <c r="A37" s="13">
        <v>34</v>
      </c>
      <c r="B37" s="40" t="s">
        <v>3642</v>
      </c>
      <c r="C37" s="41" t="s">
        <v>30</v>
      </c>
      <c r="D37" s="41" t="s">
        <v>19</v>
      </c>
      <c r="E37" s="41" t="s">
        <v>186</v>
      </c>
      <c r="F37" s="41"/>
      <c r="G37" s="13" t="s">
        <v>83</v>
      </c>
      <c r="H37" s="13"/>
      <c r="I37" s="13"/>
      <c r="J37" s="13"/>
      <c r="K37" s="13"/>
      <c r="L37" s="13"/>
      <c r="M37" s="13"/>
      <c r="N37" s="40" t="s">
        <v>84</v>
      </c>
      <c r="O37" s="41"/>
      <c r="P37" s="41" t="s">
        <v>223</v>
      </c>
      <c r="Q37" s="41" t="s">
        <v>3587</v>
      </c>
      <c r="R37" s="41" t="s">
        <v>69</v>
      </c>
      <c r="S37" s="13" t="s">
        <v>70</v>
      </c>
      <c r="T37" s="41"/>
      <c r="U37" s="41" t="s">
        <v>1809</v>
      </c>
      <c r="V37" s="41" t="s">
        <v>260</v>
      </c>
      <c r="W37" s="41" t="s">
        <v>3588</v>
      </c>
      <c r="X37" s="41" t="s">
        <v>106</v>
      </c>
      <c r="Y37" s="41" t="s">
        <v>107</v>
      </c>
      <c r="Z37" s="13" t="s">
        <v>3571</v>
      </c>
      <c r="AA37" s="13"/>
      <c r="AB37" s="13"/>
      <c r="AC37" s="13">
        <v>147</v>
      </c>
      <c r="AD37" s="40"/>
      <c r="AE37" s="40"/>
      <c r="AF37" s="40"/>
      <c r="AG37" s="40"/>
      <c r="AH37" s="40"/>
      <c r="AI37" s="40"/>
      <c r="AJ37" s="40"/>
      <c r="AK37" s="40"/>
      <c r="AL37" s="40"/>
      <c r="AM37" s="13"/>
      <c r="AN37" s="41"/>
      <c r="AO37" s="43"/>
      <c r="AP37" s="13"/>
      <c r="AQ37" s="40"/>
      <c r="AR37" s="40"/>
      <c r="AS37" s="41" t="s">
        <v>113</v>
      </c>
      <c r="AT37" s="41" t="s">
        <v>1247</v>
      </c>
      <c r="AU37" s="41" t="s">
        <v>113</v>
      </c>
      <c r="AV37" s="41" t="s">
        <v>124</v>
      </c>
      <c r="AW37" s="49">
        <f t="shared" si="6"/>
        <v>1</v>
      </c>
      <c r="AX37" s="49">
        <f t="shared" si="7"/>
        <v>1</v>
      </c>
      <c r="AY37" s="97"/>
    </row>
    <row r="38" spans="1:51" s="2" customFormat="1" ht="20.100000000000001" hidden="1" customHeight="1" x14ac:dyDescent="0.2">
      <c r="A38" s="13">
        <v>35</v>
      </c>
      <c r="B38" s="40" t="s">
        <v>3643</v>
      </c>
      <c r="C38" s="41" t="s">
        <v>283</v>
      </c>
      <c r="D38" s="41" t="s">
        <v>19</v>
      </c>
      <c r="E38" s="41" t="s">
        <v>922</v>
      </c>
      <c r="F38" s="41"/>
      <c r="G38" s="13" t="s">
        <v>83</v>
      </c>
      <c r="H38" s="13"/>
      <c r="I38" s="13"/>
      <c r="J38" s="13"/>
      <c r="K38" s="13"/>
      <c r="L38" s="13"/>
      <c r="M38" s="13"/>
      <c r="N38" s="40" t="s">
        <v>84</v>
      </c>
      <c r="O38" s="41"/>
      <c r="P38" s="41" t="s">
        <v>104</v>
      </c>
      <c r="Q38" s="41" t="s">
        <v>3283</v>
      </c>
      <c r="R38" s="41" t="s">
        <v>106</v>
      </c>
      <c r="S38" s="13" t="s">
        <v>107</v>
      </c>
      <c r="T38" s="41"/>
      <c r="U38" s="41" t="s">
        <v>3677</v>
      </c>
      <c r="V38" s="41" t="s">
        <v>555</v>
      </c>
      <c r="W38" s="41" t="s">
        <v>3284</v>
      </c>
      <c r="X38" s="41" t="s">
        <v>106</v>
      </c>
      <c r="Y38" s="41" t="s">
        <v>107</v>
      </c>
      <c r="Z38" s="13" t="s">
        <v>282</v>
      </c>
      <c r="AA38" s="13"/>
      <c r="AB38" s="13"/>
      <c r="AC38" s="13">
        <v>222</v>
      </c>
      <c r="AD38" s="40"/>
      <c r="AE38" s="40"/>
      <c r="AF38" s="40"/>
      <c r="AG38" s="40"/>
      <c r="AH38" s="40"/>
      <c r="AI38" s="40"/>
      <c r="AJ38" s="40"/>
      <c r="AK38" s="40"/>
      <c r="AL38" s="40"/>
      <c r="AM38" s="13"/>
      <c r="AN38" s="41"/>
      <c r="AO38" s="43"/>
      <c r="AP38" s="13"/>
      <c r="AQ38" s="40"/>
      <c r="AR38" s="40"/>
      <c r="AS38" s="41" t="s">
        <v>113</v>
      </c>
      <c r="AT38" s="41" t="s">
        <v>1247</v>
      </c>
      <c r="AU38" s="41" t="s">
        <v>113</v>
      </c>
      <c r="AV38" s="41" t="s">
        <v>114</v>
      </c>
      <c r="AW38" s="49">
        <f t="shared" si="6"/>
        <v>4</v>
      </c>
      <c r="AX38" s="49">
        <f t="shared" si="7"/>
        <v>4</v>
      </c>
      <c r="AY38" s="97"/>
    </row>
    <row r="39" spans="1:51" s="2" customFormat="1" ht="20.100000000000001" hidden="1" customHeight="1" x14ac:dyDescent="0.2">
      <c r="A39" s="13">
        <v>36</v>
      </c>
      <c r="B39" s="40" t="s">
        <v>3648</v>
      </c>
      <c r="C39" s="41" t="s">
        <v>2558</v>
      </c>
      <c r="D39" s="41" t="s">
        <v>20</v>
      </c>
      <c r="E39" s="41"/>
      <c r="F39" s="41"/>
      <c r="G39" s="13" t="s">
        <v>83</v>
      </c>
      <c r="H39" s="13"/>
      <c r="I39" s="13"/>
      <c r="J39" s="13"/>
      <c r="K39" s="13"/>
      <c r="L39" s="13"/>
      <c r="M39" s="13"/>
      <c r="N39" s="40" t="s">
        <v>84</v>
      </c>
      <c r="O39" s="41"/>
      <c r="P39" s="41" t="s">
        <v>68</v>
      </c>
      <c r="Q39" s="41" t="s">
        <v>3457</v>
      </c>
      <c r="R39" s="41" t="s">
        <v>369</v>
      </c>
      <c r="S39" s="13" t="s">
        <v>369</v>
      </c>
      <c r="T39" s="41"/>
      <c r="U39" s="41" t="s">
        <v>3677</v>
      </c>
      <c r="V39" s="41" t="s">
        <v>485</v>
      </c>
      <c r="W39" s="41" t="s">
        <v>3458</v>
      </c>
      <c r="X39" s="41" t="s">
        <v>369</v>
      </c>
      <c r="Y39" s="41" t="s">
        <v>369</v>
      </c>
      <c r="Z39" s="13" t="s">
        <v>3555</v>
      </c>
      <c r="AA39" s="13"/>
      <c r="AB39" s="13"/>
      <c r="AC39" s="13">
        <v>162</v>
      </c>
      <c r="AD39" s="40"/>
      <c r="AE39" s="40"/>
      <c r="AF39" s="40"/>
      <c r="AG39" s="40"/>
      <c r="AH39" s="40"/>
      <c r="AI39" s="40"/>
      <c r="AJ39" s="40"/>
      <c r="AK39" s="40"/>
      <c r="AL39" s="40"/>
      <c r="AM39" s="13"/>
      <c r="AN39" s="41"/>
      <c r="AO39" s="43"/>
      <c r="AP39" s="13"/>
      <c r="AQ39" s="40"/>
      <c r="AR39" s="40"/>
      <c r="AS39" s="41" t="s">
        <v>113</v>
      </c>
      <c r="AT39" s="41" t="s">
        <v>1247</v>
      </c>
      <c r="AU39" s="41" t="s">
        <v>113</v>
      </c>
      <c r="AV39" s="41" t="s">
        <v>124</v>
      </c>
      <c r="AW39" s="49">
        <f t="shared" si="6"/>
        <v>1</v>
      </c>
      <c r="AX39" s="49">
        <f t="shared" si="7"/>
        <v>1</v>
      </c>
      <c r="AY39" s="97"/>
    </row>
    <row r="40" spans="1:51" s="2" customFormat="1" ht="20.100000000000001" hidden="1" customHeight="1" x14ac:dyDescent="0.2">
      <c r="A40" s="13">
        <v>37</v>
      </c>
      <c r="B40" s="40" t="s">
        <v>3648</v>
      </c>
      <c r="C40" s="41" t="s">
        <v>754</v>
      </c>
      <c r="D40" s="41" t="s">
        <v>8</v>
      </c>
      <c r="E40" s="41"/>
      <c r="F40" s="41"/>
      <c r="G40" s="13" t="s">
        <v>83</v>
      </c>
      <c r="H40" s="13"/>
      <c r="I40" s="13"/>
      <c r="J40" s="13"/>
      <c r="K40" s="13"/>
      <c r="L40" s="13"/>
      <c r="M40" s="13"/>
      <c r="N40" s="40" t="s">
        <v>84</v>
      </c>
      <c r="O40" s="41"/>
      <c r="P40" s="41" t="s">
        <v>769</v>
      </c>
      <c r="Q40" s="41" t="s">
        <v>1204</v>
      </c>
      <c r="R40" s="41" t="s">
        <v>106</v>
      </c>
      <c r="S40" s="13" t="s">
        <v>107</v>
      </c>
      <c r="T40" s="41"/>
      <c r="U40" s="41" t="s">
        <v>1809</v>
      </c>
      <c r="V40" s="41" t="s">
        <v>485</v>
      </c>
      <c r="W40" s="41" t="s">
        <v>1205</v>
      </c>
      <c r="X40" s="41" t="s">
        <v>106</v>
      </c>
      <c r="Y40" s="41" t="s">
        <v>107</v>
      </c>
      <c r="Z40" s="13" t="s">
        <v>3667</v>
      </c>
      <c r="AA40" s="13"/>
      <c r="AB40" s="13"/>
      <c r="AC40" s="13">
        <v>74</v>
      </c>
      <c r="AD40" s="40"/>
      <c r="AE40" s="40"/>
      <c r="AF40" s="40"/>
      <c r="AG40" s="40"/>
      <c r="AH40" s="40"/>
      <c r="AI40" s="40"/>
      <c r="AJ40" s="40"/>
      <c r="AK40" s="40"/>
      <c r="AL40" s="40"/>
      <c r="AM40" s="13"/>
      <c r="AN40" s="41"/>
      <c r="AO40" s="43"/>
      <c r="AP40" s="13"/>
      <c r="AQ40" s="40"/>
      <c r="AR40" s="40"/>
      <c r="AS40" s="41" t="s">
        <v>113</v>
      </c>
      <c r="AT40" s="41" t="s">
        <v>1247</v>
      </c>
      <c r="AU40" s="41" t="s">
        <v>115</v>
      </c>
      <c r="AV40" s="41" t="s">
        <v>137</v>
      </c>
      <c r="AW40" s="49">
        <f t="shared" si="6"/>
        <v>11</v>
      </c>
      <c r="AX40" s="49">
        <f t="shared" si="7"/>
        <v>11</v>
      </c>
      <c r="AY40" s="97"/>
    </row>
    <row r="41" spans="1:51" s="2" customFormat="1" ht="20.100000000000001" hidden="1" customHeight="1" x14ac:dyDescent="0.2">
      <c r="A41" s="13">
        <v>38</v>
      </c>
      <c r="B41" s="40" t="s">
        <v>3691</v>
      </c>
      <c r="C41" s="41" t="s">
        <v>2356</v>
      </c>
      <c r="D41" s="41" t="s">
        <v>10</v>
      </c>
      <c r="E41" s="41"/>
      <c r="F41" s="41"/>
      <c r="G41" s="13" t="s">
        <v>83</v>
      </c>
      <c r="H41" s="13"/>
      <c r="I41" s="13"/>
      <c r="J41" s="13"/>
      <c r="K41" s="13"/>
      <c r="L41" s="13"/>
      <c r="M41" s="13"/>
      <c r="N41" s="40" t="s">
        <v>93</v>
      </c>
      <c r="O41" s="41"/>
      <c r="P41" s="41" t="s">
        <v>334</v>
      </c>
      <c r="Q41" s="41" t="s">
        <v>3580</v>
      </c>
      <c r="R41" s="41" t="s">
        <v>69</v>
      </c>
      <c r="S41" s="13" t="s">
        <v>70</v>
      </c>
      <c r="T41" s="41"/>
      <c r="U41" s="41" t="s">
        <v>1809</v>
      </c>
      <c r="V41" s="41" t="s">
        <v>2258</v>
      </c>
      <c r="W41" s="41" t="s">
        <v>3581</v>
      </c>
      <c r="X41" s="41" t="s">
        <v>142</v>
      </c>
      <c r="Y41" s="41" t="s">
        <v>70</v>
      </c>
      <c r="Z41" s="13" t="s">
        <v>3571</v>
      </c>
      <c r="AA41" s="13"/>
      <c r="AB41" s="13"/>
      <c r="AC41" s="13">
        <v>156</v>
      </c>
      <c r="AD41" s="40"/>
      <c r="AE41" s="40"/>
      <c r="AF41" s="40"/>
      <c r="AG41" s="40"/>
      <c r="AH41" s="40"/>
      <c r="AI41" s="40"/>
      <c r="AJ41" s="40"/>
      <c r="AK41" s="40">
        <v>4</v>
      </c>
      <c r="AL41" s="40"/>
      <c r="AM41" s="13"/>
      <c r="AN41" s="41"/>
      <c r="AO41" s="43"/>
      <c r="AP41" s="13"/>
      <c r="AQ41" s="40"/>
      <c r="AR41" s="40"/>
      <c r="AS41" s="41" t="s">
        <v>113</v>
      </c>
      <c r="AT41" s="41" t="s">
        <v>1247</v>
      </c>
      <c r="AU41" s="41" t="s">
        <v>113</v>
      </c>
      <c r="AV41" s="41" t="s">
        <v>124</v>
      </c>
      <c r="AW41" s="49">
        <f t="shared" si="6"/>
        <v>1</v>
      </c>
      <c r="AX41" s="49">
        <f t="shared" si="7"/>
        <v>1</v>
      </c>
      <c r="AY41" s="97"/>
    </row>
    <row r="42" spans="1:51" s="2" customFormat="1" ht="20.100000000000001" hidden="1" customHeight="1" x14ac:dyDescent="0.2">
      <c r="A42" s="13">
        <v>39</v>
      </c>
      <c r="B42" s="40" t="s">
        <v>3697</v>
      </c>
      <c r="C42" s="41" t="s">
        <v>1576</v>
      </c>
      <c r="D42" s="41" t="s">
        <v>9</v>
      </c>
      <c r="E42" s="41"/>
      <c r="F42" s="41"/>
      <c r="G42" s="13" t="s">
        <v>83</v>
      </c>
      <c r="H42" s="13"/>
      <c r="I42" s="13"/>
      <c r="J42" s="13"/>
      <c r="K42" s="13"/>
      <c r="L42" s="13"/>
      <c r="M42" s="13"/>
      <c r="N42" s="40" t="s">
        <v>93</v>
      </c>
      <c r="O42" s="41"/>
      <c r="P42" s="41" t="s">
        <v>104</v>
      </c>
      <c r="Q42" s="41" t="s">
        <v>1638</v>
      </c>
      <c r="R42" s="41" t="s">
        <v>106</v>
      </c>
      <c r="S42" s="13" t="s">
        <v>107</v>
      </c>
      <c r="T42" s="41"/>
      <c r="U42" s="41" t="s">
        <v>2245</v>
      </c>
      <c r="V42" s="41" t="s">
        <v>2348</v>
      </c>
      <c r="W42" s="41" t="s">
        <v>1639</v>
      </c>
      <c r="X42" s="41" t="s">
        <v>106</v>
      </c>
      <c r="Y42" s="41" t="s">
        <v>107</v>
      </c>
      <c r="Z42" s="13" t="s">
        <v>3739</v>
      </c>
      <c r="AA42" s="13"/>
      <c r="AB42" s="13"/>
      <c r="AC42" s="13">
        <v>228</v>
      </c>
      <c r="AD42" s="40"/>
      <c r="AE42" s="40"/>
      <c r="AF42" s="40"/>
      <c r="AG42" s="40"/>
      <c r="AH42" s="40"/>
      <c r="AI42" s="40"/>
      <c r="AJ42" s="40"/>
      <c r="AK42" s="40">
        <v>6</v>
      </c>
      <c r="AL42" s="40"/>
      <c r="AM42" s="13"/>
      <c r="AN42" s="41"/>
      <c r="AO42" s="43"/>
      <c r="AP42" s="13"/>
      <c r="AQ42" s="40"/>
      <c r="AR42" s="40"/>
      <c r="AS42" s="41" t="s">
        <v>113</v>
      </c>
      <c r="AT42" s="41" t="s">
        <v>1247</v>
      </c>
      <c r="AU42" s="41" t="s">
        <v>115</v>
      </c>
      <c r="AV42" s="41" t="s">
        <v>266</v>
      </c>
      <c r="AW42" s="49">
        <f t="shared" si="6"/>
        <v>8</v>
      </c>
      <c r="AX42" s="49">
        <f t="shared" si="7"/>
        <v>8</v>
      </c>
      <c r="AY42" s="97"/>
    </row>
    <row r="43" spans="1:51" s="2" customFormat="1" ht="20.100000000000001" hidden="1" customHeight="1" x14ac:dyDescent="0.2">
      <c r="A43" s="13">
        <v>40</v>
      </c>
      <c r="B43" s="40" t="s">
        <v>3698</v>
      </c>
      <c r="C43" s="41" t="s">
        <v>173</v>
      </c>
      <c r="D43" s="41" t="s">
        <v>9</v>
      </c>
      <c r="E43" s="41"/>
      <c r="F43" s="41"/>
      <c r="G43" s="13" t="s">
        <v>83</v>
      </c>
      <c r="H43" s="13"/>
      <c r="I43" s="13"/>
      <c r="J43" s="13"/>
      <c r="K43" s="13"/>
      <c r="L43" s="13"/>
      <c r="M43" s="13"/>
      <c r="N43" s="40" t="s">
        <v>93</v>
      </c>
      <c r="O43" s="41"/>
      <c r="P43" s="41" t="s">
        <v>117</v>
      </c>
      <c r="Q43" s="41" t="s">
        <v>304</v>
      </c>
      <c r="R43" s="41" t="s">
        <v>106</v>
      </c>
      <c r="S43" s="13" t="s">
        <v>107</v>
      </c>
      <c r="T43" s="41"/>
      <c r="U43" s="41" t="s">
        <v>2961</v>
      </c>
      <c r="V43" s="41" t="s">
        <v>226</v>
      </c>
      <c r="W43" s="41" t="s">
        <v>307</v>
      </c>
      <c r="X43" s="41" t="s">
        <v>73</v>
      </c>
      <c r="Y43" s="41" t="s">
        <v>70</v>
      </c>
      <c r="Z43" s="13" t="s">
        <v>282</v>
      </c>
      <c r="AA43" s="13"/>
      <c r="AB43" s="13"/>
      <c r="AC43" s="13">
        <v>204</v>
      </c>
      <c r="AD43" s="40"/>
      <c r="AE43" s="40"/>
      <c r="AF43" s="40"/>
      <c r="AG43" s="40"/>
      <c r="AH43" s="40"/>
      <c r="AI43" s="40"/>
      <c r="AJ43" s="40"/>
      <c r="AK43" s="40">
        <v>6</v>
      </c>
      <c r="AL43" s="40"/>
      <c r="AM43" s="13"/>
      <c r="AN43" s="41"/>
      <c r="AO43" s="43"/>
      <c r="AP43" s="13"/>
      <c r="AQ43" s="40"/>
      <c r="AR43" s="40"/>
      <c r="AS43" s="41" t="s">
        <v>113</v>
      </c>
      <c r="AT43" s="41" t="s">
        <v>1247</v>
      </c>
      <c r="AU43" s="41" t="s">
        <v>113</v>
      </c>
      <c r="AV43" s="41" t="s">
        <v>114</v>
      </c>
      <c r="AW43" s="49">
        <f t="shared" si="6"/>
        <v>4</v>
      </c>
      <c r="AX43" s="49">
        <f t="shared" si="7"/>
        <v>4</v>
      </c>
      <c r="AY43" s="97"/>
    </row>
    <row r="44" spans="1:51" s="2" customFormat="1" ht="20.100000000000001" hidden="1" customHeight="1" x14ac:dyDescent="0.2">
      <c r="A44" s="13">
        <v>41</v>
      </c>
      <c r="B44" s="40" t="s">
        <v>3765</v>
      </c>
      <c r="C44" s="41" t="s">
        <v>1670</v>
      </c>
      <c r="D44" s="41" t="s">
        <v>8</v>
      </c>
      <c r="E44" s="41"/>
      <c r="F44" s="41"/>
      <c r="G44" s="13" t="s">
        <v>83</v>
      </c>
      <c r="H44" s="13"/>
      <c r="I44" s="13"/>
      <c r="J44" s="13"/>
      <c r="K44" s="13"/>
      <c r="L44" s="13"/>
      <c r="M44" s="13"/>
      <c r="N44" s="40" t="s">
        <v>84</v>
      </c>
      <c r="O44" s="41" t="s">
        <v>429</v>
      </c>
      <c r="P44" s="41" t="s">
        <v>140</v>
      </c>
      <c r="Q44" s="41" t="s">
        <v>888</v>
      </c>
      <c r="R44" s="41" t="s">
        <v>106</v>
      </c>
      <c r="S44" s="13" t="s">
        <v>107</v>
      </c>
      <c r="T44" s="41" t="s">
        <v>429</v>
      </c>
      <c r="U44" s="41" t="s">
        <v>3679</v>
      </c>
      <c r="V44" s="41" t="s">
        <v>506</v>
      </c>
      <c r="W44" s="41" t="s">
        <v>1671</v>
      </c>
      <c r="X44" s="41" t="s">
        <v>106</v>
      </c>
      <c r="Y44" s="41" t="s">
        <v>107</v>
      </c>
      <c r="Z44" s="13" t="s">
        <v>3777</v>
      </c>
      <c r="AA44" s="13"/>
      <c r="AB44" s="13"/>
      <c r="AC44" s="13">
        <v>156</v>
      </c>
      <c r="AD44" s="40"/>
      <c r="AE44" s="40"/>
      <c r="AF44" s="40"/>
      <c r="AG44" s="40"/>
      <c r="AH44" s="40"/>
      <c r="AI44" s="40"/>
      <c r="AJ44" s="40"/>
      <c r="AK44" s="40">
        <v>6</v>
      </c>
      <c r="AL44" s="40"/>
      <c r="AM44" s="13"/>
      <c r="AN44" s="41"/>
      <c r="AO44" s="43"/>
      <c r="AP44" s="13"/>
      <c r="AQ44" s="40"/>
      <c r="AR44" s="40"/>
      <c r="AS44" s="41" t="s">
        <v>113</v>
      </c>
      <c r="AT44" s="41" t="s">
        <v>137</v>
      </c>
      <c r="AU44" s="41" t="s">
        <v>115</v>
      </c>
      <c r="AV44" s="41" t="s">
        <v>266</v>
      </c>
      <c r="AW44" s="49">
        <f t="shared" ref="AW44:AW50" si="8">IF(AS44*AU44&gt;0,(AS44-AU44)*12+(AT44-AV44),"")</f>
        <v>9</v>
      </c>
      <c r="AX44" s="49">
        <f t="shared" ref="AX44:AX50" si="9">IF(AW44&lt;13,AW44,"")</f>
        <v>9</v>
      </c>
      <c r="AY44" s="97"/>
    </row>
    <row r="45" spans="1:51" s="2" customFormat="1" ht="20.100000000000001" hidden="1" customHeight="1" x14ac:dyDescent="0.2">
      <c r="A45" s="13">
        <v>42</v>
      </c>
      <c r="B45" s="40" t="s">
        <v>3782</v>
      </c>
      <c r="C45" s="41" t="s">
        <v>1739</v>
      </c>
      <c r="D45" s="41" t="s">
        <v>9</v>
      </c>
      <c r="E45" s="41"/>
      <c r="F45" s="41"/>
      <c r="G45" s="13" t="s">
        <v>83</v>
      </c>
      <c r="H45" s="13"/>
      <c r="I45" s="13"/>
      <c r="J45" s="13"/>
      <c r="K45" s="13"/>
      <c r="L45" s="13"/>
      <c r="M45" s="13"/>
      <c r="N45" s="40" t="s">
        <v>92</v>
      </c>
      <c r="O45" s="41" t="s">
        <v>429</v>
      </c>
      <c r="P45" s="41" t="s">
        <v>223</v>
      </c>
      <c r="Q45" s="41" t="s">
        <v>3735</v>
      </c>
      <c r="R45" s="41" t="s">
        <v>106</v>
      </c>
      <c r="S45" s="13" t="s">
        <v>107</v>
      </c>
      <c r="T45" s="41" t="s">
        <v>429</v>
      </c>
      <c r="U45" s="41" t="s">
        <v>1809</v>
      </c>
      <c r="V45" s="41" t="s">
        <v>441</v>
      </c>
      <c r="W45" s="41" t="s">
        <v>3736</v>
      </c>
      <c r="X45" s="41" t="s">
        <v>69</v>
      </c>
      <c r="Y45" s="41" t="s">
        <v>70</v>
      </c>
      <c r="Z45" s="13" t="s">
        <v>3711</v>
      </c>
      <c r="AA45" s="13"/>
      <c r="AB45" s="13"/>
      <c r="AC45" s="13">
        <v>97</v>
      </c>
      <c r="AD45" s="40"/>
      <c r="AE45" s="40"/>
      <c r="AF45" s="40"/>
      <c r="AG45" s="40"/>
      <c r="AH45" s="40"/>
      <c r="AI45" s="40"/>
      <c r="AJ45" s="40"/>
      <c r="AK45" s="40">
        <v>4</v>
      </c>
      <c r="AL45" s="40"/>
      <c r="AM45" s="13"/>
      <c r="AN45" s="41"/>
      <c r="AO45" s="43"/>
      <c r="AP45" s="13"/>
      <c r="AQ45" s="40"/>
      <c r="AR45" s="40"/>
      <c r="AS45" s="41" t="s">
        <v>113</v>
      </c>
      <c r="AT45" s="41" t="s">
        <v>137</v>
      </c>
      <c r="AU45" s="41" t="s">
        <v>113</v>
      </c>
      <c r="AV45" s="41" t="s">
        <v>137</v>
      </c>
      <c r="AW45" s="49">
        <f t="shared" si="8"/>
        <v>0</v>
      </c>
      <c r="AX45" s="49">
        <f t="shared" si="9"/>
        <v>0</v>
      </c>
      <c r="AY45" s="97"/>
    </row>
    <row r="46" spans="1:51" s="2" customFormat="1" ht="20.100000000000001" hidden="1" customHeight="1" x14ac:dyDescent="0.2">
      <c r="A46" s="13">
        <v>43</v>
      </c>
      <c r="B46" s="40" t="s">
        <v>3809</v>
      </c>
      <c r="C46" s="41" t="s">
        <v>3699</v>
      </c>
      <c r="D46" s="41" t="s">
        <v>20</v>
      </c>
      <c r="E46" s="41" t="s">
        <v>174</v>
      </c>
      <c r="F46" s="41" t="s">
        <v>3822</v>
      </c>
      <c r="G46" s="13" t="s">
        <v>83</v>
      </c>
      <c r="H46" s="13"/>
      <c r="I46" s="13"/>
      <c r="J46" s="13"/>
      <c r="K46" s="13"/>
      <c r="L46" s="13"/>
      <c r="M46" s="13"/>
      <c r="N46" s="40" t="s">
        <v>84</v>
      </c>
      <c r="O46" s="41" t="s">
        <v>429</v>
      </c>
      <c r="P46" s="41" t="s">
        <v>117</v>
      </c>
      <c r="Q46" s="41" t="s">
        <v>3730</v>
      </c>
      <c r="R46" s="41" t="s">
        <v>106</v>
      </c>
      <c r="S46" s="13" t="s">
        <v>107</v>
      </c>
      <c r="T46" s="41" t="s">
        <v>429</v>
      </c>
      <c r="U46" s="41" t="s">
        <v>1510</v>
      </c>
      <c r="V46" s="41" t="s">
        <v>260</v>
      </c>
      <c r="W46" s="41" t="s">
        <v>3731</v>
      </c>
      <c r="X46" s="41" t="s">
        <v>106</v>
      </c>
      <c r="Y46" s="41" t="s">
        <v>107</v>
      </c>
      <c r="Z46" s="13" t="s">
        <v>3710</v>
      </c>
      <c r="AA46" s="13"/>
      <c r="AB46" s="13"/>
      <c r="AC46" s="13"/>
      <c r="AD46" s="40">
        <v>186</v>
      </c>
      <c r="AE46" s="40"/>
      <c r="AF46" s="40"/>
      <c r="AG46" s="40"/>
      <c r="AH46" s="40"/>
      <c r="AI46" s="40"/>
      <c r="AJ46" s="40"/>
      <c r="AK46" s="40"/>
      <c r="AL46" s="40"/>
      <c r="AM46" s="13"/>
      <c r="AN46" s="41"/>
      <c r="AO46" s="43"/>
      <c r="AP46" s="13"/>
      <c r="AQ46" s="40" t="s">
        <v>111</v>
      </c>
      <c r="AR46" s="40" t="s">
        <v>112</v>
      </c>
      <c r="AS46" s="41" t="s">
        <v>113</v>
      </c>
      <c r="AT46" s="41" t="s">
        <v>137</v>
      </c>
      <c r="AU46" s="41" t="s">
        <v>113</v>
      </c>
      <c r="AV46" s="41" t="s">
        <v>137</v>
      </c>
      <c r="AW46" s="49">
        <f t="shared" si="8"/>
        <v>0</v>
      </c>
      <c r="AX46" s="49">
        <f t="shared" si="9"/>
        <v>0</v>
      </c>
      <c r="AY46" s="97"/>
    </row>
    <row r="47" spans="1:51" s="2" customFormat="1" ht="20.100000000000001" hidden="1" customHeight="1" x14ac:dyDescent="0.2">
      <c r="A47" s="13">
        <v>44</v>
      </c>
      <c r="B47" s="40" t="s">
        <v>3828</v>
      </c>
      <c r="C47" s="41" t="s">
        <v>1401</v>
      </c>
      <c r="D47" s="41" t="s">
        <v>10</v>
      </c>
      <c r="E47" s="41"/>
      <c r="F47" s="41"/>
      <c r="G47" s="13" t="s">
        <v>83</v>
      </c>
      <c r="H47" s="13"/>
      <c r="I47" s="13"/>
      <c r="J47" s="13"/>
      <c r="K47" s="13"/>
      <c r="L47" s="13"/>
      <c r="M47" s="13"/>
      <c r="N47" s="40" t="s">
        <v>84</v>
      </c>
      <c r="O47" s="41"/>
      <c r="P47" s="41" t="s">
        <v>68</v>
      </c>
      <c r="Q47" s="41" t="s">
        <v>909</v>
      </c>
      <c r="R47" s="41" t="s">
        <v>106</v>
      </c>
      <c r="S47" s="13" t="s">
        <v>107</v>
      </c>
      <c r="T47" s="41"/>
      <c r="U47" s="41" t="s">
        <v>3677</v>
      </c>
      <c r="V47" s="41" t="s">
        <v>485</v>
      </c>
      <c r="W47" s="41" t="s">
        <v>1783</v>
      </c>
      <c r="X47" s="41" t="s">
        <v>106</v>
      </c>
      <c r="Y47" s="41" t="s">
        <v>107</v>
      </c>
      <c r="Z47" s="13" t="s">
        <v>3831</v>
      </c>
      <c r="AA47" s="13"/>
      <c r="AB47" s="13"/>
      <c r="AC47" s="13">
        <v>216</v>
      </c>
      <c r="AD47" s="40"/>
      <c r="AE47" s="40"/>
      <c r="AF47" s="40"/>
      <c r="AG47" s="40"/>
      <c r="AH47" s="40"/>
      <c r="AI47" s="40"/>
      <c r="AJ47" s="40"/>
      <c r="AK47" s="40">
        <v>6</v>
      </c>
      <c r="AL47" s="40"/>
      <c r="AM47" s="13"/>
      <c r="AN47" s="41"/>
      <c r="AO47" s="43"/>
      <c r="AP47" s="13"/>
      <c r="AQ47" s="40"/>
      <c r="AR47" s="40"/>
      <c r="AS47" s="41" t="s">
        <v>113</v>
      </c>
      <c r="AT47" s="41" t="s">
        <v>137</v>
      </c>
      <c r="AU47" s="41" t="s">
        <v>115</v>
      </c>
      <c r="AV47" s="41" t="s">
        <v>441</v>
      </c>
      <c r="AW47" s="49">
        <f t="shared" si="8"/>
        <v>8</v>
      </c>
      <c r="AX47" s="49">
        <f t="shared" si="9"/>
        <v>8</v>
      </c>
      <c r="AY47" s="97"/>
    </row>
    <row r="48" spans="1:51" s="2" customFormat="1" ht="20.100000000000001" hidden="1" customHeight="1" x14ac:dyDescent="0.2">
      <c r="A48" s="13">
        <v>45</v>
      </c>
      <c r="B48" s="40" t="s">
        <v>3829</v>
      </c>
      <c r="C48" s="41" t="s">
        <v>1097</v>
      </c>
      <c r="D48" s="41" t="s">
        <v>10</v>
      </c>
      <c r="E48" s="41"/>
      <c r="F48" s="41"/>
      <c r="G48" s="13" t="s">
        <v>83</v>
      </c>
      <c r="H48" s="13"/>
      <c r="I48" s="13"/>
      <c r="J48" s="13"/>
      <c r="K48" s="13"/>
      <c r="L48" s="13"/>
      <c r="M48" s="13"/>
      <c r="N48" s="40" t="s">
        <v>92</v>
      </c>
      <c r="O48" s="41" t="s">
        <v>429</v>
      </c>
      <c r="P48" s="41" t="s">
        <v>68</v>
      </c>
      <c r="Q48" s="41" t="s">
        <v>682</v>
      </c>
      <c r="R48" s="41" t="s">
        <v>106</v>
      </c>
      <c r="S48" s="13" t="s">
        <v>107</v>
      </c>
      <c r="T48" s="41" t="s">
        <v>429</v>
      </c>
      <c r="U48" s="41" t="s">
        <v>3679</v>
      </c>
      <c r="V48" s="41" t="s">
        <v>485</v>
      </c>
      <c r="W48" s="41" t="s">
        <v>1192</v>
      </c>
      <c r="X48" s="41" t="s">
        <v>142</v>
      </c>
      <c r="Y48" s="41" t="s">
        <v>70</v>
      </c>
      <c r="Z48" s="13" t="s">
        <v>3832</v>
      </c>
      <c r="AA48" s="13"/>
      <c r="AB48" s="13"/>
      <c r="AC48" s="13">
        <v>174</v>
      </c>
      <c r="AD48" s="40"/>
      <c r="AE48" s="40"/>
      <c r="AF48" s="40"/>
      <c r="AG48" s="40"/>
      <c r="AH48" s="40"/>
      <c r="AI48" s="40"/>
      <c r="AJ48" s="40"/>
      <c r="AK48" s="40">
        <v>6</v>
      </c>
      <c r="AL48" s="40"/>
      <c r="AM48" s="13"/>
      <c r="AN48" s="41"/>
      <c r="AO48" s="43"/>
      <c r="AP48" s="13"/>
      <c r="AQ48" s="40"/>
      <c r="AR48" s="40"/>
      <c r="AS48" s="41" t="s">
        <v>113</v>
      </c>
      <c r="AT48" s="41" t="s">
        <v>137</v>
      </c>
      <c r="AU48" s="41" t="s">
        <v>115</v>
      </c>
      <c r="AV48" s="41" t="s">
        <v>137</v>
      </c>
      <c r="AW48" s="49">
        <f t="shared" si="8"/>
        <v>12</v>
      </c>
      <c r="AX48" s="49">
        <f t="shared" si="9"/>
        <v>12</v>
      </c>
      <c r="AY48" s="97"/>
    </row>
    <row r="49" spans="1:51" s="2" customFormat="1" ht="20.100000000000001" hidden="1" customHeight="1" x14ac:dyDescent="0.2">
      <c r="A49" s="13">
        <v>46</v>
      </c>
      <c r="B49" s="40" t="s">
        <v>3830</v>
      </c>
      <c r="C49" s="41" t="s">
        <v>1126</v>
      </c>
      <c r="D49" s="41" t="s">
        <v>10</v>
      </c>
      <c r="E49" s="41"/>
      <c r="F49" s="41"/>
      <c r="G49" s="13" t="s">
        <v>83</v>
      </c>
      <c r="H49" s="13"/>
      <c r="I49" s="13"/>
      <c r="J49" s="13"/>
      <c r="K49" s="13"/>
      <c r="L49" s="13"/>
      <c r="M49" s="13"/>
      <c r="N49" s="40" t="s">
        <v>92</v>
      </c>
      <c r="O49" s="41" t="s">
        <v>429</v>
      </c>
      <c r="P49" s="41" t="s">
        <v>140</v>
      </c>
      <c r="Q49" s="41" t="s">
        <v>1171</v>
      </c>
      <c r="R49" s="41" t="s">
        <v>106</v>
      </c>
      <c r="S49" s="13" t="s">
        <v>107</v>
      </c>
      <c r="T49" s="41" t="s">
        <v>429</v>
      </c>
      <c r="U49" s="41" t="s">
        <v>2245</v>
      </c>
      <c r="V49" s="41" t="s">
        <v>116</v>
      </c>
      <c r="W49" s="41" t="s">
        <v>1172</v>
      </c>
      <c r="X49" s="41" t="s">
        <v>69</v>
      </c>
      <c r="Y49" s="41" t="s">
        <v>70</v>
      </c>
      <c r="Z49" s="13" t="s">
        <v>3840</v>
      </c>
      <c r="AA49" s="13"/>
      <c r="AB49" s="13"/>
      <c r="AC49" s="13">
        <v>186</v>
      </c>
      <c r="AD49" s="40"/>
      <c r="AE49" s="40"/>
      <c r="AF49" s="40"/>
      <c r="AG49" s="40"/>
      <c r="AH49" s="40"/>
      <c r="AI49" s="40"/>
      <c r="AJ49" s="40"/>
      <c r="AK49" s="40">
        <v>6</v>
      </c>
      <c r="AL49" s="40"/>
      <c r="AM49" s="13"/>
      <c r="AN49" s="41"/>
      <c r="AO49" s="43"/>
      <c r="AP49" s="13"/>
      <c r="AQ49" s="40"/>
      <c r="AR49" s="40"/>
      <c r="AS49" s="41" t="s">
        <v>113</v>
      </c>
      <c r="AT49" s="41" t="s">
        <v>137</v>
      </c>
      <c r="AU49" s="41" t="s">
        <v>115</v>
      </c>
      <c r="AV49" s="41" t="s">
        <v>137</v>
      </c>
      <c r="AW49" s="49">
        <f t="shared" si="8"/>
        <v>12</v>
      </c>
      <c r="AX49" s="49">
        <f t="shared" si="9"/>
        <v>12</v>
      </c>
      <c r="AY49" s="97"/>
    </row>
    <row r="50" spans="1:51" s="2" customFormat="1" ht="20.100000000000001" hidden="1" customHeight="1" x14ac:dyDescent="0.2">
      <c r="A50" s="13">
        <v>47</v>
      </c>
      <c r="B50" s="40" t="s">
        <v>3842</v>
      </c>
      <c r="C50" s="41" t="s">
        <v>179</v>
      </c>
      <c r="D50" s="41" t="s">
        <v>19</v>
      </c>
      <c r="E50" s="41" t="s">
        <v>94</v>
      </c>
      <c r="F50" s="41"/>
      <c r="G50" s="13" t="s">
        <v>83</v>
      </c>
      <c r="H50" s="13"/>
      <c r="I50" s="13"/>
      <c r="J50" s="13"/>
      <c r="K50" s="13"/>
      <c r="L50" s="13"/>
      <c r="M50" s="13"/>
      <c r="N50" s="40" t="s">
        <v>92</v>
      </c>
      <c r="O50" s="41"/>
      <c r="P50" s="41" t="s">
        <v>104</v>
      </c>
      <c r="Q50" s="41" t="s">
        <v>3275</v>
      </c>
      <c r="R50" s="41" t="s">
        <v>106</v>
      </c>
      <c r="S50" s="13" t="s">
        <v>107</v>
      </c>
      <c r="T50" s="41" t="s">
        <v>429</v>
      </c>
      <c r="U50" s="41" t="s">
        <v>1510</v>
      </c>
      <c r="V50" s="41" t="s">
        <v>2348</v>
      </c>
      <c r="W50" s="41" t="s">
        <v>191</v>
      </c>
      <c r="X50" s="41" t="s">
        <v>106</v>
      </c>
      <c r="Y50" s="41" t="s">
        <v>107</v>
      </c>
      <c r="Z50" s="13" t="s">
        <v>3372</v>
      </c>
      <c r="AA50" s="13"/>
      <c r="AB50" s="13"/>
      <c r="AC50" s="13">
        <v>234</v>
      </c>
      <c r="AD50" s="40"/>
      <c r="AE50" s="40"/>
      <c r="AF50" s="40"/>
      <c r="AG50" s="40"/>
      <c r="AH50" s="40"/>
      <c r="AI50" s="40"/>
      <c r="AJ50" s="40"/>
      <c r="AK50" s="40">
        <v>6</v>
      </c>
      <c r="AL50" s="40"/>
      <c r="AM50" s="13"/>
      <c r="AN50" s="41"/>
      <c r="AO50" s="43"/>
      <c r="AP50" s="13"/>
      <c r="AQ50" s="40" t="s">
        <v>160</v>
      </c>
      <c r="AR50" s="40" t="s">
        <v>193</v>
      </c>
      <c r="AS50" s="41" t="s">
        <v>113</v>
      </c>
      <c r="AT50" s="41" t="s">
        <v>137</v>
      </c>
      <c r="AU50" s="41" t="s">
        <v>113</v>
      </c>
      <c r="AV50" s="41" t="s">
        <v>235</v>
      </c>
      <c r="AW50" s="49">
        <f t="shared" si="8"/>
        <v>3</v>
      </c>
      <c r="AX50" s="49">
        <f t="shared" si="9"/>
        <v>3</v>
      </c>
      <c r="AY50" s="97"/>
    </row>
  </sheetData>
  <autoFilter ref="A3:AY50" xr:uid="{1468C3AE-F354-48CC-8FF7-B95AB578B55D}">
    <filterColumn colId="20">
      <filters>
        <filter val="193"/>
      </filters>
    </filterColumn>
  </autoFilter>
  <mergeCells count="43">
    <mergeCell ref="A1:A3"/>
    <mergeCell ref="B1:B3"/>
    <mergeCell ref="C1:C3"/>
    <mergeCell ref="D1:D3"/>
    <mergeCell ref="E1:E3"/>
    <mergeCell ref="F1:F3"/>
    <mergeCell ref="G1:G3"/>
    <mergeCell ref="H1:H3"/>
    <mergeCell ref="I1:I3"/>
    <mergeCell ref="J1:J3"/>
    <mergeCell ref="K1:K3"/>
    <mergeCell ref="L1:L3"/>
    <mergeCell ref="M1:M3"/>
    <mergeCell ref="N1:N3"/>
    <mergeCell ref="O1:Y1"/>
    <mergeCell ref="Z1:Z3"/>
    <mergeCell ref="AA1:AA3"/>
    <mergeCell ref="O2:S2"/>
    <mergeCell ref="T2:Y2"/>
    <mergeCell ref="AB1:AB3"/>
    <mergeCell ref="AC1:AC3"/>
    <mergeCell ref="AD1:AD3"/>
    <mergeCell ref="AE1:AE3"/>
    <mergeCell ref="AF1:AF3"/>
    <mergeCell ref="AG1:AG3"/>
    <mergeCell ref="AH1:AH3"/>
    <mergeCell ref="AI1:AI3"/>
    <mergeCell ref="AJ1:AJ3"/>
    <mergeCell ref="AK1:AK3"/>
    <mergeCell ref="AL1:AL3"/>
    <mergeCell ref="AM1:AM3"/>
    <mergeCell ref="AN1:AN3"/>
    <mergeCell ref="AO1:AO3"/>
    <mergeCell ref="AP1:AP3"/>
    <mergeCell ref="AQ1:AQ3"/>
    <mergeCell ref="AR1:AR3"/>
    <mergeCell ref="AS1:AS3"/>
    <mergeCell ref="AT1:AT3"/>
    <mergeCell ref="AU1:AU3"/>
    <mergeCell ref="AV1:AV3"/>
    <mergeCell ref="AW1:AW3"/>
    <mergeCell ref="AX1:AX3"/>
    <mergeCell ref="AY1:AY3"/>
  </mergeCells>
  <printOptions horizontalCentered="1"/>
  <pageMargins left="0" right="0" top="0" bottom="0" header="0.51181102362204722" footer="0.51181102362204722"/>
  <pageSetup paperSize="9" scale="80" orientation="landscape"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89345-4EF2-4B32-A8BE-7BCC10F897C5}">
  <dimension ref="A1"/>
  <sheetViews>
    <sheetView workbookViewId="0"/>
  </sheetViews>
  <sheetFormatPr defaultRowHeight="12.75"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5E4B-F1CC-4D4A-AB52-8A5E642A1F6A}">
  <dimension ref="A3:L9"/>
  <sheetViews>
    <sheetView rightToLeft="1" workbookViewId="0"/>
  </sheetViews>
  <sheetFormatPr defaultRowHeight="12.75" x14ac:dyDescent="0.2"/>
  <cols>
    <col min="1" max="11" width="11.5703125" customWidth="1"/>
  </cols>
  <sheetData>
    <row r="3" spans="1:12" s="94" customFormat="1" ht="24" customHeight="1" x14ac:dyDescent="0.2">
      <c r="A3" s="670" t="s">
        <v>5293</v>
      </c>
      <c r="B3" s="670" t="s">
        <v>5294</v>
      </c>
      <c r="C3" s="670" t="s">
        <v>83</v>
      </c>
      <c r="D3" s="670" t="s">
        <v>222</v>
      </c>
      <c r="E3" s="667" t="s">
        <v>18</v>
      </c>
      <c r="F3" s="668"/>
      <c r="G3" s="669"/>
      <c r="H3" s="666" t="s">
        <v>14</v>
      </c>
      <c r="I3" s="666"/>
      <c r="J3" s="666"/>
      <c r="K3" s="666" t="s">
        <v>5295</v>
      </c>
      <c r="L3" s="666"/>
    </row>
    <row r="4" spans="1:12" s="94" customFormat="1" ht="24" customHeight="1" x14ac:dyDescent="0.2">
      <c r="A4" s="671"/>
      <c r="B4" s="671"/>
      <c r="C4" s="671"/>
      <c r="D4" s="671"/>
      <c r="E4" s="347" t="s">
        <v>70</v>
      </c>
      <c r="F4" s="347" t="s">
        <v>107</v>
      </c>
      <c r="G4" s="347" t="s">
        <v>369</v>
      </c>
      <c r="H4" s="347" t="s">
        <v>70</v>
      </c>
      <c r="I4" s="347" t="s">
        <v>107</v>
      </c>
      <c r="J4" s="347" t="s">
        <v>369</v>
      </c>
      <c r="K4" s="347" t="s">
        <v>5296</v>
      </c>
      <c r="L4" s="348" t="s">
        <v>5297</v>
      </c>
    </row>
    <row r="5" spans="1:12" s="94" customFormat="1" ht="24" customHeight="1" x14ac:dyDescent="0.2">
      <c r="A5" s="347">
        <v>1399</v>
      </c>
      <c r="B5" s="347">
        <v>85</v>
      </c>
      <c r="C5" s="347">
        <v>82</v>
      </c>
      <c r="D5" s="347">
        <v>14</v>
      </c>
      <c r="E5" s="347">
        <v>28</v>
      </c>
      <c r="F5" s="347">
        <v>53</v>
      </c>
      <c r="G5" s="347">
        <v>4</v>
      </c>
      <c r="H5" s="347">
        <v>31</v>
      </c>
      <c r="I5" s="347">
        <v>53</v>
      </c>
      <c r="J5" s="347">
        <v>1</v>
      </c>
      <c r="K5" s="347">
        <v>171</v>
      </c>
      <c r="L5" s="92">
        <v>10</v>
      </c>
    </row>
    <row r="6" spans="1:12" s="94" customFormat="1" ht="24" customHeight="1" x14ac:dyDescent="0.2">
      <c r="A6" s="347">
        <v>1400</v>
      </c>
      <c r="B6" s="347">
        <v>157</v>
      </c>
      <c r="C6" s="347">
        <v>162</v>
      </c>
      <c r="D6" s="347">
        <v>4</v>
      </c>
      <c r="E6" s="347">
        <v>71</v>
      </c>
      <c r="F6" s="347">
        <v>70</v>
      </c>
      <c r="G6" s="347">
        <v>7</v>
      </c>
      <c r="H6" s="347">
        <v>53</v>
      </c>
      <c r="I6" s="347">
        <v>91</v>
      </c>
      <c r="J6" s="347">
        <v>4</v>
      </c>
      <c r="K6" s="347">
        <v>274</v>
      </c>
      <c r="L6" s="92">
        <v>49</v>
      </c>
    </row>
    <row r="7" spans="1:12" s="94" customFormat="1" ht="24" customHeight="1" x14ac:dyDescent="0.2">
      <c r="A7" s="347">
        <v>1401</v>
      </c>
      <c r="B7" s="347">
        <v>259</v>
      </c>
      <c r="C7" s="347">
        <v>234</v>
      </c>
      <c r="D7" s="347">
        <v>14</v>
      </c>
      <c r="E7" s="347">
        <v>86</v>
      </c>
      <c r="F7" s="347">
        <v>153</v>
      </c>
      <c r="G7" s="347">
        <v>7</v>
      </c>
      <c r="H7" s="347">
        <v>123</v>
      </c>
      <c r="I7" s="347">
        <v>122</v>
      </c>
      <c r="J7" s="347">
        <v>6</v>
      </c>
      <c r="K7" s="347">
        <v>224</v>
      </c>
      <c r="L7" s="92">
        <v>280</v>
      </c>
    </row>
    <row r="8" spans="1:12" s="94" customFormat="1" ht="24" customHeight="1" x14ac:dyDescent="0.2">
      <c r="A8" s="347">
        <v>1402</v>
      </c>
      <c r="B8" s="347">
        <v>280</v>
      </c>
      <c r="C8" s="347">
        <v>207</v>
      </c>
      <c r="D8" s="347">
        <v>15</v>
      </c>
      <c r="E8" s="347"/>
      <c r="F8" s="347"/>
      <c r="G8" s="347"/>
      <c r="H8" s="347"/>
      <c r="I8" s="347"/>
      <c r="J8" s="347"/>
      <c r="K8" s="347">
        <v>160</v>
      </c>
      <c r="L8" s="92">
        <v>338</v>
      </c>
    </row>
    <row r="9" spans="1:12" s="94" customFormat="1" ht="24" customHeight="1" x14ac:dyDescent="0.2">
      <c r="A9" s="347">
        <v>1403</v>
      </c>
      <c r="B9" s="347">
        <v>209</v>
      </c>
      <c r="C9" s="347">
        <v>195</v>
      </c>
      <c r="D9" s="347">
        <v>5</v>
      </c>
      <c r="E9" s="347"/>
      <c r="F9" s="347"/>
      <c r="G9" s="347"/>
      <c r="H9" s="347"/>
      <c r="I9" s="347"/>
      <c r="J9" s="347"/>
      <c r="K9" s="347">
        <v>161</v>
      </c>
      <c r="L9" s="92">
        <v>248</v>
      </c>
    </row>
  </sheetData>
  <mergeCells count="7">
    <mergeCell ref="K3:L3"/>
    <mergeCell ref="H3:J3"/>
    <mergeCell ref="E3:G3"/>
    <mergeCell ref="A3:A4"/>
    <mergeCell ref="B3:B4"/>
    <mergeCell ref="C3:C4"/>
    <mergeCell ref="D3:D4"/>
  </mergeCells>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FB6A-4FA8-4576-AB9F-979D56856EB3}">
  <dimension ref="A1:Q34"/>
  <sheetViews>
    <sheetView rightToLeft="1" workbookViewId="0">
      <selection sqref="A1:Q26"/>
    </sheetView>
  </sheetViews>
  <sheetFormatPr defaultRowHeight="12.75" x14ac:dyDescent="0.2"/>
  <sheetData>
    <row r="1" spans="1:17" x14ac:dyDescent="0.2">
      <c r="A1" s="672" t="s">
        <v>5710</v>
      </c>
      <c r="B1" s="672"/>
      <c r="C1" s="672"/>
      <c r="D1" s="672"/>
      <c r="E1" s="672"/>
      <c r="F1" s="672"/>
      <c r="G1" s="672"/>
      <c r="H1" s="672"/>
      <c r="I1" s="672"/>
      <c r="J1" s="672"/>
      <c r="K1" s="672"/>
      <c r="L1" s="672"/>
      <c r="M1" s="672"/>
      <c r="N1" s="672"/>
      <c r="O1" s="672"/>
      <c r="P1" s="672"/>
      <c r="Q1" s="672"/>
    </row>
    <row r="2" spans="1:17" x14ac:dyDescent="0.2">
      <c r="A2" s="672"/>
      <c r="B2" s="672"/>
      <c r="C2" s="672"/>
      <c r="D2" s="672"/>
      <c r="E2" s="672"/>
      <c r="F2" s="672"/>
      <c r="G2" s="672"/>
      <c r="H2" s="672"/>
      <c r="I2" s="672"/>
      <c r="J2" s="672"/>
      <c r="K2" s="672"/>
      <c r="L2" s="672"/>
      <c r="M2" s="672"/>
      <c r="N2" s="672"/>
      <c r="O2" s="672"/>
      <c r="P2" s="672"/>
      <c r="Q2" s="672"/>
    </row>
    <row r="3" spans="1:17" x14ac:dyDescent="0.2">
      <c r="A3" s="672"/>
      <c r="B3" s="672"/>
      <c r="C3" s="672"/>
      <c r="D3" s="672"/>
      <c r="E3" s="672"/>
      <c r="F3" s="672"/>
      <c r="G3" s="672"/>
      <c r="H3" s="672"/>
      <c r="I3" s="672"/>
      <c r="J3" s="672"/>
      <c r="K3" s="672"/>
      <c r="L3" s="672"/>
      <c r="M3" s="672"/>
      <c r="N3" s="672"/>
      <c r="O3" s="672"/>
      <c r="P3" s="672"/>
      <c r="Q3" s="672"/>
    </row>
    <row r="4" spans="1:17" x14ac:dyDescent="0.2">
      <c r="A4" s="672"/>
      <c r="B4" s="672"/>
      <c r="C4" s="672"/>
      <c r="D4" s="672"/>
      <c r="E4" s="672"/>
      <c r="F4" s="672"/>
      <c r="G4" s="672"/>
      <c r="H4" s="672"/>
      <c r="I4" s="672"/>
      <c r="J4" s="672"/>
      <c r="K4" s="672"/>
      <c r="L4" s="672"/>
      <c r="M4" s="672"/>
      <c r="N4" s="672"/>
      <c r="O4" s="672"/>
      <c r="P4" s="672"/>
      <c r="Q4" s="672"/>
    </row>
    <row r="5" spans="1:17" x14ac:dyDescent="0.2">
      <c r="A5" s="672"/>
      <c r="B5" s="672"/>
      <c r="C5" s="672"/>
      <c r="D5" s="672"/>
      <c r="E5" s="672"/>
      <c r="F5" s="672"/>
      <c r="G5" s="672"/>
      <c r="H5" s="672"/>
      <c r="I5" s="672"/>
      <c r="J5" s="672"/>
      <c r="K5" s="672"/>
      <c r="L5" s="672"/>
      <c r="M5" s="672"/>
      <c r="N5" s="672"/>
      <c r="O5" s="672"/>
      <c r="P5" s="672"/>
      <c r="Q5" s="672"/>
    </row>
    <row r="6" spans="1:17" x14ac:dyDescent="0.2">
      <c r="A6" s="672"/>
      <c r="B6" s="672"/>
      <c r="C6" s="672"/>
      <c r="D6" s="672"/>
      <c r="E6" s="672"/>
      <c r="F6" s="672"/>
      <c r="G6" s="672"/>
      <c r="H6" s="672"/>
      <c r="I6" s="672"/>
      <c r="J6" s="672"/>
      <c r="K6" s="672"/>
      <c r="L6" s="672"/>
      <c r="M6" s="672"/>
      <c r="N6" s="672"/>
      <c r="O6" s="672"/>
      <c r="P6" s="672"/>
      <c r="Q6" s="672"/>
    </row>
    <row r="7" spans="1:17" x14ac:dyDescent="0.2">
      <c r="A7" s="672"/>
      <c r="B7" s="672"/>
      <c r="C7" s="672"/>
      <c r="D7" s="672"/>
      <c r="E7" s="672"/>
      <c r="F7" s="672"/>
      <c r="G7" s="672"/>
      <c r="H7" s="672"/>
      <c r="I7" s="672"/>
      <c r="J7" s="672"/>
      <c r="K7" s="672"/>
      <c r="L7" s="672"/>
      <c r="M7" s="672"/>
      <c r="N7" s="672"/>
      <c r="O7" s="672"/>
      <c r="P7" s="672"/>
      <c r="Q7" s="672"/>
    </row>
    <row r="8" spans="1:17" x14ac:dyDescent="0.2">
      <c r="A8" s="672"/>
      <c r="B8" s="672"/>
      <c r="C8" s="672"/>
      <c r="D8" s="672"/>
      <c r="E8" s="672"/>
      <c r="F8" s="672"/>
      <c r="G8" s="672"/>
      <c r="H8" s="672"/>
      <c r="I8" s="672"/>
      <c r="J8" s="672"/>
      <c r="K8" s="672"/>
      <c r="L8" s="672"/>
      <c r="M8" s="672"/>
      <c r="N8" s="672"/>
      <c r="O8" s="672"/>
      <c r="P8" s="672"/>
      <c r="Q8" s="672"/>
    </row>
    <row r="9" spans="1:17" x14ac:dyDescent="0.2">
      <c r="A9" s="672"/>
      <c r="B9" s="672"/>
      <c r="C9" s="672"/>
      <c r="D9" s="672"/>
      <c r="E9" s="672"/>
      <c r="F9" s="672"/>
      <c r="G9" s="672"/>
      <c r="H9" s="672"/>
      <c r="I9" s="672"/>
      <c r="J9" s="672"/>
      <c r="K9" s="672"/>
      <c r="L9" s="672"/>
      <c r="M9" s="672"/>
      <c r="N9" s="672"/>
      <c r="O9" s="672"/>
      <c r="P9" s="672"/>
      <c r="Q9" s="672"/>
    </row>
    <row r="10" spans="1:17" x14ac:dyDescent="0.2">
      <c r="A10" s="672"/>
      <c r="B10" s="672"/>
      <c r="C10" s="672"/>
      <c r="D10" s="672"/>
      <c r="E10" s="672"/>
      <c r="F10" s="672"/>
      <c r="G10" s="672"/>
      <c r="H10" s="672"/>
      <c r="I10" s="672"/>
      <c r="J10" s="672"/>
      <c r="K10" s="672"/>
      <c r="L10" s="672"/>
      <c r="M10" s="672"/>
      <c r="N10" s="672"/>
      <c r="O10" s="672"/>
      <c r="P10" s="672"/>
      <c r="Q10" s="672"/>
    </row>
    <row r="11" spans="1:17" x14ac:dyDescent="0.2">
      <c r="A11" s="672"/>
      <c r="B11" s="672"/>
      <c r="C11" s="672"/>
      <c r="D11" s="672"/>
      <c r="E11" s="672"/>
      <c r="F11" s="672"/>
      <c r="G11" s="672"/>
      <c r="H11" s="672"/>
      <c r="I11" s="672"/>
      <c r="J11" s="672"/>
      <c r="K11" s="672"/>
      <c r="L11" s="672"/>
      <c r="M11" s="672"/>
      <c r="N11" s="672"/>
      <c r="O11" s="672"/>
      <c r="P11" s="672"/>
      <c r="Q11" s="672"/>
    </row>
    <row r="12" spans="1:17" x14ac:dyDescent="0.2">
      <c r="A12" s="672"/>
      <c r="B12" s="672"/>
      <c r="C12" s="672"/>
      <c r="D12" s="672"/>
      <c r="E12" s="672"/>
      <c r="F12" s="672"/>
      <c r="G12" s="672"/>
      <c r="H12" s="672"/>
      <c r="I12" s="672"/>
      <c r="J12" s="672"/>
      <c r="K12" s="672"/>
      <c r="L12" s="672"/>
      <c r="M12" s="672"/>
      <c r="N12" s="672"/>
      <c r="O12" s="672"/>
      <c r="P12" s="672"/>
      <c r="Q12" s="672"/>
    </row>
    <row r="13" spans="1:17" x14ac:dyDescent="0.2">
      <c r="A13" s="672"/>
      <c r="B13" s="672"/>
      <c r="C13" s="672"/>
      <c r="D13" s="672"/>
      <c r="E13" s="672"/>
      <c r="F13" s="672"/>
      <c r="G13" s="672"/>
      <c r="H13" s="672"/>
      <c r="I13" s="672"/>
      <c r="J13" s="672"/>
      <c r="K13" s="672"/>
      <c r="L13" s="672"/>
      <c r="M13" s="672"/>
      <c r="N13" s="672"/>
      <c r="O13" s="672"/>
      <c r="P13" s="672"/>
      <c r="Q13" s="672"/>
    </row>
    <row r="14" spans="1:17" x14ac:dyDescent="0.2">
      <c r="A14" s="672"/>
      <c r="B14" s="672"/>
      <c r="C14" s="672"/>
      <c r="D14" s="672"/>
      <c r="E14" s="672"/>
      <c r="F14" s="672"/>
      <c r="G14" s="672"/>
      <c r="H14" s="672"/>
      <c r="I14" s="672"/>
      <c r="J14" s="672"/>
      <c r="K14" s="672"/>
      <c r="L14" s="672"/>
      <c r="M14" s="672"/>
      <c r="N14" s="672"/>
      <c r="O14" s="672"/>
      <c r="P14" s="672"/>
      <c r="Q14" s="672"/>
    </row>
    <row r="15" spans="1:17" x14ac:dyDescent="0.2">
      <c r="A15" s="672"/>
      <c r="B15" s="672"/>
      <c r="C15" s="672"/>
      <c r="D15" s="672"/>
      <c r="E15" s="672"/>
      <c r="F15" s="672"/>
      <c r="G15" s="672"/>
      <c r="H15" s="672"/>
      <c r="I15" s="672"/>
      <c r="J15" s="672"/>
      <c r="K15" s="672"/>
      <c r="L15" s="672"/>
      <c r="M15" s="672"/>
      <c r="N15" s="672"/>
      <c r="O15" s="672"/>
      <c r="P15" s="672"/>
      <c r="Q15" s="672"/>
    </row>
    <row r="16" spans="1:17" x14ac:dyDescent="0.2">
      <c r="A16" s="672"/>
      <c r="B16" s="672"/>
      <c r="C16" s="672"/>
      <c r="D16" s="672"/>
      <c r="E16" s="672"/>
      <c r="F16" s="672"/>
      <c r="G16" s="672"/>
      <c r="H16" s="672"/>
      <c r="I16" s="672"/>
      <c r="J16" s="672"/>
      <c r="K16" s="672"/>
      <c r="L16" s="672"/>
      <c r="M16" s="672"/>
      <c r="N16" s="672"/>
      <c r="O16" s="672"/>
      <c r="P16" s="672"/>
      <c r="Q16" s="672"/>
    </row>
    <row r="17" spans="1:17" x14ac:dyDescent="0.2">
      <c r="A17" s="672"/>
      <c r="B17" s="672"/>
      <c r="C17" s="672"/>
      <c r="D17" s="672"/>
      <c r="E17" s="672"/>
      <c r="F17" s="672"/>
      <c r="G17" s="672"/>
      <c r="H17" s="672"/>
      <c r="I17" s="672"/>
      <c r="J17" s="672"/>
      <c r="K17" s="672"/>
      <c r="L17" s="672"/>
      <c r="M17" s="672"/>
      <c r="N17" s="672"/>
      <c r="O17" s="672"/>
      <c r="P17" s="672"/>
      <c r="Q17" s="672"/>
    </row>
    <row r="18" spans="1:17" x14ac:dyDescent="0.2">
      <c r="A18" s="672"/>
      <c r="B18" s="672"/>
      <c r="C18" s="672"/>
      <c r="D18" s="672"/>
      <c r="E18" s="672"/>
      <c r="F18" s="672"/>
      <c r="G18" s="672"/>
      <c r="H18" s="672"/>
      <c r="I18" s="672"/>
      <c r="J18" s="672"/>
      <c r="K18" s="672"/>
      <c r="L18" s="672"/>
      <c r="M18" s="672"/>
      <c r="N18" s="672"/>
      <c r="O18" s="672"/>
      <c r="P18" s="672"/>
      <c r="Q18" s="672"/>
    </row>
    <row r="19" spans="1:17" x14ac:dyDescent="0.2">
      <c r="A19" s="672"/>
      <c r="B19" s="672"/>
      <c r="C19" s="672"/>
      <c r="D19" s="672"/>
      <c r="E19" s="672"/>
      <c r="F19" s="672"/>
      <c r="G19" s="672"/>
      <c r="H19" s="672"/>
      <c r="I19" s="672"/>
      <c r="J19" s="672"/>
      <c r="K19" s="672"/>
      <c r="L19" s="672"/>
      <c r="M19" s="672"/>
      <c r="N19" s="672"/>
      <c r="O19" s="672"/>
      <c r="P19" s="672"/>
      <c r="Q19" s="672"/>
    </row>
    <row r="20" spans="1:17" x14ac:dyDescent="0.2">
      <c r="A20" s="672"/>
      <c r="B20" s="672"/>
      <c r="C20" s="672"/>
      <c r="D20" s="672"/>
      <c r="E20" s="672"/>
      <c r="F20" s="672"/>
      <c r="G20" s="672"/>
      <c r="H20" s="672"/>
      <c r="I20" s="672"/>
      <c r="J20" s="672"/>
      <c r="K20" s="672"/>
      <c r="L20" s="672"/>
      <c r="M20" s="672"/>
      <c r="N20" s="672"/>
      <c r="O20" s="672"/>
      <c r="P20" s="672"/>
      <c r="Q20" s="672"/>
    </row>
    <row r="21" spans="1:17" x14ac:dyDescent="0.2">
      <c r="A21" s="672"/>
      <c r="B21" s="672"/>
      <c r="C21" s="672"/>
      <c r="D21" s="672"/>
      <c r="E21" s="672"/>
      <c r="F21" s="672"/>
      <c r="G21" s="672"/>
      <c r="H21" s="672"/>
      <c r="I21" s="672"/>
      <c r="J21" s="672"/>
      <c r="K21" s="672"/>
      <c r="L21" s="672"/>
      <c r="M21" s="672"/>
      <c r="N21" s="672"/>
      <c r="O21" s="672"/>
      <c r="P21" s="672"/>
      <c r="Q21" s="672"/>
    </row>
    <row r="22" spans="1:17" x14ac:dyDescent="0.2">
      <c r="A22" s="672"/>
      <c r="B22" s="672"/>
      <c r="C22" s="672"/>
      <c r="D22" s="672"/>
      <c r="E22" s="672"/>
      <c r="F22" s="672"/>
      <c r="G22" s="672"/>
      <c r="H22" s="672"/>
      <c r="I22" s="672"/>
      <c r="J22" s="672"/>
      <c r="K22" s="672"/>
      <c r="L22" s="672"/>
      <c r="M22" s="672"/>
      <c r="N22" s="672"/>
      <c r="O22" s="672"/>
      <c r="P22" s="672"/>
      <c r="Q22" s="672"/>
    </row>
    <row r="23" spans="1:17" x14ac:dyDescent="0.2">
      <c r="A23" s="672"/>
      <c r="B23" s="672"/>
      <c r="C23" s="672"/>
      <c r="D23" s="672"/>
      <c r="E23" s="672"/>
      <c r="F23" s="672"/>
      <c r="G23" s="672"/>
      <c r="H23" s="672"/>
      <c r="I23" s="672"/>
      <c r="J23" s="672"/>
      <c r="K23" s="672"/>
      <c r="L23" s="672"/>
      <c r="M23" s="672"/>
      <c r="N23" s="672"/>
      <c r="O23" s="672"/>
      <c r="P23" s="672"/>
      <c r="Q23" s="672"/>
    </row>
    <row r="24" spans="1:17" x14ac:dyDescent="0.2">
      <c r="A24" s="672"/>
      <c r="B24" s="672"/>
      <c r="C24" s="672"/>
      <c r="D24" s="672"/>
      <c r="E24" s="672"/>
      <c r="F24" s="672"/>
      <c r="G24" s="672"/>
      <c r="H24" s="672"/>
      <c r="I24" s="672"/>
      <c r="J24" s="672"/>
      <c r="K24" s="672"/>
      <c r="L24" s="672"/>
      <c r="M24" s="672"/>
      <c r="N24" s="672"/>
      <c r="O24" s="672"/>
      <c r="P24" s="672"/>
      <c r="Q24" s="672"/>
    </row>
    <row r="25" spans="1:17" x14ac:dyDescent="0.2">
      <c r="A25" s="672"/>
      <c r="B25" s="672"/>
      <c r="C25" s="672"/>
      <c r="D25" s="672"/>
      <c r="E25" s="672"/>
      <c r="F25" s="672"/>
      <c r="G25" s="672"/>
      <c r="H25" s="672"/>
      <c r="I25" s="672"/>
      <c r="J25" s="672"/>
      <c r="K25" s="672"/>
      <c r="L25" s="672"/>
      <c r="M25" s="672"/>
      <c r="N25" s="672"/>
      <c r="O25" s="672"/>
      <c r="P25" s="672"/>
      <c r="Q25" s="672"/>
    </row>
    <row r="26" spans="1:17" x14ac:dyDescent="0.2">
      <c r="A26" s="672"/>
      <c r="B26" s="672"/>
      <c r="C26" s="672"/>
      <c r="D26" s="672"/>
      <c r="E26" s="672"/>
      <c r="F26" s="672"/>
      <c r="G26" s="672"/>
      <c r="H26" s="672"/>
      <c r="I26" s="672"/>
      <c r="J26" s="672"/>
      <c r="K26" s="672"/>
      <c r="L26" s="672"/>
      <c r="M26" s="672"/>
      <c r="N26" s="672"/>
      <c r="O26" s="672"/>
      <c r="P26" s="672"/>
      <c r="Q26" s="672"/>
    </row>
    <row r="29" spans="1:17" x14ac:dyDescent="0.2">
      <c r="L29" s="94"/>
    </row>
    <row r="30" spans="1:17" ht="18" x14ac:dyDescent="0.2">
      <c r="E30" s="409"/>
    </row>
    <row r="34" spans="13:13" x14ac:dyDescent="0.2">
      <c r="M34" s="415"/>
    </row>
  </sheetData>
  <mergeCells count="1">
    <mergeCell ref="A1:Q2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41B2A-709E-44A9-907A-2BB63D8A6CF5}">
  <dimension ref="A1"/>
  <sheetViews>
    <sheetView rightToLeft="1"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1405</vt:lpstr>
      <vt:lpstr>1404</vt:lpstr>
      <vt:lpstr>1403</vt:lpstr>
      <vt:lpstr>1402</vt:lpstr>
      <vt:lpstr>1401</vt:lpstr>
      <vt:lpstr>1400</vt:lpstr>
      <vt:lpstr>1399</vt:lpstr>
      <vt:lpstr>1398</vt:lpstr>
      <vt:lpstr>خاص</vt:lpstr>
      <vt:lpstr>رجائی 2</vt:lpstr>
      <vt:lpstr>کشیدن شش ماه اول</vt:lpstr>
      <vt:lpstr>Sheet2</vt:lpstr>
      <vt:lpstr>99-403</vt:lpstr>
      <vt:lpstr>گزارش دمونتاژ الکتروپمپ</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sabzemoghadam</dc:creator>
  <cp:lastModifiedBy>mahdi nassri</cp:lastModifiedBy>
  <cp:lastPrinted>2022-12-22T10:21:25Z</cp:lastPrinted>
  <dcterms:created xsi:type="dcterms:W3CDTF">2011-01-31T04:36:47Z</dcterms:created>
  <dcterms:modified xsi:type="dcterms:W3CDTF">2026-07-06T02:17:06Z</dcterms:modified>
</cp:coreProperties>
</file>